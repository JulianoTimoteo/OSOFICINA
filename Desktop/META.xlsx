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aa-my.sharepoint.com/personal/julianotimoteo_usinapitangueiras_com_br/Documents/"/>
    </mc:Choice>
  </mc:AlternateContent>
  <xr:revisionPtr revIDLastSave="0" documentId="8_{CC084CAD-9F74-4E00-8CD2-58D4DF31B9AE}" xr6:coauthVersionLast="47" xr6:coauthVersionMax="47" xr10:uidLastSave="{00000000-0000-0000-0000-000000000000}"/>
  <bookViews>
    <workbookView xWindow="-120" yWindow="-120" windowWidth="29040" windowHeight="15720" xr2:uid="{43825759-E59D-422C-B728-B0F1C6479BD9}"/>
  </bookViews>
  <sheets>
    <sheet name="TABELA" sheetId="2" r:id="rId1"/>
    <sheet name="Plano Horas" sheetId="3" r:id="rId2"/>
    <sheet name="Rendimentos " sheetId="1" r:id="rId3"/>
  </sheets>
  <externalReferences>
    <externalReference r:id="rId4"/>
  </externalReferences>
  <definedNames>
    <definedName name="_xlnm._FilterDatabase" localSheetId="2" hidden="1">'Rendimentos '!$B$1:$I$39</definedName>
    <definedName name="a">#REF!</definedName>
    <definedName name="Ano_Sel">#REF!</definedName>
    <definedName name="Base_Mes">#REF!</definedName>
    <definedName name="Base_Safra">#REF!</definedName>
    <definedName name="Div_Valor">#REF!</definedName>
    <definedName name="Mes_Sel">#REF!</definedName>
    <definedName name="Moeda_Sel">#REF!</definedName>
    <definedName name="Rel_Recursos">#REF!</definedName>
    <definedName name="Tp_Desc_Mes">#REF!</definedName>
    <definedName name="Tp_V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4" i="3" l="1"/>
  <c r="J44" i="3"/>
  <c r="F44" i="3"/>
  <c r="P44" i="3" s="1"/>
  <c r="L43" i="3"/>
  <c r="J43" i="3"/>
  <c r="F43" i="3"/>
  <c r="P43" i="3" s="1"/>
  <c r="L42" i="3"/>
  <c r="J42" i="3"/>
  <c r="F42" i="3"/>
  <c r="P42" i="3" s="1"/>
  <c r="L41" i="3"/>
  <c r="J41" i="3"/>
  <c r="F41" i="3"/>
  <c r="P41" i="3" s="1"/>
  <c r="L40" i="3"/>
  <c r="J40" i="3"/>
  <c r="F40" i="3"/>
  <c r="P40" i="3" s="1"/>
  <c r="L39" i="3"/>
  <c r="J39" i="3"/>
  <c r="F39" i="3"/>
  <c r="P39" i="3" s="1"/>
  <c r="F38" i="3"/>
  <c r="P38" i="3" s="1"/>
  <c r="P37" i="3"/>
  <c r="F37" i="3"/>
  <c r="F36" i="3"/>
  <c r="P36" i="3" s="1"/>
  <c r="F35" i="3"/>
  <c r="P35" i="3" s="1"/>
  <c r="F34" i="3"/>
  <c r="P34" i="3" s="1"/>
  <c r="F33" i="3"/>
  <c r="P33" i="3" s="1"/>
  <c r="F32" i="3"/>
  <c r="P32" i="3" s="1"/>
  <c r="P31" i="3"/>
  <c r="F31" i="3"/>
  <c r="L30" i="3"/>
  <c r="J30" i="3"/>
  <c r="F30" i="3"/>
  <c r="P30" i="3" s="1"/>
  <c r="L29" i="3"/>
  <c r="J29" i="3"/>
  <c r="F29" i="3"/>
  <c r="P29" i="3" s="1"/>
  <c r="L28" i="3"/>
  <c r="J28" i="3"/>
  <c r="F28" i="3"/>
  <c r="P28" i="3" s="1"/>
  <c r="L27" i="3"/>
  <c r="J27" i="3"/>
  <c r="F27" i="3"/>
  <c r="P27" i="3" s="1"/>
  <c r="L26" i="3"/>
  <c r="J26" i="3"/>
  <c r="F26" i="3"/>
  <c r="P26" i="3" s="1"/>
  <c r="L25" i="3"/>
  <c r="J25" i="3"/>
  <c r="F25" i="3"/>
  <c r="P25" i="3" s="1"/>
  <c r="L24" i="3"/>
  <c r="J24" i="3"/>
  <c r="F24" i="3"/>
  <c r="P24" i="3" s="1"/>
  <c r="L23" i="3"/>
  <c r="J23" i="3"/>
  <c r="F23" i="3"/>
  <c r="P23" i="3" s="1"/>
  <c r="L22" i="3"/>
  <c r="J22" i="3"/>
  <c r="F22" i="3"/>
  <c r="P22" i="3" s="1"/>
  <c r="L21" i="3"/>
  <c r="J21" i="3"/>
  <c r="F21" i="3"/>
  <c r="P21" i="3" s="1"/>
  <c r="L20" i="3"/>
  <c r="J20" i="3"/>
  <c r="F20" i="3"/>
  <c r="P20" i="3" s="1"/>
  <c r="L19" i="3"/>
  <c r="J19" i="3"/>
  <c r="P19" i="3" s="1"/>
  <c r="F19" i="3"/>
  <c r="L18" i="3"/>
  <c r="J18" i="3"/>
  <c r="F18" i="3"/>
  <c r="P18" i="3" s="1"/>
  <c r="L17" i="3"/>
  <c r="J17" i="3"/>
  <c r="F17" i="3"/>
  <c r="P17" i="3" s="1"/>
  <c r="L16" i="3"/>
  <c r="J16" i="3"/>
  <c r="P16" i="3" s="1"/>
  <c r="F16" i="3"/>
  <c r="L15" i="3"/>
  <c r="J15" i="3"/>
  <c r="F15" i="3"/>
  <c r="P15" i="3" s="1"/>
  <c r="L14" i="3"/>
  <c r="J14" i="3"/>
  <c r="F14" i="3"/>
  <c r="P14" i="3" s="1"/>
  <c r="L13" i="3"/>
  <c r="J13" i="3"/>
  <c r="P13" i="3" s="1"/>
  <c r="F13" i="3"/>
  <c r="L12" i="3"/>
  <c r="J12" i="3"/>
  <c r="F12" i="3"/>
  <c r="P12" i="3" s="1"/>
  <c r="L11" i="3"/>
  <c r="J11" i="3"/>
  <c r="F11" i="3"/>
  <c r="P11" i="3" s="1"/>
  <c r="L10" i="3"/>
  <c r="J10" i="3"/>
  <c r="P10" i="3" s="1"/>
  <c r="F10" i="3"/>
  <c r="L9" i="3"/>
  <c r="J9" i="3"/>
  <c r="F9" i="3"/>
  <c r="P9" i="3" s="1"/>
  <c r="L8" i="3"/>
  <c r="J8" i="3"/>
  <c r="F8" i="3"/>
  <c r="P8" i="3" s="1"/>
  <c r="L7" i="3"/>
  <c r="J7" i="3"/>
  <c r="P7" i="3" s="1"/>
  <c r="F7" i="3"/>
  <c r="L6" i="3"/>
  <c r="J6" i="3"/>
  <c r="F6" i="3"/>
  <c r="P6" i="3" s="1"/>
  <c r="L5" i="3"/>
  <c r="J5" i="3"/>
  <c r="F5" i="3"/>
  <c r="P5" i="3" s="1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6" i="2" l="1"/>
  <c r="K6" i="2" s="1"/>
  <c r="J4" i="2"/>
  <c r="K4" i="2" s="1"/>
  <c r="J8" i="2"/>
  <c r="K8" i="2" s="1"/>
  <c r="J5" i="2"/>
  <c r="K5" i="2" s="1"/>
  <c r="J18" i="2"/>
  <c r="K18" i="2" s="1"/>
  <c r="J21" i="2"/>
  <c r="J9" i="2"/>
  <c r="K9" i="2" s="1"/>
  <c r="J19" i="2"/>
  <c r="K19" i="2" s="1"/>
  <c r="J7" i="2"/>
  <c r="K7" i="2" s="1"/>
  <c r="J10" i="2"/>
  <c r="K10" i="2" s="1"/>
  <c r="J20" i="2"/>
  <c r="K20" i="2" s="1"/>
  <c r="K21" i="2"/>
  <c r="K15" i="2"/>
  <c r="K13" i="2"/>
  <c r="J15" i="2"/>
  <c r="J17" i="2"/>
  <c r="K17" i="2" s="1"/>
  <c r="J16" i="2"/>
  <c r="K16" i="2" s="1"/>
  <c r="J13" i="2"/>
  <c r="J12" i="2"/>
  <c r="K12" i="2" s="1"/>
  <c r="J14" i="2"/>
  <c r="K14" i="2" s="1"/>
  <c r="J11" i="2"/>
  <c r="K11" i="2" s="1"/>
</calcChain>
</file>

<file path=xl/sharedStrings.xml><?xml version="1.0" encoding="utf-8"?>
<sst xmlns="http://schemas.openxmlformats.org/spreadsheetml/2006/main" count="381" uniqueCount="280">
  <si>
    <t>Cód. Operação</t>
  </si>
  <si>
    <t>Descr. Operação</t>
  </si>
  <si>
    <t>Turno</t>
  </si>
  <si>
    <t>Tipo Trator</t>
  </si>
  <si>
    <t>U/M</t>
  </si>
  <si>
    <t>Rendimento</t>
  </si>
  <si>
    <t>Rendimento Validado</t>
  </si>
  <si>
    <t>Check</t>
  </si>
  <si>
    <t>Operação Agrícola</t>
  </si>
  <si>
    <t>Descrição</t>
  </si>
  <si>
    <t>Total</t>
  </si>
  <si>
    <t xml:space="preserve">Terraceamento                 </t>
  </si>
  <si>
    <t>Pesado</t>
  </si>
  <si>
    <t>há/h</t>
  </si>
  <si>
    <t xml:space="preserve"> CORTE MANUAL DE CANA QUEIMADA </t>
  </si>
  <si>
    <t xml:space="preserve">Curva Em Nível                </t>
  </si>
  <si>
    <t xml:space="preserve"> DISTRIBUIÇÃO DE CANA/SULCO    </t>
  </si>
  <si>
    <t xml:space="preserve">Sistematização                </t>
  </si>
  <si>
    <t xml:space="preserve"> SERVICOS DIVERSOS             </t>
  </si>
  <si>
    <t xml:space="preserve">Aração                        </t>
  </si>
  <si>
    <t>Médio</t>
  </si>
  <si>
    <t xml:space="preserve"> REPLANTIO MANUAL DE CANA      </t>
  </si>
  <si>
    <t xml:space="preserve">Gradagem Aradora              </t>
  </si>
  <si>
    <t xml:space="preserve"> TERRACEAMENTO                 </t>
  </si>
  <si>
    <t xml:space="preserve">Gradagem Intermediária        </t>
  </si>
  <si>
    <t>Médio/Pesado</t>
  </si>
  <si>
    <t xml:space="preserve"> TERRAPLANAGEM                 </t>
  </si>
  <si>
    <t xml:space="preserve">Gradagem Niveladora           </t>
  </si>
  <si>
    <t xml:space="preserve"> CONSERVAÇÃO DE ESTRADAS       </t>
  </si>
  <si>
    <t xml:space="preserve">Subsolagem                    </t>
  </si>
  <si>
    <t xml:space="preserve"> CURVA EM NÍVEL                </t>
  </si>
  <si>
    <t xml:space="preserve">Sulcação                      </t>
  </si>
  <si>
    <t xml:space="preserve"> SISTEMATIZAÇÃO                </t>
  </si>
  <si>
    <t xml:space="preserve">Quebra De Lombo               </t>
  </si>
  <si>
    <t xml:space="preserve"> ARRANQUIO DE CITRUS           </t>
  </si>
  <si>
    <t xml:space="preserve">Cultivo                       </t>
  </si>
  <si>
    <t>Medio</t>
  </si>
  <si>
    <t xml:space="preserve"> ARRANQUIO DE CITRUS DENSIDADE </t>
  </si>
  <si>
    <t xml:space="preserve">Enleiramento De Palha         </t>
  </si>
  <si>
    <t>Leve</t>
  </si>
  <si>
    <t xml:space="preserve"> ARRANQUIO DE CITRUS CLEÓPATRA </t>
  </si>
  <si>
    <t xml:space="preserve">Aplicação De Fosfato          </t>
  </si>
  <si>
    <t xml:space="preserve"> ARRANQUIO DE CITRUMELO        </t>
  </si>
  <si>
    <t xml:space="preserve">Aplicação De Calcário         </t>
  </si>
  <si>
    <t xml:space="preserve"> QUEIMA DE CITRUS              </t>
  </si>
  <si>
    <t xml:space="preserve">Aplicação De Gesso            </t>
  </si>
  <si>
    <t xml:space="preserve"> ARAÇÃO                        </t>
  </si>
  <si>
    <t xml:space="preserve">1ª Aplicação De Herbicida     </t>
  </si>
  <si>
    <t xml:space="preserve"> ARAÇÃO COM DEFENSIVOS         </t>
  </si>
  <si>
    <t>Apl Inseticida Em Profundidade</t>
  </si>
  <si>
    <t xml:space="preserve"> GRADAGEM ARADORA              </t>
  </si>
  <si>
    <t xml:space="preserve">Aplicação De Inseticida       </t>
  </si>
  <si>
    <t xml:space="preserve"> GRADAGEM INTERMEDIÁRIA        </t>
  </si>
  <si>
    <t xml:space="preserve">Aplicação De Torta De Filtro  </t>
  </si>
  <si>
    <t xml:space="preserve"> GRADAGEM NIVELADORA           </t>
  </si>
  <si>
    <t xml:space="preserve">Aplic De Vinhaça Via Caminhão </t>
  </si>
  <si>
    <t>Caminhão</t>
  </si>
  <si>
    <t xml:space="preserve"> SUBSOLAGEM                    </t>
  </si>
  <si>
    <t xml:space="preserve">Tração Motobomba              </t>
  </si>
  <si>
    <t xml:space="preserve"> SUBSOLAGEM COM DEFENSIVOS     </t>
  </si>
  <si>
    <t>Tração / Recolhimento De Palha</t>
  </si>
  <si>
    <t xml:space="preserve"> SULCAÇÃO                      </t>
  </si>
  <si>
    <t xml:space="preserve">Enfardamento De Palha         </t>
  </si>
  <si>
    <t>T8</t>
  </si>
  <si>
    <t xml:space="preserve"> DESTRUIÇÃO DE SOQUEIRA / SPH  </t>
  </si>
  <si>
    <t xml:space="preserve">Aplicação Mista Correção Solo </t>
  </si>
  <si>
    <t xml:space="preserve"> QUEBRA DE LOMBO               </t>
  </si>
  <si>
    <t xml:space="preserve">2ª Aplicação De Herbicida     </t>
  </si>
  <si>
    <t xml:space="preserve"> CULTIVO                       </t>
  </si>
  <si>
    <t xml:space="preserve">Repasse Aplicação Herbicida   </t>
  </si>
  <si>
    <t xml:space="preserve"> COBRIÇÃO DE CANA              </t>
  </si>
  <si>
    <t>Aplic. Herb Man - Cat. Quimíca</t>
  </si>
  <si>
    <t xml:space="preserve"> ENLEIRAMENTO DE PALHA         </t>
  </si>
  <si>
    <t>1.01</t>
  </si>
  <si>
    <t>Plantio (Meiose)</t>
  </si>
  <si>
    <t>Manual</t>
  </si>
  <si>
    <t xml:space="preserve"> ARRANQUIO DE TOCO / DIVERSOS  </t>
  </si>
  <si>
    <t>1.02</t>
  </si>
  <si>
    <t>Plantio (Cantose)</t>
  </si>
  <si>
    <t xml:space="preserve"> APLICAÇÃO DE FOSFATO          </t>
  </si>
  <si>
    <t>1.03</t>
  </si>
  <si>
    <t>Plantio (Convencional) - Equipe</t>
  </si>
  <si>
    <t>há/dia</t>
  </si>
  <si>
    <t xml:space="preserve"> ADUBAÇÃO AÉREA                </t>
  </si>
  <si>
    <t>1.04</t>
  </si>
  <si>
    <t>Plantio (MPB)</t>
  </si>
  <si>
    <t xml:space="preserve"> APLICAÇÃO DE CALCÁRIO         </t>
  </si>
  <si>
    <t>1.05</t>
  </si>
  <si>
    <t>Corte de Muda</t>
  </si>
  <si>
    <t>ton./dia</t>
  </si>
  <si>
    <t xml:space="preserve"> APLICAÇÃO DE GESSO            </t>
  </si>
  <si>
    <t xml:space="preserve">Pré Plantio Incorporado (Ppi) </t>
  </si>
  <si>
    <t xml:space="preserve"> APLICAÇÃO FERTILIZANTE FOLIAR </t>
  </si>
  <si>
    <t xml:space="preserve">Terraplanagem                 </t>
  </si>
  <si>
    <t xml:space="preserve"> 1ª APLICAÇÃO DE HERBICIDA     </t>
  </si>
  <si>
    <t xml:space="preserve">Conservação De Estradas       </t>
  </si>
  <si>
    <t xml:space="preserve"> APLICAÇÃO DE INSETICIDA       </t>
  </si>
  <si>
    <t xml:space="preserve">Destruição De Soqueira / Sph  </t>
  </si>
  <si>
    <t xml:space="preserve"> APLICAÇÃO DE TORTA DE FILTRO  </t>
  </si>
  <si>
    <t xml:space="preserve">Canterizador De Cana          </t>
  </si>
  <si>
    <t xml:space="preserve"> APLICAÇÃO DE COMPOSTAGEM      </t>
  </si>
  <si>
    <t xml:space="preserve">Enxada Rotativa               </t>
  </si>
  <si>
    <t xml:space="preserve"> APLIC DE VINHAÇA VIA CAMINHÃO </t>
  </si>
  <si>
    <t xml:space="preserve">Aplicação Dessecação          </t>
  </si>
  <si>
    <t xml:space="preserve"> APLICAÇÃO DE VINHAÇA VIA CANAL</t>
  </si>
  <si>
    <t xml:space="preserve"> ABERTURA DE VALETA / CANAL    </t>
  </si>
  <si>
    <t xml:space="preserve"> MANUTENÇÃO REDE DE VINHAÇA    </t>
  </si>
  <si>
    <t xml:space="preserve"> COMPOSTAGEM                   </t>
  </si>
  <si>
    <t xml:space="preserve"> LENHEIRO                      </t>
  </si>
  <si>
    <t xml:space="preserve"> ROÇADEIRA                     </t>
  </si>
  <si>
    <t xml:space="preserve"> ROLO COMPACTADOR              </t>
  </si>
  <si>
    <t xml:space="preserve"> CORTE MECANIZADO DE MUDAS     </t>
  </si>
  <si>
    <t xml:space="preserve"> PLANTIO MECANIZADO            </t>
  </si>
  <si>
    <t xml:space="preserve"> BANQUETA MECÂNICA             </t>
  </si>
  <si>
    <t xml:space="preserve"> PLANTIO DE CEREAIS            </t>
  </si>
  <si>
    <t xml:space="preserve"> SILAGEM                       </t>
  </si>
  <si>
    <t xml:space="preserve"> SERVIÇOS CURRAL               </t>
  </si>
  <si>
    <t xml:space="preserve"> TRAÇÃO                        </t>
  </si>
  <si>
    <t xml:space="preserve"> TRAÇÃO MOTOBOMBA              </t>
  </si>
  <si>
    <t xml:space="preserve"> TRAÇÃO PARA TERCEIROS         </t>
  </si>
  <si>
    <t xml:space="preserve"> TRAÇÃO / RECOLHIMENTO DE PALHA</t>
  </si>
  <si>
    <t xml:space="preserve"> CARREG. CANA / CARGA E DESCARG</t>
  </si>
  <si>
    <t xml:space="preserve"> CARREG. BAG / DIVERSOS        </t>
  </si>
  <si>
    <t xml:space="preserve"> (PÁ) CARREGAMENTO TERRA</t>
  </si>
  <si>
    <t xml:space="preserve"> (PÁ) ATERRO DE ESTRADAS</t>
  </si>
  <si>
    <t xml:space="preserve"> ESPARRAMAÇÃO DE CINZAS        </t>
  </si>
  <si>
    <t xml:space="preserve"> ACEIRO TRATORIZADO            </t>
  </si>
  <si>
    <t xml:space="preserve"> (PÁ) BAGAÇO DE CANA </t>
  </si>
  <si>
    <t xml:space="preserve"> PERFURADOR DE SOLO            </t>
  </si>
  <si>
    <t xml:space="preserve"> ENFARDAMENTO DE PALHA         </t>
  </si>
  <si>
    <t xml:space="preserve"> PREST. SERVIÇO USINA / MÁQUINA</t>
  </si>
  <si>
    <t xml:space="preserve"> SUPORTE COM PÁ CARREGADEIRA   </t>
  </si>
  <si>
    <t xml:space="preserve"> APLICAÇÃO DE FUNGICIDA        </t>
  </si>
  <si>
    <t xml:space="preserve"> CANTERIZADOR                  </t>
  </si>
  <si>
    <t xml:space="preserve"> APLIC. DE VINHAÇA LOCALIZADA  </t>
  </si>
  <si>
    <t xml:space="preserve"> APLICAÇÃO MISTA DE PRODUTOS   </t>
  </si>
  <si>
    <t xml:space="preserve"> APLICAÇÃO MISTA CORREÇÃO SOLO </t>
  </si>
  <si>
    <t xml:space="preserve"> TRAJETO AUXILIAR DA OPERAÇÃO  </t>
  </si>
  <si>
    <t xml:space="preserve"> APL INSETICIDA EM PROFUNDIDADE</t>
  </si>
  <si>
    <t xml:space="preserve"> PLANTIO COM TORTA             </t>
  </si>
  <si>
    <t xml:space="preserve"> 2ª APLICAÇÃO DE HERBICIDA     </t>
  </si>
  <si>
    <t xml:space="preserve"> APLICAÇÃO DESSECAÇÃO          </t>
  </si>
  <si>
    <t xml:space="preserve"> MAPEAMENTO AGRICOLA           </t>
  </si>
  <si>
    <t xml:space="preserve"> CANTERIZADOR DE CANA          </t>
  </si>
  <si>
    <t xml:space="preserve"> PÁ CARREGAMENTO DE TORTA      </t>
  </si>
  <si>
    <t xml:space="preserve"> LIMPEZA DE ÁREA               </t>
  </si>
  <si>
    <t xml:space="preserve"> REPASSE APLICAÇÃO HERBICIDA   </t>
  </si>
  <si>
    <t xml:space="preserve"> APLIC. HERB MAN </t>
  </si>
  <si>
    <t xml:space="preserve"> APLIC. VINHAÇA C/ FERTILIZANTE</t>
  </si>
  <si>
    <t xml:space="preserve"> APLIC. HERBICIDA </t>
  </si>
  <si>
    <t xml:space="preserve"> APLIC. FERTILIZANTE LÍQUIDO   </t>
  </si>
  <si>
    <t xml:space="preserve"> IRRIGAÇÃO COM AGUA            </t>
  </si>
  <si>
    <t xml:space="preserve"> PRÉ PLANTIO INCORPORADO (PPI) </t>
  </si>
  <si>
    <t xml:space="preserve"> ELETROÍMÃ                     </t>
  </si>
  <si>
    <t xml:space="preserve"> 2ªAPLICAÇÃO VINHAÇA CANAL     </t>
  </si>
  <si>
    <t xml:space="preserve"> 2ªAPLICAÇÃO VINHAÇA SOBRE RODA</t>
  </si>
  <si>
    <t xml:space="preserve"> 2ªAPLICAÇÃO VINHAÇA LOCALIZADA</t>
  </si>
  <si>
    <t xml:space="preserve"> BOMBEIRO                      </t>
  </si>
  <si>
    <t xml:space="preserve"> CAM. MOLHANDO ESTRADAS        </t>
  </si>
  <si>
    <t xml:space="preserve"> TRANSP. DE ÁGUA POTÁVEL       </t>
  </si>
  <si>
    <t xml:space="preserve"> TRANSP ÁGUA HERB / INSETICIDA </t>
  </si>
  <si>
    <t xml:space="preserve"> TRANSPORTE DE VINHAÇA         </t>
  </si>
  <si>
    <t xml:space="preserve"> TRANSP DE CANA CARREGADO      </t>
  </si>
  <si>
    <t xml:space="preserve"> TRANSPORTE DE CANA            </t>
  </si>
  <si>
    <t xml:space="preserve"> TRAÇÃO TRANSBORDO             </t>
  </si>
  <si>
    <t xml:space="preserve"> ABASTECIMENTO COMBOIO         </t>
  </si>
  <si>
    <t xml:space="preserve"> ABASTECIMENTO OFICINA VOLANTE </t>
  </si>
  <si>
    <t xml:space="preserve"> MUNCK                         </t>
  </si>
  <si>
    <t xml:space="preserve"> MUNCK PARA TERCEIROS          </t>
  </si>
  <si>
    <t xml:space="preserve"> PRANCHA                       </t>
  </si>
  <si>
    <t xml:space="preserve"> PRANCHA PARA TERCEIROS        </t>
  </si>
  <si>
    <t xml:space="preserve"> PREST. SERVIÇO USINA /CAMINHÃO</t>
  </si>
  <si>
    <t xml:space="preserve"> BASCULANTE TERCEIROS          </t>
  </si>
  <si>
    <t xml:space="preserve"> TRANSP. DE FERTILIZANTES      </t>
  </si>
  <si>
    <t xml:space="preserve"> TRANSP. DE TERRA / CASCALHO   </t>
  </si>
  <si>
    <t xml:space="preserve"> TRANSPORTE DE GESSO / CALCÁRIO</t>
  </si>
  <si>
    <t xml:space="preserve"> TRANSP. BAGAÇO DE CANA        </t>
  </si>
  <si>
    <t xml:space="preserve"> TRANSP. DE CEREAIS            </t>
  </si>
  <si>
    <t xml:space="preserve"> TRANSP. DE MUDAS              </t>
  </si>
  <si>
    <t xml:space="preserve"> TRANSPORTE COLETIVO           </t>
  </si>
  <si>
    <t xml:space="preserve"> SERVIÇOS GERAIS DE TRANSPORTE </t>
  </si>
  <si>
    <t xml:space="preserve"> CHURUMEIRA                    </t>
  </si>
  <si>
    <t xml:space="preserve"> TRANSPORTE LIXO               </t>
  </si>
  <si>
    <t xml:space="preserve"> TRANSP. FARDOS DE PALHA       </t>
  </si>
  <si>
    <t xml:space="preserve"> DENTRO DA USINA               </t>
  </si>
  <si>
    <t xml:space="preserve"> CAMINHAO FILA BALANCA         </t>
  </si>
  <si>
    <t xml:space="preserve"> OFICINA MOVEL                 </t>
  </si>
  <si>
    <t xml:space="preserve"> IRRIGAÇÃO DE MEIOSI </t>
  </si>
  <si>
    <t xml:space="preserve"> IRRIGAÇÃO DE MEIOSE TANQUE    </t>
  </si>
  <si>
    <t xml:space="preserve"> TRANSPORTE DE TORTA           </t>
  </si>
  <si>
    <t xml:space="preserve"> MUDANCA DE AREA RODANDO       </t>
  </si>
  <si>
    <t xml:space="preserve"> TRACAO TRANSBORDO             </t>
  </si>
  <si>
    <t xml:space="preserve"> CORTE MECANIZADO DE CANA CRUA </t>
  </si>
  <si>
    <t xml:space="preserve"> CORTE MECANIZADO CANA CRUA    </t>
  </si>
  <si>
    <t xml:space="preserve"> CORTE MEC CANA QUEI           </t>
  </si>
  <si>
    <t xml:space="preserve"> TRAÇÃO TRANSBORDO </t>
  </si>
  <si>
    <t xml:space="preserve"> TRANSBORDO CARREGANDO CANA    </t>
  </si>
  <si>
    <t xml:space="preserve"> TRANSBORDANDO CARGA           </t>
  </si>
  <si>
    <t xml:space="preserve"> EQUIPAMENTOS SEDE CURRAL/HORTA</t>
  </si>
  <si>
    <t xml:space="preserve"> GASTO PLANTIO MAO DE OBRA     </t>
  </si>
  <si>
    <t>Realizado</t>
  </si>
  <si>
    <t>Cod. Operação</t>
  </si>
  <si>
    <t>Operação</t>
  </si>
  <si>
    <t>Modelo</t>
  </si>
  <si>
    <t>Frota</t>
  </si>
  <si>
    <t>Há/h</t>
  </si>
  <si>
    <t>Horas trabalhado</t>
  </si>
  <si>
    <t>Há/Dia</t>
  </si>
  <si>
    <t>1ª HERBICIDA</t>
  </si>
  <si>
    <t>PATRIOT 70122</t>
  </si>
  <si>
    <t>JONH DEERE 70121</t>
  </si>
  <si>
    <t>VALTRA BS 340</t>
  </si>
  <si>
    <t>CARREADOR</t>
  </si>
  <si>
    <t>NEW HOLLAND 11125</t>
  </si>
  <si>
    <t>NEW HOLLAND 11225</t>
  </si>
  <si>
    <t>CATAÇÃO</t>
  </si>
  <si>
    <t>CASE 11124</t>
  </si>
  <si>
    <t>CASE 11224</t>
  </si>
  <si>
    <t>CORTE SOQUEIRA</t>
  </si>
  <si>
    <t>NEW HOLLAND 11418</t>
  </si>
  <si>
    <t>NEW HOLLAND 11518</t>
  </si>
  <si>
    <t>NEW HOLLAND 11618</t>
  </si>
  <si>
    <t>NEW HOLLAND 11718</t>
  </si>
  <si>
    <t>QUEBRA LOMBO</t>
  </si>
  <si>
    <t>PUMA 11324</t>
  </si>
  <si>
    <t>PUMA 11424</t>
  </si>
  <si>
    <t>PUMA 11524</t>
  </si>
  <si>
    <t>HONDA 2120</t>
  </si>
  <si>
    <t>HONDA 2220</t>
  </si>
  <si>
    <t>HONDA 2320</t>
  </si>
  <si>
    <t>COSTAL</t>
  </si>
  <si>
    <t>CD_Operação</t>
  </si>
  <si>
    <t>DE_Operação</t>
  </si>
  <si>
    <t>Turnos</t>
  </si>
  <si>
    <t>Horas de atividade dia</t>
  </si>
  <si>
    <t>Disp. Mecânica</t>
  </si>
  <si>
    <t>Deslocamento</t>
  </si>
  <si>
    <t>Troca de Turno</t>
  </si>
  <si>
    <t>Check-list</t>
  </si>
  <si>
    <t>Abast.e/ou lubrificação</t>
  </si>
  <si>
    <t>Refeição</t>
  </si>
  <si>
    <t>Mudança de área</t>
  </si>
  <si>
    <t>Manobra</t>
  </si>
  <si>
    <t>Abast. Insumo</t>
  </si>
  <si>
    <t>Total horas disponivel dia para produção</t>
  </si>
  <si>
    <t>qtd.</t>
  </si>
  <si>
    <t>h</t>
  </si>
  <si>
    <t>%</t>
  </si>
  <si>
    <t>h/dia</t>
  </si>
  <si>
    <t>PREPARO DE SOLO</t>
  </si>
  <si>
    <t>TERRACEAMENTO</t>
  </si>
  <si>
    <t>CURVA EM NÍVEL</t>
  </si>
  <si>
    <t>SISTEMATIZAÇÃO</t>
  </si>
  <si>
    <t>ARAÇÃO</t>
  </si>
  <si>
    <t>GRADAGEM ARADORA</t>
  </si>
  <si>
    <t>GRADAGEM INTERMEDIÁRIA</t>
  </si>
  <si>
    <t>GRADAGEM NIVELADORA</t>
  </si>
  <si>
    <t>SUBSOLAGEM</t>
  </si>
  <si>
    <t>ENLEIRAMENTO DE PALHA</t>
  </si>
  <si>
    <t>APLICAÇÃO DE FOSFATO</t>
  </si>
  <si>
    <t>APLICAÇÃO DE CALCÁRIO</t>
  </si>
  <si>
    <t>APLICAÇÃO DE GESSO</t>
  </si>
  <si>
    <t>APLICAÇÃO DE TORTA DE FILTRO</t>
  </si>
  <si>
    <t>TRAÇÃO / RECOLHIMENTO DE PALHA</t>
  </si>
  <si>
    <t>ENFARDAMENTO DE PALHA</t>
  </si>
  <si>
    <t>TRATOS CULTURAIS</t>
  </si>
  <si>
    <t>QUEBRA DE LOMBO</t>
  </si>
  <si>
    <t>CULTIVO (adubação soca)</t>
  </si>
  <si>
    <t>APLICAÇÃO DE HERBICIDA</t>
  </si>
  <si>
    <t>APLICAÇÃO DE INSETICIDA</t>
  </si>
  <si>
    <t>APLIC DE VINHAÇA VIA CAMINHÃO</t>
  </si>
  <si>
    <t>TRAÇÃO MOTOBOMBA (canal)</t>
  </si>
  <si>
    <t>PLANTIO</t>
  </si>
  <si>
    <t>Plantio (Convencional)</t>
  </si>
  <si>
    <t>Corte de Muda (16 ton. p/ há)</t>
  </si>
  <si>
    <t>SULCAÇÃO</t>
  </si>
  <si>
    <t>Colheita</t>
  </si>
  <si>
    <t>xx1</t>
  </si>
  <si>
    <t>Biomassa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</si>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</sst>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:mm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9" fontId="2" fillId="3" borderId="0" xfId="0" applyNumberFormat="1" applyFont="1" applyFill="1"/>
    <xf numFmtId="4" fontId="2" fillId="3" borderId="0" xfId="0" applyNumberFormat="1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anotimoteo\AppData\Local\Microsoft\Olk\Attachments\ooa-560a3ae8-c58e-447e-8411-16d4ddfd047e\e426ec02bf2bdd9dd2c0018c51e3a997f640bfba90172751c6c6c28c03e01278\Dimensionamento_Tratos_26'27.xlsx" TargetMode="External"/><Relationship Id="rId1" Type="http://schemas.openxmlformats.org/officeDocument/2006/relationships/externalLinkPath" Target="file:///C:\Users\julianotimoteo\AppData\Local\Microsoft\Olk\Attachments\ooa-560a3ae8-c58e-447e-8411-16d4ddfd047e\e426ec02bf2bdd9dd2c0018c51e3a997f640bfba90172751c6c6c28c03e01278\Dimensionamento_Tratos_26'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mensionamento Tratos (2)"/>
      <sheetName val="Apoio"/>
      <sheetName val="Dimensionamento Preparo"/>
      <sheetName val="Dimensionamento Tratos"/>
      <sheetName val="Rendimentos "/>
      <sheetName val="Planilha1"/>
      <sheetName val="Plano Horas"/>
      <sheetName val="Qtde_Oper_Plantio_Tr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FEDF-C64F-4373-9171-26951CE5ED3F}">
  <dimension ref="D2:N21"/>
  <sheetViews>
    <sheetView tabSelected="1" workbookViewId="0">
      <selection activeCell="D2" sqref="D2:O21"/>
    </sheetView>
  </sheetViews>
  <sheetFormatPr defaultRowHeight="15" x14ac:dyDescent="0.25"/>
  <cols>
    <col min="4" max="4" width="14.28515625" bestFit="1" customWidth="1"/>
    <col min="5" max="5" width="16.28515625" bestFit="1" customWidth="1"/>
    <col min="6" max="6" width="19.5703125" bestFit="1" customWidth="1"/>
    <col min="8" max="8" width="6.140625" bestFit="1" customWidth="1"/>
    <col min="9" max="9" width="5.28515625" bestFit="1" customWidth="1"/>
    <col min="10" max="10" width="16.7109375" style="6" bestFit="1" customWidth="1"/>
    <col min="11" max="11" width="10" style="4" customWidth="1"/>
    <col min="12" max="12" width="16.42578125" bestFit="1" customWidth="1"/>
    <col min="14" max="14" width="13.42578125" bestFit="1" customWidth="1"/>
  </cols>
  <sheetData>
    <row r="2" spans="4:14" x14ac:dyDescent="0.25">
      <c r="L2" s="7" t="s">
        <v>200</v>
      </c>
      <c r="M2" s="7"/>
      <c r="N2" s="4"/>
    </row>
    <row r="3" spans="4:14" x14ac:dyDescent="0.25">
      <c r="D3" s="8" t="s">
        <v>201</v>
      </c>
      <c r="E3" s="8" t="s">
        <v>202</v>
      </c>
      <c r="F3" s="8" t="s">
        <v>203</v>
      </c>
      <c r="G3" s="8" t="s">
        <v>204</v>
      </c>
      <c r="H3" s="8" t="s">
        <v>2</v>
      </c>
      <c r="I3" s="8" t="s">
        <v>205</v>
      </c>
      <c r="J3" s="9" t="s">
        <v>206</v>
      </c>
      <c r="K3" s="8" t="s">
        <v>207</v>
      </c>
      <c r="L3" s="9" t="s">
        <v>206</v>
      </c>
      <c r="M3" s="8" t="s">
        <v>207</v>
      </c>
      <c r="N3" s="9" t="s">
        <v>279</v>
      </c>
    </row>
    <row r="4" spans="4:14" x14ac:dyDescent="0.25">
      <c r="D4" s="3">
        <v>1031</v>
      </c>
      <c r="E4" t="s">
        <v>208</v>
      </c>
      <c r="F4" t="s">
        <v>209</v>
      </c>
      <c r="G4">
        <v>70122</v>
      </c>
      <c r="H4">
        <f>_xlfn.XLOOKUP(D4,'Rendimentos '!B:B,'Rendimentos '!D:D)</f>
        <v>1</v>
      </c>
      <c r="I4">
        <f>_xlfn.XLOOKUP(D4,'Rendimentos '!B:B,'Rendimentos '!H:H)</f>
        <v>17</v>
      </c>
      <c r="J4" s="6">
        <f>_xlfn.XLOOKUP(D4,'Plano Horas'!C:C,'Plano Horas'!P:P)</f>
        <v>3.95</v>
      </c>
      <c r="K4" s="10">
        <f>I4*J4</f>
        <v>67.150000000000006</v>
      </c>
    </row>
    <row r="5" spans="4:14" x14ac:dyDescent="0.25">
      <c r="D5" s="3">
        <v>1031</v>
      </c>
      <c r="E5" t="s">
        <v>208</v>
      </c>
      <c r="F5" t="s">
        <v>210</v>
      </c>
      <c r="G5">
        <v>70121</v>
      </c>
      <c r="H5">
        <f>_xlfn.XLOOKUP(D5,'Rendimentos '!B:B,'Rendimentos '!D:D)</f>
        <v>1</v>
      </c>
      <c r="I5">
        <f>_xlfn.XLOOKUP(D5,'Rendimentos '!B:B,'Rendimentos '!H:H)</f>
        <v>17</v>
      </c>
      <c r="J5" s="6">
        <f>_xlfn.XLOOKUP(D5,'Plano Horas'!C:C,'Plano Horas'!P:P)</f>
        <v>3.95</v>
      </c>
      <c r="K5" s="10">
        <f t="shared" ref="K5:K21" si="0">I5*J5</f>
        <v>67.150000000000006</v>
      </c>
    </row>
    <row r="6" spans="4:14" x14ac:dyDescent="0.25">
      <c r="D6" s="3">
        <v>1031</v>
      </c>
      <c r="E6" t="s">
        <v>208</v>
      </c>
      <c r="F6" t="s">
        <v>211</v>
      </c>
      <c r="G6">
        <v>340</v>
      </c>
      <c r="H6">
        <f>_xlfn.XLOOKUP(D6,'Rendimentos '!B:B,'Rendimentos '!D:D)</f>
        <v>1</v>
      </c>
      <c r="I6">
        <f>_xlfn.XLOOKUP(D6,'Rendimentos '!B:B,'Rendimentos '!H:H)</f>
        <v>17</v>
      </c>
      <c r="J6" s="6">
        <f>_xlfn.XLOOKUP(D6,'Plano Horas'!C:C,'Plano Horas'!P:P)</f>
        <v>3.95</v>
      </c>
      <c r="K6" s="10">
        <f t="shared" si="0"/>
        <v>67.150000000000006</v>
      </c>
    </row>
    <row r="7" spans="4:14" x14ac:dyDescent="0.25">
      <c r="D7" s="3">
        <v>1091</v>
      </c>
      <c r="E7" t="s">
        <v>212</v>
      </c>
      <c r="F7" t="s">
        <v>213</v>
      </c>
      <c r="G7">
        <v>11125</v>
      </c>
      <c r="H7">
        <f>_xlfn.XLOOKUP(D7,'Rendimentos '!B:B,'Rendimentos '!D:D)</f>
        <v>1</v>
      </c>
      <c r="I7">
        <f>_xlfn.XLOOKUP(D7,'Rendimentos '!B:B,'Rendimentos '!H:H)</f>
        <v>0.5</v>
      </c>
      <c r="J7" s="6">
        <f>_xlfn.XLOOKUP(D7,'Plano Horas'!C:C,'Plano Horas'!P:P)</f>
        <v>3.6333333333333329</v>
      </c>
      <c r="K7" s="10">
        <f t="shared" si="0"/>
        <v>1.8166666666666664</v>
      </c>
    </row>
    <row r="8" spans="4:14" x14ac:dyDescent="0.25">
      <c r="D8" s="3">
        <v>1031</v>
      </c>
      <c r="E8" t="s">
        <v>208</v>
      </c>
      <c r="F8" t="s">
        <v>214</v>
      </c>
      <c r="G8">
        <v>11225</v>
      </c>
      <c r="H8">
        <f>_xlfn.XLOOKUP(D8,'Rendimentos '!B:B,'Rendimentos '!D:D)</f>
        <v>1</v>
      </c>
      <c r="I8">
        <f>_xlfn.XLOOKUP(D8,'Rendimentos '!B:B,'Rendimentos '!H:H)</f>
        <v>17</v>
      </c>
      <c r="J8" s="6">
        <f>_xlfn.XLOOKUP(D8,'Plano Horas'!C:C,'Plano Horas'!P:P)</f>
        <v>3.95</v>
      </c>
      <c r="K8" s="10">
        <f t="shared" si="0"/>
        <v>67.150000000000006</v>
      </c>
    </row>
    <row r="9" spans="4:14" x14ac:dyDescent="0.25">
      <c r="D9" s="3">
        <v>1091</v>
      </c>
      <c r="E9" t="s">
        <v>215</v>
      </c>
      <c r="F9" t="s">
        <v>216</v>
      </c>
      <c r="G9">
        <v>11124</v>
      </c>
      <c r="H9">
        <f>_xlfn.XLOOKUP(D9,'Rendimentos '!B:B,'Rendimentos '!D:D)</f>
        <v>1</v>
      </c>
      <c r="I9">
        <f>_xlfn.XLOOKUP(D9,'Rendimentos '!B:B,'Rendimentos '!H:H)</f>
        <v>0.5</v>
      </c>
      <c r="J9" s="6">
        <f>_xlfn.XLOOKUP(D9,'Plano Horas'!C:C,'Plano Horas'!P:P)</f>
        <v>3.6333333333333329</v>
      </c>
      <c r="K9" s="10">
        <f t="shared" si="0"/>
        <v>1.8166666666666664</v>
      </c>
    </row>
    <row r="10" spans="4:14" x14ac:dyDescent="0.25">
      <c r="D10" s="3">
        <v>1091</v>
      </c>
      <c r="E10" t="s">
        <v>215</v>
      </c>
      <c r="F10" t="s">
        <v>217</v>
      </c>
      <c r="G10">
        <v>11224</v>
      </c>
      <c r="H10">
        <f>_xlfn.XLOOKUP(D10,'Rendimentos '!B:B,'Rendimentos '!D:D)</f>
        <v>1</v>
      </c>
      <c r="I10">
        <f>_xlfn.XLOOKUP(D10,'Rendimentos '!B:B,'Rendimentos '!H:H)</f>
        <v>0.5</v>
      </c>
      <c r="J10" s="6">
        <f>_xlfn.XLOOKUP(D10,'Plano Horas'!C:C,'Plano Horas'!P:P)</f>
        <v>3.6333333333333329</v>
      </c>
      <c r="K10" s="10">
        <f t="shared" si="0"/>
        <v>1.8166666666666664</v>
      </c>
    </row>
    <row r="11" spans="4:14" x14ac:dyDescent="0.25">
      <c r="D11" s="3">
        <v>1073</v>
      </c>
      <c r="E11" t="s">
        <v>218</v>
      </c>
      <c r="F11" t="s">
        <v>219</v>
      </c>
      <c r="G11">
        <v>11418</v>
      </c>
      <c r="H11">
        <f>_xlfn.XLOOKUP(D11,'Rendimentos '!B:B,'Rendimentos '!D:D)</f>
        <v>1</v>
      </c>
      <c r="I11">
        <f>_xlfn.XLOOKUP(D11,'Rendimentos '!B:B,'Rendimentos '!H:H)</f>
        <v>1.5</v>
      </c>
      <c r="J11" s="6">
        <f>_xlfn.XLOOKUP(D11,'Plano Horas'!C:C,'Plano Horas'!P:P)</f>
        <v>4.0333333333333332</v>
      </c>
      <c r="K11" s="10">
        <f t="shared" si="0"/>
        <v>6.05</v>
      </c>
    </row>
    <row r="12" spans="4:14" x14ac:dyDescent="0.25">
      <c r="D12" s="3">
        <v>1073</v>
      </c>
      <c r="E12" t="s">
        <v>218</v>
      </c>
      <c r="F12" t="s">
        <v>220</v>
      </c>
      <c r="G12">
        <v>11518</v>
      </c>
      <c r="H12">
        <f>_xlfn.XLOOKUP(D12,'Rendimentos '!B:B,'Rendimentos '!D:D)</f>
        <v>1</v>
      </c>
      <c r="I12">
        <f>_xlfn.XLOOKUP(D12,'Rendimentos '!B:B,'Rendimentos '!H:H)</f>
        <v>1.5</v>
      </c>
      <c r="J12" s="6">
        <f>_xlfn.XLOOKUP(D12,'Plano Horas'!C:C,'Plano Horas'!P:P)</f>
        <v>4.0333333333333332</v>
      </c>
      <c r="K12" s="10">
        <f t="shared" si="0"/>
        <v>6.05</v>
      </c>
    </row>
    <row r="13" spans="4:14" x14ac:dyDescent="0.25">
      <c r="D13" s="3">
        <v>1073</v>
      </c>
      <c r="E13" t="s">
        <v>218</v>
      </c>
      <c r="F13" t="s">
        <v>221</v>
      </c>
      <c r="G13">
        <v>11618</v>
      </c>
      <c r="H13">
        <f>_xlfn.XLOOKUP(D13,'Rendimentos '!B:B,'Rendimentos '!D:D)</f>
        <v>1</v>
      </c>
      <c r="I13">
        <f>_xlfn.XLOOKUP(D13,'Rendimentos '!B:B,'Rendimentos '!H:H)</f>
        <v>1.5</v>
      </c>
      <c r="J13" s="6">
        <f>_xlfn.XLOOKUP(D13,'Plano Horas'!C:C,'Plano Horas'!P:P)</f>
        <v>4.0333333333333332</v>
      </c>
      <c r="K13" s="10">
        <f t="shared" si="0"/>
        <v>6.05</v>
      </c>
    </row>
    <row r="14" spans="4:14" x14ac:dyDescent="0.25">
      <c r="D14" s="3">
        <v>1073</v>
      </c>
      <c r="E14" t="s">
        <v>218</v>
      </c>
      <c r="F14" t="s">
        <v>222</v>
      </c>
      <c r="G14">
        <v>11718</v>
      </c>
      <c r="H14">
        <f>_xlfn.XLOOKUP(D14,'Rendimentos '!B:B,'Rendimentos '!D:D)</f>
        <v>1</v>
      </c>
      <c r="I14">
        <f>_xlfn.XLOOKUP(D14,'Rendimentos '!B:B,'Rendimentos '!H:H)</f>
        <v>1.5</v>
      </c>
      <c r="J14" s="6">
        <f>_xlfn.XLOOKUP(D14,'Plano Horas'!C:C,'Plano Horas'!P:P)</f>
        <v>4.0333333333333332</v>
      </c>
      <c r="K14" s="10">
        <f t="shared" si="0"/>
        <v>6.05</v>
      </c>
    </row>
    <row r="15" spans="4:14" x14ac:dyDescent="0.25">
      <c r="D15" s="3">
        <v>1020</v>
      </c>
      <c r="E15" t="s">
        <v>223</v>
      </c>
      <c r="F15" t="s">
        <v>224</v>
      </c>
      <c r="G15">
        <v>11324</v>
      </c>
      <c r="H15">
        <f>_xlfn.XLOOKUP(D15,'Rendimentos '!B:B,'Rendimentos '!D:D)</f>
        <v>1</v>
      </c>
      <c r="I15">
        <f>_xlfn.XLOOKUP(D15,'Rendimentos '!B:B,'Rendimentos '!H:H)</f>
        <v>1.4000000000000001</v>
      </c>
      <c r="J15" s="6">
        <f>_xlfn.XLOOKUP(D15,'Plano Horas'!C:C,'Plano Horas'!P:P)</f>
        <v>4.1166666666666671</v>
      </c>
      <c r="K15" s="10">
        <f t="shared" si="0"/>
        <v>5.7633333333333345</v>
      </c>
    </row>
    <row r="16" spans="4:14" x14ac:dyDescent="0.25">
      <c r="D16" s="3">
        <v>1020</v>
      </c>
      <c r="E16" t="s">
        <v>223</v>
      </c>
      <c r="F16" t="s">
        <v>225</v>
      </c>
      <c r="G16">
        <v>11424</v>
      </c>
      <c r="H16">
        <f>_xlfn.XLOOKUP(D16,'Rendimentos '!B:B,'Rendimentos '!D:D)</f>
        <v>1</v>
      </c>
      <c r="I16">
        <f>_xlfn.XLOOKUP(D16,'Rendimentos '!B:B,'Rendimentos '!H:H)</f>
        <v>1.4000000000000001</v>
      </c>
      <c r="J16" s="6">
        <f>_xlfn.XLOOKUP(D16,'Plano Horas'!C:C,'Plano Horas'!P:P)</f>
        <v>4.1166666666666671</v>
      </c>
      <c r="K16" s="10">
        <f t="shared" si="0"/>
        <v>5.7633333333333345</v>
      </c>
    </row>
    <row r="17" spans="4:11" x14ac:dyDescent="0.25">
      <c r="D17" s="3">
        <v>1020</v>
      </c>
      <c r="E17" t="s">
        <v>223</v>
      </c>
      <c r="F17" t="s">
        <v>226</v>
      </c>
      <c r="G17">
        <v>11524</v>
      </c>
      <c r="H17">
        <f>_xlfn.XLOOKUP(D17,'Rendimentos '!B:B,'Rendimentos '!D:D)</f>
        <v>1</v>
      </c>
      <c r="I17">
        <f>_xlfn.XLOOKUP(D17,'Rendimentos '!B:B,'Rendimentos '!H:H)</f>
        <v>1.4000000000000001</v>
      </c>
      <c r="J17" s="6">
        <f>_xlfn.XLOOKUP(D17,'Plano Horas'!C:C,'Plano Horas'!P:P)</f>
        <v>4.1166666666666671</v>
      </c>
      <c r="K17" s="10">
        <f t="shared" si="0"/>
        <v>5.7633333333333345</v>
      </c>
    </row>
    <row r="18" spans="4:11" x14ac:dyDescent="0.25">
      <c r="D18" s="3">
        <v>1091</v>
      </c>
      <c r="E18" t="s">
        <v>215</v>
      </c>
      <c r="F18" t="s">
        <v>227</v>
      </c>
      <c r="G18">
        <v>2120</v>
      </c>
      <c r="H18">
        <f>_xlfn.XLOOKUP(D18,'Rendimentos '!B:B,'Rendimentos '!D:D)</f>
        <v>1</v>
      </c>
      <c r="I18">
        <f>_xlfn.XLOOKUP(D18,'Rendimentos '!B:B,'Rendimentos '!H:H)</f>
        <v>0.5</v>
      </c>
      <c r="J18" s="6">
        <f>_xlfn.XLOOKUP(D18,'Plano Horas'!C:C,'Plano Horas'!P:P)</f>
        <v>3.6333333333333329</v>
      </c>
      <c r="K18" s="10">
        <f t="shared" si="0"/>
        <v>1.8166666666666664</v>
      </c>
    </row>
    <row r="19" spans="4:11" x14ac:dyDescent="0.25">
      <c r="D19" s="3">
        <v>1091</v>
      </c>
      <c r="E19" t="s">
        <v>215</v>
      </c>
      <c r="F19" t="s">
        <v>228</v>
      </c>
      <c r="G19">
        <v>2220</v>
      </c>
      <c r="H19">
        <f>_xlfn.XLOOKUP(D19,'Rendimentos '!B:B,'Rendimentos '!D:D)</f>
        <v>1</v>
      </c>
      <c r="I19">
        <f>_xlfn.XLOOKUP(D19,'Rendimentos '!B:B,'Rendimentos '!H:H)</f>
        <v>0.5</v>
      </c>
      <c r="J19" s="6">
        <f>_xlfn.XLOOKUP(D19,'Plano Horas'!C:C,'Plano Horas'!P:P)</f>
        <v>3.6333333333333329</v>
      </c>
      <c r="K19" s="10">
        <f t="shared" si="0"/>
        <v>1.8166666666666664</v>
      </c>
    </row>
    <row r="20" spans="4:11" x14ac:dyDescent="0.25">
      <c r="D20" s="3">
        <v>1091</v>
      </c>
      <c r="E20" t="s">
        <v>215</v>
      </c>
      <c r="F20" t="s">
        <v>229</v>
      </c>
      <c r="G20">
        <v>2320</v>
      </c>
      <c r="H20">
        <f>_xlfn.XLOOKUP(D20,'Rendimentos '!B:B,'Rendimentos '!D:D)</f>
        <v>1</v>
      </c>
      <c r="I20">
        <f>_xlfn.XLOOKUP(D20,'Rendimentos '!B:B,'Rendimentos '!H:H)</f>
        <v>0.5</v>
      </c>
      <c r="J20" s="6">
        <f>_xlfn.XLOOKUP(D20,'Plano Horas'!C:C,'Plano Horas'!P:P)</f>
        <v>3.6333333333333329</v>
      </c>
      <c r="K20" s="10">
        <f t="shared" si="0"/>
        <v>1.8166666666666664</v>
      </c>
    </row>
    <row r="21" spans="4:11" x14ac:dyDescent="0.25">
      <c r="D21" s="3">
        <v>1091</v>
      </c>
      <c r="E21" t="s">
        <v>215</v>
      </c>
      <c r="F21" t="s">
        <v>230</v>
      </c>
      <c r="G21" t="s">
        <v>230</v>
      </c>
      <c r="H21">
        <f>_xlfn.XLOOKUP(D21,'Rendimentos '!B:B,'Rendimentos '!D:D)</f>
        <v>1</v>
      </c>
      <c r="I21">
        <f>_xlfn.XLOOKUP(D21,'Rendimentos '!B:B,'Rendimentos '!H:H)</f>
        <v>0.5</v>
      </c>
      <c r="J21" s="6">
        <f>_xlfn.XLOOKUP(D21,'Plano Horas'!C:C,'Plano Horas'!P:P)</f>
        <v>3.6333333333333329</v>
      </c>
      <c r="K21" s="10">
        <f t="shared" si="0"/>
        <v>1.8166666666666664</v>
      </c>
    </row>
  </sheetData>
  <mergeCells count="1">
    <mergeCell ref="L2:M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5A1D-C5B4-42D8-AE20-229EE724BC8E}">
  <dimension ref="B2:Q44"/>
  <sheetViews>
    <sheetView showGridLines="0" topLeftCell="A2" workbookViewId="0">
      <selection activeCell="O2" sqref="F1:O1048576"/>
    </sheetView>
  </sheetViews>
  <sheetFormatPr defaultRowHeight="15" x14ac:dyDescent="0.25"/>
  <cols>
    <col min="1" max="1" width="1.28515625" customWidth="1"/>
    <col min="2" max="2" width="17.28515625" bestFit="1" customWidth="1"/>
    <col min="3" max="3" width="12.7109375" style="3" bestFit="1" customWidth="1"/>
    <col min="4" max="4" width="31.85546875" bestFit="1" customWidth="1"/>
    <col min="5" max="5" width="6.85546875" bestFit="1" customWidth="1"/>
    <col min="6" max="6" width="20.5703125" bestFit="1" customWidth="1"/>
    <col min="7" max="7" width="14.42578125" style="23" bestFit="1" customWidth="1"/>
    <col min="8" max="8" width="13.42578125" bestFit="1" customWidth="1"/>
    <col min="9" max="9" width="13.85546875" bestFit="1" customWidth="1"/>
    <col min="10" max="10" width="12.140625" bestFit="1" customWidth="1"/>
    <col min="11" max="11" width="21.7109375" bestFit="1" customWidth="1"/>
    <col min="12" max="12" width="12.140625" bestFit="1" customWidth="1"/>
    <col min="13" max="13" width="16.140625" bestFit="1" customWidth="1"/>
    <col min="14" max="14" width="10.5703125" bestFit="1" customWidth="1"/>
    <col min="15" max="15" width="13.5703125" bestFit="1" customWidth="1"/>
    <col min="16" max="16" width="37.28515625" style="24" bestFit="1" customWidth="1"/>
  </cols>
  <sheetData>
    <row r="2" spans="2:16" x14ac:dyDescent="0.25">
      <c r="B2" s="11" t="s">
        <v>202</v>
      </c>
      <c r="C2" s="12" t="s">
        <v>231</v>
      </c>
      <c r="D2" s="11" t="s">
        <v>232</v>
      </c>
      <c r="E2" s="11" t="s">
        <v>233</v>
      </c>
      <c r="F2" s="11" t="s">
        <v>234</v>
      </c>
      <c r="G2" s="13" t="s">
        <v>235</v>
      </c>
      <c r="H2" s="11" t="s">
        <v>236</v>
      </c>
      <c r="I2" s="11" t="s">
        <v>237</v>
      </c>
      <c r="J2" s="11" t="s">
        <v>238</v>
      </c>
      <c r="K2" s="11" t="s">
        <v>239</v>
      </c>
      <c r="L2" s="11" t="s">
        <v>240</v>
      </c>
      <c r="M2" s="11" t="s">
        <v>241</v>
      </c>
      <c r="N2" s="11" t="s">
        <v>242</v>
      </c>
      <c r="O2" s="11" t="s">
        <v>243</v>
      </c>
      <c r="P2" s="14" t="s">
        <v>244</v>
      </c>
    </row>
    <row r="3" spans="2:16" x14ac:dyDescent="0.25">
      <c r="B3" s="15"/>
      <c r="C3" s="16"/>
      <c r="D3" s="15"/>
      <c r="E3" s="16" t="s">
        <v>245</v>
      </c>
      <c r="F3" s="16" t="s">
        <v>246</v>
      </c>
      <c r="G3" s="17" t="s">
        <v>247</v>
      </c>
      <c r="H3" s="16" t="s">
        <v>248</v>
      </c>
      <c r="I3" s="16" t="s">
        <v>248</v>
      </c>
      <c r="J3" s="16" t="s">
        <v>248</v>
      </c>
      <c r="K3" s="16" t="s">
        <v>248</v>
      </c>
      <c r="L3" s="16" t="s">
        <v>248</v>
      </c>
      <c r="M3" s="16" t="s">
        <v>248</v>
      </c>
      <c r="N3" s="16" t="s">
        <v>247</v>
      </c>
      <c r="O3" s="16" t="s">
        <v>248</v>
      </c>
      <c r="P3" s="18" t="s">
        <v>246</v>
      </c>
    </row>
    <row r="4" spans="2:16" hidden="1" x14ac:dyDescent="0.25">
      <c r="E4" s="3"/>
      <c r="F4" s="19">
        <v>0.33333333333333331</v>
      </c>
      <c r="G4" s="20"/>
      <c r="H4" s="19">
        <v>6.25E-2</v>
      </c>
      <c r="I4" s="19"/>
      <c r="J4" s="19">
        <v>6.9444444444444441E-3</v>
      </c>
      <c r="K4" s="19">
        <v>6.9444444444444441E-3</v>
      </c>
      <c r="L4" s="19">
        <v>4.1666666666666664E-2</v>
      </c>
      <c r="M4" s="19">
        <v>2.0833333333333332E-2</v>
      </c>
      <c r="N4" s="19">
        <v>0</v>
      </c>
      <c r="O4" s="19">
        <v>0</v>
      </c>
      <c r="P4" s="21"/>
    </row>
    <row r="5" spans="2:16" x14ac:dyDescent="0.25">
      <c r="B5" t="s">
        <v>249</v>
      </c>
      <c r="C5" s="3">
        <v>1001</v>
      </c>
      <c r="D5" t="s">
        <v>250</v>
      </c>
      <c r="E5" s="3">
        <v>1</v>
      </c>
      <c r="F5" s="19">
        <f>IF($E5=1,$F$4,IF($E5=2,$F$4*2,($F$4*3)-0.0001))</f>
        <v>0.33333333333333331</v>
      </c>
      <c r="G5" s="20">
        <v>0.9</v>
      </c>
      <c r="H5" s="19">
        <v>2.7777777777777776E-2</v>
      </c>
      <c r="I5" s="19"/>
      <c r="J5" s="19">
        <f>E5*$J$4</f>
        <v>6.9444444444444441E-3</v>
      </c>
      <c r="K5" s="19">
        <v>1.3888888888888888E-2</v>
      </c>
      <c r="L5" s="19">
        <f>$L$4*$E5</f>
        <v>4.1666666666666664E-2</v>
      </c>
      <c r="M5" s="19">
        <v>3.125E-2</v>
      </c>
      <c r="N5" s="19">
        <v>0</v>
      </c>
      <c r="O5" s="19">
        <v>0</v>
      </c>
      <c r="P5" s="21">
        <f t="shared" ref="P5:P44" si="0">((F5*24)*G5)-(SUM(H5:O5)*24)</f>
        <v>4.2833333333333332</v>
      </c>
    </row>
    <row r="6" spans="2:16" x14ac:dyDescent="0.25">
      <c r="C6" s="3">
        <v>1004</v>
      </c>
      <c r="D6" t="s">
        <v>251</v>
      </c>
      <c r="E6" s="3">
        <v>1</v>
      </c>
      <c r="F6" s="19">
        <f t="shared" ref="F6:F44" si="1">IF($E6=1,$F$4,IF($E6=2,$F$4*2,($F$4*3)-0.0001))</f>
        <v>0.33333333333333331</v>
      </c>
      <c r="G6" s="20">
        <v>0.9</v>
      </c>
      <c r="H6" s="19">
        <v>2.7777777777777776E-2</v>
      </c>
      <c r="I6" s="19"/>
      <c r="J6" s="19">
        <f t="shared" ref="J6:J30" si="2">E6*$J$4</f>
        <v>6.9444444444444441E-3</v>
      </c>
      <c r="K6" s="19">
        <v>1.3888888888888888E-2</v>
      </c>
      <c r="L6" s="19">
        <f t="shared" ref="L6:L30" si="3">$L$4*$E6</f>
        <v>4.1666666666666664E-2</v>
      </c>
      <c r="M6" s="19">
        <v>3.125E-2</v>
      </c>
      <c r="N6" s="19">
        <v>0</v>
      </c>
      <c r="O6" s="19">
        <v>0</v>
      </c>
      <c r="P6" s="21">
        <f>((F6*24)*G6)-(SUM(H6:O6)*24)</f>
        <v>4.2833333333333332</v>
      </c>
    </row>
    <row r="7" spans="2:16" x14ac:dyDescent="0.25">
      <c r="C7" s="3">
        <v>1005</v>
      </c>
      <c r="D7" t="s">
        <v>252</v>
      </c>
      <c r="E7" s="3">
        <v>1</v>
      </c>
      <c r="F7" s="19">
        <f t="shared" si="1"/>
        <v>0.33333333333333331</v>
      </c>
      <c r="G7" s="20">
        <v>0.9</v>
      </c>
      <c r="H7" s="19">
        <v>2.7777777777777776E-2</v>
      </c>
      <c r="I7" s="19"/>
      <c r="J7" s="19">
        <f t="shared" si="2"/>
        <v>6.9444444444444441E-3</v>
      </c>
      <c r="K7" s="19">
        <v>1.3888888888888888E-2</v>
      </c>
      <c r="L7" s="19">
        <f t="shared" si="3"/>
        <v>4.1666666666666664E-2</v>
      </c>
      <c r="M7" s="19">
        <v>3.125E-2</v>
      </c>
      <c r="N7" s="19">
        <v>0</v>
      </c>
      <c r="O7" s="19">
        <v>0</v>
      </c>
      <c r="P7" s="21">
        <f t="shared" si="0"/>
        <v>4.2833333333333332</v>
      </c>
    </row>
    <row r="8" spans="2:16" x14ac:dyDescent="0.25">
      <c r="C8" s="3">
        <v>1011</v>
      </c>
      <c r="D8" t="s">
        <v>253</v>
      </c>
      <c r="E8" s="3">
        <v>1</v>
      </c>
      <c r="F8" s="19">
        <f t="shared" si="1"/>
        <v>0.33333333333333331</v>
      </c>
      <c r="G8" s="20">
        <v>0.9</v>
      </c>
      <c r="H8" s="19">
        <v>2.7777777777777776E-2</v>
      </c>
      <c r="I8" s="19"/>
      <c r="J8" s="19">
        <f>E8*$J$4</f>
        <v>6.9444444444444441E-3</v>
      </c>
      <c r="K8" s="19">
        <v>1.3888888888888888E-2</v>
      </c>
      <c r="L8" s="19">
        <f>$L$4*$E8</f>
        <v>4.1666666666666664E-2</v>
      </c>
      <c r="M8" s="19">
        <v>3.125E-2</v>
      </c>
      <c r="N8" s="19">
        <v>0</v>
      </c>
      <c r="O8" s="19">
        <v>0</v>
      </c>
      <c r="P8" s="21">
        <f t="shared" si="0"/>
        <v>4.2833333333333332</v>
      </c>
    </row>
    <row r="9" spans="2:16" x14ac:dyDescent="0.25">
      <c r="C9" s="3">
        <v>1013</v>
      </c>
      <c r="D9" t="s">
        <v>254</v>
      </c>
      <c r="E9" s="3">
        <v>1</v>
      </c>
      <c r="F9" s="19">
        <f t="shared" si="1"/>
        <v>0.33333333333333331</v>
      </c>
      <c r="G9" s="20">
        <v>0.85</v>
      </c>
      <c r="H9" s="19">
        <v>2.7777777777777776E-2</v>
      </c>
      <c r="I9" s="19"/>
      <c r="J9" s="19">
        <f t="shared" si="2"/>
        <v>6.9444444444444441E-3</v>
      </c>
      <c r="K9" s="19">
        <v>1.3888888888888888E-2</v>
      </c>
      <c r="L9" s="19">
        <f t="shared" si="3"/>
        <v>4.1666666666666664E-2</v>
      </c>
      <c r="M9" s="19">
        <v>3.125E-2</v>
      </c>
      <c r="N9" s="19">
        <v>0</v>
      </c>
      <c r="O9" s="19">
        <v>0</v>
      </c>
      <c r="P9" s="21">
        <f t="shared" si="0"/>
        <v>3.8833333333333333</v>
      </c>
    </row>
    <row r="10" spans="2:16" x14ac:dyDescent="0.25">
      <c r="C10" s="3">
        <v>1014</v>
      </c>
      <c r="D10" t="s">
        <v>255</v>
      </c>
      <c r="E10" s="3">
        <v>1</v>
      </c>
      <c r="F10" s="19">
        <f t="shared" si="1"/>
        <v>0.33333333333333331</v>
      </c>
      <c r="G10" s="20">
        <v>0.85</v>
      </c>
      <c r="H10" s="19">
        <v>2.7777777777777776E-2</v>
      </c>
      <c r="I10" s="19"/>
      <c r="J10" s="19">
        <f t="shared" si="2"/>
        <v>6.9444444444444441E-3</v>
      </c>
      <c r="K10" s="19">
        <v>1.3888888888888888E-2</v>
      </c>
      <c r="L10" s="19">
        <f t="shared" si="3"/>
        <v>4.1666666666666664E-2</v>
      </c>
      <c r="M10" s="19">
        <v>3.125E-2</v>
      </c>
      <c r="N10" s="19">
        <v>0</v>
      </c>
      <c r="O10" s="19">
        <v>0</v>
      </c>
      <c r="P10" s="21">
        <f t="shared" si="0"/>
        <v>3.8833333333333333</v>
      </c>
    </row>
    <row r="11" spans="2:16" x14ac:dyDescent="0.25">
      <c r="C11" s="3">
        <v>1015</v>
      </c>
      <c r="D11" t="s">
        <v>256</v>
      </c>
      <c r="E11" s="3">
        <v>1</v>
      </c>
      <c r="F11" s="19">
        <f t="shared" si="1"/>
        <v>0.33333333333333331</v>
      </c>
      <c r="G11" s="20">
        <v>0.85</v>
      </c>
      <c r="H11" s="19">
        <v>2.7777777777777776E-2</v>
      </c>
      <c r="I11" s="19"/>
      <c r="J11" s="19">
        <f t="shared" si="2"/>
        <v>6.9444444444444441E-3</v>
      </c>
      <c r="K11" s="19">
        <v>1.3888888888888888E-2</v>
      </c>
      <c r="L11" s="19">
        <f t="shared" si="3"/>
        <v>4.1666666666666664E-2</v>
      </c>
      <c r="M11" s="19">
        <v>3.125E-2</v>
      </c>
      <c r="N11" s="19">
        <v>0</v>
      </c>
      <c r="O11" s="19">
        <v>0</v>
      </c>
      <c r="P11" s="21">
        <f t="shared" si="0"/>
        <v>3.8833333333333333</v>
      </c>
    </row>
    <row r="12" spans="2:16" x14ac:dyDescent="0.25">
      <c r="C12" s="3">
        <v>1016</v>
      </c>
      <c r="D12" t="s">
        <v>257</v>
      </c>
      <c r="E12" s="3">
        <v>1</v>
      </c>
      <c r="F12" s="19">
        <f t="shared" si="1"/>
        <v>0.33333333333333331</v>
      </c>
      <c r="G12" s="20">
        <v>0.85</v>
      </c>
      <c r="H12" s="19">
        <v>2.7777777777777776E-2</v>
      </c>
      <c r="I12" s="19"/>
      <c r="J12" s="19">
        <f t="shared" si="2"/>
        <v>6.9444444444444441E-3</v>
      </c>
      <c r="K12" s="19">
        <v>1.3888888888888888E-2</v>
      </c>
      <c r="L12" s="19">
        <f t="shared" si="3"/>
        <v>4.1666666666666664E-2</v>
      </c>
      <c r="M12" s="19">
        <v>3.125E-2</v>
      </c>
      <c r="N12" s="19">
        <v>0</v>
      </c>
      <c r="O12" s="19">
        <v>0</v>
      </c>
      <c r="P12" s="21">
        <f t="shared" si="0"/>
        <v>3.8833333333333333</v>
      </c>
    </row>
    <row r="13" spans="2:16" x14ac:dyDescent="0.25">
      <c r="C13" s="3">
        <v>1024</v>
      </c>
      <c r="D13" t="s">
        <v>258</v>
      </c>
      <c r="E13" s="3">
        <v>1</v>
      </c>
      <c r="F13" s="19">
        <f t="shared" si="1"/>
        <v>0.33333333333333331</v>
      </c>
      <c r="G13" s="20">
        <v>0.85</v>
      </c>
      <c r="H13" s="19">
        <v>2.7777777777777776E-2</v>
      </c>
      <c r="I13" s="19"/>
      <c r="J13" s="19">
        <f t="shared" si="2"/>
        <v>6.9444444444444441E-3</v>
      </c>
      <c r="K13" s="19">
        <v>1.3888888888888888E-2</v>
      </c>
      <c r="L13" s="19">
        <f t="shared" si="3"/>
        <v>4.1666666666666664E-2</v>
      </c>
      <c r="M13" s="19">
        <v>3.125E-2</v>
      </c>
      <c r="N13" s="19">
        <v>0</v>
      </c>
      <c r="O13" s="19">
        <v>0</v>
      </c>
      <c r="P13" s="21">
        <f t="shared" si="0"/>
        <v>3.8833333333333333</v>
      </c>
    </row>
    <row r="14" spans="2:16" x14ac:dyDescent="0.25">
      <c r="C14" s="3">
        <v>1026</v>
      </c>
      <c r="D14" t="s">
        <v>259</v>
      </c>
      <c r="E14" s="3">
        <v>1</v>
      </c>
      <c r="F14" s="19">
        <f t="shared" si="1"/>
        <v>0.33333333333333331</v>
      </c>
      <c r="G14" s="20">
        <v>0.85</v>
      </c>
      <c r="H14" s="19">
        <v>2.7777777777777776E-2</v>
      </c>
      <c r="I14" s="19"/>
      <c r="J14" s="19">
        <f t="shared" si="2"/>
        <v>6.9444444444444441E-3</v>
      </c>
      <c r="K14" s="19">
        <v>1.3888888888888888E-2</v>
      </c>
      <c r="L14" s="19">
        <f t="shared" si="3"/>
        <v>4.1666666666666664E-2</v>
      </c>
      <c r="M14" s="19">
        <v>3.125E-2</v>
      </c>
      <c r="N14" s="19">
        <v>0</v>
      </c>
      <c r="O14" s="19">
        <v>6.9444444444444441E-3</v>
      </c>
      <c r="P14" s="21">
        <f t="shared" si="0"/>
        <v>3.7166666666666668</v>
      </c>
    </row>
    <row r="15" spans="2:16" x14ac:dyDescent="0.25">
      <c r="C15" s="3">
        <v>1028</v>
      </c>
      <c r="D15" t="s">
        <v>260</v>
      </c>
      <c r="E15" s="3">
        <v>1</v>
      </c>
      <c r="F15" s="19">
        <f t="shared" si="1"/>
        <v>0.33333333333333331</v>
      </c>
      <c r="G15" s="20">
        <v>0.85</v>
      </c>
      <c r="H15" s="19">
        <v>2.7777777777777776E-2</v>
      </c>
      <c r="I15" s="19"/>
      <c r="J15" s="19">
        <f t="shared" si="2"/>
        <v>6.9444444444444441E-3</v>
      </c>
      <c r="K15" s="19">
        <v>1.3888888888888888E-2</v>
      </c>
      <c r="L15" s="19">
        <f t="shared" si="3"/>
        <v>4.1666666666666664E-2</v>
      </c>
      <c r="M15" s="19">
        <v>3.125E-2</v>
      </c>
      <c r="N15" s="19">
        <v>0</v>
      </c>
      <c r="O15" s="19">
        <v>6.9444444444444441E-3</v>
      </c>
      <c r="P15" s="21">
        <f t="shared" si="0"/>
        <v>3.7166666666666668</v>
      </c>
    </row>
    <row r="16" spans="2:16" x14ac:dyDescent="0.25">
      <c r="C16" s="3">
        <v>1029</v>
      </c>
      <c r="D16" t="s">
        <v>261</v>
      </c>
      <c r="E16" s="3">
        <v>1</v>
      </c>
      <c r="F16" s="19">
        <f t="shared" si="1"/>
        <v>0.33333333333333331</v>
      </c>
      <c r="G16" s="20">
        <v>0.85</v>
      </c>
      <c r="H16" s="19">
        <v>2.7777777777777776E-2</v>
      </c>
      <c r="I16" s="19"/>
      <c r="J16" s="19">
        <f t="shared" si="2"/>
        <v>6.9444444444444441E-3</v>
      </c>
      <c r="K16" s="19">
        <v>1.3888888888888888E-2</v>
      </c>
      <c r="L16" s="19">
        <f t="shared" si="3"/>
        <v>4.1666666666666664E-2</v>
      </c>
      <c r="M16" s="19">
        <v>3.125E-2</v>
      </c>
      <c r="N16" s="19">
        <v>0</v>
      </c>
      <c r="O16" s="19">
        <v>6.9444444444444441E-3</v>
      </c>
      <c r="P16" s="21">
        <f t="shared" si="0"/>
        <v>3.7166666666666668</v>
      </c>
    </row>
    <row r="17" spans="2:17" x14ac:dyDescent="0.25">
      <c r="C17" s="3">
        <v>1033</v>
      </c>
      <c r="D17" t="s">
        <v>262</v>
      </c>
      <c r="E17" s="3">
        <v>1</v>
      </c>
      <c r="F17" s="19">
        <f t="shared" si="1"/>
        <v>0.33333333333333331</v>
      </c>
      <c r="G17" s="20">
        <v>0.85</v>
      </c>
      <c r="H17" s="19">
        <v>2.7777777777777776E-2</v>
      </c>
      <c r="I17" s="19"/>
      <c r="J17" s="19">
        <f t="shared" si="2"/>
        <v>6.9444444444444441E-3</v>
      </c>
      <c r="K17" s="19">
        <v>1.3888888888888888E-2</v>
      </c>
      <c r="L17" s="19">
        <f t="shared" si="3"/>
        <v>4.1666666666666664E-2</v>
      </c>
      <c r="M17" s="19">
        <v>3.125E-2</v>
      </c>
      <c r="N17" s="19">
        <v>0</v>
      </c>
      <c r="O17" s="19">
        <v>6.9444444444444441E-3</v>
      </c>
      <c r="P17" s="21">
        <f t="shared" si="0"/>
        <v>3.7166666666666668</v>
      </c>
    </row>
    <row r="18" spans="2:17" x14ac:dyDescent="0.25">
      <c r="C18" s="3">
        <v>1052</v>
      </c>
      <c r="D18" t="s">
        <v>263</v>
      </c>
      <c r="E18" s="3">
        <v>1</v>
      </c>
      <c r="F18" s="19">
        <f t="shared" si="1"/>
        <v>0.33333333333333331</v>
      </c>
      <c r="G18" s="20">
        <v>0.85</v>
      </c>
      <c r="H18" s="19">
        <v>2.7777777777777776E-2</v>
      </c>
      <c r="I18" s="19"/>
      <c r="J18" s="19">
        <f t="shared" si="2"/>
        <v>6.9444444444444441E-3</v>
      </c>
      <c r="K18" s="19">
        <v>1.3888888888888888E-2</v>
      </c>
      <c r="L18" s="19">
        <f t="shared" si="3"/>
        <v>4.1666666666666664E-2</v>
      </c>
      <c r="M18" s="19">
        <v>3.125E-2</v>
      </c>
      <c r="N18" s="19">
        <v>0</v>
      </c>
      <c r="O18" s="19">
        <v>0</v>
      </c>
      <c r="P18" s="21">
        <f t="shared" si="0"/>
        <v>3.8833333333333333</v>
      </c>
    </row>
    <row r="19" spans="2:17" x14ac:dyDescent="0.25">
      <c r="C19" s="3">
        <v>1061</v>
      </c>
      <c r="D19" t="s">
        <v>264</v>
      </c>
      <c r="E19" s="3">
        <v>1</v>
      </c>
      <c r="F19" s="19">
        <f t="shared" si="1"/>
        <v>0.33333333333333331</v>
      </c>
      <c r="G19" s="20">
        <v>0.85</v>
      </c>
      <c r="H19" s="19">
        <v>2.7777777777777776E-2</v>
      </c>
      <c r="I19" s="19"/>
      <c r="J19" s="19">
        <f t="shared" si="2"/>
        <v>6.9444444444444441E-3</v>
      </c>
      <c r="K19" s="19">
        <v>1.3888888888888888E-2</v>
      </c>
      <c r="L19" s="19">
        <f t="shared" si="3"/>
        <v>4.1666666666666664E-2</v>
      </c>
      <c r="M19" s="19">
        <v>3.125E-2</v>
      </c>
      <c r="N19" s="19">
        <v>0</v>
      </c>
      <c r="O19" s="19">
        <v>0</v>
      </c>
      <c r="P19" s="21">
        <f t="shared" si="0"/>
        <v>3.8833333333333333</v>
      </c>
    </row>
    <row r="20" spans="2:17" x14ac:dyDescent="0.25">
      <c r="B20" t="s">
        <v>265</v>
      </c>
      <c r="C20" s="3">
        <v>1020</v>
      </c>
      <c r="D20" t="s">
        <v>266</v>
      </c>
      <c r="E20" s="3">
        <v>1</v>
      </c>
      <c r="F20" s="19">
        <f t="shared" si="1"/>
        <v>0.33333333333333331</v>
      </c>
      <c r="G20" s="20">
        <v>0.9</v>
      </c>
      <c r="H20" s="19">
        <v>2.7777777777777776E-2</v>
      </c>
      <c r="I20" s="19"/>
      <c r="J20" s="19">
        <f t="shared" si="2"/>
        <v>6.9444444444444441E-3</v>
      </c>
      <c r="K20" s="19">
        <v>1.3888888888888888E-2</v>
      </c>
      <c r="L20" s="19">
        <f t="shared" si="3"/>
        <v>4.1666666666666664E-2</v>
      </c>
      <c r="M20" s="19">
        <v>3.125E-2</v>
      </c>
      <c r="N20" s="19">
        <v>0</v>
      </c>
      <c r="O20" s="19">
        <v>6.9444444444444441E-3</v>
      </c>
      <c r="P20" s="21">
        <f t="shared" si="0"/>
        <v>4.1166666666666671</v>
      </c>
    </row>
    <row r="21" spans="2:17" x14ac:dyDescent="0.25">
      <c r="C21" s="3">
        <v>1022</v>
      </c>
      <c r="D21" t="s">
        <v>267</v>
      </c>
      <c r="E21" s="3">
        <v>1</v>
      </c>
      <c r="F21" s="19">
        <f t="shared" si="1"/>
        <v>0.33333333333333331</v>
      </c>
      <c r="G21" s="20">
        <v>0.9</v>
      </c>
      <c r="H21" s="19">
        <v>2.7777777777777776E-2</v>
      </c>
      <c r="I21" s="19"/>
      <c r="J21" s="19">
        <f t="shared" si="2"/>
        <v>6.9444444444444441E-3</v>
      </c>
      <c r="K21" s="19">
        <v>1.3888888888888888E-2</v>
      </c>
      <c r="L21" s="19">
        <f t="shared" si="3"/>
        <v>4.1666666666666664E-2</v>
      </c>
      <c r="M21" s="19">
        <v>3.125E-2</v>
      </c>
      <c r="N21" s="19">
        <v>0</v>
      </c>
      <c r="O21" s="19">
        <v>1.0416666666666666E-2</v>
      </c>
      <c r="P21" s="21">
        <f t="shared" si="0"/>
        <v>4.0333333333333332</v>
      </c>
    </row>
    <row r="22" spans="2:17" x14ac:dyDescent="0.25">
      <c r="C22" s="3">
        <v>1031</v>
      </c>
      <c r="D22" t="s">
        <v>268</v>
      </c>
      <c r="E22" s="3">
        <v>1</v>
      </c>
      <c r="F22" s="19">
        <f t="shared" si="1"/>
        <v>0.33333333333333331</v>
      </c>
      <c r="G22" s="20">
        <v>0.9</v>
      </c>
      <c r="H22" s="19">
        <v>2.7777777777777776E-2</v>
      </c>
      <c r="I22" s="19"/>
      <c r="J22" s="19">
        <f t="shared" si="2"/>
        <v>6.9444444444444441E-3</v>
      </c>
      <c r="K22" s="19">
        <v>1.3888888888888888E-2</v>
      </c>
      <c r="L22" s="19">
        <f t="shared" si="3"/>
        <v>4.1666666666666664E-2</v>
      </c>
      <c r="M22" s="19">
        <v>3.125E-2</v>
      </c>
      <c r="N22" s="19">
        <v>0</v>
      </c>
      <c r="O22" s="19">
        <v>1.3888888888888888E-2</v>
      </c>
      <c r="P22" s="21">
        <f t="shared" si="0"/>
        <v>3.95</v>
      </c>
      <c r="Q22" s="22"/>
    </row>
    <row r="23" spans="2:17" x14ac:dyDescent="0.25">
      <c r="C23" s="3">
        <v>1032</v>
      </c>
      <c r="D23" t="s">
        <v>269</v>
      </c>
      <c r="E23" s="3">
        <v>1</v>
      </c>
      <c r="F23" s="19">
        <f t="shared" si="1"/>
        <v>0.33333333333333331</v>
      </c>
      <c r="G23" s="20">
        <v>0.9</v>
      </c>
      <c r="H23" s="19">
        <v>2.7777777777777776E-2</v>
      </c>
      <c r="I23" s="19"/>
      <c r="J23" s="19">
        <f t="shared" si="2"/>
        <v>6.9444444444444441E-3</v>
      </c>
      <c r="K23" s="19">
        <v>1.3888888888888888E-2</v>
      </c>
      <c r="L23" s="19">
        <f t="shared" si="3"/>
        <v>4.1666666666666664E-2</v>
      </c>
      <c r="M23" s="19">
        <v>3.125E-2</v>
      </c>
      <c r="N23" s="19">
        <v>0</v>
      </c>
      <c r="O23" s="19">
        <v>1.0416666666666666E-2</v>
      </c>
      <c r="P23" s="21">
        <f t="shared" si="0"/>
        <v>4.0333333333333332</v>
      </c>
    </row>
    <row r="24" spans="2:17" x14ac:dyDescent="0.25">
      <c r="C24" s="3">
        <v>1073</v>
      </c>
      <c r="D24" t="s">
        <v>49</v>
      </c>
      <c r="E24" s="3">
        <v>1</v>
      </c>
      <c r="F24" s="19">
        <f t="shared" si="1"/>
        <v>0.33333333333333331</v>
      </c>
      <c r="G24" s="20">
        <v>0.9</v>
      </c>
      <c r="H24" s="19">
        <v>2.7777777777777776E-2</v>
      </c>
      <c r="I24" s="19"/>
      <c r="J24" s="19">
        <f t="shared" si="2"/>
        <v>6.9444444444444441E-3</v>
      </c>
      <c r="K24" s="19">
        <v>1.3888888888888888E-2</v>
      </c>
      <c r="L24" s="19">
        <f t="shared" si="3"/>
        <v>4.1666666666666664E-2</v>
      </c>
      <c r="M24" s="19">
        <v>3.125E-2</v>
      </c>
      <c r="N24" s="19">
        <v>0</v>
      </c>
      <c r="O24" s="19">
        <v>1.0416666666666666E-2</v>
      </c>
      <c r="P24" s="21">
        <f t="shared" si="0"/>
        <v>4.0333333333333332</v>
      </c>
    </row>
    <row r="25" spans="2:17" x14ac:dyDescent="0.25">
      <c r="C25" s="3">
        <v>1035</v>
      </c>
      <c r="D25" t="s">
        <v>270</v>
      </c>
      <c r="E25" s="3">
        <v>1</v>
      </c>
      <c r="F25" s="19">
        <f t="shared" si="1"/>
        <v>0.33333333333333331</v>
      </c>
      <c r="G25" s="20">
        <v>0.9</v>
      </c>
      <c r="H25" s="19">
        <v>0</v>
      </c>
      <c r="I25" s="19"/>
      <c r="J25" s="19">
        <f t="shared" si="2"/>
        <v>6.9444444444444441E-3</v>
      </c>
      <c r="K25" s="19">
        <v>1.3888888888888888E-2</v>
      </c>
      <c r="L25" s="19">
        <f t="shared" si="3"/>
        <v>4.1666666666666664E-2</v>
      </c>
      <c r="M25" s="19">
        <v>3.125E-2</v>
      </c>
      <c r="N25" s="19">
        <v>0</v>
      </c>
      <c r="O25" s="19">
        <v>0</v>
      </c>
      <c r="P25" s="21">
        <f t="shared" si="0"/>
        <v>4.95</v>
      </c>
    </row>
    <row r="26" spans="2:17" x14ac:dyDescent="0.25">
      <c r="C26" s="3">
        <v>1050</v>
      </c>
      <c r="D26" t="s">
        <v>271</v>
      </c>
      <c r="E26" s="3">
        <v>1</v>
      </c>
      <c r="F26" s="19">
        <f t="shared" si="1"/>
        <v>0.33333333333333331</v>
      </c>
      <c r="G26" s="20">
        <v>0.9</v>
      </c>
      <c r="H26" s="19">
        <v>0</v>
      </c>
      <c r="I26" s="19"/>
      <c r="J26" s="19">
        <f t="shared" si="2"/>
        <v>6.9444444444444441E-3</v>
      </c>
      <c r="K26" s="19">
        <v>1.3888888888888888E-2</v>
      </c>
      <c r="L26" s="19">
        <f t="shared" si="3"/>
        <v>4.1666666666666664E-2</v>
      </c>
      <c r="M26" s="19">
        <v>3.125E-2</v>
      </c>
      <c r="N26" s="19">
        <v>0</v>
      </c>
      <c r="O26" s="19">
        <v>0</v>
      </c>
      <c r="P26" s="21">
        <f t="shared" si="0"/>
        <v>4.95</v>
      </c>
    </row>
    <row r="27" spans="2:17" x14ac:dyDescent="0.25">
      <c r="C27" s="3">
        <v>1078</v>
      </c>
      <c r="E27" s="3">
        <v>1</v>
      </c>
      <c r="F27" s="19">
        <f t="shared" si="1"/>
        <v>0.33333333333333331</v>
      </c>
      <c r="G27" s="20">
        <v>0.8</v>
      </c>
      <c r="H27" s="19">
        <v>2.7777777777777776E-2</v>
      </c>
      <c r="I27" s="19"/>
      <c r="J27" s="19">
        <f t="shared" si="2"/>
        <v>6.9444444444444441E-3</v>
      </c>
      <c r="K27" s="19">
        <v>1.3888888888888888E-2</v>
      </c>
      <c r="L27" s="19">
        <f t="shared" si="3"/>
        <v>4.1666666666666664E-2</v>
      </c>
      <c r="M27" s="19">
        <v>3.125E-2</v>
      </c>
      <c r="N27" s="19">
        <v>0</v>
      </c>
      <c r="O27" s="19">
        <v>1.0416666666666666E-2</v>
      </c>
      <c r="P27" s="21">
        <f t="shared" si="0"/>
        <v>3.2333333333333334</v>
      </c>
    </row>
    <row r="28" spans="2:17" x14ac:dyDescent="0.25">
      <c r="C28" s="3">
        <v>1071</v>
      </c>
      <c r="E28" s="3">
        <v>1</v>
      </c>
      <c r="F28" s="19">
        <f t="shared" si="1"/>
        <v>0.33333333333333331</v>
      </c>
      <c r="G28" s="20">
        <v>0.85</v>
      </c>
      <c r="H28" s="19">
        <v>2.7777777777777776E-2</v>
      </c>
      <c r="I28" s="19"/>
      <c r="J28" s="19">
        <f t="shared" si="2"/>
        <v>6.9444444444444441E-3</v>
      </c>
      <c r="K28" s="19">
        <v>1.3888888888888888E-2</v>
      </c>
      <c r="L28" s="19">
        <f t="shared" si="3"/>
        <v>4.1666666666666664E-2</v>
      </c>
      <c r="M28" s="19">
        <v>3.125E-2</v>
      </c>
      <c r="N28" s="19">
        <v>0</v>
      </c>
      <c r="O28" s="19">
        <v>1.0416666666666666E-2</v>
      </c>
      <c r="P28" s="21">
        <f t="shared" si="0"/>
        <v>3.6333333333333329</v>
      </c>
    </row>
    <row r="29" spans="2:17" x14ac:dyDescent="0.25">
      <c r="C29" s="3">
        <v>1090</v>
      </c>
      <c r="E29" s="3">
        <v>1</v>
      </c>
      <c r="F29" s="19">
        <f t="shared" si="1"/>
        <v>0.33333333333333331</v>
      </c>
      <c r="G29" s="20">
        <v>0.85</v>
      </c>
      <c r="H29" s="19">
        <v>2.7777777777777776E-2</v>
      </c>
      <c r="I29" s="19"/>
      <c r="J29" s="19">
        <f t="shared" si="2"/>
        <v>6.9444444444444441E-3</v>
      </c>
      <c r="K29" s="19">
        <v>1.3888888888888888E-2</v>
      </c>
      <c r="L29" s="19">
        <f t="shared" si="3"/>
        <v>4.1666666666666664E-2</v>
      </c>
      <c r="M29" s="19">
        <v>3.125E-2</v>
      </c>
      <c r="N29" s="19">
        <v>0</v>
      </c>
      <c r="O29" s="19">
        <v>1.0416666666666666E-2</v>
      </c>
      <c r="P29" s="21">
        <f t="shared" si="0"/>
        <v>3.6333333333333329</v>
      </c>
    </row>
    <row r="30" spans="2:17" x14ac:dyDescent="0.25">
      <c r="C30" s="3">
        <v>1091</v>
      </c>
      <c r="E30" s="3">
        <v>1</v>
      </c>
      <c r="F30" s="19">
        <f t="shared" si="1"/>
        <v>0.33333333333333331</v>
      </c>
      <c r="G30" s="20">
        <v>0.85</v>
      </c>
      <c r="H30" s="19">
        <v>2.7777777777777776E-2</v>
      </c>
      <c r="I30" s="19"/>
      <c r="J30" s="19">
        <f t="shared" si="2"/>
        <v>6.9444444444444441E-3</v>
      </c>
      <c r="K30" s="19">
        <v>1.3888888888888888E-2</v>
      </c>
      <c r="L30" s="19">
        <f t="shared" si="3"/>
        <v>4.1666666666666664E-2</v>
      </c>
      <c r="M30" s="19">
        <v>3.125E-2</v>
      </c>
      <c r="N30" s="19">
        <v>0</v>
      </c>
      <c r="O30" s="19">
        <v>1.0416666666666666E-2</v>
      </c>
      <c r="P30" s="21">
        <f t="shared" si="0"/>
        <v>3.6333333333333329</v>
      </c>
    </row>
    <row r="31" spans="2:17" x14ac:dyDescent="0.25">
      <c r="B31" t="s">
        <v>272</v>
      </c>
      <c r="C31" s="3" t="s">
        <v>73</v>
      </c>
      <c r="D31" t="s">
        <v>74</v>
      </c>
      <c r="E31" s="3">
        <v>1</v>
      </c>
      <c r="F31" s="19">
        <f t="shared" si="1"/>
        <v>0.33333333333333331</v>
      </c>
      <c r="G31" s="20"/>
      <c r="H31" s="19"/>
      <c r="I31" s="19"/>
      <c r="J31" s="19"/>
      <c r="K31" s="19"/>
      <c r="L31" s="19"/>
      <c r="M31" s="19"/>
      <c r="N31" s="19"/>
      <c r="O31" s="19"/>
      <c r="P31" s="21">
        <f t="shared" si="0"/>
        <v>0</v>
      </c>
    </row>
    <row r="32" spans="2:17" x14ac:dyDescent="0.25">
      <c r="C32" s="3" t="s">
        <v>77</v>
      </c>
      <c r="D32" t="s">
        <v>78</v>
      </c>
      <c r="E32" s="3">
        <v>1</v>
      </c>
      <c r="F32" s="19">
        <f t="shared" si="1"/>
        <v>0.33333333333333331</v>
      </c>
      <c r="G32" s="20"/>
      <c r="H32" s="19"/>
      <c r="I32" s="19"/>
      <c r="J32" s="19"/>
      <c r="K32" s="19"/>
      <c r="L32" s="19"/>
      <c r="M32" s="19"/>
      <c r="N32" s="19"/>
      <c r="O32" s="19"/>
      <c r="P32" s="21">
        <f t="shared" si="0"/>
        <v>0</v>
      </c>
    </row>
    <row r="33" spans="3:16" x14ac:dyDescent="0.25">
      <c r="C33" s="3" t="s">
        <v>80</v>
      </c>
      <c r="D33" t="s">
        <v>273</v>
      </c>
      <c r="E33" s="3">
        <v>1</v>
      </c>
      <c r="F33" s="19">
        <f t="shared" si="1"/>
        <v>0.33333333333333331</v>
      </c>
      <c r="G33" s="20">
        <v>0.85</v>
      </c>
      <c r="H33" s="19">
        <v>2.7777777777777776E-2</v>
      </c>
      <c r="I33" s="19"/>
      <c r="J33" s="19"/>
      <c r="K33" s="19"/>
      <c r="L33" s="19">
        <v>4.1666666666666664E-2</v>
      </c>
      <c r="M33" s="19"/>
      <c r="N33" s="19"/>
      <c r="O33" s="19"/>
      <c r="P33" s="21">
        <f t="shared" si="0"/>
        <v>5.1333333333333329</v>
      </c>
    </row>
    <row r="34" spans="3:16" x14ac:dyDescent="0.25">
      <c r="C34" s="3" t="s">
        <v>84</v>
      </c>
      <c r="D34" t="s">
        <v>85</v>
      </c>
      <c r="E34" s="3">
        <v>1</v>
      </c>
      <c r="F34" s="19">
        <f t="shared" si="1"/>
        <v>0.33333333333333331</v>
      </c>
      <c r="G34" s="20"/>
      <c r="H34" s="19"/>
      <c r="I34" s="19"/>
      <c r="J34" s="19"/>
      <c r="K34" s="19"/>
      <c r="L34" s="19"/>
      <c r="M34" s="19"/>
      <c r="N34" s="19"/>
      <c r="O34" s="19"/>
      <c r="P34" s="21">
        <f t="shared" si="0"/>
        <v>0</v>
      </c>
    </row>
    <row r="35" spans="3:16" x14ac:dyDescent="0.25">
      <c r="D35" t="s">
        <v>274</v>
      </c>
      <c r="E35" s="3">
        <v>1</v>
      </c>
      <c r="F35" s="19">
        <f t="shared" si="1"/>
        <v>0.33333333333333331</v>
      </c>
      <c r="G35" s="20"/>
      <c r="H35" s="19"/>
      <c r="I35" s="19"/>
      <c r="J35" s="19"/>
      <c r="K35" s="19"/>
      <c r="L35" s="19"/>
      <c r="M35" s="19"/>
      <c r="N35" s="19"/>
      <c r="O35" s="19"/>
      <c r="P35" s="21">
        <f t="shared" si="0"/>
        <v>0</v>
      </c>
    </row>
    <row r="36" spans="3:16" x14ac:dyDescent="0.25">
      <c r="C36" s="3">
        <v>1018</v>
      </c>
      <c r="D36" t="s">
        <v>275</v>
      </c>
      <c r="E36" s="3">
        <v>1</v>
      </c>
      <c r="F36" s="19">
        <f t="shared" si="1"/>
        <v>0.33333333333333331</v>
      </c>
      <c r="G36" s="20">
        <v>0.85</v>
      </c>
      <c r="H36" s="19">
        <v>2.7777777777777776E-2</v>
      </c>
      <c r="I36" s="19"/>
      <c r="J36" s="19">
        <v>1.3888888888888888E-2</v>
      </c>
      <c r="K36" s="19">
        <v>1.3888888888888888E-2</v>
      </c>
      <c r="L36" s="19">
        <v>8.3333333333333329E-2</v>
      </c>
      <c r="M36" s="19">
        <v>3.125E-2</v>
      </c>
      <c r="N36" s="19">
        <v>0</v>
      </c>
      <c r="O36" s="19">
        <v>6.9444444444444441E-3</v>
      </c>
      <c r="P36" s="21">
        <f t="shared" si="0"/>
        <v>2.5499999999999998</v>
      </c>
    </row>
    <row r="37" spans="3:16" x14ac:dyDescent="0.25">
      <c r="C37" s="3">
        <v>4001</v>
      </c>
      <c r="D37" t="s">
        <v>276</v>
      </c>
      <c r="E37" s="3">
        <v>1</v>
      </c>
      <c r="F37" s="19">
        <f t="shared" si="1"/>
        <v>0.33333333333333331</v>
      </c>
      <c r="G37" s="20">
        <v>0.85</v>
      </c>
      <c r="H37" s="19">
        <v>0</v>
      </c>
      <c r="I37" s="19">
        <v>2.0833333333333332E-2</v>
      </c>
      <c r="J37" s="19">
        <v>2.0833333333333332E-2</v>
      </c>
      <c r="K37" s="19">
        <v>3.3333333333333333E-2</v>
      </c>
      <c r="L37" s="19">
        <v>6.25E-2</v>
      </c>
      <c r="M37" s="19">
        <v>2.4999999999999998E-2</v>
      </c>
      <c r="N37" s="19">
        <v>6.8749999999999992E-2</v>
      </c>
      <c r="O37" s="19">
        <v>4.1666666666666664E-2</v>
      </c>
      <c r="P37" s="21">
        <f t="shared" si="0"/>
        <v>0.24999999999999911</v>
      </c>
    </row>
    <row r="38" spans="3:16" x14ac:dyDescent="0.25">
      <c r="C38" s="3" t="s">
        <v>277</v>
      </c>
      <c r="D38" t="s">
        <v>278</v>
      </c>
      <c r="E38" s="3">
        <v>1</v>
      </c>
      <c r="F38" s="19">
        <f t="shared" si="1"/>
        <v>0.33333333333333331</v>
      </c>
      <c r="G38" s="20">
        <v>0.85</v>
      </c>
      <c r="H38" s="19">
        <v>2.7777777777777776E-2</v>
      </c>
      <c r="I38" s="19"/>
      <c r="J38" s="19">
        <v>6.9444444444444441E-3</v>
      </c>
      <c r="K38" s="19">
        <v>1.3888888888888888E-2</v>
      </c>
      <c r="L38" s="19">
        <v>4.1666666666666664E-2</v>
      </c>
      <c r="M38" s="19">
        <v>3.125E-2</v>
      </c>
      <c r="N38" s="19">
        <v>0</v>
      </c>
      <c r="O38" s="19">
        <v>0</v>
      </c>
      <c r="P38" s="21">
        <f t="shared" si="0"/>
        <v>3.8833333333333333</v>
      </c>
    </row>
    <row r="39" spans="3:16" x14ac:dyDescent="0.25">
      <c r="C39" s="3">
        <v>1096</v>
      </c>
      <c r="E39" s="3">
        <v>1</v>
      </c>
      <c r="F39" s="19">
        <f t="shared" si="1"/>
        <v>0.33333333333333331</v>
      </c>
      <c r="G39" s="20">
        <v>0.9</v>
      </c>
      <c r="H39" s="19">
        <v>2.7777777777777776E-2</v>
      </c>
      <c r="I39" s="19"/>
      <c r="J39" s="19">
        <f t="shared" ref="J39:J44" si="4">E39*$J$4</f>
        <v>6.9444444444444441E-3</v>
      </c>
      <c r="K39" s="19">
        <v>1.3888888888888888E-2</v>
      </c>
      <c r="L39" s="19">
        <f t="shared" ref="L39:L44" si="5">$L$4*$E39</f>
        <v>4.1666666666666664E-2</v>
      </c>
      <c r="M39" s="19">
        <v>3.125E-2</v>
      </c>
      <c r="N39" s="19">
        <v>0</v>
      </c>
      <c r="O39" s="19">
        <v>0</v>
      </c>
      <c r="P39" s="21">
        <f t="shared" si="0"/>
        <v>4.2833333333333332</v>
      </c>
    </row>
    <row r="40" spans="3:16" x14ac:dyDescent="0.25">
      <c r="C40" s="3">
        <v>1002</v>
      </c>
      <c r="E40" s="3">
        <v>1</v>
      </c>
      <c r="F40" s="19">
        <f t="shared" si="1"/>
        <v>0.33333333333333331</v>
      </c>
      <c r="G40" s="20">
        <v>0.9</v>
      </c>
      <c r="H40" s="19">
        <v>2.7777777777777776E-2</v>
      </c>
      <c r="I40" s="19"/>
      <c r="J40" s="19">
        <f t="shared" si="4"/>
        <v>6.9444444444444441E-3</v>
      </c>
      <c r="K40" s="19">
        <v>1.3888888888888888E-2</v>
      </c>
      <c r="L40" s="19">
        <f t="shared" si="5"/>
        <v>4.1666666666666664E-2</v>
      </c>
      <c r="M40" s="19">
        <v>3.125E-2</v>
      </c>
      <c r="N40" s="19">
        <v>0</v>
      </c>
      <c r="O40" s="19">
        <v>0</v>
      </c>
      <c r="P40" s="21">
        <f t="shared" si="0"/>
        <v>4.2833333333333332</v>
      </c>
    </row>
    <row r="41" spans="3:16" x14ac:dyDescent="0.25">
      <c r="C41" s="3">
        <v>1003</v>
      </c>
      <c r="E41" s="3">
        <v>1</v>
      </c>
      <c r="F41" s="19">
        <f t="shared" si="1"/>
        <v>0.33333333333333331</v>
      </c>
      <c r="G41" s="20">
        <v>0.9</v>
      </c>
      <c r="H41" s="19">
        <v>2.7777777777777776E-2</v>
      </c>
      <c r="I41" s="19"/>
      <c r="J41" s="19">
        <f t="shared" si="4"/>
        <v>6.9444444444444441E-3</v>
      </c>
      <c r="K41" s="19">
        <v>1.3888888888888888E-2</v>
      </c>
      <c r="L41" s="19">
        <f t="shared" si="5"/>
        <v>4.1666666666666664E-2</v>
      </c>
      <c r="M41" s="19">
        <v>3.125E-2</v>
      </c>
      <c r="N41" s="19">
        <v>0</v>
      </c>
      <c r="O41" s="19">
        <v>0</v>
      </c>
      <c r="P41" s="21">
        <f t="shared" si="0"/>
        <v>4.2833333333333332</v>
      </c>
    </row>
    <row r="42" spans="3:16" x14ac:dyDescent="0.25">
      <c r="C42" s="3">
        <v>1019</v>
      </c>
      <c r="E42" s="3">
        <v>1</v>
      </c>
      <c r="F42" s="19">
        <f t="shared" si="1"/>
        <v>0.33333333333333331</v>
      </c>
      <c r="G42" s="20">
        <v>0.9</v>
      </c>
      <c r="H42" s="19">
        <v>2.7777777777777776E-2</v>
      </c>
      <c r="I42" s="19"/>
      <c r="J42" s="19">
        <f t="shared" si="4"/>
        <v>6.9444444444444441E-3</v>
      </c>
      <c r="K42" s="19">
        <v>1.3888888888888888E-2</v>
      </c>
      <c r="L42" s="19">
        <f t="shared" si="5"/>
        <v>4.1666666666666664E-2</v>
      </c>
      <c r="M42" s="19">
        <v>3.125E-2</v>
      </c>
      <c r="N42" s="19">
        <v>0</v>
      </c>
      <c r="O42" s="19">
        <v>0</v>
      </c>
      <c r="P42" s="21">
        <f t="shared" si="0"/>
        <v>4.2833333333333332</v>
      </c>
    </row>
    <row r="43" spans="3:16" x14ac:dyDescent="0.25">
      <c r="C43" s="3">
        <v>1081</v>
      </c>
      <c r="E43" s="3">
        <v>1</v>
      </c>
      <c r="F43" s="19">
        <f t="shared" si="1"/>
        <v>0.33333333333333331</v>
      </c>
      <c r="G43" s="20">
        <v>0.9</v>
      </c>
      <c r="H43" s="19">
        <v>2.7777777777777776E-2</v>
      </c>
      <c r="I43" s="19"/>
      <c r="J43" s="19">
        <f t="shared" si="4"/>
        <v>6.9444444444444441E-3</v>
      </c>
      <c r="K43" s="19">
        <v>1.3888888888888888E-2</v>
      </c>
      <c r="L43" s="19">
        <f t="shared" si="5"/>
        <v>4.1666666666666664E-2</v>
      </c>
      <c r="M43" s="19">
        <v>3.125E-2</v>
      </c>
      <c r="N43" s="19">
        <v>0</v>
      </c>
      <c r="O43" s="19">
        <v>0</v>
      </c>
      <c r="P43" s="21">
        <f t="shared" si="0"/>
        <v>4.2833333333333332</v>
      </c>
    </row>
    <row r="44" spans="3:16" x14ac:dyDescent="0.25">
      <c r="C44" s="3">
        <v>1079</v>
      </c>
      <c r="E44" s="3">
        <v>1</v>
      </c>
      <c r="F44" s="19">
        <f t="shared" si="1"/>
        <v>0.33333333333333331</v>
      </c>
      <c r="G44" s="20">
        <v>0.8</v>
      </c>
      <c r="H44" s="19">
        <v>2.7777777777777776E-2</v>
      </c>
      <c r="I44" s="19"/>
      <c r="J44" s="19">
        <f t="shared" si="4"/>
        <v>6.9444444444444441E-3</v>
      </c>
      <c r="K44" s="19">
        <v>1.3888888888888888E-2</v>
      </c>
      <c r="L44" s="19">
        <f t="shared" si="5"/>
        <v>4.1666666666666664E-2</v>
      </c>
      <c r="M44" s="19">
        <v>3.125E-2</v>
      </c>
      <c r="N44" s="19">
        <v>0</v>
      </c>
      <c r="O44" s="19">
        <v>1.3888888888888888E-2</v>
      </c>
      <c r="P44" s="21">
        <f t="shared" si="0"/>
        <v>3.1500000000000004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7EFC-AD8C-4426-9B30-831A34BFD2EF}">
  <dimension ref="B1:U135"/>
  <sheetViews>
    <sheetView showGridLines="0" workbookViewId="0">
      <selection activeCell="B2" sqref="B2"/>
    </sheetView>
  </sheetViews>
  <sheetFormatPr defaultRowHeight="15" x14ac:dyDescent="0.25"/>
  <cols>
    <col min="1" max="1" width="3" customWidth="1"/>
    <col min="2" max="2" width="13.85546875" bestFit="1" customWidth="1"/>
    <col min="3" max="3" width="38.5703125" bestFit="1" customWidth="1"/>
    <col min="4" max="4" width="10.7109375" style="4" bestFit="1" customWidth="1"/>
    <col min="5" max="5" width="13.42578125" bestFit="1" customWidth="1"/>
    <col min="6" max="6" width="7.7109375" bestFit="1" customWidth="1"/>
    <col min="7" max="7" width="14.42578125" hidden="1" customWidth="1"/>
    <col min="8" max="8" width="19.7109375" bestFit="1" customWidth="1"/>
    <col min="9" max="9" width="0" hidden="1" customWidth="1"/>
    <col min="19" max="19" width="17.28515625" bestFit="1" customWidth="1"/>
    <col min="20" max="20" width="33.85546875" bestFit="1" customWidth="1"/>
    <col min="21" max="21" width="12" bestFit="1" customWidth="1"/>
  </cols>
  <sheetData>
    <row r="1" spans="2:21" x14ac:dyDescent="0.25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S1" t="s">
        <v>8</v>
      </c>
      <c r="T1" t="s">
        <v>9</v>
      </c>
      <c r="U1" t="s">
        <v>10</v>
      </c>
    </row>
    <row r="2" spans="2:21" x14ac:dyDescent="0.25">
      <c r="B2" s="3">
        <v>1001</v>
      </c>
      <c r="C2" t="s">
        <v>11</v>
      </c>
      <c r="D2" s="4">
        <v>1</v>
      </c>
      <c r="E2" t="s">
        <v>12</v>
      </c>
      <c r="F2" t="s">
        <v>13</v>
      </c>
      <c r="G2">
        <v>2.4</v>
      </c>
      <c r="H2">
        <v>2.4</v>
      </c>
      <c r="I2" s="5">
        <f>VLOOKUP(B2,S:U,3,0)</f>
        <v>1</v>
      </c>
      <c r="S2">
        <v>13</v>
      </c>
      <c r="T2" t="s">
        <v>14</v>
      </c>
      <c r="U2">
        <v>1</v>
      </c>
    </row>
    <row r="3" spans="2:21" x14ac:dyDescent="0.25">
      <c r="B3" s="3">
        <v>1004</v>
      </c>
      <c r="C3" t="s">
        <v>15</v>
      </c>
      <c r="D3" s="4">
        <v>1</v>
      </c>
      <c r="E3" t="s">
        <v>12</v>
      </c>
      <c r="F3" t="s">
        <v>13</v>
      </c>
      <c r="G3">
        <v>1.7000000000000002</v>
      </c>
      <c r="H3">
        <v>3</v>
      </c>
      <c r="I3" s="5">
        <f>VLOOKUP(B3,S:U,3,0)</f>
        <v>2</v>
      </c>
      <c r="S3">
        <v>15</v>
      </c>
      <c r="T3" t="s">
        <v>16</v>
      </c>
      <c r="U3">
        <v>1</v>
      </c>
    </row>
    <row r="4" spans="2:21" x14ac:dyDescent="0.25">
      <c r="B4" s="3">
        <v>1005</v>
      </c>
      <c r="C4" t="s">
        <v>17</v>
      </c>
      <c r="D4" s="4">
        <v>1</v>
      </c>
      <c r="E4" t="s">
        <v>12</v>
      </c>
      <c r="F4" t="s">
        <v>13</v>
      </c>
      <c r="G4">
        <v>3.3000000000000003</v>
      </c>
      <c r="H4">
        <v>3.3000000000000003</v>
      </c>
      <c r="I4" s="5">
        <f>VLOOKUP(B4,S:U,3,0)</f>
        <v>1</v>
      </c>
      <c r="S4">
        <v>22</v>
      </c>
      <c r="T4" t="s">
        <v>18</v>
      </c>
      <c r="U4">
        <v>1</v>
      </c>
    </row>
    <row r="5" spans="2:21" x14ac:dyDescent="0.25">
      <c r="B5" s="3">
        <v>1011</v>
      </c>
      <c r="C5" t="s">
        <v>19</v>
      </c>
      <c r="D5" s="4">
        <v>1</v>
      </c>
      <c r="E5" t="s">
        <v>20</v>
      </c>
      <c r="F5" t="s">
        <v>13</v>
      </c>
      <c r="G5">
        <v>1.1000000000000001</v>
      </c>
      <c r="H5">
        <v>0.5</v>
      </c>
      <c r="I5" s="5">
        <f>VLOOKUP(B5,S:U,3,0)</f>
        <v>0.59375</v>
      </c>
      <c r="M5">
        <v>5424</v>
      </c>
      <c r="S5">
        <v>29</v>
      </c>
      <c r="T5" t="s">
        <v>21</v>
      </c>
      <c r="U5">
        <v>1</v>
      </c>
    </row>
    <row r="6" spans="2:21" x14ac:dyDescent="0.25">
      <c r="B6" s="3">
        <v>1013</v>
      </c>
      <c r="C6" t="s">
        <v>22</v>
      </c>
      <c r="D6" s="4">
        <v>1</v>
      </c>
      <c r="E6" t="s">
        <v>12</v>
      </c>
      <c r="F6" t="s">
        <v>13</v>
      </c>
      <c r="G6">
        <v>1.4000000000000001</v>
      </c>
      <c r="H6">
        <v>1.1000000000000001</v>
      </c>
      <c r="I6" s="5">
        <f>VLOOKUP(B6,S:U,3,0)</f>
        <v>1.1000000000000008</v>
      </c>
      <c r="M6">
        <v>5395</v>
      </c>
      <c r="S6">
        <v>1001</v>
      </c>
      <c r="T6" t="s">
        <v>23</v>
      </c>
      <c r="U6">
        <v>1</v>
      </c>
    </row>
    <row r="7" spans="2:21" x14ac:dyDescent="0.25">
      <c r="B7" s="3">
        <v>1014</v>
      </c>
      <c r="C7" t="s">
        <v>24</v>
      </c>
      <c r="D7" s="4">
        <v>1</v>
      </c>
      <c r="E7" t="s">
        <v>25</v>
      </c>
      <c r="F7" t="s">
        <v>13</v>
      </c>
      <c r="G7">
        <v>1.5</v>
      </c>
      <c r="H7">
        <v>1.5</v>
      </c>
      <c r="I7" s="5">
        <f>VLOOKUP(B7,S:U,3,0)</f>
        <v>1.5</v>
      </c>
      <c r="M7">
        <v>5335</v>
      </c>
      <c r="S7">
        <v>1002</v>
      </c>
      <c r="T7" t="s">
        <v>26</v>
      </c>
      <c r="U7">
        <v>1.2571428571428576</v>
      </c>
    </row>
    <row r="8" spans="2:21" x14ac:dyDescent="0.25">
      <c r="B8" s="3">
        <v>1015</v>
      </c>
      <c r="C8" t="s">
        <v>27</v>
      </c>
      <c r="D8" s="4">
        <v>1</v>
      </c>
      <c r="E8" t="s">
        <v>25</v>
      </c>
      <c r="F8" t="s">
        <v>13</v>
      </c>
      <c r="G8">
        <v>2.2000000000000002</v>
      </c>
      <c r="H8">
        <v>2.2000000000000002</v>
      </c>
      <c r="I8" s="5">
        <f>VLOOKUP(B8,S:U,3,0)</f>
        <v>1.9675675675675683</v>
      </c>
      <c r="S8">
        <v>1003</v>
      </c>
      <c r="T8" t="s">
        <v>28</v>
      </c>
      <c r="U8">
        <v>1.2142857142857146</v>
      </c>
    </row>
    <row r="9" spans="2:21" x14ac:dyDescent="0.25">
      <c r="B9" s="3">
        <v>1016</v>
      </c>
      <c r="C9" t="s">
        <v>29</v>
      </c>
      <c r="D9" s="4">
        <v>1</v>
      </c>
      <c r="E9" t="s">
        <v>12</v>
      </c>
      <c r="F9" t="s">
        <v>13</v>
      </c>
      <c r="G9">
        <v>1.5</v>
      </c>
      <c r="H9">
        <v>0.9</v>
      </c>
      <c r="I9" s="5">
        <f>VLOOKUP(B9,S:U,3,0)</f>
        <v>0.90322580645161243</v>
      </c>
      <c r="S9">
        <v>1004</v>
      </c>
      <c r="T9" t="s">
        <v>30</v>
      </c>
      <c r="U9">
        <v>2</v>
      </c>
    </row>
    <row r="10" spans="2:21" x14ac:dyDescent="0.25">
      <c r="B10" s="3">
        <v>1018</v>
      </c>
      <c r="C10" t="s">
        <v>31</v>
      </c>
      <c r="D10" s="4">
        <v>1</v>
      </c>
      <c r="E10" t="s">
        <v>20</v>
      </c>
      <c r="F10" t="s">
        <v>13</v>
      </c>
      <c r="G10">
        <v>2</v>
      </c>
      <c r="H10">
        <v>1.2</v>
      </c>
      <c r="I10" s="5">
        <f>VLOOKUP(B10,S:U,3,0)</f>
        <v>1.1333333333333333</v>
      </c>
      <c r="S10">
        <v>1005</v>
      </c>
      <c r="T10" t="s">
        <v>32</v>
      </c>
      <c r="U10">
        <v>1</v>
      </c>
    </row>
    <row r="11" spans="2:21" x14ac:dyDescent="0.25">
      <c r="B11" s="3">
        <v>1020</v>
      </c>
      <c r="C11" t="s">
        <v>33</v>
      </c>
      <c r="D11" s="4">
        <v>1</v>
      </c>
      <c r="E11" t="s">
        <v>20</v>
      </c>
      <c r="F11" t="s">
        <v>13</v>
      </c>
      <c r="G11">
        <v>1.4000000000000001</v>
      </c>
      <c r="H11">
        <v>1.4000000000000001</v>
      </c>
      <c r="I11" s="5">
        <f>VLOOKUP(B11,S:U,3,0)</f>
        <v>1</v>
      </c>
      <c r="S11">
        <v>1006</v>
      </c>
      <c r="T11" t="s">
        <v>34</v>
      </c>
      <c r="U11">
        <v>1</v>
      </c>
    </row>
    <row r="12" spans="2:21" x14ac:dyDescent="0.25">
      <c r="B12" s="3">
        <v>1022</v>
      </c>
      <c r="C12" t="s">
        <v>35</v>
      </c>
      <c r="D12" s="4">
        <v>1</v>
      </c>
      <c r="E12" t="s">
        <v>36</v>
      </c>
      <c r="F12" t="s">
        <v>13</v>
      </c>
      <c r="G12">
        <v>1.5</v>
      </c>
      <c r="H12">
        <v>1.5</v>
      </c>
      <c r="I12" s="5">
        <f>VLOOKUP(B12,S:U,3,0)</f>
        <v>1</v>
      </c>
      <c r="S12">
        <v>1007</v>
      </c>
      <c r="T12" t="s">
        <v>37</v>
      </c>
      <c r="U12">
        <v>1</v>
      </c>
    </row>
    <row r="13" spans="2:21" x14ac:dyDescent="0.25">
      <c r="B13" s="3">
        <v>1024</v>
      </c>
      <c r="C13" t="s">
        <v>38</v>
      </c>
      <c r="D13" s="4">
        <v>1</v>
      </c>
      <c r="E13" t="s">
        <v>39</v>
      </c>
      <c r="F13" t="s">
        <v>13</v>
      </c>
      <c r="G13">
        <v>5.1999999999999993</v>
      </c>
      <c r="H13">
        <v>5.1999999999999993</v>
      </c>
      <c r="I13" s="5">
        <f>VLOOKUP(B13,S:U,3,0)</f>
        <v>4.5777777777777793</v>
      </c>
      <c r="S13">
        <v>1008</v>
      </c>
      <c r="T13" t="s">
        <v>40</v>
      </c>
      <c r="U13">
        <v>1</v>
      </c>
    </row>
    <row r="14" spans="2:21" x14ac:dyDescent="0.25">
      <c r="B14" s="3">
        <v>1026</v>
      </c>
      <c r="C14" t="s">
        <v>41</v>
      </c>
      <c r="D14" s="4">
        <v>1</v>
      </c>
      <c r="E14" t="s">
        <v>39</v>
      </c>
      <c r="F14" t="s">
        <v>13</v>
      </c>
      <c r="G14">
        <v>3.3000000000000003</v>
      </c>
      <c r="H14">
        <v>4</v>
      </c>
      <c r="I14" s="5">
        <f>VLOOKUP(B14,S:U,3,0)</f>
        <v>4</v>
      </c>
      <c r="S14">
        <v>1009</v>
      </c>
      <c r="T14" t="s">
        <v>42</v>
      </c>
      <c r="U14">
        <v>1</v>
      </c>
    </row>
    <row r="15" spans="2:21" x14ac:dyDescent="0.25">
      <c r="B15" s="3">
        <v>1028</v>
      </c>
      <c r="C15" t="s">
        <v>43</v>
      </c>
      <c r="D15" s="4">
        <v>1</v>
      </c>
      <c r="E15" t="s">
        <v>39</v>
      </c>
      <c r="F15" t="s">
        <v>13</v>
      </c>
      <c r="G15">
        <v>3.9</v>
      </c>
      <c r="H15">
        <v>4</v>
      </c>
      <c r="I15" s="5">
        <f>VLOOKUP(B15,S:U,3,0)</f>
        <v>3.5555555555555554</v>
      </c>
      <c r="S15">
        <v>1010</v>
      </c>
      <c r="T15" t="s">
        <v>44</v>
      </c>
      <c r="U15">
        <v>1</v>
      </c>
    </row>
    <row r="16" spans="2:21" x14ac:dyDescent="0.25">
      <c r="B16" s="3">
        <v>1029</v>
      </c>
      <c r="C16" t="s">
        <v>45</v>
      </c>
      <c r="D16" s="4">
        <v>1</v>
      </c>
      <c r="E16" t="s">
        <v>39</v>
      </c>
      <c r="F16" t="s">
        <v>13</v>
      </c>
      <c r="G16">
        <v>4.5999999999999996</v>
      </c>
      <c r="H16">
        <v>4</v>
      </c>
      <c r="I16" s="5">
        <f>VLOOKUP(B16,S:U,3,0)</f>
        <v>3.9090909090909092</v>
      </c>
      <c r="S16">
        <v>1011</v>
      </c>
      <c r="T16" t="s">
        <v>46</v>
      </c>
      <c r="U16">
        <v>0.59375</v>
      </c>
    </row>
    <row r="17" spans="2:21" x14ac:dyDescent="0.25">
      <c r="B17" s="3">
        <v>1031</v>
      </c>
      <c r="C17" t="s">
        <v>47</v>
      </c>
      <c r="D17" s="4">
        <v>1</v>
      </c>
      <c r="E17" t="s">
        <v>39</v>
      </c>
      <c r="F17" t="s">
        <v>13</v>
      </c>
      <c r="G17">
        <v>4.5999999999999996</v>
      </c>
      <c r="H17">
        <v>17</v>
      </c>
      <c r="I17" s="5">
        <f>VLOOKUP(B17,S:U,3,0)</f>
        <v>20.642857142857142</v>
      </c>
      <c r="S17">
        <v>1012</v>
      </c>
      <c r="T17" t="s">
        <v>48</v>
      </c>
      <c r="U17">
        <v>1</v>
      </c>
    </row>
    <row r="18" spans="2:21" x14ac:dyDescent="0.25">
      <c r="B18" s="3">
        <v>1073</v>
      </c>
      <c r="C18" t="s">
        <v>49</v>
      </c>
      <c r="D18" s="4">
        <v>1</v>
      </c>
      <c r="E18" t="s">
        <v>39</v>
      </c>
      <c r="F18" t="s">
        <v>13</v>
      </c>
      <c r="G18">
        <v>8.6</v>
      </c>
      <c r="H18">
        <v>1.5</v>
      </c>
      <c r="I18" s="5">
        <f>VLOOKUP(B18,S:U,3,0)</f>
        <v>1.1666666666666667</v>
      </c>
      <c r="S18">
        <v>1013</v>
      </c>
      <c r="T18" t="s">
        <v>50</v>
      </c>
      <c r="U18">
        <v>1.1000000000000008</v>
      </c>
    </row>
    <row r="19" spans="2:21" x14ac:dyDescent="0.25">
      <c r="B19" s="3">
        <v>1032</v>
      </c>
      <c r="C19" t="s">
        <v>51</v>
      </c>
      <c r="D19" s="4">
        <v>1</v>
      </c>
      <c r="E19" t="s">
        <v>39</v>
      </c>
      <c r="F19" t="s">
        <v>13</v>
      </c>
      <c r="G19">
        <v>8.6</v>
      </c>
      <c r="H19">
        <v>15</v>
      </c>
      <c r="I19" s="5">
        <f>VLOOKUP(B19,S:U,3,0)</f>
        <v>22.025217391304349</v>
      </c>
      <c r="S19">
        <v>1014</v>
      </c>
      <c r="T19" t="s">
        <v>52</v>
      </c>
      <c r="U19">
        <v>1.5</v>
      </c>
    </row>
    <row r="20" spans="2:21" x14ac:dyDescent="0.25">
      <c r="B20" s="3">
        <v>1033</v>
      </c>
      <c r="C20" t="s">
        <v>53</v>
      </c>
      <c r="D20" s="4">
        <v>1</v>
      </c>
      <c r="E20" t="s">
        <v>20</v>
      </c>
      <c r="F20" t="s">
        <v>13</v>
      </c>
      <c r="G20">
        <v>0.4</v>
      </c>
      <c r="H20">
        <v>0.8</v>
      </c>
      <c r="I20" s="5">
        <f>VLOOKUP(B20,S:U,3,0)</f>
        <v>0.81000000000000028</v>
      </c>
      <c r="S20">
        <v>1015</v>
      </c>
      <c r="T20" t="s">
        <v>54</v>
      </c>
      <c r="U20">
        <v>1.9675675675675683</v>
      </c>
    </row>
    <row r="21" spans="2:21" x14ac:dyDescent="0.25">
      <c r="B21" s="3">
        <v>1035</v>
      </c>
      <c r="C21" t="s">
        <v>55</v>
      </c>
      <c r="D21" s="4">
        <v>1</v>
      </c>
      <c r="E21" t="s">
        <v>56</v>
      </c>
      <c r="F21" t="s">
        <v>13</v>
      </c>
      <c r="G21">
        <v>0.5</v>
      </c>
      <c r="H21">
        <v>0.5</v>
      </c>
      <c r="I21" s="5">
        <f>VLOOKUP(B21,S:U,3,0)</f>
        <v>0.92000000000000015</v>
      </c>
      <c r="S21">
        <v>1016</v>
      </c>
      <c r="T21" t="s">
        <v>57</v>
      </c>
      <c r="U21">
        <v>0.90322580645161243</v>
      </c>
    </row>
    <row r="22" spans="2:21" x14ac:dyDescent="0.25">
      <c r="B22" s="3">
        <v>1050</v>
      </c>
      <c r="C22" t="s">
        <v>58</v>
      </c>
      <c r="D22" s="4">
        <v>1</v>
      </c>
      <c r="E22" t="s">
        <v>20</v>
      </c>
      <c r="F22" t="s">
        <v>13</v>
      </c>
      <c r="G22">
        <v>0.5</v>
      </c>
      <c r="H22">
        <v>0.5</v>
      </c>
      <c r="I22" s="5">
        <f>VLOOKUP(B22,S:U,3,0)</f>
        <v>0.55882352941176472</v>
      </c>
      <c r="S22">
        <v>1017</v>
      </c>
      <c r="T22" t="s">
        <v>59</v>
      </c>
      <c r="U22">
        <v>1</v>
      </c>
    </row>
    <row r="23" spans="2:21" x14ac:dyDescent="0.25">
      <c r="B23" s="3">
        <v>1052</v>
      </c>
      <c r="C23" t="s">
        <v>60</v>
      </c>
      <c r="D23" s="4">
        <v>1</v>
      </c>
      <c r="E23" t="s">
        <v>20</v>
      </c>
      <c r="F23" t="s">
        <v>13</v>
      </c>
      <c r="G23">
        <v>3.8000000000000003</v>
      </c>
      <c r="H23">
        <v>6</v>
      </c>
      <c r="I23" s="5">
        <f>VLOOKUP(B23,S:U,3,0)</f>
        <v>3.1111111111111112</v>
      </c>
      <c r="S23">
        <v>1018</v>
      </c>
      <c r="T23" t="s">
        <v>61</v>
      </c>
      <c r="U23">
        <v>1.1333333333333333</v>
      </c>
    </row>
    <row r="24" spans="2:21" x14ac:dyDescent="0.25">
      <c r="B24" s="3">
        <v>1061</v>
      </c>
      <c r="C24" t="s">
        <v>62</v>
      </c>
      <c r="D24" s="4">
        <v>1</v>
      </c>
      <c r="E24" t="s">
        <v>63</v>
      </c>
      <c r="F24" t="s">
        <v>13</v>
      </c>
      <c r="G24">
        <v>2.2000000000000002</v>
      </c>
      <c r="H24">
        <v>2.2000000000000002</v>
      </c>
      <c r="I24" s="5">
        <f>VLOOKUP(B24,S:U,3,0)</f>
        <v>1.342857142857143</v>
      </c>
      <c r="S24">
        <v>1019</v>
      </c>
      <c r="T24" t="s">
        <v>64</v>
      </c>
      <c r="U24">
        <v>1</v>
      </c>
    </row>
    <row r="25" spans="2:21" x14ac:dyDescent="0.25">
      <c r="B25" s="3">
        <v>1071</v>
      </c>
      <c r="C25" t="s">
        <v>65</v>
      </c>
      <c r="D25" s="4">
        <v>1</v>
      </c>
      <c r="E25" t="s">
        <v>39</v>
      </c>
      <c r="F25" t="s">
        <v>13</v>
      </c>
      <c r="G25">
        <v>4.5999999999999996</v>
      </c>
      <c r="H25">
        <v>4</v>
      </c>
      <c r="I25" s="5">
        <f>VLOOKUP(B25,S:U,3,0)</f>
        <v>4</v>
      </c>
      <c r="S25">
        <v>1020</v>
      </c>
      <c r="T25" t="s">
        <v>66</v>
      </c>
      <c r="U25">
        <v>1</v>
      </c>
    </row>
    <row r="26" spans="2:21" x14ac:dyDescent="0.25">
      <c r="B26" s="3">
        <v>1078</v>
      </c>
      <c r="C26" t="s">
        <v>67</v>
      </c>
      <c r="D26" s="4">
        <v>1</v>
      </c>
      <c r="E26" t="s">
        <v>39</v>
      </c>
      <c r="F26" t="s">
        <v>13</v>
      </c>
      <c r="H26">
        <v>19</v>
      </c>
      <c r="I26" s="5">
        <f>VLOOKUP(B26,S:U,3,0)</f>
        <v>18.600000000000001</v>
      </c>
      <c r="S26">
        <v>1022</v>
      </c>
      <c r="T26" t="s">
        <v>68</v>
      </c>
      <c r="U26">
        <v>1</v>
      </c>
    </row>
    <row r="27" spans="2:21" x14ac:dyDescent="0.25">
      <c r="B27" s="3">
        <v>1090</v>
      </c>
      <c r="C27" t="s">
        <v>69</v>
      </c>
      <c r="D27" s="4">
        <v>1</v>
      </c>
      <c r="E27" t="s">
        <v>39</v>
      </c>
      <c r="F27" t="s">
        <v>13</v>
      </c>
      <c r="H27">
        <v>5</v>
      </c>
      <c r="I27" s="5">
        <f>VLOOKUP(B27,S:U,3,0)</f>
        <v>5.375</v>
      </c>
      <c r="S27">
        <v>1023</v>
      </c>
      <c r="T27" t="s">
        <v>70</v>
      </c>
      <c r="U27">
        <v>1</v>
      </c>
    </row>
    <row r="28" spans="2:21" x14ac:dyDescent="0.25">
      <c r="B28" s="3">
        <v>1091</v>
      </c>
      <c r="C28" t="s">
        <v>71</v>
      </c>
      <c r="D28" s="4">
        <v>1</v>
      </c>
      <c r="E28" t="s">
        <v>39</v>
      </c>
      <c r="F28" t="s">
        <v>13</v>
      </c>
      <c r="H28">
        <v>0.5</v>
      </c>
      <c r="I28" s="5">
        <f>VLOOKUP(B28,S:U,3,0)</f>
        <v>2.2000000000000002</v>
      </c>
      <c r="S28">
        <v>1024</v>
      </c>
      <c r="T28" t="s">
        <v>72</v>
      </c>
      <c r="U28">
        <v>4.5777777777777793</v>
      </c>
    </row>
    <row r="29" spans="2:21" x14ac:dyDescent="0.25">
      <c r="B29" s="3" t="s">
        <v>73</v>
      </c>
      <c r="C29" t="s">
        <v>74</v>
      </c>
      <c r="D29" s="4">
        <v>1</v>
      </c>
      <c r="E29" t="s">
        <v>75</v>
      </c>
      <c r="F29" t="s">
        <v>13</v>
      </c>
      <c r="G29">
        <v>0</v>
      </c>
      <c r="H29">
        <v>0.2</v>
      </c>
      <c r="I29" s="5" t="e">
        <f>VLOOKUP(B29,S:U,3,0)</f>
        <v>#N/A</v>
      </c>
      <c r="S29">
        <v>1025</v>
      </c>
      <c r="T29" t="s">
        <v>76</v>
      </c>
      <c r="U29">
        <v>1</v>
      </c>
    </row>
    <row r="30" spans="2:21" x14ac:dyDescent="0.25">
      <c r="B30" s="3" t="s">
        <v>77</v>
      </c>
      <c r="C30" t="s">
        <v>78</v>
      </c>
      <c r="D30" s="4">
        <v>1</v>
      </c>
      <c r="E30" t="s">
        <v>75</v>
      </c>
      <c r="F30" t="s">
        <v>13</v>
      </c>
      <c r="G30">
        <v>0</v>
      </c>
      <c r="H30">
        <v>0.4</v>
      </c>
      <c r="I30" s="5" t="e">
        <f>VLOOKUP(B30,S:U,3,0)</f>
        <v>#N/A</v>
      </c>
      <c r="S30">
        <v>1026</v>
      </c>
      <c r="T30" t="s">
        <v>79</v>
      </c>
      <c r="U30">
        <v>4</v>
      </c>
    </row>
    <row r="31" spans="2:21" x14ac:dyDescent="0.25">
      <c r="B31" s="3" t="s">
        <v>80</v>
      </c>
      <c r="C31" t="s">
        <v>81</v>
      </c>
      <c r="D31" s="4">
        <v>1</v>
      </c>
      <c r="E31" t="s">
        <v>75</v>
      </c>
      <c r="F31" t="s">
        <v>82</v>
      </c>
      <c r="G31">
        <v>0</v>
      </c>
      <c r="H31">
        <v>15</v>
      </c>
      <c r="I31" s="5" t="e">
        <f>VLOOKUP(B31,S:U,3,0)</f>
        <v>#N/A</v>
      </c>
      <c r="S31">
        <v>1027</v>
      </c>
      <c r="T31" t="s">
        <v>83</v>
      </c>
      <c r="U31">
        <v>1</v>
      </c>
    </row>
    <row r="32" spans="2:21" x14ac:dyDescent="0.25">
      <c r="B32" s="3" t="s">
        <v>84</v>
      </c>
      <c r="C32" t="s">
        <v>85</v>
      </c>
      <c r="D32" s="4">
        <v>1</v>
      </c>
      <c r="E32" t="s">
        <v>75</v>
      </c>
      <c r="F32" t="s">
        <v>13</v>
      </c>
      <c r="G32">
        <v>0</v>
      </c>
      <c r="H32">
        <v>0.1</v>
      </c>
      <c r="I32" s="5" t="e">
        <f>VLOOKUP(B32,S:U,3,0)</f>
        <v>#N/A</v>
      </c>
      <c r="S32">
        <v>1028</v>
      </c>
      <c r="T32" t="s">
        <v>86</v>
      </c>
      <c r="U32">
        <v>3.5555555555555554</v>
      </c>
    </row>
    <row r="33" spans="2:21" x14ac:dyDescent="0.25">
      <c r="B33" s="3" t="s">
        <v>87</v>
      </c>
      <c r="C33" t="s">
        <v>88</v>
      </c>
      <c r="D33" s="4">
        <v>1</v>
      </c>
      <c r="E33" t="s">
        <v>75</v>
      </c>
      <c r="F33" t="s">
        <v>89</v>
      </c>
      <c r="H33">
        <v>6</v>
      </c>
      <c r="I33" s="5" t="e">
        <f>VLOOKUP(B33,S:U,3,0)</f>
        <v>#N/A</v>
      </c>
      <c r="S33">
        <v>1029</v>
      </c>
      <c r="T33" t="s">
        <v>90</v>
      </c>
      <c r="U33">
        <v>3.9090909090909092</v>
      </c>
    </row>
    <row r="34" spans="2:21" x14ac:dyDescent="0.25">
      <c r="B34" s="3">
        <v>1096</v>
      </c>
      <c r="C34" t="s">
        <v>91</v>
      </c>
      <c r="D34" s="4">
        <v>1</v>
      </c>
      <c r="E34" t="s">
        <v>39</v>
      </c>
      <c r="F34" t="s">
        <v>13</v>
      </c>
      <c r="H34">
        <v>20.5</v>
      </c>
      <c r="I34" s="5">
        <f>VLOOKUP(B34,S:U,3,0)</f>
        <v>20.5</v>
      </c>
      <c r="S34">
        <v>1030</v>
      </c>
      <c r="T34" t="s">
        <v>92</v>
      </c>
      <c r="U34">
        <v>1</v>
      </c>
    </row>
    <row r="35" spans="2:21" x14ac:dyDescent="0.25">
      <c r="B35" s="3">
        <v>1002</v>
      </c>
      <c r="C35" t="s">
        <v>93</v>
      </c>
      <c r="D35" s="4">
        <v>1</v>
      </c>
      <c r="E35" t="s">
        <v>39</v>
      </c>
      <c r="F35" t="s">
        <v>13</v>
      </c>
      <c r="H35" s="5">
        <v>1.2571428571428576</v>
      </c>
      <c r="I35" s="5">
        <f>VLOOKUP(B35,S:U,3,0)</f>
        <v>1.2571428571428576</v>
      </c>
      <c r="S35">
        <v>1031</v>
      </c>
      <c r="T35" t="s">
        <v>94</v>
      </c>
      <c r="U35">
        <v>20.642857142857142</v>
      </c>
    </row>
    <row r="36" spans="2:21" x14ac:dyDescent="0.25">
      <c r="B36" s="3">
        <v>1003</v>
      </c>
      <c r="C36" t="s">
        <v>95</v>
      </c>
      <c r="D36" s="4">
        <v>1</v>
      </c>
      <c r="E36" t="s">
        <v>39</v>
      </c>
      <c r="F36" t="s">
        <v>13</v>
      </c>
      <c r="H36" s="5">
        <v>1.2142857142857146</v>
      </c>
      <c r="I36" s="5">
        <f>VLOOKUP(B36,S:U,3,0)</f>
        <v>1.2142857142857146</v>
      </c>
      <c r="S36">
        <v>1032</v>
      </c>
      <c r="T36" t="s">
        <v>96</v>
      </c>
      <c r="U36">
        <v>22.025217391304349</v>
      </c>
    </row>
    <row r="37" spans="2:21" x14ac:dyDescent="0.25">
      <c r="B37" s="3">
        <v>1019</v>
      </c>
      <c r="C37" t="s">
        <v>97</v>
      </c>
      <c r="D37" s="4">
        <v>1</v>
      </c>
      <c r="E37" t="s">
        <v>39</v>
      </c>
      <c r="F37" t="s">
        <v>13</v>
      </c>
      <c r="H37" s="5">
        <v>1</v>
      </c>
      <c r="I37" s="5">
        <f>VLOOKUP(B37,S:U,3,0)</f>
        <v>1</v>
      </c>
      <c r="S37">
        <v>1033</v>
      </c>
      <c r="T37" t="s">
        <v>98</v>
      </c>
      <c r="U37">
        <v>0.81000000000000028</v>
      </c>
    </row>
    <row r="38" spans="2:21" x14ac:dyDescent="0.25">
      <c r="B38" s="3">
        <v>1081</v>
      </c>
      <c r="C38" t="s">
        <v>99</v>
      </c>
      <c r="D38" s="4">
        <v>1</v>
      </c>
      <c r="E38" t="s">
        <v>39</v>
      </c>
      <c r="F38" t="s">
        <v>13</v>
      </c>
      <c r="H38" s="5">
        <v>1</v>
      </c>
      <c r="I38" s="5">
        <f>VLOOKUP(B38,S:U,3,0)</f>
        <v>1</v>
      </c>
      <c r="S38">
        <v>1034</v>
      </c>
      <c r="T38" t="s">
        <v>100</v>
      </c>
      <c r="U38">
        <v>1</v>
      </c>
    </row>
    <row r="39" spans="2:21" x14ac:dyDescent="0.25">
      <c r="B39" s="3">
        <v>1106</v>
      </c>
      <c r="C39" t="s">
        <v>101</v>
      </c>
      <c r="D39" s="4">
        <v>1</v>
      </c>
      <c r="E39" t="s">
        <v>39</v>
      </c>
      <c r="F39" t="s">
        <v>13</v>
      </c>
      <c r="I39" s="5" t="e">
        <f>VLOOKUP(B39,S:U,3,0)</f>
        <v>#N/A</v>
      </c>
      <c r="S39">
        <v>1035</v>
      </c>
      <c r="T39" t="s">
        <v>102</v>
      </c>
      <c r="U39">
        <v>0.92000000000000015</v>
      </c>
    </row>
    <row r="40" spans="2:21" x14ac:dyDescent="0.25">
      <c r="B40" s="3">
        <v>1079</v>
      </c>
      <c r="C40" t="s">
        <v>103</v>
      </c>
      <c r="D40" s="4">
        <v>1</v>
      </c>
      <c r="E40" t="s">
        <v>39</v>
      </c>
      <c r="F40" t="s">
        <v>13</v>
      </c>
      <c r="G40">
        <v>4.5999999999999996</v>
      </c>
      <c r="H40">
        <v>20</v>
      </c>
      <c r="I40" s="5">
        <f>VLOOKUP(B40,S:U,3,0)</f>
        <v>20.555555555555557</v>
      </c>
      <c r="S40">
        <v>1036</v>
      </c>
      <c r="T40" t="s">
        <v>104</v>
      </c>
      <c r="U40">
        <v>0.50434782608695661</v>
      </c>
    </row>
    <row r="41" spans="2:21" x14ac:dyDescent="0.25">
      <c r="S41">
        <v>1037</v>
      </c>
      <c r="T41" t="s">
        <v>105</v>
      </c>
      <c r="U41">
        <v>1</v>
      </c>
    </row>
    <row r="42" spans="2:21" x14ac:dyDescent="0.25">
      <c r="S42">
        <v>1038</v>
      </c>
      <c r="T42" t="s">
        <v>106</v>
      </c>
      <c r="U42">
        <v>1</v>
      </c>
    </row>
    <row r="43" spans="2:21" x14ac:dyDescent="0.25">
      <c r="S43">
        <v>1039</v>
      </c>
      <c r="T43" t="s">
        <v>107</v>
      </c>
      <c r="U43">
        <v>1</v>
      </c>
    </row>
    <row r="44" spans="2:21" x14ac:dyDescent="0.25">
      <c r="S44">
        <v>1040</v>
      </c>
      <c r="T44" t="s">
        <v>108</v>
      </c>
      <c r="U44">
        <v>1</v>
      </c>
    </row>
    <row r="45" spans="2:21" x14ac:dyDescent="0.25">
      <c r="S45">
        <v>1041</v>
      </c>
      <c r="T45" t="s">
        <v>109</v>
      </c>
      <c r="U45">
        <v>1</v>
      </c>
    </row>
    <row r="46" spans="2:21" x14ac:dyDescent="0.25">
      <c r="S46">
        <v>1042</v>
      </c>
      <c r="T46" t="s">
        <v>110</v>
      </c>
      <c r="U46">
        <v>1</v>
      </c>
    </row>
    <row r="47" spans="2:21" x14ac:dyDescent="0.25">
      <c r="S47">
        <v>1043</v>
      </c>
      <c r="T47" t="s">
        <v>111</v>
      </c>
      <c r="U47">
        <v>1</v>
      </c>
    </row>
    <row r="48" spans="2:21" x14ac:dyDescent="0.25">
      <c r="S48">
        <v>1044</v>
      </c>
      <c r="T48" t="s">
        <v>112</v>
      </c>
      <c r="U48">
        <v>0.9933333333333334</v>
      </c>
    </row>
    <row r="49" spans="19:21" x14ac:dyDescent="0.25">
      <c r="S49">
        <v>1045</v>
      </c>
      <c r="T49" t="s">
        <v>113</v>
      </c>
      <c r="U49">
        <v>1</v>
      </c>
    </row>
    <row r="50" spans="19:21" x14ac:dyDescent="0.25">
      <c r="S50">
        <v>1046</v>
      </c>
      <c r="T50" t="s">
        <v>114</v>
      </c>
      <c r="U50">
        <v>1</v>
      </c>
    </row>
    <row r="51" spans="19:21" x14ac:dyDescent="0.25">
      <c r="S51">
        <v>1047</v>
      </c>
      <c r="T51" t="s">
        <v>115</v>
      </c>
      <c r="U51">
        <v>1</v>
      </c>
    </row>
    <row r="52" spans="19:21" x14ac:dyDescent="0.25">
      <c r="S52">
        <v>1048</v>
      </c>
      <c r="T52" t="s">
        <v>116</v>
      </c>
      <c r="U52">
        <v>1</v>
      </c>
    </row>
    <row r="53" spans="19:21" x14ac:dyDescent="0.25">
      <c r="S53">
        <v>1049</v>
      </c>
      <c r="T53" t="s">
        <v>117</v>
      </c>
      <c r="U53">
        <v>1</v>
      </c>
    </row>
    <row r="54" spans="19:21" x14ac:dyDescent="0.25">
      <c r="S54">
        <v>1050</v>
      </c>
      <c r="T54" t="s">
        <v>118</v>
      </c>
      <c r="U54">
        <v>0.55882352941176472</v>
      </c>
    </row>
    <row r="55" spans="19:21" x14ac:dyDescent="0.25">
      <c r="S55">
        <v>1051</v>
      </c>
      <c r="T55" t="s">
        <v>119</v>
      </c>
      <c r="U55">
        <v>1</v>
      </c>
    </row>
    <row r="56" spans="19:21" x14ac:dyDescent="0.25">
      <c r="S56">
        <v>1052</v>
      </c>
      <c r="T56" t="s">
        <v>120</v>
      </c>
      <c r="U56">
        <v>3.1111111111111112</v>
      </c>
    </row>
    <row r="57" spans="19:21" x14ac:dyDescent="0.25">
      <c r="S57">
        <v>1053</v>
      </c>
      <c r="T57" t="s">
        <v>121</v>
      </c>
      <c r="U57">
        <v>1</v>
      </c>
    </row>
    <row r="58" spans="19:21" x14ac:dyDescent="0.25">
      <c r="S58">
        <v>1054</v>
      </c>
      <c r="T58" t="s">
        <v>122</v>
      </c>
      <c r="U58">
        <v>1</v>
      </c>
    </row>
    <row r="59" spans="19:21" x14ac:dyDescent="0.25">
      <c r="S59">
        <v>1055</v>
      </c>
      <c r="T59" t="s">
        <v>123</v>
      </c>
      <c r="U59">
        <v>1</v>
      </c>
    </row>
    <row r="60" spans="19:21" x14ac:dyDescent="0.25">
      <c r="S60">
        <v>1056</v>
      </c>
      <c r="T60" t="s">
        <v>124</v>
      </c>
      <c r="U60">
        <v>1.0587499999999999</v>
      </c>
    </row>
    <row r="61" spans="19:21" x14ac:dyDescent="0.25">
      <c r="S61">
        <v>1057</v>
      </c>
      <c r="T61" t="s">
        <v>125</v>
      </c>
      <c r="U61">
        <v>1</v>
      </c>
    </row>
    <row r="62" spans="19:21" x14ac:dyDescent="0.25">
      <c r="S62">
        <v>1058</v>
      </c>
      <c r="T62" t="s">
        <v>126</v>
      </c>
      <c r="U62">
        <v>1</v>
      </c>
    </row>
    <row r="63" spans="19:21" x14ac:dyDescent="0.25">
      <c r="S63">
        <v>1059</v>
      </c>
      <c r="T63" t="s">
        <v>127</v>
      </c>
      <c r="U63">
        <v>1</v>
      </c>
    </row>
    <row r="64" spans="19:21" x14ac:dyDescent="0.25">
      <c r="S64">
        <v>1060</v>
      </c>
      <c r="T64" t="s">
        <v>128</v>
      </c>
      <c r="U64">
        <v>1</v>
      </c>
    </row>
    <row r="65" spans="19:21" x14ac:dyDescent="0.25">
      <c r="S65">
        <v>1061</v>
      </c>
      <c r="T65" t="s">
        <v>129</v>
      </c>
      <c r="U65">
        <v>1.342857142857143</v>
      </c>
    </row>
    <row r="66" spans="19:21" x14ac:dyDescent="0.25">
      <c r="S66">
        <v>1062</v>
      </c>
      <c r="T66" t="s">
        <v>130</v>
      </c>
      <c r="U66">
        <v>1</v>
      </c>
    </row>
    <row r="67" spans="19:21" x14ac:dyDescent="0.25">
      <c r="S67">
        <v>1063</v>
      </c>
      <c r="T67" t="s">
        <v>131</v>
      </c>
      <c r="U67">
        <v>1</v>
      </c>
    </row>
    <row r="68" spans="19:21" x14ac:dyDescent="0.25">
      <c r="S68">
        <v>1064</v>
      </c>
      <c r="T68" t="s">
        <v>132</v>
      </c>
      <c r="U68">
        <v>15.526666666666666</v>
      </c>
    </row>
    <row r="69" spans="19:21" x14ac:dyDescent="0.25">
      <c r="S69">
        <v>1067</v>
      </c>
      <c r="T69" t="s">
        <v>133</v>
      </c>
      <c r="U69">
        <v>1</v>
      </c>
    </row>
    <row r="70" spans="19:21" x14ac:dyDescent="0.25">
      <c r="S70">
        <v>1068</v>
      </c>
      <c r="T70" t="s">
        <v>134</v>
      </c>
      <c r="U70">
        <v>0.9900000000000001</v>
      </c>
    </row>
    <row r="71" spans="19:21" x14ac:dyDescent="0.25">
      <c r="S71">
        <v>1070</v>
      </c>
      <c r="T71" t="s">
        <v>135</v>
      </c>
      <c r="U71">
        <v>6</v>
      </c>
    </row>
    <row r="72" spans="19:21" x14ac:dyDescent="0.25">
      <c r="S72">
        <v>1071</v>
      </c>
      <c r="T72" t="s">
        <v>136</v>
      </c>
      <c r="U72">
        <v>4</v>
      </c>
    </row>
    <row r="73" spans="19:21" x14ac:dyDescent="0.25">
      <c r="S73">
        <v>1072</v>
      </c>
      <c r="T73" t="s">
        <v>137</v>
      </c>
      <c r="U73">
        <v>1</v>
      </c>
    </row>
    <row r="74" spans="19:21" x14ac:dyDescent="0.25">
      <c r="S74">
        <v>1073</v>
      </c>
      <c r="T74" t="s">
        <v>138</v>
      </c>
      <c r="U74">
        <v>1.1666666666666667</v>
      </c>
    </row>
    <row r="75" spans="19:21" x14ac:dyDescent="0.25">
      <c r="S75">
        <v>1076</v>
      </c>
      <c r="T75" t="s">
        <v>139</v>
      </c>
      <c r="U75">
        <v>1</v>
      </c>
    </row>
    <row r="76" spans="19:21" x14ac:dyDescent="0.25">
      <c r="S76">
        <v>1078</v>
      </c>
      <c r="T76" t="s">
        <v>140</v>
      </c>
      <c r="U76">
        <v>18.600000000000001</v>
      </c>
    </row>
    <row r="77" spans="19:21" x14ac:dyDescent="0.25">
      <c r="S77">
        <v>1079</v>
      </c>
      <c r="T77" t="s">
        <v>141</v>
      </c>
      <c r="U77">
        <v>20.555555555555557</v>
      </c>
    </row>
    <row r="78" spans="19:21" x14ac:dyDescent="0.25">
      <c r="S78">
        <v>1080</v>
      </c>
      <c r="T78" t="s">
        <v>142</v>
      </c>
      <c r="U78">
        <v>1</v>
      </c>
    </row>
    <row r="79" spans="19:21" x14ac:dyDescent="0.25">
      <c r="S79">
        <v>1081</v>
      </c>
      <c r="T79" t="s">
        <v>143</v>
      </c>
      <c r="U79">
        <v>1</v>
      </c>
    </row>
    <row r="80" spans="19:21" x14ac:dyDescent="0.25">
      <c r="S80">
        <v>1082</v>
      </c>
      <c r="T80" t="s">
        <v>144</v>
      </c>
      <c r="U80">
        <v>1</v>
      </c>
    </row>
    <row r="81" spans="19:21" x14ac:dyDescent="0.25">
      <c r="S81">
        <v>1086</v>
      </c>
      <c r="T81" t="s">
        <v>145</v>
      </c>
      <c r="U81">
        <v>20.8</v>
      </c>
    </row>
    <row r="82" spans="19:21" x14ac:dyDescent="0.25">
      <c r="S82">
        <v>1090</v>
      </c>
      <c r="T82" t="s">
        <v>146</v>
      </c>
      <c r="U82">
        <v>5.375</v>
      </c>
    </row>
    <row r="83" spans="19:21" x14ac:dyDescent="0.25">
      <c r="S83">
        <v>1091</v>
      </c>
      <c r="T83" t="s">
        <v>147</v>
      </c>
      <c r="U83">
        <v>2.2000000000000002</v>
      </c>
    </row>
    <row r="84" spans="19:21" x14ac:dyDescent="0.25">
      <c r="S84">
        <v>1092</v>
      </c>
      <c r="T84" t="s">
        <v>148</v>
      </c>
      <c r="U84">
        <v>1</v>
      </c>
    </row>
    <row r="85" spans="19:21" x14ac:dyDescent="0.25">
      <c r="S85">
        <v>1093</v>
      </c>
      <c r="T85" t="s">
        <v>149</v>
      </c>
      <c r="U85">
        <v>0.5</v>
      </c>
    </row>
    <row r="86" spans="19:21" x14ac:dyDescent="0.25">
      <c r="S86">
        <v>1094</v>
      </c>
      <c r="T86" t="s">
        <v>150</v>
      </c>
      <c r="U86">
        <v>1.5</v>
      </c>
    </row>
    <row r="87" spans="19:21" x14ac:dyDescent="0.25">
      <c r="S87">
        <v>1095</v>
      </c>
      <c r="T87" t="s">
        <v>151</v>
      </c>
      <c r="U87">
        <v>0.82400000000000007</v>
      </c>
    </row>
    <row r="88" spans="19:21" x14ac:dyDescent="0.25">
      <c r="S88">
        <v>1096</v>
      </c>
      <c r="T88" t="s">
        <v>152</v>
      </c>
      <c r="U88">
        <v>20.5</v>
      </c>
    </row>
    <row r="89" spans="19:21" x14ac:dyDescent="0.25">
      <c r="S89">
        <v>1099</v>
      </c>
      <c r="T89" t="s">
        <v>153</v>
      </c>
      <c r="U89">
        <v>1</v>
      </c>
    </row>
    <row r="90" spans="19:21" x14ac:dyDescent="0.25">
      <c r="S90">
        <v>1100</v>
      </c>
      <c r="T90" t="s">
        <v>154</v>
      </c>
      <c r="U90">
        <v>0.87272727272727268</v>
      </c>
    </row>
    <row r="91" spans="19:21" x14ac:dyDescent="0.25">
      <c r="S91">
        <v>1101</v>
      </c>
      <c r="T91" t="s">
        <v>155</v>
      </c>
      <c r="U91">
        <v>0.95</v>
      </c>
    </row>
    <row r="92" spans="19:21" x14ac:dyDescent="0.25">
      <c r="S92">
        <v>1102</v>
      </c>
      <c r="T92" t="s">
        <v>156</v>
      </c>
      <c r="U92">
        <v>0.9745454545454546</v>
      </c>
    </row>
    <row r="93" spans="19:21" x14ac:dyDescent="0.25">
      <c r="S93">
        <v>2001</v>
      </c>
      <c r="T93" t="s">
        <v>157</v>
      </c>
      <c r="U93">
        <v>1</v>
      </c>
    </row>
    <row r="94" spans="19:21" x14ac:dyDescent="0.25">
      <c r="S94">
        <v>2002</v>
      </c>
      <c r="T94" t="s">
        <v>158</v>
      </c>
      <c r="U94">
        <v>1</v>
      </c>
    </row>
    <row r="95" spans="19:21" x14ac:dyDescent="0.25">
      <c r="S95">
        <v>2003</v>
      </c>
      <c r="T95" t="s">
        <v>159</v>
      </c>
      <c r="U95">
        <v>1</v>
      </c>
    </row>
    <row r="96" spans="19:21" x14ac:dyDescent="0.25">
      <c r="S96">
        <v>2004</v>
      </c>
      <c r="T96" t="s">
        <v>160</v>
      </c>
      <c r="U96">
        <v>1</v>
      </c>
    </row>
    <row r="97" spans="19:21" x14ac:dyDescent="0.25">
      <c r="S97">
        <v>2005</v>
      </c>
      <c r="T97" t="s">
        <v>161</v>
      </c>
      <c r="U97">
        <v>1</v>
      </c>
    </row>
    <row r="98" spans="19:21" x14ac:dyDescent="0.25">
      <c r="S98">
        <v>2006</v>
      </c>
      <c r="T98" t="s">
        <v>162</v>
      </c>
      <c r="U98">
        <v>1</v>
      </c>
    </row>
    <row r="99" spans="19:21" x14ac:dyDescent="0.25">
      <c r="S99">
        <v>2007</v>
      </c>
      <c r="T99" t="s">
        <v>163</v>
      </c>
      <c r="U99">
        <v>1.4754098360655739</v>
      </c>
    </row>
    <row r="100" spans="19:21" x14ac:dyDescent="0.25">
      <c r="S100">
        <v>2008</v>
      </c>
      <c r="T100" t="s">
        <v>164</v>
      </c>
      <c r="U100">
        <v>1</v>
      </c>
    </row>
    <row r="101" spans="19:21" x14ac:dyDescent="0.25">
      <c r="S101">
        <v>2009</v>
      </c>
      <c r="T101" t="s">
        <v>165</v>
      </c>
      <c r="U101">
        <v>1</v>
      </c>
    </row>
    <row r="102" spans="19:21" x14ac:dyDescent="0.25">
      <c r="S102">
        <v>2010</v>
      </c>
      <c r="T102" t="s">
        <v>166</v>
      </c>
      <c r="U102">
        <v>1</v>
      </c>
    </row>
    <row r="103" spans="19:21" x14ac:dyDescent="0.25">
      <c r="S103">
        <v>2011</v>
      </c>
      <c r="T103" t="s">
        <v>167</v>
      </c>
      <c r="U103">
        <v>1</v>
      </c>
    </row>
    <row r="104" spans="19:21" x14ac:dyDescent="0.25">
      <c r="S104">
        <v>2013</v>
      </c>
      <c r="T104" t="s">
        <v>168</v>
      </c>
      <c r="U104">
        <v>1</v>
      </c>
    </row>
    <row r="105" spans="19:21" x14ac:dyDescent="0.25">
      <c r="S105">
        <v>2014</v>
      </c>
      <c r="T105" t="s">
        <v>169</v>
      </c>
      <c r="U105">
        <v>1</v>
      </c>
    </row>
    <row r="106" spans="19:21" x14ac:dyDescent="0.25">
      <c r="S106">
        <v>2015</v>
      </c>
      <c r="T106" t="s">
        <v>170</v>
      </c>
      <c r="U106">
        <v>1</v>
      </c>
    </row>
    <row r="107" spans="19:21" x14ac:dyDescent="0.25">
      <c r="S107">
        <v>2016</v>
      </c>
      <c r="T107" t="s">
        <v>171</v>
      </c>
      <c r="U107">
        <v>1</v>
      </c>
    </row>
    <row r="108" spans="19:21" x14ac:dyDescent="0.25">
      <c r="S108">
        <v>2017</v>
      </c>
      <c r="T108" t="s">
        <v>172</v>
      </c>
      <c r="U108">
        <v>1</v>
      </c>
    </row>
    <row r="109" spans="19:21" x14ac:dyDescent="0.25">
      <c r="S109">
        <v>2018</v>
      </c>
      <c r="T109" t="s">
        <v>173</v>
      </c>
      <c r="U109">
        <v>1</v>
      </c>
    </row>
    <row r="110" spans="19:21" x14ac:dyDescent="0.25">
      <c r="S110">
        <v>2019</v>
      </c>
      <c r="T110" t="s">
        <v>174</v>
      </c>
      <c r="U110">
        <v>1</v>
      </c>
    </row>
    <row r="111" spans="19:21" x14ac:dyDescent="0.25">
      <c r="S111">
        <v>2020</v>
      </c>
      <c r="T111" t="s">
        <v>175</v>
      </c>
      <c r="U111">
        <v>1</v>
      </c>
    </row>
    <row r="112" spans="19:21" x14ac:dyDescent="0.25">
      <c r="S112">
        <v>2021</v>
      </c>
      <c r="T112" t="s">
        <v>176</v>
      </c>
      <c r="U112">
        <v>1</v>
      </c>
    </row>
    <row r="113" spans="19:21" x14ac:dyDescent="0.25">
      <c r="S113">
        <v>2022</v>
      </c>
      <c r="T113" t="s">
        <v>177</v>
      </c>
      <c r="U113">
        <v>1</v>
      </c>
    </row>
    <row r="114" spans="19:21" x14ac:dyDescent="0.25">
      <c r="S114">
        <v>2023</v>
      </c>
      <c r="T114" t="s">
        <v>178</v>
      </c>
      <c r="U114">
        <v>1</v>
      </c>
    </row>
    <row r="115" spans="19:21" x14ac:dyDescent="0.25">
      <c r="S115">
        <v>2025</v>
      </c>
      <c r="T115" t="s">
        <v>179</v>
      </c>
      <c r="U115">
        <v>1</v>
      </c>
    </row>
    <row r="116" spans="19:21" x14ac:dyDescent="0.25">
      <c r="S116">
        <v>2026</v>
      </c>
      <c r="T116" t="s">
        <v>180</v>
      </c>
      <c r="U116">
        <v>1</v>
      </c>
    </row>
    <row r="117" spans="19:21" x14ac:dyDescent="0.25">
      <c r="S117">
        <v>2027</v>
      </c>
      <c r="T117" t="s">
        <v>181</v>
      </c>
      <c r="U117">
        <v>1</v>
      </c>
    </row>
    <row r="118" spans="19:21" x14ac:dyDescent="0.25">
      <c r="S118">
        <v>2028</v>
      </c>
      <c r="T118" t="s">
        <v>182</v>
      </c>
      <c r="U118">
        <v>1</v>
      </c>
    </row>
    <row r="119" spans="19:21" x14ac:dyDescent="0.25">
      <c r="S119">
        <v>2029</v>
      </c>
      <c r="T119" t="s">
        <v>183</v>
      </c>
      <c r="U119">
        <v>1</v>
      </c>
    </row>
    <row r="120" spans="19:21" x14ac:dyDescent="0.25">
      <c r="S120">
        <v>2030</v>
      </c>
      <c r="T120" t="s">
        <v>184</v>
      </c>
      <c r="U120">
        <v>1</v>
      </c>
    </row>
    <row r="121" spans="19:21" x14ac:dyDescent="0.25">
      <c r="S121">
        <v>2031</v>
      </c>
      <c r="T121" t="s">
        <v>185</v>
      </c>
      <c r="U121">
        <v>1</v>
      </c>
    </row>
    <row r="122" spans="19:21" x14ac:dyDescent="0.25">
      <c r="S122">
        <v>2034</v>
      </c>
      <c r="T122" t="s">
        <v>186</v>
      </c>
      <c r="U122">
        <v>1</v>
      </c>
    </row>
    <row r="123" spans="19:21" x14ac:dyDescent="0.25">
      <c r="S123">
        <v>2037</v>
      </c>
      <c r="T123" t="s">
        <v>187</v>
      </c>
      <c r="U123">
        <v>1</v>
      </c>
    </row>
    <row r="124" spans="19:21" x14ac:dyDescent="0.25">
      <c r="S124">
        <v>2039</v>
      </c>
      <c r="T124" t="s">
        <v>188</v>
      </c>
      <c r="U124">
        <v>1</v>
      </c>
    </row>
    <row r="125" spans="19:21" x14ac:dyDescent="0.25">
      <c r="S125">
        <v>2042</v>
      </c>
      <c r="T125" t="s">
        <v>189</v>
      </c>
      <c r="U125">
        <v>1</v>
      </c>
    </row>
    <row r="126" spans="19:21" x14ac:dyDescent="0.25">
      <c r="S126">
        <v>3013</v>
      </c>
      <c r="T126" t="s">
        <v>190</v>
      </c>
      <c r="U126">
        <v>1</v>
      </c>
    </row>
    <row r="127" spans="19:21" x14ac:dyDescent="0.25">
      <c r="S127">
        <v>4000</v>
      </c>
      <c r="T127" t="s">
        <v>191</v>
      </c>
      <c r="U127">
        <v>1</v>
      </c>
    </row>
    <row r="128" spans="19:21" x14ac:dyDescent="0.25">
      <c r="S128">
        <v>4001</v>
      </c>
      <c r="T128" t="s">
        <v>192</v>
      </c>
      <c r="U128">
        <v>1</v>
      </c>
    </row>
    <row r="129" spans="19:21" x14ac:dyDescent="0.25">
      <c r="S129">
        <v>4002</v>
      </c>
      <c r="T129" t="s">
        <v>193</v>
      </c>
      <c r="U129">
        <v>1</v>
      </c>
    </row>
    <row r="130" spans="19:21" x14ac:dyDescent="0.25">
      <c r="S130">
        <v>4003</v>
      </c>
      <c r="T130" t="s">
        <v>194</v>
      </c>
      <c r="U130">
        <v>1</v>
      </c>
    </row>
    <row r="131" spans="19:21" x14ac:dyDescent="0.25">
      <c r="S131">
        <v>4004</v>
      </c>
      <c r="T131" t="s">
        <v>195</v>
      </c>
      <c r="U131">
        <v>1</v>
      </c>
    </row>
    <row r="132" spans="19:21" x14ac:dyDescent="0.25">
      <c r="S132">
        <v>4011</v>
      </c>
      <c r="T132" t="s">
        <v>196</v>
      </c>
      <c r="U132">
        <v>1</v>
      </c>
    </row>
    <row r="133" spans="19:21" x14ac:dyDescent="0.25">
      <c r="S133">
        <v>4012</v>
      </c>
      <c r="T133" t="s">
        <v>197</v>
      </c>
      <c r="U133">
        <v>1</v>
      </c>
    </row>
    <row r="134" spans="19:21" x14ac:dyDescent="0.25">
      <c r="S134">
        <v>9008</v>
      </c>
      <c r="T134" t="s">
        <v>198</v>
      </c>
      <c r="U134">
        <v>1</v>
      </c>
    </row>
    <row r="135" spans="19:21" x14ac:dyDescent="0.25">
      <c r="S135">
        <v>9019</v>
      </c>
      <c r="T135" t="s">
        <v>199</v>
      </c>
      <c r="U135">
        <v>1</v>
      </c>
    </row>
  </sheetData>
  <autoFilter ref="B1:I39" xr:uid="{4040BC2F-A623-48C5-85BC-1843CB0E4D1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Plano Horas</vt:lpstr>
      <vt:lpstr>Rendimentos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Timóteo</dc:creator>
  <cp:lastModifiedBy>Juliano Timóteo</cp:lastModifiedBy>
  <dcterms:created xsi:type="dcterms:W3CDTF">2026-04-27T20:28:10Z</dcterms:created>
  <dcterms:modified xsi:type="dcterms:W3CDTF">2026-04-27T20:31:43Z</dcterms:modified>
</cp:coreProperties>
</file>