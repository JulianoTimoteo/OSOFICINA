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timoteo\Desktop\"/>
    </mc:Choice>
  </mc:AlternateContent>
  <xr:revisionPtr revIDLastSave="0" documentId="13_ncr:1_{6841D846-2D5F-40CF-93DE-EBAC6C1CF628}" xr6:coauthVersionLast="47" xr6:coauthVersionMax="47" xr10:uidLastSave="{00000000-0000-0000-0000-000000000000}"/>
  <bookViews>
    <workbookView xWindow="-120" yWindow="-120" windowWidth="29040" windowHeight="15720" activeTab="1" xr2:uid="{4BCE6BE6-27C9-4299-9644-8958A3C22D42}"/>
  </bookViews>
  <sheets>
    <sheet name="OPERÇÃO" sheetId="2" r:id="rId1"/>
    <sheet name="BASE" sheetId="3" r:id="rId2"/>
  </sheets>
  <definedNames>
    <definedName name="_xlnm._FilterDatabase" localSheetId="1" hidden="1">BASE!$A$1:$D$262</definedName>
    <definedName name="_xlnm._FilterDatabase" localSheetId="0" hidden="1">OPERÇÃO!$C$1:$E$45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6" i="2"/>
  <c r="D7" i="2"/>
  <c r="D8" i="2"/>
  <c r="D10" i="2"/>
  <c r="D11" i="2"/>
  <c r="D12" i="2"/>
  <c r="D13" i="2"/>
  <c r="D15" i="2"/>
  <c r="D16" i="2"/>
  <c r="D18" i="2"/>
  <c r="D19" i="2"/>
  <c r="D21" i="2"/>
  <c r="D22" i="2"/>
  <c r="D23" i="2"/>
  <c r="D26" i="2"/>
  <c r="D27" i="2"/>
  <c r="D28" i="2"/>
  <c r="D29" i="2"/>
  <c r="D30" i="2"/>
  <c r="D31" i="2"/>
  <c r="D33" i="2"/>
  <c r="D34" i="2"/>
  <c r="D36" i="2"/>
  <c r="D37" i="2"/>
  <c r="D38" i="2"/>
  <c r="D39" i="2"/>
  <c r="D40" i="2"/>
  <c r="D41" i="2"/>
  <c r="D42" i="2"/>
  <c r="D43" i="2"/>
  <c r="D44" i="2"/>
  <c r="D2" i="2"/>
</calcChain>
</file>

<file path=xl/sharedStrings.xml><?xml version="1.0" encoding="utf-8"?>
<sst xmlns="http://schemas.openxmlformats.org/spreadsheetml/2006/main" count="889" uniqueCount="167">
  <si>
    <t xml:space="preserve">FROTA </t>
  </si>
  <si>
    <t xml:space="preserve">Intermediaria </t>
  </si>
  <si>
    <t>Enleiramento de palha</t>
  </si>
  <si>
    <t xml:space="preserve">Terraceamento </t>
  </si>
  <si>
    <t>Aplicação de Herbicida</t>
  </si>
  <si>
    <t>Sulcação</t>
  </si>
  <si>
    <t>Aplicação de vinhaça com fertilizante</t>
  </si>
  <si>
    <t>Oficina Externa</t>
  </si>
  <si>
    <t>Aplicação Mista</t>
  </si>
  <si>
    <t>Oficina (Verificar motor)</t>
  </si>
  <si>
    <t>Quebra lombo</t>
  </si>
  <si>
    <t>Aguardando Manutenção terceiro (Implemento 523)</t>
  </si>
  <si>
    <t xml:space="preserve">Oficina </t>
  </si>
  <si>
    <t xml:space="preserve">Cultivo </t>
  </si>
  <si>
    <t>Oficina - Revisar transmissão</t>
  </si>
  <si>
    <t>Aplicação inseticida</t>
  </si>
  <si>
    <t>Catação quimica</t>
  </si>
  <si>
    <t>Sem Operação</t>
  </si>
  <si>
    <t>Carregando - Terra - Bagaço - Outros</t>
  </si>
  <si>
    <t>Aguardando eletricista ( Bitola trincada e verificar abertura de sessão da barra do aplicador)</t>
  </si>
  <si>
    <t xml:space="preserve">Conservação de estrada </t>
  </si>
  <si>
    <t>Sem Operação (offline)</t>
  </si>
  <si>
    <t xml:space="preserve">Afogou e não pega mais </t>
  </si>
  <si>
    <t>Verificar mangueira da bomba injetora (Rachou)</t>
  </si>
  <si>
    <t xml:space="preserve"> Manutenção Oficina</t>
  </si>
  <si>
    <t>Offline / pátio</t>
  </si>
  <si>
    <t>Gradagem Aradora</t>
  </si>
  <si>
    <t>Sem operação</t>
  </si>
  <si>
    <t>Conservação de estrada / negão pelado</t>
  </si>
  <si>
    <t xml:space="preserve">Reforma </t>
  </si>
  <si>
    <t>Vazamento na ponteira da barra</t>
  </si>
  <si>
    <t>SEMI-REBOQUES CANAVIEIROS</t>
  </si>
  <si>
    <t>IMPLEMENTO RODOVIARIO</t>
  </si>
  <si>
    <t>SEMI-REBOQUE CANAVIEIRO SERGOMEL 2 EIXO</t>
  </si>
  <si>
    <t>BOMBEIROS</t>
  </si>
  <si>
    <t>CAMINHOES</t>
  </si>
  <si>
    <t>VOLVO VM270 6X4R - BOMBEIRO</t>
  </si>
  <si>
    <t>CAVALO MECANICO</t>
  </si>
  <si>
    <t>VOLVO FM 500 6X4 - CANAVIEIRO</t>
  </si>
  <si>
    <t>APOIO</t>
  </si>
  <si>
    <t>VOLKSWAGEN 31-330 - MOLHAR ESTRADA</t>
  </si>
  <si>
    <t>SEMI-REBOQUE CANAVIEIRO RANDON 2 EIXO</t>
  </si>
  <si>
    <t>REBOQUE PRANCHA</t>
  </si>
  <si>
    <t>SEMI-REBOQUE PRANCHA HERCU / 3 EIXO 47X</t>
  </si>
  <si>
    <t>ADUBADOR/CULTIVADOR</t>
  </si>
  <si>
    <t>IMPLEMENTOS AGRICOLAS</t>
  </si>
  <si>
    <t>IMPLEMENTO SUPER CULTIVADOR / ADUBADOR</t>
  </si>
  <si>
    <t>TRANSPORTE DE CANA</t>
  </si>
  <si>
    <t>VOLVO FM 540 6X4 - CANAVIEIRO</t>
  </si>
  <si>
    <t>CARRETEL IRRIGADOR</t>
  </si>
  <si>
    <t>SISTEMA IRRIGACAO TURBOMAQ</t>
  </si>
  <si>
    <t>OFICINA VOLANTE</t>
  </si>
  <si>
    <t>FORD CARGO C-712 OFICINA VOLANTE</t>
  </si>
  <si>
    <t>SEMI-REBOQUES BASCULANTE</t>
  </si>
  <si>
    <t>SEMI-REBOQUE SERGOMEL 3 EIXO-BASCULANTE</t>
  </si>
  <si>
    <t>VOLKSWAGEN 31-320 - BOMBEIRO</t>
  </si>
  <si>
    <t>SEMI-REBOQUE PALHA</t>
  </si>
  <si>
    <t>SEMI-REBOQUE SERGOMEL PALHA 2 EIXO</t>
  </si>
  <si>
    <t>LINHA MEDIA</t>
  </si>
  <si>
    <t>TRATOR DE PNEUS</t>
  </si>
  <si>
    <t>NEW HOLLAND TM 7040</t>
  </si>
  <si>
    <t>VALTRA BH - 180 HI FLOW</t>
  </si>
  <si>
    <t>TRANSPORTE DE VINHAÇA</t>
  </si>
  <si>
    <t>VOLVO FM 500 6X4 - TRANSPORTE DE VINHAÇA</t>
  </si>
  <si>
    <t>BASCULANTE</t>
  </si>
  <si>
    <t>VOLKSWAGEN 31-310 TITAN - BASCULANTE</t>
  </si>
  <si>
    <t>FORD CARGO 6332E</t>
  </si>
  <si>
    <t>IMPLEMENTO QUEBRA LOMBO PLAINA NIVELAD.</t>
  </si>
  <si>
    <t>REBOQUE VINHAÇA</t>
  </si>
  <si>
    <t>SEMI-REBOQUE SERGOMEL VINHAÇA 2 EIXO</t>
  </si>
  <si>
    <t>CARGA SECA</t>
  </si>
  <si>
    <t>FORD CARGO 2626 - CARGA SECA</t>
  </si>
  <si>
    <t>VOLVO VM270 6X4R - BASCULANTE</t>
  </si>
  <si>
    <t>IMPLEMENTO CULTIVADOR DMB</t>
  </si>
  <si>
    <t>REBOQUE SERGOMEL VINHAÇA 4 EIXO</t>
  </si>
  <si>
    <t>FORD CARGO 2425 - CARGA SECA</t>
  </si>
  <si>
    <t>LINHA PESADA</t>
  </si>
  <si>
    <t>NEW HOLLAND T8-385</t>
  </si>
  <si>
    <t>REBOQUE PRANCHA GOYDO 3 EIXOS</t>
  </si>
  <si>
    <t>NEW HOLLAND T7.260</t>
  </si>
  <si>
    <t>NEW HOLLAND T7.175</t>
  </si>
  <si>
    <t>ENLEIRADOR DE PALHA</t>
  </si>
  <si>
    <t>IMPLEMENTO ENLEIRADOR TOYAMA RT43L</t>
  </si>
  <si>
    <t>PA CARREGADEIRA</t>
  </si>
  <si>
    <t>PÁ CARREGADEIRA</t>
  </si>
  <si>
    <t>PA CARREGADEIRA JOHN DEERE 624 K</t>
  </si>
  <si>
    <t>LINHA LEVE</t>
  </si>
  <si>
    <t>NEW HOLLAND T6.130</t>
  </si>
  <si>
    <t>SEMI-REBOQUE PRANCHA SERGOMEL 2 EIXO</t>
  </si>
  <si>
    <t>SEMI REBOQUE PRANCHA RANDON 2 EIXOS</t>
  </si>
  <si>
    <t>TRANSPORTE PESSOAL</t>
  </si>
  <si>
    <t>ONIBUS</t>
  </si>
  <si>
    <t>MERCEDES-BENZ/INDUSCAR APACHE A ONIBUS</t>
  </si>
  <si>
    <t>REBOQUE RANDON PRANCHA</t>
  </si>
  <si>
    <t>NEW HOLLAND T7.245</t>
  </si>
  <si>
    <t>CARREGAMENTO DE PALHA</t>
  </si>
  <si>
    <t>NEW HOLLAND PINÇA PT-12004</t>
  </si>
  <si>
    <t>VOLKSWAGEN 26-260 - BOMBEIRO</t>
  </si>
  <si>
    <t>REBOQUE PALHA</t>
  </si>
  <si>
    <t>REBOQUE PALHA FACCHINI 3 EIXO</t>
  </si>
  <si>
    <t>REBOQUE PLATAFORMA FACCHINI 2 EIXO ADAPT</t>
  </si>
  <si>
    <t>COLHEDORA DE CANA PICADA</t>
  </si>
  <si>
    <t>COLHEDORA</t>
  </si>
  <si>
    <t>CASE 8800 - COLHEDORA</t>
  </si>
  <si>
    <t>REBOQUE CANAVIEIRO 4 EIXOS</t>
  </si>
  <si>
    <t>REBOQUE CANAVIEIRO RANDON 4 EIXOS</t>
  </si>
  <si>
    <t>NEW HOLLAND T7 240</t>
  </si>
  <si>
    <t>COMBOIOS</t>
  </si>
  <si>
    <t>VOLKSWAGEN 31-320 - COMBOIO</t>
  </si>
  <si>
    <t>CARR. DISTRIBUIDORA</t>
  </si>
  <si>
    <t>IMPLEMENTO SULC/APLIC. DE TORTA DMB</t>
  </si>
  <si>
    <t>REBOQUE AREA DE VIVENCIA</t>
  </si>
  <si>
    <t>NEW HOLLAND W 170B - PA CARREGADEIRA</t>
  </si>
  <si>
    <t>PALHA (BIOMASSA)</t>
  </si>
  <si>
    <t>VOLKSWAGEN 31-320 PALHA (BIOMASSA)</t>
  </si>
  <si>
    <t>MARCOPOLO VOLARE V8L ON - MICRO ONIBUS</t>
  </si>
  <si>
    <t>IMPLEMENTO DISTRIBUIDOR CAL/TORTA</t>
  </si>
  <si>
    <t>MOTOBOMBA VINHAÇA</t>
  </si>
  <si>
    <t>MOTOR ESTACIONÁRIO</t>
  </si>
  <si>
    <t>GERMEK MOTOBOMBA AGRICOLA 6.12</t>
  </si>
  <si>
    <t>ENFARDADEIRA DE PALHA</t>
  </si>
  <si>
    <t>ENFARDADEIRA DE PALHA  BIG PACK 1290</t>
  </si>
  <si>
    <t>MERCEDES BENZ 1718 - OFICINA VOLANTE</t>
  </si>
  <si>
    <t>MERCEDES BENZ 1718 - COMBOIO</t>
  </si>
  <si>
    <t>REBOQUE CANAVIEIRO SERGOMEL 4 EIXOS</t>
  </si>
  <si>
    <t>NEW HOLLAND W 160 - PA CARREGADEIRA</t>
  </si>
  <si>
    <t>NEW HOLLAND W 130 ZB - PA CARREGADEIRA</t>
  </si>
  <si>
    <t>RETROESCAVADEIRA</t>
  </si>
  <si>
    <t>FIATALLIS FB 80.2 - RETROESCAVADEIRA</t>
  </si>
  <si>
    <t>APLICADOR DE VINHAÇA</t>
  </si>
  <si>
    <t>IMPLEMENTO TANQUE DE VINHAÇA NONINO</t>
  </si>
  <si>
    <t>FORD CARGO 6332E OFICINA VOLANTE</t>
  </si>
  <si>
    <t>VOLVO FH 540 - CANAVIEIRO</t>
  </si>
  <si>
    <t>VOLVO VM270 6X4R - COMBOIO</t>
  </si>
  <si>
    <t>MOTONIVELADORAS</t>
  </si>
  <si>
    <t>JOHN DEERE 670 G - NIVELADORA</t>
  </si>
  <si>
    <t>MOTOBOMBA VINHAÇA - MWM</t>
  </si>
  <si>
    <t>NEW HOLLAND RG 170B VHP - NIVELADORA</t>
  </si>
  <si>
    <t>CASE A 8810 - COLHEDORA</t>
  </si>
  <si>
    <t>JOHN DEERE 624K PA CARREGADEIRA</t>
  </si>
  <si>
    <t>MOTOBOMBA VINHAÇA - MERCEDES</t>
  </si>
  <si>
    <t>IMPLEMENTO APLICADOR TMA CVX22500</t>
  </si>
  <si>
    <t>VOLKSWAGEN 31-330 - BOMBEIRO</t>
  </si>
  <si>
    <t>NEW HOLLAND TL 85</t>
  </si>
  <si>
    <t>VOLVO VM270 6X4R CAMINHÃO OFICINA</t>
  </si>
  <si>
    <t>FORD CARGO 63-320E OFICINA VOLANTE</t>
  </si>
  <si>
    <t>PRANCHA</t>
  </si>
  <si>
    <t>VOLVO FM 500 6X4 - PRANCHA</t>
  </si>
  <si>
    <t>VOLKSWAGEN 26-260 OFICINA VOLANTE</t>
  </si>
  <si>
    <t>CASE AUSTOFT 9900 - COLHEDORA</t>
  </si>
  <si>
    <t>VOLKSWAGEN 17-180 EURO3 WORKER (ÁGUA)</t>
  </si>
  <si>
    <t>GRUPO_OPERATIVO</t>
  </si>
  <si>
    <t>CATEGORIA_OPERACIONAL</t>
  </si>
  <si>
    <t>MODELO</t>
  </si>
  <si>
    <t>FROTA</t>
  </si>
  <si>
    <t>CASE PATRIOT</t>
  </si>
  <si>
    <t>TRATOR CASE - PUMA 155</t>
  </si>
  <si>
    <t>VALTRA BF - 3020 H</t>
  </si>
  <si>
    <t>NEW HOLLAND TL5</t>
  </si>
  <si>
    <t>TRATOR CASE - FARMALL 80</t>
  </si>
  <si>
    <t>VALTRA BH 180</t>
  </si>
  <si>
    <t>STATUS</t>
  </si>
  <si>
    <t>PREPARO DE SOLO</t>
  </si>
  <si>
    <t>VINHAÇA</t>
  </si>
  <si>
    <t>TRATOS CULTURAIS</t>
  </si>
  <si>
    <t>VIHAÇA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</si>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</sst>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BC75-6375-40F8-B86C-86E59DE98066}">
  <dimension ref="C1:F45"/>
  <sheetViews>
    <sheetView topLeftCell="E1" workbookViewId="0">
      <selection activeCell="F7" sqref="F7"/>
    </sheetView>
  </sheetViews>
  <sheetFormatPr defaultRowHeight="18.75" x14ac:dyDescent="0.25"/>
  <cols>
    <col min="1" max="2" width="9.140625" style="1"/>
    <col min="3" max="3" width="11.85546875" style="1" customWidth="1"/>
    <col min="4" max="4" width="53.7109375" style="1" bestFit="1" customWidth="1"/>
    <col min="5" max="5" width="23.5703125" style="1" bestFit="1" customWidth="1"/>
    <col min="6" max="6" width="60.5703125" style="16" customWidth="1"/>
    <col min="7" max="16384" width="9.140625" style="1"/>
  </cols>
  <sheetData>
    <row r="1" spans="3:6" ht="24" x14ac:dyDescent="0.25">
      <c r="C1" s="2" t="s">
        <v>0</v>
      </c>
      <c r="D1" s="2" t="s">
        <v>153</v>
      </c>
      <c r="E1" s="13" t="s">
        <v>166</v>
      </c>
      <c r="F1" s="14" t="s">
        <v>161</v>
      </c>
    </row>
    <row r="2" spans="3:6" x14ac:dyDescent="0.25">
      <c r="C2" s="2">
        <v>11116</v>
      </c>
      <c r="D2" s="2" t="str">
        <f>_xlfn.XLOOKUP(C2,BASE!A:A,BASE!B:B,2,0)</f>
        <v>NEW HOLLAND T7.245</v>
      </c>
      <c r="E2" s="2" t="s">
        <v>162</v>
      </c>
      <c r="F2" s="15" t="s">
        <v>1</v>
      </c>
    </row>
    <row r="3" spans="3:6" x14ac:dyDescent="0.25">
      <c r="C3" s="2">
        <v>11118</v>
      </c>
      <c r="D3" s="2" t="str">
        <f>_xlfn.XLOOKUP(C3,BASE!A:A,BASE!B:B,2,0)</f>
        <v>NEW HOLLAND TL 85</v>
      </c>
      <c r="E3" s="2" t="s">
        <v>162</v>
      </c>
      <c r="F3" s="15" t="s">
        <v>2</v>
      </c>
    </row>
    <row r="4" spans="3:6" x14ac:dyDescent="0.25">
      <c r="C4" s="2">
        <v>11121</v>
      </c>
      <c r="D4" s="2" t="str">
        <f>_xlfn.XLOOKUP(C4,BASE!A:A,BASE!B:B,2,0)</f>
        <v>NEW HOLLAND T7 240</v>
      </c>
      <c r="E4" s="2" t="s">
        <v>162</v>
      </c>
      <c r="F4" s="15" t="s">
        <v>3</v>
      </c>
    </row>
    <row r="5" spans="3:6" x14ac:dyDescent="0.25">
      <c r="C5" s="2">
        <v>11125</v>
      </c>
      <c r="D5" s="2" t="s">
        <v>158</v>
      </c>
      <c r="E5" s="2" t="s">
        <v>164</v>
      </c>
      <c r="F5" s="15" t="s">
        <v>4</v>
      </c>
    </row>
    <row r="6" spans="3:6" x14ac:dyDescent="0.25">
      <c r="C6" s="2">
        <v>11216</v>
      </c>
      <c r="D6" s="2" t="str">
        <f>_xlfn.XLOOKUP(C6,BASE!A:A,BASE!B:B,2,0)</f>
        <v>NEW HOLLAND T7.245</v>
      </c>
      <c r="E6" s="2" t="s">
        <v>162</v>
      </c>
      <c r="F6" s="15" t="s">
        <v>1</v>
      </c>
    </row>
    <row r="7" spans="3:6" x14ac:dyDescent="0.25">
      <c r="C7" s="2">
        <v>11218</v>
      </c>
      <c r="D7" s="2" t="str">
        <f>_xlfn.XLOOKUP(C7,BASE!A:A,BASE!B:B,2,0)</f>
        <v>NEW HOLLAND TL 85</v>
      </c>
      <c r="E7" s="2" t="s">
        <v>162</v>
      </c>
      <c r="F7" s="15" t="s">
        <v>5</v>
      </c>
    </row>
    <row r="8" spans="3:6" x14ac:dyDescent="0.25">
      <c r="C8" s="2">
        <v>11221</v>
      </c>
      <c r="D8" s="2" t="str">
        <f>_xlfn.XLOOKUP(C8,BASE!A:A,BASE!B:B,2,0)</f>
        <v>NEW HOLLAND T7 240</v>
      </c>
      <c r="E8" s="2" t="s">
        <v>165</v>
      </c>
      <c r="F8" s="15" t="s">
        <v>6</v>
      </c>
    </row>
    <row r="9" spans="3:6" x14ac:dyDescent="0.25">
      <c r="C9" s="2">
        <v>11225</v>
      </c>
      <c r="D9" s="2" t="s">
        <v>158</v>
      </c>
      <c r="E9" s="2" t="s">
        <v>164</v>
      </c>
      <c r="F9" s="15" t="s">
        <v>4</v>
      </c>
    </row>
    <row r="10" spans="3:6" x14ac:dyDescent="0.25">
      <c r="C10" s="2">
        <v>11316</v>
      </c>
      <c r="D10" s="2" t="str">
        <f>_xlfn.XLOOKUP(C10,BASE!A:A,BASE!B:B,2,0)</f>
        <v>NEW HOLLAND TL 85</v>
      </c>
      <c r="E10" s="2" t="s">
        <v>163</v>
      </c>
      <c r="F10" s="15" t="s">
        <v>7</v>
      </c>
    </row>
    <row r="11" spans="3:6" x14ac:dyDescent="0.25">
      <c r="C11" s="2">
        <v>11318</v>
      </c>
      <c r="D11" s="2" t="str">
        <f>_xlfn.XLOOKUP(C11,BASE!A:A,BASE!B:B,2,0)</f>
        <v>NEW HOLLAND T7.175</v>
      </c>
      <c r="E11" s="2" t="s">
        <v>162</v>
      </c>
      <c r="F11" s="15" t="s">
        <v>8</v>
      </c>
    </row>
    <row r="12" spans="3:6" x14ac:dyDescent="0.25">
      <c r="C12" s="2">
        <v>11321</v>
      </c>
      <c r="D12" s="2" t="str">
        <f>_xlfn.XLOOKUP(C12,BASE!A:A,BASE!B:B,2,0)</f>
        <v>NEW HOLLAND T7 240</v>
      </c>
      <c r="E12" s="2" t="s">
        <v>162</v>
      </c>
      <c r="F12" s="15" t="s">
        <v>8</v>
      </c>
    </row>
    <row r="13" spans="3:6" x14ac:dyDescent="0.25">
      <c r="C13" s="2">
        <v>11416</v>
      </c>
      <c r="D13" s="2" t="str">
        <f>_xlfn.XLOOKUP(C13,BASE!A:A,BASE!B:B,2,0)</f>
        <v>NEW HOLLAND T7.245</v>
      </c>
      <c r="E13" s="2" t="s">
        <v>163</v>
      </c>
      <c r="F13" s="15" t="s">
        <v>9</v>
      </c>
    </row>
    <row r="14" spans="3:6" x14ac:dyDescent="0.25">
      <c r="C14" s="2">
        <v>11324</v>
      </c>
      <c r="D14" s="2" t="s">
        <v>156</v>
      </c>
      <c r="E14" s="2" t="s">
        <v>164</v>
      </c>
      <c r="F14" s="15" t="s">
        <v>10</v>
      </c>
    </row>
    <row r="15" spans="3:6" x14ac:dyDescent="0.25">
      <c r="C15" s="2">
        <v>11418</v>
      </c>
      <c r="D15" s="2" t="str">
        <f>_xlfn.XLOOKUP(C15,BASE!A:A,BASE!B:B,2,0)</f>
        <v>NEW HOLLAND T6.130</v>
      </c>
      <c r="E15" s="2" t="s">
        <v>164</v>
      </c>
      <c r="F15" s="15" t="s">
        <v>11</v>
      </c>
    </row>
    <row r="16" spans="3:6" x14ac:dyDescent="0.25">
      <c r="C16" s="2">
        <v>11421</v>
      </c>
      <c r="D16" s="2" t="str">
        <f>_xlfn.XLOOKUP(C16,BASE!A:A,BASE!B:B,2,0)</f>
        <v>NEW HOLLAND T7 240</v>
      </c>
      <c r="E16" s="2" t="s">
        <v>162</v>
      </c>
      <c r="F16" s="15" t="s">
        <v>12</v>
      </c>
    </row>
    <row r="17" spans="3:6" x14ac:dyDescent="0.25">
      <c r="C17" s="2">
        <v>11424</v>
      </c>
      <c r="D17" s="2" t="s">
        <v>156</v>
      </c>
      <c r="E17" s="2" t="s">
        <v>164</v>
      </c>
      <c r="F17" s="15" t="s">
        <v>10</v>
      </c>
    </row>
    <row r="18" spans="3:6" x14ac:dyDescent="0.25">
      <c r="C18" s="2">
        <v>11516</v>
      </c>
      <c r="D18" s="2" t="str">
        <f>_xlfn.XLOOKUP(C18,BASE!A:A,BASE!B:B,2,0)</f>
        <v>NEW HOLLAND T7.260</v>
      </c>
      <c r="E18" s="2" t="s">
        <v>163</v>
      </c>
      <c r="F18" s="15" t="s">
        <v>6</v>
      </c>
    </row>
    <row r="19" spans="3:6" x14ac:dyDescent="0.25">
      <c r="C19" s="2">
        <v>11518</v>
      </c>
      <c r="D19" s="2" t="str">
        <f>_xlfn.XLOOKUP(C19,BASE!A:A,BASE!B:B,2,0)</f>
        <v>NEW HOLLAND T6.130</v>
      </c>
      <c r="E19" s="2" t="s">
        <v>164</v>
      </c>
      <c r="F19" s="15" t="s">
        <v>13</v>
      </c>
    </row>
    <row r="20" spans="3:6" x14ac:dyDescent="0.25">
      <c r="C20" s="2">
        <v>11524</v>
      </c>
      <c r="D20" s="2" t="s">
        <v>156</v>
      </c>
      <c r="E20" s="2" t="s">
        <v>164</v>
      </c>
      <c r="F20" s="15" t="s">
        <v>10</v>
      </c>
    </row>
    <row r="21" spans="3:6" x14ac:dyDescent="0.25">
      <c r="C21" s="2">
        <v>11616</v>
      </c>
      <c r="D21" s="2" t="str">
        <f>_xlfn.XLOOKUP(C21,BASE!A:A,BASE!B:B,2,0)</f>
        <v>NEW HOLLAND T7.260</v>
      </c>
      <c r="E21" s="2" t="s">
        <v>163</v>
      </c>
      <c r="F21" s="15" t="s">
        <v>14</v>
      </c>
    </row>
    <row r="22" spans="3:6" x14ac:dyDescent="0.25">
      <c r="C22" s="2">
        <v>11618</v>
      </c>
      <c r="D22" s="2" t="str">
        <f>_xlfn.XLOOKUP(C22,BASE!A:A,BASE!B:B,2,0)</f>
        <v>NEW HOLLAND T6.130</v>
      </c>
      <c r="E22" s="2" t="s">
        <v>164</v>
      </c>
      <c r="F22" s="15" t="s">
        <v>15</v>
      </c>
    </row>
    <row r="23" spans="3:6" x14ac:dyDescent="0.25">
      <c r="C23" s="2">
        <v>11718</v>
      </c>
      <c r="D23" s="2" t="str">
        <f>_xlfn.XLOOKUP(C23,BASE!A:A,BASE!B:B,2,0)</f>
        <v>NEW HOLLAND T6.130</v>
      </c>
      <c r="E23" s="2" t="s">
        <v>164</v>
      </c>
      <c r="F23" s="15" t="s">
        <v>13</v>
      </c>
    </row>
    <row r="24" spans="3:6" x14ac:dyDescent="0.25">
      <c r="C24" s="2">
        <v>11124</v>
      </c>
      <c r="D24" s="2" t="s">
        <v>159</v>
      </c>
      <c r="E24" s="2" t="s">
        <v>164</v>
      </c>
      <c r="F24" s="15" t="s">
        <v>16</v>
      </c>
    </row>
    <row r="25" spans="3:6" x14ac:dyDescent="0.25">
      <c r="C25" s="2">
        <v>11224</v>
      </c>
      <c r="D25" s="2" t="s">
        <v>159</v>
      </c>
      <c r="E25" s="2" t="s">
        <v>164</v>
      </c>
      <c r="F25" s="15" t="s">
        <v>30</v>
      </c>
    </row>
    <row r="26" spans="3:6" x14ac:dyDescent="0.25">
      <c r="C26" s="2">
        <v>435</v>
      </c>
      <c r="D26" s="2" t="str">
        <f>_xlfn.XLOOKUP(C26,BASE!A:A,BASE!B:B,2,0)</f>
        <v>MOTOBOMBA VINHAÇA - MWM</v>
      </c>
      <c r="E26" s="2" t="s">
        <v>163</v>
      </c>
      <c r="F26" s="15" t="s">
        <v>17</v>
      </c>
    </row>
    <row r="27" spans="3:6" x14ac:dyDescent="0.25">
      <c r="C27" s="2">
        <v>34</v>
      </c>
      <c r="D27" s="2" t="str">
        <f>_xlfn.XLOOKUP(C27,BASE!A:A,BASE!B:B,2,0)</f>
        <v>MOTOBOMBA VINHAÇA - MERCEDES</v>
      </c>
      <c r="E27" s="2" t="s">
        <v>163</v>
      </c>
      <c r="F27" s="15" t="s">
        <v>17</v>
      </c>
    </row>
    <row r="28" spans="3:6" x14ac:dyDescent="0.25">
      <c r="C28" s="2">
        <v>91</v>
      </c>
      <c r="D28" s="2" t="str">
        <f>_xlfn.XLOOKUP(C28,BASE!A:A,BASE!B:B,2,0)</f>
        <v>MOTOBOMBA VINHAÇA</v>
      </c>
      <c r="E28" s="2" t="s">
        <v>163</v>
      </c>
      <c r="F28" s="15" t="s">
        <v>17</v>
      </c>
    </row>
    <row r="29" spans="3:6" x14ac:dyDescent="0.25">
      <c r="C29" s="2">
        <v>32</v>
      </c>
      <c r="D29" s="2" t="str">
        <f>_xlfn.XLOOKUP(C29,BASE!A:A,BASE!B:B,2,0)</f>
        <v>MOTOBOMBA VINHAÇA</v>
      </c>
      <c r="E29" s="2" t="s">
        <v>163</v>
      </c>
      <c r="F29" s="15" t="s">
        <v>17</v>
      </c>
    </row>
    <row r="30" spans="3:6" x14ac:dyDescent="0.25">
      <c r="C30" s="2">
        <v>33</v>
      </c>
      <c r="D30" s="2" t="str">
        <f>_xlfn.XLOOKUP(C30,BASE!A:A,BASE!B:B,2,0)</f>
        <v>MOTOBOMBA VINHAÇA</v>
      </c>
      <c r="E30" s="2" t="s">
        <v>163</v>
      </c>
      <c r="F30" s="15" t="s">
        <v>17</v>
      </c>
    </row>
    <row r="31" spans="3:6" x14ac:dyDescent="0.25">
      <c r="C31" s="2">
        <v>329</v>
      </c>
      <c r="D31" s="2" t="str">
        <f>_xlfn.XLOOKUP(C31,BASE!A:A,BASE!B:B,2,0)</f>
        <v>NEW HOLLAND W 170B - PA CARREGADEIRA</v>
      </c>
      <c r="E31" s="2" t="s">
        <v>162</v>
      </c>
      <c r="F31" s="15" t="s">
        <v>18</v>
      </c>
    </row>
    <row r="32" spans="3:6" x14ac:dyDescent="0.25">
      <c r="C32" s="2">
        <v>340</v>
      </c>
      <c r="D32" s="2" t="s">
        <v>157</v>
      </c>
      <c r="E32" s="2" t="s">
        <v>164</v>
      </c>
      <c r="F32" s="15" t="s">
        <v>19</v>
      </c>
    </row>
    <row r="33" spans="3:6" x14ac:dyDescent="0.25">
      <c r="C33" s="2">
        <v>527</v>
      </c>
      <c r="D33" s="2" t="str">
        <f>_xlfn.XLOOKUP(C33,BASE!A:A,BASE!B:B,2,0)</f>
        <v>NEW HOLLAND RG 170B VHP - NIVELADORA</v>
      </c>
      <c r="E33" s="2" t="s">
        <v>162</v>
      </c>
      <c r="F33" s="15" t="s">
        <v>20</v>
      </c>
    </row>
    <row r="34" spans="3:6" x14ac:dyDescent="0.25">
      <c r="C34" s="2">
        <v>532</v>
      </c>
      <c r="D34" s="2" t="str">
        <f>_xlfn.XLOOKUP(C34,BASE!A:A,BASE!B:B,2,0)</f>
        <v>VALTRA BH - 180 HI FLOW</v>
      </c>
      <c r="E34" s="2" t="s">
        <v>163</v>
      </c>
      <c r="F34" s="15" t="s">
        <v>21</v>
      </c>
    </row>
    <row r="35" spans="3:6" x14ac:dyDescent="0.25">
      <c r="C35" s="2">
        <v>533</v>
      </c>
      <c r="D35" s="2" t="s">
        <v>160</v>
      </c>
      <c r="E35" s="2" t="s">
        <v>163</v>
      </c>
      <c r="F35" s="15" t="s">
        <v>24</v>
      </c>
    </row>
    <row r="36" spans="3:6" x14ac:dyDescent="0.25">
      <c r="C36" s="2">
        <v>535</v>
      </c>
      <c r="D36" s="2" t="str">
        <f>_xlfn.XLOOKUP(C36,BASE!A:A,BASE!B:B,2,0)</f>
        <v>VALTRA BH - 180 HI FLOW</v>
      </c>
      <c r="E36" s="2" t="s">
        <v>163</v>
      </c>
      <c r="F36" s="15" t="s">
        <v>25</v>
      </c>
    </row>
    <row r="37" spans="3:6" x14ac:dyDescent="0.25">
      <c r="C37" s="2">
        <v>537</v>
      </c>
      <c r="D37" s="2" t="str">
        <f>_xlfn.XLOOKUP(C37,BASE!A:A,BASE!B:B,2,0)</f>
        <v>VALTRA BH - 180 HI FLOW</v>
      </c>
      <c r="E37" s="2" t="s">
        <v>163</v>
      </c>
      <c r="F37" s="15" t="s">
        <v>29</v>
      </c>
    </row>
    <row r="38" spans="3:6" x14ac:dyDescent="0.25">
      <c r="C38" s="2">
        <v>543</v>
      </c>
      <c r="D38" s="2" t="str">
        <f>_xlfn.XLOOKUP(C38,BASE!A:A,BASE!B:B,2,0)</f>
        <v>NEW HOLLAND W 130 ZB - PA CARREGADEIRA</v>
      </c>
      <c r="E38" s="2" t="s">
        <v>162</v>
      </c>
      <c r="F38" s="15" t="s">
        <v>23</v>
      </c>
    </row>
    <row r="39" spans="3:6" x14ac:dyDescent="0.25">
      <c r="C39" s="2">
        <v>724</v>
      </c>
      <c r="D39" s="2" t="str">
        <f>_xlfn.XLOOKUP(C39,BASE!A:A,BASE!B:B,2,0)</f>
        <v>NEW HOLLAND T8-385</v>
      </c>
      <c r="E39" s="2" t="s">
        <v>162</v>
      </c>
      <c r="F39" s="15" t="s">
        <v>26</v>
      </c>
    </row>
    <row r="40" spans="3:6" x14ac:dyDescent="0.25">
      <c r="C40" s="2">
        <v>726</v>
      </c>
      <c r="D40" s="2" t="str">
        <f>_xlfn.XLOOKUP(C40,BASE!A:A,BASE!B:B,2,0)</f>
        <v>NEW HOLLAND TM 7040</v>
      </c>
      <c r="E40" s="2" t="s">
        <v>162</v>
      </c>
      <c r="F40" s="15" t="s">
        <v>27</v>
      </c>
    </row>
    <row r="41" spans="3:6" x14ac:dyDescent="0.25">
      <c r="C41" s="2">
        <v>732</v>
      </c>
      <c r="D41" s="2" t="str">
        <f>_xlfn.XLOOKUP(C41,BASE!A:A,BASE!B:B,2,0)</f>
        <v>NEW HOLLAND TL 85</v>
      </c>
      <c r="E41" s="2" t="s">
        <v>162</v>
      </c>
      <c r="F41" s="15" t="s">
        <v>5</v>
      </c>
    </row>
    <row r="42" spans="3:6" x14ac:dyDescent="0.25">
      <c r="C42" s="2">
        <v>50116</v>
      </c>
      <c r="D42" s="2" t="str">
        <f>_xlfn.XLOOKUP(C42,BASE!A:A,BASE!B:B,2,0)</f>
        <v>JOHN DEERE 670 G - NIVELADORA</v>
      </c>
      <c r="E42" s="2" t="s">
        <v>162</v>
      </c>
      <c r="F42" s="15" t="s">
        <v>20</v>
      </c>
    </row>
    <row r="43" spans="3:6" x14ac:dyDescent="0.25">
      <c r="C43" s="2">
        <v>50118</v>
      </c>
      <c r="D43" s="2" t="str">
        <f>_xlfn.XLOOKUP(C43,BASE!A:A,BASE!B:B,2,0)</f>
        <v>JOHN DEERE 670 G - NIVELADORA</v>
      </c>
      <c r="E43" s="2" t="s">
        <v>162</v>
      </c>
      <c r="F43" s="15" t="s">
        <v>28</v>
      </c>
    </row>
    <row r="44" spans="3:6" x14ac:dyDescent="0.25">
      <c r="C44" s="2">
        <v>60116</v>
      </c>
      <c r="D44" s="2" t="str">
        <f>_xlfn.XLOOKUP(C44,BASE!A:A,BASE!B:B,2,0)</f>
        <v>PA CARREGADEIRA JOHN DEERE 624 K</v>
      </c>
      <c r="E44" s="2" t="s">
        <v>162</v>
      </c>
      <c r="F44" s="15" t="s">
        <v>22</v>
      </c>
    </row>
    <row r="45" spans="3:6" x14ac:dyDescent="0.25">
      <c r="C45" s="2">
        <v>70122</v>
      </c>
      <c r="D45" s="2" t="s">
        <v>155</v>
      </c>
      <c r="E45" s="2" t="s">
        <v>164</v>
      </c>
      <c r="F45" s="15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5EDD-664A-4892-ABD1-F169B18CC1C5}">
  <dimension ref="A1:D262"/>
  <sheetViews>
    <sheetView tabSelected="1" topLeftCell="A241" workbookViewId="0">
      <selection activeCell="C262" sqref="C262"/>
    </sheetView>
  </sheetViews>
  <sheetFormatPr defaultRowHeight="15" x14ac:dyDescent="0.25"/>
  <cols>
    <col min="1" max="1" width="11.42578125" bestFit="1" customWidth="1"/>
    <col min="2" max="2" width="43.42578125" bestFit="1" customWidth="1"/>
    <col min="3" max="3" width="26.140625" bestFit="1" customWidth="1"/>
    <col min="4" max="4" width="28.140625" bestFit="1" customWidth="1"/>
  </cols>
  <sheetData>
    <row r="1" spans="1:4" x14ac:dyDescent="0.25">
      <c r="A1" s="12" t="s">
        <v>154</v>
      </c>
      <c r="B1" s="12" t="s">
        <v>153</v>
      </c>
      <c r="C1" s="12" t="s">
        <v>152</v>
      </c>
      <c r="D1" s="12" t="s">
        <v>151</v>
      </c>
    </row>
    <row r="2" spans="1:4" x14ac:dyDescent="0.25">
      <c r="A2" s="11">
        <v>821022</v>
      </c>
      <c r="B2" s="9" t="s">
        <v>105</v>
      </c>
      <c r="C2" s="10" t="s">
        <v>32</v>
      </c>
      <c r="D2" s="9" t="s">
        <v>104</v>
      </c>
    </row>
    <row r="3" spans="1:4" x14ac:dyDescent="0.25">
      <c r="A3" s="8">
        <v>811022</v>
      </c>
      <c r="B3" s="6" t="s">
        <v>41</v>
      </c>
      <c r="C3" s="7" t="s">
        <v>32</v>
      </c>
      <c r="D3" s="6" t="s">
        <v>31</v>
      </c>
    </row>
    <row r="4" spans="1:4" x14ac:dyDescent="0.25">
      <c r="A4" s="11">
        <v>821122</v>
      </c>
      <c r="B4" s="9" t="s">
        <v>105</v>
      </c>
      <c r="C4" s="10" t="s">
        <v>32</v>
      </c>
      <c r="D4" s="9" t="s">
        <v>104</v>
      </c>
    </row>
    <row r="5" spans="1:4" x14ac:dyDescent="0.25">
      <c r="A5" s="8">
        <v>811122</v>
      </c>
      <c r="B5" s="6" t="s">
        <v>41</v>
      </c>
      <c r="C5" s="7" t="s">
        <v>32</v>
      </c>
      <c r="D5" s="6" t="s">
        <v>31</v>
      </c>
    </row>
    <row r="6" spans="1:4" x14ac:dyDescent="0.25">
      <c r="A6" s="11">
        <v>525</v>
      </c>
      <c r="B6" s="9" t="s">
        <v>150</v>
      </c>
      <c r="C6" s="10" t="s">
        <v>35</v>
      </c>
      <c r="D6" s="9" t="s">
        <v>34</v>
      </c>
    </row>
    <row r="7" spans="1:4" x14ac:dyDescent="0.25">
      <c r="A7" s="8">
        <v>32217</v>
      </c>
      <c r="B7" s="6" t="s">
        <v>147</v>
      </c>
      <c r="C7" s="7" t="s">
        <v>35</v>
      </c>
      <c r="D7" s="6" t="s">
        <v>146</v>
      </c>
    </row>
    <row r="8" spans="1:4" x14ac:dyDescent="0.25">
      <c r="A8" s="11">
        <v>41102</v>
      </c>
      <c r="B8" s="9" t="s">
        <v>148</v>
      </c>
      <c r="C8" s="10" t="s">
        <v>35</v>
      </c>
      <c r="D8" s="9" t="s">
        <v>51</v>
      </c>
    </row>
    <row r="9" spans="1:4" x14ac:dyDescent="0.25">
      <c r="A9" s="8">
        <v>31120</v>
      </c>
      <c r="B9" s="6" t="s">
        <v>48</v>
      </c>
      <c r="C9" s="7" t="s">
        <v>35</v>
      </c>
      <c r="D9" s="6" t="s">
        <v>37</v>
      </c>
    </row>
    <row r="10" spans="1:4" x14ac:dyDescent="0.25">
      <c r="A10" s="11">
        <v>80422</v>
      </c>
      <c r="B10" s="9" t="s">
        <v>149</v>
      </c>
      <c r="C10" s="10" t="s">
        <v>102</v>
      </c>
      <c r="D10" s="9" t="s">
        <v>101</v>
      </c>
    </row>
    <row r="11" spans="1:4" x14ac:dyDescent="0.25">
      <c r="A11" s="8">
        <v>80322</v>
      </c>
      <c r="B11" s="6" t="s">
        <v>149</v>
      </c>
      <c r="C11" s="7" t="s">
        <v>102</v>
      </c>
      <c r="D11" s="6" t="s">
        <v>101</v>
      </c>
    </row>
    <row r="12" spans="1:4" x14ac:dyDescent="0.25">
      <c r="A12" s="11">
        <v>80122</v>
      </c>
      <c r="B12" s="9" t="s">
        <v>149</v>
      </c>
      <c r="C12" s="10" t="s">
        <v>102</v>
      </c>
      <c r="D12" s="9" t="s">
        <v>101</v>
      </c>
    </row>
    <row r="13" spans="1:4" x14ac:dyDescent="0.25">
      <c r="A13" s="8">
        <v>80222</v>
      </c>
      <c r="B13" s="6" t="s">
        <v>149</v>
      </c>
      <c r="C13" s="7" t="s">
        <v>102</v>
      </c>
      <c r="D13" s="6" t="s">
        <v>101</v>
      </c>
    </row>
    <row r="14" spans="1:4" x14ac:dyDescent="0.25">
      <c r="A14" s="11">
        <v>80419</v>
      </c>
      <c r="B14" s="9" t="s">
        <v>138</v>
      </c>
      <c r="C14" s="10" t="s">
        <v>102</v>
      </c>
      <c r="D14" s="9" t="s">
        <v>101</v>
      </c>
    </row>
    <row r="15" spans="1:4" x14ac:dyDescent="0.25">
      <c r="A15" s="8">
        <v>80219</v>
      </c>
      <c r="B15" s="6" t="s">
        <v>138</v>
      </c>
      <c r="C15" s="7" t="s">
        <v>102</v>
      </c>
      <c r="D15" s="6" t="s">
        <v>101</v>
      </c>
    </row>
    <row r="16" spans="1:4" x14ac:dyDescent="0.25">
      <c r="A16" s="11">
        <v>80119</v>
      </c>
      <c r="B16" s="9" t="s">
        <v>138</v>
      </c>
      <c r="C16" s="10" t="s">
        <v>102</v>
      </c>
      <c r="D16" s="9" t="s">
        <v>101</v>
      </c>
    </row>
    <row r="17" spans="1:4" x14ac:dyDescent="0.25">
      <c r="A17" s="8">
        <v>80619</v>
      </c>
      <c r="B17" s="6" t="s">
        <v>138</v>
      </c>
      <c r="C17" s="7" t="s">
        <v>102</v>
      </c>
      <c r="D17" s="6" t="s">
        <v>101</v>
      </c>
    </row>
    <row r="18" spans="1:4" x14ac:dyDescent="0.25">
      <c r="A18" s="11">
        <v>80319</v>
      </c>
      <c r="B18" s="9" t="s">
        <v>138</v>
      </c>
      <c r="C18" s="10" t="s">
        <v>102</v>
      </c>
      <c r="D18" s="9" t="s">
        <v>101</v>
      </c>
    </row>
    <row r="19" spans="1:4" x14ac:dyDescent="0.25">
      <c r="A19" s="8">
        <v>80719</v>
      </c>
      <c r="B19" s="6" t="s">
        <v>138</v>
      </c>
      <c r="C19" s="7" t="s">
        <v>102</v>
      </c>
      <c r="D19" s="6" t="s">
        <v>101</v>
      </c>
    </row>
    <row r="20" spans="1:4" x14ac:dyDescent="0.25">
      <c r="A20" s="11">
        <v>26114</v>
      </c>
      <c r="B20" s="9" t="s">
        <v>121</v>
      </c>
      <c r="C20" s="10" t="s">
        <v>45</v>
      </c>
      <c r="D20" s="9" t="s">
        <v>120</v>
      </c>
    </row>
    <row r="21" spans="1:4" x14ac:dyDescent="0.25">
      <c r="A21" s="8">
        <v>83101</v>
      </c>
      <c r="B21" s="6" t="s">
        <v>50</v>
      </c>
      <c r="C21" s="7" t="s">
        <v>45</v>
      </c>
      <c r="D21" s="6" t="s">
        <v>49</v>
      </c>
    </row>
    <row r="22" spans="1:4" x14ac:dyDescent="0.25">
      <c r="A22" s="11">
        <v>85118</v>
      </c>
      <c r="B22" s="9" t="s">
        <v>130</v>
      </c>
      <c r="C22" s="10" t="s">
        <v>45</v>
      </c>
      <c r="D22" s="9" t="s">
        <v>129</v>
      </c>
    </row>
    <row r="23" spans="1:4" x14ac:dyDescent="0.25">
      <c r="A23" s="8">
        <v>32</v>
      </c>
      <c r="B23" s="6" t="s">
        <v>117</v>
      </c>
      <c r="C23" s="7" t="s">
        <v>118</v>
      </c>
      <c r="D23" s="6" t="s">
        <v>117</v>
      </c>
    </row>
    <row r="24" spans="1:4" x14ac:dyDescent="0.25">
      <c r="A24" s="11">
        <v>17123</v>
      </c>
      <c r="B24" s="9" t="s">
        <v>115</v>
      </c>
      <c r="C24" s="10" t="s">
        <v>91</v>
      </c>
      <c r="D24" s="9" t="s">
        <v>90</v>
      </c>
    </row>
    <row r="25" spans="1:4" x14ac:dyDescent="0.25">
      <c r="A25" s="8">
        <v>11118</v>
      </c>
      <c r="B25" s="6" t="s">
        <v>143</v>
      </c>
      <c r="C25" s="7" t="s">
        <v>59</v>
      </c>
      <c r="D25" s="6" t="s">
        <v>86</v>
      </c>
    </row>
    <row r="26" spans="1:4" x14ac:dyDescent="0.25">
      <c r="A26" s="11">
        <v>11316</v>
      </c>
      <c r="B26" s="9" t="s">
        <v>143</v>
      </c>
      <c r="C26" s="10" t="s">
        <v>59</v>
      </c>
      <c r="D26" s="9" t="s">
        <v>76</v>
      </c>
    </row>
    <row r="27" spans="1:4" x14ac:dyDescent="0.25">
      <c r="A27" s="8">
        <v>11121</v>
      </c>
      <c r="B27" s="6" t="s">
        <v>106</v>
      </c>
      <c r="C27" s="7" t="s">
        <v>59</v>
      </c>
      <c r="D27" s="6" t="s">
        <v>76</v>
      </c>
    </row>
    <row r="28" spans="1:4" x14ac:dyDescent="0.25">
      <c r="A28" s="11">
        <v>821024</v>
      </c>
      <c r="B28" s="9" t="s">
        <v>124</v>
      </c>
      <c r="C28" s="10" t="s">
        <v>32</v>
      </c>
      <c r="D28" s="9" t="s">
        <v>104</v>
      </c>
    </row>
    <row r="29" spans="1:4" x14ac:dyDescent="0.25">
      <c r="A29" s="8">
        <v>811024</v>
      </c>
      <c r="B29" s="6" t="s">
        <v>33</v>
      </c>
      <c r="C29" s="7" t="s">
        <v>32</v>
      </c>
      <c r="D29" s="6" t="s">
        <v>31</v>
      </c>
    </row>
    <row r="30" spans="1:4" x14ac:dyDescent="0.25">
      <c r="A30" s="11">
        <v>821124</v>
      </c>
      <c r="B30" s="9" t="s">
        <v>124</v>
      </c>
      <c r="C30" s="10" t="s">
        <v>32</v>
      </c>
      <c r="D30" s="9" t="s">
        <v>104</v>
      </c>
    </row>
    <row r="31" spans="1:4" x14ac:dyDescent="0.25">
      <c r="A31" s="8">
        <v>811124</v>
      </c>
      <c r="B31" s="6" t="s">
        <v>33</v>
      </c>
      <c r="C31" s="7" t="s">
        <v>32</v>
      </c>
      <c r="D31" s="6" t="s">
        <v>31</v>
      </c>
    </row>
    <row r="32" spans="1:4" x14ac:dyDescent="0.25">
      <c r="A32" s="11">
        <v>82122</v>
      </c>
      <c r="B32" s="9" t="s">
        <v>105</v>
      </c>
      <c r="C32" s="10" t="s">
        <v>32</v>
      </c>
      <c r="D32" s="9" t="s">
        <v>104</v>
      </c>
    </row>
    <row r="33" spans="1:4" x14ac:dyDescent="0.25">
      <c r="A33" s="8">
        <v>81122</v>
      </c>
      <c r="B33" s="6" t="s">
        <v>41</v>
      </c>
      <c r="C33" s="7" t="s">
        <v>32</v>
      </c>
      <c r="D33" s="6" t="s">
        <v>31</v>
      </c>
    </row>
    <row r="34" spans="1:4" x14ac:dyDescent="0.25">
      <c r="A34" s="11">
        <v>821222</v>
      </c>
      <c r="B34" s="9" t="s">
        <v>105</v>
      </c>
      <c r="C34" s="10" t="s">
        <v>32</v>
      </c>
      <c r="D34" s="9" t="s">
        <v>104</v>
      </c>
    </row>
    <row r="35" spans="1:4" x14ac:dyDescent="0.25">
      <c r="A35" s="8">
        <v>811222</v>
      </c>
      <c r="B35" s="6" t="s">
        <v>41</v>
      </c>
      <c r="C35" s="7" t="s">
        <v>32</v>
      </c>
      <c r="D35" s="6" t="s">
        <v>31</v>
      </c>
    </row>
    <row r="36" spans="1:4" x14ac:dyDescent="0.25">
      <c r="A36" s="11">
        <v>311517</v>
      </c>
      <c r="B36" s="9" t="s">
        <v>63</v>
      </c>
      <c r="C36" s="10" t="s">
        <v>35</v>
      </c>
      <c r="D36" s="9" t="s">
        <v>62</v>
      </c>
    </row>
    <row r="37" spans="1:4" x14ac:dyDescent="0.25">
      <c r="A37" s="8">
        <v>41104</v>
      </c>
      <c r="B37" s="6" t="s">
        <v>148</v>
      </c>
      <c r="C37" s="7" t="s">
        <v>35</v>
      </c>
      <c r="D37" s="6" t="s">
        <v>51</v>
      </c>
    </row>
    <row r="38" spans="1:4" x14ac:dyDescent="0.25">
      <c r="A38" s="11">
        <v>32117</v>
      </c>
      <c r="B38" s="10" t="s">
        <v>147</v>
      </c>
      <c r="C38" s="10" t="s">
        <v>35</v>
      </c>
      <c r="D38" s="10" t="s">
        <v>146</v>
      </c>
    </row>
    <row r="39" spans="1:4" x14ac:dyDescent="0.25">
      <c r="A39" s="8">
        <v>11221</v>
      </c>
      <c r="B39" s="6" t="s">
        <v>106</v>
      </c>
      <c r="C39" s="7" t="s">
        <v>59</v>
      </c>
      <c r="D39" s="6" t="s">
        <v>76</v>
      </c>
    </row>
    <row r="40" spans="1:4" x14ac:dyDescent="0.25">
      <c r="A40" s="11">
        <v>821224</v>
      </c>
      <c r="B40" s="9" t="s">
        <v>124</v>
      </c>
      <c r="C40" s="10" t="s">
        <v>32</v>
      </c>
      <c r="D40" s="9" t="s">
        <v>104</v>
      </c>
    </row>
    <row r="41" spans="1:4" x14ac:dyDescent="0.25">
      <c r="A41" s="8">
        <v>811224</v>
      </c>
      <c r="B41" s="6" t="s">
        <v>33</v>
      </c>
      <c r="C41" s="7" t="s">
        <v>32</v>
      </c>
      <c r="D41" s="6" t="s">
        <v>31</v>
      </c>
    </row>
    <row r="42" spans="1:4" x14ac:dyDescent="0.25">
      <c r="A42" s="11">
        <v>82124</v>
      </c>
      <c r="B42" s="9" t="s">
        <v>124</v>
      </c>
      <c r="C42" s="10" t="s">
        <v>32</v>
      </c>
      <c r="D42" s="9" t="s">
        <v>104</v>
      </c>
    </row>
    <row r="43" spans="1:4" x14ac:dyDescent="0.25">
      <c r="A43" s="8">
        <v>81124</v>
      </c>
      <c r="B43" s="6" t="s">
        <v>33</v>
      </c>
      <c r="C43" s="7" t="s">
        <v>32</v>
      </c>
      <c r="D43" s="6" t="s">
        <v>31</v>
      </c>
    </row>
    <row r="44" spans="1:4" x14ac:dyDescent="0.25">
      <c r="A44" s="11">
        <v>821322</v>
      </c>
      <c r="B44" s="9" t="s">
        <v>105</v>
      </c>
      <c r="C44" s="10" t="s">
        <v>32</v>
      </c>
      <c r="D44" s="9" t="s">
        <v>104</v>
      </c>
    </row>
    <row r="45" spans="1:4" x14ac:dyDescent="0.25">
      <c r="A45" s="8">
        <v>87117</v>
      </c>
      <c r="B45" s="6" t="s">
        <v>111</v>
      </c>
      <c r="C45" s="7" t="s">
        <v>32</v>
      </c>
      <c r="D45" s="6" t="s">
        <v>111</v>
      </c>
    </row>
    <row r="46" spans="1:4" x14ac:dyDescent="0.25">
      <c r="A46" s="11">
        <v>821422</v>
      </c>
      <c r="B46" s="9" t="s">
        <v>105</v>
      </c>
      <c r="C46" s="10" t="s">
        <v>32</v>
      </c>
      <c r="D46" s="9" t="s">
        <v>104</v>
      </c>
    </row>
    <row r="47" spans="1:4" x14ac:dyDescent="0.25">
      <c r="A47" s="8">
        <v>811422</v>
      </c>
      <c r="B47" s="6" t="s">
        <v>41</v>
      </c>
      <c r="C47" s="7" t="s">
        <v>32</v>
      </c>
      <c r="D47" s="6" t="s">
        <v>31</v>
      </c>
    </row>
    <row r="48" spans="1:4" x14ac:dyDescent="0.25">
      <c r="A48" s="11">
        <v>38110</v>
      </c>
      <c r="B48" s="9" t="s">
        <v>55</v>
      </c>
      <c r="C48" s="10" t="s">
        <v>35</v>
      </c>
      <c r="D48" s="9" t="s">
        <v>34</v>
      </c>
    </row>
    <row r="49" spans="1:4" x14ac:dyDescent="0.25">
      <c r="A49" s="8">
        <v>41105</v>
      </c>
      <c r="B49" s="6" t="s">
        <v>148</v>
      </c>
      <c r="C49" s="7" t="s">
        <v>35</v>
      </c>
      <c r="D49" s="6" t="s">
        <v>51</v>
      </c>
    </row>
    <row r="50" spans="1:4" x14ac:dyDescent="0.25">
      <c r="A50" s="11">
        <v>32317</v>
      </c>
      <c r="B50" s="9" t="s">
        <v>147</v>
      </c>
      <c r="C50" s="10" t="s">
        <v>35</v>
      </c>
      <c r="D50" s="9" t="s">
        <v>146</v>
      </c>
    </row>
    <row r="51" spans="1:4" x14ac:dyDescent="0.25">
      <c r="A51" s="8">
        <v>17221</v>
      </c>
      <c r="B51" s="6" t="s">
        <v>115</v>
      </c>
      <c r="C51" s="7" t="s">
        <v>91</v>
      </c>
      <c r="D51" s="6" t="s">
        <v>90</v>
      </c>
    </row>
    <row r="52" spans="1:4" x14ac:dyDescent="0.25">
      <c r="A52" s="11">
        <v>11218</v>
      </c>
      <c r="B52" s="9" t="s">
        <v>143</v>
      </c>
      <c r="C52" s="10" t="s">
        <v>59</v>
      </c>
      <c r="D52" s="9" t="s">
        <v>86</v>
      </c>
    </row>
    <row r="53" spans="1:4" x14ac:dyDescent="0.25">
      <c r="A53" s="8">
        <v>60118</v>
      </c>
      <c r="B53" s="6" t="s">
        <v>139</v>
      </c>
      <c r="C53" s="7" t="s">
        <v>84</v>
      </c>
      <c r="D53" s="6" t="s">
        <v>83</v>
      </c>
    </row>
    <row r="54" spans="1:4" x14ac:dyDescent="0.25">
      <c r="A54" s="11">
        <v>87185</v>
      </c>
      <c r="B54" s="9" t="s">
        <v>111</v>
      </c>
      <c r="C54" s="10" t="s">
        <v>32</v>
      </c>
      <c r="D54" s="9" t="s">
        <v>111</v>
      </c>
    </row>
    <row r="55" spans="1:4" x14ac:dyDescent="0.25">
      <c r="A55" s="8">
        <v>821324</v>
      </c>
      <c r="B55" s="6" t="s">
        <v>124</v>
      </c>
      <c r="C55" s="7" t="s">
        <v>32</v>
      </c>
      <c r="D55" s="6" t="s">
        <v>104</v>
      </c>
    </row>
    <row r="56" spans="1:4" x14ac:dyDescent="0.25">
      <c r="A56" s="11">
        <v>811324</v>
      </c>
      <c r="B56" s="9" t="s">
        <v>33</v>
      </c>
      <c r="C56" s="10" t="s">
        <v>32</v>
      </c>
      <c r="D56" s="9" t="s">
        <v>31</v>
      </c>
    </row>
    <row r="57" spans="1:4" x14ac:dyDescent="0.25">
      <c r="A57" s="8">
        <v>821424</v>
      </c>
      <c r="B57" s="6" t="s">
        <v>124</v>
      </c>
      <c r="C57" s="7" t="s">
        <v>32</v>
      </c>
      <c r="D57" s="6" t="s">
        <v>104</v>
      </c>
    </row>
    <row r="58" spans="1:4" x14ac:dyDescent="0.25">
      <c r="A58" s="11">
        <v>811424</v>
      </c>
      <c r="B58" s="9" t="s">
        <v>33</v>
      </c>
      <c r="C58" s="10" t="s">
        <v>32</v>
      </c>
      <c r="D58" s="9" t="s">
        <v>31</v>
      </c>
    </row>
    <row r="59" spans="1:4" x14ac:dyDescent="0.25">
      <c r="A59" s="8">
        <v>87186</v>
      </c>
      <c r="B59" s="6" t="s">
        <v>111</v>
      </c>
      <c r="C59" s="7" t="s">
        <v>32</v>
      </c>
      <c r="D59" s="6" t="s">
        <v>111</v>
      </c>
    </row>
    <row r="60" spans="1:4" x14ac:dyDescent="0.25">
      <c r="A60" s="11">
        <v>33410</v>
      </c>
      <c r="B60" s="9" t="s">
        <v>108</v>
      </c>
      <c r="C60" s="10" t="s">
        <v>35</v>
      </c>
      <c r="D60" s="9" t="s">
        <v>107</v>
      </c>
    </row>
    <row r="61" spans="1:4" x14ac:dyDescent="0.25">
      <c r="A61" s="8">
        <v>41109</v>
      </c>
      <c r="B61" s="6" t="s">
        <v>145</v>
      </c>
      <c r="C61" s="7" t="s">
        <v>35</v>
      </c>
      <c r="D61" s="6" t="s">
        <v>51</v>
      </c>
    </row>
    <row r="62" spans="1:4" x14ac:dyDescent="0.25">
      <c r="A62" s="11">
        <v>31417</v>
      </c>
      <c r="B62" s="9" t="s">
        <v>38</v>
      </c>
      <c r="C62" s="10" t="s">
        <v>35</v>
      </c>
      <c r="D62" s="9" t="s">
        <v>47</v>
      </c>
    </row>
    <row r="63" spans="1:4" x14ac:dyDescent="0.25">
      <c r="A63" s="8">
        <v>83100</v>
      </c>
      <c r="B63" s="6" t="s">
        <v>50</v>
      </c>
      <c r="C63" s="7" t="s">
        <v>45</v>
      </c>
      <c r="D63" s="6" t="s">
        <v>49</v>
      </c>
    </row>
    <row r="64" spans="1:4" x14ac:dyDescent="0.25">
      <c r="A64" s="11">
        <v>85119</v>
      </c>
      <c r="B64" s="9" t="s">
        <v>130</v>
      </c>
      <c r="C64" s="10" t="s">
        <v>45</v>
      </c>
      <c r="D64" s="9" t="s">
        <v>129</v>
      </c>
    </row>
    <row r="65" spans="1:4" x14ac:dyDescent="0.25">
      <c r="A65" s="8">
        <v>33</v>
      </c>
      <c r="B65" s="6" t="s">
        <v>117</v>
      </c>
      <c r="C65" s="7" t="s">
        <v>118</v>
      </c>
      <c r="D65" s="6" t="s">
        <v>117</v>
      </c>
    </row>
    <row r="66" spans="1:4" x14ac:dyDescent="0.25">
      <c r="A66" s="11">
        <v>41121</v>
      </c>
      <c r="B66" s="9" t="s">
        <v>144</v>
      </c>
      <c r="C66" s="10" t="s">
        <v>35</v>
      </c>
      <c r="D66" s="9" t="s">
        <v>51</v>
      </c>
    </row>
    <row r="67" spans="1:4" x14ac:dyDescent="0.25">
      <c r="A67" s="8">
        <v>31517</v>
      </c>
      <c r="B67" s="6" t="s">
        <v>38</v>
      </c>
      <c r="C67" s="7" t="s">
        <v>35</v>
      </c>
      <c r="D67" s="6" t="s">
        <v>47</v>
      </c>
    </row>
    <row r="68" spans="1:4" x14ac:dyDescent="0.25">
      <c r="A68" s="11">
        <v>17219</v>
      </c>
      <c r="B68" s="9" t="s">
        <v>115</v>
      </c>
      <c r="C68" s="10" t="s">
        <v>91</v>
      </c>
      <c r="D68" s="9" t="s">
        <v>90</v>
      </c>
    </row>
    <row r="69" spans="1:4" x14ac:dyDescent="0.25">
      <c r="A69" s="8">
        <v>732</v>
      </c>
      <c r="B69" s="6" t="s">
        <v>143</v>
      </c>
      <c r="C69" s="7" t="s">
        <v>59</v>
      </c>
      <c r="D69" s="6" t="s">
        <v>86</v>
      </c>
    </row>
    <row r="70" spans="1:4" x14ac:dyDescent="0.25">
      <c r="A70" s="11">
        <v>11421</v>
      </c>
      <c r="B70" s="9" t="s">
        <v>106</v>
      </c>
      <c r="C70" s="10" t="s">
        <v>59</v>
      </c>
      <c r="D70" s="9" t="s">
        <v>76</v>
      </c>
    </row>
    <row r="71" spans="1:4" x14ac:dyDescent="0.25">
      <c r="A71" s="8">
        <v>38113</v>
      </c>
      <c r="B71" s="6" t="s">
        <v>142</v>
      </c>
      <c r="C71" s="7" t="s">
        <v>35</v>
      </c>
      <c r="D71" s="6" t="s">
        <v>34</v>
      </c>
    </row>
    <row r="72" spans="1:4" x14ac:dyDescent="0.25">
      <c r="A72" s="11">
        <v>31917</v>
      </c>
      <c r="B72" s="9" t="s">
        <v>38</v>
      </c>
      <c r="C72" s="10" t="s">
        <v>35</v>
      </c>
      <c r="D72" s="9" t="s">
        <v>47</v>
      </c>
    </row>
    <row r="73" spans="1:4" x14ac:dyDescent="0.25">
      <c r="A73" s="8">
        <v>50116</v>
      </c>
      <c r="B73" s="6" t="s">
        <v>135</v>
      </c>
      <c r="C73" s="7" t="s">
        <v>134</v>
      </c>
      <c r="D73" s="6" t="s">
        <v>134</v>
      </c>
    </row>
    <row r="74" spans="1:4" x14ac:dyDescent="0.25">
      <c r="A74" s="11">
        <v>60120</v>
      </c>
      <c r="B74" s="9" t="s">
        <v>139</v>
      </c>
      <c r="C74" s="10" t="s">
        <v>84</v>
      </c>
      <c r="D74" s="9" t="s">
        <v>83</v>
      </c>
    </row>
    <row r="75" spans="1:4" x14ac:dyDescent="0.25">
      <c r="A75" s="8">
        <v>87187</v>
      </c>
      <c r="B75" s="6" t="s">
        <v>111</v>
      </c>
      <c r="C75" s="7" t="s">
        <v>32</v>
      </c>
      <c r="D75" s="6" t="s">
        <v>111</v>
      </c>
    </row>
    <row r="76" spans="1:4" x14ac:dyDescent="0.25">
      <c r="A76" s="11">
        <v>821522</v>
      </c>
      <c r="B76" s="9" t="s">
        <v>105</v>
      </c>
      <c r="C76" s="10" t="s">
        <v>32</v>
      </c>
      <c r="D76" s="9" t="s">
        <v>104</v>
      </c>
    </row>
    <row r="77" spans="1:4" x14ac:dyDescent="0.25">
      <c r="A77" s="8">
        <v>87217</v>
      </c>
      <c r="B77" s="6" t="s">
        <v>111</v>
      </c>
      <c r="C77" s="7" t="s">
        <v>32</v>
      </c>
      <c r="D77" s="6" t="s">
        <v>111</v>
      </c>
    </row>
    <row r="78" spans="1:4" x14ac:dyDescent="0.25">
      <c r="A78" s="11">
        <v>821622</v>
      </c>
      <c r="B78" s="9" t="s">
        <v>105</v>
      </c>
      <c r="C78" s="10" t="s">
        <v>32</v>
      </c>
      <c r="D78" s="9" t="s">
        <v>104</v>
      </c>
    </row>
    <row r="79" spans="1:4" x14ac:dyDescent="0.25">
      <c r="A79" s="8">
        <v>811622</v>
      </c>
      <c r="B79" s="6" t="s">
        <v>41</v>
      </c>
      <c r="C79" s="7" t="s">
        <v>32</v>
      </c>
      <c r="D79" s="6" t="s">
        <v>31</v>
      </c>
    </row>
    <row r="80" spans="1:4" x14ac:dyDescent="0.25">
      <c r="A80" s="11">
        <v>821524</v>
      </c>
      <c r="B80" s="9" t="s">
        <v>124</v>
      </c>
      <c r="C80" s="10" t="s">
        <v>32</v>
      </c>
      <c r="D80" s="9" t="s">
        <v>104</v>
      </c>
    </row>
    <row r="81" spans="1:4" x14ac:dyDescent="0.25">
      <c r="A81" s="8">
        <v>811524</v>
      </c>
      <c r="B81" s="6" t="s">
        <v>33</v>
      </c>
      <c r="C81" s="7" t="s">
        <v>32</v>
      </c>
      <c r="D81" s="6" t="s">
        <v>31</v>
      </c>
    </row>
    <row r="82" spans="1:4" x14ac:dyDescent="0.25">
      <c r="A82" s="11">
        <v>821624</v>
      </c>
      <c r="B82" s="9" t="s">
        <v>124</v>
      </c>
      <c r="C82" s="10" t="s">
        <v>32</v>
      </c>
      <c r="D82" s="9" t="s">
        <v>104</v>
      </c>
    </row>
    <row r="83" spans="1:4" x14ac:dyDescent="0.25">
      <c r="A83" s="8">
        <v>811624</v>
      </c>
      <c r="B83" s="6" t="s">
        <v>33</v>
      </c>
      <c r="C83" s="7" t="s">
        <v>32</v>
      </c>
      <c r="D83" s="6" t="s">
        <v>31</v>
      </c>
    </row>
    <row r="84" spans="1:4" x14ac:dyDescent="0.25">
      <c r="A84" s="11">
        <v>33220</v>
      </c>
      <c r="B84" s="9" t="s">
        <v>133</v>
      </c>
      <c r="C84" s="10" t="s">
        <v>35</v>
      </c>
      <c r="D84" s="9" t="s">
        <v>107</v>
      </c>
    </row>
    <row r="85" spans="1:4" x14ac:dyDescent="0.25">
      <c r="A85" s="8">
        <v>41309</v>
      </c>
      <c r="B85" s="6" t="s">
        <v>131</v>
      </c>
      <c r="C85" s="7" t="s">
        <v>35</v>
      </c>
      <c r="D85" s="6" t="s">
        <v>51</v>
      </c>
    </row>
    <row r="86" spans="1:4" x14ac:dyDescent="0.25">
      <c r="A86" s="11">
        <v>85121</v>
      </c>
      <c r="B86" s="9" t="s">
        <v>141</v>
      </c>
      <c r="C86" s="10" t="s">
        <v>45</v>
      </c>
      <c r="D86" s="9" t="s">
        <v>129</v>
      </c>
    </row>
    <row r="87" spans="1:4" x14ac:dyDescent="0.25">
      <c r="A87" s="8">
        <v>34</v>
      </c>
      <c r="B87" s="6" t="s">
        <v>140</v>
      </c>
      <c r="C87" s="7" t="s">
        <v>118</v>
      </c>
      <c r="D87" s="6" t="s">
        <v>117</v>
      </c>
    </row>
    <row r="88" spans="1:4" x14ac:dyDescent="0.25">
      <c r="A88" s="11">
        <v>17319</v>
      </c>
      <c r="B88" s="9" t="s">
        <v>115</v>
      </c>
      <c r="C88" s="10" t="s">
        <v>91</v>
      </c>
      <c r="D88" s="9" t="s">
        <v>90</v>
      </c>
    </row>
    <row r="89" spans="1:4" x14ac:dyDescent="0.25">
      <c r="A89" s="8">
        <v>80320</v>
      </c>
      <c r="B89" s="6" t="s">
        <v>138</v>
      </c>
      <c r="C89" s="7" t="s">
        <v>102</v>
      </c>
      <c r="D89" s="6" t="s">
        <v>101</v>
      </c>
    </row>
    <row r="90" spans="1:4" x14ac:dyDescent="0.25">
      <c r="A90" s="11">
        <v>80317</v>
      </c>
      <c r="B90" s="9" t="s">
        <v>138</v>
      </c>
      <c r="C90" s="10" t="s">
        <v>102</v>
      </c>
      <c r="D90" s="9" t="s">
        <v>101</v>
      </c>
    </row>
    <row r="91" spans="1:4" x14ac:dyDescent="0.25">
      <c r="A91" s="8">
        <v>80118</v>
      </c>
      <c r="B91" s="6" t="s">
        <v>138</v>
      </c>
      <c r="C91" s="7" t="s">
        <v>102</v>
      </c>
      <c r="D91" s="6" t="s">
        <v>101</v>
      </c>
    </row>
    <row r="92" spans="1:4" x14ac:dyDescent="0.25">
      <c r="A92" s="11">
        <v>80519</v>
      </c>
      <c r="B92" s="9" t="s">
        <v>138</v>
      </c>
      <c r="C92" s="10" t="s">
        <v>102</v>
      </c>
      <c r="D92" s="9" t="s">
        <v>101</v>
      </c>
    </row>
    <row r="93" spans="1:4" x14ac:dyDescent="0.25">
      <c r="A93" s="8">
        <v>80316</v>
      </c>
      <c r="B93" s="6" t="s">
        <v>103</v>
      </c>
      <c r="C93" s="7" t="s">
        <v>102</v>
      </c>
      <c r="D93" s="6" t="s">
        <v>101</v>
      </c>
    </row>
    <row r="94" spans="1:4" x14ac:dyDescent="0.25">
      <c r="A94" s="11">
        <v>80217</v>
      </c>
      <c r="B94" s="9" t="s">
        <v>138</v>
      </c>
      <c r="C94" s="10" t="s">
        <v>102</v>
      </c>
      <c r="D94" s="9" t="s">
        <v>101</v>
      </c>
    </row>
    <row r="95" spans="1:4" x14ac:dyDescent="0.25">
      <c r="A95" s="8">
        <v>821722</v>
      </c>
      <c r="B95" s="6" t="s">
        <v>105</v>
      </c>
      <c r="C95" s="7" t="s">
        <v>32</v>
      </c>
      <c r="D95" s="6" t="s">
        <v>104</v>
      </c>
    </row>
    <row r="96" spans="1:4" x14ac:dyDescent="0.25">
      <c r="A96" s="11">
        <v>811722</v>
      </c>
      <c r="B96" s="9" t="s">
        <v>41</v>
      </c>
      <c r="C96" s="10" t="s">
        <v>32</v>
      </c>
      <c r="D96" s="9" t="s">
        <v>31</v>
      </c>
    </row>
    <row r="97" spans="1:4" x14ac:dyDescent="0.25">
      <c r="A97" s="8">
        <v>821822</v>
      </c>
      <c r="B97" s="6" t="s">
        <v>105</v>
      </c>
      <c r="C97" s="7" t="s">
        <v>32</v>
      </c>
      <c r="D97" s="6" t="s">
        <v>104</v>
      </c>
    </row>
    <row r="98" spans="1:4" x14ac:dyDescent="0.25">
      <c r="A98" s="11">
        <v>811822</v>
      </c>
      <c r="B98" s="9" t="s">
        <v>41</v>
      </c>
      <c r="C98" s="10" t="s">
        <v>32</v>
      </c>
      <c r="D98" s="9" t="s">
        <v>31</v>
      </c>
    </row>
    <row r="99" spans="1:4" x14ac:dyDescent="0.25">
      <c r="A99" s="8">
        <v>821922</v>
      </c>
      <c r="B99" s="6" t="s">
        <v>105</v>
      </c>
      <c r="C99" s="7" t="s">
        <v>32</v>
      </c>
      <c r="D99" s="6" t="s">
        <v>104</v>
      </c>
    </row>
    <row r="100" spans="1:4" x14ac:dyDescent="0.25">
      <c r="A100" s="11">
        <v>811922</v>
      </c>
      <c r="B100" s="9" t="s">
        <v>41</v>
      </c>
      <c r="C100" s="10" t="s">
        <v>32</v>
      </c>
      <c r="D100" s="9" t="s">
        <v>31</v>
      </c>
    </row>
    <row r="101" spans="1:4" x14ac:dyDescent="0.25">
      <c r="A101" s="8">
        <v>822022</v>
      </c>
      <c r="B101" s="6" t="s">
        <v>105</v>
      </c>
      <c r="C101" s="7" t="s">
        <v>32</v>
      </c>
      <c r="D101" s="6" t="s">
        <v>104</v>
      </c>
    </row>
    <row r="102" spans="1:4" x14ac:dyDescent="0.25">
      <c r="A102" s="11">
        <v>812022</v>
      </c>
      <c r="B102" s="9" t="s">
        <v>41</v>
      </c>
      <c r="C102" s="10" t="s">
        <v>32</v>
      </c>
      <c r="D102" s="9" t="s">
        <v>31</v>
      </c>
    </row>
    <row r="103" spans="1:4" x14ac:dyDescent="0.25">
      <c r="A103" s="8">
        <v>311017</v>
      </c>
      <c r="B103" s="6" t="s">
        <v>38</v>
      </c>
      <c r="C103" s="7" t="s">
        <v>35</v>
      </c>
      <c r="D103" s="6" t="s">
        <v>47</v>
      </c>
    </row>
    <row r="104" spans="1:4" x14ac:dyDescent="0.25">
      <c r="A104" s="11">
        <v>60121</v>
      </c>
      <c r="B104" s="9" t="s">
        <v>139</v>
      </c>
      <c r="C104" s="10" t="s">
        <v>84</v>
      </c>
      <c r="D104" s="9" t="s">
        <v>83</v>
      </c>
    </row>
    <row r="105" spans="1:4" x14ac:dyDescent="0.25">
      <c r="A105" s="8">
        <v>80120</v>
      </c>
      <c r="B105" s="6" t="s">
        <v>138</v>
      </c>
      <c r="C105" s="7" t="s">
        <v>102</v>
      </c>
      <c r="D105" s="6" t="s">
        <v>101</v>
      </c>
    </row>
    <row r="106" spans="1:4" x14ac:dyDescent="0.25">
      <c r="A106" s="11">
        <v>87285</v>
      </c>
      <c r="B106" s="9" t="s">
        <v>111</v>
      </c>
      <c r="C106" s="10" t="s">
        <v>32</v>
      </c>
      <c r="D106" s="9" t="s">
        <v>111</v>
      </c>
    </row>
    <row r="107" spans="1:4" x14ac:dyDescent="0.25">
      <c r="A107" s="8">
        <v>87287</v>
      </c>
      <c r="B107" s="6" t="s">
        <v>111</v>
      </c>
      <c r="C107" s="7" t="s">
        <v>32</v>
      </c>
      <c r="D107" s="6" t="s">
        <v>111</v>
      </c>
    </row>
    <row r="108" spans="1:4" x14ac:dyDescent="0.25">
      <c r="A108" s="11">
        <v>82322</v>
      </c>
      <c r="B108" s="9" t="s">
        <v>105</v>
      </c>
      <c r="C108" s="10" t="s">
        <v>32</v>
      </c>
      <c r="D108" s="9" t="s">
        <v>104</v>
      </c>
    </row>
    <row r="109" spans="1:4" x14ac:dyDescent="0.25">
      <c r="A109" s="8">
        <v>81322</v>
      </c>
      <c r="B109" s="6" t="s">
        <v>41</v>
      </c>
      <c r="C109" s="7" t="s">
        <v>32</v>
      </c>
      <c r="D109" s="6" t="s">
        <v>31</v>
      </c>
    </row>
    <row r="110" spans="1:4" x14ac:dyDescent="0.25">
      <c r="A110" s="11">
        <v>80420</v>
      </c>
      <c r="B110" s="9" t="s">
        <v>138</v>
      </c>
      <c r="C110" s="10" t="s">
        <v>102</v>
      </c>
      <c r="D110" s="9" t="s">
        <v>101</v>
      </c>
    </row>
    <row r="111" spans="1:4" x14ac:dyDescent="0.25">
      <c r="A111" s="8">
        <v>82224</v>
      </c>
      <c r="B111" s="6" t="s">
        <v>124</v>
      </c>
      <c r="C111" s="7" t="s">
        <v>32</v>
      </c>
      <c r="D111" s="6" t="s">
        <v>104</v>
      </c>
    </row>
    <row r="112" spans="1:4" x14ac:dyDescent="0.25">
      <c r="A112" s="11">
        <v>81224</v>
      </c>
      <c r="B112" s="9" t="s">
        <v>33</v>
      </c>
      <c r="C112" s="10" t="s">
        <v>32</v>
      </c>
      <c r="D112" s="9" t="s">
        <v>31</v>
      </c>
    </row>
    <row r="113" spans="1:4" x14ac:dyDescent="0.25">
      <c r="A113" s="8">
        <v>81324</v>
      </c>
      <c r="B113" s="6" t="s">
        <v>33</v>
      </c>
      <c r="C113" s="7" t="s">
        <v>32</v>
      </c>
      <c r="D113" s="6" t="s">
        <v>31</v>
      </c>
    </row>
    <row r="114" spans="1:4" x14ac:dyDescent="0.25">
      <c r="A114" s="11">
        <v>82324</v>
      </c>
      <c r="B114" s="9" t="s">
        <v>124</v>
      </c>
      <c r="C114" s="10" t="s">
        <v>32</v>
      </c>
      <c r="D114" s="9" t="s">
        <v>104</v>
      </c>
    </row>
    <row r="115" spans="1:4" x14ac:dyDescent="0.25">
      <c r="A115" s="8">
        <v>38120</v>
      </c>
      <c r="B115" s="6" t="s">
        <v>36</v>
      </c>
      <c r="C115" s="7" t="s">
        <v>35</v>
      </c>
      <c r="D115" s="6" t="s">
        <v>34</v>
      </c>
    </row>
    <row r="116" spans="1:4" x14ac:dyDescent="0.25">
      <c r="A116" s="11">
        <v>41409</v>
      </c>
      <c r="B116" s="9" t="s">
        <v>131</v>
      </c>
      <c r="C116" s="10" t="s">
        <v>35</v>
      </c>
      <c r="D116" s="9" t="s">
        <v>51</v>
      </c>
    </row>
    <row r="117" spans="1:4" x14ac:dyDescent="0.25">
      <c r="A117" s="8">
        <v>527</v>
      </c>
      <c r="B117" s="6" t="s">
        <v>137</v>
      </c>
      <c r="C117" s="7" t="s">
        <v>134</v>
      </c>
      <c r="D117" s="6" t="s">
        <v>134</v>
      </c>
    </row>
    <row r="118" spans="1:4" x14ac:dyDescent="0.25">
      <c r="A118" s="11">
        <v>435</v>
      </c>
      <c r="B118" s="9" t="s">
        <v>136</v>
      </c>
      <c r="C118" s="10" t="s">
        <v>118</v>
      </c>
      <c r="D118" s="9" t="s">
        <v>117</v>
      </c>
    </row>
    <row r="119" spans="1:4" x14ac:dyDescent="0.25">
      <c r="A119" s="8">
        <v>50118</v>
      </c>
      <c r="B119" s="6" t="s">
        <v>135</v>
      </c>
      <c r="C119" s="7" t="s">
        <v>134</v>
      </c>
      <c r="D119" s="6" t="s">
        <v>134</v>
      </c>
    </row>
    <row r="120" spans="1:4" x14ac:dyDescent="0.25">
      <c r="A120" s="11">
        <v>82422</v>
      </c>
      <c r="B120" s="9" t="s">
        <v>105</v>
      </c>
      <c r="C120" s="10" t="s">
        <v>32</v>
      </c>
      <c r="D120" s="9" t="s">
        <v>104</v>
      </c>
    </row>
    <row r="121" spans="1:4" x14ac:dyDescent="0.25">
      <c r="A121" s="8">
        <v>81422</v>
      </c>
      <c r="B121" s="6" t="s">
        <v>41</v>
      </c>
      <c r="C121" s="7" t="s">
        <v>32</v>
      </c>
      <c r="D121" s="6" t="s">
        <v>31</v>
      </c>
    </row>
    <row r="122" spans="1:4" x14ac:dyDescent="0.25">
      <c r="A122" s="11">
        <v>82522</v>
      </c>
      <c r="B122" s="9" t="s">
        <v>105</v>
      </c>
      <c r="C122" s="10" t="s">
        <v>32</v>
      </c>
      <c r="D122" s="9" t="s">
        <v>104</v>
      </c>
    </row>
    <row r="123" spans="1:4" x14ac:dyDescent="0.25">
      <c r="A123" s="8">
        <v>81522</v>
      </c>
      <c r="B123" s="6" t="s">
        <v>41</v>
      </c>
      <c r="C123" s="7" t="s">
        <v>32</v>
      </c>
      <c r="D123" s="6" t="s">
        <v>31</v>
      </c>
    </row>
    <row r="124" spans="1:4" x14ac:dyDescent="0.25">
      <c r="A124" s="11">
        <v>82424</v>
      </c>
      <c r="B124" s="9" t="s">
        <v>124</v>
      </c>
      <c r="C124" s="10" t="s">
        <v>32</v>
      </c>
      <c r="D124" s="9" t="s">
        <v>104</v>
      </c>
    </row>
    <row r="125" spans="1:4" x14ac:dyDescent="0.25">
      <c r="A125" s="8">
        <v>81424</v>
      </c>
      <c r="B125" s="6" t="s">
        <v>33</v>
      </c>
      <c r="C125" s="7" t="s">
        <v>32</v>
      </c>
      <c r="D125" s="6" t="s">
        <v>31</v>
      </c>
    </row>
    <row r="126" spans="1:4" x14ac:dyDescent="0.25">
      <c r="A126" s="11">
        <v>81524</v>
      </c>
      <c r="B126" s="9" t="s">
        <v>33</v>
      </c>
      <c r="C126" s="10" t="s">
        <v>32</v>
      </c>
      <c r="D126" s="9" t="s">
        <v>31</v>
      </c>
    </row>
    <row r="127" spans="1:4" x14ac:dyDescent="0.25">
      <c r="A127" s="8">
        <v>82524</v>
      </c>
      <c r="B127" s="6" t="s">
        <v>124</v>
      </c>
      <c r="C127" s="7" t="s">
        <v>32</v>
      </c>
      <c r="D127" s="6" t="s">
        <v>104</v>
      </c>
    </row>
    <row r="128" spans="1:4" x14ac:dyDescent="0.25">
      <c r="A128" s="11">
        <v>33120</v>
      </c>
      <c r="B128" s="9" t="s">
        <v>133</v>
      </c>
      <c r="C128" s="10" t="s">
        <v>35</v>
      </c>
      <c r="D128" s="9" t="s">
        <v>107</v>
      </c>
    </row>
    <row r="129" spans="1:4" x14ac:dyDescent="0.25">
      <c r="A129" s="8">
        <v>31121</v>
      </c>
      <c r="B129" s="6" t="s">
        <v>132</v>
      </c>
      <c r="C129" s="7" t="s">
        <v>35</v>
      </c>
      <c r="D129" s="6" t="s">
        <v>37</v>
      </c>
    </row>
    <row r="130" spans="1:4" x14ac:dyDescent="0.25">
      <c r="A130" s="11">
        <v>85124</v>
      </c>
      <c r="B130" s="9" t="s">
        <v>130</v>
      </c>
      <c r="C130" s="10" t="s">
        <v>45</v>
      </c>
      <c r="D130" s="9" t="s">
        <v>129</v>
      </c>
    </row>
    <row r="131" spans="1:4" x14ac:dyDescent="0.25">
      <c r="A131" s="8">
        <v>82622</v>
      </c>
      <c r="B131" s="6" t="s">
        <v>105</v>
      </c>
      <c r="C131" s="7" t="s">
        <v>32</v>
      </c>
      <c r="D131" s="6" t="s">
        <v>104</v>
      </c>
    </row>
    <row r="132" spans="1:4" x14ac:dyDescent="0.25">
      <c r="A132" s="11">
        <v>81622</v>
      </c>
      <c r="B132" s="9" t="s">
        <v>41</v>
      </c>
      <c r="C132" s="10" t="s">
        <v>32</v>
      </c>
      <c r="D132" s="9" t="s">
        <v>31</v>
      </c>
    </row>
    <row r="133" spans="1:4" x14ac:dyDescent="0.25">
      <c r="A133" s="8">
        <v>82722</v>
      </c>
      <c r="B133" s="6" t="s">
        <v>105</v>
      </c>
      <c r="C133" s="7" t="s">
        <v>32</v>
      </c>
      <c r="D133" s="6" t="s">
        <v>104</v>
      </c>
    </row>
    <row r="134" spans="1:4" x14ac:dyDescent="0.25">
      <c r="A134" s="11">
        <v>81722</v>
      </c>
      <c r="B134" s="9" t="s">
        <v>41</v>
      </c>
      <c r="C134" s="10" t="s">
        <v>32</v>
      </c>
      <c r="D134" s="9" t="s">
        <v>31</v>
      </c>
    </row>
    <row r="135" spans="1:4" x14ac:dyDescent="0.25">
      <c r="A135" s="8">
        <v>41509</v>
      </c>
      <c r="B135" s="6" t="s">
        <v>131</v>
      </c>
      <c r="C135" s="7" t="s">
        <v>35</v>
      </c>
      <c r="D135" s="6" t="s">
        <v>51</v>
      </c>
    </row>
    <row r="136" spans="1:4" x14ac:dyDescent="0.25">
      <c r="A136" s="11">
        <v>82624</v>
      </c>
      <c r="B136" s="9" t="s">
        <v>124</v>
      </c>
      <c r="C136" s="10" t="s">
        <v>32</v>
      </c>
      <c r="D136" s="9" t="s">
        <v>104</v>
      </c>
    </row>
    <row r="137" spans="1:4" x14ac:dyDescent="0.25">
      <c r="A137" s="8">
        <v>81624</v>
      </c>
      <c r="B137" s="6" t="s">
        <v>33</v>
      </c>
      <c r="C137" s="7" t="s">
        <v>32</v>
      </c>
      <c r="D137" s="6" t="s">
        <v>31</v>
      </c>
    </row>
    <row r="138" spans="1:4" x14ac:dyDescent="0.25">
      <c r="A138" s="11">
        <v>81724</v>
      </c>
      <c r="B138" s="9" t="s">
        <v>33</v>
      </c>
      <c r="C138" s="10" t="s">
        <v>32</v>
      </c>
      <c r="D138" s="9" t="s">
        <v>31</v>
      </c>
    </row>
    <row r="139" spans="1:4" x14ac:dyDescent="0.25">
      <c r="A139" s="8">
        <v>82724</v>
      </c>
      <c r="B139" s="6" t="s">
        <v>124</v>
      </c>
      <c r="C139" s="7" t="s">
        <v>32</v>
      </c>
      <c r="D139" s="6" t="s">
        <v>104</v>
      </c>
    </row>
    <row r="140" spans="1:4" x14ac:dyDescent="0.25">
      <c r="A140" s="11">
        <v>85224</v>
      </c>
      <c r="B140" s="9" t="s">
        <v>130</v>
      </c>
      <c r="C140" s="10" t="s">
        <v>45</v>
      </c>
      <c r="D140" s="9" t="s">
        <v>129</v>
      </c>
    </row>
    <row r="141" spans="1:4" x14ac:dyDescent="0.25">
      <c r="A141" s="8">
        <v>91</v>
      </c>
      <c r="B141" s="6" t="s">
        <v>117</v>
      </c>
      <c r="C141" s="7" t="s">
        <v>118</v>
      </c>
      <c r="D141" s="6" t="s">
        <v>117</v>
      </c>
    </row>
    <row r="142" spans="1:4" x14ac:dyDescent="0.25">
      <c r="A142" s="11">
        <v>13106</v>
      </c>
      <c r="B142" s="9" t="s">
        <v>128</v>
      </c>
      <c r="C142" s="10" t="s">
        <v>127</v>
      </c>
      <c r="D142" s="9" t="s">
        <v>127</v>
      </c>
    </row>
    <row r="143" spans="1:4" x14ac:dyDescent="0.25">
      <c r="A143" s="8">
        <v>17419</v>
      </c>
      <c r="B143" s="6" t="s">
        <v>115</v>
      </c>
      <c r="C143" s="7" t="s">
        <v>91</v>
      </c>
      <c r="D143" s="6" t="s">
        <v>90</v>
      </c>
    </row>
    <row r="144" spans="1:4" x14ac:dyDescent="0.25">
      <c r="A144" s="11">
        <v>38121</v>
      </c>
      <c r="B144" s="9" t="s">
        <v>36</v>
      </c>
      <c r="C144" s="10" t="s">
        <v>35</v>
      </c>
      <c r="D144" s="9" t="s">
        <v>34</v>
      </c>
    </row>
    <row r="145" spans="1:4" x14ac:dyDescent="0.25">
      <c r="A145" s="8">
        <v>408</v>
      </c>
      <c r="B145" s="6" t="s">
        <v>116</v>
      </c>
      <c r="C145" s="7" t="s">
        <v>45</v>
      </c>
      <c r="D145" s="6" t="s">
        <v>109</v>
      </c>
    </row>
    <row r="146" spans="1:4" x14ac:dyDescent="0.25">
      <c r="A146" s="11">
        <v>543</v>
      </c>
      <c r="B146" s="9" t="s">
        <v>126</v>
      </c>
      <c r="C146" s="10" t="s">
        <v>84</v>
      </c>
      <c r="D146" s="9" t="s">
        <v>83</v>
      </c>
    </row>
    <row r="147" spans="1:4" x14ac:dyDescent="0.25">
      <c r="A147" s="8">
        <v>313</v>
      </c>
      <c r="B147" s="6" t="s">
        <v>125</v>
      </c>
      <c r="C147" s="7" t="s">
        <v>84</v>
      </c>
      <c r="D147" s="6" t="s">
        <v>83</v>
      </c>
    </row>
    <row r="148" spans="1:4" x14ac:dyDescent="0.25">
      <c r="A148" s="11">
        <v>17119</v>
      </c>
      <c r="B148" s="9" t="s">
        <v>115</v>
      </c>
      <c r="C148" s="10" t="s">
        <v>91</v>
      </c>
      <c r="D148" s="9" t="s">
        <v>90</v>
      </c>
    </row>
    <row r="149" spans="1:4" x14ac:dyDescent="0.25">
      <c r="A149" s="8">
        <v>82822</v>
      </c>
      <c r="B149" s="6" t="s">
        <v>105</v>
      </c>
      <c r="C149" s="7" t="s">
        <v>32</v>
      </c>
      <c r="D149" s="6" t="s">
        <v>104</v>
      </c>
    </row>
    <row r="150" spans="1:4" x14ac:dyDescent="0.25">
      <c r="A150" s="11">
        <v>81822</v>
      </c>
      <c r="B150" s="9" t="s">
        <v>41</v>
      </c>
      <c r="C150" s="10" t="s">
        <v>32</v>
      </c>
      <c r="D150" s="9" t="s">
        <v>31</v>
      </c>
    </row>
    <row r="151" spans="1:4" x14ac:dyDescent="0.25">
      <c r="A151" s="8">
        <v>82922</v>
      </c>
      <c r="B151" s="6" t="s">
        <v>105</v>
      </c>
      <c r="C151" s="7" t="s">
        <v>32</v>
      </c>
      <c r="D151" s="6" t="s">
        <v>104</v>
      </c>
    </row>
    <row r="152" spans="1:4" x14ac:dyDescent="0.25">
      <c r="A152" s="11">
        <v>81922</v>
      </c>
      <c r="B152" s="9" t="s">
        <v>41</v>
      </c>
      <c r="C152" s="10" t="s">
        <v>32</v>
      </c>
      <c r="D152" s="9" t="s">
        <v>31</v>
      </c>
    </row>
    <row r="153" spans="1:4" x14ac:dyDescent="0.25">
      <c r="A153" s="8">
        <v>82824</v>
      </c>
      <c r="B153" s="6" t="s">
        <v>124</v>
      </c>
      <c r="C153" s="7" t="s">
        <v>32</v>
      </c>
      <c r="D153" s="6" t="s">
        <v>104</v>
      </c>
    </row>
    <row r="154" spans="1:4" x14ac:dyDescent="0.25">
      <c r="A154" s="11">
        <v>87317</v>
      </c>
      <c r="B154" s="9" t="s">
        <v>111</v>
      </c>
      <c r="C154" s="10" t="s">
        <v>32</v>
      </c>
      <c r="D154" s="9" t="s">
        <v>111</v>
      </c>
    </row>
    <row r="155" spans="1:4" x14ac:dyDescent="0.25">
      <c r="A155" s="8">
        <v>81924</v>
      </c>
      <c r="B155" s="6" t="s">
        <v>33</v>
      </c>
      <c r="C155" s="7" t="s">
        <v>32</v>
      </c>
      <c r="D155" s="6" t="s">
        <v>31</v>
      </c>
    </row>
    <row r="156" spans="1:4" x14ac:dyDescent="0.25">
      <c r="A156" s="11">
        <v>82924</v>
      </c>
      <c r="B156" s="9" t="s">
        <v>124</v>
      </c>
      <c r="C156" s="10" t="s">
        <v>32</v>
      </c>
      <c r="D156" s="9" t="s">
        <v>104</v>
      </c>
    </row>
    <row r="157" spans="1:4" x14ac:dyDescent="0.25">
      <c r="A157" s="8">
        <v>33111</v>
      </c>
      <c r="B157" s="6" t="s">
        <v>123</v>
      </c>
      <c r="C157" s="7" t="s">
        <v>35</v>
      </c>
      <c r="D157" s="6" t="s">
        <v>107</v>
      </c>
    </row>
    <row r="158" spans="1:4" x14ac:dyDescent="0.25">
      <c r="A158" s="11">
        <v>41709</v>
      </c>
      <c r="B158" s="9" t="s">
        <v>122</v>
      </c>
      <c r="C158" s="10" t="s">
        <v>35</v>
      </c>
      <c r="D158" s="9" t="s">
        <v>51</v>
      </c>
    </row>
    <row r="159" spans="1:4" x14ac:dyDescent="0.25">
      <c r="A159" s="8">
        <v>26115</v>
      </c>
      <c r="B159" s="6" t="s">
        <v>121</v>
      </c>
      <c r="C159" s="7" t="s">
        <v>45</v>
      </c>
      <c r="D159" s="6" t="s">
        <v>120</v>
      </c>
    </row>
    <row r="160" spans="1:4" x14ac:dyDescent="0.25">
      <c r="A160" s="11">
        <v>20123</v>
      </c>
      <c r="B160" s="9" t="s">
        <v>119</v>
      </c>
      <c r="C160" s="10" t="s">
        <v>118</v>
      </c>
      <c r="D160" s="9" t="s">
        <v>117</v>
      </c>
    </row>
    <row r="161" spans="1:4" x14ac:dyDescent="0.25">
      <c r="A161" s="8">
        <v>87417</v>
      </c>
      <c r="B161" s="6" t="s">
        <v>111</v>
      </c>
      <c r="C161" s="7" t="s">
        <v>32</v>
      </c>
      <c r="D161" s="6" t="s">
        <v>111</v>
      </c>
    </row>
    <row r="162" spans="1:4" x14ac:dyDescent="0.25">
      <c r="A162" s="11">
        <v>87124</v>
      </c>
      <c r="B162" s="9" t="s">
        <v>111</v>
      </c>
      <c r="C162" s="10" t="s">
        <v>32</v>
      </c>
      <c r="D162" s="9" t="s">
        <v>111</v>
      </c>
    </row>
    <row r="163" spans="1:4" x14ac:dyDescent="0.25">
      <c r="A163" s="8">
        <v>414</v>
      </c>
      <c r="B163" s="6" t="s">
        <v>116</v>
      </c>
      <c r="C163" s="7" t="s">
        <v>45</v>
      </c>
      <c r="D163" s="6" t="s">
        <v>109</v>
      </c>
    </row>
    <row r="164" spans="1:4" x14ac:dyDescent="0.25">
      <c r="A164" s="11">
        <v>17121</v>
      </c>
      <c r="B164" s="9" t="s">
        <v>115</v>
      </c>
      <c r="C164" s="10" t="s">
        <v>91</v>
      </c>
      <c r="D164" s="9" t="s">
        <v>90</v>
      </c>
    </row>
    <row r="165" spans="1:4" x14ac:dyDescent="0.25">
      <c r="A165" s="8">
        <v>87387</v>
      </c>
      <c r="B165" s="6" t="s">
        <v>111</v>
      </c>
      <c r="C165" s="7" t="s">
        <v>32</v>
      </c>
      <c r="D165" s="6" t="s">
        <v>111</v>
      </c>
    </row>
    <row r="166" spans="1:4" x14ac:dyDescent="0.25">
      <c r="A166" s="11">
        <v>31220</v>
      </c>
      <c r="B166" s="9" t="s">
        <v>48</v>
      </c>
      <c r="C166" s="10" t="s">
        <v>35</v>
      </c>
      <c r="D166" s="9" t="s">
        <v>37</v>
      </c>
    </row>
    <row r="167" spans="1:4" x14ac:dyDescent="0.25">
      <c r="A167" s="8">
        <v>87517</v>
      </c>
      <c r="B167" s="6" t="s">
        <v>111</v>
      </c>
      <c r="C167" s="7" t="s">
        <v>32</v>
      </c>
      <c r="D167" s="6" t="s">
        <v>111</v>
      </c>
    </row>
    <row r="168" spans="1:4" x14ac:dyDescent="0.25">
      <c r="A168" s="11">
        <v>11116</v>
      </c>
      <c r="B168" s="9" t="s">
        <v>94</v>
      </c>
      <c r="C168" s="10" t="s">
        <v>59</v>
      </c>
      <c r="D168" s="9" t="s">
        <v>76</v>
      </c>
    </row>
    <row r="169" spans="1:4" x14ac:dyDescent="0.25">
      <c r="A169" s="8">
        <v>87487</v>
      </c>
      <c r="B169" s="6" t="s">
        <v>111</v>
      </c>
      <c r="C169" s="7" t="s">
        <v>32</v>
      </c>
      <c r="D169" s="6" t="s">
        <v>111</v>
      </c>
    </row>
    <row r="170" spans="1:4" x14ac:dyDescent="0.25">
      <c r="A170" s="11">
        <v>87617</v>
      </c>
      <c r="B170" s="9" t="s">
        <v>111</v>
      </c>
      <c r="C170" s="10" t="s">
        <v>32</v>
      </c>
      <c r="D170" s="9" t="s">
        <v>111</v>
      </c>
    </row>
    <row r="171" spans="1:4" x14ac:dyDescent="0.25">
      <c r="A171" s="8">
        <v>78120</v>
      </c>
      <c r="B171" s="6" t="s">
        <v>110</v>
      </c>
      <c r="C171" s="7" t="s">
        <v>45</v>
      </c>
      <c r="D171" s="6" t="s">
        <v>109</v>
      </c>
    </row>
    <row r="172" spans="1:4" x14ac:dyDescent="0.25">
      <c r="A172" s="11">
        <v>38122</v>
      </c>
      <c r="B172" s="9" t="s">
        <v>36</v>
      </c>
      <c r="C172" s="10" t="s">
        <v>35</v>
      </c>
      <c r="D172" s="9" t="s">
        <v>34</v>
      </c>
    </row>
    <row r="173" spans="1:4" x14ac:dyDescent="0.25">
      <c r="A173" s="8">
        <v>39110</v>
      </c>
      <c r="B173" s="6" t="s">
        <v>114</v>
      </c>
      <c r="C173" s="7" t="s">
        <v>35</v>
      </c>
      <c r="D173" s="6" t="s">
        <v>113</v>
      </c>
    </row>
    <row r="174" spans="1:4" x14ac:dyDescent="0.25">
      <c r="A174" s="11">
        <v>87587</v>
      </c>
      <c r="B174" s="9" t="s">
        <v>111</v>
      </c>
      <c r="C174" s="10" t="s">
        <v>32</v>
      </c>
      <c r="D174" s="9" t="s">
        <v>111</v>
      </c>
    </row>
    <row r="175" spans="1:4" x14ac:dyDescent="0.25">
      <c r="A175" s="8">
        <v>83108</v>
      </c>
      <c r="B175" s="6" t="s">
        <v>50</v>
      </c>
      <c r="C175" s="7" t="s">
        <v>45</v>
      </c>
      <c r="D175" s="6" t="s">
        <v>49</v>
      </c>
    </row>
    <row r="176" spans="1:4" x14ac:dyDescent="0.25">
      <c r="A176" s="11">
        <v>11418</v>
      </c>
      <c r="B176" s="9" t="s">
        <v>87</v>
      </c>
      <c r="C176" s="10" t="s">
        <v>59</v>
      </c>
      <c r="D176" s="9" t="s">
        <v>86</v>
      </c>
    </row>
    <row r="177" spans="1:4" x14ac:dyDescent="0.25">
      <c r="A177" s="8">
        <v>11216</v>
      </c>
      <c r="B177" s="6" t="s">
        <v>94</v>
      </c>
      <c r="C177" s="7" t="s">
        <v>59</v>
      </c>
      <c r="D177" s="6" t="s">
        <v>76</v>
      </c>
    </row>
    <row r="178" spans="1:4" x14ac:dyDescent="0.25">
      <c r="A178" s="11">
        <v>329</v>
      </c>
      <c r="B178" s="9" t="s">
        <v>112</v>
      </c>
      <c r="C178" s="10" t="s">
        <v>84</v>
      </c>
      <c r="D178" s="9" t="s">
        <v>83</v>
      </c>
    </row>
    <row r="179" spans="1:4" x14ac:dyDescent="0.25">
      <c r="A179" s="8">
        <v>87817</v>
      </c>
      <c r="B179" s="6" t="s">
        <v>111</v>
      </c>
      <c r="C179" s="7" t="s">
        <v>32</v>
      </c>
      <c r="D179" s="6" t="s">
        <v>111</v>
      </c>
    </row>
    <row r="180" spans="1:4" x14ac:dyDescent="0.25">
      <c r="A180" s="11">
        <v>87717</v>
      </c>
      <c r="B180" s="9" t="s">
        <v>111</v>
      </c>
      <c r="C180" s="10" t="s">
        <v>32</v>
      </c>
      <c r="D180" s="9" t="s">
        <v>111</v>
      </c>
    </row>
    <row r="181" spans="1:4" x14ac:dyDescent="0.25">
      <c r="A181" s="8">
        <v>78220</v>
      </c>
      <c r="B181" s="6" t="s">
        <v>110</v>
      </c>
      <c r="C181" s="7" t="s">
        <v>45</v>
      </c>
      <c r="D181" s="6" t="s">
        <v>109</v>
      </c>
    </row>
    <row r="182" spans="1:4" x14ac:dyDescent="0.25">
      <c r="A182" s="11">
        <v>33110</v>
      </c>
      <c r="B182" s="9" t="s">
        <v>108</v>
      </c>
      <c r="C182" s="10" t="s">
        <v>35</v>
      </c>
      <c r="D182" s="9" t="s">
        <v>107</v>
      </c>
    </row>
    <row r="183" spans="1:4" x14ac:dyDescent="0.25">
      <c r="A183" s="8">
        <v>31319</v>
      </c>
      <c r="B183" s="6" t="s">
        <v>48</v>
      </c>
      <c r="C183" s="7" t="s">
        <v>35</v>
      </c>
      <c r="D183" s="6" t="s">
        <v>37</v>
      </c>
    </row>
    <row r="184" spans="1:4" x14ac:dyDescent="0.25">
      <c r="A184" s="11">
        <v>11518</v>
      </c>
      <c r="B184" s="9" t="s">
        <v>87</v>
      </c>
      <c r="C184" s="10" t="s">
        <v>59</v>
      </c>
      <c r="D184" s="9" t="s">
        <v>86</v>
      </c>
    </row>
    <row r="185" spans="1:4" x14ac:dyDescent="0.25">
      <c r="A185" s="8">
        <v>11321</v>
      </c>
      <c r="B185" s="6" t="s">
        <v>106</v>
      </c>
      <c r="C185" s="7" t="s">
        <v>59</v>
      </c>
      <c r="D185" s="6" t="s">
        <v>76</v>
      </c>
    </row>
    <row r="186" spans="1:4" x14ac:dyDescent="0.25">
      <c r="A186" s="11">
        <v>82222</v>
      </c>
      <c r="B186" s="9" t="s">
        <v>105</v>
      </c>
      <c r="C186" s="10" t="s">
        <v>32</v>
      </c>
      <c r="D186" s="9" t="s">
        <v>104</v>
      </c>
    </row>
    <row r="187" spans="1:4" x14ac:dyDescent="0.25">
      <c r="A187" s="8">
        <v>5715</v>
      </c>
      <c r="B187" s="6" t="s">
        <v>99</v>
      </c>
      <c r="C187" s="7" t="s">
        <v>32</v>
      </c>
      <c r="D187" s="6" t="s">
        <v>98</v>
      </c>
    </row>
    <row r="188" spans="1:4" x14ac:dyDescent="0.25">
      <c r="A188" s="11">
        <v>80216</v>
      </c>
      <c r="B188" s="9" t="s">
        <v>103</v>
      </c>
      <c r="C188" s="10" t="s">
        <v>102</v>
      </c>
      <c r="D188" s="9" t="s">
        <v>101</v>
      </c>
    </row>
    <row r="189" spans="1:4" x14ac:dyDescent="0.25">
      <c r="A189" s="8">
        <v>6191</v>
      </c>
      <c r="B189" s="6" t="s">
        <v>100</v>
      </c>
      <c r="C189" s="7" t="s">
        <v>32</v>
      </c>
      <c r="D189" s="6" t="s">
        <v>98</v>
      </c>
    </row>
    <row r="190" spans="1:4" x14ac:dyDescent="0.25">
      <c r="A190" s="11">
        <v>5716</v>
      </c>
      <c r="B190" s="9" t="s">
        <v>99</v>
      </c>
      <c r="C190" s="10" t="s">
        <v>32</v>
      </c>
      <c r="D190" s="9" t="s">
        <v>98</v>
      </c>
    </row>
    <row r="191" spans="1:4" x14ac:dyDescent="0.25">
      <c r="A191" s="8">
        <v>38210</v>
      </c>
      <c r="B191" s="6" t="s">
        <v>55</v>
      </c>
      <c r="C191" s="7" t="s">
        <v>35</v>
      </c>
      <c r="D191" s="6" t="s">
        <v>34</v>
      </c>
    </row>
    <row r="192" spans="1:4" x14ac:dyDescent="0.25">
      <c r="A192" s="11">
        <v>698</v>
      </c>
      <c r="B192" s="9" t="s">
        <v>97</v>
      </c>
      <c r="C192" s="10" t="s">
        <v>35</v>
      </c>
      <c r="D192" s="9" t="s">
        <v>34</v>
      </c>
    </row>
    <row r="193" spans="1:4" x14ac:dyDescent="0.25">
      <c r="A193" s="8">
        <v>31320</v>
      </c>
      <c r="B193" s="6" t="s">
        <v>48</v>
      </c>
      <c r="C193" s="7" t="s">
        <v>35</v>
      </c>
      <c r="D193" s="6" t="s">
        <v>37</v>
      </c>
    </row>
    <row r="194" spans="1:4" x14ac:dyDescent="0.25">
      <c r="A194" s="11">
        <v>73110</v>
      </c>
      <c r="B194" s="9" t="s">
        <v>96</v>
      </c>
      <c r="C194" s="10" t="s">
        <v>45</v>
      </c>
      <c r="D194" s="9" t="s">
        <v>95</v>
      </c>
    </row>
    <row r="195" spans="1:4" x14ac:dyDescent="0.25">
      <c r="A195" s="8">
        <v>83116</v>
      </c>
      <c r="B195" s="6" t="s">
        <v>50</v>
      </c>
      <c r="C195" s="7" t="s">
        <v>45</v>
      </c>
      <c r="D195" s="6" t="s">
        <v>49</v>
      </c>
    </row>
    <row r="196" spans="1:4" x14ac:dyDescent="0.25">
      <c r="A196" s="11">
        <v>11618</v>
      </c>
      <c r="B196" s="9" t="s">
        <v>87</v>
      </c>
      <c r="C196" s="10" t="s">
        <v>59</v>
      </c>
      <c r="D196" s="9" t="s">
        <v>86</v>
      </c>
    </row>
    <row r="197" spans="1:4" x14ac:dyDescent="0.25">
      <c r="A197" s="8">
        <v>11416</v>
      </c>
      <c r="B197" s="6" t="s">
        <v>94</v>
      </c>
      <c r="C197" s="7" t="s">
        <v>59</v>
      </c>
      <c r="D197" s="6" t="s">
        <v>76</v>
      </c>
    </row>
    <row r="198" spans="1:4" x14ac:dyDescent="0.25">
      <c r="A198" s="11">
        <v>5598</v>
      </c>
      <c r="B198" s="9" t="s">
        <v>93</v>
      </c>
      <c r="C198" s="10" t="s">
        <v>32</v>
      </c>
      <c r="D198" s="9" t="s">
        <v>42</v>
      </c>
    </row>
    <row r="199" spans="1:4" x14ac:dyDescent="0.25">
      <c r="A199" s="8">
        <v>862</v>
      </c>
      <c r="B199" s="6" t="s">
        <v>92</v>
      </c>
      <c r="C199" s="7" t="s">
        <v>91</v>
      </c>
      <c r="D199" s="6" t="s">
        <v>90</v>
      </c>
    </row>
    <row r="200" spans="1:4" x14ac:dyDescent="0.25">
      <c r="A200" s="11">
        <v>79118</v>
      </c>
      <c r="B200" s="9" t="s">
        <v>89</v>
      </c>
      <c r="C200" s="10" t="s">
        <v>32</v>
      </c>
      <c r="D200" s="9" t="s">
        <v>42</v>
      </c>
    </row>
    <row r="201" spans="1:4" x14ac:dyDescent="0.25">
      <c r="A201" s="8">
        <v>5517</v>
      </c>
      <c r="B201" s="6" t="s">
        <v>88</v>
      </c>
      <c r="C201" s="7" t="s">
        <v>32</v>
      </c>
      <c r="D201" s="6" t="s">
        <v>42</v>
      </c>
    </row>
    <row r="202" spans="1:4" x14ac:dyDescent="0.25">
      <c r="A202" s="11">
        <v>31420</v>
      </c>
      <c r="B202" s="9" t="s">
        <v>48</v>
      </c>
      <c r="C202" s="10" t="s">
        <v>35</v>
      </c>
      <c r="D202" s="9" t="s">
        <v>37</v>
      </c>
    </row>
    <row r="203" spans="1:4" x14ac:dyDescent="0.25">
      <c r="A203" s="8">
        <v>11718</v>
      </c>
      <c r="B203" s="6" t="s">
        <v>87</v>
      </c>
      <c r="C203" s="7" t="s">
        <v>59</v>
      </c>
      <c r="D203" s="6" t="s">
        <v>86</v>
      </c>
    </row>
    <row r="204" spans="1:4" x14ac:dyDescent="0.25">
      <c r="A204" s="11">
        <v>11516</v>
      </c>
      <c r="B204" s="9" t="s">
        <v>79</v>
      </c>
      <c r="C204" s="10" t="s">
        <v>59</v>
      </c>
      <c r="D204" s="9" t="s">
        <v>76</v>
      </c>
    </row>
    <row r="205" spans="1:4" x14ac:dyDescent="0.25">
      <c r="A205" s="8">
        <v>60116</v>
      </c>
      <c r="B205" s="6" t="s">
        <v>85</v>
      </c>
      <c r="C205" s="7" t="s">
        <v>84</v>
      </c>
      <c r="D205" s="6" t="s">
        <v>83</v>
      </c>
    </row>
    <row r="206" spans="1:4" x14ac:dyDescent="0.25">
      <c r="A206" s="11">
        <v>5134</v>
      </c>
      <c r="B206" s="9" t="s">
        <v>69</v>
      </c>
      <c r="C206" s="10" t="s">
        <v>32</v>
      </c>
      <c r="D206" s="9" t="s">
        <v>68</v>
      </c>
    </row>
    <row r="207" spans="1:4" x14ac:dyDescent="0.25">
      <c r="A207" s="8">
        <v>5138</v>
      </c>
      <c r="B207" s="6" t="s">
        <v>74</v>
      </c>
      <c r="C207" s="7" t="s">
        <v>32</v>
      </c>
      <c r="D207" s="6" t="s">
        <v>68</v>
      </c>
    </row>
    <row r="208" spans="1:4" x14ac:dyDescent="0.25">
      <c r="A208" s="11">
        <v>5135</v>
      </c>
      <c r="B208" s="9" t="s">
        <v>69</v>
      </c>
      <c r="C208" s="10" t="s">
        <v>32</v>
      </c>
      <c r="D208" s="9" t="s">
        <v>68</v>
      </c>
    </row>
    <row r="209" spans="1:4" x14ac:dyDescent="0.25">
      <c r="A209" s="8">
        <v>36119</v>
      </c>
      <c r="B209" s="6" t="s">
        <v>72</v>
      </c>
      <c r="C209" s="7" t="s">
        <v>35</v>
      </c>
      <c r="D209" s="6" t="s">
        <v>64</v>
      </c>
    </row>
    <row r="210" spans="1:4" x14ac:dyDescent="0.25">
      <c r="A210" s="11">
        <v>38220</v>
      </c>
      <c r="B210" s="9" t="s">
        <v>36</v>
      </c>
      <c r="C210" s="10" t="s">
        <v>35</v>
      </c>
      <c r="D210" s="9" t="s">
        <v>34</v>
      </c>
    </row>
    <row r="211" spans="1:4" x14ac:dyDescent="0.25">
      <c r="A211" s="8">
        <v>31316</v>
      </c>
      <c r="B211" s="6" t="s">
        <v>48</v>
      </c>
      <c r="C211" s="7" t="s">
        <v>35</v>
      </c>
      <c r="D211" s="6" t="s">
        <v>47</v>
      </c>
    </row>
    <row r="212" spans="1:4" x14ac:dyDescent="0.25">
      <c r="A212" s="11">
        <v>31617</v>
      </c>
      <c r="B212" s="9" t="s">
        <v>38</v>
      </c>
      <c r="C212" s="10" t="s">
        <v>35</v>
      </c>
      <c r="D212" s="9" t="s">
        <v>37</v>
      </c>
    </row>
    <row r="213" spans="1:4" x14ac:dyDescent="0.25">
      <c r="A213" s="8">
        <v>5141</v>
      </c>
      <c r="B213" s="6" t="s">
        <v>74</v>
      </c>
      <c r="C213" s="7" t="s">
        <v>32</v>
      </c>
      <c r="D213" s="6" t="s">
        <v>68</v>
      </c>
    </row>
    <row r="214" spans="1:4" x14ac:dyDescent="0.25">
      <c r="A214" s="11">
        <v>72114</v>
      </c>
      <c r="B214" s="9" t="s">
        <v>82</v>
      </c>
      <c r="C214" s="10" t="s">
        <v>45</v>
      </c>
      <c r="D214" s="9" t="s">
        <v>81</v>
      </c>
    </row>
    <row r="215" spans="1:4" x14ac:dyDescent="0.25">
      <c r="A215" s="8">
        <v>83123</v>
      </c>
      <c r="B215" s="6" t="s">
        <v>50</v>
      </c>
      <c r="C215" s="7" t="s">
        <v>45</v>
      </c>
      <c r="D215" s="6" t="s">
        <v>49</v>
      </c>
    </row>
    <row r="216" spans="1:4" x14ac:dyDescent="0.25">
      <c r="A216" s="11">
        <v>11318</v>
      </c>
      <c r="B216" s="9" t="s">
        <v>80</v>
      </c>
      <c r="C216" s="10" t="s">
        <v>59</v>
      </c>
      <c r="D216" s="9" t="s">
        <v>58</v>
      </c>
    </row>
    <row r="217" spans="1:4" x14ac:dyDescent="0.25">
      <c r="A217" s="8">
        <v>11616</v>
      </c>
      <c r="B217" s="6" t="s">
        <v>79</v>
      </c>
      <c r="C217" s="7" t="s">
        <v>59</v>
      </c>
      <c r="D217" s="6" t="s">
        <v>76</v>
      </c>
    </row>
    <row r="218" spans="1:4" x14ac:dyDescent="0.25">
      <c r="A218" s="11">
        <v>5515</v>
      </c>
      <c r="B218" s="9" t="s">
        <v>78</v>
      </c>
      <c r="C218" s="10" t="s">
        <v>32</v>
      </c>
      <c r="D218" s="9" t="s">
        <v>42</v>
      </c>
    </row>
    <row r="219" spans="1:4" x14ac:dyDescent="0.25">
      <c r="A219" s="8">
        <v>5137</v>
      </c>
      <c r="B219" s="6" t="s">
        <v>69</v>
      </c>
      <c r="C219" s="7" t="s">
        <v>32</v>
      </c>
      <c r="D219" s="6" t="s">
        <v>68</v>
      </c>
    </row>
    <row r="220" spans="1:4" x14ac:dyDescent="0.25">
      <c r="A220" s="11">
        <v>5139</v>
      </c>
      <c r="B220" s="9" t="s">
        <v>74</v>
      </c>
      <c r="C220" s="10" t="s">
        <v>32</v>
      </c>
      <c r="D220" s="9" t="s">
        <v>68</v>
      </c>
    </row>
    <row r="221" spans="1:4" x14ac:dyDescent="0.25">
      <c r="A221" s="8">
        <v>36219</v>
      </c>
      <c r="B221" s="6" t="s">
        <v>72</v>
      </c>
      <c r="C221" s="7" t="s">
        <v>35</v>
      </c>
      <c r="D221" s="6" t="s">
        <v>64</v>
      </c>
    </row>
    <row r="222" spans="1:4" x14ac:dyDescent="0.25">
      <c r="A222" s="11">
        <v>311217</v>
      </c>
      <c r="B222" s="9" t="s">
        <v>63</v>
      </c>
      <c r="C222" s="10" t="s">
        <v>35</v>
      </c>
      <c r="D222" s="9" t="s">
        <v>62</v>
      </c>
    </row>
    <row r="223" spans="1:4" x14ac:dyDescent="0.25">
      <c r="A223" s="8">
        <v>31717</v>
      </c>
      <c r="B223" s="6" t="s">
        <v>38</v>
      </c>
      <c r="C223" s="7" t="s">
        <v>35</v>
      </c>
      <c r="D223" s="6" t="s">
        <v>37</v>
      </c>
    </row>
    <row r="224" spans="1:4" x14ac:dyDescent="0.25">
      <c r="A224" s="11">
        <v>532</v>
      </c>
      <c r="B224" s="9" t="s">
        <v>61</v>
      </c>
      <c r="C224" s="10" t="s">
        <v>59</v>
      </c>
      <c r="D224" s="9" t="s">
        <v>58</v>
      </c>
    </row>
    <row r="225" spans="1:4" x14ac:dyDescent="0.25">
      <c r="A225" s="8">
        <v>724</v>
      </c>
      <c r="B225" s="6" t="s">
        <v>77</v>
      </c>
      <c r="C225" s="7" t="s">
        <v>59</v>
      </c>
      <c r="D225" s="6" t="s">
        <v>76</v>
      </c>
    </row>
    <row r="226" spans="1:4" x14ac:dyDescent="0.25">
      <c r="A226" s="11">
        <v>614</v>
      </c>
      <c r="B226" s="9" t="s">
        <v>75</v>
      </c>
      <c r="C226" s="10" t="s">
        <v>35</v>
      </c>
      <c r="D226" s="9" t="s">
        <v>70</v>
      </c>
    </row>
    <row r="227" spans="1:4" x14ac:dyDescent="0.25">
      <c r="A227" s="8">
        <v>5140</v>
      </c>
      <c r="B227" s="6" t="s">
        <v>74</v>
      </c>
      <c r="C227" s="7" t="s">
        <v>32</v>
      </c>
      <c r="D227" s="6" t="s">
        <v>68</v>
      </c>
    </row>
    <row r="228" spans="1:4" x14ac:dyDescent="0.25">
      <c r="A228" s="11">
        <v>135</v>
      </c>
      <c r="B228" s="9" t="s">
        <v>73</v>
      </c>
      <c r="C228" s="10" t="s">
        <v>45</v>
      </c>
      <c r="D228" s="9" t="s">
        <v>44</v>
      </c>
    </row>
    <row r="229" spans="1:4" x14ac:dyDescent="0.25">
      <c r="A229" s="8">
        <v>36319</v>
      </c>
      <c r="B229" s="6" t="s">
        <v>72</v>
      </c>
      <c r="C229" s="7" t="s">
        <v>35</v>
      </c>
      <c r="D229" s="6" t="s">
        <v>64</v>
      </c>
    </row>
    <row r="230" spans="1:4" x14ac:dyDescent="0.25">
      <c r="A230" s="11">
        <v>38221</v>
      </c>
      <c r="B230" s="9" t="s">
        <v>36</v>
      </c>
      <c r="C230" s="10" t="s">
        <v>35</v>
      </c>
      <c r="D230" s="9" t="s">
        <v>34</v>
      </c>
    </row>
    <row r="231" spans="1:4" x14ac:dyDescent="0.25">
      <c r="A231" s="8">
        <v>311317</v>
      </c>
      <c r="B231" s="6" t="s">
        <v>63</v>
      </c>
      <c r="C231" s="7" t="s">
        <v>35</v>
      </c>
      <c r="D231" s="6" t="s">
        <v>62</v>
      </c>
    </row>
    <row r="232" spans="1:4" x14ac:dyDescent="0.25">
      <c r="A232" s="11">
        <v>31815</v>
      </c>
      <c r="B232" s="9" t="s">
        <v>38</v>
      </c>
      <c r="C232" s="10" t="s">
        <v>35</v>
      </c>
      <c r="D232" s="9" t="s">
        <v>37</v>
      </c>
    </row>
    <row r="233" spans="1:4" x14ac:dyDescent="0.25">
      <c r="A233" s="8">
        <v>670</v>
      </c>
      <c r="B233" s="6" t="s">
        <v>71</v>
      </c>
      <c r="C233" s="7" t="s">
        <v>35</v>
      </c>
      <c r="D233" s="6" t="s">
        <v>70</v>
      </c>
    </row>
    <row r="234" spans="1:4" x14ac:dyDescent="0.25">
      <c r="A234" s="11">
        <v>83216</v>
      </c>
      <c r="B234" s="9" t="s">
        <v>50</v>
      </c>
      <c r="C234" s="10" t="s">
        <v>45</v>
      </c>
      <c r="D234" s="9" t="s">
        <v>49</v>
      </c>
    </row>
    <row r="235" spans="1:4" x14ac:dyDescent="0.25">
      <c r="A235" s="8">
        <v>535</v>
      </c>
      <c r="B235" s="6" t="s">
        <v>61</v>
      </c>
      <c r="C235" s="7" t="s">
        <v>59</v>
      </c>
      <c r="D235" s="6" t="s">
        <v>58</v>
      </c>
    </row>
    <row r="236" spans="1:4" x14ac:dyDescent="0.25">
      <c r="A236" s="11">
        <v>5136</v>
      </c>
      <c r="B236" s="9" t="s">
        <v>69</v>
      </c>
      <c r="C236" s="10" t="s">
        <v>32</v>
      </c>
      <c r="D236" s="9" t="s">
        <v>68</v>
      </c>
    </row>
    <row r="237" spans="1:4" x14ac:dyDescent="0.25">
      <c r="A237" s="8">
        <v>400</v>
      </c>
      <c r="B237" s="6" t="s">
        <v>67</v>
      </c>
      <c r="C237" s="7" t="s">
        <v>45</v>
      </c>
      <c r="D237" s="6" t="s">
        <v>44</v>
      </c>
    </row>
    <row r="238" spans="1:4" x14ac:dyDescent="0.25">
      <c r="A238" s="11">
        <v>31309</v>
      </c>
      <c r="B238" s="9" t="s">
        <v>66</v>
      </c>
      <c r="C238" s="10" t="s">
        <v>35</v>
      </c>
      <c r="D238" s="9" t="s">
        <v>39</v>
      </c>
    </row>
    <row r="239" spans="1:4" x14ac:dyDescent="0.25">
      <c r="A239" s="8">
        <v>505</v>
      </c>
      <c r="B239" s="6" t="s">
        <v>65</v>
      </c>
      <c r="C239" s="7" t="s">
        <v>35</v>
      </c>
      <c r="D239" s="6" t="s">
        <v>64</v>
      </c>
    </row>
    <row r="240" spans="1:4" x14ac:dyDescent="0.25">
      <c r="A240" s="11">
        <v>311417</v>
      </c>
      <c r="B240" s="9" t="s">
        <v>63</v>
      </c>
      <c r="C240" s="10" t="s">
        <v>35</v>
      </c>
      <c r="D240" s="9" t="s">
        <v>62</v>
      </c>
    </row>
    <row r="241" spans="1:4" x14ac:dyDescent="0.25">
      <c r="A241" s="8">
        <v>31915</v>
      </c>
      <c r="B241" s="6" t="s">
        <v>38</v>
      </c>
      <c r="C241" s="7" t="s">
        <v>35</v>
      </c>
      <c r="D241" s="6" t="s">
        <v>37</v>
      </c>
    </row>
    <row r="242" spans="1:4" x14ac:dyDescent="0.25">
      <c r="A242" s="11">
        <v>421</v>
      </c>
      <c r="B242" s="9" t="s">
        <v>46</v>
      </c>
      <c r="C242" s="10" t="s">
        <v>45</v>
      </c>
      <c r="D242" s="9" t="s">
        <v>44</v>
      </c>
    </row>
    <row r="243" spans="1:4" x14ac:dyDescent="0.25">
      <c r="A243" s="8">
        <v>537</v>
      </c>
      <c r="B243" s="6" t="s">
        <v>61</v>
      </c>
      <c r="C243" s="7" t="s">
        <v>59</v>
      </c>
      <c r="D243" s="6" t="s">
        <v>58</v>
      </c>
    </row>
    <row r="244" spans="1:4" x14ac:dyDescent="0.25">
      <c r="A244" s="11">
        <v>726</v>
      </c>
      <c r="B244" s="9" t="s">
        <v>60</v>
      </c>
      <c r="C244" s="10" t="s">
        <v>59</v>
      </c>
      <c r="D244" s="9" t="s">
        <v>58</v>
      </c>
    </row>
    <row r="245" spans="1:4" x14ac:dyDescent="0.25">
      <c r="A245" s="8">
        <v>31817</v>
      </c>
      <c r="B245" s="6" t="s">
        <v>38</v>
      </c>
      <c r="C245" s="7" t="s">
        <v>35</v>
      </c>
      <c r="D245" s="6" t="s">
        <v>47</v>
      </c>
    </row>
    <row r="246" spans="1:4" x14ac:dyDescent="0.25">
      <c r="A246" s="11">
        <v>82112</v>
      </c>
      <c r="B246" s="9" t="s">
        <v>57</v>
      </c>
      <c r="C246" s="10" t="s">
        <v>32</v>
      </c>
      <c r="D246" s="9" t="s">
        <v>56</v>
      </c>
    </row>
    <row r="247" spans="1:4" x14ac:dyDescent="0.25">
      <c r="A247" s="8">
        <v>38310</v>
      </c>
      <c r="B247" s="6" t="s">
        <v>55</v>
      </c>
      <c r="C247" s="7" t="s">
        <v>35</v>
      </c>
      <c r="D247" s="6" t="s">
        <v>34</v>
      </c>
    </row>
    <row r="248" spans="1:4" x14ac:dyDescent="0.25">
      <c r="A248" s="11">
        <v>425</v>
      </c>
      <c r="B248" s="9" t="s">
        <v>46</v>
      </c>
      <c r="C248" s="10" t="s">
        <v>45</v>
      </c>
      <c r="D248" s="9" t="s">
        <v>44</v>
      </c>
    </row>
    <row r="249" spans="1:4" x14ac:dyDescent="0.25">
      <c r="A249" s="8">
        <v>6143</v>
      </c>
      <c r="B249" s="6" t="s">
        <v>54</v>
      </c>
      <c r="C249" s="7" t="s">
        <v>32</v>
      </c>
      <c r="D249" s="6" t="s">
        <v>53</v>
      </c>
    </row>
    <row r="250" spans="1:4" x14ac:dyDescent="0.25">
      <c r="A250" s="11">
        <v>811322</v>
      </c>
      <c r="B250" s="9" t="s">
        <v>41</v>
      </c>
      <c r="C250" s="10" t="s">
        <v>32</v>
      </c>
      <c r="D250" s="9" t="s">
        <v>31</v>
      </c>
    </row>
    <row r="251" spans="1:4" x14ac:dyDescent="0.25">
      <c r="A251" s="8">
        <v>635</v>
      </c>
      <c r="B251" s="6" t="s">
        <v>52</v>
      </c>
      <c r="C251" s="7" t="s">
        <v>35</v>
      </c>
      <c r="D251" s="6" t="s">
        <v>51</v>
      </c>
    </row>
    <row r="252" spans="1:4" x14ac:dyDescent="0.25">
      <c r="A252" s="11">
        <v>311015</v>
      </c>
      <c r="B252" s="9" t="s">
        <v>38</v>
      </c>
      <c r="C252" s="10" t="s">
        <v>35</v>
      </c>
      <c r="D252" s="9" t="s">
        <v>37</v>
      </c>
    </row>
    <row r="253" spans="1:4" x14ac:dyDescent="0.25">
      <c r="A253" s="8">
        <v>83223</v>
      </c>
      <c r="B253" s="6" t="s">
        <v>50</v>
      </c>
      <c r="C253" s="7" t="s">
        <v>45</v>
      </c>
      <c r="D253" s="6" t="s">
        <v>49</v>
      </c>
    </row>
    <row r="254" spans="1:4" x14ac:dyDescent="0.25">
      <c r="A254" s="11">
        <v>31216</v>
      </c>
      <c r="B254" s="9" t="s">
        <v>48</v>
      </c>
      <c r="C254" s="10" t="s">
        <v>35</v>
      </c>
      <c r="D254" s="9" t="s">
        <v>47</v>
      </c>
    </row>
    <row r="255" spans="1:4" x14ac:dyDescent="0.25">
      <c r="A255" s="8">
        <v>428</v>
      </c>
      <c r="B255" s="6" t="s">
        <v>46</v>
      </c>
      <c r="C255" s="7" t="s">
        <v>45</v>
      </c>
      <c r="D255" s="6" t="s">
        <v>44</v>
      </c>
    </row>
    <row r="256" spans="1:4" x14ac:dyDescent="0.25">
      <c r="A256" s="11">
        <v>811522</v>
      </c>
      <c r="B256" s="9" t="s">
        <v>41</v>
      </c>
      <c r="C256" s="10" t="s">
        <v>32</v>
      </c>
      <c r="D256" s="9" t="s">
        <v>31</v>
      </c>
    </row>
    <row r="257" spans="1:4" x14ac:dyDescent="0.25">
      <c r="A257" s="8">
        <v>5595</v>
      </c>
      <c r="B257" s="6" t="s">
        <v>43</v>
      </c>
      <c r="C257" s="7" t="s">
        <v>32</v>
      </c>
      <c r="D257" s="6" t="s">
        <v>42</v>
      </c>
    </row>
    <row r="258" spans="1:4" x14ac:dyDescent="0.25">
      <c r="A258" s="11">
        <v>81222</v>
      </c>
      <c r="B258" s="9" t="s">
        <v>41</v>
      </c>
      <c r="C258" s="10" t="s">
        <v>32</v>
      </c>
      <c r="D258" s="9" t="s">
        <v>31</v>
      </c>
    </row>
    <row r="259" spans="1:4" x14ac:dyDescent="0.25">
      <c r="A259" s="8">
        <v>31213</v>
      </c>
      <c r="B259" s="6" t="s">
        <v>40</v>
      </c>
      <c r="C259" s="7" t="s">
        <v>35</v>
      </c>
      <c r="D259" s="6" t="s">
        <v>39</v>
      </c>
    </row>
    <row r="260" spans="1:4" x14ac:dyDescent="0.25">
      <c r="A260" s="11">
        <v>311117</v>
      </c>
      <c r="B260" s="9" t="s">
        <v>38</v>
      </c>
      <c r="C260" s="10" t="s">
        <v>35</v>
      </c>
      <c r="D260" s="9" t="s">
        <v>37</v>
      </c>
    </row>
    <row r="261" spans="1:4" x14ac:dyDescent="0.25">
      <c r="A261" s="8">
        <v>38320</v>
      </c>
      <c r="B261" s="6" t="s">
        <v>36</v>
      </c>
      <c r="C261" s="7" t="s">
        <v>35</v>
      </c>
      <c r="D261" s="6" t="s">
        <v>34</v>
      </c>
    </row>
    <row r="262" spans="1:4" x14ac:dyDescent="0.25">
      <c r="A262" s="5">
        <v>81824</v>
      </c>
      <c r="B262" s="3" t="s">
        <v>33</v>
      </c>
      <c r="C262" s="4" t="s">
        <v>32</v>
      </c>
      <c r="D262" s="3" t="s">
        <v>31</v>
      </c>
    </row>
  </sheetData>
  <autoFilter ref="A1:D262" xr:uid="{94095EDD-664A-4892-ABD1-F169B18CC1C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OPERÇÃO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</dc:creator>
  <cp:lastModifiedBy>Juliano Timóteo</cp:lastModifiedBy>
  <dcterms:created xsi:type="dcterms:W3CDTF">2025-11-04T13:55:25Z</dcterms:created>
  <dcterms:modified xsi:type="dcterms:W3CDTF">2025-11-04T18:17:16Z</dcterms:modified>
</cp:coreProperties>
</file>