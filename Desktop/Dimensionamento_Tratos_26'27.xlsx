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lianotimoteo\Desktop\"/>
    </mc:Choice>
  </mc:AlternateContent>
  <xr:revisionPtr revIDLastSave="0" documentId="8_{C6051F92-C6E7-4CB7-B8A9-7CD0DC4CB1C7}" xr6:coauthVersionLast="47" xr6:coauthVersionMax="47" xr10:uidLastSave="{00000000-0000-0000-0000-000000000000}"/>
  <bookViews>
    <workbookView xWindow="-120" yWindow="-120" windowWidth="29040" windowHeight="15720" tabRatio="679" firstSheet="1" activeTab="1" xr2:uid="{D44CE588-5745-4759-94A1-5B4B7D2F748F}"/>
  </bookViews>
  <sheets>
    <sheet name="Dimensionamento Tratos (2)" sheetId="9" state="hidden" r:id="rId1"/>
    <sheet name="Plano Horas" sheetId="4" r:id="rId2"/>
    <sheet name="Apoio" sheetId="7" state="hidden" r:id="rId3"/>
    <sheet name="Dimensionamento Preparo" sheetId="10" state="hidden" r:id="rId4"/>
    <sheet name="Dimensionamento Tratos" sheetId="5" state="hidden" r:id="rId5"/>
    <sheet name="Rendimentos " sheetId="1" state="hidden" r:id="rId6"/>
    <sheet name="Planilha1" sheetId="11" state="hidden" r:id="rId7"/>
    <sheet name="Qtde_Oper_Plantio_Tratos" sheetId="6" state="hidden" r:id="rId8"/>
  </sheets>
  <definedNames>
    <definedName name="_xlnm._FilterDatabase" localSheetId="7" hidden="1">Qtde_Oper_Plantio_Tratos!$A$5:$CV$2265</definedName>
    <definedName name="_xlnm._FilterDatabase" localSheetId="5" hidden="1">'Rendimentos '!$B$1:$I$39</definedName>
    <definedName name="a">#REF!</definedName>
    <definedName name="Ano_Sel">#REF!</definedName>
    <definedName name="Base_Mes">#REF!</definedName>
    <definedName name="Base_Safra">#REF!</definedName>
    <definedName name="Div_Valor">#REF!</definedName>
    <definedName name="Mes_Sel">#REF!</definedName>
    <definedName name="Moeda_Sel">#REF!</definedName>
    <definedName name="Rel_Recursos">#REF!</definedName>
    <definedName name="test17" localSheetId="7" hidden="1">Qtde_Oper_Plantio_Tratos!$A$4:$CV$2171</definedName>
    <definedName name="Tp_Desc_Mes">#REF!</definedName>
    <definedName name="Tp_Var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5" i="11" l="1"/>
  <c r="K16" i="11"/>
  <c r="J7" i="11"/>
  <c r="J9" i="11"/>
  <c r="J10" i="11"/>
  <c r="J18" i="11"/>
  <c r="J19" i="11"/>
  <c r="J20" i="11"/>
  <c r="J21" i="11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I5" i="11"/>
  <c r="K5" i="11" s="1"/>
  <c r="I6" i="11"/>
  <c r="K6" i="11" s="1"/>
  <c r="I7" i="11"/>
  <c r="K7" i="11" s="1"/>
  <c r="I8" i="11"/>
  <c r="K8" i="11" s="1"/>
  <c r="I9" i="11"/>
  <c r="K9" i="11" s="1"/>
  <c r="I10" i="11"/>
  <c r="K10" i="11" s="1"/>
  <c r="I11" i="11"/>
  <c r="K11" i="11" s="1"/>
  <c r="I12" i="11"/>
  <c r="K12" i="11" s="1"/>
  <c r="I13" i="11"/>
  <c r="K13" i="11" s="1"/>
  <c r="I14" i="11"/>
  <c r="K14" i="11" s="1"/>
  <c r="I15" i="11"/>
  <c r="I16" i="11"/>
  <c r="I17" i="11"/>
  <c r="K17" i="11" s="1"/>
  <c r="I18" i="11"/>
  <c r="K18" i="11" s="1"/>
  <c r="I19" i="11"/>
  <c r="K19" i="11" s="1"/>
  <c r="I20" i="11"/>
  <c r="K20" i="11" s="1"/>
  <c r="I21" i="11"/>
  <c r="K21" i="11" s="1"/>
  <c r="I4" i="11"/>
  <c r="K4" i="11" s="1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4" i="11"/>
  <c r="AA106" i="6"/>
  <c r="Z106" i="6"/>
  <c r="Y106" i="6"/>
  <c r="X106" i="6"/>
  <c r="W106" i="6"/>
  <c r="V106" i="6"/>
  <c r="U106" i="6"/>
  <c r="T106" i="6"/>
  <c r="S106" i="6"/>
  <c r="R106" i="6"/>
  <c r="Q106" i="6"/>
  <c r="P106" i="6"/>
  <c r="AA105" i="6"/>
  <c r="Z105" i="6"/>
  <c r="Y105" i="6"/>
  <c r="X105" i="6"/>
  <c r="W105" i="6"/>
  <c r="V105" i="6"/>
  <c r="U105" i="6"/>
  <c r="T105" i="6"/>
  <c r="S105" i="6"/>
  <c r="R105" i="6"/>
  <c r="Q105" i="6"/>
  <c r="P105" i="6"/>
  <c r="I40" i="1"/>
  <c r="P44" i="4" l="1"/>
  <c r="L44" i="4"/>
  <c r="J44" i="4"/>
  <c r="R39" i="5" l="1"/>
  <c r="E23" i="10"/>
  <c r="AA1906" i="6"/>
  <c r="Z1906" i="6"/>
  <c r="Y1906" i="6"/>
  <c r="X1906" i="6"/>
  <c r="W1906" i="6"/>
  <c r="V1906" i="6"/>
  <c r="U1906" i="6"/>
  <c r="T1906" i="6"/>
  <c r="S1906" i="6"/>
  <c r="R1906" i="6"/>
  <c r="Q1906" i="6"/>
  <c r="P1906" i="6"/>
  <c r="E42" i="10"/>
  <c r="J40" i="4"/>
  <c r="P40" i="4" s="1"/>
  <c r="L40" i="4"/>
  <c r="J41" i="4"/>
  <c r="L41" i="4"/>
  <c r="P41" i="4" s="1"/>
  <c r="J42" i="4"/>
  <c r="L42" i="4"/>
  <c r="J43" i="4"/>
  <c r="L43" i="4"/>
  <c r="P43" i="4"/>
  <c r="L39" i="4"/>
  <c r="J39" i="4"/>
  <c r="P39" i="4" s="1"/>
  <c r="H98" i="5" s="1"/>
  <c r="I34" i="1"/>
  <c r="I35" i="1"/>
  <c r="I36" i="1"/>
  <c r="I37" i="1"/>
  <c r="I38" i="1"/>
  <c r="I39" i="1"/>
  <c r="AA1905" i="6"/>
  <c r="Z1905" i="6"/>
  <c r="Y1905" i="6"/>
  <c r="X1905" i="6"/>
  <c r="W1905" i="6"/>
  <c r="V1905" i="6"/>
  <c r="U1905" i="6"/>
  <c r="T1905" i="6"/>
  <c r="S1905" i="6"/>
  <c r="R1905" i="6"/>
  <c r="Q1905" i="6"/>
  <c r="P1905" i="6"/>
  <c r="G96" i="10"/>
  <c r="E96" i="10"/>
  <c r="G95" i="10"/>
  <c r="E95" i="10"/>
  <c r="G97" i="10"/>
  <c r="E97" i="10"/>
  <c r="G94" i="10"/>
  <c r="E94" i="10"/>
  <c r="G93" i="10"/>
  <c r="E93" i="10"/>
  <c r="G92" i="10"/>
  <c r="E92" i="10"/>
  <c r="H91" i="10"/>
  <c r="G91" i="10"/>
  <c r="E91" i="10"/>
  <c r="H90" i="10"/>
  <c r="G90" i="10"/>
  <c r="E90" i="10"/>
  <c r="AA111" i="6"/>
  <c r="Z111" i="6"/>
  <c r="Y111" i="6"/>
  <c r="X111" i="6"/>
  <c r="W111" i="6"/>
  <c r="V111" i="6"/>
  <c r="U111" i="6"/>
  <c r="T111" i="6"/>
  <c r="S111" i="6"/>
  <c r="R111" i="6"/>
  <c r="Q111" i="6"/>
  <c r="AA110" i="6"/>
  <c r="Z110" i="6"/>
  <c r="Y110" i="6"/>
  <c r="X110" i="6"/>
  <c r="W110" i="6"/>
  <c r="V110" i="6"/>
  <c r="U110" i="6"/>
  <c r="T110" i="6"/>
  <c r="S110" i="6"/>
  <c r="R110" i="6"/>
  <c r="Q110" i="6"/>
  <c r="AA109" i="6"/>
  <c r="Z109" i="6"/>
  <c r="Y109" i="6"/>
  <c r="X109" i="6"/>
  <c r="W109" i="6"/>
  <c r="V109" i="6"/>
  <c r="U109" i="6"/>
  <c r="T109" i="6"/>
  <c r="S109" i="6"/>
  <c r="R109" i="6"/>
  <c r="Q109" i="6"/>
  <c r="AA108" i="6"/>
  <c r="Z108" i="6"/>
  <c r="Y108" i="6"/>
  <c r="X108" i="6"/>
  <c r="W108" i="6"/>
  <c r="V108" i="6"/>
  <c r="U108" i="6"/>
  <c r="T108" i="6"/>
  <c r="S108" i="6"/>
  <c r="R108" i="6"/>
  <c r="Q108" i="6"/>
  <c r="AA107" i="6"/>
  <c r="Z107" i="6"/>
  <c r="Y107" i="6"/>
  <c r="X107" i="6"/>
  <c r="W107" i="6"/>
  <c r="V107" i="6"/>
  <c r="U107" i="6"/>
  <c r="T107" i="6"/>
  <c r="S107" i="6"/>
  <c r="R107" i="6"/>
  <c r="Q107" i="6"/>
  <c r="P111" i="6"/>
  <c r="P110" i="6"/>
  <c r="P109" i="6"/>
  <c r="P108" i="6"/>
  <c r="P107" i="6"/>
  <c r="AA104" i="6"/>
  <c r="Z104" i="6"/>
  <c r="Y104" i="6"/>
  <c r="X104" i="6"/>
  <c r="W104" i="6"/>
  <c r="V104" i="6"/>
  <c r="U104" i="6"/>
  <c r="T104" i="6"/>
  <c r="S104" i="6"/>
  <c r="R104" i="6"/>
  <c r="Q104" i="6"/>
  <c r="AA101" i="6"/>
  <c r="Z101" i="6"/>
  <c r="Y101" i="6"/>
  <c r="X101" i="6"/>
  <c r="W101" i="6"/>
  <c r="V101" i="6"/>
  <c r="U101" i="6"/>
  <c r="T101" i="6"/>
  <c r="S101" i="6"/>
  <c r="R101" i="6"/>
  <c r="Q101" i="6"/>
  <c r="P104" i="6"/>
  <c r="P101" i="6"/>
  <c r="L8" i="4"/>
  <c r="J8" i="4"/>
  <c r="P8" i="4"/>
  <c r="H97" i="10" s="1"/>
  <c r="E40" i="10"/>
  <c r="E38" i="10"/>
  <c r="E36" i="10"/>
  <c r="AA103" i="6"/>
  <c r="Z103" i="6"/>
  <c r="Y103" i="6"/>
  <c r="X103" i="6"/>
  <c r="W103" i="6"/>
  <c r="V103" i="6"/>
  <c r="U103" i="6"/>
  <c r="T103" i="6"/>
  <c r="S103" i="6"/>
  <c r="R103" i="6"/>
  <c r="Q103" i="6"/>
  <c r="AA102" i="6"/>
  <c r="Z102" i="6"/>
  <c r="Y102" i="6"/>
  <c r="X102" i="6"/>
  <c r="W102" i="6"/>
  <c r="V102" i="6"/>
  <c r="U102" i="6"/>
  <c r="T102" i="6"/>
  <c r="S102" i="6"/>
  <c r="R102" i="6"/>
  <c r="Q102" i="6"/>
  <c r="AA100" i="6"/>
  <c r="Z100" i="6"/>
  <c r="Y100" i="6"/>
  <c r="X100" i="6"/>
  <c r="W100" i="6"/>
  <c r="V100" i="6"/>
  <c r="U100" i="6"/>
  <c r="T100" i="6"/>
  <c r="S100" i="6"/>
  <c r="R100" i="6"/>
  <c r="Q100" i="6"/>
  <c r="P102" i="6"/>
  <c r="P103" i="6"/>
  <c r="P100" i="6"/>
  <c r="H102" i="5"/>
  <c r="G102" i="5"/>
  <c r="H101" i="5"/>
  <c r="G101" i="5"/>
  <c r="H100" i="5"/>
  <c r="G100" i="5"/>
  <c r="G103" i="5"/>
  <c r="H99" i="5"/>
  <c r="G99" i="5"/>
  <c r="E99" i="5"/>
  <c r="G98" i="5"/>
  <c r="E98" i="5"/>
  <c r="P42" i="4" l="1"/>
  <c r="F97" i="10"/>
  <c r="F91" i="10"/>
  <c r="F90" i="10"/>
  <c r="F99" i="5"/>
  <c r="F98" i="5"/>
  <c r="R103" i="10" l="1"/>
  <c r="G98" i="10"/>
  <c r="E98" i="10"/>
  <c r="G89" i="10"/>
  <c r="E89" i="10"/>
  <c r="G88" i="10"/>
  <c r="E88" i="10"/>
  <c r="G87" i="10"/>
  <c r="E87" i="10"/>
  <c r="G86" i="10"/>
  <c r="E86" i="10"/>
  <c r="G85" i="10"/>
  <c r="E85" i="10"/>
  <c r="G84" i="10"/>
  <c r="E84" i="10"/>
  <c r="G83" i="10"/>
  <c r="E83" i="10"/>
  <c r="G82" i="10"/>
  <c r="E82" i="10"/>
  <c r="G81" i="10"/>
  <c r="E81" i="10"/>
  <c r="G80" i="10"/>
  <c r="E80" i="10"/>
  <c r="G79" i="10"/>
  <c r="E79" i="10"/>
  <c r="G78" i="10"/>
  <c r="E78" i="10"/>
  <c r="R74" i="10"/>
  <c r="R60" i="10" s="1"/>
  <c r="Q74" i="10"/>
  <c r="Q60" i="10" s="1"/>
  <c r="P74" i="10"/>
  <c r="P60" i="10" s="1"/>
  <c r="O74" i="10"/>
  <c r="O60" i="10" s="1"/>
  <c r="N74" i="10"/>
  <c r="N60" i="10" s="1"/>
  <c r="M74" i="10"/>
  <c r="M60" i="10" s="1"/>
  <c r="L74" i="10"/>
  <c r="L60" i="10" s="1"/>
  <c r="K74" i="10"/>
  <c r="K60" i="10" s="1"/>
  <c r="J74" i="10"/>
  <c r="J60" i="10" s="1"/>
  <c r="I74" i="10"/>
  <c r="I60" i="10" s="1"/>
  <c r="H74" i="10"/>
  <c r="H60" i="10" s="1"/>
  <c r="G74" i="10"/>
  <c r="G60" i="10" s="1"/>
  <c r="F74" i="10"/>
  <c r="F60" i="10" s="1"/>
  <c r="R56" i="10"/>
  <c r="Q56" i="10"/>
  <c r="P56" i="10"/>
  <c r="O56" i="10"/>
  <c r="N56" i="10"/>
  <c r="M56" i="10"/>
  <c r="L56" i="10"/>
  <c r="K56" i="10"/>
  <c r="J56" i="10"/>
  <c r="I56" i="10"/>
  <c r="H56" i="10"/>
  <c r="G56" i="10"/>
  <c r="F56" i="10"/>
  <c r="E53" i="10"/>
  <c r="E51" i="10"/>
  <c r="E49" i="10"/>
  <c r="E47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34" i="10"/>
  <c r="E32" i="10"/>
  <c r="E30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5" i="10"/>
  <c r="E21" i="10"/>
  <c r="E19" i="10"/>
  <c r="E17" i="10"/>
  <c r="E15" i="10"/>
  <c r="E13" i="10"/>
  <c r="E11" i="10"/>
  <c r="E9" i="10"/>
  <c r="E7" i="10"/>
  <c r="Q72" i="5" l="1"/>
  <c r="P72" i="5"/>
  <c r="O72" i="5"/>
  <c r="N72" i="5"/>
  <c r="M72" i="5"/>
  <c r="L72" i="5"/>
  <c r="K72" i="5"/>
  <c r="J72" i="5"/>
  <c r="I72" i="5"/>
  <c r="H72" i="5"/>
  <c r="G72" i="5"/>
  <c r="F72" i="5"/>
  <c r="R61" i="5"/>
  <c r="Q61" i="5"/>
  <c r="P61" i="5"/>
  <c r="O61" i="5"/>
  <c r="N61" i="5"/>
  <c r="M61" i="5"/>
  <c r="L61" i="5"/>
  <c r="K61" i="5"/>
  <c r="J61" i="5"/>
  <c r="I61" i="5"/>
  <c r="H61" i="5"/>
  <c r="G61" i="5"/>
  <c r="F61" i="5"/>
  <c r="R50" i="5"/>
  <c r="Q50" i="5"/>
  <c r="P50" i="5"/>
  <c r="O50" i="5"/>
  <c r="N50" i="5"/>
  <c r="M50" i="5"/>
  <c r="L50" i="5"/>
  <c r="K50" i="5"/>
  <c r="J50" i="5"/>
  <c r="I50" i="5"/>
  <c r="H50" i="5"/>
  <c r="G50" i="5"/>
  <c r="F50" i="5"/>
  <c r="R72" i="5"/>
  <c r="E69" i="5"/>
  <c r="E67" i="5"/>
  <c r="E65" i="5"/>
  <c r="E63" i="5"/>
  <c r="E58" i="5"/>
  <c r="E56" i="5"/>
  <c r="E54" i="5"/>
  <c r="E52" i="5"/>
  <c r="E47" i="5"/>
  <c r="E45" i="5"/>
  <c r="E43" i="5"/>
  <c r="E41" i="5"/>
  <c r="R90" i="5"/>
  <c r="Q90" i="5"/>
  <c r="P90" i="5"/>
  <c r="O90" i="5"/>
  <c r="N90" i="5"/>
  <c r="M90" i="5"/>
  <c r="L90" i="5"/>
  <c r="K90" i="5"/>
  <c r="J90" i="5"/>
  <c r="I90" i="5"/>
  <c r="H90" i="5"/>
  <c r="G90" i="5"/>
  <c r="F90" i="5"/>
  <c r="F76" i="5" s="1"/>
  <c r="Q39" i="5"/>
  <c r="P39" i="5"/>
  <c r="O39" i="5"/>
  <c r="N39" i="5"/>
  <c r="M39" i="5"/>
  <c r="L39" i="5"/>
  <c r="K39" i="5"/>
  <c r="J39" i="5"/>
  <c r="I39" i="5"/>
  <c r="H39" i="5"/>
  <c r="G39" i="5"/>
  <c r="F39" i="5"/>
  <c r="E36" i="5"/>
  <c r="E34" i="5"/>
  <c r="H32" i="5"/>
  <c r="E32" i="5"/>
  <c r="E30" i="5"/>
  <c r="Q69" i="9"/>
  <c r="G64" i="9"/>
  <c r="F64" i="9"/>
  <c r="D64" i="9"/>
  <c r="F63" i="9"/>
  <c r="D63" i="9"/>
  <c r="F62" i="9"/>
  <c r="D62" i="9"/>
  <c r="F61" i="9"/>
  <c r="D61" i="9"/>
  <c r="F60" i="9"/>
  <c r="D60" i="9"/>
  <c r="F59" i="9"/>
  <c r="D59" i="9"/>
  <c r="G58" i="9"/>
  <c r="F58" i="9"/>
  <c r="D58" i="9"/>
  <c r="G57" i="9"/>
  <c r="F57" i="9"/>
  <c r="D57" i="9"/>
  <c r="G56" i="9"/>
  <c r="F56" i="9"/>
  <c r="D56" i="9"/>
  <c r="F55" i="9"/>
  <c r="D55" i="9"/>
  <c r="F54" i="9"/>
  <c r="D54" i="9"/>
  <c r="F53" i="9"/>
  <c r="D53" i="9"/>
  <c r="F52" i="9"/>
  <c r="D52" i="9"/>
  <c r="Q48" i="9"/>
  <c r="P48" i="9"/>
  <c r="P34" i="9" s="1"/>
  <c r="O48" i="9"/>
  <c r="N48" i="9"/>
  <c r="M48" i="9"/>
  <c r="L48" i="9"/>
  <c r="L34" i="9" s="1"/>
  <c r="K48" i="9"/>
  <c r="K34" i="9" s="1"/>
  <c r="J48" i="9"/>
  <c r="I48" i="9"/>
  <c r="H48" i="9"/>
  <c r="H34" i="9" s="1"/>
  <c r="G48" i="9"/>
  <c r="F48" i="9"/>
  <c r="E48" i="9"/>
  <c r="Q34" i="9"/>
  <c r="O34" i="9"/>
  <c r="N34" i="9"/>
  <c r="M34" i="9"/>
  <c r="J34" i="9"/>
  <c r="I34" i="9"/>
  <c r="G34" i="9"/>
  <c r="F34" i="9"/>
  <c r="E34" i="9"/>
  <c r="P32" i="9"/>
  <c r="O32" i="9"/>
  <c r="N32" i="9"/>
  <c r="M32" i="9"/>
  <c r="L32" i="9"/>
  <c r="K32" i="9"/>
  <c r="J32" i="9"/>
  <c r="I32" i="9"/>
  <c r="H32" i="9"/>
  <c r="G32" i="9"/>
  <c r="F32" i="9"/>
  <c r="E32" i="9"/>
  <c r="D31" i="9"/>
  <c r="P30" i="9"/>
  <c r="O30" i="9"/>
  <c r="N30" i="9"/>
  <c r="M30" i="9"/>
  <c r="L30" i="9"/>
  <c r="K30" i="9"/>
  <c r="J30" i="9"/>
  <c r="I30" i="9"/>
  <c r="H30" i="9"/>
  <c r="G30" i="9"/>
  <c r="F30" i="9"/>
  <c r="E30" i="9"/>
  <c r="D29" i="9"/>
  <c r="P28" i="9"/>
  <c r="O28" i="9"/>
  <c r="N28" i="9"/>
  <c r="M28" i="9"/>
  <c r="L28" i="9"/>
  <c r="K28" i="9"/>
  <c r="J28" i="9"/>
  <c r="I28" i="9"/>
  <c r="H28" i="9"/>
  <c r="G28" i="9"/>
  <c r="F28" i="9"/>
  <c r="E28" i="9"/>
  <c r="D27" i="9"/>
  <c r="D25" i="9"/>
  <c r="D23" i="9"/>
  <c r="D21" i="9"/>
  <c r="D19" i="9"/>
  <c r="D17" i="9"/>
  <c r="L15" i="9"/>
  <c r="D15" i="9"/>
  <c r="N13" i="9"/>
  <c r="D13" i="9"/>
  <c r="O11" i="9"/>
  <c r="E11" i="9"/>
  <c r="D11" i="9"/>
  <c r="Q9" i="9"/>
  <c r="D9" i="9"/>
  <c r="F7" i="9"/>
  <c r="D7" i="9"/>
  <c r="E64" i="9" l="1"/>
  <c r="E58" i="9"/>
  <c r="E56" i="9"/>
  <c r="E57" i="9"/>
  <c r="L28" i="5"/>
  <c r="Q28" i="5"/>
  <c r="I28" i="5"/>
  <c r="M28" i="5"/>
  <c r="K28" i="5"/>
  <c r="R28" i="5"/>
  <c r="J28" i="5"/>
  <c r="P28" i="5"/>
  <c r="H28" i="5"/>
  <c r="O28" i="5"/>
  <c r="G28" i="5"/>
  <c r="N28" i="5"/>
  <c r="F28" i="5"/>
  <c r="J22" i="4" l="1"/>
  <c r="L6" i="4" l="1"/>
  <c r="L7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P22" i="4" s="1"/>
  <c r="L23" i="4"/>
  <c r="L24" i="4"/>
  <c r="L25" i="4"/>
  <c r="L26" i="4"/>
  <c r="L27" i="4"/>
  <c r="L28" i="4"/>
  <c r="L29" i="4"/>
  <c r="L30" i="4"/>
  <c r="L5" i="4"/>
  <c r="J6" i="4"/>
  <c r="J7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3" i="4"/>
  <c r="J24" i="4"/>
  <c r="J25" i="4"/>
  <c r="J26" i="4"/>
  <c r="J27" i="4"/>
  <c r="J28" i="4"/>
  <c r="J29" i="4"/>
  <c r="J30" i="4"/>
  <c r="J5" i="4"/>
  <c r="F5" i="4"/>
  <c r="J5" i="11" l="1"/>
  <c r="J6" i="11"/>
  <c r="J8" i="11"/>
  <c r="J4" i="11"/>
  <c r="H80" i="10"/>
  <c r="F80" i="10" s="1"/>
  <c r="G54" i="9"/>
  <c r="E54" i="9" s="1"/>
  <c r="R76" i="5"/>
  <c r="Q76" i="5"/>
  <c r="P76" i="5"/>
  <c r="O76" i="5"/>
  <c r="N76" i="5"/>
  <c r="M76" i="5"/>
  <c r="L76" i="5"/>
  <c r="K76" i="5"/>
  <c r="J76" i="5"/>
  <c r="I76" i="5"/>
  <c r="H76" i="5"/>
  <c r="G76" i="5"/>
  <c r="F8" i="9" l="1"/>
  <c r="P24" i="4"/>
  <c r="P30" i="4"/>
  <c r="P29" i="4"/>
  <c r="I28" i="1"/>
  <c r="I27" i="1"/>
  <c r="J11" i="11" l="1"/>
  <c r="J12" i="11"/>
  <c r="J13" i="11"/>
  <c r="J14" i="11"/>
  <c r="G61" i="9"/>
  <c r="E61" i="9" s="1"/>
  <c r="H88" i="10"/>
  <c r="F88" i="10" s="1"/>
  <c r="G62" i="9"/>
  <c r="E62" i="9" s="1"/>
  <c r="G55" i="9"/>
  <c r="E55" i="9" s="1"/>
  <c r="P27" i="4"/>
  <c r="I26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9" i="1"/>
  <c r="I30" i="1"/>
  <c r="I31" i="1"/>
  <c r="I32" i="1"/>
  <c r="I33" i="1"/>
  <c r="I2" i="1"/>
  <c r="E23" i="5"/>
  <c r="E25" i="5"/>
  <c r="E21" i="5"/>
  <c r="E19" i="5"/>
  <c r="G60" i="9" l="1"/>
  <c r="E60" i="9" s="1"/>
  <c r="Q10" i="9"/>
  <c r="F9" i="5"/>
  <c r="G9" i="5"/>
  <c r="H9" i="5"/>
  <c r="I9" i="5"/>
  <c r="J9" i="5"/>
  <c r="K9" i="5"/>
  <c r="L9" i="5"/>
  <c r="M9" i="5"/>
  <c r="N9" i="5"/>
  <c r="O9" i="5"/>
  <c r="P9" i="5"/>
  <c r="Q9" i="5"/>
  <c r="R9" i="5"/>
  <c r="P28" i="4"/>
  <c r="H92" i="10" s="1"/>
  <c r="F92" i="10" s="1"/>
  <c r="P6" i="4"/>
  <c r="H106" i="5"/>
  <c r="H105" i="5"/>
  <c r="H104" i="5"/>
  <c r="H97" i="5"/>
  <c r="G108" i="5"/>
  <c r="G107" i="5"/>
  <c r="G106" i="5"/>
  <c r="G105" i="5"/>
  <c r="G104" i="5"/>
  <c r="G97" i="5"/>
  <c r="G96" i="5"/>
  <c r="G95" i="5"/>
  <c r="G94" i="5"/>
  <c r="R25" i="5"/>
  <c r="Q25" i="5"/>
  <c r="P25" i="5"/>
  <c r="O25" i="5"/>
  <c r="N25" i="5"/>
  <c r="M25" i="5"/>
  <c r="L25" i="5"/>
  <c r="K25" i="5"/>
  <c r="J25" i="5"/>
  <c r="I25" i="5"/>
  <c r="H25" i="5"/>
  <c r="G25" i="5"/>
  <c r="F25" i="5"/>
  <c r="Q23" i="5"/>
  <c r="P23" i="5"/>
  <c r="O23" i="5"/>
  <c r="N23" i="5"/>
  <c r="M23" i="5"/>
  <c r="L23" i="5"/>
  <c r="K23" i="5"/>
  <c r="J23" i="5"/>
  <c r="I23" i="5"/>
  <c r="H23" i="5"/>
  <c r="G23" i="5"/>
  <c r="F23" i="5"/>
  <c r="R21" i="5"/>
  <c r="Q21" i="5"/>
  <c r="P21" i="5"/>
  <c r="O21" i="5"/>
  <c r="N21" i="5"/>
  <c r="M21" i="5"/>
  <c r="L21" i="5"/>
  <c r="K21" i="5"/>
  <c r="J21" i="5"/>
  <c r="I21" i="5"/>
  <c r="H21" i="5"/>
  <c r="G21" i="5"/>
  <c r="F21" i="5"/>
  <c r="Q19" i="5"/>
  <c r="P19" i="5"/>
  <c r="O19" i="5"/>
  <c r="N19" i="5"/>
  <c r="M19" i="5"/>
  <c r="L19" i="5"/>
  <c r="K19" i="5"/>
  <c r="J19" i="5"/>
  <c r="I19" i="5"/>
  <c r="H19" i="5"/>
  <c r="G19" i="5"/>
  <c r="F19" i="5"/>
  <c r="R17" i="5"/>
  <c r="Q17" i="5"/>
  <c r="P17" i="5"/>
  <c r="O17" i="5"/>
  <c r="N17" i="5"/>
  <c r="M17" i="5"/>
  <c r="L17" i="5"/>
  <c r="K17" i="5"/>
  <c r="J17" i="5"/>
  <c r="I17" i="5"/>
  <c r="H17" i="5"/>
  <c r="G17" i="5"/>
  <c r="F17" i="5"/>
  <c r="Q15" i="5"/>
  <c r="P15" i="5"/>
  <c r="O15" i="5"/>
  <c r="N15" i="5"/>
  <c r="M15" i="5"/>
  <c r="L15" i="5"/>
  <c r="K15" i="5"/>
  <c r="J15" i="5"/>
  <c r="I15" i="5"/>
  <c r="H15" i="5"/>
  <c r="G15" i="5"/>
  <c r="F15" i="5"/>
  <c r="R13" i="5"/>
  <c r="Q13" i="5"/>
  <c r="P13" i="5"/>
  <c r="O13" i="5"/>
  <c r="N13" i="5"/>
  <c r="M13" i="5"/>
  <c r="L13" i="5"/>
  <c r="K13" i="5"/>
  <c r="J13" i="5"/>
  <c r="I13" i="5"/>
  <c r="H13" i="5"/>
  <c r="H14" i="5" s="1"/>
  <c r="G13" i="5"/>
  <c r="F13" i="5"/>
  <c r="Q11" i="5"/>
  <c r="P11" i="5"/>
  <c r="O11" i="5"/>
  <c r="N11" i="5"/>
  <c r="M11" i="5"/>
  <c r="L11" i="5"/>
  <c r="K11" i="5"/>
  <c r="J11" i="5"/>
  <c r="I11" i="5"/>
  <c r="H11" i="5"/>
  <c r="G11" i="5"/>
  <c r="F11" i="5"/>
  <c r="E108" i="5"/>
  <c r="E107" i="5"/>
  <c r="E106" i="5"/>
  <c r="E105" i="5"/>
  <c r="E104" i="5"/>
  <c r="E103" i="5"/>
  <c r="E102" i="5"/>
  <c r="E101" i="5"/>
  <c r="E100" i="5"/>
  <c r="E97" i="5"/>
  <c r="E96" i="5"/>
  <c r="E95" i="5"/>
  <c r="E94" i="5"/>
  <c r="E17" i="5"/>
  <c r="E15" i="5"/>
  <c r="E13" i="5"/>
  <c r="E11" i="5"/>
  <c r="E9" i="5"/>
  <c r="E7" i="5"/>
  <c r="R113" i="5"/>
  <c r="Q7" i="5"/>
  <c r="P7" i="5"/>
  <c r="O7" i="5"/>
  <c r="N7" i="5"/>
  <c r="M7" i="5"/>
  <c r="L7" i="5"/>
  <c r="K7" i="5"/>
  <c r="J7" i="5"/>
  <c r="I7" i="5"/>
  <c r="H7" i="5"/>
  <c r="G7" i="5"/>
  <c r="F7" i="5"/>
  <c r="A2170" i="6"/>
  <c r="A2169" i="6"/>
  <c r="A2168" i="6"/>
  <c r="A2167" i="6"/>
  <c r="A2166" i="6"/>
  <c r="A2165" i="6"/>
  <c r="A2164" i="6"/>
  <c r="A2163" i="6"/>
  <c r="A2162" i="6"/>
  <c r="A2161" i="6"/>
  <c r="A2160" i="6"/>
  <c r="A2159" i="6"/>
  <c r="A2158" i="6"/>
  <c r="A2157" i="6"/>
  <c r="A2156" i="6"/>
  <c r="A2155" i="6"/>
  <c r="A2154" i="6"/>
  <c r="A2153" i="6"/>
  <c r="A2152" i="6"/>
  <c r="A2151" i="6"/>
  <c r="A2150" i="6"/>
  <c r="A2149" i="6"/>
  <c r="A2148" i="6"/>
  <c r="A2147" i="6"/>
  <c r="A2146" i="6"/>
  <c r="A2145" i="6"/>
  <c r="A2144" i="6"/>
  <c r="A2143" i="6"/>
  <c r="A2142" i="6"/>
  <c r="A2141" i="6"/>
  <c r="A2140" i="6"/>
  <c r="A2139" i="6"/>
  <c r="A2138" i="6"/>
  <c r="A2137" i="6"/>
  <c r="A2136" i="6"/>
  <c r="A2135" i="6"/>
  <c r="A2134" i="6"/>
  <c r="A2133" i="6"/>
  <c r="A2132" i="6"/>
  <c r="A2131" i="6"/>
  <c r="A2130" i="6"/>
  <c r="A2129" i="6"/>
  <c r="A2128" i="6"/>
  <c r="A2127" i="6"/>
  <c r="A2126" i="6"/>
  <c r="AQ2125" i="6"/>
  <c r="AP2125" i="6"/>
  <c r="AO2125" i="6"/>
  <c r="AN2125" i="6"/>
  <c r="AI2125" i="6"/>
  <c r="AH2125" i="6"/>
  <c r="AG2125" i="6"/>
  <c r="AF2125" i="6"/>
  <c r="AE2125" i="6"/>
  <c r="AA2125" i="6"/>
  <c r="Z2125" i="6"/>
  <c r="Y2125" i="6"/>
  <c r="X2125" i="6"/>
  <c r="W2125" i="6"/>
  <c r="AM2125" i="6" s="1"/>
  <c r="V2125" i="6"/>
  <c r="AL2125" i="6" s="1"/>
  <c r="U2125" i="6"/>
  <c r="AK2125" i="6" s="1"/>
  <c r="T2125" i="6"/>
  <c r="AJ2125" i="6" s="1"/>
  <c r="S2125" i="6"/>
  <c r="R2125" i="6"/>
  <c r="Q2125" i="6"/>
  <c r="P2125" i="6"/>
  <c r="A2125" i="6"/>
  <c r="O2124" i="6"/>
  <c r="O2170" i="6" s="1"/>
  <c r="N2124" i="6"/>
  <c r="N2170" i="6" s="1"/>
  <c r="M2124" i="6"/>
  <c r="M2170" i="6" s="1"/>
  <c r="J2124" i="6"/>
  <c r="I2124" i="6"/>
  <c r="I2170" i="6" s="1"/>
  <c r="F2124" i="6"/>
  <c r="F2170" i="6" s="1"/>
  <c r="A2124" i="6"/>
  <c r="O2123" i="6"/>
  <c r="O2169" i="6" s="1"/>
  <c r="N2123" i="6"/>
  <c r="N2169" i="6" s="1"/>
  <c r="M2123" i="6"/>
  <c r="M2169" i="6" s="1"/>
  <c r="J2123" i="6"/>
  <c r="I2123" i="6"/>
  <c r="I2169" i="6" s="1"/>
  <c r="F2123" i="6"/>
  <c r="F2169" i="6" s="1"/>
  <c r="A2123" i="6"/>
  <c r="AE2122" i="6"/>
  <c r="AE2168" i="6" s="1"/>
  <c r="O2122" i="6"/>
  <c r="O2168" i="6" s="1"/>
  <c r="N2122" i="6"/>
  <c r="N2168" i="6" s="1"/>
  <c r="M2122" i="6"/>
  <c r="M2168" i="6" s="1"/>
  <c r="J2122" i="6"/>
  <c r="J2168" i="6" s="1"/>
  <c r="AT2168" i="6" s="1"/>
  <c r="I2122" i="6"/>
  <c r="I2168" i="6" s="1"/>
  <c r="F2122" i="6"/>
  <c r="A2122" i="6"/>
  <c r="O2121" i="6"/>
  <c r="O2167" i="6" s="1"/>
  <c r="N2121" i="6"/>
  <c r="N2167" i="6" s="1"/>
  <c r="M2121" i="6"/>
  <c r="M2167" i="6" s="1"/>
  <c r="J2121" i="6"/>
  <c r="I2121" i="6"/>
  <c r="F2121" i="6"/>
  <c r="F2167" i="6" s="1"/>
  <c r="A2121" i="6"/>
  <c r="AE2120" i="6"/>
  <c r="AE2166" i="6" s="1"/>
  <c r="O2120" i="6"/>
  <c r="O2166" i="6" s="1"/>
  <c r="N2120" i="6"/>
  <c r="N2166" i="6" s="1"/>
  <c r="M2120" i="6"/>
  <c r="M2166" i="6" s="1"/>
  <c r="J2120" i="6"/>
  <c r="J2166" i="6" s="1"/>
  <c r="AT2166" i="6" s="1"/>
  <c r="I2120" i="6"/>
  <c r="F2120" i="6"/>
  <c r="F2166" i="6" s="1"/>
  <c r="A2120" i="6"/>
  <c r="AT2119" i="6"/>
  <c r="O2119" i="6"/>
  <c r="O2165" i="6" s="1"/>
  <c r="N2119" i="6"/>
  <c r="N2165" i="6" s="1"/>
  <c r="M2119" i="6"/>
  <c r="M2165" i="6" s="1"/>
  <c r="J2119" i="6"/>
  <c r="I2119" i="6"/>
  <c r="F2119" i="6"/>
  <c r="A2119" i="6"/>
  <c r="AE2118" i="6"/>
  <c r="AE2164" i="6" s="1"/>
  <c r="O2118" i="6"/>
  <c r="O2164" i="6" s="1"/>
  <c r="N2118" i="6"/>
  <c r="N2164" i="6" s="1"/>
  <c r="M2118" i="6"/>
  <c r="M2164" i="6" s="1"/>
  <c r="J2118" i="6"/>
  <c r="I2118" i="6"/>
  <c r="I2164" i="6" s="1"/>
  <c r="F2118" i="6"/>
  <c r="F2164" i="6" s="1"/>
  <c r="B2118" i="6"/>
  <c r="A2118" i="6"/>
  <c r="AT2117" i="6"/>
  <c r="AE2117" i="6"/>
  <c r="AE2163" i="6" s="1"/>
  <c r="O2117" i="6"/>
  <c r="O2163" i="6" s="1"/>
  <c r="N2117" i="6"/>
  <c r="N2163" i="6" s="1"/>
  <c r="M2117" i="6"/>
  <c r="M2163" i="6" s="1"/>
  <c r="J2117" i="6"/>
  <c r="J2163" i="6" s="1"/>
  <c r="AT2163" i="6" s="1"/>
  <c r="I2117" i="6"/>
  <c r="F2117" i="6"/>
  <c r="A2117" i="6"/>
  <c r="AT2116" i="6"/>
  <c r="O2116" i="6"/>
  <c r="O2162" i="6" s="1"/>
  <c r="N2116" i="6"/>
  <c r="N2162" i="6" s="1"/>
  <c r="M2116" i="6"/>
  <c r="M2162" i="6" s="1"/>
  <c r="J2116" i="6"/>
  <c r="J2162" i="6" s="1"/>
  <c r="AT2162" i="6" s="1"/>
  <c r="I2116" i="6"/>
  <c r="F2116" i="6"/>
  <c r="A2116" i="6"/>
  <c r="O2115" i="6"/>
  <c r="O2161" i="6" s="1"/>
  <c r="N2115" i="6"/>
  <c r="N2161" i="6" s="1"/>
  <c r="M2115" i="6"/>
  <c r="M2161" i="6" s="1"/>
  <c r="J2115" i="6"/>
  <c r="AT2115" i="6" s="1"/>
  <c r="I2115" i="6"/>
  <c r="F2115" i="6"/>
  <c r="F2161" i="6" s="1"/>
  <c r="B2115" i="6"/>
  <c r="A2115" i="6"/>
  <c r="O2114" i="6"/>
  <c r="O2160" i="6" s="1"/>
  <c r="N2114" i="6"/>
  <c r="N2160" i="6" s="1"/>
  <c r="M2114" i="6"/>
  <c r="M2160" i="6" s="1"/>
  <c r="J2114" i="6"/>
  <c r="AE2114" i="6" s="1"/>
  <c r="AE2160" i="6" s="1"/>
  <c r="I2114" i="6"/>
  <c r="F2114" i="6"/>
  <c r="F2160" i="6" s="1"/>
  <c r="B2114" i="6"/>
  <c r="A2114" i="6"/>
  <c r="AT2113" i="6"/>
  <c r="AE2113" i="6"/>
  <c r="AE2159" i="6" s="1"/>
  <c r="O2113" i="6"/>
  <c r="O2159" i="6" s="1"/>
  <c r="N2113" i="6"/>
  <c r="N2159" i="6" s="1"/>
  <c r="M2113" i="6"/>
  <c r="M2159" i="6" s="1"/>
  <c r="J2113" i="6"/>
  <c r="J2159" i="6" s="1"/>
  <c r="AT2159" i="6" s="1"/>
  <c r="I2113" i="6"/>
  <c r="I2159" i="6" s="1"/>
  <c r="F2113" i="6"/>
  <c r="F2159" i="6" s="1"/>
  <c r="B2113" i="6"/>
  <c r="A2113" i="6"/>
  <c r="AT2112" i="6"/>
  <c r="AE2112" i="6"/>
  <c r="AE2158" i="6" s="1"/>
  <c r="O2112" i="6"/>
  <c r="O2158" i="6" s="1"/>
  <c r="N2112" i="6"/>
  <c r="N2158" i="6" s="1"/>
  <c r="M2112" i="6"/>
  <c r="M2158" i="6" s="1"/>
  <c r="J2112" i="6"/>
  <c r="J2158" i="6" s="1"/>
  <c r="AT2158" i="6" s="1"/>
  <c r="I2112" i="6"/>
  <c r="F2112" i="6"/>
  <c r="A2112" i="6"/>
  <c r="AT2111" i="6"/>
  <c r="AE2111" i="6"/>
  <c r="AE2157" i="6" s="1"/>
  <c r="O2111" i="6"/>
  <c r="O2157" i="6" s="1"/>
  <c r="N2111" i="6"/>
  <c r="N2157" i="6" s="1"/>
  <c r="M2111" i="6"/>
  <c r="M2157" i="6" s="1"/>
  <c r="J2111" i="6"/>
  <c r="J2157" i="6" s="1"/>
  <c r="AT2157" i="6" s="1"/>
  <c r="I2111" i="6"/>
  <c r="F2111" i="6"/>
  <c r="F2157" i="6" s="1"/>
  <c r="B2157" i="6" s="1"/>
  <c r="B2111" i="6"/>
  <c r="A2111" i="6"/>
  <c r="O2110" i="6"/>
  <c r="O2156" i="6" s="1"/>
  <c r="N2110" i="6"/>
  <c r="N2156" i="6" s="1"/>
  <c r="M2110" i="6"/>
  <c r="M2156" i="6" s="1"/>
  <c r="J2110" i="6"/>
  <c r="I2110" i="6"/>
  <c r="I2156" i="6" s="1"/>
  <c r="F2110" i="6"/>
  <c r="F2156" i="6" s="1"/>
  <c r="B2110" i="6"/>
  <c r="A2110" i="6"/>
  <c r="AT2109" i="6"/>
  <c r="AE2109" i="6"/>
  <c r="AE2155" i="6" s="1"/>
  <c r="O2109" i="6"/>
  <c r="O2155" i="6" s="1"/>
  <c r="N2109" i="6"/>
  <c r="N2155" i="6" s="1"/>
  <c r="M2109" i="6"/>
  <c r="M2155" i="6" s="1"/>
  <c r="J2109" i="6"/>
  <c r="J2155" i="6" s="1"/>
  <c r="AT2155" i="6" s="1"/>
  <c r="I2109" i="6"/>
  <c r="I2155" i="6" s="1"/>
  <c r="F2109" i="6"/>
  <c r="F2155" i="6" s="1"/>
  <c r="B2109" i="6"/>
  <c r="A2109" i="6"/>
  <c r="AE2108" i="6"/>
  <c r="AE2154" i="6" s="1"/>
  <c r="O2108" i="6"/>
  <c r="O2154" i="6" s="1"/>
  <c r="N2108" i="6"/>
  <c r="N2154" i="6" s="1"/>
  <c r="M2108" i="6"/>
  <c r="M2154" i="6" s="1"/>
  <c r="J2108" i="6"/>
  <c r="J2154" i="6" s="1"/>
  <c r="AT2154" i="6" s="1"/>
  <c r="I2108" i="6"/>
  <c r="F2108" i="6"/>
  <c r="A2108" i="6"/>
  <c r="AT2107" i="6"/>
  <c r="AE2107" i="6"/>
  <c r="AE2153" i="6" s="1"/>
  <c r="O2107" i="6"/>
  <c r="O2153" i="6" s="1"/>
  <c r="N2107" i="6"/>
  <c r="N2153" i="6" s="1"/>
  <c r="M2107" i="6"/>
  <c r="M2153" i="6" s="1"/>
  <c r="J2107" i="6"/>
  <c r="J2153" i="6" s="1"/>
  <c r="AT2153" i="6" s="1"/>
  <c r="I2107" i="6"/>
  <c r="F2107" i="6"/>
  <c r="F2153" i="6" s="1"/>
  <c r="B2153" i="6" s="1"/>
  <c r="B2107" i="6"/>
  <c r="A2107" i="6"/>
  <c r="O2106" i="6"/>
  <c r="O2152" i="6" s="1"/>
  <c r="N2106" i="6"/>
  <c r="N2152" i="6" s="1"/>
  <c r="M2106" i="6"/>
  <c r="M2152" i="6" s="1"/>
  <c r="J2106" i="6"/>
  <c r="I2106" i="6"/>
  <c r="I2152" i="6" s="1"/>
  <c r="F2106" i="6"/>
  <c r="F2152" i="6" s="1"/>
  <c r="B2106" i="6"/>
  <c r="A2106" i="6"/>
  <c r="AT2105" i="6"/>
  <c r="AE2105" i="6"/>
  <c r="AE2151" i="6" s="1"/>
  <c r="O2105" i="6"/>
  <c r="O2151" i="6" s="1"/>
  <c r="N2105" i="6"/>
  <c r="N2151" i="6" s="1"/>
  <c r="M2105" i="6"/>
  <c r="M2151" i="6" s="1"/>
  <c r="J2105" i="6"/>
  <c r="J2151" i="6" s="1"/>
  <c r="AT2151" i="6" s="1"/>
  <c r="I2105" i="6"/>
  <c r="I2151" i="6" s="1"/>
  <c r="F2105" i="6"/>
  <c r="F2151" i="6" s="1"/>
  <c r="B2105" i="6"/>
  <c r="A2105" i="6"/>
  <c r="AT2104" i="6"/>
  <c r="O2104" i="6"/>
  <c r="O2150" i="6" s="1"/>
  <c r="N2104" i="6"/>
  <c r="N2150" i="6" s="1"/>
  <c r="M2104" i="6"/>
  <c r="M2150" i="6" s="1"/>
  <c r="J2104" i="6"/>
  <c r="J2150" i="6" s="1"/>
  <c r="AT2150" i="6" s="1"/>
  <c r="I2104" i="6"/>
  <c r="F2104" i="6"/>
  <c r="A2104" i="6"/>
  <c r="AT2103" i="6"/>
  <c r="AE2103" i="6"/>
  <c r="AE2149" i="6" s="1"/>
  <c r="O2103" i="6"/>
  <c r="O2149" i="6" s="1"/>
  <c r="N2103" i="6"/>
  <c r="N2149" i="6" s="1"/>
  <c r="M2103" i="6"/>
  <c r="M2149" i="6" s="1"/>
  <c r="J2103" i="6"/>
  <c r="J2149" i="6" s="1"/>
  <c r="AT2149" i="6" s="1"/>
  <c r="I2103" i="6"/>
  <c r="F2103" i="6"/>
  <c r="F2149" i="6" s="1"/>
  <c r="B2149" i="6" s="1"/>
  <c r="B2103" i="6"/>
  <c r="A2103" i="6"/>
  <c r="O2102" i="6"/>
  <c r="O2148" i="6" s="1"/>
  <c r="N2102" i="6"/>
  <c r="N2148" i="6" s="1"/>
  <c r="M2102" i="6"/>
  <c r="M2148" i="6" s="1"/>
  <c r="J2102" i="6"/>
  <c r="I2102" i="6"/>
  <c r="I2148" i="6" s="1"/>
  <c r="F2102" i="6"/>
  <c r="F2148" i="6" s="1"/>
  <c r="A2102" i="6"/>
  <c r="O2101" i="6"/>
  <c r="O2147" i="6" s="1"/>
  <c r="N2101" i="6"/>
  <c r="N2147" i="6" s="1"/>
  <c r="M2101" i="6"/>
  <c r="M2147" i="6" s="1"/>
  <c r="J2101" i="6"/>
  <c r="AE2101" i="6" s="1"/>
  <c r="AE2147" i="6" s="1"/>
  <c r="I2101" i="6"/>
  <c r="F2101" i="6"/>
  <c r="F2147" i="6" s="1"/>
  <c r="A2101" i="6"/>
  <c r="O2100" i="6"/>
  <c r="O2146" i="6" s="1"/>
  <c r="N2100" i="6"/>
  <c r="N2146" i="6" s="1"/>
  <c r="M2100" i="6"/>
  <c r="M2146" i="6" s="1"/>
  <c r="J2100" i="6"/>
  <c r="I2100" i="6"/>
  <c r="F2100" i="6"/>
  <c r="A2100" i="6"/>
  <c r="AT2099" i="6"/>
  <c r="O2099" i="6"/>
  <c r="O2145" i="6" s="1"/>
  <c r="N2099" i="6"/>
  <c r="N2145" i="6" s="1"/>
  <c r="M2099" i="6"/>
  <c r="M2145" i="6" s="1"/>
  <c r="J2099" i="6"/>
  <c r="J2145" i="6" s="1"/>
  <c r="AT2145" i="6" s="1"/>
  <c r="I2099" i="6"/>
  <c r="F2099" i="6"/>
  <c r="B2099" i="6"/>
  <c r="A2099" i="6"/>
  <c r="AE2098" i="6"/>
  <c r="AE2144" i="6" s="1"/>
  <c r="O2098" i="6"/>
  <c r="O2144" i="6" s="1"/>
  <c r="N2098" i="6"/>
  <c r="N2144" i="6" s="1"/>
  <c r="M2098" i="6"/>
  <c r="M2144" i="6" s="1"/>
  <c r="J2098" i="6"/>
  <c r="I2098" i="6"/>
  <c r="F2098" i="6"/>
  <c r="A2098" i="6"/>
  <c r="AT2097" i="6"/>
  <c r="AE2097" i="6"/>
  <c r="AE2143" i="6" s="1"/>
  <c r="O2097" i="6"/>
  <c r="O2143" i="6" s="1"/>
  <c r="N2097" i="6"/>
  <c r="N2143" i="6" s="1"/>
  <c r="M2097" i="6"/>
  <c r="M2143" i="6" s="1"/>
  <c r="J2097" i="6"/>
  <c r="J2143" i="6" s="1"/>
  <c r="AT2143" i="6" s="1"/>
  <c r="I2097" i="6"/>
  <c r="F2097" i="6"/>
  <c r="F2143" i="6" s="1"/>
  <c r="B2097" i="6"/>
  <c r="A2097" i="6"/>
  <c r="O2096" i="6"/>
  <c r="O2142" i="6" s="1"/>
  <c r="N2096" i="6"/>
  <c r="N2142" i="6" s="1"/>
  <c r="M2096" i="6"/>
  <c r="M2142" i="6" s="1"/>
  <c r="J2096" i="6"/>
  <c r="J2142" i="6" s="1"/>
  <c r="AT2142" i="6" s="1"/>
  <c r="I2096" i="6"/>
  <c r="F2096" i="6"/>
  <c r="A2096" i="6"/>
  <c r="O2095" i="6"/>
  <c r="O2141" i="6" s="1"/>
  <c r="N2095" i="6"/>
  <c r="N2141" i="6" s="1"/>
  <c r="M2095" i="6"/>
  <c r="M2141" i="6" s="1"/>
  <c r="J2095" i="6"/>
  <c r="AT2095" i="6" s="1"/>
  <c r="I2095" i="6"/>
  <c r="F2095" i="6"/>
  <c r="F2141" i="6" s="1"/>
  <c r="B2095" i="6"/>
  <c r="A2095" i="6"/>
  <c r="O2094" i="6"/>
  <c r="O2140" i="6" s="1"/>
  <c r="N2094" i="6"/>
  <c r="N2140" i="6" s="1"/>
  <c r="M2094" i="6"/>
  <c r="M2140" i="6" s="1"/>
  <c r="J2094" i="6"/>
  <c r="AE2094" i="6" s="1"/>
  <c r="AE2140" i="6" s="1"/>
  <c r="I2094" i="6"/>
  <c r="I2140" i="6" s="1"/>
  <c r="F2094" i="6"/>
  <c r="F2140" i="6" s="1"/>
  <c r="A2094" i="6"/>
  <c r="AT2093" i="6"/>
  <c r="AE2093" i="6"/>
  <c r="AE2139" i="6" s="1"/>
  <c r="O2093" i="6"/>
  <c r="O2139" i="6" s="1"/>
  <c r="N2093" i="6"/>
  <c r="N2139" i="6" s="1"/>
  <c r="M2093" i="6"/>
  <c r="M2139" i="6" s="1"/>
  <c r="J2093" i="6"/>
  <c r="J2139" i="6" s="1"/>
  <c r="AT2139" i="6" s="1"/>
  <c r="I2093" i="6"/>
  <c r="F2093" i="6"/>
  <c r="F2139" i="6" s="1"/>
  <c r="B2139" i="6" s="1"/>
  <c r="B2093" i="6"/>
  <c r="A2093" i="6"/>
  <c r="O2092" i="6"/>
  <c r="O2138" i="6" s="1"/>
  <c r="N2092" i="6"/>
  <c r="N2138" i="6" s="1"/>
  <c r="M2092" i="6"/>
  <c r="M2138" i="6" s="1"/>
  <c r="J2092" i="6"/>
  <c r="I2092" i="6"/>
  <c r="I2138" i="6" s="1"/>
  <c r="F2092" i="6"/>
  <c r="F2138" i="6" s="1"/>
  <c r="A2092" i="6"/>
  <c r="AE2091" i="6"/>
  <c r="AE2137" i="6" s="1"/>
  <c r="O2091" i="6"/>
  <c r="O2137" i="6" s="1"/>
  <c r="N2091" i="6"/>
  <c r="N2137" i="6" s="1"/>
  <c r="M2091" i="6"/>
  <c r="M2137" i="6" s="1"/>
  <c r="J2091" i="6"/>
  <c r="J2137" i="6" s="1"/>
  <c r="AT2137" i="6" s="1"/>
  <c r="I2091" i="6"/>
  <c r="I2137" i="6" s="1"/>
  <c r="F2091" i="6"/>
  <c r="F2137" i="6" s="1"/>
  <c r="B2091" i="6"/>
  <c r="A2091" i="6"/>
  <c r="O2090" i="6"/>
  <c r="O2136" i="6" s="1"/>
  <c r="N2090" i="6"/>
  <c r="N2136" i="6" s="1"/>
  <c r="M2090" i="6"/>
  <c r="M2136" i="6" s="1"/>
  <c r="J2090" i="6"/>
  <c r="J2136" i="6" s="1"/>
  <c r="AT2136" i="6" s="1"/>
  <c r="I2090" i="6"/>
  <c r="I2136" i="6" s="1"/>
  <c r="F2090" i="6"/>
  <c r="A2090" i="6"/>
  <c r="AT2089" i="6"/>
  <c r="AE2089" i="6"/>
  <c r="AE2135" i="6" s="1"/>
  <c r="O2089" i="6"/>
  <c r="O2135" i="6" s="1"/>
  <c r="N2089" i="6"/>
  <c r="N2135" i="6" s="1"/>
  <c r="M2089" i="6"/>
  <c r="M2135" i="6" s="1"/>
  <c r="J2089" i="6"/>
  <c r="J2135" i="6" s="1"/>
  <c r="AT2135" i="6" s="1"/>
  <c r="I2089" i="6"/>
  <c r="I2135" i="6" s="1"/>
  <c r="F2089" i="6"/>
  <c r="F2135" i="6" s="1"/>
  <c r="B2135" i="6" s="1"/>
  <c r="B2089" i="6"/>
  <c r="A2089" i="6"/>
  <c r="O2088" i="6"/>
  <c r="O2134" i="6" s="1"/>
  <c r="N2088" i="6"/>
  <c r="N2134" i="6" s="1"/>
  <c r="M2088" i="6"/>
  <c r="M2134" i="6" s="1"/>
  <c r="J2088" i="6"/>
  <c r="I2088" i="6"/>
  <c r="F2088" i="6"/>
  <c r="F2134" i="6" s="1"/>
  <c r="A2088" i="6"/>
  <c r="AT2087" i="6"/>
  <c r="AE2087" i="6"/>
  <c r="AE2133" i="6" s="1"/>
  <c r="O2087" i="6"/>
  <c r="O2133" i="6" s="1"/>
  <c r="N2087" i="6"/>
  <c r="N2133" i="6" s="1"/>
  <c r="M2087" i="6"/>
  <c r="M2133" i="6" s="1"/>
  <c r="J2087" i="6"/>
  <c r="J2133" i="6" s="1"/>
  <c r="AT2133" i="6" s="1"/>
  <c r="I2087" i="6"/>
  <c r="I2133" i="6" s="1"/>
  <c r="F2087" i="6"/>
  <c r="F2133" i="6" s="1"/>
  <c r="B2087" i="6"/>
  <c r="A2087" i="6"/>
  <c r="O2086" i="6"/>
  <c r="O2132" i="6" s="1"/>
  <c r="N2086" i="6"/>
  <c r="N2132" i="6" s="1"/>
  <c r="M2086" i="6"/>
  <c r="M2132" i="6" s="1"/>
  <c r="J2086" i="6"/>
  <c r="I2086" i="6"/>
  <c r="I2132" i="6" s="1"/>
  <c r="F2086" i="6"/>
  <c r="F2132" i="6" s="1"/>
  <c r="B2086" i="6"/>
  <c r="A2086" i="6"/>
  <c r="AT2085" i="6"/>
  <c r="AE2085" i="6"/>
  <c r="AE2131" i="6" s="1"/>
  <c r="O2085" i="6"/>
  <c r="O2131" i="6" s="1"/>
  <c r="N2085" i="6"/>
  <c r="N2131" i="6" s="1"/>
  <c r="M2085" i="6"/>
  <c r="M2131" i="6" s="1"/>
  <c r="J2085" i="6"/>
  <c r="J2131" i="6" s="1"/>
  <c r="AT2131" i="6" s="1"/>
  <c r="I2085" i="6"/>
  <c r="I2131" i="6" s="1"/>
  <c r="F2085" i="6"/>
  <c r="F2131" i="6" s="1"/>
  <c r="B2131" i="6" s="1"/>
  <c r="B2085" i="6"/>
  <c r="A2085" i="6"/>
  <c r="AT2084" i="6"/>
  <c r="O2084" i="6"/>
  <c r="O2130" i="6" s="1"/>
  <c r="N2084" i="6"/>
  <c r="N2130" i="6" s="1"/>
  <c r="M2084" i="6"/>
  <c r="M2130" i="6" s="1"/>
  <c r="J2084" i="6"/>
  <c r="I2084" i="6"/>
  <c r="F2084" i="6"/>
  <c r="A2084" i="6"/>
  <c r="AE2083" i="6"/>
  <c r="AE2129" i="6" s="1"/>
  <c r="O2083" i="6"/>
  <c r="O2129" i="6" s="1"/>
  <c r="N2083" i="6"/>
  <c r="N2129" i="6" s="1"/>
  <c r="M2083" i="6"/>
  <c r="M2129" i="6" s="1"/>
  <c r="J2083" i="6"/>
  <c r="J2129" i="6" s="1"/>
  <c r="AT2129" i="6" s="1"/>
  <c r="I2083" i="6"/>
  <c r="I2129" i="6" s="1"/>
  <c r="F2083" i="6"/>
  <c r="F2129" i="6" s="1"/>
  <c r="B2083" i="6"/>
  <c r="A2083" i="6"/>
  <c r="O2082" i="6"/>
  <c r="O2128" i="6" s="1"/>
  <c r="N2082" i="6"/>
  <c r="N2128" i="6" s="1"/>
  <c r="M2082" i="6"/>
  <c r="M2128" i="6" s="1"/>
  <c r="J2082" i="6"/>
  <c r="I2082" i="6"/>
  <c r="I2128" i="6" s="1"/>
  <c r="F2082" i="6"/>
  <c r="F2128" i="6" s="1"/>
  <c r="A2082" i="6"/>
  <c r="AT2081" i="6"/>
  <c r="AE2081" i="6"/>
  <c r="AE2127" i="6" s="1"/>
  <c r="O2081" i="6"/>
  <c r="O2127" i="6" s="1"/>
  <c r="N2081" i="6"/>
  <c r="N2127" i="6" s="1"/>
  <c r="M2081" i="6"/>
  <c r="M2127" i="6" s="1"/>
  <c r="J2081" i="6"/>
  <c r="J2127" i="6" s="1"/>
  <c r="AT2127" i="6" s="1"/>
  <c r="I2081" i="6"/>
  <c r="F2081" i="6"/>
  <c r="F2127" i="6" s="1"/>
  <c r="B2127" i="6" s="1"/>
  <c r="B2081" i="6"/>
  <c r="A2081" i="6"/>
  <c r="AT2080" i="6"/>
  <c r="O2080" i="6"/>
  <c r="O2126" i="6" s="1"/>
  <c r="N2080" i="6"/>
  <c r="N2126" i="6" s="1"/>
  <c r="M2080" i="6"/>
  <c r="M2126" i="6" s="1"/>
  <c r="J2080" i="6"/>
  <c r="I2080" i="6"/>
  <c r="F2080" i="6"/>
  <c r="F2126" i="6" s="1"/>
  <c r="B2080" i="6"/>
  <c r="A2080" i="6"/>
  <c r="AO2079" i="6"/>
  <c r="AM2079" i="6"/>
  <c r="AL2079" i="6"/>
  <c r="AK2079" i="6"/>
  <c r="AG2079" i="6"/>
  <c r="AE2079" i="6"/>
  <c r="AA2079" i="6"/>
  <c r="AQ2079" i="6" s="1"/>
  <c r="Z2079" i="6"/>
  <c r="AP2079" i="6" s="1"/>
  <c r="Y2079" i="6"/>
  <c r="X2079" i="6"/>
  <c r="AN2079" i="6" s="1"/>
  <c r="W2079" i="6"/>
  <c r="V2079" i="6"/>
  <c r="U2079" i="6"/>
  <c r="T2079" i="6"/>
  <c r="AJ2079" i="6" s="1"/>
  <c r="S2079" i="6"/>
  <c r="AI2079" i="6" s="1"/>
  <c r="R2079" i="6"/>
  <c r="AH2079" i="6" s="1"/>
  <c r="Q2079" i="6"/>
  <c r="P2079" i="6"/>
  <c r="AF2079" i="6" s="1"/>
  <c r="A2073" i="6"/>
  <c r="J2072" i="6"/>
  <c r="D2072" i="6" s="1"/>
  <c r="A2072" i="6"/>
  <c r="N2071" i="6"/>
  <c r="A2071" i="6"/>
  <c r="A2070" i="6"/>
  <c r="N2069" i="6"/>
  <c r="J2069" i="6"/>
  <c r="D2069" i="6" s="1"/>
  <c r="A2069" i="6"/>
  <c r="N2068" i="6"/>
  <c r="A2068" i="6"/>
  <c r="J2067" i="6"/>
  <c r="D2067" i="6" s="1"/>
  <c r="A2067" i="6"/>
  <c r="N2066" i="6"/>
  <c r="J2066" i="6"/>
  <c r="D2066" i="6" s="1"/>
  <c r="A2066" i="6"/>
  <c r="N2065" i="6"/>
  <c r="A2065" i="6"/>
  <c r="N2064" i="6"/>
  <c r="A2064" i="6"/>
  <c r="F2063" i="6"/>
  <c r="A2063" i="6"/>
  <c r="A2062" i="6"/>
  <c r="A2061" i="6"/>
  <c r="J2060" i="6"/>
  <c r="D2060" i="6" s="1"/>
  <c r="A2060" i="6"/>
  <c r="A2059" i="6"/>
  <c r="A2058" i="6"/>
  <c r="N2057" i="6"/>
  <c r="A2057" i="6"/>
  <c r="A2056" i="6"/>
  <c r="A2055" i="6"/>
  <c r="A2054" i="6"/>
  <c r="A2053" i="6"/>
  <c r="A2052" i="6"/>
  <c r="A2051" i="6"/>
  <c r="A2050" i="6"/>
  <c r="A2049" i="6"/>
  <c r="A2048" i="6"/>
  <c r="A2047" i="6"/>
  <c r="A2046" i="6"/>
  <c r="A2045" i="6"/>
  <c r="A2044" i="6"/>
  <c r="A2043" i="6"/>
  <c r="A2042" i="6"/>
  <c r="A2041" i="6"/>
  <c r="A2040" i="6"/>
  <c r="A2039" i="6"/>
  <c r="A2038" i="6"/>
  <c r="A2037" i="6"/>
  <c r="A2036" i="6"/>
  <c r="A2035" i="6"/>
  <c r="A2034" i="6"/>
  <c r="A2033" i="6"/>
  <c r="A2032" i="6"/>
  <c r="A2031" i="6"/>
  <c r="A2030" i="6"/>
  <c r="I2029" i="6"/>
  <c r="A2029" i="6"/>
  <c r="AA2028" i="6"/>
  <c r="Z2028" i="6"/>
  <c r="Y2028" i="6"/>
  <c r="X2028" i="6"/>
  <c r="W2028" i="6"/>
  <c r="V2028" i="6"/>
  <c r="U2028" i="6"/>
  <c r="T2028" i="6"/>
  <c r="S2028" i="6"/>
  <c r="R2028" i="6"/>
  <c r="Q2028" i="6"/>
  <c r="P2028" i="6"/>
  <c r="A2028" i="6"/>
  <c r="O2027" i="6"/>
  <c r="O2073" i="6" s="1"/>
  <c r="N2027" i="6"/>
  <c r="N2073" i="6" s="1"/>
  <c r="M2027" i="6"/>
  <c r="M2073" i="6" s="1"/>
  <c r="J2027" i="6"/>
  <c r="J2073" i="6" s="1"/>
  <c r="D2073" i="6" s="1"/>
  <c r="I2027" i="6"/>
  <c r="F2027" i="6"/>
  <c r="B2027" i="6" s="1"/>
  <c r="D2027" i="6"/>
  <c r="A2027" i="6"/>
  <c r="O2026" i="6"/>
  <c r="O2072" i="6" s="1"/>
  <c r="N2026" i="6"/>
  <c r="N2072" i="6" s="1"/>
  <c r="M2026" i="6"/>
  <c r="M2072" i="6" s="1"/>
  <c r="J2026" i="6"/>
  <c r="I2026" i="6"/>
  <c r="F2026" i="6"/>
  <c r="B2026" i="6" s="1"/>
  <c r="D2026" i="6"/>
  <c r="A2026" i="6"/>
  <c r="O2025" i="6"/>
  <c r="O2071" i="6" s="1"/>
  <c r="N2025" i="6"/>
  <c r="M2025" i="6"/>
  <c r="M2071" i="6" s="1"/>
  <c r="J2025" i="6"/>
  <c r="J2071" i="6" s="1"/>
  <c r="D2071" i="6" s="1"/>
  <c r="I2025" i="6"/>
  <c r="F2025" i="6"/>
  <c r="D2025" i="6"/>
  <c r="A2025" i="6"/>
  <c r="O2024" i="6"/>
  <c r="O2070" i="6" s="1"/>
  <c r="N2024" i="6"/>
  <c r="N2070" i="6" s="1"/>
  <c r="M2024" i="6"/>
  <c r="M2070" i="6" s="1"/>
  <c r="J2024" i="6"/>
  <c r="J2070" i="6" s="1"/>
  <c r="D2070" i="6" s="1"/>
  <c r="I2024" i="6"/>
  <c r="F2024" i="6"/>
  <c r="B2024" i="6" s="1"/>
  <c r="D2024" i="6"/>
  <c r="A2024" i="6"/>
  <c r="O2023" i="6"/>
  <c r="O2069" i="6" s="1"/>
  <c r="N2023" i="6"/>
  <c r="M2023" i="6"/>
  <c r="M2069" i="6" s="1"/>
  <c r="J2023" i="6"/>
  <c r="I2023" i="6"/>
  <c r="F2023" i="6"/>
  <c r="D2023" i="6"/>
  <c r="A2023" i="6"/>
  <c r="O2022" i="6"/>
  <c r="O2068" i="6" s="1"/>
  <c r="N2022" i="6"/>
  <c r="M2022" i="6"/>
  <c r="M2068" i="6" s="1"/>
  <c r="J2022" i="6"/>
  <c r="J2068" i="6" s="1"/>
  <c r="D2068" i="6" s="1"/>
  <c r="I2022" i="6"/>
  <c r="F2022" i="6"/>
  <c r="D2022" i="6"/>
  <c r="A2022" i="6"/>
  <c r="O2021" i="6"/>
  <c r="O2067" i="6" s="1"/>
  <c r="N2021" i="6"/>
  <c r="N2067" i="6" s="1"/>
  <c r="M2021" i="6"/>
  <c r="M2067" i="6" s="1"/>
  <c r="J2021" i="6"/>
  <c r="I2021" i="6"/>
  <c r="F2021" i="6"/>
  <c r="B2021" i="6" s="1"/>
  <c r="D2021" i="6"/>
  <c r="A2021" i="6"/>
  <c r="O2020" i="6"/>
  <c r="O2066" i="6" s="1"/>
  <c r="N2020" i="6"/>
  <c r="M2020" i="6"/>
  <c r="M2066" i="6" s="1"/>
  <c r="J2020" i="6"/>
  <c r="I2020" i="6"/>
  <c r="F2020" i="6"/>
  <c r="D2020" i="6"/>
  <c r="A2020" i="6"/>
  <c r="O2019" i="6"/>
  <c r="O2065" i="6" s="1"/>
  <c r="N2019" i="6"/>
  <c r="M2019" i="6"/>
  <c r="M2065" i="6" s="1"/>
  <c r="J2019" i="6"/>
  <c r="J2065" i="6" s="1"/>
  <c r="D2065" i="6" s="1"/>
  <c r="I2019" i="6"/>
  <c r="F2019" i="6"/>
  <c r="B2019" i="6" s="1"/>
  <c r="D2019" i="6"/>
  <c r="A2019" i="6"/>
  <c r="O2018" i="6"/>
  <c r="O2064" i="6" s="1"/>
  <c r="N2018" i="6"/>
  <c r="M2018" i="6"/>
  <c r="M2064" i="6" s="1"/>
  <c r="J2018" i="6"/>
  <c r="J2064" i="6" s="1"/>
  <c r="D2064" i="6" s="1"/>
  <c r="I2018" i="6"/>
  <c r="I2064" i="6" s="1"/>
  <c r="F2018" i="6"/>
  <c r="F2064" i="6" s="1"/>
  <c r="B2064" i="6" s="1"/>
  <c r="D2018" i="6"/>
  <c r="B2018" i="6"/>
  <c r="A2018" i="6"/>
  <c r="O2017" i="6"/>
  <c r="O2063" i="6" s="1"/>
  <c r="N2017" i="6"/>
  <c r="N2063" i="6" s="1"/>
  <c r="M2017" i="6"/>
  <c r="M2063" i="6" s="1"/>
  <c r="J2017" i="6"/>
  <c r="J2063" i="6" s="1"/>
  <c r="D2063" i="6" s="1"/>
  <c r="I2017" i="6"/>
  <c r="F2017" i="6"/>
  <c r="D2017" i="6"/>
  <c r="B2017" i="6"/>
  <c r="A2017" i="6"/>
  <c r="O2016" i="6"/>
  <c r="O2062" i="6" s="1"/>
  <c r="N2016" i="6"/>
  <c r="N2062" i="6" s="1"/>
  <c r="M2016" i="6"/>
  <c r="M2062" i="6" s="1"/>
  <c r="J2016" i="6"/>
  <c r="J2062" i="6" s="1"/>
  <c r="D2062" i="6" s="1"/>
  <c r="I2016" i="6"/>
  <c r="F2016" i="6"/>
  <c r="F2062" i="6" s="1"/>
  <c r="B2062" i="6" s="1"/>
  <c r="A2016" i="6"/>
  <c r="O2015" i="6"/>
  <c r="O2061" i="6" s="1"/>
  <c r="N2015" i="6"/>
  <c r="N2061" i="6" s="1"/>
  <c r="M2015" i="6"/>
  <c r="M2061" i="6" s="1"/>
  <c r="J2015" i="6"/>
  <c r="D2015" i="6" s="1"/>
  <c r="I2015" i="6"/>
  <c r="F2015" i="6"/>
  <c r="F2061" i="6" s="1"/>
  <c r="A2015" i="6"/>
  <c r="O2014" i="6"/>
  <c r="O2060" i="6" s="1"/>
  <c r="N2014" i="6"/>
  <c r="N2060" i="6" s="1"/>
  <c r="M2014" i="6"/>
  <c r="M2060" i="6" s="1"/>
  <c r="J2014" i="6"/>
  <c r="D2014" i="6" s="1"/>
  <c r="I2014" i="6"/>
  <c r="F2014" i="6"/>
  <c r="F2060" i="6" s="1"/>
  <c r="B2060" i="6" s="1"/>
  <c r="A2014" i="6"/>
  <c r="O2013" i="6"/>
  <c r="O2059" i="6" s="1"/>
  <c r="N2013" i="6"/>
  <c r="N2059" i="6" s="1"/>
  <c r="M2013" i="6"/>
  <c r="M2059" i="6" s="1"/>
  <c r="J2013" i="6"/>
  <c r="J2059" i="6" s="1"/>
  <c r="D2059" i="6" s="1"/>
  <c r="I2013" i="6"/>
  <c r="F2013" i="6"/>
  <c r="F2059" i="6" s="1"/>
  <c r="B2059" i="6" s="1"/>
  <c r="A2013" i="6"/>
  <c r="O2012" i="6"/>
  <c r="O2058" i="6" s="1"/>
  <c r="N2012" i="6"/>
  <c r="N2058" i="6" s="1"/>
  <c r="M2012" i="6"/>
  <c r="M2058" i="6" s="1"/>
  <c r="J2012" i="6"/>
  <c r="D2012" i="6" s="1"/>
  <c r="I2012" i="6"/>
  <c r="F2012" i="6"/>
  <c r="F2058" i="6" s="1"/>
  <c r="A2012" i="6"/>
  <c r="O2011" i="6"/>
  <c r="O2057" i="6" s="1"/>
  <c r="N2011" i="6"/>
  <c r="M2011" i="6"/>
  <c r="M2057" i="6" s="1"/>
  <c r="J2011" i="6"/>
  <c r="J2057" i="6" s="1"/>
  <c r="D2057" i="6" s="1"/>
  <c r="I2011" i="6"/>
  <c r="F2011" i="6"/>
  <c r="F2057" i="6" s="1"/>
  <c r="B2057" i="6" s="1"/>
  <c r="A2011" i="6"/>
  <c r="O2010" i="6"/>
  <c r="O2056" i="6" s="1"/>
  <c r="N2010" i="6"/>
  <c r="N2056" i="6" s="1"/>
  <c r="M2010" i="6"/>
  <c r="M2056" i="6" s="1"/>
  <c r="J2010" i="6"/>
  <c r="J2056" i="6" s="1"/>
  <c r="D2056" i="6" s="1"/>
  <c r="I2010" i="6"/>
  <c r="F2010" i="6"/>
  <c r="F2056" i="6" s="1"/>
  <c r="B2056" i="6" s="1"/>
  <c r="A2010" i="6"/>
  <c r="O2009" i="6"/>
  <c r="O2055" i="6" s="1"/>
  <c r="N2009" i="6"/>
  <c r="N2055" i="6" s="1"/>
  <c r="M2009" i="6"/>
  <c r="M2055" i="6" s="1"/>
  <c r="J2009" i="6"/>
  <c r="J2055" i="6" s="1"/>
  <c r="D2055" i="6" s="1"/>
  <c r="I2009" i="6"/>
  <c r="F2009" i="6"/>
  <c r="F2055" i="6" s="1"/>
  <c r="B2055" i="6" s="1"/>
  <c r="A2009" i="6"/>
  <c r="O2008" i="6"/>
  <c r="O2054" i="6" s="1"/>
  <c r="N2008" i="6"/>
  <c r="N2054" i="6" s="1"/>
  <c r="M2008" i="6"/>
  <c r="M2054" i="6" s="1"/>
  <c r="J2008" i="6"/>
  <c r="J2054" i="6" s="1"/>
  <c r="D2054" i="6" s="1"/>
  <c r="I2008" i="6"/>
  <c r="F2008" i="6"/>
  <c r="F2054" i="6" s="1"/>
  <c r="B2054" i="6" s="1"/>
  <c r="A2008" i="6"/>
  <c r="O2007" i="6"/>
  <c r="O2053" i="6" s="1"/>
  <c r="N2007" i="6"/>
  <c r="N2053" i="6" s="1"/>
  <c r="M2007" i="6"/>
  <c r="M2053" i="6" s="1"/>
  <c r="J2007" i="6"/>
  <c r="J2053" i="6" s="1"/>
  <c r="D2053" i="6" s="1"/>
  <c r="I2007" i="6"/>
  <c r="F2007" i="6"/>
  <c r="F2053" i="6" s="1"/>
  <c r="B2053" i="6" s="1"/>
  <c r="A2007" i="6"/>
  <c r="O2006" i="6"/>
  <c r="O2052" i="6" s="1"/>
  <c r="N2006" i="6"/>
  <c r="N2052" i="6" s="1"/>
  <c r="M2006" i="6"/>
  <c r="M2052" i="6" s="1"/>
  <c r="J2006" i="6"/>
  <c r="J2052" i="6" s="1"/>
  <c r="D2052" i="6" s="1"/>
  <c r="I2006" i="6"/>
  <c r="F2006" i="6"/>
  <c r="F2052" i="6" s="1"/>
  <c r="B2052" i="6" s="1"/>
  <c r="A2006" i="6"/>
  <c r="O2005" i="6"/>
  <c r="O2051" i="6" s="1"/>
  <c r="N2005" i="6"/>
  <c r="N2051" i="6" s="1"/>
  <c r="M2005" i="6"/>
  <c r="M2051" i="6" s="1"/>
  <c r="J2005" i="6"/>
  <c r="J2051" i="6" s="1"/>
  <c r="D2051" i="6" s="1"/>
  <c r="I2005" i="6"/>
  <c r="F2005" i="6"/>
  <c r="F2051" i="6" s="1"/>
  <c r="B2051" i="6" s="1"/>
  <c r="A2005" i="6"/>
  <c r="O2004" i="6"/>
  <c r="O2050" i="6" s="1"/>
  <c r="N2004" i="6"/>
  <c r="N2050" i="6" s="1"/>
  <c r="M2004" i="6"/>
  <c r="M2050" i="6" s="1"/>
  <c r="J2004" i="6"/>
  <c r="J2050" i="6" s="1"/>
  <c r="D2050" i="6" s="1"/>
  <c r="I2004" i="6"/>
  <c r="F2004" i="6"/>
  <c r="F2050" i="6" s="1"/>
  <c r="B2050" i="6" s="1"/>
  <c r="A2004" i="6"/>
  <c r="O2003" i="6"/>
  <c r="O2049" i="6" s="1"/>
  <c r="N2003" i="6"/>
  <c r="N2049" i="6" s="1"/>
  <c r="M2003" i="6"/>
  <c r="M2049" i="6" s="1"/>
  <c r="J2003" i="6"/>
  <c r="J2049" i="6" s="1"/>
  <c r="D2049" i="6" s="1"/>
  <c r="I2003" i="6"/>
  <c r="I2049" i="6" s="1"/>
  <c r="F2003" i="6"/>
  <c r="F2049" i="6" s="1"/>
  <c r="B2049" i="6" s="1"/>
  <c r="A2003" i="6"/>
  <c r="O2002" i="6"/>
  <c r="O2048" i="6" s="1"/>
  <c r="N2002" i="6"/>
  <c r="N2048" i="6" s="1"/>
  <c r="M2002" i="6"/>
  <c r="M2048" i="6" s="1"/>
  <c r="J2002" i="6"/>
  <c r="J2048" i="6" s="1"/>
  <c r="D2048" i="6" s="1"/>
  <c r="I2002" i="6"/>
  <c r="F2002" i="6"/>
  <c r="F2048" i="6" s="1"/>
  <c r="B2048" i="6" s="1"/>
  <c r="A2002" i="6"/>
  <c r="O2001" i="6"/>
  <c r="O2047" i="6" s="1"/>
  <c r="N2001" i="6"/>
  <c r="N2047" i="6" s="1"/>
  <c r="M2001" i="6"/>
  <c r="M2047" i="6" s="1"/>
  <c r="J2001" i="6"/>
  <c r="J2047" i="6" s="1"/>
  <c r="D2047" i="6" s="1"/>
  <c r="I2001" i="6"/>
  <c r="F2001" i="6"/>
  <c r="F2047" i="6" s="1"/>
  <c r="B2047" i="6" s="1"/>
  <c r="A2001" i="6"/>
  <c r="O2000" i="6"/>
  <c r="O2046" i="6" s="1"/>
  <c r="N2000" i="6"/>
  <c r="N2046" i="6" s="1"/>
  <c r="M2000" i="6"/>
  <c r="M2046" i="6" s="1"/>
  <c r="J2000" i="6"/>
  <c r="J2046" i="6" s="1"/>
  <c r="D2046" i="6" s="1"/>
  <c r="I2000" i="6"/>
  <c r="F2000" i="6"/>
  <c r="F2046" i="6" s="1"/>
  <c r="B2046" i="6" s="1"/>
  <c r="A2000" i="6"/>
  <c r="O1999" i="6"/>
  <c r="O2045" i="6" s="1"/>
  <c r="N1999" i="6"/>
  <c r="N2045" i="6" s="1"/>
  <c r="M1999" i="6"/>
  <c r="M2045" i="6" s="1"/>
  <c r="J1999" i="6"/>
  <c r="J2045" i="6" s="1"/>
  <c r="D2045" i="6" s="1"/>
  <c r="I1999" i="6"/>
  <c r="I2045" i="6" s="1"/>
  <c r="F1999" i="6"/>
  <c r="F2045" i="6" s="1"/>
  <c r="B2045" i="6" s="1"/>
  <c r="A1999" i="6"/>
  <c r="O1998" i="6"/>
  <c r="O2044" i="6" s="1"/>
  <c r="N1998" i="6"/>
  <c r="N2044" i="6" s="1"/>
  <c r="M1998" i="6"/>
  <c r="M2044" i="6" s="1"/>
  <c r="J1998" i="6"/>
  <c r="J2044" i="6" s="1"/>
  <c r="D2044" i="6" s="1"/>
  <c r="I1998" i="6"/>
  <c r="F1998" i="6"/>
  <c r="F2044" i="6" s="1"/>
  <c r="B2044" i="6" s="1"/>
  <c r="A1998" i="6"/>
  <c r="O1997" i="6"/>
  <c r="O2043" i="6" s="1"/>
  <c r="N1997" i="6"/>
  <c r="N2043" i="6" s="1"/>
  <c r="M1997" i="6"/>
  <c r="M2043" i="6" s="1"/>
  <c r="J1997" i="6"/>
  <c r="J2043" i="6" s="1"/>
  <c r="D2043" i="6" s="1"/>
  <c r="I1997" i="6"/>
  <c r="I2043" i="6" s="1"/>
  <c r="F1997" i="6"/>
  <c r="F2043" i="6" s="1"/>
  <c r="B2043" i="6" s="1"/>
  <c r="A1997" i="6"/>
  <c r="O1996" i="6"/>
  <c r="O2042" i="6" s="1"/>
  <c r="N1996" i="6"/>
  <c r="N2042" i="6" s="1"/>
  <c r="M1996" i="6"/>
  <c r="M2042" i="6" s="1"/>
  <c r="J1996" i="6"/>
  <c r="J2042" i="6" s="1"/>
  <c r="D2042" i="6" s="1"/>
  <c r="I1996" i="6"/>
  <c r="F1996" i="6"/>
  <c r="F2042" i="6" s="1"/>
  <c r="B2042" i="6" s="1"/>
  <c r="A1996" i="6"/>
  <c r="O1995" i="6"/>
  <c r="O2041" i="6" s="1"/>
  <c r="N1995" i="6"/>
  <c r="N2041" i="6" s="1"/>
  <c r="M1995" i="6"/>
  <c r="M2041" i="6" s="1"/>
  <c r="J1995" i="6"/>
  <c r="J2041" i="6" s="1"/>
  <c r="D2041" i="6" s="1"/>
  <c r="I1995" i="6"/>
  <c r="F1995" i="6"/>
  <c r="F2041" i="6" s="1"/>
  <c r="B2041" i="6" s="1"/>
  <c r="A1995" i="6"/>
  <c r="O1994" i="6"/>
  <c r="O2040" i="6" s="1"/>
  <c r="N1994" i="6"/>
  <c r="N2040" i="6" s="1"/>
  <c r="M1994" i="6"/>
  <c r="M2040" i="6" s="1"/>
  <c r="J1994" i="6"/>
  <c r="J2040" i="6" s="1"/>
  <c r="D2040" i="6" s="1"/>
  <c r="I1994" i="6"/>
  <c r="F1994" i="6"/>
  <c r="F2040" i="6" s="1"/>
  <c r="B2040" i="6" s="1"/>
  <c r="A1994" i="6"/>
  <c r="O1993" i="6"/>
  <c r="O2039" i="6" s="1"/>
  <c r="N1993" i="6"/>
  <c r="N2039" i="6" s="1"/>
  <c r="M1993" i="6"/>
  <c r="M2039" i="6" s="1"/>
  <c r="J1993" i="6"/>
  <c r="J2039" i="6" s="1"/>
  <c r="D2039" i="6" s="1"/>
  <c r="I1993" i="6"/>
  <c r="I2039" i="6" s="1"/>
  <c r="F1993" i="6"/>
  <c r="F2039" i="6" s="1"/>
  <c r="B2039" i="6" s="1"/>
  <c r="A1993" i="6"/>
  <c r="O1992" i="6"/>
  <c r="O2038" i="6" s="1"/>
  <c r="N1992" i="6"/>
  <c r="N2038" i="6" s="1"/>
  <c r="M1992" i="6"/>
  <c r="M2038" i="6" s="1"/>
  <c r="J1992" i="6"/>
  <c r="I1992" i="6"/>
  <c r="F1992" i="6"/>
  <c r="F2038" i="6" s="1"/>
  <c r="A1992" i="6"/>
  <c r="O1991" i="6"/>
  <c r="O2037" i="6" s="1"/>
  <c r="N1991" i="6"/>
  <c r="N2037" i="6" s="1"/>
  <c r="M1991" i="6"/>
  <c r="M2037" i="6" s="1"/>
  <c r="J1991" i="6"/>
  <c r="I1991" i="6"/>
  <c r="F1991" i="6"/>
  <c r="F2037" i="6" s="1"/>
  <c r="A1991" i="6"/>
  <c r="O1990" i="6"/>
  <c r="O2036" i="6" s="1"/>
  <c r="N1990" i="6"/>
  <c r="N2036" i="6" s="1"/>
  <c r="M1990" i="6"/>
  <c r="M2036" i="6" s="1"/>
  <c r="J1990" i="6"/>
  <c r="I1990" i="6"/>
  <c r="F1990" i="6"/>
  <c r="F2036" i="6" s="1"/>
  <c r="A1990" i="6"/>
  <c r="O1989" i="6"/>
  <c r="O2035" i="6" s="1"/>
  <c r="N1989" i="6"/>
  <c r="N2035" i="6" s="1"/>
  <c r="M1989" i="6"/>
  <c r="M2035" i="6" s="1"/>
  <c r="J1989" i="6"/>
  <c r="I1989" i="6"/>
  <c r="F1989" i="6"/>
  <c r="F2035" i="6" s="1"/>
  <c r="A1989" i="6"/>
  <c r="O1988" i="6"/>
  <c r="O2034" i="6" s="1"/>
  <c r="N1988" i="6"/>
  <c r="N2034" i="6" s="1"/>
  <c r="M1988" i="6"/>
  <c r="M2034" i="6" s="1"/>
  <c r="J1988" i="6"/>
  <c r="I1988" i="6"/>
  <c r="F1988" i="6"/>
  <c r="F2034" i="6" s="1"/>
  <c r="A1988" i="6"/>
  <c r="O1987" i="6"/>
  <c r="O2033" i="6" s="1"/>
  <c r="N1987" i="6"/>
  <c r="N2033" i="6" s="1"/>
  <c r="M1987" i="6"/>
  <c r="M2033" i="6" s="1"/>
  <c r="J1987" i="6"/>
  <c r="I1987" i="6"/>
  <c r="F1987" i="6"/>
  <c r="F2033" i="6" s="1"/>
  <c r="A1987" i="6"/>
  <c r="O1986" i="6"/>
  <c r="O2032" i="6" s="1"/>
  <c r="N1986" i="6"/>
  <c r="N2032" i="6" s="1"/>
  <c r="M1986" i="6"/>
  <c r="M2032" i="6" s="1"/>
  <c r="J1986" i="6"/>
  <c r="I1986" i="6"/>
  <c r="F1986" i="6"/>
  <c r="F2032" i="6" s="1"/>
  <c r="A1986" i="6"/>
  <c r="O1985" i="6"/>
  <c r="O2031" i="6" s="1"/>
  <c r="N1985" i="6"/>
  <c r="N2031" i="6" s="1"/>
  <c r="M1985" i="6"/>
  <c r="M2031" i="6" s="1"/>
  <c r="J1985" i="6"/>
  <c r="I1985" i="6"/>
  <c r="F1985" i="6"/>
  <c r="F2031" i="6" s="1"/>
  <c r="A1985" i="6"/>
  <c r="O1984" i="6"/>
  <c r="O2030" i="6" s="1"/>
  <c r="N1984" i="6"/>
  <c r="N2030" i="6" s="1"/>
  <c r="M1984" i="6"/>
  <c r="M2030" i="6" s="1"/>
  <c r="J1984" i="6"/>
  <c r="I1984" i="6"/>
  <c r="F1984" i="6"/>
  <c r="F2030" i="6" s="1"/>
  <c r="A1984" i="6"/>
  <c r="O1983" i="6"/>
  <c r="O2029" i="6" s="1"/>
  <c r="N1983" i="6"/>
  <c r="N2029" i="6" s="1"/>
  <c r="M1983" i="6"/>
  <c r="M2029" i="6" s="1"/>
  <c r="J1983" i="6"/>
  <c r="I1983" i="6"/>
  <c r="F1983" i="6"/>
  <c r="F2029" i="6" s="1"/>
  <c r="A1983" i="6"/>
  <c r="AA1982" i="6"/>
  <c r="Z1982" i="6"/>
  <c r="Y1982" i="6"/>
  <c r="X1982" i="6"/>
  <c r="W1982" i="6"/>
  <c r="V1982" i="6"/>
  <c r="U1982" i="6"/>
  <c r="T1982" i="6"/>
  <c r="S1982" i="6"/>
  <c r="R1982" i="6"/>
  <c r="Q1982" i="6"/>
  <c r="P1982" i="6"/>
  <c r="AQ1978" i="6"/>
  <c r="AP1978" i="6"/>
  <c r="AO1978" i="6"/>
  <c r="AN1978" i="6"/>
  <c r="AM1978" i="6"/>
  <c r="AL1978" i="6"/>
  <c r="AK1978" i="6"/>
  <c r="AJ1978" i="6"/>
  <c r="AI1978" i="6"/>
  <c r="AH1978" i="6"/>
  <c r="AG1978" i="6"/>
  <c r="AF1978" i="6"/>
  <c r="AE1978" i="6"/>
  <c r="B1978" i="6"/>
  <c r="AQ1977" i="6"/>
  <c r="AP1977" i="6"/>
  <c r="AO1977" i="6"/>
  <c r="AN1977" i="6"/>
  <c r="AM1977" i="6"/>
  <c r="AL1977" i="6"/>
  <c r="AK1977" i="6"/>
  <c r="AJ1977" i="6"/>
  <c r="AI1977" i="6"/>
  <c r="AH1977" i="6"/>
  <c r="AG1977" i="6"/>
  <c r="AF1977" i="6"/>
  <c r="AE1977" i="6"/>
  <c r="B1977" i="6"/>
  <c r="AQ1976" i="6"/>
  <c r="AP1976" i="6"/>
  <c r="AO1976" i="6"/>
  <c r="AN1976" i="6"/>
  <c r="AM1976" i="6"/>
  <c r="AL1976" i="6"/>
  <c r="AK1976" i="6"/>
  <c r="AJ1976" i="6"/>
  <c r="AR1976" i="6" s="1"/>
  <c r="AI1976" i="6"/>
  <c r="AH1976" i="6"/>
  <c r="AG1976" i="6"/>
  <c r="AF1976" i="6"/>
  <c r="AE1976" i="6"/>
  <c r="B1976" i="6"/>
  <c r="AQ1975" i="6"/>
  <c r="AP1975" i="6"/>
  <c r="AO1975" i="6"/>
  <c r="AN1975" i="6"/>
  <c r="AM1975" i="6"/>
  <c r="AL1975" i="6"/>
  <c r="AK1975" i="6"/>
  <c r="AJ1975" i="6"/>
  <c r="AI1975" i="6"/>
  <c r="AR1975" i="6" s="1"/>
  <c r="AH1975" i="6"/>
  <c r="AG1975" i="6"/>
  <c r="AF1975" i="6"/>
  <c r="AE1975" i="6"/>
  <c r="B1975" i="6"/>
  <c r="AQ1974" i="6"/>
  <c r="AP1974" i="6"/>
  <c r="AO1974" i="6"/>
  <c r="AN1974" i="6"/>
  <c r="AM1974" i="6"/>
  <c r="AL1974" i="6"/>
  <c r="AK1974" i="6"/>
  <c r="AJ1974" i="6"/>
  <c r="AI1974" i="6"/>
  <c r="AH1974" i="6"/>
  <c r="AR1974" i="6" s="1"/>
  <c r="AG1974" i="6"/>
  <c r="AF1974" i="6"/>
  <c r="AE1974" i="6"/>
  <c r="B1974" i="6"/>
  <c r="AQ1973" i="6"/>
  <c r="AP1973" i="6"/>
  <c r="AO1973" i="6"/>
  <c r="AN1973" i="6"/>
  <c r="AM1973" i="6"/>
  <c r="AL1973" i="6"/>
  <c r="AK1973" i="6"/>
  <c r="AJ1973" i="6"/>
  <c r="AI1973" i="6"/>
  <c r="AH1973" i="6"/>
  <c r="AG1973" i="6"/>
  <c r="AR1973" i="6" s="1"/>
  <c r="AF1973" i="6"/>
  <c r="AE1973" i="6"/>
  <c r="B1973" i="6"/>
  <c r="AQ1972" i="6"/>
  <c r="AP1972" i="6"/>
  <c r="AO1972" i="6"/>
  <c r="AN1972" i="6"/>
  <c r="AM1972" i="6"/>
  <c r="AL1972" i="6"/>
  <c r="AK1972" i="6"/>
  <c r="AJ1972" i="6"/>
  <c r="AI1972" i="6"/>
  <c r="AH1972" i="6"/>
  <c r="AG1972" i="6"/>
  <c r="AF1972" i="6"/>
  <c r="AE1972" i="6"/>
  <c r="B1972" i="6"/>
  <c r="AQ1971" i="6"/>
  <c r="AP1971" i="6"/>
  <c r="AO1971" i="6"/>
  <c r="AN1971" i="6"/>
  <c r="AM1971" i="6"/>
  <c r="AL1971" i="6"/>
  <c r="AK1971" i="6"/>
  <c r="AJ1971" i="6"/>
  <c r="AI1971" i="6"/>
  <c r="AH1971" i="6"/>
  <c r="AG1971" i="6"/>
  <c r="AF1971" i="6"/>
  <c r="AR1971" i="6" s="1"/>
  <c r="AE1971" i="6"/>
  <c r="B1971" i="6"/>
  <c r="AQ1970" i="6"/>
  <c r="AP1970" i="6"/>
  <c r="AO1970" i="6"/>
  <c r="AN1970" i="6"/>
  <c r="AM1970" i="6"/>
  <c r="AL1970" i="6"/>
  <c r="AK1970" i="6"/>
  <c r="AJ1970" i="6"/>
  <c r="AR1970" i="6" s="1"/>
  <c r="AI1970" i="6"/>
  <c r="AH1970" i="6"/>
  <c r="AG1970" i="6"/>
  <c r="AF1970" i="6"/>
  <c r="AE1970" i="6"/>
  <c r="B1970" i="6"/>
  <c r="AQ1969" i="6"/>
  <c r="AP1969" i="6"/>
  <c r="AO1969" i="6"/>
  <c r="AN1969" i="6"/>
  <c r="AM1969" i="6"/>
  <c r="AL1969" i="6"/>
  <c r="AK1969" i="6"/>
  <c r="AJ1969" i="6"/>
  <c r="AI1969" i="6"/>
  <c r="AH1969" i="6"/>
  <c r="AG1969" i="6"/>
  <c r="AF1969" i="6"/>
  <c r="AE1969" i="6"/>
  <c r="B1969" i="6"/>
  <c r="AQ1968" i="6"/>
  <c r="AP1968" i="6"/>
  <c r="AO1968" i="6"/>
  <c r="AN1968" i="6"/>
  <c r="AM1968" i="6"/>
  <c r="AL1968" i="6"/>
  <c r="AK1968" i="6"/>
  <c r="AJ1968" i="6"/>
  <c r="AI1968" i="6"/>
  <c r="AH1968" i="6"/>
  <c r="AG1968" i="6"/>
  <c r="AF1968" i="6"/>
  <c r="AE1968" i="6"/>
  <c r="B1968" i="6"/>
  <c r="AQ1967" i="6"/>
  <c r="AP1967" i="6"/>
  <c r="AO1967" i="6"/>
  <c r="AN1967" i="6"/>
  <c r="AM1967" i="6"/>
  <c r="AL1967" i="6"/>
  <c r="AK1967" i="6"/>
  <c r="AJ1967" i="6"/>
  <c r="AI1967" i="6"/>
  <c r="AH1967" i="6"/>
  <c r="AG1967" i="6"/>
  <c r="AF1967" i="6"/>
  <c r="AE1967" i="6"/>
  <c r="B1967" i="6"/>
  <c r="AQ1966" i="6"/>
  <c r="AP1966" i="6"/>
  <c r="AO1966" i="6"/>
  <c r="AN1966" i="6"/>
  <c r="AM1966" i="6"/>
  <c r="AL1966" i="6"/>
  <c r="AK1966" i="6"/>
  <c r="AJ1966" i="6"/>
  <c r="AI1966" i="6"/>
  <c r="AH1966" i="6"/>
  <c r="AG1966" i="6"/>
  <c r="AF1966" i="6"/>
  <c r="AR1966" i="6" s="1"/>
  <c r="AE1966" i="6"/>
  <c r="B1966" i="6"/>
  <c r="AQ1965" i="6"/>
  <c r="AP1965" i="6"/>
  <c r="AO1965" i="6"/>
  <c r="AN1965" i="6"/>
  <c r="AM1965" i="6"/>
  <c r="AL1965" i="6"/>
  <c r="AK1965" i="6"/>
  <c r="AJ1965" i="6"/>
  <c r="AI1965" i="6"/>
  <c r="AH1965" i="6"/>
  <c r="AG1965" i="6"/>
  <c r="AF1965" i="6"/>
  <c r="AE1965" i="6"/>
  <c r="B1965" i="6"/>
  <c r="AQ1964" i="6"/>
  <c r="AP1964" i="6"/>
  <c r="AO1964" i="6"/>
  <c r="AN1964" i="6"/>
  <c r="AM1964" i="6"/>
  <c r="AL1964" i="6"/>
  <c r="AK1964" i="6"/>
  <c r="AJ1964" i="6"/>
  <c r="AI1964" i="6"/>
  <c r="AH1964" i="6"/>
  <c r="AG1964" i="6"/>
  <c r="AF1964" i="6"/>
  <c r="AE1964" i="6"/>
  <c r="B1964" i="6"/>
  <c r="AQ1963" i="6"/>
  <c r="AP1963" i="6"/>
  <c r="AO1963" i="6"/>
  <c r="AN1963" i="6"/>
  <c r="AM1963" i="6"/>
  <c r="AL1963" i="6"/>
  <c r="AK1963" i="6"/>
  <c r="AJ1963" i="6"/>
  <c r="AR1963" i="6" s="1"/>
  <c r="AI1963" i="6"/>
  <c r="AH1963" i="6"/>
  <c r="AG1963" i="6"/>
  <c r="AF1963" i="6"/>
  <c r="AE1963" i="6"/>
  <c r="B1963" i="6"/>
  <c r="AQ1962" i="6"/>
  <c r="AP1962" i="6"/>
  <c r="AO1962" i="6"/>
  <c r="AN1962" i="6"/>
  <c r="AM1962" i="6"/>
  <c r="AL1962" i="6"/>
  <c r="AK1962" i="6"/>
  <c r="AJ1962" i="6"/>
  <c r="AI1962" i="6"/>
  <c r="AH1962" i="6"/>
  <c r="AG1962" i="6"/>
  <c r="AF1962" i="6"/>
  <c r="AR1962" i="6" s="1"/>
  <c r="AE1962" i="6"/>
  <c r="B1962" i="6"/>
  <c r="AQ1961" i="6"/>
  <c r="AP1961" i="6"/>
  <c r="AO1961" i="6"/>
  <c r="AN1961" i="6"/>
  <c r="AM1961" i="6"/>
  <c r="AL1961" i="6"/>
  <c r="AK1961" i="6"/>
  <c r="AJ1961" i="6"/>
  <c r="AI1961" i="6"/>
  <c r="AH1961" i="6"/>
  <c r="AG1961" i="6"/>
  <c r="AF1961" i="6"/>
  <c r="AR1961" i="6" s="1"/>
  <c r="AE1961" i="6"/>
  <c r="B1961" i="6"/>
  <c r="AQ1960" i="6"/>
  <c r="AP1960" i="6"/>
  <c r="AO1960" i="6"/>
  <c r="AN1960" i="6"/>
  <c r="AM1960" i="6"/>
  <c r="AL1960" i="6"/>
  <c r="AK1960" i="6"/>
  <c r="AJ1960" i="6"/>
  <c r="AR1960" i="6" s="1"/>
  <c r="AI1960" i="6"/>
  <c r="AH1960" i="6"/>
  <c r="AG1960" i="6"/>
  <c r="AF1960" i="6"/>
  <c r="AE1960" i="6"/>
  <c r="B1960" i="6"/>
  <c r="AQ1959" i="6"/>
  <c r="AP1959" i="6"/>
  <c r="AO1959" i="6"/>
  <c r="AN1959" i="6"/>
  <c r="AM1959" i="6"/>
  <c r="AL1959" i="6"/>
  <c r="AK1959" i="6"/>
  <c r="AJ1959" i="6"/>
  <c r="AI1959" i="6"/>
  <c r="AH1959" i="6"/>
  <c r="AG1959" i="6"/>
  <c r="AR1959" i="6" s="1"/>
  <c r="AF1959" i="6"/>
  <c r="AE1959" i="6"/>
  <c r="B1959" i="6"/>
  <c r="AQ1958" i="6"/>
  <c r="AP1958" i="6"/>
  <c r="AO1958" i="6"/>
  <c r="AN1958" i="6"/>
  <c r="AM1958" i="6"/>
  <c r="AL1958" i="6"/>
  <c r="AK1958" i="6"/>
  <c r="AJ1958" i="6"/>
  <c r="AI1958" i="6"/>
  <c r="AH1958" i="6"/>
  <c r="AG1958" i="6"/>
  <c r="AF1958" i="6"/>
  <c r="AR1958" i="6" s="1"/>
  <c r="AE1958" i="6"/>
  <c r="B1958" i="6"/>
  <c r="AQ1957" i="6"/>
  <c r="AP1957" i="6"/>
  <c r="AO1957" i="6"/>
  <c r="AN1957" i="6"/>
  <c r="AM1957" i="6"/>
  <c r="AL1957" i="6"/>
  <c r="AK1957" i="6"/>
  <c r="AJ1957" i="6"/>
  <c r="AR1957" i="6" s="1"/>
  <c r="AI1957" i="6"/>
  <c r="AH1957" i="6"/>
  <c r="AG1957" i="6"/>
  <c r="AF1957" i="6"/>
  <c r="AE1957" i="6"/>
  <c r="B1957" i="6"/>
  <c r="AQ1956" i="6"/>
  <c r="AP1956" i="6"/>
  <c r="AO1956" i="6"/>
  <c r="AN1956" i="6"/>
  <c r="AM1956" i="6"/>
  <c r="AL1956" i="6"/>
  <c r="AK1956" i="6"/>
  <c r="AJ1956" i="6"/>
  <c r="AI1956" i="6"/>
  <c r="AH1956" i="6"/>
  <c r="AG1956" i="6"/>
  <c r="AF1956" i="6"/>
  <c r="AE1956" i="6"/>
  <c r="B1956" i="6"/>
  <c r="AQ1955" i="6"/>
  <c r="AP1955" i="6"/>
  <c r="AO1955" i="6"/>
  <c r="AN1955" i="6"/>
  <c r="AM1955" i="6"/>
  <c r="AL1955" i="6"/>
  <c r="AK1955" i="6"/>
  <c r="AJ1955" i="6"/>
  <c r="AI1955" i="6"/>
  <c r="AH1955" i="6"/>
  <c r="AG1955" i="6"/>
  <c r="AF1955" i="6"/>
  <c r="AE1955" i="6"/>
  <c r="B1955" i="6"/>
  <c r="AQ1954" i="6"/>
  <c r="AP1954" i="6"/>
  <c r="AO1954" i="6"/>
  <c r="AN1954" i="6"/>
  <c r="AM1954" i="6"/>
  <c r="AL1954" i="6"/>
  <c r="AK1954" i="6"/>
  <c r="AJ1954" i="6"/>
  <c r="AI1954" i="6"/>
  <c r="AH1954" i="6"/>
  <c r="AG1954" i="6"/>
  <c r="AF1954" i="6"/>
  <c r="AE1954" i="6"/>
  <c r="B1954" i="6"/>
  <c r="AQ1953" i="6"/>
  <c r="AP1953" i="6"/>
  <c r="AO1953" i="6"/>
  <c r="AN1953" i="6"/>
  <c r="AM1953" i="6"/>
  <c r="AL1953" i="6"/>
  <c r="AK1953" i="6"/>
  <c r="AJ1953" i="6"/>
  <c r="AI1953" i="6"/>
  <c r="AH1953" i="6"/>
  <c r="AG1953" i="6"/>
  <c r="AF1953" i="6"/>
  <c r="AE1953" i="6"/>
  <c r="B1953" i="6"/>
  <c r="AQ1952" i="6"/>
  <c r="AP1952" i="6"/>
  <c r="AO1952" i="6"/>
  <c r="AN1952" i="6"/>
  <c r="AM1952" i="6"/>
  <c r="AL1952" i="6"/>
  <c r="AK1952" i="6"/>
  <c r="AJ1952" i="6"/>
  <c r="AI1952" i="6"/>
  <c r="AH1952" i="6"/>
  <c r="AG1952" i="6"/>
  <c r="AF1952" i="6"/>
  <c r="AE1952" i="6"/>
  <c r="B1952" i="6"/>
  <c r="AQ1951" i="6"/>
  <c r="AP1951" i="6"/>
  <c r="AO1951" i="6"/>
  <c r="AN1951" i="6"/>
  <c r="AM1951" i="6"/>
  <c r="AL1951" i="6"/>
  <c r="AK1951" i="6"/>
  <c r="AJ1951" i="6"/>
  <c r="AR1951" i="6" s="1"/>
  <c r="AI1951" i="6"/>
  <c r="AH1951" i="6"/>
  <c r="AG1951" i="6"/>
  <c r="AF1951" i="6"/>
  <c r="AE1951" i="6"/>
  <c r="B1951" i="6"/>
  <c r="AQ1950" i="6"/>
  <c r="AP1950" i="6"/>
  <c r="AO1950" i="6"/>
  <c r="AN1950" i="6"/>
  <c r="AM1950" i="6"/>
  <c r="AL1950" i="6"/>
  <c r="AK1950" i="6"/>
  <c r="AJ1950" i="6"/>
  <c r="AR1950" i="6" s="1"/>
  <c r="AI1950" i="6"/>
  <c r="AH1950" i="6"/>
  <c r="AG1950" i="6"/>
  <c r="AF1950" i="6"/>
  <c r="AE1950" i="6"/>
  <c r="B1950" i="6"/>
  <c r="W1949" i="6"/>
  <c r="O1949" i="6"/>
  <c r="N1949" i="6"/>
  <c r="M1949" i="6"/>
  <c r="U1949" i="6" s="1"/>
  <c r="J1949" i="6"/>
  <c r="K1949" i="6" s="1"/>
  <c r="I1949" i="6"/>
  <c r="F1949" i="6"/>
  <c r="B1949" i="6"/>
  <c r="AJ1948" i="6"/>
  <c r="AA1948" i="6"/>
  <c r="Z1948" i="6"/>
  <c r="X1948" i="6"/>
  <c r="W1948" i="6"/>
  <c r="U1948" i="6"/>
  <c r="T1948" i="6"/>
  <c r="S1948" i="6"/>
  <c r="R1948" i="6"/>
  <c r="P1948" i="6"/>
  <c r="O1948" i="6"/>
  <c r="N1948" i="6"/>
  <c r="M1948" i="6"/>
  <c r="K1948" i="6"/>
  <c r="J1948" i="6"/>
  <c r="L1948" i="6" s="1"/>
  <c r="I1948" i="6"/>
  <c r="F1948" i="6"/>
  <c r="B1948" i="6" s="1"/>
  <c r="AA1947" i="6"/>
  <c r="Z1947" i="6"/>
  <c r="V1947" i="6"/>
  <c r="T1947" i="6"/>
  <c r="R1947" i="6"/>
  <c r="Q1947" i="6"/>
  <c r="O1947" i="6"/>
  <c r="N1947" i="6"/>
  <c r="M1947" i="6"/>
  <c r="W1947" i="6" s="1"/>
  <c r="J1947" i="6"/>
  <c r="I1947" i="6"/>
  <c r="F1947" i="6"/>
  <c r="AF1946" i="6"/>
  <c r="AA1946" i="6"/>
  <c r="Z1946" i="6"/>
  <c r="Y1946" i="6"/>
  <c r="X1946" i="6"/>
  <c r="W1946" i="6"/>
  <c r="V1946" i="6"/>
  <c r="T1946" i="6"/>
  <c r="S1946" i="6"/>
  <c r="AB1946" i="6" s="1"/>
  <c r="R1946" i="6"/>
  <c r="Q1946" i="6"/>
  <c r="P1946" i="6"/>
  <c r="O1946" i="6"/>
  <c r="N1946" i="6"/>
  <c r="M1946" i="6"/>
  <c r="U1946" i="6" s="1"/>
  <c r="L1946" i="6"/>
  <c r="K1946" i="6"/>
  <c r="J1946" i="6"/>
  <c r="I1946" i="6"/>
  <c r="F1946" i="6"/>
  <c r="B1946" i="6" s="1"/>
  <c r="W1945" i="6"/>
  <c r="O1945" i="6"/>
  <c r="N1945" i="6"/>
  <c r="M1945" i="6"/>
  <c r="U1945" i="6" s="1"/>
  <c r="J1945" i="6"/>
  <c r="K1945" i="6" s="1"/>
  <c r="I1945" i="6"/>
  <c r="F1945" i="6"/>
  <c r="B1945" i="6"/>
  <c r="Z1944" i="6"/>
  <c r="Y1944" i="6"/>
  <c r="W1944" i="6"/>
  <c r="V1944" i="6"/>
  <c r="T1944" i="6"/>
  <c r="R1944" i="6"/>
  <c r="Q1944" i="6"/>
  <c r="O1944" i="6"/>
  <c r="N1944" i="6"/>
  <c r="M1944" i="6"/>
  <c r="X1944" i="6" s="1"/>
  <c r="J1944" i="6"/>
  <c r="I1944" i="6"/>
  <c r="F1944" i="6"/>
  <c r="AP1943" i="6"/>
  <c r="AH1943" i="6"/>
  <c r="AG1943" i="6"/>
  <c r="Z1943" i="6"/>
  <c r="X1943" i="6"/>
  <c r="W1943" i="6"/>
  <c r="T1943" i="6"/>
  <c r="R1943" i="6"/>
  <c r="P1943" i="6"/>
  <c r="O1943" i="6"/>
  <c r="N1943" i="6"/>
  <c r="M1943" i="6"/>
  <c r="V1943" i="6" s="1"/>
  <c r="L1943" i="6"/>
  <c r="AO1943" i="6" s="1"/>
  <c r="J1943" i="6"/>
  <c r="I1943" i="6"/>
  <c r="F1943" i="6"/>
  <c r="AN1942" i="6"/>
  <c r="AF1942" i="6"/>
  <c r="V1942" i="6"/>
  <c r="O1942" i="6"/>
  <c r="N1942" i="6"/>
  <c r="M1942" i="6"/>
  <c r="U1942" i="6" s="1"/>
  <c r="J1942" i="6"/>
  <c r="L1942" i="6" s="1"/>
  <c r="I1942" i="6"/>
  <c r="F1942" i="6"/>
  <c r="AL1941" i="6"/>
  <c r="AA1941" i="6"/>
  <c r="Y1941" i="6"/>
  <c r="X1941" i="6"/>
  <c r="W1941" i="6"/>
  <c r="V1941" i="6"/>
  <c r="T1941" i="6"/>
  <c r="S1941" i="6"/>
  <c r="Q1941" i="6"/>
  <c r="P1941" i="6"/>
  <c r="O1941" i="6"/>
  <c r="N1941" i="6"/>
  <c r="M1941" i="6"/>
  <c r="Z1941" i="6" s="1"/>
  <c r="L1941" i="6"/>
  <c r="K1941" i="6"/>
  <c r="J1941" i="6"/>
  <c r="I1941" i="6"/>
  <c r="F1941" i="6"/>
  <c r="Z1940" i="6"/>
  <c r="Y1940" i="6"/>
  <c r="V1940" i="6"/>
  <c r="T1940" i="6"/>
  <c r="R1940" i="6"/>
  <c r="Q1940" i="6"/>
  <c r="O1940" i="6"/>
  <c r="N1940" i="6"/>
  <c r="M1940" i="6"/>
  <c r="X1940" i="6" s="1"/>
  <c r="J1940" i="6"/>
  <c r="I1940" i="6"/>
  <c r="F1940" i="6"/>
  <c r="B1940" i="6" s="1"/>
  <c r="AP1939" i="6"/>
  <c r="AO1939" i="6"/>
  <c r="AH1939" i="6"/>
  <c r="AG1939" i="6"/>
  <c r="Z1939" i="6"/>
  <c r="X1939" i="6"/>
  <c r="W1939" i="6"/>
  <c r="T1939" i="6"/>
  <c r="R1939" i="6"/>
  <c r="P1939" i="6"/>
  <c r="O1939" i="6"/>
  <c r="N1939" i="6"/>
  <c r="M1939" i="6"/>
  <c r="V1939" i="6" s="1"/>
  <c r="L1939" i="6"/>
  <c r="AN1939" i="6" s="1"/>
  <c r="J1939" i="6"/>
  <c r="I1939" i="6"/>
  <c r="F1939" i="6"/>
  <c r="AN1938" i="6"/>
  <c r="AF1938" i="6"/>
  <c r="V1938" i="6"/>
  <c r="O1938" i="6"/>
  <c r="N1938" i="6"/>
  <c r="M1938" i="6"/>
  <c r="U1938" i="6" s="1"/>
  <c r="J1938" i="6"/>
  <c r="L1938" i="6" s="1"/>
  <c r="I1938" i="6"/>
  <c r="F1938" i="6"/>
  <c r="AA1937" i="6"/>
  <c r="Y1937" i="6"/>
  <c r="X1937" i="6"/>
  <c r="W1937" i="6"/>
  <c r="V1937" i="6"/>
  <c r="T1937" i="6"/>
  <c r="S1937" i="6"/>
  <c r="Q1937" i="6"/>
  <c r="P1937" i="6"/>
  <c r="O1937" i="6"/>
  <c r="N1937" i="6"/>
  <c r="M1937" i="6"/>
  <c r="Z1937" i="6" s="1"/>
  <c r="L1937" i="6"/>
  <c r="AL1937" i="6" s="1"/>
  <c r="K1937" i="6"/>
  <c r="J1937" i="6"/>
  <c r="I1937" i="6"/>
  <c r="F1937" i="6"/>
  <c r="Z1936" i="6"/>
  <c r="Y1936" i="6"/>
  <c r="V1936" i="6"/>
  <c r="T1936" i="6"/>
  <c r="R1936" i="6"/>
  <c r="Q1936" i="6"/>
  <c r="O1936" i="6"/>
  <c r="N1936" i="6"/>
  <c r="M1936" i="6"/>
  <c r="X1936" i="6" s="1"/>
  <c r="J1936" i="6"/>
  <c r="I1936" i="6"/>
  <c r="F1936" i="6"/>
  <c r="AP1935" i="6"/>
  <c r="AO1935" i="6"/>
  <c r="AH1935" i="6"/>
  <c r="AG1935" i="6"/>
  <c r="Z1935" i="6"/>
  <c r="X1935" i="6"/>
  <c r="W1935" i="6"/>
  <c r="T1935" i="6"/>
  <c r="R1935" i="6"/>
  <c r="P1935" i="6"/>
  <c r="O1935" i="6"/>
  <c r="N1935" i="6"/>
  <c r="M1935" i="6"/>
  <c r="V1935" i="6" s="1"/>
  <c r="L1935" i="6"/>
  <c r="AN1935" i="6" s="1"/>
  <c r="J1935" i="6"/>
  <c r="I1935" i="6"/>
  <c r="F1935" i="6"/>
  <c r="AN1934" i="6"/>
  <c r="AF1934" i="6"/>
  <c r="V1934" i="6"/>
  <c r="O1934" i="6"/>
  <c r="N1934" i="6"/>
  <c r="M1934" i="6"/>
  <c r="U1934" i="6" s="1"/>
  <c r="J1934" i="6"/>
  <c r="L1934" i="6" s="1"/>
  <c r="I1934" i="6"/>
  <c r="F1934" i="6"/>
  <c r="AP1933" i="6"/>
  <c r="AM1933" i="6"/>
  <c r="AK1933" i="6"/>
  <c r="AJ1933" i="6"/>
  <c r="AH1933" i="6"/>
  <c r="AA1933" i="6"/>
  <c r="AQ1933" i="6" s="1"/>
  <c r="Z1933" i="6"/>
  <c r="Y1933" i="6"/>
  <c r="AO1933" i="6" s="1"/>
  <c r="X1933" i="6"/>
  <c r="AN1933" i="6" s="1"/>
  <c r="W1933" i="6"/>
  <c r="V1933" i="6"/>
  <c r="AL1933" i="6" s="1"/>
  <c r="U1933" i="6"/>
  <c r="T1933" i="6"/>
  <c r="S1933" i="6"/>
  <c r="AI1933" i="6" s="1"/>
  <c r="R1933" i="6"/>
  <c r="Q1933" i="6"/>
  <c r="AG1933" i="6" s="1"/>
  <c r="P1933" i="6"/>
  <c r="AF1933" i="6" s="1"/>
  <c r="AU1931" i="6"/>
  <c r="AF1931" i="6"/>
  <c r="AE1931" i="6"/>
  <c r="AB1931" i="6"/>
  <c r="K1931" i="6"/>
  <c r="L1931" i="6" s="1"/>
  <c r="AT1931" i="6" s="1"/>
  <c r="H1931" i="6"/>
  <c r="H2124" i="6" s="1"/>
  <c r="H2170" i="6" s="1"/>
  <c r="G1931" i="6"/>
  <c r="G2124" i="6" s="1"/>
  <c r="G2170" i="6" s="1"/>
  <c r="D1931" i="6"/>
  <c r="C1931" i="6"/>
  <c r="B1931" i="6"/>
  <c r="AW1930" i="6"/>
  <c r="AV1930" i="6"/>
  <c r="AU1930" i="6"/>
  <c r="AF1930" i="6"/>
  <c r="AE1930" i="6"/>
  <c r="AB1930" i="6"/>
  <c r="K1930" i="6"/>
  <c r="L1930" i="6" s="1"/>
  <c r="AT1930" i="6" s="1"/>
  <c r="H1930" i="6"/>
  <c r="H2123" i="6" s="1"/>
  <c r="H2169" i="6" s="1"/>
  <c r="G1930" i="6"/>
  <c r="G2123" i="6" s="1"/>
  <c r="G2169" i="6" s="1"/>
  <c r="D1930" i="6"/>
  <c r="C1930" i="6"/>
  <c r="B1930" i="6"/>
  <c r="AU1929" i="6"/>
  <c r="AF1929" i="6"/>
  <c r="AE1929" i="6"/>
  <c r="AB1929" i="6"/>
  <c r="K1929" i="6"/>
  <c r="L1929" i="6" s="1"/>
  <c r="AT1929" i="6" s="1"/>
  <c r="H1929" i="6"/>
  <c r="H2122" i="6" s="1"/>
  <c r="H2168" i="6" s="1"/>
  <c r="G1929" i="6"/>
  <c r="G2122" i="6" s="1"/>
  <c r="G2168" i="6" s="1"/>
  <c r="D1929" i="6"/>
  <c r="C1929" i="6"/>
  <c r="B1929" i="6"/>
  <c r="AW1928" i="6"/>
  <c r="AV1928" i="6"/>
  <c r="AU1928" i="6"/>
  <c r="AF1928" i="6"/>
  <c r="AE1928" i="6"/>
  <c r="AB1928" i="6"/>
  <c r="K1928" i="6"/>
  <c r="L1928" i="6" s="1"/>
  <c r="AT1928" i="6" s="1"/>
  <c r="H1928" i="6"/>
  <c r="H2121" i="6" s="1"/>
  <c r="H2167" i="6" s="1"/>
  <c r="G1928" i="6"/>
  <c r="G2121" i="6" s="1"/>
  <c r="G2167" i="6" s="1"/>
  <c r="D1928" i="6"/>
  <c r="C1928" i="6"/>
  <c r="B1928" i="6"/>
  <c r="AU1927" i="6"/>
  <c r="AF1927" i="6"/>
  <c r="AE1927" i="6"/>
  <c r="AB1927" i="6"/>
  <c r="K1927" i="6"/>
  <c r="L1927" i="6" s="1"/>
  <c r="AT1927" i="6" s="1"/>
  <c r="H1927" i="6"/>
  <c r="H2120" i="6" s="1"/>
  <c r="H2166" i="6" s="1"/>
  <c r="G1927" i="6"/>
  <c r="G2120" i="6" s="1"/>
  <c r="G2166" i="6" s="1"/>
  <c r="D1927" i="6"/>
  <c r="C1927" i="6"/>
  <c r="B1927" i="6"/>
  <c r="AW1926" i="6"/>
  <c r="AX1926" i="6" s="1"/>
  <c r="AI1926" i="6" s="1"/>
  <c r="AV1926" i="6"/>
  <c r="AG1926" i="6" s="1"/>
  <c r="AU1926" i="6"/>
  <c r="AH1926" i="6"/>
  <c r="AF1926" i="6"/>
  <c r="AE1926" i="6"/>
  <c r="AB1926" i="6"/>
  <c r="K1926" i="6"/>
  <c r="L1926" i="6" s="1"/>
  <c r="AT1926" i="6" s="1"/>
  <c r="H1926" i="6"/>
  <c r="H2119" i="6" s="1"/>
  <c r="H2165" i="6" s="1"/>
  <c r="G1926" i="6"/>
  <c r="G2119" i="6" s="1"/>
  <c r="G2165" i="6" s="1"/>
  <c r="D1926" i="6"/>
  <c r="C1926" i="6"/>
  <c r="B1926" i="6"/>
  <c r="AU1925" i="6"/>
  <c r="AF1925" i="6"/>
  <c r="AE1925" i="6"/>
  <c r="AB1925" i="6"/>
  <c r="K1925" i="6"/>
  <c r="L1925" i="6" s="1"/>
  <c r="AT1925" i="6" s="1"/>
  <c r="H1925" i="6"/>
  <c r="H2118" i="6" s="1"/>
  <c r="H2164" i="6" s="1"/>
  <c r="G1925" i="6"/>
  <c r="G2118" i="6" s="1"/>
  <c r="G2164" i="6" s="1"/>
  <c r="D1925" i="6"/>
  <c r="C1925" i="6"/>
  <c r="B1925" i="6"/>
  <c r="AV1924" i="6"/>
  <c r="AU1924" i="6"/>
  <c r="AF1924" i="6"/>
  <c r="AE1924" i="6"/>
  <c r="AB1924" i="6"/>
  <c r="K1924" i="6"/>
  <c r="L1924" i="6" s="1"/>
  <c r="AT1924" i="6" s="1"/>
  <c r="H1924" i="6"/>
  <c r="H2117" i="6" s="1"/>
  <c r="H2163" i="6" s="1"/>
  <c r="G1924" i="6"/>
  <c r="G2117" i="6" s="1"/>
  <c r="G2163" i="6" s="1"/>
  <c r="D1924" i="6"/>
  <c r="C1924" i="6"/>
  <c r="B1924" i="6"/>
  <c r="AU1923" i="6"/>
  <c r="AF1923" i="6"/>
  <c r="AE1923" i="6"/>
  <c r="AB1923" i="6"/>
  <c r="K1923" i="6"/>
  <c r="L1923" i="6" s="1"/>
  <c r="AT1923" i="6" s="1"/>
  <c r="H1923" i="6"/>
  <c r="H2116" i="6" s="1"/>
  <c r="H2162" i="6" s="1"/>
  <c r="G1923" i="6"/>
  <c r="G2116" i="6" s="1"/>
  <c r="G2162" i="6" s="1"/>
  <c r="D1923" i="6"/>
  <c r="C1923" i="6"/>
  <c r="B1923" i="6"/>
  <c r="AW1922" i="6"/>
  <c r="AX1922" i="6" s="1"/>
  <c r="AI1922" i="6" s="1"/>
  <c r="AV1922" i="6"/>
  <c r="AG1922" i="6" s="1"/>
  <c r="AU1922" i="6"/>
  <c r="AH1922" i="6"/>
  <c r="AF1922" i="6"/>
  <c r="AE1922" i="6"/>
  <c r="AB1922" i="6"/>
  <c r="K1922" i="6"/>
  <c r="L1922" i="6" s="1"/>
  <c r="AT1922" i="6" s="1"/>
  <c r="H1922" i="6"/>
  <c r="H2115" i="6" s="1"/>
  <c r="H2161" i="6" s="1"/>
  <c r="G1922" i="6"/>
  <c r="G2115" i="6" s="1"/>
  <c r="G2161" i="6" s="1"/>
  <c r="D1922" i="6"/>
  <c r="C1922" i="6"/>
  <c r="B1922" i="6"/>
  <c r="AU1921" i="6"/>
  <c r="AF1921" i="6"/>
  <c r="AE1921" i="6"/>
  <c r="AB1921" i="6"/>
  <c r="K1921" i="6"/>
  <c r="L1921" i="6" s="1"/>
  <c r="AT1921" i="6" s="1"/>
  <c r="H1921" i="6"/>
  <c r="H2114" i="6" s="1"/>
  <c r="H2160" i="6" s="1"/>
  <c r="G1921" i="6"/>
  <c r="G2114" i="6" s="1"/>
  <c r="G2160" i="6" s="1"/>
  <c r="D1921" i="6"/>
  <c r="C1921" i="6"/>
  <c r="B1921" i="6"/>
  <c r="AV1920" i="6"/>
  <c r="AU1920" i="6"/>
  <c r="AF1920" i="6"/>
  <c r="AE1920" i="6"/>
  <c r="AB1920" i="6"/>
  <c r="K1920" i="6"/>
  <c r="L1920" i="6" s="1"/>
  <c r="AT1920" i="6" s="1"/>
  <c r="H1920" i="6"/>
  <c r="H2113" i="6" s="1"/>
  <c r="H2159" i="6" s="1"/>
  <c r="G1920" i="6"/>
  <c r="G2113" i="6" s="1"/>
  <c r="G2159" i="6" s="1"/>
  <c r="D1920" i="6"/>
  <c r="C1920" i="6"/>
  <c r="B1920" i="6"/>
  <c r="AU1919" i="6"/>
  <c r="AF1919" i="6"/>
  <c r="AE1919" i="6"/>
  <c r="AB1919" i="6"/>
  <c r="K1919" i="6"/>
  <c r="L1919" i="6" s="1"/>
  <c r="AT1919" i="6" s="1"/>
  <c r="H1919" i="6"/>
  <c r="H2112" i="6" s="1"/>
  <c r="H2158" i="6" s="1"/>
  <c r="G1919" i="6"/>
  <c r="G2112" i="6" s="1"/>
  <c r="G2158" i="6" s="1"/>
  <c r="D1919" i="6"/>
  <c r="C1919" i="6"/>
  <c r="B1919" i="6"/>
  <c r="AW1918" i="6"/>
  <c r="AX1918" i="6" s="1"/>
  <c r="AY1918" i="6" s="1"/>
  <c r="AV1918" i="6"/>
  <c r="AG1918" i="6" s="1"/>
  <c r="AU1918" i="6"/>
  <c r="AF1918" i="6"/>
  <c r="AE1918" i="6"/>
  <c r="AB1918" i="6"/>
  <c r="K1918" i="6"/>
  <c r="L1918" i="6" s="1"/>
  <c r="AT1918" i="6" s="1"/>
  <c r="H1918" i="6"/>
  <c r="H2111" i="6" s="1"/>
  <c r="H2157" i="6" s="1"/>
  <c r="G1918" i="6"/>
  <c r="G2111" i="6" s="1"/>
  <c r="G2157" i="6" s="1"/>
  <c r="D1918" i="6"/>
  <c r="C1918" i="6"/>
  <c r="B1918" i="6"/>
  <c r="AW1917" i="6"/>
  <c r="AV1917" i="6"/>
  <c r="AG1917" i="6" s="1"/>
  <c r="AU1917" i="6"/>
  <c r="AF1917" i="6"/>
  <c r="AE1917" i="6"/>
  <c r="AB1917" i="6"/>
  <c r="K1917" i="6"/>
  <c r="L1917" i="6" s="1"/>
  <c r="AT1917" i="6" s="1"/>
  <c r="H1917" i="6"/>
  <c r="H2110" i="6" s="1"/>
  <c r="H2156" i="6" s="1"/>
  <c r="G1917" i="6"/>
  <c r="G2110" i="6" s="1"/>
  <c r="G2156" i="6" s="1"/>
  <c r="D1917" i="6"/>
  <c r="C1917" i="6"/>
  <c r="B1917" i="6"/>
  <c r="AW1916" i="6"/>
  <c r="AX1916" i="6" s="1"/>
  <c r="AY1916" i="6" s="1"/>
  <c r="AV1916" i="6"/>
  <c r="AG1916" i="6" s="1"/>
  <c r="AU1916" i="6"/>
  <c r="AF1916" i="6"/>
  <c r="AE1916" i="6"/>
  <c r="AB1916" i="6"/>
  <c r="K1916" i="6"/>
  <c r="L1916" i="6" s="1"/>
  <c r="AT1916" i="6" s="1"/>
  <c r="H1916" i="6"/>
  <c r="H2109" i="6" s="1"/>
  <c r="H2155" i="6" s="1"/>
  <c r="G1916" i="6"/>
  <c r="G2109" i="6" s="1"/>
  <c r="G2155" i="6" s="1"/>
  <c r="D1916" i="6"/>
  <c r="C1916" i="6"/>
  <c r="B1916" i="6"/>
  <c r="AU1915" i="6"/>
  <c r="AF1915" i="6" s="1"/>
  <c r="AE1915" i="6"/>
  <c r="AB1915" i="6"/>
  <c r="K1915" i="6"/>
  <c r="L1915" i="6" s="1"/>
  <c r="AT1915" i="6" s="1"/>
  <c r="H1915" i="6"/>
  <c r="H2108" i="6" s="1"/>
  <c r="H2154" i="6" s="1"/>
  <c r="G1915" i="6"/>
  <c r="G2108" i="6" s="1"/>
  <c r="G2154" i="6" s="1"/>
  <c r="D1915" i="6"/>
  <c r="C1915" i="6"/>
  <c r="B1915" i="6"/>
  <c r="AV1914" i="6"/>
  <c r="AU1914" i="6"/>
  <c r="AF1914" i="6"/>
  <c r="AE1914" i="6"/>
  <c r="AB1914" i="6"/>
  <c r="K1914" i="6"/>
  <c r="L1914" i="6" s="1"/>
  <c r="AT1914" i="6" s="1"/>
  <c r="H1914" i="6"/>
  <c r="H2107" i="6" s="1"/>
  <c r="H2153" i="6" s="1"/>
  <c r="G1914" i="6"/>
  <c r="G2107" i="6" s="1"/>
  <c r="G2153" i="6" s="1"/>
  <c r="D1914" i="6"/>
  <c r="C1914" i="6"/>
  <c r="B1914" i="6"/>
  <c r="AW1913" i="6"/>
  <c r="AV1913" i="6"/>
  <c r="AG1913" i="6" s="1"/>
  <c r="AU1913" i="6"/>
  <c r="AF1913" i="6"/>
  <c r="AE1913" i="6"/>
  <c r="AB1913" i="6"/>
  <c r="L1913" i="6"/>
  <c r="AT1913" i="6" s="1"/>
  <c r="K1913" i="6"/>
  <c r="H1913" i="6"/>
  <c r="H2106" i="6" s="1"/>
  <c r="H2152" i="6" s="1"/>
  <c r="G1913" i="6"/>
  <c r="G2106" i="6" s="1"/>
  <c r="G2152" i="6" s="1"/>
  <c r="D1913" i="6"/>
  <c r="C1913" i="6"/>
  <c r="B1913" i="6"/>
  <c r="AW1912" i="6"/>
  <c r="AX1912" i="6" s="1"/>
  <c r="AV1912" i="6"/>
  <c r="AG1912" i="6" s="1"/>
  <c r="AU1912" i="6"/>
  <c r="AH1912" i="6"/>
  <c r="AF1912" i="6"/>
  <c r="AE1912" i="6"/>
  <c r="AB1912" i="6"/>
  <c r="L1912" i="6"/>
  <c r="AT1912" i="6" s="1"/>
  <c r="K1912" i="6"/>
  <c r="H1912" i="6"/>
  <c r="H2105" i="6" s="1"/>
  <c r="H2151" i="6" s="1"/>
  <c r="G1912" i="6"/>
  <c r="G2105" i="6" s="1"/>
  <c r="G2151" i="6" s="1"/>
  <c r="D1912" i="6"/>
  <c r="C1912" i="6"/>
  <c r="B1912" i="6"/>
  <c r="AZ1911" i="6"/>
  <c r="BA1911" i="6" s="1"/>
  <c r="AX1911" i="6"/>
  <c r="AY1911" i="6" s="1"/>
  <c r="AW1911" i="6"/>
  <c r="AH1911" i="6" s="1"/>
  <c r="AV1911" i="6"/>
  <c r="AU1911" i="6"/>
  <c r="AT1911" i="6"/>
  <c r="AJ1911" i="6"/>
  <c r="AI1911" i="6"/>
  <c r="AG1911" i="6"/>
  <c r="AF1911" i="6"/>
  <c r="AE1911" i="6"/>
  <c r="AB1911" i="6"/>
  <c r="L1911" i="6"/>
  <c r="K1911" i="6"/>
  <c r="H1911" i="6"/>
  <c r="H2104" i="6" s="1"/>
  <c r="H2150" i="6" s="1"/>
  <c r="G1911" i="6"/>
  <c r="G2104" i="6" s="1"/>
  <c r="G2150" i="6" s="1"/>
  <c r="D1911" i="6"/>
  <c r="C1911" i="6"/>
  <c r="B1911" i="6"/>
  <c r="AX1910" i="6"/>
  <c r="AY1910" i="6" s="1"/>
  <c r="AW1910" i="6"/>
  <c r="AV1910" i="6"/>
  <c r="AU1910" i="6"/>
  <c r="AI1910" i="6"/>
  <c r="AH1910" i="6"/>
  <c r="AG1910" i="6"/>
  <c r="AF1910" i="6"/>
  <c r="AE1910" i="6"/>
  <c r="AB1910" i="6"/>
  <c r="L1910" i="6"/>
  <c r="AT1910" i="6" s="1"/>
  <c r="K1910" i="6"/>
  <c r="H1910" i="6"/>
  <c r="H2103" i="6" s="1"/>
  <c r="H2149" i="6" s="1"/>
  <c r="G1910" i="6"/>
  <c r="G2103" i="6" s="1"/>
  <c r="G2149" i="6" s="1"/>
  <c r="D1910" i="6"/>
  <c r="C1910" i="6"/>
  <c r="B1910" i="6"/>
  <c r="AU1909" i="6"/>
  <c r="AF1909" i="6" s="1"/>
  <c r="AE1909" i="6"/>
  <c r="AB1909" i="6"/>
  <c r="K1909" i="6"/>
  <c r="L1909" i="6" s="1"/>
  <c r="AT1909" i="6" s="1"/>
  <c r="H1909" i="6"/>
  <c r="H2102" i="6" s="1"/>
  <c r="H2148" i="6" s="1"/>
  <c r="G1909" i="6"/>
  <c r="G2102" i="6" s="1"/>
  <c r="G2148" i="6" s="1"/>
  <c r="D1909" i="6"/>
  <c r="C1909" i="6"/>
  <c r="B1909" i="6"/>
  <c r="AW1908" i="6"/>
  <c r="AX1908" i="6" s="1"/>
  <c r="AV1908" i="6"/>
  <c r="AG1908" i="6" s="1"/>
  <c r="AU1908" i="6"/>
  <c r="AT1908" i="6"/>
  <c r="AH1908" i="6"/>
  <c r="AF1908" i="6"/>
  <c r="AE1908" i="6"/>
  <c r="AB1908" i="6"/>
  <c r="L1908" i="6"/>
  <c r="K1908" i="6"/>
  <c r="H1908" i="6"/>
  <c r="H2101" i="6" s="1"/>
  <c r="H2147" i="6" s="1"/>
  <c r="G1908" i="6"/>
  <c r="G2101" i="6" s="1"/>
  <c r="G2147" i="6" s="1"/>
  <c r="D1908" i="6"/>
  <c r="C1908" i="6"/>
  <c r="B1908" i="6"/>
  <c r="AU1907" i="6"/>
  <c r="AF1907" i="6" s="1"/>
  <c r="AE1907" i="6"/>
  <c r="AB1907" i="6"/>
  <c r="K1907" i="6"/>
  <c r="L1907" i="6" s="1"/>
  <c r="AT1907" i="6" s="1"/>
  <c r="H1907" i="6"/>
  <c r="H2100" i="6" s="1"/>
  <c r="H2146" i="6" s="1"/>
  <c r="G1907" i="6"/>
  <c r="G2100" i="6" s="1"/>
  <c r="G2146" i="6" s="1"/>
  <c r="D1907" i="6"/>
  <c r="C1907" i="6"/>
  <c r="B1907" i="6"/>
  <c r="AW1906" i="6"/>
  <c r="AX1906" i="6" s="1"/>
  <c r="AV1906" i="6"/>
  <c r="AG1906" i="6" s="1"/>
  <c r="AU1906" i="6"/>
  <c r="AH1906" i="6"/>
  <c r="AF1906" i="6"/>
  <c r="AE1906" i="6"/>
  <c r="AB1906" i="6"/>
  <c r="L1906" i="6"/>
  <c r="AT1906" i="6" s="1"/>
  <c r="K1906" i="6"/>
  <c r="H1906" i="6"/>
  <c r="H2099" i="6" s="1"/>
  <c r="H2145" i="6" s="1"/>
  <c r="G1906" i="6"/>
  <c r="G2099" i="6" s="1"/>
  <c r="G2145" i="6" s="1"/>
  <c r="D1906" i="6"/>
  <c r="C1906" i="6"/>
  <c r="B1906" i="6"/>
  <c r="AU1905" i="6"/>
  <c r="AF1905" i="6" s="1"/>
  <c r="AE1905" i="6"/>
  <c r="AB1905" i="6"/>
  <c r="K1905" i="6"/>
  <c r="L1905" i="6" s="1"/>
  <c r="AT1905" i="6" s="1"/>
  <c r="H1905" i="6"/>
  <c r="H2098" i="6" s="1"/>
  <c r="H2144" i="6" s="1"/>
  <c r="G1905" i="6"/>
  <c r="G2098" i="6" s="1"/>
  <c r="G2144" i="6" s="1"/>
  <c r="D1905" i="6"/>
  <c r="C1905" i="6"/>
  <c r="B1905" i="6"/>
  <c r="AV1904" i="6"/>
  <c r="AG1904" i="6" s="1"/>
  <c r="AU1904" i="6"/>
  <c r="AF1904" i="6"/>
  <c r="AE1904" i="6"/>
  <c r="AB1904" i="6"/>
  <c r="L1904" i="6"/>
  <c r="AT1904" i="6" s="1"/>
  <c r="K1904" i="6"/>
  <c r="H1904" i="6"/>
  <c r="H2097" i="6" s="1"/>
  <c r="H2143" i="6" s="1"/>
  <c r="G1904" i="6"/>
  <c r="G2097" i="6" s="1"/>
  <c r="G2143" i="6" s="1"/>
  <c r="D1904" i="6"/>
  <c r="C1904" i="6"/>
  <c r="B1904" i="6"/>
  <c r="AU1903" i="6"/>
  <c r="AF1903" i="6" s="1"/>
  <c r="AE1903" i="6"/>
  <c r="AB1903" i="6"/>
  <c r="K1903" i="6"/>
  <c r="L1903" i="6" s="1"/>
  <c r="AT1903" i="6" s="1"/>
  <c r="H1903" i="6"/>
  <c r="H2096" i="6" s="1"/>
  <c r="H2142" i="6" s="1"/>
  <c r="G1903" i="6"/>
  <c r="G2096" i="6" s="1"/>
  <c r="G2142" i="6" s="1"/>
  <c r="D1903" i="6"/>
  <c r="C1903" i="6"/>
  <c r="B1903" i="6"/>
  <c r="AV1902" i="6"/>
  <c r="AG1902" i="6" s="1"/>
  <c r="AU1902" i="6"/>
  <c r="AF1902" i="6"/>
  <c r="AE1902" i="6"/>
  <c r="AA1902" i="6"/>
  <c r="Z1902" i="6"/>
  <c r="Y1902" i="6"/>
  <c r="X1902" i="6"/>
  <c r="K1902" i="6"/>
  <c r="L1902" i="6" s="1"/>
  <c r="AT1902" i="6" s="1"/>
  <c r="H1902" i="6"/>
  <c r="G1902" i="6"/>
  <c r="D1902" i="6"/>
  <c r="C1902" i="6"/>
  <c r="B1902" i="6"/>
  <c r="AV1901" i="6"/>
  <c r="AG1901" i="6" s="1"/>
  <c r="AU1901" i="6"/>
  <c r="AT1901" i="6"/>
  <c r="AF1901" i="6"/>
  <c r="AE1901" i="6"/>
  <c r="AB1901" i="6"/>
  <c r="L1901" i="6"/>
  <c r="K1901" i="6"/>
  <c r="H1901" i="6"/>
  <c r="G1901" i="6"/>
  <c r="G2094" i="6" s="1"/>
  <c r="G2140" i="6" s="1"/>
  <c r="D1901" i="6"/>
  <c r="C1901" i="6"/>
  <c r="B1901" i="6"/>
  <c r="AU1900" i="6"/>
  <c r="AF1900" i="6" s="1"/>
  <c r="AE1900" i="6"/>
  <c r="AB1900" i="6"/>
  <c r="K1900" i="6"/>
  <c r="L1900" i="6" s="1"/>
  <c r="AT1900" i="6" s="1"/>
  <c r="H1900" i="6"/>
  <c r="G1900" i="6"/>
  <c r="D1900" i="6"/>
  <c r="C1900" i="6"/>
  <c r="B1900" i="6"/>
  <c r="AV1899" i="6"/>
  <c r="AG1899" i="6" s="1"/>
  <c r="AU1899" i="6"/>
  <c r="AF1899" i="6"/>
  <c r="AE1899" i="6"/>
  <c r="AB1899" i="6"/>
  <c r="L1899" i="6"/>
  <c r="AT1899" i="6" s="1"/>
  <c r="K1899" i="6"/>
  <c r="H1899" i="6"/>
  <c r="G1899" i="6"/>
  <c r="D1899" i="6"/>
  <c r="C1899" i="6"/>
  <c r="B1899" i="6"/>
  <c r="AX1898" i="6"/>
  <c r="AY1898" i="6" s="1"/>
  <c r="AZ1898" i="6" s="1"/>
  <c r="BA1898" i="6" s="1"/>
  <c r="BB1898" i="6" s="1"/>
  <c r="AU1898" i="6"/>
  <c r="AV1898" i="6" s="1"/>
  <c r="AW1898" i="6" s="1"/>
  <c r="AE1898" i="6"/>
  <c r="R1898" i="6"/>
  <c r="L1898" i="6"/>
  <c r="AT1898" i="6" s="1"/>
  <c r="K1898" i="6"/>
  <c r="H1898" i="6"/>
  <c r="G1898" i="6"/>
  <c r="D1898" i="6"/>
  <c r="C1898" i="6"/>
  <c r="B1898" i="6"/>
  <c r="AU1897" i="6"/>
  <c r="AV1897" i="6" s="1"/>
  <c r="AE1897" i="6"/>
  <c r="L1897" i="6"/>
  <c r="AT1897" i="6" s="1"/>
  <c r="K1897" i="6"/>
  <c r="H1897" i="6"/>
  <c r="G1897" i="6"/>
  <c r="D1897" i="6"/>
  <c r="C1897" i="6"/>
  <c r="B1897" i="6"/>
  <c r="AV1896" i="6"/>
  <c r="AU1896" i="6"/>
  <c r="AE1896" i="6"/>
  <c r="AB1896" i="6"/>
  <c r="K1896" i="6"/>
  <c r="L1896" i="6" s="1"/>
  <c r="AT1896" i="6" s="1"/>
  <c r="H1896" i="6"/>
  <c r="H2089" i="6" s="1"/>
  <c r="H2135" i="6" s="1"/>
  <c r="G1896" i="6"/>
  <c r="D1896" i="6"/>
  <c r="C1896" i="6"/>
  <c r="B1896" i="6"/>
  <c r="AU1895" i="6"/>
  <c r="AV1895" i="6" s="1"/>
  <c r="AF1895" i="6"/>
  <c r="AE1895" i="6"/>
  <c r="S1895" i="6"/>
  <c r="K1895" i="6"/>
  <c r="L1895" i="6" s="1"/>
  <c r="AT1895" i="6" s="1"/>
  <c r="H1895" i="6"/>
  <c r="G1895" i="6"/>
  <c r="D1895" i="6"/>
  <c r="C1895" i="6"/>
  <c r="B1895" i="6"/>
  <c r="AU1894" i="6"/>
  <c r="AV1894" i="6" s="1"/>
  <c r="AE1894" i="6"/>
  <c r="S1894" i="6"/>
  <c r="K1894" i="6"/>
  <c r="L1894" i="6" s="1"/>
  <c r="AT1894" i="6" s="1"/>
  <c r="H1894" i="6"/>
  <c r="G1894" i="6"/>
  <c r="D1894" i="6"/>
  <c r="C1894" i="6"/>
  <c r="B1894" i="6"/>
  <c r="AW1893" i="6"/>
  <c r="AV1893" i="6"/>
  <c r="AG1893" i="6" s="1"/>
  <c r="AU1893" i="6"/>
  <c r="AF1893" i="6"/>
  <c r="AE1893" i="6"/>
  <c r="K1893" i="6"/>
  <c r="L1893" i="6" s="1"/>
  <c r="AT1893" i="6" s="1"/>
  <c r="H1893" i="6"/>
  <c r="G1893" i="6"/>
  <c r="D1893" i="6"/>
  <c r="C1893" i="6"/>
  <c r="B1893" i="6"/>
  <c r="AW1892" i="6"/>
  <c r="AV1892" i="6"/>
  <c r="AG1892" i="6" s="1"/>
  <c r="AU1892" i="6"/>
  <c r="AF1892" i="6"/>
  <c r="AE1892" i="6"/>
  <c r="L1892" i="6"/>
  <c r="AT1892" i="6" s="1"/>
  <c r="K1892" i="6"/>
  <c r="H1892" i="6"/>
  <c r="H2085" i="6" s="1"/>
  <c r="H2131" i="6" s="1"/>
  <c r="G1892" i="6"/>
  <c r="D1892" i="6"/>
  <c r="C1892" i="6"/>
  <c r="B1892" i="6"/>
  <c r="AU1891" i="6"/>
  <c r="AF1891" i="6" s="1"/>
  <c r="AE1891" i="6"/>
  <c r="AB1891" i="6"/>
  <c r="K1891" i="6"/>
  <c r="L1891" i="6" s="1"/>
  <c r="AT1891" i="6" s="1"/>
  <c r="H1891" i="6"/>
  <c r="G1891" i="6"/>
  <c r="D1891" i="6"/>
  <c r="C1891" i="6"/>
  <c r="B1891" i="6"/>
  <c r="AW1890" i="6"/>
  <c r="AX1890" i="6" s="1"/>
  <c r="AV1890" i="6"/>
  <c r="AG1890" i="6" s="1"/>
  <c r="AU1890" i="6"/>
  <c r="AE1890" i="6"/>
  <c r="K1890" i="6"/>
  <c r="L1890" i="6" s="1"/>
  <c r="AT1890" i="6" s="1"/>
  <c r="H1890" i="6"/>
  <c r="G1890" i="6"/>
  <c r="D1890" i="6"/>
  <c r="C1890" i="6"/>
  <c r="B1890" i="6"/>
  <c r="AU1889" i="6"/>
  <c r="AV1889" i="6" s="1"/>
  <c r="AF1889" i="6"/>
  <c r="AE1889" i="6"/>
  <c r="W1889" i="6"/>
  <c r="V1889" i="6"/>
  <c r="U1889" i="6"/>
  <c r="T1889" i="6"/>
  <c r="S1889" i="6"/>
  <c r="R1889" i="6"/>
  <c r="Q1889" i="6"/>
  <c r="P1889" i="6"/>
  <c r="L1889" i="6"/>
  <c r="AT1889" i="6" s="1"/>
  <c r="K1889" i="6"/>
  <c r="H1889" i="6"/>
  <c r="G1889" i="6"/>
  <c r="D1889" i="6"/>
  <c r="C1889" i="6"/>
  <c r="B1889" i="6"/>
  <c r="AV1888" i="6"/>
  <c r="AU1888" i="6"/>
  <c r="AE1888" i="6"/>
  <c r="AB1888" i="6"/>
  <c r="K1888" i="6"/>
  <c r="L1888" i="6" s="1"/>
  <c r="AT1888" i="6" s="1"/>
  <c r="H1888" i="6"/>
  <c r="H2081" i="6" s="1"/>
  <c r="H2127" i="6" s="1"/>
  <c r="G1888" i="6"/>
  <c r="D1888" i="6"/>
  <c r="C1888" i="6"/>
  <c r="B1888" i="6"/>
  <c r="AU1887" i="6"/>
  <c r="AV1887" i="6" s="1"/>
  <c r="AF1887" i="6"/>
  <c r="AE1887" i="6"/>
  <c r="AB1887" i="6"/>
  <c r="L1887" i="6"/>
  <c r="AT1887" i="6" s="1"/>
  <c r="K1887" i="6"/>
  <c r="H1887" i="6"/>
  <c r="G1887" i="6"/>
  <c r="D1887" i="6"/>
  <c r="C1887" i="6"/>
  <c r="B1887" i="6"/>
  <c r="BC1886" i="6"/>
  <c r="AU1886" i="6"/>
  <c r="AQ1886" i="6"/>
  <c r="BF1886" i="6" s="1"/>
  <c r="AP1886" i="6"/>
  <c r="BE1886" i="6" s="1"/>
  <c r="AO1886" i="6"/>
  <c r="BD1886" i="6" s="1"/>
  <c r="AJ1886" i="6"/>
  <c r="AY1886" i="6" s="1"/>
  <c r="AI1886" i="6"/>
  <c r="AX1886" i="6" s="1"/>
  <c r="AH1886" i="6"/>
  <c r="AW1886" i="6" s="1"/>
  <c r="AG1886" i="6"/>
  <c r="AV1886" i="6" s="1"/>
  <c r="AA1886" i="6"/>
  <c r="Z1886" i="6"/>
  <c r="Y1886" i="6"/>
  <c r="X1886" i="6"/>
  <c r="AN1886" i="6" s="1"/>
  <c r="W1886" i="6"/>
  <c r="AM1886" i="6" s="1"/>
  <c r="BB1886" i="6" s="1"/>
  <c r="V1886" i="6"/>
  <c r="AL1886" i="6" s="1"/>
  <c r="BA1886" i="6" s="1"/>
  <c r="U1886" i="6"/>
  <c r="AK1886" i="6" s="1"/>
  <c r="AZ1886" i="6" s="1"/>
  <c r="T1886" i="6"/>
  <c r="S1886" i="6"/>
  <c r="R1886" i="6"/>
  <c r="Q1886" i="6"/>
  <c r="P1886" i="6"/>
  <c r="AF1886" i="6" s="1"/>
  <c r="AQ1885" i="6"/>
  <c r="AP1885" i="6"/>
  <c r="AO1885" i="6"/>
  <c r="AN1885" i="6"/>
  <c r="AM1885" i="6"/>
  <c r="AL1885" i="6"/>
  <c r="AK1885" i="6"/>
  <c r="AJ1885" i="6"/>
  <c r="AI1885" i="6"/>
  <c r="AH1885" i="6"/>
  <c r="AG1885" i="6"/>
  <c r="AF1885" i="6"/>
  <c r="AE1885" i="6"/>
  <c r="AB1885" i="6"/>
  <c r="H1885" i="6"/>
  <c r="H2027" i="6" s="1"/>
  <c r="H2073" i="6" s="1"/>
  <c r="G1885" i="6"/>
  <c r="G2027" i="6" s="1"/>
  <c r="G2073" i="6" s="1"/>
  <c r="C1885" i="6"/>
  <c r="AQ1884" i="6"/>
  <c r="AP1884" i="6"/>
  <c r="AO1884" i="6"/>
  <c r="AN1884" i="6"/>
  <c r="AM1884" i="6"/>
  <c r="AL1884" i="6"/>
  <c r="AK1884" i="6"/>
  <c r="AJ1884" i="6"/>
  <c r="AI1884" i="6"/>
  <c r="AH1884" i="6"/>
  <c r="AG1884" i="6"/>
  <c r="AF1884" i="6"/>
  <c r="AE1884" i="6"/>
  <c r="AB1884" i="6"/>
  <c r="H1884" i="6"/>
  <c r="H2026" i="6" s="1"/>
  <c r="H2072" i="6" s="1"/>
  <c r="G1884" i="6"/>
  <c r="G2026" i="6" s="1"/>
  <c r="G2072" i="6" s="1"/>
  <c r="C1884" i="6"/>
  <c r="AQ1883" i="6"/>
  <c r="AP1883" i="6"/>
  <c r="AO1883" i="6"/>
  <c r="AN1883" i="6"/>
  <c r="AM1883" i="6"/>
  <c r="AL1883" i="6"/>
  <c r="AK1883" i="6"/>
  <c r="AJ1883" i="6"/>
  <c r="AI1883" i="6"/>
  <c r="AH1883" i="6"/>
  <c r="AG1883" i="6"/>
  <c r="AF1883" i="6"/>
  <c r="AR1883" i="6" s="1"/>
  <c r="AE1883" i="6"/>
  <c r="AB1883" i="6"/>
  <c r="H1883" i="6"/>
  <c r="H2025" i="6" s="1"/>
  <c r="H2071" i="6" s="1"/>
  <c r="G1883" i="6"/>
  <c r="G2025" i="6" s="1"/>
  <c r="G2071" i="6" s="1"/>
  <c r="C1883" i="6"/>
  <c r="AQ1882" i="6"/>
  <c r="AP1882" i="6"/>
  <c r="AO1882" i="6"/>
  <c r="AN1882" i="6"/>
  <c r="AM1882" i="6"/>
  <c r="AL1882" i="6"/>
  <c r="AK1882" i="6"/>
  <c r="AJ1882" i="6"/>
  <c r="AI1882" i="6"/>
  <c r="AH1882" i="6"/>
  <c r="AG1882" i="6"/>
  <c r="AF1882" i="6"/>
  <c r="AR1882" i="6" s="1"/>
  <c r="AE1882" i="6"/>
  <c r="AB1882" i="6"/>
  <c r="H1882" i="6"/>
  <c r="H2024" i="6" s="1"/>
  <c r="H2070" i="6" s="1"/>
  <c r="G1882" i="6"/>
  <c r="G2024" i="6" s="1"/>
  <c r="G2070" i="6" s="1"/>
  <c r="C1882" i="6"/>
  <c r="AQ1881" i="6"/>
  <c r="AP1881" i="6"/>
  <c r="AO1881" i="6"/>
  <c r="AN1881" i="6"/>
  <c r="AM1881" i="6"/>
  <c r="AL1881" i="6"/>
  <c r="AK1881" i="6"/>
  <c r="AJ1881" i="6"/>
  <c r="AI1881" i="6"/>
  <c r="AH1881" i="6"/>
  <c r="AR1881" i="6" s="1"/>
  <c r="AG1881" i="6"/>
  <c r="AF1881" i="6"/>
  <c r="AE1881" i="6"/>
  <c r="AB1881" i="6"/>
  <c r="H1881" i="6"/>
  <c r="H2023" i="6" s="1"/>
  <c r="H2069" i="6" s="1"/>
  <c r="G1881" i="6"/>
  <c r="G2023" i="6" s="1"/>
  <c r="G2069" i="6" s="1"/>
  <c r="C1881" i="6"/>
  <c r="AQ1880" i="6"/>
  <c r="AP1880" i="6"/>
  <c r="AO1880" i="6"/>
  <c r="AN1880" i="6"/>
  <c r="AM1880" i="6"/>
  <c r="AL1880" i="6"/>
  <c r="AK1880" i="6"/>
  <c r="AJ1880" i="6"/>
  <c r="AR1880" i="6" s="1"/>
  <c r="AI1880" i="6"/>
  <c r="AH1880" i="6"/>
  <c r="AG1880" i="6"/>
  <c r="AF1880" i="6"/>
  <c r="AE1880" i="6"/>
  <c r="AB1880" i="6"/>
  <c r="H1880" i="6"/>
  <c r="H2022" i="6" s="1"/>
  <c r="H2068" i="6" s="1"/>
  <c r="G1880" i="6"/>
  <c r="G2022" i="6" s="1"/>
  <c r="G2068" i="6" s="1"/>
  <c r="C1880" i="6"/>
  <c r="AQ1879" i="6"/>
  <c r="AP1879" i="6"/>
  <c r="AO1879" i="6"/>
  <c r="AN1879" i="6"/>
  <c r="AM1879" i="6"/>
  <c r="AL1879" i="6"/>
  <c r="AK1879" i="6"/>
  <c r="AJ1879" i="6"/>
  <c r="AI1879" i="6"/>
  <c r="AH1879" i="6"/>
  <c r="AG1879" i="6"/>
  <c r="AF1879" i="6"/>
  <c r="AE1879" i="6"/>
  <c r="AB1879" i="6"/>
  <c r="H1879" i="6"/>
  <c r="H2021" i="6" s="1"/>
  <c r="H2067" i="6" s="1"/>
  <c r="G1879" i="6"/>
  <c r="G2021" i="6" s="1"/>
  <c r="G2067" i="6" s="1"/>
  <c r="C1879" i="6"/>
  <c r="AQ1878" i="6"/>
  <c r="AP1878" i="6"/>
  <c r="AO1878" i="6"/>
  <c r="AN1878" i="6"/>
  <c r="AM1878" i="6"/>
  <c r="AL1878" i="6"/>
  <c r="AK1878" i="6"/>
  <c r="AJ1878" i="6"/>
  <c r="AI1878" i="6"/>
  <c r="AH1878" i="6"/>
  <c r="AG1878" i="6"/>
  <c r="AF1878" i="6"/>
  <c r="AE1878" i="6"/>
  <c r="AB1878" i="6"/>
  <c r="H1878" i="6"/>
  <c r="H2020" i="6" s="1"/>
  <c r="H2066" i="6" s="1"/>
  <c r="G1878" i="6"/>
  <c r="G2020" i="6" s="1"/>
  <c r="G2066" i="6" s="1"/>
  <c r="C1878" i="6"/>
  <c r="AQ1877" i="6"/>
  <c r="AP1877" i="6"/>
  <c r="AO1877" i="6"/>
  <c r="AN1877" i="6"/>
  <c r="AM1877" i="6"/>
  <c r="AL1877" i="6"/>
  <c r="AK1877" i="6"/>
  <c r="AJ1877" i="6"/>
  <c r="AI1877" i="6"/>
  <c r="AH1877" i="6"/>
  <c r="AG1877" i="6"/>
  <c r="AF1877" i="6"/>
  <c r="AE1877" i="6"/>
  <c r="AB1877" i="6"/>
  <c r="H1877" i="6"/>
  <c r="H2019" i="6" s="1"/>
  <c r="H2065" i="6" s="1"/>
  <c r="G1877" i="6"/>
  <c r="G2019" i="6" s="1"/>
  <c r="G2065" i="6" s="1"/>
  <c r="C1877" i="6"/>
  <c r="AQ1876" i="6"/>
  <c r="AP1876" i="6"/>
  <c r="AO1876" i="6"/>
  <c r="AN1876" i="6"/>
  <c r="AM1876" i="6"/>
  <c r="AL1876" i="6"/>
  <c r="AK1876" i="6"/>
  <c r="AJ1876" i="6"/>
  <c r="AI1876" i="6"/>
  <c r="AH1876" i="6"/>
  <c r="AG1876" i="6"/>
  <c r="AF1876" i="6"/>
  <c r="AE1876" i="6"/>
  <c r="AB1876" i="6"/>
  <c r="H1876" i="6"/>
  <c r="H2018" i="6" s="1"/>
  <c r="H2064" i="6" s="1"/>
  <c r="G1876" i="6"/>
  <c r="G2018" i="6" s="1"/>
  <c r="G2064" i="6" s="1"/>
  <c r="C1876" i="6"/>
  <c r="AQ1875" i="6"/>
  <c r="AP1875" i="6"/>
  <c r="AO1875" i="6"/>
  <c r="AN1875" i="6"/>
  <c r="AM1875" i="6"/>
  <c r="AL1875" i="6"/>
  <c r="AK1875" i="6"/>
  <c r="AJ1875" i="6"/>
  <c r="AI1875" i="6"/>
  <c r="AH1875" i="6"/>
  <c r="AG1875" i="6"/>
  <c r="AF1875" i="6"/>
  <c r="AR1875" i="6" s="1"/>
  <c r="AE1875" i="6"/>
  <c r="AB1875" i="6"/>
  <c r="H1875" i="6"/>
  <c r="H2017" i="6" s="1"/>
  <c r="H2063" i="6" s="1"/>
  <c r="G1875" i="6"/>
  <c r="G2017" i="6" s="1"/>
  <c r="G2063" i="6" s="1"/>
  <c r="C1875" i="6"/>
  <c r="AQ1874" i="6"/>
  <c r="AP1874" i="6"/>
  <c r="AO1874" i="6"/>
  <c r="AN1874" i="6"/>
  <c r="AM1874" i="6"/>
  <c r="AL1874" i="6"/>
  <c r="AK1874" i="6"/>
  <c r="AJ1874" i="6"/>
  <c r="AI1874" i="6"/>
  <c r="AH1874" i="6"/>
  <c r="AG1874" i="6"/>
  <c r="AF1874" i="6"/>
  <c r="AR1874" i="6" s="1"/>
  <c r="AE1874" i="6"/>
  <c r="AB1874" i="6"/>
  <c r="H1874" i="6"/>
  <c r="H2016" i="6" s="1"/>
  <c r="H2062" i="6" s="1"/>
  <c r="G1874" i="6"/>
  <c r="G2016" i="6" s="1"/>
  <c r="G2062" i="6" s="1"/>
  <c r="C1874" i="6"/>
  <c r="AQ1873" i="6"/>
  <c r="AP1873" i="6"/>
  <c r="AO1873" i="6"/>
  <c r="AN1873" i="6"/>
  <c r="AM1873" i="6"/>
  <c r="AL1873" i="6"/>
  <c r="AK1873" i="6"/>
  <c r="AJ1873" i="6"/>
  <c r="AI1873" i="6"/>
  <c r="AH1873" i="6"/>
  <c r="AR1873" i="6" s="1"/>
  <c r="AG1873" i="6"/>
  <c r="AF1873" i="6"/>
  <c r="AE1873" i="6"/>
  <c r="AB1873" i="6"/>
  <c r="H1873" i="6"/>
  <c r="H2015" i="6" s="1"/>
  <c r="H2061" i="6" s="1"/>
  <c r="G1873" i="6"/>
  <c r="G2015" i="6" s="1"/>
  <c r="G2061" i="6" s="1"/>
  <c r="C1873" i="6"/>
  <c r="AQ1872" i="6"/>
  <c r="AP1872" i="6"/>
  <c r="AO1872" i="6"/>
  <c r="AN1872" i="6"/>
  <c r="AM1872" i="6"/>
  <c r="AL1872" i="6"/>
  <c r="AK1872" i="6"/>
  <c r="AJ1872" i="6"/>
  <c r="AR1872" i="6" s="1"/>
  <c r="AI1872" i="6"/>
  <c r="AH1872" i="6"/>
  <c r="AG1872" i="6"/>
  <c r="AF1872" i="6"/>
  <c r="AE1872" i="6"/>
  <c r="AB1872" i="6"/>
  <c r="H1872" i="6"/>
  <c r="H2014" i="6" s="1"/>
  <c r="H2060" i="6" s="1"/>
  <c r="G1872" i="6"/>
  <c r="G2014" i="6" s="1"/>
  <c r="G2060" i="6" s="1"/>
  <c r="C1872" i="6"/>
  <c r="AQ1871" i="6"/>
  <c r="AP1871" i="6"/>
  <c r="AO1871" i="6"/>
  <c r="AN1871" i="6"/>
  <c r="AM1871" i="6"/>
  <c r="AL1871" i="6"/>
  <c r="AK1871" i="6"/>
  <c r="AJ1871" i="6"/>
  <c r="AI1871" i="6"/>
  <c r="AH1871" i="6"/>
  <c r="AG1871" i="6"/>
  <c r="AF1871" i="6"/>
  <c r="AE1871" i="6"/>
  <c r="AB1871" i="6"/>
  <c r="H1871" i="6"/>
  <c r="H2013" i="6" s="1"/>
  <c r="H2059" i="6" s="1"/>
  <c r="G1871" i="6"/>
  <c r="G2013" i="6" s="1"/>
  <c r="G2059" i="6" s="1"/>
  <c r="C1871" i="6"/>
  <c r="AQ1870" i="6"/>
  <c r="AP1870" i="6"/>
  <c r="AO1870" i="6"/>
  <c r="AN1870" i="6"/>
  <c r="AM1870" i="6"/>
  <c r="AL1870" i="6"/>
  <c r="AK1870" i="6"/>
  <c r="AJ1870" i="6"/>
  <c r="AI1870" i="6"/>
  <c r="AH1870" i="6"/>
  <c r="AG1870" i="6"/>
  <c r="AF1870" i="6"/>
  <c r="AE1870" i="6"/>
  <c r="AB1870" i="6"/>
  <c r="H1870" i="6"/>
  <c r="H2012" i="6" s="1"/>
  <c r="H2058" i="6" s="1"/>
  <c r="G1870" i="6"/>
  <c r="G2012" i="6" s="1"/>
  <c r="G2058" i="6" s="1"/>
  <c r="C1870" i="6"/>
  <c r="AQ1869" i="6"/>
  <c r="AP1869" i="6"/>
  <c r="AO1869" i="6"/>
  <c r="AN1869" i="6"/>
  <c r="AM1869" i="6"/>
  <c r="AL1869" i="6"/>
  <c r="AK1869" i="6"/>
  <c r="AJ1869" i="6"/>
  <c r="AI1869" i="6"/>
  <c r="AH1869" i="6"/>
  <c r="AG1869" i="6"/>
  <c r="AF1869" i="6"/>
  <c r="AE1869" i="6"/>
  <c r="AB1869" i="6"/>
  <c r="H1869" i="6"/>
  <c r="H2011" i="6" s="1"/>
  <c r="H2057" i="6" s="1"/>
  <c r="G1869" i="6"/>
  <c r="G2011" i="6" s="1"/>
  <c r="G2057" i="6" s="1"/>
  <c r="C1869" i="6"/>
  <c r="AQ1868" i="6"/>
  <c r="AP1868" i="6"/>
  <c r="AO1868" i="6"/>
  <c r="AN1868" i="6"/>
  <c r="AM1868" i="6"/>
  <c r="AL1868" i="6"/>
  <c r="AK1868" i="6"/>
  <c r="AJ1868" i="6"/>
  <c r="AI1868" i="6"/>
  <c r="AH1868" i="6"/>
  <c r="AG1868" i="6"/>
  <c r="AF1868" i="6"/>
  <c r="AE1868" i="6"/>
  <c r="AB1868" i="6"/>
  <c r="H1868" i="6"/>
  <c r="H2010" i="6" s="1"/>
  <c r="H2056" i="6" s="1"/>
  <c r="G1868" i="6"/>
  <c r="G2010" i="6" s="1"/>
  <c r="G2056" i="6" s="1"/>
  <c r="C1868" i="6"/>
  <c r="AQ1867" i="6"/>
  <c r="AP1867" i="6"/>
  <c r="AO1867" i="6"/>
  <c r="AN1867" i="6"/>
  <c r="AM1867" i="6"/>
  <c r="AL1867" i="6"/>
  <c r="AK1867" i="6"/>
  <c r="AJ1867" i="6"/>
  <c r="AI1867" i="6"/>
  <c r="AH1867" i="6"/>
  <c r="AG1867" i="6"/>
  <c r="AF1867" i="6"/>
  <c r="AR1867" i="6" s="1"/>
  <c r="AE1867" i="6"/>
  <c r="AB1867" i="6"/>
  <c r="H1867" i="6"/>
  <c r="H2009" i="6" s="1"/>
  <c r="H2055" i="6" s="1"/>
  <c r="G1867" i="6"/>
  <c r="G2009" i="6" s="1"/>
  <c r="G2055" i="6" s="1"/>
  <c r="C1867" i="6"/>
  <c r="AQ1866" i="6"/>
  <c r="AP1866" i="6"/>
  <c r="AO1866" i="6"/>
  <c r="AN1866" i="6"/>
  <c r="AM1866" i="6"/>
  <c r="AL1866" i="6"/>
  <c r="AK1866" i="6"/>
  <c r="AJ1866" i="6"/>
  <c r="AI1866" i="6"/>
  <c r="AH1866" i="6"/>
  <c r="AG1866" i="6"/>
  <c r="AF1866" i="6"/>
  <c r="AR1866" i="6" s="1"/>
  <c r="AE1866" i="6"/>
  <c r="AB1866" i="6"/>
  <c r="H1866" i="6"/>
  <c r="H2008" i="6" s="1"/>
  <c r="H2054" i="6" s="1"/>
  <c r="G1866" i="6"/>
  <c r="G2008" i="6" s="1"/>
  <c r="G2054" i="6" s="1"/>
  <c r="C1866" i="6"/>
  <c r="AQ1865" i="6"/>
  <c r="AP1865" i="6"/>
  <c r="AO1865" i="6"/>
  <c r="AN1865" i="6"/>
  <c r="AM1865" i="6"/>
  <c r="AL1865" i="6"/>
  <c r="AK1865" i="6"/>
  <c r="AJ1865" i="6"/>
  <c r="AR1865" i="6" s="1"/>
  <c r="AI1865" i="6"/>
  <c r="AH1865" i="6"/>
  <c r="AG1865" i="6"/>
  <c r="AF1865" i="6"/>
  <c r="AE1865" i="6"/>
  <c r="AB1865" i="6"/>
  <c r="H1865" i="6"/>
  <c r="H2007" i="6" s="1"/>
  <c r="H2053" i="6" s="1"/>
  <c r="G1865" i="6"/>
  <c r="G2007" i="6" s="1"/>
  <c r="G2053" i="6" s="1"/>
  <c r="C1865" i="6"/>
  <c r="AQ1864" i="6"/>
  <c r="AP1864" i="6"/>
  <c r="AO1864" i="6"/>
  <c r="AN1864" i="6"/>
  <c r="AM1864" i="6"/>
  <c r="AL1864" i="6"/>
  <c r="AK1864" i="6"/>
  <c r="AJ1864" i="6"/>
  <c r="AR1864" i="6" s="1"/>
  <c r="AI1864" i="6"/>
  <c r="AH1864" i="6"/>
  <c r="AG1864" i="6"/>
  <c r="AF1864" i="6"/>
  <c r="AE1864" i="6"/>
  <c r="AB1864" i="6"/>
  <c r="H1864" i="6"/>
  <c r="H2006" i="6" s="1"/>
  <c r="H2052" i="6" s="1"/>
  <c r="G1864" i="6"/>
  <c r="G2006" i="6" s="1"/>
  <c r="G2052" i="6" s="1"/>
  <c r="C1864" i="6"/>
  <c r="AQ1863" i="6"/>
  <c r="AP1863" i="6"/>
  <c r="AO1863" i="6"/>
  <c r="AN1863" i="6"/>
  <c r="AM1863" i="6"/>
  <c r="AL1863" i="6"/>
  <c r="AK1863" i="6"/>
  <c r="AJ1863" i="6"/>
  <c r="AI1863" i="6"/>
  <c r="AH1863" i="6"/>
  <c r="AG1863" i="6"/>
  <c r="AF1863" i="6"/>
  <c r="AE1863" i="6"/>
  <c r="AB1863" i="6"/>
  <c r="H1863" i="6"/>
  <c r="H2005" i="6" s="1"/>
  <c r="H2051" i="6" s="1"/>
  <c r="G1863" i="6"/>
  <c r="G2005" i="6" s="1"/>
  <c r="G2051" i="6" s="1"/>
  <c r="C1863" i="6"/>
  <c r="AQ1862" i="6"/>
  <c r="AP1862" i="6"/>
  <c r="AO1862" i="6"/>
  <c r="AN1862" i="6"/>
  <c r="AM1862" i="6"/>
  <c r="AL1862" i="6"/>
  <c r="AK1862" i="6"/>
  <c r="AJ1862" i="6"/>
  <c r="AI1862" i="6"/>
  <c r="AH1862" i="6"/>
  <c r="AG1862" i="6"/>
  <c r="AF1862" i="6"/>
  <c r="AE1862" i="6"/>
  <c r="AB1862" i="6"/>
  <c r="H1862" i="6"/>
  <c r="H2004" i="6" s="1"/>
  <c r="H2050" i="6" s="1"/>
  <c r="G1862" i="6"/>
  <c r="G2004" i="6" s="1"/>
  <c r="G2050" i="6" s="1"/>
  <c r="C1862" i="6"/>
  <c r="AQ1861" i="6"/>
  <c r="AP1861" i="6"/>
  <c r="AO1861" i="6"/>
  <c r="AN1861" i="6"/>
  <c r="AM1861" i="6"/>
  <c r="AL1861" i="6"/>
  <c r="AK1861" i="6"/>
  <c r="AJ1861" i="6"/>
  <c r="AI1861" i="6"/>
  <c r="AH1861" i="6"/>
  <c r="AG1861" i="6"/>
  <c r="AF1861" i="6"/>
  <c r="AE1861" i="6"/>
  <c r="AB1861" i="6"/>
  <c r="H1861" i="6"/>
  <c r="H2003" i="6" s="1"/>
  <c r="H2049" i="6" s="1"/>
  <c r="G1861" i="6"/>
  <c r="G2003" i="6" s="1"/>
  <c r="G2049" i="6" s="1"/>
  <c r="C1861" i="6"/>
  <c r="AQ1860" i="6"/>
  <c r="AP1860" i="6"/>
  <c r="AO1860" i="6"/>
  <c r="AN1860" i="6"/>
  <c r="AM1860" i="6"/>
  <c r="AL1860" i="6"/>
  <c r="AK1860" i="6"/>
  <c r="AJ1860" i="6"/>
  <c r="AI1860" i="6"/>
  <c r="AH1860" i="6"/>
  <c r="AG1860" i="6"/>
  <c r="AF1860" i="6"/>
  <c r="AE1860" i="6"/>
  <c r="AB1860" i="6"/>
  <c r="H1860" i="6"/>
  <c r="H2002" i="6" s="1"/>
  <c r="H2048" i="6" s="1"/>
  <c r="G1860" i="6"/>
  <c r="G2002" i="6" s="1"/>
  <c r="G2048" i="6" s="1"/>
  <c r="C1860" i="6"/>
  <c r="AQ1859" i="6"/>
  <c r="AP1859" i="6"/>
  <c r="AO1859" i="6"/>
  <c r="AN1859" i="6"/>
  <c r="AM1859" i="6"/>
  <c r="AL1859" i="6"/>
  <c r="AK1859" i="6"/>
  <c r="AJ1859" i="6"/>
  <c r="AI1859" i="6"/>
  <c r="AH1859" i="6"/>
  <c r="AG1859" i="6"/>
  <c r="AF1859" i="6"/>
  <c r="AR1859" i="6" s="1"/>
  <c r="AE1859" i="6"/>
  <c r="AB1859" i="6"/>
  <c r="H1859" i="6"/>
  <c r="H2001" i="6" s="1"/>
  <c r="H2047" i="6" s="1"/>
  <c r="G1859" i="6"/>
  <c r="G2001" i="6" s="1"/>
  <c r="G2047" i="6" s="1"/>
  <c r="C1859" i="6"/>
  <c r="AQ1858" i="6"/>
  <c r="AP1858" i="6"/>
  <c r="AO1858" i="6"/>
  <c r="AN1858" i="6"/>
  <c r="AM1858" i="6"/>
  <c r="AL1858" i="6"/>
  <c r="AK1858" i="6"/>
  <c r="AJ1858" i="6"/>
  <c r="AI1858" i="6"/>
  <c r="AH1858" i="6"/>
  <c r="AG1858" i="6"/>
  <c r="AF1858" i="6"/>
  <c r="AR1858" i="6" s="1"/>
  <c r="AE1858" i="6"/>
  <c r="AB1858" i="6"/>
  <c r="H1858" i="6"/>
  <c r="H2000" i="6" s="1"/>
  <c r="H2046" i="6" s="1"/>
  <c r="G1858" i="6"/>
  <c r="G2000" i="6" s="1"/>
  <c r="G2046" i="6" s="1"/>
  <c r="C1858" i="6"/>
  <c r="AQ1857" i="6"/>
  <c r="AP1857" i="6"/>
  <c r="AO1857" i="6"/>
  <c r="AN1857" i="6"/>
  <c r="AM1857" i="6"/>
  <c r="AL1857" i="6"/>
  <c r="AK1857" i="6"/>
  <c r="AJ1857" i="6"/>
  <c r="AR1857" i="6" s="1"/>
  <c r="AI1857" i="6"/>
  <c r="AH1857" i="6"/>
  <c r="AG1857" i="6"/>
  <c r="AF1857" i="6"/>
  <c r="AE1857" i="6"/>
  <c r="AB1857" i="6"/>
  <c r="H1857" i="6"/>
  <c r="H1999" i="6" s="1"/>
  <c r="H2045" i="6" s="1"/>
  <c r="G1857" i="6"/>
  <c r="G1999" i="6" s="1"/>
  <c r="G2045" i="6" s="1"/>
  <c r="C1857" i="6"/>
  <c r="AQ1856" i="6"/>
  <c r="AP1856" i="6"/>
  <c r="AO1856" i="6"/>
  <c r="AN1856" i="6"/>
  <c r="AM1856" i="6"/>
  <c r="AL1856" i="6"/>
  <c r="AK1856" i="6"/>
  <c r="AJ1856" i="6"/>
  <c r="AR1856" i="6" s="1"/>
  <c r="AI1856" i="6"/>
  <c r="AH1856" i="6"/>
  <c r="AG1856" i="6"/>
  <c r="AF1856" i="6"/>
  <c r="AE1856" i="6"/>
  <c r="AB1856" i="6"/>
  <c r="H1856" i="6"/>
  <c r="H1998" i="6" s="1"/>
  <c r="H2044" i="6" s="1"/>
  <c r="G1856" i="6"/>
  <c r="G1998" i="6" s="1"/>
  <c r="G2044" i="6" s="1"/>
  <c r="C1856" i="6"/>
  <c r="AQ1855" i="6"/>
  <c r="AP1855" i="6"/>
  <c r="AO1855" i="6"/>
  <c r="AN1855" i="6"/>
  <c r="AM1855" i="6"/>
  <c r="AL1855" i="6"/>
  <c r="AK1855" i="6"/>
  <c r="AJ1855" i="6"/>
  <c r="AI1855" i="6"/>
  <c r="AH1855" i="6"/>
  <c r="AG1855" i="6"/>
  <c r="AF1855" i="6"/>
  <c r="AE1855" i="6"/>
  <c r="AB1855" i="6"/>
  <c r="H1855" i="6"/>
  <c r="H1997" i="6" s="1"/>
  <c r="H2043" i="6" s="1"/>
  <c r="G1855" i="6"/>
  <c r="G1997" i="6" s="1"/>
  <c r="G2043" i="6" s="1"/>
  <c r="C1855" i="6"/>
  <c r="AQ1854" i="6"/>
  <c r="AP1854" i="6"/>
  <c r="AO1854" i="6"/>
  <c r="AN1854" i="6"/>
  <c r="AM1854" i="6"/>
  <c r="AL1854" i="6"/>
  <c r="AK1854" i="6"/>
  <c r="AJ1854" i="6"/>
  <c r="AI1854" i="6"/>
  <c r="AH1854" i="6"/>
  <c r="AG1854" i="6"/>
  <c r="AF1854" i="6"/>
  <c r="AE1854" i="6"/>
  <c r="AB1854" i="6"/>
  <c r="H1854" i="6"/>
  <c r="H1996" i="6" s="1"/>
  <c r="H2042" i="6" s="1"/>
  <c r="G1854" i="6"/>
  <c r="G1996" i="6" s="1"/>
  <c r="G2042" i="6" s="1"/>
  <c r="C1854" i="6"/>
  <c r="AQ1853" i="6"/>
  <c r="AP1853" i="6"/>
  <c r="AO1853" i="6"/>
  <c r="AN1853" i="6"/>
  <c r="AM1853" i="6"/>
  <c r="AL1853" i="6"/>
  <c r="AK1853" i="6"/>
  <c r="AJ1853" i="6"/>
  <c r="AI1853" i="6"/>
  <c r="AH1853" i="6"/>
  <c r="AG1853" i="6"/>
  <c r="AF1853" i="6"/>
  <c r="AE1853" i="6"/>
  <c r="AB1853" i="6"/>
  <c r="H1853" i="6"/>
  <c r="H1995" i="6" s="1"/>
  <c r="H2041" i="6" s="1"/>
  <c r="G1853" i="6"/>
  <c r="G1995" i="6" s="1"/>
  <c r="G2041" i="6" s="1"/>
  <c r="C1853" i="6"/>
  <c r="AQ1852" i="6"/>
  <c r="AP1852" i="6"/>
  <c r="AO1852" i="6"/>
  <c r="AN1852" i="6"/>
  <c r="AM1852" i="6"/>
  <c r="AL1852" i="6"/>
  <c r="AK1852" i="6"/>
  <c r="AJ1852" i="6"/>
  <c r="AI1852" i="6"/>
  <c r="AH1852" i="6"/>
  <c r="AG1852" i="6"/>
  <c r="AF1852" i="6"/>
  <c r="AE1852" i="6"/>
  <c r="AB1852" i="6"/>
  <c r="H1852" i="6"/>
  <c r="H1994" i="6" s="1"/>
  <c r="H2040" i="6" s="1"/>
  <c r="G1852" i="6"/>
  <c r="G1994" i="6" s="1"/>
  <c r="G2040" i="6" s="1"/>
  <c r="C1852" i="6"/>
  <c r="AQ1851" i="6"/>
  <c r="AP1851" i="6"/>
  <c r="AO1851" i="6"/>
  <c r="AN1851" i="6"/>
  <c r="AM1851" i="6"/>
  <c r="AL1851" i="6"/>
  <c r="AK1851" i="6"/>
  <c r="AJ1851" i="6"/>
  <c r="AI1851" i="6"/>
  <c r="AH1851" i="6"/>
  <c r="AG1851" i="6"/>
  <c r="AF1851" i="6"/>
  <c r="AR1851" i="6" s="1"/>
  <c r="AE1851" i="6"/>
  <c r="AB1851" i="6"/>
  <c r="H1851" i="6"/>
  <c r="H1993" i="6" s="1"/>
  <c r="H2039" i="6" s="1"/>
  <c r="G1851" i="6"/>
  <c r="G1993" i="6" s="1"/>
  <c r="G2039" i="6" s="1"/>
  <c r="C1851" i="6"/>
  <c r="AQ1850" i="6"/>
  <c r="AP1850" i="6"/>
  <c r="AO1850" i="6"/>
  <c r="AN1850" i="6"/>
  <c r="AM1850" i="6"/>
  <c r="AL1850" i="6"/>
  <c r="AK1850" i="6"/>
  <c r="AJ1850" i="6"/>
  <c r="AI1850" i="6"/>
  <c r="AH1850" i="6"/>
  <c r="AG1850" i="6"/>
  <c r="AF1850" i="6"/>
  <c r="AR1850" i="6" s="1"/>
  <c r="AE1850" i="6"/>
  <c r="AB1850" i="6"/>
  <c r="H1850" i="6"/>
  <c r="H1992" i="6" s="1"/>
  <c r="H2038" i="6" s="1"/>
  <c r="G1850" i="6"/>
  <c r="G1992" i="6" s="1"/>
  <c r="G2038" i="6" s="1"/>
  <c r="C1850" i="6"/>
  <c r="AQ1849" i="6"/>
  <c r="AP1849" i="6"/>
  <c r="AO1849" i="6"/>
  <c r="AN1849" i="6"/>
  <c r="AM1849" i="6"/>
  <c r="AL1849" i="6"/>
  <c r="AK1849" i="6"/>
  <c r="AJ1849" i="6"/>
  <c r="AR1849" i="6" s="1"/>
  <c r="AI1849" i="6"/>
  <c r="AH1849" i="6"/>
  <c r="AG1849" i="6"/>
  <c r="AF1849" i="6"/>
  <c r="AE1849" i="6"/>
  <c r="AB1849" i="6"/>
  <c r="H1849" i="6"/>
  <c r="H1991" i="6" s="1"/>
  <c r="H2037" i="6" s="1"/>
  <c r="G1849" i="6"/>
  <c r="G1991" i="6" s="1"/>
  <c r="G2037" i="6" s="1"/>
  <c r="C1849" i="6"/>
  <c r="AQ1848" i="6"/>
  <c r="AP1848" i="6"/>
  <c r="AO1848" i="6"/>
  <c r="AN1848" i="6"/>
  <c r="AM1848" i="6"/>
  <c r="AL1848" i="6"/>
  <c r="AK1848" i="6"/>
  <c r="AJ1848" i="6"/>
  <c r="AR1848" i="6" s="1"/>
  <c r="AI1848" i="6"/>
  <c r="AH1848" i="6"/>
  <c r="AG1848" i="6"/>
  <c r="AF1848" i="6"/>
  <c r="AE1848" i="6"/>
  <c r="AB1848" i="6"/>
  <c r="H1848" i="6"/>
  <c r="H1990" i="6" s="1"/>
  <c r="H2036" i="6" s="1"/>
  <c r="G1848" i="6"/>
  <c r="G1990" i="6" s="1"/>
  <c r="G2036" i="6" s="1"/>
  <c r="C1848" i="6"/>
  <c r="AQ1847" i="6"/>
  <c r="AP1847" i="6"/>
  <c r="AO1847" i="6"/>
  <c r="AN1847" i="6"/>
  <c r="AM1847" i="6"/>
  <c r="AL1847" i="6"/>
  <c r="AK1847" i="6"/>
  <c r="AJ1847" i="6"/>
  <c r="AI1847" i="6"/>
  <c r="AH1847" i="6"/>
  <c r="AG1847" i="6"/>
  <c r="AF1847" i="6"/>
  <c r="AE1847" i="6"/>
  <c r="AB1847" i="6"/>
  <c r="H1847" i="6"/>
  <c r="H1989" i="6" s="1"/>
  <c r="H2035" i="6" s="1"/>
  <c r="G1847" i="6"/>
  <c r="G1989" i="6" s="1"/>
  <c r="G2035" i="6" s="1"/>
  <c r="C1847" i="6"/>
  <c r="AQ1846" i="6"/>
  <c r="AP1846" i="6"/>
  <c r="AO1846" i="6"/>
  <c r="AN1846" i="6"/>
  <c r="AM1846" i="6"/>
  <c r="AL1846" i="6"/>
  <c r="AK1846" i="6"/>
  <c r="AJ1846" i="6"/>
  <c r="AI1846" i="6"/>
  <c r="AH1846" i="6"/>
  <c r="AG1846" i="6"/>
  <c r="AF1846" i="6"/>
  <c r="H1846" i="6"/>
  <c r="H1988" i="6" s="1"/>
  <c r="H2034" i="6" s="1"/>
  <c r="G1846" i="6"/>
  <c r="G1988" i="6" s="1"/>
  <c r="G2034" i="6" s="1"/>
  <c r="C1846" i="6"/>
  <c r="AQ1845" i="6"/>
  <c r="AP1845" i="6"/>
  <c r="AO1845" i="6"/>
  <c r="AN1845" i="6"/>
  <c r="AM1845" i="6"/>
  <c r="AL1845" i="6"/>
  <c r="AK1845" i="6"/>
  <c r="AJ1845" i="6"/>
  <c r="AI1845" i="6"/>
  <c r="AH1845" i="6"/>
  <c r="AG1845" i="6"/>
  <c r="AF1845" i="6"/>
  <c r="AB1845" i="6"/>
  <c r="H1845" i="6"/>
  <c r="H1987" i="6" s="1"/>
  <c r="H2033" i="6" s="1"/>
  <c r="G1845" i="6"/>
  <c r="G1987" i="6" s="1"/>
  <c r="G2033" i="6" s="1"/>
  <c r="C1845" i="6"/>
  <c r="AQ1844" i="6"/>
  <c r="AP1844" i="6"/>
  <c r="AO1844" i="6"/>
  <c r="AN1844" i="6"/>
  <c r="AM1844" i="6"/>
  <c r="AL1844" i="6"/>
  <c r="AK1844" i="6"/>
  <c r="AJ1844" i="6"/>
  <c r="AI1844" i="6"/>
  <c r="AH1844" i="6"/>
  <c r="AG1844" i="6"/>
  <c r="AF1844" i="6"/>
  <c r="AB1844" i="6"/>
  <c r="H1844" i="6"/>
  <c r="H1986" i="6" s="1"/>
  <c r="H2032" i="6" s="1"/>
  <c r="G1844" i="6"/>
  <c r="G1986" i="6" s="1"/>
  <c r="G2032" i="6" s="1"/>
  <c r="C1844" i="6"/>
  <c r="AQ1843" i="6"/>
  <c r="AP1843" i="6"/>
  <c r="AO1843" i="6"/>
  <c r="AN1843" i="6"/>
  <c r="AM1843" i="6"/>
  <c r="AL1843" i="6"/>
  <c r="AK1843" i="6"/>
  <c r="AJ1843" i="6"/>
  <c r="AR1843" i="6" s="1"/>
  <c r="AI1843" i="6"/>
  <c r="AH1843" i="6"/>
  <c r="AG1843" i="6"/>
  <c r="AF1843" i="6"/>
  <c r="AE1843" i="6"/>
  <c r="AB1843" i="6"/>
  <c r="H1843" i="6"/>
  <c r="H1985" i="6" s="1"/>
  <c r="H2031" i="6" s="1"/>
  <c r="G1843" i="6"/>
  <c r="G1985" i="6" s="1"/>
  <c r="G2031" i="6" s="1"/>
  <c r="C1843" i="6"/>
  <c r="AQ1842" i="6"/>
  <c r="AP1842" i="6"/>
  <c r="AO1842" i="6"/>
  <c r="AN1842" i="6"/>
  <c r="AM1842" i="6"/>
  <c r="AL1842" i="6"/>
  <c r="AK1842" i="6"/>
  <c r="AJ1842" i="6"/>
  <c r="AI1842" i="6"/>
  <c r="AH1842" i="6"/>
  <c r="AG1842" i="6"/>
  <c r="AF1842" i="6"/>
  <c r="AR1842" i="6" s="1"/>
  <c r="AE1842" i="6"/>
  <c r="AB1842" i="6"/>
  <c r="H1842" i="6"/>
  <c r="H1984" i="6" s="1"/>
  <c r="H2030" i="6" s="1"/>
  <c r="G1842" i="6"/>
  <c r="G1984" i="6" s="1"/>
  <c r="G2030" i="6" s="1"/>
  <c r="C1842" i="6"/>
  <c r="AQ1841" i="6"/>
  <c r="AP1841" i="6"/>
  <c r="AO1841" i="6"/>
  <c r="AN1841" i="6"/>
  <c r="AM1841" i="6"/>
  <c r="AL1841" i="6"/>
  <c r="AK1841" i="6"/>
  <c r="AJ1841" i="6"/>
  <c r="AI1841" i="6"/>
  <c r="AH1841" i="6"/>
  <c r="AG1841" i="6"/>
  <c r="AF1841" i="6"/>
  <c r="AR1841" i="6" s="1"/>
  <c r="AB1841" i="6"/>
  <c r="H1841" i="6"/>
  <c r="H1983" i="6" s="1"/>
  <c r="H2029" i="6" s="1"/>
  <c r="G1841" i="6"/>
  <c r="G1983" i="6" s="1"/>
  <c r="G2029" i="6" s="1"/>
  <c r="C1841" i="6"/>
  <c r="AQ1840" i="6"/>
  <c r="AP1840" i="6"/>
  <c r="AO1840" i="6"/>
  <c r="AJ1840" i="6"/>
  <c r="AI1840" i="6"/>
  <c r="AH1840" i="6"/>
  <c r="AG1840" i="6"/>
  <c r="AA1840" i="6"/>
  <c r="Z1840" i="6"/>
  <c r="Y1840" i="6"/>
  <c r="X1840" i="6"/>
  <c r="AN1840" i="6" s="1"/>
  <c r="W1840" i="6"/>
  <c r="AM1840" i="6" s="1"/>
  <c r="V1840" i="6"/>
  <c r="AL1840" i="6" s="1"/>
  <c r="U1840" i="6"/>
  <c r="AK1840" i="6" s="1"/>
  <c r="T1840" i="6"/>
  <c r="S1840" i="6"/>
  <c r="R1840" i="6"/>
  <c r="Q1840" i="6"/>
  <c r="P1840" i="6"/>
  <c r="AF1840" i="6" s="1"/>
  <c r="U1838" i="6"/>
  <c r="B1834" i="6"/>
  <c r="B1833" i="6"/>
  <c r="B1832" i="6"/>
  <c r="S2003" i="6" s="1"/>
  <c r="AA1831" i="6"/>
  <c r="Z1831" i="6"/>
  <c r="Y1831" i="6"/>
  <c r="X1831" i="6"/>
  <c r="W1831" i="6"/>
  <c r="V1831" i="6"/>
  <c r="U1831" i="6"/>
  <c r="T1831" i="6"/>
  <c r="S1831" i="6"/>
  <c r="R1831" i="6"/>
  <c r="Q1831" i="6"/>
  <c r="P1831" i="6"/>
  <c r="B1827" i="6"/>
  <c r="B1826" i="6"/>
  <c r="B1825" i="6"/>
  <c r="AA1824" i="6"/>
  <c r="Z1824" i="6"/>
  <c r="Y1824" i="6"/>
  <c r="X1824" i="6"/>
  <c r="W1824" i="6"/>
  <c r="V1824" i="6"/>
  <c r="U1824" i="6"/>
  <c r="T1824" i="6"/>
  <c r="S1824" i="6"/>
  <c r="R1824" i="6"/>
  <c r="Q1824" i="6"/>
  <c r="P1824" i="6"/>
  <c r="X1821" i="6"/>
  <c r="U1821" i="6"/>
  <c r="AB1820" i="6"/>
  <c r="W1821" i="6"/>
  <c r="AB1819" i="6"/>
  <c r="P1821" i="6"/>
  <c r="AA1892" i="6"/>
  <c r="Z1892" i="6"/>
  <c r="X1894" i="6"/>
  <c r="V1846" i="6"/>
  <c r="S1897" i="6"/>
  <c r="R1895" i="6"/>
  <c r="P1898" i="6"/>
  <c r="AA1817" i="6"/>
  <c r="Z1817" i="6"/>
  <c r="Y1817" i="6"/>
  <c r="X1817" i="6"/>
  <c r="W1817" i="6"/>
  <c r="V1817" i="6"/>
  <c r="U1817" i="6"/>
  <c r="T1817" i="6"/>
  <c r="S1817" i="6"/>
  <c r="R1817" i="6"/>
  <c r="Q1817" i="6"/>
  <c r="P1817" i="6"/>
  <c r="AB1811" i="6"/>
  <c r="AA1810" i="6"/>
  <c r="Z1810" i="6"/>
  <c r="Y1810" i="6"/>
  <c r="X1810" i="6"/>
  <c r="W1810" i="6"/>
  <c r="V1810" i="6"/>
  <c r="U1810" i="6"/>
  <c r="T1810" i="6"/>
  <c r="S1810" i="6"/>
  <c r="R1810" i="6"/>
  <c r="Q1810" i="6"/>
  <c r="P1810" i="6"/>
  <c r="A1803" i="6"/>
  <c r="A1802" i="6"/>
  <c r="A1801" i="6"/>
  <c r="A1800" i="6"/>
  <c r="A1799" i="6"/>
  <c r="A1798" i="6"/>
  <c r="A1797" i="6"/>
  <c r="A1796" i="6"/>
  <c r="A1795" i="6"/>
  <c r="A1794" i="6"/>
  <c r="A1793" i="6"/>
  <c r="A1792" i="6"/>
  <c r="A1791" i="6"/>
  <c r="A1790" i="6"/>
  <c r="A1789" i="6"/>
  <c r="A1788" i="6"/>
  <c r="A1787" i="6"/>
  <c r="A1786" i="6"/>
  <c r="A1785" i="6"/>
  <c r="A1784" i="6"/>
  <c r="A1783" i="6"/>
  <c r="A1782" i="6"/>
  <c r="A1781" i="6"/>
  <c r="A1780" i="6"/>
  <c r="A1779" i="6"/>
  <c r="A1778" i="6"/>
  <c r="A1777" i="6"/>
  <c r="A1776" i="6"/>
  <c r="A1775" i="6"/>
  <c r="A1774" i="6"/>
  <c r="A1773" i="6"/>
  <c r="A1772" i="6"/>
  <c r="I1771" i="6"/>
  <c r="A1771" i="6"/>
  <c r="A1770" i="6"/>
  <c r="A1769" i="6"/>
  <c r="A1768" i="6"/>
  <c r="A1767" i="6"/>
  <c r="A1766" i="6"/>
  <c r="A1765" i="6"/>
  <c r="A1764" i="6"/>
  <c r="A1763" i="6"/>
  <c r="A1762" i="6"/>
  <c r="A1761" i="6"/>
  <c r="A1760" i="6"/>
  <c r="N1759" i="6"/>
  <c r="A1759" i="6"/>
  <c r="AQ1758" i="6"/>
  <c r="AL1758" i="6"/>
  <c r="AJ1758" i="6"/>
  <c r="AI1758" i="6"/>
  <c r="AE1758" i="6"/>
  <c r="AA1758" i="6"/>
  <c r="Z1758" i="6"/>
  <c r="AP1758" i="6" s="1"/>
  <c r="Y1758" i="6"/>
  <c r="AO1758" i="6" s="1"/>
  <c r="X1758" i="6"/>
  <c r="AN1758" i="6" s="1"/>
  <c r="W1758" i="6"/>
  <c r="AM1758" i="6" s="1"/>
  <c r="V1758" i="6"/>
  <c r="U1758" i="6"/>
  <c r="AK1758" i="6" s="1"/>
  <c r="T1758" i="6"/>
  <c r="S1758" i="6"/>
  <c r="R1758" i="6"/>
  <c r="AH1758" i="6" s="1"/>
  <c r="Q1758" i="6"/>
  <c r="AG1758" i="6" s="1"/>
  <c r="P1758" i="6"/>
  <c r="AF1758" i="6" s="1"/>
  <c r="A1758" i="6"/>
  <c r="A1757" i="6"/>
  <c r="A1756" i="6"/>
  <c r="A1755" i="6"/>
  <c r="F1754" i="6"/>
  <c r="A1754" i="6"/>
  <c r="A1753" i="6"/>
  <c r="A1752" i="6"/>
  <c r="A1751" i="6"/>
  <c r="A1750" i="6"/>
  <c r="A1749" i="6"/>
  <c r="J1748" i="6"/>
  <c r="A1748" i="6"/>
  <c r="A1747" i="6"/>
  <c r="A1746" i="6"/>
  <c r="A1745" i="6"/>
  <c r="A1744" i="6"/>
  <c r="A1743" i="6"/>
  <c r="A1742" i="6"/>
  <c r="A1741" i="6"/>
  <c r="A1740" i="6"/>
  <c r="A1739" i="6"/>
  <c r="A1738" i="6"/>
  <c r="A1737" i="6"/>
  <c r="I1736" i="6"/>
  <c r="A1736" i="6"/>
  <c r="A1735" i="6"/>
  <c r="A1734" i="6"/>
  <c r="A1733" i="6"/>
  <c r="J1732" i="6"/>
  <c r="A1732" i="6"/>
  <c r="A1731" i="6"/>
  <c r="A1730" i="6"/>
  <c r="M1729" i="6"/>
  <c r="M1775" i="6" s="1"/>
  <c r="A1729" i="6"/>
  <c r="A1728" i="6"/>
  <c r="A1727" i="6"/>
  <c r="A1726" i="6"/>
  <c r="N1725" i="6"/>
  <c r="N1771" i="6" s="1"/>
  <c r="A1725" i="6"/>
  <c r="A1724" i="6"/>
  <c r="A1723" i="6"/>
  <c r="A1722" i="6"/>
  <c r="N1721" i="6"/>
  <c r="N1767" i="6" s="1"/>
  <c r="A1721" i="6"/>
  <c r="A1720" i="6"/>
  <c r="G1719" i="6"/>
  <c r="G1765" i="6" s="1"/>
  <c r="A1719" i="6"/>
  <c r="A1718" i="6"/>
  <c r="A1717" i="6"/>
  <c r="J1716" i="6"/>
  <c r="A1716" i="6"/>
  <c r="A1715" i="6"/>
  <c r="O1714" i="6"/>
  <c r="O1760" i="6" s="1"/>
  <c r="A1714" i="6"/>
  <c r="A1713" i="6"/>
  <c r="AN1712" i="6"/>
  <c r="AL1712" i="6"/>
  <c r="AK1712" i="6"/>
  <c r="AJ1712" i="6"/>
  <c r="AE1712" i="6"/>
  <c r="AA1712" i="6"/>
  <c r="AQ1712" i="6" s="1"/>
  <c r="Z1712" i="6"/>
  <c r="AP1712" i="6" s="1"/>
  <c r="Y1712" i="6"/>
  <c r="AO1712" i="6" s="1"/>
  <c r="X1712" i="6"/>
  <c r="W1712" i="6"/>
  <c r="AM1712" i="6" s="1"/>
  <c r="V1712" i="6"/>
  <c r="U1712" i="6"/>
  <c r="T1712" i="6"/>
  <c r="S1712" i="6"/>
  <c r="AI1712" i="6" s="1"/>
  <c r="R1712" i="6"/>
  <c r="AH1712" i="6" s="1"/>
  <c r="Q1712" i="6"/>
  <c r="AG1712" i="6" s="1"/>
  <c r="P1712" i="6"/>
  <c r="AF1712" i="6" s="1"/>
  <c r="A1712" i="6"/>
  <c r="AT1711" i="6"/>
  <c r="AE1711" i="6"/>
  <c r="AE1757" i="6" s="1"/>
  <c r="AE1803" i="6" s="1"/>
  <c r="O1711" i="6"/>
  <c r="O1757" i="6" s="1"/>
  <c r="O1803" i="6" s="1"/>
  <c r="N1711" i="6"/>
  <c r="N1757" i="6" s="1"/>
  <c r="N1803" i="6" s="1"/>
  <c r="M1711" i="6"/>
  <c r="M1757" i="6" s="1"/>
  <c r="M1803" i="6" s="1"/>
  <c r="J1711" i="6"/>
  <c r="J1757" i="6" s="1"/>
  <c r="I1711" i="6"/>
  <c r="F1711" i="6"/>
  <c r="F1757" i="6" s="1"/>
  <c r="B1711" i="6"/>
  <c r="A1711" i="6"/>
  <c r="AE1710" i="6"/>
  <c r="AE1756" i="6" s="1"/>
  <c r="AE1802" i="6" s="1"/>
  <c r="O1710" i="6"/>
  <c r="O1756" i="6" s="1"/>
  <c r="O1802" i="6" s="1"/>
  <c r="N1710" i="6"/>
  <c r="N1756" i="6" s="1"/>
  <c r="N1802" i="6" s="1"/>
  <c r="M1710" i="6"/>
  <c r="M1756" i="6" s="1"/>
  <c r="M1802" i="6" s="1"/>
  <c r="J1710" i="6"/>
  <c r="AT1710" i="6" s="1"/>
  <c r="I1710" i="6"/>
  <c r="F1710" i="6"/>
  <c r="A1710" i="6"/>
  <c r="O1709" i="6"/>
  <c r="O1755" i="6" s="1"/>
  <c r="O1801" i="6" s="1"/>
  <c r="N1709" i="6"/>
  <c r="N1755" i="6" s="1"/>
  <c r="N1801" i="6" s="1"/>
  <c r="M1709" i="6"/>
  <c r="M1755" i="6" s="1"/>
  <c r="M1801" i="6" s="1"/>
  <c r="J1709" i="6"/>
  <c r="I1709" i="6"/>
  <c r="F1709" i="6"/>
  <c r="F1755" i="6" s="1"/>
  <c r="A1709" i="6"/>
  <c r="AE1708" i="6"/>
  <c r="AE1754" i="6" s="1"/>
  <c r="AE1800" i="6" s="1"/>
  <c r="O1708" i="6"/>
  <c r="O1754" i="6" s="1"/>
  <c r="O1800" i="6" s="1"/>
  <c r="N1708" i="6"/>
  <c r="N1754" i="6" s="1"/>
  <c r="N1800" i="6" s="1"/>
  <c r="M1708" i="6"/>
  <c r="M1754" i="6" s="1"/>
  <c r="M1800" i="6" s="1"/>
  <c r="J1708" i="6"/>
  <c r="I1708" i="6"/>
  <c r="F1708" i="6"/>
  <c r="B1708" i="6"/>
  <c r="A1708" i="6"/>
  <c r="AT1707" i="6"/>
  <c r="AE1707" i="6"/>
  <c r="AE1753" i="6" s="1"/>
  <c r="AE1799" i="6" s="1"/>
  <c r="O1707" i="6"/>
  <c r="O1753" i="6" s="1"/>
  <c r="O1799" i="6" s="1"/>
  <c r="N1707" i="6"/>
  <c r="N1753" i="6" s="1"/>
  <c r="N1799" i="6" s="1"/>
  <c r="M1707" i="6"/>
  <c r="M1753" i="6" s="1"/>
  <c r="M1799" i="6" s="1"/>
  <c r="J1707" i="6"/>
  <c r="J1753" i="6" s="1"/>
  <c r="I1707" i="6"/>
  <c r="F1707" i="6"/>
  <c r="A1707" i="6"/>
  <c r="O1706" i="6"/>
  <c r="O1752" i="6" s="1"/>
  <c r="O1798" i="6" s="1"/>
  <c r="N1706" i="6"/>
  <c r="N1752" i="6" s="1"/>
  <c r="N1798" i="6" s="1"/>
  <c r="M1706" i="6"/>
  <c r="M1752" i="6" s="1"/>
  <c r="M1798" i="6" s="1"/>
  <c r="J1706" i="6"/>
  <c r="J1752" i="6" s="1"/>
  <c r="I1706" i="6"/>
  <c r="F1706" i="6"/>
  <c r="A1706" i="6"/>
  <c r="AT1705" i="6"/>
  <c r="O1705" i="6"/>
  <c r="O1751" i="6" s="1"/>
  <c r="O1797" i="6" s="1"/>
  <c r="N1705" i="6"/>
  <c r="N1751" i="6" s="1"/>
  <c r="N1797" i="6" s="1"/>
  <c r="M1705" i="6"/>
  <c r="M1751" i="6" s="1"/>
  <c r="M1797" i="6" s="1"/>
  <c r="J1705" i="6"/>
  <c r="I1705" i="6"/>
  <c r="F1705" i="6"/>
  <c r="F1751" i="6" s="1"/>
  <c r="A1705" i="6"/>
  <c r="O1704" i="6"/>
  <c r="O1750" i="6" s="1"/>
  <c r="O1796" i="6" s="1"/>
  <c r="N1704" i="6"/>
  <c r="N1750" i="6" s="1"/>
  <c r="N1796" i="6" s="1"/>
  <c r="M1704" i="6"/>
  <c r="M1750" i="6" s="1"/>
  <c r="M1796" i="6" s="1"/>
  <c r="J1704" i="6"/>
  <c r="I1704" i="6"/>
  <c r="F1704" i="6"/>
  <c r="B1704" i="6" s="1"/>
  <c r="A1704" i="6"/>
  <c r="AE1703" i="6"/>
  <c r="AE1749" i="6" s="1"/>
  <c r="AE1795" i="6" s="1"/>
  <c r="O1703" i="6"/>
  <c r="O1749" i="6" s="1"/>
  <c r="O1795" i="6" s="1"/>
  <c r="N1703" i="6"/>
  <c r="N1749" i="6" s="1"/>
  <c r="N1795" i="6" s="1"/>
  <c r="M1703" i="6"/>
  <c r="M1749" i="6" s="1"/>
  <c r="M1795" i="6" s="1"/>
  <c r="J1703" i="6"/>
  <c r="J1749" i="6" s="1"/>
  <c r="I1703" i="6"/>
  <c r="F1703" i="6"/>
  <c r="A1703" i="6"/>
  <c r="AT1702" i="6"/>
  <c r="AE1702" i="6"/>
  <c r="AE1748" i="6" s="1"/>
  <c r="AE1794" i="6" s="1"/>
  <c r="O1702" i="6"/>
  <c r="O1748" i="6" s="1"/>
  <c r="O1794" i="6" s="1"/>
  <c r="N1702" i="6"/>
  <c r="N1748" i="6" s="1"/>
  <c r="N1794" i="6" s="1"/>
  <c r="M1702" i="6"/>
  <c r="M1748" i="6" s="1"/>
  <c r="M1794" i="6" s="1"/>
  <c r="J1702" i="6"/>
  <c r="I1702" i="6"/>
  <c r="I1748" i="6" s="1"/>
  <c r="F1702" i="6"/>
  <c r="F1748" i="6" s="1"/>
  <c r="B1702" i="6"/>
  <c r="A1702" i="6"/>
  <c r="O1701" i="6"/>
  <c r="O1747" i="6" s="1"/>
  <c r="O1793" i="6" s="1"/>
  <c r="N1701" i="6"/>
  <c r="N1747" i="6" s="1"/>
  <c r="N1793" i="6" s="1"/>
  <c r="M1701" i="6"/>
  <c r="M1747" i="6" s="1"/>
  <c r="M1793" i="6" s="1"/>
  <c r="J1701" i="6"/>
  <c r="I1701" i="6"/>
  <c r="I1747" i="6" s="1"/>
  <c r="F1701" i="6"/>
  <c r="F1747" i="6" s="1"/>
  <c r="A1701" i="6"/>
  <c r="AT1700" i="6"/>
  <c r="O1700" i="6"/>
  <c r="O1746" i="6" s="1"/>
  <c r="O1792" i="6" s="1"/>
  <c r="N1700" i="6"/>
  <c r="N1746" i="6" s="1"/>
  <c r="N1792" i="6" s="1"/>
  <c r="M1700" i="6"/>
  <c r="M1746" i="6" s="1"/>
  <c r="M1792" i="6" s="1"/>
  <c r="J1700" i="6"/>
  <c r="J1746" i="6" s="1"/>
  <c r="I1700" i="6"/>
  <c r="I1746" i="6" s="1"/>
  <c r="F1700" i="6"/>
  <c r="F1746" i="6" s="1"/>
  <c r="B1700" i="6"/>
  <c r="A1700" i="6"/>
  <c r="AE1699" i="6"/>
  <c r="AE1745" i="6" s="1"/>
  <c r="AE1791" i="6" s="1"/>
  <c r="O1699" i="6"/>
  <c r="O1745" i="6" s="1"/>
  <c r="O1791" i="6" s="1"/>
  <c r="N1699" i="6"/>
  <c r="N1745" i="6" s="1"/>
  <c r="N1791" i="6" s="1"/>
  <c r="M1699" i="6"/>
  <c r="M1745" i="6" s="1"/>
  <c r="M1791" i="6" s="1"/>
  <c r="J1699" i="6"/>
  <c r="J1745" i="6" s="1"/>
  <c r="I1699" i="6"/>
  <c r="I1745" i="6" s="1"/>
  <c r="F1699" i="6"/>
  <c r="A1699" i="6"/>
  <c r="AT1698" i="6"/>
  <c r="AE1698" i="6"/>
  <c r="AE1744" i="6" s="1"/>
  <c r="AE1790" i="6" s="1"/>
  <c r="O1698" i="6"/>
  <c r="O1744" i="6" s="1"/>
  <c r="O1790" i="6" s="1"/>
  <c r="N1698" i="6"/>
  <c r="N1744" i="6" s="1"/>
  <c r="N1790" i="6" s="1"/>
  <c r="M1698" i="6"/>
  <c r="M1744" i="6" s="1"/>
  <c r="M1790" i="6" s="1"/>
  <c r="J1698" i="6"/>
  <c r="J1744" i="6" s="1"/>
  <c r="I1698" i="6"/>
  <c r="I1744" i="6" s="1"/>
  <c r="F1698" i="6"/>
  <c r="F1744" i="6" s="1"/>
  <c r="B1698" i="6"/>
  <c r="A1698" i="6"/>
  <c r="O1697" i="6"/>
  <c r="O1743" i="6" s="1"/>
  <c r="O1789" i="6" s="1"/>
  <c r="N1697" i="6"/>
  <c r="N1743" i="6" s="1"/>
  <c r="N1789" i="6" s="1"/>
  <c r="M1697" i="6"/>
  <c r="M1743" i="6" s="1"/>
  <c r="M1789" i="6" s="1"/>
  <c r="J1697" i="6"/>
  <c r="I1697" i="6"/>
  <c r="I1743" i="6" s="1"/>
  <c r="F1697" i="6"/>
  <c r="F1743" i="6" s="1"/>
  <c r="A1697" i="6"/>
  <c r="AT1696" i="6"/>
  <c r="O1696" i="6"/>
  <c r="O1742" i="6" s="1"/>
  <c r="O1788" i="6" s="1"/>
  <c r="N1696" i="6"/>
  <c r="N1742" i="6" s="1"/>
  <c r="N1788" i="6" s="1"/>
  <c r="M1696" i="6"/>
  <c r="M1742" i="6" s="1"/>
  <c r="M1788" i="6" s="1"/>
  <c r="J1696" i="6"/>
  <c r="J1742" i="6" s="1"/>
  <c r="I1696" i="6"/>
  <c r="I1742" i="6" s="1"/>
  <c r="F1696" i="6"/>
  <c r="F1742" i="6" s="1"/>
  <c r="B1696" i="6"/>
  <c r="A1696" i="6"/>
  <c r="AE1695" i="6"/>
  <c r="AE1741" i="6" s="1"/>
  <c r="AE1787" i="6" s="1"/>
  <c r="O1695" i="6"/>
  <c r="O1741" i="6" s="1"/>
  <c r="O1787" i="6" s="1"/>
  <c r="N1695" i="6"/>
  <c r="N1741" i="6" s="1"/>
  <c r="N1787" i="6" s="1"/>
  <c r="M1695" i="6"/>
  <c r="M1741" i="6" s="1"/>
  <c r="M1787" i="6" s="1"/>
  <c r="J1695" i="6"/>
  <c r="J1741" i="6" s="1"/>
  <c r="I1695" i="6"/>
  <c r="I1741" i="6" s="1"/>
  <c r="F1695" i="6"/>
  <c r="A1695" i="6"/>
  <c r="AT1694" i="6"/>
  <c r="AE1694" i="6"/>
  <c r="AE1740" i="6" s="1"/>
  <c r="AE1786" i="6" s="1"/>
  <c r="O1694" i="6"/>
  <c r="O1740" i="6" s="1"/>
  <c r="O1786" i="6" s="1"/>
  <c r="N1694" i="6"/>
  <c r="N1740" i="6" s="1"/>
  <c r="N1786" i="6" s="1"/>
  <c r="M1694" i="6"/>
  <c r="M1740" i="6" s="1"/>
  <c r="M1786" i="6" s="1"/>
  <c r="J1694" i="6"/>
  <c r="J1740" i="6" s="1"/>
  <c r="I1694" i="6"/>
  <c r="I1740" i="6" s="1"/>
  <c r="F1694" i="6"/>
  <c r="F1740" i="6" s="1"/>
  <c r="B1694" i="6"/>
  <c r="A1694" i="6"/>
  <c r="O1693" i="6"/>
  <c r="O1739" i="6" s="1"/>
  <c r="O1785" i="6" s="1"/>
  <c r="N1693" i="6"/>
  <c r="N1739" i="6" s="1"/>
  <c r="N1785" i="6" s="1"/>
  <c r="M1693" i="6"/>
  <c r="M1739" i="6" s="1"/>
  <c r="M1785" i="6" s="1"/>
  <c r="J1693" i="6"/>
  <c r="I1693" i="6"/>
  <c r="I1739" i="6" s="1"/>
  <c r="F1693" i="6"/>
  <c r="F1739" i="6" s="1"/>
  <c r="A1693" i="6"/>
  <c r="AT1692" i="6"/>
  <c r="O1692" i="6"/>
  <c r="O1738" i="6" s="1"/>
  <c r="O1784" i="6" s="1"/>
  <c r="N1692" i="6"/>
  <c r="N1738" i="6" s="1"/>
  <c r="N1784" i="6" s="1"/>
  <c r="M1692" i="6"/>
  <c r="M1738" i="6" s="1"/>
  <c r="M1784" i="6" s="1"/>
  <c r="J1692" i="6"/>
  <c r="J1738" i="6" s="1"/>
  <c r="I1692" i="6"/>
  <c r="I1738" i="6" s="1"/>
  <c r="F1692" i="6"/>
  <c r="F1738" i="6" s="1"/>
  <c r="A1692" i="6"/>
  <c r="AE1691" i="6"/>
  <c r="AE1737" i="6" s="1"/>
  <c r="AE1783" i="6" s="1"/>
  <c r="O1691" i="6"/>
  <c r="O1737" i="6" s="1"/>
  <c r="O1783" i="6" s="1"/>
  <c r="N1691" i="6"/>
  <c r="N1737" i="6" s="1"/>
  <c r="N1783" i="6" s="1"/>
  <c r="M1691" i="6"/>
  <c r="M1737" i="6" s="1"/>
  <c r="M1783" i="6" s="1"/>
  <c r="J1691" i="6"/>
  <c r="J1737" i="6" s="1"/>
  <c r="I1691" i="6"/>
  <c r="I1737" i="6" s="1"/>
  <c r="F1691" i="6"/>
  <c r="A1691" i="6"/>
  <c r="AT1690" i="6"/>
  <c r="AE1690" i="6"/>
  <c r="AE1736" i="6" s="1"/>
  <c r="AE1782" i="6" s="1"/>
  <c r="O1690" i="6"/>
  <c r="O1736" i="6" s="1"/>
  <c r="O1782" i="6" s="1"/>
  <c r="N1690" i="6"/>
  <c r="N1736" i="6" s="1"/>
  <c r="N1782" i="6" s="1"/>
  <c r="M1690" i="6"/>
  <c r="M1736" i="6" s="1"/>
  <c r="M1782" i="6" s="1"/>
  <c r="J1690" i="6"/>
  <c r="J1736" i="6" s="1"/>
  <c r="J1782" i="6" s="1"/>
  <c r="AT1782" i="6" s="1"/>
  <c r="I1690" i="6"/>
  <c r="F1690" i="6"/>
  <c r="F1736" i="6" s="1"/>
  <c r="B1690" i="6"/>
  <c r="A1690" i="6"/>
  <c r="O1689" i="6"/>
  <c r="O1735" i="6" s="1"/>
  <c r="O1781" i="6" s="1"/>
  <c r="N1689" i="6"/>
  <c r="N1735" i="6" s="1"/>
  <c r="N1781" i="6" s="1"/>
  <c r="M1689" i="6"/>
  <c r="M1735" i="6" s="1"/>
  <c r="M1781" i="6" s="1"/>
  <c r="J1689" i="6"/>
  <c r="AE1689" i="6" s="1"/>
  <c r="AE1735" i="6" s="1"/>
  <c r="AE1781" i="6" s="1"/>
  <c r="I1689" i="6"/>
  <c r="I1735" i="6" s="1"/>
  <c r="F1689" i="6"/>
  <c r="F1735" i="6" s="1"/>
  <c r="A1689" i="6"/>
  <c r="O1688" i="6"/>
  <c r="O1734" i="6" s="1"/>
  <c r="O1780" i="6" s="1"/>
  <c r="N1688" i="6"/>
  <c r="N1734" i="6" s="1"/>
  <c r="N1780" i="6" s="1"/>
  <c r="M1688" i="6"/>
  <c r="M1734" i="6" s="1"/>
  <c r="M1780" i="6" s="1"/>
  <c r="J1688" i="6"/>
  <c r="AT1688" i="6" s="1"/>
  <c r="I1688" i="6"/>
  <c r="F1688" i="6"/>
  <c r="F1734" i="6" s="1"/>
  <c r="A1688" i="6"/>
  <c r="AE1687" i="6"/>
  <c r="AE1733" i="6" s="1"/>
  <c r="AE1779" i="6" s="1"/>
  <c r="O1687" i="6"/>
  <c r="O1733" i="6" s="1"/>
  <c r="O1779" i="6" s="1"/>
  <c r="N1687" i="6"/>
  <c r="N1733" i="6" s="1"/>
  <c r="N1779" i="6" s="1"/>
  <c r="M1687" i="6"/>
  <c r="M1733" i="6" s="1"/>
  <c r="M1779" i="6" s="1"/>
  <c r="J1687" i="6"/>
  <c r="J1733" i="6" s="1"/>
  <c r="I1687" i="6"/>
  <c r="I1733" i="6" s="1"/>
  <c r="F1687" i="6"/>
  <c r="A1687" i="6"/>
  <c r="AT1686" i="6"/>
  <c r="AE1686" i="6"/>
  <c r="AE1732" i="6" s="1"/>
  <c r="AE1778" i="6" s="1"/>
  <c r="O1686" i="6"/>
  <c r="O1732" i="6" s="1"/>
  <c r="O1778" i="6" s="1"/>
  <c r="N1686" i="6"/>
  <c r="N1732" i="6" s="1"/>
  <c r="N1778" i="6" s="1"/>
  <c r="M1686" i="6"/>
  <c r="M1732" i="6" s="1"/>
  <c r="M1778" i="6" s="1"/>
  <c r="J1686" i="6"/>
  <c r="I1686" i="6"/>
  <c r="I1732" i="6" s="1"/>
  <c r="F1686" i="6"/>
  <c r="F1732" i="6" s="1"/>
  <c r="B1686" i="6"/>
  <c r="A1686" i="6"/>
  <c r="O1685" i="6"/>
  <c r="O1731" i="6" s="1"/>
  <c r="O1777" i="6" s="1"/>
  <c r="N1685" i="6"/>
  <c r="N1731" i="6" s="1"/>
  <c r="N1777" i="6" s="1"/>
  <c r="M1685" i="6"/>
  <c r="M1731" i="6" s="1"/>
  <c r="M1777" i="6" s="1"/>
  <c r="J1685" i="6"/>
  <c r="I1685" i="6"/>
  <c r="I1731" i="6" s="1"/>
  <c r="F1685" i="6"/>
  <c r="F1731" i="6" s="1"/>
  <c r="A1685" i="6"/>
  <c r="O1684" i="6"/>
  <c r="O1730" i="6" s="1"/>
  <c r="O1776" i="6" s="1"/>
  <c r="N1684" i="6"/>
  <c r="N1730" i="6" s="1"/>
  <c r="N1776" i="6" s="1"/>
  <c r="M1684" i="6"/>
  <c r="M1730" i="6" s="1"/>
  <c r="M1776" i="6" s="1"/>
  <c r="J1684" i="6"/>
  <c r="I1684" i="6"/>
  <c r="F1684" i="6"/>
  <c r="F1730" i="6" s="1"/>
  <c r="A1684" i="6"/>
  <c r="O1683" i="6"/>
  <c r="O1729" i="6" s="1"/>
  <c r="O1775" i="6" s="1"/>
  <c r="N1683" i="6"/>
  <c r="N1729" i="6" s="1"/>
  <c r="N1775" i="6" s="1"/>
  <c r="M1683" i="6"/>
  <c r="J1683" i="6"/>
  <c r="J1729" i="6" s="1"/>
  <c r="I1683" i="6"/>
  <c r="I1729" i="6" s="1"/>
  <c r="F1683" i="6"/>
  <c r="A1683" i="6"/>
  <c r="AT1682" i="6"/>
  <c r="AE1682" i="6"/>
  <c r="AE1728" i="6" s="1"/>
  <c r="AE1774" i="6" s="1"/>
  <c r="O1682" i="6"/>
  <c r="O1728" i="6" s="1"/>
  <c r="O1774" i="6" s="1"/>
  <c r="N1682" i="6"/>
  <c r="N1728" i="6" s="1"/>
  <c r="N1774" i="6" s="1"/>
  <c r="M1682" i="6"/>
  <c r="M1728" i="6" s="1"/>
  <c r="M1774" i="6" s="1"/>
  <c r="J1682" i="6"/>
  <c r="J1728" i="6" s="1"/>
  <c r="I1682" i="6"/>
  <c r="I1728" i="6" s="1"/>
  <c r="F1682" i="6"/>
  <c r="F1728" i="6" s="1"/>
  <c r="A1682" i="6"/>
  <c r="O1681" i="6"/>
  <c r="O1727" i="6" s="1"/>
  <c r="O1773" i="6" s="1"/>
  <c r="N1681" i="6"/>
  <c r="N1727" i="6" s="1"/>
  <c r="N1773" i="6" s="1"/>
  <c r="M1681" i="6"/>
  <c r="M1727" i="6" s="1"/>
  <c r="M1773" i="6" s="1"/>
  <c r="J1681" i="6"/>
  <c r="J1727" i="6" s="1"/>
  <c r="I1681" i="6"/>
  <c r="F1681" i="6"/>
  <c r="F1727" i="6" s="1"/>
  <c r="A1681" i="6"/>
  <c r="O1680" i="6"/>
  <c r="O1726" i="6" s="1"/>
  <c r="O1772" i="6" s="1"/>
  <c r="N1680" i="6"/>
  <c r="N1726" i="6" s="1"/>
  <c r="N1772" i="6" s="1"/>
  <c r="M1680" i="6"/>
  <c r="M1726" i="6" s="1"/>
  <c r="M1772" i="6" s="1"/>
  <c r="J1680" i="6"/>
  <c r="I1680" i="6"/>
  <c r="F1680" i="6"/>
  <c r="F1726" i="6" s="1"/>
  <c r="A1680" i="6"/>
  <c r="O1679" i="6"/>
  <c r="O1725" i="6" s="1"/>
  <c r="O1771" i="6" s="1"/>
  <c r="N1679" i="6"/>
  <c r="M1679" i="6"/>
  <c r="M1725" i="6" s="1"/>
  <c r="M1771" i="6" s="1"/>
  <c r="J1679" i="6"/>
  <c r="J1725" i="6" s="1"/>
  <c r="I1679" i="6"/>
  <c r="I1725" i="6" s="1"/>
  <c r="F1679" i="6"/>
  <c r="A1679" i="6"/>
  <c r="AT1678" i="6"/>
  <c r="AE1678" i="6"/>
  <c r="AE1724" i="6" s="1"/>
  <c r="AE1770" i="6" s="1"/>
  <c r="O1678" i="6"/>
  <c r="O1724" i="6" s="1"/>
  <c r="O1770" i="6" s="1"/>
  <c r="N1678" i="6"/>
  <c r="N1724" i="6" s="1"/>
  <c r="N1770" i="6" s="1"/>
  <c r="M1678" i="6"/>
  <c r="M1724" i="6" s="1"/>
  <c r="M1770" i="6" s="1"/>
  <c r="J1678" i="6"/>
  <c r="J1724" i="6" s="1"/>
  <c r="I1678" i="6"/>
  <c r="F1678" i="6"/>
  <c r="F1724" i="6" s="1"/>
  <c r="B1678" i="6"/>
  <c r="A1678" i="6"/>
  <c r="O1677" i="6"/>
  <c r="O1723" i="6" s="1"/>
  <c r="O1769" i="6" s="1"/>
  <c r="N1677" i="6"/>
  <c r="N1723" i="6" s="1"/>
  <c r="N1769" i="6" s="1"/>
  <c r="M1677" i="6"/>
  <c r="M1723" i="6" s="1"/>
  <c r="M1769" i="6" s="1"/>
  <c r="J1677" i="6"/>
  <c r="J1723" i="6" s="1"/>
  <c r="I1677" i="6"/>
  <c r="F1677" i="6"/>
  <c r="A1677" i="6"/>
  <c r="O1676" i="6"/>
  <c r="O1722" i="6" s="1"/>
  <c r="O1768" i="6" s="1"/>
  <c r="N1676" i="6"/>
  <c r="N1722" i="6" s="1"/>
  <c r="N1768" i="6" s="1"/>
  <c r="M1676" i="6"/>
  <c r="M1722" i="6" s="1"/>
  <c r="M1768" i="6" s="1"/>
  <c r="J1676" i="6"/>
  <c r="I1676" i="6"/>
  <c r="F1676" i="6"/>
  <c r="F1722" i="6" s="1"/>
  <c r="A1676" i="6"/>
  <c r="O1675" i="6"/>
  <c r="O1721" i="6" s="1"/>
  <c r="O1767" i="6" s="1"/>
  <c r="N1675" i="6"/>
  <c r="M1675" i="6"/>
  <c r="M1721" i="6" s="1"/>
  <c r="M1767" i="6" s="1"/>
  <c r="J1675" i="6"/>
  <c r="I1675" i="6"/>
  <c r="I1721" i="6" s="1"/>
  <c r="F1675" i="6"/>
  <c r="F1721" i="6" s="1"/>
  <c r="B1675" i="6"/>
  <c r="A1675" i="6"/>
  <c r="AT1674" i="6"/>
  <c r="AE1674" i="6"/>
  <c r="AE1720" i="6" s="1"/>
  <c r="AE1766" i="6" s="1"/>
  <c r="O1674" i="6"/>
  <c r="O1720" i="6" s="1"/>
  <c r="O1766" i="6" s="1"/>
  <c r="N1674" i="6"/>
  <c r="N1720" i="6" s="1"/>
  <c r="N1766" i="6" s="1"/>
  <c r="M1674" i="6"/>
  <c r="M1720" i="6" s="1"/>
  <c r="M1766" i="6" s="1"/>
  <c r="J1674" i="6"/>
  <c r="J1720" i="6" s="1"/>
  <c r="I1674" i="6"/>
  <c r="F1674" i="6"/>
  <c r="F1720" i="6" s="1"/>
  <c r="A1674" i="6"/>
  <c r="O1673" i="6"/>
  <c r="O1719" i="6" s="1"/>
  <c r="O1765" i="6" s="1"/>
  <c r="N1673" i="6"/>
  <c r="N1719" i="6" s="1"/>
  <c r="N1765" i="6" s="1"/>
  <c r="M1673" i="6"/>
  <c r="M1719" i="6" s="1"/>
  <c r="M1765" i="6" s="1"/>
  <c r="J1673" i="6"/>
  <c r="I1673" i="6"/>
  <c r="H1673" i="6"/>
  <c r="H1719" i="6" s="1"/>
  <c r="H1765" i="6" s="1"/>
  <c r="G1673" i="6"/>
  <c r="F1673" i="6"/>
  <c r="A1673" i="6"/>
  <c r="O1672" i="6"/>
  <c r="O1718" i="6" s="1"/>
  <c r="O1764" i="6" s="1"/>
  <c r="N1672" i="6"/>
  <c r="N1718" i="6" s="1"/>
  <c r="N1764" i="6" s="1"/>
  <c r="M1672" i="6"/>
  <c r="M1718" i="6" s="1"/>
  <c r="M1764" i="6" s="1"/>
  <c r="J1672" i="6"/>
  <c r="I1672" i="6"/>
  <c r="F1672" i="6"/>
  <c r="F1718" i="6" s="1"/>
  <c r="B1672" i="6"/>
  <c r="A1672" i="6"/>
  <c r="AE1671" i="6"/>
  <c r="AE1717" i="6" s="1"/>
  <c r="AE1763" i="6" s="1"/>
  <c r="O1671" i="6"/>
  <c r="O1717" i="6" s="1"/>
  <c r="O1763" i="6" s="1"/>
  <c r="N1671" i="6"/>
  <c r="N1717" i="6" s="1"/>
  <c r="N1763" i="6" s="1"/>
  <c r="M1671" i="6"/>
  <c r="M1717" i="6" s="1"/>
  <c r="M1763" i="6" s="1"/>
  <c r="J1671" i="6"/>
  <c r="I1671" i="6"/>
  <c r="I1717" i="6" s="1"/>
  <c r="F1671" i="6"/>
  <c r="F1717" i="6" s="1"/>
  <c r="A1671" i="6"/>
  <c r="AT1670" i="6"/>
  <c r="AE1670" i="6"/>
  <c r="AE1716" i="6" s="1"/>
  <c r="AE1762" i="6" s="1"/>
  <c r="O1670" i="6"/>
  <c r="O1716" i="6" s="1"/>
  <c r="O1762" i="6" s="1"/>
  <c r="N1670" i="6"/>
  <c r="N1716" i="6" s="1"/>
  <c r="N1762" i="6" s="1"/>
  <c r="M1670" i="6"/>
  <c r="M1716" i="6" s="1"/>
  <c r="M1762" i="6" s="1"/>
  <c r="J1670" i="6"/>
  <c r="I1670" i="6"/>
  <c r="F1670" i="6"/>
  <c r="F1716" i="6" s="1"/>
  <c r="B1670" i="6"/>
  <c r="A1670" i="6"/>
  <c r="AE1669" i="6"/>
  <c r="AE1715" i="6" s="1"/>
  <c r="AE1761" i="6" s="1"/>
  <c r="O1669" i="6"/>
  <c r="O1715" i="6" s="1"/>
  <c r="O1761" i="6" s="1"/>
  <c r="N1669" i="6"/>
  <c r="N1715" i="6" s="1"/>
  <c r="N1761" i="6" s="1"/>
  <c r="M1669" i="6"/>
  <c r="M1715" i="6" s="1"/>
  <c r="M1761" i="6" s="1"/>
  <c r="J1669" i="6"/>
  <c r="J1715" i="6" s="1"/>
  <c r="I1669" i="6"/>
  <c r="F1669" i="6"/>
  <c r="A1669" i="6"/>
  <c r="O1668" i="6"/>
  <c r="N1668" i="6"/>
  <c r="N1714" i="6" s="1"/>
  <c r="N1760" i="6" s="1"/>
  <c r="M1668" i="6"/>
  <c r="M1714" i="6" s="1"/>
  <c r="M1760" i="6" s="1"/>
  <c r="J1668" i="6"/>
  <c r="I1668" i="6"/>
  <c r="F1668" i="6"/>
  <c r="F1714" i="6" s="1"/>
  <c r="A1668" i="6"/>
  <c r="AE1667" i="6"/>
  <c r="AE1713" i="6" s="1"/>
  <c r="AE1759" i="6" s="1"/>
  <c r="O1667" i="6"/>
  <c r="O1713" i="6" s="1"/>
  <c r="O1759" i="6" s="1"/>
  <c r="N1667" i="6"/>
  <c r="N1713" i="6" s="1"/>
  <c r="M1667" i="6"/>
  <c r="M1713" i="6" s="1"/>
  <c r="M1759" i="6" s="1"/>
  <c r="J1667" i="6"/>
  <c r="I1667" i="6"/>
  <c r="I1713" i="6" s="1"/>
  <c r="F1667" i="6"/>
  <c r="F1713" i="6" s="1"/>
  <c r="B1667" i="6"/>
  <c r="A1667" i="6"/>
  <c r="AN1666" i="6"/>
  <c r="AM1666" i="6"/>
  <c r="AL1666" i="6"/>
  <c r="AE1666" i="6"/>
  <c r="AA1666" i="6"/>
  <c r="AQ1666" i="6" s="1"/>
  <c r="Z1666" i="6"/>
  <c r="AP1666" i="6" s="1"/>
  <c r="Y1666" i="6"/>
  <c r="AO1666" i="6" s="1"/>
  <c r="X1666" i="6"/>
  <c r="W1666" i="6"/>
  <c r="V1666" i="6"/>
  <c r="U1666" i="6"/>
  <c r="AK1666" i="6" s="1"/>
  <c r="T1666" i="6"/>
  <c r="AJ1666" i="6" s="1"/>
  <c r="S1666" i="6"/>
  <c r="AI1666" i="6" s="1"/>
  <c r="R1666" i="6"/>
  <c r="AH1666" i="6" s="1"/>
  <c r="Q1666" i="6"/>
  <c r="AG1666" i="6" s="1"/>
  <c r="P1666" i="6"/>
  <c r="AF1666" i="6" s="1"/>
  <c r="A1660" i="6"/>
  <c r="A1659" i="6"/>
  <c r="A1658" i="6"/>
  <c r="A1657" i="6"/>
  <c r="A1656" i="6"/>
  <c r="A1655" i="6"/>
  <c r="A1654" i="6"/>
  <c r="A1653" i="6"/>
  <c r="A1652" i="6"/>
  <c r="A1651" i="6"/>
  <c r="A1650" i="6"/>
  <c r="A1649" i="6"/>
  <c r="A1648" i="6"/>
  <c r="A1647" i="6"/>
  <c r="A1646" i="6"/>
  <c r="A1645" i="6"/>
  <c r="A1644" i="6"/>
  <c r="A1643" i="6"/>
  <c r="A1642" i="6"/>
  <c r="A1641" i="6"/>
  <c r="A1640" i="6"/>
  <c r="A1639" i="6"/>
  <c r="A1638" i="6"/>
  <c r="A1637" i="6"/>
  <c r="A1636" i="6"/>
  <c r="O1635" i="6"/>
  <c r="A1635" i="6"/>
  <c r="A1634" i="6"/>
  <c r="G1633" i="6"/>
  <c r="A1633" i="6"/>
  <c r="A1632" i="6"/>
  <c r="A1631" i="6"/>
  <c r="A1630" i="6"/>
  <c r="A1629" i="6"/>
  <c r="A1628" i="6"/>
  <c r="A1627" i="6"/>
  <c r="A1626" i="6"/>
  <c r="A1625" i="6"/>
  <c r="A1624" i="6"/>
  <c r="A1623" i="6"/>
  <c r="H1622" i="6"/>
  <c r="A1622" i="6"/>
  <c r="A1621" i="6"/>
  <c r="A1620" i="6"/>
  <c r="A1619" i="6"/>
  <c r="A1618" i="6"/>
  <c r="A1617" i="6"/>
  <c r="H1616" i="6"/>
  <c r="A1616" i="6"/>
  <c r="AA1615" i="6"/>
  <c r="Z1615" i="6"/>
  <c r="Y1615" i="6"/>
  <c r="X1615" i="6"/>
  <c r="W1615" i="6"/>
  <c r="V1615" i="6"/>
  <c r="U1615" i="6"/>
  <c r="T1615" i="6"/>
  <c r="S1615" i="6"/>
  <c r="R1615" i="6"/>
  <c r="Q1615" i="6"/>
  <c r="P1615" i="6"/>
  <c r="A1615" i="6"/>
  <c r="O1614" i="6"/>
  <c r="O1660" i="6" s="1"/>
  <c r="A1614" i="6"/>
  <c r="O1613" i="6"/>
  <c r="O1659" i="6" s="1"/>
  <c r="A1613" i="6"/>
  <c r="O1612" i="6"/>
  <c r="O1658" i="6" s="1"/>
  <c r="A1612" i="6"/>
  <c r="O1611" i="6"/>
  <c r="O1657" i="6" s="1"/>
  <c r="A1611" i="6"/>
  <c r="O1610" i="6"/>
  <c r="O1656" i="6" s="1"/>
  <c r="A1610" i="6"/>
  <c r="O1609" i="6"/>
  <c r="O1655" i="6" s="1"/>
  <c r="A1609" i="6"/>
  <c r="O1608" i="6"/>
  <c r="O1654" i="6" s="1"/>
  <c r="A1608" i="6"/>
  <c r="O1607" i="6"/>
  <c r="O1653" i="6" s="1"/>
  <c r="A1607" i="6"/>
  <c r="O1606" i="6"/>
  <c r="O1652" i="6" s="1"/>
  <c r="A1606" i="6"/>
  <c r="O1605" i="6"/>
  <c r="O1651" i="6" s="1"/>
  <c r="A1605" i="6"/>
  <c r="O1604" i="6"/>
  <c r="O1650" i="6" s="1"/>
  <c r="A1604" i="6"/>
  <c r="O1603" i="6"/>
  <c r="O1649" i="6" s="1"/>
  <c r="A1603" i="6"/>
  <c r="O1602" i="6"/>
  <c r="O1648" i="6" s="1"/>
  <c r="A1602" i="6"/>
  <c r="O1601" i="6"/>
  <c r="O1647" i="6" s="1"/>
  <c r="A1601" i="6"/>
  <c r="O1600" i="6"/>
  <c r="O1646" i="6" s="1"/>
  <c r="A1600" i="6"/>
  <c r="O1599" i="6"/>
  <c r="O1645" i="6" s="1"/>
  <c r="A1599" i="6"/>
  <c r="O1598" i="6"/>
  <c r="O1644" i="6" s="1"/>
  <c r="A1598" i="6"/>
  <c r="O1597" i="6"/>
  <c r="O1643" i="6" s="1"/>
  <c r="A1597" i="6"/>
  <c r="O1596" i="6"/>
  <c r="O1642" i="6" s="1"/>
  <c r="A1596" i="6"/>
  <c r="O1595" i="6"/>
  <c r="O1641" i="6" s="1"/>
  <c r="A1595" i="6"/>
  <c r="O1594" i="6"/>
  <c r="O1640" i="6" s="1"/>
  <c r="A1594" i="6"/>
  <c r="O1593" i="6"/>
  <c r="O1639" i="6" s="1"/>
  <c r="A1593" i="6"/>
  <c r="O1592" i="6"/>
  <c r="O1638" i="6" s="1"/>
  <c r="A1592" i="6"/>
  <c r="O1591" i="6"/>
  <c r="O1637" i="6" s="1"/>
  <c r="A1591" i="6"/>
  <c r="O1590" i="6"/>
  <c r="O1636" i="6" s="1"/>
  <c r="A1590" i="6"/>
  <c r="O1589" i="6"/>
  <c r="A1589" i="6"/>
  <c r="O1588" i="6"/>
  <c r="O1634" i="6" s="1"/>
  <c r="A1588" i="6"/>
  <c r="O1587" i="6"/>
  <c r="O1633" i="6" s="1"/>
  <c r="A1587" i="6"/>
  <c r="O1586" i="6"/>
  <c r="O1632" i="6" s="1"/>
  <c r="A1586" i="6"/>
  <c r="O1585" i="6"/>
  <c r="O1631" i="6" s="1"/>
  <c r="A1585" i="6"/>
  <c r="O1584" i="6"/>
  <c r="O1630" i="6" s="1"/>
  <c r="A1584" i="6"/>
  <c r="O1583" i="6"/>
  <c r="O1629" i="6" s="1"/>
  <c r="A1583" i="6"/>
  <c r="O1582" i="6"/>
  <c r="O1628" i="6" s="1"/>
  <c r="A1582" i="6"/>
  <c r="O1581" i="6"/>
  <c r="O1627" i="6" s="1"/>
  <c r="A1581" i="6"/>
  <c r="O1580" i="6"/>
  <c r="O1626" i="6" s="1"/>
  <c r="A1580" i="6"/>
  <c r="O1579" i="6"/>
  <c r="O1625" i="6" s="1"/>
  <c r="A1579" i="6"/>
  <c r="O1578" i="6"/>
  <c r="O1624" i="6" s="1"/>
  <c r="A1578" i="6"/>
  <c r="A1577" i="6"/>
  <c r="A1576" i="6"/>
  <c r="A1575" i="6"/>
  <c r="A1574" i="6"/>
  <c r="A1573" i="6"/>
  <c r="A1572" i="6"/>
  <c r="A1571" i="6"/>
  <c r="A1570" i="6"/>
  <c r="AA1569" i="6"/>
  <c r="Z1569" i="6"/>
  <c r="Y1569" i="6"/>
  <c r="X1569" i="6"/>
  <c r="W1569" i="6"/>
  <c r="V1569" i="6"/>
  <c r="U1569" i="6"/>
  <c r="T1569" i="6"/>
  <c r="S1569" i="6"/>
  <c r="R1569" i="6"/>
  <c r="Q1569" i="6"/>
  <c r="P1569" i="6"/>
  <c r="A1569" i="6"/>
  <c r="O1568" i="6"/>
  <c r="N1568" i="6"/>
  <c r="N1614" i="6" s="1"/>
  <c r="N1660" i="6" s="1"/>
  <c r="M1568" i="6"/>
  <c r="M1614" i="6" s="1"/>
  <c r="M1660" i="6" s="1"/>
  <c r="J1568" i="6"/>
  <c r="I1568" i="6"/>
  <c r="F1568" i="6"/>
  <c r="F1614" i="6" s="1"/>
  <c r="B1568" i="6"/>
  <c r="A1568" i="6"/>
  <c r="O1567" i="6"/>
  <c r="N1567" i="6"/>
  <c r="N1613" i="6" s="1"/>
  <c r="N1659" i="6" s="1"/>
  <c r="M1567" i="6"/>
  <c r="M1613" i="6" s="1"/>
  <c r="M1659" i="6" s="1"/>
  <c r="J1567" i="6"/>
  <c r="I1567" i="6"/>
  <c r="F1567" i="6"/>
  <c r="F1613" i="6" s="1"/>
  <c r="A1567" i="6"/>
  <c r="O1566" i="6"/>
  <c r="N1566" i="6"/>
  <c r="N1612" i="6" s="1"/>
  <c r="N1658" i="6" s="1"/>
  <c r="M1566" i="6"/>
  <c r="M1612" i="6" s="1"/>
  <c r="M1658" i="6" s="1"/>
  <c r="J1566" i="6"/>
  <c r="I1566" i="6"/>
  <c r="F1566" i="6"/>
  <c r="F1612" i="6" s="1"/>
  <c r="A1566" i="6"/>
  <c r="O1565" i="6"/>
  <c r="N1565" i="6"/>
  <c r="N1611" i="6" s="1"/>
  <c r="N1657" i="6" s="1"/>
  <c r="M1565" i="6"/>
  <c r="M1611" i="6" s="1"/>
  <c r="M1657" i="6" s="1"/>
  <c r="J1565" i="6"/>
  <c r="I1565" i="6"/>
  <c r="F1565" i="6"/>
  <c r="A1565" i="6"/>
  <c r="O1564" i="6"/>
  <c r="N1564" i="6"/>
  <c r="N1610" i="6" s="1"/>
  <c r="N1656" i="6" s="1"/>
  <c r="M1564" i="6"/>
  <c r="M1610" i="6" s="1"/>
  <c r="M1656" i="6" s="1"/>
  <c r="J1564" i="6"/>
  <c r="B1564" i="6" s="1"/>
  <c r="I1564" i="6"/>
  <c r="F1564" i="6"/>
  <c r="F1610" i="6" s="1"/>
  <c r="A1564" i="6"/>
  <c r="O1563" i="6"/>
  <c r="N1563" i="6"/>
  <c r="N1609" i="6" s="1"/>
  <c r="N1655" i="6" s="1"/>
  <c r="M1563" i="6"/>
  <c r="M1609" i="6" s="1"/>
  <c r="M1655" i="6" s="1"/>
  <c r="J1563" i="6"/>
  <c r="I1563" i="6"/>
  <c r="F1563" i="6"/>
  <c r="F1609" i="6" s="1"/>
  <c r="A1563" i="6"/>
  <c r="O1562" i="6"/>
  <c r="N1562" i="6"/>
  <c r="N1608" i="6" s="1"/>
  <c r="N1654" i="6" s="1"/>
  <c r="M1562" i="6"/>
  <c r="M1608" i="6" s="1"/>
  <c r="M1654" i="6" s="1"/>
  <c r="J1562" i="6"/>
  <c r="I1562" i="6"/>
  <c r="F1562" i="6"/>
  <c r="F1608" i="6" s="1"/>
  <c r="A1562" i="6"/>
  <c r="O1561" i="6"/>
  <c r="N1561" i="6"/>
  <c r="N1607" i="6" s="1"/>
  <c r="N1653" i="6" s="1"/>
  <c r="M1561" i="6"/>
  <c r="M1607" i="6" s="1"/>
  <c r="M1653" i="6" s="1"/>
  <c r="J1561" i="6"/>
  <c r="I1561" i="6"/>
  <c r="F1561" i="6"/>
  <c r="F1607" i="6" s="1"/>
  <c r="A1561" i="6"/>
  <c r="O1560" i="6"/>
  <c r="N1560" i="6"/>
  <c r="N1606" i="6" s="1"/>
  <c r="N1652" i="6" s="1"/>
  <c r="M1560" i="6"/>
  <c r="M1606" i="6" s="1"/>
  <c r="M1652" i="6" s="1"/>
  <c r="J1560" i="6"/>
  <c r="I1560" i="6"/>
  <c r="F1560" i="6"/>
  <c r="F1606" i="6" s="1"/>
  <c r="B1560" i="6"/>
  <c r="A1560" i="6"/>
  <c r="O1559" i="6"/>
  <c r="N1559" i="6"/>
  <c r="N1605" i="6" s="1"/>
  <c r="N1651" i="6" s="1"/>
  <c r="M1559" i="6"/>
  <c r="M1605" i="6" s="1"/>
  <c r="M1651" i="6" s="1"/>
  <c r="J1559" i="6"/>
  <c r="I1559" i="6"/>
  <c r="F1559" i="6"/>
  <c r="F1605" i="6" s="1"/>
  <c r="B1559" i="6"/>
  <c r="A1559" i="6"/>
  <c r="O1558" i="6"/>
  <c r="N1558" i="6"/>
  <c r="N1604" i="6" s="1"/>
  <c r="N1650" i="6" s="1"/>
  <c r="M1558" i="6"/>
  <c r="M1604" i="6" s="1"/>
  <c r="M1650" i="6" s="1"/>
  <c r="J1558" i="6"/>
  <c r="I1558" i="6"/>
  <c r="F1558" i="6"/>
  <c r="F1604" i="6" s="1"/>
  <c r="A1558" i="6"/>
  <c r="O1557" i="6"/>
  <c r="N1557" i="6"/>
  <c r="N1603" i="6" s="1"/>
  <c r="N1649" i="6" s="1"/>
  <c r="M1557" i="6"/>
  <c r="M1603" i="6" s="1"/>
  <c r="M1649" i="6" s="1"/>
  <c r="J1557" i="6"/>
  <c r="I1557" i="6"/>
  <c r="F1557" i="6"/>
  <c r="F1603" i="6" s="1"/>
  <c r="B1557" i="6"/>
  <c r="A1557" i="6"/>
  <c r="O1556" i="6"/>
  <c r="N1556" i="6"/>
  <c r="N1602" i="6" s="1"/>
  <c r="N1648" i="6" s="1"/>
  <c r="M1556" i="6"/>
  <c r="M1602" i="6" s="1"/>
  <c r="M1648" i="6" s="1"/>
  <c r="J1556" i="6"/>
  <c r="I1556" i="6"/>
  <c r="F1556" i="6"/>
  <c r="A1556" i="6"/>
  <c r="O1555" i="6"/>
  <c r="N1555" i="6"/>
  <c r="N1601" i="6" s="1"/>
  <c r="N1647" i="6" s="1"/>
  <c r="M1555" i="6"/>
  <c r="M1601" i="6" s="1"/>
  <c r="M1647" i="6" s="1"/>
  <c r="J1555" i="6"/>
  <c r="B1555" i="6" s="1"/>
  <c r="I1555" i="6"/>
  <c r="F1555" i="6"/>
  <c r="F1601" i="6" s="1"/>
  <c r="A1555" i="6"/>
  <c r="O1554" i="6"/>
  <c r="N1554" i="6"/>
  <c r="N1600" i="6" s="1"/>
  <c r="N1646" i="6" s="1"/>
  <c r="M1554" i="6"/>
  <c r="M1600" i="6" s="1"/>
  <c r="M1646" i="6" s="1"/>
  <c r="J1554" i="6"/>
  <c r="I1554" i="6"/>
  <c r="F1554" i="6"/>
  <c r="F1600" i="6" s="1"/>
  <c r="A1554" i="6"/>
  <c r="O1553" i="6"/>
  <c r="N1553" i="6"/>
  <c r="N1599" i="6" s="1"/>
  <c r="N1645" i="6" s="1"/>
  <c r="M1553" i="6"/>
  <c r="M1599" i="6" s="1"/>
  <c r="M1645" i="6" s="1"/>
  <c r="J1553" i="6"/>
  <c r="I1553" i="6"/>
  <c r="H1553" i="6"/>
  <c r="H1599" i="6" s="1"/>
  <c r="H1645" i="6" s="1"/>
  <c r="F1553" i="6"/>
  <c r="F1599" i="6" s="1"/>
  <c r="B1553" i="6"/>
  <c r="A1553" i="6"/>
  <c r="O1552" i="6"/>
  <c r="N1552" i="6"/>
  <c r="N1598" i="6" s="1"/>
  <c r="N1644" i="6" s="1"/>
  <c r="M1552" i="6"/>
  <c r="M1598" i="6" s="1"/>
  <c r="M1644" i="6" s="1"/>
  <c r="J1552" i="6"/>
  <c r="I1552" i="6"/>
  <c r="F1552" i="6"/>
  <c r="A1552" i="6"/>
  <c r="O1551" i="6"/>
  <c r="N1551" i="6"/>
  <c r="N1597" i="6" s="1"/>
  <c r="N1643" i="6" s="1"/>
  <c r="M1551" i="6"/>
  <c r="M1597" i="6" s="1"/>
  <c r="M1643" i="6" s="1"/>
  <c r="J1551" i="6"/>
  <c r="B1551" i="6" s="1"/>
  <c r="I1551" i="6"/>
  <c r="F1551" i="6"/>
  <c r="F1597" i="6" s="1"/>
  <c r="A1551" i="6"/>
  <c r="O1550" i="6"/>
  <c r="N1550" i="6"/>
  <c r="N1596" i="6" s="1"/>
  <c r="N1642" i="6" s="1"/>
  <c r="M1550" i="6"/>
  <c r="M1596" i="6" s="1"/>
  <c r="M1642" i="6" s="1"/>
  <c r="J1550" i="6"/>
  <c r="I1550" i="6"/>
  <c r="F1550" i="6"/>
  <c r="F1596" i="6" s="1"/>
  <c r="A1550" i="6"/>
  <c r="O1549" i="6"/>
  <c r="N1549" i="6"/>
  <c r="N1595" i="6" s="1"/>
  <c r="N1641" i="6" s="1"/>
  <c r="M1549" i="6"/>
  <c r="M1595" i="6" s="1"/>
  <c r="M1641" i="6" s="1"/>
  <c r="J1549" i="6"/>
  <c r="I1549" i="6"/>
  <c r="F1549" i="6"/>
  <c r="F1595" i="6" s="1"/>
  <c r="B1549" i="6"/>
  <c r="A1549" i="6"/>
  <c r="O1548" i="6"/>
  <c r="N1548" i="6"/>
  <c r="N1594" i="6" s="1"/>
  <c r="N1640" i="6" s="1"/>
  <c r="M1548" i="6"/>
  <c r="M1594" i="6" s="1"/>
  <c r="M1640" i="6" s="1"/>
  <c r="J1548" i="6"/>
  <c r="I1548" i="6"/>
  <c r="F1548" i="6"/>
  <c r="A1548" i="6"/>
  <c r="O1547" i="6"/>
  <c r="N1547" i="6"/>
  <c r="N1593" i="6" s="1"/>
  <c r="N1639" i="6" s="1"/>
  <c r="M1547" i="6"/>
  <c r="M1593" i="6" s="1"/>
  <c r="M1639" i="6" s="1"/>
  <c r="J1547" i="6"/>
  <c r="B1547" i="6" s="1"/>
  <c r="I1547" i="6"/>
  <c r="F1547" i="6"/>
  <c r="F1593" i="6" s="1"/>
  <c r="A1547" i="6"/>
  <c r="O1546" i="6"/>
  <c r="N1546" i="6"/>
  <c r="N1592" i="6" s="1"/>
  <c r="N1638" i="6" s="1"/>
  <c r="M1546" i="6"/>
  <c r="M1592" i="6" s="1"/>
  <c r="M1638" i="6" s="1"/>
  <c r="J1546" i="6"/>
  <c r="I1546" i="6"/>
  <c r="F1546" i="6"/>
  <c r="F1592" i="6" s="1"/>
  <c r="A1546" i="6"/>
  <c r="O1545" i="6"/>
  <c r="N1545" i="6"/>
  <c r="N1591" i="6" s="1"/>
  <c r="N1637" i="6" s="1"/>
  <c r="M1545" i="6"/>
  <c r="M1591" i="6" s="1"/>
  <c r="M1637" i="6" s="1"/>
  <c r="J1545" i="6"/>
  <c r="I1545" i="6"/>
  <c r="F1545" i="6"/>
  <c r="F1591" i="6" s="1"/>
  <c r="B1545" i="6"/>
  <c r="A1545" i="6"/>
  <c r="O1544" i="6"/>
  <c r="N1544" i="6"/>
  <c r="N1590" i="6" s="1"/>
  <c r="N1636" i="6" s="1"/>
  <c r="M1544" i="6"/>
  <c r="M1590" i="6" s="1"/>
  <c r="M1636" i="6" s="1"/>
  <c r="J1544" i="6"/>
  <c r="I1544" i="6"/>
  <c r="F1544" i="6"/>
  <c r="A1544" i="6"/>
  <c r="O1543" i="6"/>
  <c r="N1543" i="6"/>
  <c r="N1589" i="6" s="1"/>
  <c r="N1635" i="6" s="1"/>
  <c r="M1543" i="6"/>
  <c r="M1589" i="6" s="1"/>
  <c r="M1635" i="6" s="1"/>
  <c r="J1543" i="6"/>
  <c r="B1543" i="6" s="1"/>
  <c r="I1543" i="6"/>
  <c r="F1543" i="6"/>
  <c r="F1589" i="6" s="1"/>
  <c r="A1543" i="6"/>
  <c r="O1542" i="6"/>
  <c r="N1542" i="6"/>
  <c r="N1588" i="6" s="1"/>
  <c r="N1634" i="6" s="1"/>
  <c r="M1542" i="6"/>
  <c r="M1588" i="6" s="1"/>
  <c r="M1634" i="6" s="1"/>
  <c r="J1542" i="6"/>
  <c r="I1542" i="6"/>
  <c r="F1542" i="6"/>
  <c r="F1588" i="6" s="1"/>
  <c r="A1542" i="6"/>
  <c r="O1541" i="6"/>
  <c r="N1541" i="6"/>
  <c r="N1587" i="6" s="1"/>
  <c r="N1633" i="6" s="1"/>
  <c r="M1541" i="6"/>
  <c r="M1587" i="6" s="1"/>
  <c r="M1633" i="6" s="1"/>
  <c r="J1541" i="6"/>
  <c r="I1541" i="6"/>
  <c r="F1541" i="6"/>
  <c r="F1587" i="6" s="1"/>
  <c r="B1541" i="6"/>
  <c r="A1541" i="6"/>
  <c r="O1540" i="6"/>
  <c r="N1540" i="6"/>
  <c r="N1586" i="6" s="1"/>
  <c r="N1632" i="6" s="1"/>
  <c r="M1540" i="6"/>
  <c r="M1586" i="6" s="1"/>
  <c r="M1632" i="6" s="1"/>
  <c r="J1540" i="6"/>
  <c r="I1540" i="6"/>
  <c r="F1540" i="6"/>
  <c r="A1540" i="6"/>
  <c r="O1539" i="6"/>
  <c r="N1539" i="6"/>
  <c r="N1585" i="6" s="1"/>
  <c r="N1631" i="6" s="1"/>
  <c r="M1539" i="6"/>
  <c r="M1585" i="6" s="1"/>
  <c r="M1631" i="6" s="1"/>
  <c r="J1539" i="6"/>
  <c r="I1539" i="6"/>
  <c r="F1539" i="6"/>
  <c r="F1585" i="6" s="1"/>
  <c r="A1539" i="6"/>
  <c r="O1538" i="6"/>
  <c r="N1538" i="6"/>
  <c r="N1584" i="6" s="1"/>
  <c r="N1630" i="6" s="1"/>
  <c r="M1538" i="6"/>
  <c r="M1584" i="6" s="1"/>
  <c r="M1630" i="6" s="1"/>
  <c r="J1538" i="6"/>
  <c r="I1538" i="6"/>
  <c r="F1538" i="6"/>
  <c r="F1584" i="6" s="1"/>
  <c r="A1538" i="6"/>
  <c r="O1537" i="6"/>
  <c r="N1537" i="6"/>
  <c r="N1583" i="6" s="1"/>
  <c r="N1629" i="6" s="1"/>
  <c r="M1537" i="6"/>
  <c r="M1583" i="6" s="1"/>
  <c r="M1629" i="6" s="1"/>
  <c r="J1537" i="6"/>
  <c r="I1537" i="6"/>
  <c r="H1537" i="6"/>
  <c r="H1583" i="6" s="1"/>
  <c r="H1629" i="6" s="1"/>
  <c r="F1537" i="6"/>
  <c r="F1583" i="6" s="1"/>
  <c r="B1537" i="6"/>
  <c r="A1537" i="6"/>
  <c r="O1536" i="6"/>
  <c r="N1536" i="6"/>
  <c r="N1582" i="6" s="1"/>
  <c r="N1628" i="6" s="1"/>
  <c r="M1536" i="6"/>
  <c r="M1582" i="6" s="1"/>
  <c r="M1628" i="6" s="1"/>
  <c r="J1536" i="6"/>
  <c r="I1536" i="6"/>
  <c r="F1536" i="6"/>
  <c r="A1536" i="6"/>
  <c r="O1535" i="6"/>
  <c r="N1535" i="6"/>
  <c r="N1581" i="6" s="1"/>
  <c r="N1627" i="6" s="1"/>
  <c r="M1535" i="6"/>
  <c r="M1581" i="6" s="1"/>
  <c r="M1627" i="6" s="1"/>
  <c r="J1535" i="6"/>
  <c r="I1535" i="6"/>
  <c r="F1535" i="6"/>
  <c r="F1581" i="6" s="1"/>
  <c r="A1535" i="6"/>
  <c r="O1534" i="6"/>
  <c r="N1534" i="6"/>
  <c r="N1580" i="6" s="1"/>
  <c r="N1626" i="6" s="1"/>
  <c r="M1534" i="6"/>
  <c r="M1580" i="6" s="1"/>
  <c r="M1626" i="6" s="1"/>
  <c r="J1534" i="6"/>
  <c r="I1534" i="6"/>
  <c r="F1534" i="6"/>
  <c r="F1580" i="6" s="1"/>
  <c r="A1534" i="6"/>
  <c r="O1533" i="6"/>
  <c r="N1533" i="6"/>
  <c r="N1579" i="6" s="1"/>
  <c r="N1625" i="6" s="1"/>
  <c r="M1533" i="6"/>
  <c r="M1579" i="6" s="1"/>
  <c r="M1625" i="6" s="1"/>
  <c r="J1533" i="6"/>
  <c r="I1533" i="6"/>
  <c r="F1533" i="6"/>
  <c r="F1579" i="6" s="1"/>
  <c r="B1533" i="6"/>
  <c r="A1533" i="6"/>
  <c r="O1532" i="6"/>
  <c r="N1532" i="6"/>
  <c r="N1578" i="6" s="1"/>
  <c r="N1624" i="6" s="1"/>
  <c r="M1532" i="6"/>
  <c r="M1578" i="6" s="1"/>
  <c r="M1624" i="6" s="1"/>
  <c r="J1532" i="6"/>
  <c r="I1532" i="6"/>
  <c r="F1532" i="6"/>
  <c r="A1532" i="6"/>
  <c r="O1531" i="6"/>
  <c r="O1577" i="6" s="1"/>
  <c r="O1623" i="6" s="1"/>
  <c r="N1531" i="6"/>
  <c r="N1577" i="6" s="1"/>
  <c r="N1623" i="6" s="1"/>
  <c r="M1531" i="6"/>
  <c r="M1577" i="6" s="1"/>
  <c r="M1623" i="6" s="1"/>
  <c r="J1531" i="6"/>
  <c r="J1577" i="6" s="1"/>
  <c r="J1623" i="6" s="1"/>
  <c r="D1623" i="6" s="1"/>
  <c r="I1531" i="6"/>
  <c r="I1577" i="6" s="1"/>
  <c r="F1531" i="6"/>
  <c r="F1577" i="6" s="1"/>
  <c r="D1531" i="6"/>
  <c r="B1531" i="6"/>
  <c r="A1531" i="6"/>
  <c r="O1530" i="6"/>
  <c r="O1576" i="6" s="1"/>
  <c r="O1622" i="6" s="1"/>
  <c r="N1530" i="6"/>
  <c r="N1576" i="6" s="1"/>
  <c r="N1622" i="6" s="1"/>
  <c r="M1530" i="6"/>
  <c r="M1576" i="6" s="1"/>
  <c r="M1622" i="6" s="1"/>
  <c r="J1530" i="6"/>
  <c r="J1576" i="6" s="1"/>
  <c r="J1622" i="6" s="1"/>
  <c r="D1622" i="6" s="1"/>
  <c r="I1530" i="6"/>
  <c r="I1576" i="6" s="1"/>
  <c r="H1530" i="6"/>
  <c r="H1576" i="6" s="1"/>
  <c r="G1530" i="6"/>
  <c r="G1576" i="6" s="1"/>
  <c r="G1622" i="6" s="1"/>
  <c r="F1530" i="6"/>
  <c r="F1576" i="6" s="1"/>
  <c r="D1530" i="6"/>
  <c r="B1530" i="6"/>
  <c r="A1530" i="6"/>
  <c r="O1529" i="6"/>
  <c r="O1575" i="6" s="1"/>
  <c r="O1621" i="6" s="1"/>
  <c r="N1529" i="6"/>
  <c r="N1575" i="6" s="1"/>
  <c r="N1621" i="6" s="1"/>
  <c r="M1529" i="6"/>
  <c r="M1575" i="6" s="1"/>
  <c r="M1621" i="6" s="1"/>
  <c r="J1529" i="6"/>
  <c r="J1575" i="6" s="1"/>
  <c r="J1621" i="6" s="1"/>
  <c r="D1621" i="6" s="1"/>
  <c r="I1529" i="6"/>
  <c r="H1529" i="6"/>
  <c r="H1575" i="6" s="1"/>
  <c r="H1621" i="6" s="1"/>
  <c r="G1529" i="6"/>
  <c r="G1575" i="6" s="1"/>
  <c r="G1621" i="6" s="1"/>
  <c r="F1529" i="6"/>
  <c r="F1575" i="6" s="1"/>
  <c r="D1529" i="6"/>
  <c r="B1529" i="6"/>
  <c r="A1529" i="6"/>
  <c r="O1528" i="6"/>
  <c r="O1574" i="6" s="1"/>
  <c r="O1620" i="6" s="1"/>
  <c r="N1528" i="6"/>
  <c r="N1574" i="6" s="1"/>
  <c r="N1620" i="6" s="1"/>
  <c r="M1528" i="6"/>
  <c r="M1574" i="6" s="1"/>
  <c r="M1620" i="6" s="1"/>
  <c r="J1528" i="6"/>
  <c r="J1574" i="6" s="1"/>
  <c r="J1620" i="6" s="1"/>
  <c r="D1620" i="6" s="1"/>
  <c r="I1528" i="6"/>
  <c r="F1528" i="6"/>
  <c r="F1574" i="6" s="1"/>
  <c r="D1528" i="6"/>
  <c r="B1528" i="6"/>
  <c r="A1528" i="6"/>
  <c r="O1527" i="6"/>
  <c r="O1573" i="6" s="1"/>
  <c r="O1619" i="6" s="1"/>
  <c r="N1527" i="6"/>
  <c r="N1573" i="6" s="1"/>
  <c r="N1619" i="6" s="1"/>
  <c r="M1527" i="6"/>
  <c r="M1573" i="6" s="1"/>
  <c r="M1619" i="6" s="1"/>
  <c r="J1527" i="6"/>
  <c r="J1573" i="6" s="1"/>
  <c r="J1619" i="6" s="1"/>
  <c r="D1619" i="6" s="1"/>
  <c r="I1527" i="6"/>
  <c r="F1527" i="6"/>
  <c r="F1573" i="6" s="1"/>
  <c r="D1527" i="6"/>
  <c r="B1527" i="6"/>
  <c r="A1527" i="6"/>
  <c r="O1526" i="6"/>
  <c r="O1572" i="6" s="1"/>
  <c r="O1618" i="6" s="1"/>
  <c r="N1526" i="6"/>
  <c r="N1572" i="6" s="1"/>
  <c r="N1618" i="6" s="1"/>
  <c r="M1526" i="6"/>
  <c r="M1572" i="6" s="1"/>
  <c r="M1618" i="6" s="1"/>
  <c r="J1526" i="6"/>
  <c r="J1572" i="6" s="1"/>
  <c r="J1618" i="6" s="1"/>
  <c r="D1618" i="6" s="1"/>
  <c r="I1526" i="6"/>
  <c r="AA1526" i="6" s="1"/>
  <c r="F1526" i="6"/>
  <c r="F1572" i="6" s="1"/>
  <c r="D1526" i="6"/>
  <c r="B1526" i="6"/>
  <c r="A1526" i="6"/>
  <c r="O1525" i="6"/>
  <c r="O1571" i="6" s="1"/>
  <c r="O1617" i="6" s="1"/>
  <c r="N1525" i="6"/>
  <c r="N1571" i="6" s="1"/>
  <c r="N1617" i="6" s="1"/>
  <c r="M1525" i="6"/>
  <c r="M1571" i="6" s="1"/>
  <c r="M1617" i="6" s="1"/>
  <c r="J1525" i="6"/>
  <c r="J1571" i="6" s="1"/>
  <c r="J1617" i="6" s="1"/>
  <c r="D1617" i="6" s="1"/>
  <c r="I1525" i="6"/>
  <c r="F1525" i="6"/>
  <c r="F1571" i="6" s="1"/>
  <c r="D1525" i="6"/>
  <c r="B1525" i="6"/>
  <c r="A1525" i="6"/>
  <c r="O1524" i="6"/>
  <c r="O1570" i="6" s="1"/>
  <c r="O1616" i="6" s="1"/>
  <c r="N1524" i="6"/>
  <c r="N1570" i="6" s="1"/>
  <c r="N1616" i="6" s="1"/>
  <c r="M1524" i="6"/>
  <c r="M1570" i="6" s="1"/>
  <c r="M1616" i="6" s="1"/>
  <c r="J1524" i="6"/>
  <c r="J1570" i="6" s="1"/>
  <c r="J1616" i="6" s="1"/>
  <c r="D1616" i="6" s="1"/>
  <c r="I1524" i="6"/>
  <c r="H1524" i="6"/>
  <c r="H1570" i="6" s="1"/>
  <c r="G1524" i="6"/>
  <c r="G1570" i="6" s="1"/>
  <c r="G1616" i="6" s="1"/>
  <c r="F1524" i="6"/>
  <c r="F1570" i="6" s="1"/>
  <c r="D1524" i="6"/>
  <c r="B1524" i="6"/>
  <c r="A1524" i="6"/>
  <c r="AA1523" i="6"/>
  <c r="Z1523" i="6"/>
  <c r="Y1523" i="6"/>
  <c r="X1523" i="6"/>
  <c r="W1523" i="6"/>
  <c r="V1523" i="6"/>
  <c r="U1523" i="6"/>
  <c r="T1523" i="6"/>
  <c r="S1523" i="6"/>
  <c r="R1523" i="6"/>
  <c r="Q1523" i="6"/>
  <c r="P1523" i="6"/>
  <c r="AQ1519" i="6"/>
  <c r="AP1519" i="6"/>
  <c r="AO1519" i="6"/>
  <c r="AN1519" i="6"/>
  <c r="AM1519" i="6"/>
  <c r="AK1519" i="6"/>
  <c r="AI1519" i="6"/>
  <c r="AH1519" i="6"/>
  <c r="AG1519" i="6"/>
  <c r="AF1519" i="6"/>
  <c r="Y1519" i="6"/>
  <c r="X1519" i="6"/>
  <c r="U1519" i="6"/>
  <c r="Q1519" i="6"/>
  <c r="P1519" i="6"/>
  <c r="O1519" i="6"/>
  <c r="N1519" i="6"/>
  <c r="M1519" i="6"/>
  <c r="L1519" i="6"/>
  <c r="AL1519" i="6" s="1"/>
  <c r="K1519" i="6"/>
  <c r="J1519" i="6"/>
  <c r="I1519" i="6"/>
  <c r="F1519" i="6"/>
  <c r="B1519" i="6"/>
  <c r="AO1518" i="6"/>
  <c r="AN1518" i="6"/>
  <c r="AK1518" i="6"/>
  <c r="AG1518" i="6"/>
  <c r="AF1518" i="6"/>
  <c r="AA1518" i="6"/>
  <c r="W1518" i="6"/>
  <c r="V1518" i="6"/>
  <c r="T1518" i="6"/>
  <c r="S1518" i="6"/>
  <c r="O1518" i="6"/>
  <c r="N1518" i="6"/>
  <c r="M1518" i="6"/>
  <c r="U1518" i="6" s="1"/>
  <c r="L1518" i="6"/>
  <c r="AM1518" i="6" s="1"/>
  <c r="K1518" i="6"/>
  <c r="J1518" i="6"/>
  <c r="I1518" i="6"/>
  <c r="G1518" i="6"/>
  <c r="F1518" i="6"/>
  <c r="AQ1517" i="6"/>
  <c r="AM1517" i="6"/>
  <c r="AL1517" i="6"/>
  <c r="AI1517" i="6"/>
  <c r="Y1517" i="6"/>
  <c r="O1517" i="6"/>
  <c r="N1517" i="6"/>
  <c r="M1517" i="6"/>
  <c r="L1517" i="6"/>
  <c r="J1517" i="6"/>
  <c r="K1517" i="6" s="1"/>
  <c r="I1517" i="6"/>
  <c r="F1517" i="6"/>
  <c r="B1517" i="6"/>
  <c r="AA1516" i="6"/>
  <c r="Z1516" i="6"/>
  <c r="Y1516" i="6"/>
  <c r="X1516" i="6"/>
  <c r="W1516" i="6"/>
  <c r="S1516" i="6"/>
  <c r="R1516" i="6"/>
  <c r="Q1516" i="6"/>
  <c r="P1516" i="6"/>
  <c r="O1516" i="6"/>
  <c r="N1516" i="6"/>
  <c r="M1516" i="6"/>
  <c r="V1516" i="6" s="1"/>
  <c r="J1516" i="6"/>
  <c r="I1516" i="6"/>
  <c r="G1516" i="6"/>
  <c r="F1516" i="6"/>
  <c r="AQ1515" i="6"/>
  <c r="AP1515" i="6"/>
  <c r="AO1515" i="6"/>
  <c r="AN1515" i="6"/>
  <c r="AM1515" i="6"/>
  <c r="AK1515" i="6"/>
  <c r="AI1515" i="6"/>
  <c r="AH1515" i="6"/>
  <c r="AG1515" i="6"/>
  <c r="AF1515" i="6"/>
  <c r="Y1515" i="6"/>
  <c r="X1515" i="6"/>
  <c r="Q1515" i="6"/>
  <c r="P1515" i="6"/>
  <c r="O1515" i="6"/>
  <c r="N1515" i="6"/>
  <c r="M1515" i="6"/>
  <c r="U1515" i="6" s="1"/>
  <c r="L1515" i="6"/>
  <c r="AL1515" i="6" s="1"/>
  <c r="K1515" i="6"/>
  <c r="J1515" i="6"/>
  <c r="I1515" i="6"/>
  <c r="F1515" i="6"/>
  <c r="B1515" i="6"/>
  <c r="AO1514" i="6"/>
  <c r="AN1514" i="6"/>
  <c r="AK1514" i="6"/>
  <c r="AG1514" i="6"/>
  <c r="AF1514" i="6"/>
  <c r="AA1514" i="6"/>
  <c r="W1514" i="6"/>
  <c r="V1514" i="6"/>
  <c r="T1514" i="6"/>
  <c r="S1514" i="6"/>
  <c r="O1514" i="6"/>
  <c r="N1514" i="6"/>
  <c r="M1514" i="6"/>
  <c r="U1514" i="6" s="1"/>
  <c r="L1514" i="6"/>
  <c r="AM1514" i="6" s="1"/>
  <c r="K1514" i="6"/>
  <c r="J1514" i="6"/>
  <c r="I1514" i="6"/>
  <c r="F1514" i="6"/>
  <c r="AM1513" i="6"/>
  <c r="Y1513" i="6"/>
  <c r="T1513" i="6"/>
  <c r="R1513" i="6"/>
  <c r="Q1513" i="6"/>
  <c r="O1513" i="6"/>
  <c r="N1513" i="6"/>
  <c r="M1513" i="6"/>
  <c r="U1513" i="6" s="1"/>
  <c r="L1513" i="6"/>
  <c r="AQ1513" i="6" s="1"/>
  <c r="J1513" i="6"/>
  <c r="K1513" i="6" s="1"/>
  <c r="I1513" i="6"/>
  <c r="F1513" i="6"/>
  <c r="B1513" i="6"/>
  <c r="AA1512" i="6"/>
  <c r="Z1512" i="6"/>
  <c r="Y1512" i="6"/>
  <c r="X1512" i="6"/>
  <c r="W1512" i="6"/>
  <c r="S1512" i="6"/>
  <c r="R1512" i="6"/>
  <c r="Q1512" i="6"/>
  <c r="P1512" i="6"/>
  <c r="O1512" i="6"/>
  <c r="N1512" i="6"/>
  <c r="M1512" i="6"/>
  <c r="V1512" i="6" s="1"/>
  <c r="K1512" i="6"/>
  <c r="J1512" i="6"/>
  <c r="I1512" i="6"/>
  <c r="F1512" i="6"/>
  <c r="AQ1511" i="6"/>
  <c r="AP1511" i="6"/>
  <c r="AO1511" i="6"/>
  <c r="AN1511" i="6"/>
  <c r="AM1511" i="6"/>
  <c r="AK1511" i="6"/>
  <c r="AI1511" i="6"/>
  <c r="AH1511" i="6"/>
  <c r="AG1511" i="6"/>
  <c r="AF1511" i="6"/>
  <c r="X1511" i="6"/>
  <c r="V1511" i="6"/>
  <c r="U1511" i="6"/>
  <c r="Q1511" i="6"/>
  <c r="P1511" i="6"/>
  <c r="O1511" i="6"/>
  <c r="N1511" i="6"/>
  <c r="M1511" i="6"/>
  <c r="L1511" i="6"/>
  <c r="AL1511" i="6" s="1"/>
  <c r="K1511" i="6"/>
  <c r="J1511" i="6"/>
  <c r="I1511" i="6"/>
  <c r="F1511" i="6"/>
  <c r="B1511" i="6"/>
  <c r="AN1510" i="6"/>
  <c r="AA1510" i="6"/>
  <c r="W1510" i="6"/>
  <c r="V1510" i="6"/>
  <c r="T1510" i="6"/>
  <c r="S1510" i="6"/>
  <c r="O1510" i="6"/>
  <c r="N1510" i="6"/>
  <c r="M1510" i="6"/>
  <c r="U1510" i="6" s="1"/>
  <c r="L1510" i="6"/>
  <c r="AO1510" i="6" s="1"/>
  <c r="K1510" i="6"/>
  <c r="J1510" i="6"/>
  <c r="I1510" i="6"/>
  <c r="F1510" i="6"/>
  <c r="AA1509" i="6"/>
  <c r="Z1509" i="6"/>
  <c r="U1509" i="6"/>
  <c r="T1509" i="6"/>
  <c r="S1509" i="6"/>
  <c r="R1509" i="6"/>
  <c r="Q1509" i="6"/>
  <c r="O1509" i="6"/>
  <c r="N1509" i="6"/>
  <c r="M1509" i="6"/>
  <c r="L1509" i="6"/>
  <c r="K1509" i="6"/>
  <c r="J1509" i="6"/>
  <c r="I1509" i="6"/>
  <c r="F1509" i="6"/>
  <c r="AA1508" i="6"/>
  <c r="Z1508" i="6"/>
  <c r="Y1508" i="6"/>
  <c r="X1508" i="6"/>
  <c r="W1508" i="6"/>
  <c r="S1508" i="6"/>
  <c r="R1508" i="6"/>
  <c r="Q1508" i="6"/>
  <c r="P1508" i="6"/>
  <c r="O1508" i="6"/>
  <c r="N1508" i="6"/>
  <c r="M1508" i="6"/>
  <c r="V1508" i="6" s="1"/>
  <c r="K1508" i="6"/>
  <c r="J1508" i="6"/>
  <c r="I1508" i="6"/>
  <c r="F1508" i="6"/>
  <c r="AQ1507" i="6"/>
  <c r="AP1507" i="6"/>
  <c r="AO1507" i="6"/>
  <c r="AN1507" i="6"/>
  <c r="AM1507" i="6"/>
  <c r="AK1507" i="6"/>
  <c r="AI1507" i="6"/>
  <c r="AH1507" i="6"/>
  <c r="AG1507" i="6"/>
  <c r="AF1507" i="6"/>
  <c r="W1507" i="6"/>
  <c r="U1507" i="6"/>
  <c r="Q1507" i="6"/>
  <c r="P1507" i="6"/>
  <c r="O1507" i="6"/>
  <c r="N1507" i="6"/>
  <c r="M1507" i="6"/>
  <c r="V1507" i="6" s="1"/>
  <c r="L1507" i="6"/>
  <c r="AL1507" i="6" s="1"/>
  <c r="K1507" i="6"/>
  <c r="J1507" i="6"/>
  <c r="I1507" i="6"/>
  <c r="F1507" i="6"/>
  <c r="B1507" i="6"/>
  <c r="AM1506" i="6"/>
  <c r="W1506" i="6"/>
  <c r="V1506" i="6"/>
  <c r="U1506" i="6"/>
  <c r="T1506" i="6"/>
  <c r="S1506" i="6"/>
  <c r="O1506" i="6"/>
  <c r="N1506" i="6"/>
  <c r="M1506" i="6"/>
  <c r="L1506" i="6"/>
  <c r="K1506" i="6"/>
  <c r="J1506" i="6"/>
  <c r="I1506" i="6"/>
  <c r="F1506" i="6"/>
  <c r="B1506" i="6"/>
  <c r="AA1505" i="6"/>
  <c r="Z1505" i="6"/>
  <c r="R1505" i="6"/>
  <c r="O1505" i="6"/>
  <c r="N1505" i="6"/>
  <c r="M1505" i="6"/>
  <c r="U1505" i="6" s="1"/>
  <c r="J1505" i="6"/>
  <c r="L1505" i="6" s="1"/>
  <c r="AQ1505" i="6" s="1"/>
  <c r="I1505" i="6"/>
  <c r="F1505" i="6"/>
  <c r="B1505" i="6"/>
  <c r="AA1504" i="6"/>
  <c r="Z1504" i="6"/>
  <c r="Y1504" i="6"/>
  <c r="X1504" i="6"/>
  <c r="W1504" i="6"/>
  <c r="S1504" i="6"/>
  <c r="R1504" i="6"/>
  <c r="Q1504" i="6"/>
  <c r="P1504" i="6"/>
  <c r="O1504" i="6"/>
  <c r="N1504" i="6"/>
  <c r="M1504" i="6"/>
  <c r="V1504" i="6" s="1"/>
  <c r="K1504" i="6"/>
  <c r="J1504" i="6"/>
  <c r="I1504" i="6"/>
  <c r="F1504" i="6"/>
  <c r="AQ1503" i="6"/>
  <c r="AP1503" i="6"/>
  <c r="AO1503" i="6"/>
  <c r="AN1503" i="6"/>
  <c r="AM1503" i="6"/>
  <c r="AK1503" i="6"/>
  <c r="AI1503" i="6"/>
  <c r="AH1503" i="6"/>
  <c r="AG1503" i="6"/>
  <c r="AF1503" i="6"/>
  <c r="O1503" i="6"/>
  <c r="N1503" i="6"/>
  <c r="M1503" i="6"/>
  <c r="L1503" i="6"/>
  <c r="AL1503" i="6" s="1"/>
  <c r="K1503" i="6"/>
  <c r="J1503" i="6"/>
  <c r="I1503" i="6"/>
  <c r="F1503" i="6"/>
  <c r="B1503" i="6"/>
  <c r="AO1502" i="6"/>
  <c r="AN1502" i="6"/>
  <c r="AK1502" i="6"/>
  <c r="AG1502" i="6"/>
  <c r="T1502" i="6"/>
  <c r="O1502" i="6"/>
  <c r="N1502" i="6"/>
  <c r="M1502" i="6"/>
  <c r="W1502" i="6" s="1"/>
  <c r="L1502" i="6"/>
  <c r="AL1502" i="6" s="1"/>
  <c r="K1502" i="6"/>
  <c r="J1502" i="6"/>
  <c r="I1502" i="6"/>
  <c r="F1502" i="6"/>
  <c r="B1502" i="6" s="1"/>
  <c r="U1501" i="6"/>
  <c r="S1501" i="6"/>
  <c r="R1501" i="6"/>
  <c r="Q1501" i="6"/>
  <c r="O1501" i="6"/>
  <c r="N1501" i="6"/>
  <c r="M1501" i="6"/>
  <c r="T1501" i="6" s="1"/>
  <c r="J1501" i="6"/>
  <c r="I1501" i="6"/>
  <c r="F1501" i="6"/>
  <c r="AA1500" i="6"/>
  <c r="Z1500" i="6"/>
  <c r="Y1500" i="6"/>
  <c r="X1500" i="6"/>
  <c r="W1500" i="6"/>
  <c r="S1500" i="6"/>
  <c r="R1500" i="6"/>
  <c r="Q1500" i="6"/>
  <c r="P1500" i="6"/>
  <c r="O1500" i="6"/>
  <c r="N1500" i="6"/>
  <c r="M1500" i="6"/>
  <c r="V1500" i="6" s="1"/>
  <c r="K1500" i="6"/>
  <c r="J1500" i="6"/>
  <c r="I1500" i="6"/>
  <c r="F1500" i="6"/>
  <c r="AQ1499" i="6"/>
  <c r="AP1499" i="6"/>
  <c r="AO1499" i="6"/>
  <c r="AN1499" i="6"/>
  <c r="AM1499" i="6"/>
  <c r="AK1499" i="6"/>
  <c r="AI1499" i="6"/>
  <c r="AH1499" i="6"/>
  <c r="AG1499" i="6"/>
  <c r="AF1499" i="6"/>
  <c r="Y1499" i="6"/>
  <c r="V1499" i="6"/>
  <c r="U1499" i="6"/>
  <c r="P1499" i="6"/>
  <c r="O1499" i="6"/>
  <c r="N1499" i="6"/>
  <c r="M1499" i="6"/>
  <c r="W1499" i="6" s="1"/>
  <c r="L1499" i="6"/>
  <c r="AL1499" i="6" s="1"/>
  <c r="K1499" i="6"/>
  <c r="J1499" i="6"/>
  <c r="I1499" i="6"/>
  <c r="F1499" i="6"/>
  <c r="B1499" i="6" s="1"/>
  <c r="AK1498" i="6"/>
  <c r="W1498" i="6"/>
  <c r="U1498" i="6"/>
  <c r="T1498" i="6"/>
  <c r="S1498" i="6"/>
  <c r="O1498" i="6"/>
  <c r="N1498" i="6"/>
  <c r="M1498" i="6"/>
  <c r="V1498" i="6" s="1"/>
  <c r="L1498" i="6"/>
  <c r="AL1498" i="6" s="1"/>
  <c r="K1498" i="6"/>
  <c r="J1498" i="6"/>
  <c r="I1498" i="6"/>
  <c r="F1498" i="6"/>
  <c r="AQ1497" i="6"/>
  <c r="AL1497" i="6"/>
  <c r="Y1497" i="6"/>
  <c r="O1497" i="6"/>
  <c r="N1497" i="6"/>
  <c r="M1497" i="6"/>
  <c r="L1497" i="6"/>
  <c r="AJ1497" i="6" s="1"/>
  <c r="K1497" i="6"/>
  <c r="J1497" i="6"/>
  <c r="I1497" i="6"/>
  <c r="F1497" i="6"/>
  <c r="B1497" i="6"/>
  <c r="AA1496" i="6"/>
  <c r="Z1496" i="6"/>
  <c r="Y1496" i="6"/>
  <c r="X1496" i="6"/>
  <c r="W1496" i="6"/>
  <c r="S1496" i="6"/>
  <c r="R1496" i="6"/>
  <c r="Q1496" i="6"/>
  <c r="P1496" i="6"/>
  <c r="O1496" i="6"/>
  <c r="N1496" i="6"/>
  <c r="M1496" i="6"/>
  <c r="V1496" i="6" s="1"/>
  <c r="J1496" i="6"/>
  <c r="I1496" i="6"/>
  <c r="G1496" i="6"/>
  <c r="F1496" i="6"/>
  <c r="AQ1495" i="6"/>
  <c r="AP1495" i="6"/>
  <c r="AO1495" i="6"/>
  <c r="AN1495" i="6"/>
  <c r="AM1495" i="6"/>
  <c r="AK1495" i="6"/>
  <c r="AI1495" i="6"/>
  <c r="AH1495" i="6"/>
  <c r="AG1495" i="6"/>
  <c r="AF1495" i="6"/>
  <c r="V1495" i="6"/>
  <c r="O1495" i="6"/>
  <c r="N1495" i="6"/>
  <c r="M1495" i="6"/>
  <c r="W1495" i="6" s="1"/>
  <c r="L1495" i="6"/>
  <c r="AL1495" i="6" s="1"/>
  <c r="K1495" i="6"/>
  <c r="J1495" i="6"/>
  <c r="I1495" i="6"/>
  <c r="F1495" i="6"/>
  <c r="B1495" i="6"/>
  <c r="AN1494" i="6"/>
  <c r="O1494" i="6"/>
  <c r="N1494" i="6"/>
  <c r="M1494" i="6"/>
  <c r="L1494" i="6"/>
  <c r="AL1494" i="6" s="1"/>
  <c r="K1494" i="6"/>
  <c r="J1494" i="6"/>
  <c r="I1494" i="6"/>
  <c r="F1494" i="6"/>
  <c r="AA1493" i="6"/>
  <c r="Z1493" i="6"/>
  <c r="T1493" i="6"/>
  <c r="S1493" i="6"/>
  <c r="Q1493" i="6"/>
  <c r="O1493" i="6"/>
  <c r="N1493" i="6"/>
  <c r="M1493" i="6"/>
  <c r="U1493" i="6" s="1"/>
  <c r="J1493" i="6"/>
  <c r="B1493" i="6" s="1"/>
  <c r="I1493" i="6"/>
  <c r="F1493" i="6"/>
  <c r="AA1492" i="6"/>
  <c r="Z1492" i="6"/>
  <c r="Y1492" i="6"/>
  <c r="X1492" i="6"/>
  <c r="W1492" i="6"/>
  <c r="S1492" i="6"/>
  <c r="R1492" i="6"/>
  <c r="Q1492" i="6"/>
  <c r="P1492" i="6"/>
  <c r="O1492" i="6"/>
  <c r="N1492" i="6"/>
  <c r="M1492" i="6"/>
  <c r="V1492" i="6" s="1"/>
  <c r="J1492" i="6"/>
  <c r="I1492" i="6"/>
  <c r="F1492" i="6"/>
  <c r="AQ1491" i="6"/>
  <c r="AP1491" i="6"/>
  <c r="AO1491" i="6"/>
  <c r="AN1491" i="6"/>
  <c r="AM1491" i="6"/>
  <c r="AK1491" i="6"/>
  <c r="AI1491" i="6"/>
  <c r="AH1491" i="6"/>
  <c r="AG1491" i="6"/>
  <c r="AF1491" i="6"/>
  <c r="Y1491" i="6"/>
  <c r="P1491" i="6"/>
  <c r="O1491" i="6"/>
  <c r="N1491" i="6"/>
  <c r="M1491" i="6"/>
  <c r="W1491" i="6" s="1"/>
  <c r="L1491" i="6"/>
  <c r="AL1491" i="6" s="1"/>
  <c r="K1491" i="6"/>
  <c r="J1491" i="6"/>
  <c r="I1491" i="6"/>
  <c r="F1491" i="6"/>
  <c r="AO1490" i="6"/>
  <c r="AN1490" i="6"/>
  <c r="AL1490" i="6"/>
  <c r="AK1490" i="6"/>
  <c r="AF1490" i="6"/>
  <c r="V1490" i="6"/>
  <c r="U1490" i="6"/>
  <c r="S1490" i="6"/>
  <c r="O1490" i="6"/>
  <c r="N1490" i="6"/>
  <c r="M1490" i="6"/>
  <c r="W1490" i="6" s="1"/>
  <c r="L1490" i="6"/>
  <c r="AG1490" i="6" s="1"/>
  <c r="K1490" i="6"/>
  <c r="J1490" i="6"/>
  <c r="I1490" i="6"/>
  <c r="G1490" i="6"/>
  <c r="F1490" i="6"/>
  <c r="T1489" i="6"/>
  <c r="O1489" i="6"/>
  <c r="N1489" i="6"/>
  <c r="M1489" i="6"/>
  <c r="U1489" i="6" s="1"/>
  <c r="K1489" i="6"/>
  <c r="J1489" i="6"/>
  <c r="I1489" i="6"/>
  <c r="F1489" i="6"/>
  <c r="AA1488" i="6"/>
  <c r="Z1488" i="6"/>
  <c r="Y1488" i="6"/>
  <c r="X1488" i="6"/>
  <c r="W1488" i="6"/>
  <c r="S1488" i="6"/>
  <c r="R1488" i="6"/>
  <c r="Q1488" i="6"/>
  <c r="P1488" i="6"/>
  <c r="O1488" i="6"/>
  <c r="N1488" i="6"/>
  <c r="M1488" i="6"/>
  <c r="V1488" i="6" s="1"/>
  <c r="K1488" i="6"/>
  <c r="J1488" i="6"/>
  <c r="I1488" i="6"/>
  <c r="F1488" i="6"/>
  <c r="AQ1487" i="6"/>
  <c r="AP1487" i="6"/>
  <c r="AO1487" i="6"/>
  <c r="AN1487" i="6"/>
  <c r="AM1487" i="6"/>
  <c r="AK1487" i="6"/>
  <c r="AI1487" i="6"/>
  <c r="AH1487" i="6"/>
  <c r="AG1487" i="6"/>
  <c r="AF1487" i="6"/>
  <c r="Y1487" i="6"/>
  <c r="W1487" i="6"/>
  <c r="V1487" i="6"/>
  <c r="Q1487" i="6"/>
  <c r="P1487" i="6"/>
  <c r="O1487" i="6"/>
  <c r="N1487" i="6"/>
  <c r="M1487" i="6"/>
  <c r="U1487" i="6" s="1"/>
  <c r="L1487" i="6"/>
  <c r="AL1487" i="6" s="1"/>
  <c r="K1487" i="6"/>
  <c r="J1487" i="6"/>
  <c r="I1487" i="6"/>
  <c r="F1487" i="6"/>
  <c r="B1487" i="6" s="1"/>
  <c r="AQ1486" i="6"/>
  <c r="AO1486" i="6"/>
  <c r="AM1486" i="6"/>
  <c r="AL1486" i="6"/>
  <c r="AK1486" i="6"/>
  <c r="AF1486" i="6"/>
  <c r="AA1486" i="6"/>
  <c r="Y1486" i="6"/>
  <c r="S1486" i="6"/>
  <c r="O1486" i="6"/>
  <c r="N1486" i="6"/>
  <c r="M1486" i="6"/>
  <c r="V1486" i="6" s="1"/>
  <c r="L1486" i="6"/>
  <c r="AG1486" i="6" s="1"/>
  <c r="K1486" i="6"/>
  <c r="J1486" i="6"/>
  <c r="I1486" i="6"/>
  <c r="F1486" i="6"/>
  <c r="AL1485" i="6"/>
  <c r="AJ1485" i="6"/>
  <c r="W1485" i="6"/>
  <c r="O1485" i="6"/>
  <c r="N1485" i="6"/>
  <c r="M1485" i="6"/>
  <c r="L1485" i="6"/>
  <c r="AG1485" i="6" s="1"/>
  <c r="K1485" i="6"/>
  <c r="J1485" i="6"/>
  <c r="I1485" i="6"/>
  <c r="F1485" i="6"/>
  <c r="AJ1484" i="6"/>
  <c r="AH1484" i="6"/>
  <c r="AA1484" i="6"/>
  <c r="Z1484" i="6"/>
  <c r="Y1484" i="6"/>
  <c r="X1484" i="6"/>
  <c r="U1484" i="6"/>
  <c r="S1484" i="6"/>
  <c r="R1484" i="6"/>
  <c r="Q1484" i="6"/>
  <c r="P1484" i="6"/>
  <c r="O1484" i="6"/>
  <c r="N1484" i="6"/>
  <c r="M1484" i="6"/>
  <c r="K1484" i="6"/>
  <c r="J1484" i="6"/>
  <c r="L1484" i="6" s="1"/>
  <c r="AP1484" i="6" s="1"/>
  <c r="I1484" i="6"/>
  <c r="F1484" i="6"/>
  <c r="B1484" i="6"/>
  <c r="AQ1483" i="6"/>
  <c r="AP1483" i="6"/>
  <c r="AO1483" i="6"/>
  <c r="AN1483" i="6"/>
  <c r="AM1483" i="6"/>
  <c r="AK1483" i="6"/>
  <c r="AI1483" i="6"/>
  <c r="AH1483" i="6"/>
  <c r="AG1483" i="6"/>
  <c r="AF1483" i="6"/>
  <c r="AA1483" i="6"/>
  <c r="V1483" i="6"/>
  <c r="S1483" i="6"/>
  <c r="Q1483" i="6"/>
  <c r="P1483" i="6"/>
  <c r="O1483" i="6"/>
  <c r="N1483" i="6"/>
  <c r="M1483" i="6"/>
  <c r="U1483" i="6" s="1"/>
  <c r="L1483" i="6"/>
  <c r="AL1483" i="6" s="1"/>
  <c r="K1483" i="6"/>
  <c r="J1483" i="6"/>
  <c r="I1483" i="6"/>
  <c r="F1483" i="6"/>
  <c r="B1483" i="6"/>
  <c r="AQ1482" i="6"/>
  <c r="AN1482" i="6"/>
  <c r="AM1482" i="6"/>
  <c r="AL1482" i="6"/>
  <c r="AK1482" i="6"/>
  <c r="AG1482" i="6"/>
  <c r="AF1482" i="6"/>
  <c r="AA1482" i="6"/>
  <c r="Y1482" i="6"/>
  <c r="U1482" i="6"/>
  <c r="T1482" i="6"/>
  <c r="Q1482" i="6"/>
  <c r="O1482" i="6"/>
  <c r="N1482" i="6"/>
  <c r="M1482" i="6"/>
  <c r="V1482" i="6" s="1"/>
  <c r="L1482" i="6"/>
  <c r="AO1482" i="6" s="1"/>
  <c r="K1482" i="6"/>
  <c r="J1482" i="6"/>
  <c r="I1482" i="6"/>
  <c r="G1482" i="6"/>
  <c r="F1482" i="6"/>
  <c r="B1482" i="6" s="1"/>
  <c r="AM1481" i="6"/>
  <c r="AK1481" i="6"/>
  <c r="AJ1481" i="6"/>
  <c r="AA1481" i="6"/>
  <c r="Y1481" i="6"/>
  <c r="Q1481" i="6"/>
  <c r="O1481" i="6"/>
  <c r="N1481" i="6"/>
  <c r="M1481" i="6"/>
  <c r="U1481" i="6" s="1"/>
  <c r="L1481" i="6"/>
  <c r="AG1481" i="6" s="1"/>
  <c r="K1481" i="6"/>
  <c r="J1481" i="6"/>
  <c r="I1481" i="6"/>
  <c r="F1481" i="6"/>
  <c r="B1481" i="6"/>
  <c r="AK1480" i="6"/>
  <c r="AI1480" i="6"/>
  <c r="AH1480" i="6"/>
  <c r="W1480" i="6"/>
  <c r="O1480" i="6"/>
  <c r="N1480" i="6"/>
  <c r="M1480" i="6"/>
  <c r="K1480" i="6"/>
  <c r="J1480" i="6"/>
  <c r="L1480" i="6" s="1"/>
  <c r="AP1480" i="6" s="1"/>
  <c r="I1480" i="6"/>
  <c r="F1480" i="6"/>
  <c r="AQ1479" i="6"/>
  <c r="AP1479" i="6"/>
  <c r="AO1479" i="6"/>
  <c r="AN1479" i="6"/>
  <c r="AM1479" i="6"/>
  <c r="AK1479" i="6"/>
  <c r="AI1479" i="6"/>
  <c r="AH1479" i="6"/>
  <c r="AG1479" i="6"/>
  <c r="AF1479" i="6"/>
  <c r="U1479" i="6"/>
  <c r="O1479" i="6"/>
  <c r="N1479" i="6"/>
  <c r="M1479" i="6"/>
  <c r="V1479" i="6" s="1"/>
  <c r="L1479" i="6"/>
  <c r="AL1479" i="6" s="1"/>
  <c r="K1479" i="6"/>
  <c r="J1479" i="6"/>
  <c r="I1479" i="6"/>
  <c r="F1479" i="6"/>
  <c r="B1479" i="6"/>
  <c r="AO1478" i="6"/>
  <c r="AN1478" i="6"/>
  <c r="AM1478" i="6"/>
  <c r="AG1478" i="6"/>
  <c r="AA1478" i="6"/>
  <c r="Y1478" i="6"/>
  <c r="V1478" i="6"/>
  <c r="U1478" i="6"/>
  <c r="S1478" i="6"/>
  <c r="Q1478" i="6"/>
  <c r="O1478" i="6"/>
  <c r="N1478" i="6"/>
  <c r="M1478" i="6"/>
  <c r="T1478" i="6" s="1"/>
  <c r="L1478" i="6"/>
  <c r="AQ1478" i="6" s="1"/>
  <c r="K1478" i="6"/>
  <c r="J1478" i="6"/>
  <c r="I1478" i="6"/>
  <c r="F1478" i="6"/>
  <c r="B1478" i="6" s="1"/>
  <c r="Z1477" i="6"/>
  <c r="Y1477" i="6"/>
  <c r="R1477" i="6"/>
  <c r="O1477" i="6"/>
  <c r="N1477" i="6"/>
  <c r="M1477" i="6"/>
  <c r="U1477" i="6" s="1"/>
  <c r="J1477" i="6"/>
  <c r="L1477" i="6" s="1"/>
  <c r="AL1477" i="6" s="1"/>
  <c r="I1477" i="6"/>
  <c r="F1477" i="6"/>
  <c r="B1477" i="6"/>
  <c r="AO1476" i="6"/>
  <c r="AM1476" i="6"/>
  <c r="AJ1476" i="6"/>
  <c r="AI1476" i="6"/>
  <c r="AH1476" i="6"/>
  <c r="Z1476" i="6"/>
  <c r="X1476" i="6"/>
  <c r="P1476" i="6"/>
  <c r="O1476" i="6"/>
  <c r="N1476" i="6"/>
  <c r="M1476" i="6"/>
  <c r="U1476" i="6" s="1"/>
  <c r="K1476" i="6"/>
  <c r="J1476" i="6"/>
  <c r="L1476" i="6" s="1"/>
  <c r="AP1476" i="6" s="1"/>
  <c r="I1476" i="6"/>
  <c r="G1476" i="6"/>
  <c r="F1476" i="6"/>
  <c r="B1476" i="6"/>
  <c r="AQ1475" i="6"/>
  <c r="AK1475" i="6"/>
  <c r="AH1475" i="6"/>
  <c r="AG1475" i="6"/>
  <c r="Y1475" i="6"/>
  <c r="W1475" i="6"/>
  <c r="P1475" i="6"/>
  <c r="O1475" i="6"/>
  <c r="N1475" i="6"/>
  <c r="M1475" i="6"/>
  <c r="U1475" i="6" s="1"/>
  <c r="L1475" i="6"/>
  <c r="AO1475" i="6" s="1"/>
  <c r="K1475" i="6"/>
  <c r="J1475" i="6"/>
  <c r="I1475" i="6"/>
  <c r="F1475" i="6"/>
  <c r="AQ1474" i="6"/>
  <c r="AN1474" i="6"/>
  <c r="AL1474" i="6"/>
  <c r="AK1474" i="6"/>
  <c r="AJ1474" i="6"/>
  <c r="AI1474" i="6"/>
  <c r="AH1474" i="6"/>
  <c r="AF1474" i="6"/>
  <c r="AA1474" i="6"/>
  <c r="Z1474" i="6"/>
  <c r="AP1474" i="6" s="1"/>
  <c r="Y1474" i="6"/>
  <c r="AO1474" i="6" s="1"/>
  <c r="X1474" i="6"/>
  <c r="W1474" i="6"/>
  <c r="AM1474" i="6" s="1"/>
  <c r="V1474" i="6"/>
  <c r="U1474" i="6"/>
  <c r="T1474" i="6"/>
  <c r="S1474" i="6"/>
  <c r="R1474" i="6"/>
  <c r="Q1474" i="6"/>
  <c r="AG1474" i="6" s="1"/>
  <c r="P1474" i="6"/>
  <c r="AX1472" i="6"/>
  <c r="AV1472" i="6"/>
  <c r="AW1472" i="6" s="1"/>
  <c r="AH1472" i="6" s="1"/>
  <c r="AU1472" i="6"/>
  <c r="AF1472" i="6" s="1"/>
  <c r="AG1472" i="6"/>
  <c r="AE1472" i="6"/>
  <c r="AB1472" i="6"/>
  <c r="L1472" i="6"/>
  <c r="AT1472" i="6" s="1"/>
  <c r="K1472" i="6"/>
  <c r="H1472" i="6"/>
  <c r="H1711" i="6" s="1"/>
  <c r="H1757" i="6" s="1"/>
  <c r="H1803" i="6" s="1"/>
  <c r="G1472" i="6"/>
  <c r="D1472" i="6"/>
  <c r="C1472" i="6"/>
  <c r="B1472" i="6"/>
  <c r="AX1471" i="6"/>
  <c r="AW1471" i="6"/>
  <c r="AH1471" i="6" s="1"/>
  <c r="AV1471" i="6"/>
  <c r="AU1471" i="6"/>
  <c r="AF1471" i="6" s="1"/>
  <c r="AG1471" i="6"/>
  <c r="AE1471" i="6"/>
  <c r="AB1471" i="6"/>
  <c r="L1471" i="6"/>
  <c r="AT1471" i="6" s="1"/>
  <c r="K1471" i="6"/>
  <c r="H1471" i="6"/>
  <c r="G1471" i="6"/>
  <c r="G1710" i="6" s="1"/>
  <c r="G1756" i="6" s="1"/>
  <c r="G1802" i="6" s="1"/>
  <c r="D1471" i="6"/>
  <c r="C1471" i="6"/>
  <c r="B1471" i="6"/>
  <c r="AY1470" i="6"/>
  <c r="AX1470" i="6"/>
  <c r="AV1470" i="6"/>
  <c r="AW1470" i="6" s="1"/>
  <c r="AU1470" i="6"/>
  <c r="AF1470" i="6" s="1"/>
  <c r="AH1470" i="6"/>
  <c r="AE1470" i="6"/>
  <c r="AB1470" i="6"/>
  <c r="L1470" i="6"/>
  <c r="AT1470" i="6" s="1"/>
  <c r="K1470" i="6"/>
  <c r="H1470" i="6"/>
  <c r="G1470" i="6"/>
  <c r="D1470" i="6"/>
  <c r="C1470" i="6"/>
  <c r="B1470" i="6"/>
  <c r="AY1469" i="6"/>
  <c r="AX1469" i="6"/>
  <c r="AW1469" i="6"/>
  <c r="AV1469" i="6"/>
  <c r="AG1469" i="6" s="1"/>
  <c r="AU1469" i="6"/>
  <c r="AT1469" i="6"/>
  <c r="AH1469" i="6"/>
  <c r="AF1469" i="6"/>
  <c r="AE1469" i="6"/>
  <c r="AB1469" i="6"/>
  <c r="L1469" i="6"/>
  <c r="K1469" i="6"/>
  <c r="H1469" i="6"/>
  <c r="G1469" i="6"/>
  <c r="G1708" i="6" s="1"/>
  <c r="G1754" i="6" s="1"/>
  <c r="G1800" i="6" s="1"/>
  <c r="D1469" i="6"/>
  <c r="C1469" i="6"/>
  <c r="B1469" i="6"/>
  <c r="AZ1468" i="6"/>
  <c r="AY1468" i="6"/>
  <c r="AJ1468" i="6" s="1"/>
  <c r="AX1468" i="6"/>
  <c r="AV1468" i="6"/>
  <c r="AW1468" i="6" s="1"/>
  <c r="AH1468" i="6" s="1"/>
  <c r="AU1468" i="6"/>
  <c r="AF1468" i="6" s="1"/>
  <c r="AT1468" i="6"/>
  <c r="AI1468" i="6"/>
  <c r="AG1468" i="6"/>
  <c r="AE1468" i="6"/>
  <c r="AB1468" i="6"/>
  <c r="L1468" i="6"/>
  <c r="K1468" i="6"/>
  <c r="H1468" i="6"/>
  <c r="H1707" i="6" s="1"/>
  <c r="H1753" i="6" s="1"/>
  <c r="H1799" i="6" s="1"/>
  <c r="G1468" i="6"/>
  <c r="D1468" i="6"/>
  <c r="C1468" i="6"/>
  <c r="B1468" i="6"/>
  <c r="AU1467" i="6"/>
  <c r="AV1467" i="6" s="1"/>
  <c r="AG1467" i="6" s="1"/>
  <c r="AT1467" i="6"/>
  <c r="AF1467" i="6"/>
  <c r="AE1467" i="6"/>
  <c r="AB1467" i="6"/>
  <c r="L1467" i="6"/>
  <c r="K1467" i="6"/>
  <c r="H1467" i="6"/>
  <c r="G1467" i="6"/>
  <c r="G1706" i="6" s="1"/>
  <c r="G1752" i="6" s="1"/>
  <c r="G1798" i="6" s="1"/>
  <c r="D1467" i="6"/>
  <c r="C1467" i="6"/>
  <c r="B1467" i="6"/>
  <c r="AU1466" i="6"/>
  <c r="AE1466" i="6"/>
  <c r="AB1466" i="6"/>
  <c r="L1466" i="6"/>
  <c r="AT1466" i="6" s="1"/>
  <c r="K1466" i="6"/>
  <c r="H1466" i="6"/>
  <c r="G1466" i="6"/>
  <c r="D1466" i="6"/>
  <c r="C1466" i="6"/>
  <c r="B1466" i="6"/>
  <c r="AV1465" i="6"/>
  <c r="AU1465" i="6"/>
  <c r="AE1465" i="6"/>
  <c r="AB1465" i="6"/>
  <c r="L1465" i="6"/>
  <c r="AT1465" i="6" s="1"/>
  <c r="K1465" i="6"/>
  <c r="H1465" i="6"/>
  <c r="H1704" i="6" s="1"/>
  <c r="H1750" i="6" s="1"/>
  <c r="H1796" i="6" s="1"/>
  <c r="G1465" i="6"/>
  <c r="G1704" i="6" s="1"/>
  <c r="G1750" i="6" s="1"/>
  <c r="G1796" i="6" s="1"/>
  <c r="D1465" i="6"/>
  <c r="C1465" i="6"/>
  <c r="B1465" i="6"/>
  <c r="AU1464" i="6"/>
  <c r="AF1464" i="6" s="1"/>
  <c r="AE1464" i="6"/>
  <c r="AB1464" i="6"/>
  <c r="L1464" i="6"/>
  <c r="AT1464" i="6" s="1"/>
  <c r="K1464" i="6"/>
  <c r="H1464" i="6"/>
  <c r="G1464" i="6"/>
  <c r="D1464" i="6"/>
  <c r="C1464" i="6"/>
  <c r="B1464" i="6"/>
  <c r="AV1463" i="6"/>
  <c r="AU1463" i="6"/>
  <c r="AE1463" i="6"/>
  <c r="AB1463" i="6"/>
  <c r="L1463" i="6"/>
  <c r="AT1463" i="6" s="1"/>
  <c r="K1463" i="6"/>
  <c r="H1463" i="6"/>
  <c r="G1463" i="6"/>
  <c r="G1702" i="6" s="1"/>
  <c r="G1748" i="6" s="1"/>
  <c r="G1794" i="6" s="1"/>
  <c r="D1463" i="6"/>
  <c r="C1463" i="6"/>
  <c r="B1463" i="6"/>
  <c r="AU1462" i="6"/>
  <c r="AF1462" i="6" s="1"/>
  <c r="AE1462" i="6"/>
  <c r="AB1462" i="6"/>
  <c r="L1462" i="6"/>
  <c r="AT1462" i="6" s="1"/>
  <c r="K1462" i="6"/>
  <c r="H1462" i="6"/>
  <c r="G1462" i="6"/>
  <c r="D1462" i="6"/>
  <c r="C1462" i="6"/>
  <c r="B1462" i="6"/>
  <c r="AV1461" i="6"/>
  <c r="AU1461" i="6"/>
  <c r="AE1461" i="6"/>
  <c r="AB1461" i="6"/>
  <c r="L1461" i="6"/>
  <c r="AT1461" i="6" s="1"/>
  <c r="K1461" i="6"/>
  <c r="H1461" i="6"/>
  <c r="H1700" i="6" s="1"/>
  <c r="H1746" i="6" s="1"/>
  <c r="H1792" i="6" s="1"/>
  <c r="G1461" i="6"/>
  <c r="G1700" i="6" s="1"/>
  <c r="G1746" i="6" s="1"/>
  <c r="G1792" i="6" s="1"/>
  <c r="D1461" i="6"/>
  <c r="C1461" i="6"/>
  <c r="B1461" i="6"/>
  <c r="AU1460" i="6"/>
  <c r="AF1460" i="6" s="1"/>
  <c r="AE1460" i="6"/>
  <c r="AB1460" i="6"/>
  <c r="L1460" i="6"/>
  <c r="AT1460" i="6" s="1"/>
  <c r="K1460" i="6"/>
  <c r="H1460" i="6"/>
  <c r="G1460" i="6"/>
  <c r="G1699" i="6" s="1"/>
  <c r="G1745" i="6" s="1"/>
  <c r="G1791" i="6" s="1"/>
  <c r="D1460" i="6"/>
  <c r="C1460" i="6"/>
  <c r="B1460" i="6"/>
  <c r="AV1459" i="6"/>
  <c r="AU1459" i="6"/>
  <c r="AE1459" i="6"/>
  <c r="AB1459" i="6"/>
  <c r="L1459" i="6"/>
  <c r="AT1459" i="6" s="1"/>
  <c r="K1459" i="6"/>
  <c r="H1459" i="6"/>
  <c r="G1459" i="6"/>
  <c r="G1698" i="6" s="1"/>
  <c r="G1744" i="6" s="1"/>
  <c r="G1790" i="6" s="1"/>
  <c r="D1459" i="6"/>
  <c r="C1459" i="6"/>
  <c r="B1459" i="6"/>
  <c r="AU1458" i="6"/>
  <c r="AF1458" i="6" s="1"/>
  <c r="AE1458" i="6"/>
  <c r="AB1458" i="6"/>
  <c r="L1458" i="6"/>
  <c r="AT1458" i="6" s="1"/>
  <c r="K1458" i="6"/>
  <c r="H1458" i="6"/>
  <c r="G1458" i="6"/>
  <c r="D1458" i="6"/>
  <c r="C1458" i="6"/>
  <c r="B1458" i="6"/>
  <c r="AV1457" i="6"/>
  <c r="AU1457" i="6"/>
  <c r="AE1457" i="6"/>
  <c r="AB1457" i="6"/>
  <c r="L1457" i="6"/>
  <c r="AT1457" i="6" s="1"/>
  <c r="K1457" i="6"/>
  <c r="H1457" i="6"/>
  <c r="H1696" i="6" s="1"/>
  <c r="H1742" i="6" s="1"/>
  <c r="H1788" i="6" s="1"/>
  <c r="G1457" i="6"/>
  <c r="G1696" i="6" s="1"/>
  <c r="G1742" i="6" s="1"/>
  <c r="G1788" i="6" s="1"/>
  <c r="D1457" i="6"/>
  <c r="C1457" i="6"/>
  <c r="B1457" i="6"/>
  <c r="AU1456" i="6"/>
  <c r="AF1456" i="6" s="1"/>
  <c r="AE1456" i="6"/>
  <c r="AB1456" i="6"/>
  <c r="L1456" i="6"/>
  <c r="AT1456" i="6" s="1"/>
  <c r="K1456" i="6"/>
  <c r="H1456" i="6"/>
  <c r="G1456" i="6"/>
  <c r="G1695" i="6" s="1"/>
  <c r="G1741" i="6" s="1"/>
  <c r="G1787" i="6" s="1"/>
  <c r="D1456" i="6"/>
  <c r="C1456" i="6"/>
  <c r="B1456" i="6"/>
  <c r="AV1455" i="6"/>
  <c r="AU1455" i="6"/>
  <c r="AE1455" i="6"/>
  <c r="AB1455" i="6"/>
  <c r="L1455" i="6"/>
  <c r="AT1455" i="6" s="1"/>
  <c r="K1455" i="6"/>
  <c r="H1455" i="6"/>
  <c r="G1455" i="6"/>
  <c r="G1694" i="6" s="1"/>
  <c r="G1740" i="6" s="1"/>
  <c r="G1786" i="6" s="1"/>
  <c r="D1455" i="6"/>
  <c r="C1455" i="6"/>
  <c r="B1455" i="6"/>
  <c r="AU1454" i="6"/>
  <c r="AF1454" i="6" s="1"/>
  <c r="AE1454" i="6"/>
  <c r="AB1454" i="6"/>
  <c r="L1454" i="6"/>
  <c r="AT1454" i="6" s="1"/>
  <c r="K1454" i="6"/>
  <c r="H1454" i="6"/>
  <c r="G1454" i="6"/>
  <c r="D1454" i="6"/>
  <c r="C1454" i="6"/>
  <c r="B1454" i="6"/>
  <c r="AV1453" i="6"/>
  <c r="AU1453" i="6"/>
  <c r="AE1453" i="6"/>
  <c r="AB1453" i="6"/>
  <c r="L1453" i="6"/>
  <c r="AT1453" i="6" s="1"/>
  <c r="K1453" i="6"/>
  <c r="H1453" i="6"/>
  <c r="H1692" i="6" s="1"/>
  <c r="H1738" i="6" s="1"/>
  <c r="H1784" i="6" s="1"/>
  <c r="G1453" i="6"/>
  <c r="G1692" i="6" s="1"/>
  <c r="G1738" i="6" s="1"/>
  <c r="G1784" i="6" s="1"/>
  <c r="D1453" i="6"/>
  <c r="C1453" i="6"/>
  <c r="B1453" i="6"/>
  <c r="AU1452" i="6"/>
  <c r="AF1452" i="6" s="1"/>
  <c r="AE1452" i="6"/>
  <c r="AB1452" i="6"/>
  <c r="L1452" i="6"/>
  <c r="AT1452" i="6" s="1"/>
  <c r="K1452" i="6"/>
  <c r="H1452" i="6"/>
  <c r="H1691" i="6" s="1"/>
  <c r="H1737" i="6" s="1"/>
  <c r="H1783" i="6" s="1"/>
  <c r="G1452" i="6"/>
  <c r="G1691" i="6" s="1"/>
  <c r="G1737" i="6" s="1"/>
  <c r="G1783" i="6" s="1"/>
  <c r="D1452" i="6"/>
  <c r="C1452" i="6"/>
  <c r="B1452" i="6"/>
  <c r="AV1451" i="6"/>
  <c r="AU1451" i="6"/>
  <c r="AE1451" i="6"/>
  <c r="AB1451" i="6"/>
  <c r="L1451" i="6"/>
  <c r="AT1451" i="6" s="1"/>
  <c r="K1451" i="6"/>
  <c r="H1451" i="6"/>
  <c r="G1451" i="6"/>
  <c r="G1690" i="6" s="1"/>
  <c r="G1736" i="6" s="1"/>
  <c r="G1782" i="6" s="1"/>
  <c r="D1451" i="6"/>
  <c r="C1451" i="6"/>
  <c r="B1451" i="6"/>
  <c r="AU1450" i="6"/>
  <c r="AF1450" i="6" s="1"/>
  <c r="AE1450" i="6"/>
  <c r="AB1450" i="6"/>
  <c r="L1450" i="6"/>
  <c r="AT1450" i="6" s="1"/>
  <c r="K1450" i="6"/>
  <c r="H1450" i="6"/>
  <c r="G1450" i="6"/>
  <c r="D1450" i="6"/>
  <c r="C1450" i="6"/>
  <c r="B1450" i="6"/>
  <c r="AV1449" i="6"/>
  <c r="AU1449" i="6"/>
  <c r="AE1449" i="6"/>
  <c r="AB1449" i="6"/>
  <c r="L1449" i="6"/>
  <c r="AT1449" i="6" s="1"/>
  <c r="K1449" i="6"/>
  <c r="H1449" i="6"/>
  <c r="H1688" i="6" s="1"/>
  <c r="H1734" i="6" s="1"/>
  <c r="H1780" i="6" s="1"/>
  <c r="G1449" i="6"/>
  <c r="G1688" i="6" s="1"/>
  <c r="G1734" i="6" s="1"/>
  <c r="G1780" i="6" s="1"/>
  <c r="D1449" i="6"/>
  <c r="C1449" i="6"/>
  <c r="B1449" i="6"/>
  <c r="AU1448" i="6"/>
  <c r="AF1448" i="6" s="1"/>
  <c r="AE1448" i="6"/>
  <c r="AB1448" i="6"/>
  <c r="L1448" i="6"/>
  <c r="AT1448" i="6" s="1"/>
  <c r="K1448" i="6"/>
  <c r="H1448" i="6"/>
  <c r="G1448" i="6"/>
  <c r="G1687" i="6" s="1"/>
  <c r="G1733" i="6" s="1"/>
  <c r="G1779" i="6" s="1"/>
  <c r="D1448" i="6"/>
  <c r="C1448" i="6"/>
  <c r="B1448" i="6"/>
  <c r="AV1447" i="6"/>
  <c r="AU1447" i="6"/>
  <c r="AE1447" i="6"/>
  <c r="AB1447" i="6"/>
  <c r="L1447" i="6"/>
  <c r="AT1447" i="6" s="1"/>
  <c r="K1447" i="6"/>
  <c r="H1447" i="6"/>
  <c r="G1447" i="6"/>
  <c r="G1686" i="6" s="1"/>
  <c r="G1732" i="6" s="1"/>
  <c r="G1778" i="6" s="1"/>
  <c r="D1447" i="6"/>
  <c r="C1447" i="6"/>
  <c r="B1447" i="6"/>
  <c r="AU1446" i="6"/>
  <c r="AF1446" i="6" s="1"/>
  <c r="AE1446" i="6"/>
  <c r="AB1446" i="6"/>
  <c r="L1446" i="6"/>
  <c r="AT1446" i="6" s="1"/>
  <c r="K1446" i="6"/>
  <c r="H1446" i="6"/>
  <c r="G1446" i="6"/>
  <c r="D1446" i="6"/>
  <c r="C1446" i="6"/>
  <c r="B1446" i="6"/>
  <c r="AV1445" i="6"/>
  <c r="AU1445" i="6"/>
  <c r="AE1445" i="6"/>
  <c r="AB1445" i="6"/>
  <c r="L1445" i="6"/>
  <c r="AT1445" i="6" s="1"/>
  <c r="K1445" i="6"/>
  <c r="H1445" i="6"/>
  <c r="H1684" i="6" s="1"/>
  <c r="H1730" i="6" s="1"/>
  <c r="H1776" i="6" s="1"/>
  <c r="G1445" i="6"/>
  <c r="G1684" i="6" s="1"/>
  <c r="G1730" i="6" s="1"/>
  <c r="G1776" i="6" s="1"/>
  <c r="D1445" i="6"/>
  <c r="C1445" i="6"/>
  <c r="B1445" i="6"/>
  <c r="AU1444" i="6"/>
  <c r="AF1444" i="6" s="1"/>
  <c r="AE1444" i="6"/>
  <c r="AB1444" i="6"/>
  <c r="L1444" i="6"/>
  <c r="AT1444" i="6" s="1"/>
  <c r="K1444" i="6"/>
  <c r="H1444" i="6"/>
  <c r="G1444" i="6"/>
  <c r="G1683" i="6" s="1"/>
  <c r="G1729" i="6" s="1"/>
  <c r="G1775" i="6" s="1"/>
  <c r="D1444" i="6"/>
  <c r="C1444" i="6"/>
  <c r="B1444" i="6"/>
  <c r="AV1443" i="6"/>
  <c r="AU1443" i="6"/>
  <c r="AE1443" i="6"/>
  <c r="AB1443" i="6"/>
  <c r="L1443" i="6"/>
  <c r="AT1443" i="6" s="1"/>
  <c r="K1443" i="6"/>
  <c r="H1443" i="6"/>
  <c r="G1443" i="6"/>
  <c r="G1682" i="6" s="1"/>
  <c r="G1728" i="6" s="1"/>
  <c r="G1774" i="6" s="1"/>
  <c r="D1443" i="6"/>
  <c r="C1443" i="6"/>
  <c r="B1443" i="6"/>
  <c r="AU1442" i="6"/>
  <c r="AF1442" i="6" s="1"/>
  <c r="AE1442" i="6"/>
  <c r="AB1442" i="6"/>
  <c r="L1442" i="6"/>
  <c r="AT1442" i="6" s="1"/>
  <c r="K1442" i="6"/>
  <c r="H1442" i="6"/>
  <c r="G1442" i="6"/>
  <c r="D1442" i="6"/>
  <c r="C1442" i="6"/>
  <c r="B1442" i="6"/>
  <c r="AV1441" i="6"/>
  <c r="AU1441" i="6"/>
  <c r="AE1441" i="6"/>
  <c r="AB1441" i="6"/>
  <c r="L1441" i="6"/>
  <c r="AT1441" i="6" s="1"/>
  <c r="K1441" i="6"/>
  <c r="H1441" i="6"/>
  <c r="H1680" i="6" s="1"/>
  <c r="H1726" i="6" s="1"/>
  <c r="H1772" i="6" s="1"/>
  <c r="G1441" i="6"/>
  <c r="G1680" i="6" s="1"/>
  <c r="G1726" i="6" s="1"/>
  <c r="G1772" i="6" s="1"/>
  <c r="D1441" i="6"/>
  <c r="C1441" i="6"/>
  <c r="B1441" i="6"/>
  <c r="AU1440" i="6"/>
  <c r="AF1440" i="6" s="1"/>
  <c r="AE1440" i="6"/>
  <c r="AB1440" i="6"/>
  <c r="L1440" i="6"/>
  <c r="AT1440" i="6" s="1"/>
  <c r="K1440" i="6"/>
  <c r="H1440" i="6"/>
  <c r="G1440" i="6"/>
  <c r="G1679" i="6" s="1"/>
  <c r="G1725" i="6" s="1"/>
  <c r="G1771" i="6" s="1"/>
  <c r="D1440" i="6"/>
  <c r="C1440" i="6"/>
  <c r="B1440" i="6"/>
  <c r="AV1439" i="6"/>
  <c r="AU1439" i="6"/>
  <c r="AE1439" i="6"/>
  <c r="AB1439" i="6"/>
  <c r="L1439" i="6"/>
  <c r="AT1439" i="6" s="1"/>
  <c r="K1439" i="6"/>
  <c r="H1439" i="6"/>
  <c r="G1439" i="6"/>
  <c r="G1678" i="6" s="1"/>
  <c r="G1724" i="6" s="1"/>
  <c r="G1770" i="6" s="1"/>
  <c r="D1439" i="6"/>
  <c r="C1439" i="6"/>
  <c r="B1439" i="6"/>
  <c r="AU1438" i="6"/>
  <c r="AF1438" i="6" s="1"/>
  <c r="AE1438" i="6"/>
  <c r="AB1438" i="6"/>
  <c r="L1438" i="6"/>
  <c r="AT1438" i="6" s="1"/>
  <c r="K1438" i="6"/>
  <c r="H1438" i="6"/>
  <c r="G1438" i="6"/>
  <c r="G1677" i="6" s="1"/>
  <c r="G1723" i="6" s="1"/>
  <c r="G1769" i="6" s="1"/>
  <c r="D1438" i="6"/>
  <c r="C1438" i="6"/>
  <c r="B1438" i="6"/>
  <c r="AV1437" i="6"/>
  <c r="AU1437" i="6"/>
  <c r="AE1437" i="6"/>
  <c r="AB1437" i="6"/>
  <c r="L1437" i="6"/>
  <c r="AT1437" i="6" s="1"/>
  <c r="K1437" i="6"/>
  <c r="H1437" i="6"/>
  <c r="H1676" i="6" s="1"/>
  <c r="H1722" i="6" s="1"/>
  <c r="H1768" i="6" s="1"/>
  <c r="G1437" i="6"/>
  <c r="G1676" i="6" s="1"/>
  <c r="G1722" i="6" s="1"/>
  <c r="G1768" i="6" s="1"/>
  <c r="D1437" i="6"/>
  <c r="C1437" i="6"/>
  <c r="B1437" i="6"/>
  <c r="AU1436" i="6"/>
  <c r="AF1436" i="6" s="1"/>
  <c r="AE1436" i="6"/>
  <c r="AB1436" i="6"/>
  <c r="L1436" i="6"/>
  <c r="AT1436" i="6" s="1"/>
  <c r="K1436" i="6"/>
  <c r="H1436" i="6"/>
  <c r="G1436" i="6"/>
  <c r="G1675" i="6" s="1"/>
  <c r="G1721" i="6" s="1"/>
  <c r="G1767" i="6" s="1"/>
  <c r="D1436" i="6"/>
  <c r="C1436" i="6"/>
  <c r="B1436" i="6"/>
  <c r="AV1435" i="6"/>
  <c r="AU1435" i="6"/>
  <c r="AE1435" i="6"/>
  <c r="AB1435" i="6"/>
  <c r="L1435" i="6"/>
  <c r="AT1435" i="6" s="1"/>
  <c r="K1435" i="6"/>
  <c r="H1435" i="6"/>
  <c r="G1435" i="6"/>
  <c r="G1674" i="6" s="1"/>
  <c r="G1720" i="6" s="1"/>
  <c r="G1766" i="6" s="1"/>
  <c r="D1435" i="6"/>
  <c r="C1435" i="6"/>
  <c r="B1435" i="6"/>
  <c r="AU1434" i="6"/>
  <c r="AF1434" i="6" s="1"/>
  <c r="AT1434" i="6"/>
  <c r="AE1434" i="6"/>
  <c r="H1434" i="6"/>
  <c r="G1434" i="6"/>
  <c r="G1528" i="6" s="1"/>
  <c r="G1574" i="6" s="1"/>
  <c r="G1620" i="6" s="1"/>
  <c r="D1434" i="6"/>
  <c r="C1434" i="6"/>
  <c r="B1434" i="6"/>
  <c r="AX1433" i="6"/>
  <c r="AY1433" i="6" s="1"/>
  <c r="AZ1433" i="6" s="1"/>
  <c r="BA1433" i="6" s="1"/>
  <c r="BB1433" i="6" s="1"/>
  <c r="BC1433" i="6" s="1"/>
  <c r="BD1433" i="6" s="1"/>
  <c r="BE1433" i="6" s="1"/>
  <c r="BF1433" i="6" s="1"/>
  <c r="AQ1433" i="6" s="1"/>
  <c r="AQ1672" i="6" s="1"/>
  <c r="AW1433" i="6"/>
  <c r="AV1433" i="6"/>
  <c r="AU1433" i="6"/>
  <c r="BG1433" i="6" s="1"/>
  <c r="AE1433" i="6"/>
  <c r="AA1433" i="6"/>
  <c r="Z1433" i="6"/>
  <c r="AP1433" i="6" s="1"/>
  <c r="L1433" i="6"/>
  <c r="AT1433" i="6" s="1"/>
  <c r="K1433" i="6"/>
  <c r="H1433" i="6"/>
  <c r="H1480" i="6" s="1"/>
  <c r="G1433" i="6"/>
  <c r="G1672" i="6" s="1"/>
  <c r="G1718" i="6" s="1"/>
  <c r="G1764" i="6" s="1"/>
  <c r="D1433" i="6"/>
  <c r="C1433" i="6"/>
  <c r="B1433" i="6"/>
  <c r="AX1432" i="6"/>
  <c r="AW1432" i="6"/>
  <c r="AH1432" i="6" s="1"/>
  <c r="AH1671" i="6" s="1"/>
  <c r="AV1432" i="6"/>
  <c r="AU1432" i="6"/>
  <c r="AG1432" i="6"/>
  <c r="AF1432" i="6"/>
  <c r="AE1432" i="6"/>
  <c r="AB1432" i="6"/>
  <c r="K1432" i="6"/>
  <c r="L1432" i="6" s="1"/>
  <c r="AT1432" i="6" s="1"/>
  <c r="H1432" i="6"/>
  <c r="H1671" i="6" s="1"/>
  <c r="H1717" i="6" s="1"/>
  <c r="H1763" i="6" s="1"/>
  <c r="G1432" i="6"/>
  <c r="G1671" i="6" s="1"/>
  <c r="G1717" i="6" s="1"/>
  <c r="G1763" i="6" s="1"/>
  <c r="D1432" i="6"/>
  <c r="C1432" i="6"/>
  <c r="B1432" i="6"/>
  <c r="AV1431" i="6"/>
  <c r="AU1431" i="6"/>
  <c r="AF1431" i="6"/>
  <c r="AE1431" i="6"/>
  <c r="AB1431" i="6"/>
  <c r="L1431" i="6"/>
  <c r="AT1431" i="6" s="1"/>
  <c r="K1431" i="6"/>
  <c r="H1431" i="6"/>
  <c r="G1431" i="6"/>
  <c r="G1670" i="6" s="1"/>
  <c r="G1716" i="6" s="1"/>
  <c r="G1762" i="6" s="1"/>
  <c r="D1431" i="6"/>
  <c r="C1431" i="6"/>
  <c r="B1431" i="6"/>
  <c r="AX1430" i="6"/>
  <c r="AY1430" i="6" s="1"/>
  <c r="AZ1430" i="6" s="1"/>
  <c r="BA1430" i="6" s="1"/>
  <c r="BB1430" i="6" s="1"/>
  <c r="BC1430" i="6" s="1"/>
  <c r="BD1430" i="6" s="1"/>
  <c r="BE1430" i="6" s="1"/>
  <c r="AP1430" i="6" s="1"/>
  <c r="AW1430" i="6"/>
  <c r="AV1430" i="6"/>
  <c r="AU1430" i="6"/>
  <c r="AE1430" i="6"/>
  <c r="L1430" i="6"/>
  <c r="AT1430" i="6" s="1"/>
  <c r="K1430" i="6"/>
  <c r="H1430" i="6"/>
  <c r="G1430" i="6"/>
  <c r="G1669" i="6" s="1"/>
  <c r="G1715" i="6" s="1"/>
  <c r="G1761" i="6" s="1"/>
  <c r="D1430" i="6"/>
  <c r="C1430" i="6"/>
  <c r="B1430" i="6"/>
  <c r="AV1429" i="6"/>
  <c r="AW1429" i="6" s="1"/>
  <c r="AX1429" i="6" s="1"/>
  <c r="AY1429" i="6" s="1"/>
  <c r="AZ1429" i="6" s="1"/>
  <c r="BA1429" i="6" s="1"/>
  <c r="BB1429" i="6" s="1"/>
  <c r="BC1429" i="6" s="1"/>
  <c r="BD1429" i="6" s="1"/>
  <c r="BE1429" i="6" s="1"/>
  <c r="AU1429" i="6"/>
  <c r="AE1429" i="6"/>
  <c r="S1429" i="6"/>
  <c r="K1429" i="6"/>
  <c r="L1429" i="6" s="1"/>
  <c r="AT1429" i="6" s="1"/>
  <c r="H1429" i="6"/>
  <c r="H1668" i="6" s="1"/>
  <c r="H1714" i="6" s="1"/>
  <c r="H1760" i="6" s="1"/>
  <c r="G1429" i="6"/>
  <c r="G1668" i="6" s="1"/>
  <c r="G1714" i="6" s="1"/>
  <c r="G1760" i="6" s="1"/>
  <c r="D1429" i="6"/>
  <c r="C1429" i="6"/>
  <c r="B1429" i="6"/>
  <c r="AV1428" i="6"/>
  <c r="AU1428" i="6"/>
  <c r="AE1428" i="6"/>
  <c r="K1428" i="6"/>
  <c r="L1428" i="6" s="1"/>
  <c r="AT1428" i="6" s="1"/>
  <c r="H1428" i="6"/>
  <c r="H1667" i="6" s="1"/>
  <c r="H1713" i="6" s="1"/>
  <c r="H1759" i="6" s="1"/>
  <c r="G1428" i="6"/>
  <c r="G1667" i="6" s="1"/>
  <c r="G1713" i="6" s="1"/>
  <c r="G1759" i="6" s="1"/>
  <c r="D1428" i="6"/>
  <c r="C1428" i="6"/>
  <c r="B1428" i="6"/>
  <c r="AQ1427" i="6"/>
  <c r="AN1427" i="6"/>
  <c r="AL1427" i="6"/>
  <c r="AK1427" i="6"/>
  <c r="AI1427" i="6"/>
  <c r="AF1427" i="6"/>
  <c r="AA1427" i="6"/>
  <c r="Z1427" i="6"/>
  <c r="AP1427" i="6" s="1"/>
  <c r="Y1427" i="6"/>
  <c r="AO1427" i="6" s="1"/>
  <c r="X1427" i="6"/>
  <c r="W1427" i="6"/>
  <c r="AM1427" i="6" s="1"/>
  <c r="V1427" i="6"/>
  <c r="U1427" i="6"/>
  <c r="T1427" i="6"/>
  <c r="AJ1427" i="6" s="1"/>
  <c r="S1427" i="6"/>
  <c r="R1427" i="6"/>
  <c r="AH1427" i="6" s="1"/>
  <c r="Q1427" i="6"/>
  <c r="AG1427" i="6" s="1"/>
  <c r="P1427" i="6"/>
  <c r="AQ1426" i="6"/>
  <c r="AP1426" i="6"/>
  <c r="AO1426" i="6"/>
  <c r="AN1426" i="6"/>
  <c r="AM1426" i="6"/>
  <c r="AL1426" i="6"/>
  <c r="AK1426" i="6"/>
  <c r="AJ1426" i="6"/>
  <c r="AI1426" i="6"/>
  <c r="AH1426" i="6"/>
  <c r="AG1426" i="6"/>
  <c r="AF1426" i="6"/>
  <c r="AE1426" i="6"/>
  <c r="AB1426" i="6"/>
  <c r="H1426" i="6"/>
  <c r="H1568" i="6" s="1"/>
  <c r="H1614" i="6" s="1"/>
  <c r="H1660" i="6" s="1"/>
  <c r="G1426" i="6"/>
  <c r="G1568" i="6" s="1"/>
  <c r="G1614" i="6" s="1"/>
  <c r="G1660" i="6" s="1"/>
  <c r="C1426" i="6"/>
  <c r="AQ1425" i="6"/>
  <c r="AP1425" i="6"/>
  <c r="AO1425" i="6"/>
  <c r="AN1425" i="6"/>
  <c r="AM1425" i="6"/>
  <c r="AL1425" i="6"/>
  <c r="AK1425" i="6"/>
  <c r="AJ1425" i="6"/>
  <c r="AI1425" i="6"/>
  <c r="AH1425" i="6"/>
  <c r="AG1425" i="6"/>
  <c r="AF1425" i="6"/>
  <c r="AE1425" i="6"/>
  <c r="AB1425" i="6"/>
  <c r="H1425" i="6"/>
  <c r="H1567" i="6" s="1"/>
  <c r="H1613" i="6" s="1"/>
  <c r="H1659" i="6" s="1"/>
  <c r="G1425" i="6"/>
  <c r="G1567" i="6" s="1"/>
  <c r="G1613" i="6" s="1"/>
  <c r="G1659" i="6" s="1"/>
  <c r="C1425" i="6"/>
  <c r="AQ1424" i="6"/>
  <c r="AP1424" i="6"/>
  <c r="AO1424" i="6"/>
  <c r="AN1424" i="6"/>
  <c r="AM1424" i="6"/>
  <c r="AL1424" i="6"/>
  <c r="AK1424" i="6"/>
  <c r="AJ1424" i="6"/>
  <c r="AI1424" i="6"/>
  <c r="AH1424" i="6"/>
  <c r="AG1424" i="6"/>
  <c r="AF1424" i="6"/>
  <c r="AR1424" i="6" s="1"/>
  <c r="AE1424" i="6"/>
  <c r="AB1424" i="6"/>
  <c r="H1424" i="6"/>
  <c r="H1566" i="6" s="1"/>
  <c r="H1612" i="6" s="1"/>
  <c r="H1658" i="6" s="1"/>
  <c r="G1424" i="6"/>
  <c r="G1566" i="6" s="1"/>
  <c r="G1612" i="6" s="1"/>
  <c r="G1658" i="6" s="1"/>
  <c r="C1424" i="6"/>
  <c r="AQ1423" i="6"/>
  <c r="AP1423" i="6"/>
  <c r="AO1423" i="6"/>
  <c r="AN1423" i="6"/>
  <c r="AM1423" i="6"/>
  <c r="AL1423" i="6"/>
  <c r="AK1423" i="6"/>
  <c r="AJ1423" i="6"/>
  <c r="AI1423" i="6"/>
  <c r="AR1423" i="6" s="1"/>
  <c r="AH1423" i="6"/>
  <c r="AG1423" i="6"/>
  <c r="AF1423" i="6"/>
  <c r="AE1423" i="6"/>
  <c r="AB1423" i="6"/>
  <c r="H1423" i="6"/>
  <c r="H1565" i="6" s="1"/>
  <c r="H1611" i="6" s="1"/>
  <c r="H1657" i="6" s="1"/>
  <c r="G1423" i="6"/>
  <c r="G1565" i="6" s="1"/>
  <c r="G1611" i="6" s="1"/>
  <c r="G1657" i="6" s="1"/>
  <c r="C1423" i="6"/>
  <c r="AQ1422" i="6"/>
  <c r="AP1422" i="6"/>
  <c r="AO1422" i="6"/>
  <c r="AN1422" i="6"/>
  <c r="AM1422" i="6"/>
  <c r="AL1422" i="6"/>
  <c r="AK1422" i="6"/>
  <c r="AJ1422" i="6"/>
  <c r="AI1422" i="6"/>
  <c r="AH1422" i="6"/>
  <c r="AG1422" i="6"/>
  <c r="AF1422" i="6"/>
  <c r="AE1422" i="6"/>
  <c r="AB1422" i="6"/>
  <c r="H1422" i="6"/>
  <c r="H1564" i="6" s="1"/>
  <c r="H1610" i="6" s="1"/>
  <c r="H1656" i="6" s="1"/>
  <c r="G1422" i="6"/>
  <c r="G1564" i="6" s="1"/>
  <c r="G1610" i="6" s="1"/>
  <c r="G1656" i="6" s="1"/>
  <c r="C1422" i="6"/>
  <c r="AQ1421" i="6"/>
  <c r="AP1421" i="6"/>
  <c r="AO1421" i="6"/>
  <c r="AN1421" i="6"/>
  <c r="AM1421" i="6"/>
  <c r="AL1421" i="6"/>
  <c r="AK1421" i="6"/>
  <c r="AJ1421" i="6"/>
  <c r="AI1421" i="6"/>
  <c r="AH1421" i="6"/>
  <c r="AG1421" i="6"/>
  <c r="AF1421" i="6"/>
  <c r="AE1421" i="6"/>
  <c r="AB1421" i="6"/>
  <c r="H1421" i="6"/>
  <c r="H1563" i="6" s="1"/>
  <c r="H1609" i="6" s="1"/>
  <c r="H1655" i="6" s="1"/>
  <c r="G1421" i="6"/>
  <c r="G1563" i="6" s="1"/>
  <c r="G1609" i="6" s="1"/>
  <c r="G1655" i="6" s="1"/>
  <c r="C1421" i="6"/>
  <c r="AQ1420" i="6"/>
  <c r="AP1420" i="6"/>
  <c r="AO1420" i="6"/>
  <c r="AN1420" i="6"/>
  <c r="AM1420" i="6"/>
  <c r="AL1420" i="6"/>
  <c r="AK1420" i="6"/>
  <c r="AJ1420" i="6"/>
  <c r="AI1420" i="6"/>
  <c r="AH1420" i="6"/>
  <c r="AG1420" i="6"/>
  <c r="AF1420" i="6"/>
  <c r="AR1420" i="6" s="1"/>
  <c r="AE1420" i="6"/>
  <c r="AB1420" i="6"/>
  <c r="H1420" i="6"/>
  <c r="H1562" i="6" s="1"/>
  <c r="H1608" i="6" s="1"/>
  <c r="H1654" i="6" s="1"/>
  <c r="G1420" i="6"/>
  <c r="G1562" i="6" s="1"/>
  <c r="G1608" i="6" s="1"/>
  <c r="G1654" i="6" s="1"/>
  <c r="C1420" i="6"/>
  <c r="AQ1419" i="6"/>
  <c r="AP1419" i="6"/>
  <c r="AO1419" i="6"/>
  <c r="AN1419" i="6"/>
  <c r="AM1419" i="6"/>
  <c r="AL1419" i="6"/>
  <c r="AK1419" i="6"/>
  <c r="AJ1419" i="6"/>
  <c r="AI1419" i="6"/>
  <c r="AR1419" i="6" s="1"/>
  <c r="AH1419" i="6"/>
  <c r="AG1419" i="6"/>
  <c r="AF1419" i="6"/>
  <c r="AE1419" i="6"/>
  <c r="AB1419" i="6"/>
  <c r="H1419" i="6"/>
  <c r="H1561" i="6" s="1"/>
  <c r="H1607" i="6" s="1"/>
  <c r="H1653" i="6" s="1"/>
  <c r="G1419" i="6"/>
  <c r="G1561" i="6" s="1"/>
  <c r="G1607" i="6" s="1"/>
  <c r="G1653" i="6" s="1"/>
  <c r="C1419" i="6"/>
  <c r="AQ1418" i="6"/>
  <c r="AP1418" i="6"/>
  <c r="AO1418" i="6"/>
  <c r="AN1418" i="6"/>
  <c r="AM1418" i="6"/>
  <c r="AL1418" i="6"/>
  <c r="AK1418" i="6"/>
  <c r="AJ1418" i="6"/>
  <c r="AI1418" i="6"/>
  <c r="AH1418" i="6"/>
  <c r="AG1418" i="6"/>
  <c r="AF1418" i="6"/>
  <c r="AE1418" i="6"/>
  <c r="AB1418" i="6"/>
  <c r="H1418" i="6"/>
  <c r="H1560" i="6" s="1"/>
  <c r="H1606" i="6" s="1"/>
  <c r="H1652" i="6" s="1"/>
  <c r="G1418" i="6"/>
  <c r="G1560" i="6" s="1"/>
  <c r="G1606" i="6" s="1"/>
  <c r="G1652" i="6" s="1"/>
  <c r="C1418" i="6"/>
  <c r="AQ1417" i="6"/>
  <c r="AP1417" i="6"/>
  <c r="AO1417" i="6"/>
  <c r="AN1417" i="6"/>
  <c r="AM1417" i="6"/>
  <c r="AL1417" i="6"/>
  <c r="AK1417" i="6"/>
  <c r="AJ1417" i="6"/>
  <c r="AI1417" i="6"/>
  <c r="AH1417" i="6"/>
  <c r="AG1417" i="6"/>
  <c r="AF1417" i="6"/>
  <c r="AE1417" i="6"/>
  <c r="AB1417" i="6"/>
  <c r="H1417" i="6"/>
  <c r="H1559" i="6" s="1"/>
  <c r="H1605" i="6" s="1"/>
  <c r="H1651" i="6" s="1"/>
  <c r="G1417" i="6"/>
  <c r="G1559" i="6" s="1"/>
  <c r="G1605" i="6" s="1"/>
  <c r="G1651" i="6" s="1"/>
  <c r="C1417" i="6"/>
  <c r="AQ1416" i="6"/>
  <c r="AP1416" i="6"/>
  <c r="AO1416" i="6"/>
  <c r="AN1416" i="6"/>
  <c r="AM1416" i="6"/>
  <c r="AL1416" i="6"/>
  <c r="AK1416" i="6"/>
  <c r="AJ1416" i="6"/>
  <c r="AI1416" i="6"/>
  <c r="AH1416" i="6"/>
  <c r="AG1416" i="6"/>
  <c r="AF1416" i="6"/>
  <c r="AR1416" i="6" s="1"/>
  <c r="AE1416" i="6"/>
  <c r="AB1416" i="6"/>
  <c r="H1416" i="6"/>
  <c r="H1558" i="6" s="1"/>
  <c r="H1604" i="6" s="1"/>
  <c r="H1650" i="6" s="1"/>
  <c r="G1416" i="6"/>
  <c r="G1558" i="6" s="1"/>
  <c r="G1604" i="6" s="1"/>
  <c r="G1650" i="6" s="1"/>
  <c r="C1416" i="6"/>
  <c r="AQ1415" i="6"/>
  <c r="AP1415" i="6"/>
  <c r="AO1415" i="6"/>
  <c r="AN1415" i="6"/>
  <c r="AM1415" i="6"/>
  <c r="AL1415" i="6"/>
  <c r="AK1415" i="6"/>
  <c r="AJ1415" i="6"/>
  <c r="AI1415" i="6"/>
  <c r="AR1415" i="6" s="1"/>
  <c r="AH1415" i="6"/>
  <c r="AG1415" i="6"/>
  <c r="AF1415" i="6"/>
  <c r="AE1415" i="6"/>
  <c r="AB1415" i="6"/>
  <c r="H1415" i="6"/>
  <c r="H1557" i="6" s="1"/>
  <c r="H1603" i="6" s="1"/>
  <c r="H1649" i="6" s="1"/>
  <c r="G1415" i="6"/>
  <c r="G1557" i="6" s="1"/>
  <c r="G1603" i="6" s="1"/>
  <c r="G1649" i="6" s="1"/>
  <c r="C1415" i="6"/>
  <c r="AQ1414" i="6"/>
  <c r="AP1414" i="6"/>
  <c r="AO1414" i="6"/>
  <c r="AN1414" i="6"/>
  <c r="AM1414" i="6"/>
  <c r="AL1414" i="6"/>
  <c r="AK1414" i="6"/>
  <c r="AJ1414" i="6"/>
  <c r="AI1414" i="6"/>
  <c r="AH1414" i="6"/>
  <c r="AG1414" i="6"/>
  <c r="AF1414" i="6"/>
  <c r="AE1414" i="6"/>
  <c r="AB1414" i="6"/>
  <c r="H1414" i="6"/>
  <c r="H1556" i="6" s="1"/>
  <c r="H1602" i="6" s="1"/>
  <c r="H1648" i="6" s="1"/>
  <c r="G1414" i="6"/>
  <c r="G1556" i="6" s="1"/>
  <c r="G1602" i="6" s="1"/>
  <c r="G1648" i="6" s="1"/>
  <c r="C1414" i="6"/>
  <c r="AQ1413" i="6"/>
  <c r="AP1413" i="6"/>
  <c r="AO1413" i="6"/>
  <c r="AN1413" i="6"/>
  <c r="AM1413" i="6"/>
  <c r="AL1413" i="6"/>
  <c r="AK1413" i="6"/>
  <c r="AJ1413" i="6"/>
  <c r="AI1413" i="6"/>
  <c r="AH1413" i="6"/>
  <c r="AG1413" i="6"/>
  <c r="AF1413" i="6"/>
  <c r="AE1413" i="6"/>
  <c r="AB1413" i="6"/>
  <c r="H1413" i="6"/>
  <c r="H1555" i="6" s="1"/>
  <c r="H1601" i="6" s="1"/>
  <c r="H1647" i="6" s="1"/>
  <c r="G1413" i="6"/>
  <c r="G1555" i="6" s="1"/>
  <c r="G1601" i="6" s="1"/>
  <c r="G1647" i="6" s="1"/>
  <c r="C1413" i="6"/>
  <c r="AQ1412" i="6"/>
  <c r="AP1412" i="6"/>
  <c r="AO1412" i="6"/>
  <c r="AN1412" i="6"/>
  <c r="AM1412" i="6"/>
  <c r="AL1412" i="6"/>
  <c r="AK1412" i="6"/>
  <c r="AJ1412" i="6"/>
  <c r="AI1412" i="6"/>
  <c r="AH1412" i="6"/>
  <c r="AG1412" i="6"/>
  <c r="AF1412" i="6"/>
  <c r="AR1412" i="6" s="1"/>
  <c r="AE1412" i="6"/>
  <c r="AB1412" i="6"/>
  <c r="H1412" i="6"/>
  <c r="H1554" i="6" s="1"/>
  <c r="H1600" i="6" s="1"/>
  <c r="H1646" i="6" s="1"/>
  <c r="G1412" i="6"/>
  <c r="G1554" i="6" s="1"/>
  <c r="G1600" i="6" s="1"/>
  <c r="G1646" i="6" s="1"/>
  <c r="C1412" i="6"/>
  <c r="AQ1411" i="6"/>
  <c r="AP1411" i="6"/>
  <c r="AO1411" i="6"/>
  <c r="AN1411" i="6"/>
  <c r="AM1411" i="6"/>
  <c r="AL1411" i="6"/>
  <c r="AK1411" i="6"/>
  <c r="AJ1411" i="6"/>
  <c r="AI1411" i="6"/>
  <c r="AR1411" i="6" s="1"/>
  <c r="AH1411" i="6"/>
  <c r="AG1411" i="6"/>
  <c r="AF1411" i="6"/>
  <c r="AE1411" i="6"/>
  <c r="AB1411" i="6"/>
  <c r="H1411" i="6"/>
  <c r="G1411" i="6"/>
  <c r="G1553" i="6" s="1"/>
  <c r="G1599" i="6" s="1"/>
  <c r="G1645" i="6" s="1"/>
  <c r="C1411" i="6"/>
  <c r="AQ1410" i="6"/>
  <c r="AP1410" i="6"/>
  <c r="AO1410" i="6"/>
  <c r="AN1410" i="6"/>
  <c r="AM1410" i="6"/>
  <c r="AL1410" i="6"/>
  <c r="AK1410" i="6"/>
  <c r="AJ1410" i="6"/>
  <c r="AI1410" i="6"/>
  <c r="AH1410" i="6"/>
  <c r="AG1410" i="6"/>
  <c r="AF1410" i="6"/>
  <c r="AE1410" i="6"/>
  <c r="AB1410" i="6"/>
  <c r="H1410" i="6"/>
  <c r="H1552" i="6" s="1"/>
  <c r="H1598" i="6" s="1"/>
  <c r="H1644" i="6" s="1"/>
  <c r="G1410" i="6"/>
  <c r="G1552" i="6" s="1"/>
  <c r="G1598" i="6" s="1"/>
  <c r="G1644" i="6" s="1"/>
  <c r="C1410" i="6"/>
  <c r="AQ1409" i="6"/>
  <c r="AP1409" i="6"/>
  <c r="AO1409" i="6"/>
  <c r="AN1409" i="6"/>
  <c r="AM1409" i="6"/>
  <c r="AL1409" i="6"/>
  <c r="AK1409" i="6"/>
  <c r="AJ1409" i="6"/>
  <c r="AI1409" i="6"/>
  <c r="AH1409" i="6"/>
  <c r="AG1409" i="6"/>
  <c r="AF1409" i="6"/>
  <c r="AE1409" i="6"/>
  <c r="AB1409" i="6"/>
  <c r="H1409" i="6"/>
  <c r="H1551" i="6" s="1"/>
  <c r="H1597" i="6" s="1"/>
  <c r="H1643" i="6" s="1"/>
  <c r="G1409" i="6"/>
  <c r="G1551" i="6" s="1"/>
  <c r="G1597" i="6" s="1"/>
  <c r="G1643" i="6" s="1"/>
  <c r="C1409" i="6"/>
  <c r="AQ1408" i="6"/>
  <c r="AP1408" i="6"/>
  <c r="AO1408" i="6"/>
  <c r="AN1408" i="6"/>
  <c r="AM1408" i="6"/>
  <c r="AL1408" i="6"/>
  <c r="AK1408" i="6"/>
  <c r="AJ1408" i="6"/>
  <c r="AI1408" i="6"/>
  <c r="AH1408" i="6"/>
  <c r="AG1408" i="6"/>
  <c r="AF1408" i="6"/>
  <c r="AR1408" i="6" s="1"/>
  <c r="AE1408" i="6"/>
  <c r="AB1408" i="6"/>
  <c r="H1408" i="6"/>
  <c r="H1550" i="6" s="1"/>
  <c r="H1596" i="6" s="1"/>
  <c r="H1642" i="6" s="1"/>
  <c r="G1408" i="6"/>
  <c r="G1550" i="6" s="1"/>
  <c r="G1596" i="6" s="1"/>
  <c r="G1642" i="6" s="1"/>
  <c r="C1408" i="6"/>
  <c r="AQ1407" i="6"/>
  <c r="AP1407" i="6"/>
  <c r="AO1407" i="6"/>
  <c r="AN1407" i="6"/>
  <c r="AM1407" i="6"/>
  <c r="AL1407" i="6"/>
  <c r="AK1407" i="6"/>
  <c r="AJ1407" i="6"/>
  <c r="AI1407" i="6"/>
  <c r="AH1407" i="6"/>
  <c r="AG1407" i="6"/>
  <c r="AF1407" i="6"/>
  <c r="AE1407" i="6"/>
  <c r="AB1407" i="6"/>
  <c r="H1407" i="6"/>
  <c r="H1549" i="6" s="1"/>
  <c r="H1595" i="6" s="1"/>
  <c r="H1641" i="6" s="1"/>
  <c r="G1407" i="6"/>
  <c r="G1549" i="6" s="1"/>
  <c r="G1595" i="6" s="1"/>
  <c r="G1641" i="6" s="1"/>
  <c r="C1407" i="6"/>
  <c r="AQ1406" i="6"/>
  <c r="AP1406" i="6"/>
  <c r="AO1406" i="6"/>
  <c r="AN1406" i="6"/>
  <c r="AM1406" i="6"/>
  <c r="AL1406" i="6"/>
  <c r="AK1406" i="6"/>
  <c r="AJ1406" i="6"/>
  <c r="AI1406" i="6"/>
  <c r="AH1406" i="6"/>
  <c r="AG1406" i="6"/>
  <c r="AF1406" i="6"/>
  <c r="AE1406" i="6"/>
  <c r="AB1406" i="6"/>
  <c r="H1406" i="6"/>
  <c r="H1548" i="6" s="1"/>
  <c r="H1594" i="6" s="1"/>
  <c r="H1640" i="6" s="1"/>
  <c r="G1406" i="6"/>
  <c r="G1548" i="6" s="1"/>
  <c r="G1594" i="6" s="1"/>
  <c r="G1640" i="6" s="1"/>
  <c r="C1406" i="6"/>
  <c r="AQ1405" i="6"/>
  <c r="AP1405" i="6"/>
  <c r="AO1405" i="6"/>
  <c r="AN1405" i="6"/>
  <c r="AM1405" i="6"/>
  <c r="AL1405" i="6"/>
  <c r="AK1405" i="6"/>
  <c r="AJ1405" i="6"/>
  <c r="AI1405" i="6"/>
  <c r="AH1405" i="6"/>
  <c r="AG1405" i="6"/>
  <c r="AF1405" i="6"/>
  <c r="AE1405" i="6"/>
  <c r="AB1405" i="6"/>
  <c r="H1405" i="6"/>
  <c r="H1547" i="6" s="1"/>
  <c r="H1593" i="6" s="1"/>
  <c r="H1639" i="6" s="1"/>
  <c r="G1405" i="6"/>
  <c r="G1547" i="6" s="1"/>
  <c r="G1593" i="6" s="1"/>
  <c r="G1639" i="6" s="1"/>
  <c r="C1405" i="6"/>
  <c r="AQ1404" i="6"/>
  <c r="AP1404" i="6"/>
  <c r="AO1404" i="6"/>
  <c r="AN1404" i="6"/>
  <c r="AM1404" i="6"/>
  <c r="AL1404" i="6"/>
  <c r="AK1404" i="6"/>
  <c r="AJ1404" i="6"/>
  <c r="AI1404" i="6"/>
  <c r="AH1404" i="6"/>
  <c r="AG1404" i="6"/>
  <c r="AF1404" i="6"/>
  <c r="AE1404" i="6"/>
  <c r="AB1404" i="6"/>
  <c r="H1404" i="6"/>
  <c r="H1546" i="6" s="1"/>
  <c r="H1592" i="6" s="1"/>
  <c r="H1638" i="6" s="1"/>
  <c r="G1404" i="6"/>
  <c r="G1546" i="6" s="1"/>
  <c r="G1592" i="6" s="1"/>
  <c r="G1638" i="6" s="1"/>
  <c r="C1404" i="6"/>
  <c r="AQ1403" i="6"/>
  <c r="AP1403" i="6"/>
  <c r="AO1403" i="6"/>
  <c r="AN1403" i="6"/>
  <c r="AM1403" i="6"/>
  <c r="AL1403" i="6"/>
  <c r="AK1403" i="6"/>
  <c r="AJ1403" i="6"/>
  <c r="AI1403" i="6"/>
  <c r="AR1403" i="6" s="1"/>
  <c r="AH1403" i="6"/>
  <c r="AG1403" i="6"/>
  <c r="AF1403" i="6"/>
  <c r="AE1403" i="6"/>
  <c r="AB1403" i="6"/>
  <c r="H1403" i="6"/>
  <c r="H1545" i="6" s="1"/>
  <c r="H1591" i="6" s="1"/>
  <c r="H1637" i="6" s="1"/>
  <c r="G1403" i="6"/>
  <c r="G1545" i="6" s="1"/>
  <c r="G1591" i="6" s="1"/>
  <c r="G1637" i="6" s="1"/>
  <c r="C1403" i="6"/>
  <c r="AQ1402" i="6"/>
  <c r="AP1402" i="6"/>
  <c r="AO1402" i="6"/>
  <c r="AN1402" i="6"/>
  <c r="AM1402" i="6"/>
  <c r="AL1402" i="6"/>
  <c r="AK1402" i="6"/>
  <c r="AJ1402" i="6"/>
  <c r="AI1402" i="6"/>
  <c r="AH1402" i="6"/>
  <c r="AG1402" i="6"/>
  <c r="AF1402" i="6"/>
  <c r="AE1402" i="6"/>
  <c r="AB1402" i="6"/>
  <c r="H1402" i="6"/>
  <c r="H1544" i="6" s="1"/>
  <c r="H1590" i="6" s="1"/>
  <c r="H1636" i="6" s="1"/>
  <c r="G1402" i="6"/>
  <c r="G1544" i="6" s="1"/>
  <c r="G1590" i="6" s="1"/>
  <c r="G1636" i="6" s="1"/>
  <c r="C1402" i="6"/>
  <c r="AQ1401" i="6"/>
  <c r="AP1401" i="6"/>
  <c r="AO1401" i="6"/>
  <c r="AN1401" i="6"/>
  <c r="AM1401" i="6"/>
  <c r="AL1401" i="6"/>
  <c r="AK1401" i="6"/>
  <c r="AJ1401" i="6"/>
  <c r="AI1401" i="6"/>
  <c r="AH1401" i="6"/>
  <c r="AG1401" i="6"/>
  <c r="AF1401" i="6"/>
  <c r="AE1401" i="6"/>
  <c r="AB1401" i="6"/>
  <c r="H1401" i="6"/>
  <c r="H1543" i="6" s="1"/>
  <c r="H1589" i="6" s="1"/>
  <c r="H1635" i="6" s="1"/>
  <c r="G1401" i="6"/>
  <c r="G1543" i="6" s="1"/>
  <c r="G1589" i="6" s="1"/>
  <c r="G1635" i="6" s="1"/>
  <c r="C1401" i="6"/>
  <c r="AQ1400" i="6"/>
  <c r="AP1400" i="6"/>
  <c r="AO1400" i="6"/>
  <c r="AN1400" i="6"/>
  <c r="AM1400" i="6"/>
  <c r="AL1400" i="6"/>
  <c r="AK1400" i="6"/>
  <c r="AJ1400" i="6"/>
  <c r="AI1400" i="6"/>
  <c r="AH1400" i="6"/>
  <c r="AG1400" i="6"/>
  <c r="AF1400" i="6"/>
  <c r="AR1400" i="6" s="1"/>
  <c r="AE1400" i="6"/>
  <c r="AB1400" i="6"/>
  <c r="H1400" i="6"/>
  <c r="H1542" i="6" s="1"/>
  <c r="H1588" i="6" s="1"/>
  <c r="H1634" i="6" s="1"/>
  <c r="G1400" i="6"/>
  <c r="G1542" i="6" s="1"/>
  <c r="G1588" i="6" s="1"/>
  <c r="G1634" i="6" s="1"/>
  <c r="C1400" i="6"/>
  <c r="AQ1399" i="6"/>
  <c r="AP1399" i="6"/>
  <c r="AO1399" i="6"/>
  <c r="AN1399" i="6"/>
  <c r="AM1399" i="6"/>
  <c r="AL1399" i="6"/>
  <c r="AK1399" i="6"/>
  <c r="AJ1399" i="6"/>
  <c r="AI1399" i="6"/>
  <c r="AH1399" i="6"/>
  <c r="AG1399" i="6"/>
  <c r="AF1399" i="6"/>
  <c r="AE1399" i="6"/>
  <c r="AB1399" i="6"/>
  <c r="H1399" i="6"/>
  <c r="H1541" i="6" s="1"/>
  <c r="H1587" i="6" s="1"/>
  <c r="H1633" i="6" s="1"/>
  <c r="G1399" i="6"/>
  <c r="G1541" i="6" s="1"/>
  <c r="G1587" i="6" s="1"/>
  <c r="C1399" i="6"/>
  <c r="AQ1398" i="6"/>
  <c r="AP1398" i="6"/>
  <c r="AO1398" i="6"/>
  <c r="AN1398" i="6"/>
  <c r="AM1398" i="6"/>
  <c r="AL1398" i="6"/>
  <c r="AK1398" i="6"/>
  <c r="AJ1398" i="6"/>
  <c r="AI1398" i="6"/>
  <c r="AH1398" i="6"/>
  <c r="AG1398" i="6"/>
  <c r="AF1398" i="6"/>
  <c r="AE1398" i="6"/>
  <c r="AB1398" i="6"/>
  <c r="H1398" i="6"/>
  <c r="H1540" i="6" s="1"/>
  <c r="H1586" i="6" s="1"/>
  <c r="H1632" i="6" s="1"/>
  <c r="G1398" i="6"/>
  <c r="G1540" i="6" s="1"/>
  <c r="G1586" i="6" s="1"/>
  <c r="G1632" i="6" s="1"/>
  <c r="C1398" i="6"/>
  <c r="AQ1397" i="6"/>
  <c r="AP1397" i="6"/>
  <c r="AO1397" i="6"/>
  <c r="AN1397" i="6"/>
  <c r="AM1397" i="6"/>
  <c r="AL1397" i="6"/>
  <c r="AK1397" i="6"/>
  <c r="AJ1397" i="6"/>
  <c r="AI1397" i="6"/>
  <c r="AH1397" i="6"/>
  <c r="AG1397" i="6"/>
  <c r="AF1397" i="6"/>
  <c r="AE1397" i="6"/>
  <c r="AB1397" i="6"/>
  <c r="H1397" i="6"/>
  <c r="H1539" i="6" s="1"/>
  <c r="H1585" i="6" s="1"/>
  <c r="H1631" i="6" s="1"/>
  <c r="G1397" i="6"/>
  <c r="G1539" i="6" s="1"/>
  <c r="G1585" i="6" s="1"/>
  <c r="G1631" i="6" s="1"/>
  <c r="C1397" i="6"/>
  <c r="AQ1396" i="6"/>
  <c r="AP1396" i="6"/>
  <c r="AO1396" i="6"/>
  <c r="AN1396" i="6"/>
  <c r="AM1396" i="6"/>
  <c r="AL1396" i="6"/>
  <c r="AK1396" i="6"/>
  <c r="AJ1396" i="6"/>
  <c r="AI1396" i="6"/>
  <c r="AH1396" i="6"/>
  <c r="AG1396" i="6"/>
  <c r="AF1396" i="6"/>
  <c r="AE1396" i="6"/>
  <c r="AB1396" i="6"/>
  <c r="H1396" i="6"/>
  <c r="H1538" i="6" s="1"/>
  <c r="H1584" i="6" s="1"/>
  <c r="H1630" i="6" s="1"/>
  <c r="G1396" i="6"/>
  <c r="G1538" i="6" s="1"/>
  <c r="G1584" i="6" s="1"/>
  <c r="G1630" i="6" s="1"/>
  <c r="C1396" i="6"/>
  <c r="AQ1395" i="6"/>
  <c r="AP1395" i="6"/>
  <c r="AO1395" i="6"/>
  <c r="AN1395" i="6"/>
  <c r="AM1395" i="6"/>
  <c r="AL1395" i="6"/>
  <c r="AK1395" i="6"/>
  <c r="AJ1395" i="6"/>
  <c r="AI1395" i="6"/>
  <c r="AR1395" i="6" s="1"/>
  <c r="AH1395" i="6"/>
  <c r="AG1395" i="6"/>
  <c r="AF1395" i="6"/>
  <c r="AE1395" i="6"/>
  <c r="AB1395" i="6"/>
  <c r="H1395" i="6"/>
  <c r="G1395" i="6"/>
  <c r="G1537" i="6" s="1"/>
  <c r="G1583" i="6" s="1"/>
  <c r="G1629" i="6" s="1"/>
  <c r="C1395" i="6"/>
  <c r="AQ1394" i="6"/>
  <c r="AP1394" i="6"/>
  <c r="AO1394" i="6"/>
  <c r="AN1394" i="6"/>
  <c r="AM1394" i="6"/>
  <c r="AL1394" i="6"/>
  <c r="AK1394" i="6"/>
  <c r="AJ1394" i="6"/>
  <c r="AI1394" i="6"/>
  <c r="AH1394" i="6"/>
  <c r="AG1394" i="6"/>
  <c r="AF1394" i="6"/>
  <c r="AE1394" i="6"/>
  <c r="AB1394" i="6"/>
  <c r="H1394" i="6"/>
  <c r="H1536" i="6" s="1"/>
  <c r="H1582" i="6" s="1"/>
  <c r="H1628" i="6" s="1"/>
  <c r="G1394" i="6"/>
  <c r="G1536" i="6" s="1"/>
  <c r="G1582" i="6" s="1"/>
  <c r="G1628" i="6" s="1"/>
  <c r="C1394" i="6"/>
  <c r="AQ1393" i="6"/>
  <c r="AP1393" i="6"/>
  <c r="AO1393" i="6"/>
  <c r="AN1393" i="6"/>
  <c r="AM1393" i="6"/>
  <c r="AL1393" i="6"/>
  <c r="AK1393" i="6"/>
  <c r="AJ1393" i="6"/>
  <c r="AI1393" i="6"/>
  <c r="AH1393" i="6"/>
  <c r="AG1393" i="6"/>
  <c r="AF1393" i="6"/>
  <c r="AR1393" i="6" s="1"/>
  <c r="AE1393" i="6"/>
  <c r="AB1393" i="6"/>
  <c r="H1393" i="6"/>
  <c r="H1535" i="6" s="1"/>
  <c r="H1581" i="6" s="1"/>
  <c r="H1627" i="6" s="1"/>
  <c r="G1393" i="6"/>
  <c r="G1535" i="6" s="1"/>
  <c r="G1581" i="6" s="1"/>
  <c r="G1627" i="6" s="1"/>
  <c r="C1393" i="6"/>
  <c r="AQ1392" i="6"/>
  <c r="AP1392" i="6"/>
  <c r="AO1392" i="6"/>
  <c r="AN1392" i="6"/>
  <c r="AM1392" i="6"/>
  <c r="AL1392" i="6"/>
  <c r="AK1392" i="6"/>
  <c r="AJ1392" i="6"/>
  <c r="AI1392" i="6"/>
  <c r="AH1392" i="6"/>
  <c r="AG1392" i="6"/>
  <c r="AF1392" i="6"/>
  <c r="AR1392" i="6" s="1"/>
  <c r="AE1392" i="6"/>
  <c r="AB1392" i="6"/>
  <c r="H1392" i="6"/>
  <c r="H1534" i="6" s="1"/>
  <c r="H1580" i="6" s="1"/>
  <c r="H1626" i="6" s="1"/>
  <c r="G1392" i="6"/>
  <c r="G1534" i="6" s="1"/>
  <c r="G1580" i="6" s="1"/>
  <c r="G1626" i="6" s="1"/>
  <c r="C1392" i="6"/>
  <c r="AQ1391" i="6"/>
  <c r="AP1391" i="6"/>
  <c r="AO1391" i="6"/>
  <c r="AN1391" i="6"/>
  <c r="AM1391" i="6"/>
  <c r="AL1391" i="6"/>
  <c r="AK1391" i="6"/>
  <c r="AJ1391" i="6"/>
  <c r="AI1391" i="6"/>
  <c r="AH1391" i="6"/>
  <c r="AG1391" i="6"/>
  <c r="AF1391" i="6"/>
  <c r="AE1391" i="6"/>
  <c r="AB1391" i="6"/>
  <c r="H1391" i="6"/>
  <c r="H1533" i="6" s="1"/>
  <c r="H1579" i="6" s="1"/>
  <c r="H1625" i="6" s="1"/>
  <c r="G1391" i="6"/>
  <c r="G1533" i="6" s="1"/>
  <c r="G1579" i="6" s="1"/>
  <c r="G1625" i="6" s="1"/>
  <c r="C1391" i="6"/>
  <c r="AQ1390" i="6"/>
  <c r="AP1390" i="6"/>
  <c r="AO1390" i="6"/>
  <c r="AN1390" i="6"/>
  <c r="AM1390" i="6"/>
  <c r="AL1390" i="6"/>
  <c r="AK1390" i="6"/>
  <c r="AJ1390" i="6"/>
  <c r="AI1390" i="6"/>
  <c r="AH1390" i="6"/>
  <c r="AG1390" i="6"/>
  <c r="AF1390" i="6"/>
  <c r="AE1390" i="6"/>
  <c r="AB1390" i="6"/>
  <c r="H1390" i="6"/>
  <c r="H1532" i="6" s="1"/>
  <c r="H1578" i="6" s="1"/>
  <c r="H1624" i="6" s="1"/>
  <c r="G1390" i="6"/>
  <c r="G1532" i="6" s="1"/>
  <c r="G1578" i="6" s="1"/>
  <c r="G1624" i="6" s="1"/>
  <c r="C1390" i="6"/>
  <c r="AQ1389" i="6"/>
  <c r="AP1389" i="6"/>
  <c r="AO1389" i="6"/>
  <c r="AN1389" i="6"/>
  <c r="AM1389" i="6"/>
  <c r="AL1389" i="6"/>
  <c r="AK1389" i="6"/>
  <c r="AJ1389" i="6"/>
  <c r="AI1389" i="6"/>
  <c r="AH1389" i="6"/>
  <c r="AG1389" i="6"/>
  <c r="AF1389" i="6"/>
  <c r="AE1389" i="6"/>
  <c r="AB1389" i="6"/>
  <c r="H1389" i="6"/>
  <c r="H1531" i="6" s="1"/>
  <c r="H1577" i="6" s="1"/>
  <c r="H1623" i="6" s="1"/>
  <c r="G1389" i="6"/>
  <c r="G1531" i="6" s="1"/>
  <c r="G1577" i="6" s="1"/>
  <c r="G1623" i="6" s="1"/>
  <c r="C1389" i="6"/>
  <c r="AQ1388" i="6"/>
  <c r="AP1388" i="6"/>
  <c r="AO1388" i="6"/>
  <c r="AN1388" i="6"/>
  <c r="AM1388" i="6"/>
  <c r="AL1388" i="6"/>
  <c r="AK1388" i="6"/>
  <c r="AJ1388" i="6"/>
  <c r="AI1388" i="6"/>
  <c r="AH1388" i="6"/>
  <c r="AG1388" i="6"/>
  <c r="AF1388" i="6"/>
  <c r="AE1388" i="6"/>
  <c r="AB1388" i="6"/>
  <c r="C1388" i="6"/>
  <c r="AQ1387" i="6"/>
  <c r="AP1387" i="6"/>
  <c r="AO1387" i="6"/>
  <c r="AN1387" i="6"/>
  <c r="AM1387" i="6"/>
  <c r="AL1387" i="6"/>
  <c r="AK1387" i="6"/>
  <c r="AJ1387" i="6"/>
  <c r="AI1387" i="6"/>
  <c r="AH1387" i="6"/>
  <c r="AG1387" i="6"/>
  <c r="AF1387" i="6"/>
  <c r="AE1387" i="6"/>
  <c r="AB1387" i="6"/>
  <c r="C1387" i="6"/>
  <c r="AQ1386" i="6"/>
  <c r="AP1386" i="6"/>
  <c r="AO1386" i="6"/>
  <c r="AN1386" i="6"/>
  <c r="AM1386" i="6"/>
  <c r="AL1386" i="6"/>
  <c r="AK1386" i="6"/>
  <c r="AJ1386" i="6"/>
  <c r="AI1386" i="6"/>
  <c r="AH1386" i="6"/>
  <c r="AG1386" i="6"/>
  <c r="AF1386" i="6"/>
  <c r="AR1386" i="6" s="1"/>
  <c r="AB1386" i="6"/>
  <c r="H1386" i="6"/>
  <c r="G1386" i="6"/>
  <c r="G1527" i="6" s="1"/>
  <c r="G1573" i="6" s="1"/>
  <c r="G1619" i="6" s="1"/>
  <c r="C1386" i="6"/>
  <c r="AQ1385" i="6"/>
  <c r="AP1385" i="6"/>
  <c r="AO1385" i="6"/>
  <c r="AN1385" i="6"/>
  <c r="AM1385" i="6"/>
  <c r="AL1385" i="6"/>
  <c r="AK1385" i="6"/>
  <c r="AJ1385" i="6"/>
  <c r="AI1385" i="6"/>
  <c r="AR1385" i="6" s="1"/>
  <c r="AH1385" i="6"/>
  <c r="AG1385" i="6"/>
  <c r="AF1385" i="6"/>
  <c r="AE1385" i="6"/>
  <c r="AB1385" i="6"/>
  <c r="H1385" i="6"/>
  <c r="H1526" i="6" s="1"/>
  <c r="H1572" i="6" s="1"/>
  <c r="H1618" i="6" s="1"/>
  <c r="G1385" i="6"/>
  <c r="G1526" i="6" s="1"/>
  <c r="G1572" i="6" s="1"/>
  <c r="G1618" i="6" s="1"/>
  <c r="C1385" i="6"/>
  <c r="AQ1384" i="6"/>
  <c r="AP1384" i="6"/>
  <c r="AO1384" i="6"/>
  <c r="AN1384" i="6"/>
  <c r="AM1384" i="6"/>
  <c r="AL1384" i="6"/>
  <c r="AK1384" i="6"/>
  <c r="AJ1384" i="6"/>
  <c r="AI1384" i="6"/>
  <c r="AH1384" i="6"/>
  <c r="AG1384" i="6"/>
  <c r="AR1384" i="6" s="1"/>
  <c r="AF1384" i="6"/>
  <c r="AB1384" i="6"/>
  <c r="H1384" i="6"/>
  <c r="H1525" i="6" s="1"/>
  <c r="H1571" i="6" s="1"/>
  <c r="H1617" i="6" s="1"/>
  <c r="G1384" i="6"/>
  <c r="G1525" i="6" s="1"/>
  <c r="G1571" i="6" s="1"/>
  <c r="G1617" i="6" s="1"/>
  <c r="C1384" i="6"/>
  <c r="AN1383" i="6"/>
  <c r="AM1383" i="6"/>
  <c r="AK1383" i="6"/>
  <c r="AH1383" i="6"/>
  <c r="AF1383" i="6"/>
  <c r="AA1383" i="6"/>
  <c r="AQ1383" i="6" s="1"/>
  <c r="Z1383" i="6"/>
  <c r="AP1383" i="6" s="1"/>
  <c r="Y1383" i="6"/>
  <c r="AO1383" i="6" s="1"/>
  <c r="X1383" i="6"/>
  <c r="W1383" i="6"/>
  <c r="V1383" i="6"/>
  <c r="AL1383" i="6" s="1"/>
  <c r="U1383" i="6"/>
  <c r="T1383" i="6"/>
  <c r="AJ1383" i="6" s="1"/>
  <c r="S1383" i="6"/>
  <c r="AI1383" i="6" s="1"/>
  <c r="R1383" i="6"/>
  <c r="Q1383" i="6"/>
  <c r="AG1383" i="6" s="1"/>
  <c r="P1383" i="6"/>
  <c r="B1377" i="6"/>
  <c r="B1376" i="6"/>
  <c r="B1375" i="6"/>
  <c r="B1374" i="6"/>
  <c r="AA1373" i="6"/>
  <c r="Z1373" i="6"/>
  <c r="Y1373" i="6"/>
  <c r="X1373" i="6"/>
  <c r="W1373" i="6"/>
  <c r="V1373" i="6"/>
  <c r="U1373" i="6"/>
  <c r="T1373" i="6"/>
  <c r="S1373" i="6"/>
  <c r="R1373" i="6"/>
  <c r="Q1373" i="6"/>
  <c r="P1373" i="6"/>
  <c r="Y1370" i="6"/>
  <c r="Y1369" i="6"/>
  <c r="W1369" i="6"/>
  <c r="V1369" i="6"/>
  <c r="Q1369" i="6"/>
  <c r="B1369" i="6"/>
  <c r="W1368" i="6"/>
  <c r="W1370" i="6" s="1"/>
  <c r="B1368" i="6"/>
  <c r="AA1367" i="6"/>
  <c r="Z1367" i="6"/>
  <c r="Y1367" i="6"/>
  <c r="X1367" i="6"/>
  <c r="W1367" i="6"/>
  <c r="V1367" i="6"/>
  <c r="U1367" i="6"/>
  <c r="T1367" i="6"/>
  <c r="S1367" i="6"/>
  <c r="R1367" i="6"/>
  <c r="Q1367" i="6"/>
  <c r="P1367" i="6"/>
  <c r="B1363" i="6"/>
  <c r="B1362" i="6"/>
  <c r="B1361" i="6"/>
  <c r="B1360" i="6"/>
  <c r="AA1359" i="6"/>
  <c r="Z1359" i="6"/>
  <c r="Y1359" i="6"/>
  <c r="X1359" i="6"/>
  <c r="W1359" i="6"/>
  <c r="V1359" i="6"/>
  <c r="U1359" i="6"/>
  <c r="T1359" i="6"/>
  <c r="S1359" i="6"/>
  <c r="R1359" i="6"/>
  <c r="Q1359" i="6"/>
  <c r="P1359" i="6"/>
  <c r="Y1356" i="6"/>
  <c r="W1356" i="6"/>
  <c r="U1356" i="6"/>
  <c r="Q1356" i="6"/>
  <c r="Y1429" i="6"/>
  <c r="W1429" i="6"/>
  <c r="AM1429" i="6" s="1"/>
  <c r="V1356" i="6"/>
  <c r="U1429" i="6"/>
  <c r="AK1429" i="6" s="1"/>
  <c r="S1430" i="6"/>
  <c r="R1429" i="6"/>
  <c r="AH1429" i="6" s="1"/>
  <c r="Q1429" i="6"/>
  <c r="AG1429" i="6" s="1"/>
  <c r="Y1368" i="6"/>
  <c r="V1368" i="6"/>
  <c r="Q1368" i="6"/>
  <c r="Q1370" i="6" s="1"/>
  <c r="P1369" i="6"/>
  <c r="AA1351" i="6"/>
  <c r="Z1351" i="6"/>
  <c r="Y1351" i="6"/>
  <c r="X1351" i="6"/>
  <c r="W1351" i="6"/>
  <c r="V1351" i="6"/>
  <c r="U1351" i="6"/>
  <c r="T1351" i="6"/>
  <c r="S1351" i="6"/>
  <c r="R1351" i="6"/>
  <c r="Q1351" i="6"/>
  <c r="P1351" i="6"/>
  <c r="AA1347" i="6"/>
  <c r="Z1347" i="6"/>
  <c r="V1347" i="6"/>
  <c r="T1347" i="6"/>
  <c r="S1347" i="6"/>
  <c r="R1347" i="6"/>
  <c r="AA1346" i="6"/>
  <c r="AA1812" i="6" s="1"/>
  <c r="AA1813" i="6" s="1"/>
  <c r="Z1346" i="6"/>
  <c r="Z1812" i="6" s="1"/>
  <c r="Z1813" i="6" s="1"/>
  <c r="Y1346" i="6"/>
  <c r="X1346" i="6"/>
  <c r="W1346" i="6"/>
  <c r="V1346" i="6"/>
  <c r="V1812" i="6" s="1"/>
  <c r="V1813" i="6" s="1"/>
  <c r="U1346" i="6"/>
  <c r="U1812" i="6" s="1"/>
  <c r="U1813" i="6" s="1"/>
  <c r="T1346" i="6"/>
  <c r="T1812" i="6" s="1"/>
  <c r="T1813" i="6" s="1"/>
  <c r="S1346" i="6"/>
  <c r="S1812" i="6" s="1"/>
  <c r="S1813" i="6" s="1"/>
  <c r="R1346" i="6"/>
  <c r="R1812" i="6" s="1"/>
  <c r="R1813" i="6" s="1"/>
  <c r="Q1346" i="6"/>
  <c r="P1346" i="6"/>
  <c r="AB1345" i="6"/>
  <c r="A1337" i="6"/>
  <c r="A1336" i="6"/>
  <c r="A1335" i="6"/>
  <c r="A1334" i="6"/>
  <c r="A1333" i="6"/>
  <c r="A1332" i="6"/>
  <c r="A1331" i="6"/>
  <c r="A1330" i="6"/>
  <c r="A1329" i="6"/>
  <c r="A1328" i="6"/>
  <c r="A1327" i="6"/>
  <c r="A1326" i="6"/>
  <c r="A1325" i="6"/>
  <c r="A1324" i="6"/>
  <c r="A1323" i="6"/>
  <c r="A1322" i="6"/>
  <c r="A1321" i="6"/>
  <c r="A1320" i="6"/>
  <c r="A1319" i="6"/>
  <c r="A1318" i="6"/>
  <c r="A1317" i="6"/>
  <c r="A1316" i="6"/>
  <c r="A1315" i="6"/>
  <c r="A1314" i="6"/>
  <c r="A1313" i="6"/>
  <c r="A1312" i="6"/>
  <c r="A1311" i="6"/>
  <c r="A1310" i="6"/>
  <c r="A1309" i="6"/>
  <c r="A1308" i="6"/>
  <c r="A1307" i="6"/>
  <c r="A1306" i="6"/>
  <c r="A1305" i="6"/>
  <c r="A1304" i="6"/>
  <c r="A1303" i="6"/>
  <c r="A1302" i="6"/>
  <c r="A1301" i="6"/>
  <c r="A1300" i="6"/>
  <c r="A1299" i="6"/>
  <c r="A1298" i="6"/>
  <c r="A1297" i="6"/>
  <c r="A1296" i="6"/>
  <c r="A1295" i="6"/>
  <c r="A1294" i="6"/>
  <c r="A1293" i="6"/>
  <c r="AQ1292" i="6"/>
  <c r="AP1292" i="6"/>
  <c r="AN1292" i="6"/>
  <c r="AJ1292" i="6"/>
  <c r="AI1292" i="6"/>
  <c r="AH1292" i="6"/>
  <c r="AF1292" i="6"/>
  <c r="AE1292" i="6"/>
  <c r="AA1292" i="6"/>
  <c r="Z1292" i="6"/>
  <c r="Y1292" i="6"/>
  <c r="AO1292" i="6" s="1"/>
  <c r="X1292" i="6"/>
  <c r="W1292" i="6"/>
  <c r="AM1292" i="6" s="1"/>
  <c r="V1292" i="6"/>
  <c r="AL1292" i="6" s="1"/>
  <c r="U1292" i="6"/>
  <c r="AK1292" i="6" s="1"/>
  <c r="T1292" i="6"/>
  <c r="S1292" i="6"/>
  <c r="R1292" i="6"/>
  <c r="Q1292" i="6"/>
  <c r="AG1292" i="6" s="1"/>
  <c r="P1292" i="6"/>
  <c r="A1292" i="6"/>
  <c r="A1291" i="6"/>
  <c r="A1290" i="6"/>
  <c r="A1289" i="6"/>
  <c r="A1288" i="6"/>
  <c r="A1287" i="6"/>
  <c r="A1286" i="6"/>
  <c r="A1285" i="6"/>
  <c r="A1284" i="6"/>
  <c r="A1283" i="6"/>
  <c r="A1282" i="6"/>
  <c r="A1281" i="6"/>
  <c r="A1280" i="6"/>
  <c r="A1279" i="6"/>
  <c r="A1278" i="6"/>
  <c r="A1277" i="6"/>
  <c r="A1276" i="6"/>
  <c r="A1275" i="6"/>
  <c r="A1274" i="6"/>
  <c r="A1273" i="6"/>
  <c r="A1272" i="6"/>
  <c r="A1271" i="6"/>
  <c r="A1270" i="6"/>
  <c r="A1269" i="6"/>
  <c r="A1268" i="6"/>
  <c r="A1267" i="6"/>
  <c r="A1266" i="6"/>
  <c r="A1265" i="6"/>
  <c r="A1264" i="6"/>
  <c r="A1263" i="6"/>
  <c r="A1262" i="6"/>
  <c r="A1261" i="6"/>
  <c r="A1260" i="6"/>
  <c r="A1259" i="6"/>
  <c r="A1258" i="6"/>
  <c r="A1257" i="6"/>
  <c r="A1256" i="6"/>
  <c r="A1255" i="6"/>
  <c r="A1254" i="6"/>
  <c r="A1253" i="6"/>
  <c r="A1252" i="6"/>
  <c r="A1251" i="6"/>
  <c r="A1250" i="6"/>
  <c r="A1249" i="6"/>
  <c r="A1248" i="6"/>
  <c r="A1247" i="6"/>
  <c r="AO1246" i="6"/>
  <c r="AN1246" i="6"/>
  <c r="AM1246" i="6"/>
  <c r="AG1246" i="6"/>
  <c r="AF1246" i="6"/>
  <c r="AE1246" i="6"/>
  <c r="AA1246" i="6"/>
  <c r="AQ1246" i="6" s="1"/>
  <c r="Z1246" i="6"/>
  <c r="AP1246" i="6" s="1"/>
  <c r="Y1246" i="6"/>
  <c r="X1246" i="6"/>
  <c r="W1246" i="6"/>
  <c r="V1246" i="6"/>
  <c r="AL1246" i="6" s="1"/>
  <c r="U1246" i="6"/>
  <c r="AK1246" i="6" s="1"/>
  <c r="T1246" i="6"/>
  <c r="AJ1246" i="6" s="1"/>
  <c r="S1246" i="6"/>
  <c r="AI1246" i="6" s="1"/>
  <c r="R1246" i="6"/>
  <c r="AH1246" i="6" s="1"/>
  <c r="Q1246" i="6"/>
  <c r="P1246" i="6"/>
  <c r="A1246" i="6"/>
  <c r="A1245" i="6"/>
  <c r="A1244" i="6"/>
  <c r="A1243" i="6"/>
  <c r="A1242" i="6"/>
  <c r="A1241" i="6"/>
  <c r="A1240" i="6"/>
  <c r="A1239" i="6"/>
  <c r="A1238" i="6"/>
  <c r="A1237" i="6"/>
  <c r="A1236" i="6"/>
  <c r="A1235" i="6"/>
  <c r="A1234" i="6"/>
  <c r="A1233" i="6"/>
  <c r="A1232" i="6"/>
  <c r="A1231" i="6"/>
  <c r="A1230" i="6"/>
  <c r="A1229" i="6"/>
  <c r="A1228" i="6"/>
  <c r="A1227" i="6"/>
  <c r="A1226" i="6"/>
  <c r="A1225" i="6"/>
  <c r="A1224" i="6"/>
  <c r="A1223" i="6"/>
  <c r="A1222" i="6"/>
  <c r="A1221" i="6"/>
  <c r="A1220" i="6"/>
  <c r="A1219" i="6"/>
  <c r="A1218" i="6"/>
  <c r="A1217" i="6"/>
  <c r="A1216" i="6"/>
  <c r="A1215" i="6"/>
  <c r="A1214" i="6"/>
  <c r="A1213" i="6"/>
  <c r="A1212" i="6"/>
  <c r="A1211" i="6"/>
  <c r="A1210" i="6"/>
  <c r="A1209" i="6"/>
  <c r="A1208" i="6"/>
  <c r="A1207" i="6"/>
  <c r="A1206" i="6"/>
  <c r="A1205" i="6"/>
  <c r="A1204" i="6"/>
  <c r="A1203" i="6"/>
  <c r="A1202" i="6"/>
  <c r="A1201" i="6"/>
  <c r="AO1200" i="6"/>
  <c r="AN1200" i="6"/>
  <c r="AL1200" i="6"/>
  <c r="AK1200" i="6"/>
  <c r="AG1200" i="6"/>
  <c r="AF1200" i="6"/>
  <c r="AE1200" i="6"/>
  <c r="AA1200" i="6"/>
  <c r="AQ1200" i="6" s="1"/>
  <c r="Z1200" i="6"/>
  <c r="AP1200" i="6" s="1"/>
  <c r="Y1200" i="6"/>
  <c r="X1200" i="6"/>
  <c r="W1200" i="6"/>
  <c r="AM1200" i="6" s="1"/>
  <c r="V1200" i="6"/>
  <c r="U1200" i="6"/>
  <c r="T1200" i="6"/>
  <c r="AJ1200" i="6" s="1"/>
  <c r="S1200" i="6"/>
  <c r="AI1200" i="6" s="1"/>
  <c r="R1200" i="6"/>
  <c r="AH1200" i="6" s="1"/>
  <c r="Q1200" i="6"/>
  <c r="P1200" i="6"/>
  <c r="A1200" i="6"/>
  <c r="A1199" i="6"/>
  <c r="A1198" i="6"/>
  <c r="A1197" i="6"/>
  <c r="A1196" i="6"/>
  <c r="A1195" i="6"/>
  <c r="A1194" i="6"/>
  <c r="A1193" i="6"/>
  <c r="A1192" i="6"/>
  <c r="A1191" i="6"/>
  <c r="A1190" i="6"/>
  <c r="A1189" i="6"/>
  <c r="A1188" i="6"/>
  <c r="A1187" i="6"/>
  <c r="A1186" i="6"/>
  <c r="A1185" i="6"/>
  <c r="A1184" i="6"/>
  <c r="A1183" i="6"/>
  <c r="A1182" i="6"/>
  <c r="A1181" i="6"/>
  <c r="A1180" i="6"/>
  <c r="A1179" i="6"/>
  <c r="A1178" i="6"/>
  <c r="A1177" i="6"/>
  <c r="A1176" i="6"/>
  <c r="A1175" i="6"/>
  <c r="A1174" i="6"/>
  <c r="A1173" i="6"/>
  <c r="A1172" i="6"/>
  <c r="A1171" i="6"/>
  <c r="A1170" i="6"/>
  <c r="A1169" i="6"/>
  <c r="A1168" i="6"/>
  <c r="A1167" i="6"/>
  <c r="A1166" i="6"/>
  <c r="A1165" i="6"/>
  <c r="A1164" i="6"/>
  <c r="A1163" i="6"/>
  <c r="A1162" i="6"/>
  <c r="A1161" i="6"/>
  <c r="A1160" i="6"/>
  <c r="A1159" i="6"/>
  <c r="A1158" i="6"/>
  <c r="A1157" i="6"/>
  <c r="A1156" i="6"/>
  <c r="A1155" i="6"/>
  <c r="AQ1154" i="6"/>
  <c r="AN1154" i="6"/>
  <c r="AL1154" i="6"/>
  <c r="AK1154" i="6"/>
  <c r="AI1154" i="6"/>
  <c r="AH1154" i="6"/>
  <c r="AF1154" i="6"/>
  <c r="AE1154" i="6"/>
  <c r="AA1154" i="6"/>
  <c r="Z1154" i="6"/>
  <c r="AP1154" i="6" s="1"/>
  <c r="Y1154" i="6"/>
  <c r="AO1154" i="6" s="1"/>
  <c r="X1154" i="6"/>
  <c r="W1154" i="6"/>
  <c r="AM1154" i="6" s="1"/>
  <c r="V1154" i="6"/>
  <c r="U1154" i="6"/>
  <c r="T1154" i="6"/>
  <c r="AJ1154" i="6" s="1"/>
  <c r="S1154" i="6"/>
  <c r="R1154" i="6"/>
  <c r="Q1154" i="6"/>
  <c r="AG1154" i="6" s="1"/>
  <c r="P1154" i="6"/>
  <c r="A1154" i="6"/>
  <c r="A1153" i="6"/>
  <c r="A1152" i="6"/>
  <c r="A1151" i="6"/>
  <c r="A1150" i="6"/>
  <c r="A1149" i="6"/>
  <c r="A1148" i="6"/>
  <c r="A1147" i="6"/>
  <c r="A1146" i="6"/>
  <c r="A1145" i="6"/>
  <c r="I1144" i="6"/>
  <c r="A1144" i="6"/>
  <c r="J1143" i="6"/>
  <c r="I1143" i="6"/>
  <c r="A1143" i="6"/>
  <c r="J1142" i="6"/>
  <c r="A1142" i="6"/>
  <c r="A1141" i="6"/>
  <c r="A1140" i="6"/>
  <c r="A1139" i="6"/>
  <c r="A1138" i="6"/>
  <c r="A1137" i="6"/>
  <c r="A1136" i="6"/>
  <c r="F1135" i="6"/>
  <c r="A1135" i="6"/>
  <c r="J1134" i="6"/>
  <c r="I1134" i="6"/>
  <c r="A1134" i="6"/>
  <c r="A1133" i="6"/>
  <c r="A1132" i="6"/>
  <c r="A1131" i="6"/>
  <c r="A1130" i="6"/>
  <c r="I1129" i="6"/>
  <c r="A1129" i="6"/>
  <c r="M1128" i="6"/>
  <c r="M1174" i="6" s="1"/>
  <c r="M1220" i="6" s="1"/>
  <c r="M1266" i="6" s="1"/>
  <c r="M1312" i="6" s="1"/>
  <c r="A1128" i="6"/>
  <c r="A1127" i="6"/>
  <c r="A1126" i="6"/>
  <c r="A1125" i="6"/>
  <c r="M1124" i="6"/>
  <c r="M1170" i="6" s="1"/>
  <c r="M1216" i="6" s="1"/>
  <c r="M1262" i="6" s="1"/>
  <c r="M1308" i="6" s="1"/>
  <c r="A1124" i="6"/>
  <c r="A1123" i="6"/>
  <c r="A1122" i="6"/>
  <c r="A1121" i="6"/>
  <c r="M1120" i="6"/>
  <c r="M1166" i="6" s="1"/>
  <c r="M1212" i="6" s="1"/>
  <c r="M1258" i="6" s="1"/>
  <c r="M1304" i="6" s="1"/>
  <c r="A1120" i="6"/>
  <c r="A1119" i="6"/>
  <c r="A1118" i="6"/>
  <c r="A1117" i="6"/>
  <c r="A1116" i="6"/>
  <c r="A1115" i="6"/>
  <c r="A1114" i="6"/>
  <c r="A1113" i="6"/>
  <c r="A1112" i="6"/>
  <c r="A1111" i="6"/>
  <c r="A1110" i="6"/>
  <c r="A1109" i="6"/>
  <c r="AM1108" i="6"/>
  <c r="AL1108" i="6"/>
  <c r="AK1108" i="6"/>
  <c r="AJ1108" i="6"/>
  <c r="AE1108" i="6"/>
  <c r="AA1108" i="6"/>
  <c r="AQ1108" i="6" s="1"/>
  <c r="Z1108" i="6"/>
  <c r="AP1108" i="6" s="1"/>
  <c r="Y1108" i="6"/>
  <c r="AO1108" i="6" s="1"/>
  <c r="X1108" i="6"/>
  <c r="AN1108" i="6" s="1"/>
  <c r="W1108" i="6"/>
  <c r="V1108" i="6"/>
  <c r="U1108" i="6"/>
  <c r="T1108" i="6"/>
  <c r="S1108" i="6"/>
  <c r="AI1108" i="6" s="1"/>
  <c r="R1108" i="6"/>
  <c r="AH1108" i="6" s="1"/>
  <c r="Q1108" i="6"/>
  <c r="AG1108" i="6" s="1"/>
  <c r="P1108" i="6"/>
  <c r="AF1108" i="6" s="1"/>
  <c r="A1108" i="6"/>
  <c r="A1107" i="6"/>
  <c r="F1106" i="6"/>
  <c r="A1106" i="6"/>
  <c r="O1105" i="6"/>
  <c r="O1151" i="6" s="1"/>
  <c r="O1197" i="6" s="1"/>
  <c r="O1243" i="6" s="1"/>
  <c r="O1289" i="6" s="1"/>
  <c r="O1335" i="6" s="1"/>
  <c r="A1105" i="6"/>
  <c r="A1104" i="6"/>
  <c r="N1103" i="6"/>
  <c r="N1149" i="6" s="1"/>
  <c r="N1195" i="6" s="1"/>
  <c r="N1241" i="6" s="1"/>
  <c r="N1287" i="6" s="1"/>
  <c r="N1333" i="6" s="1"/>
  <c r="A1103" i="6"/>
  <c r="A1102" i="6"/>
  <c r="F1101" i="6"/>
  <c r="A1101" i="6"/>
  <c r="O1100" i="6"/>
  <c r="O1146" i="6" s="1"/>
  <c r="O1192" i="6" s="1"/>
  <c r="O1238" i="6" s="1"/>
  <c r="O1284" i="6" s="1"/>
  <c r="O1330" i="6" s="1"/>
  <c r="N1100" i="6"/>
  <c r="N1146" i="6" s="1"/>
  <c r="N1192" i="6" s="1"/>
  <c r="N1238" i="6" s="1"/>
  <c r="N1284" i="6" s="1"/>
  <c r="N1330" i="6" s="1"/>
  <c r="A1100" i="6"/>
  <c r="A1099" i="6"/>
  <c r="F1098" i="6"/>
  <c r="A1098" i="6"/>
  <c r="O1097" i="6"/>
  <c r="O1143" i="6" s="1"/>
  <c r="O1189" i="6" s="1"/>
  <c r="O1235" i="6" s="1"/>
  <c r="O1281" i="6" s="1"/>
  <c r="O1327" i="6" s="1"/>
  <c r="A1097" i="6"/>
  <c r="A1096" i="6"/>
  <c r="N1095" i="6"/>
  <c r="N1141" i="6" s="1"/>
  <c r="N1187" i="6" s="1"/>
  <c r="N1233" i="6" s="1"/>
  <c r="N1279" i="6" s="1"/>
  <c r="N1325" i="6" s="1"/>
  <c r="A1095" i="6"/>
  <c r="A1094" i="6"/>
  <c r="F1093" i="6"/>
  <c r="A1093" i="6"/>
  <c r="O1092" i="6"/>
  <c r="O1138" i="6" s="1"/>
  <c r="O1184" i="6" s="1"/>
  <c r="O1230" i="6" s="1"/>
  <c r="O1276" i="6" s="1"/>
  <c r="O1322" i="6" s="1"/>
  <c r="N1092" i="6"/>
  <c r="N1138" i="6" s="1"/>
  <c r="N1184" i="6" s="1"/>
  <c r="N1230" i="6" s="1"/>
  <c r="N1276" i="6" s="1"/>
  <c r="N1322" i="6" s="1"/>
  <c r="A1092" i="6"/>
  <c r="A1091" i="6"/>
  <c r="F1090" i="6"/>
  <c r="A1090" i="6"/>
  <c r="O1089" i="6"/>
  <c r="O1135" i="6" s="1"/>
  <c r="O1181" i="6" s="1"/>
  <c r="O1227" i="6" s="1"/>
  <c r="O1273" i="6" s="1"/>
  <c r="O1319" i="6" s="1"/>
  <c r="A1089" i="6"/>
  <c r="A1088" i="6"/>
  <c r="N1087" i="6"/>
  <c r="N1133" i="6" s="1"/>
  <c r="N1179" i="6" s="1"/>
  <c r="N1225" i="6" s="1"/>
  <c r="N1271" i="6" s="1"/>
  <c r="N1317" i="6" s="1"/>
  <c r="A1087" i="6"/>
  <c r="A1086" i="6"/>
  <c r="F1085" i="6"/>
  <c r="A1085" i="6"/>
  <c r="O1084" i="6"/>
  <c r="O1130" i="6" s="1"/>
  <c r="O1176" i="6" s="1"/>
  <c r="O1222" i="6" s="1"/>
  <c r="O1268" i="6" s="1"/>
  <c r="O1314" i="6" s="1"/>
  <c r="N1084" i="6"/>
  <c r="N1130" i="6" s="1"/>
  <c r="N1176" i="6" s="1"/>
  <c r="N1222" i="6" s="1"/>
  <c r="N1268" i="6" s="1"/>
  <c r="N1314" i="6" s="1"/>
  <c r="A1084" i="6"/>
  <c r="A1083" i="6"/>
  <c r="F1082" i="6"/>
  <c r="A1082" i="6"/>
  <c r="O1081" i="6"/>
  <c r="O1127" i="6" s="1"/>
  <c r="O1173" i="6" s="1"/>
  <c r="O1219" i="6" s="1"/>
  <c r="O1265" i="6" s="1"/>
  <c r="O1311" i="6" s="1"/>
  <c r="A1081" i="6"/>
  <c r="G1080" i="6"/>
  <c r="G1126" i="6" s="1"/>
  <c r="G1172" i="6" s="1"/>
  <c r="G1218" i="6" s="1"/>
  <c r="G1264" i="6" s="1"/>
  <c r="G1310" i="6" s="1"/>
  <c r="F1080" i="6"/>
  <c r="A1080" i="6"/>
  <c r="G1079" i="6"/>
  <c r="G1125" i="6" s="1"/>
  <c r="G1171" i="6" s="1"/>
  <c r="G1217" i="6" s="1"/>
  <c r="G1263" i="6" s="1"/>
  <c r="G1309" i="6" s="1"/>
  <c r="F1079" i="6"/>
  <c r="A1079" i="6"/>
  <c r="G1078" i="6"/>
  <c r="G1124" i="6" s="1"/>
  <c r="G1170" i="6" s="1"/>
  <c r="G1216" i="6" s="1"/>
  <c r="G1262" i="6" s="1"/>
  <c r="G1308" i="6" s="1"/>
  <c r="F1078" i="6"/>
  <c r="A1078" i="6"/>
  <c r="O1077" i="6"/>
  <c r="O1123" i="6" s="1"/>
  <c r="O1169" i="6" s="1"/>
  <c r="O1215" i="6" s="1"/>
  <c r="O1261" i="6" s="1"/>
  <c r="O1307" i="6" s="1"/>
  <c r="N1077" i="6"/>
  <c r="N1123" i="6" s="1"/>
  <c r="N1169" i="6" s="1"/>
  <c r="N1215" i="6" s="1"/>
  <c r="N1261" i="6" s="1"/>
  <c r="N1307" i="6" s="1"/>
  <c r="A1077" i="6"/>
  <c r="F1076" i="6"/>
  <c r="A1076" i="6"/>
  <c r="O1075" i="6"/>
  <c r="O1121" i="6" s="1"/>
  <c r="O1167" i="6" s="1"/>
  <c r="O1213" i="6" s="1"/>
  <c r="O1259" i="6" s="1"/>
  <c r="O1305" i="6" s="1"/>
  <c r="A1075" i="6"/>
  <c r="M1074" i="6"/>
  <c r="A1074" i="6"/>
  <c r="I1073" i="6"/>
  <c r="A1073" i="6"/>
  <c r="J1072" i="6"/>
  <c r="I1072" i="6"/>
  <c r="A1072" i="6"/>
  <c r="I1071" i="6"/>
  <c r="A1071" i="6"/>
  <c r="I1070" i="6"/>
  <c r="A1070" i="6"/>
  <c r="J1069" i="6"/>
  <c r="I1069" i="6"/>
  <c r="A1069" i="6"/>
  <c r="I1068" i="6"/>
  <c r="A1068" i="6"/>
  <c r="I1067" i="6"/>
  <c r="A1067" i="6"/>
  <c r="I1066" i="6"/>
  <c r="A1066" i="6"/>
  <c r="I1065" i="6"/>
  <c r="A1065" i="6"/>
  <c r="J1064" i="6"/>
  <c r="I1064" i="6"/>
  <c r="A1064" i="6"/>
  <c r="I1063" i="6"/>
  <c r="A1063" i="6"/>
  <c r="AQ1062" i="6"/>
  <c r="AP1062" i="6"/>
  <c r="AO1062" i="6"/>
  <c r="AJ1062" i="6"/>
  <c r="AI1062" i="6"/>
  <c r="AH1062" i="6"/>
  <c r="AG1062" i="6"/>
  <c r="AE1062" i="6"/>
  <c r="AA1062" i="6"/>
  <c r="Z1062" i="6"/>
  <c r="Y1062" i="6"/>
  <c r="X1062" i="6"/>
  <c r="AN1062" i="6" s="1"/>
  <c r="W1062" i="6"/>
  <c r="AM1062" i="6" s="1"/>
  <c r="V1062" i="6"/>
  <c r="AL1062" i="6" s="1"/>
  <c r="U1062" i="6"/>
  <c r="AK1062" i="6" s="1"/>
  <c r="T1062" i="6"/>
  <c r="S1062" i="6"/>
  <c r="R1062" i="6"/>
  <c r="Q1062" i="6"/>
  <c r="P1062" i="6"/>
  <c r="AF1062" i="6" s="1"/>
  <c r="A1062" i="6"/>
  <c r="AT1061" i="6"/>
  <c r="O1061" i="6"/>
  <c r="O1107" i="6" s="1"/>
  <c r="O1153" i="6" s="1"/>
  <c r="O1199" i="6" s="1"/>
  <c r="O1245" i="6" s="1"/>
  <c r="O1291" i="6" s="1"/>
  <c r="O1337" i="6" s="1"/>
  <c r="N1061" i="6"/>
  <c r="N1107" i="6" s="1"/>
  <c r="N1153" i="6" s="1"/>
  <c r="N1199" i="6" s="1"/>
  <c r="N1245" i="6" s="1"/>
  <c r="N1291" i="6" s="1"/>
  <c r="N1337" i="6" s="1"/>
  <c r="M1061" i="6"/>
  <c r="M1107" i="6" s="1"/>
  <c r="M1153" i="6" s="1"/>
  <c r="M1199" i="6" s="1"/>
  <c r="M1245" i="6" s="1"/>
  <c r="M1291" i="6" s="1"/>
  <c r="M1337" i="6" s="1"/>
  <c r="J1061" i="6"/>
  <c r="J1107" i="6" s="1"/>
  <c r="I1061" i="6"/>
  <c r="I1107" i="6" s="1"/>
  <c r="F1061" i="6"/>
  <c r="F1107" i="6" s="1"/>
  <c r="A1061" i="6"/>
  <c r="AT1060" i="6"/>
  <c r="O1060" i="6"/>
  <c r="O1106" i="6" s="1"/>
  <c r="O1152" i="6" s="1"/>
  <c r="O1198" i="6" s="1"/>
  <c r="O1244" i="6" s="1"/>
  <c r="O1290" i="6" s="1"/>
  <c r="O1336" i="6" s="1"/>
  <c r="N1060" i="6"/>
  <c r="N1106" i="6" s="1"/>
  <c r="N1152" i="6" s="1"/>
  <c r="N1198" i="6" s="1"/>
  <c r="N1244" i="6" s="1"/>
  <c r="N1290" i="6" s="1"/>
  <c r="N1336" i="6" s="1"/>
  <c r="M1060" i="6"/>
  <c r="M1106" i="6" s="1"/>
  <c r="M1152" i="6" s="1"/>
  <c r="M1198" i="6" s="1"/>
  <c r="M1244" i="6" s="1"/>
  <c r="M1290" i="6" s="1"/>
  <c r="M1336" i="6" s="1"/>
  <c r="J1060" i="6"/>
  <c r="J1106" i="6" s="1"/>
  <c r="I1060" i="6"/>
  <c r="I1106" i="6" s="1"/>
  <c r="F1060" i="6"/>
  <c r="B1060" i="6" s="1"/>
  <c r="A1060" i="6"/>
  <c r="AT1059" i="6"/>
  <c r="O1059" i="6"/>
  <c r="N1059" i="6"/>
  <c r="N1105" i="6" s="1"/>
  <c r="N1151" i="6" s="1"/>
  <c r="N1197" i="6" s="1"/>
  <c r="N1243" i="6" s="1"/>
  <c r="N1289" i="6" s="1"/>
  <c r="N1335" i="6" s="1"/>
  <c r="M1059" i="6"/>
  <c r="M1105" i="6" s="1"/>
  <c r="M1151" i="6" s="1"/>
  <c r="M1197" i="6" s="1"/>
  <c r="M1243" i="6" s="1"/>
  <c r="M1289" i="6" s="1"/>
  <c r="M1335" i="6" s="1"/>
  <c r="J1059" i="6"/>
  <c r="J1105" i="6" s="1"/>
  <c r="I1059" i="6"/>
  <c r="I1105" i="6" s="1"/>
  <c r="F1059" i="6"/>
  <c r="F1105" i="6" s="1"/>
  <c r="A1059" i="6"/>
  <c r="AT1058" i="6"/>
  <c r="O1058" i="6"/>
  <c r="O1104" i="6" s="1"/>
  <c r="O1150" i="6" s="1"/>
  <c r="O1196" i="6" s="1"/>
  <c r="O1242" i="6" s="1"/>
  <c r="O1288" i="6" s="1"/>
  <c r="O1334" i="6" s="1"/>
  <c r="N1058" i="6"/>
  <c r="N1104" i="6" s="1"/>
  <c r="N1150" i="6" s="1"/>
  <c r="N1196" i="6" s="1"/>
  <c r="N1242" i="6" s="1"/>
  <c r="N1288" i="6" s="1"/>
  <c r="N1334" i="6" s="1"/>
  <c r="M1058" i="6"/>
  <c r="M1104" i="6" s="1"/>
  <c r="M1150" i="6" s="1"/>
  <c r="M1196" i="6" s="1"/>
  <c r="M1242" i="6" s="1"/>
  <c r="M1288" i="6" s="1"/>
  <c r="M1334" i="6" s="1"/>
  <c r="J1058" i="6"/>
  <c r="J1104" i="6" s="1"/>
  <c r="I1058" i="6"/>
  <c r="I1104" i="6" s="1"/>
  <c r="F1058" i="6"/>
  <c r="F1104" i="6" s="1"/>
  <c r="A1058" i="6"/>
  <c r="AT1057" i="6"/>
  <c r="O1057" i="6"/>
  <c r="O1103" i="6" s="1"/>
  <c r="O1149" i="6" s="1"/>
  <c r="O1195" i="6" s="1"/>
  <c r="O1241" i="6" s="1"/>
  <c r="O1287" i="6" s="1"/>
  <c r="O1333" i="6" s="1"/>
  <c r="N1057" i="6"/>
  <c r="M1057" i="6"/>
  <c r="M1103" i="6" s="1"/>
  <c r="M1149" i="6" s="1"/>
  <c r="M1195" i="6" s="1"/>
  <c r="M1241" i="6" s="1"/>
  <c r="M1287" i="6" s="1"/>
  <c r="M1333" i="6" s="1"/>
  <c r="J1057" i="6"/>
  <c r="J1103" i="6" s="1"/>
  <c r="AT1103" i="6" s="1"/>
  <c r="I1057" i="6"/>
  <c r="I1103" i="6" s="1"/>
  <c r="F1057" i="6"/>
  <c r="F1103" i="6" s="1"/>
  <c r="A1057" i="6"/>
  <c r="AT1056" i="6"/>
  <c r="O1056" i="6"/>
  <c r="O1102" i="6" s="1"/>
  <c r="O1148" i="6" s="1"/>
  <c r="O1194" i="6" s="1"/>
  <c r="O1240" i="6" s="1"/>
  <c r="O1286" i="6" s="1"/>
  <c r="O1332" i="6" s="1"/>
  <c r="N1056" i="6"/>
  <c r="N1102" i="6" s="1"/>
  <c r="N1148" i="6" s="1"/>
  <c r="N1194" i="6" s="1"/>
  <c r="N1240" i="6" s="1"/>
  <c r="N1286" i="6" s="1"/>
  <c r="N1332" i="6" s="1"/>
  <c r="M1056" i="6"/>
  <c r="M1102" i="6" s="1"/>
  <c r="M1148" i="6" s="1"/>
  <c r="M1194" i="6" s="1"/>
  <c r="M1240" i="6" s="1"/>
  <c r="M1286" i="6" s="1"/>
  <c r="M1332" i="6" s="1"/>
  <c r="J1056" i="6"/>
  <c r="J1102" i="6" s="1"/>
  <c r="AT1102" i="6" s="1"/>
  <c r="I1056" i="6"/>
  <c r="I1102" i="6" s="1"/>
  <c r="F1056" i="6"/>
  <c r="F1102" i="6" s="1"/>
  <c r="A1056" i="6"/>
  <c r="AT1055" i="6"/>
  <c r="O1055" i="6"/>
  <c r="O1101" i="6" s="1"/>
  <c r="O1147" i="6" s="1"/>
  <c r="O1193" i="6" s="1"/>
  <c r="O1239" i="6" s="1"/>
  <c r="O1285" i="6" s="1"/>
  <c r="O1331" i="6" s="1"/>
  <c r="N1055" i="6"/>
  <c r="N1101" i="6" s="1"/>
  <c r="N1147" i="6" s="1"/>
  <c r="N1193" i="6" s="1"/>
  <c r="N1239" i="6" s="1"/>
  <c r="N1285" i="6" s="1"/>
  <c r="N1331" i="6" s="1"/>
  <c r="M1055" i="6"/>
  <c r="M1101" i="6" s="1"/>
  <c r="M1147" i="6" s="1"/>
  <c r="M1193" i="6" s="1"/>
  <c r="M1239" i="6" s="1"/>
  <c r="M1285" i="6" s="1"/>
  <c r="M1331" i="6" s="1"/>
  <c r="J1055" i="6"/>
  <c r="J1101" i="6" s="1"/>
  <c r="I1055" i="6"/>
  <c r="I1101" i="6" s="1"/>
  <c r="F1055" i="6"/>
  <c r="B1055" i="6" s="1"/>
  <c r="A1055" i="6"/>
  <c r="AT1054" i="6"/>
  <c r="O1054" i="6"/>
  <c r="N1054" i="6"/>
  <c r="M1054" i="6"/>
  <c r="M1100" i="6" s="1"/>
  <c r="M1146" i="6" s="1"/>
  <c r="M1192" i="6" s="1"/>
  <c r="M1238" i="6" s="1"/>
  <c r="M1284" i="6" s="1"/>
  <c r="M1330" i="6" s="1"/>
  <c r="J1054" i="6"/>
  <c r="J1100" i="6" s="1"/>
  <c r="I1054" i="6"/>
  <c r="I1100" i="6" s="1"/>
  <c r="F1054" i="6"/>
  <c r="F1100" i="6" s="1"/>
  <c r="A1054" i="6"/>
  <c r="AT1053" i="6"/>
  <c r="O1053" i="6"/>
  <c r="O1099" i="6" s="1"/>
  <c r="O1145" i="6" s="1"/>
  <c r="O1191" i="6" s="1"/>
  <c r="O1237" i="6" s="1"/>
  <c r="O1283" i="6" s="1"/>
  <c r="O1329" i="6" s="1"/>
  <c r="N1053" i="6"/>
  <c r="N1099" i="6" s="1"/>
  <c r="N1145" i="6" s="1"/>
  <c r="N1191" i="6" s="1"/>
  <c r="N1237" i="6" s="1"/>
  <c r="N1283" i="6" s="1"/>
  <c r="N1329" i="6" s="1"/>
  <c r="M1053" i="6"/>
  <c r="M1099" i="6" s="1"/>
  <c r="M1145" i="6" s="1"/>
  <c r="M1191" i="6" s="1"/>
  <c r="M1237" i="6" s="1"/>
  <c r="M1283" i="6" s="1"/>
  <c r="M1329" i="6" s="1"/>
  <c r="J1053" i="6"/>
  <c r="J1099" i="6" s="1"/>
  <c r="I1053" i="6"/>
  <c r="I1099" i="6" s="1"/>
  <c r="F1053" i="6"/>
  <c r="F1099" i="6" s="1"/>
  <c r="A1053" i="6"/>
  <c r="AT1052" i="6"/>
  <c r="O1052" i="6"/>
  <c r="O1098" i="6" s="1"/>
  <c r="O1144" i="6" s="1"/>
  <c r="O1190" i="6" s="1"/>
  <c r="O1236" i="6" s="1"/>
  <c r="O1282" i="6" s="1"/>
  <c r="O1328" i="6" s="1"/>
  <c r="N1052" i="6"/>
  <c r="N1098" i="6" s="1"/>
  <c r="N1144" i="6" s="1"/>
  <c r="N1190" i="6" s="1"/>
  <c r="N1236" i="6" s="1"/>
  <c r="N1282" i="6" s="1"/>
  <c r="N1328" i="6" s="1"/>
  <c r="M1052" i="6"/>
  <c r="M1098" i="6" s="1"/>
  <c r="M1144" i="6" s="1"/>
  <c r="M1190" i="6" s="1"/>
  <c r="M1236" i="6" s="1"/>
  <c r="M1282" i="6" s="1"/>
  <c r="M1328" i="6" s="1"/>
  <c r="J1052" i="6"/>
  <c r="J1098" i="6" s="1"/>
  <c r="I1052" i="6"/>
  <c r="I1098" i="6" s="1"/>
  <c r="F1052" i="6"/>
  <c r="B1052" i="6" s="1"/>
  <c r="A1052" i="6"/>
  <c r="AT1051" i="6"/>
  <c r="O1051" i="6"/>
  <c r="N1051" i="6"/>
  <c r="N1097" i="6" s="1"/>
  <c r="N1143" i="6" s="1"/>
  <c r="N1189" i="6" s="1"/>
  <c r="N1235" i="6" s="1"/>
  <c r="N1281" i="6" s="1"/>
  <c r="N1327" i="6" s="1"/>
  <c r="M1051" i="6"/>
  <c r="M1097" i="6" s="1"/>
  <c r="M1143" i="6" s="1"/>
  <c r="M1189" i="6" s="1"/>
  <c r="M1235" i="6" s="1"/>
  <c r="M1281" i="6" s="1"/>
  <c r="M1327" i="6" s="1"/>
  <c r="J1051" i="6"/>
  <c r="J1097" i="6" s="1"/>
  <c r="AT1097" i="6" s="1"/>
  <c r="I1051" i="6"/>
  <c r="I1097" i="6" s="1"/>
  <c r="F1051" i="6"/>
  <c r="F1097" i="6" s="1"/>
  <c r="A1051" i="6"/>
  <c r="AT1050" i="6"/>
  <c r="O1050" i="6"/>
  <c r="O1096" i="6" s="1"/>
  <c r="O1142" i="6" s="1"/>
  <c r="O1188" i="6" s="1"/>
  <c r="O1234" i="6" s="1"/>
  <c r="O1280" i="6" s="1"/>
  <c r="O1326" i="6" s="1"/>
  <c r="N1050" i="6"/>
  <c r="N1096" i="6" s="1"/>
  <c r="N1142" i="6" s="1"/>
  <c r="N1188" i="6" s="1"/>
  <c r="N1234" i="6" s="1"/>
  <c r="N1280" i="6" s="1"/>
  <c r="N1326" i="6" s="1"/>
  <c r="M1050" i="6"/>
  <c r="M1096" i="6" s="1"/>
  <c r="M1142" i="6" s="1"/>
  <c r="M1188" i="6" s="1"/>
  <c r="M1234" i="6" s="1"/>
  <c r="M1280" i="6" s="1"/>
  <c r="M1326" i="6" s="1"/>
  <c r="J1050" i="6"/>
  <c r="J1096" i="6" s="1"/>
  <c r="AT1096" i="6" s="1"/>
  <c r="I1050" i="6"/>
  <c r="I1096" i="6" s="1"/>
  <c r="F1050" i="6"/>
  <c r="F1096" i="6" s="1"/>
  <c r="A1050" i="6"/>
  <c r="AT1049" i="6"/>
  <c r="O1049" i="6"/>
  <c r="O1095" i="6" s="1"/>
  <c r="O1141" i="6" s="1"/>
  <c r="O1187" i="6" s="1"/>
  <c r="O1233" i="6" s="1"/>
  <c r="O1279" i="6" s="1"/>
  <c r="O1325" i="6" s="1"/>
  <c r="N1049" i="6"/>
  <c r="M1049" i="6"/>
  <c r="M1095" i="6" s="1"/>
  <c r="M1141" i="6" s="1"/>
  <c r="M1187" i="6" s="1"/>
  <c r="M1233" i="6" s="1"/>
  <c r="M1279" i="6" s="1"/>
  <c r="M1325" i="6" s="1"/>
  <c r="J1049" i="6"/>
  <c r="J1095" i="6" s="1"/>
  <c r="I1049" i="6"/>
  <c r="I1095" i="6" s="1"/>
  <c r="F1049" i="6"/>
  <c r="F1095" i="6" s="1"/>
  <c r="A1049" i="6"/>
  <c r="AT1048" i="6"/>
  <c r="O1048" i="6"/>
  <c r="O1094" i="6" s="1"/>
  <c r="O1140" i="6" s="1"/>
  <c r="O1186" i="6" s="1"/>
  <c r="O1232" i="6" s="1"/>
  <c r="O1278" i="6" s="1"/>
  <c r="O1324" i="6" s="1"/>
  <c r="N1048" i="6"/>
  <c r="N1094" i="6" s="1"/>
  <c r="N1140" i="6" s="1"/>
  <c r="N1186" i="6" s="1"/>
  <c r="N1232" i="6" s="1"/>
  <c r="N1278" i="6" s="1"/>
  <c r="N1324" i="6" s="1"/>
  <c r="M1048" i="6"/>
  <c r="M1094" i="6" s="1"/>
  <c r="M1140" i="6" s="1"/>
  <c r="M1186" i="6" s="1"/>
  <c r="M1232" i="6" s="1"/>
  <c r="M1278" i="6" s="1"/>
  <c r="M1324" i="6" s="1"/>
  <c r="J1048" i="6"/>
  <c r="J1094" i="6" s="1"/>
  <c r="I1048" i="6"/>
  <c r="I1094" i="6" s="1"/>
  <c r="F1048" i="6"/>
  <c r="F1094" i="6" s="1"/>
  <c r="A1048" i="6"/>
  <c r="AT1047" i="6"/>
  <c r="O1047" i="6"/>
  <c r="O1093" i="6" s="1"/>
  <c r="O1139" i="6" s="1"/>
  <c r="O1185" i="6" s="1"/>
  <c r="O1231" i="6" s="1"/>
  <c r="O1277" i="6" s="1"/>
  <c r="O1323" i="6" s="1"/>
  <c r="N1047" i="6"/>
  <c r="N1093" i="6" s="1"/>
  <c r="N1139" i="6" s="1"/>
  <c r="N1185" i="6" s="1"/>
  <c r="N1231" i="6" s="1"/>
  <c r="N1277" i="6" s="1"/>
  <c r="N1323" i="6" s="1"/>
  <c r="M1047" i="6"/>
  <c r="M1093" i="6" s="1"/>
  <c r="M1139" i="6" s="1"/>
  <c r="M1185" i="6" s="1"/>
  <c r="M1231" i="6" s="1"/>
  <c r="M1277" i="6" s="1"/>
  <c r="M1323" i="6" s="1"/>
  <c r="J1047" i="6"/>
  <c r="J1093" i="6" s="1"/>
  <c r="I1047" i="6"/>
  <c r="I1093" i="6" s="1"/>
  <c r="F1047" i="6"/>
  <c r="B1047" i="6" s="1"/>
  <c r="A1047" i="6"/>
  <c r="AT1046" i="6"/>
  <c r="O1046" i="6"/>
  <c r="N1046" i="6"/>
  <c r="M1046" i="6"/>
  <c r="M1092" i="6" s="1"/>
  <c r="M1138" i="6" s="1"/>
  <c r="M1184" i="6" s="1"/>
  <c r="M1230" i="6" s="1"/>
  <c r="M1276" i="6" s="1"/>
  <c r="M1322" i="6" s="1"/>
  <c r="J1046" i="6"/>
  <c r="J1092" i="6" s="1"/>
  <c r="AT1092" i="6" s="1"/>
  <c r="I1046" i="6"/>
  <c r="I1092" i="6" s="1"/>
  <c r="F1046" i="6"/>
  <c r="F1092" i="6" s="1"/>
  <c r="A1046" i="6"/>
  <c r="AT1045" i="6"/>
  <c r="O1045" i="6"/>
  <c r="O1091" i="6" s="1"/>
  <c r="O1137" i="6" s="1"/>
  <c r="O1183" i="6" s="1"/>
  <c r="O1229" i="6" s="1"/>
  <c r="O1275" i="6" s="1"/>
  <c r="O1321" i="6" s="1"/>
  <c r="N1045" i="6"/>
  <c r="N1091" i="6" s="1"/>
  <c r="N1137" i="6" s="1"/>
  <c r="N1183" i="6" s="1"/>
  <c r="N1229" i="6" s="1"/>
  <c r="N1275" i="6" s="1"/>
  <c r="N1321" i="6" s="1"/>
  <c r="M1045" i="6"/>
  <c r="M1091" i="6" s="1"/>
  <c r="M1137" i="6" s="1"/>
  <c r="M1183" i="6" s="1"/>
  <c r="M1229" i="6" s="1"/>
  <c r="M1275" i="6" s="1"/>
  <c r="M1321" i="6" s="1"/>
  <c r="J1045" i="6"/>
  <c r="J1091" i="6" s="1"/>
  <c r="I1045" i="6"/>
  <c r="I1091" i="6" s="1"/>
  <c r="I1137" i="6" s="1"/>
  <c r="F1045" i="6"/>
  <c r="F1091" i="6" s="1"/>
  <c r="A1045" i="6"/>
  <c r="AT1044" i="6"/>
  <c r="O1044" i="6"/>
  <c r="O1090" i="6" s="1"/>
  <c r="O1136" i="6" s="1"/>
  <c r="O1182" i="6" s="1"/>
  <c r="O1228" i="6" s="1"/>
  <c r="O1274" i="6" s="1"/>
  <c r="O1320" i="6" s="1"/>
  <c r="N1044" i="6"/>
  <c r="N1090" i="6" s="1"/>
  <c r="N1136" i="6" s="1"/>
  <c r="N1182" i="6" s="1"/>
  <c r="N1228" i="6" s="1"/>
  <c r="N1274" i="6" s="1"/>
  <c r="N1320" i="6" s="1"/>
  <c r="M1044" i="6"/>
  <c r="M1090" i="6" s="1"/>
  <c r="M1136" i="6" s="1"/>
  <c r="M1182" i="6" s="1"/>
  <c r="M1228" i="6" s="1"/>
  <c r="M1274" i="6" s="1"/>
  <c r="M1320" i="6" s="1"/>
  <c r="J1044" i="6"/>
  <c r="J1090" i="6" s="1"/>
  <c r="I1044" i="6"/>
  <c r="I1090" i="6" s="1"/>
  <c r="F1044" i="6"/>
  <c r="B1044" i="6" s="1"/>
  <c r="A1044" i="6"/>
  <c r="AT1043" i="6"/>
  <c r="O1043" i="6"/>
  <c r="N1043" i="6"/>
  <c r="N1089" i="6" s="1"/>
  <c r="N1135" i="6" s="1"/>
  <c r="N1181" i="6" s="1"/>
  <c r="N1227" i="6" s="1"/>
  <c r="N1273" i="6" s="1"/>
  <c r="N1319" i="6" s="1"/>
  <c r="M1043" i="6"/>
  <c r="M1089" i="6" s="1"/>
  <c r="M1135" i="6" s="1"/>
  <c r="M1181" i="6" s="1"/>
  <c r="M1227" i="6" s="1"/>
  <c r="M1273" i="6" s="1"/>
  <c r="M1319" i="6" s="1"/>
  <c r="J1043" i="6"/>
  <c r="J1089" i="6" s="1"/>
  <c r="I1043" i="6"/>
  <c r="I1089" i="6" s="1"/>
  <c r="F1043" i="6"/>
  <c r="F1089" i="6" s="1"/>
  <c r="B1089" i="6" s="1"/>
  <c r="A1043" i="6"/>
  <c r="AT1042" i="6"/>
  <c r="O1042" i="6"/>
  <c r="O1088" i="6" s="1"/>
  <c r="O1134" i="6" s="1"/>
  <c r="O1180" i="6" s="1"/>
  <c r="O1226" i="6" s="1"/>
  <c r="O1272" i="6" s="1"/>
  <c r="O1318" i="6" s="1"/>
  <c r="N1042" i="6"/>
  <c r="N1088" i="6" s="1"/>
  <c r="N1134" i="6" s="1"/>
  <c r="N1180" i="6" s="1"/>
  <c r="N1226" i="6" s="1"/>
  <c r="N1272" i="6" s="1"/>
  <c r="N1318" i="6" s="1"/>
  <c r="M1042" i="6"/>
  <c r="M1088" i="6" s="1"/>
  <c r="M1134" i="6" s="1"/>
  <c r="M1180" i="6" s="1"/>
  <c r="M1226" i="6" s="1"/>
  <c r="M1272" i="6" s="1"/>
  <c r="M1318" i="6" s="1"/>
  <c r="J1042" i="6"/>
  <c r="J1088" i="6" s="1"/>
  <c r="AT1088" i="6" s="1"/>
  <c r="I1042" i="6"/>
  <c r="I1088" i="6" s="1"/>
  <c r="F1042" i="6"/>
  <c r="F1088" i="6" s="1"/>
  <c r="A1042" i="6"/>
  <c r="AT1041" i="6"/>
  <c r="O1041" i="6"/>
  <c r="O1087" i="6" s="1"/>
  <c r="O1133" i="6" s="1"/>
  <c r="O1179" i="6" s="1"/>
  <c r="O1225" i="6" s="1"/>
  <c r="O1271" i="6" s="1"/>
  <c r="O1317" i="6" s="1"/>
  <c r="N1041" i="6"/>
  <c r="M1041" i="6"/>
  <c r="M1087" i="6" s="1"/>
  <c r="M1133" i="6" s="1"/>
  <c r="M1179" i="6" s="1"/>
  <c r="M1225" i="6" s="1"/>
  <c r="M1271" i="6" s="1"/>
  <c r="M1317" i="6" s="1"/>
  <c r="J1041" i="6"/>
  <c r="I1041" i="6"/>
  <c r="I1087" i="6" s="1"/>
  <c r="F1041" i="6"/>
  <c r="F1087" i="6" s="1"/>
  <c r="A1041" i="6"/>
  <c r="O1040" i="6"/>
  <c r="O1086" i="6" s="1"/>
  <c r="O1132" i="6" s="1"/>
  <c r="O1178" i="6" s="1"/>
  <c r="O1224" i="6" s="1"/>
  <c r="O1270" i="6" s="1"/>
  <c r="O1316" i="6" s="1"/>
  <c r="N1040" i="6"/>
  <c r="N1086" i="6" s="1"/>
  <c r="N1132" i="6" s="1"/>
  <c r="N1178" i="6" s="1"/>
  <c r="N1224" i="6" s="1"/>
  <c r="N1270" i="6" s="1"/>
  <c r="N1316" i="6" s="1"/>
  <c r="M1040" i="6"/>
  <c r="M1086" i="6" s="1"/>
  <c r="M1132" i="6" s="1"/>
  <c r="M1178" i="6" s="1"/>
  <c r="M1224" i="6" s="1"/>
  <c r="M1270" i="6" s="1"/>
  <c r="M1316" i="6" s="1"/>
  <c r="J1040" i="6"/>
  <c r="I1040" i="6"/>
  <c r="I1086" i="6" s="1"/>
  <c r="F1040" i="6"/>
  <c r="F1086" i="6" s="1"/>
  <c r="A1040" i="6"/>
  <c r="O1039" i="6"/>
  <c r="O1085" i="6" s="1"/>
  <c r="O1131" i="6" s="1"/>
  <c r="O1177" i="6" s="1"/>
  <c r="O1223" i="6" s="1"/>
  <c r="O1269" i="6" s="1"/>
  <c r="O1315" i="6" s="1"/>
  <c r="N1039" i="6"/>
  <c r="N1085" i="6" s="1"/>
  <c r="N1131" i="6" s="1"/>
  <c r="N1177" i="6" s="1"/>
  <c r="N1223" i="6" s="1"/>
  <c r="N1269" i="6" s="1"/>
  <c r="N1315" i="6" s="1"/>
  <c r="M1039" i="6"/>
  <c r="M1085" i="6" s="1"/>
  <c r="M1131" i="6" s="1"/>
  <c r="M1177" i="6" s="1"/>
  <c r="M1223" i="6" s="1"/>
  <c r="M1269" i="6" s="1"/>
  <c r="M1315" i="6" s="1"/>
  <c r="J1039" i="6"/>
  <c r="I1039" i="6"/>
  <c r="I1085" i="6" s="1"/>
  <c r="F1039" i="6"/>
  <c r="A1039" i="6"/>
  <c r="O1038" i="6"/>
  <c r="N1038" i="6"/>
  <c r="M1038" i="6"/>
  <c r="M1084" i="6" s="1"/>
  <c r="M1130" i="6" s="1"/>
  <c r="M1176" i="6" s="1"/>
  <c r="M1222" i="6" s="1"/>
  <c r="M1268" i="6" s="1"/>
  <c r="M1314" i="6" s="1"/>
  <c r="J1038" i="6"/>
  <c r="I1038" i="6"/>
  <c r="I1084" i="6" s="1"/>
  <c r="F1038" i="6"/>
  <c r="F1084" i="6" s="1"/>
  <c r="A1038" i="6"/>
  <c r="O1037" i="6"/>
  <c r="O1083" i="6" s="1"/>
  <c r="O1129" i="6" s="1"/>
  <c r="O1175" i="6" s="1"/>
  <c r="O1221" i="6" s="1"/>
  <c r="O1267" i="6" s="1"/>
  <c r="O1313" i="6" s="1"/>
  <c r="N1037" i="6"/>
  <c r="N1083" i="6" s="1"/>
  <c r="N1129" i="6" s="1"/>
  <c r="N1175" i="6" s="1"/>
  <c r="N1221" i="6" s="1"/>
  <c r="N1267" i="6" s="1"/>
  <c r="N1313" i="6" s="1"/>
  <c r="M1037" i="6"/>
  <c r="M1083" i="6" s="1"/>
  <c r="M1129" i="6" s="1"/>
  <c r="M1175" i="6" s="1"/>
  <c r="M1221" i="6" s="1"/>
  <c r="M1267" i="6" s="1"/>
  <c r="M1313" i="6" s="1"/>
  <c r="J1037" i="6"/>
  <c r="I1037" i="6"/>
  <c r="I1083" i="6" s="1"/>
  <c r="F1037" i="6"/>
  <c r="F1083" i="6" s="1"/>
  <c r="A1037" i="6"/>
  <c r="O1036" i="6"/>
  <c r="O1082" i="6" s="1"/>
  <c r="O1128" i="6" s="1"/>
  <c r="O1174" i="6" s="1"/>
  <c r="O1220" i="6" s="1"/>
  <c r="O1266" i="6" s="1"/>
  <c r="O1312" i="6" s="1"/>
  <c r="N1036" i="6"/>
  <c r="N1082" i="6" s="1"/>
  <c r="N1128" i="6" s="1"/>
  <c r="N1174" i="6" s="1"/>
  <c r="N1220" i="6" s="1"/>
  <c r="N1266" i="6" s="1"/>
  <c r="N1312" i="6" s="1"/>
  <c r="M1036" i="6"/>
  <c r="M1082" i="6" s="1"/>
  <c r="J1036" i="6"/>
  <c r="I1036" i="6"/>
  <c r="I1082" i="6" s="1"/>
  <c r="F1036" i="6"/>
  <c r="A1036" i="6"/>
  <c r="O1035" i="6"/>
  <c r="N1035" i="6"/>
  <c r="N1081" i="6" s="1"/>
  <c r="N1127" i="6" s="1"/>
  <c r="N1173" i="6" s="1"/>
  <c r="N1219" i="6" s="1"/>
  <c r="N1265" i="6" s="1"/>
  <c r="N1311" i="6" s="1"/>
  <c r="M1035" i="6"/>
  <c r="M1081" i="6" s="1"/>
  <c r="M1127" i="6" s="1"/>
  <c r="M1173" i="6" s="1"/>
  <c r="M1219" i="6" s="1"/>
  <c r="M1265" i="6" s="1"/>
  <c r="M1311" i="6" s="1"/>
  <c r="J1035" i="6"/>
  <c r="I1035" i="6"/>
  <c r="I1081" i="6" s="1"/>
  <c r="F1035" i="6"/>
  <c r="F1081" i="6" s="1"/>
  <c r="A1035" i="6"/>
  <c r="O1034" i="6"/>
  <c r="O1080" i="6" s="1"/>
  <c r="O1126" i="6" s="1"/>
  <c r="O1172" i="6" s="1"/>
  <c r="O1218" i="6" s="1"/>
  <c r="O1264" i="6" s="1"/>
  <c r="O1310" i="6" s="1"/>
  <c r="N1034" i="6"/>
  <c r="N1080" i="6" s="1"/>
  <c r="N1126" i="6" s="1"/>
  <c r="N1172" i="6" s="1"/>
  <c r="N1218" i="6" s="1"/>
  <c r="N1264" i="6" s="1"/>
  <c r="N1310" i="6" s="1"/>
  <c r="M1034" i="6"/>
  <c r="M1080" i="6" s="1"/>
  <c r="M1126" i="6" s="1"/>
  <c r="M1172" i="6" s="1"/>
  <c r="M1218" i="6" s="1"/>
  <c r="M1264" i="6" s="1"/>
  <c r="M1310" i="6" s="1"/>
  <c r="L1034" i="6"/>
  <c r="L1080" i="6" s="1"/>
  <c r="L1126" i="6" s="1"/>
  <c r="L1172" i="6" s="1"/>
  <c r="L1218" i="6" s="1"/>
  <c r="L1264" i="6" s="1"/>
  <c r="L1310" i="6" s="1"/>
  <c r="K1034" i="6"/>
  <c r="K1080" i="6" s="1"/>
  <c r="K1126" i="6" s="1"/>
  <c r="K1172" i="6" s="1"/>
  <c r="K1218" i="6" s="1"/>
  <c r="K1264" i="6" s="1"/>
  <c r="K1310" i="6" s="1"/>
  <c r="J1034" i="6"/>
  <c r="I1034" i="6"/>
  <c r="I1080" i="6" s="1"/>
  <c r="H1034" i="6"/>
  <c r="H1080" i="6" s="1"/>
  <c r="H1126" i="6" s="1"/>
  <c r="H1172" i="6" s="1"/>
  <c r="H1218" i="6" s="1"/>
  <c r="H1264" i="6" s="1"/>
  <c r="H1310" i="6" s="1"/>
  <c r="G1034" i="6"/>
  <c r="F1034" i="6"/>
  <c r="A1034" i="6"/>
  <c r="O1033" i="6"/>
  <c r="O1079" i="6" s="1"/>
  <c r="O1125" i="6" s="1"/>
  <c r="O1171" i="6" s="1"/>
  <c r="O1217" i="6" s="1"/>
  <c r="O1263" i="6" s="1"/>
  <c r="O1309" i="6" s="1"/>
  <c r="N1033" i="6"/>
  <c r="N1079" i="6" s="1"/>
  <c r="N1125" i="6" s="1"/>
  <c r="N1171" i="6" s="1"/>
  <c r="N1217" i="6" s="1"/>
  <c r="N1263" i="6" s="1"/>
  <c r="N1309" i="6" s="1"/>
  <c r="M1033" i="6"/>
  <c r="M1079" i="6" s="1"/>
  <c r="M1125" i="6" s="1"/>
  <c r="M1171" i="6" s="1"/>
  <c r="M1217" i="6" s="1"/>
  <c r="M1263" i="6" s="1"/>
  <c r="M1309" i="6" s="1"/>
  <c r="L1033" i="6"/>
  <c r="L1079" i="6" s="1"/>
  <c r="L1125" i="6" s="1"/>
  <c r="L1171" i="6" s="1"/>
  <c r="L1217" i="6" s="1"/>
  <c r="L1263" i="6" s="1"/>
  <c r="L1309" i="6" s="1"/>
  <c r="K1033" i="6"/>
  <c r="K1079" i="6" s="1"/>
  <c r="K1125" i="6" s="1"/>
  <c r="K1171" i="6" s="1"/>
  <c r="K1217" i="6" s="1"/>
  <c r="K1263" i="6" s="1"/>
  <c r="K1309" i="6" s="1"/>
  <c r="J1033" i="6"/>
  <c r="I1033" i="6"/>
  <c r="I1079" i="6" s="1"/>
  <c r="H1033" i="6"/>
  <c r="H1079" i="6" s="1"/>
  <c r="H1125" i="6" s="1"/>
  <c r="H1171" i="6" s="1"/>
  <c r="H1217" i="6" s="1"/>
  <c r="H1263" i="6" s="1"/>
  <c r="H1309" i="6" s="1"/>
  <c r="G1033" i="6"/>
  <c r="F1033" i="6"/>
  <c r="A1033" i="6"/>
  <c r="O1032" i="6"/>
  <c r="O1078" i="6" s="1"/>
  <c r="O1124" i="6" s="1"/>
  <c r="O1170" i="6" s="1"/>
  <c r="O1216" i="6" s="1"/>
  <c r="O1262" i="6" s="1"/>
  <c r="O1308" i="6" s="1"/>
  <c r="N1032" i="6"/>
  <c r="N1078" i="6" s="1"/>
  <c r="N1124" i="6" s="1"/>
  <c r="N1170" i="6" s="1"/>
  <c r="N1216" i="6" s="1"/>
  <c r="N1262" i="6" s="1"/>
  <c r="N1308" i="6" s="1"/>
  <c r="M1032" i="6"/>
  <c r="M1078" i="6" s="1"/>
  <c r="L1032" i="6"/>
  <c r="L1078" i="6" s="1"/>
  <c r="L1124" i="6" s="1"/>
  <c r="L1170" i="6" s="1"/>
  <c r="L1216" i="6" s="1"/>
  <c r="L1262" i="6" s="1"/>
  <c r="L1308" i="6" s="1"/>
  <c r="K1032" i="6"/>
  <c r="K1078" i="6" s="1"/>
  <c r="K1124" i="6" s="1"/>
  <c r="K1170" i="6" s="1"/>
  <c r="K1216" i="6" s="1"/>
  <c r="K1262" i="6" s="1"/>
  <c r="K1308" i="6" s="1"/>
  <c r="J1032" i="6"/>
  <c r="I1032" i="6"/>
  <c r="I1078" i="6" s="1"/>
  <c r="H1032" i="6"/>
  <c r="H1078" i="6" s="1"/>
  <c r="H1124" i="6" s="1"/>
  <c r="H1170" i="6" s="1"/>
  <c r="H1216" i="6" s="1"/>
  <c r="H1262" i="6" s="1"/>
  <c r="H1308" i="6" s="1"/>
  <c r="G1032" i="6"/>
  <c r="F1032" i="6"/>
  <c r="A1032" i="6"/>
  <c r="O1031" i="6"/>
  <c r="N1031" i="6"/>
  <c r="M1031" i="6"/>
  <c r="M1077" i="6" s="1"/>
  <c r="M1123" i="6" s="1"/>
  <c r="M1169" i="6" s="1"/>
  <c r="M1215" i="6" s="1"/>
  <c r="M1261" i="6" s="1"/>
  <c r="M1307" i="6" s="1"/>
  <c r="L1031" i="6"/>
  <c r="L1077" i="6" s="1"/>
  <c r="L1123" i="6" s="1"/>
  <c r="L1169" i="6" s="1"/>
  <c r="L1215" i="6" s="1"/>
  <c r="L1261" i="6" s="1"/>
  <c r="L1307" i="6" s="1"/>
  <c r="K1031" i="6"/>
  <c r="K1077" i="6" s="1"/>
  <c r="K1123" i="6" s="1"/>
  <c r="K1169" i="6" s="1"/>
  <c r="K1215" i="6" s="1"/>
  <c r="K1261" i="6" s="1"/>
  <c r="K1307" i="6" s="1"/>
  <c r="J1031" i="6"/>
  <c r="I1031" i="6"/>
  <c r="I1077" i="6" s="1"/>
  <c r="H1031" i="6"/>
  <c r="H1077" i="6" s="1"/>
  <c r="H1123" i="6" s="1"/>
  <c r="H1169" i="6" s="1"/>
  <c r="H1215" i="6" s="1"/>
  <c r="H1261" i="6" s="1"/>
  <c r="H1307" i="6" s="1"/>
  <c r="G1031" i="6"/>
  <c r="G1077" i="6" s="1"/>
  <c r="G1123" i="6" s="1"/>
  <c r="G1169" i="6" s="1"/>
  <c r="G1215" i="6" s="1"/>
  <c r="G1261" i="6" s="1"/>
  <c r="G1307" i="6" s="1"/>
  <c r="F1031" i="6"/>
  <c r="F1077" i="6" s="1"/>
  <c r="A1031" i="6"/>
  <c r="AT1030" i="6"/>
  <c r="O1030" i="6"/>
  <c r="O1076" i="6" s="1"/>
  <c r="O1122" i="6" s="1"/>
  <c r="O1168" i="6" s="1"/>
  <c r="O1214" i="6" s="1"/>
  <c r="O1260" i="6" s="1"/>
  <c r="O1306" i="6" s="1"/>
  <c r="N1030" i="6"/>
  <c r="N1076" i="6" s="1"/>
  <c r="N1122" i="6" s="1"/>
  <c r="N1168" i="6" s="1"/>
  <c r="N1214" i="6" s="1"/>
  <c r="N1260" i="6" s="1"/>
  <c r="N1306" i="6" s="1"/>
  <c r="M1030" i="6"/>
  <c r="M1076" i="6" s="1"/>
  <c r="M1122" i="6" s="1"/>
  <c r="M1168" i="6" s="1"/>
  <c r="M1214" i="6" s="1"/>
  <c r="M1260" i="6" s="1"/>
  <c r="M1306" i="6" s="1"/>
  <c r="J1030" i="6"/>
  <c r="I1030" i="6"/>
  <c r="I1076" i="6" s="1"/>
  <c r="F1030" i="6"/>
  <c r="A1030" i="6"/>
  <c r="AT1029" i="6"/>
  <c r="O1029" i="6"/>
  <c r="N1029" i="6"/>
  <c r="N1075" i="6" s="1"/>
  <c r="N1121" i="6" s="1"/>
  <c r="N1167" i="6" s="1"/>
  <c r="N1213" i="6" s="1"/>
  <c r="N1259" i="6" s="1"/>
  <c r="N1305" i="6" s="1"/>
  <c r="M1029" i="6"/>
  <c r="M1075" i="6" s="1"/>
  <c r="M1121" i="6" s="1"/>
  <c r="M1167" i="6" s="1"/>
  <c r="M1213" i="6" s="1"/>
  <c r="M1259" i="6" s="1"/>
  <c r="M1305" i="6" s="1"/>
  <c r="J1029" i="6"/>
  <c r="I1029" i="6"/>
  <c r="I1075" i="6" s="1"/>
  <c r="F1029" i="6"/>
  <c r="F1075" i="6" s="1"/>
  <c r="A1029" i="6"/>
  <c r="AT1028" i="6"/>
  <c r="O1028" i="6"/>
  <c r="O1074" i="6" s="1"/>
  <c r="O1120" i="6" s="1"/>
  <c r="O1166" i="6" s="1"/>
  <c r="O1212" i="6" s="1"/>
  <c r="O1258" i="6" s="1"/>
  <c r="O1304" i="6" s="1"/>
  <c r="N1028" i="6"/>
  <c r="N1074" i="6" s="1"/>
  <c r="N1120" i="6" s="1"/>
  <c r="N1166" i="6" s="1"/>
  <c r="N1212" i="6" s="1"/>
  <c r="N1258" i="6" s="1"/>
  <c r="N1304" i="6" s="1"/>
  <c r="M1028" i="6"/>
  <c r="J1028" i="6"/>
  <c r="I1028" i="6"/>
  <c r="I1074" i="6" s="1"/>
  <c r="F1028" i="6"/>
  <c r="F1074" i="6" s="1"/>
  <c r="A1028" i="6"/>
  <c r="AT1027" i="6"/>
  <c r="O1027" i="6"/>
  <c r="O1073" i="6" s="1"/>
  <c r="O1119" i="6" s="1"/>
  <c r="O1165" i="6" s="1"/>
  <c r="O1211" i="6" s="1"/>
  <c r="O1257" i="6" s="1"/>
  <c r="O1303" i="6" s="1"/>
  <c r="N1027" i="6"/>
  <c r="N1073" i="6" s="1"/>
  <c r="N1119" i="6" s="1"/>
  <c r="N1165" i="6" s="1"/>
  <c r="N1211" i="6" s="1"/>
  <c r="N1257" i="6" s="1"/>
  <c r="N1303" i="6" s="1"/>
  <c r="M1027" i="6"/>
  <c r="M1073" i="6" s="1"/>
  <c r="M1119" i="6" s="1"/>
  <c r="M1165" i="6" s="1"/>
  <c r="M1211" i="6" s="1"/>
  <c r="M1257" i="6" s="1"/>
  <c r="M1303" i="6" s="1"/>
  <c r="J1027" i="6"/>
  <c r="I1027" i="6"/>
  <c r="F1027" i="6"/>
  <c r="F1073" i="6" s="1"/>
  <c r="A1027" i="6"/>
  <c r="O1026" i="6"/>
  <c r="O1072" i="6" s="1"/>
  <c r="O1118" i="6" s="1"/>
  <c r="O1164" i="6" s="1"/>
  <c r="O1210" i="6" s="1"/>
  <c r="O1256" i="6" s="1"/>
  <c r="O1302" i="6" s="1"/>
  <c r="N1026" i="6"/>
  <c r="N1072" i="6" s="1"/>
  <c r="N1118" i="6" s="1"/>
  <c r="N1164" i="6" s="1"/>
  <c r="N1210" i="6" s="1"/>
  <c r="N1256" i="6" s="1"/>
  <c r="N1302" i="6" s="1"/>
  <c r="M1026" i="6"/>
  <c r="M1072" i="6" s="1"/>
  <c r="M1118" i="6" s="1"/>
  <c r="M1164" i="6" s="1"/>
  <c r="M1210" i="6" s="1"/>
  <c r="M1256" i="6" s="1"/>
  <c r="M1302" i="6" s="1"/>
  <c r="J1026" i="6"/>
  <c r="AE1026" i="6" s="1"/>
  <c r="AE1072" i="6" s="1"/>
  <c r="AE1164" i="6" s="1"/>
  <c r="I1026" i="6"/>
  <c r="F1026" i="6"/>
  <c r="F1072" i="6" s="1"/>
  <c r="A1026" i="6"/>
  <c r="AT1025" i="6"/>
  <c r="AE1025" i="6"/>
  <c r="AE1071" i="6" s="1"/>
  <c r="O1025" i="6"/>
  <c r="O1071" i="6" s="1"/>
  <c r="O1117" i="6" s="1"/>
  <c r="O1163" i="6" s="1"/>
  <c r="O1209" i="6" s="1"/>
  <c r="O1255" i="6" s="1"/>
  <c r="O1301" i="6" s="1"/>
  <c r="N1025" i="6"/>
  <c r="N1071" i="6" s="1"/>
  <c r="N1117" i="6" s="1"/>
  <c r="N1163" i="6" s="1"/>
  <c r="N1209" i="6" s="1"/>
  <c r="N1255" i="6" s="1"/>
  <c r="N1301" i="6" s="1"/>
  <c r="M1025" i="6"/>
  <c r="M1071" i="6" s="1"/>
  <c r="M1117" i="6" s="1"/>
  <c r="M1163" i="6" s="1"/>
  <c r="M1209" i="6" s="1"/>
  <c r="M1255" i="6" s="1"/>
  <c r="M1301" i="6" s="1"/>
  <c r="J1025" i="6"/>
  <c r="J1071" i="6" s="1"/>
  <c r="I1025" i="6"/>
  <c r="F1025" i="6"/>
  <c r="F1071" i="6" s="1"/>
  <c r="B1025" i="6"/>
  <c r="A1025" i="6"/>
  <c r="O1024" i="6"/>
  <c r="O1070" i="6" s="1"/>
  <c r="O1116" i="6" s="1"/>
  <c r="O1162" i="6" s="1"/>
  <c r="O1208" i="6" s="1"/>
  <c r="O1254" i="6" s="1"/>
  <c r="O1300" i="6" s="1"/>
  <c r="N1024" i="6"/>
  <c r="N1070" i="6" s="1"/>
  <c r="N1116" i="6" s="1"/>
  <c r="N1162" i="6" s="1"/>
  <c r="N1208" i="6" s="1"/>
  <c r="N1254" i="6" s="1"/>
  <c r="N1300" i="6" s="1"/>
  <c r="M1024" i="6"/>
  <c r="M1070" i="6" s="1"/>
  <c r="M1116" i="6" s="1"/>
  <c r="M1162" i="6" s="1"/>
  <c r="M1208" i="6" s="1"/>
  <c r="M1254" i="6" s="1"/>
  <c r="M1300" i="6" s="1"/>
  <c r="J1024" i="6"/>
  <c r="AT1024" i="6" s="1"/>
  <c r="I1024" i="6"/>
  <c r="F1024" i="6"/>
  <c r="F1070" i="6" s="1"/>
  <c r="A1024" i="6"/>
  <c r="AT1023" i="6"/>
  <c r="O1023" i="6"/>
  <c r="O1069" i="6" s="1"/>
  <c r="O1115" i="6" s="1"/>
  <c r="O1161" i="6" s="1"/>
  <c r="O1207" i="6" s="1"/>
  <c r="O1253" i="6" s="1"/>
  <c r="O1299" i="6" s="1"/>
  <c r="N1023" i="6"/>
  <c r="N1069" i="6" s="1"/>
  <c r="N1115" i="6" s="1"/>
  <c r="N1161" i="6" s="1"/>
  <c r="N1207" i="6" s="1"/>
  <c r="N1253" i="6" s="1"/>
  <c r="N1299" i="6" s="1"/>
  <c r="M1023" i="6"/>
  <c r="M1069" i="6" s="1"/>
  <c r="M1115" i="6" s="1"/>
  <c r="M1161" i="6" s="1"/>
  <c r="M1207" i="6" s="1"/>
  <c r="M1253" i="6" s="1"/>
  <c r="M1299" i="6" s="1"/>
  <c r="J1023" i="6"/>
  <c r="AE1023" i="6" s="1"/>
  <c r="AE1069" i="6" s="1"/>
  <c r="I1023" i="6"/>
  <c r="F1023" i="6"/>
  <c r="F1069" i="6" s="1"/>
  <c r="B1023" i="6"/>
  <c r="A1023" i="6"/>
  <c r="O1022" i="6"/>
  <c r="O1068" i="6" s="1"/>
  <c r="O1114" i="6" s="1"/>
  <c r="O1160" i="6" s="1"/>
  <c r="O1206" i="6" s="1"/>
  <c r="O1252" i="6" s="1"/>
  <c r="O1298" i="6" s="1"/>
  <c r="N1022" i="6"/>
  <c r="N1068" i="6" s="1"/>
  <c r="N1114" i="6" s="1"/>
  <c r="N1160" i="6" s="1"/>
  <c r="N1206" i="6" s="1"/>
  <c r="N1252" i="6" s="1"/>
  <c r="N1298" i="6" s="1"/>
  <c r="M1022" i="6"/>
  <c r="M1068" i="6" s="1"/>
  <c r="M1114" i="6" s="1"/>
  <c r="M1160" i="6" s="1"/>
  <c r="M1206" i="6" s="1"/>
  <c r="M1252" i="6" s="1"/>
  <c r="M1298" i="6" s="1"/>
  <c r="J1022" i="6"/>
  <c r="AT1022" i="6" s="1"/>
  <c r="I1022" i="6"/>
  <c r="F1022" i="6"/>
  <c r="F1068" i="6" s="1"/>
  <c r="A1022" i="6"/>
  <c r="O1021" i="6"/>
  <c r="O1067" i="6" s="1"/>
  <c r="O1113" i="6" s="1"/>
  <c r="O1159" i="6" s="1"/>
  <c r="O1205" i="6" s="1"/>
  <c r="O1251" i="6" s="1"/>
  <c r="O1297" i="6" s="1"/>
  <c r="N1021" i="6"/>
  <c r="N1067" i="6" s="1"/>
  <c r="N1113" i="6" s="1"/>
  <c r="N1159" i="6" s="1"/>
  <c r="N1205" i="6" s="1"/>
  <c r="N1251" i="6" s="1"/>
  <c r="N1297" i="6" s="1"/>
  <c r="M1021" i="6"/>
  <c r="M1067" i="6" s="1"/>
  <c r="M1113" i="6" s="1"/>
  <c r="M1159" i="6" s="1"/>
  <c r="M1205" i="6" s="1"/>
  <c r="M1251" i="6" s="1"/>
  <c r="M1297" i="6" s="1"/>
  <c r="J1021" i="6"/>
  <c r="AE1021" i="6" s="1"/>
  <c r="AE1067" i="6" s="1"/>
  <c r="I1021" i="6"/>
  <c r="F1021" i="6"/>
  <c r="F1067" i="6" s="1"/>
  <c r="B1021" i="6"/>
  <c r="A1021" i="6"/>
  <c r="O1020" i="6"/>
  <c r="O1066" i="6" s="1"/>
  <c r="O1112" i="6" s="1"/>
  <c r="O1158" i="6" s="1"/>
  <c r="O1204" i="6" s="1"/>
  <c r="O1250" i="6" s="1"/>
  <c r="O1296" i="6" s="1"/>
  <c r="N1020" i="6"/>
  <c r="N1066" i="6" s="1"/>
  <c r="N1112" i="6" s="1"/>
  <c r="N1158" i="6" s="1"/>
  <c r="N1204" i="6" s="1"/>
  <c r="N1250" i="6" s="1"/>
  <c r="N1296" i="6" s="1"/>
  <c r="M1020" i="6"/>
  <c r="M1066" i="6" s="1"/>
  <c r="M1112" i="6" s="1"/>
  <c r="M1158" i="6" s="1"/>
  <c r="M1204" i="6" s="1"/>
  <c r="M1250" i="6" s="1"/>
  <c r="M1296" i="6" s="1"/>
  <c r="J1020" i="6"/>
  <c r="J1066" i="6" s="1"/>
  <c r="I1020" i="6"/>
  <c r="F1020" i="6"/>
  <c r="F1066" i="6" s="1"/>
  <c r="A1020" i="6"/>
  <c r="O1019" i="6"/>
  <c r="O1065" i="6" s="1"/>
  <c r="O1111" i="6" s="1"/>
  <c r="O1157" i="6" s="1"/>
  <c r="O1203" i="6" s="1"/>
  <c r="O1249" i="6" s="1"/>
  <c r="O1295" i="6" s="1"/>
  <c r="N1019" i="6"/>
  <c r="N1065" i="6" s="1"/>
  <c r="N1111" i="6" s="1"/>
  <c r="N1157" i="6" s="1"/>
  <c r="N1203" i="6" s="1"/>
  <c r="N1249" i="6" s="1"/>
  <c r="N1295" i="6" s="1"/>
  <c r="M1019" i="6"/>
  <c r="M1065" i="6" s="1"/>
  <c r="M1111" i="6" s="1"/>
  <c r="M1157" i="6" s="1"/>
  <c r="M1203" i="6" s="1"/>
  <c r="M1249" i="6" s="1"/>
  <c r="M1295" i="6" s="1"/>
  <c r="J1019" i="6"/>
  <c r="AE1019" i="6" s="1"/>
  <c r="AE1065" i="6" s="1"/>
  <c r="I1019" i="6"/>
  <c r="F1019" i="6"/>
  <c r="F1065" i="6" s="1"/>
  <c r="B1019" i="6"/>
  <c r="A1019" i="6"/>
  <c r="O1018" i="6"/>
  <c r="O1064" i="6" s="1"/>
  <c r="O1110" i="6" s="1"/>
  <c r="O1156" i="6" s="1"/>
  <c r="O1202" i="6" s="1"/>
  <c r="O1248" i="6" s="1"/>
  <c r="O1294" i="6" s="1"/>
  <c r="N1018" i="6"/>
  <c r="N1064" i="6" s="1"/>
  <c r="N1110" i="6" s="1"/>
  <c r="N1156" i="6" s="1"/>
  <c r="N1202" i="6" s="1"/>
  <c r="N1248" i="6" s="1"/>
  <c r="N1294" i="6" s="1"/>
  <c r="M1018" i="6"/>
  <c r="M1064" i="6" s="1"/>
  <c r="M1110" i="6" s="1"/>
  <c r="M1156" i="6" s="1"/>
  <c r="M1202" i="6" s="1"/>
  <c r="M1248" i="6" s="1"/>
  <c r="M1294" i="6" s="1"/>
  <c r="J1018" i="6"/>
  <c r="AT1018" i="6" s="1"/>
  <c r="I1018" i="6"/>
  <c r="F1018" i="6"/>
  <c r="F1064" i="6" s="1"/>
  <c r="A1018" i="6"/>
  <c r="O1017" i="6"/>
  <c r="O1063" i="6" s="1"/>
  <c r="O1109" i="6" s="1"/>
  <c r="O1155" i="6" s="1"/>
  <c r="O1201" i="6" s="1"/>
  <c r="O1247" i="6" s="1"/>
  <c r="O1293" i="6" s="1"/>
  <c r="N1017" i="6"/>
  <c r="N1063" i="6" s="1"/>
  <c r="N1109" i="6" s="1"/>
  <c r="N1155" i="6" s="1"/>
  <c r="N1201" i="6" s="1"/>
  <c r="N1247" i="6" s="1"/>
  <c r="N1293" i="6" s="1"/>
  <c r="M1017" i="6"/>
  <c r="M1063" i="6" s="1"/>
  <c r="M1109" i="6" s="1"/>
  <c r="M1155" i="6" s="1"/>
  <c r="M1201" i="6" s="1"/>
  <c r="M1247" i="6" s="1"/>
  <c r="M1293" i="6" s="1"/>
  <c r="J1017" i="6"/>
  <c r="AE1017" i="6" s="1"/>
  <c r="AE1063" i="6" s="1"/>
  <c r="I1017" i="6"/>
  <c r="F1017" i="6"/>
  <c r="F1063" i="6" s="1"/>
  <c r="B1017" i="6"/>
  <c r="A1017" i="6"/>
  <c r="AQ1016" i="6"/>
  <c r="AP1016" i="6"/>
  <c r="AL1016" i="6"/>
  <c r="AJ1016" i="6"/>
  <c r="AI1016" i="6"/>
  <c r="AH1016" i="6"/>
  <c r="AE1016" i="6"/>
  <c r="AA1016" i="6"/>
  <c r="Z1016" i="6"/>
  <c r="Y1016" i="6"/>
  <c r="AO1016" i="6" s="1"/>
  <c r="X1016" i="6"/>
  <c r="AN1016" i="6" s="1"/>
  <c r="W1016" i="6"/>
  <c r="AM1016" i="6" s="1"/>
  <c r="V1016" i="6"/>
  <c r="U1016" i="6"/>
  <c r="AK1016" i="6" s="1"/>
  <c r="T1016" i="6"/>
  <c r="S1016" i="6"/>
  <c r="R1016" i="6"/>
  <c r="Q1016" i="6"/>
  <c r="AG1016" i="6" s="1"/>
  <c r="P1016" i="6"/>
  <c r="AF1016" i="6" s="1"/>
  <c r="A1010" i="6"/>
  <c r="A1009" i="6"/>
  <c r="A1008" i="6"/>
  <c r="A1007" i="6"/>
  <c r="A1006" i="6"/>
  <c r="A1005" i="6"/>
  <c r="A1004" i="6"/>
  <c r="A1003" i="6"/>
  <c r="A1002" i="6"/>
  <c r="A1001" i="6"/>
  <c r="A1000" i="6"/>
  <c r="A999" i="6"/>
  <c r="A998" i="6"/>
  <c r="A997" i="6"/>
  <c r="A996" i="6"/>
  <c r="A995" i="6"/>
  <c r="A994" i="6"/>
  <c r="A993" i="6"/>
  <c r="A992" i="6"/>
  <c r="A991" i="6"/>
  <c r="A990" i="6"/>
  <c r="A989" i="6"/>
  <c r="A988" i="6"/>
  <c r="A987" i="6"/>
  <c r="A986" i="6"/>
  <c r="A985" i="6"/>
  <c r="A984" i="6"/>
  <c r="A983" i="6"/>
  <c r="A982" i="6"/>
  <c r="A981" i="6"/>
  <c r="A980" i="6"/>
  <c r="A979" i="6"/>
  <c r="A978" i="6"/>
  <c r="A977" i="6"/>
  <c r="A976" i="6"/>
  <c r="A975" i="6"/>
  <c r="A974" i="6"/>
  <c r="A973" i="6"/>
  <c r="A972" i="6"/>
  <c r="A971" i="6"/>
  <c r="A970" i="6"/>
  <c r="A969" i="6"/>
  <c r="A968" i="6"/>
  <c r="A967" i="6"/>
  <c r="A966" i="6"/>
  <c r="AA965" i="6"/>
  <c r="Z965" i="6"/>
  <c r="Y965" i="6"/>
  <c r="X965" i="6"/>
  <c r="W965" i="6"/>
  <c r="V965" i="6"/>
  <c r="U965" i="6"/>
  <c r="T965" i="6"/>
  <c r="S965" i="6"/>
  <c r="R965" i="6"/>
  <c r="Q965" i="6"/>
  <c r="P965" i="6"/>
  <c r="A965" i="6"/>
  <c r="A964" i="6"/>
  <c r="A963" i="6"/>
  <c r="A962" i="6"/>
  <c r="A961" i="6"/>
  <c r="A960" i="6"/>
  <c r="A959" i="6"/>
  <c r="A958" i="6"/>
  <c r="A957" i="6"/>
  <c r="K956" i="6"/>
  <c r="K1002" i="6" s="1"/>
  <c r="A956" i="6"/>
  <c r="A955" i="6"/>
  <c r="A954" i="6"/>
  <c r="A953" i="6"/>
  <c r="A952" i="6"/>
  <c r="A951" i="6"/>
  <c r="A950" i="6"/>
  <c r="A949" i="6"/>
  <c r="A948" i="6"/>
  <c r="A947" i="6"/>
  <c r="A946" i="6"/>
  <c r="A945" i="6"/>
  <c r="A944" i="6"/>
  <c r="A943" i="6"/>
  <c r="A942" i="6"/>
  <c r="A941" i="6"/>
  <c r="A940" i="6"/>
  <c r="A939" i="6"/>
  <c r="A938" i="6"/>
  <c r="A937" i="6"/>
  <c r="A936" i="6"/>
  <c r="A935" i="6"/>
  <c r="A934" i="6"/>
  <c r="A933" i="6"/>
  <c r="A932" i="6"/>
  <c r="A931" i="6"/>
  <c r="A930" i="6"/>
  <c r="A929" i="6"/>
  <c r="A928" i="6"/>
  <c r="A927" i="6"/>
  <c r="A926" i="6"/>
  <c r="A925" i="6"/>
  <c r="A924" i="6"/>
  <c r="H923" i="6"/>
  <c r="H969" i="6" s="1"/>
  <c r="A923" i="6"/>
  <c r="A922" i="6"/>
  <c r="A921" i="6"/>
  <c r="A920" i="6"/>
  <c r="AA919" i="6"/>
  <c r="Z919" i="6"/>
  <c r="Y919" i="6"/>
  <c r="X919" i="6"/>
  <c r="W919" i="6"/>
  <c r="V919" i="6"/>
  <c r="U919" i="6"/>
  <c r="T919" i="6"/>
  <c r="S919" i="6"/>
  <c r="R919" i="6"/>
  <c r="Q919" i="6"/>
  <c r="P919" i="6"/>
  <c r="A919" i="6"/>
  <c r="A918" i="6"/>
  <c r="A917" i="6"/>
  <c r="A916" i="6"/>
  <c r="A915" i="6"/>
  <c r="A914" i="6"/>
  <c r="A913" i="6"/>
  <c r="A912" i="6"/>
  <c r="A911" i="6"/>
  <c r="A910" i="6"/>
  <c r="A909" i="6"/>
  <c r="A908" i="6"/>
  <c r="A907" i="6"/>
  <c r="A906" i="6"/>
  <c r="A905" i="6"/>
  <c r="A904" i="6"/>
  <c r="A903" i="6"/>
  <c r="A902" i="6"/>
  <c r="G901" i="6"/>
  <c r="G947" i="6" s="1"/>
  <c r="G993" i="6" s="1"/>
  <c r="A901" i="6"/>
  <c r="A900" i="6"/>
  <c r="A899" i="6"/>
  <c r="A898" i="6"/>
  <c r="A897" i="6"/>
  <c r="A896" i="6"/>
  <c r="A895" i="6"/>
  <c r="A894" i="6"/>
  <c r="A893" i="6"/>
  <c r="A892" i="6"/>
  <c r="A891" i="6"/>
  <c r="A890" i="6"/>
  <c r="A889" i="6"/>
  <c r="A888" i="6"/>
  <c r="A887" i="6"/>
  <c r="A886" i="6"/>
  <c r="A885" i="6"/>
  <c r="A884" i="6"/>
  <c r="A883" i="6"/>
  <c r="A882" i="6"/>
  <c r="A881" i="6"/>
  <c r="A880" i="6"/>
  <c r="A879" i="6"/>
  <c r="A878" i="6"/>
  <c r="A877" i="6"/>
  <c r="A876" i="6"/>
  <c r="A875" i="6"/>
  <c r="A874" i="6"/>
  <c r="AA873" i="6"/>
  <c r="Z873" i="6"/>
  <c r="Y873" i="6"/>
  <c r="X873" i="6"/>
  <c r="W873" i="6"/>
  <c r="V873" i="6"/>
  <c r="U873" i="6"/>
  <c r="T873" i="6"/>
  <c r="S873" i="6"/>
  <c r="R873" i="6"/>
  <c r="Q873" i="6"/>
  <c r="P873" i="6"/>
  <c r="A873" i="6"/>
  <c r="A872" i="6"/>
  <c r="A871" i="6"/>
  <c r="A870" i="6"/>
  <c r="A869" i="6"/>
  <c r="A868" i="6"/>
  <c r="A867" i="6"/>
  <c r="A866" i="6"/>
  <c r="A865" i="6"/>
  <c r="A864" i="6"/>
  <c r="A863" i="6"/>
  <c r="A862" i="6"/>
  <c r="A861" i="6"/>
  <c r="A860" i="6"/>
  <c r="A859" i="6"/>
  <c r="A858" i="6"/>
  <c r="A857" i="6"/>
  <c r="A856" i="6"/>
  <c r="A855" i="6"/>
  <c r="A854" i="6"/>
  <c r="A853" i="6"/>
  <c r="A852" i="6"/>
  <c r="A851" i="6"/>
  <c r="A850" i="6"/>
  <c r="A849" i="6"/>
  <c r="A848" i="6"/>
  <c r="A847" i="6"/>
  <c r="A846" i="6"/>
  <c r="A845" i="6"/>
  <c r="A844" i="6"/>
  <c r="A843" i="6"/>
  <c r="H842" i="6"/>
  <c r="H888" i="6" s="1"/>
  <c r="H934" i="6" s="1"/>
  <c r="H980" i="6" s="1"/>
  <c r="A842" i="6"/>
  <c r="A841" i="6"/>
  <c r="A840" i="6"/>
  <c r="A839" i="6"/>
  <c r="A838" i="6"/>
  <c r="A837" i="6"/>
  <c r="A836" i="6"/>
  <c r="A835" i="6"/>
  <c r="A834" i="6"/>
  <c r="A833" i="6"/>
  <c r="A832" i="6"/>
  <c r="A831" i="6"/>
  <c r="A830" i="6"/>
  <c r="A829" i="6"/>
  <c r="A828" i="6"/>
  <c r="AA827" i="6"/>
  <c r="Z827" i="6"/>
  <c r="Y827" i="6"/>
  <c r="X827" i="6"/>
  <c r="W827" i="6"/>
  <c r="V827" i="6"/>
  <c r="U827" i="6"/>
  <c r="T827" i="6"/>
  <c r="S827" i="6"/>
  <c r="R827" i="6"/>
  <c r="Q827" i="6"/>
  <c r="P827" i="6"/>
  <c r="A827" i="6"/>
  <c r="A826" i="6"/>
  <c r="A825" i="6"/>
  <c r="A824" i="6"/>
  <c r="A823" i="6"/>
  <c r="A822" i="6"/>
  <c r="A821" i="6"/>
  <c r="A820" i="6"/>
  <c r="A819" i="6"/>
  <c r="A818" i="6"/>
  <c r="A817" i="6"/>
  <c r="A816" i="6"/>
  <c r="O815" i="6"/>
  <c r="O861" i="6" s="1"/>
  <c r="O907" i="6" s="1"/>
  <c r="O953" i="6" s="1"/>
  <c r="O999" i="6" s="1"/>
  <c r="A815" i="6"/>
  <c r="A814" i="6"/>
  <c r="A813" i="6"/>
  <c r="A812" i="6"/>
  <c r="O811" i="6"/>
  <c r="O857" i="6" s="1"/>
  <c r="O903" i="6" s="1"/>
  <c r="O949" i="6" s="1"/>
  <c r="O995" i="6" s="1"/>
  <c r="A811" i="6"/>
  <c r="A810" i="6"/>
  <c r="A809" i="6"/>
  <c r="A808" i="6"/>
  <c r="O807" i="6"/>
  <c r="O853" i="6" s="1"/>
  <c r="O899" i="6" s="1"/>
  <c r="O945" i="6" s="1"/>
  <c r="O991" i="6" s="1"/>
  <c r="A807" i="6"/>
  <c r="A806" i="6"/>
  <c r="A805" i="6"/>
  <c r="A804" i="6"/>
  <c r="O803" i="6"/>
  <c r="O849" i="6" s="1"/>
  <c r="O895" i="6" s="1"/>
  <c r="O941" i="6" s="1"/>
  <c r="O987" i="6" s="1"/>
  <c r="A803" i="6"/>
  <c r="A802" i="6"/>
  <c r="A801" i="6"/>
  <c r="A800" i="6"/>
  <c r="O799" i="6"/>
  <c r="O845" i="6" s="1"/>
  <c r="O891" i="6" s="1"/>
  <c r="O937" i="6" s="1"/>
  <c r="O983" i="6" s="1"/>
  <c r="A799" i="6"/>
  <c r="A798" i="6"/>
  <c r="A797" i="6"/>
  <c r="A796" i="6"/>
  <c r="O795" i="6"/>
  <c r="O841" i="6" s="1"/>
  <c r="O887" i="6" s="1"/>
  <c r="O933" i="6" s="1"/>
  <c r="O979" i="6" s="1"/>
  <c r="A795" i="6"/>
  <c r="A794" i="6"/>
  <c r="A793" i="6"/>
  <c r="A792" i="6"/>
  <c r="O791" i="6"/>
  <c r="O837" i="6" s="1"/>
  <c r="O883" i="6" s="1"/>
  <c r="O929" i="6" s="1"/>
  <c r="O975" i="6" s="1"/>
  <c r="A791" i="6"/>
  <c r="A790" i="6"/>
  <c r="A789" i="6"/>
  <c r="A788" i="6"/>
  <c r="O787" i="6"/>
  <c r="O833" i="6" s="1"/>
  <c r="O879" i="6" s="1"/>
  <c r="O925" i="6" s="1"/>
  <c r="O971" i="6" s="1"/>
  <c r="A787" i="6"/>
  <c r="A786" i="6"/>
  <c r="A785" i="6"/>
  <c r="A784" i="6"/>
  <c r="O783" i="6"/>
  <c r="O829" i="6" s="1"/>
  <c r="O875" i="6" s="1"/>
  <c r="O921" i="6" s="1"/>
  <c r="O967" i="6" s="1"/>
  <c r="A783" i="6"/>
  <c r="A782" i="6"/>
  <c r="AA781" i="6"/>
  <c r="Z781" i="6"/>
  <c r="Y781" i="6"/>
  <c r="X781" i="6"/>
  <c r="W781" i="6"/>
  <c r="V781" i="6"/>
  <c r="U781" i="6"/>
  <c r="T781" i="6"/>
  <c r="S781" i="6"/>
  <c r="R781" i="6"/>
  <c r="Q781" i="6"/>
  <c r="P781" i="6"/>
  <c r="A781" i="6"/>
  <c r="A780" i="6"/>
  <c r="J779" i="6"/>
  <c r="A779" i="6"/>
  <c r="L778" i="6"/>
  <c r="L824" i="6" s="1"/>
  <c r="L870" i="6" s="1"/>
  <c r="L916" i="6" s="1"/>
  <c r="L962" i="6" s="1"/>
  <c r="L1008" i="6" s="1"/>
  <c r="A778" i="6"/>
  <c r="N777" i="6"/>
  <c r="N823" i="6" s="1"/>
  <c r="N869" i="6" s="1"/>
  <c r="N915" i="6" s="1"/>
  <c r="N961" i="6" s="1"/>
  <c r="N1007" i="6" s="1"/>
  <c r="F777" i="6"/>
  <c r="A777" i="6"/>
  <c r="A776" i="6"/>
  <c r="J775" i="6"/>
  <c r="A775" i="6"/>
  <c r="L774" i="6"/>
  <c r="L820" i="6" s="1"/>
  <c r="L866" i="6" s="1"/>
  <c r="L912" i="6" s="1"/>
  <c r="L958" i="6" s="1"/>
  <c r="L1004" i="6" s="1"/>
  <c r="B774" i="6"/>
  <c r="A774" i="6"/>
  <c r="N773" i="6"/>
  <c r="N819" i="6" s="1"/>
  <c r="N865" i="6" s="1"/>
  <c r="N911" i="6" s="1"/>
  <c r="N957" i="6" s="1"/>
  <c r="N1003" i="6" s="1"/>
  <c r="F773" i="6"/>
  <c r="A773" i="6"/>
  <c r="A772" i="6"/>
  <c r="A771" i="6"/>
  <c r="L770" i="6"/>
  <c r="L816" i="6" s="1"/>
  <c r="L862" i="6" s="1"/>
  <c r="L908" i="6" s="1"/>
  <c r="L954" i="6" s="1"/>
  <c r="L1000" i="6" s="1"/>
  <c r="A770" i="6"/>
  <c r="A769" i="6"/>
  <c r="A768" i="6"/>
  <c r="A767" i="6"/>
  <c r="A766" i="6"/>
  <c r="A765" i="6"/>
  <c r="A764" i="6"/>
  <c r="A763" i="6"/>
  <c r="A762" i="6"/>
  <c r="A761" i="6"/>
  <c r="A760" i="6"/>
  <c r="A759" i="6"/>
  <c r="A758" i="6"/>
  <c r="F757" i="6"/>
  <c r="A757" i="6"/>
  <c r="A756" i="6"/>
  <c r="J755" i="6"/>
  <c r="A755" i="6"/>
  <c r="A754" i="6"/>
  <c r="N753" i="6"/>
  <c r="N799" i="6" s="1"/>
  <c r="N845" i="6" s="1"/>
  <c r="N891" i="6" s="1"/>
  <c r="N937" i="6" s="1"/>
  <c r="N983" i="6" s="1"/>
  <c r="A753" i="6"/>
  <c r="A752" i="6"/>
  <c r="A751" i="6"/>
  <c r="A750" i="6"/>
  <c r="A749" i="6"/>
  <c r="A748" i="6"/>
  <c r="A747" i="6"/>
  <c r="A746" i="6"/>
  <c r="A745" i="6"/>
  <c r="A744" i="6"/>
  <c r="A743" i="6"/>
  <c r="B742" i="6"/>
  <c r="A742" i="6"/>
  <c r="A741" i="6"/>
  <c r="H740" i="6"/>
  <c r="H786" i="6" s="1"/>
  <c r="H832" i="6" s="1"/>
  <c r="H878" i="6" s="1"/>
  <c r="H924" i="6" s="1"/>
  <c r="H970" i="6" s="1"/>
  <c r="A740" i="6"/>
  <c r="A739" i="6"/>
  <c r="L738" i="6"/>
  <c r="L784" i="6" s="1"/>
  <c r="L830" i="6" s="1"/>
  <c r="L876" i="6" s="1"/>
  <c r="L922" i="6" s="1"/>
  <c r="L968" i="6" s="1"/>
  <c r="A738" i="6"/>
  <c r="A737" i="6"/>
  <c r="A736" i="6"/>
  <c r="AA735" i="6"/>
  <c r="Z735" i="6"/>
  <c r="Y735" i="6"/>
  <c r="X735" i="6"/>
  <c r="W735" i="6"/>
  <c r="V735" i="6"/>
  <c r="U735" i="6"/>
  <c r="T735" i="6"/>
  <c r="S735" i="6"/>
  <c r="R735" i="6"/>
  <c r="Q735" i="6"/>
  <c r="P735" i="6"/>
  <c r="A735" i="6"/>
  <c r="O734" i="6"/>
  <c r="O780" i="6" s="1"/>
  <c r="O826" i="6" s="1"/>
  <c r="O872" i="6" s="1"/>
  <c r="O918" i="6" s="1"/>
  <c r="O964" i="6" s="1"/>
  <c r="O1010" i="6" s="1"/>
  <c r="N734" i="6"/>
  <c r="N780" i="6" s="1"/>
  <c r="N826" i="6" s="1"/>
  <c r="N872" i="6" s="1"/>
  <c r="N918" i="6" s="1"/>
  <c r="N964" i="6" s="1"/>
  <c r="N1010" i="6" s="1"/>
  <c r="M734" i="6"/>
  <c r="M780" i="6" s="1"/>
  <c r="M826" i="6" s="1"/>
  <c r="M872" i="6" s="1"/>
  <c r="M918" i="6" s="1"/>
  <c r="M964" i="6" s="1"/>
  <c r="M1010" i="6" s="1"/>
  <c r="L734" i="6"/>
  <c r="L780" i="6" s="1"/>
  <c r="L826" i="6" s="1"/>
  <c r="L872" i="6" s="1"/>
  <c r="L918" i="6" s="1"/>
  <c r="L964" i="6" s="1"/>
  <c r="L1010" i="6" s="1"/>
  <c r="K734" i="6"/>
  <c r="K780" i="6" s="1"/>
  <c r="K826" i="6" s="1"/>
  <c r="K872" i="6" s="1"/>
  <c r="K918" i="6" s="1"/>
  <c r="K964" i="6" s="1"/>
  <c r="K1010" i="6" s="1"/>
  <c r="J734" i="6"/>
  <c r="J780" i="6" s="1"/>
  <c r="I734" i="6"/>
  <c r="G734" i="6"/>
  <c r="G780" i="6" s="1"/>
  <c r="G826" i="6" s="1"/>
  <c r="G872" i="6" s="1"/>
  <c r="G918" i="6" s="1"/>
  <c r="G964" i="6" s="1"/>
  <c r="G1010" i="6" s="1"/>
  <c r="F734" i="6"/>
  <c r="F780" i="6" s="1"/>
  <c r="D734" i="6"/>
  <c r="B734" i="6"/>
  <c r="A734" i="6"/>
  <c r="O733" i="6"/>
  <c r="O779" i="6" s="1"/>
  <c r="O825" i="6" s="1"/>
  <c r="O871" i="6" s="1"/>
  <c r="O917" i="6" s="1"/>
  <c r="O963" i="6" s="1"/>
  <c r="O1009" i="6" s="1"/>
  <c r="N733" i="6"/>
  <c r="N779" i="6" s="1"/>
  <c r="N825" i="6" s="1"/>
  <c r="N871" i="6" s="1"/>
  <c r="N917" i="6" s="1"/>
  <c r="N963" i="6" s="1"/>
  <c r="N1009" i="6" s="1"/>
  <c r="M733" i="6"/>
  <c r="M779" i="6" s="1"/>
  <c r="M825" i="6" s="1"/>
  <c r="M871" i="6" s="1"/>
  <c r="M917" i="6" s="1"/>
  <c r="M963" i="6" s="1"/>
  <c r="M1009" i="6" s="1"/>
  <c r="L733" i="6"/>
  <c r="L779" i="6" s="1"/>
  <c r="L825" i="6" s="1"/>
  <c r="L871" i="6" s="1"/>
  <c r="L917" i="6" s="1"/>
  <c r="L963" i="6" s="1"/>
  <c r="L1009" i="6" s="1"/>
  <c r="K733" i="6"/>
  <c r="K779" i="6" s="1"/>
  <c r="K825" i="6" s="1"/>
  <c r="K871" i="6" s="1"/>
  <c r="K917" i="6" s="1"/>
  <c r="K963" i="6" s="1"/>
  <c r="K1009" i="6" s="1"/>
  <c r="J733" i="6"/>
  <c r="D733" i="6" s="1"/>
  <c r="I733" i="6"/>
  <c r="F733" i="6"/>
  <c r="F779" i="6" s="1"/>
  <c r="A733" i="6"/>
  <c r="O732" i="6"/>
  <c r="O778" i="6" s="1"/>
  <c r="O824" i="6" s="1"/>
  <c r="O870" i="6" s="1"/>
  <c r="O916" i="6" s="1"/>
  <c r="O962" i="6" s="1"/>
  <c r="O1008" i="6" s="1"/>
  <c r="N732" i="6"/>
  <c r="N778" i="6" s="1"/>
  <c r="N824" i="6" s="1"/>
  <c r="N870" i="6" s="1"/>
  <c r="N916" i="6" s="1"/>
  <c r="N962" i="6" s="1"/>
  <c r="N1008" i="6" s="1"/>
  <c r="M732" i="6"/>
  <c r="M778" i="6" s="1"/>
  <c r="M824" i="6" s="1"/>
  <c r="M870" i="6" s="1"/>
  <c r="M916" i="6" s="1"/>
  <c r="M962" i="6" s="1"/>
  <c r="M1008" i="6" s="1"/>
  <c r="L732" i="6"/>
  <c r="K732" i="6"/>
  <c r="K778" i="6" s="1"/>
  <c r="K824" i="6" s="1"/>
  <c r="K870" i="6" s="1"/>
  <c r="K916" i="6" s="1"/>
  <c r="K962" i="6" s="1"/>
  <c r="K1008" i="6" s="1"/>
  <c r="J732" i="6"/>
  <c r="J778" i="6" s="1"/>
  <c r="I732" i="6"/>
  <c r="F732" i="6"/>
  <c r="F778" i="6" s="1"/>
  <c r="F824" i="6" s="1"/>
  <c r="D732" i="6"/>
  <c r="B732" i="6"/>
  <c r="A732" i="6"/>
  <c r="O731" i="6"/>
  <c r="O777" i="6" s="1"/>
  <c r="O823" i="6" s="1"/>
  <c r="O869" i="6" s="1"/>
  <c r="O915" i="6" s="1"/>
  <c r="O961" i="6" s="1"/>
  <c r="O1007" i="6" s="1"/>
  <c r="N731" i="6"/>
  <c r="M731" i="6"/>
  <c r="M777" i="6" s="1"/>
  <c r="M823" i="6" s="1"/>
  <c r="M869" i="6" s="1"/>
  <c r="M915" i="6" s="1"/>
  <c r="M961" i="6" s="1"/>
  <c r="M1007" i="6" s="1"/>
  <c r="L731" i="6"/>
  <c r="L777" i="6" s="1"/>
  <c r="L823" i="6" s="1"/>
  <c r="L869" i="6" s="1"/>
  <c r="L915" i="6" s="1"/>
  <c r="L961" i="6" s="1"/>
  <c r="L1007" i="6" s="1"/>
  <c r="K731" i="6"/>
  <c r="K777" i="6" s="1"/>
  <c r="K823" i="6" s="1"/>
  <c r="K869" i="6" s="1"/>
  <c r="K915" i="6" s="1"/>
  <c r="K961" i="6" s="1"/>
  <c r="K1007" i="6" s="1"/>
  <c r="J731" i="6"/>
  <c r="J777" i="6" s="1"/>
  <c r="I731" i="6"/>
  <c r="F731" i="6"/>
  <c r="B731" i="6" s="1"/>
  <c r="D731" i="6"/>
  <c r="A731" i="6"/>
  <c r="O730" i="6"/>
  <c r="O776" i="6" s="1"/>
  <c r="O822" i="6" s="1"/>
  <c r="O868" i="6" s="1"/>
  <c r="O914" i="6" s="1"/>
  <c r="O960" i="6" s="1"/>
  <c r="O1006" i="6" s="1"/>
  <c r="N730" i="6"/>
  <c r="N776" i="6" s="1"/>
  <c r="N822" i="6" s="1"/>
  <c r="N868" i="6" s="1"/>
  <c r="N914" i="6" s="1"/>
  <c r="N960" i="6" s="1"/>
  <c r="N1006" i="6" s="1"/>
  <c r="M730" i="6"/>
  <c r="M776" i="6" s="1"/>
  <c r="M822" i="6" s="1"/>
  <c r="M868" i="6" s="1"/>
  <c r="M914" i="6" s="1"/>
  <c r="M960" i="6" s="1"/>
  <c r="M1006" i="6" s="1"/>
  <c r="L730" i="6"/>
  <c r="L776" i="6" s="1"/>
  <c r="L822" i="6" s="1"/>
  <c r="L868" i="6" s="1"/>
  <c r="L914" i="6" s="1"/>
  <c r="L960" i="6" s="1"/>
  <c r="L1006" i="6" s="1"/>
  <c r="K730" i="6"/>
  <c r="K776" i="6" s="1"/>
  <c r="K822" i="6" s="1"/>
  <c r="K868" i="6" s="1"/>
  <c r="K914" i="6" s="1"/>
  <c r="K960" i="6" s="1"/>
  <c r="K1006" i="6" s="1"/>
  <c r="J730" i="6"/>
  <c r="J776" i="6" s="1"/>
  <c r="I730" i="6"/>
  <c r="G730" i="6"/>
  <c r="G776" i="6" s="1"/>
  <c r="G822" i="6" s="1"/>
  <c r="G868" i="6" s="1"/>
  <c r="G914" i="6" s="1"/>
  <c r="G960" i="6" s="1"/>
  <c r="G1006" i="6" s="1"/>
  <c r="F730" i="6"/>
  <c r="F776" i="6" s="1"/>
  <c r="D730" i="6"/>
  <c r="B730" i="6"/>
  <c r="A730" i="6"/>
  <c r="O729" i="6"/>
  <c r="O775" i="6" s="1"/>
  <c r="O821" i="6" s="1"/>
  <c r="O867" i="6" s="1"/>
  <c r="O913" i="6" s="1"/>
  <c r="O959" i="6" s="1"/>
  <c r="O1005" i="6" s="1"/>
  <c r="N729" i="6"/>
  <c r="N775" i="6" s="1"/>
  <c r="N821" i="6" s="1"/>
  <c r="N867" i="6" s="1"/>
  <c r="N913" i="6" s="1"/>
  <c r="N959" i="6" s="1"/>
  <c r="N1005" i="6" s="1"/>
  <c r="M729" i="6"/>
  <c r="M775" i="6" s="1"/>
  <c r="M821" i="6" s="1"/>
  <c r="M867" i="6" s="1"/>
  <c r="M913" i="6" s="1"/>
  <c r="M959" i="6" s="1"/>
  <c r="M1005" i="6" s="1"/>
  <c r="L729" i="6"/>
  <c r="L775" i="6" s="1"/>
  <c r="L821" i="6" s="1"/>
  <c r="L867" i="6" s="1"/>
  <c r="L913" i="6" s="1"/>
  <c r="L959" i="6" s="1"/>
  <c r="L1005" i="6" s="1"/>
  <c r="K729" i="6"/>
  <c r="K775" i="6" s="1"/>
  <c r="K821" i="6" s="1"/>
  <c r="K867" i="6" s="1"/>
  <c r="K913" i="6" s="1"/>
  <c r="K959" i="6" s="1"/>
  <c r="K1005" i="6" s="1"/>
  <c r="J729" i="6"/>
  <c r="D729" i="6" s="1"/>
  <c r="I729" i="6"/>
  <c r="F729" i="6"/>
  <c r="F775" i="6" s="1"/>
  <c r="A729" i="6"/>
  <c r="O728" i="6"/>
  <c r="O774" i="6" s="1"/>
  <c r="O820" i="6" s="1"/>
  <c r="O866" i="6" s="1"/>
  <c r="O912" i="6" s="1"/>
  <c r="O958" i="6" s="1"/>
  <c r="O1004" i="6" s="1"/>
  <c r="N728" i="6"/>
  <c r="N774" i="6" s="1"/>
  <c r="N820" i="6" s="1"/>
  <c r="N866" i="6" s="1"/>
  <c r="N912" i="6" s="1"/>
  <c r="N958" i="6" s="1"/>
  <c r="N1004" i="6" s="1"/>
  <c r="M728" i="6"/>
  <c r="M774" i="6" s="1"/>
  <c r="M820" i="6" s="1"/>
  <c r="M866" i="6" s="1"/>
  <c r="M912" i="6" s="1"/>
  <c r="M958" i="6" s="1"/>
  <c r="M1004" i="6" s="1"/>
  <c r="L728" i="6"/>
  <c r="K728" i="6"/>
  <c r="K774" i="6" s="1"/>
  <c r="K820" i="6" s="1"/>
  <c r="K866" i="6" s="1"/>
  <c r="K912" i="6" s="1"/>
  <c r="K958" i="6" s="1"/>
  <c r="K1004" i="6" s="1"/>
  <c r="J728" i="6"/>
  <c r="J774" i="6" s="1"/>
  <c r="I728" i="6"/>
  <c r="F728" i="6"/>
  <c r="F774" i="6" s="1"/>
  <c r="F820" i="6" s="1"/>
  <c r="F866" i="6" s="1"/>
  <c r="D728" i="6"/>
  <c r="B728" i="6"/>
  <c r="A728" i="6"/>
  <c r="O727" i="6"/>
  <c r="O773" i="6" s="1"/>
  <c r="O819" i="6" s="1"/>
  <c r="O865" i="6" s="1"/>
  <c r="O911" i="6" s="1"/>
  <c r="O957" i="6" s="1"/>
  <c r="O1003" i="6" s="1"/>
  <c r="N727" i="6"/>
  <c r="M727" i="6"/>
  <c r="M773" i="6" s="1"/>
  <c r="M819" i="6" s="1"/>
  <c r="M865" i="6" s="1"/>
  <c r="M911" i="6" s="1"/>
  <c r="M957" i="6" s="1"/>
  <c r="M1003" i="6" s="1"/>
  <c r="L727" i="6"/>
  <c r="L773" i="6" s="1"/>
  <c r="L819" i="6" s="1"/>
  <c r="L865" i="6" s="1"/>
  <c r="L911" i="6" s="1"/>
  <c r="L957" i="6" s="1"/>
  <c r="L1003" i="6" s="1"/>
  <c r="K727" i="6"/>
  <c r="K773" i="6" s="1"/>
  <c r="K819" i="6" s="1"/>
  <c r="K865" i="6" s="1"/>
  <c r="K911" i="6" s="1"/>
  <c r="K957" i="6" s="1"/>
  <c r="K1003" i="6" s="1"/>
  <c r="J727" i="6"/>
  <c r="J773" i="6" s="1"/>
  <c r="I727" i="6"/>
  <c r="F727" i="6"/>
  <c r="B727" i="6" s="1"/>
  <c r="D727" i="6"/>
  <c r="A727" i="6"/>
  <c r="O726" i="6"/>
  <c r="O772" i="6" s="1"/>
  <c r="O818" i="6" s="1"/>
  <c r="O864" i="6" s="1"/>
  <c r="O910" i="6" s="1"/>
  <c r="O956" i="6" s="1"/>
  <c r="O1002" i="6" s="1"/>
  <c r="N726" i="6"/>
  <c r="N772" i="6" s="1"/>
  <c r="N818" i="6" s="1"/>
  <c r="N864" i="6" s="1"/>
  <c r="N910" i="6" s="1"/>
  <c r="N956" i="6" s="1"/>
  <c r="N1002" i="6" s="1"/>
  <c r="M726" i="6"/>
  <c r="M772" i="6" s="1"/>
  <c r="M818" i="6" s="1"/>
  <c r="M864" i="6" s="1"/>
  <c r="M910" i="6" s="1"/>
  <c r="M956" i="6" s="1"/>
  <c r="M1002" i="6" s="1"/>
  <c r="L726" i="6"/>
  <c r="L772" i="6" s="1"/>
  <c r="L818" i="6" s="1"/>
  <c r="L864" i="6" s="1"/>
  <c r="L910" i="6" s="1"/>
  <c r="L956" i="6" s="1"/>
  <c r="L1002" i="6" s="1"/>
  <c r="K726" i="6"/>
  <c r="K772" i="6" s="1"/>
  <c r="K818" i="6" s="1"/>
  <c r="K864" i="6" s="1"/>
  <c r="K910" i="6" s="1"/>
  <c r="J726" i="6"/>
  <c r="J772" i="6" s="1"/>
  <c r="D772" i="6" s="1"/>
  <c r="I726" i="6"/>
  <c r="H726" i="6"/>
  <c r="H772" i="6" s="1"/>
  <c r="H818" i="6" s="1"/>
  <c r="H864" i="6" s="1"/>
  <c r="H910" i="6" s="1"/>
  <c r="H956" i="6" s="1"/>
  <c r="H1002" i="6" s="1"/>
  <c r="F726" i="6"/>
  <c r="F772" i="6" s="1"/>
  <c r="D726" i="6"/>
  <c r="B726" i="6"/>
  <c r="A726" i="6"/>
  <c r="O725" i="6"/>
  <c r="O771" i="6" s="1"/>
  <c r="O817" i="6" s="1"/>
  <c r="O863" i="6" s="1"/>
  <c r="O909" i="6" s="1"/>
  <c r="O955" i="6" s="1"/>
  <c r="O1001" i="6" s="1"/>
  <c r="N725" i="6"/>
  <c r="N771" i="6" s="1"/>
  <c r="N817" i="6" s="1"/>
  <c r="N863" i="6" s="1"/>
  <c r="N909" i="6" s="1"/>
  <c r="N955" i="6" s="1"/>
  <c r="N1001" i="6" s="1"/>
  <c r="M725" i="6"/>
  <c r="M771" i="6" s="1"/>
  <c r="M817" i="6" s="1"/>
  <c r="M863" i="6" s="1"/>
  <c r="M909" i="6" s="1"/>
  <c r="M955" i="6" s="1"/>
  <c r="M1001" i="6" s="1"/>
  <c r="L725" i="6"/>
  <c r="L771" i="6" s="1"/>
  <c r="L817" i="6" s="1"/>
  <c r="L863" i="6" s="1"/>
  <c r="L909" i="6" s="1"/>
  <c r="L955" i="6" s="1"/>
  <c r="L1001" i="6" s="1"/>
  <c r="K725" i="6"/>
  <c r="K771" i="6" s="1"/>
  <c r="K817" i="6" s="1"/>
  <c r="K863" i="6" s="1"/>
  <c r="K909" i="6" s="1"/>
  <c r="K955" i="6" s="1"/>
  <c r="K1001" i="6" s="1"/>
  <c r="J725" i="6"/>
  <c r="D725" i="6" s="1"/>
  <c r="I725" i="6"/>
  <c r="F725" i="6"/>
  <c r="F771" i="6" s="1"/>
  <c r="A725" i="6"/>
  <c r="O724" i="6"/>
  <c r="O770" i="6" s="1"/>
  <c r="O816" i="6" s="1"/>
  <c r="O862" i="6" s="1"/>
  <c r="O908" i="6" s="1"/>
  <c r="O954" i="6" s="1"/>
  <c r="O1000" i="6" s="1"/>
  <c r="N724" i="6"/>
  <c r="N770" i="6" s="1"/>
  <c r="N816" i="6" s="1"/>
  <c r="N862" i="6" s="1"/>
  <c r="N908" i="6" s="1"/>
  <c r="N954" i="6" s="1"/>
  <c r="N1000" i="6" s="1"/>
  <c r="M724" i="6"/>
  <c r="M770" i="6" s="1"/>
  <c r="M816" i="6" s="1"/>
  <c r="M862" i="6" s="1"/>
  <c r="M908" i="6" s="1"/>
  <c r="M954" i="6" s="1"/>
  <c r="M1000" i="6" s="1"/>
  <c r="L724" i="6"/>
  <c r="K724" i="6"/>
  <c r="K770" i="6" s="1"/>
  <c r="K816" i="6" s="1"/>
  <c r="K862" i="6" s="1"/>
  <c r="K908" i="6" s="1"/>
  <c r="K954" i="6" s="1"/>
  <c r="K1000" i="6" s="1"/>
  <c r="J724" i="6"/>
  <c r="J770" i="6" s="1"/>
  <c r="I724" i="6"/>
  <c r="F724" i="6"/>
  <c r="F770" i="6" s="1"/>
  <c r="F816" i="6" s="1"/>
  <c r="D724" i="6"/>
  <c r="B724" i="6"/>
  <c r="A724" i="6"/>
  <c r="O723" i="6"/>
  <c r="O769" i="6" s="1"/>
  <c r="N723" i="6"/>
  <c r="N769" i="6" s="1"/>
  <c r="N815" i="6" s="1"/>
  <c r="N861" i="6" s="1"/>
  <c r="N907" i="6" s="1"/>
  <c r="N953" i="6" s="1"/>
  <c r="N999" i="6" s="1"/>
  <c r="M723" i="6"/>
  <c r="M769" i="6" s="1"/>
  <c r="M815" i="6" s="1"/>
  <c r="M861" i="6" s="1"/>
  <c r="M907" i="6" s="1"/>
  <c r="M953" i="6" s="1"/>
  <c r="M999" i="6" s="1"/>
  <c r="L723" i="6"/>
  <c r="L769" i="6" s="1"/>
  <c r="L815" i="6" s="1"/>
  <c r="L861" i="6" s="1"/>
  <c r="L907" i="6" s="1"/>
  <c r="L953" i="6" s="1"/>
  <c r="L999" i="6" s="1"/>
  <c r="K723" i="6"/>
  <c r="K769" i="6" s="1"/>
  <c r="K815" i="6" s="1"/>
  <c r="K861" i="6" s="1"/>
  <c r="K907" i="6" s="1"/>
  <c r="K953" i="6" s="1"/>
  <c r="K999" i="6" s="1"/>
  <c r="J723" i="6"/>
  <c r="J769" i="6" s="1"/>
  <c r="I723" i="6"/>
  <c r="F723" i="6"/>
  <c r="B723" i="6" s="1"/>
  <c r="D723" i="6"/>
  <c r="A723" i="6"/>
  <c r="P722" i="6"/>
  <c r="O722" i="6"/>
  <c r="O768" i="6" s="1"/>
  <c r="O814" i="6" s="1"/>
  <c r="O860" i="6" s="1"/>
  <c r="O906" i="6" s="1"/>
  <c r="O952" i="6" s="1"/>
  <c r="O998" i="6" s="1"/>
  <c r="N722" i="6"/>
  <c r="N768" i="6" s="1"/>
  <c r="N814" i="6" s="1"/>
  <c r="N860" i="6" s="1"/>
  <c r="N906" i="6" s="1"/>
  <c r="N952" i="6" s="1"/>
  <c r="N998" i="6" s="1"/>
  <c r="M722" i="6"/>
  <c r="M768" i="6" s="1"/>
  <c r="M814" i="6" s="1"/>
  <c r="M860" i="6" s="1"/>
  <c r="M906" i="6" s="1"/>
  <c r="M952" i="6" s="1"/>
  <c r="M998" i="6" s="1"/>
  <c r="L722" i="6"/>
  <c r="L768" i="6" s="1"/>
  <c r="L814" i="6" s="1"/>
  <c r="L860" i="6" s="1"/>
  <c r="L906" i="6" s="1"/>
  <c r="L952" i="6" s="1"/>
  <c r="L998" i="6" s="1"/>
  <c r="K722" i="6"/>
  <c r="K768" i="6" s="1"/>
  <c r="K814" i="6" s="1"/>
  <c r="K860" i="6" s="1"/>
  <c r="K906" i="6" s="1"/>
  <c r="K952" i="6" s="1"/>
  <c r="K998" i="6" s="1"/>
  <c r="J722" i="6"/>
  <c r="J768" i="6" s="1"/>
  <c r="I722" i="6"/>
  <c r="H722" i="6"/>
  <c r="H768" i="6" s="1"/>
  <c r="H814" i="6" s="1"/>
  <c r="H860" i="6" s="1"/>
  <c r="H906" i="6" s="1"/>
  <c r="H952" i="6" s="1"/>
  <c r="H998" i="6" s="1"/>
  <c r="F722" i="6"/>
  <c r="F768" i="6" s="1"/>
  <c r="D722" i="6"/>
  <c r="B722" i="6"/>
  <c r="A722" i="6"/>
  <c r="O721" i="6"/>
  <c r="O767" i="6" s="1"/>
  <c r="O813" i="6" s="1"/>
  <c r="O859" i="6" s="1"/>
  <c r="O905" i="6" s="1"/>
  <c r="O951" i="6" s="1"/>
  <c r="O997" i="6" s="1"/>
  <c r="N721" i="6"/>
  <c r="N767" i="6" s="1"/>
  <c r="N813" i="6" s="1"/>
  <c r="N859" i="6" s="1"/>
  <c r="N905" i="6" s="1"/>
  <c r="N951" i="6" s="1"/>
  <c r="N997" i="6" s="1"/>
  <c r="M721" i="6"/>
  <c r="M767" i="6" s="1"/>
  <c r="M813" i="6" s="1"/>
  <c r="M859" i="6" s="1"/>
  <c r="M905" i="6" s="1"/>
  <c r="M951" i="6" s="1"/>
  <c r="M997" i="6" s="1"/>
  <c r="L721" i="6"/>
  <c r="L767" i="6" s="1"/>
  <c r="L813" i="6" s="1"/>
  <c r="L859" i="6" s="1"/>
  <c r="L905" i="6" s="1"/>
  <c r="L951" i="6" s="1"/>
  <c r="L997" i="6" s="1"/>
  <c r="K721" i="6"/>
  <c r="K767" i="6" s="1"/>
  <c r="K813" i="6" s="1"/>
  <c r="K859" i="6" s="1"/>
  <c r="K905" i="6" s="1"/>
  <c r="K951" i="6" s="1"/>
  <c r="K997" i="6" s="1"/>
  <c r="J721" i="6"/>
  <c r="D721" i="6" s="1"/>
  <c r="I721" i="6"/>
  <c r="F721" i="6"/>
  <c r="F767" i="6" s="1"/>
  <c r="A721" i="6"/>
  <c r="O720" i="6"/>
  <c r="O766" i="6" s="1"/>
  <c r="O812" i="6" s="1"/>
  <c r="O858" i="6" s="1"/>
  <c r="O904" i="6" s="1"/>
  <c r="O950" i="6" s="1"/>
  <c r="O996" i="6" s="1"/>
  <c r="N720" i="6"/>
  <c r="N766" i="6" s="1"/>
  <c r="N812" i="6" s="1"/>
  <c r="N858" i="6" s="1"/>
  <c r="N904" i="6" s="1"/>
  <c r="N950" i="6" s="1"/>
  <c r="N996" i="6" s="1"/>
  <c r="M720" i="6"/>
  <c r="M766" i="6" s="1"/>
  <c r="M812" i="6" s="1"/>
  <c r="M858" i="6" s="1"/>
  <c r="M904" i="6" s="1"/>
  <c r="M950" i="6" s="1"/>
  <c r="M996" i="6" s="1"/>
  <c r="L720" i="6"/>
  <c r="L766" i="6" s="1"/>
  <c r="L812" i="6" s="1"/>
  <c r="L858" i="6" s="1"/>
  <c r="L904" i="6" s="1"/>
  <c r="L950" i="6" s="1"/>
  <c r="L996" i="6" s="1"/>
  <c r="K720" i="6"/>
  <c r="K766" i="6" s="1"/>
  <c r="K812" i="6" s="1"/>
  <c r="K858" i="6" s="1"/>
  <c r="K904" i="6" s="1"/>
  <c r="K950" i="6" s="1"/>
  <c r="K996" i="6" s="1"/>
  <c r="J720" i="6"/>
  <c r="J766" i="6" s="1"/>
  <c r="I720" i="6"/>
  <c r="F720" i="6"/>
  <c r="F766" i="6" s="1"/>
  <c r="F812" i="6" s="1"/>
  <c r="D720" i="6"/>
  <c r="B720" i="6"/>
  <c r="A720" i="6"/>
  <c r="O719" i="6"/>
  <c r="O765" i="6" s="1"/>
  <c r="N719" i="6"/>
  <c r="N765" i="6" s="1"/>
  <c r="N811" i="6" s="1"/>
  <c r="N857" i="6" s="1"/>
  <c r="N903" i="6" s="1"/>
  <c r="N949" i="6" s="1"/>
  <c r="N995" i="6" s="1"/>
  <c r="M719" i="6"/>
  <c r="M765" i="6" s="1"/>
  <c r="M811" i="6" s="1"/>
  <c r="M857" i="6" s="1"/>
  <c r="M903" i="6" s="1"/>
  <c r="M949" i="6" s="1"/>
  <c r="M995" i="6" s="1"/>
  <c r="L719" i="6"/>
  <c r="L765" i="6" s="1"/>
  <c r="L811" i="6" s="1"/>
  <c r="L857" i="6" s="1"/>
  <c r="L903" i="6" s="1"/>
  <c r="L949" i="6" s="1"/>
  <c r="L995" i="6" s="1"/>
  <c r="K719" i="6"/>
  <c r="K765" i="6" s="1"/>
  <c r="K811" i="6" s="1"/>
  <c r="K857" i="6" s="1"/>
  <c r="K903" i="6" s="1"/>
  <c r="K949" i="6" s="1"/>
  <c r="K995" i="6" s="1"/>
  <c r="J719" i="6"/>
  <c r="J765" i="6" s="1"/>
  <c r="I719" i="6"/>
  <c r="F719" i="6"/>
  <c r="B719" i="6" s="1"/>
  <c r="D719" i="6"/>
  <c r="A719" i="6"/>
  <c r="O718" i="6"/>
  <c r="O764" i="6" s="1"/>
  <c r="O810" i="6" s="1"/>
  <c r="O856" i="6" s="1"/>
  <c r="O902" i="6" s="1"/>
  <c r="O948" i="6" s="1"/>
  <c r="O994" i="6" s="1"/>
  <c r="N718" i="6"/>
  <c r="N764" i="6" s="1"/>
  <c r="N810" i="6" s="1"/>
  <c r="N856" i="6" s="1"/>
  <c r="N902" i="6" s="1"/>
  <c r="N948" i="6" s="1"/>
  <c r="N994" i="6" s="1"/>
  <c r="M718" i="6"/>
  <c r="M764" i="6" s="1"/>
  <c r="M810" i="6" s="1"/>
  <c r="M856" i="6" s="1"/>
  <c r="M902" i="6" s="1"/>
  <c r="M948" i="6" s="1"/>
  <c r="M994" i="6" s="1"/>
  <c r="L718" i="6"/>
  <c r="L764" i="6" s="1"/>
  <c r="L810" i="6" s="1"/>
  <c r="L856" i="6" s="1"/>
  <c r="L902" i="6" s="1"/>
  <c r="L948" i="6" s="1"/>
  <c r="L994" i="6" s="1"/>
  <c r="K718" i="6"/>
  <c r="K764" i="6" s="1"/>
  <c r="K810" i="6" s="1"/>
  <c r="K856" i="6" s="1"/>
  <c r="K902" i="6" s="1"/>
  <c r="K948" i="6" s="1"/>
  <c r="K994" i="6" s="1"/>
  <c r="J718" i="6"/>
  <c r="J764" i="6" s="1"/>
  <c r="I718" i="6"/>
  <c r="H718" i="6"/>
  <c r="H764" i="6" s="1"/>
  <c r="H810" i="6" s="1"/>
  <c r="H856" i="6" s="1"/>
  <c r="H902" i="6" s="1"/>
  <c r="H948" i="6" s="1"/>
  <c r="H994" i="6" s="1"/>
  <c r="F718" i="6"/>
  <c r="F764" i="6" s="1"/>
  <c r="D718" i="6"/>
  <c r="B718" i="6"/>
  <c r="A718" i="6"/>
  <c r="O717" i="6"/>
  <c r="O763" i="6" s="1"/>
  <c r="O809" i="6" s="1"/>
  <c r="O855" i="6" s="1"/>
  <c r="O901" i="6" s="1"/>
  <c r="O947" i="6" s="1"/>
  <c r="O993" i="6" s="1"/>
  <c r="N717" i="6"/>
  <c r="N763" i="6" s="1"/>
  <c r="N809" i="6" s="1"/>
  <c r="N855" i="6" s="1"/>
  <c r="N901" i="6" s="1"/>
  <c r="N947" i="6" s="1"/>
  <c r="N993" i="6" s="1"/>
  <c r="M717" i="6"/>
  <c r="M763" i="6" s="1"/>
  <c r="M809" i="6" s="1"/>
  <c r="M855" i="6" s="1"/>
  <c r="M901" i="6" s="1"/>
  <c r="M947" i="6" s="1"/>
  <c r="M993" i="6" s="1"/>
  <c r="L717" i="6"/>
  <c r="L763" i="6" s="1"/>
  <c r="L809" i="6" s="1"/>
  <c r="L855" i="6" s="1"/>
  <c r="L901" i="6" s="1"/>
  <c r="L947" i="6" s="1"/>
  <c r="L993" i="6" s="1"/>
  <c r="K717" i="6"/>
  <c r="K763" i="6" s="1"/>
  <c r="K809" i="6" s="1"/>
  <c r="K855" i="6" s="1"/>
  <c r="K901" i="6" s="1"/>
  <c r="K947" i="6" s="1"/>
  <c r="K993" i="6" s="1"/>
  <c r="J717" i="6"/>
  <c r="D717" i="6" s="1"/>
  <c r="I717" i="6"/>
  <c r="F717" i="6"/>
  <c r="F763" i="6" s="1"/>
  <c r="A717" i="6"/>
  <c r="O716" i="6"/>
  <c r="O762" i="6" s="1"/>
  <c r="O808" i="6" s="1"/>
  <c r="O854" i="6" s="1"/>
  <c r="O900" i="6" s="1"/>
  <c r="O946" i="6" s="1"/>
  <c r="O992" i="6" s="1"/>
  <c r="N716" i="6"/>
  <c r="N762" i="6" s="1"/>
  <c r="N808" i="6" s="1"/>
  <c r="N854" i="6" s="1"/>
  <c r="N900" i="6" s="1"/>
  <c r="N946" i="6" s="1"/>
  <c r="N992" i="6" s="1"/>
  <c r="M716" i="6"/>
  <c r="M762" i="6" s="1"/>
  <c r="M808" i="6" s="1"/>
  <c r="M854" i="6" s="1"/>
  <c r="M900" i="6" s="1"/>
  <c r="M946" i="6" s="1"/>
  <c r="M992" i="6" s="1"/>
  <c r="L716" i="6"/>
  <c r="L762" i="6" s="1"/>
  <c r="L808" i="6" s="1"/>
  <c r="L854" i="6" s="1"/>
  <c r="L900" i="6" s="1"/>
  <c r="L946" i="6" s="1"/>
  <c r="L992" i="6" s="1"/>
  <c r="K716" i="6"/>
  <c r="K762" i="6" s="1"/>
  <c r="K808" i="6" s="1"/>
  <c r="K854" i="6" s="1"/>
  <c r="K900" i="6" s="1"/>
  <c r="K946" i="6" s="1"/>
  <c r="K992" i="6" s="1"/>
  <c r="J716" i="6"/>
  <c r="J762" i="6" s="1"/>
  <c r="I716" i="6"/>
  <c r="F716" i="6"/>
  <c r="F762" i="6" s="1"/>
  <c r="F808" i="6" s="1"/>
  <c r="D716" i="6"/>
  <c r="B716" i="6"/>
  <c r="A716" i="6"/>
  <c r="O715" i="6"/>
  <c r="O761" i="6" s="1"/>
  <c r="N715" i="6"/>
  <c r="N761" i="6" s="1"/>
  <c r="N807" i="6" s="1"/>
  <c r="N853" i="6" s="1"/>
  <c r="N899" i="6" s="1"/>
  <c r="N945" i="6" s="1"/>
  <c r="N991" i="6" s="1"/>
  <c r="M715" i="6"/>
  <c r="M761" i="6" s="1"/>
  <c r="M807" i="6" s="1"/>
  <c r="M853" i="6" s="1"/>
  <c r="M899" i="6" s="1"/>
  <c r="M945" i="6" s="1"/>
  <c r="M991" i="6" s="1"/>
  <c r="L715" i="6"/>
  <c r="L761" i="6" s="1"/>
  <c r="L807" i="6" s="1"/>
  <c r="L853" i="6" s="1"/>
  <c r="L899" i="6" s="1"/>
  <c r="L945" i="6" s="1"/>
  <c r="L991" i="6" s="1"/>
  <c r="K715" i="6"/>
  <c r="K761" i="6" s="1"/>
  <c r="K807" i="6" s="1"/>
  <c r="K853" i="6" s="1"/>
  <c r="K899" i="6" s="1"/>
  <c r="K945" i="6" s="1"/>
  <c r="K991" i="6" s="1"/>
  <c r="J715" i="6"/>
  <c r="J761" i="6" s="1"/>
  <c r="I715" i="6"/>
  <c r="F715" i="6"/>
  <c r="B715" i="6" s="1"/>
  <c r="D715" i="6"/>
  <c r="A715" i="6"/>
  <c r="O714" i="6"/>
  <c r="O760" i="6" s="1"/>
  <c r="O806" i="6" s="1"/>
  <c r="O852" i="6" s="1"/>
  <c r="O898" i="6" s="1"/>
  <c r="O944" i="6" s="1"/>
  <c r="O990" i="6" s="1"/>
  <c r="N714" i="6"/>
  <c r="N760" i="6" s="1"/>
  <c r="N806" i="6" s="1"/>
  <c r="N852" i="6" s="1"/>
  <c r="N898" i="6" s="1"/>
  <c r="N944" i="6" s="1"/>
  <c r="N990" i="6" s="1"/>
  <c r="M714" i="6"/>
  <c r="M760" i="6" s="1"/>
  <c r="M806" i="6" s="1"/>
  <c r="M852" i="6" s="1"/>
  <c r="M898" i="6" s="1"/>
  <c r="M944" i="6" s="1"/>
  <c r="M990" i="6" s="1"/>
  <c r="L714" i="6"/>
  <c r="L760" i="6" s="1"/>
  <c r="L806" i="6" s="1"/>
  <c r="L852" i="6" s="1"/>
  <c r="L898" i="6" s="1"/>
  <c r="L944" i="6" s="1"/>
  <c r="L990" i="6" s="1"/>
  <c r="K714" i="6"/>
  <c r="K760" i="6" s="1"/>
  <c r="K806" i="6" s="1"/>
  <c r="K852" i="6" s="1"/>
  <c r="K898" i="6" s="1"/>
  <c r="K944" i="6" s="1"/>
  <c r="K990" i="6" s="1"/>
  <c r="J714" i="6"/>
  <c r="J760" i="6" s="1"/>
  <c r="I714" i="6"/>
  <c r="F714" i="6"/>
  <c r="F760" i="6" s="1"/>
  <c r="D714" i="6"/>
  <c r="B714" i="6"/>
  <c r="A714" i="6"/>
  <c r="O713" i="6"/>
  <c r="O759" i="6" s="1"/>
  <c r="O805" i="6" s="1"/>
  <c r="O851" i="6" s="1"/>
  <c r="O897" i="6" s="1"/>
  <c r="O943" i="6" s="1"/>
  <c r="O989" i="6" s="1"/>
  <c r="N713" i="6"/>
  <c r="N759" i="6" s="1"/>
  <c r="N805" i="6" s="1"/>
  <c r="N851" i="6" s="1"/>
  <c r="N897" i="6" s="1"/>
  <c r="N943" i="6" s="1"/>
  <c r="N989" i="6" s="1"/>
  <c r="M713" i="6"/>
  <c r="M759" i="6" s="1"/>
  <c r="M805" i="6" s="1"/>
  <c r="M851" i="6" s="1"/>
  <c r="M897" i="6" s="1"/>
  <c r="M943" i="6" s="1"/>
  <c r="M989" i="6" s="1"/>
  <c r="L713" i="6"/>
  <c r="L759" i="6" s="1"/>
  <c r="L805" i="6" s="1"/>
  <c r="L851" i="6" s="1"/>
  <c r="L897" i="6" s="1"/>
  <c r="L943" i="6" s="1"/>
  <c r="L989" i="6" s="1"/>
  <c r="K713" i="6"/>
  <c r="K759" i="6" s="1"/>
  <c r="K805" i="6" s="1"/>
  <c r="K851" i="6" s="1"/>
  <c r="K897" i="6" s="1"/>
  <c r="K943" i="6" s="1"/>
  <c r="K989" i="6" s="1"/>
  <c r="J713" i="6"/>
  <c r="D713" i="6" s="1"/>
  <c r="I713" i="6"/>
  <c r="F713" i="6"/>
  <c r="F759" i="6" s="1"/>
  <c r="A713" i="6"/>
  <c r="O712" i="6"/>
  <c r="O758" i="6" s="1"/>
  <c r="O804" i="6" s="1"/>
  <c r="O850" i="6" s="1"/>
  <c r="O896" i="6" s="1"/>
  <c r="O942" i="6" s="1"/>
  <c r="O988" i="6" s="1"/>
  <c r="N712" i="6"/>
  <c r="N758" i="6" s="1"/>
  <c r="N804" i="6" s="1"/>
  <c r="N850" i="6" s="1"/>
  <c r="N896" i="6" s="1"/>
  <c r="N942" i="6" s="1"/>
  <c r="N988" i="6" s="1"/>
  <c r="M712" i="6"/>
  <c r="M758" i="6" s="1"/>
  <c r="M804" i="6" s="1"/>
  <c r="M850" i="6" s="1"/>
  <c r="M896" i="6" s="1"/>
  <c r="M942" i="6" s="1"/>
  <c r="M988" i="6" s="1"/>
  <c r="L712" i="6"/>
  <c r="L758" i="6" s="1"/>
  <c r="L804" i="6" s="1"/>
  <c r="L850" i="6" s="1"/>
  <c r="L896" i="6" s="1"/>
  <c r="L942" i="6" s="1"/>
  <c r="L988" i="6" s="1"/>
  <c r="K712" i="6"/>
  <c r="K758" i="6" s="1"/>
  <c r="K804" i="6" s="1"/>
  <c r="K850" i="6" s="1"/>
  <c r="K896" i="6" s="1"/>
  <c r="K942" i="6" s="1"/>
  <c r="K988" i="6" s="1"/>
  <c r="J712" i="6"/>
  <c r="J758" i="6" s="1"/>
  <c r="I712" i="6"/>
  <c r="F712" i="6"/>
  <c r="F758" i="6" s="1"/>
  <c r="F804" i="6" s="1"/>
  <c r="D712" i="6"/>
  <c r="B712" i="6"/>
  <c r="A712" i="6"/>
  <c r="O711" i="6"/>
  <c r="O757" i="6" s="1"/>
  <c r="N711" i="6"/>
  <c r="N757" i="6" s="1"/>
  <c r="N803" i="6" s="1"/>
  <c r="N849" i="6" s="1"/>
  <c r="N895" i="6" s="1"/>
  <c r="N941" i="6" s="1"/>
  <c r="N987" i="6" s="1"/>
  <c r="M711" i="6"/>
  <c r="M757" i="6" s="1"/>
  <c r="M803" i="6" s="1"/>
  <c r="M849" i="6" s="1"/>
  <c r="M895" i="6" s="1"/>
  <c r="M941" i="6" s="1"/>
  <c r="M987" i="6" s="1"/>
  <c r="L711" i="6"/>
  <c r="L757" i="6" s="1"/>
  <c r="L803" i="6" s="1"/>
  <c r="L849" i="6" s="1"/>
  <c r="L895" i="6" s="1"/>
  <c r="L941" i="6" s="1"/>
  <c r="L987" i="6" s="1"/>
  <c r="K711" i="6"/>
  <c r="K757" i="6" s="1"/>
  <c r="K803" i="6" s="1"/>
  <c r="K849" i="6" s="1"/>
  <c r="K895" i="6" s="1"/>
  <c r="K941" i="6" s="1"/>
  <c r="K987" i="6" s="1"/>
  <c r="J711" i="6"/>
  <c r="J757" i="6" s="1"/>
  <c r="I711" i="6"/>
  <c r="F711" i="6"/>
  <c r="B711" i="6" s="1"/>
  <c r="D711" i="6"/>
  <c r="A711" i="6"/>
  <c r="O710" i="6"/>
  <c r="O756" i="6" s="1"/>
  <c r="O802" i="6" s="1"/>
  <c r="O848" i="6" s="1"/>
  <c r="O894" i="6" s="1"/>
  <c r="O940" i="6" s="1"/>
  <c r="O986" i="6" s="1"/>
  <c r="N710" i="6"/>
  <c r="N756" i="6" s="1"/>
  <c r="N802" i="6" s="1"/>
  <c r="N848" i="6" s="1"/>
  <c r="N894" i="6" s="1"/>
  <c r="N940" i="6" s="1"/>
  <c r="N986" i="6" s="1"/>
  <c r="M710" i="6"/>
  <c r="M756" i="6" s="1"/>
  <c r="M802" i="6" s="1"/>
  <c r="M848" i="6" s="1"/>
  <c r="M894" i="6" s="1"/>
  <c r="M940" i="6" s="1"/>
  <c r="M986" i="6" s="1"/>
  <c r="L710" i="6"/>
  <c r="L756" i="6" s="1"/>
  <c r="L802" i="6" s="1"/>
  <c r="L848" i="6" s="1"/>
  <c r="L894" i="6" s="1"/>
  <c r="L940" i="6" s="1"/>
  <c r="L986" i="6" s="1"/>
  <c r="K710" i="6"/>
  <c r="K756" i="6" s="1"/>
  <c r="K802" i="6" s="1"/>
  <c r="K848" i="6" s="1"/>
  <c r="K894" i="6" s="1"/>
  <c r="K940" i="6" s="1"/>
  <c r="K986" i="6" s="1"/>
  <c r="J710" i="6"/>
  <c r="J756" i="6" s="1"/>
  <c r="I710" i="6"/>
  <c r="F710" i="6"/>
  <c r="F756" i="6" s="1"/>
  <c r="D710" i="6"/>
  <c r="B710" i="6"/>
  <c r="A710" i="6"/>
  <c r="O709" i="6"/>
  <c r="O755" i="6" s="1"/>
  <c r="O801" i="6" s="1"/>
  <c r="O847" i="6" s="1"/>
  <c r="O893" i="6" s="1"/>
  <c r="O939" i="6" s="1"/>
  <c r="O985" i="6" s="1"/>
  <c r="N709" i="6"/>
  <c r="N755" i="6" s="1"/>
  <c r="N801" i="6" s="1"/>
  <c r="N847" i="6" s="1"/>
  <c r="N893" i="6" s="1"/>
  <c r="N939" i="6" s="1"/>
  <c r="N985" i="6" s="1"/>
  <c r="M709" i="6"/>
  <c r="M755" i="6" s="1"/>
  <c r="M801" i="6" s="1"/>
  <c r="M847" i="6" s="1"/>
  <c r="M893" i="6" s="1"/>
  <c r="M939" i="6" s="1"/>
  <c r="M985" i="6" s="1"/>
  <c r="L709" i="6"/>
  <c r="L755" i="6" s="1"/>
  <c r="L801" i="6" s="1"/>
  <c r="L847" i="6" s="1"/>
  <c r="L893" i="6" s="1"/>
  <c r="L939" i="6" s="1"/>
  <c r="L985" i="6" s="1"/>
  <c r="K709" i="6"/>
  <c r="K755" i="6" s="1"/>
  <c r="K801" i="6" s="1"/>
  <c r="K847" i="6" s="1"/>
  <c r="K893" i="6" s="1"/>
  <c r="K939" i="6" s="1"/>
  <c r="K985" i="6" s="1"/>
  <c r="J709" i="6"/>
  <c r="D709" i="6" s="1"/>
  <c r="I709" i="6"/>
  <c r="F709" i="6"/>
  <c r="F755" i="6" s="1"/>
  <c r="A709" i="6"/>
  <c r="O708" i="6"/>
  <c r="O754" i="6" s="1"/>
  <c r="O800" i="6" s="1"/>
  <c r="O846" i="6" s="1"/>
  <c r="O892" i="6" s="1"/>
  <c r="O938" i="6" s="1"/>
  <c r="O984" i="6" s="1"/>
  <c r="N708" i="6"/>
  <c r="N754" i="6" s="1"/>
  <c r="N800" i="6" s="1"/>
  <c r="N846" i="6" s="1"/>
  <c r="N892" i="6" s="1"/>
  <c r="N938" i="6" s="1"/>
  <c r="N984" i="6" s="1"/>
  <c r="M708" i="6"/>
  <c r="M754" i="6" s="1"/>
  <c r="M800" i="6" s="1"/>
  <c r="M846" i="6" s="1"/>
  <c r="M892" i="6" s="1"/>
  <c r="M938" i="6" s="1"/>
  <c r="M984" i="6" s="1"/>
  <c r="L708" i="6"/>
  <c r="L754" i="6" s="1"/>
  <c r="L800" i="6" s="1"/>
  <c r="L846" i="6" s="1"/>
  <c r="L892" i="6" s="1"/>
  <c r="L938" i="6" s="1"/>
  <c r="L984" i="6" s="1"/>
  <c r="K708" i="6"/>
  <c r="K754" i="6" s="1"/>
  <c r="K800" i="6" s="1"/>
  <c r="K846" i="6" s="1"/>
  <c r="K892" i="6" s="1"/>
  <c r="K938" i="6" s="1"/>
  <c r="K984" i="6" s="1"/>
  <c r="J708" i="6"/>
  <c r="J754" i="6" s="1"/>
  <c r="I708" i="6"/>
  <c r="F708" i="6"/>
  <c r="F754" i="6" s="1"/>
  <c r="F800" i="6" s="1"/>
  <c r="D708" i="6"/>
  <c r="B708" i="6"/>
  <c r="A708" i="6"/>
  <c r="O707" i="6"/>
  <c r="O753" i="6" s="1"/>
  <c r="N707" i="6"/>
  <c r="M707" i="6"/>
  <c r="M753" i="6" s="1"/>
  <c r="M799" i="6" s="1"/>
  <c r="M845" i="6" s="1"/>
  <c r="M891" i="6" s="1"/>
  <c r="M937" i="6" s="1"/>
  <c r="M983" i="6" s="1"/>
  <c r="L707" i="6"/>
  <c r="L753" i="6" s="1"/>
  <c r="L799" i="6" s="1"/>
  <c r="L845" i="6" s="1"/>
  <c r="L891" i="6" s="1"/>
  <c r="L937" i="6" s="1"/>
  <c r="L983" i="6" s="1"/>
  <c r="K707" i="6"/>
  <c r="K753" i="6" s="1"/>
  <c r="K799" i="6" s="1"/>
  <c r="K845" i="6" s="1"/>
  <c r="K891" i="6" s="1"/>
  <c r="K937" i="6" s="1"/>
  <c r="K983" i="6" s="1"/>
  <c r="J707" i="6"/>
  <c r="J753" i="6" s="1"/>
  <c r="I707" i="6"/>
  <c r="F707" i="6"/>
  <c r="B707" i="6" s="1"/>
  <c r="D707" i="6"/>
  <c r="A707" i="6"/>
  <c r="O706" i="6"/>
  <c r="O752" i="6" s="1"/>
  <c r="O798" i="6" s="1"/>
  <c r="O844" i="6" s="1"/>
  <c r="O890" i="6" s="1"/>
  <c r="O936" i="6" s="1"/>
  <c r="O982" i="6" s="1"/>
  <c r="N706" i="6"/>
  <c r="N752" i="6" s="1"/>
  <c r="N798" i="6" s="1"/>
  <c r="N844" i="6" s="1"/>
  <c r="N890" i="6" s="1"/>
  <c r="N936" i="6" s="1"/>
  <c r="N982" i="6" s="1"/>
  <c r="M706" i="6"/>
  <c r="M752" i="6" s="1"/>
  <c r="M798" i="6" s="1"/>
  <c r="M844" i="6" s="1"/>
  <c r="M890" i="6" s="1"/>
  <c r="M936" i="6" s="1"/>
  <c r="M982" i="6" s="1"/>
  <c r="L706" i="6"/>
  <c r="L752" i="6" s="1"/>
  <c r="L798" i="6" s="1"/>
  <c r="L844" i="6" s="1"/>
  <c r="L890" i="6" s="1"/>
  <c r="L936" i="6" s="1"/>
  <c r="L982" i="6" s="1"/>
  <c r="K706" i="6"/>
  <c r="K752" i="6" s="1"/>
  <c r="K798" i="6" s="1"/>
  <c r="K844" i="6" s="1"/>
  <c r="K890" i="6" s="1"/>
  <c r="K936" i="6" s="1"/>
  <c r="K982" i="6" s="1"/>
  <c r="J706" i="6"/>
  <c r="J752" i="6" s="1"/>
  <c r="I706" i="6"/>
  <c r="F706" i="6"/>
  <c r="F752" i="6" s="1"/>
  <c r="D706" i="6"/>
  <c r="B706" i="6"/>
  <c r="A706" i="6"/>
  <c r="O705" i="6"/>
  <c r="O751" i="6" s="1"/>
  <c r="O797" i="6" s="1"/>
  <c r="O843" i="6" s="1"/>
  <c r="O889" i="6" s="1"/>
  <c r="O935" i="6" s="1"/>
  <c r="O981" i="6" s="1"/>
  <c r="N705" i="6"/>
  <c r="N751" i="6" s="1"/>
  <c r="N797" i="6" s="1"/>
  <c r="N843" i="6" s="1"/>
  <c r="N889" i="6" s="1"/>
  <c r="N935" i="6" s="1"/>
  <c r="N981" i="6" s="1"/>
  <c r="M705" i="6"/>
  <c r="M751" i="6" s="1"/>
  <c r="M797" i="6" s="1"/>
  <c r="M843" i="6" s="1"/>
  <c r="M889" i="6" s="1"/>
  <c r="M935" i="6" s="1"/>
  <c r="M981" i="6" s="1"/>
  <c r="L705" i="6"/>
  <c r="L751" i="6" s="1"/>
  <c r="L797" i="6" s="1"/>
  <c r="L843" i="6" s="1"/>
  <c r="L889" i="6" s="1"/>
  <c r="L935" i="6" s="1"/>
  <c r="L981" i="6" s="1"/>
  <c r="K705" i="6"/>
  <c r="K751" i="6" s="1"/>
  <c r="K797" i="6" s="1"/>
  <c r="K843" i="6" s="1"/>
  <c r="K889" i="6" s="1"/>
  <c r="K935" i="6" s="1"/>
  <c r="K981" i="6" s="1"/>
  <c r="J705" i="6"/>
  <c r="D705" i="6" s="1"/>
  <c r="I705" i="6"/>
  <c r="F705" i="6"/>
  <c r="F751" i="6" s="1"/>
  <c r="A705" i="6"/>
  <c r="O704" i="6"/>
  <c r="O750" i="6" s="1"/>
  <c r="O796" i="6" s="1"/>
  <c r="O842" i="6" s="1"/>
  <c r="O888" i="6" s="1"/>
  <c r="O934" i="6" s="1"/>
  <c r="O980" i="6" s="1"/>
  <c r="N704" i="6"/>
  <c r="N750" i="6" s="1"/>
  <c r="N796" i="6" s="1"/>
  <c r="N842" i="6" s="1"/>
  <c r="N888" i="6" s="1"/>
  <c r="N934" i="6" s="1"/>
  <c r="N980" i="6" s="1"/>
  <c r="M704" i="6"/>
  <c r="M750" i="6" s="1"/>
  <c r="M796" i="6" s="1"/>
  <c r="M842" i="6" s="1"/>
  <c r="M888" i="6" s="1"/>
  <c r="M934" i="6" s="1"/>
  <c r="M980" i="6" s="1"/>
  <c r="L704" i="6"/>
  <c r="L750" i="6" s="1"/>
  <c r="L796" i="6" s="1"/>
  <c r="L842" i="6" s="1"/>
  <c r="L888" i="6" s="1"/>
  <c r="L934" i="6" s="1"/>
  <c r="L980" i="6" s="1"/>
  <c r="K704" i="6"/>
  <c r="K750" i="6" s="1"/>
  <c r="K796" i="6" s="1"/>
  <c r="K842" i="6" s="1"/>
  <c r="K888" i="6" s="1"/>
  <c r="K934" i="6" s="1"/>
  <c r="K980" i="6" s="1"/>
  <c r="J704" i="6"/>
  <c r="J750" i="6" s="1"/>
  <c r="I704" i="6"/>
  <c r="F704" i="6"/>
  <c r="F750" i="6" s="1"/>
  <c r="F796" i="6" s="1"/>
  <c r="D704" i="6"/>
  <c r="B704" i="6"/>
  <c r="A704" i="6"/>
  <c r="O703" i="6"/>
  <c r="O749" i="6" s="1"/>
  <c r="N703" i="6"/>
  <c r="N749" i="6" s="1"/>
  <c r="N795" i="6" s="1"/>
  <c r="N841" i="6" s="1"/>
  <c r="N887" i="6" s="1"/>
  <c r="N933" i="6" s="1"/>
  <c r="N979" i="6" s="1"/>
  <c r="M703" i="6"/>
  <c r="M749" i="6" s="1"/>
  <c r="M795" i="6" s="1"/>
  <c r="M841" i="6" s="1"/>
  <c r="M887" i="6" s="1"/>
  <c r="M933" i="6" s="1"/>
  <c r="M979" i="6" s="1"/>
  <c r="L703" i="6"/>
  <c r="L749" i="6" s="1"/>
  <c r="L795" i="6" s="1"/>
  <c r="L841" i="6" s="1"/>
  <c r="L887" i="6" s="1"/>
  <c r="L933" i="6" s="1"/>
  <c r="L979" i="6" s="1"/>
  <c r="K703" i="6"/>
  <c r="K749" i="6" s="1"/>
  <c r="K795" i="6" s="1"/>
  <c r="K841" i="6" s="1"/>
  <c r="K887" i="6" s="1"/>
  <c r="K933" i="6" s="1"/>
  <c r="K979" i="6" s="1"/>
  <c r="J703" i="6"/>
  <c r="J749" i="6" s="1"/>
  <c r="I703" i="6"/>
  <c r="F703" i="6"/>
  <c r="B703" i="6" s="1"/>
  <c r="D703" i="6"/>
  <c r="A703" i="6"/>
  <c r="O702" i="6"/>
  <c r="O748" i="6" s="1"/>
  <c r="O794" i="6" s="1"/>
  <c r="O840" i="6" s="1"/>
  <c r="O886" i="6" s="1"/>
  <c r="O932" i="6" s="1"/>
  <c r="O978" i="6" s="1"/>
  <c r="N702" i="6"/>
  <c r="N748" i="6" s="1"/>
  <c r="N794" i="6" s="1"/>
  <c r="N840" i="6" s="1"/>
  <c r="N886" i="6" s="1"/>
  <c r="N932" i="6" s="1"/>
  <c r="N978" i="6" s="1"/>
  <c r="M702" i="6"/>
  <c r="M748" i="6" s="1"/>
  <c r="M794" i="6" s="1"/>
  <c r="M840" i="6" s="1"/>
  <c r="M886" i="6" s="1"/>
  <c r="M932" i="6" s="1"/>
  <c r="M978" i="6" s="1"/>
  <c r="L702" i="6"/>
  <c r="L748" i="6" s="1"/>
  <c r="L794" i="6" s="1"/>
  <c r="L840" i="6" s="1"/>
  <c r="L886" i="6" s="1"/>
  <c r="L932" i="6" s="1"/>
  <c r="L978" i="6" s="1"/>
  <c r="K702" i="6"/>
  <c r="K748" i="6" s="1"/>
  <c r="K794" i="6" s="1"/>
  <c r="K840" i="6" s="1"/>
  <c r="K886" i="6" s="1"/>
  <c r="K932" i="6" s="1"/>
  <c r="K978" i="6" s="1"/>
  <c r="J702" i="6"/>
  <c r="J748" i="6" s="1"/>
  <c r="I702" i="6"/>
  <c r="H702" i="6"/>
  <c r="H748" i="6" s="1"/>
  <c r="H794" i="6" s="1"/>
  <c r="H840" i="6" s="1"/>
  <c r="H886" i="6" s="1"/>
  <c r="H932" i="6" s="1"/>
  <c r="H978" i="6" s="1"/>
  <c r="F702" i="6"/>
  <c r="F748" i="6" s="1"/>
  <c r="D702" i="6"/>
  <c r="B702" i="6"/>
  <c r="A702" i="6"/>
  <c r="O701" i="6"/>
  <c r="O747" i="6" s="1"/>
  <c r="O793" i="6" s="1"/>
  <c r="O839" i="6" s="1"/>
  <c r="O885" i="6" s="1"/>
  <c r="O931" i="6" s="1"/>
  <c r="O977" i="6" s="1"/>
  <c r="N701" i="6"/>
  <c r="N747" i="6" s="1"/>
  <c r="N793" i="6" s="1"/>
  <c r="N839" i="6" s="1"/>
  <c r="N885" i="6" s="1"/>
  <c r="N931" i="6" s="1"/>
  <c r="N977" i="6" s="1"/>
  <c r="M701" i="6"/>
  <c r="M747" i="6" s="1"/>
  <c r="M793" i="6" s="1"/>
  <c r="M839" i="6" s="1"/>
  <c r="M885" i="6" s="1"/>
  <c r="M931" i="6" s="1"/>
  <c r="M977" i="6" s="1"/>
  <c r="L701" i="6"/>
  <c r="L747" i="6" s="1"/>
  <c r="L793" i="6" s="1"/>
  <c r="L839" i="6" s="1"/>
  <c r="L885" i="6" s="1"/>
  <c r="L931" i="6" s="1"/>
  <c r="L977" i="6" s="1"/>
  <c r="K701" i="6"/>
  <c r="K747" i="6" s="1"/>
  <c r="K793" i="6" s="1"/>
  <c r="K839" i="6" s="1"/>
  <c r="K885" i="6" s="1"/>
  <c r="K931" i="6" s="1"/>
  <c r="K977" i="6" s="1"/>
  <c r="J701" i="6"/>
  <c r="J747" i="6" s="1"/>
  <c r="I701" i="6"/>
  <c r="F701" i="6"/>
  <c r="F747" i="6" s="1"/>
  <c r="A701" i="6"/>
  <c r="O700" i="6"/>
  <c r="O746" i="6" s="1"/>
  <c r="O792" i="6" s="1"/>
  <c r="O838" i="6" s="1"/>
  <c r="O884" i="6" s="1"/>
  <c r="O930" i="6" s="1"/>
  <c r="O976" i="6" s="1"/>
  <c r="N700" i="6"/>
  <c r="N746" i="6" s="1"/>
  <c r="N792" i="6" s="1"/>
  <c r="N838" i="6" s="1"/>
  <c r="N884" i="6" s="1"/>
  <c r="N930" i="6" s="1"/>
  <c r="N976" i="6" s="1"/>
  <c r="M700" i="6"/>
  <c r="M746" i="6" s="1"/>
  <c r="M792" i="6" s="1"/>
  <c r="M838" i="6" s="1"/>
  <c r="M884" i="6" s="1"/>
  <c r="M930" i="6" s="1"/>
  <c r="M976" i="6" s="1"/>
  <c r="L700" i="6"/>
  <c r="L746" i="6" s="1"/>
  <c r="L792" i="6" s="1"/>
  <c r="L838" i="6" s="1"/>
  <c r="L884" i="6" s="1"/>
  <c r="L930" i="6" s="1"/>
  <c r="L976" i="6" s="1"/>
  <c r="K700" i="6"/>
  <c r="K746" i="6" s="1"/>
  <c r="K792" i="6" s="1"/>
  <c r="K838" i="6" s="1"/>
  <c r="K884" i="6" s="1"/>
  <c r="K930" i="6" s="1"/>
  <c r="K976" i="6" s="1"/>
  <c r="J700" i="6"/>
  <c r="J746" i="6" s="1"/>
  <c r="I700" i="6"/>
  <c r="F700" i="6"/>
  <c r="F746" i="6" s="1"/>
  <c r="F792" i="6" s="1"/>
  <c r="D700" i="6"/>
  <c r="B700" i="6"/>
  <c r="A700" i="6"/>
  <c r="O699" i="6"/>
  <c r="O745" i="6" s="1"/>
  <c r="N699" i="6"/>
  <c r="N745" i="6" s="1"/>
  <c r="N791" i="6" s="1"/>
  <c r="N837" i="6" s="1"/>
  <c r="N883" i="6" s="1"/>
  <c r="N929" i="6" s="1"/>
  <c r="N975" i="6" s="1"/>
  <c r="M699" i="6"/>
  <c r="M745" i="6" s="1"/>
  <c r="M791" i="6" s="1"/>
  <c r="M837" i="6" s="1"/>
  <c r="M883" i="6" s="1"/>
  <c r="M929" i="6" s="1"/>
  <c r="M975" i="6" s="1"/>
  <c r="L699" i="6"/>
  <c r="L745" i="6" s="1"/>
  <c r="L791" i="6" s="1"/>
  <c r="L837" i="6" s="1"/>
  <c r="L883" i="6" s="1"/>
  <c r="L929" i="6" s="1"/>
  <c r="L975" i="6" s="1"/>
  <c r="K699" i="6"/>
  <c r="K745" i="6" s="1"/>
  <c r="K791" i="6" s="1"/>
  <c r="K837" i="6" s="1"/>
  <c r="K883" i="6" s="1"/>
  <c r="K929" i="6" s="1"/>
  <c r="K975" i="6" s="1"/>
  <c r="J699" i="6"/>
  <c r="J745" i="6" s="1"/>
  <c r="I699" i="6"/>
  <c r="F699" i="6"/>
  <c r="B699" i="6" s="1"/>
  <c r="D699" i="6"/>
  <c r="A699" i="6"/>
  <c r="O698" i="6"/>
  <c r="O744" i="6" s="1"/>
  <c r="O790" i="6" s="1"/>
  <c r="O836" i="6" s="1"/>
  <c r="O882" i="6" s="1"/>
  <c r="O928" i="6" s="1"/>
  <c r="O974" i="6" s="1"/>
  <c r="N698" i="6"/>
  <c r="N744" i="6" s="1"/>
  <c r="N790" i="6" s="1"/>
  <c r="N836" i="6" s="1"/>
  <c r="N882" i="6" s="1"/>
  <c r="N928" i="6" s="1"/>
  <c r="N974" i="6" s="1"/>
  <c r="M698" i="6"/>
  <c r="M744" i="6" s="1"/>
  <c r="M790" i="6" s="1"/>
  <c r="M836" i="6" s="1"/>
  <c r="M882" i="6" s="1"/>
  <c r="M928" i="6" s="1"/>
  <c r="M974" i="6" s="1"/>
  <c r="L698" i="6"/>
  <c r="L744" i="6" s="1"/>
  <c r="L790" i="6" s="1"/>
  <c r="L836" i="6" s="1"/>
  <c r="L882" i="6" s="1"/>
  <c r="L928" i="6" s="1"/>
  <c r="L974" i="6" s="1"/>
  <c r="K698" i="6"/>
  <c r="K744" i="6" s="1"/>
  <c r="K790" i="6" s="1"/>
  <c r="K836" i="6" s="1"/>
  <c r="K882" i="6" s="1"/>
  <c r="K928" i="6" s="1"/>
  <c r="K974" i="6" s="1"/>
  <c r="J698" i="6"/>
  <c r="J744" i="6" s="1"/>
  <c r="I698" i="6"/>
  <c r="G698" i="6"/>
  <c r="G744" i="6" s="1"/>
  <c r="G790" i="6" s="1"/>
  <c r="G836" i="6" s="1"/>
  <c r="G882" i="6" s="1"/>
  <c r="G928" i="6" s="1"/>
  <c r="G974" i="6" s="1"/>
  <c r="F698" i="6"/>
  <c r="F744" i="6" s="1"/>
  <c r="D698" i="6"/>
  <c r="B698" i="6"/>
  <c r="A698" i="6"/>
  <c r="O697" i="6"/>
  <c r="O743" i="6" s="1"/>
  <c r="O789" i="6" s="1"/>
  <c r="O835" i="6" s="1"/>
  <c r="O881" i="6" s="1"/>
  <c r="O927" i="6" s="1"/>
  <c r="O973" i="6" s="1"/>
  <c r="N697" i="6"/>
  <c r="N743" i="6" s="1"/>
  <c r="N789" i="6" s="1"/>
  <c r="N835" i="6" s="1"/>
  <c r="N881" i="6" s="1"/>
  <c r="N927" i="6" s="1"/>
  <c r="N973" i="6" s="1"/>
  <c r="M697" i="6"/>
  <c r="M743" i="6" s="1"/>
  <c r="M789" i="6" s="1"/>
  <c r="M835" i="6" s="1"/>
  <c r="M881" i="6" s="1"/>
  <c r="M927" i="6" s="1"/>
  <c r="M973" i="6" s="1"/>
  <c r="L697" i="6"/>
  <c r="L743" i="6" s="1"/>
  <c r="L789" i="6" s="1"/>
  <c r="L835" i="6" s="1"/>
  <c r="L881" i="6" s="1"/>
  <c r="L927" i="6" s="1"/>
  <c r="L973" i="6" s="1"/>
  <c r="K697" i="6"/>
  <c r="K743" i="6" s="1"/>
  <c r="K789" i="6" s="1"/>
  <c r="K835" i="6" s="1"/>
  <c r="K881" i="6" s="1"/>
  <c r="K927" i="6" s="1"/>
  <c r="K973" i="6" s="1"/>
  <c r="J697" i="6"/>
  <c r="J743" i="6" s="1"/>
  <c r="I697" i="6"/>
  <c r="F697" i="6"/>
  <c r="F743" i="6" s="1"/>
  <c r="D697" i="6"/>
  <c r="A697" i="6"/>
  <c r="O696" i="6"/>
  <c r="O742" i="6" s="1"/>
  <c r="O788" i="6" s="1"/>
  <c r="O834" i="6" s="1"/>
  <c r="O880" i="6" s="1"/>
  <c r="O926" i="6" s="1"/>
  <c r="O972" i="6" s="1"/>
  <c r="N696" i="6"/>
  <c r="N742" i="6" s="1"/>
  <c r="N788" i="6" s="1"/>
  <c r="N834" i="6" s="1"/>
  <c r="N880" i="6" s="1"/>
  <c r="N926" i="6" s="1"/>
  <c r="N972" i="6" s="1"/>
  <c r="M696" i="6"/>
  <c r="M742" i="6" s="1"/>
  <c r="M788" i="6" s="1"/>
  <c r="M834" i="6" s="1"/>
  <c r="M880" i="6" s="1"/>
  <c r="M926" i="6" s="1"/>
  <c r="M972" i="6" s="1"/>
  <c r="L696" i="6"/>
  <c r="L742" i="6" s="1"/>
  <c r="L788" i="6" s="1"/>
  <c r="L834" i="6" s="1"/>
  <c r="L880" i="6" s="1"/>
  <c r="L926" i="6" s="1"/>
  <c r="L972" i="6" s="1"/>
  <c r="K696" i="6"/>
  <c r="K742" i="6" s="1"/>
  <c r="K788" i="6" s="1"/>
  <c r="K834" i="6" s="1"/>
  <c r="K880" i="6" s="1"/>
  <c r="K926" i="6" s="1"/>
  <c r="K972" i="6" s="1"/>
  <c r="J696" i="6"/>
  <c r="J742" i="6" s="1"/>
  <c r="I696" i="6"/>
  <c r="F696" i="6"/>
  <c r="F742" i="6" s="1"/>
  <c r="F788" i="6" s="1"/>
  <c r="D696" i="6"/>
  <c r="B696" i="6"/>
  <c r="A696" i="6"/>
  <c r="O695" i="6"/>
  <c r="O741" i="6" s="1"/>
  <c r="N695" i="6"/>
  <c r="N741" i="6" s="1"/>
  <c r="N787" i="6" s="1"/>
  <c r="N833" i="6" s="1"/>
  <c r="N879" i="6" s="1"/>
  <c r="N925" i="6" s="1"/>
  <c r="N971" i="6" s="1"/>
  <c r="M695" i="6"/>
  <c r="M741" i="6" s="1"/>
  <c r="M787" i="6" s="1"/>
  <c r="M833" i="6" s="1"/>
  <c r="M879" i="6" s="1"/>
  <c r="M925" i="6" s="1"/>
  <c r="M971" i="6" s="1"/>
  <c r="L695" i="6"/>
  <c r="L741" i="6" s="1"/>
  <c r="L787" i="6" s="1"/>
  <c r="L833" i="6" s="1"/>
  <c r="L879" i="6" s="1"/>
  <c r="L925" i="6" s="1"/>
  <c r="L971" i="6" s="1"/>
  <c r="K695" i="6"/>
  <c r="K741" i="6" s="1"/>
  <c r="K787" i="6" s="1"/>
  <c r="K833" i="6" s="1"/>
  <c r="K879" i="6" s="1"/>
  <c r="K925" i="6" s="1"/>
  <c r="K971" i="6" s="1"/>
  <c r="J695" i="6"/>
  <c r="J741" i="6" s="1"/>
  <c r="I695" i="6"/>
  <c r="F695" i="6"/>
  <c r="B695" i="6" s="1"/>
  <c r="D695" i="6"/>
  <c r="A695" i="6"/>
  <c r="AA694" i="6"/>
  <c r="O694" i="6"/>
  <c r="O740" i="6" s="1"/>
  <c r="O786" i="6" s="1"/>
  <c r="O832" i="6" s="1"/>
  <c r="O878" i="6" s="1"/>
  <c r="O924" i="6" s="1"/>
  <c r="O970" i="6" s="1"/>
  <c r="N694" i="6"/>
  <c r="N740" i="6" s="1"/>
  <c r="N786" i="6" s="1"/>
  <c r="N832" i="6" s="1"/>
  <c r="N878" i="6" s="1"/>
  <c r="N924" i="6" s="1"/>
  <c r="N970" i="6" s="1"/>
  <c r="M694" i="6"/>
  <c r="M740" i="6" s="1"/>
  <c r="M786" i="6" s="1"/>
  <c r="M832" i="6" s="1"/>
  <c r="M878" i="6" s="1"/>
  <c r="M924" i="6" s="1"/>
  <c r="M970" i="6" s="1"/>
  <c r="L694" i="6"/>
  <c r="L740" i="6" s="1"/>
  <c r="L786" i="6" s="1"/>
  <c r="L832" i="6" s="1"/>
  <c r="L878" i="6" s="1"/>
  <c r="L924" i="6" s="1"/>
  <c r="L970" i="6" s="1"/>
  <c r="K694" i="6"/>
  <c r="K740" i="6" s="1"/>
  <c r="K786" i="6" s="1"/>
  <c r="K832" i="6" s="1"/>
  <c r="K878" i="6" s="1"/>
  <c r="K924" i="6" s="1"/>
  <c r="K970" i="6" s="1"/>
  <c r="J694" i="6"/>
  <c r="J740" i="6" s="1"/>
  <c r="I694" i="6"/>
  <c r="H694" i="6"/>
  <c r="G694" i="6"/>
  <c r="G740" i="6" s="1"/>
  <c r="G786" i="6" s="1"/>
  <c r="G832" i="6" s="1"/>
  <c r="G878" i="6" s="1"/>
  <c r="G924" i="6" s="1"/>
  <c r="G970" i="6" s="1"/>
  <c r="F694" i="6"/>
  <c r="F740" i="6" s="1"/>
  <c r="D694" i="6"/>
  <c r="B694" i="6"/>
  <c r="A694" i="6"/>
  <c r="O693" i="6"/>
  <c r="O739" i="6" s="1"/>
  <c r="O785" i="6" s="1"/>
  <c r="O831" i="6" s="1"/>
  <c r="O877" i="6" s="1"/>
  <c r="O923" i="6" s="1"/>
  <c r="O969" i="6" s="1"/>
  <c r="N693" i="6"/>
  <c r="N739" i="6" s="1"/>
  <c r="N785" i="6" s="1"/>
  <c r="N831" i="6" s="1"/>
  <c r="N877" i="6" s="1"/>
  <c r="N923" i="6" s="1"/>
  <c r="N969" i="6" s="1"/>
  <c r="M693" i="6"/>
  <c r="M739" i="6" s="1"/>
  <c r="M785" i="6" s="1"/>
  <c r="M831" i="6" s="1"/>
  <c r="M877" i="6" s="1"/>
  <c r="M923" i="6" s="1"/>
  <c r="M969" i="6" s="1"/>
  <c r="L693" i="6"/>
  <c r="L739" i="6" s="1"/>
  <c r="L785" i="6" s="1"/>
  <c r="L831" i="6" s="1"/>
  <c r="L877" i="6" s="1"/>
  <c r="L923" i="6" s="1"/>
  <c r="L969" i="6" s="1"/>
  <c r="K693" i="6"/>
  <c r="K739" i="6" s="1"/>
  <c r="K785" i="6" s="1"/>
  <c r="K831" i="6" s="1"/>
  <c r="K877" i="6" s="1"/>
  <c r="K923" i="6" s="1"/>
  <c r="K969" i="6" s="1"/>
  <c r="J693" i="6"/>
  <c r="I693" i="6"/>
  <c r="F693" i="6"/>
  <c r="F739" i="6" s="1"/>
  <c r="A693" i="6"/>
  <c r="O692" i="6"/>
  <c r="O738" i="6" s="1"/>
  <c r="O784" i="6" s="1"/>
  <c r="O830" i="6" s="1"/>
  <c r="O876" i="6" s="1"/>
  <c r="O922" i="6" s="1"/>
  <c r="O968" i="6" s="1"/>
  <c r="N692" i="6"/>
  <c r="N738" i="6" s="1"/>
  <c r="N784" i="6" s="1"/>
  <c r="N830" i="6" s="1"/>
  <c r="N876" i="6" s="1"/>
  <c r="N922" i="6" s="1"/>
  <c r="N968" i="6" s="1"/>
  <c r="M692" i="6"/>
  <c r="M738" i="6" s="1"/>
  <c r="M784" i="6" s="1"/>
  <c r="M830" i="6" s="1"/>
  <c r="M876" i="6" s="1"/>
  <c r="M922" i="6" s="1"/>
  <c r="M968" i="6" s="1"/>
  <c r="L692" i="6"/>
  <c r="K692" i="6"/>
  <c r="K738" i="6" s="1"/>
  <c r="K784" i="6" s="1"/>
  <c r="K830" i="6" s="1"/>
  <c r="K876" i="6" s="1"/>
  <c r="K922" i="6" s="1"/>
  <c r="K968" i="6" s="1"/>
  <c r="J692" i="6"/>
  <c r="J738" i="6" s="1"/>
  <c r="I692" i="6"/>
  <c r="F692" i="6"/>
  <c r="F738" i="6" s="1"/>
  <c r="F784" i="6" s="1"/>
  <c r="D692" i="6"/>
  <c r="B692" i="6"/>
  <c r="A692" i="6"/>
  <c r="O691" i="6"/>
  <c r="O737" i="6" s="1"/>
  <c r="N691" i="6"/>
  <c r="N737" i="6" s="1"/>
  <c r="N783" i="6" s="1"/>
  <c r="N829" i="6" s="1"/>
  <c r="N875" i="6" s="1"/>
  <c r="N921" i="6" s="1"/>
  <c r="N967" i="6" s="1"/>
  <c r="M691" i="6"/>
  <c r="M737" i="6" s="1"/>
  <c r="M783" i="6" s="1"/>
  <c r="M829" i="6" s="1"/>
  <c r="M875" i="6" s="1"/>
  <c r="M921" i="6" s="1"/>
  <c r="M967" i="6" s="1"/>
  <c r="L691" i="6"/>
  <c r="L737" i="6" s="1"/>
  <c r="L783" i="6" s="1"/>
  <c r="L829" i="6" s="1"/>
  <c r="L875" i="6" s="1"/>
  <c r="L921" i="6" s="1"/>
  <c r="L967" i="6" s="1"/>
  <c r="K691" i="6"/>
  <c r="K737" i="6" s="1"/>
  <c r="K783" i="6" s="1"/>
  <c r="K829" i="6" s="1"/>
  <c r="K875" i="6" s="1"/>
  <c r="K921" i="6" s="1"/>
  <c r="K967" i="6" s="1"/>
  <c r="J691" i="6"/>
  <c r="J737" i="6" s="1"/>
  <c r="I691" i="6"/>
  <c r="F691" i="6"/>
  <c r="B691" i="6" s="1"/>
  <c r="D691" i="6"/>
  <c r="A691" i="6"/>
  <c r="O690" i="6"/>
  <c r="O736" i="6" s="1"/>
  <c r="O782" i="6" s="1"/>
  <c r="O828" i="6" s="1"/>
  <c r="O874" i="6" s="1"/>
  <c r="O920" i="6" s="1"/>
  <c r="O966" i="6" s="1"/>
  <c r="N690" i="6"/>
  <c r="N736" i="6" s="1"/>
  <c r="N782" i="6" s="1"/>
  <c r="N828" i="6" s="1"/>
  <c r="N874" i="6" s="1"/>
  <c r="N920" i="6" s="1"/>
  <c r="N966" i="6" s="1"/>
  <c r="M690" i="6"/>
  <c r="M736" i="6" s="1"/>
  <c r="M782" i="6" s="1"/>
  <c r="M828" i="6" s="1"/>
  <c r="M874" i="6" s="1"/>
  <c r="M920" i="6" s="1"/>
  <c r="M966" i="6" s="1"/>
  <c r="L690" i="6"/>
  <c r="L736" i="6" s="1"/>
  <c r="L782" i="6" s="1"/>
  <c r="L828" i="6" s="1"/>
  <c r="L874" i="6" s="1"/>
  <c r="L920" i="6" s="1"/>
  <c r="L966" i="6" s="1"/>
  <c r="K690" i="6"/>
  <c r="K736" i="6" s="1"/>
  <c r="K782" i="6" s="1"/>
  <c r="K828" i="6" s="1"/>
  <c r="K874" i="6" s="1"/>
  <c r="K920" i="6" s="1"/>
  <c r="K966" i="6" s="1"/>
  <c r="J690" i="6"/>
  <c r="J736" i="6" s="1"/>
  <c r="I690" i="6"/>
  <c r="F690" i="6"/>
  <c r="F736" i="6" s="1"/>
  <c r="D690" i="6"/>
  <c r="B690" i="6"/>
  <c r="A690" i="6"/>
  <c r="AA689" i="6"/>
  <c r="Z689" i="6"/>
  <c r="Y689" i="6"/>
  <c r="X689" i="6"/>
  <c r="W689" i="6"/>
  <c r="V689" i="6"/>
  <c r="U689" i="6"/>
  <c r="T689" i="6"/>
  <c r="S689" i="6"/>
  <c r="R689" i="6"/>
  <c r="Q689" i="6"/>
  <c r="P689" i="6"/>
  <c r="AO685" i="6"/>
  <c r="AM685" i="6"/>
  <c r="AL685" i="6"/>
  <c r="AK685" i="6"/>
  <c r="AG685" i="6"/>
  <c r="W685" i="6"/>
  <c r="U685" i="6"/>
  <c r="T685" i="6"/>
  <c r="S685" i="6"/>
  <c r="O685" i="6"/>
  <c r="N685" i="6"/>
  <c r="M685" i="6"/>
  <c r="AA685" i="6" s="1"/>
  <c r="L685" i="6"/>
  <c r="K685" i="6"/>
  <c r="J685" i="6"/>
  <c r="I685" i="6"/>
  <c r="F685" i="6"/>
  <c r="B685" i="6"/>
  <c r="AK684" i="6"/>
  <c r="AI684" i="6"/>
  <c r="AA684" i="6"/>
  <c r="U684" i="6"/>
  <c r="S684" i="6"/>
  <c r="R684" i="6"/>
  <c r="Q684" i="6"/>
  <c r="O684" i="6"/>
  <c r="N684" i="6"/>
  <c r="M684" i="6"/>
  <c r="Y684" i="6" s="1"/>
  <c r="J684" i="6"/>
  <c r="L684" i="6" s="1"/>
  <c r="AJ684" i="6" s="1"/>
  <c r="I684" i="6"/>
  <c r="F684" i="6"/>
  <c r="B684" i="6"/>
  <c r="AQ683" i="6"/>
  <c r="AP683" i="6"/>
  <c r="AO683" i="6"/>
  <c r="AM683" i="6"/>
  <c r="AK683" i="6"/>
  <c r="AI683" i="6"/>
  <c r="AH683" i="6"/>
  <c r="AG683" i="6"/>
  <c r="AA683" i="6"/>
  <c r="Y683" i="6"/>
  <c r="X683" i="6"/>
  <c r="W683" i="6"/>
  <c r="S683" i="6"/>
  <c r="Q683" i="6"/>
  <c r="P683" i="6"/>
  <c r="O683" i="6"/>
  <c r="N683" i="6"/>
  <c r="M683" i="6"/>
  <c r="U683" i="6" s="1"/>
  <c r="L683" i="6"/>
  <c r="AL683" i="6" s="1"/>
  <c r="K683" i="6"/>
  <c r="J683" i="6"/>
  <c r="I683" i="6"/>
  <c r="F683" i="6"/>
  <c r="B683" i="6"/>
  <c r="AQ682" i="6"/>
  <c r="AN682" i="6"/>
  <c r="AM682" i="6"/>
  <c r="AI682" i="6"/>
  <c r="AG682" i="6"/>
  <c r="AF682" i="6"/>
  <c r="U682" i="6"/>
  <c r="O682" i="6"/>
  <c r="N682" i="6"/>
  <c r="M682" i="6"/>
  <c r="Y682" i="6" s="1"/>
  <c r="K682" i="6"/>
  <c r="J682" i="6"/>
  <c r="L682" i="6" s="1"/>
  <c r="I682" i="6"/>
  <c r="G682" i="6"/>
  <c r="AE682" i="6" s="1"/>
  <c r="F682" i="6"/>
  <c r="B682" i="6"/>
  <c r="AQ681" i="6"/>
  <c r="AO681" i="6"/>
  <c r="AM681" i="6"/>
  <c r="AK681" i="6"/>
  <c r="AI681" i="6"/>
  <c r="AG681" i="6"/>
  <c r="AA681" i="6"/>
  <c r="U681" i="6"/>
  <c r="T681" i="6"/>
  <c r="S681" i="6"/>
  <c r="Q681" i="6"/>
  <c r="O681" i="6"/>
  <c r="N681" i="6"/>
  <c r="M681" i="6"/>
  <c r="W681" i="6" s="1"/>
  <c r="L681" i="6"/>
  <c r="K681" i="6"/>
  <c r="J681" i="6"/>
  <c r="I681" i="6"/>
  <c r="F681" i="6"/>
  <c r="B681" i="6"/>
  <c r="AM680" i="6"/>
  <c r="AG680" i="6"/>
  <c r="O680" i="6"/>
  <c r="N680" i="6"/>
  <c r="M680" i="6"/>
  <c r="J680" i="6"/>
  <c r="L680" i="6" s="1"/>
  <c r="AI680" i="6" s="1"/>
  <c r="I680" i="6"/>
  <c r="F680" i="6"/>
  <c r="AQ679" i="6"/>
  <c r="AP679" i="6"/>
  <c r="AO679" i="6"/>
  <c r="AM679" i="6"/>
  <c r="AK679" i="6"/>
  <c r="AI679" i="6"/>
  <c r="AH679" i="6"/>
  <c r="AG679" i="6"/>
  <c r="AA679" i="6"/>
  <c r="U679" i="6"/>
  <c r="O679" i="6"/>
  <c r="N679" i="6"/>
  <c r="M679" i="6"/>
  <c r="W679" i="6" s="1"/>
  <c r="L679" i="6"/>
  <c r="AL679" i="6" s="1"/>
  <c r="K679" i="6"/>
  <c r="J679" i="6"/>
  <c r="I679" i="6"/>
  <c r="G679" i="6"/>
  <c r="AE679" i="6" s="1"/>
  <c r="F679" i="6"/>
  <c r="B679" i="6"/>
  <c r="AQ678" i="6"/>
  <c r="AO678" i="6"/>
  <c r="AI678" i="6"/>
  <c r="AF678" i="6"/>
  <c r="AA678" i="6"/>
  <c r="V678" i="6"/>
  <c r="U678" i="6"/>
  <c r="S678" i="6"/>
  <c r="Q678" i="6"/>
  <c r="O678" i="6"/>
  <c r="N678" i="6"/>
  <c r="M678" i="6"/>
  <c r="W678" i="6" s="1"/>
  <c r="K678" i="6"/>
  <c r="J678" i="6"/>
  <c r="L678" i="6" s="1"/>
  <c r="AG678" i="6" s="1"/>
  <c r="I678" i="6"/>
  <c r="F678" i="6"/>
  <c r="AQ677" i="6"/>
  <c r="AK677" i="6"/>
  <c r="AG677" i="6"/>
  <c r="AA677" i="6"/>
  <c r="W677" i="6"/>
  <c r="U677" i="6"/>
  <c r="T677" i="6"/>
  <c r="S677" i="6"/>
  <c r="Q677" i="6"/>
  <c r="O677" i="6"/>
  <c r="N677" i="6"/>
  <c r="M677" i="6"/>
  <c r="L677" i="6"/>
  <c r="AI677" i="6" s="1"/>
  <c r="K677" i="6"/>
  <c r="J677" i="6"/>
  <c r="I677" i="6"/>
  <c r="F677" i="6"/>
  <c r="B677" i="6"/>
  <c r="AO676" i="6"/>
  <c r="AI676" i="6"/>
  <c r="AA676" i="6"/>
  <c r="Z676" i="6"/>
  <c r="W676" i="6"/>
  <c r="U676" i="6"/>
  <c r="S676" i="6"/>
  <c r="O676" i="6"/>
  <c r="N676" i="6"/>
  <c r="M676" i="6"/>
  <c r="K676" i="6"/>
  <c r="J676" i="6"/>
  <c r="L676" i="6" s="1"/>
  <c r="AG676" i="6" s="1"/>
  <c r="I676" i="6"/>
  <c r="F676" i="6"/>
  <c r="AQ675" i="6"/>
  <c r="AP675" i="6"/>
  <c r="AO675" i="6"/>
  <c r="AM675" i="6"/>
  <c r="AK675" i="6"/>
  <c r="AI675" i="6"/>
  <c r="AH675" i="6"/>
  <c r="AG675" i="6"/>
  <c r="Y675" i="6"/>
  <c r="W675" i="6"/>
  <c r="P675" i="6"/>
  <c r="O675" i="6"/>
  <c r="N675" i="6"/>
  <c r="M675" i="6"/>
  <c r="U675" i="6" s="1"/>
  <c r="L675" i="6"/>
  <c r="AL675" i="6" s="1"/>
  <c r="K675" i="6"/>
  <c r="J675" i="6"/>
  <c r="I675" i="6"/>
  <c r="H675" i="6"/>
  <c r="F675" i="6"/>
  <c r="B675" i="6"/>
  <c r="AA674" i="6"/>
  <c r="W674" i="6"/>
  <c r="V674" i="6"/>
  <c r="U674" i="6"/>
  <c r="S674" i="6"/>
  <c r="Q674" i="6"/>
  <c r="O674" i="6"/>
  <c r="N674" i="6"/>
  <c r="M674" i="6"/>
  <c r="K674" i="6"/>
  <c r="J674" i="6"/>
  <c r="L674" i="6" s="1"/>
  <c r="I674" i="6"/>
  <c r="F674" i="6"/>
  <c r="B674" i="6"/>
  <c r="W673" i="6"/>
  <c r="T673" i="6"/>
  <c r="S673" i="6"/>
  <c r="Q673" i="6"/>
  <c r="O673" i="6"/>
  <c r="N673" i="6"/>
  <c r="M673" i="6"/>
  <c r="U673" i="6" s="1"/>
  <c r="L673" i="6"/>
  <c r="K673" i="6"/>
  <c r="J673" i="6"/>
  <c r="I673" i="6"/>
  <c r="F673" i="6"/>
  <c r="B673" i="6"/>
  <c r="AQ672" i="6"/>
  <c r="AO672" i="6"/>
  <c r="AM672" i="6"/>
  <c r="AK672" i="6"/>
  <c r="AJ672" i="6"/>
  <c r="AA672" i="6"/>
  <c r="V672" i="6"/>
  <c r="Q672" i="6"/>
  <c r="O672" i="6"/>
  <c r="N672" i="6"/>
  <c r="M672" i="6"/>
  <c r="U672" i="6" s="1"/>
  <c r="K672" i="6"/>
  <c r="J672" i="6"/>
  <c r="L672" i="6" s="1"/>
  <c r="AG672" i="6" s="1"/>
  <c r="I672" i="6"/>
  <c r="F672" i="6"/>
  <c r="AQ671" i="6"/>
  <c r="AP671" i="6"/>
  <c r="AO671" i="6"/>
  <c r="AK671" i="6"/>
  <c r="AI671" i="6"/>
  <c r="AG671" i="6"/>
  <c r="W671" i="6"/>
  <c r="O671" i="6"/>
  <c r="N671" i="6"/>
  <c r="M671" i="6"/>
  <c r="L671" i="6"/>
  <c r="K671" i="6"/>
  <c r="J671" i="6"/>
  <c r="I671" i="6"/>
  <c r="F671" i="6"/>
  <c r="B671" i="6"/>
  <c r="AQ670" i="6"/>
  <c r="AO670" i="6"/>
  <c r="AN670" i="6"/>
  <c r="AJ670" i="6"/>
  <c r="AI670" i="6"/>
  <c r="AF670" i="6"/>
  <c r="AA670" i="6"/>
  <c r="V670" i="6"/>
  <c r="S670" i="6"/>
  <c r="R670" i="6"/>
  <c r="Q670" i="6"/>
  <c r="O670" i="6"/>
  <c r="N670" i="6"/>
  <c r="M670" i="6"/>
  <c r="U670" i="6" s="1"/>
  <c r="K670" i="6"/>
  <c r="J670" i="6"/>
  <c r="L670" i="6" s="1"/>
  <c r="I670" i="6"/>
  <c r="F670" i="6"/>
  <c r="AP669" i="6"/>
  <c r="AO669" i="6"/>
  <c r="AM669" i="6"/>
  <c r="AL669" i="6"/>
  <c r="AK669" i="6"/>
  <c r="AI669" i="6"/>
  <c r="Q669" i="6"/>
  <c r="O669" i="6"/>
  <c r="N669" i="6"/>
  <c r="M669" i="6"/>
  <c r="U669" i="6" s="1"/>
  <c r="L669" i="6"/>
  <c r="AQ669" i="6" s="1"/>
  <c r="K669" i="6"/>
  <c r="J669" i="6"/>
  <c r="I669" i="6"/>
  <c r="F669" i="6"/>
  <c r="B669" i="6"/>
  <c r="AO668" i="6"/>
  <c r="AN668" i="6"/>
  <c r="AM668" i="6"/>
  <c r="AK668" i="6"/>
  <c r="AJ668" i="6"/>
  <c r="AI668" i="6"/>
  <c r="AA668" i="6"/>
  <c r="V668" i="6"/>
  <c r="Q668" i="6"/>
  <c r="O668" i="6"/>
  <c r="N668" i="6"/>
  <c r="M668" i="6"/>
  <c r="U668" i="6" s="1"/>
  <c r="K668" i="6"/>
  <c r="J668" i="6"/>
  <c r="L668" i="6" s="1"/>
  <c r="AQ668" i="6" s="1"/>
  <c r="I668" i="6"/>
  <c r="F668" i="6"/>
  <c r="AQ667" i="6"/>
  <c r="AP667" i="6"/>
  <c r="AO667" i="6"/>
  <c r="AK667" i="6"/>
  <c r="AI667" i="6"/>
  <c r="AG667" i="6"/>
  <c r="O667" i="6"/>
  <c r="N667" i="6"/>
  <c r="M667" i="6"/>
  <c r="L667" i="6"/>
  <c r="K667" i="6"/>
  <c r="J667" i="6"/>
  <c r="I667" i="6"/>
  <c r="F667" i="6"/>
  <c r="B667" i="6"/>
  <c r="AQ666" i="6"/>
  <c r="AO666" i="6"/>
  <c r="AN666" i="6"/>
  <c r="AJ666" i="6"/>
  <c r="AI666" i="6"/>
  <c r="AF666" i="6"/>
  <c r="AA666" i="6"/>
  <c r="V666" i="6"/>
  <c r="S666" i="6"/>
  <c r="R666" i="6"/>
  <c r="Q666" i="6"/>
  <c r="O666" i="6"/>
  <c r="N666" i="6"/>
  <c r="M666" i="6"/>
  <c r="U666" i="6" s="1"/>
  <c r="K666" i="6"/>
  <c r="J666" i="6"/>
  <c r="L666" i="6" s="1"/>
  <c r="I666" i="6"/>
  <c r="F666" i="6"/>
  <c r="AP665" i="6"/>
  <c r="AO665" i="6"/>
  <c r="AM665" i="6"/>
  <c r="AL665" i="6"/>
  <c r="AK665" i="6"/>
  <c r="AI665" i="6"/>
  <c r="Q665" i="6"/>
  <c r="O665" i="6"/>
  <c r="N665" i="6"/>
  <c r="M665" i="6"/>
  <c r="U665" i="6" s="1"/>
  <c r="L665" i="6"/>
  <c r="AQ665" i="6" s="1"/>
  <c r="K665" i="6"/>
  <c r="J665" i="6"/>
  <c r="I665" i="6"/>
  <c r="F665" i="6"/>
  <c r="B665" i="6"/>
  <c r="AO664" i="6"/>
  <c r="AN664" i="6"/>
  <c r="AM664" i="6"/>
  <c r="AK664" i="6"/>
  <c r="AJ664" i="6"/>
  <c r="AI664" i="6"/>
  <c r="AA664" i="6"/>
  <c r="V664" i="6"/>
  <c r="Q664" i="6"/>
  <c r="O664" i="6"/>
  <c r="N664" i="6"/>
  <c r="M664" i="6"/>
  <c r="U664" i="6" s="1"/>
  <c r="K664" i="6"/>
  <c r="J664" i="6"/>
  <c r="L664" i="6" s="1"/>
  <c r="AQ664" i="6" s="1"/>
  <c r="I664" i="6"/>
  <c r="F664" i="6"/>
  <c r="AJ663" i="6"/>
  <c r="Y663" i="6"/>
  <c r="T663" i="6"/>
  <c r="P663" i="6"/>
  <c r="O663" i="6"/>
  <c r="N663" i="6"/>
  <c r="M663" i="6"/>
  <c r="V663" i="6" s="1"/>
  <c r="L663" i="6"/>
  <c r="AM663" i="6" s="1"/>
  <c r="K663" i="6"/>
  <c r="J663" i="6"/>
  <c r="I663" i="6"/>
  <c r="H663" i="6"/>
  <c r="F663" i="6"/>
  <c r="B663" i="6"/>
  <c r="AA662" i="6"/>
  <c r="Z662" i="6"/>
  <c r="Y662" i="6"/>
  <c r="X662" i="6"/>
  <c r="W662" i="6"/>
  <c r="U662" i="6"/>
  <c r="S662" i="6"/>
  <c r="R662" i="6"/>
  <c r="Q662" i="6"/>
  <c r="P662" i="6"/>
  <c r="O662" i="6"/>
  <c r="N662" i="6"/>
  <c r="M662" i="6"/>
  <c r="T662" i="6" s="1"/>
  <c r="J662" i="6"/>
  <c r="I662" i="6"/>
  <c r="F662" i="6"/>
  <c r="B662" i="6" s="1"/>
  <c r="AO661" i="6"/>
  <c r="AF661" i="6"/>
  <c r="AA661" i="6"/>
  <c r="Y661" i="6"/>
  <c r="U661" i="6"/>
  <c r="S661" i="6"/>
  <c r="Q661" i="6"/>
  <c r="P661" i="6"/>
  <c r="O661" i="6"/>
  <c r="N661" i="6"/>
  <c r="M661" i="6"/>
  <c r="T661" i="6" s="1"/>
  <c r="L661" i="6"/>
  <c r="K661" i="6"/>
  <c r="J661" i="6"/>
  <c r="I661" i="6"/>
  <c r="F661" i="6"/>
  <c r="B661" i="6"/>
  <c r="AI660" i="6"/>
  <c r="Y660" i="6"/>
  <c r="W660" i="6"/>
  <c r="U660" i="6"/>
  <c r="T660" i="6"/>
  <c r="S660" i="6"/>
  <c r="O660" i="6"/>
  <c r="N660" i="6"/>
  <c r="M660" i="6"/>
  <c r="J660" i="6"/>
  <c r="L660" i="6" s="1"/>
  <c r="I660" i="6"/>
  <c r="F660" i="6"/>
  <c r="B660" i="6"/>
  <c r="AJ659" i="6"/>
  <c r="Y659" i="6"/>
  <c r="T659" i="6"/>
  <c r="P659" i="6"/>
  <c r="O659" i="6"/>
  <c r="N659" i="6"/>
  <c r="M659" i="6"/>
  <c r="V659" i="6" s="1"/>
  <c r="L659" i="6"/>
  <c r="AM659" i="6" s="1"/>
  <c r="K659" i="6"/>
  <c r="J659" i="6"/>
  <c r="I659" i="6"/>
  <c r="H659" i="6"/>
  <c r="F659" i="6"/>
  <c r="B659" i="6"/>
  <c r="AA658" i="6"/>
  <c r="Z658" i="6"/>
  <c r="Y658" i="6"/>
  <c r="X658" i="6"/>
  <c r="W658" i="6"/>
  <c r="U658" i="6"/>
  <c r="S658" i="6"/>
  <c r="R658" i="6"/>
  <c r="Q658" i="6"/>
  <c r="P658" i="6"/>
  <c r="O658" i="6"/>
  <c r="N658" i="6"/>
  <c r="M658" i="6"/>
  <c r="T658" i="6" s="1"/>
  <c r="J658" i="6"/>
  <c r="I658" i="6"/>
  <c r="F658" i="6"/>
  <c r="AO657" i="6"/>
  <c r="AF657" i="6"/>
  <c r="AA657" i="6"/>
  <c r="Y657" i="6"/>
  <c r="U657" i="6"/>
  <c r="S657" i="6"/>
  <c r="Q657" i="6"/>
  <c r="P657" i="6"/>
  <c r="O657" i="6"/>
  <c r="N657" i="6"/>
  <c r="M657" i="6"/>
  <c r="T657" i="6" s="1"/>
  <c r="L657" i="6"/>
  <c r="K657" i="6"/>
  <c r="J657" i="6"/>
  <c r="I657" i="6"/>
  <c r="F657" i="6"/>
  <c r="B657" i="6"/>
  <c r="AI656" i="6"/>
  <c r="Y656" i="6"/>
  <c r="W656" i="6"/>
  <c r="U656" i="6"/>
  <c r="T656" i="6"/>
  <c r="S656" i="6"/>
  <c r="O656" i="6"/>
  <c r="N656" i="6"/>
  <c r="M656" i="6"/>
  <c r="J656" i="6"/>
  <c r="L656" i="6" s="1"/>
  <c r="I656" i="6"/>
  <c r="F656" i="6"/>
  <c r="B656" i="6"/>
  <c r="AA655" i="6"/>
  <c r="Z655" i="6"/>
  <c r="Y655" i="6"/>
  <c r="X655" i="6"/>
  <c r="W655" i="6"/>
  <c r="V655" i="6"/>
  <c r="S655" i="6"/>
  <c r="R655" i="6"/>
  <c r="Q655" i="6"/>
  <c r="P655" i="6"/>
  <c r="O655" i="6"/>
  <c r="N655" i="6"/>
  <c r="M655" i="6"/>
  <c r="U655" i="6" s="1"/>
  <c r="J655" i="6"/>
  <c r="I655" i="6"/>
  <c r="F655" i="6"/>
  <c r="AP654" i="6"/>
  <c r="AH654" i="6"/>
  <c r="X654" i="6"/>
  <c r="T654" i="6"/>
  <c r="P654" i="6"/>
  <c r="O654" i="6"/>
  <c r="N654" i="6"/>
  <c r="M654" i="6"/>
  <c r="V654" i="6" s="1"/>
  <c r="L654" i="6"/>
  <c r="AN654" i="6" s="1"/>
  <c r="K654" i="6"/>
  <c r="J654" i="6"/>
  <c r="I654" i="6"/>
  <c r="H654" i="6"/>
  <c r="F654" i="6"/>
  <c r="B654" i="6"/>
  <c r="AN653" i="6"/>
  <c r="AF653" i="6"/>
  <c r="AA653" i="6"/>
  <c r="Z653" i="6"/>
  <c r="W653" i="6"/>
  <c r="V653" i="6"/>
  <c r="T653" i="6"/>
  <c r="S653" i="6"/>
  <c r="R653" i="6"/>
  <c r="O653" i="6"/>
  <c r="N653" i="6"/>
  <c r="M653" i="6"/>
  <c r="Y653" i="6" s="1"/>
  <c r="J653" i="6"/>
  <c r="L653" i="6" s="1"/>
  <c r="I653" i="6"/>
  <c r="F653" i="6"/>
  <c r="B653" i="6" s="1"/>
  <c r="Y652" i="6"/>
  <c r="X652" i="6"/>
  <c r="T652" i="6"/>
  <c r="Q652" i="6"/>
  <c r="P652" i="6"/>
  <c r="O652" i="6"/>
  <c r="N652" i="6"/>
  <c r="M652" i="6"/>
  <c r="Z652" i="6" s="1"/>
  <c r="L652" i="6"/>
  <c r="J652" i="6"/>
  <c r="I652" i="6"/>
  <c r="F652" i="6"/>
  <c r="B652" i="6"/>
  <c r="AA651" i="6"/>
  <c r="Z651" i="6"/>
  <c r="Y651" i="6"/>
  <c r="X651" i="6"/>
  <c r="W651" i="6"/>
  <c r="V651" i="6"/>
  <c r="S651" i="6"/>
  <c r="R651" i="6"/>
  <c r="Q651" i="6"/>
  <c r="P651" i="6"/>
  <c r="O651" i="6"/>
  <c r="N651" i="6"/>
  <c r="M651" i="6"/>
  <c r="U651" i="6" s="1"/>
  <c r="J651" i="6"/>
  <c r="I651" i="6"/>
  <c r="F651" i="6"/>
  <c r="B651" i="6" s="1"/>
  <c r="AP650" i="6"/>
  <c r="AH650" i="6"/>
  <c r="X650" i="6"/>
  <c r="T650" i="6"/>
  <c r="P650" i="6"/>
  <c r="O650" i="6"/>
  <c r="N650" i="6"/>
  <c r="M650" i="6"/>
  <c r="V650" i="6" s="1"/>
  <c r="L650" i="6"/>
  <c r="AN650" i="6" s="1"/>
  <c r="K650" i="6"/>
  <c r="J650" i="6"/>
  <c r="I650" i="6"/>
  <c r="H650" i="6"/>
  <c r="F650" i="6"/>
  <c r="B650" i="6"/>
  <c r="AA649" i="6"/>
  <c r="Z649" i="6"/>
  <c r="W649" i="6"/>
  <c r="V649" i="6"/>
  <c r="T649" i="6"/>
  <c r="S649" i="6"/>
  <c r="R649" i="6"/>
  <c r="O649" i="6"/>
  <c r="N649" i="6"/>
  <c r="M649" i="6"/>
  <c r="Y649" i="6" s="1"/>
  <c r="J649" i="6"/>
  <c r="L649" i="6" s="1"/>
  <c r="I649" i="6"/>
  <c r="F649" i="6"/>
  <c r="B649" i="6" s="1"/>
  <c r="AL648" i="6"/>
  <c r="Y648" i="6"/>
  <c r="X648" i="6"/>
  <c r="T648" i="6"/>
  <c r="Q648" i="6"/>
  <c r="P648" i="6"/>
  <c r="O648" i="6"/>
  <c r="N648" i="6"/>
  <c r="M648" i="6"/>
  <c r="Z648" i="6" s="1"/>
  <c r="L648" i="6"/>
  <c r="J648" i="6"/>
  <c r="I648" i="6"/>
  <c r="F648" i="6"/>
  <c r="B648" i="6"/>
  <c r="AA647" i="6"/>
  <c r="Z647" i="6"/>
  <c r="Y647" i="6"/>
  <c r="X647" i="6"/>
  <c r="W647" i="6"/>
  <c r="V647" i="6"/>
  <c r="S647" i="6"/>
  <c r="R647" i="6"/>
  <c r="Q647" i="6"/>
  <c r="P647" i="6"/>
  <c r="O647" i="6"/>
  <c r="N647" i="6"/>
  <c r="M647" i="6"/>
  <c r="U647" i="6" s="1"/>
  <c r="J647" i="6"/>
  <c r="I647" i="6"/>
  <c r="F647" i="6"/>
  <c r="B647" i="6" s="1"/>
  <c r="AP646" i="6"/>
  <c r="AH646" i="6"/>
  <c r="X646" i="6"/>
  <c r="T646" i="6"/>
  <c r="P646" i="6"/>
  <c r="O646" i="6"/>
  <c r="N646" i="6"/>
  <c r="M646" i="6"/>
  <c r="V646" i="6" s="1"/>
  <c r="L646" i="6"/>
  <c r="AN646" i="6" s="1"/>
  <c r="K646" i="6"/>
  <c r="J646" i="6"/>
  <c r="I646" i="6"/>
  <c r="H646" i="6"/>
  <c r="F646" i="6"/>
  <c r="B646" i="6"/>
  <c r="AA645" i="6"/>
  <c r="Z645" i="6"/>
  <c r="W645" i="6"/>
  <c r="V645" i="6"/>
  <c r="T645" i="6"/>
  <c r="S645" i="6"/>
  <c r="R645" i="6"/>
  <c r="O645" i="6"/>
  <c r="N645" i="6"/>
  <c r="M645" i="6"/>
  <c r="Y645" i="6" s="1"/>
  <c r="J645" i="6"/>
  <c r="L645" i="6" s="1"/>
  <c r="I645" i="6"/>
  <c r="F645" i="6"/>
  <c r="B645" i="6" s="1"/>
  <c r="Y644" i="6"/>
  <c r="X644" i="6"/>
  <c r="T644" i="6"/>
  <c r="Q644" i="6"/>
  <c r="P644" i="6"/>
  <c r="O644" i="6"/>
  <c r="N644" i="6"/>
  <c r="M644" i="6"/>
  <c r="Z644" i="6" s="1"/>
  <c r="L644" i="6"/>
  <c r="J644" i="6"/>
  <c r="I644" i="6"/>
  <c r="F644" i="6"/>
  <c r="B644" i="6"/>
  <c r="AA643" i="6"/>
  <c r="Z643" i="6"/>
  <c r="Y643" i="6"/>
  <c r="X643" i="6"/>
  <c r="W643" i="6"/>
  <c r="V643" i="6"/>
  <c r="S643" i="6"/>
  <c r="R643" i="6"/>
  <c r="Q643" i="6"/>
  <c r="P643" i="6"/>
  <c r="O643" i="6"/>
  <c r="N643" i="6"/>
  <c r="M643" i="6"/>
  <c r="U643" i="6" s="1"/>
  <c r="J643" i="6"/>
  <c r="I643" i="6"/>
  <c r="F643" i="6"/>
  <c r="AP642" i="6"/>
  <c r="AH642" i="6"/>
  <c r="X642" i="6"/>
  <c r="T642" i="6"/>
  <c r="P642" i="6"/>
  <c r="O642" i="6"/>
  <c r="N642" i="6"/>
  <c r="M642" i="6"/>
  <c r="V642" i="6" s="1"/>
  <c r="L642" i="6"/>
  <c r="AN642" i="6" s="1"/>
  <c r="K642" i="6"/>
  <c r="J642" i="6"/>
  <c r="I642" i="6"/>
  <c r="H642" i="6"/>
  <c r="F642" i="6"/>
  <c r="B642" i="6"/>
  <c r="AA641" i="6"/>
  <c r="Z641" i="6"/>
  <c r="W641" i="6"/>
  <c r="V641" i="6"/>
  <c r="T641" i="6"/>
  <c r="S641" i="6"/>
  <c r="R641" i="6"/>
  <c r="O641" i="6"/>
  <c r="N641" i="6"/>
  <c r="M641" i="6"/>
  <c r="Y641" i="6" s="1"/>
  <c r="J641" i="6"/>
  <c r="L641" i="6" s="1"/>
  <c r="I641" i="6"/>
  <c r="F641" i="6"/>
  <c r="B641" i="6" s="1"/>
  <c r="AQ640" i="6"/>
  <c r="AP640" i="6"/>
  <c r="AK640" i="6"/>
  <c r="AJ640" i="6"/>
  <c r="AI640" i="6"/>
  <c r="AH640" i="6"/>
  <c r="AA640" i="6"/>
  <c r="Z640" i="6"/>
  <c r="Y640" i="6"/>
  <c r="AO640" i="6" s="1"/>
  <c r="X640" i="6"/>
  <c r="AN640" i="6" s="1"/>
  <c r="W640" i="6"/>
  <c r="AM640" i="6" s="1"/>
  <c r="V640" i="6"/>
  <c r="AL640" i="6" s="1"/>
  <c r="U640" i="6"/>
  <c r="T640" i="6"/>
  <c r="S640" i="6"/>
  <c r="R640" i="6"/>
  <c r="Q640" i="6"/>
  <c r="AG640" i="6" s="1"/>
  <c r="P640" i="6"/>
  <c r="AF640" i="6" s="1"/>
  <c r="AW638" i="6"/>
  <c r="AV638" i="6"/>
  <c r="AU638" i="6"/>
  <c r="AG638" i="6"/>
  <c r="AF638" i="6"/>
  <c r="AE638" i="6"/>
  <c r="AB638" i="6"/>
  <c r="K638" i="6"/>
  <c r="H638" i="6"/>
  <c r="G638" i="6"/>
  <c r="G1061" i="6" s="1"/>
  <c r="G1107" i="6" s="1"/>
  <c r="G1153" i="6" s="1"/>
  <c r="G1199" i="6" s="1"/>
  <c r="G1245" i="6" s="1"/>
  <c r="G1291" i="6" s="1"/>
  <c r="G1337" i="6" s="1"/>
  <c r="D638" i="6"/>
  <c r="C638" i="6"/>
  <c r="B638" i="6"/>
  <c r="AU637" i="6"/>
  <c r="AF637" i="6"/>
  <c r="AE637" i="6"/>
  <c r="AB637" i="6"/>
  <c r="K637" i="6"/>
  <c r="K1060" i="6" s="1"/>
  <c r="K1106" i="6" s="1"/>
  <c r="K1152" i="6" s="1"/>
  <c r="K1198" i="6" s="1"/>
  <c r="K1244" i="6" s="1"/>
  <c r="K1290" i="6" s="1"/>
  <c r="K1336" i="6" s="1"/>
  <c r="H637" i="6"/>
  <c r="G637" i="6"/>
  <c r="D637" i="6"/>
  <c r="C637" i="6"/>
  <c r="B637" i="6"/>
  <c r="AW636" i="6"/>
  <c r="AV636" i="6"/>
  <c r="AU636" i="6"/>
  <c r="AG636" i="6"/>
  <c r="AF636" i="6"/>
  <c r="AE636" i="6"/>
  <c r="AB636" i="6"/>
  <c r="K636" i="6"/>
  <c r="H636" i="6"/>
  <c r="H1059" i="6" s="1"/>
  <c r="H1105" i="6" s="1"/>
  <c r="H1151" i="6" s="1"/>
  <c r="H1197" i="6" s="1"/>
  <c r="H1243" i="6" s="1"/>
  <c r="H1289" i="6" s="1"/>
  <c r="H1335" i="6" s="1"/>
  <c r="G636" i="6"/>
  <c r="G1059" i="6" s="1"/>
  <c r="G1105" i="6" s="1"/>
  <c r="G1151" i="6" s="1"/>
  <c r="G1197" i="6" s="1"/>
  <c r="G1243" i="6" s="1"/>
  <c r="G1289" i="6" s="1"/>
  <c r="G1335" i="6" s="1"/>
  <c r="D636" i="6"/>
  <c r="C636" i="6"/>
  <c r="B636" i="6"/>
  <c r="AU635" i="6"/>
  <c r="AF635" i="6"/>
  <c r="AE635" i="6"/>
  <c r="AB635" i="6"/>
  <c r="K635" i="6"/>
  <c r="K1058" i="6" s="1"/>
  <c r="K1104" i="6" s="1"/>
  <c r="K1150" i="6" s="1"/>
  <c r="K1196" i="6" s="1"/>
  <c r="K1242" i="6" s="1"/>
  <c r="K1288" i="6" s="1"/>
  <c r="K1334" i="6" s="1"/>
  <c r="H635" i="6"/>
  <c r="G635" i="6"/>
  <c r="G1058" i="6" s="1"/>
  <c r="G1104" i="6" s="1"/>
  <c r="G1150" i="6" s="1"/>
  <c r="G1196" i="6" s="1"/>
  <c r="G1242" i="6" s="1"/>
  <c r="G1288" i="6" s="1"/>
  <c r="G1334" i="6" s="1"/>
  <c r="D635" i="6"/>
  <c r="C635" i="6"/>
  <c r="B635" i="6"/>
  <c r="AU634" i="6"/>
  <c r="AV634" i="6" s="1"/>
  <c r="AF634" i="6"/>
  <c r="AE634" i="6"/>
  <c r="AB634" i="6"/>
  <c r="K634" i="6"/>
  <c r="H634" i="6"/>
  <c r="G634" i="6"/>
  <c r="G1057" i="6" s="1"/>
  <c r="G1103" i="6" s="1"/>
  <c r="G1149" i="6" s="1"/>
  <c r="G1195" i="6" s="1"/>
  <c r="G1241" i="6" s="1"/>
  <c r="G1287" i="6" s="1"/>
  <c r="G1333" i="6" s="1"/>
  <c r="D634" i="6"/>
  <c r="C634" i="6"/>
  <c r="B634" i="6"/>
  <c r="AU633" i="6"/>
  <c r="AF633" i="6"/>
  <c r="AE633" i="6"/>
  <c r="AB633" i="6"/>
  <c r="K633" i="6"/>
  <c r="K1056" i="6" s="1"/>
  <c r="K1102" i="6" s="1"/>
  <c r="K1148" i="6" s="1"/>
  <c r="K1194" i="6" s="1"/>
  <c r="K1240" i="6" s="1"/>
  <c r="K1286" i="6" s="1"/>
  <c r="K1332" i="6" s="1"/>
  <c r="H633" i="6"/>
  <c r="G633" i="6"/>
  <c r="G1056" i="6" s="1"/>
  <c r="G1102" i="6" s="1"/>
  <c r="G1148" i="6" s="1"/>
  <c r="G1194" i="6" s="1"/>
  <c r="G1240" i="6" s="1"/>
  <c r="G1286" i="6" s="1"/>
  <c r="G1332" i="6" s="1"/>
  <c r="D633" i="6"/>
  <c r="C633" i="6"/>
  <c r="B633" i="6"/>
  <c r="AU632" i="6"/>
  <c r="AV632" i="6" s="1"/>
  <c r="AF632" i="6"/>
  <c r="AE632" i="6"/>
  <c r="AB632" i="6"/>
  <c r="K632" i="6"/>
  <c r="H632" i="6"/>
  <c r="H1055" i="6" s="1"/>
  <c r="H1101" i="6" s="1"/>
  <c r="H1147" i="6" s="1"/>
  <c r="H1193" i="6" s="1"/>
  <c r="H1239" i="6" s="1"/>
  <c r="H1285" i="6" s="1"/>
  <c r="H1331" i="6" s="1"/>
  <c r="G632" i="6"/>
  <c r="G1055" i="6" s="1"/>
  <c r="G1101" i="6" s="1"/>
  <c r="G1147" i="6" s="1"/>
  <c r="G1193" i="6" s="1"/>
  <c r="G1239" i="6" s="1"/>
  <c r="G1285" i="6" s="1"/>
  <c r="G1331" i="6" s="1"/>
  <c r="D632" i="6"/>
  <c r="C632" i="6"/>
  <c r="B632" i="6"/>
  <c r="AU631" i="6"/>
  <c r="AF631" i="6"/>
  <c r="AE631" i="6"/>
  <c r="AB631" i="6"/>
  <c r="K631" i="6"/>
  <c r="K1054" i="6" s="1"/>
  <c r="K1100" i="6" s="1"/>
  <c r="K1146" i="6" s="1"/>
  <c r="K1192" i="6" s="1"/>
  <c r="K1238" i="6" s="1"/>
  <c r="K1284" i="6" s="1"/>
  <c r="K1330" i="6" s="1"/>
  <c r="H631" i="6"/>
  <c r="G631" i="6"/>
  <c r="G1054" i="6" s="1"/>
  <c r="G1100" i="6" s="1"/>
  <c r="G1146" i="6" s="1"/>
  <c r="G1192" i="6" s="1"/>
  <c r="G1238" i="6" s="1"/>
  <c r="G1284" i="6" s="1"/>
  <c r="G1330" i="6" s="1"/>
  <c r="D631" i="6"/>
  <c r="C631" i="6"/>
  <c r="B631" i="6"/>
  <c r="AU630" i="6"/>
  <c r="AV630" i="6" s="1"/>
  <c r="AF630" i="6"/>
  <c r="AE630" i="6"/>
  <c r="AB630" i="6"/>
  <c r="K630" i="6"/>
  <c r="H630" i="6"/>
  <c r="G630" i="6"/>
  <c r="G1053" i="6" s="1"/>
  <c r="G1099" i="6" s="1"/>
  <c r="G1145" i="6" s="1"/>
  <c r="G1191" i="6" s="1"/>
  <c r="G1237" i="6" s="1"/>
  <c r="G1283" i="6" s="1"/>
  <c r="G1329" i="6" s="1"/>
  <c r="D630" i="6"/>
  <c r="C630" i="6"/>
  <c r="B630" i="6"/>
  <c r="AU629" i="6"/>
  <c r="AF629" i="6"/>
  <c r="AE629" i="6"/>
  <c r="AB629" i="6"/>
  <c r="K629" i="6"/>
  <c r="K1052" i="6" s="1"/>
  <c r="K1098" i="6" s="1"/>
  <c r="K1144" i="6" s="1"/>
  <c r="K1190" i="6" s="1"/>
  <c r="K1236" i="6" s="1"/>
  <c r="K1282" i="6" s="1"/>
  <c r="K1328" i="6" s="1"/>
  <c r="H629" i="6"/>
  <c r="G629" i="6"/>
  <c r="G1052" i="6" s="1"/>
  <c r="G1098" i="6" s="1"/>
  <c r="G1144" i="6" s="1"/>
  <c r="G1190" i="6" s="1"/>
  <c r="G1236" i="6" s="1"/>
  <c r="G1282" i="6" s="1"/>
  <c r="G1328" i="6" s="1"/>
  <c r="D629" i="6"/>
  <c r="C629" i="6"/>
  <c r="B629" i="6"/>
  <c r="AU628" i="6"/>
  <c r="AV628" i="6" s="1"/>
  <c r="AF628" i="6"/>
  <c r="AE628" i="6"/>
  <c r="AB628" i="6"/>
  <c r="K628" i="6"/>
  <c r="H628" i="6"/>
  <c r="H1051" i="6" s="1"/>
  <c r="H1097" i="6" s="1"/>
  <c r="H1143" i="6" s="1"/>
  <c r="H1189" i="6" s="1"/>
  <c r="H1235" i="6" s="1"/>
  <c r="H1281" i="6" s="1"/>
  <c r="H1327" i="6" s="1"/>
  <c r="G628" i="6"/>
  <c r="G1051" i="6" s="1"/>
  <c r="G1097" i="6" s="1"/>
  <c r="G1143" i="6" s="1"/>
  <c r="G1189" i="6" s="1"/>
  <c r="G1235" i="6" s="1"/>
  <c r="G1281" i="6" s="1"/>
  <c r="G1327" i="6" s="1"/>
  <c r="D628" i="6"/>
  <c r="C628" i="6"/>
  <c r="B628" i="6"/>
  <c r="AU627" i="6"/>
  <c r="AF627" i="6"/>
  <c r="AE627" i="6"/>
  <c r="AB627" i="6"/>
  <c r="K627" i="6"/>
  <c r="K1050" i="6" s="1"/>
  <c r="K1096" i="6" s="1"/>
  <c r="K1142" i="6" s="1"/>
  <c r="K1188" i="6" s="1"/>
  <c r="K1234" i="6" s="1"/>
  <c r="K1280" i="6" s="1"/>
  <c r="K1326" i="6" s="1"/>
  <c r="H627" i="6"/>
  <c r="G627" i="6"/>
  <c r="G1050" i="6" s="1"/>
  <c r="G1096" i="6" s="1"/>
  <c r="G1142" i="6" s="1"/>
  <c r="G1188" i="6" s="1"/>
  <c r="G1234" i="6" s="1"/>
  <c r="G1280" i="6" s="1"/>
  <c r="G1326" i="6" s="1"/>
  <c r="D627" i="6"/>
  <c r="C627" i="6"/>
  <c r="B627" i="6"/>
  <c r="AU626" i="6"/>
  <c r="AV626" i="6" s="1"/>
  <c r="AF626" i="6"/>
  <c r="AE626" i="6"/>
  <c r="AB626" i="6"/>
  <c r="K626" i="6"/>
  <c r="H626" i="6"/>
  <c r="G626" i="6"/>
  <c r="G1049" i="6" s="1"/>
  <c r="G1095" i="6" s="1"/>
  <c r="G1141" i="6" s="1"/>
  <c r="G1187" i="6" s="1"/>
  <c r="G1233" i="6" s="1"/>
  <c r="G1279" i="6" s="1"/>
  <c r="G1325" i="6" s="1"/>
  <c r="D626" i="6"/>
  <c r="C626" i="6"/>
  <c r="B626" i="6"/>
  <c r="AU625" i="6"/>
  <c r="AF625" i="6"/>
  <c r="AE625" i="6"/>
  <c r="AB625" i="6"/>
  <c r="K625" i="6"/>
  <c r="K1048" i="6" s="1"/>
  <c r="K1094" i="6" s="1"/>
  <c r="K1140" i="6" s="1"/>
  <c r="K1186" i="6" s="1"/>
  <c r="K1232" i="6" s="1"/>
  <c r="K1278" i="6" s="1"/>
  <c r="K1324" i="6" s="1"/>
  <c r="H625" i="6"/>
  <c r="G625" i="6"/>
  <c r="G1048" i="6" s="1"/>
  <c r="G1094" i="6" s="1"/>
  <c r="G1140" i="6" s="1"/>
  <c r="G1186" i="6" s="1"/>
  <c r="G1232" i="6" s="1"/>
  <c r="G1278" i="6" s="1"/>
  <c r="G1324" i="6" s="1"/>
  <c r="D625" i="6"/>
  <c r="C625" i="6"/>
  <c r="B625" i="6"/>
  <c r="AU624" i="6"/>
  <c r="AV624" i="6" s="1"/>
  <c r="AF624" i="6"/>
  <c r="AE624" i="6"/>
  <c r="AB624" i="6"/>
  <c r="K624" i="6"/>
  <c r="H624" i="6"/>
  <c r="H1047" i="6" s="1"/>
  <c r="H1093" i="6" s="1"/>
  <c r="H1139" i="6" s="1"/>
  <c r="H1185" i="6" s="1"/>
  <c r="H1231" i="6" s="1"/>
  <c r="H1277" i="6" s="1"/>
  <c r="H1323" i="6" s="1"/>
  <c r="G624" i="6"/>
  <c r="G1047" i="6" s="1"/>
  <c r="G1093" i="6" s="1"/>
  <c r="G1139" i="6" s="1"/>
  <c r="G1185" i="6" s="1"/>
  <c r="G1231" i="6" s="1"/>
  <c r="G1277" i="6" s="1"/>
  <c r="G1323" i="6" s="1"/>
  <c r="D624" i="6"/>
  <c r="C624" i="6"/>
  <c r="B624" i="6"/>
  <c r="AU623" i="6"/>
  <c r="AF623" i="6"/>
  <c r="AE623" i="6"/>
  <c r="AB623" i="6"/>
  <c r="K623" i="6"/>
  <c r="K1046" i="6" s="1"/>
  <c r="K1092" i="6" s="1"/>
  <c r="K1138" i="6" s="1"/>
  <c r="K1184" i="6" s="1"/>
  <c r="K1230" i="6" s="1"/>
  <c r="K1276" i="6" s="1"/>
  <c r="K1322" i="6" s="1"/>
  <c r="H623" i="6"/>
  <c r="G623" i="6"/>
  <c r="G1046" i="6" s="1"/>
  <c r="G1092" i="6" s="1"/>
  <c r="G1138" i="6" s="1"/>
  <c r="G1184" i="6" s="1"/>
  <c r="G1230" i="6" s="1"/>
  <c r="G1276" i="6" s="1"/>
  <c r="G1322" i="6" s="1"/>
  <c r="D623" i="6"/>
  <c r="C623" i="6"/>
  <c r="B623" i="6"/>
  <c r="AU622" i="6"/>
  <c r="AV622" i="6" s="1"/>
  <c r="AF622" i="6"/>
  <c r="AE622" i="6"/>
  <c r="AB622" i="6"/>
  <c r="K622" i="6"/>
  <c r="H622" i="6"/>
  <c r="H1045" i="6" s="1"/>
  <c r="H1091" i="6" s="1"/>
  <c r="H1137" i="6" s="1"/>
  <c r="H1183" i="6" s="1"/>
  <c r="H1229" i="6" s="1"/>
  <c r="H1275" i="6" s="1"/>
  <c r="H1321" i="6" s="1"/>
  <c r="G622" i="6"/>
  <c r="G1045" i="6" s="1"/>
  <c r="G1091" i="6" s="1"/>
  <c r="G1137" i="6" s="1"/>
  <c r="G1183" i="6" s="1"/>
  <c r="G1229" i="6" s="1"/>
  <c r="G1275" i="6" s="1"/>
  <c r="G1321" i="6" s="1"/>
  <c r="D622" i="6"/>
  <c r="C622" i="6"/>
  <c r="B622" i="6"/>
  <c r="AU621" i="6"/>
  <c r="AF621" i="6"/>
  <c r="AE621" i="6"/>
  <c r="AB621" i="6"/>
  <c r="K621" i="6"/>
  <c r="K1044" i="6" s="1"/>
  <c r="K1090" i="6" s="1"/>
  <c r="K1136" i="6" s="1"/>
  <c r="K1182" i="6" s="1"/>
  <c r="K1228" i="6" s="1"/>
  <c r="K1274" i="6" s="1"/>
  <c r="K1320" i="6" s="1"/>
  <c r="H621" i="6"/>
  <c r="G621" i="6"/>
  <c r="G1044" i="6" s="1"/>
  <c r="G1090" i="6" s="1"/>
  <c r="G1136" i="6" s="1"/>
  <c r="G1182" i="6" s="1"/>
  <c r="G1228" i="6" s="1"/>
  <c r="G1274" i="6" s="1"/>
  <c r="G1320" i="6" s="1"/>
  <c r="D621" i="6"/>
  <c r="C621" i="6"/>
  <c r="B621" i="6"/>
  <c r="AU620" i="6"/>
  <c r="AV620" i="6" s="1"/>
  <c r="AF620" i="6"/>
  <c r="AE620" i="6"/>
  <c r="AB620" i="6"/>
  <c r="K620" i="6"/>
  <c r="H620" i="6"/>
  <c r="H1043" i="6" s="1"/>
  <c r="H1089" i="6" s="1"/>
  <c r="H1135" i="6" s="1"/>
  <c r="H1181" i="6" s="1"/>
  <c r="H1227" i="6" s="1"/>
  <c r="H1273" i="6" s="1"/>
  <c r="H1319" i="6" s="1"/>
  <c r="G620" i="6"/>
  <c r="G1043" i="6" s="1"/>
  <c r="G1089" i="6" s="1"/>
  <c r="G1135" i="6" s="1"/>
  <c r="G1181" i="6" s="1"/>
  <c r="G1227" i="6" s="1"/>
  <c r="G1273" i="6" s="1"/>
  <c r="G1319" i="6" s="1"/>
  <c r="D620" i="6"/>
  <c r="C620" i="6"/>
  <c r="B620" i="6"/>
  <c r="AU619" i="6"/>
  <c r="AF619" i="6"/>
  <c r="AE619" i="6"/>
  <c r="AB619" i="6"/>
  <c r="K619" i="6"/>
  <c r="K1042" i="6" s="1"/>
  <c r="K1088" i="6" s="1"/>
  <c r="K1134" i="6" s="1"/>
  <c r="K1180" i="6" s="1"/>
  <c r="K1226" i="6" s="1"/>
  <c r="K1272" i="6" s="1"/>
  <c r="K1318" i="6" s="1"/>
  <c r="H619" i="6"/>
  <c r="G619" i="6"/>
  <c r="G1042" i="6" s="1"/>
  <c r="G1088" i="6" s="1"/>
  <c r="G1134" i="6" s="1"/>
  <c r="G1180" i="6" s="1"/>
  <c r="G1226" i="6" s="1"/>
  <c r="G1272" i="6" s="1"/>
  <c r="G1318" i="6" s="1"/>
  <c r="D619" i="6"/>
  <c r="C619" i="6"/>
  <c r="B619" i="6"/>
  <c r="AU618" i="6"/>
  <c r="AV618" i="6" s="1"/>
  <c r="AF618" i="6"/>
  <c r="AE618" i="6"/>
  <c r="AB618" i="6"/>
  <c r="K618" i="6"/>
  <c r="H618" i="6"/>
  <c r="H1041" i="6" s="1"/>
  <c r="H1087" i="6" s="1"/>
  <c r="H1133" i="6" s="1"/>
  <c r="H1179" i="6" s="1"/>
  <c r="H1225" i="6" s="1"/>
  <c r="H1271" i="6" s="1"/>
  <c r="H1317" i="6" s="1"/>
  <c r="G618" i="6"/>
  <c r="G1041" i="6" s="1"/>
  <c r="G1087" i="6" s="1"/>
  <c r="G1133" i="6" s="1"/>
  <c r="G1179" i="6" s="1"/>
  <c r="G1225" i="6" s="1"/>
  <c r="G1271" i="6" s="1"/>
  <c r="G1317" i="6" s="1"/>
  <c r="D618" i="6"/>
  <c r="C618" i="6"/>
  <c r="B618" i="6"/>
  <c r="AU617" i="6"/>
  <c r="AF617" i="6"/>
  <c r="AE617" i="6"/>
  <c r="AB617" i="6"/>
  <c r="K617" i="6"/>
  <c r="K1040" i="6" s="1"/>
  <c r="K1086" i="6" s="1"/>
  <c r="K1132" i="6" s="1"/>
  <c r="K1178" i="6" s="1"/>
  <c r="K1224" i="6" s="1"/>
  <c r="K1270" i="6" s="1"/>
  <c r="K1316" i="6" s="1"/>
  <c r="H617" i="6"/>
  <c r="G617" i="6"/>
  <c r="G1040" i="6" s="1"/>
  <c r="G1086" i="6" s="1"/>
  <c r="G1132" i="6" s="1"/>
  <c r="G1178" i="6" s="1"/>
  <c r="G1224" i="6" s="1"/>
  <c r="G1270" i="6" s="1"/>
  <c r="G1316" i="6" s="1"/>
  <c r="D617" i="6"/>
  <c r="C617" i="6"/>
  <c r="B617" i="6"/>
  <c r="AU616" i="6"/>
  <c r="AV616" i="6" s="1"/>
  <c r="AF616" i="6"/>
  <c r="AE616" i="6"/>
  <c r="AB616" i="6"/>
  <c r="K616" i="6"/>
  <c r="H616" i="6"/>
  <c r="H1039" i="6" s="1"/>
  <c r="H1085" i="6" s="1"/>
  <c r="H1131" i="6" s="1"/>
  <c r="H1177" i="6" s="1"/>
  <c r="H1223" i="6" s="1"/>
  <c r="H1269" i="6" s="1"/>
  <c r="H1315" i="6" s="1"/>
  <c r="G616" i="6"/>
  <c r="G1039" i="6" s="1"/>
  <c r="G1085" i="6" s="1"/>
  <c r="G1131" i="6" s="1"/>
  <c r="G1177" i="6" s="1"/>
  <c r="G1223" i="6" s="1"/>
  <c r="G1269" i="6" s="1"/>
  <c r="G1315" i="6" s="1"/>
  <c r="D616" i="6"/>
  <c r="C616" i="6"/>
  <c r="B616" i="6"/>
  <c r="AU615" i="6"/>
  <c r="AF615" i="6"/>
  <c r="AE615" i="6"/>
  <c r="AB615" i="6"/>
  <c r="K615" i="6"/>
  <c r="K1038" i="6" s="1"/>
  <c r="K1084" i="6" s="1"/>
  <c r="K1130" i="6" s="1"/>
  <c r="K1176" i="6" s="1"/>
  <c r="K1222" i="6" s="1"/>
  <c r="K1268" i="6" s="1"/>
  <c r="K1314" i="6" s="1"/>
  <c r="H615" i="6"/>
  <c r="H1038" i="6" s="1"/>
  <c r="H1084" i="6" s="1"/>
  <c r="H1130" i="6" s="1"/>
  <c r="H1176" i="6" s="1"/>
  <c r="H1222" i="6" s="1"/>
  <c r="H1268" i="6" s="1"/>
  <c r="H1314" i="6" s="1"/>
  <c r="G615" i="6"/>
  <c r="G1038" i="6" s="1"/>
  <c r="G1084" i="6" s="1"/>
  <c r="G1130" i="6" s="1"/>
  <c r="G1176" i="6" s="1"/>
  <c r="G1222" i="6" s="1"/>
  <c r="G1268" i="6" s="1"/>
  <c r="G1314" i="6" s="1"/>
  <c r="D615" i="6"/>
  <c r="C615" i="6"/>
  <c r="B615" i="6"/>
  <c r="AU614" i="6"/>
  <c r="AV614" i="6" s="1"/>
  <c r="AF614" i="6"/>
  <c r="AE614" i="6"/>
  <c r="AB614" i="6"/>
  <c r="K614" i="6"/>
  <c r="H614" i="6"/>
  <c r="H1037" i="6" s="1"/>
  <c r="H1083" i="6" s="1"/>
  <c r="H1129" i="6" s="1"/>
  <c r="H1175" i="6" s="1"/>
  <c r="H1221" i="6" s="1"/>
  <c r="H1267" i="6" s="1"/>
  <c r="H1313" i="6" s="1"/>
  <c r="G614" i="6"/>
  <c r="G1037" i="6" s="1"/>
  <c r="G1083" i="6" s="1"/>
  <c r="G1129" i="6" s="1"/>
  <c r="G1175" i="6" s="1"/>
  <c r="G1221" i="6" s="1"/>
  <c r="G1267" i="6" s="1"/>
  <c r="G1313" i="6" s="1"/>
  <c r="D614" i="6"/>
  <c r="C614" i="6"/>
  <c r="B614" i="6"/>
  <c r="AU613" i="6"/>
  <c r="AF613" i="6"/>
  <c r="AE613" i="6"/>
  <c r="AB613" i="6"/>
  <c r="K613" i="6"/>
  <c r="K1036" i="6" s="1"/>
  <c r="K1082" i="6" s="1"/>
  <c r="K1128" i="6" s="1"/>
  <c r="K1174" i="6" s="1"/>
  <c r="K1220" i="6" s="1"/>
  <c r="K1266" i="6" s="1"/>
  <c r="K1312" i="6" s="1"/>
  <c r="H613" i="6"/>
  <c r="G613" i="6"/>
  <c r="G1036" i="6" s="1"/>
  <c r="G1082" i="6" s="1"/>
  <c r="G1128" i="6" s="1"/>
  <c r="G1174" i="6" s="1"/>
  <c r="G1220" i="6" s="1"/>
  <c r="G1266" i="6" s="1"/>
  <c r="G1312" i="6" s="1"/>
  <c r="D613" i="6"/>
  <c r="C613" i="6"/>
  <c r="B613" i="6"/>
  <c r="AU612" i="6"/>
  <c r="AV612" i="6" s="1"/>
  <c r="AF612" i="6"/>
  <c r="AE612" i="6"/>
  <c r="AB612" i="6"/>
  <c r="K612" i="6"/>
  <c r="H612" i="6"/>
  <c r="H1035" i="6" s="1"/>
  <c r="H1081" i="6" s="1"/>
  <c r="H1127" i="6" s="1"/>
  <c r="H1173" i="6" s="1"/>
  <c r="H1219" i="6" s="1"/>
  <c r="H1265" i="6" s="1"/>
  <c r="H1311" i="6" s="1"/>
  <c r="G612" i="6"/>
  <c r="G1035" i="6" s="1"/>
  <c r="G1081" i="6" s="1"/>
  <c r="G1127" i="6" s="1"/>
  <c r="G1173" i="6" s="1"/>
  <c r="G1219" i="6" s="1"/>
  <c r="G1265" i="6" s="1"/>
  <c r="G1311" i="6" s="1"/>
  <c r="D612" i="6"/>
  <c r="C612" i="6"/>
  <c r="B612" i="6"/>
  <c r="AU611" i="6"/>
  <c r="AF611" i="6"/>
  <c r="AE611" i="6"/>
  <c r="AB611" i="6"/>
  <c r="K611" i="6"/>
  <c r="K1030" i="6" s="1"/>
  <c r="K1076" i="6" s="1"/>
  <c r="K1122" i="6" s="1"/>
  <c r="K1168" i="6" s="1"/>
  <c r="K1214" i="6" s="1"/>
  <c r="K1260" i="6" s="1"/>
  <c r="K1306" i="6" s="1"/>
  <c r="H611" i="6"/>
  <c r="H1030" i="6" s="1"/>
  <c r="H1076" i="6" s="1"/>
  <c r="H1122" i="6" s="1"/>
  <c r="H1168" i="6" s="1"/>
  <c r="H1214" i="6" s="1"/>
  <c r="H1260" i="6" s="1"/>
  <c r="H1306" i="6" s="1"/>
  <c r="G611" i="6"/>
  <c r="G1030" i="6" s="1"/>
  <c r="G1076" i="6" s="1"/>
  <c r="G1122" i="6" s="1"/>
  <c r="G1168" i="6" s="1"/>
  <c r="G1214" i="6" s="1"/>
  <c r="G1260" i="6" s="1"/>
  <c r="G1306" i="6" s="1"/>
  <c r="D611" i="6"/>
  <c r="C611" i="6"/>
  <c r="B611" i="6"/>
  <c r="AU610" i="6"/>
  <c r="AV610" i="6" s="1"/>
  <c r="AF610" i="6"/>
  <c r="AE610" i="6"/>
  <c r="AB610" i="6"/>
  <c r="K610" i="6"/>
  <c r="H610" i="6"/>
  <c r="H1029" i="6" s="1"/>
  <c r="H1075" i="6" s="1"/>
  <c r="H1121" i="6" s="1"/>
  <c r="H1167" i="6" s="1"/>
  <c r="H1213" i="6" s="1"/>
  <c r="H1259" i="6" s="1"/>
  <c r="H1305" i="6" s="1"/>
  <c r="G610" i="6"/>
  <c r="G1029" i="6" s="1"/>
  <c r="G1075" i="6" s="1"/>
  <c r="G1121" i="6" s="1"/>
  <c r="G1167" i="6" s="1"/>
  <c r="G1213" i="6" s="1"/>
  <c r="G1259" i="6" s="1"/>
  <c r="G1305" i="6" s="1"/>
  <c r="D610" i="6"/>
  <c r="C610" i="6"/>
  <c r="B610" i="6"/>
  <c r="AU609" i="6"/>
  <c r="AF609" i="6"/>
  <c r="AE609" i="6"/>
  <c r="AB609" i="6"/>
  <c r="K609" i="6"/>
  <c r="K1028" i="6" s="1"/>
  <c r="K1074" i="6" s="1"/>
  <c r="K1120" i="6" s="1"/>
  <c r="K1166" i="6" s="1"/>
  <c r="K1212" i="6" s="1"/>
  <c r="K1258" i="6" s="1"/>
  <c r="K1304" i="6" s="1"/>
  <c r="H609" i="6"/>
  <c r="H1028" i="6" s="1"/>
  <c r="H1074" i="6" s="1"/>
  <c r="H1120" i="6" s="1"/>
  <c r="H1166" i="6" s="1"/>
  <c r="H1212" i="6" s="1"/>
  <c r="H1258" i="6" s="1"/>
  <c r="H1304" i="6" s="1"/>
  <c r="G609" i="6"/>
  <c r="G1028" i="6" s="1"/>
  <c r="G1074" i="6" s="1"/>
  <c r="G1120" i="6" s="1"/>
  <c r="G1166" i="6" s="1"/>
  <c r="G1212" i="6" s="1"/>
  <c r="G1258" i="6" s="1"/>
  <c r="G1304" i="6" s="1"/>
  <c r="D609" i="6"/>
  <c r="C609" i="6"/>
  <c r="B609" i="6"/>
  <c r="AU608" i="6"/>
  <c r="AV608" i="6" s="1"/>
  <c r="AF608" i="6"/>
  <c r="AE608" i="6"/>
  <c r="AB608" i="6"/>
  <c r="K608" i="6"/>
  <c r="H608" i="6"/>
  <c r="H1027" i="6" s="1"/>
  <c r="H1073" i="6" s="1"/>
  <c r="H1119" i="6" s="1"/>
  <c r="H1165" i="6" s="1"/>
  <c r="H1211" i="6" s="1"/>
  <c r="H1257" i="6" s="1"/>
  <c r="H1303" i="6" s="1"/>
  <c r="G608" i="6"/>
  <c r="G1027" i="6" s="1"/>
  <c r="G1073" i="6" s="1"/>
  <c r="G1119" i="6" s="1"/>
  <c r="G1165" i="6" s="1"/>
  <c r="G1211" i="6" s="1"/>
  <c r="G1257" i="6" s="1"/>
  <c r="G1303" i="6" s="1"/>
  <c r="D608" i="6"/>
  <c r="C608" i="6"/>
  <c r="B608" i="6"/>
  <c r="AU607" i="6"/>
  <c r="AF607" i="6"/>
  <c r="AE607" i="6"/>
  <c r="AB607" i="6"/>
  <c r="K607" i="6"/>
  <c r="K1026" i="6" s="1"/>
  <c r="K1072" i="6" s="1"/>
  <c r="K1118" i="6" s="1"/>
  <c r="K1164" i="6" s="1"/>
  <c r="K1210" i="6" s="1"/>
  <c r="K1256" i="6" s="1"/>
  <c r="K1302" i="6" s="1"/>
  <c r="H607" i="6"/>
  <c r="H1026" i="6" s="1"/>
  <c r="H1072" i="6" s="1"/>
  <c r="H1118" i="6" s="1"/>
  <c r="H1164" i="6" s="1"/>
  <c r="H1210" i="6" s="1"/>
  <c r="H1256" i="6" s="1"/>
  <c r="H1302" i="6" s="1"/>
  <c r="G607" i="6"/>
  <c r="G1026" i="6" s="1"/>
  <c r="G1072" i="6" s="1"/>
  <c r="G1118" i="6" s="1"/>
  <c r="G1164" i="6" s="1"/>
  <c r="G1210" i="6" s="1"/>
  <c r="G1256" i="6" s="1"/>
  <c r="G1302" i="6" s="1"/>
  <c r="D607" i="6"/>
  <c r="C607" i="6"/>
  <c r="B607" i="6"/>
  <c r="AU606" i="6"/>
  <c r="AV606" i="6" s="1"/>
  <c r="AF606" i="6"/>
  <c r="AE606" i="6"/>
  <c r="AB606" i="6"/>
  <c r="K606" i="6"/>
  <c r="H606" i="6"/>
  <c r="H1025" i="6" s="1"/>
  <c r="H1071" i="6" s="1"/>
  <c r="H1117" i="6" s="1"/>
  <c r="H1163" i="6" s="1"/>
  <c r="H1209" i="6" s="1"/>
  <c r="H1255" i="6" s="1"/>
  <c r="H1301" i="6" s="1"/>
  <c r="G606" i="6"/>
  <c r="G1025" i="6" s="1"/>
  <c r="G1071" i="6" s="1"/>
  <c r="G1117" i="6" s="1"/>
  <c r="G1163" i="6" s="1"/>
  <c r="G1209" i="6" s="1"/>
  <c r="G1255" i="6" s="1"/>
  <c r="G1301" i="6" s="1"/>
  <c r="D606" i="6"/>
  <c r="C606" i="6"/>
  <c r="B606" i="6"/>
  <c r="AU605" i="6"/>
  <c r="AF605" i="6"/>
  <c r="AE605" i="6"/>
  <c r="AB605" i="6"/>
  <c r="K605" i="6"/>
  <c r="K1024" i="6" s="1"/>
  <c r="K1070" i="6" s="1"/>
  <c r="K1116" i="6" s="1"/>
  <c r="K1162" i="6" s="1"/>
  <c r="K1208" i="6" s="1"/>
  <c r="K1254" i="6" s="1"/>
  <c r="K1300" i="6" s="1"/>
  <c r="H605" i="6"/>
  <c r="H1024" i="6" s="1"/>
  <c r="H1070" i="6" s="1"/>
  <c r="H1116" i="6" s="1"/>
  <c r="H1162" i="6" s="1"/>
  <c r="H1208" i="6" s="1"/>
  <c r="H1254" i="6" s="1"/>
  <c r="H1300" i="6" s="1"/>
  <c r="G605" i="6"/>
  <c r="G1024" i="6" s="1"/>
  <c r="G1070" i="6" s="1"/>
  <c r="G1116" i="6" s="1"/>
  <c r="G1162" i="6" s="1"/>
  <c r="G1208" i="6" s="1"/>
  <c r="G1254" i="6" s="1"/>
  <c r="G1300" i="6" s="1"/>
  <c r="D605" i="6"/>
  <c r="C605" i="6"/>
  <c r="B605" i="6"/>
  <c r="AU604" i="6"/>
  <c r="AV604" i="6" s="1"/>
  <c r="AF604" i="6"/>
  <c r="AE604" i="6"/>
  <c r="AB604" i="6"/>
  <c r="K604" i="6"/>
  <c r="H604" i="6"/>
  <c r="H1023" i="6" s="1"/>
  <c r="H1069" i="6" s="1"/>
  <c r="H1115" i="6" s="1"/>
  <c r="H1161" i="6" s="1"/>
  <c r="H1207" i="6" s="1"/>
  <c r="H1253" i="6" s="1"/>
  <c r="H1299" i="6" s="1"/>
  <c r="G604" i="6"/>
  <c r="G1023" i="6" s="1"/>
  <c r="G1069" i="6" s="1"/>
  <c r="G1115" i="6" s="1"/>
  <c r="G1161" i="6" s="1"/>
  <c r="G1207" i="6" s="1"/>
  <c r="G1253" i="6" s="1"/>
  <c r="G1299" i="6" s="1"/>
  <c r="D604" i="6"/>
  <c r="C604" i="6"/>
  <c r="B604" i="6"/>
  <c r="AU603" i="6"/>
  <c r="AF603" i="6"/>
  <c r="AE603" i="6"/>
  <c r="AB603" i="6"/>
  <c r="K603" i="6"/>
  <c r="K1022" i="6" s="1"/>
  <c r="K1068" i="6" s="1"/>
  <c r="K1114" i="6" s="1"/>
  <c r="K1160" i="6" s="1"/>
  <c r="K1206" i="6" s="1"/>
  <c r="K1252" i="6" s="1"/>
  <c r="K1298" i="6" s="1"/>
  <c r="H603" i="6"/>
  <c r="H1022" i="6" s="1"/>
  <c r="H1068" i="6" s="1"/>
  <c r="H1114" i="6" s="1"/>
  <c r="H1160" i="6" s="1"/>
  <c r="H1206" i="6" s="1"/>
  <c r="H1252" i="6" s="1"/>
  <c r="H1298" i="6" s="1"/>
  <c r="G603" i="6"/>
  <c r="G1022" i="6" s="1"/>
  <c r="G1068" i="6" s="1"/>
  <c r="G1114" i="6" s="1"/>
  <c r="G1160" i="6" s="1"/>
  <c r="G1206" i="6" s="1"/>
  <c r="G1252" i="6" s="1"/>
  <c r="G1298" i="6" s="1"/>
  <c r="D603" i="6"/>
  <c r="C603" i="6"/>
  <c r="B603" i="6"/>
  <c r="AU602" i="6"/>
  <c r="AV602" i="6" s="1"/>
  <c r="AF602" i="6"/>
  <c r="AE602" i="6"/>
  <c r="AB602" i="6"/>
  <c r="K602" i="6"/>
  <c r="H602" i="6"/>
  <c r="H1021" i="6" s="1"/>
  <c r="H1067" i="6" s="1"/>
  <c r="H1113" i="6" s="1"/>
  <c r="H1159" i="6" s="1"/>
  <c r="H1205" i="6" s="1"/>
  <c r="H1251" i="6" s="1"/>
  <c r="H1297" i="6" s="1"/>
  <c r="G602" i="6"/>
  <c r="G1021" i="6" s="1"/>
  <c r="G1067" i="6" s="1"/>
  <c r="G1113" i="6" s="1"/>
  <c r="G1159" i="6" s="1"/>
  <c r="G1205" i="6" s="1"/>
  <c r="G1251" i="6" s="1"/>
  <c r="G1297" i="6" s="1"/>
  <c r="D602" i="6"/>
  <c r="C602" i="6"/>
  <c r="B602" i="6"/>
  <c r="AW601" i="6"/>
  <c r="AV601" i="6"/>
  <c r="AG601" i="6" s="1"/>
  <c r="AU601" i="6"/>
  <c r="AF601" i="6"/>
  <c r="AE601" i="6"/>
  <c r="AB601" i="6"/>
  <c r="K601" i="6"/>
  <c r="K1020" i="6" s="1"/>
  <c r="K1066" i="6" s="1"/>
  <c r="K1112" i="6" s="1"/>
  <c r="K1158" i="6" s="1"/>
  <c r="K1204" i="6" s="1"/>
  <c r="K1250" i="6" s="1"/>
  <c r="K1296" i="6" s="1"/>
  <c r="H601" i="6"/>
  <c r="H1020" i="6" s="1"/>
  <c r="H1066" i="6" s="1"/>
  <c r="H1112" i="6" s="1"/>
  <c r="H1158" i="6" s="1"/>
  <c r="H1204" i="6" s="1"/>
  <c r="H1250" i="6" s="1"/>
  <c r="H1296" i="6" s="1"/>
  <c r="G601" i="6"/>
  <c r="G1020" i="6" s="1"/>
  <c r="G1066" i="6" s="1"/>
  <c r="G1112" i="6" s="1"/>
  <c r="G1158" i="6" s="1"/>
  <c r="G1204" i="6" s="1"/>
  <c r="G1250" i="6" s="1"/>
  <c r="G1296" i="6" s="1"/>
  <c r="D601" i="6"/>
  <c r="C601" i="6"/>
  <c r="B601" i="6"/>
  <c r="AU600" i="6"/>
  <c r="AV600" i="6" s="1"/>
  <c r="AF600" i="6"/>
  <c r="AE600" i="6"/>
  <c r="AB600" i="6"/>
  <c r="K600" i="6"/>
  <c r="H600" i="6"/>
  <c r="H1019" i="6" s="1"/>
  <c r="H1065" i="6" s="1"/>
  <c r="H1111" i="6" s="1"/>
  <c r="H1157" i="6" s="1"/>
  <c r="H1203" i="6" s="1"/>
  <c r="H1249" i="6" s="1"/>
  <c r="H1295" i="6" s="1"/>
  <c r="G600" i="6"/>
  <c r="G1019" i="6" s="1"/>
  <c r="G1065" i="6" s="1"/>
  <c r="G1111" i="6" s="1"/>
  <c r="G1157" i="6" s="1"/>
  <c r="G1203" i="6" s="1"/>
  <c r="G1249" i="6" s="1"/>
  <c r="G1295" i="6" s="1"/>
  <c r="D600" i="6"/>
  <c r="C600" i="6"/>
  <c r="B600" i="6"/>
  <c r="AW599" i="6"/>
  <c r="AV599" i="6"/>
  <c r="AG599" i="6" s="1"/>
  <c r="AU599" i="6"/>
  <c r="AF599" i="6"/>
  <c r="AE599" i="6"/>
  <c r="AB599" i="6"/>
  <c r="K599" i="6"/>
  <c r="K1018" i="6" s="1"/>
  <c r="K1064" i="6" s="1"/>
  <c r="K1110" i="6" s="1"/>
  <c r="K1156" i="6" s="1"/>
  <c r="K1202" i="6" s="1"/>
  <c r="K1248" i="6" s="1"/>
  <c r="K1294" i="6" s="1"/>
  <c r="H599" i="6"/>
  <c r="H1018" i="6" s="1"/>
  <c r="H1064" i="6" s="1"/>
  <c r="H1110" i="6" s="1"/>
  <c r="H1156" i="6" s="1"/>
  <c r="H1202" i="6" s="1"/>
  <c r="H1248" i="6" s="1"/>
  <c r="H1294" i="6" s="1"/>
  <c r="G599" i="6"/>
  <c r="G1018" i="6" s="1"/>
  <c r="G1064" i="6" s="1"/>
  <c r="G1110" i="6" s="1"/>
  <c r="G1156" i="6" s="1"/>
  <c r="G1202" i="6" s="1"/>
  <c r="G1248" i="6" s="1"/>
  <c r="G1294" i="6" s="1"/>
  <c r="D599" i="6"/>
  <c r="C599" i="6"/>
  <c r="B599" i="6"/>
  <c r="AU598" i="6"/>
  <c r="AV598" i="6" s="1"/>
  <c r="AF598" i="6"/>
  <c r="AE598" i="6"/>
  <c r="AB598" i="6"/>
  <c r="K598" i="6"/>
  <c r="H598" i="6"/>
  <c r="H1017" i="6" s="1"/>
  <c r="H1063" i="6" s="1"/>
  <c r="H1109" i="6" s="1"/>
  <c r="H1155" i="6" s="1"/>
  <c r="H1201" i="6" s="1"/>
  <c r="H1247" i="6" s="1"/>
  <c r="H1293" i="6" s="1"/>
  <c r="G598" i="6"/>
  <c r="G1017" i="6" s="1"/>
  <c r="G1063" i="6" s="1"/>
  <c r="G1109" i="6" s="1"/>
  <c r="G1155" i="6" s="1"/>
  <c r="G1201" i="6" s="1"/>
  <c r="G1247" i="6" s="1"/>
  <c r="G1293" i="6" s="1"/>
  <c r="D598" i="6"/>
  <c r="C598" i="6"/>
  <c r="B598" i="6"/>
  <c r="AQ597" i="6"/>
  <c r="AP597" i="6"/>
  <c r="AO597" i="6"/>
  <c r="AN597" i="6"/>
  <c r="AM597" i="6"/>
  <c r="AL597" i="6"/>
  <c r="AK597" i="6"/>
  <c r="AJ597" i="6"/>
  <c r="AI597" i="6"/>
  <c r="AH597" i="6"/>
  <c r="AG597" i="6"/>
  <c r="AF597" i="6"/>
  <c r="AQ596" i="6"/>
  <c r="AP596" i="6"/>
  <c r="AO596" i="6"/>
  <c r="AN596" i="6"/>
  <c r="AM596" i="6"/>
  <c r="AL596" i="6"/>
  <c r="AK596" i="6"/>
  <c r="AJ596" i="6"/>
  <c r="AI596" i="6"/>
  <c r="AH596" i="6"/>
  <c r="AR596" i="6" s="1"/>
  <c r="AG596" i="6"/>
  <c r="AF596" i="6"/>
  <c r="AE596" i="6"/>
  <c r="AB596" i="6"/>
  <c r="H596" i="6"/>
  <c r="H734" i="6" s="1"/>
  <c r="H780" i="6" s="1"/>
  <c r="H826" i="6" s="1"/>
  <c r="H872" i="6" s="1"/>
  <c r="H918" i="6" s="1"/>
  <c r="H964" i="6" s="1"/>
  <c r="H1010" i="6" s="1"/>
  <c r="G596" i="6"/>
  <c r="C596" i="6"/>
  <c r="AQ595" i="6"/>
  <c r="AP595" i="6"/>
  <c r="AO595" i="6"/>
  <c r="AN595" i="6"/>
  <c r="AM595" i="6"/>
  <c r="AL595" i="6"/>
  <c r="AK595" i="6"/>
  <c r="AJ595" i="6"/>
  <c r="AI595" i="6"/>
  <c r="AH595" i="6"/>
  <c r="AG595" i="6"/>
  <c r="AF595" i="6"/>
  <c r="AR595" i="6" s="1"/>
  <c r="AE595" i="6"/>
  <c r="AB595" i="6"/>
  <c r="H595" i="6"/>
  <c r="H733" i="6" s="1"/>
  <c r="H779" i="6" s="1"/>
  <c r="H825" i="6" s="1"/>
  <c r="H871" i="6" s="1"/>
  <c r="H917" i="6" s="1"/>
  <c r="H963" i="6" s="1"/>
  <c r="H1009" i="6" s="1"/>
  <c r="G595" i="6"/>
  <c r="G733" i="6" s="1"/>
  <c r="G779" i="6" s="1"/>
  <c r="G825" i="6" s="1"/>
  <c r="G871" i="6" s="1"/>
  <c r="G917" i="6" s="1"/>
  <c r="G963" i="6" s="1"/>
  <c r="G1009" i="6" s="1"/>
  <c r="C595" i="6"/>
  <c r="AQ594" i="6"/>
  <c r="AP594" i="6"/>
  <c r="AO594" i="6"/>
  <c r="AN594" i="6"/>
  <c r="AM594" i="6"/>
  <c r="AL594" i="6"/>
  <c r="AK594" i="6"/>
  <c r="AJ594" i="6"/>
  <c r="AI594" i="6"/>
  <c r="AH594" i="6"/>
  <c r="AG594" i="6"/>
  <c r="AF594" i="6"/>
  <c r="AE594" i="6"/>
  <c r="AB594" i="6"/>
  <c r="H594" i="6"/>
  <c r="H732" i="6" s="1"/>
  <c r="H778" i="6" s="1"/>
  <c r="H824" i="6" s="1"/>
  <c r="H870" i="6" s="1"/>
  <c r="H916" i="6" s="1"/>
  <c r="H962" i="6" s="1"/>
  <c r="H1008" i="6" s="1"/>
  <c r="G594" i="6"/>
  <c r="G732" i="6" s="1"/>
  <c r="G778" i="6" s="1"/>
  <c r="G824" i="6" s="1"/>
  <c r="G870" i="6" s="1"/>
  <c r="G916" i="6" s="1"/>
  <c r="G962" i="6" s="1"/>
  <c r="G1008" i="6" s="1"/>
  <c r="C594" i="6"/>
  <c r="AQ593" i="6"/>
  <c r="AP593" i="6"/>
  <c r="AO593" i="6"/>
  <c r="AN593" i="6"/>
  <c r="AM593" i="6"/>
  <c r="AL593" i="6"/>
  <c r="AK593" i="6"/>
  <c r="AJ593" i="6"/>
  <c r="AR593" i="6" s="1"/>
  <c r="AI593" i="6"/>
  <c r="AH593" i="6"/>
  <c r="AG593" i="6"/>
  <c r="AF593" i="6"/>
  <c r="AE593" i="6"/>
  <c r="AB593" i="6"/>
  <c r="H593" i="6"/>
  <c r="H731" i="6" s="1"/>
  <c r="H777" i="6" s="1"/>
  <c r="H823" i="6" s="1"/>
  <c r="H869" i="6" s="1"/>
  <c r="H915" i="6" s="1"/>
  <c r="H961" i="6" s="1"/>
  <c r="H1007" i="6" s="1"/>
  <c r="G593" i="6"/>
  <c r="G731" i="6" s="1"/>
  <c r="G777" i="6" s="1"/>
  <c r="G823" i="6" s="1"/>
  <c r="G869" i="6" s="1"/>
  <c r="G915" i="6" s="1"/>
  <c r="G961" i="6" s="1"/>
  <c r="G1007" i="6" s="1"/>
  <c r="C593" i="6"/>
  <c r="AQ592" i="6"/>
  <c r="AP592" i="6"/>
  <c r="AO592" i="6"/>
  <c r="AN592" i="6"/>
  <c r="AM592" i="6"/>
  <c r="AL592" i="6"/>
  <c r="AK592" i="6"/>
  <c r="AJ592" i="6"/>
  <c r="AI592" i="6"/>
  <c r="AH592" i="6"/>
  <c r="AG592" i="6"/>
  <c r="AF592" i="6"/>
  <c r="AE592" i="6"/>
  <c r="AB592" i="6"/>
  <c r="H592" i="6"/>
  <c r="H730" i="6" s="1"/>
  <c r="H776" i="6" s="1"/>
  <c r="H822" i="6" s="1"/>
  <c r="H868" i="6" s="1"/>
  <c r="H914" i="6" s="1"/>
  <c r="H960" i="6" s="1"/>
  <c r="H1006" i="6" s="1"/>
  <c r="G592" i="6"/>
  <c r="C592" i="6"/>
  <c r="AQ591" i="6"/>
  <c r="AP591" i="6"/>
  <c r="AO591" i="6"/>
  <c r="AN591" i="6"/>
  <c r="AM591" i="6"/>
  <c r="AL591" i="6"/>
  <c r="AK591" i="6"/>
  <c r="AJ591" i="6"/>
  <c r="AI591" i="6"/>
  <c r="AH591" i="6"/>
  <c r="AG591" i="6"/>
  <c r="AF591" i="6"/>
  <c r="AR591" i="6" s="1"/>
  <c r="AE591" i="6"/>
  <c r="AB591" i="6"/>
  <c r="H591" i="6"/>
  <c r="H729" i="6" s="1"/>
  <c r="H775" i="6" s="1"/>
  <c r="H821" i="6" s="1"/>
  <c r="H867" i="6" s="1"/>
  <c r="H913" i="6" s="1"/>
  <c r="H959" i="6" s="1"/>
  <c r="H1005" i="6" s="1"/>
  <c r="G591" i="6"/>
  <c r="G729" i="6" s="1"/>
  <c r="G775" i="6" s="1"/>
  <c r="G821" i="6" s="1"/>
  <c r="G867" i="6" s="1"/>
  <c r="G913" i="6" s="1"/>
  <c r="G959" i="6" s="1"/>
  <c r="G1005" i="6" s="1"/>
  <c r="C591" i="6"/>
  <c r="AQ590" i="6"/>
  <c r="AP590" i="6"/>
  <c r="AO590" i="6"/>
  <c r="AN590" i="6"/>
  <c r="AM590" i="6"/>
  <c r="AL590" i="6"/>
  <c r="AK590" i="6"/>
  <c r="AJ590" i="6"/>
  <c r="AI590" i="6"/>
  <c r="AH590" i="6"/>
  <c r="AG590" i="6"/>
  <c r="AF590" i="6"/>
  <c r="AR590" i="6" s="1"/>
  <c r="AE590" i="6"/>
  <c r="AB590" i="6"/>
  <c r="H590" i="6"/>
  <c r="H728" i="6" s="1"/>
  <c r="H774" i="6" s="1"/>
  <c r="H820" i="6" s="1"/>
  <c r="H866" i="6" s="1"/>
  <c r="H912" i="6" s="1"/>
  <c r="H958" i="6" s="1"/>
  <c r="H1004" i="6" s="1"/>
  <c r="G590" i="6"/>
  <c r="G728" i="6" s="1"/>
  <c r="G774" i="6" s="1"/>
  <c r="G820" i="6" s="1"/>
  <c r="G866" i="6" s="1"/>
  <c r="G912" i="6" s="1"/>
  <c r="G958" i="6" s="1"/>
  <c r="G1004" i="6" s="1"/>
  <c r="C590" i="6"/>
  <c r="AQ589" i="6"/>
  <c r="AP589" i="6"/>
  <c r="AO589" i="6"/>
  <c r="AN589" i="6"/>
  <c r="AM589" i="6"/>
  <c r="AL589" i="6"/>
  <c r="AK589" i="6"/>
  <c r="AJ589" i="6"/>
  <c r="AR589" i="6" s="1"/>
  <c r="AI589" i="6"/>
  <c r="AH589" i="6"/>
  <c r="AG589" i="6"/>
  <c r="AF589" i="6"/>
  <c r="AE589" i="6"/>
  <c r="AB589" i="6"/>
  <c r="H589" i="6"/>
  <c r="H727" i="6" s="1"/>
  <c r="H773" i="6" s="1"/>
  <c r="H819" i="6" s="1"/>
  <c r="H865" i="6" s="1"/>
  <c r="H911" i="6" s="1"/>
  <c r="H957" i="6" s="1"/>
  <c r="H1003" i="6" s="1"/>
  <c r="G589" i="6"/>
  <c r="G727" i="6" s="1"/>
  <c r="G773" i="6" s="1"/>
  <c r="G819" i="6" s="1"/>
  <c r="G865" i="6" s="1"/>
  <c r="G911" i="6" s="1"/>
  <c r="G957" i="6" s="1"/>
  <c r="G1003" i="6" s="1"/>
  <c r="C589" i="6"/>
  <c r="AQ588" i="6"/>
  <c r="AP588" i="6"/>
  <c r="AO588" i="6"/>
  <c r="AN588" i="6"/>
  <c r="AM588" i="6"/>
  <c r="AL588" i="6"/>
  <c r="AK588" i="6"/>
  <c r="AJ588" i="6"/>
  <c r="AI588" i="6"/>
  <c r="AH588" i="6"/>
  <c r="AR588" i="6" s="1"/>
  <c r="AG588" i="6"/>
  <c r="AF588" i="6"/>
  <c r="AE588" i="6"/>
  <c r="AB588" i="6"/>
  <c r="H588" i="6"/>
  <c r="G588" i="6"/>
  <c r="G726" i="6" s="1"/>
  <c r="G772" i="6" s="1"/>
  <c r="G818" i="6" s="1"/>
  <c r="G864" i="6" s="1"/>
  <c r="G910" i="6" s="1"/>
  <c r="G956" i="6" s="1"/>
  <c r="G1002" i="6" s="1"/>
  <c r="C588" i="6"/>
  <c r="AQ587" i="6"/>
  <c r="AP587" i="6"/>
  <c r="AO587" i="6"/>
  <c r="AN587" i="6"/>
  <c r="AM587" i="6"/>
  <c r="AL587" i="6"/>
  <c r="AK587" i="6"/>
  <c r="AJ587" i="6"/>
  <c r="AI587" i="6"/>
  <c r="AH587" i="6"/>
  <c r="AG587" i="6"/>
  <c r="AF587" i="6"/>
  <c r="AR587" i="6" s="1"/>
  <c r="AE587" i="6"/>
  <c r="AB587" i="6"/>
  <c r="H587" i="6"/>
  <c r="H725" i="6" s="1"/>
  <c r="H771" i="6" s="1"/>
  <c r="H817" i="6" s="1"/>
  <c r="H863" i="6" s="1"/>
  <c r="H909" i="6" s="1"/>
  <c r="H955" i="6" s="1"/>
  <c r="H1001" i="6" s="1"/>
  <c r="G587" i="6"/>
  <c r="G725" i="6" s="1"/>
  <c r="G771" i="6" s="1"/>
  <c r="G817" i="6" s="1"/>
  <c r="G863" i="6" s="1"/>
  <c r="G909" i="6" s="1"/>
  <c r="G955" i="6" s="1"/>
  <c r="G1001" i="6" s="1"/>
  <c r="C587" i="6"/>
  <c r="AQ586" i="6"/>
  <c r="AP586" i="6"/>
  <c r="AO586" i="6"/>
  <c r="AN586" i="6"/>
  <c r="AM586" i="6"/>
  <c r="AL586" i="6"/>
  <c r="AK586" i="6"/>
  <c r="AJ586" i="6"/>
  <c r="AI586" i="6"/>
  <c r="AH586" i="6"/>
  <c r="AG586" i="6"/>
  <c r="AF586" i="6"/>
  <c r="AR586" i="6" s="1"/>
  <c r="AE586" i="6"/>
  <c r="AB586" i="6"/>
  <c r="H586" i="6"/>
  <c r="H724" i="6" s="1"/>
  <c r="H770" i="6" s="1"/>
  <c r="H816" i="6" s="1"/>
  <c r="H862" i="6" s="1"/>
  <c r="H908" i="6" s="1"/>
  <c r="H954" i="6" s="1"/>
  <c r="H1000" i="6" s="1"/>
  <c r="G586" i="6"/>
  <c r="G724" i="6" s="1"/>
  <c r="G770" i="6" s="1"/>
  <c r="G816" i="6" s="1"/>
  <c r="G862" i="6" s="1"/>
  <c r="G908" i="6" s="1"/>
  <c r="G954" i="6" s="1"/>
  <c r="G1000" i="6" s="1"/>
  <c r="C586" i="6"/>
  <c r="AQ585" i="6"/>
  <c r="AP585" i="6"/>
  <c r="AO585" i="6"/>
  <c r="AN585" i="6"/>
  <c r="AM585" i="6"/>
  <c r="AL585" i="6"/>
  <c r="AK585" i="6"/>
  <c r="AJ585" i="6"/>
  <c r="AR585" i="6" s="1"/>
  <c r="AI585" i="6"/>
  <c r="AH585" i="6"/>
  <c r="AG585" i="6"/>
  <c r="AF585" i="6"/>
  <c r="AE585" i="6"/>
  <c r="AB585" i="6"/>
  <c r="H585" i="6"/>
  <c r="H723" i="6" s="1"/>
  <c r="H769" i="6" s="1"/>
  <c r="H815" i="6" s="1"/>
  <c r="H861" i="6" s="1"/>
  <c r="H907" i="6" s="1"/>
  <c r="H953" i="6" s="1"/>
  <c r="H999" i="6" s="1"/>
  <c r="G585" i="6"/>
  <c r="G723" i="6" s="1"/>
  <c r="G769" i="6" s="1"/>
  <c r="G815" i="6" s="1"/>
  <c r="G861" i="6" s="1"/>
  <c r="G907" i="6" s="1"/>
  <c r="G953" i="6" s="1"/>
  <c r="G999" i="6" s="1"/>
  <c r="C585" i="6"/>
  <c r="AQ584" i="6"/>
  <c r="AP584" i="6"/>
  <c r="AO584" i="6"/>
  <c r="AN584" i="6"/>
  <c r="AM584" i="6"/>
  <c r="AL584" i="6"/>
  <c r="AK584" i="6"/>
  <c r="AJ584" i="6"/>
  <c r="AI584" i="6"/>
  <c r="AH584" i="6"/>
  <c r="AG584" i="6"/>
  <c r="AF584" i="6"/>
  <c r="AR584" i="6" s="1"/>
  <c r="AE584" i="6"/>
  <c r="AB584" i="6"/>
  <c r="H584" i="6"/>
  <c r="G584" i="6"/>
  <c r="G722" i="6" s="1"/>
  <c r="G768" i="6" s="1"/>
  <c r="G814" i="6" s="1"/>
  <c r="G860" i="6" s="1"/>
  <c r="G906" i="6" s="1"/>
  <c r="G952" i="6" s="1"/>
  <c r="G998" i="6" s="1"/>
  <c r="C584" i="6"/>
  <c r="AQ583" i="6"/>
  <c r="AP583" i="6"/>
  <c r="AO583" i="6"/>
  <c r="AN583" i="6"/>
  <c r="AM583" i="6"/>
  <c r="AL583" i="6"/>
  <c r="AK583" i="6"/>
  <c r="AJ583" i="6"/>
  <c r="AI583" i="6"/>
  <c r="AH583" i="6"/>
  <c r="AG583" i="6"/>
  <c r="AF583" i="6"/>
  <c r="AR583" i="6" s="1"/>
  <c r="AE583" i="6"/>
  <c r="AB583" i="6"/>
  <c r="H583" i="6"/>
  <c r="H721" i="6" s="1"/>
  <c r="H767" i="6" s="1"/>
  <c r="H813" i="6" s="1"/>
  <c r="H859" i="6" s="1"/>
  <c r="H905" i="6" s="1"/>
  <c r="H951" i="6" s="1"/>
  <c r="H997" i="6" s="1"/>
  <c r="G583" i="6"/>
  <c r="G721" i="6" s="1"/>
  <c r="G767" i="6" s="1"/>
  <c r="G813" i="6" s="1"/>
  <c r="G859" i="6" s="1"/>
  <c r="G905" i="6" s="1"/>
  <c r="G951" i="6" s="1"/>
  <c r="G997" i="6" s="1"/>
  <c r="C583" i="6"/>
  <c r="AQ582" i="6"/>
  <c r="AP582" i="6"/>
  <c r="AO582" i="6"/>
  <c r="AN582" i="6"/>
  <c r="AM582" i="6"/>
  <c r="AL582" i="6"/>
  <c r="AK582" i="6"/>
  <c r="AJ582" i="6"/>
  <c r="AI582" i="6"/>
  <c r="AH582" i="6"/>
  <c r="AR582" i="6" s="1"/>
  <c r="AG582" i="6"/>
  <c r="AF582" i="6"/>
  <c r="AE582" i="6"/>
  <c r="AB582" i="6"/>
  <c r="H582" i="6"/>
  <c r="H720" i="6" s="1"/>
  <c r="H766" i="6" s="1"/>
  <c r="H812" i="6" s="1"/>
  <c r="H858" i="6" s="1"/>
  <c r="H904" i="6" s="1"/>
  <c r="H950" i="6" s="1"/>
  <c r="H996" i="6" s="1"/>
  <c r="G582" i="6"/>
  <c r="G720" i="6" s="1"/>
  <c r="G766" i="6" s="1"/>
  <c r="G812" i="6" s="1"/>
  <c r="G858" i="6" s="1"/>
  <c r="G904" i="6" s="1"/>
  <c r="G950" i="6" s="1"/>
  <c r="G996" i="6" s="1"/>
  <c r="C582" i="6"/>
  <c r="AQ581" i="6"/>
  <c r="AP581" i="6"/>
  <c r="AO581" i="6"/>
  <c r="AN581" i="6"/>
  <c r="AM581" i="6"/>
  <c r="AL581" i="6"/>
  <c r="AK581" i="6"/>
  <c r="AJ581" i="6"/>
  <c r="AR581" i="6" s="1"/>
  <c r="AI581" i="6"/>
  <c r="AH581" i="6"/>
  <c r="AG581" i="6"/>
  <c r="AF581" i="6"/>
  <c r="AE581" i="6"/>
  <c r="AB581" i="6"/>
  <c r="H581" i="6"/>
  <c r="H719" i="6" s="1"/>
  <c r="H765" i="6" s="1"/>
  <c r="H811" i="6" s="1"/>
  <c r="H857" i="6" s="1"/>
  <c r="H903" i="6" s="1"/>
  <c r="H949" i="6" s="1"/>
  <c r="H995" i="6" s="1"/>
  <c r="G581" i="6"/>
  <c r="G719" i="6" s="1"/>
  <c r="G765" i="6" s="1"/>
  <c r="G811" i="6" s="1"/>
  <c r="G857" i="6" s="1"/>
  <c r="G903" i="6" s="1"/>
  <c r="G949" i="6" s="1"/>
  <c r="G995" i="6" s="1"/>
  <c r="C581" i="6"/>
  <c r="AQ580" i="6"/>
  <c r="AP580" i="6"/>
  <c r="AO580" i="6"/>
  <c r="AN580" i="6"/>
  <c r="AM580" i="6"/>
  <c r="AL580" i="6"/>
  <c r="AK580" i="6"/>
  <c r="AJ580" i="6"/>
  <c r="AI580" i="6"/>
  <c r="AH580" i="6"/>
  <c r="AG580" i="6"/>
  <c r="AF580" i="6"/>
  <c r="AR580" i="6" s="1"/>
  <c r="AE580" i="6"/>
  <c r="AB580" i="6"/>
  <c r="H580" i="6"/>
  <c r="G580" i="6"/>
  <c r="G718" i="6" s="1"/>
  <c r="G764" i="6" s="1"/>
  <c r="G810" i="6" s="1"/>
  <c r="G856" i="6" s="1"/>
  <c r="G902" i="6" s="1"/>
  <c r="G948" i="6" s="1"/>
  <c r="G994" i="6" s="1"/>
  <c r="C580" i="6"/>
  <c r="AQ579" i="6"/>
  <c r="AP579" i="6"/>
  <c r="AO579" i="6"/>
  <c r="AN579" i="6"/>
  <c r="AM579" i="6"/>
  <c r="AL579" i="6"/>
  <c r="AK579" i="6"/>
  <c r="AJ579" i="6"/>
  <c r="AI579" i="6"/>
  <c r="AH579" i="6"/>
  <c r="AG579" i="6"/>
  <c r="AF579" i="6"/>
  <c r="AR579" i="6" s="1"/>
  <c r="AE579" i="6"/>
  <c r="AB579" i="6"/>
  <c r="H579" i="6"/>
  <c r="H717" i="6" s="1"/>
  <c r="H763" i="6" s="1"/>
  <c r="H809" i="6" s="1"/>
  <c r="H855" i="6" s="1"/>
  <c r="H901" i="6" s="1"/>
  <c r="H947" i="6" s="1"/>
  <c r="H993" i="6" s="1"/>
  <c r="G579" i="6"/>
  <c r="G717" i="6" s="1"/>
  <c r="G763" i="6" s="1"/>
  <c r="G809" i="6" s="1"/>
  <c r="G855" i="6" s="1"/>
  <c r="C579" i="6"/>
  <c r="AQ578" i="6"/>
  <c r="AP578" i="6"/>
  <c r="AO578" i="6"/>
  <c r="AN578" i="6"/>
  <c r="AM578" i="6"/>
  <c r="AL578" i="6"/>
  <c r="AK578" i="6"/>
  <c r="AJ578" i="6"/>
  <c r="AI578" i="6"/>
  <c r="AH578" i="6"/>
  <c r="AR578" i="6" s="1"/>
  <c r="AG578" i="6"/>
  <c r="AF578" i="6"/>
  <c r="AE578" i="6"/>
  <c r="AB578" i="6"/>
  <c r="H578" i="6"/>
  <c r="H716" i="6" s="1"/>
  <c r="H762" i="6" s="1"/>
  <c r="H808" i="6" s="1"/>
  <c r="H854" i="6" s="1"/>
  <c r="H900" i="6" s="1"/>
  <c r="H946" i="6" s="1"/>
  <c r="H992" i="6" s="1"/>
  <c r="G578" i="6"/>
  <c r="G716" i="6" s="1"/>
  <c r="G762" i="6" s="1"/>
  <c r="G808" i="6" s="1"/>
  <c r="G854" i="6" s="1"/>
  <c r="G900" i="6" s="1"/>
  <c r="G946" i="6" s="1"/>
  <c r="G992" i="6" s="1"/>
  <c r="C578" i="6"/>
  <c r="AQ577" i="6"/>
  <c r="AP577" i="6"/>
  <c r="AO577" i="6"/>
  <c r="AN577" i="6"/>
  <c r="AM577" i="6"/>
  <c r="AL577" i="6"/>
  <c r="AK577" i="6"/>
  <c r="AJ577" i="6"/>
  <c r="AI577" i="6"/>
  <c r="AH577" i="6"/>
  <c r="AG577" i="6"/>
  <c r="AF577" i="6"/>
  <c r="AR577" i="6" s="1"/>
  <c r="AE577" i="6"/>
  <c r="AB577" i="6"/>
  <c r="H577" i="6"/>
  <c r="H715" i="6" s="1"/>
  <c r="H761" i="6" s="1"/>
  <c r="H807" i="6" s="1"/>
  <c r="H853" i="6" s="1"/>
  <c r="H899" i="6" s="1"/>
  <c r="H945" i="6" s="1"/>
  <c r="H991" i="6" s="1"/>
  <c r="G577" i="6"/>
  <c r="G715" i="6" s="1"/>
  <c r="G761" i="6" s="1"/>
  <c r="G807" i="6" s="1"/>
  <c r="G853" i="6" s="1"/>
  <c r="G899" i="6" s="1"/>
  <c r="G945" i="6" s="1"/>
  <c r="G991" i="6" s="1"/>
  <c r="C577" i="6"/>
  <c r="AQ576" i="6"/>
  <c r="AP576" i="6"/>
  <c r="AO576" i="6"/>
  <c r="AN576" i="6"/>
  <c r="AM576" i="6"/>
  <c r="AL576" i="6"/>
  <c r="AK576" i="6"/>
  <c r="AJ576" i="6"/>
  <c r="AI576" i="6"/>
  <c r="AH576" i="6"/>
  <c r="AG576" i="6"/>
  <c r="AF576" i="6"/>
  <c r="AE576" i="6"/>
  <c r="AB576" i="6"/>
  <c r="H576" i="6"/>
  <c r="H714" i="6" s="1"/>
  <c r="H760" i="6" s="1"/>
  <c r="H806" i="6" s="1"/>
  <c r="H852" i="6" s="1"/>
  <c r="H898" i="6" s="1"/>
  <c r="H944" i="6" s="1"/>
  <c r="H990" i="6" s="1"/>
  <c r="G576" i="6"/>
  <c r="G714" i="6" s="1"/>
  <c r="G760" i="6" s="1"/>
  <c r="G806" i="6" s="1"/>
  <c r="G852" i="6" s="1"/>
  <c r="G898" i="6" s="1"/>
  <c r="G944" i="6" s="1"/>
  <c r="G990" i="6" s="1"/>
  <c r="C576" i="6"/>
  <c r="AQ575" i="6"/>
  <c r="AP575" i="6"/>
  <c r="AO575" i="6"/>
  <c r="AN575" i="6"/>
  <c r="AM575" i="6"/>
  <c r="AL575" i="6"/>
  <c r="AK575" i="6"/>
  <c r="AJ575" i="6"/>
  <c r="AR575" i="6" s="1"/>
  <c r="AI575" i="6"/>
  <c r="AH575" i="6"/>
  <c r="AG575" i="6"/>
  <c r="AF575" i="6"/>
  <c r="AE575" i="6"/>
  <c r="AB575" i="6"/>
  <c r="H575" i="6"/>
  <c r="H713" i="6" s="1"/>
  <c r="H759" i="6" s="1"/>
  <c r="H805" i="6" s="1"/>
  <c r="H851" i="6" s="1"/>
  <c r="H897" i="6" s="1"/>
  <c r="H943" i="6" s="1"/>
  <c r="H989" i="6" s="1"/>
  <c r="G575" i="6"/>
  <c r="G713" i="6" s="1"/>
  <c r="G759" i="6" s="1"/>
  <c r="G805" i="6" s="1"/>
  <c r="G851" i="6" s="1"/>
  <c r="G897" i="6" s="1"/>
  <c r="G943" i="6" s="1"/>
  <c r="G989" i="6" s="1"/>
  <c r="C575" i="6"/>
  <c r="AQ574" i="6"/>
  <c r="AP574" i="6"/>
  <c r="AO574" i="6"/>
  <c r="AN574" i="6"/>
  <c r="AM574" i="6"/>
  <c r="AL574" i="6"/>
  <c r="AK574" i="6"/>
  <c r="AJ574" i="6"/>
  <c r="AI574" i="6"/>
  <c r="AH574" i="6"/>
  <c r="AG574" i="6"/>
  <c r="AF574" i="6"/>
  <c r="AE574" i="6"/>
  <c r="AB574" i="6"/>
  <c r="H574" i="6"/>
  <c r="H712" i="6" s="1"/>
  <c r="H758" i="6" s="1"/>
  <c r="H804" i="6" s="1"/>
  <c r="H850" i="6" s="1"/>
  <c r="H896" i="6" s="1"/>
  <c r="H942" i="6" s="1"/>
  <c r="H988" i="6" s="1"/>
  <c r="G574" i="6"/>
  <c r="G712" i="6" s="1"/>
  <c r="G758" i="6" s="1"/>
  <c r="G804" i="6" s="1"/>
  <c r="G850" i="6" s="1"/>
  <c r="G896" i="6" s="1"/>
  <c r="G942" i="6" s="1"/>
  <c r="G988" i="6" s="1"/>
  <c r="C574" i="6"/>
  <c r="AQ573" i="6"/>
  <c r="AP573" i="6"/>
  <c r="AO573" i="6"/>
  <c r="AN573" i="6"/>
  <c r="AM573" i="6"/>
  <c r="AL573" i="6"/>
  <c r="AK573" i="6"/>
  <c r="AJ573" i="6"/>
  <c r="AI573" i="6"/>
  <c r="AH573" i="6"/>
  <c r="AG573" i="6"/>
  <c r="AF573" i="6"/>
  <c r="AR573" i="6" s="1"/>
  <c r="AE573" i="6"/>
  <c r="AB573" i="6"/>
  <c r="H573" i="6"/>
  <c r="H711" i="6" s="1"/>
  <c r="H757" i="6" s="1"/>
  <c r="H803" i="6" s="1"/>
  <c r="H849" i="6" s="1"/>
  <c r="H895" i="6" s="1"/>
  <c r="H941" i="6" s="1"/>
  <c r="H987" i="6" s="1"/>
  <c r="G573" i="6"/>
  <c r="G711" i="6" s="1"/>
  <c r="G757" i="6" s="1"/>
  <c r="G803" i="6" s="1"/>
  <c r="G849" i="6" s="1"/>
  <c r="G895" i="6" s="1"/>
  <c r="G941" i="6" s="1"/>
  <c r="G987" i="6" s="1"/>
  <c r="C573" i="6"/>
  <c r="AQ572" i="6"/>
  <c r="AP572" i="6"/>
  <c r="AO572" i="6"/>
  <c r="AN572" i="6"/>
  <c r="AM572" i="6"/>
  <c r="AL572" i="6"/>
  <c r="AK572" i="6"/>
  <c r="AJ572" i="6"/>
  <c r="AI572" i="6"/>
  <c r="AH572" i="6"/>
  <c r="AG572" i="6"/>
  <c r="AF572" i="6"/>
  <c r="AR572" i="6" s="1"/>
  <c r="AE572" i="6"/>
  <c r="AB572" i="6"/>
  <c r="H572" i="6"/>
  <c r="H710" i="6" s="1"/>
  <c r="H756" i="6" s="1"/>
  <c r="H802" i="6" s="1"/>
  <c r="H848" i="6" s="1"/>
  <c r="H894" i="6" s="1"/>
  <c r="H940" i="6" s="1"/>
  <c r="H986" i="6" s="1"/>
  <c r="G572" i="6"/>
  <c r="G710" i="6" s="1"/>
  <c r="G756" i="6" s="1"/>
  <c r="G802" i="6" s="1"/>
  <c r="G848" i="6" s="1"/>
  <c r="G894" i="6" s="1"/>
  <c r="G940" i="6" s="1"/>
  <c r="G986" i="6" s="1"/>
  <c r="C572" i="6"/>
  <c r="AQ571" i="6"/>
  <c r="AP571" i="6"/>
  <c r="AO571" i="6"/>
  <c r="AN571" i="6"/>
  <c r="AM571" i="6"/>
  <c r="AL571" i="6"/>
  <c r="AK571" i="6"/>
  <c r="AJ571" i="6"/>
  <c r="AI571" i="6"/>
  <c r="AH571" i="6"/>
  <c r="AG571" i="6"/>
  <c r="AF571" i="6"/>
  <c r="AR571" i="6" s="1"/>
  <c r="AE571" i="6"/>
  <c r="AB571" i="6"/>
  <c r="H571" i="6"/>
  <c r="H709" i="6" s="1"/>
  <c r="H755" i="6" s="1"/>
  <c r="H801" i="6" s="1"/>
  <c r="H847" i="6" s="1"/>
  <c r="H893" i="6" s="1"/>
  <c r="H939" i="6" s="1"/>
  <c r="H985" i="6" s="1"/>
  <c r="G571" i="6"/>
  <c r="G709" i="6" s="1"/>
  <c r="G755" i="6" s="1"/>
  <c r="G801" i="6" s="1"/>
  <c r="G847" i="6" s="1"/>
  <c r="G893" i="6" s="1"/>
  <c r="G939" i="6" s="1"/>
  <c r="G985" i="6" s="1"/>
  <c r="C571" i="6"/>
  <c r="AQ570" i="6"/>
  <c r="AP570" i="6"/>
  <c r="AO570" i="6"/>
  <c r="AN570" i="6"/>
  <c r="AM570" i="6"/>
  <c r="AL570" i="6"/>
  <c r="AK570" i="6"/>
  <c r="AJ570" i="6"/>
  <c r="AI570" i="6"/>
  <c r="AH570" i="6"/>
  <c r="AR570" i="6" s="1"/>
  <c r="AG570" i="6"/>
  <c r="AF570" i="6"/>
  <c r="AE570" i="6"/>
  <c r="AB570" i="6"/>
  <c r="H570" i="6"/>
  <c r="H708" i="6" s="1"/>
  <c r="H754" i="6" s="1"/>
  <c r="H800" i="6" s="1"/>
  <c r="H846" i="6" s="1"/>
  <c r="H892" i="6" s="1"/>
  <c r="H938" i="6" s="1"/>
  <c r="H984" i="6" s="1"/>
  <c r="G570" i="6"/>
  <c r="G708" i="6" s="1"/>
  <c r="G754" i="6" s="1"/>
  <c r="G800" i="6" s="1"/>
  <c r="G846" i="6" s="1"/>
  <c r="G892" i="6" s="1"/>
  <c r="G938" i="6" s="1"/>
  <c r="G984" i="6" s="1"/>
  <c r="C570" i="6"/>
  <c r="AQ569" i="6"/>
  <c r="AP569" i="6"/>
  <c r="AO569" i="6"/>
  <c r="AN569" i="6"/>
  <c r="AM569" i="6"/>
  <c r="AL569" i="6"/>
  <c r="AK569" i="6"/>
  <c r="AJ569" i="6"/>
  <c r="AR569" i="6" s="1"/>
  <c r="AI569" i="6"/>
  <c r="AH569" i="6"/>
  <c r="AG569" i="6"/>
  <c r="AF569" i="6"/>
  <c r="AE569" i="6"/>
  <c r="AB569" i="6"/>
  <c r="H569" i="6"/>
  <c r="H707" i="6" s="1"/>
  <c r="H753" i="6" s="1"/>
  <c r="H799" i="6" s="1"/>
  <c r="H845" i="6" s="1"/>
  <c r="H891" i="6" s="1"/>
  <c r="H937" i="6" s="1"/>
  <c r="H983" i="6" s="1"/>
  <c r="G569" i="6"/>
  <c r="G707" i="6" s="1"/>
  <c r="G753" i="6" s="1"/>
  <c r="G799" i="6" s="1"/>
  <c r="G845" i="6" s="1"/>
  <c r="G891" i="6" s="1"/>
  <c r="G937" i="6" s="1"/>
  <c r="G983" i="6" s="1"/>
  <c r="C569" i="6"/>
  <c r="AQ568" i="6"/>
  <c r="AP568" i="6"/>
  <c r="AO568" i="6"/>
  <c r="AN568" i="6"/>
  <c r="AM568" i="6"/>
  <c r="AL568" i="6"/>
  <c r="AK568" i="6"/>
  <c r="AJ568" i="6"/>
  <c r="AI568" i="6"/>
  <c r="AH568" i="6"/>
  <c r="AG568" i="6"/>
  <c r="AF568" i="6"/>
  <c r="AE568" i="6"/>
  <c r="AB568" i="6"/>
  <c r="H568" i="6"/>
  <c r="H706" i="6" s="1"/>
  <c r="H752" i="6" s="1"/>
  <c r="H798" i="6" s="1"/>
  <c r="H844" i="6" s="1"/>
  <c r="H890" i="6" s="1"/>
  <c r="H936" i="6" s="1"/>
  <c r="H982" i="6" s="1"/>
  <c r="G568" i="6"/>
  <c r="G706" i="6" s="1"/>
  <c r="G752" i="6" s="1"/>
  <c r="G798" i="6" s="1"/>
  <c r="G844" i="6" s="1"/>
  <c r="G890" i="6" s="1"/>
  <c r="G936" i="6" s="1"/>
  <c r="G982" i="6" s="1"/>
  <c r="C568" i="6"/>
  <c r="AQ567" i="6"/>
  <c r="AP567" i="6"/>
  <c r="AO567" i="6"/>
  <c r="AN567" i="6"/>
  <c r="AM567" i="6"/>
  <c r="AL567" i="6"/>
  <c r="AK567" i="6"/>
  <c r="AJ567" i="6"/>
  <c r="AI567" i="6"/>
  <c r="AH567" i="6"/>
  <c r="AG567" i="6"/>
  <c r="AF567" i="6"/>
  <c r="AR567" i="6" s="1"/>
  <c r="AE567" i="6"/>
  <c r="AB567" i="6"/>
  <c r="H567" i="6"/>
  <c r="H705" i="6" s="1"/>
  <c r="H751" i="6" s="1"/>
  <c r="H797" i="6" s="1"/>
  <c r="H843" i="6" s="1"/>
  <c r="H889" i="6" s="1"/>
  <c r="H935" i="6" s="1"/>
  <c r="H981" i="6" s="1"/>
  <c r="G567" i="6"/>
  <c r="G705" i="6" s="1"/>
  <c r="G751" i="6" s="1"/>
  <c r="G797" i="6" s="1"/>
  <c r="G843" i="6" s="1"/>
  <c r="G889" i="6" s="1"/>
  <c r="G935" i="6" s="1"/>
  <c r="G981" i="6" s="1"/>
  <c r="C567" i="6"/>
  <c r="AQ566" i="6"/>
  <c r="AP566" i="6"/>
  <c r="AO566" i="6"/>
  <c r="AN566" i="6"/>
  <c r="AM566" i="6"/>
  <c r="AL566" i="6"/>
  <c r="AK566" i="6"/>
  <c r="AJ566" i="6"/>
  <c r="AI566" i="6"/>
  <c r="AH566" i="6"/>
  <c r="AG566" i="6"/>
  <c r="AF566" i="6"/>
  <c r="AE566" i="6"/>
  <c r="AB566" i="6"/>
  <c r="H566" i="6"/>
  <c r="H704" i="6" s="1"/>
  <c r="H750" i="6" s="1"/>
  <c r="H796" i="6" s="1"/>
  <c r="G566" i="6"/>
  <c r="G704" i="6" s="1"/>
  <c r="G750" i="6" s="1"/>
  <c r="G796" i="6" s="1"/>
  <c r="G842" i="6" s="1"/>
  <c r="G888" i="6" s="1"/>
  <c r="G934" i="6" s="1"/>
  <c r="G980" i="6" s="1"/>
  <c r="C566" i="6"/>
  <c r="AQ565" i="6"/>
  <c r="AP565" i="6"/>
  <c r="AO565" i="6"/>
  <c r="AN565" i="6"/>
  <c r="AM565" i="6"/>
  <c r="AL565" i="6"/>
  <c r="AK565" i="6"/>
  <c r="AJ565" i="6"/>
  <c r="AI565" i="6"/>
  <c r="AH565" i="6"/>
  <c r="AG565" i="6"/>
  <c r="AF565" i="6"/>
  <c r="AR565" i="6" s="1"/>
  <c r="AE565" i="6"/>
  <c r="AB565" i="6"/>
  <c r="H565" i="6"/>
  <c r="H703" i="6" s="1"/>
  <c r="H749" i="6" s="1"/>
  <c r="H795" i="6" s="1"/>
  <c r="H841" i="6" s="1"/>
  <c r="H887" i="6" s="1"/>
  <c r="H933" i="6" s="1"/>
  <c r="H979" i="6" s="1"/>
  <c r="G565" i="6"/>
  <c r="G703" i="6" s="1"/>
  <c r="G749" i="6" s="1"/>
  <c r="G795" i="6" s="1"/>
  <c r="G841" i="6" s="1"/>
  <c r="G887" i="6" s="1"/>
  <c r="G933" i="6" s="1"/>
  <c r="G979" i="6" s="1"/>
  <c r="C565" i="6"/>
  <c r="AQ564" i="6"/>
  <c r="AP564" i="6"/>
  <c r="AO564" i="6"/>
  <c r="AN564" i="6"/>
  <c r="AM564" i="6"/>
  <c r="AL564" i="6"/>
  <c r="AK564" i="6"/>
  <c r="AJ564" i="6"/>
  <c r="AI564" i="6"/>
  <c r="AH564" i="6"/>
  <c r="AG564" i="6"/>
  <c r="AF564" i="6"/>
  <c r="AE564" i="6"/>
  <c r="AB564" i="6"/>
  <c r="H564" i="6"/>
  <c r="G564" i="6"/>
  <c r="G702" i="6" s="1"/>
  <c r="G748" i="6" s="1"/>
  <c r="G794" i="6" s="1"/>
  <c r="G840" i="6" s="1"/>
  <c r="G886" i="6" s="1"/>
  <c r="G932" i="6" s="1"/>
  <c r="G978" i="6" s="1"/>
  <c r="C564" i="6"/>
  <c r="AQ563" i="6"/>
  <c r="AP563" i="6"/>
  <c r="AO563" i="6"/>
  <c r="AN563" i="6"/>
  <c r="AM563" i="6"/>
  <c r="AL563" i="6"/>
  <c r="AK563" i="6"/>
  <c r="AJ563" i="6"/>
  <c r="AI563" i="6"/>
  <c r="AH563" i="6"/>
  <c r="AG563" i="6"/>
  <c r="AF563" i="6"/>
  <c r="AR563" i="6" s="1"/>
  <c r="AE563" i="6"/>
  <c r="AB563" i="6"/>
  <c r="H563" i="6"/>
  <c r="H701" i="6" s="1"/>
  <c r="H747" i="6" s="1"/>
  <c r="H793" i="6" s="1"/>
  <c r="H839" i="6" s="1"/>
  <c r="H885" i="6" s="1"/>
  <c r="H931" i="6" s="1"/>
  <c r="H977" i="6" s="1"/>
  <c r="G563" i="6"/>
  <c r="G701" i="6" s="1"/>
  <c r="G747" i="6" s="1"/>
  <c r="G793" i="6" s="1"/>
  <c r="G839" i="6" s="1"/>
  <c r="G885" i="6" s="1"/>
  <c r="G931" i="6" s="1"/>
  <c r="G977" i="6" s="1"/>
  <c r="C563" i="6"/>
  <c r="AQ562" i="6"/>
  <c r="AP562" i="6"/>
  <c r="AO562" i="6"/>
  <c r="AN562" i="6"/>
  <c r="AM562" i="6"/>
  <c r="AL562" i="6"/>
  <c r="AK562" i="6"/>
  <c r="AJ562" i="6"/>
  <c r="AI562" i="6"/>
  <c r="AH562" i="6"/>
  <c r="AG562" i="6"/>
  <c r="AF562" i="6"/>
  <c r="AE562" i="6"/>
  <c r="AB562" i="6"/>
  <c r="H562" i="6"/>
  <c r="H700" i="6" s="1"/>
  <c r="H746" i="6" s="1"/>
  <c r="H792" i="6" s="1"/>
  <c r="H838" i="6" s="1"/>
  <c r="H884" i="6" s="1"/>
  <c r="H930" i="6" s="1"/>
  <c r="H976" i="6" s="1"/>
  <c r="G562" i="6"/>
  <c r="G700" i="6" s="1"/>
  <c r="G746" i="6" s="1"/>
  <c r="G792" i="6" s="1"/>
  <c r="G838" i="6" s="1"/>
  <c r="G884" i="6" s="1"/>
  <c r="G930" i="6" s="1"/>
  <c r="G976" i="6" s="1"/>
  <c r="C562" i="6"/>
  <c r="AQ561" i="6"/>
  <c r="AP561" i="6"/>
  <c r="AO561" i="6"/>
  <c r="AN561" i="6"/>
  <c r="AM561" i="6"/>
  <c r="AL561" i="6"/>
  <c r="AK561" i="6"/>
  <c r="AJ561" i="6"/>
  <c r="AI561" i="6"/>
  <c r="AH561" i="6"/>
  <c r="AG561" i="6"/>
  <c r="AF561" i="6"/>
  <c r="AR561" i="6" s="1"/>
  <c r="AE561" i="6"/>
  <c r="AB561" i="6"/>
  <c r="H561" i="6"/>
  <c r="H699" i="6" s="1"/>
  <c r="H745" i="6" s="1"/>
  <c r="H791" i="6" s="1"/>
  <c r="H837" i="6" s="1"/>
  <c r="H883" i="6" s="1"/>
  <c r="H929" i="6" s="1"/>
  <c r="H975" i="6" s="1"/>
  <c r="G561" i="6"/>
  <c r="G699" i="6" s="1"/>
  <c r="G745" i="6" s="1"/>
  <c r="G791" i="6" s="1"/>
  <c r="G837" i="6" s="1"/>
  <c r="G883" i="6" s="1"/>
  <c r="G929" i="6" s="1"/>
  <c r="G975" i="6" s="1"/>
  <c r="C561" i="6"/>
  <c r="AQ560" i="6"/>
  <c r="AP560" i="6"/>
  <c r="AO560" i="6"/>
  <c r="AN560" i="6"/>
  <c r="AM560" i="6"/>
  <c r="AL560" i="6"/>
  <c r="AK560" i="6"/>
  <c r="AJ560" i="6"/>
  <c r="AI560" i="6"/>
  <c r="AH560" i="6"/>
  <c r="AG560" i="6"/>
  <c r="AF560" i="6"/>
  <c r="AE560" i="6"/>
  <c r="AB560" i="6"/>
  <c r="H560" i="6"/>
  <c r="H698" i="6" s="1"/>
  <c r="H744" i="6" s="1"/>
  <c r="H790" i="6" s="1"/>
  <c r="H836" i="6" s="1"/>
  <c r="H882" i="6" s="1"/>
  <c r="H928" i="6" s="1"/>
  <c r="H974" i="6" s="1"/>
  <c r="G560" i="6"/>
  <c r="C560" i="6"/>
  <c r="AQ559" i="6"/>
  <c r="AP559" i="6"/>
  <c r="AO559" i="6"/>
  <c r="AN559" i="6"/>
  <c r="AM559" i="6"/>
  <c r="AL559" i="6"/>
  <c r="AK559" i="6"/>
  <c r="AJ559" i="6"/>
  <c r="AR559" i="6" s="1"/>
  <c r="AI559" i="6"/>
  <c r="AH559" i="6"/>
  <c r="AG559" i="6"/>
  <c r="AF559" i="6"/>
  <c r="AE559" i="6"/>
  <c r="AB559" i="6"/>
  <c r="H559" i="6"/>
  <c r="H697" i="6" s="1"/>
  <c r="H743" i="6" s="1"/>
  <c r="H789" i="6" s="1"/>
  <c r="H835" i="6" s="1"/>
  <c r="H881" i="6" s="1"/>
  <c r="H927" i="6" s="1"/>
  <c r="H973" i="6" s="1"/>
  <c r="G559" i="6"/>
  <c r="G697" i="6" s="1"/>
  <c r="G743" i="6" s="1"/>
  <c r="G789" i="6" s="1"/>
  <c r="G835" i="6" s="1"/>
  <c r="G881" i="6" s="1"/>
  <c r="G927" i="6" s="1"/>
  <c r="G973" i="6" s="1"/>
  <c r="C559" i="6"/>
  <c r="AQ558" i="6"/>
  <c r="AP558" i="6"/>
  <c r="AO558" i="6"/>
  <c r="AN558" i="6"/>
  <c r="AM558" i="6"/>
  <c r="AL558" i="6"/>
  <c r="AK558" i="6"/>
  <c r="AJ558" i="6"/>
  <c r="AI558" i="6"/>
  <c r="AH558" i="6"/>
  <c r="AR558" i="6" s="1"/>
  <c r="AG558" i="6"/>
  <c r="AF558" i="6"/>
  <c r="AB558" i="6"/>
  <c r="H558" i="6"/>
  <c r="H696" i="6" s="1"/>
  <c r="H742" i="6" s="1"/>
  <c r="H788" i="6" s="1"/>
  <c r="H834" i="6" s="1"/>
  <c r="H880" i="6" s="1"/>
  <c r="H926" i="6" s="1"/>
  <c r="H972" i="6" s="1"/>
  <c r="G558" i="6"/>
  <c r="G696" i="6" s="1"/>
  <c r="G742" i="6" s="1"/>
  <c r="G788" i="6" s="1"/>
  <c r="G834" i="6" s="1"/>
  <c r="G880" i="6" s="1"/>
  <c r="G926" i="6" s="1"/>
  <c r="G972" i="6" s="1"/>
  <c r="C558" i="6"/>
  <c r="AQ557" i="6"/>
  <c r="AP557" i="6"/>
  <c r="AO557" i="6"/>
  <c r="AN557" i="6"/>
  <c r="AM557" i="6"/>
  <c r="AL557" i="6"/>
  <c r="AK557" i="6"/>
  <c r="AJ557" i="6"/>
  <c r="AR557" i="6" s="1"/>
  <c r="AI557" i="6"/>
  <c r="AH557" i="6"/>
  <c r="AG557" i="6"/>
  <c r="AF557" i="6"/>
  <c r="AB557" i="6"/>
  <c r="H557" i="6"/>
  <c r="H695" i="6" s="1"/>
  <c r="H741" i="6" s="1"/>
  <c r="H787" i="6" s="1"/>
  <c r="H833" i="6" s="1"/>
  <c r="H879" i="6" s="1"/>
  <c r="H925" i="6" s="1"/>
  <c r="H971" i="6" s="1"/>
  <c r="G557" i="6"/>
  <c r="C557" i="6"/>
  <c r="AQ556" i="6"/>
  <c r="AP556" i="6"/>
  <c r="AO556" i="6"/>
  <c r="AN556" i="6"/>
  <c r="AM556" i="6"/>
  <c r="AL556" i="6"/>
  <c r="AK556" i="6"/>
  <c r="AJ556" i="6"/>
  <c r="AI556" i="6"/>
  <c r="AH556" i="6"/>
  <c r="AG556" i="6"/>
  <c r="AF556" i="6"/>
  <c r="AB556" i="6"/>
  <c r="H556" i="6"/>
  <c r="H693" i="6" s="1"/>
  <c r="H739" i="6" s="1"/>
  <c r="H785" i="6" s="1"/>
  <c r="H831" i="6" s="1"/>
  <c r="H877" i="6" s="1"/>
  <c r="G556" i="6"/>
  <c r="G693" i="6" s="1"/>
  <c r="G739" i="6" s="1"/>
  <c r="G785" i="6" s="1"/>
  <c r="G831" i="6" s="1"/>
  <c r="G877" i="6" s="1"/>
  <c r="G923" i="6" s="1"/>
  <c r="G969" i="6" s="1"/>
  <c r="C556" i="6"/>
  <c r="AQ555" i="6"/>
  <c r="AP555" i="6"/>
  <c r="AO555" i="6"/>
  <c r="AN555" i="6"/>
  <c r="AM555" i="6"/>
  <c r="AL555" i="6"/>
  <c r="AK555" i="6"/>
  <c r="AJ555" i="6"/>
  <c r="AI555" i="6"/>
  <c r="AH555" i="6"/>
  <c r="AG555" i="6"/>
  <c r="AF555" i="6"/>
  <c r="AR555" i="6" s="1"/>
  <c r="AB555" i="6"/>
  <c r="H555" i="6"/>
  <c r="H692" i="6" s="1"/>
  <c r="H738" i="6" s="1"/>
  <c r="H784" i="6" s="1"/>
  <c r="H830" i="6" s="1"/>
  <c r="H876" i="6" s="1"/>
  <c r="H922" i="6" s="1"/>
  <c r="H968" i="6" s="1"/>
  <c r="G555" i="6"/>
  <c r="C555" i="6"/>
  <c r="AQ554" i="6"/>
  <c r="AP554" i="6"/>
  <c r="AO554" i="6"/>
  <c r="AN554" i="6"/>
  <c r="AM554" i="6"/>
  <c r="AL554" i="6"/>
  <c r="AK554" i="6"/>
  <c r="AJ554" i="6"/>
  <c r="AI554" i="6"/>
  <c r="AH554" i="6"/>
  <c r="AG554" i="6"/>
  <c r="AF554" i="6"/>
  <c r="AB554" i="6"/>
  <c r="H554" i="6"/>
  <c r="H691" i="6" s="1"/>
  <c r="H737" i="6" s="1"/>
  <c r="H783" i="6" s="1"/>
  <c r="H829" i="6" s="1"/>
  <c r="H875" i="6" s="1"/>
  <c r="H921" i="6" s="1"/>
  <c r="H967" i="6" s="1"/>
  <c r="G554" i="6"/>
  <c r="G691" i="6" s="1"/>
  <c r="G737" i="6" s="1"/>
  <c r="G783" i="6" s="1"/>
  <c r="G829" i="6" s="1"/>
  <c r="G875" i="6" s="1"/>
  <c r="G921" i="6" s="1"/>
  <c r="G967" i="6" s="1"/>
  <c r="C554" i="6"/>
  <c r="AQ553" i="6"/>
  <c r="AP553" i="6"/>
  <c r="AO553" i="6"/>
  <c r="AN553" i="6"/>
  <c r="AM553" i="6"/>
  <c r="AL553" i="6"/>
  <c r="AK553" i="6"/>
  <c r="AJ553" i="6"/>
  <c r="AI553" i="6"/>
  <c r="AH553" i="6"/>
  <c r="AG553" i="6"/>
  <c r="AF553" i="6"/>
  <c r="AR553" i="6" s="1"/>
  <c r="AB553" i="6"/>
  <c r="H553" i="6"/>
  <c r="H690" i="6" s="1"/>
  <c r="H736" i="6" s="1"/>
  <c r="H782" i="6" s="1"/>
  <c r="H828" i="6" s="1"/>
  <c r="H874" i="6" s="1"/>
  <c r="H920" i="6" s="1"/>
  <c r="H966" i="6" s="1"/>
  <c r="G553" i="6"/>
  <c r="C553" i="6"/>
  <c r="AP552" i="6"/>
  <c r="AO552" i="6"/>
  <c r="AN552" i="6"/>
  <c r="AM552" i="6"/>
  <c r="AK552" i="6"/>
  <c r="AH552" i="6"/>
  <c r="AF552" i="6"/>
  <c r="AA552" i="6"/>
  <c r="AQ552" i="6" s="1"/>
  <c r="Z552" i="6"/>
  <c r="Y552" i="6"/>
  <c r="X552" i="6"/>
  <c r="W552" i="6"/>
  <c r="V552" i="6"/>
  <c r="AL552" i="6" s="1"/>
  <c r="U552" i="6"/>
  <c r="T552" i="6"/>
  <c r="AJ552" i="6" s="1"/>
  <c r="S552" i="6"/>
  <c r="AI552" i="6" s="1"/>
  <c r="R552" i="6"/>
  <c r="Q552" i="6"/>
  <c r="AG552" i="6" s="1"/>
  <c r="P552" i="6"/>
  <c r="B546" i="6"/>
  <c r="B545" i="6"/>
  <c r="B544" i="6"/>
  <c r="B543" i="6"/>
  <c r="B542" i="6"/>
  <c r="B541" i="6"/>
  <c r="B540" i="6"/>
  <c r="B539" i="6"/>
  <c r="AA538" i="6"/>
  <c r="Z538" i="6"/>
  <c r="Y538" i="6"/>
  <c r="X538" i="6"/>
  <c r="W538" i="6"/>
  <c r="V538" i="6"/>
  <c r="U538" i="6"/>
  <c r="T538" i="6"/>
  <c r="S538" i="6"/>
  <c r="R538" i="6"/>
  <c r="Q538" i="6"/>
  <c r="P538" i="6"/>
  <c r="B534" i="6"/>
  <c r="Z533" i="6"/>
  <c r="V533" i="6"/>
  <c r="B533" i="6"/>
  <c r="B532" i="6"/>
  <c r="Z531" i="6"/>
  <c r="V531" i="6"/>
  <c r="B531" i="6"/>
  <c r="AA530" i="6"/>
  <c r="Z530" i="6"/>
  <c r="Y530" i="6"/>
  <c r="X530" i="6"/>
  <c r="W530" i="6"/>
  <c r="V530" i="6"/>
  <c r="U530" i="6"/>
  <c r="T530" i="6"/>
  <c r="S530" i="6"/>
  <c r="R530" i="6"/>
  <c r="Q530" i="6"/>
  <c r="P530" i="6"/>
  <c r="B526" i="6"/>
  <c r="AA525" i="6"/>
  <c r="B525" i="6"/>
  <c r="B524" i="6"/>
  <c r="AA523" i="6"/>
  <c r="AA527" i="6" s="1"/>
  <c r="B523" i="6"/>
  <c r="AA522" i="6"/>
  <c r="Z522" i="6"/>
  <c r="Y522" i="6"/>
  <c r="X522" i="6"/>
  <c r="W522" i="6"/>
  <c r="V522" i="6"/>
  <c r="U522" i="6"/>
  <c r="T522" i="6"/>
  <c r="S522" i="6"/>
  <c r="R522" i="6"/>
  <c r="Q522" i="6"/>
  <c r="P522" i="6"/>
  <c r="B518" i="6"/>
  <c r="B517" i="6"/>
  <c r="B516" i="6"/>
  <c r="B515" i="6"/>
  <c r="AA514" i="6"/>
  <c r="Z514" i="6"/>
  <c r="Y514" i="6"/>
  <c r="X514" i="6"/>
  <c r="W514" i="6"/>
  <c r="V514" i="6"/>
  <c r="U514" i="6"/>
  <c r="T514" i="6"/>
  <c r="S514" i="6"/>
  <c r="R514" i="6"/>
  <c r="Q514" i="6"/>
  <c r="P514" i="6"/>
  <c r="B511" i="6"/>
  <c r="AA510" i="6"/>
  <c r="Z510" i="6"/>
  <c r="Y510" i="6"/>
  <c r="X510" i="6"/>
  <c r="W510" i="6"/>
  <c r="V510" i="6"/>
  <c r="U510" i="6"/>
  <c r="T510" i="6"/>
  <c r="S510" i="6"/>
  <c r="R510" i="6"/>
  <c r="Q510" i="6"/>
  <c r="P510" i="6"/>
  <c r="B506" i="6"/>
  <c r="B505" i="6"/>
  <c r="AA709" i="6" s="1"/>
  <c r="B504" i="6"/>
  <c r="B503" i="6"/>
  <c r="B502" i="6"/>
  <c r="B501" i="6"/>
  <c r="B500" i="6"/>
  <c r="B499" i="6"/>
  <c r="AA498" i="6"/>
  <c r="Z498" i="6"/>
  <c r="Y498" i="6"/>
  <c r="X498" i="6"/>
  <c r="W498" i="6"/>
  <c r="V498" i="6"/>
  <c r="U498" i="6"/>
  <c r="T498" i="6"/>
  <c r="S498" i="6"/>
  <c r="R498" i="6"/>
  <c r="Q498" i="6"/>
  <c r="P498" i="6"/>
  <c r="AB495" i="6"/>
  <c r="AA494" i="6"/>
  <c r="Z494" i="6"/>
  <c r="Y494" i="6"/>
  <c r="X494" i="6"/>
  <c r="W494" i="6"/>
  <c r="V494" i="6"/>
  <c r="U494" i="6"/>
  <c r="T494" i="6"/>
  <c r="S494" i="6"/>
  <c r="R494" i="6"/>
  <c r="Q494" i="6"/>
  <c r="P494" i="6"/>
  <c r="T492" i="6"/>
  <c r="AA524" i="6"/>
  <c r="AB489" i="6"/>
  <c r="AA526" i="6"/>
  <c r="AA1434" i="6"/>
  <c r="Y1434" i="6"/>
  <c r="X1434" i="6"/>
  <c r="W1434" i="6"/>
  <c r="U1434" i="6"/>
  <c r="T1434" i="6"/>
  <c r="S1434" i="6"/>
  <c r="S1528" i="6" s="1"/>
  <c r="Q1434" i="6"/>
  <c r="P1434" i="6"/>
  <c r="Z1428" i="6"/>
  <c r="Y1428" i="6"/>
  <c r="X1428" i="6"/>
  <c r="W1428" i="6"/>
  <c r="V1428" i="6"/>
  <c r="U1428" i="6"/>
  <c r="T1428" i="6"/>
  <c r="R1428" i="6"/>
  <c r="Q1428" i="6"/>
  <c r="P1428" i="6"/>
  <c r="Z534" i="6"/>
  <c r="V532" i="6"/>
  <c r="U532" i="6"/>
  <c r="Q534" i="6"/>
  <c r="AA483" i="6"/>
  <c r="Z483" i="6"/>
  <c r="Y483" i="6"/>
  <c r="X483" i="6"/>
  <c r="W483" i="6"/>
  <c r="V483" i="6"/>
  <c r="U483" i="6"/>
  <c r="T483" i="6"/>
  <c r="S483" i="6"/>
  <c r="R483" i="6"/>
  <c r="Q483" i="6"/>
  <c r="P483" i="6"/>
  <c r="AA479" i="6"/>
  <c r="Y479" i="6"/>
  <c r="X479" i="6"/>
  <c r="W479" i="6"/>
  <c r="U479" i="6"/>
  <c r="S479" i="6"/>
  <c r="Q479" i="6"/>
  <c r="P479" i="6"/>
  <c r="AA478" i="6"/>
  <c r="Z478" i="6"/>
  <c r="Z479" i="6" s="1"/>
  <c r="Y478" i="6"/>
  <c r="X478" i="6"/>
  <c r="W478" i="6"/>
  <c r="V478" i="6"/>
  <c r="V479" i="6" s="1"/>
  <c r="U478" i="6"/>
  <c r="T478" i="6"/>
  <c r="T479" i="6" s="1"/>
  <c r="S478" i="6"/>
  <c r="R478" i="6"/>
  <c r="Q478" i="6"/>
  <c r="P478" i="6"/>
  <c r="AB477" i="6"/>
  <c r="A469" i="6"/>
  <c r="A468" i="6"/>
  <c r="A467" i="6"/>
  <c r="A466" i="6"/>
  <c r="A465" i="6"/>
  <c r="A464" i="6"/>
  <c r="AT463" i="6"/>
  <c r="A463" i="6"/>
  <c r="A462" i="6"/>
  <c r="A461" i="6"/>
  <c r="M460" i="6"/>
  <c r="A460" i="6"/>
  <c r="A459" i="6"/>
  <c r="A458" i="6"/>
  <c r="A457" i="6"/>
  <c r="A456" i="6"/>
  <c r="A455" i="6"/>
  <c r="A454" i="6"/>
  <c r="A453" i="6"/>
  <c r="A452" i="6"/>
  <c r="A451" i="6"/>
  <c r="A450" i="6"/>
  <c r="A449" i="6"/>
  <c r="A448" i="6"/>
  <c r="A447" i="6"/>
  <c r="A446" i="6"/>
  <c r="A445" i="6"/>
  <c r="A444" i="6"/>
  <c r="A443" i="6"/>
  <c r="A442" i="6"/>
  <c r="A441" i="6"/>
  <c r="A440" i="6"/>
  <c r="A439" i="6"/>
  <c r="A438" i="6"/>
  <c r="A437" i="6"/>
  <c r="A436" i="6"/>
  <c r="A435" i="6"/>
  <c r="A434" i="6"/>
  <c r="A433" i="6"/>
  <c r="A432" i="6"/>
  <c r="A431" i="6"/>
  <c r="A430" i="6"/>
  <c r="A429" i="6"/>
  <c r="A428" i="6"/>
  <c r="A427" i="6"/>
  <c r="M426" i="6"/>
  <c r="A426" i="6"/>
  <c r="A425" i="6"/>
  <c r="AO424" i="6"/>
  <c r="AN424" i="6"/>
  <c r="AM424" i="6"/>
  <c r="AK424" i="6"/>
  <c r="AG424" i="6"/>
  <c r="AF424" i="6"/>
  <c r="AE424" i="6"/>
  <c r="AA424" i="6"/>
  <c r="AQ424" i="6" s="1"/>
  <c r="Z424" i="6"/>
  <c r="AP424" i="6" s="1"/>
  <c r="Y424" i="6"/>
  <c r="X424" i="6"/>
  <c r="W424" i="6"/>
  <c r="V424" i="6"/>
  <c r="AL424" i="6" s="1"/>
  <c r="U424" i="6"/>
  <c r="T424" i="6"/>
  <c r="AJ424" i="6" s="1"/>
  <c r="S424" i="6"/>
  <c r="AI424" i="6" s="1"/>
  <c r="R424" i="6"/>
  <c r="AH424" i="6" s="1"/>
  <c r="Q424" i="6"/>
  <c r="P424" i="6"/>
  <c r="A424" i="6"/>
  <c r="A423" i="6"/>
  <c r="O422" i="6"/>
  <c r="O468" i="6" s="1"/>
  <c r="A422" i="6"/>
  <c r="A421" i="6"/>
  <c r="M420" i="6"/>
  <c r="M466" i="6" s="1"/>
  <c r="J420" i="6"/>
  <c r="A420" i="6"/>
  <c r="A419" i="6"/>
  <c r="O418" i="6"/>
  <c r="O464" i="6" s="1"/>
  <c r="M418" i="6"/>
  <c r="M464" i="6" s="1"/>
  <c r="A418" i="6"/>
  <c r="A417" i="6"/>
  <c r="AT416" i="6"/>
  <c r="J416" i="6"/>
  <c r="J462" i="6" s="1"/>
  <c r="AT462" i="6" s="1"/>
  <c r="I416" i="6"/>
  <c r="A416" i="6"/>
  <c r="A415" i="6"/>
  <c r="M414" i="6"/>
  <c r="A414" i="6"/>
  <c r="A413" i="6"/>
  <c r="I412" i="6"/>
  <c r="A412" i="6"/>
  <c r="A411" i="6"/>
  <c r="F410" i="6"/>
  <c r="A410" i="6"/>
  <c r="O409" i="6"/>
  <c r="O455" i="6" s="1"/>
  <c r="A409" i="6"/>
  <c r="M408" i="6"/>
  <c r="M454" i="6" s="1"/>
  <c r="J408" i="6"/>
  <c r="A408" i="6"/>
  <c r="F407" i="6"/>
  <c r="A407" i="6"/>
  <c r="I406" i="6"/>
  <c r="A406" i="6"/>
  <c r="A405" i="6"/>
  <c r="A404" i="6"/>
  <c r="A403" i="6"/>
  <c r="A402" i="6"/>
  <c r="A401" i="6"/>
  <c r="A400" i="6"/>
  <c r="J399" i="6"/>
  <c r="A399" i="6"/>
  <c r="A398" i="6"/>
  <c r="A397" i="6"/>
  <c r="A396" i="6"/>
  <c r="M395" i="6"/>
  <c r="M441" i="6" s="1"/>
  <c r="A395" i="6"/>
  <c r="A394" i="6"/>
  <c r="A393" i="6"/>
  <c r="N392" i="6"/>
  <c r="N438" i="6" s="1"/>
  <c r="A392" i="6"/>
  <c r="A391" i="6"/>
  <c r="A390" i="6"/>
  <c r="A389" i="6"/>
  <c r="A388" i="6"/>
  <c r="A387" i="6"/>
  <c r="A386" i="6"/>
  <c r="A385" i="6"/>
  <c r="A384" i="6"/>
  <c r="A383" i="6"/>
  <c r="A382" i="6"/>
  <c r="A381" i="6"/>
  <c r="A380" i="6"/>
  <c r="A379" i="6"/>
  <c r="AQ378" i="6"/>
  <c r="AP378" i="6"/>
  <c r="AL378" i="6"/>
  <c r="AI378" i="6"/>
  <c r="AH378" i="6"/>
  <c r="AE378" i="6"/>
  <c r="AA378" i="6"/>
  <c r="Z378" i="6"/>
  <c r="Y378" i="6"/>
  <c r="AO378" i="6" s="1"/>
  <c r="X378" i="6"/>
  <c r="AN378" i="6" s="1"/>
  <c r="W378" i="6"/>
  <c r="AM378" i="6" s="1"/>
  <c r="V378" i="6"/>
  <c r="U378" i="6"/>
  <c r="AK378" i="6" s="1"/>
  <c r="T378" i="6"/>
  <c r="AJ378" i="6" s="1"/>
  <c r="S378" i="6"/>
  <c r="R378" i="6"/>
  <c r="Q378" i="6"/>
  <c r="AG378" i="6" s="1"/>
  <c r="P378" i="6"/>
  <c r="AF378" i="6" s="1"/>
  <c r="A378" i="6"/>
  <c r="AE377" i="6"/>
  <c r="AE423" i="6" s="1"/>
  <c r="AE469" i="6" s="1"/>
  <c r="O377" i="6"/>
  <c r="O423" i="6" s="1"/>
  <c r="O469" i="6" s="1"/>
  <c r="N377" i="6"/>
  <c r="N423" i="6" s="1"/>
  <c r="N469" i="6" s="1"/>
  <c r="M377" i="6"/>
  <c r="M423" i="6" s="1"/>
  <c r="M469" i="6" s="1"/>
  <c r="J377" i="6"/>
  <c r="I377" i="6"/>
  <c r="F377" i="6"/>
  <c r="F423" i="6" s="1"/>
  <c r="F469" i="6" s="1"/>
  <c r="A377" i="6"/>
  <c r="AT376" i="6"/>
  <c r="O376" i="6"/>
  <c r="N376" i="6"/>
  <c r="N422" i="6" s="1"/>
  <c r="N468" i="6" s="1"/>
  <c r="M376" i="6"/>
  <c r="M422" i="6" s="1"/>
  <c r="M468" i="6" s="1"/>
  <c r="J376" i="6"/>
  <c r="J422" i="6" s="1"/>
  <c r="I376" i="6"/>
  <c r="F376" i="6"/>
  <c r="F422" i="6" s="1"/>
  <c r="B376" i="6"/>
  <c r="A376" i="6"/>
  <c r="O375" i="6"/>
  <c r="O421" i="6" s="1"/>
  <c r="O467" i="6" s="1"/>
  <c r="N375" i="6"/>
  <c r="N421" i="6" s="1"/>
  <c r="N467" i="6" s="1"/>
  <c r="M375" i="6"/>
  <c r="M421" i="6" s="1"/>
  <c r="M467" i="6" s="1"/>
  <c r="J375" i="6"/>
  <c r="J421" i="6" s="1"/>
  <c r="J467" i="6" s="1"/>
  <c r="AT467" i="6" s="1"/>
  <c r="I375" i="6"/>
  <c r="F375" i="6"/>
  <c r="A375" i="6"/>
  <c r="AT374" i="6"/>
  <c r="O374" i="6"/>
  <c r="O420" i="6" s="1"/>
  <c r="O466" i="6" s="1"/>
  <c r="N374" i="6"/>
  <c r="N420" i="6" s="1"/>
  <c r="N466" i="6" s="1"/>
  <c r="M374" i="6"/>
  <c r="J374" i="6"/>
  <c r="AE374" i="6" s="1"/>
  <c r="AE420" i="6" s="1"/>
  <c r="AE466" i="6" s="1"/>
  <c r="I374" i="6"/>
  <c r="F374" i="6"/>
  <c r="F420" i="6" s="1"/>
  <c r="B374" i="6"/>
  <c r="A374" i="6"/>
  <c r="O373" i="6"/>
  <c r="O419" i="6" s="1"/>
  <c r="O465" i="6" s="1"/>
  <c r="N373" i="6"/>
  <c r="N419" i="6" s="1"/>
  <c r="N465" i="6" s="1"/>
  <c r="M373" i="6"/>
  <c r="M419" i="6" s="1"/>
  <c r="M465" i="6" s="1"/>
  <c r="J373" i="6"/>
  <c r="I373" i="6"/>
  <c r="F373" i="6"/>
  <c r="F419" i="6" s="1"/>
  <c r="F465" i="6" s="1"/>
  <c r="A373" i="6"/>
  <c r="AT372" i="6"/>
  <c r="O372" i="6"/>
  <c r="N372" i="6"/>
  <c r="N418" i="6" s="1"/>
  <c r="N464" i="6" s="1"/>
  <c r="M372" i="6"/>
  <c r="J372" i="6"/>
  <c r="J418" i="6" s="1"/>
  <c r="I372" i="6"/>
  <c r="F372" i="6"/>
  <c r="F418" i="6" s="1"/>
  <c r="B372" i="6"/>
  <c r="A372" i="6"/>
  <c r="O371" i="6"/>
  <c r="O417" i="6" s="1"/>
  <c r="O463" i="6" s="1"/>
  <c r="N371" i="6"/>
  <c r="N417" i="6" s="1"/>
  <c r="N463" i="6" s="1"/>
  <c r="M371" i="6"/>
  <c r="M417" i="6" s="1"/>
  <c r="M463" i="6" s="1"/>
  <c r="J371" i="6"/>
  <c r="J417" i="6" s="1"/>
  <c r="J463" i="6" s="1"/>
  <c r="I371" i="6"/>
  <c r="I417" i="6" s="1"/>
  <c r="F371" i="6"/>
  <c r="A371" i="6"/>
  <c r="AT370" i="6"/>
  <c r="O370" i="6"/>
  <c r="O416" i="6" s="1"/>
  <c r="O462" i="6" s="1"/>
  <c r="N370" i="6"/>
  <c r="N416" i="6" s="1"/>
  <c r="N462" i="6" s="1"/>
  <c r="M370" i="6"/>
  <c r="M416" i="6" s="1"/>
  <c r="M462" i="6" s="1"/>
  <c r="J370" i="6"/>
  <c r="AE370" i="6" s="1"/>
  <c r="AE416" i="6" s="1"/>
  <c r="AE462" i="6" s="1"/>
  <c r="I370" i="6"/>
  <c r="F370" i="6"/>
  <c r="F416" i="6" s="1"/>
  <c r="B370" i="6"/>
  <c r="A370" i="6"/>
  <c r="AE369" i="6"/>
  <c r="AE415" i="6" s="1"/>
  <c r="AE461" i="6" s="1"/>
  <c r="O369" i="6"/>
  <c r="O415" i="6" s="1"/>
  <c r="O461" i="6" s="1"/>
  <c r="N369" i="6"/>
  <c r="N415" i="6" s="1"/>
  <c r="N461" i="6" s="1"/>
  <c r="M369" i="6"/>
  <c r="M415" i="6" s="1"/>
  <c r="M461" i="6" s="1"/>
  <c r="J369" i="6"/>
  <c r="I369" i="6"/>
  <c r="F369" i="6"/>
  <c r="F415" i="6" s="1"/>
  <c r="F461" i="6" s="1"/>
  <c r="A369" i="6"/>
  <c r="AT368" i="6"/>
  <c r="O368" i="6"/>
  <c r="O414" i="6" s="1"/>
  <c r="O460" i="6" s="1"/>
  <c r="N368" i="6"/>
  <c r="N414" i="6" s="1"/>
  <c r="N460" i="6" s="1"/>
  <c r="M368" i="6"/>
  <c r="J368" i="6"/>
  <c r="J414" i="6" s="1"/>
  <c r="I368" i="6"/>
  <c r="F368" i="6"/>
  <c r="F414" i="6" s="1"/>
  <c r="B368" i="6"/>
  <c r="A368" i="6"/>
  <c r="O367" i="6"/>
  <c r="O413" i="6" s="1"/>
  <c r="O459" i="6" s="1"/>
  <c r="N367" i="6"/>
  <c r="N413" i="6" s="1"/>
  <c r="N459" i="6" s="1"/>
  <c r="M367" i="6"/>
  <c r="M413" i="6" s="1"/>
  <c r="M459" i="6" s="1"/>
  <c r="J367" i="6"/>
  <c r="J413" i="6" s="1"/>
  <c r="J459" i="6" s="1"/>
  <c r="AT459" i="6" s="1"/>
  <c r="I367" i="6"/>
  <c r="I413" i="6" s="1"/>
  <c r="F367" i="6"/>
  <c r="A367" i="6"/>
  <c r="AT366" i="6"/>
  <c r="O366" i="6"/>
  <c r="O412" i="6" s="1"/>
  <c r="O458" i="6" s="1"/>
  <c r="N366" i="6"/>
  <c r="N412" i="6" s="1"/>
  <c r="N458" i="6" s="1"/>
  <c r="M366" i="6"/>
  <c r="M412" i="6" s="1"/>
  <c r="M458" i="6" s="1"/>
  <c r="J366" i="6"/>
  <c r="J412" i="6" s="1"/>
  <c r="J458" i="6" s="1"/>
  <c r="AT458" i="6" s="1"/>
  <c r="I366" i="6"/>
  <c r="F366" i="6"/>
  <c r="F412" i="6" s="1"/>
  <c r="B366" i="6"/>
  <c r="A366" i="6"/>
  <c r="O365" i="6"/>
  <c r="O411" i="6" s="1"/>
  <c r="O457" i="6" s="1"/>
  <c r="N365" i="6"/>
  <c r="N411" i="6" s="1"/>
  <c r="N457" i="6" s="1"/>
  <c r="M365" i="6"/>
  <c r="M411" i="6" s="1"/>
  <c r="M457" i="6" s="1"/>
  <c r="J365" i="6"/>
  <c r="I365" i="6"/>
  <c r="I411" i="6" s="1"/>
  <c r="I457" i="6" s="1"/>
  <c r="F365" i="6"/>
  <c r="A365" i="6"/>
  <c r="AT364" i="6"/>
  <c r="O364" i="6"/>
  <c r="O410" i="6" s="1"/>
  <c r="O456" i="6" s="1"/>
  <c r="N364" i="6"/>
  <c r="N410" i="6" s="1"/>
  <c r="N456" i="6" s="1"/>
  <c r="M364" i="6"/>
  <c r="M410" i="6" s="1"/>
  <c r="M456" i="6" s="1"/>
  <c r="J364" i="6"/>
  <c r="J410" i="6" s="1"/>
  <c r="I364" i="6"/>
  <c r="F364" i="6"/>
  <c r="B364" i="6"/>
  <c r="A364" i="6"/>
  <c r="O363" i="6"/>
  <c r="N363" i="6"/>
  <c r="N409" i="6" s="1"/>
  <c r="N455" i="6" s="1"/>
  <c r="M363" i="6"/>
  <c r="M409" i="6" s="1"/>
  <c r="M455" i="6" s="1"/>
  <c r="J363" i="6"/>
  <c r="I363" i="6"/>
  <c r="I409" i="6" s="1"/>
  <c r="F363" i="6"/>
  <c r="A363" i="6"/>
  <c r="AT362" i="6"/>
  <c r="O362" i="6"/>
  <c r="O408" i="6" s="1"/>
  <c r="O454" i="6" s="1"/>
  <c r="N362" i="6"/>
  <c r="N408" i="6" s="1"/>
  <c r="N454" i="6" s="1"/>
  <c r="M362" i="6"/>
  <c r="J362" i="6"/>
  <c r="AE362" i="6" s="1"/>
  <c r="AE408" i="6" s="1"/>
  <c r="AE454" i="6" s="1"/>
  <c r="I362" i="6"/>
  <c r="F362" i="6"/>
  <c r="F408" i="6" s="1"/>
  <c r="B362" i="6"/>
  <c r="A362" i="6"/>
  <c r="O361" i="6"/>
  <c r="O407" i="6" s="1"/>
  <c r="O453" i="6" s="1"/>
  <c r="N361" i="6"/>
  <c r="N407" i="6" s="1"/>
  <c r="N453" i="6" s="1"/>
  <c r="M361" i="6"/>
  <c r="M407" i="6" s="1"/>
  <c r="M453" i="6" s="1"/>
  <c r="J361" i="6"/>
  <c r="I361" i="6"/>
  <c r="I407" i="6" s="1"/>
  <c r="F361" i="6"/>
  <c r="A361" i="6"/>
  <c r="AT360" i="6"/>
  <c r="O360" i="6"/>
  <c r="O406" i="6" s="1"/>
  <c r="O452" i="6" s="1"/>
  <c r="N360" i="6"/>
  <c r="N406" i="6" s="1"/>
  <c r="N452" i="6" s="1"/>
  <c r="M360" i="6"/>
  <c r="M406" i="6" s="1"/>
  <c r="M452" i="6" s="1"/>
  <c r="J360" i="6"/>
  <c r="AE360" i="6" s="1"/>
  <c r="AE406" i="6" s="1"/>
  <c r="AE452" i="6" s="1"/>
  <c r="I360" i="6"/>
  <c r="F360" i="6"/>
  <c r="F406" i="6" s="1"/>
  <c r="B360" i="6"/>
  <c r="A360" i="6"/>
  <c r="O359" i="6"/>
  <c r="O405" i="6" s="1"/>
  <c r="O451" i="6" s="1"/>
  <c r="N359" i="6"/>
  <c r="N405" i="6" s="1"/>
  <c r="N451" i="6" s="1"/>
  <c r="M359" i="6"/>
  <c r="M405" i="6" s="1"/>
  <c r="M451" i="6" s="1"/>
  <c r="J359" i="6"/>
  <c r="I359" i="6"/>
  <c r="I405" i="6" s="1"/>
  <c r="F359" i="6"/>
  <c r="A359" i="6"/>
  <c r="AT358" i="6"/>
  <c r="O358" i="6"/>
  <c r="O404" i="6" s="1"/>
  <c r="O450" i="6" s="1"/>
  <c r="N358" i="6"/>
  <c r="N404" i="6" s="1"/>
  <c r="N450" i="6" s="1"/>
  <c r="M358" i="6"/>
  <c r="M404" i="6" s="1"/>
  <c r="M450" i="6" s="1"/>
  <c r="J358" i="6"/>
  <c r="J404" i="6" s="1"/>
  <c r="I358" i="6"/>
  <c r="F358" i="6"/>
  <c r="F404" i="6" s="1"/>
  <c r="F450" i="6" s="1"/>
  <c r="B358" i="6"/>
  <c r="A358" i="6"/>
  <c r="O357" i="6"/>
  <c r="O403" i="6" s="1"/>
  <c r="O449" i="6" s="1"/>
  <c r="N357" i="6"/>
  <c r="N403" i="6" s="1"/>
  <c r="N449" i="6" s="1"/>
  <c r="M357" i="6"/>
  <c r="M403" i="6" s="1"/>
  <c r="M449" i="6" s="1"/>
  <c r="J357" i="6"/>
  <c r="AT357" i="6" s="1"/>
  <c r="I357" i="6"/>
  <c r="H357" i="6"/>
  <c r="H403" i="6" s="1"/>
  <c r="H449" i="6" s="1"/>
  <c r="G357" i="6"/>
  <c r="G403" i="6" s="1"/>
  <c r="G449" i="6" s="1"/>
  <c r="F357" i="6"/>
  <c r="A357" i="6"/>
  <c r="AT356" i="6"/>
  <c r="O356" i="6"/>
  <c r="O402" i="6" s="1"/>
  <c r="O448" i="6" s="1"/>
  <c r="N356" i="6"/>
  <c r="N402" i="6" s="1"/>
  <c r="N448" i="6" s="1"/>
  <c r="M356" i="6"/>
  <c r="M402" i="6" s="1"/>
  <c r="M448" i="6" s="1"/>
  <c r="J356" i="6"/>
  <c r="AE356" i="6" s="1"/>
  <c r="AE402" i="6" s="1"/>
  <c r="AE448" i="6" s="1"/>
  <c r="I356" i="6"/>
  <c r="H356" i="6"/>
  <c r="H402" i="6" s="1"/>
  <c r="H448" i="6" s="1"/>
  <c r="G356" i="6"/>
  <c r="G402" i="6" s="1"/>
  <c r="G448" i="6" s="1"/>
  <c r="F356" i="6"/>
  <c r="F402" i="6" s="1"/>
  <c r="B356" i="6"/>
  <c r="A356" i="6"/>
  <c r="O355" i="6"/>
  <c r="O401" i="6" s="1"/>
  <c r="O447" i="6" s="1"/>
  <c r="N355" i="6"/>
  <c r="N401" i="6" s="1"/>
  <c r="N447" i="6" s="1"/>
  <c r="M355" i="6"/>
  <c r="M401" i="6" s="1"/>
  <c r="M447" i="6" s="1"/>
  <c r="J355" i="6"/>
  <c r="I355" i="6"/>
  <c r="I401" i="6" s="1"/>
  <c r="F355" i="6"/>
  <c r="A355" i="6"/>
  <c r="AT354" i="6"/>
  <c r="O354" i="6"/>
  <c r="O400" i="6" s="1"/>
  <c r="O446" i="6" s="1"/>
  <c r="N354" i="6"/>
  <c r="N400" i="6" s="1"/>
  <c r="N446" i="6" s="1"/>
  <c r="M354" i="6"/>
  <c r="M400" i="6" s="1"/>
  <c r="M446" i="6" s="1"/>
  <c r="J354" i="6"/>
  <c r="J400" i="6" s="1"/>
  <c r="I354" i="6"/>
  <c r="F354" i="6"/>
  <c r="F400" i="6" s="1"/>
  <c r="F446" i="6" s="1"/>
  <c r="B354" i="6"/>
  <c r="A354" i="6"/>
  <c r="O353" i="6"/>
  <c r="O399" i="6" s="1"/>
  <c r="O445" i="6" s="1"/>
  <c r="N353" i="6"/>
  <c r="N399" i="6" s="1"/>
  <c r="N445" i="6" s="1"/>
  <c r="M353" i="6"/>
  <c r="M399" i="6" s="1"/>
  <c r="M445" i="6" s="1"/>
  <c r="J353" i="6"/>
  <c r="AT353" i="6" s="1"/>
  <c r="I353" i="6"/>
  <c r="F353" i="6"/>
  <c r="A353" i="6"/>
  <c r="AT352" i="6"/>
  <c r="O352" i="6"/>
  <c r="O398" i="6" s="1"/>
  <c r="O444" i="6" s="1"/>
  <c r="N352" i="6"/>
  <c r="N398" i="6" s="1"/>
  <c r="N444" i="6" s="1"/>
  <c r="M352" i="6"/>
  <c r="M398" i="6" s="1"/>
  <c r="M444" i="6" s="1"/>
  <c r="J352" i="6"/>
  <c r="AE352" i="6" s="1"/>
  <c r="AE398" i="6" s="1"/>
  <c r="AE444" i="6" s="1"/>
  <c r="I352" i="6"/>
  <c r="F352" i="6"/>
  <c r="F398" i="6" s="1"/>
  <c r="B352" i="6"/>
  <c r="A352" i="6"/>
  <c r="O351" i="6"/>
  <c r="O397" i="6" s="1"/>
  <c r="O443" i="6" s="1"/>
  <c r="N351" i="6"/>
  <c r="N397" i="6" s="1"/>
  <c r="N443" i="6" s="1"/>
  <c r="M351" i="6"/>
  <c r="M397" i="6" s="1"/>
  <c r="M443" i="6" s="1"/>
  <c r="J351" i="6"/>
  <c r="AE351" i="6" s="1"/>
  <c r="AE397" i="6" s="1"/>
  <c r="AE443" i="6" s="1"/>
  <c r="I351" i="6"/>
  <c r="I397" i="6" s="1"/>
  <c r="F351" i="6"/>
  <c r="B351" i="6" s="1"/>
  <c r="A351" i="6"/>
  <c r="AT350" i="6"/>
  <c r="O350" i="6"/>
  <c r="O396" i="6" s="1"/>
  <c r="O442" i="6" s="1"/>
  <c r="N350" i="6"/>
  <c r="N396" i="6" s="1"/>
  <c r="N442" i="6" s="1"/>
  <c r="M350" i="6"/>
  <c r="M396" i="6" s="1"/>
  <c r="M442" i="6" s="1"/>
  <c r="J350" i="6"/>
  <c r="J396" i="6" s="1"/>
  <c r="I350" i="6"/>
  <c r="F350" i="6"/>
  <c r="F396" i="6" s="1"/>
  <c r="F442" i="6" s="1"/>
  <c r="B350" i="6"/>
  <c r="A350" i="6"/>
  <c r="O349" i="6"/>
  <c r="O395" i="6" s="1"/>
  <c r="O441" i="6" s="1"/>
  <c r="N349" i="6"/>
  <c r="N395" i="6" s="1"/>
  <c r="N441" i="6" s="1"/>
  <c r="M349" i="6"/>
  <c r="J349" i="6"/>
  <c r="AT349" i="6" s="1"/>
  <c r="I349" i="6"/>
  <c r="F349" i="6"/>
  <c r="A349" i="6"/>
  <c r="AT348" i="6"/>
  <c r="O348" i="6"/>
  <c r="O394" i="6" s="1"/>
  <c r="O440" i="6" s="1"/>
  <c r="N348" i="6"/>
  <c r="N394" i="6" s="1"/>
  <c r="N440" i="6" s="1"/>
  <c r="M348" i="6"/>
  <c r="M394" i="6" s="1"/>
  <c r="M440" i="6" s="1"/>
  <c r="J348" i="6"/>
  <c r="AE348" i="6" s="1"/>
  <c r="AE394" i="6" s="1"/>
  <c r="AE440" i="6" s="1"/>
  <c r="I348" i="6"/>
  <c r="F348" i="6"/>
  <c r="F394" i="6" s="1"/>
  <c r="B348" i="6"/>
  <c r="A348" i="6"/>
  <c r="O347" i="6"/>
  <c r="O393" i="6" s="1"/>
  <c r="O439" i="6" s="1"/>
  <c r="N347" i="6"/>
  <c r="N393" i="6" s="1"/>
  <c r="N439" i="6" s="1"/>
  <c r="M347" i="6"/>
  <c r="M393" i="6" s="1"/>
  <c r="M439" i="6" s="1"/>
  <c r="J347" i="6"/>
  <c r="AE347" i="6" s="1"/>
  <c r="AE393" i="6" s="1"/>
  <c r="AE439" i="6" s="1"/>
  <c r="I347" i="6"/>
  <c r="I393" i="6" s="1"/>
  <c r="F347" i="6"/>
  <c r="B347" i="6" s="1"/>
  <c r="A347" i="6"/>
  <c r="O346" i="6"/>
  <c r="O392" i="6" s="1"/>
  <c r="O438" i="6" s="1"/>
  <c r="N346" i="6"/>
  <c r="M346" i="6"/>
  <c r="M392" i="6" s="1"/>
  <c r="M438" i="6" s="1"/>
  <c r="J346" i="6"/>
  <c r="J392" i="6" s="1"/>
  <c r="I346" i="6"/>
  <c r="F346" i="6"/>
  <c r="F392" i="6" s="1"/>
  <c r="F438" i="6" s="1"/>
  <c r="A346" i="6"/>
  <c r="O345" i="6"/>
  <c r="O391" i="6" s="1"/>
  <c r="O437" i="6" s="1"/>
  <c r="N345" i="6"/>
  <c r="N391" i="6" s="1"/>
  <c r="N437" i="6" s="1"/>
  <c r="M345" i="6"/>
  <c r="M391" i="6" s="1"/>
  <c r="M437" i="6" s="1"/>
  <c r="J345" i="6"/>
  <c r="I345" i="6"/>
  <c r="F345" i="6"/>
  <c r="A345" i="6"/>
  <c r="O344" i="6"/>
  <c r="O390" i="6" s="1"/>
  <c r="O436" i="6" s="1"/>
  <c r="N344" i="6"/>
  <c r="N390" i="6" s="1"/>
  <c r="N436" i="6" s="1"/>
  <c r="M344" i="6"/>
  <c r="M390" i="6" s="1"/>
  <c r="M436" i="6" s="1"/>
  <c r="J344" i="6"/>
  <c r="AE344" i="6" s="1"/>
  <c r="AE390" i="6" s="1"/>
  <c r="AE436" i="6" s="1"/>
  <c r="I344" i="6"/>
  <c r="F344" i="6"/>
  <c r="F390" i="6" s="1"/>
  <c r="A344" i="6"/>
  <c r="O343" i="6"/>
  <c r="O389" i="6" s="1"/>
  <c r="O435" i="6" s="1"/>
  <c r="N343" i="6"/>
  <c r="N389" i="6" s="1"/>
  <c r="N435" i="6" s="1"/>
  <c r="M343" i="6"/>
  <c r="M389" i="6" s="1"/>
  <c r="M435" i="6" s="1"/>
  <c r="J343" i="6"/>
  <c r="I343" i="6"/>
  <c r="I389" i="6" s="1"/>
  <c r="F343" i="6"/>
  <c r="A343" i="6"/>
  <c r="O342" i="6"/>
  <c r="O388" i="6" s="1"/>
  <c r="O434" i="6" s="1"/>
  <c r="N342" i="6"/>
  <c r="N388" i="6" s="1"/>
  <c r="N434" i="6" s="1"/>
  <c r="M342" i="6"/>
  <c r="M388" i="6" s="1"/>
  <c r="M434" i="6" s="1"/>
  <c r="J342" i="6"/>
  <c r="J388" i="6" s="1"/>
  <c r="I342" i="6"/>
  <c r="F342" i="6"/>
  <c r="F388" i="6" s="1"/>
  <c r="F434" i="6" s="1"/>
  <c r="A342" i="6"/>
  <c r="O341" i="6"/>
  <c r="O387" i="6" s="1"/>
  <c r="O433" i="6" s="1"/>
  <c r="N341" i="6"/>
  <c r="N387" i="6" s="1"/>
  <c r="N433" i="6" s="1"/>
  <c r="M341" i="6"/>
  <c r="M387" i="6" s="1"/>
  <c r="M433" i="6" s="1"/>
  <c r="J341" i="6"/>
  <c r="AT341" i="6" s="1"/>
  <c r="I341" i="6"/>
  <c r="F341" i="6"/>
  <c r="A341" i="6"/>
  <c r="O340" i="6"/>
  <c r="O386" i="6" s="1"/>
  <c r="O432" i="6" s="1"/>
  <c r="N340" i="6"/>
  <c r="N386" i="6" s="1"/>
  <c r="N432" i="6" s="1"/>
  <c r="M340" i="6"/>
  <c r="M386" i="6" s="1"/>
  <c r="M432" i="6" s="1"/>
  <c r="J340" i="6"/>
  <c r="AT340" i="6" s="1"/>
  <c r="I340" i="6"/>
  <c r="I386" i="6" s="1"/>
  <c r="F340" i="6"/>
  <c r="F386" i="6" s="1"/>
  <c r="A340" i="6"/>
  <c r="O339" i="6"/>
  <c r="O385" i="6" s="1"/>
  <c r="O431" i="6" s="1"/>
  <c r="N339" i="6"/>
  <c r="N385" i="6" s="1"/>
  <c r="N431" i="6" s="1"/>
  <c r="M339" i="6"/>
  <c r="M385" i="6" s="1"/>
  <c r="M431" i="6" s="1"/>
  <c r="J339" i="6"/>
  <c r="AE339" i="6" s="1"/>
  <c r="AE385" i="6" s="1"/>
  <c r="AE431" i="6" s="1"/>
  <c r="I339" i="6"/>
  <c r="I385" i="6" s="1"/>
  <c r="F339" i="6"/>
  <c r="F385" i="6" s="1"/>
  <c r="A339" i="6"/>
  <c r="AT338" i="6"/>
  <c r="O338" i="6"/>
  <c r="O384" i="6" s="1"/>
  <c r="O430" i="6" s="1"/>
  <c r="N338" i="6"/>
  <c r="N384" i="6" s="1"/>
  <c r="N430" i="6" s="1"/>
  <c r="M338" i="6"/>
  <c r="M384" i="6" s="1"/>
  <c r="M430" i="6" s="1"/>
  <c r="J338" i="6"/>
  <c r="J384" i="6" s="1"/>
  <c r="I338" i="6"/>
  <c r="F338" i="6"/>
  <c r="F384" i="6" s="1"/>
  <c r="F430" i="6" s="1"/>
  <c r="A338" i="6"/>
  <c r="O337" i="6"/>
  <c r="O383" i="6" s="1"/>
  <c r="O429" i="6" s="1"/>
  <c r="N337" i="6"/>
  <c r="N383" i="6" s="1"/>
  <c r="N429" i="6" s="1"/>
  <c r="M337" i="6"/>
  <c r="M383" i="6" s="1"/>
  <c r="M429" i="6" s="1"/>
  <c r="J337" i="6"/>
  <c r="AT337" i="6" s="1"/>
  <c r="I337" i="6"/>
  <c r="F337" i="6"/>
  <c r="A337" i="6"/>
  <c r="O336" i="6"/>
  <c r="O382" i="6" s="1"/>
  <c r="O428" i="6" s="1"/>
  <c r="N336" i="6"/>
  <c r="N382" i="6" s="1"/>
  <c r="N428" i="6" s="1"/>
  <c r="M336" i="6"/>
  <c r="M382" i="6" s="1"/>
  <c r="M428" i="6" s="1"/>
  <c r="J336" i="6"/>
  <c r="I336" i="6"/>
  <c r="H336" i="6"/>
  <c r="H382" i="6" s="1"/>
  <c r="H428" i="6" s="1"/>
  <c r="G336" i="6"/>
  <c r="G382" i="6" s="1"/>
  <c r="G428" i="6" s="1"/>
  <c r="F336" i="6"/>
  <c r="F382" i="6" s="1"/>
  <c r="A336" i="6"/>
  <c r="O335" i="6"/>
  <c r="O381" i="6" s="1"/>
  <c r="O427" i="6" s="1"/>
  <c r="N335" i="6"/>
  <c r="N381" i="6" s="1"/>
  <c r="N427" i="6" s="1"/>
  <c r="M335" i="6"/>
  <c r="M381" i="6" s="1"/>
  <c r="M427" i="6" s="1"/>
  <c r="J335" i="6"/>
  <c r="I335" i="6"/>
  <c r="I381" i="6" s="1"/>
  <c r="H335" i="6"/>
  <c r="H381" i="6" s="1"/>
  <c r="H427" i="6" s="1"/>
  <c r="G335" i="6"/>
  <c r="AE335" i="6" s="1"/>
  <c r="AE381" i="6" s="1"/>
  <c r="AE427" i="6" s="1"/>
  <c r="F335" i="6"/>
  <c r="B335" i="6" s="1"/>
  <c r="A335" i="6"/>
  <c r="O334" i="6"/>
  <c r="O380" i="6" s="1"/>
  <c r="O426" i="6" s="1"/>
  <c r="N334" i="6"/>
  <c r="N380" i="6" s="1"/>
  <c r="N426" i="6" s="1"/>
  <c r="M334" i="6"/>
  <c r="M380" i="6" s="1"/>
  <c r="J334" i="6"/>
  <c r="I334" i="6"/>
  <c r="T334" i="6" s="1"/>
  <c r="H334" i="6"/>
  <c r="H380" i="6" s="1"/>
  <c r="H426" i="6" s="1"/>
  <c r="G334" i="6"/>
  <c r="G380" i="6" s="1"/>
  <c r="G426" i="6" s="1"/>
  <c r="F334" i="6"/>
  <c r="F380" i="6" s="1"/>
  <c r="F426" i="6" s="1"/>
  <c r="B334" i="6"/>
  <c r="A334" i="6"/>
  <c r="AE333" i="6"/>
  <c r="AE379" i="6" s="1"/>
  <c r="AE425" i="6" s="1"/>
  <c r="O333" i="6"/>
  <c r="O379" i="6" s="1"/>
  <c r="O425" i="6" s="1"/>
  <c r="N333" i="6"/>
  <c r="N379" i="6" s="1"/>
  <c r="N425" i="6" s="1"/>
  <c r="M333" i="6"/>
  <c r="M379" i="6" s="1"/>
  <c r="M425" i="6" s="1"/>
  <c r="J333" i="6"/>
  <c r="AT333" i="6" s="1"/>
  <c r="I333" i="6"/>
  <c r="H333" i="6"/>
  <c r="H379" i="6" s="1"/>
  <c r="H425" i="6" s="1"/>
  <c r="G333" i="6"/>
  <c r="G379" i="6" s="1"/>
  <c r="G425" i="6" s="1"/>
  <c r="F333" i="6"/>
  <c r="A333" i="6"/>
  <c r="AQ332" i="6"/>
  <c r="AP332" i="6"/>
  <c r="AN332" i="6"/>
  <c r="AM332" i="6"/>
  <c r="AL332" i="6"/>
  <c r="AH332" i="6"/>
  <c r="AF332" i="6"/>
  <c r="AE332" i="6"/>
  <c r="AA332" i="6"/>
  <c r="Z332" i="6"/>
  <c r="Y332" i="6"/>
  <c r="AO332" i="6" s="1"/>
  <c r="X332" i="6"/>
  <c r="W332" i="6"/>
  <c r="V332" i="6"/>
  <c r="U332" i="6"/>
  <c r="AK332" i="6" s="1"/>
  <c r="T332" i="6"/>
  <c r="AJ332" i="6" s="1"/>
  <c r="S332" i="6"/>
  <c r="AI332" i="6" s="1"/>
  <c r="R332" i="6"/>
  <c r="Q332" i="6"/>
  <c r="AG332" i="6" s="1"/>
  <c r="P332" i="6"/>
  <c r="A326" i="6"/>
  <c r="N325" i="6"/>
  <c r="A325" i="6"/>
  <c r="A324" i="6"/>
  <c r="A323" i="6"/>
  <c r="I322" i="6"/>
  <c r="A322" i="6"/>
  <c r="N321" i="6"/>
  <c r="A321" i="6"/>
  <c r="A320" i="6"/>
  <c r="A319" i="6"/>
  <c r="A318" i="6"/>
  <c r="N317" i="6"/>
  <c r="A317" i="6"/>
  <c r="A316" i="6"/>
  <c r="G315" i="6"/>
  <c r="A315" i="6"/>
  <c r="I314" i="6"/>
  <c r="A314" i="6"/>
  <c r="A313" i="6"/>
  <c r="A312" i="6"/>
  <c r="A311" i="6"/>
  <c r="I310" i="6"/>
  <c r="V310" i="6" s="1"/>
  <c r="A310" i="6"/>
  <c r="A309" i="6"/>
  <c r="A308" i="6"/>
  <c r="A307" i="6"/>
  <c r="A306" i="6"/>
  <c r="A305" i="6"/>
  <c r="A304" i="6"/>
  <c r="A303" i="6"/>
  <c r="A302" i="6"/>
  <c r="A301" i="6"/>
  <c r="A300" i="6"/>
  <c r="A299" i="6"/>
  <c r="A298" i="6"/>
  <c r="A297" i="6"/>
  <c r="A296" i="6"/>
  <c r="A295" i="6"/>
  <c r="O294" i="6"/>
  <c r="A294" i="6"/>
  <c r="A293" i="6"/>
  <c r="A292" i="6"/>
  <c r="A291" i="6"/>
  <c r="A290" i="6"/>
  <c r="A289" i="6"/>
  <c r="A288" i="6"/>
  <c r="A287" i="6"/>
  <c r="O286" i="6"/>
  <c r="A286" i="6"/>
  <c r="A285" i="6"/>
  <c r="A284" i="6"/>
  <c r="A283" i="6"/>
  <c r="A282" i="6"/>
  <c r="AA281" i="6"/>
  <c r="Z281" i="6"/>
  <c r="Y281" i="6"/>
  <c r="X281" i="6"/>
  <c r="W281" i="6"/>
  <c r="V281" i="6"/>
  <c r="U281" i="6"/>
  <c r="T281" i="6"/>
  <c r="S281" i="6"/>
  <c r="R281" i="6"/>
  <c r="Q281" i="6"/>
  <c r="P281" i="6"/>
  <c r="A281" i="6"/>
  <c r="O280" i="6"/>
  <c r="O326" i="6" s="1"/>
  <c r="M280" i="6"/>
  <c r="M326" i="6" s="1"/>
  <c r="A280" i="6"/>
  <c r="O279" i="6"/>
  <c r="O325" i="6" s="1"/>
  <c r="N279" i="6"/>
  <c r="A279" i="6"/>
  <c r="O278" i="6"/>
  <c r="O324" i="6" s="1"/>
  <c r="I278" i="6"/>
  <c r="A278" i="6"/>
  <c r="N277" i="6"/>
  <c r="N323" i="6" s="1"/>
  <c r="A277" i="6"/>
  <c r="N276" i="6"/>
  <c r="N322" i="6" s="1"/>
  <c r="I276" i="6"/>
  <c r="A276" i="6"/>
  <c r="N275" i="6"/>
  <c r="I275" i="6"/>
  <c r="A275" i="6"/>
  <c r="O274" i="6"/>
  <c r="O320" i="6" s="1"/>
  <c r="I274" i="6"/>
  <c r="A274" i="6"/>
  <c r="A273" i="6"/>
  <c r="O272" i="6"/>
  <c r="O318" i="6" s="1"/>
  <c r="A272" i="6"/>
  <c r="O271" i="6"/>
  <c r="O317" i="6" s="1"/>
  <c r="N271" i="6"/>
  <c r="A271" i="6"/>
  <c r="O270" i="6"/>
  <c r="O316" i="6" s="1"/>
  <c r="I270" i="6"/>
  <c r="A270" i="6"/>
  <c r="N269" i="6"/>
  <c r="N315" i="6" s="1"/>
  <c r="A269" i="6"/>
  <c r="N268" i="6"/>
  <c r="N314" i="6" s="1"/>
  <c r="I268" i="6"/>
  <c r="A268" i="6"/>
  <c r="N267" i="6"/>
  <c r="N313" i="6" s="1"/>
  <c r="I267" i="6"/>
  <c r="A267" i="6"/>
  <c r="O266" i="6"/>
  <c r="O312" i="6" s="1"/>
  <c r="I266" i="6"/>
  <c r="A266" i="6"/>
  <c r="O265" i="6"/>
  <c r="O311" i="6" s="1"/>
  <c r="I265" i="6"/>
  <c r="A265" i="6"/>
  <c r="O264" i="6"/>
  <c r="O310" i="6" s="1"/>
  <c r="I264" i="6"/>
  <c r="S264" i="6" s="1"/>
  <c r="A264" i="6"/>
  <c r="O263" i="6"/>
  <c r="O309" i="6" s="1"/>
  <c r="I263" i="6"/>
  <c r="A263" i="6"/>
  <c r="O262" i="6"/>
  <c r="O308" i="6" s="1"/>
  <c r="I262" i="6"/>
  <c r="A262" i="6"/>
  <c r="O261" i="6"/>
  <c r="O307" i="6" s="1"/>
  <c r="I261" i="6"/>
  <c r="AA261" i="6" s="1"/>
  <c r="A261" i="6"/>
  <c r="O260" i="6"/>
  <c r="O306" i="6" s="1"/>
  <c r="I260" i="6"/>
  <c r="A260" i="6"/>
  <c r="O259" i="6"/>
  <c r="O305" i="6" s="1"/>
  <c r="I259" i="6"/>
  <c r="AA259" i="6" s="1"/>
  <c r="A259" i="6"/>
  <c r="O258" i="6"/>
  <c r="O304" i="6" s="1"/>
  <c r="I258" i="6"/>
  <c r="A258" i="6"/>
  <c r="O257" i="6"/>
  <c r="O303" i="6" s="1"/>
  <c r="I257" i="6"/>
  <c r="A257" i="6"/>
  <c r="O256" i="6"/>
  <c r="O302" i="6" s="1"/>
  <c r="I256" i="6"/>
  <c r="S256" i="6" s="1"/>
  <c r="A256" i="6"/>
  <c r="O255" i="6"/>
  <c r="O301" i="6" s="1"/>
  <c r="I255" i="6"/>
  <c r="AA255" i="6" s="1"/>
  <c r="A255" i="6"/>
  <c r="O254" i="6"/>
  <c r="O300" i="6" s="1"/>
  <c r="I254" i="6"/>
  <c r="A254" i="6"/>
  <c r="O253" i="6"/>
  <c r="O299" i="6" s="1"/>
  <c r="I253" i="6"/>
  <c r="AA253" i="6" s="1"/>
  <c r="A253" i="6"/>
  <c r="O252" i="6"/>
  <c r="O298" i="6" s="1"/>
  <c r="I252" i="6"/>
  <c r="A252" i="6"/>
  <c r="O251" i="6"/>
  <c r="O297" i="6" s="1"/>
  <c r="I251" i="6"/>
  <c r="AA251" i="6" s="1"/>
  <c r="A251" i="6"/>
  <c r="O250" i="6"/>
  <c r="O296" i="6" s="1"/>
  <c r="I250" i="6"/>
  <c r="A250" i="6"/>
  <c r="O249" i="6"/>
  <c r="O295" i="6" s="1"/>
  <c r="I249" i="6"/>
  <c r="A249" i="6"/>
  <c r="O248" i="6"/>
  <c r="I248" i="6"/>
  <c r="S248" i="6" s="1"/>
  <c r="A248" i="6"/>
  <c r="O247" i="6"/>
  <c r="O293" i="6" s="1"/>
  <c r="I247" i="6"/>
  <c r="S247" i="6" s="1"/>
  <c r="A247" i="6"/>
  <c r="O246" i="6"/>
  <c r="O292" i="6" s="1"/>
  <c r="I246" i="6"/>
  <c r="A246" i="6"/>
  <c r="O245" i="6"/>
  <c r="O291" i="6" s="1"/>
  <c r="I245" i="6"/>
  <c r="AA245" i="6" s="1"/>
  <c r="A245" i="6"/>
  <c r="O244" i="6"/>
  <c r="O290" i="6" s="1"/>
  <c r="I244" i="6"/>
  <c r="A244" i="6"/>
  <c r="O243" i="6"/>
  <c r="O289" i="6" s="1"/>
  <c r="I243" i="6"/>
  <c r="AA243" i="6" s="1"/>
  <c r="A243" i="6"/>
  <c r="O242" i="6"/>
  <c r="O288" i="6" s="1"/>
  <c r="I242" i="6"/>
  <c r="U242" i="6" s="1"/>
  <c r="A242" i="6"/>
  <c r="O241" i="6"/>
  <c r="O287" i="6" s="1"/>
  <c r="I241" i="6"/>
  <c r="AA241" i="6" s="1"/>
  <c r="A241" i="6"/>
  <c r="O240" i="6"/>
  <c r="I240" i="6"/>
  <c r="U240" i="6" s="1"/>
  <c r="A240" i="6"/>
  <c r="O239" i="6"/>
  <c r="O285" i="6" s="1"/>
  <c r="I239" i="6"/>
  <c r="I285" i="6" s="1"/>
  <c r="A239" i="6"/>
  <c r="O238" i="6"/>
  <c r="O284" i="6" s="1"/>
  <c r="M238" i="6"/>
  <c r="M284" i="6" s="1"/>
  <c r="I238" i="6"/>
  <c r="A238" i="6"/>
  <c r="O237" i="6"/>
  <c r="O283" i="6" s="1"/>
  <c r="I237" i="6"/>
  <c r="AA237" i="6" s="1"/>
  <c r="A237" i="6"/>
  <c r="O236" i="6"/>
  <c r="O282" i="6" s="1"/>
  <c r="I236" i="6"/>
  <c r="AA236" i="6" s="1"/>
  <c r="A236" i="6"/>
  <c r="AA235" i="6"/>
  <c r="Z235" i="6"/>
  <c r="Y235" i="6"/>
  <c r="X235" i="6"/>
  <c r="W235" i="6"/>
  <c r="V235" i="6"/>
  <c r="U235" i="6"/>
  <c r="T235" i="6"/>
  <c r="S235" i="6"/>
  <c r="R235" i="6"/>
  <c r="Q235" i="6"/>
  <c r="P235" i="6"/>
  <c r="A235" i="6"/>
  <c r="O234" i="6"/>
  <c r="N234" i="6"/>
  <c r="N280" i="6" s="1"/>
  <c r="N326" i="6" s="1"/>
  <c r="M234" i="6"/>
  <c r="J234" i="6"/>
  <c r="I234" i="6"/>
  <c r="I280" i="6" s="1"/>
  <c r="F234" i="6"/>
  <c r="A234" i="6"/>
  <c r="O233" i="6"/>
  <c r="N233" i="6"/>
  <c r="M233" i="6"/>
  <c r="M279" i="6" s="1"/>
  <c r="M325" i="6" s="1"/>
  <c r="J233" i="6"/>
  <c r="I233" i="6"/>
  <c r="F233" i="6"/>
  <c r="A233" i="6"/>
  <c r="O232" i="6"/>
  <c r="N232" i="6"/>
  <c r="N278" i="6" s="1"/>
  <c r="N324" i="6" s="1"/>
  <c r="M232" i="6"/>
  <c r="M278" i="6" s="1"/>
  <c r="M324" i="6" s="1"/>
  <c r="J232" i="6"/>
  <c r="I232" i="6"/>
  <c r="F232" i="6"/>
  <c r="A232" i="6"/>
  <c r="O231" i="6"/>
  <c r="O277" i="6" s="1"/>
  <c r="O323" i="6" s="1"/>
  <c r="N231" i="6"/>
  <c r="M231" i="6"/>
  <c r="M277" i="6" s="1"/>
  <c r="M323" i="6" s="1"/>
  <c r="J231" i="6"/>
  <c r="D231" i="6" s="1"/>
  <c r="I231" i="6"/>
  <c r="H231" i="6"/>
  <c r="H277" i="6" s="1"/>
  <c r="H323" i="6" s="1"/>
  <c r="F231" i="6"/>
  <c r="A231" i="6"/>
  <c r="O230" i="6"/>
  <c r="O276" i="6" s="1"/>
  <c r="O322" i="6" s="1"/>
  <c r="N230" i="6"/>
  <c r="M230" i="6"/>
  <c r="M276" i="6" s="1"/>
  <c r="M322" i="6" s="1"/>
  <c r="J230" i="6"/>
  <c r="I230" i="6"/>
  <c r="F230" i="6"/>
  <c r="A230" i="6"/>
  <c r="O229" i="6"/>
  <c r="O275" i="6" s="1"/>
  <c r="O321" i="6" s="1"/>
  <c r="N229" i="6"/>
  <c r="M229" i="6"/>
  <c r="M275" i="6" s="1"/>
  <c r="M321" i="6" s="1"/>
  <c r="J229" i="6"/>
  <c r="I229" i="6"/>
  <c r="F229" i="6"/>
  <c r="A229" i="6"/>
  <c r="O228" i="6"/>
  <c r="N228" i="6"/>
  <c r="N274" i="6" s="1"/>
  <c r="N320" i="6" s="1"/>
  <c r="M228" i="6"/>
  <c r="M274" i="6" s="1"/>
  <c r="M320" i="6" s="1"/>
  <c r="J228" i="6"/>
  <c r="I228" i="6"/>
  <c r="F228" i="6"/>
  <c r="A228" i="6"/>
  <c r="O227" i="6"/>
  <c r="O273" i="6" s="1"/>
  <c r="O319" i="6" s="1"/>
  <c r="N227" i="6"/>
  <c r="N273" i="6" s="1"/>
  <c r="N319" i="6" s="1"/>
  <c r="M227" i="6"/>
  <c r="M273" i="6" s="1"/>
  <c r="M319" i="6" s="1"/>
  <c r="J227" i="6"/>
  <c r="I227" i="6"/>
  <c r="F227" i="6"/>
  <c r="A227" i="6"/>
  <c r="O226" i="6"/>
  <c r="N226" i="6"/>
  <c r="N272" i="6" s="1"/>
  <c r="N318" i="6" s="1"/>
  <c r="M226" i="6"/>
  <c r="M272" i="6" s="1"/>
  <c r="M318" i="6" s="1"/>
  <c r="J226" i="6"/>
  <c r="I226" i="6"/>
  <c r="I272" i="6" s="1"/>
  <c r="I318" i="6" s="1"/>
  <c r="F226" i="6"/>
  <c r="A226" i="6"/>
  <c r="O225" i="6"/>
  <c r="N225" i="6"/>
  <c r="M225" i="6"/>
  <c r="M271" i="6" s="1"/>
  <c r="M317" i="6" s="1"/>
  <c r="J225" i="6"/>
  <c r="I225" i="6"/>
  <c r="H225" i="6"/>
  <c r="H271" i="6" s="1"/>
  <c r="H317" i="6" s="1"/>
  <c r="F225" i="6"/>
  <c r="A225" i="6"/>
  <c r="O224" i="6"/>
  <c r="N224" i="6"/>
  <c r="N270" i="6" s="1"/>
  <c r="N316" i="6" s="1"/>
  <c r="M224" i="6"/>
  <c r="M270" i="6" s="1"/>
  <c r="M316" i="6" s="1"/>
  <c r="J224" i="6"/>
  <c r="I224" i="6"/>
  <c r="F224" i="6"/>
  <c r="A224" i="6"/>
  <c r="O223" i="6"/>
  <c r="O269" i="6" s="1"/>
  <c r="O315" i="6" s="1"/>
  <c r="N223" i="6"/>
  <c r="M223" i="6"/>
  <c r="M269" i="6" s="1"/>
  <c r="M315" i="6" s="1"/>
  <c r="J223" i="6"/>
  <c r="D223" i="6" s="1"/>
  <c r="I223" i="6"/>
  <c r="F223" i="6"/>
  <c r="A223" i="6"/>
  <c r="O222" i="6"/>
  <c r="O268" i="6" s="1"/>
  <c r="O314" i="6" s="1"/>
  <c r="N222" i="6"/>
  <c r="M222" i="6"/>
  <c r="M268" i="6" s="1"/>
  <c r="M314" i="6" s="1"/>
  <c r="J222" i="6"/>
  <c r="I222" i="6"/>
  <c r="F222" i="6"/>
  <c r="B222" i="6" s="1"/>
  <c r="A222" i="6"/>
  <c r="O221" i="6"/>
  <c r="O267" i="6" s="1"/>
  <c r="O313" i="6" s="1"/>
  <c r="N221" i="6"/>
  <c r="M221" i="6"/>
  <c r="M267" i="6" s="1"/>
  <c r="M313" i="6" s="1"/>
  <c r="J221" i="6"/>
  <c r="I221" i="6"/>
  <c r="F221" i="6"/>
  <c r="A221" i="6"/>
  <c r="O220" i="6"/>
  <c r="N220" i="6"/>
  <c r="N266" i="6" s="1"/>
  <c r="N312" i="6" s="1"/>
  <c r="M220" i="6"/>
  <c r="M266" i="6" s="1"/>
  <c r="M312" i="6" s="1"/>
  <c r="J220" i="6"/>
  <c r="I220" i="6"/>
  <c r="F220" i="6"/>
  <c r="A220" i="6"/>
  <c r="O219" i="6"/>
  <c r="N219" i="6"/>
  <c r="N265" i="6" s="1"/>
  <c r="N311" i="6" s="1"/>
  <c r="M219" i="6"/>
  <c r="M265" i="6" s="1"/>
  <c r="M311" i="6" s="1"/>
  <c r="J219" i="6"/>
  <c r="I219" i="6"/>
  <c r="F219" i="6"/>
  <c r="A219" i="6"/>
  <c r="O218" i="6"/>
  <c r="N218" i="6"/>
  <c r="N264" i="6" s="1"/>
  <c r="N310" i="6" s="1"/>
  <c r="M218" i="6"/>
  <c r="M264" i="6" s="1"/>
  <c r="M310" i="6" s="1"/>
  <c r="J218" i="6"/>
  <c r="I218" i="6"/>
  <c r="F218" i="6"/>
  <c r="A218" i="6"/>
  <c r="O217" i="6"/>
  <c r="N217" i="6"/>
  <c r="N263" i="6" s="1"/>
  <c r="N309" i="6" s="1"/>
  <c r="M217" i="6"/>
  <c r="M263" i="6" s="1"/>
  <c r="M309" i="6" s="1"/>
  <c r="J217" i="6"/>
  <c r="I217" i="6"/>
  <c r="H217" i="6"/>
  <c r="H263" i="6" s="1"/>
  <c r="H309" i="6" s="1"/>
  <c r="F217" i="6"/>
  <c r="A217" i="6"/>
  <c r="O216" i="6"/>
  <c r="N216" i="6"/>
  <c r="N262" i="6" s="1"/>
  <c r="N308" i="6" s="1"/>
  <c r="M216" i="6"/>
  <c r="M262" i="6" s="1"/>
  <c r="M308" i="6" s="1"/>
  <c r="J216" i="6"/>
  <c r="I216" i="6"/>
  <c r="F216" i="6"/>
  <c r="A216" i="6"/>
  <c r="O215" i="6"/>
  <c r="N215" i="6"/>
  <c r="N261" i="6" s="1"/>
  <c r="N307" i="6" s="1"/>
  <c r="M215" i="6"/>
  <c r="M261" i="6" s="1"/>
  <c r="M307" i="6" s="1"/>
  <c r="J215" i="6"/>
  <c r="I215" i="6"/>
  <c r="F215" i="6"/>
  <c r="A215" i="6"/>
  <c r="O214" i="6"/>
  <c r="N214" i="6"/>
  <c r="N260" i="6" s="1"/>
  <c r="N306" i="6" s="1"/>
  <c r="M214" i="6"/>
  <c r="M260" i="6" s="1"/>
  <c r="M306" i="6" s="1"/>
  <c r="J214" i="6"/>
  <c r="I214" i="6"/>
  <c r="F214" i="6"/>
  <c r="A214" i="6"/>
  <c r="O213" i="6"/>
  <c r="N213" i="6"/>
  <c r="N259" i="6" s="1"/>
  <c r="N305" i="6" s="1"/>
  <c r="M213" i="6"/>
  <c r="M259" i="6" s="1"/>
  <c r="M305" i="6" s="1"/>
  <c r="J213" i="6"/>
  <c r="I213" i="6"/>
  <c r="F213" i="6"/>
  <c r="A213" i="6"/>
  <c r="O212" i="6"/>
  <c r="N212" i="6"/>
  <c r="N258" i="6" s="1"/>
  <c r="N304" i="6" s="1"/>
  <c r="M212" i="6"/>
  <c r="M258" i="6" s="1"/>
  <c r="M304" i="6" s="1"/>
  <c r="J212" i="6"/>
  <c r="I212" i="6"/>
  <c r="F212" i="6"/>
  <c r="A212" i="6"/>
  <c r="O211" i="6"/>
  <c r="N211" i="6"/>
  <c r="N257" i="6" s="1"/>
  <c r="N303" i="6" s="1"/>
  <c r="M211" i="6"/>
  <c r="M257" i="6" s="1"/>
  <c r="M303" i="6" s="1"/>
  <c r="J211" i="6"/>
  <c r="I211" i="6"/>
  <c r="F211" i="6"/>
  <c r="A211" i="6"/>
  <c r="O210" i="6"/>
  <c r="N210" i="6"/>
  <c r="N256" i="6" s="1"/>
  <c r="N302" i="6" s="1"/>
  <c r="M210" i="6"/>
  <c r="M256" i="6" s="1"/>
  <c r="M302" i="6" s="1"/>
  <c r="J210" i="6"/>
  <c r="I210" i="6"/>
  <c r="F210" i="6"/>
  <c r="A210" i="6"/>
  <c r="O209" i="6"/>
  <c r="N209" i="6"/>
  <c r="N255" i="6" s="1"/>
  <c r="N301" i="6" s="1"/>
  <c r="M209" i="6"/>
  <c r="M255" i="6" s="1"/>
  <c r="M301" i="6" s="1"/>
  <c r="J209" i="6"/>
  <c r="I209" i="6"/>
  <c r="H209" i="6"/>
  <c r="H255" i="6" s="1"/>
  <c r="H301" i="6" s="1"/>
  <c r="F209" i="6"/>
  <c r="A209" i="6"/>
  <c r="O208" i="6"/>
  <c r="N208" i="6"/>
  <c r="N254" i="6" s="1"/>
  <c r="N300" i="6" s="1"/>
  <c r="M208" i="6"/>
  <c r="M254" i="6" s="1"/>
  <c r="M300" i="6" s="1"/>
  <c r="J208" i="6"/>
  <c r="I208" i="6"/>
  <c r="F208" i="6"/>
  <c r="A208" i="6"/>
  <c r="O207" i="6"/>
  <c r="N207" i="6"/>
  <c r="N253" i="6" s="1"/>
  <c r="N299" i="6" s="1"/>
  <c r="M207" i="6"/>
  <c r="M253" i="6" s="1"/>
  <c r="M299" i="6" s="1"/>
  <c r="J207" i="6"/>
  <c r="I207" i="6"/>
  <c r="F207" i="6"/>
  <c r="A207" i="6"/>
  <c r="O206" i="6"/>
  <c r="N206" i="6"/>
  <c r="N252" i="6" s="1"/>
  <c r="N298" i="6" s="1"/>
  <c r="M206" i="6"/>
  <c r="M252" i="6" s="1"/>
  <c r="M298" i="6" s="1"/>
  <c r="J206" i="6"/>
  <c r="I206" i="6"/>
  <c r="F206" i="6"/>
  <c r="A206" i="6"/>
  <c r="O205" i="6"/>
  <c r="N205" i="6"/>
  <c r="N251" i="6" s="1"/>
  <c r="N297" i="6" s="1"/>
  <c r="M205" i="6"/>
  <c r="M251" i="6" s="1"/>
  <c r="M297" i="6" s="1"/>
  <c r="J205" i="6"/>
  <c r="I205" i="6"/>
  <c r="F205" i="6"/>
  <c r="A205" i="6"/>
  <c r="O204" i="6"/>
  <c r="N204" i="6"/>
  <c r="N250" i="6" s="1"/>
  <c r="N296" i="6" s="1"/>
  <c r="M204" i="6"/>
  <c r="M250" i="6" s="1"/>
  <c r="M296" i="6" s="1"/>
  <c r="J204" i="6"/>
  <c r="I204" i="6"/>
  <c r="F204" i="6"/>
  <c r="A204" i="6"/>
  <c r="O203" i="6"/>
  <c r="N203" i="6"/>
  <c r="N249" i="6" s="1"/>
  <c r="N295" i="6" s="1"/>
  <c r="M203" i="6"/>
  <c r="M249" i="6" s="1"/>
  <c r="M295" i="6" s="1"/>
  <c r="J203" i="6"/>
  <c r="I203" i="6"/>
  <c r="F203" i="6"/>
  <c r="A203" i="6"/>
  <c r="O202" i="6"/>
  <c r="N202" i="6"/>
  <c r="N248" i="6" s="1"/>
  <c r="N294" i="6" s="1"/>
  <c r="M202" i="6"/>
  <c r="M248" i="6" s="1"/>
  <c r="M294" i="6" s="1"/>
  <c r="J202" i="6"/>
  <c r="I202" i="6"/>
  <c r="F202" i="6"/>
  <c r="A202" i="6"/>
  <c r="O201" i="6"/>
  <c r="N201" i="6"/>
  <c r="N247" i="6" s="1"/>
  <c r="N293" i="6" s="1"/>
  <c r="M201" i="6"/>
  <c r="M247" i="6" s="1"/>
  <c r="M293" i="6" s="1"/>
  <c r="J201" i="6"/>
  <c r="I201" i="6"/>
  <c r="H201" i="6"/>
  <c r="H247" i="6" s="1"/>
  <c r="H293" i="6" s="1"/>
  <c r="F201" i="6"/>
  <c r="A201" i="6"/>
  <c r="O200" i="6"/>
  <c r="N200" i="6"/>
  <c r="N246" i="6" s="1"/>
  <c r="N292" i="6" s="1"/>
  <c r="M200" i="6"/>
  <c r="M246" i="6" s="1"/>
  <c r="M292" i="6" s="1"/>
  <c r="J200" i="6"/>
  <c r="I200" i="6"/>
  <c r="F200" i="6"/>
  <c r="A200" i="6"/>
  <c r="O199" i="6"/>
  <c r="N199" i="6"/>
  <c r="N245" i="6" s="1"/>
  <c r="N291" i="6" s="1"/>
  <c r="M199" i="6"/>
  <c r="M245" i="6" s="1"/>
  <c r="M291" i="6" s="1"/>
  <c r="J199" i="6"/>
  <c r="I199" i="6"/>
  <c r="F199" i="6"/>
  <c r="A199" i="6"/>
  <c r="O198" i="6"/>
  <c r="N198" i="6"/>
  <c r="N244" i="6" s="1"/>
  <c r="N290" i="6" s="1"/>
  <c r="M198" i="6"/>
  <c r="M244" i="6" s="1"/>
  <c r="M290" i="6" s="1"/>
  <c r="J198" i="6"/>
  <c r="I198" i="6"/>
  <c r="F198" i="6"/>
  <c r="A198" i="6"/>
  <c r="O197" i="6"/>
  <c r="N197" i="6"/>
  <c r="N243" i="6" s="1"/>
  <c r="N289" i="6" s="1"/>
  <c r="M197" i="6"/>
  <c r="M243" i="6" s="1"/>
  <c r="M289" i="6" s="1"/>
  <c r="J197" i="6"/>
  <c r="I197" i="6"/>
  <c r="F197" i="6"/>
  <c r="A197" i="6"/>
  <c r="O196" i="6"/>
  <c r="N196" i="6"/>
  <c r="N242" i="6" s="1"/>
  <c r="N288" i="6" s="1"/>
  <c r="M196" i="6"/>
  <c r="M242" i="6" s="1"/>
  <c r="M288" i="6" s="1"/>
  <c r="J196" i="6"/>
  <c r="I196" i="6"/>
  <c r="F196" i="6"/>
  <c r="A196" i="6"/>
  <c r="O195" i="6"/>
  <c r="N195" i="6"/>
  <c r="N241" i="6" s="1"/>
  <c r="N287" i="6" s="1"/>
  <c r="M195" i="6"/>
  <c r="M241" i="6" s="1"/>
  <c r="M287" i="6" s="1"/>
  <c r="J195" i="6"/>
  <c r="I195" i="6"/>
  <c r="F195" i="6"/>
  <c r="A195" i="6"/>
  <c r="O194" i="6"/>
  <c r="N194" i="6"/>
  <c r="N240" i="6" s="1"/>
  <c r="N286" i="6" s="1"/>
  <c r="M194" i="6"/>
  <c r="M240" i="6" s="1"/>
  <c r="M286" i="6" s="1"/>
  <c r="J194" i="6"/>
  <c r="I194" i="6"/>
  <c r="F194" i="6"/>
  <c r="A194" i="6"/>
  <c r="O193" i="6"/>
  <c r="N193" i="6"/>
  <c r="N239" i="6" s="1"/>
  <c r="N285" i="6" s="1"/>
  <c r="M193" i="6"/>
  <c r="M239" i="6" s="1"/>
  <c r="M285" i="6" s="1"/>
  <c r="J193" i="6"/>
  <c r="I193" i="6"/>
  <c r="H193" i="6"/>
  <c r="H239" i="6" s="1"/>
  <c r="H285" i="6" s="1"/>
  <c r="F193" i="6"/>
  <c r="A193" i="6"/>
  <c r="O192" i="6"/>
  <c r="N192" i="6"/>
  <c r="N238" i="6" s="1"/>
  <c r="N284" i="6" s="1"/>
  <c r="M192" i="6"/>
  <c r="J192" i="6"/>
  <c r="I192" i="6"/>
  <c r="F192" i="6"/>
  <c r="A192" i="6"/>
  <c r="O191" i="6"/>
  <c r="N191" i="6"/>
  <c r="N237" i="6" s="1"/>
  <c r="N283" i="6" s="1"/>
  <c r="M191" i="6"/>
  <c r="M237" i="6" s="1"/>
  <c r="M283" i="6" s="1"/>
  <c r="J191" i="6"/>
  <c r="I191" i="6"/>
  <c r="F191" i="6"/>
  <c r="A191" i="6"/>
  <c r="O190" i="6"/>
  <c r="N190" i="6"/>
  <c r="N236" i="6" s="1"/>
  <c r="N282" i="6" s="1"/>
  <c r="M190" i="6"/>
  <c r="M236" i="6" s="1"/>
  <c r="M282" i="6" s="1"/>
  <c r="J190" i="6"/>
  <c r="I190" i="6"/>
  <c r="H190" i="6"/>
  <c r="H236" i="6" s="1"/>
  <c r="H282" i="6" s="1"/>
  <c r="G190" i="6"/>
  <c r="G236" i="6" s="1"/>
  <c r="G282" i="6" s="1"/>
  <c r="F190" i="6"/>
  <c r="A190" i="6"/>
  <c r="AA189" i="6"/>
  <c r="Z189" i="6"/>
  <c r="Y189" i="6"/>
  <c r="X189" i="6"/>
  <c r="W189" i="6"/>
  <c r="V189" i="6"/>
  <c r="U189" i="6"/>
  <c r="T189" i="6"/>
  <c r="S189" i="6"/>
  <c r="R189" i="6"/>
  <c r="Q189" i="6"/>
  <c r="P189" i="6"/>
  <c r="Z185" i="6"/>
  <c r="W185" i="6"/>
  <c r="V185" i="6"/>
  <c r="T185" i="6"/>
  <c r="R185" i="6"/>
  <c r="O185" i="6"/>
  <c r="N185" i="6"/>
  <c r="M185" i="6"/>
  <c r="X185" i="6" s="1"/>
  <c r="J185" i="6"/>
  <c r="I185" i="6"/>
  <c r="G185" i="6"/>
  <c r="F185" i="6"/>
  <c r="X184" i="6"/>
  <c r="U184" i="6"/>
  <c r="R184" i="6"/>
  <c r="O184" i="6"/>
  <c r="N184" i="6"/>
  <c r="M184" i="6"/>
  <c r="T184" i="6" s="1"/>
  <c r="J184" i="6"/>
  <c r="K184" i="6" s="1"/>
  <c r="I184" i="6"/>
  <c r="H184" i="6"/>
  <c r="F184" i="6"/>
  <c r="B184" i="6"/>
  <c r="AA183" i="6"/>
  <c r="Z183" i="6"/>
  <c r="Y183" i="6"/>
  <c r="X183" i="6"/>
  <c r="V183" i="6"/>
  <c r="S183" i="6"/>
  <c r="R183" i="6"/>
  <c r="Q183" i="6"/>
  <c r="P183" i="6"/>
  <c r="O183" i="6"/>
  <c r="N183" i="6"/>
  <c r="M183" i="6"/>
  <c r="T183" i="6" s="1"/>
  <c r="K183" i="6"/>
  <c r="J183" i="6"/>
  <c r="I183" i="6"/>
  <c r="F183" i="6"/>
  <c r="B183" i="6" s="1"/>
  <c r="AA182" i="6"/>
  <c r="Y182" i="6"/>
  <c r="X182" i="6"/>
  <c r="W182" i="6"/>
  <c r="V182" i="6"/>
  <c r="T182" i="6"/>
  <c r="S182" i="6"/>
  <c r="R182" i="6"/>
  <c r="Q182" i="6"/>
  <c r="P182" i="6"/>
  <c r="O182" i="6"/>
  <c r="N182" i="6"/>
  <c r="M182" i="6"/>
  <c r="Z182" i="6" s="1"/>
  <c r="L182" i="6"/>
  <c r="AF182" i="6" s="1"/>
  <c r="K182" i="6"/>
  <c r="J182" i="6"/>
  <c r="I182" i="6"/>
  <c r="H182" i="6"/>
  <c r="F182" i="6"/>
  <c r="B182" i="6" s="1"/>
  <c r="Z181" i="6"/>
  <c r="W181" i="6"/>
  <c r="V181" i="6"/>
  <c r="T181" i="6"/>
  <c r="R181" i="6"/>
  <c r="Q181" i="6"/>
  <c r="O181" i="6"/>
  <c r="N181" i="6"/>
  <c r="M181" i="6"/>
  <c r="X181" i="6" s="1"/>
  <c r="J181" i="6"/>
  <c r="I181" i="6"/>
  <c r="G181" i="6"/>
  <c r="F181" i="6"/>
  <c r="X180" i="6"/>
  <c r="U180" i="6"/>
  <c r="R180" i="6"/>
  <c r="O180" i="6"/>
  <c r="N180" i="6"/>
  <c r="M180" i="6"/>
  <c r="T180" i="6" s="1"/>
  <c r="J180" i="6"/>
  <c r="K180" i="6" s="1"/>
  <c r="I180" i="6"/>
  <c r="H180" i="6"/>
  <c r="F180" i="6"/>
  <c r="B180" i="6"/>
  <c r="AA179" i="6"/>
  <c r="Z179" i="6"/>
  <c r="X179" i="6"/>
  <c r="V179" i="6"/>
  <c r="S179" i="6"/>
  <c r="R179" i="6"/>
  <c r="P179" i="6"/>
  <c r="O179" i="6"/>
  <c r="N179" i="6"/>
  <c r="M179" i="6"/>
  <c r="T179" i="6" s="1"/>
  <c r="J179" i="6"/>
  <c r="I179" i="6"/>
  <c r="F179" i="6"/>
  <c r="B179" i="6" s="1"/>
  <c r="AP178" i="6"/>
  <c r="AH178" i="6"/>
  <c r="AA178" i="6"/>
  <c r="Y178" i="6"/>
  <c r="X178" i="6"/>
  <c r="W178" i="6"/>
  <c r="V178" i="6"/>
  <c r="T178" i="6"/>
  <c r="S178" i="6"/>
  <c r="Q178" i="6"/>
  <c r="P178" i="6"/>
  <c r="O178" i="6"/>
  <c r="N178" i="6"/>
  <c r="M178" i="6"/>
  <c r="Z178" i="6" s="1"/>
  <c r="L178" i="6"/>
  <c r="AF178" i="6" s="1"/>
  <c r="K178" i="6"/>
  <c r="J178" i="6"/>
  <c r="I178" i="6"/>
  <c r="F178" i="6"/>
  <c r="B178" i="6" s="1"/>
  <c r="Z177" i="6"/>
  <c r="Y177" i="6"/>
  <c r="W177" i="6"/>
  <c r="V177" i="6"/>
  <c r="T177" i="6"/>
  <c r="R177" i="6"/>
  <c r="Q177" i="6"/>
  <c r="O177" i="6"/>
  <c r="N177" i="6"/>
  <c r="M177" i="6"/>
  <c r="X177" i="6" s="1"/>
  <c r="J177" i="6"/>
  <c r="I177" i="6"/>
  <c r="F177" i="6"/>
  <c r="O176" i="6"/>
  <c r="N176" i="6"/>
  <c r="M176" i="6"/>
  <c r="P176" i="6" s="1"/>
  <c r="J176" i="6"/>
  <c r="K176" i="6" s="1"/>
  <c r="I176" i="6"/>
  <c r="F176" i="6"/>
  <c r="B176" i="6"/>
  <c r="AA175" i="6"/>
  <c r="Z175" i="6"/>
  <c r="X175" i="6"/>
  <c r="V175" i="6"/>
  <c r="S175" i="6"/>
  <c r="R175" i="6"/>
  <c r="P175" i="6"/>
  <c r="O175" i="6"/>
  <c r="N175" i="6"/>
  <c r="M175" i="6"/>
  <c r="T175" i="6" s="1"/>
  <c r="K175" i="6"/>
  <c r="J175" i="6"/>
  <c r="I175" i="6"/>
  <c r="F175" i="6"/>
  <c r="B175" i="6" s="1"/>
  <c r="AP174" i="6"/>
  <c r="AL174" i="6"/>
  <c r="AH174" i="6"/>
  <c r="AF174" i="6"/>
  <c r="AA174" i="6"/>
  <c r="Y174" i="6"/>
  <c r="X174" i="6"/>
  <c r="W174" i="6"/>
  <c r="V174" i="6"/>
  <c r="T174" i="6"/>
  <c r="S174" i="6"/>
  <c r="Q174" i="6"/>
  <c r="P174" i="6"/>
  <c r="O174" i="6"/>
  <c r="N174" i="6"/>
  <c r="M174" i="6"/>
  <c r="Z174" i="6" s="1"/>
  <c r="L174" i="6"/>
  <c r="K174" i="6"/>
  <c r="J174" i="6"/>
  <c r="I174" i="6"/>
  <c r="F174" i="6"/>
  <c r="B174" i="6" s="1"/>
  <c r="Z173" i="6"/>
  <c r="W173" i="6"/>
  <c r="V173" i="6"/>
  <c r="T173" i="6"/>
  <c r="R173" i="6"/>
  <c r="O173" i="6"/>
  <c r="N173" i="6"/>
  <c r="M173" i="6"/>
  <c r="X173" i="6" s="1"/>
  <c r="J173" i="6"/>
  <c r="L173" i="6" s="1"/>
  <c r="I173" i="6"/>
  <c r="F173" i="6"/>
  <c r="U172" i="6"/>
  <c r="R172" i="6"/>
  <c r="O172" i="6"/>
  <c r="N172" i="6"/>
  <c r="M172" i="6"/>
  <c r="X172" i="6" s="1"/>
  <c r="J172" i="6"/>
  <c r="K172" i="6" s="1"/>
  <c r="I172" i="6"/>
  <c r="H172" i="6"/>
  <c r="F172" i="6"/>
  <c r="AA171" i="6"/>
  <c r="Z171" i="6"/>
  <c r="X171" i="6"/>
  <c r="V171" i="6"/>
  <c r="S171" i="6"/>
  <c r="R171" i="6"/>
  <c r="P171" i="6"/>
  <c r="O171" i="6"/>
  <c r="N171" i="6"/>
  <c r="M171" i="6"/>
  <c r="T171" i="6" s="1"/>
  <c r="K171" i="6"/>
  <c r="J171" i="6"/>
  <c r="I171" i="6"/>
  <c r="F171" i="6"/>
  <c r="B171" i="6" s="1"/>
  <c r="AP170" i="6"/>
  <c r="AN170" i="6"/>
  <c r="AL170" i="6"/>
  <c r="AH170" i="6"/>
  <c r="AA170" i="6"/>
  <c r="Y170" i="6"/>
  <c r="X170" i="6"/>
  <c r="W170" i="6"/>
  <c r="V170" i="6"/>
  <c r="T170" i="6"/>
  <c r="S170" i="6"/>
  <c r="Q170" i="6"/>
  <c r="P170" i="6"/>
  <c r="O170" i="6"/>
  <c r="N170" i="6"/>
  <c r="M170" i="6"/>
  <c r="Z170" i="6" s="1"/>
  <c r="L170" i="6"/>
  <c r="AF170" i="6" s="1"/>
  <c r="K170" i="6"/>
  <c r="J170" i="6"/>
  <c r="I170" i="6"/>
  <c r="F170" i="6"/>
  <c r="B170" i="6" s="1"/>
  <c r="Z169" i="6"/>
  <c r="W169" i="6"/>
  <c r="V169" i="6"/>
  <c r="T169" i="6"/>
  <c r="R169" i="6"/>
  <c r="O169" i="6"/>
  <c r="N169" i="6"/>
  <c r="M169" i="6"/>
  <c r="X169" i="6" s="1"/>
  <c r="J169" i="6"/>
  <c r="I169" i="6"/>
  <c r="F169" i="6"/>
  <c r="O168" i="6"/>
  <c r="N168" i="6"/>
  <c r="M168" i="6"/>
  <c r="R168" i="6" s="1"/>
  <c r="J168" i="6"/>
  <c r="K168" i="6" s="1"/>
  <c r="I168" i="6"/>
  <c r="F168" i="6"/>
  <c r="B168" i="6"/>
  <c r="AA167" i="6"/>
  <c r="Z167" i="6"/>
  <c r="X167" i="6"/>
  <c r="V167" i="6"/>
  <c r="S167" i="6"/>
  <c r="R167" i="6"/>
  <c r="P167" i="6"/>
  <c r="O167" i="6"/>
  <c r="N167" i="6"/>
  <c r="M167" i="6"/>
  <c r="T167" i="6" s="1"/>
  <c r="K167" i="6"/>
  <c r="J167" i="6"/>
  <c r="I167" i="6"/>
  <c r="F167" i="6"/>
  <c r="B167" i="6" s="1"/>
  <c r="AP166" i="6"/>
  <c r="AL166" i="6"/>
  <c r="AH166" i="6"/>
  <c r="AF166" i="6"/>
  <c r="AA166" i="6"/>
  <c r="Y166" i="6"/>
  <c r="X166" i="6"/>
  <c r="W166" i="6"/>
  <c r="V166" i="6"/>
  <c r="T166" i="6"/>
  <c r="S166" i="6"/>
  <c r="Q166" i="6"/>
  <c r="P166" i="6"/>
  <c r="O166" i="6"/>
  <c r="N166" i="6"/>
  <c r="M166" i="6"/>
  <c r="Z166" i="6" s="1"/>
  <c r="L166" i="6"/>
  <c r="K166" i="6"/>
  <c r="J166" i="6"/>
  <c r="I166" i="6"/>
  <c r="F166" i="6"/>
  <c r="B166" i="6" s="1"/>
  <c r="Z165" i="6"/>
  <c r="W165" i="6"/>
  <c r="V165" i="6"/>
  <c r="T165" i="6"/>
  <c r="R165" i="6"/>
  <c r="O165" i="6"/>
  <c r="N165" i="6"/>
  <c r="M165" i="6"/>
  <c r="X165" i="6" s="1"/>
  <c r="J165" i="6"/>
  <c r="L165" i="6" s="1"/>
  <c r="I165" i="6"/>
  <c r="H165" i="6"/>
  <c r="G165" i="6"/>
  <c r="F165" i="6"/>
  <c r="AL164" i="6"/>
  <c r="AE164" i="6"/>
  <c r="X164" i="6"/>
  <c r="T164" i="6"/>
  <c r="P164" i="6"/>
  <c r="O164" i="6"/>
  <c r="N164" i="6"/>
  <c r="M164" i="6"/>
  <c r="U164" i="6" s="1"/>
  <c r="L164" i="6"/>
  <c r="AM164" i="6" s="1"/>
  <c r="J164" i="6"/>
  <c r="K164" i="6" s="1"/>
  <c r="I164" i="6"/>
  <c r="H164" i="6"/>
  <c r="G164" i="6"/>
  <c r="F164" i="6"/>
  <c r="B164" i="6"/>
  <c r="AA163" i="6"/>
  <c r="Z163" i="6"/>
  <c r="X163" i="6"/>
  <c r="V163" i="6"/>
  <c r="S163" i="6"/>
  <c r="R163" i="6"/>
  <c r="P163" i="6"/>
  <c r="O163" i="6"/>
  <c r="N163" i="6"/>
  <c r="M163" i="6"/>
  <c r="T163" i="6" s="1"/>
  <c r="K163" i="6"/>
  <c r="J163" i="6"/>
  <c r="I163" i="6"/>
  <c r="F163" i="6"/>
  <c r="B163" i="6" s="1"/>
  <c r="AQ162" i="6"/>
  <c r="AP162" i="6"/>
  <c r="AN162" i="6"/>
  <c r="AL162" i="6"/>
  <c r="AH162" i="6"/>
  <c r="AF162" i="6"/>
  <c r="AA162" i="6"/>
  <c r="Y162" i="6"/>
  <c r="X162" i="6"/>
  <c r="W162" i="6"/>
  <c r="V162" i="6"/>
  <c r="T162" i="6"/>
  <c r="S162" i="6"/>
  <c r="Q162" i="6"/>
  <c r="P162" i="6"/>
  <c r="O162" i="6"/>
  <c r="N162" i="6"/>
  <c r="M162" i="6"/>
  <c r="Z162" i="6" s="1"/>
  <c r="L162" i="6"/>
  <c r="K162" i="6"/>
  <c r="J162" i="6"/>
  <c r="I162" i="6"/>
  <c r="F162" i="6"/>
  <c r="B162" i="6" s="1"/>
  <c r="Z161" i="6"/>
  <c r="W161" i="6"/>
  <c r="V161" i="6"/>
  <c r="T161" i="6"/>
  <c r="R161" i="6"/>
  <c r="O161" i="6"/>
  <c r="N161" i="6"/>
  <c r="M161" i="6"/>
  <c r="X161" i="6" s="1"/>
  <c r="J161" i="6"/>
  <c r="I161" i="6"/>
  <c r="G161" i="6"/>
  <c r="F161" i="6"/>
  <c r="X160" i="6"/>
  <c r="U160" i="6"/>
  <c r="R160" i="6"/>
  <c r="O160" i="6"/>
  <c r="N160" i="6"/>
  <c r="M160" i="6"/>
  <c r="T160" i="6" s="1"/>
  <c r="J160" i="6"/>
  <c r="K160" i="6" s="1"/>
  <c r="I160" i="6"/>
  <c r="F160" i="6"/>
  <c r="B160" i="6"/>
  <c r="AA159" i="6"/>
  <c r="Z159" i="6"/>
  <c r="X159" i="6"/>
  <c r="V159" i="6"/>
  <c r="S159" i="6"/>
  <c r="R159" i="6"/>
  <c r="P159" i="6"/>
  <c r="O159" i="6"/>
  <c r="N159" i="6"/>
  <c r="M159" i="6"/>
  <c r="T159" i="6" s="1"/>
  <c r="J159" i="6"/>
  <c r="I159" i="6"/>
  <c r="F159" i="6"/>
  <c r="B159" i="6" s="1"/>
  <c r="AA158" i="6"/>
  <c r="Y158" i="6"/>
  <c r="X158" i="6"/>
  <c r="W158" i="6"/>
  <c r="V158" i="6"/>
  <c r="T158" i="6"/>
  <c r="S158" i="6"/>
  <c r="Q158" i="6"/>
  <c r="P158" i="6"/>
  <c r="O158" i="6"/>
  <c r="N158" i="6"/>
  <c r="M158" i="6"/>
  <c r="Z158" i="6" s="1"/>
  <c r="L158" i="6"/>
  <c r="AF158" i="6" s="1"/>
  <c r="K158" i="6"/>
  <c r="J158" i="6"/>
  <c r="I158" i="6"/>
  <c r="F158" i="6"/>
  <c r="B158" i="6" s="1"/>
  <c r="Z157" i="6"/>
  <c r="W157" i="6"/>
  <c r="V157" i="6"/>
  <c r="T157" i="6"/>
  <c r="R157" i="6"/>
  <c r="Q157" i="6"/>
  <c r="O157" i="6"/>
  <c r="N157" i="6"/>
  <c r="M157" i="6"/>
  <c r="X157" i="6" s="1"/>
  <c r="J157" i="6"/>
  <c r="I157" i="6"/>
  <c r="F157" i="6"/>
  <c r="B157" i="6" s="1"/>
  <c r="X156" i="6"/>
  <c r="U156" i="6"/>
  <c r="T156" i="6"/>
  <c r="R156" i="6"/>
  <c r="P156" i="6"/>
  <c r="O156" i="6"/>
  <c r="N156" i="6"/>
  <c r="M156" i="6"/>
  <c r="L156" i="6"/>
  <c r="AP156" i="6" s="1"/>
  <c r="J156" i="6"/>
  <c r="K156" i="6" s="1"/>
  <c r="I156" i="6"/>
  <c r="F156" i="6"/>
  <c r="B156" i="6" s="1"/>
  <c r="AA155" i="6"/>
  <c r="Z155" i="6"/>
  <c r="X155" i="6"/>
  <c r="V155" i="6"/>
  <c r="S155" i="6"/>
  <c r="R155" i="6"/>
  <c r="P155" i="6"/>
  <c r="O155" i="6"/>
  <c r="N155" i="6"/>
  <c r="M155" i="6"/>
  <c r="T155" i="6" s="1"/>
  <c r="J155" i="6"/>
  <c r="K155" i="6" s="1"/>
  <c r="I155" i="6"/>
  <c r="F155" i="6"/>
  <c r="AA154" i="6"/>
  <c r="Y154" i="6"/>
  <c r="X154" i="6"/>
  <c r="W154" i="6"/>
  <c r="V154" i="6"/>
  <c r="T154" i="6"/>
  <c r="S154" i="6"/>
  <c r="Q154" i="6"/>
  <c r="P154" i="6"/>
  <c r="O154" i="6"/>
  <c r="N154" i="6"/>
  <c r="M154" i="6"/>
  <c r="Z154" i="6" s="1"/>
  <c r="J154" i="6"/>
  <c r="L154" i="6" s="1"/>
  <c r="AN154" i="6" s="1"/>
  <c r="I154" i="6"/>
  <c r="F154" i="6"/>
  <c r="AN153" i="6"/>
  <c r="Z153" i="6"/>
  <c r="W153" i="6"/>
  <c r="V153" i="6"/>
  <c r="T153" i="6"/>
  <c r="R153" i="6"/>
  <c r="O153" i="6"/>
  <c r="N153" i="6"/>
  <c r="M153" i="6"/>
  <c r="X153" i="6" s="1"/>
  <c r="L153" i="6"/>
  <c r="AO153" i="6" s="1"/>
  <c r="J153" i="6"/>
  <c r="I153" i="6"/>
  <c r="F153" i="6"/>
  <c r="X152" i="6"/>
  <c r="T152" i="6"/>
  <c r="P152" i="6"/>
  <c r="O152" i="6"/>
  <c r="N152" i="6"/>
  <c r="M152" i="6"/>
  <c r="U152" i="6" s="1"/>
  <c r="L152" i="6"/>
  <c r="AM152" i="6" s="1"/>
  <c r="J152" i="6"/>
  <c r="K152" i="6" s="1"/>
  <c r="I152" i="6"/>
  <c r="F152" i="6"/>
  <c r="AA151" i="6"/>
  <c r="Z151" i="6"/>
  <c r="X151" i="6"/>
  <c r="V151" i="6"/>
  <c r="S151" i="6"/>
  <c r="R151" i="6"/>
  <c r="P151" i="6"/>
  <c r="O151" i="6"/>
  <c r="N151" i="6"/>
  <c r="M151" i="6"/>
  <c r="T151" i="6" s="1"/>
  <c r="J151" i="6"/>
  <c r="I151" i="6"/>
  <c r="F151" i="6"/>
  <c r="AA150" i="6"/>
  <c r="Y150" i="6"/>
  <c r="X150" i="6"/>
  <c r="W150" i="6"/>
  <c r="V150" i="6"/>
  <c r="T150" i="6"/>
  <c r="S150" i="6"/>
  <c r="Q150" i="6"/>
  <c r="P150" i="6"/>
  <c r="O150" i="6"/>
  <c r="N150" i="6"/>
  <c r="M150" i="6"/>
  <c r="Z150" i="6" s="1"/>
  <c r="J150" i="6"/>
  <c r="L150" i="6" s="1"/>
  <c r="I150" i="6"/>
  <c r="H150" i="6"/>
  <c r="F150" i="6"/>
  <c r="Z149" i="6"/>
  <c r="W149" i="6"/>
  <c r="V149" i="6"/>
  <c r="T149" i="6"/>
  <c r="R149" i="6"/>
  <c r="O149" i="6"/>
  <c r="N149" i="6"/>
  <c r="M149" i="6"/>
  <c r="X149" i="6" s="1"/>
  <c r="J149" i="6"/>
  <c r="I149" i="6"/>
  <c r="F149" i="6"/>
  <c r="B149" i="6" s="1"/>
  <c r="Z148" i="6"/>
  <c r="U148" i="6"/>
  <c r="T148" i="6"/>
  <c r="R148" i="6"/>
  <c r="O148" i="6"/>
  <c r="N148" i="6"/>
  <c r="M148" i="6"/>
  <c r="S148" i="6" s="1"/>
  <c r="L148" i="6"/>
  <c r="AM148" i="6" s="1"/>
  <c r="K148" i="6"/>
  <c r="J148" i="6"/>
  <c r="AE148" i="6" s="1"/>
  <c r="I148" i="6"/>
  <c r="G148" i="6"/>
  <c r="F148" i="6"/>
  <c r="AA147" i="6"/>
  <c r="Y147" i="6"/>
  <c r="U147" i="6"/>
  <c r="S147" i="6"/>
  <c r="Q147" i="6"/>
  <c r="O147" i="6"/>
  <c r="N147" i="6"/>
  <c r="M147" i="6"/>
  <c r="R147" i="6" s="1"/>
  <c r="J147" i="6"/>
  <c r="L147" i="6" s="1"/>
  <c r="AP147" i="6" s="1"/>
  <c r="I147" i="6"/>
  <c r="F147" i="6"/>
  <c r="AA146" i="6"/>
  <c r="Y146" i="6"/>
  <c r="X146" i="6"/>
  <c r="W146" i="6"/>
  <c r="V146" i="6"/>
  <c r="T146" i="6"/>
  <c r="S146" i="6"/>
  <c r="Q146" i="6"/>
  <c r="P146" i="6"/>
  <c r="O146" i="6"/>
  <c r="N146" i="6"/>
  <c r="M146" i="6"/>
  <c r="Z146" i="6" s="1"/>
  <c r="L146" i="6"/>
  <c r="AQ146" i="6" s="1"/>
  <c r="K146" i="6"/>
  <c r="J146" i="6"/>
  <c r="I146" i="6"/>
  <c r="F146" i="6"/>
  <c r="B146" i="6" s="1"/>
  <c r="AQ145" i="6"/>
  <c r="AF145" i="6"/>
  <c r="Z145" i="6"/>
  <c r="Y145" i="6"/>
  <c r="V145" i="6"/>
  <c r="T145" i="6"/>
  <c r="R145" i="6"/>
  <c r="Q145" i="6"/>
  <c r="O145" i="6"/>
  <c r="N145" i="6"/>
  <c r="M145" i="6"/>
  <c r="U145" i="6" s="1"/>
  <c r="L145" i="6"/>
  <c r="AG145" i="6" s="1"/>
  <c r="J145" i="6"/>
  <c r="K145" i="6" s="1"/>
  <c r="I145" i="6"/>
  <c r="F145" i="6"/>
  <c r="B145" i="6"/>
  <c r="AO144" i="6"/>
  <c r="AL144" i="6"/>
  <c r="AG144" i="6"/>
  <c r="Z144" i="6"/>
  <c r="U144" i="6"/>
  <c r="T144" i="6"/>
  <c r="R144" i="6"/>
  <c r="O144" i="6"/>
  <c r="N144" i="6"/>
  <c r="M144" i="6"/>
  <c r="S144" i="6" s="1"/>
  <c r="L144" i="6"/>
  <c r="AP144" i="6" s="1"/>
  <c r="K144" i="6"/>
  <c r="J144" i="6"/>
  <c r="AE144" i="6" s="1"/>
  <c r="I144" i="6"/>
  <c r="H144" i="6"/>
  <c r="G144" i="6"/>
  <c r="F144" i="6"/>
  <c r="B144" i="6"/>
  <c r="AN143" i="6"/>
  <c r="AK143" i="6"/>
  <c r="AA143" i="6"/>
  <c r="Y143" i="6"/>
  <c r="U143" i="6"/>
  <c r="S143" i="6"/>
  <c r="Q143" i="6"/>
  <c r="O143" i="6"/>
  <c r="N143" i="6"/>
  <c r="M143" i="6"/>
  <c r="R143" i="6" s="1"/>
  <c r="J143" i="6"/>
  <c r="L143" i="6" s="1"/>
  <c r="AP143" i="6" s="1"/>
  <c r="I143" i="6"/>
  <c r="H143" i="6"/>
  <c r="G143" i="6"/>
  <c r="F143" i="6"/>
  <c r="B143" i="6" s="1"/>
  <c r="AQ142" i="6"/>
  <c r="AP142" i="6"/>
  <c r="AO142" i="6"/>
  <c r="AL142" i="6"/>
  <c r="AI142" i="6"/>
  <c r="AG142" i="6"/>
  <c r="AF142" i="6"/>
  <c r="AA142" i="6"/>
  <c r="Y142" i="6"/>
  <c r="X142" i="6"/>
  <c r="W142" i="6"/>
  <c r="V142" i="6"/>
  <c r="T142" i="6"/>
  <c r="S142" i="6"/>
  <c r="Q142" i="6"/>
  <c r="P142" i="6"/>
  <c r="O142" i="6"/>
  <c r="N142" i="6"/>
  <c r="M142" i="6"/>
  <c r="Z142" i="6" s="1"/>
  <c r="L142" i="6"/>
  <c r="K142" i="6"/>
  <c r="J142" i="6"/>
  <c r="I142" i="6"/>
  <c r="G142" i="6"/>
  <c r="F142" i="6"/>
  <c r="AE142" i="6" s="1"/>
  <c r="AQ141" i="6"/>
  <c r="AP141" i="6"/>
  <c r="AN141" i="6"/>
  <c r="AM141" i="6"/>
  <c r="AL141" i="6"/>
  <c r="AK141" i="6"/>
  <c r="AI141" i="6"/>
  <c r="AF141" i="6"/>
  <c r="T141" i="6"/>
  <c r="O141" i="6"/>
  <c r="N141" i="6"/>
  <c r="M141" i="6"/>
  <c r="U141" i="6" s="1"/>
  <c r="L141" i="6"/>
  <c r="K141" i="6"/>
  <c r="J141" i="6"/>
  <c r="I141" i="6"/>
  <c r="G141" i="6"/>
  <c r="AE141" i="6" s="1"/>
  <c r="F141" i="6"/>
  <c r="B141" i="6"/>
  <c r="AQ140" i="6"/>
  <c r="AO140" i="6"/>
  <c r="AJ140" i="6"/>
  <c r="AI140" i="6"/>
  <c r="AG140" i="6"/>
  <c r="AA140" i="6"/>
  <c r="Z140" i="6"/>
  <c r="AP140" i="6" s="1"/>
  <c r="Y140" i="6"/>
  <c r="X140" i="6"/>
  <c r="AN140" i="6" s="1"/>
  <c r="W140" i="6"/>
  <c r="AM140" i="6" s="1"/>
  <c r="V140" i="6"/>
  <c r="AL140" i="6" s="1"/>
  <c r="U140" i="6"/>
  <c r="AK140" i="6" s="1"/>
  <c r="T140" i="6"/>
  <c r="S140" i="6"/>
  <c r="R140" i="6"/>
  <c r="AH140" i="6" s="1"/>
  <c r="Q140" i="6"/>
  <c r="P140" i="6"/>
  <c r="AF140" i="6" s="1"/>
  <c r="AU138" i="6"/>
  <c r="AV138" i="6" s="1"/>
  <c r="AW138" i="6" s="1"/>
  <c r="AG138" i="6"/>
  <c r="AE138" i="6"/>
  <c r="AB138" i="6"/>
  <c r="L138" i="6"/>
  <c r="AT138" i="6" s="1"/>
  <c r="K138" i="6"/>
  <c r="H138" i="6"/>
  <c r="G138" i="6"/>
  <c r="G377" i="6" s="1"/>
  <c r="G423" i="6" s="1"/>
  <c r="G469" i="6" s="1"/>
  <c r="D138" i="6"/>
  <c r="C138" i="6"/>
  <c r="B138" i="6"/>
  <c r="AU137" i="6"/>
  <c r="AF137" i="6" s="1"/>
  <c r="AE137" i="6"/>
  <c r="AB137" i="6"/>
  <c r="K137" i="6"/>
  <c r="L137" i="6" s="1"/>
  <c r="AT137" i="6" s="1"/>
  <c r="H137" i="6"/>
  <c r="H376" i="6" s="1"/>
  <c r="H422" i="6" s="1"/>
  <c r="H468" i="6" s="1"/>
  <c r="G137" i="6"/>
  <c r="D137" i="6"/>
  <c r="C137" i="6"/>
  <c r="B137" i="6"/>
  <c r="AW136" i="6"/>
  <c r="AX136" i="6" s="1"/>
  <c r="AU136" i="6"/>
  <c r="AV136" i="6" s="1"/>
  <c r="AT136" i="6"/>
  <c r="AH136" i="6"/>
  <c r="AG136" i="6"/>
  <c r="AF136" i="6"/>
  <c r="AE136" i="6"/>
  <c r="AB136" i="6"/>
  <c r="L136" i="6"/>
  <c r="K136" i="6"/>
  <c r="H136" i="6"/>
  <c r="H375" i="6" s="1"/>
  <c r="H421" i="6" s="1"/>
  <c r="H467" i="6" s="1"/>
  <c r="G136" i="6"/>
  <c r="D136" i="6"/>
  <c r="C136" i="6"/>
  <c r="B136" i="6"/>
  <c r="AV135" i="6"/>
  <c r="AW135" i="6" s="1"/>
  <c r="AX135" i="6" s="1"/>
  <c r="AU135" i="6"/>
  <c r="AF135" i="6" s="1"/>
  <c r="AH135" i="6"/>
  <c r="AE135" i="6"/>
  <c r="AB135" i="6"/>
  <c r="K135" i="6"/>
  <c r="L135" i="6" s="1"/>
  <c r="AT135" i="6" s="1"/>
  <c r="H135" i="6"/>
  <c r="H374" i="6" s="1"/>
  <c r="H420" i="6" s="1"/>
  <c r="H466" i="6" s="1"/>
  <c r="G135" i="6"/>
  <c r="D135" i="6"/>
  <c r="C135" i="6"/>
  <c r="B135" i="6"/>
  <c r="AU134" i="6"/>
  <c r="AV134" i="6" s="1"/>
  <c r="AW134" i="6" s="1"/>
  <c r="AG134" i="6"/>
  <c r="AE134" i="6"/>
  <c r="AB134" i="6"/>
  <c r="L134" i="6"/>
  <c r="AT134" i="6" s="1"/>
  <c r="K134" i="6"/>
  <c r="H134" i="6"/>
  <c r="G134" i="6"/>
  <c r="G373" i="6" s="1"/>
  <c r="G419" i="6" s="1"/>
  <c r="G465" i="6" s="1"/>
  <c r="D134" i="6"/>
  <c r="C134" i="6"/>
  <c r="B134" i="6"/>
  <c r="AU133" i="6"/>
  <c r="AF133" i="6" s="1"/>
  <c r="AE133" i="6"/>
  <c r="AB133" i="6"/>
  <c r="K133" i="6"/>
  <c r="L133" i="6" s="1"/>
  <c r="AT133" i="6" s="1"/>
  <c r="H133" i="6"/>
  <c r="H372" i="6" s="1"/>
  <c r="H418" i="6" s="1"/>
  <c r="H464" i="6" s="1"/>
  <c r="G133" i="6"/>
  <c r="D133" i="6"/>
  <c r="C133" i="6"/>
  <c r="B133" i="6"/>
  <c r="AV132" i="6"/>
  <c r="AG132" i="6" s="1"/>
  <c r="AG371" i="6" s="1"/>
  <c r="AU132" i="6"/>
  <c r="AT132" i="6"/>
  <c r="AF132" i="6"/>
  <c r="AE132" i="6"/>
  <c r="AB132" i="6"/>
  <c r="L132" i="6"/>
  <c r="K132" i="6"/>
  <c r="H132" i="6"/>
  <c r="H371" i="6" s="1"/>
  <c r="H417" i="6" s="1"/>
  <c r="H463" i="6" s="1"/>
  <c r="G132" i="6"/>
  <c r="D132" i="6"/>
  <c r="C132" i="6"/>
  <c r="B132" i="6"/>
  <c r="AV131" i="6"/>
  <c r="AW131" i="6" s="1"/>
  <c r="AH131" i="6" s="1"/>
  <c r="AU131" i="6"/>
  <c r="AF131" i="6" s="1"/>
  <c r="AT131" i="6"/>
  <c r="AE131" i="6"/>
  <c r="AB131" i="6"/>
  <c r="L131" i="6"/>
  <c r="K131" i="6"/>
  <c r="H131" i="6"/>
  <c r="H370" i="6" s="1"/>
  <c r="H416" i="6" s="1"/>
  <c r="H462" i="6" s="1"/>
  <c r="G131" i="6"/>
  <c r="D131" i="6"/>
  <c r="C131" i="6"/>
  <c r="B131" i="6"/>
  <c r="AU130" i="6"/>
  <c r="AE130" i="6"/>
  <c r="AB130" i="6"/>
  <c r="L130" i="6"/>
  <c r="AT130" i="6" s="1"/>
  <c r="K130" i="6"/>
  <c r="H130" i="6"/>
  <c r="G130" i="6"/>
  <c r="G369" i="6" s="1"/>
  <c r="G415" i="6" s="1"/>
  <c r="G461" i="6" s="1"/>
  <c r="D130" i="6"/>
  <c r="C130" i="6"/>
  <c r="B130" i="6"/>
  <c r="AU129" i="6"/>
  <c r="AV129" i="6" s="1"/>
  <c r="AE129" i="6"/>
  <c r="AB129" i="6"/>
  <c r="L129" i="6"/>
  <c r="AT129" i="6" s="1"/>
  <c r="K129" i="6"/>
  <c r="H129" i="6"/>
  <c r="H368" i="6" s="1"/>
  <c r="H414" i="6" s="1"/>
  <c r="H460" i="6" s="1"/>
  <c r="G129" i="6"/>
  <c r="D129" i="6"/>
  <c r="C129" i="6"/>
  <c r="B129" i="6"/>
  <c r="AV128" i="6"/>
  <c r="AU128" i="6"/>
  <c r="AF128" i="6"/>
  <c r="AE128" i="6"/>
  <c r="AB128" i="6"/>
  <c r="L128" i="6"/>
  <c r="AT128" i="6" s="1"/>
  <c r="K128" i="6"/>
  <c r="H128" i="6"/>
  <c r="H367" i="6" s="1"/>
  <c r="H413" i="6" s="1"/>
  <c r="H459" i="6" s="1"/>
  <c r="G128" i="6"/>
  <c r="D128" i="6"/>
  <c r="C128" i="6"/>
  <c r="B128" i="6"/>
  <c r="AU127" i="6"/>
  <c r="AV127" i="6" s="1"/>
  <c r="AE127" i="6"/>
  <c r="AB127" i="6"/>
  <c r="L127" i="6"/>
  <c r="AT127" i="6" s="1"/>
  <c r="K127" i="6"/>
  <c r="H127" i="6"/>
  <c r="H366" i="6" s="1"/>
  <c r="H412" i="6" s="1"/>
  <c r="H458" i="6" s="1"/>
  <c r="G127" i="6"/>
  <c r="D127" i="6"/>
  <c r="C127" i="6"/>
  <c r="B127" i="6"/>
  <c r="AV126" i="6"/>
  <c r="AU126" i="6"/>
  <c r="AF126" i="6"/>
  <c r="AE126" i="6"/>
  <c r="AB126" i="6"/>
  <c r="L126" i="6"/>
  <c r="AT126" i="6" s="1"/>
  <c r="K126" i="6"/>
  <c r="H126" i="6"/>
  <c r="G126" i="6"/>
  <c r="G365" i="6" s="1"/>
  <c r="G411" i="6" s="1"/>
  <c r="G457" i="6" s="1"/>
  <c r="D126" i="6"/>
  <c r="C126" i="6"/>
  <c r="B126" i="6"/>
  <c r="AU125" i="6"/>
  <c r="AV125" i="6" s="1"/>
  <c r="AE125" i="6"/>
  <c r="AB125" i="6"/>
  <c r="L125" i="6"/>
  <c r="AT125" i="6" s="1"/>
  <c r="K125" i="6"/>
  <c r="H125" i="6"/>
  <c r="H364" i="6" s="1"/>
  <c r="H410" i="6" s="1"/>
  <c r="H456" i="6" s="1"/>
  <c r="G125" i="6"/>
  <c r="D125" i="6"/>
  <c r="C125" i="6"/>
  <c r="B125" i="6"/>
  <c r="AV124" i="6"/>
  <c r="AU124" i="6"/>
  <c r="AF124" i="6"/>
  <c r="AE124" i="6"/>
  <c r="AB124" i="6"/>
  <c r="L124" i="6"/>
  <c r="AT124" i="6" s="1"/>
  <c r="K124" i="6"/>
  <c r="H124" i="6"/>
  <c r="H363" i="6" s="1"/>
  <c r="H409" i="6" s="1"/>
  <c r="H455" i="6" s="1"/>
  <c r="G124" i="6"/>
  <c r="D124" i="6"/>
  <c r="C124" i="6"/>
  <c r="B124" i="6"/>
  <c r="AU123" i="6"/>
  <c r="AV123" i="6" s="1"/>
  <c r="AE123" i="6"/>
  <c r="AB123" i="6"/>
  <c r="L123" i="6"/>
  <c r="AT123" i="6" s="1"/>
  <c r="K123" i="6"/>
  <c r="H123" i="6"/>
  <c r="H362" i="6" s="1"/>
  <c r="H408" i="6" s="1"/>
  <c r="H454" i="6" s="1"/>
  <c r="G123" i="6"/>
  <c r="D123" i="6"/>
  <c r="C123" i="6"/>
  <c r="B123" i="6"/>
  <c r="AV122" i="6"/>
  <c r="AU122" i="6"/>
  <c r="AF122" i="6"/>
  <c r="AE122" i="6"/>
  <c r="AB122" i="6"/>
  <c r="L122" i="6"/>
  <c r="AT122" i="6" s="1"/>
  <c r="K122" i="6"/>
  <c r="H122" i="6"/>
  <c r="G122" i="6"/>
  <c r="G361" i="6" s="1"/>
  <c r="G407" i="6" s="1"/>
  <c r="G453" i="6" s="1"/>
  <c r="D122" i="6"/>
  <c r="C122" i="6"/>
  <c r="B122" i="6"/>
  <c r="AU121" i="6"/>
  <c r="AV121" i="6" s="1"/>
  <c r="AE121" i="6"/>
  <c r="AB121" i="6"/>
  <c r="L121" i="6"/>
  <c r="AT121" i="6" s="1"/>
  <c r="K121" i="6"/>
  <c r="H121" i="6"/>
  <c r="H360" i="6" s="1"/>
  <c r="H406" i="6" s="1"/>
  <c r="H452" i="6" s="1"/>
  <c r="G121" i="6"/>
  <c r="D121" i="6"/>
  <c r="C121" i="6"/>
  <c r="B121" i="6"/>
  <c r="AV120" i="6"/>
  <c r="AU120" i="6"/>
  <c r="AF120" i="6"/>
  <c r="AE120" i="6"/>
  <c r="AB120" i="6"/>
  <c r="L120" i="6"/>
  <c r="AT120" i="6" s="1"/>
  <c r="K120" i="6"/>
  <c r="H120" i="6"/>
  <c r="H359" i="6" s="1"/>
  <c r="H405" i="6" s="1"/>
  <c r="H451" i="6" s="1"/>
  <c r="G120" i="6"/>
  <c r="G167" i="6" s="1"/>
  <c r="D120" i="6"/>
  <c r="C120" i="6"/>
  <c r="B120" i="6"/>
  <c r="AU119" i="6"/>
  <c r="AV119" i="6" s="1"/>
  <c r="AE119" i="6"/>
  <c r="AB119" i="6"/>
  <c r="L119" i="6"/>
  <c r="AT119" i="6" s="1"/>
  <c r="K119" i="6"/>
  <c r="H119" i="6"/>
  <c r="H358" i="6" s="1"/>
  <c r="H404" i="6" s="1"/>
  <c r="H450" i="6" s="1"/>
  <c r="G119" i="6"/>
  <c r="D119" i="6"/>
  <c r="C119" i="6"/>
  <c r="B119" i="6"/>
  <c r="AV118" i="6"/>
  <c r="AU118" i="6"/>
  <c r="AT118" i="6"/>
  <c r="AF118" i="6"/>
  <c r="AE118" i="6"/>
  <c r="AB118" i="6"/>
  <c r="D118" i="6"/>
  <c r="C118" i="6"/>
  <c r="B118" i="6"/>
  <c r="AV117" i="6"/>
  <c r="AU117" i="6"/>
  <c r="AT117" i="6"/>
  <c r="AF117" i="6"/>
  <c r="AE117" i="6"/>
  <c r="AB117" i="6"/>
  <c r="D117" i="6"/>
  <c r="C117" i="6"/>
  <c r="B117" i="6"/>
  <c r="AV116" i="6"/>
  <c r="AU116" i="6"/>
  <c r="AF116" i="6"/>
  <c r="AE116" i="6"/>
  <c r="AB116" i="6"/>
  <c r="L116" i="6"/>
  <c r="AT116" i="6" s="1"/>
  <c r="K116" i="6"/>
  <c r="H116" i="6"/>
  <c r="H355" i="6" s="1"/>
  <c r="H401" i="6" s="1"/>
  <c r="H447" i="6" s="1"/>
  <c r="G116" i="6"/>
  <c r="D116" i="6"/>
  <c r="C116" i="6"/>
  <c r="B116" i="6"/>
  <c r="AU115" i="6"/>
  <c r="AV115" i="6" s="1"/>
  <c r="AE115" i="6"/>
  <c r="AB115" i="6"/>
  <c r="L115" i="6"/>
  <c r="AT115" i="6" s="1"/>
  <c r="K115" i="6"/>
  <c r="H115" i="6"/>
  <c r="H354" i="6" s="1"/>
  <c r="H400" i="6" s="1"/>
  <c r="H446" i="6" s="1"/>
  <c r="G115" i="6"/>
  <c r="D115" i="6"/>
  <c r="C115" i="6"/>
  <c r="B115" i="6"/>
  <c r="AV114" i="6"/>
  <c r="AU114" i="6"/>
  <c r="AF114" i="6"/>
  <c r="AE114" i="6"/>
  <c r="AB114" i="6"/>
  <c r="L114" i="6"/>
  <c r="AT114" i="6" s="1"/>
  <c r="K114" i="6"/>
  <c r="H114" i="6"/>
  <c r="G114" i="6"/>
  <c r="G353" i="6" s="1"/>
  <c r="G399" i="6" s="1"/>
  <c r="G445" i="6" s="1"/>
  <c r="D114" i="6"/>
  <c r="C114" i="6"/>
  <c r="B114" i="6"/>
  <c r="AU113" i="6"/>
  <c r="AV113" i="6" s="1"/>
  <c r="AE113" i="6"/>
  <c r="AB113" i="6"/>
  <c r="L113" i="6"/>
  <c r="AT113" i="6" s="1"/>
  <c r="K113" i="6"/>
  <c r="H113" i="6"/>
  <c r="H352" i="6" s="1"/>
  <c r="H398" i="6" s="1"/>
  <c r="H444" i="6" s="1"/>
  <c r="G113" i="6"/>
  <c r="D113" i="6"/>
  <c r="C113" i="6"/>
  <c r="B113" i="6"/>
  <c r="AV112" i="6"/>
  <c r="AU112" i="6"/>
  <c r="AF112" i="6"/>
  <c r="AB112" i="6"/>
  <c r="K112" i="6"/>
  <c r="AE112" i="6" s="1"/>
  <c r="H112" i="6"/>
  <c r="H351" i="6" s="1"/>
  <c r="H397" i="6" s="1"/>
  <c r="H443" i="6" s="1"/>
  <c r="D112" i="6"/>
  <c r="C112" i="6"/>
  <c r="B112" i="6"/>
  <c r="AU111" i="6"/>
  <c r="AV111" i="6" s="1"/>
  <c r="AB111" i="6"/>
  <c r="L111" i="6"/>
  <c r="AT111" i="6" s="1"/>
  <c r="K111" i="6"/>
  <c r="AE111" i="6" s="1"/>
  <c r="H111" i="6"/>
  <c r="H350" i="6" s="1"/>
  <c r="H396" i="6" s="1"/>
  <c r="H442" i="6" s="1"/>
  <c r="D111" i="6"/>
  <c r="C111" i="6"/>
  <c r="B111" i="6"/>
  <c r="AV110" i="6"/>
  <c r="AU110" i="6"/>
  <c r="AF110" i="6"/>
  <c r="AB110" i="6"/>
  <c r="K110" i="6"/>
  <c r="AE110" i="6" s="1"/>
  <c r="H110" i="6"/>
  <c r="G157" i="6"/>
  <c r="D110" i="6"/>
  <c r="C110" i="6"/>
  <c r="B110" i="6"/>
  <c r="AU109" i="6"/>
  <c r="AV109" i="6" s="1"/>
  <c r="AB109" i="6"/>
  <c r="K109" i="6"/>
  <c r="L109" i="6" s="1"/>
  <c r="AT109" i="6" s="1"/>
  <c r="H109" i="6"/>
  <c r="H348" i="6" s="1"/>
  <c r="H394" i="6" s="1"/>
  <c r="H440" i="6" s="1"/>
  <c r="D109" i="6"/>
  <c r="C109" i="6"/>
  <c r="B109" i="6"/>
  <c r="AV108" i="6"/>
  <c r="AU108" i="6"/>
  <c r="AF108" i="6"/>
  <c r="AB108" i="6"/>
  <c r="L108" i="6"/>
  <c r="AT108" i="6" s="1"/>
  <c r="K108" i="6"/>
  <c r="AE108" i="6" s="1"/>
  <c r="H108" i="6"/>
  <c r="H347" i="6" s="1"/>
  <c r="H393" i="6" s="1"/>
  <c r="H439" i="6" s="1"/>
  <c r="D108" i="6"/>
  <c r="C108" i="6"/>
  <c r="B108" i="6"/>
  <c r="AU107" i="6"/>
  <c r="AV107" i="6" s="1"/>
  <c r="AB107" i="6"/>
  <c r="L107" i="6"/>
  <c r="AT107" i="6" s="1"/>
  <c r="K107" i="6"/>
  <c r="AE107" i="6" s="1"/>
  <c r="H107" i="6"/>
  <c r="H346" i="6" s="1"/>
  <c r="H392" i="6" s="1"/>
  <c r="H438" i="6" s="1"/>
  <c r="D107" i="6"/>
  <c r="C107" i="6"/>
  <c r="B107" i="6"/>
  <c r="AV106" i="6"/>
  <c r="AU106" i="6"/>
  <c r="AF106" i="6"/>
  <c r="AE106" i="6"/>
  <c r="AB106" i="6"/>
  <c r="L106" i="6"/>
  <c r="AT106" i="6" s="1"/>
  <c r="K106" i="6"/>
  <c r="H106" i="6"/>
  <c r="G106" i="6"/>
  <c r="G345" i="6" s="1"/>
  <c r="G391" i="6" s="1"/>
  <c r="G437" i="6" s="1"/>
  <c r="D106" i="6"/>
  <c r="C106" i="6"/>
  <c r="B106" i="6"/>
  <c r="AU105" i="6"/>
  <c r="AV105" i="6" s="1"/>
  <c r="AB105" i="6"/>
  <c r="K105" i="6"/>
  <c r="AE105" i="6" s="1"/>
  <c r="H152" i="6"/>
  <c r="D105" i="6"/>
  <c r="C105" i="6"/>
  <c r="B105" i="6"/>
  <c r="AV104" i="6"/>
  <c r="AU104" i="6"/>
  <c r="AF104" i="6"/>
  <c r="AE104" i="6"/>
  <c r="AB104" i="6"/>
  <c r="L104" i="6"/>
  <c r="AT104" i="6" s="1"/>
  <c r="K104" i="6"/>
  <c r="H343" i="6"/>
  <c r="H389" i="6" s="1"/>
  <c r="H435" i="6" s="1"/>
  <c r="D104" i="6"/>
  <c r="C104" i="6"/>
  <c r="B104" i="6"/>
  <c r="AU103" i="6"/>
  <c r="AV103" i="6" s="1"/>
  <c r="AE103" i="6"/>
  <c r="AB103" i="6"/>
  <c r="K103" i="6"/>
  <c r="L103" i="6" s="1"/>
  <c r="AT103" i="6" s="1"/>
  <c r="H342" i="6"/>
  <c r="H388" i="6" s="1"/>
  <c r="H434" i="6" s="1"/>
  <c r="D103" i="6"/>
  <c r="C103" i="6"/>
  <c r="B103" i="6"/>
  <c r="AV102" i="6"/>
  <c r="AU102" i="6"/>
  <c r="AF102" i="6"/>
  <c r="AB102" i="6"/>
  <c r="K102" i="6"/>
  <c r="AE102" i="6" s="1"/>
  <c r="G341" i="6"/>
  <c r="G387" i="6" s="1"/>
  <c r="G433" i="6" s="1"/>
  <c r="D102" i="6"/>
  <c r="C102" i="6"/>
  <c r="B102" i="6"/>
  <c r="AU101" i="6"/>
  <c r="AV101" i="6" s="1"/>
  <c r="AB101" i="6"/>
  <c r="K101" i="6"/>
  <c r="AE101" i="6" s="1"/>
  <c r="H340" i="6"/>
  <c r="H386" i="6" s="1"/>
  <c r="H432" i="6" s="1"/>
  <c r="G340" i="6"/>
  <c r="G386" i="6" s="1"/>
  <c r="G432" i="6" s="1"/>
  <c r="D101" i="6"/>
  <c r="C101" i="6"/>
  <c r="B101" i="6"/>
  <c r="AV100" i="6"/>
  <c r="AU100" i="6"/>
  <c r="AF100" i="6"/>
  <c r="AB100" i="6"/>
  <c r="K100" i="6"/>
  <c r="AE100" i="6" s="1"/>
  <c r="H147" i="6"/>
  <c r="D100" i="6"/>
  <c r="C100" i="6"/>
  <c r="B100" i="6"/>
  <c r="AU99" i="6"/>
  <c r="AV99" i="6" s="1"/>
  <c r="AE99" i="6"/>
  <c r="AB99" i="6"/>
  <c r="L99" i="6"/>
  <c r="AT99" i="6" s="1"/>
  <c r="K99" i="6"/>
  <c r="H99" i="6"/>
  <c r="H338" i="6" s="1"/>
  <c r="H384" i="6" s="1"/>
  <c r="H430" i="6" s="1"/>
  <c r="G99" i="6"/>
  <c r="G338" i="6" s="1"/>
  <c r="G384" i="6" s="1"/>
  <c r="G430" i="6" s="1"/>
  <c r="D99" i="6"/>
  <c r="C99" i="6"/>
  <c r="B99" i="6"/>
  <c r="AV98" i="6"/>
  <c r="AU98" i="6"/>
  <c r="AF98" i="6"/>
  <c r="AE98" i="6"/>
  <c r="AB98" i="6"/>
  <c r="L98" i="6"/>
  <c r="AT98" i="6" s="1"/>
  <c r="K98" i="6"/>
  <c r="H98" i="6"/>
  <c r="G98" i="6"/>
  <c r="G337" i="6" s="1"/>
  <c r="G383" i="6" s="1"/>
  <c r="G429" i="6" s="1"/>
  <c r="D98" i="6"/>
  <c r="C98" i="6"/>
  <c r="B98" i="6"/>
  <c r="AU97" i="6"/>
  <c r="AV97" i="6" s="1"/>
  <c r="AT97" i="6"/>
  <c r="AE97" i="6"/>
  <c r="D97" i="6"/>
  <c r="C97" i="6"/>
  <c r="B97" i="6"/>
  <c r="AV96" i="6"/>
  <c r="AU96" i="6"/>
  <c r="AT96" i="6"/>
  <c r="AF96" i="6"/>
  <c r="AE96" i="6"/>
  <c r="D96" i="6"/>
  <c r="C96" i="6"/>
  <c r="B96" i="6"/>
  <c r="AU95" i="6"/>
  <c r="AT95" i="6"/>
  <c r="AE95" i="6"/>
  <c r="AB95" i="6"/>
  <c r="D95" i="6"/>
  <c r="C95" i="6"/>
  <c r="B95" i="6"/>
  <c r="AU94" i="6"/>
  <c r="AT94" i="6"/>
  <c r="AE94" i="6"/>
  <c r="D94" i="6"/>
  <c r="C94" i="6"/>
  <c r="B94" i="6"/>
  <c r="AQ93" i="6"/>
  <c r="AP93" i="6"/>
  <c r="AO93" i="6"/>
  <c r="AN93" i="6"/>
  <c r="AM93" i="6"/>
  <c r="AL93" i="6"/>
  <c r="AK93" i="6"/>
  <c r="AJ93" i="6"/>
  <c r="AI93" i="6"/>
  <c r="AH93" i="6"/>
  <c r="AG93" i="6"/>
  <c r="AF93" i="6"/>
  <c r="AB93" i="6"/>
  <c r="AQ92" i="6"/>
  <c r="AP92" i="6"/>
  <c r="AO92" i="6"/>
  <c r="AN92" i="6"/>
  <c r="AM92" i="6"/>
  <c r="AL92" i="6"/>
  <c r="AK92" i="6"/>
  <c r="AJ92" i="6"/>
  <c r="AI92" i="6"/>
  <c r="AH92" i="6"/>
  <c r="AG92" i="6"/>
  <c r="AF92" i="6"/>
  <c r="AR92" i="6" s="1"/>
  <c r="AE92" i="6"/>
  <c r="AB92" i="6"/>
  <c r="H92" i="6"/>
  <c r="H234" i="6" s="1"/>
  <c r="H280" i="6" s="1"/>
  <c r="H326" i="6" s="1"/>
  <c r="G92" i="6"/>
  <c r="G234" i="6" s="1"/>
  <c r="G280" i="6" s="1"/>
  <c r="G326" i="6" s="1"/>
  <c r="C92" i="6"/>
  <c r="AQ91" i="6"/>
  <c r="AP91" i="6"/>
  <c r="AO91" i="6"/>
  <c r="AN91" i="6"/>
  <c r="AM91" i="6"/>
  <c r="AL91" i="6"/>
  <c r="AK91" i="6"/>
  <c r="AJ91" i="6"/>
  <c r="AI91" i="6"/>
  <c r="AH91" i="6"/>
  <c r="AG91" i="6"/>
  <c r="AR91" i="6" s="1"/>
  <c r="AF91" i="6"/>
  <c r="AE91" i="6"/>
  <c r="AB91" i="6"/>
  <c r="H91" i="6"/>
  <c r="H233" i="6" s="1"/>
  <c r="H279" i="6" s="1"/>
  <c r="H325" i="6" s="1"/>
  <c r="G91" i="6"/>
  <c r="G233" i="6" s="1"/>
  <c r="G279" i="6" s="1"/>
  <c r="G325" i="6" s="1"/>
  <c r="C91" i="6"/>
  <c r="AQ90" i="6"/>
  <c r="AP90" i="6"/>
  <c r="AO90" i="6"/>
  <c r="AN90" i="6"/>
  <c r="AM90" i="6"/>
  <c r="AL90" i="6"/>
  <c r="AK90" i="6"/>
  <c r="AJ90" i="6"/>
  <c r="AI90" i="6"/>
  <c r="AH90" i="6"/>
  <c r="AG90" i="6"/>
  <c r="AR90" i="6" s="1"/>
  <c r="AF90" i="6"/>
  <c r="AE90" i="6"/>
  <c r="AB90" i="6"/>
  <c r="H90" i="6"/>
  <c r="H232" i="6" s="1"/>
  <c r="H278" i="6" s="1"/>
  <c r="H324" i="6" s="1"/>
  <c r="G90" i="6"/>
  <c r="G232" i="6" s="1"/>
  <c r="G278" i="6" s="1"/>
  <c r="G324" i="6" s="1"/>
  <c r="C90" i="6"/>
  <c r="AQ89" i="6"/>
  <c r="AP89" i="6"/>
  <c r="AO89" i="6"/>
  <c r="AN89" i="6"/>
  <c r="AM89" i="6"/>
  <c r="AL89" i="6"/>
  <c r="AK89" i="6"/>
  <c r="AJ89" i="6"/>
  <c r="AI89" i="6"/>
  <c r="AH89" i="6"/>
  <c r="AG89" i="6"/>
  <c r="AF89" i="6"/>
  <c r="AR89" i="6" s="1"/>
  <c r="AE89" i="6"/>
  <c r="AB89" i="6"/>
  <c r="H89" i="6"/>
  <c r="G89" i="6"/>
  <c r="G231" i="6" s="1"/>
  <c r="G277" i="6" s="1"/>
  <c r="G323" i="6" s="1"/>
  <c r="C89" i="6"/>
  <c r="AQ88" i="6"/>
  <c r="AP88" i="6"/>
  <c r="AO88" i="6"/>
  <c r="AN88" i="6"/>
  <c r="AM88" i="6"/>
  <c r="AL88" i="6"/>
  <c r="AK88" i="6"/>
  <c r="AJ88" i="6"/>
  <c r="AI88" i="6"/>
  <c r="AH88" i="6"/>
  <c r="AG88" i="6"/>
  <c r="AF88" i="6"/>
  <c r="AR88" i="6" s="1"/>
  <c r="AE88" i="6"/>
  <c r="AB88" i="6"/>
  <c r="H88" i="6"/>
  <c r="H230" i="6" s="1"/>
  <c r="H276" i="6" s="1"/>
  <c r="H322" i="6" s="1"/>
  <c r="G88" i="6"/>
  <c r="G230" i="6" s="1"/>
  <c r="G276" i="6" s="1"/>
  <c r="G322" i="6" s="1"/>
  <c r="C88" i="6"/>
  <c r="AQ87" i="6"/>
  <c r="AP87" i="6"/>
  <c r="AO87" i="6"/>
  <c r="AN87" i="6"/>
  <c r="AM87" i="6"/>
  <c r="AL87" i="6"/>
  <c r="AK87" i="6"/>
  <c r="AJ87" i="6"/>
  <c r="AI87" i="6"/>
  <c r="AH87" i="6"/>
  <c r="AG87" i="6"/>
  <c r="AR87" i="6" s="1"/>
  <c r="AF87" i="6"/>
  <c r="AE87" i="6"/>
  <c r="AB87" i="6"/>
  <c r="H87" i="6"/>
  <c r="H229" i="6" s="1"/>
  <c r="H275" i="6" s="1"/>
  <c r="H321" i="6" s="1"/>
  <c r="G87" i="6"/>
  <c r="G229" i="6" s="1"/>
  <c r="G275" i="6" s="1"/>
  <c r="G321" i="6" s="1"/>
  <c r="C87" i="6"/>
  <c r="AQ86" i="6"/>
  <c r="AP86" i="6"/>
  <c r="AO86" i="6"/>
  <c r="AN86" i="6"/>
  <c r="AM86" i="6"/>
  <c r="AL86" i="6"/>
  <c r="AK86" i="6"/>
  <c r="AJ86" i="6"/>
  <c r="AI86" i="6"/>
  <c r="AH86" i="6"/>
  <c r="AG86" i="6"/>
  <c r="AR86" i="6" s="1"/>
  <c r="AF86" i="6"/>
  <c r="AE86" i="6"/>
  <c r="AB86" i="6"/>
  <c r="H86" i="6"/>
  <c r="H228" i="6" s="1"/>
  <c r="H274" i="6" s="1"/>
  <c r="H320" i="6" s="1"/>
  <c r="G86" i="6"/>
  <c r="G228" i="6" s="1"/>
  <c r="G274" i="6" s="1"/>
  <c r="G320" i="6" s="1"/>
  <c r="C86" i="6"/>
  <c r="AQ85" i="6"/>
  <c r="AP85" i="6"/>
  <c r="AO85" i="6"/>
  <c r="AN85" i="6"/>
  <c r="AM85" i="6"/>
  <c r="AL85" i="6"/>
  <c r="AK85" i="6"/>
  <c r="AJ85" i="6"/>
  <c r="AI85" i="6"/>
  <c r="AH85" i="6"/>
  <c r="AG85" i="6"/>
  <c r="AF85" i="6"/>
  <c r="AR85" i="6" s="1"/>
  <c r="AE85" i="6"/>
  <c r="AB85" i="6"/>
  <c r="H85" i="6"/>
  <c r="H227" i="6" s="1"/>
  <c r="H273" i="6" s="1"/>
  <c r="H319" i="6" s="1"/>
  <c r="G85" i="6"/>
  <c r="G227" i="6" s="1"/>
  <c r="G273" i="6" s="1"/>
  <c r="G319" i="6" s="1"/>
  <c r="C85" i="6"/>
  <c r="AQ84" i="6"/>
  <c r="AP84" i="6"/>
  <c r="AO84" i="6"/>
  <c r="AN84" i="6"/>
  <c r="AM84" i="6"/>
  <c r="AL84" i="6"/>
  <c r="AK84" i="6"/>
  <c r="AJ84" i="6"/>
  <c r="AI84" i="6"/>
  <c r="AH84" i="6"/>
  <c r="AG84" i="6"/>
  <c r="AF84" i="6"/>
  <c r="AR84" i="6" s="1"/>
  <c r="AE84" i="6"/>
  <c r="AB84" i="6"/>
  <c r="H84" i="6"/>
  <c r="H226" i="6" s="1"/>
  <c r="H272" i="6" s="1"/>
  <c r="H318" i="6" s="1"/>
  <c r="G84" i="6"/>
  <c r="G226" i="6" s="1"/>
  <c r="G272" i="6" s="1"/>
  <c r="G318" i="6" s="1"/>
  <c r="C84" i="6"/>
  <c r="AQ83" i="6"/>
  <c r="AP83" i="6"/>
  <c r="AO83" i="6"/>
  <c r="AN83" i="6"/>
  <c r="AM83" i="6"/>
  <c r="AL83" i="6"/>
  <c r="AK83" i="6"/>
  <c r="AJ83" i="6"/>
  <c r="AI83" i="6"/>
  <c r="AH83" i="6"/>
  <c r="AG83" i="6"/>
  <c r="AR83" i="6" s="1"/>
  <c r="AF83" i="6"/>
  <c r="AE83" i="6"/>
  <c r="AB83" i="6"/>
  <c r="H83" i="6"/>
  <c r="G83" i="6"/>
  <c r="G225" i="6" s="1"/>
  <c r="G271" i="6" s="1"/>
  <c r="G317" i="6" s="1"/>
  <c r="C83" i="6"/>
  <c r="AQ82" i="6"/>
  <c r="AP82" i="6"/>
  <c r="AO82" i="6"/>
  <c r="AN82" i="6"/>
  <c r="AM82" i="6"/>
  <c r="AL82" i="6"/>
  <c r="AK82" i="6"/>
  <c r="AJ82" i="6"/>
  <c r="AI82" i="6"/>
  <c r="AH82" i="6"/>
  <c r="AG82" i="6"/>
  <c r="AR82" i="6" s="1"/>
  <c r="AF82" i="6"/>
  <c r="AE82" i="6"/>
  <c r="AB82" i="6"/>
  <c r="H82" i="6"/>
  <c r="H224" i="6" s="1"/>
  <c r="H270" i="6" s="1"/>
  <c r="H316" i="6" s="1"/>
  <c r="G82" i="6"/>
  <c r="G224" i="6" s="1"/>
  <c r="G270" i="6" s="1"/>
  <c r="G316" i="6" s="1"/>
  <c r="C82" i="6"/>
  <c r="AQ81" i="6"/>
  <c r="AP81" i="6"/>
  <c r="AO81" i="6"/>
  <c r="AN81" i="6"/>
  <c r="AM81" i="6"/>
  <c r="AL81" i="6"/>
  <c r="AK81" i="6"/>
  <c r="AJ81" i="6"/>
  <c r="AI81" i="6"/>
  <c r="AH81" i="6"/>
  <c r="AG81" i="6"/>
  <c r="AF81" i="6"/>
  <c r="AR81" i="6" s="1"/>
  <c r="AE81" i="6"/>
  <c r="AB81" i="6"/>
  <c r="H81" i="6"/>
  <c r="H223" i="6" s="1"/>
  <c r="H269" i="6" s="1"/>
  <c r="H315" i="6" s="1"/>
  <c r="G81" i="6"/>
  <c r="G223" i="6" s="1"/>
  <c r="G269" i="6" s="1"/>
  <c r="C81" i="6"/>
  <c r="AQ80" i="6"/>
  <c r="AP80" i="6"/>
  <c r="AO80" i="6"/>
  <c r="AN80" i="6"/>
  <c r="AM80" i="6"/>
  <c r="AL80" i="6"/>
  <c r="AK80" i="6"/>
  <c r="AJ80" i="6"/>
  <c r="AI80" i="6"/>
  <c r="AH80" i="6"/>
  <c r="AG80" i="6"/>
  <c r="AF80" i="6"/>
  <c r="AR80" i="6" s="1"/>
  <c r="AE80" i="6"/>
  <c r="AB80" i="6"/>
  <c r="H80" i="6"/>
  <c r="H222" i="6" s="1"/>
  <c r="H268" i="6" s="1"/>
  <c r="H314" i="6" s="1"/>
  <c r="G80" i="6"/>
  <c r="G222" i="6" s="1"/>
  <c r="G268" i="6" s="1"/>
  <c r="G314" i="6" s="1"/>
  <c r="C80" i="6"/>
  <c r="AQ79" i="6"/>
  <c r="AP79" i="6"/>
  <c r="AO79" i="6"/>
  <c r="AN79" i="6"/>
  <c r="AM79" i="6"/>
  <c r="AL79" i="6"/>
  <c r="AK79" i="6"/>
  <c r="AJ79" i="6"/>
  <c r="AI79" i="6"/>
  <c r="AH79" i="6"/>
  <c r="AG79" i="6"/>
  <c r="AR79" i="6" s="1"/>
  <c r="AF79" i="6"/>
  <c r="AE79" i="6"/>
  <c r="AB79" i="6"/>
  <c r="H79" i="6"/>
  <c r="H221" i="6" s="1"/>
  <c r="H267" i="6" s="1"/>
  <c r="H313" i="6" s="1"/>
  <c r="G79" i="6"/>
  <c r="G221" i="6" s="1"/>
  <c r="G267" i="6" s="1"/>
  <c r="G313" i="6" s="1"/>
  <c r="C79" i="6"/>
  <c r="AQ78" i="6"/>
  <c r="AP78" i="6"/>
  <c r="AO78" i="6"/>
  <c r="AN78" i="6"/>
  <c r="AM78" i="6"/>
  <c r="AL78" i="6"/>
  <c r="AK78" i="6"/>
  <c r="AJ78" i="6"/>
  <c r="AI78" i="6"/>
  <c r="AH78" i="6"/>
  <c r="AG78" i="6"/>
  <c r="AR78" i="6" s="1"/>
  <c r="AF78" i="6"/>
  <c r="AE78" i="6"/>
  <c r="AB78" i="6"/>
  <c r="H78" i="6"/>
  <c r="H220" i="6" s="1"/>
  <c r="H266" i="6" s="1"/>
  <c r="H312" i="6" s="1"/>
  <c r="G78" i="6"/>
  <c r="G220" i="6" s="1"/>
  <c r="G266" i="6" s="1"/>
  <c r="G312" i="6" s="1"/>
  <c r="C78" i="6"/>
  <c r="AQ77" i="6"/>
  <c r="AP77" i="6"/>
  <c r="AO77" i="6"/>
  <c r="AN77" i="6"/>
  <c r="AM77" i="6"/>
  <c r="AL77" i="6"/>
  <c r="AK77" i="6"/>
  <c r="AJ77" i="6"/>
  <c r="AI77" i="6"/>
  <c r="AH77" i="6"/>
  <c r="AG77" i="6"/>
  <c r="AF77" i="6"/>
  <c r="AR77" i="6" s="1"/>
  <c r="AE77" i="6"/>
  <c r="AB77" i="6"/>
  <c r="H77" i="6"/>
  <c r="H219" i="6" s="1"/>
  <c r="H265" i="6" s="1"/>
  <c r="H311" i="6" s="1"/>
  <c r="G77" i="6"/>
  <c r="G219" i="6" s="1"/>
  <c r="G265" i="6" s="1"/>
  <c r="G311" i="6" s="1"/>
  <c r="C77" i="6"/>
  <c r="AQ76" i="6"/>
  <c r="AP76" i="6"/>
  <c r="AO76" i="6"/>
  <c r="AN76" i="6"/>
  <c r="AM76" i="6"/>
  <c r="AL76" i="6"/>
  <c r="AK76" i="6"/>
  <c r="AJ76" i="6"/>
  <c r="AI76" i="6"/>
  <c r="AH76" i="6"/>
  <c r="AG76" i="6"/>
  <c r="AF76" i="6"/>
  <c r="AR76" i="6" s="1"/>
  <c r="AE76" i="6"/>
  <c r="AB76" i="6"/>
  <c r="H76" i="6"/>
  <c r="H218" i="6" s="1"/>
  <c r="H264" i="6" s="1"/>
  <c r="H310" i="6" s="1"/>
  <c r="G76" i="6"/>
  <c r="G218" i="6" s="1"/>
  <c r="G264" i="6" s="1"/>
  <c r="G310" i="6" s="1"/>
  <c r="C76" i="6"/>
  <c r="AQ75" i="6"/>
  <c r="AP75" i="6"/>
  <c r="AO75" i="6"/>
  <c r="AN75" i="6"/>
  <c r="AM75" i="6"/>
  <c r="AL75" i="6"/>
  <c r="AK75" i="6"/>
  <c r="AJ75" i="6"/>
  <c r="AI75" i="6"/>
  <c r="AH75" i="6"/>
  <c r="AG75" i="6"/>
  <c r="AR75" i="6" s="1"/>
  <c r="AF75" i="6"/>
  <c r="AE75" i="6"/>
  <c r="AB75" i="6"/>
  <c r="H75" i="6"/>
  <c r="G75" i="6"/>
  <c r="G217" i="6" s="1"/>
  <c r="G263" i="6" s="1"/>
  <c r="G309" i="6" s="1"/>
  <c r="C75" i="6"/>
  <c r="AQ74" i="6"/>
  <c r="AP74" i="6"/>
  <c r="AO74" i="6"/>
  <c r="AN74" i="6"/>
  <c r="AM74" i="6"/>
  <c r="AL74" i="6"/>
  <c r="AK74" i="6"/>
  <c r="AJ74" i="6"/>
  <c r="AI74" i="6"/>
  <c r="AH74" i="6"/>
  <c r="AG74" i="6"/>
  <c r="AR74" i="6" s="1"/>
  <c r="AF74" i="6"/>
  <c r="AE74" i="6"/>
  <c r="AB74" i="6"/>
  <c r="H74" i="6"/>
  <c r="H216" i="6" s="1"/>
  <c r="H262" i="6" s="1"/>
  <c r="H308" i="6" s="1"/>
  <c r="G74" i="6"/>
  <c r="G216" i="6" s="1"/>
  <c r="G262" i="6" s="1"/>
  <c r="G308" i="6" s="1"/>
  <c r="C74" i="6"/>
  <c r="AQ73" i="6"/>
  <c r="AP73" i="6"/>
  <c r="AO73" i="6"/>
  <c r="AN73" i="6"/>
  <c r="AM73" i="6"/>
  <c r="AL73" i="6"/>
  <c r="AK73" i="6"/>
  <c r="AJ73" i="6"/>
  <c r="AI73" i="6"/>
  <c r="AH73" i="6"/>
  <c r="AG73" i="6"/>
  <c r="AF73" i="6"/>
  <c r="AR73" i="6" s="1"/>
  <c r="AE73" i="6"/>
  <c r="AB73" i="6"/>
  <c r="H73" i="6"/>
  <c r="H215" i="6" s="1"/>
  <c r="H261" i="6" s="1"/>
  <c r="H307" i="6" s="1"/>
  <c r="G73" i="6"/>
  <c r="G215" i="6" s="1"/>
  <c r="G261" i="6" s="1"/>
  <c r="G307" i="6" s="1"/>
  <c r="C73" i="6"/>
  <c r="AQ72" i="6"/>
  <c r="AP72" i="6"/>
  <c r="AO72" i="6"/>
  <c r="AN72" i="6"/>
  <c r="AM72" i="6"/>
  <c r="AL72" i="6"/>
  <c r="AK72" i="6"/>
  <c r="AJ72" i="6"/>
  <c r="AI72" i="6"/>
  <c r="AH72" i="6"/>
  <c r="AG72" i="6"/>
  <c r="AF72" i="6"/>
  <c r="AR72" i="6" s="1"/>
  <c r="AE72" i="6"/>
  <c r="AB72" i="6"/>
  <c r="H72" i="6"/>
  <c r="H214" i="6" s="1"/>
  <c r="H260" i="6" s="1"/>
  <c r="H306" i="6" s="1"/>
  <c r="G72" i="6"/>
  <c r="G214" i="6" s="1"/>
  <c r="G260" i="6" s="1"/>
  <c r="G306" i="6" s="1"/>
  <c r="C72" i="6"/>
  <c r="AQ71" i="6"/>
  <c r="AP71" i="6"/>
  <c r="AO71" i="6"/>
  <c r="AN71" i="6"/>
  <c r="AM71" i="6"/>
  <c r="AL71" i="6"/>
  <c r="AK71" i="6"/>
  <c r="AJ71" i="6"/>
  <c r="AI71" i="6"/>
  <c r="AH71" i="6"/>
  <c r="AG71" i="6"/>
  <c r="AR71" i="6" s="1"/>
  <c r="AF71" i="6"/>
  <c r="AE71" i="6"/>
  <c r="AB71" i="6"/>
  <c r="H71" i="6"/>
  <c r="H213" i="6" s="1"/>
  <c r="H259" i="6" s="1"/>
  <c r="H305" i="6" s="1"/>
  <c r="G71" i="6"/>
  <c r="G213" i="6" s="1"/>
  <c r="G259" i="6" s="1"/>
  <c r="G305" i="6" s="1"/>
  <c r="C71" i="6"/>
  <c r="AQ70" i="6"/>
  <c r="AP70" i="6"/>
  <c r="AO70" i="6"/>
  <c r="AN70" i="6"/>
  <c r="AM70" i="6"/>
  <c r="AL70" i="6"/>
  <c r="AK70" i="6"/>
  <c r="AJ70" i="6"/>
  <c r="AI70" i="6"/>
  <c r="AH70" i="6"/>
  <c r="AG70" i="6"/>
  <c r="AR70" i="6" s="1"/>
  <c r="AF70" i="6"/>
  <c r="AE70" i="6"/>
  <c r="AB70" i="6"/>
  <c r="H70" i="6"/>
  <c r="H212" i="6" s="1"/>
  <c r="H258" i="6" s="1"/>
  <c r="H304" i="6" s="1"/>
  <c r="G70" i="6"/>
  <c r="G212" i="6" s="1"/>
  <c r="G258" i="6" s="1"/>
  <c r="G304" i="6" s="1"/>
  <c r="C70" i="6"/>
  <c r="AQ69" i="6"/>
  <c r="AP69" i="6"/>
  <c r="AO69" i="6"/>
  <c r="AN69" i="6"/>
  <c r="AM69" i="6"/>
  <c r="AL69" i="6"/>
  <c r="AK69" i="6"/>
  <c r="AJ69" i="6"/>
  <c r="AI69" i="6"/>
  <c r="AH69" i="6"/>
  <c r="AG69" i="6"/>
  <c r="AF69" i="6"/>
  <c r="AR69" i="6" s="1"/>
  <c r="AE69" i="6"/>
  <c r="AB69" i="6"/>
  <c r="H69" i="6"/>
  <c r="H211" i="6" s="1"/>
  <c r="H257" i="6" s="1"/>
  <c r="H303" i="6" s="1"/>
  <c r="G69" i="6"/>
  <c r="G211" i="6" s="1"/>
  <c r="G257" i="6" s="1"/>
  <c r="G303" i="6" s="1"/>
  <c r="C69" i="6"/>
  <c r="AQ68" i="6"/>
  <c r="AP68" i="6"/>
  <c r="AO68" i="6"/>
  <c r="AN68" i="6"/>
  <c r="AM68" i="6"/>
  <c r="AL68" i="6"/>
  <c r="AK68" i="6"/>
  <c r="AJ68" i="6"/>
  <c r="AI68" i="6"/>
  <c r="AH68" i="6"/>
  <c r="AG68" i="6"/>
  <c r="AF68" i="6"/>
  <c r="AR68" i="6" s="1"/>
  <c r="AE68" i="6"/>
  <c r="AB68" i="6"/>
  <c r="H68" i="6"/>
  <c r="H210" i="6" s="1"/>
  <c r="H256" i="6" s="1"/>
  <c r="H302" i="6" s="1"/>
  <c r="G68" i="6"/>
  <c r="G210" i="6" s="1"/>
  <c r="G256" i="6" s="1"/>
  <c r="G302" i="6" s="1"/>
  <c r="C68" i="6"/>
  <c r="AQ67" i="6"/>
  <c r="AP67" i="6"/>
  <c r="AO67" i="6"/>
  <c r="AN67" i="6"/>
  <c r="AM67" i="6"/>
  <c r="AL67" i="6"/>
  <c r="AK67" i="6"/>
  <c r="AJ67" i="6"/>
  <c r="AI67" i="6"/>
  <c r="AH67" i="6"/>
  <c r="AG67" i="6"/>
  <c r="AR67" i="6" s="1"/>
  <c r="AF67" i="6"/>
  <c r="AE67" i="6"/>
  <c r="AB67" i="6"/>
  <c r="H67" i="6"/>
  <c r="G67" i="6"/>
  <c r="G209" i="6" s="1"/>
  <c r="G255" i="6" s="1"/>
  <c r="G301" i="6" s="1"/>
  <c r="C67" i="6"/>
  <c r="AQ66" i="6"/>
  <c r="AP66" i="6"/>
  <c r="AO66" i="6"/>
  <c r="AN66" i="6"/>
  <c r="AM66" i="6"/>
  <c r="AL66" i="6"/>
  <c r="AK66" i="6"/>
  <c r="AJ66" i="6"/>
  <c r="AI66" i="6"/>
  <c r="AH66" i="6"/>
  <c r="AG66" i="6"/>
  <c r="AR66" i="6" s="1"/>
  <c r="AF66" i="6"/>
  <c r="AE66" i="6"/>
  <c r="AB66" i="6"/>
  <c r="H66" i="6"/>
  <c r="H208" i="6" s="1"/>
  <c r="H254" i="6" s="1"/>
  <c r="H300" i="6" s="1"/>
  <c r="G66" i="6"/>
  <c r="G208" i="6" s="1"/>
  <c r="G254" i="6" s="1"/>
  <c r="G300" i="6" s="1"/>
  <c r="C66" i="6"/>
  <c r="AQ65" i="6"/>
  <c r="AP65" i="6"/>
  <c r="AO65" i="6"/>
  <c r="AN65" i="6"/>
  <c r="AM65" i="6"/>
  <c r="AL65" i="6"/>
  <c r="AK65" i="6"/>
  <c r="AJ65" i="6"/>
  <c r="AI65" i="6"/>
  <c r="AH65" i="6"/>
  <c r="AG65" i="6"/>
  <c r="AF65" i="6"/>
  <c r="AR65" i="6" s="1"/>
  <c r="AE65" i="6"/>
  <c r="AB65" i="6"/>
  <c r="H65" i="6"/>
  <c r="H207" i="6" s="1"/>
  <c r="H253" i="6" s="1"/>
  <c r="H299" i="6" s="1"/>
  <c r="G65" i="6"/>
  <c r="G207" i="6" s="1"/>
  <c r="G253" i="6" s="1"/>
  <c r="G299" i="6" s="1"/>
  <c r="C65" i="6"/>
  <c r="AQ64" i="6"/>
  <c r="AP64" i="6"/>
  <c r="AO64" i="6"/>
  <c r="AN64" i="6"/>
  <c r="AM64" i="6"/>
  <c r="AL64" i="6"/>
  <c r="AK64" i="6"/>
  <c r="AJ64" i="6"/>
  <c r="AI64" i="6"/>
  <c r="AH64" i="6"/>
  <c r="AG64" i="6"/>
  <c r="AF64" i="6"/>
  <c r="AR64" i="6" s="1"/>
  <c r="AE64" i="6"/>
  <c r="AB64" i="6"/>
  <c r="H64" i="6"/>
  <c r="H206" i="6" s="1"/>
  <c r="H252" i="6" s="1"/>
  <c r="H298" i="6" s="1"/>
  <c r="G64" i="6"/>
  <c r="G206" i="6" s="1"/>
  <c r="G252" i="6" s="1"/>
  <c r="G298" i="6" s="1"/>
  <c r="C64" i="6"/>
  <c r="AQ63" i="6"/>
  <c r="AP63" i="6"/>
  <c r="AO63" i="6"/>
  <c r="AN63" i="6"/>
  <c r="AM63" i="6"/>
  <c r="AL63" i="6"/>
  <c r="AK63" i="6"/>
  <c r="AJ63" i="6"/>
  <c r="AI63" i="6"/>
  <c r="AH63" i="6"/>
  <c r="AG63" i="6"/>
  <c r="AR63" i="6" s="1"/>
  <c r="AF63" i="6"/>
  <c r="AE63" i="6"/>
  <c r="AB63" i="6"/>
  <c r="H63" i="6"/>
  <c r="H205" i="6" s="1"/>
  <c r="H251" i="6" s="1"/>
  <c r="H297" i="6" s="1"/>
  <c r="G63" i="6"/>
  <c r="G205" i="6" s="1"/>
  <c r="G251" i="6" s="1"/>
  <c r="G297" i="6" s="1"/>
  <c r="C63" i="6"/>
  <c r="AQ62" i="6"/>
  <c r="AP62" i="6"/>
  <c r="AO62" i="6"/>
  <c r="AN62" i="6"/>
  <c r="AM62" i="6"/>
  <c r="AL62" i="6"/>
  <c r="AK62" i="6"/>
  <c r="AJ62" i="6"/>
  <c r="AI62" i="6"/>
  <c r="AH62" i="6"/>
  <c r="AG62" i="6"/>
  <c r="AR62" i="6" s="1"/>
  <c r="AF62" i="6"/>
  <c r="AE62" i="6"/>
  <c r="AB62" i="6"/>
  <c r="H62" i="6"/>
  <c r="H204" i="6" s="1"/>
  <c r="H250" i="6" s="1"/>
  <c r="H296" i="6" s="1"/>
  <c r="G62" i="6"/>
  <c r="G204" i="6" s="1"/>
  <c r="G250" i="6" s="1"/>
  <c r="G296" i="6" s="1"/>
  <c r="C62" i="6"/>
  <c r="AQ61" i="6"/>
  <c r="AP61" i="6"/>
  <c r="AO61" i="6"/>
  <c r="AN61" i="6"/>
  <c r="AM61" i="6"/>
  <c r="AL61" i="6"/>
  <c r="AK61" i="6"/>
  <c r="AJ61" i="6"/>
  <c r="AI61" i="6"/>
  <c r="AH61" i="6"/>
  <c r="AG61" i="6"/>
  <c r="AF61" i="6"/>
  <c r="AR61" i="6" s="1"/>
  <c r="AE61" i="6"/>
  <c r="AB61" i="6"/>
  <c r="H61" i="6"/>
  <c r="H203" i="6" s="1"/>
  <c r="H249" i="6" s="1"/>
  <c r="H295" i="6" s="1"/>
  <c r="G61" i="6"/>
  <c r="G203" i="6" s="1"/>
  <c r="G249" i="6" s="1"/>
  <c r="G295" i="6" s="1"/>
  <c r="C61" i="6"/>
  <c r="AQ60" i="6"/>
  <c r="AP60" i="6"/>
  <c r="AO60" i="6"/>
  <c r="AN60" i="6"/>
  <c r="AM60" i="6"/>
  <c r="AL60" i="6"/>
  <c r="AK60" i="6"/>
  <c r="AJ60" i="6"/>
  <c r="AI60" i="6"/>
  <c r="AH60" i="6"/>
  <c r="AG60" i="6"/>
  <c r="AF60" i="6"/>
  <c r="AR60" i="6" s="1"/>
  <c r="AE60" i="6"/>
  <c r="AB60" i="6"/>
  <c r="H60" i="6"/>
  <c r="H202" i="6" s="1"/>
  <c r="H248" i="6" s="1"/>
  <c r="H294" i="6" s="1"/>
  <c r="G60" i="6"/>
  <c r="G202" i="6" s="1"/>
  <c r="G248" i="6" s="1"/>
  <c r="G294" i="6" s="1"/>
  <c r="C60" i="6"/>
  <c r="AQ59" i="6"/>
  <c r="AP59" i="6"/>
  <c r="AO59" i="6"/>
  <c r="AN59" i="6"/>
  <c r="AM59" i="6"/>
  <c r="AL59" i="6"/>
  <c r="AK59" i="6"/>
  <c r="AJ59" i="6"/>
  <c r="AI59" i="6"/>
  <c r="AH59" i="6"/>
  <c r="AG59" i="6"/>
  <c r="AR59" i="6" s="1"/>
  <c r="AF59" i="6"/>
  <c r="AE59" i="6"/>
  <c r="AB59" i="6"/>
  <c r="H59" i="6"/>
  <c r="G59" i="6"/>
  <c r="G201" i="6" s="1"/>
  <c r="G247" i="6" s="1"/>
  <c r="G293" i="6" s="1"/>
  <c r="C59" i="6"/>
  <c r="AQ58" i="6"/>
  <c r="AP58" i="6"/>
  <c r="AO58" i="6"/>
  <c r="AN58" i="6"/>
  <c r="AM58" i="6"/>
  <c r="AL58" i="6"/>
  <c r="AK58" i="6"/>
  <c r="AJ58" i="6"/>
  <c r="AI58" i="6"/>
  <c r="AH58" i="6"/>
  <c r="AG58" i="6"/>
  <c r="AR58" i="6" s="1"/>
  <c r="AF58" i="6"/>
  <c r="AE58" i="6"/>
  <c r="AB58" i="6"/>
  <c r="H58" i="6"/>
  <c r="H200" i="6" s="1"/>
  <c r="H246" i="6" s="1"/>
  <c r="H292" i="6" s="1"/>
  <c r="G58" i="6"/>
  <c r="G200" i="6" s="1"/>
  <c r="G246" i="6" s="1"/>
  <c r="G292" i="6" s="1"/>
  <c r="C58" i="6"/>
  <c r="AQ57" i="6"/>
  <c r="AP57" i="6"/>
  <c r="AO57" i="6"/>
  <c r="AN57" i="6"/>
  <c r="AM57" i="6"/>
  <c r="AL57" i="6"/>
  <c r="AK57" i="6"/>
  <c r="AJ57" i="6"/>
  <c r="AI57" i="6"/>
  <c r="AH57" i="6"/>
  <c r="AG57" i="6"/>
  <c r="AF57" i="6"/>
  <c r="AR57" i="6" s="1"/>
  <c r="AE57" i="6"/>
  <c r="AB57" i="6"/>
  <c r="H57" i="6"/>
  <c r="H199" i="6" s="1"/>
  <c r="H245" i="6" s="1"/>
  <c r="H291" i="6" s="1"/>
  <c r="G57" i="6"/>
  <c r="G199" i="6" s="1"/>
  <c r="G245" i="6" s="1"/>
  <c r="G291" i="6" s="1"/>
  <c r="C57" i="6"/>
  <c r="AQ56" i="6"/>
  <c r="AP56" i="6"/>
  <c r="AO56" i="6"/>
  <c r="AN56" i="6"/>
  <c r="AM56" i="6"/>
  <c r="AL56" i="6"/>
  <c r="AK56" i="6"/>
  <c r="AJ56" i="6"/>
  <c r="AI56" i="6"/>
  <c r="AH56" i="6"/>
  <c r="AG56" i="6"/>
  <c r="AF56" i="6"/>
  <c r="AR56" i="6" s="1"/>
  <c r="AE56" i="6"/>
  <c r="AB56" i="6"/>
  <c r="H56" i="6"/>
  <c r="H198" i="6" s="1"/>
  <c r="H244" i="6" s="1"/>
  <c r="H290" i="6" s="1"/>
  <c r="G56" i="6"/>
  <c r="G198" i="6" s="1"/>
  <c r="G244" i="6" s="1"/>
  <c r="G290" i="6" s="1"/>
  <c r="C56" i="6"/>
  <c r="AQ55" i="6"/>
  <c r="AP55" i="6"/>
  <c r="AO55" i="6"/>
  <c r="AN55" i="6"/>
  <c r="AM55" i="6"/>
  <c r="AL55" i="6"/>
  <c r="AK55" i="6"/>
  <c r="AJ55" i="6"/>
  <c r="AI55" i="6"/>
  <c r="AH55" i="6"/>
  <c r="AG55" i="6"/>
  <c r="AR55" i="6" s="1"/>
  <c r="AF55" i="6"/>
  <c r="AE55" i="6"/>
  <c r="AB55" i="6"/>
  <c r="H55" i="6"/>
  <c r="H197" i="6" s="1"/>
  <c r="H243" i="6" s="1"/>
  <c r="H289" i="6" s="1"/>
  <c r="G55" i="6"/>
  <c r="G197" i="6" s="1"/>
  <c r="G243" i="6" s="1"/>
  <c r="G289" i="6" s="1"/>
  <c r="C55" i="6"/>
  <c r="AQ54" i="6"/>
  <c r="AP54" i="6"/>
  <c r="AO54" i="6"/>
  <c r="AN54" i="6"/>
  <c r="AM54" i="6"/>
  <c r="AL54" i="6"/>
  <c r="AK54" i="6"/>
  <c r="AJ54" i="6"/>
  <c r="AI54" i="6"/>
  <c r="AH54" i="6"/>
  <c r="AG54" i="6"/>
  <c r="AR54" i="6" s="1"/>
  <c r="AF54" i="6"/>
  <c r="AE54" i="6"/>
  <c r="AB54" i="6"/>
  <c r="H54" i="6"/>
  <c r="H196" i="6" s="1"/>
  <c r="H242" i="6" s="1"/>
  <c r="H288" i="6" s="1"/>
  <c r="G54" i="6"/>
  <c r="G196" i="6" s="1"/>
  <c r="G242" i="6" s="1"/>
  <c r="G288" i="6" s="1"/>
  <c r="C54" i="6"/>
  <c r="AQ53" i="6"/>
  <c r="AP53" i="6"/>
  <c r="AO53" i="6"/>
  <c r="AN53" i="6"/>
  <c r="AM53" i="6"/>
  <c r="AL53" i="6"/>
  <c r="AK53" i="6"/>
  <c r="AJ53" i="6"/>
  <c r="AI53" i="6"/>
  <c r="AH53" i="6"/>
  <c r="AG53" i="6"/>
  <c r="AF53" i="6"/>
  <c r="AR53" i="6" s="1"/>
  <c r="AE53" i="6"/>
  <c r="AB53" i="6"/>
  <c r="H53" i="6"/>
  <c r="H195" i="6" s="1"/>
  <c r="H241" i="6" s="1"/>
  <c r="H287" i="6" s="1"/>
  <c r="G53" i="6"/>
  <c r="G195" i="6" s="1"/>
  <c r="G241" i="6" s="1"/>
  <c r="G287" i="6" s="1"/>
  <c r="C53" i="6"/>
  <c r="AQ52" i="6"/>
  <c r="AP52" i="6"/>
  <c r="AO52" i="6"/>
  <c r="AN52" i="6"/>
  <c r="AM52" i="6"/>
  <c r="AL52" i="6"/>
  <c r="AK52" i="6"/>
  <c r="AJ52" i="6"/>
  <c r="AI52" i="6"/>
  <c r="AH52" i="6"/>
  <c r="AG52" i="6"/>
  <c r="AF52" i="6"/>
  <c r="AR52" i="6" s="1"/>
  <c r="AB52" i="6"/>
  <c r="H52" i="6"/>
  <c r="AE52" i="6" s="1"/>
  <c r="G52" i="6"/>
  <c r="G194" i="6" s="1"/>
  <c r="G240" i="6" s="1"/>
  <c r="G286" i="6" s="1"/>
  <c r="C52" i="6"/>
  <c r="AQ51" i="6"/>
  <c r="AP51" i="6"/>
  <c r="AO51" i="6"/>
  <c r="AN51" i="6"/>
  <c r="AM51" i="6"/>
  <c r="AL51" i="6"/>
  <c r="AK51" i="6"/>
  <c r="AJ51" i="6"/>
  <c r="AI51" i="6"/>
  <c r="AH51" i="6"/>
  <c r="AG51" i="6"/>
  <c r="AR51" i="6" s="1"/>
  <c r="AF51" i="6"/>
  <c r="AE51" i="6"/>
  <c r="AB51" i="6"/>
  <c r="H51" i="6"/>
  <c r="G51" i="6"/>
  <c r="G193" i="6" s="1"/>
  <c r="G239" i="6" s="1"/>
  <c r="G285" i="6" s="1"/>
  <c r="C51" i="6"/>
  <c r="AQ50" i="6"/>
  <c r="AP50" i="6"/>
  <c r="AO50" i="6"/>
  <c r="AN50" i="6"/>
  <c r="AM50" i="6"/>
  <c r="AL50" i="6"/>
  <c r="AK50" i="6"/>
  <c r="AJ50" i="6"/>
  <c r="AI50" i="6"/>
  <c r="AH50" i="6"/>
  <c r="AG50" i="6"/>
  <c r="AR50" i="6" s="1"/>
  <c r="AF50" i="6"/>
  <c r="AE50" i="6"/>
  <c r="AB50" i="6"/>
  <c r="H50" i="6"/>
  <c r="H192" i="6" s="1"/>
  <c r="H238" i="6" s="1"/>
  <c r="H284" i="6" s="1"/>
  <c r="G50" i="6"/>
  <c r="G192" i="6" s="1"/>
  <c r="G238" i="6" s="1"/>
  <c r="G284" i="6" s="1"/>
  <c r="C50" i="6"/>
  <c r="AQ49" i="6"/>
  <c r="AP49" i="6"/>
  <c r="AO49" i="6"/>
  <c r="AN49" i="6"/>
  <c r="AM49" i="6"/>
  <c r="AL49" i="6"/>
  <c r="AK49" i="6"/>
  <c r="AJ49" i="6"/>
  <c r="AI49" i="6"/>
  <c r="AH49" i="6"/>
  <c r="AG49" i="6"/>
  <c r="AF49" i="6"/>
  <c r="AR49" i="6" s="1"/>
  <c r="Y49" i="6"/>
  <c r="W49" i="6"/>
  <c r="H49" i="6"/>
  <c r="H191" i="6" s="1"/>
  <c r="H237" i="6" s="1"/>
  <c r="H283" i="6" s="1"/>
  <c r="G49" i="6"/>
  <c r="G191" i="6" s="1"/>
  <c r="G237" i="6" s="1"/>
  <c r="G283" i="6" s="1"/>
  <c r="C49" i="6"/>
  <c r="AP48" i="6"/>
  <c r="AO48" i="6"/>
  <c r="AM48" i="6"/>
  <c r="AJ48" i="6"/>
  <c r="AH48" i="6"/>
  <c r="AG48" i="6"/>
  <c r="AA48" i="6"/>
  <c r="AQ48" i="6" s="1"/>
  <c r="Z48" i="6"/>
  <c r="Y48" i="6"/>
  <c r="X48" i="6"/>
  <c r="AN48" i="6" s="1"/>
  <c r="W48" i="6"/>
  <c r="V48" i="6"/>
  <c r="AL48" i="6" s="1"/>
  <c r="U48" i="6"/>
  <c r="AK48" i="6" s="1"/>
  <c r="T48" i="6"/>
  <c r="S48" i="6"/>
  <c r="AI48" i="6" s="1"/>
  <c r="R48" i="6"/>
  <c r="Q48" i="6"/>
  <c r="P48" i="6"/>
  <c r="AF48" i="6" s="1"/>
  <c r="B42" i="6"/>
  <c r="B41" i="6"/>
  <c r="B40" i="6"/>
  <c r="B39" i="6"/>
  <c r="AA38" i="6"/>
  <c r="Z38" i="6"/>
  <c r="Y38" i="6"/>
  <c r="X38" i="6"/>
  <c r="W38" i="6"/>
  <c r="V38" i="6"/>
  <c r="U38" i="6"/>
  <c r="T38" i="6"/>
  <c r="S38" i="6"/>
  <c r="R38" i="6"/>
  <c r="Q38" i="6"/>
  <c r="P38" i="6"/>
  <c r="V34" i="6"/>
  <c r="B34" i="6"/>
  <c r="V33" i="6"/>
  <c r="V35" i="6" s="1"/>
  <c r="T33" i="6"/>
  <c r="T35" i="6" s="1"/>
  <c r="Q33" i="6"/>
  <c r="B33" i="6"/>
  <c r="AA32" i="6"/>
  <c r="Z32" i="6"/>
  <c r="Y32" i="6"/>
  <c r="X32" i="6"/>
  <c r="W32" i="6"/>
  <c r="V32" i="6"/>
  <c r="U32" i="6"/>
  <c r="T32" i="6"/>
  <c r="S32" i="6"/>
  <c r="R32" i="6"/>
  <c r="Q32" i="6"/>
  <c r="P32" i="6"/>
  <c r="B28" i="6"/>
  <c r="B27" i="6"/>
  <c r="B26" i="6"/>
  <c r="B25" i="6"/>
  <c r="U369" i="6" s="1"/>
  <c r="AA24" i="6"/>
  <c r="Z24" i="6"/>
  <c r="Y24" i="6"/>
  <c r="X24" i="6"/>
  <c r="W24" i="6"/>
  <c r="V24" i="6"/>
  <c r="U24" i="6"/>
  <c r="T24" i="6"/>
  <c r="S24" i="6"/>
  <c r="R24" i="6"/>
  <c r="Q24" i="6"/>
  <c r="P24" i="6"/>
  <c r="V21" i="6"/>
  <c r="V96" i="6" s="1"/>
  <c r="AB20" i="6"/>
  <c r="AB19" i="6"/>
  <c r="AA34" i="6"/>
  <c r="X49" i="6"/>
  <c r="S34" i="6"/>
  <c r="Q34" i="6"/>
  <c r="Q35" i="6" s="1"/>
  <c r="AB18" i="6"/>
  <c r="AA33" i="6"/>
  <c r="AA35" i="6" s="1"/>
  <c r="Z34" i="6"/>
  <c r="U33" i="6"/>
  <c r="T34" i="6"/>
  <c r="S33" i="6"/>
  <c r="S35" i="6" s="1"/>
  <c r="R34" i="6"/>
  <c r="P33" i="6"/>
  <c r="AA16" i="6"/>
  <c r="Z16" i="6"/>
  <c r="Y16" i="6"/>
  <c r="X16" i="6"/>
  <c r="W16" i="6"/>
  <c r="V16" i="6"/>
  <c r="U16" i="6"/>
  <c r="T16" i="6"/>
  <c r="S16" i="6"/>
  <c r="R16" i="6"/>
  <c r="Q16" i="6"/>
  <c r="P16" i="6"/>
  <c r="AA12" i="6"/>
  <c r="Z12" i="6"/>
  <c r="Y12" i="6"/>
  <c r="X12" i="6"/>
  <c r="W12" i="6"/>
  <c r="V12" i="6"/>
  <c r="U12" i="6"/>
  <c r="T12" i="6"/>
  <c r="S12" i="6"/>
  <c r="R12" i="6"/>
  <c r="Q12" i="6"/>
  <c r="P12" i="6"/>
  <c r="AB11" i="6"/>
  <c r="AB12" i="6" s="1"/>
  <c r="AB10" i="6"/>
  <c r="H93" i="10" l="1"/>
  <c r="F93" i="10" s="1"/>
  <c r="H81" i="10"/>
  <c r="F81" i="10" s="1"/>
  <c r="X345" i="6"/>
  <c r="B153" i="6"/>
  <c r="I63" i="5"/>
  <c r="M52" i="5"/>
  <c r="I45" i="5"/>
  <c r="F43" i="5"/>
  <c r="I32" i="5"/>
  <c r="H30" i="5"/>
  <c r="O25" i="9"/>
  <c r="O26" i="9" s="1"/>
  <c r="O23" i="9"/>
  <c r="O24" i="9" s="1"/>
  <c r="P21" i="9"/>
  <c r="M19" i="9"/>
  <c r="M20" i="9" s="1"/>
  <c r="M17" i="9"/>
  <c r="M15" i="9"/>
  <c r="O13" i="9"/>
  <c r="P11" i="9"/>
  <c r="G7" i="9"/>
  <c r="G8" i="9" s="1"/>
  <c r="I19" i="9"/>
  <c r="I20" i="9" s="1"/>
  <c r="P54" i="5"/>
  <c r="K52" i="5"/>
  <c r="H45" i="5"/>
  <c r="M34" i="5"/>
  <c r="F67" i="5"/>
  <c r="N54" i="5"/>
  <c r="J52" i="5"/>
  <c r="N41" i="5"/>
  <c r="K34" i="5"/>
  <c r="G32" i="5"/>
  <c r="M25" i="9"/>
  <c r="M26" i="9" s="1"/>
  <c r="L23" i="9"/>
  <c r="L24" i="9" s="1"/>
  <c r="J21" i="9"/>
  <c r="G19" i="9"/>
  <c r="G20" i="9" s="1"/>
  <c r="K17" i="9"/>
  <c r="K18" i="9" s="1"/>
  <c r="J15" i="9"/>
  <c r="K13" i="9"/>
  <c r="M11" i="9"/>
  <c r="N9" i="9"/>
  <c r="N10" i="9" s="1"/>
  <c r="P7" i="9"/>
  <c r="P8" i="9" s="1"/>
  <c r="H56" i="5"/>
  <c r="P45" i="5"/>
  <c r="P32" i="5"/>
  <c r="O19" i="9"/>
  <c r="O20" i="9" s="1"/>
  <c r="F13" i="9"/>
  <c r="J7" i="9"/>
  <c r="J8" i="9" s="1"/>
  <c r="E9" i="9"/>
  <c r="E10" i="9" s="1"/>
  <c r="N23" i="9"/>
  <c r="N24" i="9" s="1"/>
  <c r="P56" i="5"/>
  <c r="M54" i="5"/>
  <c r="Q43" i="5"/>
  <c r="L41" i="5"/>
  <c r="J34" i="5"/>
  <c r="I25" i="9"/>
  <c r="I26" i="9" s="1"/>
  <c r="K23" i="9"/>
  <c r="K24" i="9" s="1"/>
  <c r="I21" i="9"/>
  <c r="F19" i="9"/>
  <c r="F20" i="9" s="1"/>
  <c r="H17" i="9"/>
  <c r="I15" i="9"/>
  <c r="J13" i="9"/>
  <c r="L11" i="9"/>
  <c r="M9" i="9"/>
  <c r="M10" i="9" s="1"/>
  <c r="O7" i="9"/>
  <c r="O8" i="9" s="1"/>
  <c r="N7" i="9"/>
  <c r="N8" i="9" s="1"/>
  <c r="Q45" i="5"/>
  <c r="N43" i="5"/>
  <c r="F41" i="5"/>
  <c r="Q32" i="5"/>
  <c r="N30" i="5"/>
  <c r="F25" i="9"/>
  <c r="F26" i="9" s="1"/>
  <c r="F23" i="9"/>
  <c r="F24" i="9" s="1"/>
  <c r="E17" i="9"/>
  <c r="E15" i="9"/>
  <c r="G13" i="9"/>
  <c r="H11" i="9"/>
  <c r="J9" i="9"/>
  <c r="J10" i="9" s="1"/>
  <c r="K7" i="9"/>
  <c r="K8" i="9" s="1"/>
  <c r="N63" i="5"/>
  <c r="F54" i="5"/>
  <c r="I43" i="5"/>
  <c r="M30" i="5"/>
  <c r="E25" i="9"/>
  <c r="E26" i="9" s="1"/>
  <c r="P17" i="9"/>
  <c r="P18" i="9" s="1"/>
  <c r="I9" i="9"/>
  <c r="I10" i="9" s="1"/>
  <c r="F9" i="9"/>
  <c r="F10" i="9" s="1"/>
  <c r="F30" i="5"/>
  <c r="L21" i="9"/>
  <c r="K65" i="5"/>
  <c r="O56" i="5"/>
  <c r="I54" i="5"/>
  <c r="O43" i="5"/>
  <c r="K41" i="5"/>
  <c r="P30" i="5"/>
  <c r="G25" i="9"/>
  <c r="G26" i="9" s="1"/>
  <c r="J23" i="9"/>
  <c r="J24" i="9" s="1"/>
  <c r="H21" i="9"/>
  <c r="E19" i="9"/>
  <c r="E20" i="9" s="1"/>
  <c r="G17" i="9"/>
  <c r="H15" i="9"/>
  <c r="H13" i="9"/>
  <c r="K11" i="9"/>
  <c r="K9" i="9"/>
  <c r="K10" i="9" s="1"/>
  <c r="H54" i="5"/>
  <c r="J56" i="5"/>
  <c r="G11" i="9"/>
  <c r="H7" i="9"/>
  <c r="H8" i="9" s="1"/>
  <c r="N25" i="9"/>
  <c r="N26" i="9" s="1"/>
  <c r="L17" i="9"/>
  <c r="K63" i="5"/>
  <c r="G56" i="5"/>
  <c r="K45" i="5"/>
  <c r="G43" i="5"/>
  <c r="K32" i="5"/>
  <c r="L30" i="5"/>
  <c r="Q25" i="9"/>
  <c r="Q26" i="9" s="1"/>
  <c r="Q21" i="9"/>
  <c r="N19" i="9"/>
  <c r="N20" i="9" s="1"/>
  <c r="O17" i="9"/>
  <c r="P15" i="9"/>
  <c r="P13" i="9"/>
  <c r="L105" i="6"/>
  <c r="AT105" i="6" s="1"/>
  <c r="AH152" i="6"/>
  <c r="AT344" i="6"/>
  <c r="AL152" i="6"/>
  <c r="B344" i="6"/>
  <c r="G65" i="5"/>
  <c r="H63" i="5"/>
  <c r="N56" i="5"/>
  <c r="F56" i="5"/>
  <c r="L54" i="5"/>
  <c r="Q52" i="5"/>
  <c r="I52" i="5"/>
  <c r="O45" i="5"/>
  <c r="G45" i="5"/>
  <c r="M43" i="5"/>
  <c r="J41" i="5"/>
  <c r="Q34" i="5"/>
  <c r="I34" i="5"/>
  <c r="O32" i="5"/>
  <c r="G63" i="5"/>
  <c r="M56" i="5"/>
  <c r="K54" i="5"/>
  <c r="P52" i="5"/>
  <c r="H52" i="5"/>
  <c r="N45" i="5"/>
  <c r="F45" i="5"/>
  <c r="L43" i="5"/>
  <c r="Q41" i="5"/>
  <c r="I41" i="5"/>
  <c r="P34" i="5"/>
  <c r="H34" i="5"/>
  <c r="N32" i="5"/>
  <c r="F32" i="5"/>
  <c r="K30" i="5"/>
  <c r="L25" i="9"/>
  <c r="L26" i="9" s="1"/>
  <c r="I23" i="9"/>
  <c r="I24" i="9" s="1"/>
  <c r="O21" i="9"/>
  <c r="G21" i="9"/>
  <c r="L19" i="9"/>
  <c r="L20" i="9" s="1"/>
  <c r="J17" i="9"/>
  <c r="O15" i="9"/>
  <c r="G15" i="9"/>
  <c r="M13" i="9"/>
  <c r="E13" i="9"/>
  <c r="J11" i="9"/>
  <c r="P9" i="9"/>
  <c r="P10" i="9" s="1"/>
  <c r="H9" i="9"/>
  <c r="H10" i="9" s="1"/>
  <c r="M7" i="9"/>
  <c r="M8" i="9" s="1"/>
  <c r="E7" i="9"/>
  <c r="R43" i="5"/>
  <c r="G41" i="5"/>
  <c r="N34" i="5"/>
  <c r="L32" i="5"/>
  <c r="I30" i="5"/>
  <c r="Q63" i="5"/>
  <c r="F63" i="5"/>
  <c r="L56" i="5"/>
  <c r="R54" i="5"/>
  <c r="J54" i="5"/>
  <c r="O52" i="5"/>
  <c r="G52" i="5"/>
  <c r="M45" i="5"/>
  <c r="K43" i="5"/>
  <c r="P41" i="5"/>
  <c r="H41" i="5"/>
  <c r="O34" i="5"/>
  <c r="G34" i="5"/>
  <c r="M32" i="5"/>
  <c r="J30" i="5"/>
  <c r="K25" i="9"/>
  <c r="K26" i="9" s="1"/>
  <c r="P23" i="9"/>
  <c r="P24" i="9" s="1"/>
  <c r="H23" i="9"/>
  <c r="H24" i="9" s="1"/>
  <c r="N21" i="9"/>
  <c r="F21" i="9"/>
  <c r="K19" i="9"/>
  <c r="K20" i="9" s="1"/>
  <c r="Q17" i="9"/>
  <c r="Q18" i="9" s="1"/>
  <c r="I17" i="9"/>
  <c r="I18" i="9" s="1"/>
  <c r="N15" i="9"/>
  <c r="F15" i="9"/>
  <c r="L13" i="9"/>
  <c r="I11" i="9"/>
  <c r="O9" i="9"/>
  <c r="O10" i="9" s="1"/>
  <c r="G9" i="9"/>
  <c r="G10" i="9" s="1"/>
  <c r="L7" i="9"/>
  <c r="L8" i="9" s="1"/>
  <c r="N52" i="5"/>
  <c r="F52" i="5"/>
  <c r="L45" i="5"/>
  <c r="J43" i="5"/>
  <c r="O41" i="5"/>
  <c r="F34" i="5"/>
  <c r="Q30" i="5"/>
  <c r="J25" i="9"/>
  <c r="J26" i="9" s="1"/>
  <c r="G23" i="9"/>
  <c r="G24" i="9" s="1"/>
  <c r="M21" i="9"/>
  <c r="E21" i="9"/>
  <c r="J19" i="9"/>
  <c r="J20" i="9" s="1"/>
  <c r="N67" i="5"/>
  <c r="P63" i="5"/>
  <c r="K56" i="5"/>
  <c r="Q54" i="5"/>
  <c r="L63" i="5"/>
  <c r="Q56" i="5"/>
  <c r="I56" i="5"/>
  <c r="O54" i="5"/>
  <c r="G54" i="5"/>
  <c r="L52" i="5"/>
  <c r="J45" i="5"/>
  <c r="P43" i="5"/>
  <c r="H43" i="5"/>
  <c r="M41" i="5"/>
  <c r="L34" i="5"/>
  <c r="R32" i="5"/>
  <c r="J32" i="5"/>
  <c r="O30" i="5"/>
  <c r="G30" i="5"/>
  <c r="P25" i="9"/>
  <c r="P26" i="9" s="1"/>
  <c r="H25" i="9"/>
  <c r="H26" i="9" s="1"/>
  <c r="M23" i="9"/>
  <c r="M24" i="9" s="1"/>
  <c r="E23" i="9"/>
  <c r="K21" i="9"/>
  <c r="P19" i="9"/>
  <c r="P20" i="9" s="1"/>
  <c r="H19" i="9"/>
  <c r="N17" i="9"/>
  <c r="N18" i="9" s="1"/>
  <c r="F17" i="9"/>
  <c r="K15" i="9"/>
  <c r="Q13" i="9"/>
  <c r="I13" i="9"/>
  <c r="N11" i="9"/>
  <c r="F11" i="9"/>
  <c r="L9" i="9"/>
  <c r="L10" i="9" s="1"/>
  <c r="I7" i="9"/>
  <c r="I8" i="9" s="1"/>
  <c r="L65" i="5"/>
  <c r="H344" i="6"/>
  <c r="H390" i="6" s="1"/>
  <c r="H436" i="6" s="1"/>
  <c r="F2145" i="6"/>
  <c r="B2145" i="6" s="1"/>
  <c r="O21" i="10"/>
  <c r="P19" i="10"/>
  <c r="O19" i="10"/>
  <c r="I19" i="10"/>
  <c r="L19" i="10"/>
  <c r="J19" i="10"/>
  <c r="R21" i="10"/>
  <c r="G19" i="10"/>
  <c r="G21" i="10"/>
  <c r="Q19" i="10"/>
  <c r="H19" i="10"/>
  <c r="M67" i="5"/>
  <c r="L67" i="5"/>
  <c r="R65" i="5"/>
  <c r="J65" i="5"/>
  <c r="O63" i="5"/>
  <c r="K67" i="5"/>
  <c r="Q65" i="5"/>
  <c r="I65" i="5"/>
  <c r="J67" i="5"/>
  <c r="P65" i="5"/>
  <c r="H65" i="5"/>
  <c r="M63" i="5"/>
  <c r="Q67" i="5"/>
  <c r="I67" i="5"/>
  <c r="O65" i="5"/>
  <c r="P67" i="5"/>
  <c r="H67" i="5"/>
  <c r="N65" i="5"/>
  <c r="F65" i="5"/>
  <c r="O67" i="5"/>
  <c r="G67" i="5"/>
  <c r="M65" i="5"/>
  <c r="J63" i="5"/>
  <c r="AR1952" i="6"/>
  <c r="I2144" i="6"/>
  <c r="H51" i="10" s="1"/>
  <c r="F47" i="10"/>
  <c r="N47" i="10"/>
  <c r="F2144" i="6"/>
  <c r="G40" i="10"/>
  <c r="G41" i="10" s="1"/>
  <c r="M19" i="10"/>
  <c r="P51" i="10"/>
  <c r="O47" i="10"/>
  <c r="O51" i="10"/>
  <c r="L51" i="10"/>
  <c r="L47" i="10"/>
  <c r="I51" i="10"/>
  <c r="K47" i="10"/>
  <c r="G51" i="10"/>
  <c r="G47" i="10"/>
  <c r="AE109" i="6"/>
  <c r="L110" i="6"/>
  <c r="AT110" i="6" s="1"/>
  <c r="K154" i="6"/>
  <c r="L112" i="6"/>
  <c r="AT112" i="6" s="1"/>
  <c r="AH158" i="6"/>
  <c r="AP158" i="6"/>
  <c r="AT346" i="6"/>
  <c r="B154" i="6"/>
  <c r="O40" i="10"/>
  <c r="O41" i="10" s="1"/>
  <c r="N40" i="10"/>
  <c r="N41" i="10" s="1"/>
  <c r="F40" i="10"/>
  <c r="F41" i="10" s="1"/>
  <c r="M40" i="10"/>
  <c r="M41" i="10" s="1"/>
  <c r="L40" i="10"/>
  <c r="L41" i="10" s="1"/>
  <c r="I40" i="10"/>
  <c r="I41" i="10" s="1"/>
  <c r="K40" i="10"/>
  <c r="K41" i="10" s="1"/>
  <c r="H40" i="10"/>
  <c r="H41" i="10" s="1"/>
  <c r="R40" i="10"/>
  <c r="R41" i="10" s="1"/>
  <c r="J40" i="10"/>
  <c r="J41" i="10" s="1"/>
  <c r="Q40" i="10"/>
  <c r="Q41" i="10" s="1"/>
  <c r="P40" i="10"/>
  <c r="P41" i="10" s="1"/>
  <c r="B396" i="6"/>
  <c r="B346" i="6"/>
  <c r="AH150" i="6"/>
  <c r="AQ150" i="6"/>
  <c r="AF150" i="6"/>
  <c r="AH148" i="6"/>
  <c r="L101" i="6"/>
  <c r="AT101" i="6" s="1"/>
  <c r="AP148" i="6"/>
  <c r="K150" i="6"/>
  <c r="L102" i="6"/>
  <c r="AT102" i="6" s="1"/>
  <c r="B148" i="6"/>
  <c r="AE341" i="6"/>
  <c r="AE387" i="6" s="1"/>
  <c r="AE433" i="6" s="1"/>
  <c r="AT342" i="6"/>
  <c r="B343" i="6"/>
  <c r="B150" i="6"/>
  <c r="L100" i="6"/>
  <c r="AT100" i="6" s="1"/>
  <c r="AK147" i="6"/>
  <c r="AN147" i="6"/>
  <c r="B147" i="6"/>
  <c r="H339" i="6"/>
  <c r="H385" i="6" s="1"/>
  <c r="H431" i="6" s="1"/>
  <c r="N51" i="10"/>
  <c r="F51" i="10"/>
  <c r="Q47" i="10"/>
  <c r="I47" i="10"/>
  <c r="M51" i="10"/>
  <c r="P47" i="10"/>
  <c r="H47" i="10"/>
  <c r="I21" i="10"/>
  <c r="N19" i="10"/>
  <c r="F19" i="10"/>
  <c r="K51" i="10"/>
  <c r="J51" i="10"/>
  <c r="M47" i="10"/>
  <c r="K19" i="10"/>
  <c r="Q51" i="10"/>
  <c r="B342" i="6"/>
  <c r="H78" i="10"/>
  <c r="F78" i="10" s="1"/>
  <c r="G52" i="9"/>
  <c r="E52" i="9" s="1"/>
  <c r="M18" i="9"/>
  <c r="H18" i="9"/>
  <c r="G18" i="9"/>
  <c r="E18" i="9"/>
  <c r="O18" i="9"/>
  <c r="L18" i="9"/>
  <c r="F18" i="9"/>
  <c r="J18" i="9"/>
  <c r="H94" i="5"/>
  <c r="F94" i="5" s="1"/>
  <c r="F100" i="5"/>
  <c r="F106" i="5"/>
  <c r="F102" i="5"/>
  <c r="R19" i="5"/>
  <c r="F104" i="5"/>
  <c r="I18" i="5" s="1"/>
  <c r="F101" i="5"/>
  <c r="F105" i="5"/>
  <c r="F97" i="5"/>
  <c r="R23" i="5"/>
  <c r="R15" i="5"/>
  <c r="R11" i="5"/>
  <c r="AG123" i="6"/>
  <c r="AG362" i="6" s="1"/>
  <c r="AW123" i="6"/>
  <c r="X191" i="6"/>
  <c r="AG121" i="6"/>
  <c r="AW121" i="6"/>
  <c r="AG129" i="6"/>
  <c r="AW129" i="6"/>
  <c r="AG101" i="6"/>
  <c r="AG386" i="6" s="1"/>
  <c r="AW101" i="6"/>
  <c r="AH134" i="6"/>
  <c r="AH373" i="6" s="1"/>
  <c r="AX134" i="6"/>
  <c r="AG99" i="6"/>
  <c r="AG338" i="6" s="1"/>
  <c r="AW99" i="6"/>
  <c r="AG107" i="6"/>
  <c r="AG346" i="6" s="1"/>
  <c r="AW107" i="6"/>
  <c r="AY136" i="6"/>
  <c r="AI136" i="6"/>
  <c r="AI375" i="6" s="1"/>
  <c r="AP173" i="6"/>
  <c r="AH173" i="6"/>
  <c r="AM173" i="6"/>
  <c r="AK173" i="6"/>
  <c r="AQ173" i="6"/>
  <c r="AI173" i="6"/>
  <c r="AL173" i="6"/>
  <c r="AJ173" i="6"/>
  <c r="AG173" i="6"/>
  <c r="AO173" i="6"/>
  <c r="AF173" i="6"/>
  <c r="AN173" i="6"/>
  <c r="AG115" i="6"/>
  <c r="AG354" i="6" s="1"/>
  <c r="AW115" i="6"/>
  <c r="AG119" i="6"/>
  <c r="AG358" i="6" s="1"/>
  <c r="AW119" i="6"/>
  <c r="AG127" i="6"/>
  <c r="AG366" i="6" s="1"/>
  <c r="AW127" i="6"/>
  <c r="AI135" i="6"/>
  <c r="AY135" i="6"/>
  <c r="T285" i="6"/>
  <c r="AA285" i="6"/>
  <c r="R285" i="6"/>
  <c r="Z285" i="6"/>
  <c r="Q285" i="6"/>
  <c r="Y285" i="6"/>
  <c r="P285" i="6"/>
  <c r="X285" i="6"/>
  <c r="W285" i="6"/>
  <c r="V285" i="6"/>
  <c r="S285" i="6"/>
  <c r="U285" i="6"/>
  <c r="AG97" i="6"/>
  <c r="AW97" i="6"/>
  <c r="AX97" i="6" s="1"/>
  <c r="AY97" i="6" s="1"/>
  <c r="AZ97" i="6" s="1"/>
  <c r="BA97" i="6" s="1"/>
  <c r="BB97" i="6" s="1"/>
  <c r="BC97" i="6" s="1"/>
  <c r="AG105" i="6"/>
  <c r="AG344" i="6" s="1"/>
  <c r="AW105" i="6"/>
  <c r="AG109" i="6"/>
  <c r="AW109" i="6"/>
  <c r="V335" i="6"/>
  <c r="AG113" i="6"/>
  <c r="AW113" i="6"/>
  <c r="AG125" i="6"/>
  <c r="AW125" i="6"/>
  <c r="T318" i="6"/>
  <c r="X318" i="6"/>
  <c r="P318" i="6"/>
  <c r="S318" i="6"/>
  <c r="R318" i="6"/>
  <c r="AA318" i="6"/>
  <c r="Q318" i="6"/>
  <c r="Z318" i="6"/>
  <c r="Y318" i="6"/>
  <c r="W318" i="6"/>
  <c r="U318" i="6"/>
  <c r="V318" i="6"/>
  <c r="AG103" i="6"/>
  <c r="AG342" i="6" s="1"/>
  <c r="AW103" i="6"/>
  <c r="AG111" i="6"/>
  <c r="AW111" i="6"/>
  <c r="AX138" i="6"/>
  <c r="AH138" i="6"/>
  <c r="AH377" i="6" s="1"/>
  <c r="AE145" i="6"/>
  <c r="AP165" i="6"/>
  <c r="AH165" i="6"/>
  <c r="AM165" i="6"/>
  <c r="AK165" i="6"/>
  <c r="AQ165" i="6"/>
  <c r="AI165" i="6"/>
  <c r="AL165" i="6"/>
  <c r="AJ165" i="6"/>
  <c r="AG165" i="6"/>
  <c r="AO165" i="6"/>
  <c r="AF165" i="6"/>
  <c r="AN165" i="6"/>
  <c r="Q405" i="6"/>
  <c r="T21" i="6"/>
  <c r="R33" i="6"/>
  <c r="R35" i="6" s="1"/>
  <c r="Z33" i="6"/>
  <c r="Z35" i="6" s="1"/>
  <c r="U21" i="6"/>
  <c r="U34" i="6"/>
  <c r="U35" i="6" s="1"/>
  <c r="V39" i="6"/>
  <c r="AF97" i="6"/>
  <c r="AF99" i="6"/>
  <c r="AF101" i="6"/>
  <c r="AF386" i="6" s="1"/>
  <c r="AF103" i="6"/>
  <c r="AF342" i="6" s="1"/>
  <c r="AF105" i="6"/>
  <c r="AF107" i="6"/>
  <c r="AF109" i="6"/>
  <c r="AF348" i="6" s="1"/>
  <c r="AF111" i="6"/>
  <c r="AF113" i="6"/>
  <c r="AF115" i="6"/>
  <c r="AF119" i="6"/>
  <c r="AF121" i="6"/>
  <c r="AF123" i="6"/>
  <c r="AF125" i="6"/>
  <c r="AF127" i="6"/>
  <c r="AF129" i="6"/>
  <c r="G370" i="6"/>
  <c r="G416" i="6" s="1"/>
  <c r="G462" i="6" s="1"/>
  <c r="G178" i="6"/>
  <c r="AE178" i="6" s="1"/>
  <c r="G371" i="6"/>
  <c r="G417" i="6" s="1"/>
  <c r="G463" i="6" s="1"/>
  <c r="G179" i="6"/>
  <c r="AG375" i="6"/>
  <c r="AV137" i="6"/>
  <c r="S141" i="6"/>
  <c r="AJ142" i="6"/>
  <c r="AR142" i="6" s="1"/>
  <c r="AM142" i="6"/>
  <c r="AH142" i="6"/>
  <c r="X143" i="6"/>
  <c r="AJ143" i="6"/>
  <c r="X144" i="6"/>
  <c r="AK144" i="6"/>
  <c r="G145" i="6"/>
  <c r="AO145" i="6"/>
  <c r="AG146" i="6"/>
  <c r="X147" i="6"/>
  <c r="AJ147" i="6"/>
  <c r="X148" i="6"/>
  <c r="AP150" i="6"/>
  <c r="B152" i="6"/>
  <c r="G153" i="6"/>
  <c r="AE153" i="6" s="1"/>
  <c r="AL153" i="6"/>
  <c r="AH154" i="6"/>
  <c r="AM156" i="6"/>
  <c r="AN158" i="6"/>
  <c r="B161" i="6"/>
  <c r="H163" i="6"/>
  <c r="R164" i="6"/>
  <c r="AJ164" i="6"/>
  <c r="AJ166" i="6"/>
  <c r="AO166" i="6"/>
  <c r="AG166" i="6"/>
  <c r="AM166" i="6"/>
  <c r="AK166" i="6"/>
  <c r="AI166" i="6"/>
  <c r="L167" i="6"/>
  <c r="AE167" i="6"/>
  <c r="L168" i="6"/>
  <c r="X168" i="6"/>
  <c r="H170" i="6"/>
  <c r="AQ170" i="6"/>
  <c r="P172" i="6"/>
  <c r="AJ174" i="6"/>
  <c r="AR174" i="6" s="1"/>
  <c r="AO174" i="6"/>
  <c r="AG174" i="6"/>
  <c r="AM174" i="6"/>
  <c r="AK174" i="6"/>
  <c r="AI174" i="6"/>
  <c r="L175" i="6"/>
  <c r="L176" i="6"/>
  <c r="X176" i="6"/>
  <c r="AN178" i="6"/>
  <c r="B181" i="6"/>
  <c r="AQ182" i="6"/>
  <c r="B185" i="6"/>
  <c r="P192" i="6"/>
  <c r="B193" i="6"/>
  <c r="F239" i="6"/>
  <c r="R193" i="6"/>
  <c r="H194" i="6"/>
  <c r="H240" i="6" s="1"/>
  <c r="H286" i="6" s="1"/>
  <c r="T194" i="6"/>
  <c r="V195" i="6"/>
  <c r="U195" i="6"/>
  <c r="J242" i="6"/>
  <c r="D196" i="6"/>
  <c r="X196" i="6"/>
  <c r="Z197" i="6"/>
  <c r="P200" i="6"/>
  <c r="B201" i="6"/>
  <c r="F247" i="6"/>
  <c r="R201" i="6"/>
  <c r="T202" i="6"/>
  <c r="V203" i="6"/>
  <c r="U203" i="6"/>
  <c r="J250" i="6"/>
  <c r="D204" i="6"/>
  <c r="X204" i="6"/>
  <c r="Z205" i="6"/>
  <c r="P208" i="6"/>
  <c r="B209" i="6"/>
  <c r="F255" i="6"/>
  <c r="R209" i="6"/>
  <c r="T210" i="6"/>
  <c r="V211" i="6"/>
  <c r="U211" i="6"/>
  <c r="J258" i="6"/>
  <c r="D212" i="6"/>
  <c r="X212" i="6"/>
  <c r="Z213" i="6"/>
  <c r="P216" i="6"/>
  <c r="B217" i="6"/>
  <c r="F263" i="6"/>
  <c r="R217" i="6"/>
  <c r="T218" i="6"/>
  <c r="V219" i="6"/>
  <c r="U219" i="6"/>
  <c r="J266" i="6"/>
  <c r="D220" i="6"/>
  <c r="X220" i="6"/>
  <c r="Z221" i="6"/>
  <c r="P224" i="6"/>
  <c r="B225" i="6"/>
  <c r="F271" i="6"/>
  <c r="R225" i="6"/>
  <c r="T226" i="6"/>
  <c r="V227" i="6"/>
  <c r="U227" i="6"/>
  <c r="J274" i="6"/>
  <c r="D228" i="6"/>
  <c r="X228" i="6"/>
  <c r="B231" i="6"/>
  <c r="F277" i="6"/>
  <c r="R231" i="6"/>
  <c r="V232" i="6"/>
  <c r="X232" i="6"/>
  <c r="Y238" i="6"/>
  <c r="Q238" i="6"/>
  <c r="X238" i="6"/>
  <c r="P238" i="6"/>
  <c r="W238" i="6"/>
  <c r="I284" i="6"/>
  <c r="V238" i="6"/>
  <c r="T238" i="6"/>
  <c r="Z238" i="6"/>
  <c r="R238" i="6"/>
  <c r="S241" i="6"/>
  <c r="Y250" i="6"/>
  <c r="Q250" i="6"/>
  <c r="X250" i="6"/>
  <c r="P250" i="6"/>
  <c r="I296" i="6"/>
  <c r="W250" i="6"/>
  <c r="V250" i="6"/>
  <c r="U250" i="6"/>
  <c r="T250" i="6"/>
  <c r="Z250" i="6"/>
  <c r="R250" i="6"/>
  <c r="Y258" i="6"/>
  <c r="Q258" i="6"/>
  <c r="X258" i="6"/>
  <c r="P258" i="6"/>
  <c r="I304" i="6"/>
  <c r="W258" i="6"/>
  <c r="V258" i="6"/>
  <c r="U258" i="6"/>
  <c r="T258" i="6"/>
  <c r="Z258" i="6"/>
  <c r="R258" i="6"/>
  <c r="Y266" i="6"/>
  <c r="Q266" i="6"/>
  <c r="AA266" i="6"/>
  <c r="R266" i="6"/>
  <c r="Z266" i="6"/>
  <c r="P266" i="6"/>
  <c r="AB266" i="6" s="1"/>
  <c r="I312" i="6"/>
  <c r="X266" i="6"/>
  <c r="W266" i="6"/>
  <c r="V266" i="6"/>
  <c r="U266" i="6"/>
  <c r="S266" i="6"/>
  <c r="F268" i="6"/>
  <c r="R276" i="6"/>
  <c r="S278" i="6"/>
  <c r="T322" i="6"/>
  <c r="X322" i="6"/>
  <c r="P322" i="6"/>
  <c r="S322" i="6"/>
  <c r="R322" i="6"/>
  <c r="AA322" i="6"/>
  <c r="Q322" i="6"/>
  <c r="Z322" i="6"/>
  <c r="Y322" i="6"/>
  <c r="W322" i="6"/>
  <c r="U322" i="6"/>
  <c r="F431" i="6"/>
  <c r="T349" i="6"/>
  <c r="P353" i="6"/>
  <c r="G359" i="6"/>
  <c r="G405" i="6" s="1"/>
  <c r="G451" i="6" s="1"/>
  <c r="V366" i="6"/>
  <c r="S413" i="6"/>
  <c r="Z232" i="6"/>
  <c r="S240" i="6"/>
  <c r="AA248" i="6"/>
  <c r="S261" i="6"/>
  <c r="V322" i="6"/>
  <c r="AF1048" i="6"/>
  <c r="AL645" i="6"/>
  <c r="AK645" i="6"/>
  <c r="AJ645" i="6"/>
  <c r="AQ645" i="6"/>
  <c r="AI645" i="6"/>
  <c r="AP645" i="6"/>
  <c r="AH645" i="6"/>
  <c r="AO645" i="6"/>
  <c r="AG645" i="6"/>
  <c r="AM645" i="6"/>
  <c r="AN645" i="6"/>
  <c r="AF645" i="6"/>
  <c r="AJ652" i="6"/>
  <c r="AQ652" i="6"/>
  <c r="AI652" i="6"/>
  <c r="AP652" i="6"/>
  <c r="AH652" i="6"/>
  <c r="AO652" i="6"/>
  <c r="AG652" i="6"/>
  <c r="AN652" i="6"/>
  <c r="AF652" i="6"/>
  <c r="AM652" i="6"/>
  <c r="AK652" i="6"/>
  <c r="AL652" i="6"/>
  <c r="W725" i="6"/>
  <c r="V725" i="6"/>
  <c r="U725" i="6"/>
  <c r="T725" i="6"/>
  <c r="AA725" i="6"/>
  <c r="S725" i="6"/>
  <c r="I771" i="6"/>
  <c r="X725" i="6"/>
  <c r="P725" i="6"/>
  <c r="Z725" i="6"/>
  <c r="Y725" i="6"/>
  <c r="Q725" i="6"/>
  <c r="R725" i="6"/>
  <c r="G372" i="6"/>
  <c r="G418" i="6" s="1"/>
  <c r="G464" i="6" s="1"/>
  <c r="G180" i="6"/>
  <c r="AE180" i="6" s="1"/>
  <c r="AJ146" i="6"/>
  <c r="AM146" i="6"/>
  <c r="Z176" i="6"/>
  <c r="X203" i="6"/>
  <c r="Z212" i="6"/>
  <c r="T217" i="6"/>
  <c r="U226" i="6"/>
  <c r="J273" i="6"/>
  <c r="D227" i="6"/>
  <c r="I309" i="6"/>
  <c r="Y263" i="6"/>
  <c r="Q263" i="6"/>
  <c r="X263" i="6"/>
  <c r="P263" i="6"/>
  <c r="W263" i="6"/>
  <c r="V263" i="6"/>
  <c r="U263" i="6"/>
  <c r="T263" i="6"/>
  <c r="Z263" i="6"/>
  <c r="R263" i="6"/>
  <c r="W21" i="6"/>
  <c r="V42" i="6"/>
  <c r="AF335" i="6"/>
  <c r="AW96" i="6"/>
  <c r="AX96" i="6" s="1"/>
  <c r="AY96" i="6" s="1"/>
  <c r="AZ96" i="6" s="1"/>
  <c r="BA96" i="6" s="1"/>
  <c r="BB96" i="6" s="1"/>
  <c r="G342" i="6"/>
  <c r="G388" i="6" s="1"/>
  <c r="G434" i="6" s="1"/>
  <c r="G150" i="6"/>
  <c r="AE150" i="6" s="1"/>
  <c r="G344" i="6"/>
  <c r="G390" i="6" s="1"/>
  <c r="G436" i="6" s="1"/>
  <c r="G152" i="6"/>
  <c r="AE152" i="6" s="1"/>
  <c r="G346" i="6"/>
  <c r="G392" i="6" s="1"/>
  <c r="G438" i="6" s="1"/>
  <c r="G154" i="6"/>
  <c r="AE154" i="6" s="1"/>
  <c r="G348" i="6"/>
  <c r="G394" i="6" s="1"/>
  <c r="G440" i="6" s="1"/>
  <c r="G156" i="6"/>
  <c r="AE156" i="6" s="1"/>
  <c r="G350" i="6"/>
  <c r="G396" i="6" s="1"/>
  <c r="G442" i="6" s="1"/>
  <c r="G158" i="6"/>
  <c r="G352" i="6"/>
  <c r="G398" i="6" s="1"/>
  <c r="G444" i="6" s="1"/>
  <c r="G160" i="6"/>
  <c r="AE160" i="6" s="1"/>
  <c r="G354" i="6"/>
  <c r="G400" i="6" s="1"/>
  <c r="G446" i="6" s="1"/>
  <c r="G162" i="6"/>
  <c r="AE162" i="6" s="1"/>
  <c r="G358" i="6"/>
  <c r="G404" i="6" s="1"/>
  <c r="G450" i="6" s="1"/>
  <c r="G166" i="6"/>
  <c r="G360" i="6"/>
  <c r="G406" i="6" s="1"/>
  <c r="G452" i="6" s="1"/>
  <c r="G168" i="6"/>
  <c r="AE168" i="6" s="1"/>
  <c r="G362" i="6"/>
  <c r="G408" i="6" s="1"/>
  <c r="G454" i="6" s="1"/>
  <c r="G170" i="6"/>
  <c r="G364" i="6"/>
  <c r="G410" i="6" s="1"/>
  <c r="G456" i="6" s="1"/>
  <c r="G172" i="6"/>
  <c r="G366" i="6"/>
  <c r="G412" i="6" s="1"/>
  <c r="G458" i="6" s="1"/>
  <c r="G174" i="6"/>
  <c r="G368" i="6"/>
  <c r="G414" i="6" s="1"/>
  <c r="G460" i="6" s="1"/>
  <c r="G176" i="6"/>
  <c r="AE176" i="6" s="1"/>
  <c r="AV130" i="6"/>
  <c r="AF370" i="6"/>
  <c r="AV133" i="6"/>
  <c r="AG135" i="6"/>
  <c r="AG374" i="6" s="1"/>
  <c r="AF138" i="6"/>
  <c r="AO141" i="6"/>
  <c r="AG141" i="6"/>
  <c r="AJ141" i="6"/>
  <c r="AH141" i="6"/>
  <c r="B142" i="6"/>
  <c r="AK142" i="6"/>
  <c r="P143" i="6"/>
  <c r="Z143" i="6"/>
  <c r="AM143" i="6"/>
  <c r="P144" i="6"/>
  <c r="AA144" i="6"/>
  <c r="AM144" i="6"/>
  <c r="AI146" i="6"/>
  <c r="P147" i="6"/>
  <c r="Z147" i="6"/>
  <c r="AM147" i="6"/>
  <c r="H148" i="6"/>
  <c r="P148" i="6"/>
  <c r="AA148" i="6"/>
  <c r="B151" i="6"/>
  <c r="R152" i="6"/>
  <c r="AJ152" i="6"/>
  <c r="K153" i="6"/>
  <c r="AL154" i="6"/>
  <c r="V156" i="6"/>
  <c r="AA156" i="6"/>
  <c r="S156" i="6"/>
  <c r="Y156" i="6"/>
  <c r="Q156" i="6"/>
  <c r="AB156" i="6" s="1"/>
  <c r="W156" i="6"/>
  <c r="Z156" i="6"/>
  <c r="H158" i="6"/>
  <c r="AQ158" i="6"/>
  <c r="P160" i="6"/>
  <c r="AJ162" i="6"/>
  <c r="AO162" i="6"/>
  <c r="AG162" i="6"/>
  <c r="AR162" i="6" s="1"/>
  <c r="AM162" i="6"/>
  <c r="AK162" i="6"/>
  <c r="AI162" i="6"/>
  <c r="L163" i="6"/>
  <c r="AN166" i="6"/>
  <c r="B169" i="6"/>
  <c r="AE170" i="6"/>
  <c r="H171" i="6"/>
  <c r="T172" i="6"/>
  <c r="AN174" i="6"/>
  <c r="B177" i="6"/>
  <c r="H178" i="6"/>
  <c r="AQ178" i="6"/>
  <c r="P180" i="6"/>
  <c r="H183" i="6"/>
  <c r="P184" i="6"/>
  <c r="B190" i="6"/>
  <c r="F236" i="6"/>
  <c r="P190" i="6"/>
  <c r="B191" i="6"/>
  <c r="F237" i="6"/>
  <c r="R191" i="6"/>
  <c r="T192" i="6"/>
  <c r="V193" i="6"/>
  <c r="U193" i="6"/>
  <c r="J240" i="6"/>
  <c r="D194" i="6"/>
  <c r="X194" i="6"/>
  <c r="Z195" i="6"/>
  <c r="P198" i="6"/>
  <c r="B199" i="6"/>
  <c r="F245" i="6"/>
  <c r="R199" i="6"/>
  <c r="T200" i="6"/>
  <c r="V201" i="6"/>
  <c r="U201" i="6"/>
  <c r="J248" i="6"/>
  <c r="D202" i="6"/>
  <c r="X202" i="6"/>
  <c r="Z203" i="6"/>
  <c r="P206" i="6"/>
  <c r="B207" i="6"/>
  <c r="F253" i="6"/>
  <c r="R207" i="6"/>
  <c r="T208" i="6"/>
  <c r="V209" i="6"/>
  <c r="U209" i="6"/>
  <c r="J256" i="6"/>
  <c r="D210" i="6"/>
  <c r="X210" i="6"/>
  <c r="Z211" i="6"/>
  <c r="P214" i="6"/>
  <c r="B215" i="6"/>
  <c r="F261" i="6"/>
  <c r="R215" i="6"/>
  <c r="T216" i="6"/>
  <c r="V217" i="6"/>
  <c r="U217" i="6"/>
  <c r="J264" i="6"/>
  <c r="D218" i="6"/>
  <c r="X218" i="6"/>
  <c r="Z219" i="6"/>
  <c r="P222" i="6"/>
  <c r="AB222" i="6" s="1"/>
  <c r="B223" i="6"/>
  <c r="F269" i="6"/>
  <c r="R223" i="6"/>
  <c r="T224" i="6"/>
  <c r="V225" i="6"/>
  <c r="U225" i="6"/>
  <c r="J272" i="6"/>
  <c r="D226" i="6"/>
  <c r="X226" i="6"/>
  <c r="Z227" i="6"/>
  <c r="B230" i="6"/>
  <c r="R230" i="6"/>
  <c r="V231" i="6"/>
  <c r="X231" i="6"/>
  <c r="B234" i="6"/>
  <c r="F280" i="6"/>
  <c r="R234" i="6"/>
  <c r="U236" i="6"/>
  <c r="S237" i="6"/>
  <c r="S239" i="6"/>
  <c r="Y244" i="6"/>
  <c r="Q244" i="6"/>
  <c r="X244" i="6"/>
  <c r="P244" i="6"/>
  <c r="AB244" i="6" s="1"/>
  <c r="W244" i="6"/>
  <c r="V244" i="6"/>
  <c r="U244" i="6"/>
  <c r="I290" i="6"/>
  <c r="T244" i="6"/>
  <c r="Z244" i="6"/>
  <c r="R244" i="6"/>
  <c r="S250" i="6"/>
  <c r="Y252" i="6"/>
  <c r="Q252" i="6"/>
  <c r="X252" i="6"/>
  <c r="P252" i="6"/>
  <c r="W252" i="6"/>
  <c r="V252" i="6"/>
  <c r="U252" i="6"/>
  <c r="T252" i="6"/>
  <c r="Z252" i="6"/>
  <c r="R252" i="6"/>
  <c r="S258" i="6"/>
  <c r="Y260" i="6"/>
  <c r="Q260" i="6"/>
  <c r="X260" i="6"/>
  <c r="P260" i="6"/>
  <c r="W260" i="6"/>
  <c r="V260" i="6"/>
  <c r="U260" i="6"/>
  <c r="T260" i="6"/>
  <c r="Z260" i="6"/>
  <c r="R260" i="6"/>
  <c r="T266" i="6"/>
  <c r="X278" i="6"/>
  <c r="I298" i="6"/>
  <c r="P337" i="6"/>
  <c r="G349" i="6"/>
  <c r="G395" i="6" s="1"/>
  <c r="G441" i="6" s="1"/>
  <c r="W350" i="6"/>
  <c r="F403" i="6"/>
  <c r="B357" i="6"/>
  <c r="P357" i="6"/>
  <c r="V362" i="6"/>
  <c r="U457" i="6"/>
  <c r="T457" i="6"/>
  <c r="Z457" i="6"/>
  <c r="R457" i="6"/>
  <c r="Y457" i="6"/>
  <c r="Q457" i="6"/>
  <c r="X457" i="6"/>
  <c r="P457" i="6"/>
  <c r="AB457" i="6" s="1"/>
  <c r="AF457" i="6"/>
  <c r="V457" i="6"/>
  <c r="AA457" i="6"/>
  <c r="W457" i="6"/>
  <c r="S457" i="6"/>
  <c r="R368" i="6"/>
  <c r="I418" i="6"/>
  <c r="X372" i="6"/>
  <c r="P372" i="6"/>
  <c r="W372" i="6"/>
  <c r="AF372" i="6"/>
  <c r="V372" i="6"/>
  <c r="U372" i="6"/>
  <c r="T372" i="6"/>
  <c r="Y372" i="6"/>
  <c r="Q372" i="6"/>
  <c r="S372" i="6"/>
  <c r="R372" i="6"/>
  <c r="Z372" i="6"/>
  <c r="AN156" i="6"/>
  <c r="AF156" i="6"/>
  <c r="AK156" i="6"/>
  <c r="AQ156" i="6"/>
  <c r="AI156" i="6"/>
  <c r="AO156" i="6"/>
  <c r="AG156" i="6"/>
  <c r="Z168" i="6"/>
  <c r="R192" i="6"/>
  <c r="U194" i="6"/>
  <c r="J241" i="6"/>
  <c r="D195" i="6"/>
  <c r="R200" i="6"/>
  <c r="V202" i="6"/>
  <c r="P207" i="6"/>
  <c r="B208" i="6"/>
  <c r="F254" i="6"/>
  <c r="U210" i="6"/>
  <c r="J257" i="6"/>
  <c r="D211" i="6"/>
  <c r="U218" i="6"/>
  <c r="R224" i="6"/>
  <c r="Z228" i="6"/>
  <c r="U241" i="6"/>
  <c r="AA256" i="6"/>
  <c r="AA276" i="6"/>
  <c r="I293" i="6"/>
  <c r="Q367" i="6"/>
  <c r="I452" i="6"/>
  <c r="AA406" i="6"/>
  <c r="S406" i="6"/>
  <c r="Y406" i="6"/>
  <c r="P406" i="6"/>
  <c r="X406" i="6"/>
  <c r="W406" i="6"/>
  <c r="AG406" i="6"/>
  <c r="V406" i="6"/>
  <c r="AF406" i="6"/>
  <c r="U406" i="6"/>
  <c r="Z406" i="6"/>
  <c r="Q406" i="6"/>
  <c r="T406" i="6"/>
  <c r="R406" i="6"/>
  <c r="P21" i="6"/>
  <c r="P34" i="6"/>
  <c r="P35" i="6" s="1"/>
  <c r="AG96" i="6"/>
  <c r="W141" i="6"/>
  <c r="Z141" i="6"/>
  <c r="R141" i="6"/>
  <c r="V141" i="6"/>
  <c r="AP145" i="6"/>
  <c r="AH145" i="6"/>
  <c r="AR145" i="6" s="1"/>
  <c r="AK145" i="6"/>
  <c r="AI145" i="6"/>
  <c r="AK146" i="6"/>
  <c r="H151" i="6"/>
  <c r="AP153" i="6"/>
  <c r="AH153" i="6"/>
  <c r="AM153" i="6"/>
  <c r="AK153" i="6"/>
  <c r="AQ153" i="6"/>
  <c r="AI153" i="6"/>
  <c r="H160" i="6"/>
  <c r="AE161" i="6"/>
  <c r="K161" i="6"/>
  <c r="AN164" i="6"/>
  <c r="AF164" i="6"/>
  <c r="AK164" i="6"/>
  <c r="AQ164" i="6"/>
  <c r="AI164" i="6"/>
  <c r="AO164" i="6"/>
  <c r="AG164" i="6"/>
  <c r="AP164" i="6"/>
  <c r="G169" i="6"/>
  <c r="G177" i="6"/>
  <c r="AE181" i="6"/>
  <c r="K181" i="6"/>
  <c r="AJ182" i="6"/>
  <c r="AO182" i="6"/>
  <c r="AG182" i="6"/>
  <c r="AR182" i="6" s="1"/>
  <c r="AM182" i="6"/>
  <c r="AK182" i="6"/>
  <c r="AH182" i="6"/>
  <c r="AE185" i="6"/>
  <c r="K185" i="6"/>
  <c r="R190" i="6"/>
  <c r="T191" i="6"/>
  <c r="V192" i="6"/>
  <c r="U192" i="6"/>
  <c r="J239" i="6"/>
  <c r="D193" i="6"/>
  <c r="X193" i="6"/>
  <c r="Z194" i="6"/>
  <c r="P197" i="6"/>
  <c r="B198" i="6"/>
  <c r="F244" i="6"/>
  <c r="R198" i="6"/>
  <c r="T199" i="6"/>
  <c r="V200" i="6"/>
  <c r="U200" i="6"/>
  <c r="J247" i="6"/>
  <c r="D201" i="6"/>
  <c r="X201" i="6"/>
  <c r="Z202" i="6"/>
  <c r="P205" i="6"/>
  <c r="B206" i="6"/>
  <c r="F252" i="6"/>
  <c r="R206" i="6"/>
  <c r="T207" i="6"/>
  <c r="V208" i="6"/>
  <c r="U208" i="6"/>
  <c r="J255" i="6"/>
  <c r="D209" i="6"/>
  <c r="X209" i="6"/>
  <c r="Z210" i="6"/>
  <c r="P213" i="6"/>
  <c r="B214" i="6"/>
  <c r="F260" i="6"/>
  <c r="R214" i="6"/>
  <c r="T215" i="6"/>
  <c r="V216" i="6"/>
  <c r="U216" i="6"/>
  <c r="J263" i="6"/>
  <c r="D217" i="6"/>
  <c r="X217" i="6"/>
  <c r="Z218" i="6"/>
  <c r="P221" i="6"/>
  <c r="R222" i="6"/>
  <c r="T223" i="6"/>
  <c r="V224" i="6"/>
  <c r="U224" i="6"/>
  <c r="J271" i="6"/>
  <c r="D225" i="6"/>
  <c r="X225" i="6"/>
  <c r="Z226" i="6"/>
  <c r="P229" i="6"/>
  <c r="T230" i="6"/>
  <c r="Z231" i="6"/>
  <c r="P233" i="6"/>
  <c r="T234" i="6"/>
  <c r="W236" i="6"/>
  <c r="U237" i="6"/>
  <c r="S238" i="6"/>
  <c r="U239" i="6"/>
  <c r="AA240" i="6"/>
  <c r="Y243" i="6"/>
  <c r="Q243" i="6"/>
  <c r="X243" i="6"/>
  <c r="P243" i="6"/>
  <c r="AB243" i="6" s="1"/>
  <c r="I289" i="6"/>
  <c r="W243" i="6"/>
  <c r="V243" i="6"/>
  <c r="T243" i="6"/>
  <c r="Z243" i="6"/>
  <c r="R243" i="6"/>
  <c r="Y249" i="6"/>
  <c r="Q249" i="6"/>
  <c r="X249" i="6"/>
  <c r="P249" i="6"/>
  <c r="W249" i="6"/>
  <c r="V249" i="6"/>
  <c r="I295" i="6"/>
  <c r="U249" i="6"/>
  <c r="T249" i="6"/>
  <c r="Z249" i="6"/>
  <c r="R249" i="6"/>
  <c r="AA250" i="6"/>
  <c r="S255" i="6"/>
  <c r="Y257" i="6"/>
  <c r="Q257" i="6"/>
  <c r="X257" i="6"/>
  <c r="P257" i="6"/>
  <c r="W257" i="6"/>
  <c r="V257" i="6"/>
  <c r="I303" i="6"/>
  <c r="U257" i="6"/>
  <c r="T257" i="6"/>
  <c r="Z257" i="6"/>
  <c r="R257" i="6"/>
  <c r="AA258" i="6"/>
  <c r="S263" i="6"/>
  <c r="Y265" i="6"/>
  <c r="Q265" i="6"/>
  <c r="X265" i="6"/>
  <c r="P265" i="6"/>
  <c r="W265" i="6"/>
  <c r="V265" i="6"/>
  <c r="I311" i="6"/>
  <c r="U265" i="6"/>
  <c r="T265" i="6"/>
  <c r="Z265" i="6"/>
  <c r="R265" i="6"/>
  <c r="R268" i="6"/>
  <c r="S270" i="6"/>
  <c r="W275" i="6"/>
  <c r="J277" i="6"/>
  <c r="I432" i="6"/>
  <c r="X386" i="6"/>
  <c r="P386" i="6"/>
  <c r="W386" i="6"/>
  <c r="V386" i="6"/>
  <c r="U386" i="6"/>
  <c r="T386" i="6"/>
  <c r="Y386" i="6"/>
  <c r="Q386" i="6"/>
  <c r="Z386" i="6"/>
  <c r="S386" i="6"/>
  <c r="R386" i="6"/>
  <c r="AA386" i="6"/>
  <c r="AA346" i="6"/>
  <c r="Q355" i="6"/>
  <c r="S360" i="6"/>
  <c r="F413" i="6"/>
  <c r="B367" i="6"/>
  <c r="J445" i="6"/>
  <c r="AT445" i="6" s="1"/>
  <c r="AT399" i="6"/>
  <c r="F453" i="6"/>
  <c r="B407" i="6"/>
  <c r="AH599" i="6"/>
  <c r="AH1018" i="6" s="1"/>
  <c r="AX599" i="6"/>
  <c r="AG610" i="6"/>
  <c r="AW610" i="6"/>
  <c r="AJ154" i="6"/>
  <c r="AO154" i="6"/>
  <c r="AG154" i="6"/>
  <c r="AM154" i="6"/>
  <c r="AK154" i="6"/>
  <c r="X195" i="6"/>
  <c r="Z204" i="6"/>
  <c r="T209" i="6"/>
  <c r="P215" i="6"/>
  <c r="B216" i="6"/>
  <c r="F262" i="6"/>
  <c r="Z220" i="6"/>
  <c r="P230" i="6"/>
  <c r="AA242" i="6"/>
  <c r="Y247" i="6"/>
  <c r="Q247" i="6"/>
  <c r="X247" i="6"/>
  <c r="P247" i="6"/>
  <c r="AB247" i="6" s="1"/>
  <c r="W247" i="6"/>
  <c r="V247" i="6"/>
  <c r="U247" i="6"/>
  <c r="T247" i="6"/>
  <c r="Z247" i="6"/>
  <c r="R247" i="6"/>
  <c r="S268" i="6"/>
  <c r="X336" i="6"/>
  <c r="AB17" i="6"/>
  <c r="X21" i="6"/>
  <c r="Q21" i="6"/>
  <c r="Y21" i="6"/>
  <c r="V375" i="6"/>
  <c r="V371" i="6"/>
  <c r="V367" i="6"/>
  <c r="Z365" i="6"/>
  <c r="R365" i="6"/>
  <c r="V363" i="6"/>
  <c r="Z361" i="6"/>
  <c r="R361" i="6"/>
  <c r="V359" i="6"/>
  <c r="Z357" i="6"/>
  <c r="R357" i="6"/>
  <c r="V355" i="6"/>
  <c r="Z353" i="6"/>
  <c r="R353" i="6"/>
  <c r="V351" i="6"/>
  <c r="Z349" i="6"/>
  <c r="R349" i="6"/>
  <c r="V347" i="6"/>
  <c r="Z345" i="6"/>
  <c r="R345" i="6"/>
  <c r="V343" i="6"/>
  <c r="Z341" i="6"/>
  <c r="R341" i="6"/>
  <c r="V339" i="6"/>
  <c r="Z337" i="6"/>
  <c r="Y377" i="6"/>
  <c r="Q377" i="6"/>
  <c r="U375" i="6"/>
  <c r="Y373" i="6"/>
  <c r="Q373" i="6"/>
  <c r="U371" i="6"/>
  <c r="Y369" i="6"/>
  <c r="Q369" i="6"/>
  <c r="U367" i="6"/>
  <c r="Y365" i="6"/>
  <c r="Q365" i="6"/>
  <c r="U363" i="6"/>
  <c r="Y361" i="6"/>
  <c r="Q361" i="6"/>
  <c r="U359" i="6"/>
  <c r="Y357" i="6"/>
  <c r="Q357" i="6"/>
  <c r="U355" i="6"/>
  <c r="Y353" i="6"/>
  <c r="X377" i="6"/>
  <c r="P377" i="6"/>
  <c r="T375" i="6"/>
  <c r="Z374" i="6"/>
  <c r="R374" i="6"/>
  <c r="X373" i="6"/>
  <c r="P373" i="6"/>
  <c r="T371" i="6"/>
  <c r="Z370" i="6"/>
  <c r="R370" i="6"/>
  <c r="X369" i="6"/>
  <c r="P369" i="6"/>
  <c r="T367" i="6"/>
  <c r="Z366" i="6"/>
  <c r="R366" i="6"/>
  <c r="Z375" i="6"/>
  <c r="R375" i="6"/>
  <c r="V373" i="6"/>
  <c r="Z371" i="6"/>
  <c r="R371" i="6"/>
  <c r="V369" i="6"/>
  <c r="Z367" i="6"/>
  <c r="R367" i="6"/>
  <c r="V365" i="6"/>
  <c r="Z363" i="6"/>
  <c r="R363" i="6"/>
  <c r="V361" i="6"/>
  <c r="Z359" i="6"/>
  <c r="R359" i="6"/>
  <c r="V357" i="6"/>
  <c r="Z355" i="6"/>
  <c r="R355" i="6"/>
  <c r="V353" i="6"/>
  <c r="Z351" i="6"/>
  <c r="R351" i="6"/>
  <c r="V349" i="6"/>
  <c r="Z347" i="6"/>
  <c r="R347" i="6"/>
  <c r="V345" i="6"/>
  <c r="Z343" i="6"/>
  <c r="R343" i="6"/>
  <c r="V341" i="6"/>
  <c r="W375" i="6"/>
  <c r="W371" i="6"/>
  <c r="W367" i="6"/>
  <c r="W363" i="6"/>
  <c r="W359" i="6"/>
  <c r="W355" i="6"/>
  <c r="W351" i="6"/>
  <c r="W347" i="6"/>
  <c r="W343" i="6"/>
  <c r="W339" i="6"/>
  <c r="W335" i="6"/>
  <c r="X371" i="6"/>
  <c r="W370" i="6"/>
  <c r="Y363" i="6"/>
  <c r="U361" i="6"/>
  <c r="P359" i="6"/>
  <c r="Z358" i="6"/>
  <c r="W354" i="6"/>
  <c r="U351" i="6"/>
  <c r="P349" i="6"/>
  <c r="Y347" i="6"/>
  <c r="T345" i="6"/>
  <c r="X341" i="6"/>
  <c r="P339" i="6"/>
  <c r="X337" i="6"/>
  <c r="Z333" i="6"/>
  <c r="P333" i="6"/>
  <c r="U373" i="6"/>
  <c r="Q371" i="6"/>
  <c r="V370" i="6"/>
  <c r="X363" i="6"/>
  <c r="T361" i="6"/>
  <c r="W358" i="6"/>
  <c r="S356" i="6"/>
  <c r="V354" i="6"/>
  <c r="T351" i="6"/>
  <c r="AA348" i="6"/>
  <c r="X347" i="6"/>
  <c r="V346" i="6"/>
  <c r="Q345" i="6"/>
  <c r="U341" i="6"/>
  <c r="Z339" i="6"/>
  <c r="S338" i="6"/>
  <c r="V337" i="6"/>
  <c r="Y333" i="6"/>
  <c r="U234" i="6"/>
  <c r="U233" i="6"/>
  <c r="U232" i="6"/>
  <c r="U231" i="6"/>
  <c r="U230" i="6"/>
  <c r="U229" i="6"/>
  <c r="AA412" i="6"/>
  <c r="Z376" i="6"/>
  <c r="Y375" i="6"/>
  <c r="T373" i="6"/>
  <c r="P371" i="6"/>
  <c r="T363" i="6"/>
  <c r="P361" i="6"/>
  <c r="V360" i="6"/>
  <c r="V358" i="6"/>
  <c r="R356" i="6"/>
  <c r="R354" i="6"/>
  <c r="X353" i="6"/>
  <c r="V352" i="6"/>
  <c r="Q351" i="6"/>
  <c r="Z348" i="6"/>
  <c r="U347" i="6"/>
  <c r="S346" i="6"/>
  <c r="P345" i="6"/>
  <c r="Y343" i="6"/>
  <c r="T341" i="6"/>
  <c r="Y339" i="6"/>
  <c r="R338" i="6"/>
  <c r="U337" i="6"/>
  <c r="Q335" i="6"/>
  <c r="X333" i="6"/>
  <c r="V276" i="6"/>
  <c r="S275" i="6"/>
  <c r="V268" i="6"/>
  <c r="S267" i="6"/>
  <c r="Y412" i="6"/>
  <c r="X375" i="6"/>
  <c r="W374" i="6"/>
  <c r="X365" i="6"/>
  <c r="Q363" i="6"/>
  <c r="R358" i="6"/>
  <c r="X357" i="6"/>
  <c r="Y355" i="6"/>
  <c r="U353" i="6"/>
  <c r="P351" i="6"/>
  <c r="Y349" i="6"/>
  <c r="T347" i="6"/>
  <c r="R346" i="6"/>
  <c r="AA344" i="6"/>
  <c r="X343" i="6"/>
  <c r="Q341" i="6"/>
  <c r="X339" i="6"/>
  <c r="P338" i="6"/>
  <c r="T337" i="6"/>
  <c r="Z335" i="6"/>
  <c r="P335" i="6"/>
  <c r="V333" i="6"/>
  <c r="U377" i="6"/>
  <c r="Q375" i="6"/>
  <c r="V374" i="6"/>
  <c r="Z368" i="6"/>
  <c r="Y367" i="6"/>
  <c r="U365" i="6"/>
  <c r="AA364" i="6"/>
  <c r="P363" i="6"/>
  <c r="Z362" i="6"/>
  <c r="R360" i="6"/>
  <c r="Y359" i="6"/>
  <c r="U357" i="6"/>
  <c r="X355" i="6"/>
  <c r="T353" i="6"/>
  <c r="R352" i="6"/>
  <c r="X349" i="6"/>
  <c r="V348" i="6"/>
  <c r="Q347" i="6"/>
  <c r="Z344" i="6"/>
  <c r="U343" i="6"/>
  <c r="P341" i="6"/>
  <c r="U339" i="6"/>
  <c r="AA338" i="6"/>
  <c r="R337" i="6"/>
  <c r="AA336" i="6"/>
  <c r="P336" i="6"/>
  <c r="Y335" i="6"/>
  <c r="U333" i="6"/>
  <c r="Z275" i="6"/>
  <c r="P275" i="6"/>
  <c r="Z267" i="6"/>
  <c r="P267" i="6"/>
  <c r="T377" i="6"/>
  <c r="P375" i="6"/>
  <c r="X367" i="6"/>
  <c r="W366" i="6"/>
  <c r="T365" i="6"/>
  <c r="W362" i="6"/>
  <c r="X359" i="6"/>
  <c r="T357" i="6"/>
  <c r="T355" i="6"/>
  <c r="Q353" i="6"/>
  <c r="U349" i="6"/>
  <c r="P347" i="6"/>
  <c r="Y345" i="6"/>
  <c r="T343" i="6"/>
  <c r="T339" i="6"/>
  <c r="Z338" i="6"/>
  <c r="Q337" i="6"/>
  <c r="X335" i="6"/>
  <c r="T333" i="6"/>
  <c r="Y371" i="6"/>
  <c r="T369" i="6"/>
  <c r="P367" i="6"/>
  <c r="S364" i="6"/>
  <c r="R362" i="6"/>
  <c r="X361" i="6"/>
  <c r="Q359" i="6"/>
  <c r="P355" i="6"/>
  <c r="Z354" i="6"/>
  <c r="X351" i="6"/>
  <c r="Q349" i="6"/>
  <c r="Z346" i="6"/>
  <c r="U345" i="6"/>
  <c r="S344" i="6"/>
  <c r="P343" i="6"/>
  <c r="Y341" i="6"/>
  <c r="Q339" i="6"/>
  <c r="W338" i="6"/>
  <c r="Y337" i="6"/>
  <c r="Q333" i="6"/>
  <c r="V41" i="6"/>
  <c r="AB49" i="6"/>
  <c r="AV94" i="6"/>
  <c r="AV95" i="6"/>
  <c r="V97" i="6"/>
  <c r="AL97" i="6" s="1"/>
  <c r="AF337" i="6"/>
  <c r="AW98" i="6"/>
  <c r="AF339" i="6"/>
  <c r="AW100" i="6"/>
  <c r="AF341" i="6"/>
  <c r="AW102" i="6"/>
  <c r="AF343" i="6"/>
  <c r="AW104" i="6"/>
  <c r="AF345" i="6"/>
  <c r="AW106" i="6"/>
  <c r="AF347" i="6"/>
  <c r="AW108" i="6"/>
  <c r="AF349" i="6"/>
  <c r="AW110" i="6"/>
  <c r="AF351" i="6"/>
  <c r="AW112" i="6"/>
  <c r="AF353" i="6"/>
  <c r="AW114" i="6"/>
  <c r="AF355" i="6"/>
  <c r="AW116" i="6"/>
  <c r="AW117" i="6"/>
  <c r="AF357" i="6"/>
  <c r="AW118" i="6"/>
  <c r="AF359" i="6"/>
  <c r="AW120" i="6"/>
  <c r="AF361" i="6"/>
  <c r="AW122" i="6"/>
  <c r="AF363" i="6"/>
  <c r="AW124" i="6"/>
  <c r="AF365" i="6"/>
  <c r="AW126" i="6"/>
  <c r="AF367" i="6"/>
  <c r="AW128" i="6"/>
  <c r="AF130" i="6"/>
  <c r="AX131" i="6"/>
  <c r="AW132" i="6"/>
  <c r="AF134" i="6"/>
  <c r="G374" i="6"/>
  <c r="G420" i="6" s="1"/>
  <c r="G466" i="6" s="1"/>
  <c r="G182" i="6"/>
  <c r="AE182" i="6" s="1"/>
  <c r="AF374" i="6"/>
  <c r="X141" i="6"/>
  <c r="AN142" i="6"/>
  <c r="AE143" i="6"/>
  <c r="X145" i="6"/>
  <c r="P145" i="6"/>
  <c r="AA145" i="6"/>
  <c r="S145" i="6"/>
  <c r="W145" i="6"/>
  <c r="AJ145" i="6"/>
  <c r="G146" i="6"/>
  <c r="AL146" i="6"/>
  <c r="G149" i="6"/>
  <c r="AE149" i="6" s="1"/>
  <c r="AP154" i="6"/>
  <c r="AE158" i="6"/>
  <c r="H159" i="6"/>
  <c r="L161" i="6"/>
  <c r="V164" i="6"/>
  <c r="AA164" i="6"/>
  <c r="S164" i="6"/>
  <c r="Y164" i="6"/>
  <c r="Q164" i="6"/>
  <c r="AB164" i="6" s="1"/>
  <c r="W164" i="6"/>
  <c r="Z164" i="6"/>
  <c r="H166" i="6"/>
  <c r="AQ166" i="6"/>
  <c r="P168" i="6"/>
  <c r="AJ170" i="6"/>
  <c r="AO170" i="6"/>
  <c r="AG170" i="6"/>
  <c r="AR170" i="6" s="1"/>
  <c r="AM170" i="6"/>
  <c r="AK170" i="6"/>
  <c r="AI170" i="6"/>
  <c r="L171" i="6"/>
  <c r="L172" i="6"/>
  <c r="H174" i="6"/>
  <c r="AQ174" i="6"/>
  <c r="H179" i="6"/>
  <c r="L181" i="6"/>
  <c r="AI182" i="6"/>
  <c r="L183" i="6"/>
  <c r="L185" i="6"/>
  <c r="T190" i="6"/>
  <c r="V191" i="6"/>
  <c r="U191" i="6"/>
  <c r="J238" i="6"/>
  <c r="D192" i="6"/>
  <c r="X192" i="6"/>
  <c r="Z193" i="6"/>
  <c r="P196" i="6"/>
  <c r="B197" i="6"/>
  <c r="F243" i="6"/>
  <c r="R197" i="6"/>
  <c r="T198" i="6"/>
  <c r="V199" i="6"/>
  <c r="U199" i="6"/>
  <c r="J246" i="6"/>
  <c r="D200" i="6"/>
  <c r="X200" i="6"/>
  <c r="Z201" i="6"/>
  <c r="P204" i="6"/>
  <c r="B205" i="6"/>
  <c r="F251" i="6"/>
  <c r="R205" i="6"/>
  <c r="T206" i="6"/>
  <c r="V207" i="6"/>
  <c r="U207" i="6"/>
  <c r="J254" i="6"/>
  <c r="D208" i="6"/>
  <c r="X208" i="6"/>
  <c r="Z209" i="6"/>
  <c r="P212" i="6"/>
  <c r="B213" i="6"/>
  <c r="F259" i="6"/>
  <c r="R213" i="6"/>
  <c r="T214" i="6"/>
  <c r="V215" i="6"/>
  <c r="U215" i="6"/>
  <c r="J262" i="6"/>
  <c r="D216" i="6"/>
  <c r="X216" i="6"/>
  <c r="Z217" i="6"/>
  <c r="P220" i="6"/>
  <c r="B221" i="6"/>
  <c r="F267" i="6"/>
  <c r="R221" i="6"/>
  <c r="T222" i="6"/>
  <c r="V223" i="6"/>
  <c r="U223" i="6"/>
  <c r="J270" i="6"/>
  <c r="D224" i="6"/>
  <c r="X224" i="6"/>
  <c r="Z225" i="6"/>
  <c r="P228" i="6"/>
  <c r="B229" i="6"/>
  <c r="F275" i="6"/>
  <c r="R229" i="6"/>
  <c r="V230" i="6"/>
  <c r="X230" i="6"/>
  <c r="B233" i="6"/>
  <c r="F279" i="6"/>
  <c r="R233" i="6"/>
  <c r="Y280" i="6"/>
  <c r="Q280" i="6"/>
  <c r="T280" i="6"/>
  <c r="S280" i="6"/>
  <c r="AA280" i="6"/>
  <c r="R280" i="6"/>
  <c r="Z280" i="6"/>
  <c r="P280" i="6"/>
  <c r="AB280" i="6" s="1"/>
  <c r="X280" i="6"/>
  <c r="W280" i="6"/>
  <c r="U280" i="6"/>
  <c r="X234" i="6"/>
  <c r="W237" i="6"/>
  <c r="U238" i="6"/>
  <c r="AA239" i="6"/>
  <c r="Y242" i="6"/>
  <c r="Q242" i="6"/>
  <c r="X242" i="6"/>
  <c r="P242" i="6"/>
  <c r="W242" i="6"/>
  <c r="V242" i="6"/>
  <c r="T242" i="6"/>
  <c r="I288" i="6"/>
  <c r="Z242" i="6"/>
  <c r="R242" i="6"/>
  <c r="S244" i="6"/>
  <c r="Y246" i="6"/>
  <c r="Q246" i="6"/>
  <c r="X246" i="6"/>
  <c r="P246" i="6"/>
  <c r="W246" i="6"/>
  <c r="I292" i="6"/>
  <c r="V246" i="6"/>
  <c r="U246" i="6"/>
  <c r="T246" i="6"/>
  <c r="Z246" i="6"/>
  <c r="R246" i="6"/>
  <c r="AA247" i="6"/>
  <c r="S252" i="6"/>
  <c r="Y254" i="6"/>
  <c r="Q254" i="6"/>
  <c r="X254" i="6"/>
  <c r="P254" i="6"/>
  <c r="I300" i="6"/>
  <c r="W254" i="6"/>
  <c r="V254" i="6"/>
  <c r="U254" i="6"/>
  <c r="T254" i="6"/>
  <c r="Z254" i="6"/>
  <c r="R254" i="6"/>
  <c r="S260" i="6"/>
  <c r="Y262" i="6"/>
  <c r="Q262" i="6"/>
  <c r="X262" i="6"/>
  <c r="P262" i="6"/>
  <c r="I308" i="6"/>
  <c r="W262" i="6"/>
  <c r="V262" i="6"/>
  <c r="U262" i="6"/>
  <c r="T262" i="6"/>
  <c r="Z262" i="6"/>
  <c r="R262" i="6"/>
  <c r="AA263" i="6"/>
  <c r="AA267" i="6"/>
  <c r="AA268" i="6"/>
  <c r="V280" i="6"/>
  <c r="I306" i="6"/>
  <c r="F383" i="6"/>
  <c r="B337" i="6"/>
  <c r="X338" i="6"/>
  <c r="Q343" i="6"/>
  <c r="Y351" i="6"/>
  <c r="U413" i="6"/>
  <c r="J419" i="6"/>
  <c r="AT373" i="6"/>
  <c r="AE373" i="6"/>
  <c r="AE419" i="6" s="1"/>
  <c r="AE465" i="6" s="1"/>
  <c r="P381" i="6"/>
  <c r="G375" i="6"/>
  <c r="G421" i="6" s="1"/>
  <c r="G467" i="6" s="1"/>
  <c r="G183" i="6"/>
  <c r="AE183" i="6" s="1"/>
  <c r="AH146" i="6"/>
  <c r="L155" i="6"/>
  <c r="K173" i="6"/>
  <c r="V176" i="6"/>
  <c r="AA176" i="6"/>
  <c r="S176" i="6"/>
  <c r="Y176" i="6"/>
  <c r="Q176" i="6"/>
  <c r="AB176" i="6" s="1"/>
  <c r="W176" i="6"/>
  <c r="V194" i="6"/>
  <c r="P199" i="6"/>
  <c r="U202" i="6"/>
  <c r="J249" i="6"/>
  <c r="D203" i="6"/>
  <c r="V210" i="6"/>
  <c r="R216" i="6"/>
  <c r="X219" i="6"/>
  <c r="T225" i="6"/>
  <c r="Y272" i="6"/>
  <c r="Q272" i="6"/>
  <c r="T272" i="6"/>
  <c r="S272" i="6"/>
  <c r="AA272" i="6"/>
  <c r="R272" i="6"/>
  <c r="Z272" i="6"/>
  <c r="P272" i="6"/>
  <c r="X272" i="6"/>
  <c r="W272" i="6"/>
  <c r="U272" i="6"/>
  <c r="T231" i="6"/>
  <c r="J278" i="6"/>
  <c r="D232" i="6"/>
  <c r="S245" i="6"/>
  <c r="AA275" i="6"/>
  <c r="R21" i="6"/>
  <c r="Z21" i="6"/>
  <c r="AE49" i="6"/>
  <c r="AF94" i="6"/>
  <c r="AF95" i="6"/>
  <c r="AG98" i="6"/>
  <c r="AG100" i="6"/>
  <c r="AG339" i="6" s="1"/>
  <c r="AG102" i="6"/>
  <c r="AG341" i="6" s="1"/>
  <c r="AG104" i="6"/>
  <c r="AG343" i="6" s="1"/>
  <c r="AG106" i="6"/>
  <c r="AG345" i="6" s="1"/>
  <c r="AG108" i="6"/>
  <c r="AG347" i="6" s="1"/>
  <c r="AG110" i="6"/>
  <c r="AG112" i="6"/>
  <c r="AG351" i="6" s="1"/>
  <c r="AG114" i="6"/>
  <c r="AG116" i="6"/>
  <c r="AG355" i="6" s="1"/>
  <c r="AG117" i="6"/>
  <c r="AG118" i="6"/>
  <c r="AG120" i="6"/>
  <c r="AG359" i="6" s="1"/>
  <c r="AG122" i="6"/>
  <c r="AG124" i="6"/>
  <c r="AG363" i="6" s="1"/>
  <c r="AG126" i="6"/>
  <c r="AG457" i="6" s="1"/>
  <c r="AG128" i="6"/>
  <c r="AG367" i="6" s="1"/>
  <c r="H377" i="6"/>
  <c r="H423" i="6" s="1"/>
  <c r="H469" i="6" s="1"/>
  <c r="H185" i="6"/>
  <c r="Y141" i="6"/>
  <c r="AL143" i="6"/>
  <c r="AO143" i="6"/>
  <c r="AG143" i="6"/>
  <c r="AF143" i="6"/>
  <c r="AQ143" i="6"/>
  <c r="AL145" i="6"/>
  <c r="H146" i="6"/>
  <c r="AN146" i="6"/>
  <c r="AL147" i="6"/>
  <c r="AO147" i="6"/>
  <c r="AG147" i="6"/>
  <c r="AF147" i="6"/>
  <c r="AQ147" i="6"/>
  <c r="AJ150" i="6"/>
  <c r="AO150" i="6"/>
  <c r="AG150" i="6"/>
  <c r="AM150" i="6"/>
  <c r="AK150" i="6"/>
  <c r="AI150" i="6"/>
  <c r="L151" i="6"/>
  <c r="AN152" i="6"/>
  <c r="AF152" i="6"/>
  <c r="AK152" i="6"/>
  <c r="AQ152" i="6"/>
  <c r="AI152" i="6"/>
  <c r="AO152" i="6"/>
  <c r="AG152" i="6"/>
  <c r="AP152" i="6"/>
  <c r="AF153" i="6"/>
  <c r="H154" i="6"/>
  <c r="AQ154" i="6"/>
  <c r="AH156" i="6"/>
  <c r="B165" i="6"/>
  <c r="H168" i="6"/>
  <c r="AE169" i="6"/>
  <c r="K169" i="6"/>
  <c r="V172" i="6"/>
  <c r="AA172" i="6"/>
  <c r="S172" i="6"/>
  <c r="Y172" i="6"/>
  <c r="Q172" i="6"/>
  <c r="W172" i="6"/>
  <c r="Z172" i="6"/>
  <c r="H176" i="6"/>
  <c r="R176" i="6"/>
  <c r="AE177" i="6"/>
  <c r="K177" i="6"/>
  <c r="AL182" i="6"/>
  <c r="V190" i="6"/>
  <c r="U190" i="6"/>
  <c r="J237" i="6"/>
  <c r="D191" i="6"/>
  <c r="Z192" i="6"/>
  <c r="P195" i="6"/>
  <c r="AB195" i="6" s="1"/>
  <c r="B196" i="6"/>
  <c r="F242" i="6"/>
  <c r="R196" i="6"/>
  <c r="T197" i="6"/>
  <c r="V198" i="6"/>
  <c r="U198" i="6"/>
  <c r="J245" i="6"/>
  <c r="D199" i="6"/>
  <c r="X199" i="6"/>
  <c r="Z200" i="6"/>
  <c r="P203" i="6"/>
  <c r="B204" i="6"/>
  <c r="F250" i="6"/>
  <c r="R204" i="6"/>
  <c r="T205" i="6"/>
  <c r="V206" i="6"/>
  <c r="U206" i="6"/>
  <c r="J253" i="6"/>
  <c r="D207" i="6"/>
  <c r="X207" i="6"/>
  <c r="Z208" i="6"/>
  <c r="P211" i="6"/>
  <c r="B212" i="6"/>
  <c r="F258" i="6"/>
  <c r="R212" i="6"/>
  <c r="T213" i="6"/>
  <c r="V214" i="6"/>
  <c r="U214" i="6"/>
  <c r="J261" i="6"/>
  <c r="D215" i="6"/>
  <c r="X215" i="6"/>
  <c r="Z216" i="6"/>
  <c r="P219" i="6"/>
  <c r="B220" i="6"/>
  <c r="F266" i="6"/>
  <c r="R220" i="6"/>
  <c r="T221" i="6"/>
  <c r="V222" i="6"/>
  <c r="U222" i="6"/>
  <c r="X223" i="6"/>
  <c r="Z224" i="6"/>
  <c r="P227" i="6"/>
  <c r="F274" i="6"/>
  <c r="B228" i="6"/>
  <c r="R228" i="6"/>
  <c r="T229" i="6"/>
  <c r="J276" i="6"/>
  <c r="D230" i="6"/>
  <c r="Z230" i="6"/>
  <c r="P232" i="6"/>
  <c r="T233" i="6"/>
  <c r="J280" i="6"/>
  <c r="D234" i="6"/>
  <c r="Z234" i="6"/>
  <c r="AA238" i="6"/>
  <c r="Y241" i="6"/>
  <c r="Q241" i="6"/>
  <c r="X241" i="6"/>
  <c r="P241" i="6"/>
  <c r="W241" i="6"/>
  <c r="V241" i="6"/>
  <c r="I287" i="6"/>
  <c r="T241" i="6"/>
  <c r="Z241" i="6"/>
  <c r="R241" i="6"/>
  <c r="AA244" i="6"/>
  <c r="S249" i="6"/>
  <c r="I297" i="6"/>
  <c r="Y251" i="6"/>
  <c r="Q251" i="6"/>
  <c r="X251" i="6"/>
  <c r="P251" i="6"/>
  <c r="AB251" i="6" s="1"/>
  <c r="W251" i="6"/>
  <c r="V251" i="6"/>
  <c r="U251" i="6"/>
  <c r="T251" i="6"/>
  <c r="Z251" i="6"/>
  <c r="R251" i="6"/>
  <c r="AA252" i="6"/>
  <c r="S257" i="6"/>
  <c r="I305" i="6"/>
  <c r="Y259" i="6"/>
  <c r="Q259" i="6"/>
  <c r="X259" i="6"/>
  <c r="P259" i="6"/>
  <c r="W259" i="6"/>
  <c r="V259" i="6"/>
  <c r="U259" i="6"/>
  <c r="T259" i="6"/>
  <c r="Z259" i="6"/>
  <c r="R259" i="6"/>
  <c r="AA260" i="6"/>
  <c r="S265" i="6"/>
  <c r="X270" i="6"/>
  <c r="Y274" i="6"/>
  <c r="Q274" i="6"/>
  <c r="AA274" i="6"/>
  <c r="R274" i="6"/>
  <c r="Z274" i="6"/>
  <c r="P274" i="6"/>
  <c r="I320" i="6"/>
  <c r="X274" i="6"/>
  <c r="W274" i="6"/>
  <c r="V274" i="6"/>
  <c r="U274" i="6"/>
  <c r="S274" i="6"/>
  <c r="F276" i="6"/>
  <c r="I326" i="6"/>
  <c r="I380" i="6"/>
  <c r="Y334" i="6"/>
  <c r="Q334" i="6"/>
  <c r="U334" i="6"/>
  <c r="R334" i="6"/>
  <c r="AA334" i="6"/>
  <c r="P334" i="6"/>
  <c r="Z334" i="6"/>
  <c r="X334" i="6"/>
  <c r="W334" i="6"/>
  <c r="V334" i="6"/>
  <c r="AF334" i="6"/>
  <c r="S334" i="6"/>
  <c r="AT345" i="6"/>
  <c r="J391" i="6"/>
  <c r="AE345" i="6"/>
  <c r="AE391" i="6" s="1"/>
  <c r="AE437" i="6" s="1"/>
  <c r="R348" i="6"/>
  <c r="T350" i="6"/>
  <c r="I396" i="6"/>
  <c r="Y350" i="6"/>
  <c r="Q350" i="6"/>
  <c r="X350" i="6"/>
  <c r="P350" i="6"/>
  <c r="U350" i="6"/>
  <c r="S350" i="6"/>
  <c r="R350" i="6"/>
  <c r="AG350" i="6"/>
  <c r="AF350" i="6"/>
  <c r="AA350" i="6"/>
  <c r="Z350" i="6"/>
  <c r="V350" i="6"/>
  <c r="B355" i="6"/>
  <c r="F401" i="6"/>
  <c r="J407" i="6"/>
  <c r="AT361" i="6"/>
  <c r="AE361" i="6"/>
  <c r="AE407" i="6" s="1"/>
  <c r="AE453" i="6" s="1"/>
  <c r="S368" i="6"/>
  <c r="S376" i="6"/>
  <c r="F389" i="6"/>
  <c r="K1055" i="6"/>
  <c r="K1101" i="6" s="1"/>
  <c r="K1147" i="6" s="1"/>
  <c r="K1193" i="6" s="1"/>
  <c r="K1239" i="6" s="1"/>
  <c r="K1285" i="6" s="1"/>
  <c r="K1331" i="6" s="1"/>
  <c r="L632" i="6"/>
  <c r="AH375" i="6"/>
  <c r="AR141" i="6"/>
  <c r="AI154" i="6"/>
  <c r="AE165" i="6"/>
  <c r="K165" i="6"/>
  <c r="V168" i="6"/>
  <c r="AA168" i="6"/>
  <c r="S168" i="6"/>
  <c r="Y168" i="6"/>
  <c r="Q168" i="6"/>
  <c r="W168" i="6"/>
  <c r="P191" i="6"/>
  <c r="B192" i="6"/>
  <c r="F238" i="6"/>
  <c r="T193" i="6"/>
  <c r="Z196" i="6"/>
  <c r="B200" i="6"/>
  <c r="F246" i="6"/>
  <c r="T201" i="6"/>
  <c r="R208" i="6"/>
  <c r="X211" i="6"/>
  <c r="V218" i="6"/>
  <c r="J265" i="6"/>
  <c r="D219" i="6"/>
  <c r="P223" i="6"/>
  <c r="B224" i="6"/>
  <c r="F270" i="6"/>
  <c r="X227" i="6"/>
  <c r="P234" i="6"/>
  <c r="S236" i="6"/>
  <c r="S253" i="6"/>
  <c r="I301" i="6"/>
  <c r="Y255" i="6"/>
  <c r="Q255" i="6"/>
  <c r="X255" i="6"/>
  <c r="P255" i="6"/>
  <c r="W255" i="6"/>
  <c r="V255" i="6"/>
  <c r="U255" i="6"/>
  <c r="T255" i="6"/>
  <c r="Z255" i="6"/>
  <c r="R255" i="6"/>
  <c r="AA264" i="6"/>
  <c r="T310" i="6"/>
  <c r="X310" i="6"/>
  <c r="P310" i="6"/>
  <c r="S310" i="6"/>
  <c r="R310" i="6"/>
  <c r="AA310" i="6"/>
  <c r="Q310" i="6"/>
  <c r="Z310" i="6"/>
  <c r="Y310" i="6"/>
  <c r="W310" i="6"/>
  <c r="U310" i="6"/>
  <c r="S21" i="6"/>
  <c r="AA21" i="6"/>
  <c r="V40" i="6"/>
  <c r="G147" i="6"/>
  <c r="AE147" i="6" s="1"/>
  <c r="G339" i="6"/>
  <c r="G385" i="6" s="1"/>
  <c r="G431" i="6" s="1"/>
  <c r="G343" i="6"/>
  <c r="G389" i="6" s="1"/>
  <c r="G435" i="6" s="1"/>
  <c r="G151" i="6"/>
  <c r="AE151" i="6" s="1"/>
  <c r="G347" i="6"/>
  <c r="G393" i="6" s="1"/>
  <c r="G439" i="6" s="1"/>
  <c r="G155" i="6"/>
  <c r="AE155" i="6" s="1"/>
  <c r="G351" i="6"/>
  <c r="G397" i="6" s="1"/>
  <c r="G443" i="6" s="1"/>
  <c r="G159" i="6"/>
  <c r="AE159" i="6" s="1"/>
  <c r="G355" i="6"/>
  <c r="G401" i="6" s="1"/>
  <c r="G447" i="6" s="1"/>
  <c r="G163" i="6"/>
  <c r="AE163" i="6" s="1"/>
  <c r="G363" i="6"/>
  <c r="G409" i="6" s="1"/>
  <c r="G455" i="6" s="1"/>
  <c r="G171" i="6"/>
  <c r="AE171" i="6" s="1"/>
  <c r="G367" i="6"/>
  <c r="G413" i="6" s="1"/>
  <c r="G459" i="6" s="1"/>
  <c r="G175" i="6"/>
  <c r="AE175" i="6" s="1"/>
  <c r="AG131" i="6"/>
  <c r="AF371" i="6"/>
  <c r="P141" i="6"/>
  <c r="AA141" i="6"/>
  <c r="K143" i="6"/>
  <c r="AH143" i="6"/>
  <c r="AN144" i="6"/>
  <c r="AF144" i="6"/>
  <c r="AQ144" i="6"/>
  <c r="AI144" i="6"/>
  <c r="AH144" i="6"/>
  <c r="AM145" i="6"/>
  <c r="AO146" i="6"/>
  <c r="K147" i="6"/>
  <c r="AH147" i="6"/>
  <c r="AN148" i="6"/>
  <c r="AF148" i="6"/>
  <c r="AK148" i="6"/>
  <c r="AQ148" i="6"/>
  <c r="AI148" i="6"/>
  <c r="AO148" i="6"/>
  <c r="AG148" i="6"/>
  <c r="AJ148" i="6"/>
  <c r="K149" i="6"/>
  <c r="AL150" i="6"/>
  <c r="K151" i="6"/>
  <c r="V152" i="6"/>
  <c r="AA152" i="6"/>
  <c r="S152" i="6"/>
  <c r="Y152" i="6"/>
  <c r="Q152" i="6"/>
  <c r="AB152" i="6" s="1"/>
  <c r="W152" i="6"/>
  <c r="Z152" i="6"/>
  <c r="AG153" i="6"/>
  <c r="B155" i="6"/>
  <c r="AB155" i="6"/>
  <c r="H156" i="6"/>
  <c r="AJ156" i="6"/>
  <c r="AE157" i="6"/>
  <c r="K157" i="6"/>
  <c r="AJ158" i="6"/>
  <c r="AO158" i="6"/>
  <c r="AG158" i="6"/>
  <c r="AM158" i="6"/>
  <c r="AK158" i="6"/>
  <c r="AI158" i="6"/>
  <c r="L159" i="6"/>
  <c r="L160" i="6"/>
  <c r="H162" i="6"/>
  <c r="AE166" i="6"/>
  <c r="AR166" i="6"/>
  <c r="H167" i="6"/>
  <c r="T168" i="6"/>
  <c r="L169" i="6"/>
  <c r="B173" i="6"/>
  <c r="AE174" i="6"/>
  <c r="H175" i="6"/>
  <c r="T176" i="6"/>
  <c r="L177" i="6"/>
  <c r="AJ178" i="6"/>
  <c r="AO178" i="6"/>
  <c r="AG178" i="6"/>
  <c r="AR178" i="6" s="1"/>
  <c r="AM178" i="6"/>
  <c r="AK178" i="6"/>
  <c r="AI178" i="6"/>
  <c r="L179" i="6"/>
  <c r="AE179" i="6"/>
  <c r="L180" i="6"/>
  <c r="AN182" i="6"/>
  <c r="L184" i="6"/>
  <c r="J236" i="6"/>
  <c r="D190" i="6"/>
  <c r="X190" i="6"/>
  <c r="Z191" i="6"/>
  <c r="P194" i="6"/>
  <c r="B195" i="6"/>
  <c r="F241" i="6"/>
  <c r="R195" i="6"/>
  <c r="T196" i="6"/>
  <c r="V197" i="6"/>
  <c r="U197" i="6"/>
  <c r="J244" i="6"/>
  <c r="D198" i="6"/>
  <c r="X198" i="6"/>
  <c r="Z199" i="6"/>
  <c r="P202" i="6"/>
  <c r="B203" i="6"/>
  <c r="F249" i="6"/>
  <c r="R203" i="6"/>
  <c r="T204" i="6"/>
  <c r="V205" i="6"/>
  <c r="U205" i="6"/>
  <c r="J252" i="6"/>
  <c r="D206" i="6"/>
  <c r="X206" i="6"/>
  <c r="Z207" i="6"/>
  <c r="P210" i="6"/>
  <c r="B211" i="6"/>
  <c r="F257" i="6"/>
  <c r="R211" i="6"/>
  <c r="T212" i="6"/>
  <c r="V213" i="6"/>
  <c r="U213" i="6"/>
  <c r="J260" i="6"/>
  <c r="D214" i="6"/>
  <c r="X214" i="6"/>
  <c r="Z215" i="6"/>
  <c r="P218" i="6"/>
  <c r="B219" i="6"/>
  <c r="F265" i="6"/>
  <c r="R219" i="6"/>
  <c r="T220" i="6"/>
  <c r="V221" i="6"/>
  <c r="U221" i="6"/>
  <c r="J268" i="6"/>
  <c r="D222" i="6"/>
  <c r="X222" i="6"/>
  <c r="Z223" i="6"/>
  <c r="P226" i="6"/>
  <c r="B227" i="6"/>
  <c r="F273" i="6"/>
  <c r="R227" i="6"/>
  <c r="T228" i="6"/>
  <c r="V229" i="6"/>
  <c r="X229" i="6"/>
  <c r="B232" i="6"/>
  <c r="F278" i="6"/>
  <c r="R232" i="6"/>
  <c r="V233" i="6"/>
  <c r="X233" i="6"/>
  <c r="Y236" i="6"/>
  <c r="Q236" i="6"/>
  <c r="X236" i="6"/>
  <c r="P236" i="6"/>
  <c r="V236" i="6"/>
  <c r="I282" i="6"/>
  <c r="T236" i="6"/>
  <c r="Z236" i="6"/>
  <c r="R236" i="6"/>
  <c r="Y240" i="6"/>
  <c r="Q240" i="6"/>
  <c r="I286" i="6"/>
  <c r="X240" i="6"/>
  <c r="P240" i="6"/>
  <c r="W240" i="6"/>
  <c r="V240" i="6"/>
  <c r="T240" i="6"/>
  <c r="Z240" i="6"/>
  <c r="R240" i="6"/>
  <c r="S243" i="6"/>
  <c r="S246" i="6"/>
  <c r="Y248" i="6"/>
  <c r="Q248" i="6"/>
  <c r="I294" i="6"/>
  <c r="X248" i="6"/>
  <c r="P248" i="6"/>
  <c r="W248" i="6"/>
  <c r="V248" i="6"/>
  <c r="U248" i="6"/>
  <c r="T248" i="6"/>
  <c r="Z248" i="6"/>
  <c r="R248" i="6"/>
  <c r="AA249" i="6"/>
  <c r="S254" i="6"/>
  <c r="Y256" i="6"/>
  <c r="Q256" i="6"/>
  <c r="X256" i="6"/>
  <c r="P256" i="6"/>
  <c r="W256" i="6"/>
  <c r="V256" i="6"/>
  <c r="U256" i="6"/>
  <c r="T256" i="6"/>
  <c r="Z256" i="6"/>
  <c r="R256" i="6"/>
  <c r="AA257" i="6"/>
  <c r="S262" i="6"/>
  <c r="Y264" i="6"/>
  <c r="Q264" i="6"/>
  <c r="X264" i="6"/>
  <c r="P264" i="6"/>
  <c r="W264" i="6"/>
  <c r="V264" i="6"/>
  <c r="U264" i="6"/>
  <c r="T264" i="6"/>
  <c r="Z264" i="6"/>
  <c r="R264" i="6"/>
  <c r="AA265" i="6"/>
  <c r="W267" i="6"/>
  <c r="J269" i="6"/>
  <c r="S276" i="6"/>
  <c r="T314" i="6"/>
  <c r="X314" i="6"/>
  <c r="P314" i="6"/>
  <c r="S314" i="6"/>
  <c r="R314" i="6"/>
  <c r="AA314" i="6"/>
  <c r="Q314" i="6"/>
  <c r="Z314" i="6"/>
  <c r="Y314" i="6"/>
  <c r="W314" i="6"/>
  <c r="U314" i="6"/>
  <c r="J446" i="6"/>
  <c r="AT446" i="6" s="1"/>
  <c r="AT400" i="6"/>
  <c r="T359" i="6"/>
  <c r="V364" i="6"/>
  <c r="W416" i="6"/>
  <c r="AF416" i="6"/>
  <c r="V416" i="6"/>
  <c r="I462" i="6"/>
  <c r="Z416" i="6"/>
  <c r="R416" i="6"/>
  <c r="AH416" i="6"/>
  <c r="X416" i="6"/>
  <c r="P416" i="6"/>
  <c r="U416" i="6"/>
  <c r="T416" i="6"/>
  <c r="S416" i="6"/>
  <c r="Q416" i="6"/>
  <c r="Y416" i="6"/>
  <c r="AA416" i="6"/>
  <c r="H145" i="6"/>
  <c r="H337" i="6"/>
  <c r="H383" i="6" s="1"/>
  <c r="H429" i="6" s="1"/>
  <c r="H341" i="6"/>
  <c r="H387" i="6" s="1"/>
  <c r="H433" i="6" s="1"/>
  <c r="H149" i="6"/>
  <c r="H345" i="6"/>
  <c r="H391" i="6" s="1"/>
  <c r="H437" i="6" s="1"/>
  <c r="H153" i="6"/>
  <c r="H349" i="6"/>
  <c r="H395" i="6" s="1"/>
  <c r="H441" i="6" s="1"/>
  <c r="H157" i="6"/>
  <c r="H353" i="6"/>
  <c r="H399" i="6" s="1"/>
  <c r="H445" i="6" s="1"/>
  <c r="H161" i="6"/>
  <c r="H361" i="6"/>
  <c r="H407" i="6" s="1"/>
  <c r="H453" i="6" s="1"/>
  <c r="H169" i="6"/>
  <c r="H365" i="6"/>
  <c r="H411" i="6" s="1"/>
  <c r="H457" i="6" s="1"/>
  <c r="H173" i="6"/>
  <c r="H369" i="6"/>
  <c r="H415" i="6" s="1"/>
  <c r="H461" i="6" s="1"/>
  <c r="H177" i="6"/>
  <c r="H373" i="6"/>
  <c r="H419" i="6" s="1"/>
  <c r="H465" i="6" s="1"/>
  <c r="H181" i="6"/>
  <c r="AF375" i="6"/>
  <c r="G376" i="6"/>
  <c r="G422" i="6" s="1"/>
  <c r="G468" i="6" s="1"/>
  <c r="G184" i="6"/>
  <c r="AE184" i="6" s="1"/>
  <c r="Q141" i="6"/>
  <c r="T143" i="6"/>
  <c r="W143" i="6"/>
  <c r="V143" i="6"/>
  <c r="AI143" i="6"/>
  <c r="V144" i="6"/>
  <c r="Y144" i="6"/>
  <c r="Q144" i="6"/>
  <c r="W144" i="6"/>
  <c r="AJ144" i="6"/>
  <c r="AN145" i="6"/>
  <c r="AE146" i="6"/>
  <c r="AF146" i="6"/>
  <c r="AP146" i="6"/>
  <c r="T147" i="6"/>
  <c r="W147" i="6"/>
  <c r="V147" i="6"/>
  <c r="AI147" i="6"/>
  <c r="V148" i="6"/>
  <c r="Y148" i="6"/>
  <c r="Q148" i="6"/>
  <c r="W148" i="6"/>
  <c r="AL148" i="6"/>
  <c r="L149" i="6"/>
  <c r="AN150" i="6"/>
  <c r="AJ153" i="6"/>
  <c r="AF154" i="6"/>
  <c r="H155" i="6"/>
  <c r="AL156" i="6"/>
  <c r="L157" i="6"/>
  <c r="AL158" i="6"/>
  <c r="K159" i="6"/>
  <c r="V160" i="6"/>
  <c r="AA160" i="6"/>
  <c r="S160" i="6"/>
  <c r="Y160" i="6"/>
  <c r="Q160" i="6"/>
  <c r="W160" i="6"/>
  <c r="Z160" i="6"/>
  <c r="AH164" i="6"/>
  <c r="U168" i="6"/>
  <c r="B172" i="6"/>
  <c r="AE172" i="6"/>
  <c r="G173" i="6"/>
  <c r="AE173" i="6" s="1"/>
  <c r="U176" i="6"/>
  <c r="AL178" i="6"/>
  <c r="K179" i="6"/>
  <c r="V180" i="6"/>
  <c r="AA180" i="6"/>
  <c r="S180" i="6"/>
  <c r="Y180" i="6"/>
  <c r="Q180" i="6"/>
  <c r="W180" i="6"/>
  <c r="Z180" i="6"/>
  <c r="AP182" i="6"/>
  <c r="V184" i="6"/>
  <c r="AA184" i="6"/>
  <c r="S184" i="6"/>
  <c r="Y184" i="6"/>
  <c r="Q184" i="6"/>
  <c r="W184" i="6"/>
  <c r="Z184" i="6"/>
  <c r="Z190" i="6"/>
  <c r="P193" i="6"/>
  <c r="B194" i="6"/>
  <c r="F240" i="6"/>
  <c r="R194" i="6"/>
  <c r="T195" i="6"/>
  <c r="V196" i="6"/>
  <c r="U196" i="6"/>
  <c r="J243" i="6"/>
  <c r="D197" i="6"/>
  <c r="X197" i="6"/>
  <c r="Z198" i="6"/>
  <c r="P201" i="6"/>
  <c r="B202" i="6"/>
  <c r="F248" i="6"/>
  <c r="R202" i="6"/>
  <c r="T203" i="6"/>
  <c r="V204" i="6"/>
  <c r="U204" i="6"/>
  <c r="J251" i="6"/>
  <c r="D205" i="6"/>
  <c r="X205" i="6"/>
  <c r="Z206" i="6"/>
  <c r="P209" i="6"/>
  <c r="B210" i="6"/>
  <c r="F256" i="6"/>
  <c r="R210" i="6"/>
  <c r="T211" i="6"/>
  <c r="V212" i="6"/>
  <c r="U212" i="6"/>
  <c r="J259" i="6"/>
  <c r="D213" i="6"/>
  <c r="X213" i="6"/>
  <c r="Z214" i="6"/>
  <c r="P217" i="6"/>
  <c r="B218" i="6"/>
  <c r="F264" i="6"/>
  <c r="R218" i="6"/>
  <c r="T219" i="6"/>
  <c r="V220" i="6"/>
  <c r="U220" i="6"/>
  <c r="J267" i="6"/>
  <c r="D221" i="6"/>
  <c r="X221" i="6"/>
  <c r="Z222" i="6"/>
  <c r="P225" i="6"/>
  <c r="B226" i="6"/>
  <c r="F272" i="6"/>
  <c r="R226" i="6"/>
  <c r="T227" i="6"/>
  <c r="V228" i="6"/>
  <c r="U228" i="6"/>
  <c r="J275" i="6"/>
  <c r="D229" i="6"/>
  <c r="Z229" i="6"/>
  <c r="P231" i="6"/>
  <c r="T232" i="6"/>
  <c r="J279" i="6"/>
  <c r="D233" i="6"/>
  <c r="Z233" i="6"/>
  <c r="I283" i="6"/>
  <c r="Y237" i="6"/>
  <c r="Q237" i="6"/>
  <c r="X237" i="6"/>
  <c r="P237" i="6"/>
  <c r="V237" i="6"/>
  <c r="T237" i="6"/>
  <c r="Z237" i="6"/>
  <c r="R237" i="6"/>
  <c r="Y239" i="6"/>
  <c r="Q239" i="6"/>
  <c r="X239" i="6"/>
  <c r="P239" i="6"/>
  <c r="W239" i="6"/>
  <c r="V239" i="6"/>
  <c r="T239" i="6"/>
  <c r="Z239" i="6"/>
  <c r="R239" i="6"/>
  <c r="S242" i="6"/>
  <c r="U243" i="6"/>
  <c r="I291" i="6"/>
  <c r="Y245" i="6"/>
  <c r="Q245" i="6"/>
  <c r="X245" i="6"/>
  <c r="P245" i="6"/>
  <c r="W245" i="6"/>
  <c r="V245" i="6"/>
  <c r="U245" i="6"/>
  <c r="T245" i="6"/>
  <c r="Z245" i="6"/>
  <c r="R245" i="6"/>
  <c r="AA246" i="6"/>
  <c r="S251" i="6"/>
  <c r="Y253" i="6"/>
  <c r="Q253" i="6"/>
  <c r="X253" i="6"/>
  <c r="P253" i="6"/>
  <c r="W253" i="6"/>
  <c r="V253" i="6"/>
  <c r="I299" i="6"/>
  <c r="U253" i="6"/>
  <c r="T253" i="6"/>
  <c r="Z253" i="6"/>
  <c r="R253" i="6"/>
  <c r="AA254" i="6"/>
  <c r="S259" i="6"/>
  <c r="Y261" i="6"/>
  <c r="Q261" i="6"/>
  <c r="X261" i="6"/>
  <c r="P261" i="6"/>
  <c r="W261" i="6"/>
  <c r="V261" i="6"/>
  <c r="I307" i="6"/>
  <c r="U261" i="6"/>
  <c r="T261" i="6"/>
  <c r="Z261" i="6"/>
  <c r="R261" i="6"/>
  <c r="AA262" i="6"/>
  <c r="V272" i="6"/>
  <c r="T274" i="6"/>
  <c r="I302" i="6"/>
  <c r="V314" i="6"/>
  <c r="R339" i="6"/>
  <c r="V344" i="6"/>
  <c r="P393" i="6"/>
  <c r="Q397" i="6"/>
  <c r="AA356" i="6"/>
  <c r="P365" i="6"/>
  <c r="AA372" i="6"/>
  <c r="Y401" i="6"/>
  <c r="X405" i="6"/>
  <c r="Q149" i="6"/>
  <c r="Y149" i="6"/>
  <c r="U151" i="6"/>
  <c r="Q153" i="6"/>
  <c r="Y153" i="6"/>
  <c r="U155" i="6"/>
  <c r="Y157" i="6"/>
  <c r="U159" i="6"/>
  <c r="Q161" i="6"/>
  <c r="Y161" i="6"/>
  <c r="U163" i="6"/>
  <c r="Q165" i="6"/>
  <c r="Y165" i="6"/>
  <c r="U167" i="6"/>
  <c r="Q169" i="6"/>
  <c r="Y169" i="6"/>
  <c r="U171" i="6"/>
  <c r="Q173" i="6"/>
  <c r="Y173" i="6"/>
  <c r="U175" i="6"/>
  <c r="U179" i="6"/>
  <c r="Y181" i="6"/>
  <c r="U183" i="6"/>
  <c r="AB183" i="6" s="1"/>
  <c r="Q185" i="6"/>
  <c r="Y185" i="6"/>
  <c r="W190" i="6"/>
  <c r="W191" i="6"/>
  <c r="W192" i="6"/>
  <c r="W193" i="6"/>
  <c r="W194" i="6"/>
  <c r="W195" i="6"/>
  <c r="W196" i="6"/>
  <c r="W197" i="6"/>
  <c r="W198" i="6"/>
  <c r="W199" i="6"/>
  <c r="W200" i="6"/>
  <c r="W201" i="6"/>
  <c r="W202" i="6"/>
  <c r="W203" i="6"/>
  <c r="W204" i="6"/>
  <c r="W205" i="6"/>
  <c r="W206" i="6"/>
  <c r="W207" i="6"/>
  <c r="W208" i="6"/>
  <c r="W209" i="6"/>
  <c r="W210" i="6"/>
  <c r="W211" i="6"/>
  <c r="W212" i="6"/>
  <c r="W213" i="6"/>
  <c r="W214" i="6"/>
  <c r="W215" i="6"/>
  <c r="W216" i="6"/>
  <c r="W217" i="6"/>
  <c r="W218" i="6"/>
  <c r="W219" i="6"/>
  <c r="W220" i="6"/>
  <c r="W221" i="6"/>
  <c r="W222" i="6"/>
  <c r="W223" i="6"/>
  <c r="W224" i="6"/>
  <c r="W225" i="6"/>
  <c r="W226" i="6"/>
  <c r="W227" i="6"/>
  <c r="W228" i="6"/>
  <c r="W229" i="6"/>
  <c r="W230" i="6"/>
  <c r="W231" i="6"/>
  <c r="W232" i="6"/>
  <c r="W233" i="6"/>
  <c r="W234" i="6"/>
  <c r="V267" i="6"/>
  <c r="P268" i="6"/>
  <c r="Z268" i="6"/>
  <c r="I269" i="6"/>
  <c r="W270" i="6"/>
  <c r="V275" i="6"/>
  <c r="P276" i="6"/>
  <c r="AB276" i="6" s="1"/>
  <c r="Z276" i="6"/>
  <c r="I277" i="6"/>
  <c r="W278" i="6"/>
  <c r="J381" i="6"/>
  <c r="AT335" i="6"/>
  <c r="AT384" i="6"/>
  <c r="J430" i="6"/>
  <c r="AT430" i="6" s="1"/>
  <c r="AA340" i="6"/>
  <c r="F436" i="6"/>
  <c r="M21" i="10" s="1"/>
  <c r="J438" i="6"/>
  <c r="AT438" i="6" s="1"/>
  <c r="AT392" i="6"/>
  <c r="AG348" i="6"/>
  <c r="F395" i="6"/>
  <c r="B349" i="6"/>
  <c r="J397" i="6"/>
  <c r="AT351" i="6"/>
  <c r="AA352" i="6"/>
  <c r="X356" i="6"/>
  <c r="P356" i="6"/>
  <c r="AG356" i="6"/>
  <c r="W356" i="6"/>
  <c r="U356" i="6"/>
  <c r="T356" i="6"/>
  <c r="Y356" i="6"/>
  <c r="Q356" i="6"/>
  <c r="Z356" i="6"/>
  <c r="J450" i="6"/>
  <c r="AT450" i="6" s="1"/>
  <c r="AT404" i="6"/>
  <c r="B359" i="6"/>
  <c r="AF360" i="6"/>
  <c r="U407" i="6"/>
  <c r="AF407" i="6"/>
  <c r="V407" i="6"/>
  <c r="Z407" i="6"/>
  <c r="P407" i="6"/>
  <c r="Y407" i="6"/>
  <c r="X407" i="6"/>
  <c r="W407" i="6"/>
  <c r="T407" i="6"/>
  <c r="I453" i="6"/>
  <c r="AA407" i="6"/>
  <c r="Q407" i="6"/>
  <c r="Y417" i="6"/>
  <c r="Q417" i="6"/>
  <c r="X417" i="6"/>
  <c r="P417" i="6"/>
  <c r="T417" i="6"/>
  <c r="Z417" i="6"/>
  <c r="R417" i="6"/>
  <c r="AG417" i="6"/>
  <c r="AF417" i="6"/>
  <c r="AA417" i="6"/>
  <c r="W417" i="6"/>
  <c r="S417" i="6"/>
  <c r="G381" i="6"/>
  <c r="G427" i="6" s="1"/>
  <c r="B392" i="6"/>
  <c r="J395" i="6"/>
  <c r="Y397" i="6"/>
  <c r="X401" i="6"/>
  <c r="I402" i="6"/>
  <c r="V417" i="6"/>
  <c r="AG1018" i="6"/>
  <c r="AL641" i="6"/>
  <c r="AK641" i="6"/>
  <c r="AJ641" i="6"/>
  <c r="AQ641" i="6"/>
  <c r="AI641" i="6"/>
  <c r="AP641" i="6"/>
  <c r="AH641" i="6"/>
  <c r="AO641" i="6"/>
  <c r="AG641" i="6"/>
  <c r="AM641" i="6"/>
  <c r="AN641" i="6"/>
  <c r="AF641" i="6"/>
  <c r="AE652" i="6"/>
  <c r="Q709" i="6"/>
  <c r="U142" i="6"/>
  <c r="U146" i="6"/>
  <c r="S149" i="6"/>
  <c r="AA149" i="6"/>
  <c r="U150" i="6"/>
  <c r="W151" i="6"/>
  <c r="S153" i="6"/>
  <c r="AA153" i="6"/>
  <c r="U154" i="6"/>
  <c r="W155" i="6"/>
  <c r="S157" i="6"/>
  <c r="AA157" i="6"/>
  <c r="U158" i="6"/>
  <c r="W159" i="6"/>
  <c r="S161" i="6"/>
  <c r="AA161" i="6"/>
  <c r="U162" i="6"/>
  <c r="W163" i="6"/>
  <c r="S165" i="6"/>
  <c r="AA165" i="6"/>
  <c r="U166" i="6"/>
  <c r="W167" i="6"/>
  <c r="S169" i="6"/>
  <c r="AA169" i="6"/>
  <c r="U170" i="6"/>
  <c r="W171" i="6"/>
  <c r="S173" i="6"/>
  <c r="AA173" i="6"/>
  <c r="U174" i="6"/>
  <c r="W175" i="6"/>
  <c r="S177" i="6"/>
  <c r="AA177" i="6"/>
  <c r="U178" i="6"/>
  <c r="W179" i="6"/>
  <c r="S181" i="6"/>
  <c r="AA181" i="6"/>
  <c r="U182" i="6"/>
  <c r="AB182" i="6" s="1"/>
  <c r="W183" i="6"/>
  <c r="S185" i="6"/>
  <c r="AA185" i="6"/>
  <c r="Q190" i="6"/>
  <c r="Y190" i="6"/>
  <c r="Q191" i="6"/>
  <c r="Y191" i="6"/>
  <c r="Q192" i="6"/>
  <c r="Y192" i="6"/>
  <c r="Q193" i="6"/>
  <c r="Y193" i="6"/>
  <c r="Q194" i="6"/>
  <c r="Y194" i="6"/>
  <c r="Q195" i="6"/>
  <c r="Y195" i="6"/>
  <c r="Q196" i="6"/>
  <c r="Y196" i="6"/>
  <c r="Q197" i="6"/>
  <c r="Y197" i="6"/>
  <c r="Q198" i="6"/>
  <c r="Y198" i="6"/>
  <c r="Q199" i="6"/>
  <c r="Y199" i="6"/>
  <c r="Q200" i="6"/>
  <c r="Y200" i="6"/>
  <c r="Q201" i="6"/>
  <c r="Y201" i="6"/>
  <c r="Q202" i="6"/>
  <c r="Y202" i="6"/>
  <c r="Q203" i="6"/>
  <c r="Y203" i="6"/>
  <c r="Q204" i="6"/>
  <c r="Y204" i="6"/>
  <c r="Q205" i="6"/>
  <c r="Y205" i="6"/>
  <c r="Q206" i="6"/>
  <c r="Y206" i="6"/>
  <c r="Q207" i="6"/>
  <c r="Y207" i="6"/>
  <c r="Q208" i="6"/>
  <c r="Y208" i="6"/>
  <c r="Q209" i="6"/>
  <c r="Y209" i="6"/>
  <c r="Q210" i="6"/>
  <c r="Y210" i="6"/>
  <c r="Q211" i="6"/>
  <c r="Y211" i="6"/>
  <c r="Q212" i="6"/>
  <c r="Y212" i="6"/>
  <c r="Q213" i="6"/>
  <c r="Y213" i="6"/>
  <c r="Q214" i="6"/>
  <c r="Y214" i="6"/>
  <c r="Q215" i="6"/>
  <c r="Y215" i="6"/>
  <c r="Q216" i="6"/>
  <c r="Y216" i="6"/>
  <c r="Q217" i="6"/>
  <c r="Y217" i="6"/>
  <c r="Q218" i="6"/>
  <c r="Y218" i="6"/>
  <c r="Q219" i="6"/>
  <c r="Y219" i="6"/>
  <c r="Q220" i="6"/>
  <c r="Y220" i="6"/>
  <c r="Q221" i="6"/>
  <c r="Y221" i="6"/>
  <c r="Q222" i="6"/>
  <c r="Y222" i="6"/>
  <c r="Q223" i="6"/>
  <c r="Y223" i="6"/>
  <c r="Q224" i="6"/>
  <c r="Y224" i="6"/>
  <c r="Q225" i="6"/>
  <c r="Y225" i="6"/>
  <c r="Q226" i="6"/>
  <c r="Y226" i="6"/>
  <c r="Q227" i="6"/>
  <c r="Y227" i="6"/>
  <c r="Q228" i="6"/>
  <c r="Y228" i="6"/>
  <c r="Q229" i="6"/>
  <c r="Y229" i="6"/>
  <c r="Q230" i="6"/>
  <c r="Y230" i="6"/>
  <c r="Q231" i="6"/>
  <c r="Y231" i="6"/>
  <c r="Q232" i="6"/>
  <c r="Y232" i="6"/>
  <c r="Q233" i="6"/>
  <c r="Y233" i="6"/>
  <c r="Q234" i="6"/>
  <c r="Y234" i="6"/>
  <c r="X267" i="6"/>
  <c r="P270" i="6"/>
  <c r="Z270" i="6"/>
  <c r="I271" i="6"/>
  <c r="X275" i="6"/>
  <c r="P278" i="6"/>
  <c r="Z278" i="6"/>
  <c r="I279" i="6"/>
  <c r="J380" i="6"/>
  <c r="AE334" i="6"/>
  <c r="AE380" i="6" s="1"/>
  <c r="AE426" i="6" s="1"/>
  <c r="AT334" i="6"/>
  <c r="B336" i="6"/>
  <c r="Z336" i="6"/>
  <c r="AL336" i="6"/>
  <c r="AE337" i="6"/>
  <c r="AE383" i="6" s="1"/>
  <c r="AE429" i="6" s="1"/>
  <c r="AF385" i="6"/>
  <c r="V385" i="6"/>
  <c r="U385" i="6"/>
  <c r="T385" i="6"/>
  <c r="AA385" i="6"/>
  <c r="S385" i="6"/>
  <c r="Z385" i="6"/>
  <c r="R385" i="6"/>
  <c r="AG385" i="6"/>
  <c r="W385" i="6"/>
  <c r="B340" i="6"/>
  <c r="R340" i="6"/>
  <c r="AF340" i="6"/>
  <c r="R342" i="6"/>
  <c r="X344" i="6"/>
  <c r="P344" i="6"/>
  <c r="U344" i="6"/>
  <c r="T344" i="6"/>
  <c r="Y344" i="6"/>
  <c r="Q344" i="6"/>
  <c r="W344" i="6"/>
  <c r="F440" i="6"/>
  <c r="S348" i="6"/>
  <c r="AT396" i="6"/>
  <c r="J442" i="6"/>
  <c r="AT442" i="6" s="1"/>
  <c r="AG352" i="6"/>
  <c r="F399" i="6"/>
  <c r="B353" i="6"/>
  <c r="AF356" i="6"/>
  <c r="AF405" i="6"/>
  <c r="V405" i="6"/>
  <c r="U405" i="6"/>
  <c r="T405" i="6"/>
  <c r="AA405" i="6"/>
  <c r="S405" i="6"/>
  <c r="Z405" i="6"/>
  <c r="R405" i="6"/>
  <c r="AG405" i="6"/>
  <c r="W405" i="6"/>
  <c r="I410" i="6"/>
  <c r="X364" i="6"/>
  <c r="P364" i="6"/>
  <c r="AG364" i="6"/>
  <c r="W364" i="6"/>
  <c r="U364" i="6"/>
  <c r="T364" i="6"/>
  <c r="Y364" i="6"/>
  <c r="Q364" i="6"/>
  <c r="Z364" i="6"/>
  <c r="F460" i="6"/>
  <c r="B414" i="6"/>
  <c r="Q381" i="6"/>
  <c r="P385" i="6"/>
  <c r="F393" i="6"/>
  <c r="B400" i="6"/>
  <c r="J403" i="6"/>
  <c r="Y405" i="6"/>
  <c r="J454" i="6"/>
  <c r="AT454" i="6" s="1"/>
  <c r="AT408" i="6"/>
  <c r="S409" i="6"/>
  <c r="AB491" i="6"/>
  <c r="B664" i="6"/>
  <c r="U692" i="6"/>
  <c r="P694" i="6"/>
  <c r="U706" i="6"/>
  <c r="T706" i="6"/>
  <c r="AA706" i="6"/>
  <c r="S706" i="6"/>
  <c r="Z706" i="6"/>
  <c r="R706" i="6"/>
  <c r="I752" i="6"/>
  <c r="V706" i="6"/>
  <c r="Y706" i="6"/>
  <c r="X706" i="6"/>
  <c r="W706" i="6"/>
  <c r="P706" i="6"/>
  <c r="Q706" i="6"/>
  <c r="B757" i="6"/>
  <c r="F803" i="6"/>
  <c r="Y268" i="6"/>
  <c r="Q268" i="6"/>
  <c r="T268" i="6"/>
  <c r="R270" i="6"/>
  <c r="AA270" i="6"/>
  <c r="Y276" i="6"/>
  <c r="Q276" i="6"/>
  <c r="T276" i="6"/>
  <c r="R278" i="6"/>
  <c r="AA278" i="6"/>
  <c r="F428" i="6"/>
  <c r="J385" i="6"/>
  <c r="B385" i="6" s="1"/>
  <c r="AT339" i="6"/>
  <c r="F432" i="6"/>
  <c r="S340" i="6"/>
  <c r="B434" i="6"/>
  <c r="S342" i="6"/>
  <c r="AF389" i="6"/>
  <c r="V389" i="6"/>
  <c r="U389" i="6"/>
  <c r="T389" i="6"/>
  <c r="AA389" i="6"/>
  <c r="S389" i="6"/>
  <c r="Z389" i="6"/>
  <c r="R389" i="6"/>
  <c r="AG389" i="6"/>
  <c r="W389" i="6"/>
  <c r="AF401" i="6"/>
  <c r="V401" i="6"/>
  <c r="U401" i="6"/>
  <c r="T401" i="6"/>
  <c r="I447" i="6"/>
  <c r="AA401" i="6"/>
  <c r="S401" i="6"/>
  <c r="Z401" i="6"/>
  <c r="R401" i="6"/>
  <c r="AG401" i="6"/>
  <c r="W401" i="6"/>
  <c r="AE359" i="6"/>
  <c r="AE405" i="6" s="1"/>
  <c r="AE451" i="6" s="1"/>
  <c r="J405" i="6"/>
  <c r="AT359" i="6"/>
  <c r="F411" i="6"/>
  <c r="B365" i="6"/>
  <c r="Y413" i="6"/>
  <c r="Q413" i="6"/>
  <c r="X413" i="6"/>
  <c r="P413" i="6"/>
  <c r="T413" i="6"/>
  <c r="Z413" i="6"/>
  <c r="R413" i="6"/>
  <c r="I459" i="6"/>
  <c r="AF413" i="6"/>
  <c r="AA413" i="6"/>
  <c r="W413" i="6"/>
  <c r="V413" i="6"/>
  <c r="AG413" i="6"/>
  <c r="F421" i="6"/>
  <c r="B375" i="6"/>
  <c r="R376" i="6"/>
  <c r="X381" i="6"/>
  <c r="I382" i="6"/>
  <c r="Q385" i="6"/>
  <c r="P389" i="6"/>
  <c r="F397" i="6"/>
  <c r="B404" i="6"/>
  <c r="R407" i="6"/>
  <c r="AG412" i="6"/>
  <c r="W412" i="6"/>
  <c r="AF412" i="6"/>
  <c r="V412" i="6"/>
  <c r="I458" i="6"/>
  <c r="Z412" i="6"/>
  <c r="R412" i="6"/>
  <c r="X412" i="6"/>
  <c r="P412" i="6"/>
  <c r="T412" i="6"/>
  <c r="S412" i="6"/>
  <c r="Q412" i="6"/>
  <c r="U412" i="6"/>
  <c r="V1434" i="6"/>
  <c r="V1528" i="6" s="1"/>
  <c r="V518" i="6"/>
  <c r="V516" i="6"/>
  <c r="AG602" i="6"/>
  <c r="AW602" i="6"/>
  <c r="AF1040" i="6"/>
  <c r="K1047" i="6"/>
  <c r="K1093" i="6" s="1"/>
  <c r="K1139" i="6" s="1"/>
  <c r="K1185" i="6" s="1"/>
  <c r="K1231" i="6" s="1"/>
  <c r="K1277" i="6" s="1"/>
  <c r="K1323" i="6" s="1"/>
  <c r="L624" i="6"/>
  <c r="AG634" i="6"/>
  <c r="AW634" i="6"/>
  <c r="AF1060" i="6"/>
  <c r="U149" i="6"/>
  <c r="Q151" i="6"/>
  <c r="AB151" i="6" s="1"/>
  <c r="Y151" i="6"/>
  <c r="U153" i="6"/>
  <c r="Q155" i="6"/>
  <c r="Y155" i="6"/>
  <c r="U157" i="6"/>
  <c r="Q159" i="6"/>
  <c r="AB159" i="6" s="1"/>
  <c r="Y159" i="6"/>
  <c r="U161" i="6"/>
  <c r="Q163" i="6"/>
  <c r="AB163" i="6" s="1"/>
  <c r="Y163" i="6"/>
  <c r="U165" i="6"/>
  <c r="Q167" i="6"/>
  <c r="AB167" i="6" s="1"/>
  <c r="Y167" i="6"/>
  <c r="U169" i="6"/>
  <c r="Q171" i="6"/>
  <c r="AB171" i="6" s="1"/>
  <c r="Y171" i="6"/>
  <c r="U173" i="6"/>
  <c r="Q175" i="6"/>
  <c r="AB175" i="6" s="1"/>
  <c r="Y175" i="6"/>
  <c r="U177" i="6"/>
  <c r="Q179" i="6"/>
  <c r="AB179" i="6" s="1"/>
  <c r="Y179" i="6"/>
  <c r="U181" i="6"/>
  <c r="U185" i="6"/>
  <c r="S190" i="6"/>
  <c r="AA190" i="6"/>
  <c r="S191" i="6"/>
  <c r="AA191" i="6"/>
  <c r="S192" i="6"/>
  <c r="AA192" i="6"/>
  <c r="S193" i="6"/>
  <c r="AA193" i="6"/>
  <c r="S194" i="6"/>
  <c r="AA194" i="6"/>
  <c r="S195" i="6"/>
  <c r="AA195" i="6"/>
  <c r="S196" i="6"/>
  <c r="AA196" i="6"/>
  <c r="S197" i="6"/>
  <c r="AA197" i="6"/>
  <c r="S198" i="6"/>
  <c r="AA198" i="6"/>
  <c r="S199" i="6"/>
  <c r="AA199" i="6"/>
  <c r="S200" i="6"/>
  <c r="AA200" i="6"/>
  <c r="S201" i="6"/>
  <c r="AA201" i="6"/>
  <c r="S202" i="6"/>
  <c r="AA202" i="6"/>
  <c r="S203" i="6"/>
  <c r="AA203" i="6"/>
  <c r="S204" i="6"/>
  <c r="AA204" i="6"/>
  <c r="S205" i="6"/>
  <c r="AA205" i="6"/>
  <c r="S206" i="6"/>
  <c r="AA206" i="6"/>
  <c r="S207" i="6"/>
  <c r="AA207" i="6"/>
  <c r="S208" i="6"/>
  <c r="AA208" i="6"/>
  <c r="S209" i="6"/>
  <c r="AA209" i="6"/>
  <c r="S210" i="6"/>
  <c r="AA210" i="6"/>
  <c r="S211" i="6"/>
  <c r="AA211" i="6"/>
  <c r="S212" i="6"/>
  <c r="AA212" i="6"/>
  <c r="S213" i="6"/>
  <c r="AA213" i="6"/>
  <c r="S214" i="6"/>
  <c r="AA214" i="6"/>
  <c r="S215" i="6"/>
  <c r="AA215" i="6"/>
  <c r="S216" i="6"/>
  <c r="AA216" i="6"/>
  <c r="S217" i="6"/>
  <c r="AA217" i="6"/>
  <c r="S218" i="6"/>
  <c r="AA218" i="6"/>
  <c r="S219" i="6"/>
  <c r="AA219" i="6"/>
  <c r="S220" i="6"/>
  <c r="AA220" i="6"/>
  <c r="S221" i="6"/>
  <c r="AA221" i="6"/>
  <c r="S222" i="6"/>
  <c r="AA222" i="6"/>
  <c r="S223" i="6"/>
  <c r="AA223" i="6"/>
  <c r="S224" i="6"/>
  <c r="AA224" i="6"/>
  <c r="S225" i="6"/>
  <c r="AA225" i="6"/>
  <c r="S226" i="6"/>
  <c r="AA226" i="6"/>
  <c r="S227" i="6"/>
  <c r="AA227" i="6"/>
  <c r="S228" i="6"/>
  <c r="AA228" i="6"/>
  <c r="S229" i="6"/>
  <c r="AA229" i="6"/>
  <c r="S230" i="6"/>
  <c r="AA230" i="6"/>
  <c r="S231" i="6"/>
  <c r="AA231" i="6"/>
  <c r="S232" i="6"/>
  <c r="AA232" i="6"/>
  <c r="S233" i="6"/>
  <c r="AA233" i="6"/>
  <c r="S234" i="6"/>
  <c r="AA234" i="6"/>
  <c r="R267" i="6"/>
  <c r="U268" i="6"/>
  <c r="I273" i="6"/>
  <c r="R275" i="6"/>
  <c r="U276" i="6"/>
  <c r="B338" i="6"/>
  <c r="T340" i="6"/>
  <c r="F387" i="6"/>
  <c r="B341" i="6"/>
  <c r="V342" i="6"/>
  <c r="J389" i="6"/>
  <c r="AT343" i="6"/>
  <c r="X348" i="6"/>
  <c r="P348" i="6"/>
  <c r="U348" i="6"/>
  <c r="T348" i="6"/>
  <c r="Y348" i="6"/>
  <c r="Q348" i="6"/>
  <c r="W348" i="6"/>
  <c r="F444" i="6"/>
  <c r="S352" i="6"/>
  <c r="AE355" i="6"/>
  <c r="AE401" i="6" s="1"/>
  <c r="AE447" i="6" s="1"/>
  <c r="J401" i="6"/>
  <c r="AT355" i="6"/>
  <c r="F452" i="6"/>
  <c r="F409" i="6"/>
  <c r="B363" i="6"/>
  <c r="U411" i="6"/>
  <c r="T411" i="6"/>
  <c r="X411" i="6"/>
  <c r="P411" i="6"/>
  <c r="AF411" i="6"/>
  <c r="V411" i="6"/>
  <c r="AA411" i="6"/>
  <c r="Z411" i="6"/>
  <c r="Y411" i="6"/>
  <c r="W411" i="6"/>
  <c r="S411" i="6"/>
  <c r="AG411" i="6"/>
  <c r="I414" i="6"/>
  <c r="X368" i="6"/>
  <c r="P368" i="6"/>
  <c r="AG368" i="6"/>
  <c r="W368" i="6"/>
  <c r="AF368" i="6"/>
  <c r="V368" i="6"/>
  <c r="U368" i="6"/>
  <c r="T368" i="6"/>
  <c r="Y368" i="6"/>
  <c r="Q368" i="6"/>
  <c r="AA368" i="6"/>
  <c r="J415" i="6"/>
  <c r="AT369" i="6"/>
  <c r="F468" i="6"/>
  <c r="B422" i="6"/>
  <c r="J379" i="6"/>
  <c r="Y381" i="6"/>
  <c r="X385" i="6"/>
  <c r="Q389" i="6"/>
  <c r="S407" i="6"/>
  <c r="I435" i="6"/>
  <c r="S1428" i="6"/>
  <c r="S532" i="6"/>
  <c r="AA1428" i="6"/>
  <c r="AA532" i="6"/>
  <c r="AA515" i="6"/>
  <c r="AA732" i="6"/>
  <c r="AF1020" i="6"/>
  <c r="V680" i="6"/>
  <c r="T680" i="6"/>
  <c r="X680" i="6"/>
  <c r="P680" i="6"/>
  <c r="U680" i="6"/>
  <c r="S680" i="6"/>
  <c r="R680" i="6"/>
  <c r="Q680" i="6"/>
  <c r="AA680" i="6"/>
  <c r="Z680" i="6"/>
  <c r="W680" i="6"/>
  <c r="Y680" i="6"/>
  <c r="Y690" i="6"/>
  <c r="X714" i="6"/>
  <c r="W717" i="6"/>
  <c r="V717" i="6"/>
  <c r="U717" i="6"/>
  <c r="T717" i="6"/>
  <c r="AA717" i="6"/>
  <c r="S717" i="6"/>
  <c r="I763" i="6"/>
  <c r="X717" i="6"/>
  <c r="P717" i="6"/>
  <c r="AB717" i="6" s="1"/>
  <c r="Z717" i="6"/>
  <c r="Y717" i="6"/>
  <c r="Q717" i="6"/>
  <c r="R717" i="6"/>
  <c r="Y270" i="6"/>
  <c r="Q270" i="6"/>
  <c r="T270" i="6"/>
  <c r="Y278" i="6"/>
  <c r="Q278" i="6"/>
  <c r="T278" i="6"/>
  <c r="I316" i="6"/>
  <c r="I324" i="6"/>
  <c r="B430" i="6"/>
  <c r="X340" i="6"/>
  <c r="P340" i="6"/>
  <c r="U340" i="6"/>
  <c r="Y340" i="6"/>
  <c r="Q340" i="6"/>
  <c r="V340" i="6"/>
  <c r="T342" i="6"/>
  <c r="I388" i="6"/>
  <c r="Y342" i="6"/>
  <c r="Q342" i="6"/>
  <c r="X342" i="6"/>
  <c r="P342" i="6"/>
  <c r="U342" i="6"/>
  <c r="W342" i="6"/>
  <c r="AF393" i="6"/>
  <c r="V393" i="6"/>
  <c r="U393" i="6"/>
  <c r="T393" i="6"/>
  <c r="AA393" i="6"/>
  <c r="S393" i="6"/>
  <c r="Z393" i="6"/>
  <c r="R393" i="6"/>
  <c r="I439" i="6"/>
  <c r="AG393" i="6"/>
  <c r="W393" i="6"/>
  <c r="F448" i="6"/>
  <c r="B450" i="6"/>
  <c r="J411" i="6"/>
  <c r="AT365" i="6"/>
  <c r="B380" i="6"/>
  <c r="J383" i="6"/>
  <c r="Y385" i="6"/>
  <c r="X389" i="6"/>
  <c r="I390" i="6"/>
  <c r="Q393" i="6"/>
  <c r="P397" i="6"/>
  <c r="F405" i="6"/>
  <c r="Q411" i="6"/>
  <c r="I431" i="6"/>
  <c r="N7" i="10" s="1"/>
  <c r="I451" i="6"/>
  <c r="P533" i="6"/>
  <c r="P516" i="6"/>
  <c r="P531" i="6"/>
  <c r="P518" i="6"/>
  <c r="P517" i="6"/>
  <c r="P515" i="6"/>
  <c r="AB484" i="6"/>
  <c r="P534" i="6"/>
  <c r="P492" i="6"/>
  <c r="P532" i="6"/>
  <c r="X492" i="6"/>
  <c r="X532" i="6"/>
  <c r="G695" i="6"/>
  <c r="G741" i="6" s="1"/>
  <c r="G787" i="6" s="1"/>
  <c r="G833" i="6" s="1"/>
  <c r="G879" i="6" s="1"/>
  <c r="G925" i="6" s="1"/>
  <c r="G971" i="6" s="1"/>
  <c r="AE557" i="6"/>
  <c r="AF1028" i="6"/>
  <c r="K1039" i="6"/>
  <c r="K1085" i="6" s="1"/>
  <c r="K1131" i="6" s="1"/>
  <c r="K1177" i="6" s="1"/>
  <c r="K1223" i="6" s="1"/>
  <c r="K1269" i="6" s="1"/>
  <c r="K1315" i="6" s="1"/>
  <c r="L616" i="6"/>
  <c r="AG626" i="6"/>
  <c r="AW626" i="6"/>
  <c r="D747" i="6"/>
  <c r="J793" i="6"/>
  <c r="Y714" i="6"/>
  <c r="Y267" i="6"/>
  <c r="Q267" i="6"/>
  <c r="T267" i="6"/>
  <c r="W268" i="6"/>
  <c r="U270" i="6"/>
  <c r="Y275" i="6"/>
  <c r="Q275" i="6"/>
  <c r="T275" i="6"/>
  <c r="W276" i="6"/>
  <c r="U278" i="6"/>
  <c r="Y336" i="6"/>
  <c r="Q336" i="6"/>
  <c r="AG336" i="6"/>
  <c r="AE340" i="6"/>
  <c r="AE386" i="6" s="1"/>
  <c r="AE432" i="6" s="1"/>
  <c r="J386" i="6"/>
  <c r="W340" i="6"/>
  <c r="J434" i="6"/>
  <c r="AT434" i="6" s="1"/>
  <c r="AT388" i="6"/>
  <c r="Z342" i="6"/>
  <c r="F391" i="6"/>
  <c r="B345" i="6"/>
  <c r="J393" i="6"/>
  <c r="AT347" i="6"/>
  <c r="AE349" i="6"/>
  <c r="AE395" i="6" s="1"/>
  <c r="AE441" i="6" s="1"/>
  <c r="X352" i="6"/>
  <c r="P352" i="6"/>
  <c r="U352" i="6"/>
  <c r="T352" i="6"/>
  <c r="Y352" i="6"/>
  <c r="Q352" i="6"/>
  <c r="W352" i="6"/>
  <c r="B446" i="6"/>
  <c r="AE357" i="6"/>
  <c r="AE403" i="6" s="1"/>
  <c r="AE449" i="6" s="1"/>
  <c r="X360" i="6"/>
  <c r="P360" i="6"/>
  <c r="AG360" i="6"/>
  <c r="W360" i="6"/>
  <c r="U360" i="6"/>
  <c r="T360" i="6"/>
  <c r="Y360" i="6"/>
  <c r="Q360" i="6"/>
  <c r="Z360" i="6"/>
  <c r="Y409" i="6"/>
  <c r="Q409" i="6"/>
  <c r="X409" i="6"/>
  <c r="P409" i="6"/>
  <c r="T409" i="6"/>
  <c r="Z409" i="6"/>
  <c r="R409" i="6"/>
  <c r="I455" i="6"/>
  <c r="AA409" i="6"/>
  <c r="W409" i="6"/>
  <c r="V409" i="6"/>
  <c r="U409" i="6"/>
  <c r="AF409" i="6"/>
  <c r="AE365" i="6"/>
  <c r="AE411" i="6" s="1"/>
  <c r="AE457" i="6" s="1"/>
  <c r="F417" i="6"/>
  <c r="B371" i="6"/>
  <c r="I422" i="6"/>
  <c r="X376" i="6"/>
  <c r="P376" i="6"/>
  <c r="W376" i="6"/>
  <c r="AF376" i="6"/>
  <c r="V376" i="6"/>
  <c r="U376" i="6"/>
  <c r="T376" i="6"/>
  <c r="Y376" i="6"/>
  <c r="Q376" i="6"/>
  <c r="AA376" i="6"/>
  <c r="J423" i="6"/>
  <c r="AT377" i="6"/>
  <c r="B384" i="6"/>
  <c r="J387" i="6"/>
  <c r="Y389" i="6"/>
  <c r="X393" i="6"/>
  <c r="I394" i="6"/>
  <c r="P401" i="6"/>
  <c r="AB401" i="6" s="1"/>
  <c r="AG407" i="6"/>
  <c r="F456" i="6"/>
  <c r="B410" i="6"/>
  <c r="R411" i="6"/>
  <c r="I463" i="6"/>
  <c r="R721" i="6"/>
  <c r="W730" i="6"/>
  <c r="Q733" i="6"/>
  <c r="R142" i="6"/>
  <c r="AB142" i="6" s="1"/>
  <c r="R146" i="6"/>
  <c r="AB146" i="6" s="1"/>
  <c r="P149" i="6"/>
  <c r="AB149" i="6" s="1"/>
  <c r="R150" i="6"/>
  <c r="AB150" i="6" s="1"/>
  <c r="P153" i="6"/>
  <c r="R154" i="6"/>
  <c r="AB154" i="6" s="1"/>
  <c r="P157" i="6"/>
  <c r="AB157" i="6" s="1"/>
  <c r="R158" i="6"/>
  <c r="AB158" i="6" s="1"/>
  <c r="P161" i="6"/>
  <c r="R162" i="6"/>
  <c r="AB162" i="6" s="1"/>
  <c r="P165" i="6"/>
  <c r="R166" i="6"/>
  <c r="AB166" i="6" s="1"/>
  <c r="P169" i="6"/>
  <c r="R170" i="6"/>
  <c r="AB170" i="6" s="1"/>
  <c r="P173" i="6"/>
  <c r="AB173" i="6" s="1"/>
  <c r="R174" i="6"/>
  <c r="AB174" i="6" s="1"/>
  <c r="P177" i="6"/>
  <c r="R178" i="6"/>
  <c r="AB178" i="6" s="1"/>
  <c r="P181" i="6"/>
  <c r="AB181" i="6" s="1"/>
  <c r="P185" i="6"/>
  <c r="AB185" i="6" s="1"/>
  <c r="V226" i="6"/>
  <c r="V234" i="6"/>
  <c r="U267" i="6"/>
  <c r="X268" i="6"/>
  <c r="V270" i="6"/>
  <c r="U275" i="6"/>
  <c r="X276" i="6"/>
  <c r="V278" i="6"/>
  <c r="I313" i="6"/>
  <c r="I321" i="6"/>
  <c r="F379" i="6"/>
  <c r="B333" i="6"/>
  <c r="AF381" i="6"/>
  <c r="V381" i="6"/>
  <c r="AA381" i="6"/>
  <c r="I427" i="6"/>
  <c r="Z381" i="6"/>
  <c r="AG381" i="6"/>
  <c r="W381" i="6"/>
  <c r="AE336" i="6"/>
  <c r="AE382" i="6" s="1"/>
  <c r="AE428" i="6" s="1"/>
  <c r="J382" i="6"/>
  <c r="B382" i="6" s="1"/>
  <c r="V336" i="6"/>
  <c r="AT336" i="6"/>
  <c r="T338" i="6"/>
  <c r="I384" i="6"/>
  <c r="Y338" i="6"/>
  <c r="Q338" i="6"/>
  <c r="U338" i="6"/>
  <c r="V338" i="6"/>
  <c r="B339" i="6"/>
  <c r="Z340" i="6"/>
  <c r="AA342" i="6"/>
  <c r="AE343" i="6"/>
  <c r="AE389" i="6" s="1"/>
  <c r="AE435" i="6" s="1"/>
  <c r="R344" i="6"/>
  <c r="T346" i="6"/>
  <c r="I392" i="6"/>
  <c r="Y346" i="6"/>
  <c r="Q346" i="6"/>
  <c r="X346" i="6"/>
  <c r="P346" i="6"/>
  <c r="U346" i="6"/>
  <c r="W346" i="6"/>
  <c r="B442" i="6"/>
  <c r="I443" i="6"/>
  <c r="AF397" i="6"/>
  <c r="V397" i="6"/>
  <c r="U397" i="6"/>
  <c r="T397" i="6"/>
  <c r="AA397" i="6"/>
  <c r="S397" i="6"/>
  <c r="Z397" i="6"/>
  <c r="R397" i="6"/>
  <c r="AG397" i="6"/>
  <c r="W397" i="6"/>
  <c r="Z352" i="6"/>
  <c r="AE353" i="6"/>
  <c r="AE399" i="6" s="1"/>
  <c r="AE445" i="6" s="1"/>
  <c r="V356" i="6"/>
  <c r="AA360" i="6"/>
  <c r="B361" i="6"/>
  <c r="J409" i="6"/>
  <c r="AE363" i="6"/>
  <c r="AE409" i="6" s="1"/>
  <c r="AE455" i="6" s="1"/>
  <c r="AT363" i="6"/>
  <c r="R364" i="6"/>
  <c r="F464" i="6"/>
  <c r="B418" i="6"/>
  <c r="F381" i="6"/>
  <c r="B388" i="6"/>
  <c r="Y393" i="6"/>
  <c r="X397" i="6"/>
  <c r="I398" i="6"/>
  <c r="Q401" i="6"/>
  <c r="P405" i="6"/>
  <c r="AT412" i="6"/>
  <c r="U417" i="6"/>
  <c r="J466" i="6"/>
  <c r="AT466" i="6" s="1"/>
  <c r="AT420" i="6"/>
  <c r="K1019" i="6"/>
  <c r="K1065" i="6" s="1"/>
  <c r="K1111" i="6" s="1"/>
  <c r="K1157" i="6" s="1"/>
  <c r="K1203" i="6" s="1"/>
  <c r="K1249" i="6" s="1"/>
  <c r="K1295" i="6" s="1"/>
  <c r="L600" i="6"/>
  <c r="K1027" i="6"/>
  <c r="K1073" i="6" s="1"/>
  <c r="K1119" i="6" s="1"/>
  <c r="K1165" i="6" s="1"/>
  <c r="K1211" i="6" s="1"/>
  <c r="K1257" i="6" s="1"/>
  <c r="K1303" i="6" s="1"/>
  <c r="L608" i="6"/>
  <c r="AG618" i="6"/>
  <c r="AW618" i="6"/>
  <c r="AF1056" i="6"/>
  <c r="J803" i="6"/>
  <c r="D757" i="6"/>
  <c r="AA333" i="6"/>
  <c r="S337" i="6"/>
  <c r="AA337" i="6"/>
  <c r="AE338" i="6"/>
  <c r="AE384" i="6" s="1"/>
  <c r="AE430" i="6" s="1"/>
  <c r="S341" i="6"/>
  <c r="AA341" i="6"/>
  <c r="AE342" i="6"/>
  <c r="AE388" i="6" s="1"/>
  <c r="AE434" i="6" s="1"/>
  <c r="S345" i="6"/>
  <c r="AA345" i="6"/>
  <c r="AE346" i="6"/>
  <c r="AE392" i="6" s="1"/>
  <c r="AE438" i="6" s="1"/>
  <c r="S349" i="6"/>
  <c r="AA349" i="6"/>
  <c r="AE350" i="6"/>
  <c r="AE396" i="6" s="1"/>
  <c r="AE442" i="6" s="1"/>
  <c r="S353" i="6"/>
  <c r="AA353" i="6"/>
  <c r="U354" i="6"/>
  <c r="AE354" i="6"/>
  <c r="AE400" i="6" s="1"/>
  <c r="AE446" i="6" s="1"/>
  <c r="S357" i="6"/>
  <c r="AA357" i="6"/>
  <c r="U358" i="6"/>
  <c r="AE358" i="6"/>
  <c r="AE404" i="6" s="1"/>
  <c r="AE450" i="6" s="1"/>
  <c r="S361" i="6"/>
  <c r="AA361" i="6"/>
  <c r="U362" i="6"/>
  <c r="S365" i="6"/>
  <c r="AA365" i="6"/>
  <c r="U366" i="6"/>
  <c r="AE366" i="6"/>
  <c r="AE412" i="6" s="1"/>
  <c r="AE458" i="6" s="1"/>
  <c r="S369" i="6"/>
  <c r="AA369" i="6"/>
  <c r="U370" i="6"/>
  <c r="S373" i="6"/>
  <c r="AA373" i="6"/>
  <c r="U374" i="6"/>
  <c r="S377" i="6"/>
  <c r="AA377" i="6"/>
  <c r="I379" i="6"/>
  <c r="I383" i="6"/>
  <c r="I387" i="6"/>
  <c r="I391" i="6"/>
  <c r="I395" i="6"/>
  <c r="I399" i="6"/>
  <c r="I403" i="6"/>
  <c r="I408" i="6"/>
  <c r="I420" i="6"/>
  <c r="G692" i="6"/>
  <c r="G738" i="6" s="1"/>
  <c r="G784" i="6" s="1"/>
  <c r="G830" i="6" s="1"/>
  <c r="G876" i="6" s="1"/>
  <c r="G922" i="6" s="1"/>
  <c r="G968" i="6" s="1"/>
  <c r="AE555" i="6"/>
  <c r="AR560" i="6"/>
  <c r="AR576" i="6"/>
  <c r="K1025" i="6"/>
  <c r="K1071" i="6" s="1"/>
  <c r="K1117" i="6" s="1"/>
  <c r="K1163" i="6" s="1"/>
  <c r="K1209" i="6" s="1"/>
  <c r="K1255" i="6" s="1"/>
  <c r="K1301" i="6" s="1"/>
  <c r="L606" i="6"/>
  <c r="AF1026" i="6"/>
  <c r="AG608" i="6"/>
  <c r="AW608" i="6"/>
  <c r="K1037" i="6"/>
  <c r="K1083" i="6" s="1"/>
  <c r="K1129" i="6" s="1"/>
  <c r="K1175" i="6" s="1"/>
  <c r="K1221" i="6" s="1"/>
  <c r="K1267" i="6" s="1"/>
  <c r="K1313" i="6" s="1"/>
  <c r="L614" i="6"/>
  <c r="AF1038" i="6"/>
  <c r="AG616" i="6"/>
  <c r="AW616" i="6"/>
  <c r="K1045" i="6"/>
  <c r="K1091" i="6" s="1"/>
  <c r="K1137" i="6" s="1"/>
  <c r="K1183" i="6" s="1"/>
  <c r="K1229" i="6" s="1"/>
  <c r="K1275" i="6" s="1"/>
  <c r="K1321" i="6" s="1"/>
  <c r="L622" i="6"/>
  <c r="AF1046" i="6"/>
  <c r="AG624" i="6"/>
  <c r="AW624" i="6"/>
  <c r="K1053" i="6"/>
  <c r="K1099" i="6" s="1"/>
  <c r="K1145" i="6" s="1"/>
  <c r="K1191" i="6" s="1"/>
  <c r="K1237" i="6" s="1"/>
  <c r="K1283" i="6" s="1"/>
  <c r="K1329" i="6" s="1"/>
  <c r="L630" i="6"/>
  <c r="AF1054" i="6"/>
  <c r="AG632" i="6"/>
  <c r="AW632" i="6"/>
  <c r="L643" i="6"/>
  <c r="K643" i="6"/>
  <c r="AL649" i="6"/>
  <c r="AK649" i="6"/>
  <c r="AJ649" i="6"/>
  <c r="AQ649" i="6"/>
  <c r="AI649" i="6"/>
  <c r="AP649" i="6"/>
  <c r="AH649" i="6"/>
  <c r="AO649" i="6"/>
  <c r="AG649" i="6"/>
  <c r="AM649" i="6"/>
  <c r="B672" i="6"/>
  <c r="AJ674" i="6"/>
  <c r="AP674" i="6"/>
  <c r="AH674" i="6"/>
  <c r="AL674" i="6"/>
  <c r="AG674" i="6"/>
  <c r="AF674" i="6"/>
  <c r="AQ674" i="6"/>
  <c r="AO674" i="6"/>
  <c r="AN674" i="6"/>
  <c r="AM674" i="6"/>
  <c r="AI674" i="6"/>
  <c r="W696" i="6"/>
  <c r="AA701" i="6"/>
  <c r="Q703" i="6"/>
  <c r="W711" i="6"/>
  <c r="Y732" i="6"/>
  <c r="T1048" i="6"/>
  <c r="P354" i="6"/>
  <c r="X354" i="6"/>
  <c r="P358" i="6"/>
  <c r="X358" i="6"/>
  <c r="B408" i="6"/>
  <c r="F454" i="6"/>
  <c r="B454" i="6" s="1"/>
  <c r="P362" i="6"/>
  <c r="X362" i="6"/>
  <c r="AT410" i="6"/>
  <c r="J456" i="6"/>
  <c r="AT456" i="6" s="1"/>
  <c r="B412" i="6"/>
  <c r="F458" i="6"/>
  <c r="B458" i="6" s="1"/>
  <c r="P366" i="6"/>
  <c r="X366" i="6"/>
  <c r="AT414" i="6"/>
  <c r="J460" i="6"/>
  <c r="AT460" i="6" s="1"/>
  <c r="B416" i="6"/>
  <c r="F462" i="6"/>
  <c r="B462" i="6" s="1"/>
  <c r="P370" i="6"/>
  <c r="X370" i="6"/>
  <c r="AH370" i="6"/>
  <c r="AT418" i="6"/>
  <c r="J464" i="6"/>
  <c r="AT464" i="6" s="1"/>
  <c r="B420" i="6"/>
  <c r="F466" i="6"/>
  <c r="B466" i="6" s="1"/>
  <c r="P374" i="6"/>
  <c r="X374" i="6"/>
  <c r="AH374" i="6"/>
  <c r="AT422" i="6"/>
  <c r="J468" i="6"/>
  <c r="AT468" i="6" s="1"/>
  <c r="V377" i="6"/>
  <c r="AF377" i="6"/>
  <c r="J390" i="6"/>
  <c r="B390" i="6" s="1"/>
  <c r="J394" i="6"/>
  <c r="B394" i="6" s="1"/>
  <c r="J398" i="6"/>
  <c r="J402" i="6"/>
  <c r="J406" i="6"/>
  <c r="B415" i="6"/>
  <c r="I421" i="6"/>
  <c r="AT421" i="6"/>
  <c r="AR566" i="6"/>
  <c r="K1061" i="6"/>
  <c r="K1107" i="6" s="1"/>
  <c r="K1153" i="6" s="1"/>
  <c r="K1199" i="6" s="1"/>
  <c r="K1245" i="6" s="1"/>
  <c r="K1291" i="6" s="1"/>
  <c r="K1337" i="6" s="1"/>
  <c r="L638" i="6"/>
  <c r="AJ648" i="6"/>
  <c r="AQ648" i="6"/>
  <c r="AI648" i="6"/>
  <c r="AP648" i="6"/>
  <c r="AH648" i="6"/>
  <c r="AO648" i="6"/>
  <c r="AG648" i="6"/>
  <c r="AN648" i="6"/>
  <c r="AF648" i="6"/>
  <c r="AM648" i="6"/>
  <c r="AK648" i="6"/>
  <c r="AF649" i="6"/>
  <c r="B655" i="6"/>
  <c r="B658" i="6"/>
  <c r="Z667" i="6"/>
  <c r="R667" i="6"/>
  <c r="V667" i="6"/>
  <c r="T667" i="6"/>
  <c r="S667" i="6"/>
  <c r="Q667" i="6"/>
  <c r="AA667" i="6"/>
  <c r="P667" i="6"/>
  <c r="Y667" i="6"/>
  <c r="X667" i="6"/>
  <c r="U667" i="6"/>
  <c r="AK674" i="6"/>
  <c r="P690" i="6"/>
  <c r="J784" i="6"/>
  <c r="D738" i="6"/>
  <c r="S693" i="6"/>
  <c r="U697" i="6"/>
  <c r="Q699" i="6"/>
  <c r="V707" i="6"/>
  <c r="AA728" i="6"/>
  <c r="W333" i="6"/>
  <c r="AA335" i="6"/>
  <c r="W337" i="6"/>
  <c r="AG337" i="6"/>
  <c r="S339" i="6"/>
  <c r="AA339" i="6"/>
  <c r="W341" i="6"/>
  <c r="S343" i="6"/>
  <c r="AA343" i="6"/>
  <c r="W345" i="6"/>
  <c r="S347" i="6"/>
  <c r="AA347" i="6"/>
  <c r="W349" i="6"/>
  <c r="S351" i="6"/>
  <c r="AA351" i="6"/>
  <c r="W353" i="6"/>
  <c r="AG353" i="6"/>
  <c r="Q354" i="6"/>
  <c r="Y354" i="6"/>
  <c r="S355" i="6"/>
  <c r="AA355" i="6"/>
  <c r="W357" i="6"/>
  <c r="AG357" i="6"/>
  <c r="Q358" i="6"/>
  <c r="Y358" i="6"/>
  <c r="S359" i="6"/>
  <c r="AA359" i="6"/>
  <c r="W361" i="6"/>
  <c r="AG361" i="6"/>
  <c r="Q362" i="6"/>
  <c r="Y362" i="6"/>
  <c r="S363" i="6"/>
  <c r="AA363" i="6"/>
  <c r="AE364" i="6"/>
  <c r="AE410" i="6" s="1"/>
  <c r="AE456" i="6" s="1"/>
  <c r="W365" i="6"/>
  <c r="AG365" i="6"/>
  <c r="Q366" i="6"/>
  <c r="Y366" i="6"/>
  <c r="S367" i="6"/>
  <c r="AA367" i="6"/>
  <c r="AT367" i="6"/>
  <c r="AE368" i="6"/>
  <c r="AE414" i="6" s="1"/>
  <c r="AE460" i="6" s="1"/>
  <c r="B369" i="6"/>
  <c r="W369" i="6"/>
  <c r="Q370" i="6"/>
  <c r="Y370" i="6"/>
  <c r="S371" i="6"/>
  <c r="AA371" i="6"/>
  <c r="AT371" i="6"/>
  <c r="AE372" i="6"/>
  <c r="AE418" i="6" s="1"/>
  <c r="AE464" i="6" s="1"/>
  <c r="B373" i="6"/>
  <c r="W373" i="6"/>
  <c r="AG373" i="6"/>
  <c r="Q374" i="6"/>
  <c r="Y374" i="6"/>
  <c r="AI374" i="6"/>
  <c r="S375" i="6"/>
  <c r="AA375" i="6"/>
  <c r="AT375" i="6"/>
  <c r="AE376" i="6"/>
  <c r="AE422" i="6" s="1"/>
  <c r="AE468" i="6" s="1"/>
  <c r="B377" i="6"/>
  <c r="W377" i="6"/>
  <c r="AG377" i="6"/>
  <c r="AT417" i="6"/>
  <c r="I423" i="6"/>
  <c r="R479" i="6"/>
  <c r="AB478" i="6"/>
  <c r="AB479" i="6" s="1"/>
  <c r="AB490" i="6"/>
  <c r="Y1071" i="6"/>
  <c r="AR556" i="6"/>
  <c r="AR568" i="6"/>
  <c r="AG598" i="6"/>
  <c r="AW598" i="6"/>
  <c r="AG1020" i="6"/>
  <c r="K1021" i="6"/>
  <c r="K1067" i="6" s="1"/>
  <c r="K1113" i="6" s="1"/>
  <c r="K1159" i="6" s="1"/>
  <c r="K1205" i="6" s="1"/>
  <c r="K1251" i="6" s="1"/>
  <c r="K1297" i="6" s="1"/>
  <c r="L602" i="6"/>
  <c r="AF1022" i="6"/>
  <c r="AG604" i="6"/>
  <c r="AW604" i="6"/>
  <c r="K1029" i="6"/>
  <c r="K1075" i="6" s="1"/>
  <c r="K1121" i="6" s="1"/>
  <c r="K1167" i="6" s="1"/>
  <c r="K1213" i="6" s="1"/>
  <c r="K1259" i="6" s="1"/>
  <c r="K1305" i="6" s="1"/>
  <c r="L610" i="6"/>
  <c r="AF1030" i="6"/>
  <c r="AG612" i="6"/>
  <c r="AW612" i="6"/>
  <c r="K1041" i="6"/>
  <c r="K1087" i="6" s="1"/>
  <c r="K1133" i="6" s="1"/>
  <c r="K1179" i="6" s="1"/>
  <c r="K1225" i="6" s="1"/>
  <c r="K1271" i="6" s="1"/>
  <c r="K1317" i="6" s="1"/>
  <c r="L618" i="6"/>
  <c r="AF1042" i="6"/>
  <c r="AF1088" i="6"/>
  <c r="AG620" i="6"/>
  <c r="AW620" i="6"/>
  <c r="K1049" i="6"/>
  <c r="K1095" i="6" s="1"/>
  <c r="K1141" i="6" s="1"/>
  <c r="K1187" i="6" s="1"/>
  <c r="K1233" i="6" s="1"/>
  <c r="K1279" i="6" s="1"/>
  <c r="K1325" i="6" s="1"/>
  <c r="L626" i="6"/>
  <c r="AF1050" i="6"/>
  <c r="AF1096" i="6"/>
  <c r="AG628" i="6"/>
  <c r="AW628" i="6"/>
  <c r="K1057" i="6"/>
  <c r="K1103" i="6" s="1"/>
  <c r="K1149" i="6" s="1"/>
  <c r="K1195" i="6" s="1"/>
  <c r="K1241" i="6" s="1"/>
  <c r="K1287" i="6" s="1"/>
  <c r="K1333" i="6" s="1"/>
  <c r="L634" i="6"/>
  <c r="AF1058" i="6"/>
  <c r="AF1104" i="6"/>
  <c r="AJ644" i="6"/>
  <c r="AQ644" i="6"/>
  <c r="AI644" i="6"/>
  <c r="AP644" i="6"/>
  <c r="AH644" i="6"/>
  <c r="AO644" i="6"/>
  <c r="AG644" i="6"/>
  <c r="AN644" i="6"/>
  <c r="AF644" i="6"/>
  <c r="AM644" i="6"/>
  <c r="AK644" i="6"/>
  <c r="AN649" i="6"/>
  <c r="L662" i="6"/>
  <c r="K662" i="6"/>
  <c r="AP673" i="6"/>
  <c r="AH673" i="6"/>
  <c r="AN673" i="6"/>
  <c r="AF673" i="6"/>
  <c r="AR673" i="6" s="1"/>
  <c r="AJ673" i="6"/>
  <c r="AI673" i="6"/>
  <c r="AG673" i="6"/>
  <c r="AQ673" i="6"/>
  <c r="AO673" i="6"/>
  <c r="AM673" i="6"/>
  <c r="AK673" i="6"/>
  <c r="AL673" i="6"/>
  <c r="Y695" i="6"/>
  <c r="AA697" i="6"/>
  <c r="P702" i="6"/>
  <c r="Z705" i="6"/>
  <c r="AA707" i="6"/>
  <c r="Y728" i="6"/>
  <c r="AT413" i="6"/>
  <c r="I419" i="6"/>
  <c r="AA531" i="6"/>
  <c r="R1434" i="6"/>
  <c r="AB486" i="6"/>
  <c r="Z1434" i="6"/>
  <c r="Z515" i="6"/>
  <c r="Z516" i="6"/>
  <c r="AR554" i="6"/>
  <c r="AR562" i="6"/>
  <c r="AH601" i="6"/>
  <c r="AH1020" i="6" s="1"/>
  <c r="AX601" i="6"/>
  <c r="AE655" i="6"/>
  <c r="L655" i="6"/>
  <c r="K655" i="6"/>
  <c r="L658" i="6"/>
  <c r="K658" i="6"/>
  <c r="B668" i="6"/>
  <c r="W691" i="6"/>
  <c r="D693" i="6"/>
  <c r="J739" i="6"/>
  <c r="B739" i="6" s="1"/>
  <c r="W695" i="6"/>
  <c r="D743" i="6"/>
  <c r="J789" i="6"/>
  <c r="AA700" i="6"/>
  <c r="Q705" i="6"/>
  <c r="W710" i="6"/>
  <c r="P718" i="6"/>
  <c r="W721" i="6"/>
  <c r="V721" i="6"/>
  <c r="U721" i="6"/>
  <c r="T721" i="6"/>
  <c r="AA721" i="6"/>
  <c r="S721" i="6"/>
  <c r="I767" i="6"/>
  <c r="X721" i="6"/>
  <c r="P721" i="6"/>
  <c r="Z721" i="6"/>
  <c r="Y721" i="6"/>
  <c r="Q721" i="6"/>
  <c r="W726" i="6"/>
  <c r="W734" i="6"/>
  <c r="S354" i="6"/>
  <c r="AA354" i="6"/>
  <c r="S358" i="6"/>
  <c r="AA358" i="6"/>
  <c r="S362" i="6"/>
  <c r="AA362" i="6"/>
  <c r="S366" i="6"/>
  <c r="AA366" i="6"/>
  <c r="AE367" i="6"/>
  <c r="AE413" i="6" s="1"/>
  <c r="AE459" i="6" s="1"/>
  <c r="S370" i="6"/>
  <c r="AA370" i="6"/>
  <c r="AE371" i="6"/>
  <c r="AE417" i="6" s="1"/>
  <c r="AE463" i="6" s="1"/>
  <c r="S374" i="6"/>
  <c r="AA374" i="6"/>
  <c r="AE375" i="6"/>
  <c r="AE421" i="6" s="1"/>
  <c r="AE467" i="6" s="1"/>
  <c r="I400" i="6"/>
  <c r="I404" i="6"/>
  <c r="I415" i="6"/>
  <c r="W1667" i="6"/>
  <c r="Z518" i="6"/>
  <c r="AR564" i="6"/>
  <c r="AR592" i="6"/>
  <c r="K1017" i="6"/>
  <c r="K1063" i="6" s="1"/>
  <c r="K1109" i="6" s="1"/>
  <c r="K1155" i="6" s="1"/>
  <c r="K1201" i="6" s="1"/>
  <c r="K1247" i="6" s="1"/>
  <c r="K1293" i="6" s="1"/>
  <c r="L598" i="6"/>
  <c r="AF1018" i="6"/>
  <c r="K1023" i="6"/>
  <c r="K1069" i="6" s="1"/>
  <c r="K1115" i="6" s="1"/>
  <c r="K1161" i="6" s="1"/>
  <c r="K1207" i="6" s="1"/>
  <c r="K1253" i="6" s="1"/>
  <c r="K1299" i="6" s="1"/>
  <c r="L604" i="6"/>
  <c r="AF1024" i="6"/>
  <c r="AG606" i="6"/>
  <c r="AW606" i="6"/>
  <c r="K1035" i="6"/>
  <c r="K1081" i="6" s="1"/>
  <c r="K1127" i="6" s="1"/>
  <c r="K1173" i="6" s="1"/>
  <c r="K1219" i="6" s="1"/>
  <c r="K1265" i="6" s="1"/>
  <c r="K1311" i="6" s="1"/>
  <c r="L612" i="6"/>
  <c r="AF1036" i="6"/>
  <c r="AG614" i="6"/>
  <c r="AW614" i="6"/>
  <c r="K1043" i="6"/>
  <c r="K1089" i="6" s="1"/>
  <c r="K1135" i="6" s="1"/>
  <c r="K1181" i="6" s="1"/>
  <c r="K1227" i="6" s="1"/>
  <c r="K1273" i="6" s="1"/>
  <c r="K1319" i="6" s="1"/>
  <c r="L620" i="6"/>
  <c r="AF1044" i="6"/>
  <c r="AG622" i="6"/>
  <c r="AW622" i="6"/>
  <c r="K1051" i="6"/>
  <c r="K1097" i="6" s="1"/>
  <c r="K1143" i="6" s="1"/>
  <c r="K1189" i="6" s="1"/>
  <c r="K1235" i="6" s="1"/>
  <c r="K1281" i="6" s="1"/>
  <c r="K1327" i="6" s="1"/>
  <c r="L628" i="6"/>
  <c r="AF1052" i="6"/>
  <c r="AG630" i="6"/>
  <c r="AW630" i="6"/>
  <c r="K1059" i="6"/>
  <c r="K1105" i="6" s="1"/>
  <c r="K1151" i="6" s="1"/>
  <c r="K1197" i="6" s="1"/>
  <c r="K1243" i="6" s="1"/>
  <c r="K1289" i="6" s="1"/>
  <c r="K1335" i="6" s="1"/>
  <c r="L636" i="6"/>
  <c r="B643" i="6"/>
  <c r="AL644" i="6"/>
  <c r="L651" i="6"/>
  <c r="K651" i="6"/>
  <c r="AP660" i="6"/>
  <c r="AH660" i="6"/>
  <c r="AO660" i="6"/>
  <c r="AF660" i="6"/>
  <c r="AN660" i="6"/>
  <c r="AM660" i="6"/>
  <c r="AL660" i="6"/>
  <c r="AK660" i="6"/>
  <c r="AJ660" i="6"/>
  <c r="AQ660" i="6"/>
  <c r="AG660" i="6"/>
  <c r="AJ661" i="6"/>
  <c r="AM661" i="6"/>
  <c r="AL661" i="6"/>
  <c r="AK661" i="6"/>
  <c r="AI661" i="6"/>
  <c r="AQ661" i="6"/>
  <c r="AH661" i="6"/>
  <c r="AP661" i="6"/>
  <c r="AG661" i="6"/>
  <c r="AR661" i="6" s="1"/>
  <c r="AN661" i="6"/>
  <c r="W667" i="6"/>
  <c r="Z671" i="6"/>
  <c r="R671" i="6"/>
  <c r="V671" i="6"/>
  <c r="T671" i="6"/>
  <c r="S671" i="6"/>
  <c r="Q671" i="6"/>
  <c r="AA671" i="6"/>
  <c r="P671" i="6"/>
  <c r="Y671" i="6"/>
  <c r="X671" i="6"/>
  <c r="U671" i="6"/>
  <c r="Y691" i="6"/>
  <c r="Q729" i="6"/>
  <c r="T354" i="6"/>
  <c r="T358" i="6"/>
  <c r="T362" i="6"/>
  <c r="T366" i="6"/>
  <c r="R369" i="6"/>
  <c r="Z369" i="6"/>
  <c r="T370" i="6"/>
  <c r="R373" i="6"/>
  <c r="Z373" i="6"/>
  <c r="T374" i="6"/>
  <c r="R377" i="6"/>
  <c r="Z377" i="6"/>
  <c r="AB487" i="6"/>
  <c r="AB488" i="6"/>
  <c r="AB524" i="6" s="1"/>
  <c r="AE553" i="6"/>
  <c r="G690" i="6"/>
  <c r="G736" i="6" s="1"/>
  <c r="G782" i="6" s="1"/>
  <c r="G828" i="6" s="1"/>
  <c r="G874" i="6" s="1"/>
  <c r="G920" i="6" s="1"/>
  <c r="G966" i="6" s="1"/>
  <c r="AR574" i="6"/>
  <c r="AR594" i="6"/>
  <c r="AG600" i="6"/>
  <c r="AW600" i="6"/>
  <c r="L647" i="6"/>
  <c r="K647" i="6"/>
  <c r="AL653" i="6"/>
  <c r="AK653" i="6"/>
  <c r="AJ653" i="6"/>
  <c r="AQ653" i="6"/>
  <c r="AI653" i="6"/>
  <c r="AP653" i="6"/>
  <c r="AH653" i="6"/>
  <c r="AO653" i="6"/>
  <c r="AG653" i="6"/>
  <c r="AR653" i="6" s="1"/>
  <c r="AM653" i="6"/>
  <c r="AP656" i="6"/>
  <c r="AH656" i="6"/>
  <c r="AO656" i="6"/>
  <c r="AF656" i="6"/>
  <c r="AN656" i="6"/>
  <c r="AM656" i="6"/>
  <c r="AL656" i="6"/>
  <c r="AK656" i="6"/>
  <c r="AJ656" i="6"/>
  <c r="AQ656" i="6"/>
  <c r="AG656" i="6"/>
  <c r="AJ657" i="6"/>
  <c r="AM657" i="6"/>
  <c r="AL657" i="6"/>
  <c r="AK657" i="6"/>
  <c r="AI657" i="6"/>
  <c r="AQ657" i="6"/>
  <c r="AH657" i="6"/>
  <c r="AP657" i="6"/>
  <c r="AG657" i="6"/>
  <c r="AR657" i="6" s="1"/>
  <c r="AN657" i="6"/>
  <c r="F786" i="6"/>
  <c r="B740" i="6"/>
  <c r="Y701" i="6"/>
  <c r="AA708" i="6"/>
  <c r="D756" i="6"/>
  <c r="J802" i="6"/>
  <c r="Q713" i="6"/>
  <c r="D755" i="6"/>
  <c r="J801" i="6"/>
  <c r="V1667" i="6"/>
  <c r="S492" i="6"/>
  <c r="AA492" i="6"/>
  <c r="Q516" i="6"/>
  <c r="AA517" i="6"/>
  <c r="U518" i="6"/>
  <c r="U531" i="6"/>
  <c r="W532" i="6"/>
  <c r="Q533" i="6"/>
  <c r="AA534" i="6"/>
  <c r="AV603" i="6"/>
  <c r="AV605" i="6"/>
  <c r="AV607" i="6"/>
  <c r="AV609" i="6"/>
  <c r="AV611" i="6"/>
  <c r="AV613" i="6"/>
  <c r="AV615" i="6"/>
  <c r="AV617" i="6"/>
  <c r="AV619" i="6"/>
  <c r="AV621" i="6"/>
  <c r="AV623" i="6"/>
  <c r="AV625" i="6"/>
  <c r="H1049" i="6"/>
  <c r="H1095" i="6" s="1"/>
  <c r="H1141" i="6" s="1"/>
  <c r="H1187" i="6" s="1"/>
  <c r="H1233" i="6" s="1"/>
  <c r="H1279" i="6" s="1"/>
  <c r="H1325" i="6" s="1"/>
  <c r="H673" i="6"/>
  <c r="AV627" i="6"/>
  <c r="AV629" i="6"/>
  <c r="H1053" i="6"/>
  <c r="H1099" i="6" s="1"/>
  <c r="H1145" i="6" s="1"/>
  <c r="H1191" i="6" s="1"/>
  <c r="H1237" i="6" s="1"/>
  <c r="H1283" i="6" s="1"/>
  <c r="H1329" i="6" s="1"/>
  <c r="H677" i="6"/>
  <c r="AV631" i="6"/>
  <c r="AV633" i="6"/>
  <c r="H1057" i="6"/>
  <c r="H1103" i="6" s="1"/>
  <c r="H1149" i="6" s="1"/>
  <c r="H1195" i="6" s="1"/>
  <c r="H1241" i="6" s="1"/>
  <c r="H1287" i="6" s="1"/>
  <c r="H1333" i="6" s="1"/>
  <c r="H681" i="6"/>
  <c r="AV635" i="6"/>
  <c r="AV637" i="6"/>
  <c r="H1061" i="6"/>
  <c r="H1107" i="6" s="1"/>
  <c r="H1153" i="6" s="1"/>
  <c r="H1199" i="6" s="1"/>
  <c r="H1245" i="6" s="1"/>
  <c r="H1291" i="6" s="1"/>
  <c r="H1337" i="6" s="1"/>
  <c r="H685" i="6"/>
  <c r="U641" i="6"/>
  <c r="AE641" i="6"/>
  <c r="G642" i="6"/>
  <c r="AE642" i="6" s="1"/>
  <c r="W642" i="6"/>
  <c r="AG642" i="6"/>
  <c r="AO642" i="6"/>
  <c r="K644" i="6"/>
  <c r="S644" i="6"/>
  <c r="AA644" i="6"/>
  <c r="U645" i="6"/>
  <c r="G646" i="6"/>
  <c r="AE646" i="6" s="1"/>
  <c r="W646" i="6"/>
  <c r="AG646" i="6"/>
  <c r="AO646" i="6"/>
  <c r="K648" i="6"/>
  <c r="S648" i="6"/>
  <c r="AA648" i="6"/>
  <c r="U649" i="6"/>
  <c r="AE649" i="6"/>
  <c r="G650" i="6"/>
  <c r="AE650" i="6" s="1"/>
  <c r="W650" i="6"/>
  <c r="AG650" i="6"/>
  <c r="AO650" i="6"/>
  <c r="K652" i="6"/>
  <c r="S652" i="6"/>
  <c r="AA652" i="6"/>
  <c r="U653" i="6"/>
  <c r="G654" i="6"/>
  <c r="AE654" i="6" s="1"/>
  <c r="W654" i="6"/>
  <c r="AG654" i="6"/>
  <c r="AO654" i="6"/>
  <c r="X656" i="6"/>
  <c r="P656" i="6"/>
  <c r="V656" i="6"/>
  <c r="G659" i="6"/>
  <c r="AE659" i="6" s="1"/>
  <c r="X659" i="6"/>
  <c r="AI659" i="6"/>
  <c r="X660" i="6"/>
  <c r="P660" i="6"/>
  <c r="V660" i="6"/>
  <c r="G663" i="6"/>
  <c r="AE663" i="6" s="1"/>
  <c r="X663" i="6"/>
  <c r="AI663" i="6"/>
  <c r="Z664" i="6"/>
  <c r="H665" i="6"/>
  <c r="P665" i="6"/>
  <c r="AA665" i="6"/>
  <c r="AP666" i="6"/>
  <c r="AH666" i="6"/>
  <c r="AL666" i="6"/>
  <c r="AG666" i="6"/>
  <c r="AJ667" i="6"/>
  <c r="AN667" i="6"/>
  <c r="AF667" i="6"/>
  <c r="AH667" i="6"/>
  <c r="Z668" i="6"/>
  <c r="H669" i="6"/>
  <c r="P669" i="6"/>
  <c r="AA669" i="6"/>
  <c r="AP670" i="6"/>
  <c r="AH670" i="6"/>
  <c r="AL670" i="6"/>
  <c r="AG670" i="6"/>
  <c r="AR670" i="6" s="1"/>
  <c r="AJ671" i="6"/>
  <c r="AN671" i="6"/>
  <c r="AF671" i="6"/>
  <c r="AH671" i="6"/>
  <c r="Z672" i="6"/>
  <c r="G675" i="6"/>
  <c r="AE675" i="6" s="1"/>
  <c r="AA675" i="6"/>
  <c r="V676" i="6"/>
  <c r="T676" i="6"/>
  <c r="X676" i="6"/>
  <c r="P676" i="6"/>
  <c r="Y676" i="6"/>
  <c r="AM676" i="6"/>
  <c r="G678" i="6"/>
  <c r="AE678" i="6" s="1"/>
  <c r="Y679" i="6"/>
  <c r="K680" i="6"/>
  <c r="AK680" i="6"/>
  <c r="Q682" i="6"/>
  <c r="H683" i="6"/>
  <c r="X690" i="6"/>
  <c r="J783" i="6"/>
  <c r="D737" i="6"/>
  <c r="V691" i="6"/>
  <c r="Y692" i="6"/>
  <c r="T692" i="6"/>
  <c r="W693" i="6"/>
  <c r="V693" i="6"/>
  <c r="T693" i="6"/>
  <c r="I739" i="6"/>
  <c r="X693" i="6"/>
  <c r="P693" i="6"/>
  <c r="R693" i="6"/>
  <c r="Y694" i="6"/>
  <c r="J788" i="6"/>
  <c r="D742" i="6"/>
  <c r="U696" i="6"/>
  <c r="S697" i="6"/>
  <c r="F790" i="6"/>
  <c r="B744" i="6"/>
  <c r="AA698" i="6"/>
  <c r="Y699" i="6"/>
  <c r="W700" i="6"/>
  <c r="U701" i="6"/>
  <c r="AA704" i="6"/>
  <c r="Y705" i="6"/>
  <c r="U707" i="6"/>
  <c r="J800" i="6"/>
  <c r="D754" i="6"/>
  <c r="U708" i="6"/>
  <c r="Z709" i="6"/>
  <c r="U710" i="6"/>
  <c r="T710" i="6"/>
  <c r="AA710" i="6"/>
  <c r="S710" i="6"/>
  <c r="Z710" i="6"/>
  <c r="R710" i="6"/>
  <c r="I756" i="6"/>
  <c r="V710" i="6"/>
  <c r="Q710" i="6"/>
  <c r="AA711" i="6"/>
  <c r="V711" i="6"/>
  <c r="AA712" i="6"/>
  <c r="AA713" i="6"/>
  <c r="D760" i="6"/>
  <c r="J806" i="6"/>
  <c r="W714" i="6"/>
  <c r="J807" i="6"/>
  <c r="D761" i="6"/>
  <c r="F809" i="6"/>
  <c r="J811" i="6"/>
  <c r="D765" i="6"/>
  <c r="F813" i="6"/>
  <c r="J815" i="6"/>
  <c r="D769" i="6"/>
  <c r="F817" i="6"/>
  <c r="F912" i="6"/>
  <c r="S728" i="6"/>
  <c r="F822" i="6"/>
  <c r="B776" i="6"/>
  <c r="F870" i="6"/>
  <c r="S732" i="6"/>
  <c r="F826" i="6"/>
  <c r="B780" i="6"/>
  <c r="B738" i="6"/>
  <c r="J751" i="6"/>
  <c r="F753" i="6"/>
  <c r="B770" i="6"/>
  <c r="P1667" i="6"/>
  <c r="AF1428" i="6"/>
  <c r="AB1428" i="6"/>
  <c r="X1667" i="6"/>
  <c r="U492" i="6"/>
  <c r="Q515" i="6"/>
  <c r="AA516" i="6"/>
  <c r="U517" i="6"/>
  <c r="Q532" i="6"/>
  <c r="AA533" i="6"/>
  <c r="U534" i="6"/>
  <c r="AE556" i="6"/>
  <c r="G641" i="6"/>
  <c r="Q642" i="6"/>
  <c r="AB642" i="6" s="1"/>
  <c r="Y642" i="6"/>
  <c r="AI642" i="6"/>
  <c r="AQ642" i="6"/>
  <c r="U644" i="6"/>
  <c r="G645" i="6"/>
  <c r="AE645" i="6" s="1"/>
  <c r="Q646" i="6"/>
  <c r="Y646" i="6"/>
  <c r="AI646" i="6"/>
  <c r="AQ646" i="6"/>
  <c r="U648" i="6"/>
  <c r="G649" i="6"/>
  <c r="Q650" i="6"/>
  <c r="AB650" i="6" s="1"/>
  <c r="Y650" i="6"/>
  <c r="AI650" i="6"/>
  <c r="AQ650" i="6"/>
  <c r="U652" i="6"/>
  <c r="G653" i="6"/>
  <c r="AE653" i="6" s="1"/>
  <c r="Q654" i="6"/>
  <c r="AB654" i="6" s="1"/>
  <c r="Y654" i="6"/>
  <c r="AI654" i="6"/>
  <c r="AQ654" i="6"/>
  <c r="Z657" i="6"/>
  <c r="R657" i="6"/>
  <c r="AB657" i="6" s="1"/>
  <c r="V657" i="6"/>
  <c r="Q659" i="6"/>
  <c r="AB659" i="6" s="1"/>
  <c r="Z659" i="6"/>
  <c r="AK659" i="6"/>
  <c r="Z661" i="6"/>
  <c r="R661" i="6"/>
  <c r="AB661" i="6" s="1"/>
  <c r="V661" i="6"/>
  <c r="Q663" i="6"/>
  <c r="AB663" i="6" s="1"/>
  <c r="Z663" i="6"/>
  <c r="AK663" i="6"/>
  <c r="G664" i="6"/>
  <c r="AE664" i="6" s="1"/>
  <c r="R664" i="6"/>
  <c r="S665" i="6"/>
  <c r="X666" i="6"/>
  <c r="P666" i="6"/>
  <c r="T666" i="6"/>
  <c r="W666" i="6"/>
  <c r="G668" i="6"/>
  <c r="AE668" i="6" s="1"/>
  <c r="R668" i="6"/>
  <c r="S669" i="6"/>
  <c r="X670" i="6"/>
  <c r="P670" i="6"/>
  <c r="T670" i="6"/>
  <c r="W670" i="6"/>
  <c r="G672" i="6"/>
  <c r="AE672" i="6" s="1"/>
  <c r="R672" i="6"/>
  <c r="X673" i="6"/>
  <c r="P673" i="6"/>
  <c r="V673" i="6"/>
  <c r="Z673" i="6"/>
  <c r="R673" i="6"/>
  <c r="Y673" i="6"/>
  <c r="Q675" i="6"/>
  <c r="B676" i="6"/>
  <c r="AQ676" i="6"/>
  <c r="AP677" i="6"/>
  <c r="AH677" i="6"/>
  <c r="AN677" i="6"/>
  <c r="AF677" i="6"/>
  <c r="AJ677" i="6"/>
  <c r="AL677" i="6"/>
  <c r="AJ678" i="6"/>
  <c r="AP678" i="6"/>
  <c r="AH678" i="6"/>
  <c r="AL678" i="6"/>
  <c r="AK678" i="6"/>
  <c r="AR678" i="6" s="1"/>
  <c r="H679" i="6"/>
  <c r="P679" i="6"/>
  <c r="AO680" i="6"/>
  <c r="V682" i="6"/>
  <c r="AO684" i="6"/>
  <c r="AG684" i="6"/>
  <c r="AN684" i="6"/>
  <c r="AF684" i="6"/>
  <c r="AL684" i="6"/>
  <c r="AP684" i="6"/>
  <c r="AH684" i="6"/>
  <c r="AM684" i="6"/>
  <c r="F782" i="6"/>
  <c r="B736" i="6"/>
  <c r="AA690" i="6"/>
  <c r="W692" i="6"/>
  <c r="U693" i="6"/>
  <c r="AA696" i="6"/>
  <c r="Y697" i="6"/>
  <c r="P698" i="6"/>
  <c r="Z701" i="6"/>
  <c r="U702" i="6"/>
  <c r="T702" i="6"/>
  <c r="Z702" i="6"/>
  <c r="R702" i="6"/>
  <c r="I748" i="6"/>
  <c r="V702" i="6"/>
  <c r="Q702" i="6"/>
  <c r="AA705" i="6"/>
  <c r="D752" i="6"/>
  <c r="J798" i="6"/>
  <c r="J799" i="6"/>
  <c r="D753" i="6"/>
  <c r="W707" i="6"/>
  <c r="X710" i="6"/>
  <c r="U718" i="6"/>
  <c r="W718" i="6"/>
  <c r="U722" i="6"/>
  <c r="W722" i="6"/>
  <c r="U726" i="6"/>
  <c r="J820" i="6"/>
  <c r="D774" i="6"/>
  <c r="U730" i="6"/>
  <c r="J824" i="6"/>
  <c r="D778" i="6"/>
  <c r="U734" i="6"/>
  <c r="B746" i="6"/>
  <c r="J759" i="6"/>
  <c r="F761" i="6"/>
  <c r="B778" i="6"/>
  <c r="S1039" i="6"/>
  <c r="T1056" i="6"/>
  <c r="R1066" i="6"/>
  <c r="Q1667" i="6"/>
  <c r="AG1428" i="6"/>
  <c r="AG1667" i="6" s="1"/>
  <c r="Y1667" i="6"/>
  <c r="V492" i="6"/>
  <c r="V517" i="6"/>
  <c r="Z532" i="6"/>
  <c r="Z535" i="6" s="1"/>
  <c r="V534" i="6"/>
  <c r="V535" i="6" s="1"/>
  <c r="G1060" i="6"/>
  <c r="G1106" i="6" s="1"/>
  <c r="G1152" i="6" s="1"/>
  <c r="G1198" i="6" s="1"/>
  <c r="G1244" i="6" s="1"/>
  <c r="G1290" i="6" s="1"/>
  <c r="G1336" i="6" s="1"/>
  <c r="G684" i="6"/>
  <c r="AE684" i="6" s="1"/>
  <c r="H641" i="6"/>
  <c r="P641" i="6"/>
  <c r="X641" i="6"/>
  <c r="R642" i="6"/>
  <c r="Z642" i="6"/>
  <c r="AJ642" i="6"/>
  <c r="T643" i="6"/>
  <c r="AB643" i="6" s="1"/>
  <c r="V644" i="6"/>
  <c r="H645" i="6"/>
  <c r="P645" i="6"/>
  <c r="X645" i="6"/>
  <c r="R646" i="6"/>
  <c r="Z646" i="6"/>
  <c r="AB646" i="6" s="1"/>
  <c r="AJ646" i="6"/>
  <c r="T647" i="6"/>
  <c r="AB647" i="6" s="1"/>
  <c r="V648" i="6"/>
  <c r="H649" i="6"/>
  <c r="P649" i="6"/>
  <c r="X649" i="6"/>
  <c r="R650" i="6"/>
  <c r="Z650" i="6"/>
  <c r="AJ650" i="6"/>
  <c r="T651" i="6"/>
  <c r="AB651" i="6" s="1"/>
  <c r="V652" i="6"/>
  <c r="H653" i="6"/>
  <c r="P653" i="6"/>
  <c r="X653" i="6"/>
  <c r="R654" i="6"/>
  <c r="Z654" i="6"/>
  <c r="AJ654" i="6"/>
  <c r="T655" i="6"/>
  <c r="AB655" i="6" s="1"/>
  <c r="G656" i="6"/>
  <c r="Q656" i="6"/>
  <c r="Z656" i="6"/>
  <c r="W657" i="6"/>
  <c r="V658" i="6"/>
  <c r="R659" i="6"/>
  <c r="AA659" i="6"/>
  <c r="AL659" i="6"/>
  <c r="G660" i="6"/>
  <c r="Q660" i="6"/>
  <c r="Z660" i="6"/>
  <c r="W661" i="6"/>
  <c r="V662" i="6"/>
  <c r="R663" i="6"/>
  <c r="AA663" i="6"/>
  <c r="AL663" i="6"/>
  <c r="S664" i="6"/>
  <c r="AF664" i="6"/>
  <c r="T665" i="6"/>
  <c r="AG665" i="6"/>
  <c r="Y666" i="6"/>
  <c r="AK666" i="6"/>
  <c r="AR666" i="6" s="1"/>
  <c r="G667" i="6"/>
  <c r="AE667" i="6" s="1"/>
  <c r="AL667" i="6"/>
  <c r="S668" i="6"/>
  <c r="AF668" i="6"/>
  <c r="T669" i="6"/>
  <c r="AG669" i="6"/>
  <c r="Y670" i="6"/>
  <c r="AK670" i="6"/>
  <c r="G671" i="6"/>
  <c r="AE671" i="6" s="1"/>
  <c r="AL671" i="6"/>
  <c r="S672" i="6"/>
  <c r="AA673" i="6"/>
  <c r="Z674" i="6"/>
  <c r="R674" i="6"/>
  <c r="X674" i="6"/>
  <c r="P674" i="6"/>
  <c r="AB674" i="6" s="1"/>
  <c r="T674" i="6"/>
  <c r="Y674" i="6"/>
  <c r="S675" i="6"/>
  <c r="Q676" i="6"/>
  <c r="X677" i="6"/>
  <c r="P677" i="6"/>
  <c r="V677" i="6"/>
  <c r="Z677" i="6"/>
  <c r="R677" i="6"/>
  <c r="Y677" i="6"/>
  <c r="AM677" i="6"/>
  <c r="AM678" i="6"/>
  <c r="Q679" i="6"/>
  <c r="B680" i="6"/>
  <c r="AQ680" i="6"/>
  <c r="AP681" i="6"/>
  <c r="AH681" i="6"/>
  <c r="AN681" i="6"/>
  <c r="AF681" i="6"/>
  <c r="AJ681" i="6"/>
  <c r="AL681" i="6"/>
  <c r="AK682" i="6"/>
  <c r="AJ682" i="6"/>
  <c r="AR682" i="6" s="1"/>
  <c r="AP682" i="6"/>
  <c r="AH682" i="6"/>
  <c r="AL682" i="6"/>
  <c r="W682" i="6"/>
  <c r="AO682" i="6"/>
  <c r="K684" i="6"/>
  <c r="AQ684" i="6"/>
  <c r="AQ685" i="6"/>
  <c r="AI685" i="6"/>
  <c r="AP685" i="6"/>
  <c r="AH685" i="6"/>
  <c r="AN685" i="6"/>
  <c r="AF685" i="6"/>
  <c r="AJ685" i="6"/>
  <c r="AA692" i="6"/>
  <c r="Y693" i="6"/>
  <c r="Z697" i="6"/>
  <c r="U698" i="6"/>
  <c r="T698" i="6"/>
  <c r="Z698" i="6"/>
  <c r="R698" i="6"/>
  <c r="I744" i="6"/>
  <c r="V698" i="6"/>
  <c r="Q698" i="6"/>
  <c r="D748" i="6"/>
  <c r="J794" i="6"/>
  <c r="S702" i="6"/>
  <c r="F842" i="6"/>
  <c r="Y710" i="6"/>
  <c r="F805" i="6"/>
  <c r="B759" i="6"/>
  <c r="F854" i="6"/>
  <c r="S716" i="6"/>
  <c r="D764" i="6"/>
  <c r="J810" i="6"/>
  <c r="X718" i="6"/>
  <c r="F858" i="6"/>
  <c r="B812" i="6"/>
  <c r="S720" i="6"/>
  <c r="D768" i="6"/>
  <c r="J814" i="6"/>
  <c r="X722" i="6"/>
  <c r="F862" i="6"/>
  <c r="S724" i="6"/>
  <c r="B775" i="6"/>
  <c r="F821" i="6"/>
  <c r="D776" i="6"/>
  <c r="J822" i="6"/>
  <c r="F825" i="6"/>
  <c r="B779" i="6"/>
  <c r="J826" i="6"/>
  <c r="D780" i="6"/>
  <c r="B750" i="6"/>
  <c r="J763" i="6"/>
  <c r="F765" i="6"/>
  <c r="AE1155" i="6"/>
  <c r="AE1109" i="6"/>
  <c r="AE1201" i="6" s="1"/>
  <c r="AE1247" i="6" s="1"/>
  <c r="AE1293" i="6" s="1"/>
  <c r="R1667" i="6"/>
  <c r="Z1667" i="6"/>
  <c r="W492" i="6"/>
  <c r="U516" i="6"/>
  <c r="Q518" i="6"/>
  <c r="Q531" i="6"/>
  <c r="Q535" i="6" s="1"/>
  <c r="U533" i="6"/>
  <c r="H1036" i="6"/>
  <c r="H1082" i="6" s="1"/>
  <c r="H1128" i="6" s="1"/>
  <c r="H1174" i="6" s="1"/>
  <c r="H1220" i="6" s="1"/>
  <c r="H1266" i="6" s="1"/>
  <c r="H1312" i="6" s="1"/>
  <c r="H660" i="6"/>
  <c r="H656" i="6"/>
  <c r="H1040" i="6"/>
  <c r="H1086" i="6" s="1"/>
  <c r="H1132" i="6" s="1"/>
  <c r="H1178" i="6" s="1"/>
  <c r="H1224" i="6" s="1"/>
  <c r="H1270" i="6" s="1"/>
  <c r="H1316" i="6" s="1"/>
  <c r="H664" i="6"/>
  <c r="H1042" i="6"/>
  <c r="H1088" i="6" s="1"/>
  <c r="H1134" i="6" s="1"/>
  <c r="H1180" i="6" s="1"/>
  <c r="H1226" i="6" s="1"/>
  <c r="H1272" i="6" s="1"/>
  <c r="H1318" i="6" s="1"/>
  <c r="H666" i="6"/>
  <c r="H1044" i="6"/>
  <c r="H1090" i="6" s="1"/>
  <c r="H1136" i="6" s="1"/>
  <c r="H1182" i="6" s="1"/>
  <c r="H1228" i="6" s="1"/>
  <c r="H1274" i="6" s="1"/>
  <c r="H1320" i="6" s="1"/>
  <c r="H668" i="6"/>
  <c r="H1046" i="6"/>
  <c r="H1092" i="6" s="1"/>
  <c r="H1138" i="6" s="1"/>
  <c r="H1184" i="6" s="1"/>
  <c r="H1230" i="6" s="1"/>
  <c r="H1276" i="6" s="1"/>
  <c r="H1322" i="6" s="1"/>
  <c r="H670" i="6"/>
  <c r="H1048" i="6"/>
  <c r="H1094" i="6" s="1"/>
  <c r="H1140" i="6" s="1"/>
  <c r="H1186" i="6" s="1"/>
  <c r="H1232" i="6" s="1"/>
  <c r="H1278" i="6" s="1"/>
  <c r="H1324" i="6" s="1"/>
  <c r="H672" i="6"/>
  <c r="H1050" i="6"/>
  <c r="H1096" i="6" s="1"/>
  <c r="H1142" i="6" s="1"/>
  <c r="H1188" i="6" s="1"/>
  <c r="H1234" i="6" s="1"/>
  <c r="H1280" i="6" s="1"/>
  <c r="H1326" i="6" s="1"/>
  <c r="H674" i="6"/>
  <c r="H1052" i="6"/>
  <c r="H1098" i="6" s="1"/>
  <c r="H1144" i="6" s="1"/>
  <c r="H1190" i="6" s="1"/>
  <c r="H1236" i="6" s="1"/>
  <c r="H1282" i="6" s="1"/>
  <c r="H1328" i="6" s="1"/>
  <c r="H676" i="6"/>
  <c r="H1054" i="6"/>
  <c r="H1100" i="6" s="1"/>
  <c r="H1146" i="6" s="1"/>
  <c r="H1192" i="6" s="1"/>
  <c r="H1238" i="6" s="1"/>
  <c r="H1284" i="6" s="1"/>
  <c r="H1330" i="6" s="1"/>
  <c r="H678" i="6"/>
  <c r="H1056" i="6"/>
  <c r="H1102" i="6" s="1"/>
  <c r="H1148" i="6" s="1"/>
  <c r="H1194" i="6" s="1"/>
  <c r="H1240" i="6" s="1"/>
  <c r="H1286" i="6" s="1"/>
  <c r="H1332" i="6" s="1"/>
  <c r="H680" i="6"/>
  <c r="H1058" i="6"/>
  <c r="H1104" i="6" s="1"/>
  <c r="H1150" i="6" s="1"/>
  <c r="H1196" i="6" s="1"/>
  <c r="H1242" i="6" s="1"/>
  <c r="H1288" i="6" s="1"/>
  <c r="H1334" i="6" s="1"/>
  <c r="H682" i="6"/>
  <c r="H1060" i="6"/>
  <c r="H1106" i="6" s="1"/>
  <c r="H1152" i="6" s="1"/>
  <c r="H1198" i="6" s="1"/>
  <c r="H1244" i="6" s="1"/>
  <c r="H1290" i="6" s="1"/>
  <c r="H1336" i="6" s="1"/>
  <c r="H684" i="6"/>
  <c r="Q641" i="6"/>
  <c r="S642" i="6"/>
  <c r="AA642" i="6"/>
  <c r="AK642" i="6"/>
  <c r="G644" i="6"/>
  <c r="AE644" i="6" s="1"/>
  <c r="W644" i="6"/>
  <c r="Q645" i="6"/>
  <c r="S646" i="6"/>
  <c r="AA646" i="6"/>
  <c r="AK646" i="6"/>
  <c r="G648" i="6"/>
  <c r="AE648" i="6" s="1"/>
  <c r="W648" i="6"/>
  <c r="Q649" i="6"/>
  <c r="S650" i="6"/>
  <c r="AA650" i="6"/>
  <c r="AK650" i="6"/>
  <c r="G652" i="6"/>
  <c r="W652" i="6"/>
  <c r="Q653" i="6"/>
  <c r="S654" i="6"/>
  <c r="AA654" i="6"/>
  <c r="AK654" i="6"/>
  <c r="R656" i="6"/>
  <c r="AA656" i="6"/>
  <c r="G657" i="6"/>
  <c r="AE657" i="6" s="1"/>
  <c r="X657" i="6"/>
  <c r="S659" i="6"/>
  <c r="R660" i="6"/>
  <c r="AA660" i="6"/>
  <c r="G661" i="6"/>
  <c r="AE661" i="6" s="1"/>
  <c r="X661" i="6"/>
  <c r="S663" i="6"/>
  <c r="AL664" i="6"/>
  <c r="AP664" i="6"/>
  <c r="AH664" i="6"/>
  <c r="AG664" i="6"/>
  <c r="AN665" i="6"/>
  <c r="AF665" i="6"/>
  <c r="AJ665" i="6"/>
  <c r="AH665" i="6"/>
  <c r="B666" i="6"/>
  <c r="Z666" i="6"/>
  <c r="AM666" i="6"/>
  <c r="H667" i="6"/>
  <c r="AM667" i="6"/>
  <c r="AL668" i="6"/>
  <c r="AP668" i="6"/>
  <c r="AH668" i="6"/>
  <c r="AG668" i="6"/>
  <c r="AN669" i="6"/>
  <c r="AF669" i="6"/>
  <c r="AR669" i="6" s="1"/>
  <c r="AJ669" i="6"/>
  <c r="AH669" i="6"/>
  <c r="B670" i="6"/>
  <c r="Z670" i="6"/>
  <c r="AM670" i="6"/>
  <c r="H671" i="6"/>
  <c r="AM671" i="6"/>
  <c r="AN672" i="6"/>
  <c r="AF672" i="6"/>
  <c r="AL672" i="6"/>
  <c r="AP672" i="6"/>
  <c r="AH672" i="6"/>
  <c r="AI672" i="6"/>
  <c r="G676" i="6"/>
  <c r="AE676" i="6" s="1"/>
  <c r="R676" i="6"/>
  <c r="AO677" i="6"/>
  <c r="Z678" i="6"/>
  <c r="R678" i="6"/>
  <c r="X678" i="6"/>
  <c r="P678" i="6"/>
  <c r="T678" i="6"/>
  <c r="Y678" i="6"/>
  <c r="AN678" i="6"/>
  <c r="S679" i="6"/>
  <c r="AE680" i="6"/>
  <c r="X681" i="6"/>
  <c r="P681" i="6"/>
  <c r="V681" i="6"/>
  <c r="Z681" i="6"/>
  <c r="R681" i="6"/>
  <c r="Y681" i="6"/>
  <c r="W684" i="6"/>
  <c r="V684" i="6"/>
  <c r="T684" i="6"/>
  <c r="X684" i="6"/>
  <c r="P684" i="6"/>
  <c r="Z684" i="6"/>
  <c r="Y685" i="6"/>
  <c r="Q685" i="6"/>
  <c r="X685" i="6"/>
  <c r="P685" i="6"/>
  <c r="V685" i="6"/>
  <c r="Z685" i="6"/>
  <c r="R685" i="6"/>
  <c r="Z693" i="6"/>
  <c r="U694" i="6"/>
  <c r="T694" i="6"/>
  <c r="Z694" i="6"/>
  <c r="R694" i="6"/>
  <c r="I740" i="6"/>
  <c r="V694" i="6"/>
  <c r="Q694" i="6"/>
  <c r="D744" i="6"/>
  <c r="J790" i="6"/>
  <c r="S698" i="6"/>
  <c r="F838" i="6"/>
  <c r="B792" i="6"/>
  <c r="D701" i="6"/>
  <c r="W702" i="6"/>
  <c r="AA703" i="6"/>
  <c r="S703" i="6"/>
  <c r="Z703" i="6"/>
  <c r="R703" i="6"/>
  <c r="I749" i="6"/>
  <c r="X703" i="6"/>
  <c r="P703" i="6"/>
  <c r="T703" i="6"/>
  <c r="U703" i="6"/>
  <c r="S704" i="6"/>
  <c r="F797" i="6"/>
  <c r="F801" i="6"/>
  <c r="B755" i="6"/>
  <c r="W713" i="6"/>
  <c r="V713" i="6"/>
  <c r="U713" i="6"/>
  <c r="T713" i="6"/>
  <c r="I759" i="6"/>
  <c r="X713" i="6"/>
  <c r="P713" i="6"/>
  <c r="AB713" i="6" s="1"/>
  <c r="R713" i="6"/>
  <c r="F806" i="6"/>
  <c r="B760" i="6"/>
  <c r="Y716" i="6"/>
  <c r="T716" i="6"/>
  <c r="Y720" i="6"/>
  <c r="T720" i="6"/>
  <c r="Y724" i="6"/>
  <c r="T724" i="6"/>
  <c r="U727" i="6"/>
  <c r="W729" i="6"/>
  <c r="V729" i="6"/>
  <c r="U729" i="6"/>
  <c r="T729" i="6"/>
  <c r="AA729" i="6"/>
  <c r="S729" i="6"/>
  <c r="Z729" i="6"/>
  <c r="R729" i="6"/>
  <c r="I775" i="6"/>
  <c r="X729" i="6"/>
  <c r="P729" i="6"/>
  <c r="Y729" i="6"/>
  <c r="U731" i="6"/>
  <c r="W733" i="6"/>
  <c r="V733" i="6"/>
  <c r="U733" i="6"/>
  <c r="T733" i="6"/>
  <c r="AA733" i="6"/>
  <c r="S733" i="6"/>
  <c r="Z733" i="6"/>
  <c r="R733" i="6"/>
  <c r="I779" i="6"/>
  <c r="X733" i="6"/>
  <c r="P733" i="6"/>
  <c r="Y733" i="6"/>
  <c r="F737" i="6"/>
  <c r="B754" i="6"/>
  <c r="J767" i="6"/>
  <c r="B767" i="6" s="1"/>
  <c r="F769" i="6"/>
  <c r="J818" i="6"/>
  <c r="I1183" i="6"/>
  <c r="AF1137" i="6"/>
  <c r="V1137" i="6"/>
  <c r="AA1137" i="6"/>
  <c r="S1137" i="6"/>
  <c r="Q1137" i="6"/>
  <c r="Z1137" i="6"/>
  <c r="P1137" i="6"/>
  <c r="Y1137" i="6"/>
  <c r="X1137" i="6"/>
  <c r="W1137" i="6"/>
  <c r="U1137" i="6"/>
  <c r="T1137" i="6"/>
  <c r="R1137" i="6"/>
  <c r="AG1137" i="6"/>
  <c r="AF1017" i="6"/>
  <c r="AF1019" i="6"/>
  <c r="AF1021" i="6"/>
  <c r="AF1023" i="6"/>
  <c r="AF1025" i="6"/>
  <c r="AF1027" i="6"/>
  <c r="AF1029" i="6"/>
  <c r="AF1075" i="6"/>
  <c r="AF1035" i="6"/>
  <c r="AF1037" i="6"/>
  <c r="AF1083" i="6"/>
  <c r="AF1039" i="6"/>
  <c r="AF1041" i="6"/>
  <c r="AF1043" i="6"/>
  <c r="AF1045" i="6"/>
  <c r="AF1091" i="6"/>
  <c r="AF1047" i="6"/>
  <c r="AF1049" i="6"/>
  <c r="AF1051" i="6"/>
  <c r="AF1053" i="6"/>
  <c r="AF1099" i="6"/>
  <c r="AF1055" i="6"/>
  <c r="AF1057" i="6"/>
  <c r="AF1059" i="6"/>
  <c r="AF1061" i="6"/>
  <c r="AF1107" i="6"/>
  <c r="AL642" i="6"/>
  <c r="H644" i="6"/>
  <c r="AL646" i="6"/>
  <c r="H648" i="6"/>
  <c r="AL650" i="6"/>
  <c r="H652" i="6"/>
  <c r="AL654" i="6"/>
  <c r="H657" i="6"/>
  <c r="AN659" i="6"/>
  <c r="AF659" i="6"/>
  <c r="AO659" i="6"/>
  <c r="H661" i="6"/>
  <c r="AN663" i="6"/>
  <c r="AF663" i="6"/>
  <c r="AO663" i="6"/>
  <c r="V665" i="6"/>
  <c r="Z665" i="6"/>
  <c r="R665" i="6"/>
  <c r="W665" i="6"/>
  <c r="V669" i="6"/>
  <c r="Z669" i="6"/>
  <c r="R669" i="6"/>
  <c r="W669" i="6"/>
  <c r="G673" i="6"/>
  <c r="AE673" i="6" s="1"/>
  <c r="G680" i="6"/>
  <c r="AA682" i="6"/>
  <c r="S682" i="6"/>
  <c r="Z682" i="6"/>
  <c r="R682" i="6"/>
  <c r="X682" i="6"/>
  <c r="P682" i="6"/>
  <c r="T682" i="6"/>
  <c r="U690" i="6"/>
  <c r="T690" i="6"/>
  <c r="Z690" i="6"/>
  <c r="R690" i="6"/>
  <c r="I736" i="6"/>
  <c r="V690" i="6"/>
  <c r="Q690" i="6"/>
  <c r="AA693" i="6"/>
  <c r="D740" i="6"/>
  <c r="J786" i="6"/>
  <c r="S694" i="6"/>
  <c r="Q695" i="6"/>
  <c r="B788" i="6"/>
  <c r="W698" i="6"/>
  <c r="AA699" i="6"/>
  <c r="S699" i="6"/>
  <c r="Z699" i="6"/>
  <c r="R699" i="6"/>
  <c r="I745" i="6"/>
  <c r="X699" i="6"/>
  <c r="P699" i="6"/>
  <c r="AB699" i="6" s="1"/>
  <c r="T699" i="6"/>
  <c r="U699" i="6"/>
  <c r="S700" i="6"/>
  <c r="F793" i="6"/>
  <c r="B747" i="6"/>
  <c r="Q701" i="6"/>
  <c r="X702" i="6"/>
  <c r="J795" i="6"/>
  <c r="D749" i="6"/>
  <c r="V703" i="6"/>
  <c r="Y704" i="6"/>
  <c r="T704" i="6"/>
  <c r="W705" i="6"/>
  <c r="V705" i="6"/>
  <c r="T705" i="6"/>
  <c r="I751" i="6"/>
  <c r="X705" i="6"/>
  <c r="P705" i="6"/>
  <c r="R705" i="6"/>
  <c r="W709" i="6"/>
  <c r="V709" i="6"/>
  <c r="U709" i="6"/>
  <c r="T709" i="6"/>
  <c r="I755" i="6"/>
  <c r="X709" i="6"/>
  <c r="P709" i="6"/>
  <c r="R709" i="6"/>
  <c r="F802" i="6"/>
  <c r="B756" i="6"/>
  <c r="F850" i="6"/>
  <c r="S712" i="6"/>
  <c r="S713" i="6"/>
  <c r="J808" i="6"/>
  <c r="D762" i="6"/>
  <c r="AA716" i="6"/>
  <c r="J812" i="6"/>
  <c r="D766" i="6"/>
  <c r="AA720" i="6"/>
  <c r="J816" i="6"/>
  <c r="D770" i="6"/>
  <c r="AA724" i="6"/>
  <c r="AA727" i="6"/>
  <c r="AA731" i="6"/>
  <c r="F741" i="6"/>
  <c r="B758" i="6"/>
  <c r="J771" i="6"/>
  <c r="B773" i="6"/>
  <c r="F819" i="6"/>
  <c r="T1667" i="6"/>
  <c r="AB485" i="6"/>
  <c r="AB532" i="6" s="1"/>
  <c r="T532" i="6" s="1"/>
  <c r="Q492" i="6"/>
  <c r="Y492" i="6"/>
  <c r="U515" i="6"/>
  <c r="U519" i="6" s="1"/>
  <c r="Q517" i="6"/>
  <c r="AA518" i="6"/>
  <c r="AE554" i="6"/>
  <c r="AE558" i="6"/>
  <c r="L599" i="6"/>
  <c r="L601" i="6"/>
  <c r="L603" i="6"/>
  <c r="L605" i="6"/>
  <c r="L607" i="6"/>
  <c r="L609" i="6"/>
  <c r="L611" i="6"/>
  <c r="L613" i="6"/>
  <c r="L615" i="6"/>
  <c r="L617" i="6"/>
  <c r="L619" i="6"/>
  <c r="L621" i="6"/>
  <c r="L623" i="6"/>
  <c r="L625" i="6"/>
  <c r="L627" i="6"/>
  <c r="L629" i="6"/>
  <c r="L631" i="6"/>
  <c r="L633" i="6"/>
  <c r="L635" i="6"/>
  <c r="AG1059" i="6"/>
  <c r="AX636" i="6"/>
  <c r="L637" i="6"/>
  <c r="AG1061" i="6"/>
  <c r="AX638" i="6"/>
  <c r="K641" i="6"/>
  <c r="U642" i="6"/>
  <c r="AM642" i="6"/>
  <c r="G643" i="6"/>
  <c r="AE643" i="6" s="1"/>
  <c r="K645" i="6"/>
  <c r="U646" i="6"/>
  <c r="AM646" i="6"/>
  <c r="G647" i="6"/>
  <c r="AE647" i="6" s="1"/>
  <c r="K649" i="6"/>
  <c r="U650" i="6"/>
  <c r="AM650" i="6"/>
  <c r="G651" i="6"/>
  <c r="AE651" i="6" s="1"/>
  <c r="K653" i="6"/>
  <c r="U654" i="6"/>
  <c r="AM654" i="6"/>
  <c r="G655" i="6"/>
  <c r="K656" i="6"/>
  <c r="AE656" i="6"/>
  <c r="G658" i="6"/>
  <c r="AE658" i="6" s="1"/>
  <c r="AB658" i="6"/>
  <c r="U659" i="6"/>
  <c r="AG659" i="6"/>
  <c r="AP659" i="6"/>
  <c r="K660" i="6"/>
  <c r="AE660" i="6"/>
  <c r="G662" i="6"/>
  <c r="AE662" i="6" s="1"/>
  <c r="AB662" i="6"/>
  <c r="U663" i="6"/>
  <c r="AG663" i="6"/>
  <c r="AP663" i="6"/>
  <c r="T664" i="6"/>
  <c r="X664" i="6"/>
  <c r="P664" i="6"/>
  <c r="AB664" i="6" s="1"/>
  <c r="W664" i="6"/>
  <c r="X665" i="6"/>
  <c r="G666" i="6"/>
  <c r="AE666" i="6" s="1"/>
  <c r="T668" i="6"/>
  <c r="X668" i="6"/>
  <c r="P668" i="6"/>
  <c r="W668" i="6"/>
  <c r="X669" i="6"/>
  <c r="G670" i="6"/>
  <c r="AE670" i="6" s="1"/>
  <c r="T672" i="6"/>
  <c r="X672" i="6"/>
  <c r="P672" i="6"/>
  <c r="W672" i="6"/>
  <c r="T675" i="6"/>
  <c r="Z675" i="6"/>
  <c r="R675" i="6"/>
  <c r="AB675" i="6" s="1"/>
  <c r="V675" i="6"/>
  <c r="X675" i="6"/>
  <c r="AN676" i="6"/>
  <c r="AF676" i="6"/>
  <c r="AL676" i="6"/>
  <c r="AP676" i="6"/>
  <c r="AH676" i="6"/>
  <c r="AJ676" i="6"/>
  <c r="G677" i="6"/>
  <c r="AE677" i="6" s="1"/>
  <c r="B678" i="6"/>
  <c r="D736" i="6"/>
  <c r="J782" i="6"/>
  <c r="S690" i="6"/>
  <c r="Q691" i="6"/>
  <c r="F830" i="6"/>
  <c r="B784" i="6"/>
  <c r="W694" i="6"/>
  <c r="AA695" i="6"/>
  <c r="S695" i="6"/>
  <c r="Z695" i="6"/>
  <c r="R695" i="6"/>
  <c r="I741" i="6"/>
  <c r="X695" i="6"/>
  <c r="P695" i="6"/>
  <c r="T695" i="6"/>
  <c r="U695" i="6"/>
  <c r="S696" i="6"/>
  <c r="F789" i="6"/>
  <c r="B743" i="6"/>
  <c r="Q697" i="6"/>
  <c r="X698" i="6"/>
  <c r="J791" i="6"/>
  <c r="D745" i="6"/>
  <c r="V699" i="6"/>
  <c r="Y700" i="6"/>
  <c r="T700" i="6"/>
  <c r="W701" i="6"/>
  <c r="V701" i="6"/>
  <c r="T701" i="6"/>
  <c r="I747" i="6"/>
  <c r="X701" i="6"/>
  <c r="P701" i="6"/>
  <c r="R701" i="6"/>
  <c r="Y702" i="6"/>
  <c r="W703" i="6"/>
  <c r="J796" i="6"/>
  <c r="D750" i="6"/>
  <c r="U704" i="6"/>
  <c r="S705" i="6"/>
  <c r="F798" i="6"/>
  <c r="B752" i="6"/>
  <c r="F846" i="6"/>
  <c r="B800" i="6"/>
  <c r="S708" i="6"/>
  <c r="S709" i="6"/>
  <c r="Y712" i="6"/>
  <c r="T712" i="6"/>
  <c r="Y713" i="6"/>
  <c r="P714" i="6"/>
  <c r="U715" i="6"/>
  <c r="U719" i="6"/>
  <c r="U723" i="6"/>
  <c r="J819" i="6"/>
  <c r="D773" i="6"/>
  <c r="J823" i="6"/>
  <c r="D777" i="6"/>
  <c r="F745" i="6"/>
  <c r="B762" i="6"/>
  <c r="J821" i="6"/>
  <c r="D775" i="6"/>
  <c r="F823" i="6"/>
  <c r="B777" i="6"/>
  <c r="R1022" i="6"/>
  <c r="U1667" i="6"/>
  <c r="AB1434" i="6"/>
  <c r="R492" i="6"/>
  <c r="Z492" i="6"/>
  <c r="Z1061" i="6"/>
  <c r="R1061" i="6"/>
  <c r="Z1060" i="6"/>
  <c r="R1060" i="6"/>
  <c r="Z1059" i="6"/>
  <c r="R1059" i="6"/>
  <c r="Z1058" i="6"/>
  <c r="R1058" i="6"/>
  <c r="Z1057" i="6"/>
  <c r="R1057" i="6"/>
  <c r="Z1056" i="6"/>
  <c r="R1056" i="6"/>
  <c r="Z1055" i="6"/>
  <c r="R1055" i="6"/>
  <c r="Z1054" i="6"/>
  <c r="R1054" i="6"/>
  <c r="Z1053" i="6"/>
  <c r="R1053" i="6"/>
  <c r="Z1052" i="6"/>
  <c r="R1052" i="6"/>
  <c r="Z1051" i="6"/>
  <c r="R1051" i="6"/>
  <c r="Z1050" i="6"/>
  <c r="R1050" i="6"/>
  <c r="Z1049" i="6"/>
  <c r="R1049" i="6"/>
  <c r="Z1048" i="6"/>
  <c r="R1048" i="6"/>
  <c r="Z1047" i="6"/>
  <c r="R1047" i="6"/>
  <c r="Z1046" i="6"/>
  <c r="R1046" i="6"/>
  <c r="Z1045" i="6"/>
  <c r="R1045" i="6"/>
  <c r="Z1044" i="6"/>
  <c r="R1044" i="6"/>
  <c r="Z1043" i="6"/>
  <c r="R1043" i="6"/>
  <c r="Z1042" i="6"/>
  <c r="R1042" i="6"/>
  <c r="Z1041" i="6"/>
  <c r="R1041" i="6"/>
  <c r="X1061" i="6"/>
  <c r="P1061" i="6"/>
  <c r="X1060" i="6"/>
  <c r="P1060" i="6"/>
  <c r="X1059" i="6"/>
  <c r="P1059" i="6"/>
  <c r="X1058" i="6"/>
  <c r="P1058" i="6"/>
  <c r="X1057" i="6"/>
  <c r="P1057" i="6"/>
  <c r="X1056" i="6"/>
  <c r="P1056" i="6"/>
  <c r="X1055" i="6"/>
  <c r="P1055" i="6"/>
  <c r="X1054" i="6"/>
  <c r="P1054" i="6"/>
  <c r="X1053" i="6"/>
  <c r="P1053" i="6"/>
  <c r="X1052" i="6"/>
  <c r="P1052" i="6"/>
  <c r="X1051" i="6"/>
  <c r="P1051" i="6"/>
  <c r="X1050" i="6"/>
  <c r="P1050" i="6"/>
  <c r="X1049" i="6"/>
  <c r="P1049" i="6"/>
  <c r="X1048" i="6"/>
  <c r="P1048" i="6"/>
  <c r="X1047" i="6"/>
  <c r="P1047" i="6"/>
  <c r="X1046" i="6"/>
  <c r="P1046" i="6"/>
  <c r="X1045" i="6"/>
  <c r="P1045" i="6"/>
  <c r="X1044" i="6"/>
  <c r="P1044" i="6"/>
  <c r="X1043" i="6"/>
  <c r="P1043" i="6"/>
  <c r="AB1043" i="6" s="1"/>
  <c r="X1042" i="6"/>
  <c r="P1042" i="6"/>
  <c r="X1041" i="6"/>
  <c r="P1041" i="6"/>
  <c r="X1040" i="6"/>
  <c r="P1040" i="6"/>
  <c r="X1039" i="6"/>
  <c r="P1039" i="6"/>
  <c r="X1038" i="6"/>
  <c r="P1038" i="6"/>
  <c r="X1037" i="6"/>
  <c r="P1037" i="6"/>
  <c r="X1036" i="6"/>
  <c r="P1036" i="6"/>
  <c r="X1035" i="6"/>
  <c r="P1035" i="6"/>
  <c r="AB1035" i="6" s="1"/>
  <c r="AP1034" i="6"/>
  <c r="AH1034" i="6"/>
  <c r="X1034" i="6"/>
  <c r="P1034" i="6"/>
  <c r="AP1033" i="6"/>
  <c r="AH1033" i="6"/>
  <c r="X1033" i="6"/>
  <c r="P1033" i="6"/>
  <c r="AP1032" i="6"/>
  <c r="AH1032" i="6"/>
  <c r="X1032" i="6"/>
  <c r="P1032" i="6"/>
  <c r="AP1031" i="6"/>
  <c r="AH1031" i="6"/>
  <c r="X1031" i="6"/>
  <c r="P1031" i="6"/>
  <c r="X1030" i="6"/>
  <c r="W1061" i="6"/>
  <c r="W1060" i="6"/>
  <c r="W1059" i="6"/>
  <c r="W1058" i="6"/>
  <c r="W1057" i="6"/>
  <c r="W1056" i="6"/>
  <c r="W1055" i="6"/>
  <c r="W1054" i="6"/>
  <c r="W1053" i="6"/>
  <c r="W1052" i="6"/>
  <c r="W1051" i="6"/>
  <c r="W1050" i="6"/>
  <c r="W1049" i="6"/>
  <c r="W1048" i="6"/>
  <c r="W1047" i="6"/>
  <c r="W1046" i="6"/>
  <c r="W1045" i="6"/>
  <c r="W1044" i="6"/>
  <c r="W1043" i="6"/>
  <c r="W1042" i="6"/>
  <c r="W1041" i="6"/>
  <c r="W1040" i="6"/>
  <c r="W1039" i="6"/>
  <c r="W1038" i="6"/>
  <c r="W1037" i="6"/>
  <c r="W1036" i="6"/>
  <c r="W1035" i="6"/>
  <c r="AO1034" i="6"/>
  <c r="AG1034" i="6"/>
  <c r="W1034" i="6"/>
  <c r="AO1033" i="6"/>
  <c r="AG1033" i="6"/>
  <c r="W1033" i="6"/>
  <c r="AO1032" i="6"/>
  <c r="AG1032" i="6"/>
  <c r="W1032" i="6"/>
  <c r="AO1031" i="6"/>
  <c r="AG1031" i="6"/>
  <c r="W1031" i="6"/>
  <c r="W1030" i="6"/>
  <c r="W1029" i="6"/>
  <c r="W1028" i="6"/>
  <c r="W1027" i="6"/>
  <c r="W1026" i="6"/>
  <c r="W1025" i="6"/>
  <c r="W1024" i="6"/>
  <c r="W1023" i="6"/>
  <c r="V1061" i="6"/>
  <c r="V1060" i="6"/>
  <c r="V1059" i="6"/>
  <c r="V1058" i="6"/>
  <c r="V1057" i="6"/>
  <c r="V1056" i="6"/>
  <c r="V1055" i="6"/>
  <c r="V1054" i="6"/>
  <c r="V1053" i="6"/>
  <c r="V1052" i="6"/>
  <c r="V1051" i="6"/>
  <c r="V1050" i="6"/>
  <c r="V1049" i="6"/>
  <c r="V1048" i="6"/>
  <c r="V1047" i="6"/>
  <c r="V1046" i="6"/>
  <c r="V1045" i="6"/>
  <c r="V1044" i="6"/>
  <c r="V1043" i="6"/>
  <c r="V1042" i="6"/>
  <c r="V1041" i="6"/>
  <c r="V1040" i="6"/>
  <c r="V1039" i="6"/>
  <c r="V1038" i="6"/>
  <c r="V1037" i="6"/>
  <c r="V1036" i="6"/>
  <c r="V1035" i="6"/>
  <c r="AN1034" i="6"/>
  <c r="AF1034" i="6"/>
  <c r="V1034" i="6"/>
  <c r="AN1033" i="6"/>
  <c r="AF1033" i="6"/>
  <c r="AR1033" i="6" s="1"/>
  <c r="V1033" i="6"/>
  <c r="AN1032" i="6"/>
  <c r="AF1032" i="6"/>
  <c r="V1032" i="6"/>
  <c r="AN1031" i="6"/>
  <c r="AF1031" i="6"/>
  <c r="V1031" i="6"/>
  <c r="V1030" i="6"/>
  <c r="V1029" i="6"/>
  <c r="V1028" i="6"/>
  <c r="V1027" i="6"/>
  <c r="V1026" i="6"/>
  <c r="V1025" i="6"/>
  <c r="V1024" i="6"/>
  <c r="U1061" i="6"/>
  <c r="U1060" i="6"/>
  <c r="U1059" i="6"/>
  <c r="U1058" i="6"/>
  <c r="U1057" i="6"/>
  <c r="U1056" i="6"/>
  <c r="U1055" i="6"/>
  <c r="U1054" i="6"/>
  <c r="U1053" i="6"/>
  <c r="U1052" i="6"/>
  <c r="U1051" i="6"/>
  <c r="U1050" i="6"/>
  <c r="U1049" i="6"/>
  <c r="U1048" i="6"/>
  <c r="U1047" i="6"/>
  <c r="U1046" i="6"/>
  <c r="U1045" i="6"/>
  <c r="U1044" i="6"/>
  <c r="U1043" i="6"/>
  <c r="U1042" i="6"/>
  <c r="U1041" i="6"/>
  <c r="U1040" i="6"/>
  <c r="U1039" i="6"/>
  <c r="U1038" i="6"/>
  <c r="U1037" i="6"/>
  <c r="U1036" i="6"/>
  <c r="U1035" i="6"/>
  <c r="AM1034" i="6"/>
  <c r="U1034" i="6"/>
  <c r="AM1033" i="6"/>
  <c r="U1033" i="6"/>
  <c r="AM1032" i="6"/>
  <c r="U1032" i="6"/>
  <c r="AM1031" i="6"/>
  <c r="U1031" i="6"/>
  <c r="U1030" i="6"/>
  <c r="U1029" i="6"/>
  <c r="U1028" i="6"/>
  <c r="U1027" i="6"/>
  <c r="W1102" i="6"/>
  <c r="W1086" i="6"/>
  <c r="X1078" i="6"/>
  <c r="Z1040" i="6"/>
  <c r="Z1038" i="6"/>
  <c r="Z1036" i="6"/>
  <c r="Z1034" i="6"/>
  <c r="S1033" i="6"/>
  <c r="AK1032" i="6"/>
  <c r="Z1030" i="6"/>
  <c r="Z1029" i="6"/>
  <c r="AA1028" i="6"/>
  <c r="R1026" i="6"/>
  <c r="Z1025" i="6"/>
  <c r="T1024" i="6"/>
  <c r="T1023" i="6"/>
  <c r="X1022" i="6"/>
  <c r="T1021" i="6"/>
  <c r="X1020" i="6"/>
  <c r="T1019" i="6"/>
  <c r="X1018" i="6"/>
  <c r="T1017" i="6"/>
  <c r="V1102" i="6"/>
  <c r="V1086" i="6"/>
  <c r="U1073" i="6"/>
  <c r="Y1070" i="6"/>
  <c r="Q1068" i="6"/>
  <c r="R1065" i="6"/>
  <c r="T1040" i="6"/>
  <c r="T1038" i="6"/>
  <c r="T1036" i="6"/>
  <c r="T1034" i="6"/>
  <c r="AL1033" i="6"/>
  <c r="R1033" i="6"/>
  <c r="AJ1032" i="6"/>
  <c r="AA1031" i="6"/>
  <c r="T1030" i="6"/>
  <c r="X1029" i="6"/>
  <c r="Z1028" i="6"/>
  <c r="AA1027" i="6"/>
  <c r="P1026" i="6"/>
  <c r="X1025" i="6"/>
  <c r="S1024" i="6"/>
  <c r="S1023" i="6"/>
  <c r="W1022" i="6"/>
  <c r="S1021" i="6"/>
  <c r="W1020" i="6"/>
  <c r="S1019" i="6"/>
  <c r="W1018" i="6"/>
  <c r="S1017" i="6"/>
  <c r="V1097" i="6"/>
  <c r="V1081" i="6"/>
  <c r="AF1079" i="6"/>
  <c r="P1075" i="6"/>
  <c r="T1073" i="6"/>
  <c r="R1070" i="6"/>
  <c r="Q1065" i="6"/>
  <c r="S1040" i="6"/>
  <c r="S1038" i="6"/>
  <c r="S1036" i="6"/>
  <c r="S1034" i="6"/>
  <c r="AK1033" i="6"/>
  <c r="Z1031" i="6"/>
  <c r="S1030" i="6"/>
  <c r="T1029" i="6"/>
  <c r="X1028" i="6"/>
  <c r="Z1027" i="6"/>
  <c r="AA1026" i="6"/>
  <c r="U1025" i="6"/>
  <c r="R1024" i="6"/>
  <c r="R1023" i="6"/>
  <c r="V1022" i="6"/>
  <c r="AA1021" i="6"/>
  <c r="R1021" i="6"/>
  <c r="V1020" i="6"/>
  <c r="AA1019" i="6"/>
  <c r="R1019" i="6"/>
  <c r="V1018" i="6"/>
  <c r="AA1017" i="6"/>
  <c r="R1017" i="6"/>
  <c r="W1099" i="6"/>
  <c r="W1083" i="6"/>
  <c r="X1079" i="6"/>
  <c r="W1076" i="6"/>
  <c r="Q1070" i="6"/>
  <c r="Z1069" i="6"/>
  <c r="R1040" i="6"/>
  <c r="AA1039" i="6"/>
  <c r="R1038" i="6"/>
  <c r="AA1037" i="6"/>
  <c r="R1036" i="6"/>
  <c r="AA1035" i="6"/>
  <c r="AL1034" i="6"/>
  <c r="R1034" i="6"/>
  <c r="AJ1033" i="6"/>
  <c r="AA1032" i="6"/>
  <c r="T1031" i="6"/>
  <c r="R1030" i="6"/>
  <c r="S1029" i="6"/>
  <c r="T1028" i="6"/>
  <c r="X1027" i="6"/>
  <c r="Z1026" i="6"/>
  <c r="T1025" i="6"/>
  <c r="P1024" i="6"/>
  <c r="AA1023" i="6"/>
  <c r="P1023" i="6"/>
  <c r="U1022" i="6"/>
  <c r="Z1021" i="6"/>
  <c r="P1021" i="6"/>
  <c r="U1020" i="6"/>
  <c r="Z1019" i="6"/>
  <c r="P1019" i="6"/>
  <c r="U1018" i="6"/>
  <c r="Z1017" i="6"/>
  <c r="P1017" i="6"/>
  <c r="W1094" i="6"/>
  <c r="AG1077" i="6"/>
  <c r="V1076" i="6"/>
  <c r="Y1069" i="6"/>
  <c r="Z1039" i="6"/>
  <c r="Z1037" i="6"/>
  <c r="Z1035" i="6"/>
  <c r="AK1034" i="6"/>
  <c r="Z1032" i="6"/>
  <c r="S1031" i="6"/>
  <c r="P1030" i="6"/>
  <c r="R1029" i="6"/>
  <c r="S1028" i="6"/>
  <c r="T1027" i="6"/>
  <c r="X1026" i="6"/>
  <c r="S1025" i="6"/>
  <c r="AA1024" i="6"/>
  <c r="Z1023" i="6"/>
  <c r="T1022" i="6"/>
  <c r="X1021" i="6"/>
  <c r="T1020" i="6"/>
  <c r="X1019" i="6"/>
  <c r="T1018" i="6"/>
  <c r="X1017" i="6"/>
  <c r="V1094" i="6"/>
  <c r="AG1080" i="6"/>
  <c r="AF1077" i="6"/>
  <c r="R1069" i="6"/>
  <c r="AA1061" i="6"/>
  <c r="AA1060" i="6"/>
  <c r="AA1059" i="6"/>
  <c r="AA1058" i="6"/>
  <c r="AA1057" i="6"/>
  <c r="AA1056" i="6"/>
  <c r="AA1055" i="6"/>
  <c r="AA1054" i="6"/>
  <c r="AA1053" i="6"/>
  <c r="AA1052" i="6"/>
  <c r="AA1051" i="6"/>
  <c r="AA1050" i="6"/>
  <c r="AA1049" i="6"/>
  <c r="AA1048" i="6"/>
  <c r="AA1047" i="6"/>
  <c r="AA1046" i="6"/>
  <c r="AA1045" i="6"/>
  <c r="AA1044" i="6"/>
  <c r="AA1043" i="6"/>
  <c r="AA1042" i="6"/>
  <c r="AA1041" i="6"/>
  <c r="T1039" i="6"/>
  <c r="T1037" i="6"/>
  <c r="T1035" i="6"/>
  <c r="AJ1034" i="6"/>
  <c r="AA1033" i="6"/>
  <c r="T1032" i="6"/>
  <c r="AL1031" i="6"/>
  <c r="R1031" i="6"/>
  <c r="P1029" i="6"/>
  <c r="R1028" i="6"/>
  <c r="S1027" i="6"/>
  <c r="U1026" i="6"/>
  <c r="R1025" i="6"/>
  <c r="Z1024" i="6"/>
  <c r="X1023" i="6"/>
  <c r="S1022" i="6"/>
  <c r="W1021" i="6"/>
  <c r="S1020" i="6"/>
  <c r="W1019" i="6"/>
  <c r="S1018" i="6"/>
  <c r="W1017" i="6"/>
  <c r="W1107" i="6"/>
  <c r="W1091" i="6"/>
  <c r="AF1078" i="6"/>
  <c r="R1071" i="6"/>
  <c r="Y1068" i="6"/>
  <c r="Q1066" i="6"/>
  <c r="Z1065" i="6"/>
  <c r="R1063" i="6"/>
  <c r="S1061" i="6"/>
  <c r="S1060" i="6"/>
  <c r="S1059" i="6"/>
  <c r="S1058" i="6"/>
  <c r="S1057" i="6"/>
  <c r="S1056" i="6"/>
  <c r="S1055" i="6"/>
  <c r="S1054" i="6"/>
  <c r="S1053" i="6"/>
  <c r="S1052" i="6"/>
  <c r="S1051" i="6"/>
  <c r="S1050" i="6"/>
  <c r="S1049" i="6"/>
  <c r="S1048" i="6"/>
  <c r="S1047" i="6"/>
  <c r="S1046" i="6"/>
  <c r="S1045" i="6"/>
  <c r="S1044" i="6"/>
  <c r="S1043" i="6"/>
  <c r="S1042" i="6"/>
  <c r="S1041" i="6"/>
  <c r="AA1040" i="6"/>
  <c r="R1039" i="6"/>
  <c r="AA1038" i="6"/>
  <c r="R1037" i="6"/>
  <c r="AA1036" i="6"/>
  <c r="R1035" i="6"/>
  <c r="AA1034" i="6"/>
  <c r="T1033" i="6"/>
  <c r="AL1032" i="6"/>
  <c r="R1032" i="6"/>
  <c r="AJ1031" i="6"/>
  <c r="AA1030" i="6"/>
  <c r="AA1029" i="6"/>
  <c r="P1027" i="6"/>
  <c r="S1026" i="6"/>
  <c r="AA1025" i="6"/>
  <c r="U1024" i="6"/>
  <c r="U1023" i="6"/>
  <c r="Z1022" i="6"/>
  <c r="P1022" i="6"/>
  <c r="U1021" i="6"/>
  <c r="Z1020" i="6"/>
  <c r="P1020" i="6"/>
  <c r="U1019" i="6"/>
  <c r="Z1018" i="6"/>
  <c r="P1018" i="6"/>
  <c r="U1017" i="6"/>
  <c r="V1089" i="6"/>
  <c r="Z1068" i="6"/>
  <c r="Y1063" i="6"/>
  <c r="T1054" i="6"/>
  <c r="T1046" i="6"/>
  <c r="S1035" i="6"/>
  <c r="R1027" i="6"/>
  <c r="V1021" i="6"/>
  <c r="R1018" i="6"/>
  <c r="T1144" i="6"/>
  <c r="T1061" i="6"/>
  <c r="T1053" i="6"/>
  <c r="T1045" i="6"/>
  <c r="S1032" i="6"/>
  <c r="T1026" i="6"/>
  <c r="X1024" i="6"/>
  <c r="T1060" i="6"/>
  <c r="T1052" i="6"/>
  <c r="T1044" i="6"/>
  <c r="AA1020" i="6"/>
  <c r="V1017" i="6"/>
  <c r="W732" i="6"/>
  <c r="W728" i="6"/>
  <c r="W724" i="6"/>
  <c r="W720" i="6"/>
  <c r="W716" i="6"/>
  <c r="W712" i="6"/>
  <c r="W708" i="6"/>
  <c r="AF1080" i="6"/>
  <c r="T1059" i="6"/>
  <c r="T1051" i="6"/>
  <c r="T1043" i="6"/>
  <c r="V1023" i="6"/>
  <c r="R1020" i="6"/>
  <c r="Q1069" i="6"/>
  <c r="T1058" i="6"/>
  <c r="T1050" i="6"/>
  <c r="T1042" i="6"/>
  <c r="Z1033" i="6"/>
  <c r="U732" i="6"/>
  <c r="W731" i="6"/>
  <c r="U728" i="6"/>
  <c r="W727" i="6"/>
  <c r="U724" i="6"/>
  <c r="W723" i="6"/>
  <c r="U720" i="6"/>
  <c r="W719" i="6"/>
  <c r="U716" i="6"/>
  <c r="W715" i="6"/>
  <c r="T1057" i="6"/>
  <c r="T1049" i="6"/>
  <c r="T1041" i="6"/>
  <c r="AK1031" i="6"/>
  <c r="P1028" i="6"/>
  <c r="AA1022" i="6"/>
  <c r="V1019" i="6"/>
  <c r="X734" i="6"/>
  <c r="P734" i="6"/>
  <c r="T732" i="6"/>
  <c r="V731" i="6"/>
  <c r="X730" i="6"/>
  <c r="P730" i="6"/>
  <c r="T728" i="6"/>
  <c r="V727" i="6"/>
  <c r="X726" i="6"/>
  <c r="P726" i="6"/>
  <c r="V1105" i="6"/>
  <c r="T1055" i="6"/>
  <c r="T1047" i="6"/>
  <c r="S1037" i="6"/>
  <c r="AA1018" i="6"/>
  <c r="V515" i="6"/>
  <c r="Z517" i="6"/>
  <c r="AH636" i="6"/>
  <c r="AH638" i="6"/>
  <c r="AF642" i="6"/>
  <c r="H643" i="6"/>
  <c r="R644" i="6"/>
  <c r="AF646" i="6"/>
  <c r="H647" i="6"/>
  <c r="R648" i="6"/>
  <c r="AB648" i="6" s="1"/>
  <c r="AF650" i="6"/>
  <c r="H651" i="6"/>
  <c r="R652" i="6"/>
  <c r="AF654" i="6"/>
  <c r="H655" i="6"/>
  <c r="H658" i="6"/>
  <c r="W659" i="6"/>
  <c r="AH659" i="6"/>
  <c r="AQ659" i="6"/>
  <c r="H662" i="6"/>
  <c r="W663" i="6"/>
  <c r="AH663" i="6"/>
  <c r="AQ663" i="6"/>
  <c r="Y664" i="6"/>
  <c r="G665" i="6"/>
  <c r="AE665" i="6" s="1"/>
  <c r="Y665" i="6"/>
  <c r="Y668" i="6"/>
  <c r="G669" i="6"/>
  <c r="AE669" i="6" s="1"/>
  <c r="Y669" i="6"/>
  <c r="Y672" i="6"/>
  <c r="G674" i="6"/>
  <c r="AE674" i="6" s="1"/>
  <c r="AK676" i="6"/>
  <c r="T679" i="6"/>
  <c r="Z679" i="6"/>
  <c r="R679" i="6"/>
  <c r="V679" i="6"/>
  <c r="X679" i="6"/>
  <c r="AN680" i="6"/>
  <c r="AF680" i="6"/>
  <c r="AL680" i="6"/>
  <c r="AP680" i="6"/>
  <c r="AH680" i="6"/>
  <c r="AJ680" i="6"/>
  <c r="G681" i="6"/>
  <c r="AE681" i="6" s="1"/>
  <c r="G683" i="6"/>
  <c r="AE683" i="6" s="1"/>
  <c r="G685" i="6"/>
  <c r="AE685" i="6" s="1"/>
  <c r="W690" i="6"/>
  <c r="AA691" i="6"/>
  <c r="S691" i="6"/>
  <c r="Z691" i="6"/>
  <c r="R691" i="6"/>
  <c r="I737" i="6"/>
  <c r="X691" i="6"/>
  <c r="P691" i="6"/>
  <c r="T691" i="6"/>
  <c r="U691" i="6"/>
  <c r="S692" i="6"/>
  <c r="F785" i="6"/>
  <c r="Q693" i="6"/>
  <c r="X694" i="6"/>
  <c r="J787" i="6"/>
  <c r="D741" i="6"/>
  <c r="V695" i="6"/>
  <c r="Y696" i="6"/>
  <c r="T696" i="6"/>
  <c r="W697" i="6"/>
  <c r="V697" i="6"/>
  <c r="T697" i="6"/>
  <c r="I743" i="6"/>
  <c r="X697" i="6"/>
  <c r="P697" i="6"/>
  <c r="R697" i="6"/>
  <c r="Y698" i="6"/>
  <c r="W699" i="6"/>
  <c r="J792" i="6"/>
  <c r="D746" i="6"/>
  <c r="U700" i="6"/>
  <c r="S701" i="6"/>
  <c r="F794" i="6"/>
  <c r="B748" i="6"/>
  <c r="AA702" i="6"/>
  <c r="Y703" i="6"/>
  <c r="W704" i="6"/>
  <c r="U705" i="6"/>
  <c r="Y708" i="6"/>
  <c r="T708" i="6"/>
  <c r="Y709" i="6"/>
  <c r="P710" i="6"/>
  <c r="AB710" i="6" s="1"/>
  <c r="U711" i="6"/>
  <c r="J804" i="6"/>
  <c r="D758" i="6"/>
  <c r="U712" i="6"/>
  <c r="Z713" i="6"/>
  <c r="U714" i="6"/>
  <c r="T714" i="6"/>
  <c r="AA714" i="6"/>
  <c r="S714" i="6"/>
  <c r="Z714" i="6"/>
  <c r="R714" i="6"/>
  <c r="I760" i="6"/>
  <c r="V714" i="6"/>
  <c r="Q714" i="6"/>
  <c r="AA715" i="6"/>
  <c r="V715" i="6"/>
  <c r="F810" i="6"/>
  <c r="B764" i="6"/>
  <c r="AA719" i="6"/>
  <c r="V719" i="6"/>
  <c r="F814" i="6"/>
  <c r="B768" i="6"/>
  <c r="AA723" i="6"/>
  <c r="V723" i="6"/>
  <c r="F818" i="6"/>
  <c r="B772" i="6"/>
  <c r="F749" i="6"/>
  <c r="B766" i="6"/>
  <c r="D779" i="6"/>
  <c r="J825" i="6"/>
  <c r="F834" i="6"/>
  <c r="P1025" i="6"/>
  <c r="AB1025" i="6" s="1"/>
  <c r="AF675" i="6"/>
  <c r="AN675" i="6"/>
  <c r="AF679" i="6"/>
  <c r="AN679" i="6"/>
  <c r="V683" i="6"/>
  <c r="AF683" i="6"/>
  <c r="AR683" i="6" s="1"/>
  <c r="AN683" i="6"/>
  <c r="R692" i="6"/>
  <c r="Z692" i="6"/>
  <c r="R696" i="6"/>
  <c r="Z696" i="6"/>
  <c r="R700" i="6"/>
  <c r="Z700" i="6"/>
  <c r="R704" i="6"/>
  <c r="Z704" i="6"/>
  <c r="T707" i="6"/>
  <c r="R708" i="6"/>
  <c r="Z708" i="6"/>
  <c r="T711" i="6"/>
  <c r="R712" i="6"/>
  <c r="Z712" i="6"/>
  <c r="T715" i="6"/>
  <c r="R716" i="6"/>
  <c r="Z716" i="6"/>
  <c r="V718" i="6"/>
  <c r="T719" i="6"/>
  <c r="R720" i="6"/>
  <c r="Z720" i="6"/>
  <c r="V722" i="6"/>
  <c r="T723" i="6"/>
  <c r="R724" i="6"/>
  <c r="Z724" i="6"/>
  <c r="V726" i="6"/>
  <c r="T727" i="6"/>
  <c r="R728" i="6"/>
  <c r="Z728" i="6"/>
  <c r="V730" i="6"/>
  <c r="T731" i="6"/>
  <c r="R732" i="6"/>
  <c r="Z732" i="6"/>
  <c r="V734" i="6"/>
  <c r="J1112" i="6"/>
  <c r="AT1066" i="6"/>
  <c r="AE1161" i="6"/>
  <c r="AE1115" i="6"/>
  <c r="AE1207" i="6" s="1"/>
  <c r="AE1253" i="6" s="1"/>
  <c r="AE1299" i="6" s="1"/>
  <c r="W1090" i="6"/>
  <c r="W1098" i="6"/>
  <c r="W1106" i="6"/>
  <c r="F1181" i="6"/>
  <c r="I764" i="6"/>
  <c r="I768" i="6"/>
  <c r="I772" i="6"/>
  <c r="I776" i="6"/>
  <c r="I780" i="6"/>
  <c r="J1110" i="6"/>
  <c r="AT1064" i="6"/>
  <c r="Q718" i="6"/>
  <c r="Y718" i="6"/>
  <c r="Q722" i="6"/>
  <c r="AB722" i="6" s="1"/>
  <c r="Y722" i="6"/>
  <c r="Q726" i="6"/>
  <c r="Y726" i="6"/>
  <c r="Q730" i="6"/>
  <c r="Y730" i="6"/>
  <c r="Q734" i="6"/>
  <c r="Y734" i="6"/>
  <c r="AE1113" i="6"/>
  <c r="AE1205" i="6" s="1"/>
  <c r="AE1251" i="6" s="1"/>
  <c r="AE1297" i="6" s="1"/>
  <c r="AE1159" i="6"/>
  <c r="V1093" i="6"/>
  <c r="V1101" i="6"/>
  <c r="I1113" i="6"/>
  <c r="X1067" i="6"/>
  <c r="P1067" i="6"/>
  <c r="AG1067" i="6"/>
  <c r="W1067" i="6"/>
  <c r="AF1067" i="6"/>
  <c r="V1067" i="6"/>
  <c r="U1067" i="6"/>
  <c r="T1067" i="6"/>
  <c r="AA1067" i="6"/>
  <c r="S1067" i="6"/>
  <c r="Z1067" i="6"/>
  <c r="Y1067" i="6"/>
  <c r="R1067" i="6"/>
  <c r="Q1067" i="6"/>
  <c r="AJ675" i="6"/>
  <c r="AJ679" i="6"/>
  <c r="R683" i="6"/>
  <c r="AB683" i="6" s="1"/>
  <c r="Z683" i="6"/>
  <c r="AJ683" i="6"/>
  <c r="V692" i="6"/>
  <c r="B693" i="6"/>
  <c r="V696" i="6"/>
  <c r="B697" i="6"/>
  <c r="V700" i="6"/>
  <c r="B701" i="6"/>
  <c r="V704" i="6"/>
  <c r="B705" i="6"/>
  <c r="P707" i="6"/>
  <c r="X707" i="6"/>
  <c r="V708" i="6"/>
  <c r="B709" i="6"/>
  <c r="P711" i="6"/>
  <c r="AB711" i="6" s="1"/>
  <c r="X711" i="6"/>
  <c r="V712" i="6"/>
  <c r="B713" i="6"/>
  <c r="P715" i="6"/>
  <c r="X715" i="6"/>
  <c r="V716" i="6"/>
  <c r="B717" i="6"/>
  <c r="R718" i="6"/>
  <c r="Z718" i="6"/>
  <c r="P719" i="6"/>
  <c r="X719" i="6"/>
  <c r="V720" i="6"/>
  <c r="B721" i="6"/>
  <c r="R722" i="6"/>
  <c r="Z722" i="6"/>
  <c r="P723" i="6"/>
  <c r="X723" i="6"/>
  <c r="V724" i="6"/>
  <c r="B725" i="6"/>
  <c r="R726" i="6"/>
  <c r="Z726" i="6"/>
  <c r="P727" i="6"/>
  <c r="X727" i="6"/>
  <c r="V728" i="6"/>
  <c r="B729" i="6"/>
  <c r="R730" i="6"/>
  <c r="Z730" i="6"/>
  <c r="P731" i="6"/>
  <c r="X731" i="6"/>
  <c r="V732" i="6"/>
  <c r="B733" i="6"/>
  <c r="R734" i="6"/>
  <c r="Z734" i="6"/>
  <c r="I753" i="6"/>
  <c r="I757" i="6"/>
  <c r="I761" i="6"/>
  <c r="I765" i="6"/>
  <c r="I769" i="6"/>
  <c r="I773" i="6"/>
  <c r="I777" i="6"/>
  <c r="V1085" i="6"/>
  <c r="J1118" i="6"/>
  <c r="AT1072" i="6"/>
  <c r="Q707" i="6"/>
  <c r="Y707" i="6"/>
  <c r="Q711" i="6"/>
  <c r="Y711" i="6"/>
  <c r="Q715" i="6"/>
  <c r="Y715" i="6"/>
  <c r="S718" i="6"/>
  <c r="AA718" i="6"/>
  <c r="Q719" i="6"/>
  <c r="Y719" i="6"/>
  <c r="S722" i="6"/>
  <c r="AA722" i="6"/>
  <c r="Q723" i="6"/>
  <c r="Y723" i="6"/>
  <c r="S726" i="6"/>
  <c r="AA726" i="6"/>
  <c r="Q727" i="6"/>
  <c r="Y727" i="6"/>
  <c r="S730" i="6"/>
  <c r="AA730" i="6"/>
  <c r="Q731" i="6"/>
  <c r="Y731" i="6"/>
  <c r="S734" i="6"/>
  <c r="AA734" i="6"/>
  <c r="J1117" i="6"/>
  <c r="AT1071" i="6"/>
  <c r="AF1087" i="6"/>
  <c r="AF1095" i="6"/>
  <c r="AF1103" i="6"/>
  <c r="T683" i="6"/>
  <c r="P692" i="6"/>
  <c r="AB692" i="6" s="1"/>
  <c r="X692" i="6"/>
  <c r="P696" i="6"/>
  <c r="X696" i="6"/>
  <c r="P700" i="6"/>
  <c r="X700" i="6"/>
  <c r="P704" i="6"/>
  <c r="X704" i="6"/>
  <c r="R707" i="6"/>
  <c r="Z707" i="6"/>
  <c r="P708" i="6"/>
  <c r="X708" i="6"/>
  <c r="R711" i="6"/>
  <c r="Z711" i="6"/>
  <c r="P712" i="6"/>
  <c r="X712" i="6"/>
  <c r="R715" i="6"/>
  <c r="Z715" i="6"/>
  <c r="P716" i="6"/>
  <c r="X716" i="6"/>
  <c r="T718" i="6"/>
  <c r="R719" i="6"/>
  <c r="Z719" i="6"/>
  <c r="P720" i="6"/>
  <c r="X720" i="6"/>
  <c r="T722" i="6"/>
  <c r="R723" i="6"/>
  <c r="Z723" i="6"/>
  <c r="P724" i="6"/>
  <c r="X724" i="6"/>
  <c r="T726" i="6"/>
  <c r="R727" i="6"/>
  <c r="Z727" i="6"/>
  <c r="P728" i="6"/>
  <c r="X728" i="6"/>
  <c r="T730" i="6"/>
  <c r="R731" i="6"/>
  <c r="Z731" i="6"/>
  <c r="P732" i="6"/>
  <c r="X732" i="6"/>
  <c r="T734" i="6"/>
  <c r="I738" i="6"/>
  <c r="I742" i="6"/>
  <c r="I746" i="6"/>
  <c r="I750" i="6"/>
  <c r="I754" i="6"/>
  <c r="I758" i="6"/>
  <c r="I762" i="6"/>
  <c r="I766" i="6"/>
  <c r="I770" i="6"/>
  <c r="I774" i="6"/>
  <c r="I778" i="6"/>
  <c r="AE1111" i="6"/>
  <c r="AE1203" i="6" s="1"/>
  <c r="AE1249" i="6" s="1"/>
  <c r="AE1295" i="6" s="1"/>
  <c r="AE1157" i="6"/>
  <c r="F1121" i="6"/>
  <c r="Q692" i="6"/>
  <c r="Q696" i="6"/>
  <c r="Q700" i="6"/>
  <c r="Q704" i="6"/>
  <c r="S707" i="6"/>
  <c r="Q708" i="6"/>
  <c r="S711" i="6"/>
  <c r="Q712" i="6"/>
  <c r="S715" i="6"/>
  <c r="Q716" i="6"/>
  <c r="S719" i="6"/>
  <c r="Q720" i="6"/>
  <c r="S723" i="6"/>
  <c r="Q724" i="6"/>
  <c r="S727" i="6"/>
  <c r="Q728" i="6"/>
  <c r="S731" i="6"/>
  <c r="Q732" i="6"/>
  <c r="AO1078" i="6"/>
  <c r="F1122" i="6"/>
  <c r="F1117" i="6"/>
  <c r="B1071" i="6"/>
  <c r="F1120" i="6"/>
  <c r="F1123" i="6"/>
  <c r="J1079" i="6"/>
  <c r="AE1033" i="6"/>
  <c r="AE1079" i="6" s="1"/>
  <c r="B1033" i="6"/>
  <c r="AT1033" i="6"/>
  <c r="B1081" i="6"/>
  <c r="F1127" i="6"/>
  <c r="F1129" i="6"/>
  <c r="F1133" i="6"/>
  <c r="B1088" i="6"/>
  <c r="F1134" i="6"/>
  <c r="F1137" i="6"/>
  <c r="B1091" i="6"/>
  <c r="F1138" i="6"/>
  <c r="B1092" i="6"/>
  <c r="F1140" i="6"/>
  <c r="B1094" i="6"/>
  <c r="F1141" i="6"/>
  <c r="B1095" i="6"/>
  <c r="F1142" i="6"/>
  <c r="B1096" i="6"/>
  <c r="F1143" i="6"/>
  <c r="B1097" i="6"/>
  <c r="F1145" i="6"/>
  <c r="B1099" i="6"/>
  <c r="F1146" i="6"/>
  <c r="B1100" i="6"/>
  <c r="F1148" i="6"/>
  <c r="B1102" i="6"/>
  <c r="F1149" i="6"/>
  <c r="B1103" i="6"/>
  <c r="F1150" i="6"/>
  <c r="B1104" i="6"/>
  <c r="F1151" i="6"/>
  <c r="B1105" i="6"/>
  <c r="F1153" i="6"/>
  <c r="B1107" i="6"/>
  <c r="I1110" i="6"/>
  <c r="AH1064" i="6"/>
  <c r="X1064" i="6"/>
  <c r="P1064" i="6"/>
  <c r="AG1064" i="6"/>
  <c r="W1064" i="6"/>
  <c r="AF1064" i="6"/>
  <c r="V1064" i="6"/>
  <c r="U1064" i="6"/>
  <c r="T1064" i="6"/>
  <c r="AA1064" i="6"/>
  <c r="S1064" i="6"/>
  <c r="J1115" i="6"/>
  <c r="AT1069" i="6"/>
  <c r="I1118" i="6"/>
  <c r="X1072" i="6"/>
  <c r="P1072" i="6"/>
  <c r="W1072" i="6"/>
  <c r="AF1072" i="6"/>
  <c r="V1072" i="6"/>
  <c r="U1072" i="6"/>
  <c r="T1072" i="6"/>
  <c r="AA1072" i="6"/>
  <c r="S1072" i="6"/>
  <c r="I1190" i="6"/>
  <c r="Y1144" i="6"/>
  <c r="X1144" i="6"/>
  <c r="P1144" i="6"/>
  <c r="AF1144" i="6"/>
  <c r="V1144" i="6"/>
  <c r="AA1144" i="6"/>
  <c r="S1144" i="6"/>
  <c r="R1144" i="6"/>
  <c r="Q1144" i="6"/>
  <c r="Z1144" i="6"/>
  <c r="W1144" i="6"/>
  <c r="U1144" i="6"/>
  <c r="F1109" i="6"/>
  <c r="F1111" i="6"/>
  <c r="F1113" i="6"/>
  <c r="B1067" i="6"/>
  <c r="F1115" i="6"/>
  <c r="B1069" i="6"/>
  <c r="B1024" i="6"/>
  <c r="AE1163" i="6"/>
  <c r="AE1117" i="6"/>
  <c r="AE1209" i="6" s="1"/>
  <c r="AE1255" i="6" s="1"/>
  <c r="AE1301" i="6" s="1"/>
  <c r="AE1027" i="6"/>
  <c r="AE1073" i="6" s="1"/>
  <c r="B1027" i="6"/>
  <c r="I1120" i="6"/>
  <c r="AA1074" i="6"/>
  <c r="S1074" i="6"/>
  <c r="Z1074" i="6"/>
  <c r="R1074" i="6"/>
  <c r="U1074" i="6"/>
  <c r="AF1074" i="6"/>
  <c r="T1074" i="6"/>
  <c r="Q1074" i="6"/>
  <c r="P1074" i="6"/>
  <c r="AB1074" i="6" s="1"/>
  <c r="Y1074" i="6"/>
  <c r="X1074" i="6"/>
  <c r="J1078" i="6"/>
  <c r="AE1032" i="6"/>
  <c r="AE1078" i="6" s="1"/>
  <c r="B1032" i="6"/>
  <c r="AT1032" i="6"/>
  <c r="J1081" i="6"/>
  <c r="AE1035" i="6"/>
  <c r="AE1081" i="6" s="1"/>
  <c r="B1035" i="6"/>
  <c r="AT1035" i="6"/>
  <c r="J1083" i="6"/>
  <c r="AE1037" i="6"/>
  <c r="AE1083" i="6" s="1"/>
  <c r="B1037" i="6"/>
  <c r="AT1037" i="6"/>
  <c r="J1085" i="6"/>
  <c r="AE1039" i="6"/>
  <c r="AE1085" i="6" s="1"/>
  <c r="B1039" i="6"/>
  <c r="AT1039" i="6"/>
  <c r="J1087" i="6"/>
  <c r="AE1041" i="6"/>
  <c r="AE1087" i="6" s="1"/>
  <c r="B1041" i="6"/>
  <c r="Z1063" i="6"/>
  <c r="Q1064" i="6"/>
  <c r="Y1066" i="6"/>
  <c r="J1067" i="6"/>
  <c r="I1116" i="6"/>
  <c r="X1070" i="6"/>
  <c r="P1070" i="6"/>
  <c r="W1070" i="6"/>
  <c r="AF1070" i="6"/>
  <c r="V1070" i="6"/>
  <c r="U1070" i="6"/>
  <c r="T1070" i="6"/>
  <c r="AA1070" i="6"/>
  <c r="S1070" i="6"/>
  <c r="Z1071" i="6"/>
  <c r="Q1072" i="6"/>
  <c r="F1125" i="6"/>
  <c r="B1085" i="6"/>
  <c r="F1131" i="6"/>
  <c r="F1147" i="6"/>
  <c r="B1101" i="6"/>
  <c r="AT1017" i="6"/>
  <c r="AE1018" i="6"/>
  <c r="AE1064" i="6" s="1"/>
  <c r="AT1019" i="6"/>
  <c r="AE1020" i="6"/>
  <c r="AE1066" i="6" s="1"/>
  <c r="AT1021" i="6"/>
  <c r="AE1022" i="6"/>
  <c r="AE1068" i="6" s="1"/>
  <c r="F1116" i="6"/>
  <c r="B1070" i="6"/>
  <c r="J1074" i="6"/>
  <c r="B1074" i="6" s="1"/>
  <c r="AE1028" i="6"/>
  <c r="AE1074" i="6" s="1"/>
  <c r="B1028" i="6"/>
  <c r="AO1077" i="6"/>
  <c r="R1064" i="6"/>
  <c r="I1111" i="6"/>
  <c r="X1065" i="6"/>
  <c r="P1065" i="6"/>
  <c r="W1065" i="6"/>
  <c r="AF1065" i="6"/>
  <c r="V1065" i="6"/>
  <c r="U1065" i="6"/>
  <c r="T1065" i="6"/>
  <c r="AA1065" i="6"/>
  <c r="S1065" i="6"/>
  <c r="Z1066" i="6"/>
  <c r="J1070" i="6"/>
  <c r="R1072" i="6"/>
  <c r="I1119" i="6"/>
  <c r="AA1073" i="6"/>
  <c r="S1073" i="6"/>
  <c r="Z1073" i="6"/>
  <c r="R1073" i="6"/>
  <c r="Q1073" i="6"/>
  <c r="P1073" i="6"/>
  <c r="Y1073" i="6"/>
  <c r="X1073" i="6"/>
  <c r="W1073" i="6"/>
  <c r="V1073" i="6"/>
  <c r="F1136" i="6"/>
  <c r="B1090" i="6"/>
  <c r="F1152" i="6"/>
  <c r="B1106" i="6"/>
  <c r="AE1118" i="6"/>
  <c r="AE1210" i="6" s="1"/>
  <c r="AE1256" i="6" s="1"/>
  <c r="AE1302" i="6" s="1"/>
  <c r="J1188" i="6"/>
  <c r="AT1142" i="6"/>
  <c r="B1026" i="6"/>
  <c r="J1075" i="6"/>
  <c r="B1075" i="6" s="1"/>
  <c r="AE1029" i="6"/>
  <c r="AE1075" i="6" s="1"/>
  <c r="B1029" i="6"/>
  <c r="J1077" i="6"/>
  <c r="AE1031" i="6"/>
  <c r="AE1077" i="6" s="1"/>
  <c r="B1031" i="6"/>
  <c r="AT1031" i="6"/>
  <c r="B1084" i="6"/>
  <c r="F1130" i="6"/>
  <c r="F1132" i="6"/>
  <c r="Y1064" i="6"/>
  <c r="J1065" i="6"/>
  <c r="B1065" i="6" s="1"/>
  <c r="I1114" i="6"/>
  <c r="X1068" i="6"/>
  <c r="P1068" i="6"/>
  <c r="W1068" i="6"/>
  <c r="AF1068" i="6"/>
  <c r="V1068" i="6"/>
  <c r="U1068" i="6"/>
  <c r="T1068" i="6"/>
  <c r="AA1068" i="6"/>
  <c r="S1068" i="6"/>
  <c r="Y1072" i="6"/>
  <c r="J1073" i="6"/>
  <c r="B1018" i="6"/>
  <c r="B1020" i="6"/>
  <c r="B1022" i="6"/>
  <c r="AE1024" i="6"/>
  <c r="AE1070" i="6" s="1"/>
  <c r="F1118" i="6"/>
  <c r="B1072" i="6"/>
  <c r="AT1026" i="6"/>
  <c r="J1076" i="6"/>
  <c r="AE1030" i="6"/>
  <c r="AE1076" i="6" s="1"/>
  <c r="B1030" i="6"/>
  <c r="P1080" i="6"/>
  <c r="W1082" i="6"/>
  <c r="I1109" i="6"/>
  <c r="X1063" i="6"/>
  <c r="P1063" i="6"/>
  <c r="AG1063" i="6"/>
  <c r="W1063" i="6"/>
  <c r="AF1063" i="6"/>
  <c r="V1063" i="6"/>
  <c r="U1063" i="6"/>
  <c r="T1063" i="6"/>
  <c r="AA1063" i="6"/>
  <c r="S1063" i="6"/>
  <c r="Z1064" i="6"/>
  <c r="J1068" i="6"/>
  <c r="I1117" i="6"/>
  <c r="X1071" i="6"/>
  <c r="P1071" i="6"/>
  <c r="AG1071" i="6"/>
  <c r="W1071" i="6"/>
  <c r="AF1071" i="6"/>
  <c r="V1071" i="6"/>
  <c r="U1071" i="6"/>
  <c r="T1071" i="6"/>
  <c r="AA1071" i="6"/>
  <c r="S1071" i="6"/>
  <c r="Z1072" i="6"/>
  <c r="B1078" i="6"/>
  <c r="F1124" i="6"/>
  <c r="I1189" i="6"/>
  <c r="X1143" i="6"/>
  <c r="P1143" i="6"/>
  <c r="AF1143" i="6"/>
  <c r="V1143" i="6"/>
  <c r="AA1143" i="6"/>
  <c r="S1143" i="6"/>
  <c r="T1143" i="6"/>
  <c r="AG1143" i="6"/>
  <c r="R1143" i="6"/>
  <c r="Q1143" i="6"/>
  <c r="Z1143" i="6"/>
  <c r="Y1143" i="6"/>
  <c r="W1143" i="6"/>
  <c r="U1143" i="6"/>
  <c r="F1110" i="6"/>
  <c r="B1064" i="6"/>
  <c r="F1112" i="6"/>
  <c r="B1066" i="6"/>
  <c r="F1114" i="6"/>
  <c r="B1068" i="6"/>
  <c r="J1080" i="6"/>
  <c r="AE1034" i="6"/>
  <c r="AE1080" i="6" s="1"/>
  <c r="B1034" i="6"/>
  <c r="AT1034" i="6"/>
  <c r="J1082" i="6"/>
  <c r="AE1036" i="6"/>
  <c r="AE1082" i="6" s="1"/>
  <c r="B1036" i="6"/>
  <c r="AT1036" i="6"/>
  <c r="J1084" i="6"/>
  <c r="AE1038" i="6"/>
  <c r="AE1084" i="6" s="1"/>
  <c r="B1038" i="6"/>
  <c r="AT1038" i="6"/>
  <c r="J1086" i="6"/>
  <c r="AE1040" i="6"/>
  <c r="AE1086" i="6" s="1"/>
  <c r="B1040" i="6"/>
  <c r="AT1040" i="6"/>
  <c r="J1063" i="6"/>
  <c r="I1112" i="6"/>
  <c r="AH1066" i="6"/>
  <c r="X1066" i="6"/>
  <c r="P1066" i="6"/>
  <c r="AG1066" i="6"/>
  <c r="W1066" i="6"/>
  <c r="AF1066" i="6"/>
  <c r="V1066" i="6"/>
  <c r="U1066" i="6"/>
  <c r="T1066" i="6"/>
  <c r="AA1066" i="6"/>
  <c r="S1066" i="6"/>
  <c r="V1074" i="6"/>
  <c r="F1139" i="6"/>
  <c r="B1093" i="6"/>
  <c r="I1180" i="6"/>
  <c r="AA1134" i="6"/>
  <c r="S1134" i="6"/>
  <c r="Z1134" i="6"/>
  <c r="Q1134" i="6"/>
  <c r="Y1134" i="6"/>
  <c r="P1134" i="6"/>
  <c r="X1134" i="6"/>
  <c r="W1134" i="6"/>
  <c r="V1134" i="6"/>
  <c r="AF1134" i="6"/>
  <c r="U1134" i="6"/>
  <c r="T1134" i="6"/>
  <c r="R1134" i="6"/>
  <c r="J1189" i="6"/>
  <c r="AT1143" i="6"/>
  <c r="AT1020" i="6"/>
  <c r="F1119" i="6"/>
  <c r="B1073" i="6"/>
  <c r="AO1079" i="6"/>
  <c r="Q1063" i="6"/>
  <c r="Y1065" i="6"/>
  <c r="R1068" i="6"/>
  <c r="I1115" i="6"/>
  <c r="X1069" i="6"/>
  <c r="P1069" i="6"/>
  <c r="AG1069" i="6"/>
  <c r="W1069" i="6"/>
  <c r="AF1069" i="6"/>
  <c r="V1069" i="6"/>
  <c r="U1069" i="6"/>
  <c r="T1069" i="6"/>
  <c r="AA1069" i="6"/>
  <c r="S1069" i="6"/>
  <c r="Z1070" i="6"/>
  <c r="Q1071" i="6"/>
  <c r="AF1073" i="6"/>
  <c r="W1074" i="6"/>
  <c r="F1126" i="6"/>
  <c r="B1082" i="6"/>
  <c r="F1128" i="6"/>
  <c r="F1144" i="6"/>
  <c r="B1098" i="6"/>
  <c r="I1175" i="6"/>
  <c r="AA1129" i="6"/>
  <c r="S1129" i="6"/>
  <c r="Y1129" i="6"/>
  <c r="P1129" i="6"/>
  <c r="X1129" i="6"/>
  <c r="W1129" i="6"/>
  <c r="AG1129" i="6"/>
  <c r="V1129" i="6"/>
  <c r="AF1129" i="6"/>
  <c r="U1129" i="6"/>
  <c r="T1129" i="6"/>
  <c r="Z1129" i="6"/>
  <c r="R1129" i="6"/>
  <c r="Q1129" i="6"/>
  <c r="AT1134" i="6"/>
  <c r="J1180" i="6"/>
  <c r="B1042" i="6"/>
  <c r="AE1042" i="6"/>
  <c r="AE1088" i="6" s="1"/>
  <c r="B1043" i="6"/>
  <c r="AE1043" i="6"/>
  <c r="AE1089" i="6" s="1"/>
  <c r="AE1044" i="6"/>
  <c r="AE1090" i="6" s="1"/>
  <c r="B1045" i="6"/>
  <c r="AE1045" i="6"/>
  <c r="AE1091" i="6" s="1"/>
  <c r="B1046" i="6"/>
  <c r="AE1046" i="6"/>
  <c r="AE1092" i="6" s="1"/>
  <c r="AE1047" i="6"/>
  <c r="AE1093" i="6" s="1"/>
  <c r="B1048" i="6"/>
  <c r="AE1048" i="6"/>
  <c r="AE1094" i="6" s="1"/>
  <c r="B1049" i="6"/>
  <c r="AE1049" i="6"/>
  <c r="AE1095" i="6" s="1"/>
  <c r="B1050" i="6"/>
  <c r="AE1050" i="6"/>
  <c r="AE1096" i="6" s="1"/>
  <c r="B1051" i="6"/>
  <c r="AE1051" i="6"/>
  <c r="AE1097" i="6" s="1"/>
  <c r="AE1052" i="6"/>
  <c r="AE1098" i="6" s="1"/>
  <c r="B1053" i="6"/>
  <c r="AE1053" i="6"/>
  <c r="AE1099" i="6" s="1"/>
  <c r="B1054" i="6"/>
  <c r="AE1054" i="6"/>
  <c r="AE1100" i="6" s="1"/>
  <c r="AE1055" i="6"/>
  <c r="AE1101" i="6" s="1"/>
  <c r="B1056" i="6"/>
  <c r="AE1056" i="6"/>
  <c r="AE1102" i="6" s="1"/>
  <c r="B1057" i="6"/>
  <c r="AE1057" i="6"/>
  <c r="AE1103" i="6" s="1"/>
  <c r="B1058" i="6"/>
  <c r="AE1058" i="6"/>
  <c r="AE1104" i="6" s="1"/>
  <c r="B1059" i="6"/>
  <c r="AE1059" i="6"/>
  <c r="AE1105" i="6" s="1"/>
  <c r="AE1060" i="6"/>
  <c r="AE1106" i="6" s="1"/>
  <c r="B1061" i="6"/>
  <c r="AE1061" i="6"/>
  <c r="AE1107" i="6" s="1"/>
  <c r="T1075" i="6"/>
  <c r="X1076" i="6"/>
  <c r="P1077" i="6"/>
  <c r="AH1077" i="6"/>
  <c r="AG1078" i="6"/>
  <c r="AG1079" i="6"/>
  <c r="AN1080" i="6"/>
  <c r="W1081" i="6"/>
  <c r="AG1083" i="6"/>
  <c r="V1084" i="6"/>
  <c r="AF1086" i="6"/>
  <c r="W1089" i="6"/>
  <c r="AG1091" i="6"/>
  <c r="V1092" i="6"/>
  <c r="AF1094" i="6"/>
  <c r="W1097" i="6"/>
  <c r="AG1099" i="6"/>
  <c r="V1100" i="6"/>
  <c r="AF1102" i="6"/>
  <c r="W1105" i="6"/>
  <c r="AG1107" i="6"/>
  <c r="J1148" i="6"/>
  <c r="U1075" i="6"/>
  <c r="T1077" i="6"/>
  <c r="AL1077" i="6"/>
  <c r="AH1078" i="6"/>
  <c r="AH1079" i="6"/>
  <c r="AO1080" i="6"/>
  <c r="AF1081" i="6"/>
  <c r="W1084" i="6"/>
  <c r="V1087" i="6"/>
  <c r="AF1089" i="6"/>
  <c r="W1092" i="6"/>
  <c r="V1095" i="6"/>
  <c r="AF1097" i="6"/>
  <c r="W1100" i="6"/>
  <c r="V1103" i="6"/>
  <c r="AF1105" i="6"/>
  <c r="V1075" i="6"/>
  <c r="AF1076" i="6"/>
  <c r="V1077" i="6"/>
  <c r="AN1077" i="6"/>
  <c r="AN1078" i="6"/>
  <c r="AN1079" i="6"/>
  <c r="AG1081" i="6"/>
  <c r="V1082" i="6"/>
  <c r="AF1084" i="6"/>
  <c r="W1087" i="6"/>
  <c r="AG1089" i="6"/>
  <c r="V1090" i="6"/>
  <c r="AF1092" i="6"/>
  <c r="W1095" i="6"/>
  <c r="AG1097" i="6"/>
  <c r="V1098" i="6"/>
  <c r="AF1100" i="6"/>
  <c r="W1103" i="6"/>
  <c r="AG1105" i="6"/>
  <c r="V1106" i="6"/>
  <c r="J1138" i="6"/>
  <c r="W1075" i="6"/>
  <c r="W1077" i="6"/>
  <c r="P1078" i="6"/>
  <c r="P1079" i="6"/>
  <c r="Q1017" i="6"/>
  <c r="Y1017" i="6"/>
  <c r="Q1018" i="6"/>
  <c r="Y1018" i="6"/>
  <c r="Q1019" i="6"/>
  <c r="Y1019" i="6"/>
  <c r="Q1020" i="6"/>
  <c r="Y1020" i="6"/>
  <c r="Q1021" i="6"/>
  <c r="Y1021" i="6"/>
  <c r="Q1022" i="6"/>
  <c r="Y1022" i="6"/>
  <c r="Q1023" i="6"/>
  <c r="Y1023" i="6"/>
  <c r="Q1024" i="6"/>
  <c r="Y1024" i="6"/>
  <c r="Q1025" i="6"/>
  <c r="Y1025" i="6"/>
  <c r="Q1026" i="6"/>
  <c r="Y1026" i="6"/>
  <c r="Q1027" i="6"/>
  <c r="Y1027" i="6"/>
  <c r="Q1028" i="6"/>
  <c r="Y1028" i="6"/>
  <c r="I1121" i="6"/>
  <c r="AA1075" i="6"/>
  <c r="S1075" i="6"/>
  <c r="Z1075" i="6"/>
  <c r="R1075" i="6"/>
  <c r="Y1075" i="6"/>
  <c r="Q1075" i="6"/>
  <c r="Q1029" i="6"/>
  <c r="Y1029" i="6"/>
  <c r="U1076" i="6"/>
  <c r="I1122" i="6"/>
  <c r="AA1076" i="6"/>
  <c r="S1076" i="6"/>
  <c r="Z1076" i="6"/>
  <c r="R1076" i="6"/>
  <c r="Y1076" i="6"/>
  <c r="Q1076" i="6"/>
  <c r="Q1030" i="6"/>
  <c r="Y1030" i="6"/>
  <c r="AM1077" i="6"/>
  <c r="U1077" i="6"/>
  <c r="I1123" i="6"/>
  <c r="AK1077" i="6"/>
  <c r="AA1077" i="6"/>
  <c r="S1077" i="6"/>
  <c r="AJ1077" i="6"/>
  <c r="Z1077" i="6"/>
  <c r="R1077" i="6"/>
  <c r="AQ1077" i="6"/>
  <c r="AI1077" i="6"/>
  <c r="Y1077" i="6"/>
  <c r="Q1077" i="6"/>
  <c r="Q1031" i="6"/>
  <c r="Y1031" i="6"/>
  <c r="AI1031" i="6"/>
  <c r="AQ1031" i="6"/>
  <c r="AM1078" i="6"/>
  <c r="U1078" i="6"/>
  <c r="AL1078" i="6"/>
  <c r="T1078" i="6"/>
  <c r="I1124" i="6"/>
  <c r="AK1078" i="6"/>
  <c r="AA1078" i="6"/>
  <c r="S1078" i="6"/>
  <c r="AJ1078" i="6"/>
  <c r="Z1078" i="6"/>
  <c r="R1078" i="6"/>
  <c r="AQ1078" i="6"/>
  <c r="AI1078" i="6"/>
  <c r="Y1078" i="6"/>
  <c r="Q1078" i="6"/>
  <c r="Q1032" i="6"/>
  <c r="Y1032" i="6"/>
  <c r="AI1032" i="6"/>
  <c r="AQ1032" i="6"/>
  <c r="AM1079" i="6"/>
  <c r="U1079" i="6"/>
  <c r="AL1079" i="6"/>
  <c r="T1079" i="6"/>
  <c r="I1125" i="6"/>
  <c r="AK1079" i="6"/>
  <c r="AA1079" i="6"/>
  <c r="S1079" i="6"/>
  <c r="AJ1079" i="6"/>
  <c r="Z1079" i="6"/>
  <c r="R1079" i="6"/>
  <c r="AQ1079" i="6"/>
  <c r="AI1079" i="6"/>
  <c r="Y1079" i="6"/>
  <c r="Q1079" i="6"/>
  <c r="Q1033" i="6"/>
  <c r="Y1033" i="6"/>
  <c r="AI1033" i="6"/>
  <c r="AQ1033" i="6"/>
  <c r="AM1080" i="6"/>
  <c r="U1080" i="6"/>
  <c r="AL1080" i="6"/>
  <c r="T1080" i="6"/>
  <c r="I1126" i="6"/>
  <c r="AK1080" i="6"/>
  <c r="AA1080" i="6"/>
  <c r="S1080" i="6"/>
  <c r="AJ1080" i="6"/>
  <c r="Z1080" i="6"/>
  <c r="R1080" i="6"/>
  <c r="AQ1080" i="6"/>
  <c r="AI1080" i="6"/>
  <c r="Y1080" i="6"/>
  <c r="Q1080" i="6"/>
  <c r="AP1080" i="6"/>
  <c r="AH1080" i="6"/>
  <c r="X1080" i="6"/>
  <c r="Q1034" i="6"/>
  <c r="Y1034" i="6"/>
  <c r="AI1034" i="6"/>
  <c r="AQ1034" i="6"/>
  <c r="U1081" i="6"/>
  <c r="T1081" i="6"/>
  <c r="I1127" i="6"/>
  <c r="AA1081" i="6"/>
  <c r="S1081" i="6"/>
  <c r="Z1081" i="6"/>
  <c r="R1081" i="6"/>
  <c r="Y1081" i="6"/>
  <c r="Q1081" i="6"/>
  <c r="X1081" i="6"/>
  <c r="P1081" i="6"/>
  <c r="Q1035" i="6"/>
  <c r="Y1035" i="6"/>
  <c r="U1082" i="6"/>
  <c r="T1082" i="6"/>
  <c r="I1128" i="6"/>
  <c r="AA1082" i="6"/>
  <c r="S1082" i="6"/>
  <c r="Z1082" i="6"/>
  <c r="R1082" i="6"/>
  <c r="Y1082" i="6"/>
  <c r="Q1082" i="6"/>
  <c r="X1082" i="6"/>
  <c r="P1082" i="6"/>
  <c r="Q1036" i="6"/>
  <c r="Y1036" i="6"/>
  <c r="U1083" i="6"/>
  <c r="T1083" i="6"/>
  <c r="AA1083" i="6"/>
  <c r="S1083" i="6"/>
  <c r="Z1083" i="6"/>
  <c r="R1083" i="6"/>
  <c r="Y1083" i="6"/>
  <c r="Q1083" i="6"/>
  <c r="X1083" i="6"/>
  <c r="P1083" i="6"/>
  <c r="Q1037" i="6"/>
  <c r="Y1037" i="6"/>
  <c r="U1084" i="6"/>
  <c r="T1084" i="6"/>
  <c r="AA1084" i="6"/>
  <c r="S1084" i="6"/>
  <c r="I1130" i="6"/>
  <c r="Z1084" i="6"/>
  <c r="R1084" i="6"/>
  <c r="Y1084" i="6"/>
  <c r="Q1084" i="6"/>
  <c r="X1084" i="6"/>
  <c r="P1084" i="6"/>
  <c r="Q1038" i="6"/>
  <c r="Y1038" i="6"/>
  <c r="I1131" i="6"/>
  <c r="U1085" i="6"/>
  <c r="T1085" i="6"/>
  <c r="AA1085" i="6"/>
  <c r="S1085" i="6"/>
  <c r="Z1085" i="6"/>
  <c r="R1085" i="6"/>
  <c r="Y1085" i="6"/>
  <c r="Q1085" i="6"/>
  <c r="X1085" i="6"/>
  <c r="P1085" i="6"/>
  <c r="Q1039" i="6"/>
  <c r="Y1039" i="6"/>
  <c r="U1086" i="6"/>
  <c r="T1086" i="6"/>
  <c r="AA1086" i="6"/>
  <c r="S1086" i="6"/>
  <c r="Z1086" i="6"/>
  <c r="R1086" i="6"/>
  <c r="Y1086" i="6"/>
  <c r="Q1086" i="6"/>
  <c r="I1132" i="6"/>
  <c r="X1086" i="6"/>
  <c r="P1086" i="6"/>
  <c r="Q1040" i="6"/>
  <c r="Y1040" i="6"/>
  <c r="U1087" i="6"/>
  <c r="T1087" i="6"/>
  <c r="I1133" i="6"/>
  <c r="AA1087" i="6"/>
  <c r="S1087" i="6"/>
  <c r="Z1087" i="6"/>
  <c r="R1087" i="6"/>
  <c r="Y1087" i="6"/>
  <c r="Q1087" i="6"/>
  <c r="X1087" i="6"/>
  <c r="P1087" i="6"/>
  <c r="Q1041" i="6"/>
  <c r="Y1041" i="6"/>
  <c r="U1088" i="6"/>
  <c r="T1088" i="6"/>
  <c r="AA1088" i="6"/>
  <c r="S1088" i="6"/>
  <c r="Z1088" i="6"/>
  <c r="R1088" i="6"/>
  <c r="Y1088" i="6"/>
  <c r="Q1088" i="6"/>
  <c r="X1088" i="6"/>
  <c r="P1088" i="6"/>
  <c r="Q1042" i="6"/>
  <c r="Y1042" i="6"/>
  <c r="U1089" i="6"/>
  <c r="T1089" i="6"/>
  <c r="AA1089" i="6"/>
  <c r="S1089" i="6"/>
  <c r="Z1089" i="6"/>
  <c r="R1089" i="6"/>
  <c r="I1135" i="6"/>
  <c r="Y1089" i="6"/>
  <c r="Q1089" i="6"/>
  <c r="X1089" i="6"/>
  <c r="P1089" i="6"/>
  <c r="Q1043" i="6"/>
  <c r="Y1043" i="6"/>
  <c r="U1090" i="6"/>
  <c r="T1090" i="6"/>
  <c r="AA1090" i="6"/>
  <c r="S1090" i="6"/>
  <c r="Z1090" i="6"/>
  <c r="R1090" i="6"/>
  <c r="I1136" i="6"/>
  <c r="Y1090" i="6"/>
  <c r="Q1090" i="6"/>
  <c r="X1090" i="6"/>
  <c r="P1090" i="6"/>
  <c r="AB1090" i="6" s="1"/>
  <c r="Q1044" i="6"/>
  <c r="Y1044" i="6"/>
  <c r="U1091" i="6"/>
  <c r="T1091" i="6"/>
  <c r="AA1091" i="6"/>
  <c r="S1091" i="6"/>
  <c r="Z1091" i="6"/>
  <c r="R1091" i="6"/>
  <c r="Y1091" i="6"/>
  <c r="Q1091" i="6"/>
  <c r="X1091" i="6"/>
  <c r="P1091" i="6"/>
  <c r="Q1045" i="6"/>
  <c r="Y1045" i="6"/>
  <c r="I1138" i="6"/>
  <c r="U1092" i="6"/>
  <c r="T1092" i="6"/>
  <c r="AA1092" i="6"/>
  <c r="S1092" i="6"/>
  <c r="Z1092" i="6"/>
  <c r="R1092" i="6"/>
  <c r="Y1092" i="6"/>
  <c r="Q1092" i="6"/>
  <c r="X1092" i="6"/>
  <c r="P1092" i="6"/>
  <c r="Q1046" i="6"/>
  <c r="Y1046" i="6"/>
  <c r="U1093" i="6"/>
  <c r="T1093" i="6"/>
  <c r="AA1093" i="6"/>
  <c r="S1093" i="6"/>
  <c r="I1139" i="6"/>
  <c r="Z1093" i="6"/>
  <c r="R1093" i="6"/>
  <c r="Y1093" i="6"/>
  <c r="Q1093" i="6"/>
  <c r="X1093" i="6"/>
  <c r="P1093" i="6"/>
  <c r="Q1047" i="6"/>
  <c r="Y1047" i="6"/>
  <c r="U1094" i="6"/>
  <c r="T1094" i="6"/>
  <c r="I1140" i="6"/>
  <c r="AA1094" i="6"/>
  <c r="S1094" i="6"/>
  <c r="Z1094" i="6"/>
  <c r="R1094" i="6"/>
  <c r="Y1094" i="6"/>
  <c r="Q1094" i="6"/>
  <c r="X1094" i="6"/>
  <c r="P1094" i="6"/>
  <c r="Q1048" i="6"/>
  <c r="Y1048" i="6"/>
  <c r="U1095" i="6"/>
  <c r="I1141" i="6"/>
  <c r="T1095" i="6"/>
  <c r="AA1095" i="6"/>
  <c r="S1095" i="6"/>
  <c r="Z1095" i="6"/>
  <c r="R1095" i="6"/>
  <c r="Y1095" i="6"/>
  <c r="Q1095" i="6"/>
  <c r="X1095" i="6"/>
  <c r="P1095" i="6"/>
  <c r="Q1049" i="6"/>
  <c r="Y1049" i="6"/>
  <c r="I1142" i="6"/>
  <c r="U1096" i="6"/>
  <c r="T1096" i="6"/>
  <c r="AA1096" i="6"/>
  <c r="S1096" i="6"/>
  <c r="Z1096" i="6"/>
  <c r="R1096" i="6"/>
  <c r="Y1096" i="6"/>
  <c r="Q1096" i="6"/>
  <c r="X1096" i="6"/>
  <c r="P1096" i="6"/>
  <c r="Q1050" i="6"/>
  <c r="Y1050" i="6"/>
  <c r="U1097" i="6"/>
  <c r="T1097" i="6"/>
  <c r="AA1097" i="6"/>
  <c r="S1097" i="6"/>
  <c r="Z1097" i="6"/>
  <c r="R1097" i="6"/>
  <c r="Y1097" i="6"/>
  <c r="Q1097" i="6"/>
  <c r="X1097" i="6"/>
  <c r="P1097" i="6"/>
  <c r="Q1051" i="6"/>
  <c r="Y1051" i="6"/>
  <c r="U1098" i="6"/>
  <c r="T1098" i="6"/>
  <c r="AA1098" i="6"/>
  <c r="S1098" i="6"/>
  <c r="Z1098" i="6"/>
  <c r="R1098" i="6"/>
  <c r="Y1098" i="6"/>
  <c r="Q1098" i="6"/>
  <c r="X1098" i="6"/>
  <c r="P1098" i="6"/>
  <c r="Q1052" i="6"/>
  <c r="Y1052" i="6"/>
  <c r="I1145" i="6"/>
  <c r="U1099" i="6"/>
  <c r="T1099" i="6"/>
  <c r="AA1099" i="6"/>
  <c r="S1099" i="6"/>
  <c r="Z1099" i="6"/>
  <c r="R1099" i="6"/>
  <c r="Y1099" i="6"/>
  <c r="Q1099" i="6"/>
  <c r="X1099" i="6"/>
  <c r="P1099" i="6"/>
  <c r="Q1053" i="6"/>
  <c r="Y1053" i="6"/>
  <c r="I1146" i="6"/>
  <c r="U1100" i="6"/>
  <c r="T1100" i="6"/>
  <c r="AA1100" i="6"/>
  <c r="S1100" i="6"/>
  <c r="Z1100" i="6"/>
  <c r="R1100" i="6"/>
  <c r="Y1100" i="6"/>
  <c r="Q1100" i="6"/>
  <c r="X1100" i="6"/>
  <c r="P1100" i="6"/>
  <c r="Q1054" i="6"/>
  <c r="Y1054" i="6"/>
  <c r="I1147" i="6"/>
  <c r="U1101" i="6"/>
  <c r="T1101" i="6"/>
  <c r="AA1101" i="6"/>
  <c r="S1101" i="6"/>
  <c r="Z1101" i="6"/>
  <c r="R1101" i="6"/>
  <c r="Y1101" i="6"/>
  <c r="Q1101" i="6"/>
  <c r="X1101" i="6"/>
  <c r="P1101" i="6"/>
  <c r="Q1055" i="6"/>
  <c r="Y1055" i="6"/>
  <c r="I1148" i="6"/>
  <c r="U1102" i="6"/>
  <c r="T1102" i="6"/>
  <c r="AA1102" i="6"/>
  <c r="S1102" i="6"/>
  <c r="Z1102" i="6"/>
  <c r="R1102" i="6"/>
  <c r="Y1102" i="6"/>
  <c r="Q1102" i="6"/>
  <c r="X1102" i="6"/>
  <c r="P1102" i="6"/>
  <c r="Q1056" i="6"/>
  <c r="Y1056" i="6"/>
  <c r="I1149" i="6"/>
  <c r="U1103" i="6"/>
  <c r="T1103" i="6"/>
  <c r="AA1103" i="6"/>
  <c r="S1103" i="6"/>
  <c r="Z1103" i="6"/>
  <c r="R1103" i="6"/>
  <c r="Y1103" i="6"/>
  <c r="Q1103" i="6"/>
  <c r="X1103" i="6"/>
  <c r="P1103" i="6"/>
  <c r="AB1103" i="6" s="1"/>
  <c r="Q1057" i="6"/>
  <c r="Y1057" i="6"/>
  <c r="I1150" i="6"/>
  <c r="U1104" i="6"/>
  <c r="T1104" i="6"/>
  <c r="AA1104" i="6"/>
  <c r="S1104" i="6"/>
  <c r="Z1104" i="6"/>
  <c r="R1104" i="6"/>
  <c r="Y1104" i="6"/>
  <c r="Q1104" i="6"/>
  <c r="X1104" i="6"/>
  <c r="P1104" i="6"/>
  <c r="Q1058" i="6"/>
  <c r="Y1058" i="6"/>
  <c r="I1151" i="6"/>
  <c r="U1105" i="6"/>
  <c r="T1105" i="6"/>
  <c r="AA1105" i="6"/>
  <c r="S1105" i="6"/>
  <c r="Z1105" i="6"/>
  <c r="R1105" i="6"/>
  <c r="Y1105" i="6"/>
  <c r="Q1105" i="6"/>
  <c r="X1105" i="6"/>
  <c r="P1105" i="6"/>
  <c r="Q1059" i="6"/>
  <c r="Y1059" i="6"/>
  <c r="I1152" i="6"/>
  <c r="U1106" i="6"/>
  <c r="T1106" i="6"/>
  <c r="AA1106" i="6"/>
  <c r="S1106" i="6"/>
  <c r="Z1106" i="6"/>
  <c r="R1106" i="6"/>
  <c r="Y1106" i="6"/>
  <c r="Q1106" i="6"/>
  <c r="X1106" i="6"/>
  <c r="P1106" i="6"/>
  <c r="Q1060" i="6"/>
  <c r="Y1060" i="6"/>
  <c r="I1153" i="6"/>
  <c r="U1107" i="6"/>
  <c r="T1107" i="6"/>
  <c r="AA1107" i="6"/>
  <c r="S1107" i="6"/>
  <c r="Z1107" i="6"/>
  <c r="R1107" i="6"/>
  <c r="Y1107" i="6"/>
  <c r="Q1107" i="6"/>
  <c r="AH1107" i="6"/>
  <c r="X1107" i="6"/>
  <c r="P1107" i="6"/>
  <c r="Q1061" i="6"/>
  <c r="Y1061" i="6"/>
  <c r="X1075" i="6"/>
  <c r="P1076" i="6"/>
  <c r="X1077" i="6"/>
  <c r="AP1077" i="6"/>
  <c r="V1078" i="6"/>
  <c r="AP1078" i="6"/>
  <c r="V1079" i="6"/>
  <c r="AP1079" i="6"/>
  <c r="V1080" i="6"/>
  <c r="AF1082" i="6"/>
  <c r="W1085" i="6"/>
  <c r="AG1087" i="6"/>
  <c r="V1088" i="6"/>
  <c r="AF1090" i="6"/>
  <c r="W1093" i="6"/>
  <c r="AG1095" i="6"/>
  <c r="V1096" i="6"/>
  <c r="AF1098" i="6"/>
  <c r="W1101" i="6"/>
  <c r="AG1103" i="6"/>
  <c r="V1104" i="6"/>
  <c r="AF1106" i="6"/>
  <c r="J1149" i="6"/>
  <c r="AT1089" i="6"/>
  <c r="J1135" i="6"/>
  <c r="AT1090" i="6"/>
  <c r="J1136" i="6"/>
  <c r="AT1091" i="6"/>
  <c r="J1137" i="6"/>
  <c r="J1139" i="6"/>
  <c r="AT1093" i="6"/>
  <c r="J1140" i="6"/>
  <c r="AT1094" i="6"/>
  <c r="J1141" i="6"/>
  <c r="AT1095" i="6"/>
  <c r="AT1098" i="6"/>
  <c r="J1144" i="6"/>
  <c r="AT1099" i="6"/>
  <c r="J1145" i="6"/>
  <c r="AT1100" i="6"/>
  <c r="J1146" i="6"/>
  <c r="AT1101" i="6"/>
  <c r="J1147" i="6"/>
  <c r="J1150" i="6"/>
  <c r="AT1104" i="6"/>
  <c r="J1151" i="6"/>
  <c r="AT1105" i="6"/>
  <c r="J1152" i="6"/>
  <c r="AT1106" i="6"/>
  <c r="AT1107" i="6"/>
  <c r="J1153" i="6"/>
  <c r="T1076" i="6"/>
  <c r="W1078" i="6"/>
  <c r="W1079" i="6"/>
  <c r="W1080" i="6"/>
  <c r="V1083" i="6"/>
  <c r="AF1085" i="6"/>
  <c r="W1088" i="6"/>
  <c r="V1091" i="6"/>
  <c r="AF1093" i="6"/>
  <c r="W1096" i="6"/>
  <c r="V1099" i="6"/>
  <c r="AF1101" i="6"/>
  <c r="W1104" i="6"/>
  <c r="V1107" i="6"/>
  <c r="S1369" i="6"/>
  <c r="S1356" i="6"/>
  <c r="S1368" i="6"/>
  <c r="S1370" i="6" s="1"/>
  <c r="AA1369" i="6"/>
  <c r="AA1356" i="6"/>
  <c r="AA1368" i="6"/>
  <c r="H1669" i="6"/>
  <c r="H1715" i="6" s="1"/>
  <c r="H1761" i="6" s="1"/>
  <c r="H1477" i="6"/>
  <c r="AB1355" i="6"/>
  <c r="B1486" i="6"/>
  <c r="Z1711" i="6"/>
  <c r="V1710" i="6"/>
  <c r="Q1708" i="6"/>
  <c r="AA1707" i="6"/>
  <c r="P1707" i="6"/>
  <c r="X1706" i="6"/>
  <c r="R1704" i="6"/>
  <c r="W1703" i="6"/>
  <c r="U1702" i="6"/>
  <c r="W1699" i="6"/>
  <c r="U1698" i="6"/>
  <c r="W1695" i="6"/>
  <c r="U1694" i="6"/>
  <c r="W1691" i="6"/>
  <c r="U1690" i="6"/>
  <c r="W1687" i="6"/>
  <c r="U1686" i="6"/>
  <c r="W1683" i="6"/>
  <c r="U1682" i="6"/>
  <c r="X1711" i="6"/>
  <c r="Z1708" i="6"/>
  <c r="P1708" i="6"/>
  <c r="Q1704" i="6"/>
  <c r="V1703" i="6"/>
  <c r="V1699" i="6"/>
  <c r="V1695" i="6"/>
  <c r="V1691" i="6"/>
  <c r="V1687" i="6"/>
  <c r="V1683" i="6"/>
  <c r="V1679" i="6"/>
  <c r="V1675" i="6"/>
  <c r="V1671" i="6"/>
  <c r="W1711" i="6"/>
  <c r="Y1708" i="6"/>
  <c r="X1707" i="6"/>
  <c r="U1706" i="6"/>
  <c r="Z1704" i="6"/>
  <c r="P1704" i="6"/>
  <c r="U1703" i="6"/>
  <c r="U1699" i="6"/>
  <c r="U1695" i="6"/>
  <c r="U1691" i="6"/>
  <c r="U1687" i="6"/>
  <c r="U1683" i="6"/>
  <c r="U1679" i="6"/>
  <c r="U1675" i="6"/>
  <c r="V1711" i="6"/>
  <c r="X1708" i="6"/>
  <c r="Y1704" i="6"/>
  <c r="T1703" i="6"/>
  <c r="T1699" i="6"/>
  <c r="T1695" i="6"/>
  <c r="T1691" i="6"/>
  <c r="T1687" i="6"/>
  <c r="T1683" i="6"/>
  <c r="T1679" i="6"/>
  <c r="Z1678" i="6"/>
  <c r="R1678" i="6"/>
  <c r="W1708" i="6"/>
  <c r="X1704" i="6"/>
  <c r="S1711" i="6"/>
  <c r="U1708" i="6"/>
  <c r="W1704" i="6"/>
  <c r="Z1703" i="6"/>
  <c r="R1703" i="6"/>
  <c r="Z1699" i="6"/>
  <c r="R1699" i="6"/>
  <c r="Z1695" i="6"/>
  <c r="R1695" i="6"/>
  <c r="X1694" i="6"/>
  <c r="P1694" i="6"/>
  <c r="V1693" i="6"/>
  <c r="Z1691" i="6"/>
  <c r="R1691" i="6"/>
  <c r="X1690" i="6"/>
  <c r="P1690" i="6"/>
  <c r="V1689" i="6"/>
  <c r="R1711" i="6"/>
  <c r="T1708" i="6"/>
  <c r="S1707" i="6"/>
  <c r="AA1706" i="6"/>
  <c r="P1706" i="6"/>
  <c r="U1704" i="6"/>
  <c r="Y1703" i="6"/>
  <c r="Q1703" i="6"/>
  <c r="W1702" i="6"/>
  <c r="U1701" i="6"/>
  <c r="Y1699" i="6"/>
  <c r="Q1699" i="6"/>
  <c r="W1698" i="6"/>
  <c r="U1697" i="6"/>
  <c r="Y1695" i="6"/>
  <c r="Q1695" i="6"/>
  <c r="W1694" i="6"/>
  <c r="U1693" i="6"/>
  <c r="Y1691" i="6"/>
  <c r="Q1691" i="6"/>
  <c r="R1735" i="6"/>
  <c r="Y1731" i="6"/>
  <c r="T1709" i="6"/>
  <c r="Y1706" i="6"/>
  <c r="P1703" i="6"/>
  <c r="X1699" i="6"/>
  <c r="T1697" i="6"/>
  <c r="V1690" i="6"/>
  <c r="X1687" i="6"/>
  <c r="P1686" i="6"/>
  <c r="U1685" i="6"/>
  <c r="T1681" i="6"/>
  <c r="S1677" i="6"/>
  <c r="X1675" i="6"/>
  <c r="R1674" i="6"/>
  <c r="Z1671" i="6"/>
  <c r="P1671" i="6"/>
  <c r="AB1671" i="6" s="1"/>
  <c r="Z1670" i="6"/>
  <c r="X1738" i="6"/>
  <c r="P1699" i="6"/>
  <c r="X1695" i="6"/>
  <c r="T1693" i="6"/>
  <c r="X1691" i="6"/>
  <c r="R1687" i="6"/>
  <c r="T1685" i="6"/>
  <c r="X1682" i="6"/>
  <c r="AA1680" i="6"/>
  <c r="Z1679" i="6"/>
  <c r="W1675" i="6"/>
  <c r="P1674" i="6"/>
  <c r="Y1671" i="6"/>
  <c r="AA1711" i="6"/>
  <c r="R1708" i="6"/>
  <c r="V1705" i="6"/>
  <c r="Z1700" i="6"/>
  <c r="P1695" i="6"/>
  <c r="P1691" i="6"/>
  <c r="AA1688" i="6"/>
  <c r="Q1687" i="6"/>
  <c r="Z1683" i="6"/>
  <c r="W1682" i="6"/>
  <c r="Z1680" i="6"/>
  <c r="Y1679" i="6"/>
  <c r="T1675" i="6"/>
  <c r="X1671" i="6"/>
  <c r="W1670" i="6"/>
  <c r="X1742" i="6"/>
  <c r="P1711" i="6"/>
  <c r="R1700" i="6"/>
  <c r="Z1696" i="6"/>
  <c r="P1687" i="6"/>
  <c r="Y1683" i="6"/>
  <c r="V1682" i="6"/>
  <c r="Y1680" i="6"/>
  <c r="X1679" i="6"/>
  <c r="X1678" i="6"/>
  <c r="R1675" i="6"/>
  <c r="Z1674" i="6"/>
  <c r="W1671" i="6"/>
  <c r="V1670" i="6"/>
  <c r="P1567" i="6"/>
  <c r="T1704" i="6"/>
  <c r="V1702" i="6"/>
  <c r="R1696" i="6"/>
  <c r="Z1692" i="6"/>
  <c r="X1683" i="6"/>
  <c r="P1682" i="6"/>
  <c r="W1679" i="6"/>
  <c r="W1678" i="6"/>
  <c r="Q1675" i="6"/>
  <c r="X1674" i="6"/>
  <c r="U1671" i="6"/>
  <c r="V1717" i="6"/>
  <c r="V1698" i="6"/>
  <c r="R1692" i="6"/>
  <c r="U1689" i="6"/>
  <c r="S1688" i="6"/>
  <c r="X1686" i="6"/>
  <c r="R1683" i="6"/>
  <c r="S1680" i="6"/>
  <c r="R1679" i="6"/>
  <c r="V1678" i="6"/>
  <c r="P1675" i="6"/>
  <c r="W1674" i="6"/>
  <c r="T1671" i="6"/>
  <c r="S1670" i="6"/>
  <c r="V1568" i="6"/>
  <c r="V1745" i="6"/>
  <c r="X1710" i="6"/>
  <c r="V1694" i="6"/>
  <c r="T1689" i="6"/>
  <c r="R1688" i="6"/>
  <c r="Z1687" i="6"/>
  <c r="W1686" i="6"/>
  <c r="Q1683" i="6"/>
  <c r="R1680" i="6"/>
  <c r="Q1679" i="6"/>
  <c r="U1678" i="6"/>
  <c r="Z1675" i="6"/>
  <c r="V1674" i="6"/>
  <c r="R1671" i="6"/>
  <c r="R1670" i="6"/>
  <c r="R1707" i="6"/>
  <c r="X1703" i="6"/>
  <c r="P1679" i="6"/>
  <c r="AB1679" i="6" s="1"/>
  <c r="U1568" i="6"/>
  <c r="V1566" i="6"/>
  <c r="T1565" i="6"/>
  <c r="V1562" i="6"/>
  <c r="U1561" i="6"/>
  <c r="Y1560" i="6"/>
  <c r="V1558" i="6"/>
  <c r="AA1557" i="6"/>
  <c r="Q1557" i="6"/>
  <c r="X1556" i="6"/>
  <c r="U1555" i="6"/>
  <c r="Z1553" i="6"/>
  <c r="Q1553" i="6"/>
  <c r="X1552" i="6"/>
  <c r="U1551" i="6"/>
  <c r="Z1549" i="6"/>
  <c r="Q1549" i="6"/>
  <c r="X1548" i="6"/>
  <c r="U1547" i="6"/>
  <c r="Z1545" i="6"/>
  <c r="Q1545" i="6"/>
  <c r="X1544" i="6"/>
  <c r="U1543" i="6"/>
  <c r="Z1541" i="6"/>
  <c r="Q1541" i="6"/>
  <c r="X1540" i="6"/>
  <c r="U1539" i="6"/>
  <c r="Z1537" i="6"/>
  <c r="Q1537" i="6"/>
  <c r="X1536" i="6"/>
  <c r="U1535" i="6"/>
  <c r="Z1533" i="6"/>
  <c r="Q1533" i="6"/>
  <c r="X1532" i="6"/>
  <c r="V1531" i="6"/>
  <c r="V1686" i="6"/>
  <c r="T1568" i="6"/>
  <c r="U1566" i="6"/>
  <c r="P1565" i="6"/>
  <c r="X1563" i="6"/>
  <c r="U1562" i="6"/>
  <c r="X1560" i="6"/>
  <c r="Y1557" i="6"/>
  <c r="P1557" i="6"/>
  <c r="V1556" i="6"/>
  <c r="Y1553" i="6"/>
  <c r="P1553" i="6"/>
  <c r="V1552" i="6"/>
  <c r="Y1549" i="6"/>
  <c r="P1549" i="6"/>
  <c r="V1548" i="6"/>
  <c r="Y1545" i="6"/>
  <c r="P1545" i="6"/>
  <c r="V1544" i="6"/>
  <c r="Y1541" i="6"/>
  <c r="P1541" i="6"/>
  <c r="V1540" i="6"/>
  <c r="Y1537" i="6"/>
  <c r="P1537" i="6"/>
  <c r="V1536" i="6"/>
  <c r="Y1533" i="6"/>
  <c r="P1533" i="6"/>
  <c r="V1532" i="6"/>
  <c r="Z1739" i="6"/>
  <c r="T1701" i="6"/>
  <c r="V1685" i="6"/>
  <c r="AA1684" i="6"/>
  <c r="AA1670" i="6"/>
  <c r="T1566" i="6"/>
  <c r="V1563" i="6"/>
  <c r="T1562" i="6"/>
  <c r="S1561" i="6"/>
  <c r="V1560" i="6"/>
  <c r="X1557" i="6"/>
  <c r="U1556" i="6"/>
  <c r="X1553" i="6"/>
  <c r="U1552" i="6"/>
  <c r="X1549" i="6"/>
  <c r="U1548" i="6"/>
  <c r="X1545" i="6"/>
  <c r="U1544" i="6"/>
  <c r="X1541" i="6"/>
  <c r="U1540" i="6"/>
  <c r="X1537" i="6"/>
  <c r="U1536" i="6"/>
  <c r="X1533" i="6"/>
  <c r="U1532" i="6"/>
  <c r="P1683" i="6"/>
  <c r="P1678" i="6"/>
  <c r="AB1678" i="6" s="1"/>
  <c r="U1674" i="6"/>
  <c r="P1670" i="6"/>
  <c r="V1567" i="6"/>
  <c r="P1566" i="6"/>
  <c r="X1564" i="6"/>
  <c r="U1563" i="6"/>
  <c r="P1562" i="6"/>
  <c r="Q1561" i="6"/>
  <c r="U1560" i="6"/>
  <c r="V1557" i="6"/>
  <c r="T1556" i="6"/>
  <c r="V1553" i="6"/>
  <c r="T1552" i="6"/>
  <c r="V1549" i="6"/>
  <c r="T1548" i="6"/>
  <c r="V1545" i="6"/>
  <c r="T1544" i="6"/>
  <c r="AA1543" i="6"/>
  <c r="R1543" i="6"/>
  <c r="V1541" i="6"/>
  <c r="T1540" i="6"/>
  <c r="AA1539" i="6"/>
  <c r="R1539" i="6"/>
  <c r="V1537" i="6"/>
  <c r="T1536" i="6"/>
  <c r="AA1535" i="6"/>
  <c r="R1535" i="6"/>
  <c r="V1533" i="6"/>
  <c r="T1532" i="6"/>
  <c r="W1690" i="6"/>
  <c r="U1567" i="6"/>
  <c r="V1564" i="6"/>
  <c r="T1563" i="6"/>
  <c r="U1533" i="6"/>
  <c r="T1677" i="6"/>
  <c r="V1673" i="6"/>
  <c r="T1567" i="6"/>
  <c r="X1565" i="6"/>
  <c r="U1564" i="6"/>
  <c r="P1563" i="6"/>
  <c r="AB1563" i="6" s="1"/>
  <c r="T1537" i="6"/>
  <c r="AA1536" i="6"/>
  <c r="R1536" i="6"/>
  <c r="T1533" i="6"/>
  <c r="AA1532" i="6"/>
  <c r="R1532" i="6"/>
  <c r="Y1687" i="6"/>
  <c r="U1681" i="6"/>
  <c r="T1676" i="6"/>
  <c r="Q1671" i="6"/>
  <c r="V1565" i="6"/>
  <c r="T1564" i="6"/>
  <c r="P1556" i="6"/>
  <c r="V1555" i="6"/>
  <c r="T1554" i="6"/>
  <c r="AA1553" i="6"/>
  <c r="P1548" i="6"/>
  <c r="V1547" i="6"/>
  <c r="T1546" i="6"/>
  <c r="AA1545" i="6"/>
  <c r="P1540" i="6"/>
  <c r="V1539" i="6"/>
  <c r="T1538" i="6"/>
  <c r="AA1537" i="6"/>
  <c r="P1532" i="6"/>
  <c r="W1531" i="6"/>
  <c r="V1529" i="6"/>
  <c r="X1562" i="6"/>
  <c r="V1561" i="6"/>
  <c r="AA1560" i="6"/>
  <c r="R1553" i="6"/>
  <c r="R1545" i="6"/>
  <c r="R1537" i="6"/>
  <c r="S1529" i="6"/>
  <c r="X1566" i="6"/>
  <c r="U1565" i="6"/>
  <c r="P1564" i="6"/>
  <c r="P1560" i="6"/>
  <c r="W1530" i="6"/>
  <c r="Y1552" i="6"/>
  <c r="Y1544" i="6"/>
  <c r="Y1536" i="6"/>
  <c r="V1530" i="6"/>
  <c r="Q1680" i="6"/>
  <c r="Y1675" i="6"/>
  <c r="X1558" i="6"/>
  <c r="P1552" i="6"/>
  <c r="V1551" i="6"/>
  <c r="T1550" i="6"/>
  <c r="AA1549" i="6"/>
  <c r="P1544" i="6"/>
  <c r="V1543" i="6"/>
  <c r="T1542" i="6"/>
  <c r="AA1541" i="6"/>
  <c r="P1536" i="6"/>
  <c r="V1535" i="6"/>
  <c r="T1534" i="6"/>
  <c r="AA1533" i="6"/>
  <c r="V1527" i="6"/>
  <c r="R1557" i="6"/>
  <c r="R1549" i="6"/>
  <c r="R1541" i="6"/>
  <c r="R1533" i="6"/>
  <c r="S1527" i="6"/>
  <c r="W1525" i="6"/>
  <c r="Y1548" i="6"/>
  <c r="Y1532" i="6"/>
  <c r="Y1556" i="6"/>
  <c r="Y1540" i="6"/>
  <c r="W1529" i="6"/>
  <c r="S1525" i="6"/>
  <c r="AP1429" i="6"/>
  <c r="AP1668" i="6" s="1"/>
  <c r="BF1429" i="6"/>
  <c r="AQ1429" i="6" s="1"/>
  <c r="AF1689" i="6"/>
  <c r="Q1376" i="6"/>
  <c r="Q1377" i="6"/>
  <c r="Q1374" i="6"/>
  <c r="Q1378" i="6" s="1"/>
  <c r="Q1375" i="6"/>
  <c r="AF1681" i="6"/>
  <c r="AP1509" i="6"/>
  <c r="AH1509" i="6"/>
  <c r="AO1509" i="6"/>
  <c r="AG1509" i="6"/>
  <c r="AN1509" i="6"/>
  <c r="AF1509" i="6"/>
  <c r="AJ1509" i="6"/>
  <c r="AI1509" i="6"/>
  <c r="AQ1509" i="6"/>
  <c r="AM1509" i="6"/>
  <c r="AL1509" i="6"/>
  <c r="AK1509" i="6"/>
  <c r="V1375" i="6"/>
  <c r="V1377" i="6"/>
  <c r="V1376" i="6"/>
  <c r="V1374" i="6"/>
  <c r="V1378" i="6" s="1"/>
  <c r="AH1711" i="6"/>
  <c r="P1429" i="6"/>
  <c r="P1430" i="6"/>
  <c r="P1368" i="6"/>
  <c r="P1370" i="6" s="1"/>
  <c r="X1429" i="6"/>
  <c r="AN1429" i="6" s="1"/>
  <c r="X1430" i="6"/>
  <c r="AR1390" i="6"/>
  <c r="AR1398" i="6"/>
  <c r="AR1406" i="6"/>
  <c r="AR1414" i="6"/>
  <c r="AR1422" i="6"/>
  <c r="AI1432" i="6"/>
  <c r="AI1671" i="6" s="1"/>
  <c r="AY1432" i="6"/>
  <c r="AG1439" i="6"/>
  <c r="AG1678" i="6" s="1"/>
  <c r="AW1439" i="6"/>
  <c r="H1681" i="6"/>
  <c r="H1727" i="6" s="1"/>
  <c r="H1773" i="6" s="1"/>
  <c r="H1489" i="6"/>
  <c r="AG1447" i="6"/>
  <c r="AG1686" i="6" s="1"/>
  <c r="AW1447" i="6"/>
  <c r="H1689" i="6"/>
  <c r="H1735" i="6" s="1"/>
  <c r="H1781" i="6" s="1"/>
  <c r="H1497" i="6"/>
  <c r="AG1455" i="6"/>
  <c r="AG1694" i="6" s="1"/>
  <c r="AW1455" i="6"/>
  <c r="H1697" i="6"/>
  <c r="H1743" i="6" s="1"/>
  <c r="H1789" i="6" s="1"/>
  <c r="H1505" i="6"/>
  <c r="AG1463" i="6"/>
  <c r="AG1702" i="6" s="1"/>
  <c r="AW1463" i="6"/>
  <c r="H1705" i="6"/>
  <c r="H1751" i="6" s="1"/>
  <c r="H1797" i="6" s="1"/>
  <c r="H1513" i="6"/>
  <c r="AG1708" i="6"/>
  <c r="AI1472" i="6"/>
  <c r="AY1472" i="6"/>
  <c r="B1492" i="6"/>
  <c r="L1492" i="6"/>
  <c r="K1492" i="6"/>
  <c r="Z1494" i="6"/>
  <c r="R1494" i="6"/>
  <c r="Y1494" i="6"/>
  <c r="Q1494" i="6"/>
  <c r="X1494" i="6"/>
  <c r="P1494" i="6"/>
  <c r="W1494" i="6"/>
  <c r="V1494" i="6"/>
  <c r="U1494" i="6"/>
  <c r="T1494" i="6"/>
  <c r="S1494" i="6"/>
  <c r="X1497" i="6"/>
  <c r="P1497" i="6"/>
  <c r="W1497" i="6"/>
  <c r="V1497" i="6"/>
  <c r="U1497" i="6"/>
  <c r="T1497" i="6"/>
  <c r="S1497" i="6"/>
  <c r="R1497" i="6"/>
  <c r="Q1497" i="6"/>
  <c r="AA1497" i="6"/>
  <c r="Z1497" i="6"/>
  <c r="AR1499" i="6"/>
  <c r="W1527" i="6"/>
  <c r="AG1668" i="6"/>
  <c r="AO1429" i="6"/>
  <c r="W1375" i="6"/>
  <c r="W1376" i="6"/>
  <c r="W1377" i="6"/>
  <c r="AF1675" i="6"/>
  <c r="AF1683" i="6"/>
  <c r="AF1691" i="6"/>
  <c r="AF1699" i="6"/>
  <c r="AK1468" i="6"/>
  <c r="AK1707" i="6" s="1"/>
  <c r="BA1468" i="6"/>
  <c r="AI1471" i="6"/>
  <c r="AI1710" i="6" s="1"/>
  <c r="AY1471" i="6"/>
  <c r="AP1477" i="6"/>
  <c r="AH1477" i="6"/>
  <c r="AN1477" i="6"/>
  <c r="AF1477" i="6"/>
  <c r="AK1477" i="6"/>
  <c r="AJ1477" i="6"/>
  <c r="AI1477" i="6"/>
  <c r="AG1477" i="6"/>
  <c r="AQ1477" i="6"/>
  <c r="AO1477" i="6"/>
  <c r="AM1477" i="6"/>
  <c r="X1485" i="6"/>
  <c r="P1485" i="6"/>
  <c r="V1485" i="6"/>
  <c r="U1485" i="6"/>
  <c r="T1485" i="6"/>
  <c r="S1485" i="6"/>
  <c r="R1485" i="6"/>
  <c r="AA1485" i="6"/>
  <c r="Q1485" i="6"/>
  <c r="Z1485" i="6"/>
  <c r="Y1485" i="6"/>
  <c r="AE1490" i="6"/>
  <c r="AJ1506" i="6"/>
  <c r="AQ1506" i="6"/>
  <c r="AI1506" i="6"/>
  <c r="AP1506" i="6"/>
  <c r="AH1506" i="6"/>
  <c r="AL1506" i="6"/>
  <c r="AK1506" i="6"/>
  <c r="AG1506" i="6"/>
  <c r="AF1506" i="6"/>
  <c r="AR1506" i="6" s="1"/>
  <c r="AO1506" i="6"/>
  <c r="AN1506" i="6"/>
  <c r="W1528" i="6"/>
  <c r="V1370" i="6"/>
  <c r="Y1376" i="6"/>
  <c r="Y1377" i="6"/>
  <c r="Y1374" i="6"/>
  <c r="Y1378" i="6" s="1"/>
  <c r="AR1401" i="6"/>
  <c r="AR1409" i="6"/>
  <c r="AR1417" i="6"/>
  <c r="AR1425" i="6"/>
  <c r="U1430" i="6"/>
  <c r="BF1430" i="6"/>
  <c r="AQ1430" i="6" s="1"/>
  <c r="H1675" i="6"/>
  <c r="H1721" i="6" s="1"/>
  <c r="H1767" i="6" s="1"/>
  <c r="H1483" i="6"/>
  <c r="AG1441" i="6"/>
  <c r="AW1441" i="6"/>
  <c r="H1683" i="6"/>
  <c r="H1729" i="6" s="1"/>
  <c r="H1775" i="6" s="1"/>
  <c r="H1491" i="6"/>
  <c r="AG1449" i="6"/>
  <c r="AW1449" i="6"/>
  <c r="AG1457" i="6"/>
  <c r="AG1742" i="6" s="1"/>
  <c r="AW1457" i="6"/>
  <c r="H1699" i="6"/>
  <c r="H1745" i="6" s="1"/>
  <c r="H1791" i="6" s="1"/>
  <c r="H1507" i="6"/>
  <c r="AG1465" i="6"/>
  <c r="AG1704" i="6" s="1"/>
  <c r="AW1465" i="6"/>
  <c r="AJ1470" i="6"/>
  <c r="AZ1470" i="6"/>
  <c r="AE1489" i="6"/>
  <c r="B1491" i="6"/>
  <c r="T1503" i="6"/>
  <c r="AA1503" i="6"/>
  <c r="S1503" i="6"/>
  <c r="Z1503" i="6"/>
  <c r="R1503" i="6"/>
  <c r="W1503" i="6"/>
  <c r="V1503" i="6"/>
  <c r="U1503" i="6"/>
  <c r="Q1503" i="6"/>
  <c r="P1503" i="6"/>
  <c r="Y1503" i="6"/>
  <c r="S1433" i="6"/>
  <c r="AI1430" i="6"/>
  <c r="AI1669" i="6" s="1"/>
  <c r="AR1391" i="6"/>
  <c r="AR1399" i="6"/>
  <c r="AR1407" i="6"/>
  <c r="AG1671" i="6"/>
  <c r="AF1677" i="6"/>
  <c r="AF1685" i="6"/>
  <c r="AF1693" i="6"/>
  <c r="AJ1469" i="6"/>
  <c r="AJ1708" i="6" s="1"/>
  <c r="AZ1469" i="6"/>
  <c r="AA1494" i="6"/>
  <c r="W1524" i="6"/>
  <c r="W1812" i="6"/>
  <c r="W1813" i="6" s="1"/>
  <c r="W1347" i="6"/>
  <c r="T1430" i="6"/>
  <c r="T1669" i="6" s="1"/>
  <c r="T1356" i="6"/>
  <c r="T1429" i="6"/>
  <c r="AB1353" i="6"/>
  <c r="W1374" i="6"/>
  <c r="AR1394" i="6"/>
  <c r="AR1402" i="6"/>
  <c r="AR1410" i="6"/>
  <c r="AR1418" i="6"/>
  <c r="AR1426" i="6"/>
  <c r="AG1435" i="6"/>
  <c r="AG1674" i="6" s="1"/>
  <c r="AW1435" i="6"/>
  <c r="H1677" i="6"/>
  <c r="H1723" i="6" s="1"/>
  <c r="H1769" i="6" s="1"/>
  <c r="H1485" i="6"/>
  <c r="AG1443" i="6"/>
  <c r="AG1682" i="6" s="1"/>
  <c r="AW1443" i="6"/>
  <c r="H1685" i="6"/>
  <c r="H1731" i="6" s="1"/>
  <c r="H1777" i="6" s="1"/>
  <c r="H1493" i="6"/>
  <c r="AG1451" i="6"/>
  <c r="AG1690" i="6" s="1"/>
  <c r="AW1451" i="6"/>
  <c r="H1693" i="6"/>
  <c r="H1739" i="6" s="1"/>
  <c r="H1785" i="6" s="1"/>
  <c r="H1501" i="6"/>
  <c r="AG1459" i="6"/>
  <c r="AG1698" i="6" s="1"/>
  <c r="AW1459" i="6"/>
  <c r="H1701" i="6"/>
  <c r="H1747" i="6" s="1"/>
  <c r="H1793" i="6" s="1"/>
  <c r="H1509" i="6"/>
  <c r="V1480" i="6"/>
  <c r="T1480" i="6"/>
  <c r="U1480" i="6"/>
  <c r="S1480" i="6"/>
  <c r="R1480" i="6"/>
  <c r="AA1480" i="6"/>
  <c r="Q1480" i="6"/>
  <c r="Z1480" i="6"/>
  <c r="P1480" i="6"/>
  <c r="Y1480" i="6"/>
  <c r="X1480" i="6"/>
  <c r="H1499" i="6"/>
  <c r="AB1499" i="6"/>
  <c r="AP1505" i="6"/>
  <c r="AH1505" i="6"/>
  <c r="AO1505" i="6"/>
  <c r="AG1505" i="6"/>
  <c r="AN1505" i="6"/>
  <c r="AF1505" i="6"/>
  <c r="AM1505" i="6"/>
  <c r="AL1505" i="6"/>
  <c r="AK1505" i="6"/>
  <c r="AJ1505" i="6"/>
  <c r="AI1505" i="6"/>
  <c r="V1525" i="6"/>
  <c r="P1812" i="6"/>
  <c r="P1347" i="6"/>
  <c r="AB1346" i="6"/>
  <c r="AB1347" i="6" s="1"/>
  <c r="X1812" i="6"/>
  <c r="X1813" i="6" s="1"/>
  <c r="X1347" i="6"/>
  <c r="AB1354" i="6"/>
  <c r="Y1375" i="6"/>
  <c r="AE1384" i="6"/>
  <c r="H1527" i="6"/>
  <c r="H1573" i="6" s="1"/>
  <c r="H1619" i="6" s="1"/>
  <c r="AE1386" i="6"/>
  <c r="AR1388" i="6"/>
  <c r="AR1396" i="6"/>
  <c r="AR1404" i="6"/>
  <c r="AI1429" i="6"/>
  <c r="AI1668" i="6" s="1"/>
  <c r="AF1679" i="6"/>
  <c r="AF1687" i="6"/>
  <c r="AF1695" i="6"/>
  <c r="AF1703" i="6"/>
  <c r="B1501" i="6"/>
  <c r="L1501" i="6"/>
  <c r="K1501" i="6"/>
  <c r="X1503" i="6"/>
  <c r="AE1506" i="6"/>
  <c r="T1559" i="6"/>
  <c r="S1560" i="6"/>
  <c r="Q1812" i="6"/>
  <c r="Q1813" i="6" s="1"/>
  <c r="Q1347" i="6"/>
  <c r="Y1812" i="6"/>
  <c r="Y1813" i="6" s="1"/>
  <c r="Y1347" i="6"/>
  <c r="R1368" i="6"/>
  <c r="R1370" i="6" s="1"/>
  <c r="R1369" i="6"/>
  <c r="R1356" i="6"/>
  <c r="Z1368" i="6"/>
  <c r="Z1370" i="6" s="1"/>
  <c r="Z1369" i="6"/>
  <c r="Z1356" i="6"/>
  <c r="V1429" i="6"/>
  <c r="AL1429" i="6" s="1"/>
  <c r="AL1668" i="6" s="1"/>
  <c r="V1430" i="6"/>
  <c r="AR1387" i="6"/>
  <c r="AR1389" i="6"/>
  <c r="AR1397" i="6"/>
  <c r="AR1405" i="6"/>
  <c r="AR1413" i="6"/>
  <c r="AR1421" i="6"/>
  <c r="BG1430" i="6"/>
  <c r="AG1437" i="6"/>
  <c r="AG1676" i="6" s="1"/>
  <c r="AW1437" i="6"/>
  <c r="H1679" i="6"/>
  <c r="H1725" i="6" s="1"/>
  <c r="H1771" i="6" s="1"/>
  <c r="H1487" i="6"/>
  <c r="AG1445" i="6"/>
  <c r="AW1445" i="6"/>
  <c r="H1687" i="6"/>
  <c r="H1733" i="6" s="1"/>
  <c r="H1779" i="6" s="1"/>
  <c r="H1495" i="6"/>
  <c r="AG1453" i="6"/>
  <c r="AG1738" i="6" s="1"/>
  <c r="AW1453" i="6"/>
  <c r="H1695" i="6"/>
  <c r="H1741" i="6" s="1"/>
  <c r="H1787" i="6" s="1"/>
  <c r="H1503" i="6"/>
  <c r="AG1461" i="6"/>
  <c r="AW1461" i="6"/>
  <c r="H1703" i="6"/>
  <c r="H1749" i="6" s="1"/>
  <c r="H1795" i="6" s="1"/>
  <c r="H1511" i="6"/>
  <c r="AW1467" i="6"/>
  <c r="B1475" i="6"/>
  <c r="AE1485" i="6"/>
  <c r="I1572" i="6"/>
  <c r="U1526" i="6"/>
  <c r="T1526" i="6"/>
  <c r="Z1526" i="6"/>
  <c r="R1526" i="6"/>
  <c r="Y1526" i="6"/>
  <c r="Q1526" i="6"/>
  <c r="X1526" i="6"/>
  <c r="P1526" i="6"/>
  <c r="W1526" i="6"/>
  <c r="V1526" i="6"/>
  <c r="S1526" i="6"/>
  <c r="U1347" i="6"/>
  <c r="AB1352" i="6"/>
  <c r="P1356" i="6"/>
  <c r="X1356" i="6"/>
  <c r="AF1435" i="6"/>
  <c r="AF1437" i="6"/>
  <c r="AF1439" i="6"/>
  <c r="AF1441" i="6"/>
  <c r="AF1443" i="6"/>
  <c r="AF1728" i="6" s="1"/>
  <c r="AF1445" i="6"/>
  <c r="AF1447" i="6"/>
  <c r="AF1449" i="6"/>
  <c r="AF1451" i="6"/>
  <c r="AF1453" i="6"/>
  <c r="AF1455" i="6"/>
  <c r="AF1457" i="6"/>
  <c r="AF1742" i="6" s="1"/>
  <c r="AF1459" i="6"/>
  <c r="AF1461" i="6"/>
  <c r="AF1463" i="6"/>
  <c r="AF1465" i="6"/>
  <c r="AG1470" i="6"/>
  <c r="G1475" i="6"/>
  <c r="AE1475" i="6" s="1"/>
  <c r="X1475" i="6"/>
  <c r="AI1475" i="6"/>
  <c r="Y1476" i="6"/>
  <c r="AK1476" i="6"/>
  <c r="G1477" i="6"/>
  <c r="Q1477" i="6"/>
  <c r="AA1477" i="6"/>
  <c r="AF1478" i="6"/>
  <c r="B1480" i="6"/>
  <c r="AJ1480" i="6"/>
  <c r="Z1481" i="6"/>
  <c r="AL1481" i="6"/>
  <c r="S1482" i="6"/>
  <c r="AE1482" i="6"/>
  <c r="V1484" i="6"/>
  <c r="T1484" i="6"/>
  <c r="W1484" i="6"/>
  <c r="AI1484" i="6"/>
  <c r="B1485" i="6"/>
  <c r="AK1485" i="6"/>
  <c r="G1486" i="6"/>
  <c r="AE1486" i="6" s="1"/>
  <c r="Q1486" i="6"/>
  <c r="AN1486" i="6"/>
  <c r="L1489" i="6"/>
  <c r="T1490" i="6"/>
  <c r="G1491" i="6"/>
  <c r="AE1491" i="6" s="1"/>
  <c r="R1493" i="6"/>
  <c r="B1494" i="6"/>
  <c r="AO1494" i="6"/>
  <c r="H1496" i="6"/>
  <c r="AM1497" i="6"/>
  <c r="Q1499" i="6"/>
  <c r="G1502" i="6"/>
  <c r="AE1502" i="6" s="1"/>
  <c r="S1502" i="6"/>
  <c r="AF1502" i="6"/>
  <c r="B1504" i="6"/>
  <c r="L1504" i="6"/>
  <c r="Q1505" i="6"/>
  <c r="Z1506" i="6"/>
  <c r="R1506" i="6"/>
  <c r="Y1506" i="6"/>
  <c r="Q1506" i="6"/>
  <c r="X1506" i="6"/>
  <c r="P1506" i="6"/>
  <c r="AA1506" i="6"/>
  <c r="G1508" i="6"/>
  <c r="X1509" i="6"/>
  <c r="P1509" i="6"/>
  <c r="AB1509" i="6" s="1"/>
  <c r="W1509" i="6"/>
  <c r="V1509" i="6"/>
  <c r="Y1509" i="6"/>
  <c r="W1511" i="6"/>
  <c r="T1511" i="6"/>
  <c r="AA1511" i="6"/>
  <c r="S1511" i="6"/>
  <c r="Z1511" i="6"/>
  <c r="R1511" i="6"/>
  <c r="AB1511" i="6" s="1"/>
  <c r="Y1511" i="6"/>
  <c r="AE1512" i="6"/>
  <c r="B1512" i="6"/>
  <c r="L1512" i="6"/>
  <c r="AK1517" i="6"/>
  <c r="AJ1517" i="6"/>
  <c r="AP1517" i="6"/>
  <c r="AH1517" i="6"/>
  <c r="AO1517" i="6"/>
  <c r="AG1517" i="6"/>
  <c r="AN1517" i="6"/>
  <c r="AF1517" i="6"/>
  <c r="W1519" i="6"/>
  <c r="V1519" i="6"/>
  <c r="T1519" i="6"/>
  <c r="AB1519" i="6" s="1"/>
  <c r="AA1519" i="6"/>
  <c r="S1519" i="6"/>
  <c r="Z1519" i="6"/>
  <c r="R1519" i="6"/>
  <c r="I1575" i="6"/>
  <c r="U1529" i="6"/>
  <c r="T1529" i="6"/>
  <c r="AA1529" i="6"/>
  <c r="Z1529" i="6"/>
  <c r="R1529" i="6"/>
  <c r="Y1529" i="6"/>
  <c r="Q1529" i="6"/>
  <c r="X1529" i="6"/>
  <c r="P1529" i="6"/>
  <c r="F1578" i="6"/>
  <c r="B1532" i="6"/>
  <c r="F1586" i="6"/>
  <c r="B1540" i="6"/>
  <c r="F1594" i="6"/>
  <c r="B1548" i="6"/>
  <c r="F1602" i="6"/>
  <c r="B1556" i="6"/>
  <c r="P1561" i="6"/>
  <c r="J1612" i="6"/>
  <c r="B1612" i="6" s="1"/>
  <c r="D1566" i="6"/>
  <c r="B1566" i="6"/>
  <c r="W1430" i="6"/>
  <c r="H1706" i="6"/>
  <c r="H1752" i="6" s="1"/>
  <c r="H1798" i="6" s="1"/>
  <c r="H1514" i="6"/>
  <c r="G1707" i="6"/>
  <c r="G1753" i="6" s="1"/>
  <c r="G1799" i="6" s="1"/>
  <c r="G1515" i="6"/>
  <c r="AE1515" i="6" s="1"/>
  <c r="AH1708" i="6"/>
  <c r="H1475" i="6"/>
  <c r="T1479" i="6"/>
  <c r="Z1479" i="6"/>
  <c r="R1479" i="6"/>
  <c r="W1479" i="6"/>
  <c r="G1481" i="6"/>
  <c r="AE1481" i="6" s="1"/>
  <c r="AR1482" i="6"/>
  <c r="G1488" i="6"/>
  <c r="AE1488" i="6" s="1"/>
  <c r="X1489" i="6"/>
  <c r="P1489" i="6"/>
  <c r="W1489" i="6"/>
  <c r="V1489" i="6"/>
  <c r="Y1489" i="6"/>
  <c r="AR1491" i="6"/>
  <c r="T1495" i="6"/>
  <c r="AA1495" i="6"/>
  <c r="S1495" i="6"/>
  <c r="Z1495" i="6"/>
  <c r="R1495" i="6"/>
  <c r="X1495" i="6"/>
  <c r="AJ1498" i="6"/>
  <c r="AQ1498" i="6"/>
  <c r="AI1498" i="6"/>
  <c r="AP1498" i="6"/>
  <c r="AH1498" i="6"/>
  <c r="AM1498" i="6"/>
  <c r="G1503" i="6"/>
  <c r="AE1503" i="6" s="1"/>
  <c r="H1508" i="6"/>
  <c r="AM1510" i="6"/>
  <c r="AJ1510" i="6"/>
  <c r="AQ1510" i="6"/>
  <c r="AI1510" i="6"/>
  <c r="AP1510" i="6"/>
  <c r="AH1510" i="6"/>
  <c r="AK1513" i="6"/>
  <c r="AJ1513" i="6"/>
  <c r="AP1513" i="6"/>
  <c r="AH1513" i="6"/>
  <c r="AO1513" i="6"/>
  <c r="AG1513" i="6"/>
  <c r="AN1513" i="6"/>
  <c r="AF1513" i="6"/>
  <c r="AE1514" i="6"/>
  <c r="B1514" i="6"/>
  <c r="AE1516" i="6"/>
  <c r="B1516" i="6"/>
  <c r="L1516" i="6"/>
  <c r="AA1517" i="6"/>
  <c r="S1517" i="6"/>
  <c r="Z1517" i="6"/>
  <c r="R1517" i="6"/>
  <c r="X1517" i="6"/>
  <c r="P1517" i="6"/>
  <c r="AB1517" i="6" s="1"/>
  <c r="W1517" i="6"/>
  <c r="V1517" i="6"/>
  <c r="I1574" i="6"/>
  <c r="U1528" i="6"/>
  <c r="T1528" i="6"/>
  <c r="Z1528" i="6"/>
  <c r="R1528" i="6"/>
  <c r="Y1528" i="6"/>
  <c r="Q1528" i="6"/>
  <c r="X1528" i="6"/>
  <c r="P1528" i="6"/>
  <c r="AA1528" i="6"/>
  <c r="Z1532" i="6"/>
  <c r="AA1538" i="6"/>
  <c r="Z1539" i="6"/>
  <c r="AA1540" i="6"/>
  <c r="AA1546" i="6"/>
  <c r="AA1547" i="6"/>
  <c r="AA1548" i="6"/>
  <c r="AA1554" i="6"/>
  <c r="AA1555" i="6"/>
  <c r="AA1556" i="6"/>
  <c r="J1608" i="6"/>
  <c r="B1608" i="6" s="1"/>
  <c r="D1562" i="6"/>
  <c r="B1562" i="6"/>
  <c r="H1672" i="6"/>
  <c r="H1718" i="6" s="1"/>
  <c r="H1764" i="6" s="1"/>
  <c r="AW1428" i="6"/>
  <c r="AX1428" i="6" s="1"/>
  <c r="AY1428" i="6" s="1"/>
  <c r="AZ1428" i="6" s="1"/>
  <c r="BA1428" i="6" s="1"/>
  <c r="BB1428" i="6" s="1"/>
  <c r="BC1428" i="6" s="1"/>
  <c r="BD1428" i="6" s="1"/>
  <c r="BE1428" i="6" s="1"/>
  <c r="BF1428" i="6" s="1"/>
  <c r="AF1670" i="6"/>
  <c r="AW1431" i="6"/>
  <c r="H1708" i="6"/>
  <c r="H1754" i="6" s="1"/>
  <c r="H1800" i="6" s="1"/>
  <c r="H1516" i="6"/>
  <c r="AI1469" i="6"/>
  <c r="AI1708" i="6" s="1"/>
  <c r="G1709" i="6"/>
  <c r="G1755" i="6" s="1"/>
  <c r="G1801" i="6" s="1"/>
  <c r="G1517" i="6"/>
  <c r="AE1517" i="6" s="1"/>
  <c r="AI1470" i="6"/>
  <c r="Q1475" i="6"/>
  <c r="AB1475" i="6" s="1"/>
  <c r="AA1475" i="6"/>
  <c r="AM1475" i="6"/>
  <c r="H1476" i="6"/>
  <c r="Q1476" i="6"/>
  <c r="AB1476" i="6" s="1"/>
  <c r="AA1476" i="6"/>
  <c r="S1477" i="6"/>
  <c r="AE1477" i="6"/>
  <c r="AJ1478" i="6"/>
  <c r="AP1478" i="6"/>
  <c r="AH1478" i="6"/>
  <c r="AI1478" i="6"/>
  <c r="X1479" i="6"/>
  <c r="G1480" i="6"/>
  <c r="AM1480" i="6"/>
  <c r="R1481" i="6"/>
  <c r="AO1481" i="6"/>
  <c r="T1483" i="6"/>
  <c r="Z1483" i="6"/>
  <c r="R1483" i="6"/>
  <c r="AB1483" i="6" s="1"/>
  <c r="W1483" i="6"/>
  <c r="AK1484" i="6"/>
  <c r="G1485" i="6"/>
  <c r="AM1485" i="6"/>
  <c r="T1486" i="6"/>
  <c r="H1488" i="6"/>
  <c r="Z1489" i="6"/>
  <c r="Q1491" i="6"/>
  <c r="K1493" i="6"/>
  <c r="G1494" i="6"/>
  <c r="AE1494" i="6" s="1"/>
  <c r="AF1494" i="6"/>
  <c r="Y1495" i="6"/>
  <c r="AE1496" i="6"/>
  <c r="B1496" i="6"/>
  <c r="L1496" i="6"/>
  <c r="Z1498" i="6"/>
  <c r="R1498" i="6"/>
  <c r="Y1498" i="6"/>
  <c r="Q1498" i="6"/>
  <c r="X1498" i="6"/>
  <c r="P1498" i="6"/>
  <c r="AA1498" i="6"/>
  <c r="AN1498" i="6"/>
  <c r="G1500" i="6"/>
  <c r="AE1500" i="6" s="1"/>
  <c r="X1501" i="6"/>
  <c r="P1501" i="6"/>
  <c r="W1501" i="6"/>
  <c r="V1501" i="6"/>
  <c r="Y1501" i="6"/>
  <c r="U1502" i="6"/>
  <c r="S1505" i="6"/>
  <c r="T1507" i="6"/>
  <c r="AA1507" i="6"/>
  <c r="S1507" i="6"/>
  <c r="Z1507" i="6"/>
  <c r="R1507" i="6"/>
  <c r="AB1507" i="6" s="1"/>
  <c r="X1507" i="6"/>
  <c r="B1509" i="6"/>
  <c r="AA1513" i="6"/>
  <c r="S1513" i="6"/>
  <c r="X1513" i="6"/>
  <c r="P1513" i="6"/>
  <c r="W1513" i="6"/>
  <c r="V1513" i="6"/>
  <c r="Z1513" i="6"/>
  <c r="G1514" i="6"/>
  <c r="K1516" i="6"/>
  <c r="S1524" i="6"/>
  <c r="I1571" i="6"/>
  <c r="U1525" i="6"/>
  <c r="T1525" i="6"/>
  <c r="Z1525" i="6"/>
  <c r="R1525" i="6"/>
  <c r="Y1525" i="6"/>
  <c r="Q1525" i="6"/>
  <c r="X1525" i="6"/>
  <c r="P1525" i="6"/>
  <c r="AA1525" i="6"/>
  <c r="J1584" i="6"/>
  <c r="D1538" i="6"/>
  <c r="J1592" i="6"/>
  <c r="D1546" i="6"/>
  <c r="J1600" i="6"/>
  <c r="D1554" i="6"/>
  <c r="Q1430" i="6"/>
  <c r="Y1430" i="6"/>
  <c r="AG1431" i="6"/>
  <c r="AG1670" i="6" s="1"/>
  <c r="AV1434" i="6"/>
  <c r="H1674" i="6"/>
  <c r="H1720" i="6" s="1"/>
  <c r="H1766" i="6" s="1"/>
  <c r="H1482" i="6"/>
  <c r="AV1436" i="6"/>
  <c r="AV1438" i="6"/>
  <c r="H1678" i="6"/>
  <c r="H1724" i="6" s="1"/>
  <c r="H1770" i="6" s="1"/>
  <c r="H1486" i="6"/>
  <c r="AV1440" i="6"/>
  <c r="AV1442" i="6"/>
  <c r="H1682" i="6"/>
  <c r="H1728" i="6" s="1"/>
  <c r="H1774" i="6" s="1"/>
  <c r="H1490" i="6"/>
  <c r="AV1444" i="6"/>
  <c r="AV1446" i="6"/>
  <c r="H1686" i="6"/>
  <c r="H1732" i="6" s="1"/>
  <c r="H1778" i="6" s="1"/>
  <c r="H1494" i="6"/>
  <c r="AV1448" i="6"/>
  <c r="AV1450" i="6"/>
  <c r="H1690" i="6"/>
  <c r="H1736" i="6" s="1"/>
  <c r="H1782" i="6" s="1"/>
  <c r="H1498" i="6"/>
  <c r="AV1452" i="6"/>
  <c r="AV1454" i="6"/>
  <c r="H1694" i="6"/>
  <c r="H1740" i="6" s="1"/>
  <c r="H1786" i="6" s="1"/>
  <c r="H1502" i="6"/>
  <c r="AV1456" i="6"/>
  <c r="AV1458" i="6"/>
  <c r="H1698" i="6"/>
  <c r="H1744" i="6" s="1"/>
  <c r="H1790" i="6" s="1"/>
  <c r="H1506" i="6"/>
  <c r="AV1460" i="6"/>
  <c r="AV1462" i="6"/>
  <c r="H1702" i="6"/>
  <c r="H1748" i="6" s="1"/>
  <c r="H1794" i="6" s="1"/>
  <c r="H1510" i="6"/>
  <c r="AV1464" i="6"/>
  <c r="AV1466" i="6"/>
  <c r="AF1707" i="6"/>
  <c r="H1709" i="6"/>
  <c r="H1755" i="6" s="1"/>
  <c r="H1801" i="6" s="1"/>
  <c r="H1517" i="6"/>
  <c r="H1710" i="6"/>
  <c r="H1756" i="6" s="1"/>
  <c r="H1802" i="6" s="1"/>
  <c r="H1518" i="6"/>
  <c r="G1711" i="6"/>
  <c r="G1757" i="6" s="1"/>
  <c r="G1803" i="6" s="1"/>
  <c r="G1519" i="6"/>
  <c r="AE1519" i="6" s="1"/>
  <c r="S1475" i="6"/>
  <c r="AN1475" i="6"/>
  <c r="R1476" i="6"/>
  <c r="AE1476" i="6"/>
  <c r="K1477" i="6"/>
  <c r="T1477" i="6"/>
  <c r="Z1478" i="6"/>
  <c r="R1478" i="6"/>
  <c r="X1478" i="6"/>
  <c r="P1478" i="6"/>
  <c r="W1478" i="6"/>
  <c r="AK1478" i="6"/>
  <c r="G1479" i="6"/>
  <c r="AE1479" i="6" s="1"/>
  <c r="Y1479" i="6"/>
  <c r="AO1480" i="6"/>
  <c r="S1481" i="6"/>
  <c r="AQ1481" i="6"/>
  <c r="AJ1482" i="6"/>
  <c r="AP1482" i="6"/>
  <c r="AH1482" i="6"/>
  <c r="AI1482" i="6"/>
  <c r="X1483" i="6"/>
  <c r="G1484" i="6"/>
  <c r="AB1484" i="6"/>
  <c r="AM1484" i="6"/>
  <c r="AO1485" i="6"/>
  <c r="U1486" i="6"/>
  <c r="T1487" i="6"/>
  <c r="AA1487" i="6"/>
  <c r="S1487" i="6"/>
  <c r="Z1487" i="6"/>
  <c r="R1487" i="6"/>
  <c r="AB1487" i="6" s="1"/>
  <c r="X1487" i="6"/>
  <c r="B1489" i="6"/>
  <c r="AA1489" i="6"/>
  <c r="AJ1490" i="6"/>
  <c r="AQ1490" i="6"/>
  <c r="AI1490" i="6"/>
  <c r="AP1490" i="6"/>
  <c r="AH1490" i="6"/>
  <c r="AR1490" i="6" s="1"/>
  <c r="AM1490" i="6"/>
  <c r="U1491" i="6"/>
  <c r="L1493" i="6"/>
  <c r="AG1494" i="6"/>
  <c r="G1495" i="6"/>
  <c r="AE1495" i="6" s="1"/>
  <c r="K1496" i="6"/>
  <c r="B1498" i="6"/>
  <c r="AO1498" i="6"/>
  <c r="H1500" i="6"/>
  <c r="Z1501" i="6"/>
  <c r="V1502" i="6"/>
  <c r="K1505" i="6"/>
  <c r="T1505" i="6"/>
  <c r="G1506" i="6"/>
  <c r="Y1507" i="6"/>
  <c r="AE1508" i="6"/>
  <c r="B1508" i="6"/>
  <c r="L1508" i="6"/>
  <c r="AF1510" i="6"/>
  <c r="W1515" i="6"/>
  <c r="V1515" i="6"/>
  <c r="T1515" i="6"/>
  <c r="AA1515" i="6"/>
  <c r="S1515" i="6"/>
  <c r="AB1515" i="6" s="1"/>
  <c r="Z1515" i="6"/>
  <c r="R1515" i="6"/>
  <c r="H1519" i="6"/>
  <c r="V1524" i="6"/>
  <c r="R1430" i="6"/>
  <c r="AF1466" i="6"/>
  <c r="T1475" i="6"/>
  <c r="AN1476" i="6"/>
  <c r="AF1476" i="6"/>
  <c r="AL1476" i="6"/>
  <c r="S1476" i="6"/>
  <c r="AG1476" i="6"/>
  <c r="AQ1476" i="6"/>
  <c r="AL1478" i="6"/>
  <c r="H1479" i="6"/>
  <c r="P1479" i="6"/>
  <c r="AB1479" i="6" s="1"/>
  <c r="AA1479" i="6"/>
  <c r="AE1480" i="6"/>
  <c r="T1481" i="6"/>
  <c r="Z1482" i="6"/>
  <c r="R1482" i="6"/>
  <c r="X1482" i="6"/>
  <c r="P1482" i="6"/>
  <c r="AB1482" i="6" s="1"/>
  <c r="W1482" i="6"/>
  <c r="G1483" i="6"/>
  <c r="AE1483" i="6" s="1"/>
  <c r="Y1483" i="6"/>
  <c r="H1484" i="6"/>
  <c r="AO1484" i="6"/>
  <c r="AQ1485" i="6"/>
  <c r="AJ1486" i="6"/>
  <c r="AP1486" i="6"/>
  <c r="AH1486" i="6"/>
  <c r="AR1486" i="6" s="1"/>
  <c r="AI1486" i="6"/>
  <c r="B1488" i="6"/>
  <c r="L1488" i="6"/>
  <c r="Q1489" i="6"/>
  <c r="Z1490" i="6"/>
  <c r="R1490" i="6"/>
  <c r="Y1490" i="6"/>
  <c r="Q1490" i="6"/>
  <c r="X1490" i="6"/>
  <c r="P1490" i="6"/>
  <c r="AA1490" i="6"/>
  <c r="V1491" i="6"/>
  <c r="G1492" i="6"/>
  <c r="AE1492" i="6" s="1"/>
  <c r="X1493" i="6"/>
  <c r="P1493" i="6"/>
  <c r="W1493" i="6"/>
  <c r="V1493" i="6"/>
  <c r="Y1493" i="6"/>
  <c r="AK1494" i="6"/>
  <c r="P1495" i="6"/>
  <c r="AB1495" i="6" s="1"/>
  <c r="AR1495" i="6"/>
  <c r="AI1497" i="6"/>
  <c r="T1499" i="6"/>
  <c r="AA1499" i="6"/>
  <c r="S1499" i="6"/>
  <c r="Z1499" i="6"/>
  <c r="R1499" i="6"/>
  <c r="X1499" i="6"/>
  <c r="AA1501" i="6"/>
  <c r="AJ1502" i="6"/>
  <c r="AQ1502" i="6"/>
  <c r="AI1502" i="6"/>
  <c r="AP1502" i="6"/>
  <c r="AH1502" i="6"/>
  <c r="AM1502" i="6"/>
  <c r="G1507" i="6"/>
  <c r="AE1507" i="6" s="1"/>
  <c r="B1510" i="6"/>
  <c r="AG1510" i="6"/>
  <c r="Q1517" i="6"/>
  <c r="I1573" i="6"/>
  <c r="U1527" i="6"/>
  <c r="T1527" i="6"/>
  <c r="Z1527" i="6"/>
  <c r="R1527" i="6"/>
  <c r="Y1527" i="6"/>
  <c r="Q1527" i="6"/>
  <c r="X1527" i="6"/>
  <c r="P1527" i="6"/>
  <c r="AA1527" i="6"/>
  <c r="F1582" i="6"/>
  <c r="B1536" i="6"/>
  <c r="F1590" i="6"/>
  <c r="B1544" i="6"/>
  <c r="F1598" i="6"/>
  <c r="B1552" i="6"/>
  <c r="T1684" i="6"/>
  <c r="H1670" i="6"/>
  <c r="H1716" i="6" s="1"/>
  <c r="H1762" i="6" s="1"/>
  <c r="H1478" i="6"/>
  <c r="H1528" i="6"/>
  <c r="H1574" i="6" s="1"/>
  <c r="H1620" i="6" s="1"/>
  <c r="H1481" i="6"/>
  <c r="AF1711" i="6"/>
  <c r="AL1475" i="6"/>
  <c r="AJ1475" i="6"/>
  <c r="AF1475" i="6"/>
  <c r="AP1475" i="6"/>
  <c r="X1477" i="6"/>
  <c r="P1477" i="6"/>
  <c r="V1477" i="6"/>
  <c r="W1477" i="6"/>
  <c r="Q1479" i="6"/>
  <c r="AN1480" i="6"/>
  <c r="AF1480" i="6"/>
  <c r="AL1480" i="6"/>
  <c r="AG1480" i="6"/>
  <c r="AQ1480" i="6"/>
  <c r="AP1481" i="6"/>
  <c r="AH1481" i="6"/>
  <c r="AN1481" i="6"/>
  <c r="AF1481" i="6"/>
  <c r="AI1481" i="6"/>
  <c r="AE1484" i="6"/>
  <c r="Z1486" i="6"/>
  <c r="R1486" i="6"/>
  <c r="X1486" i="6"/>
  <c r="P1486" i="6"/>
  <c r="W1486" i="6"/>
  <c r="G1487" i="6"/>
  <c r="AE1487" i="6" s="1"/>
  <c r="R1489" i="6"/>
  <c r="B1490" i="6"/>
  <c r="H1492" i="6"/>
  <c r="Q1495" i="6"/>
  <c r="G1498" i="6"/>
  <c r="AE1498" i="6" s="1"/>
  <c r="AF1498" i="6"/>
  <c r="B1500" i="6"/>
  <c r="L1500" i="6"/>
  <c r="Z1502" i="6"/>
  <c r="R1502" i="6"/>
  <c r="Y1502" i="6"/>
  <c r="Q1502" i="6"/>
  <c r="X1502" i="6"/>
  <c r="P1502" i="6"/>
  <c r="AA1502" i="6"/>
  <c r="G1504" i="6"/>
  <c r="AE1504" i="6" s="1"/>
  <c r="AB1504" i="6"/>
  <c r="X1505" i="6"/>
  <c r="P1505" i="6"/>
  <c r="W1505" i="6"/>
  <c r="V1505" i="6"/>
  <c r="Y1505" i="6"/>
  <c r="AR1507" i="6"/>
  <c r="G1510" i="6"/>
  <c r="AE1510" i="6" s="1"/>
  <c r="AK1510" i="6"/>
  <c r="G1512" i="6"/>
  <c r="AI1513" i="6"/>
  <c r="T1517" i="6"/>
  <c r="I1570" i="6"/>
  <c r="U1524" i="6"/>
  <c r="T1524" i="6"/>
  <c r="Z1524" i="6"/>
  <c r="R1524" i="6"/>
  <c r="Y1524" i="6"/>
  <c r="Q1524" i="6"/>
  <c r="X1524" i="6"/>
  <c r="P1524" i="6"/>
  <c r="AA1524" i="6"/>
  <c r="AA1534" i="6"/>
  <c r="Z1535" i="6"/>
  <c r="Z1536" i="6"/>
  <c r="AA1542" i="6"/>
  <c r="Z1543" i="6"/>
  <c r="AA1544" i="6"/>
  <c r="AA1550" i="6"/>
  <c r="AA1551" i="6"/>
  <c r="AA1552" i="6"/>
  <c r="S1558" i="6"/>
  <c r="AF1671" i="6"/>
  <c r="G1681" i="6"/>
  <c r="G1727" i="6" s="1"/>
  <c r="G1773" i="6" s="1"/>
  <c r="G1489" i="6"/>
  <c r="G1685" i="6"/>
  <c r="G1731" i="6" s="1"/>
  <c r="G1777" i="6" s="1"/>
  <c r="G1493" i="6"/>
  <c r="AE1493" i="6" s="1"/>
  <c r="G1689" i="6"/>
  <c r="G1735" i="6" s="1"/>
  <c r="G1781" i="6" s="1"/>
  <c r="G1497" i="6"/>
  <c r="AE1497" i="6" s="1"/>
  <c r="G1693" i="6"/>
  <c r="G1739" i="6" s="1"/>
  <c r="G1785" i="6" s="1"/>
  <c r="G1501" i="6"/>
  <c r="AE1501" i="6" s="1"/>
  <c r="G1697" i="6"/>
  <c r="G1743" i="6" s="1"/>
  <c r="G1789" i="6" s="1"/>
  <c r="G1505" i="6"/>
  <c r="AE1505" i="6" s="1"/>
  <c r="G1701" i="6"/>
  <c r="G1747" i="6" s="1"/>
  <c r="G1793" i="6" s="1"/>
  <c r="G1509" i="6"/>
  <c r="AE1509" i="6" s="1"/>
  <c r="G1703" i="6"/>
  <c r="G1749" i="6" s="1"/>
  <c r="G1795" i="6" s="1"/>
  <c r="G1511" i="6"/>
  <c r="AE1511" i="6" s="1"/>
  <c r="G1705" i="6"/>
  <c r="G1751" i="6" s="1"/>
  <c r="G1797" i="6" s="1"/>
  <c r="G1513" i="6"/>
  <c r="AE1513" i="6" s="1"/>
  <c r="Z1475" i="6"/>
  <c r="R1475" i="6"/>
  <c r="V1475" i="6"/>
  <c r="V1476" i="6"/>
  <c r="T1476" i="6"/>
  <c r="W1476" i="6"/>
  <c r="G1478" i="6"/>
  <c r="AE1478" i="6" s="1"/>
  <c r="S1479" i="6"/>
  <c r="X1481" i="6"/>
  <c r="P1481" i="6"/>
  <c r="AB1481" i="6" s="1"/>
  <c r="V1481" i="6"/>
  <c r="W1481" i="6"/>
  <c r="AN1484" i="6"/>
  <c r="AF1484" i="6"/>
  <c r="AL1484" i="6"/>
  <c r="AG1484" i="6"/>
  <c r="AQ1484" i="6"/>
  <c r="AP1485" i="6"/>
  <c r="AH1485" i="6"/>
  <c r="AN1485" i="6"/>
  <c r="AF1485" i="6"/>
  <c r="AI1485" i="6"/>
  <c r="S1489" i="6"/>
  <c r="T1491" i="6"/>
  <c r="AB1491" i="6" s="1"/>
  <c r="AA1491" i="6"/>
  <c r="S1491" i="6"/>
  <c r="Z1491" i="6"/>
  <c r="R1491" i="6"/>
  <c r="X1491" i="6"/>
  <c r="AJ1494" i="6"/>
  <c r="AQ1494" i="6"/>
  <c r="AI1494" i="6"/>
  <c r="AP1494" i="6"/>
  <c r="AH1494" i="6"/>
  <c r="AM1494" i="6"/>
  <c r="U1495" i="6"/>
  <c r="AP1497" i="6"/>
  <c r="AH1497" i="6"/>
  <c r="AO1497" i="6"/>
  <c r="AG1497" i="6"/>
  <c r="AN1497" i="6"/>
  <c r="AF1497" i="6"/>
  <c r="AK1497" i="6"/>
  <c r="AG1498" i="6"/>
  <c r="G1499" i="6"/>
  <c r="AE1499" i="6" s="1"/>
  <c r="H1504" i="6"/>
  <c r="AL1510" i="6"/>
  <c r="H1512" i="6"/>
  <c r="AL1513" i="6"/>
  <c r="H1515" i="6"/>
  <c r="U1517" i="6"/>
  <c r="AE1518" i="6"/>
  <c r="B1518" i="6"/>
  <c r="W1576" i="6"/>
  <c r="J1580" i="6"/>
  <c r="D1534" i="6"/>
  <c r="J1588" i="6"/>
  <c r="D1542" i="6"/>
  <c r="J1596" i="6"/>
  <c r="D1550" i="6"/>
  <c r="Z1559" i="6"/>
  <c r="R1559" i="6"/>
  <c r="I1605" i="6"/>
  <c r="W1559" i="6"/>
  <c r="S1559" i="6"/>
  <c r="Q1559" i="6"/>
  <c r="AA1559" i="6"/>
  <c r="P1559" i="6"/>
  <c r="Y1559" i="6"/>
  <c r="X1559" i="6"/>
  <c r="V1559" i="6"/>
  <c r="U1559" i="6"/>
  <c r="F1611" i="6"/>
  <c r="B1565" i="6"/>
  <c r="F1660" i="6"/>
  <c r="AJ1479" i="6"/>
  <c r="AR1479" i="6" s="1"/>
  <c r="AJ1483" i="6"/>
  <c r="AR1483" i="6" s="1"/>
  <c r="AJ1487" i="6"/>
  <c r="AR1487" i="6" s="1"/>
  <c r="T1488" i="6"/>
  <c r="AB1488" i="6" s="1"/>
  <c r="AJ1491" i="6"/>
  <c r="T1492" i="6"/>
  <c r="AJ1495" i="6"/>
  <c r="T1496" i="6"/>
  <c r="AJ1499" i="6"/>
  <c r="T1500" i="6"/>
  <c r="AB1500" i="6" s="1"/>
  <c r="AJ1503" i="6"/>
  <c r="AR1503" i="6" s="1"/>
  <c r="T1504" i="6"/>
  <c r="AJ1507" i="6"/>
  <c r="T1508" i="6"/>
  <c r="AB1508" i="6" s="1"/>
  <c r="P1510" i="6"/>
  <c r="X1510" i="6"/>
  <c r="AJ1511" i="6"/>
  <c r="AR1511" i="6" s="1"/>
  <c r="T1512" i="6"/>
  <c r="AB1512" i="6" s="1"/>
  <c r="P1514" i="6"/>
  <c r="X1514" i="6"/>
  <c r="AH1514" i="6"/>
  <c r="AP1514" i="6"/>
  <c r="AJ1515" i="6"/>
  <c r="AR1515" i="6" s="1"/>
  <c r="T1516" i="6"/>
  <c r="P1518" i="6"/>
  <c r="X1518" i="6"/>
  <c r="AH1518" i="6"/>
  <c r="AR1518" i="6" s="1"/>
  <c r="AP1518" i="6"/>
  <c r="AJ1519" i="6"/>
  <c r="AR1519" i="6" s="1"/>
  <c r="B1570" i="6"/>
  <c r="F1616" i="6"/>
  <c r="B1616" i="6" s="1"/>
  <c r="B1571" i="6"/>
  <c r="F1617" i="6"/>
  <c r="B1617" i="6" s="1"/>
  <c r="B1572" i="6"/>
  <c r="F1618" i="6"/>
  <c r="B1618" i="6" s="1"/>
  <c r="B1573" i="6"/>
  <c r="F1619" i="6"/>
  <c r="B1619" i="6" s="1"/>
  <c r="B1574" i="6"/>
  <c r="F1620" i="6"/>
  <c r="B1620" i="6" s="1"/>
  <c r="B1575" i="6"/>
  <c r="F1621" i="6"/>
  <c r="B1621" i="6" s="1"/>
  <c r="B1576" i="6"/>
  <c r="F1622" i="6"/>
  <c r="B1622" i="6" s="1"/>
  <c r="P1530" i="6"/>
  <c r="X1530" i="6"/>
  <c r="B1577" i="6"/>
  <c r="F1623" i="6"/>
  <c r="B1623" i="6" s="1"/>
  <c r="P1531" i="6"/>
  <c r="X1531" i="6"/>
  <c r="Q1532" i="6"/>
  <c r="I1579" i="6"/>
  <c r="W1533" i="6"/>
  <c r="S1533" i="6"/>
  <c r="U1534" i="6"/>
  <c r="B1535" i="6"/>
  <c r="X1535" i="6"/>
  <c r="Q1536" i="6"/>
  <c r="I1583" i="6"/>
  <c r="W1537" i="6"/>
  <c r="S1537" i="6"/>
  <c r="U1538" i="6"/>
  <c r="B1539" i="6"/>
  <c r="X1539" i="6"/>
  <c r="Q1540" i="6"/>
  <c r="Z1540" i="6"/>
  <c r="I1587" i="6"/>
  <c r="W1541" i="6"/>
  <c r="S1541" i="6"/>
  <c r="U1542" i="6"/>
  <c r="X1543" i="6"/>
  <c r="Q1544" i="6"/>
  <c r="Z1544" i="6"/>
  <c r="I1591" i="6"/>
  <c r="W1545" i="6"/>
  <c r="S1545" i="6"/>
  <c r="U1546" i="6"/>
  <c r="X1547" i="6"/>
  <c r="Q1548" i="6"/>
  <c r="Z1548" i="6"/>
  <c r="I1595" i="6"/>
  <c r="W1549" i="6"/>
  <c r="S1549" i="6"/>
  <c r="U1550" i="6"/>
  <c r="X1551" i="6"/>
  <c r="Q1552" i="6"/>
  <c r="Z1552" i="6"/>
  <c r="I1599" i="6"/>
  <c r="W1553" i="6"/>
  <c r="S1553" i="6"/>
  <c r="U1554" i="6"/>
  <c r="X1555" i="6"/>
  <c r="Q1556" i="6"/>
  <c r="Z1556" i="6"/>
  <c r="Z1557" i="6"/>
  <c r="I1603" i="6"/>
  <c r="W1557" i="6"/>
  <c r="S1557" i="6"/>
  <c r="Y1558" i="6"/>
  <c r="J1605" i="6"/>
  <c r="D1559" i="6"/>
  <c r="F1652" i="6"/>
  <c r="Q1560" i="6"/>
  <c r="X1561" i="6"/>
  <c r="AA1565" i="6"/>
  <c r="AA1568" i="6"/>
  <c r="F1725" i="6"/>
  <c r="B1679" i="6"/>
  <c r="J1730" i="6"/>
  <c r="B1684" i="6"/>
  <c r="AE1684" i="6"/>
  <c r="AE1730" i="6" s="1"/>
  <c r="AE1776" i="6" s="1"/>
  <c r="AT1684" i="6"/>
  <c r="U1488" i="6"/>
  <c r="U1492" i="6"/>
  <c r="AB1492" i="6" s="1"/>
  <c r="U1496" i="6"/>
  <c r="AB1496" i="6" s="1"/>
  <c r="U1500" i="6"/>
  <c r="U1504" i="6"/>
  <c r="U1508" i="6"/>
  <c r="Q1510" i="6"/>
  <c r="Y1510" i="6"/>
  <c r="U1512" i="6"/>
  <c r="Q1514" i="6"/>
  <c r="Y1514" i="6"/>
  <c r="AI1514" i="6"/>
  <c r="AQ1514" i="6"/>
  <c r="U1516" i="6"/>
  <c r="AB1516" i="6" s="1"/>
  <c r="Q1518" i="6"/>
  <c r="Y1518" i="6"/>
  <c r="AI1518" i="6"/>
  <c r="AQ1518" i="6"/>
  <c r="Q1530" i="6"/>
  <c r="Y1530" i="6"/>
  <c r="Q1531" i="6"/>
  <c r="Y1531" i="6"/>
  <c r="J1579" i="6"/>
  <c r="D1533" i="6"/>
  <c r="V1534" i="6"/>
  <c r="F1627" i="6"/>
  <c r="B1581" i="6"/>
  <c r="P1535" i="6"/>
  <c r="Y1535" i="6"/>
  <c r="J1583" i="6"/>
  <c r="D1537" i="6"/>
  <c r="V1538" i="6"/>
  <c r="F1631" i="6"/>
  <c r="B1585" i="6"/>
  <c r="P1539" i="6"/>
  <c r="Y1539" i="6"/>
  <c r="R1540" i="6"/>
  <c r="J1587" i="6"/>
  <c r="D1541" i="6"/>
  <c r="T1541" i="6"/>
  <c r="V1542" i="6"/>
  <c r="F1635" i="6"/>
  <c r="B1589" i="6"/>
  <c r="P1543" i="6"/>
  <c r="Y1543" i="6"/>
  <c r="R1544" i="6"/>
  <c r="J1591" i="6"/>
  <c r="D1545" i="6"/>
  <c r="T1545" i="6"/>
  <c r="V1546" i="6"/>
  <c r="F1639" i="6"/>
  <c r="P1547" i="6"/>
  <c r="Y1547" i="6"/>
  <c r="R1548" i="6"/>
  <c r="J1595" i="6"/>
  <c r="D1549" i="6"/>
  <c r="T1549" i="6"/>
  <c r="V1550" i="6"/>
  <c r="F1643" i="6"/>
  <c r="P1551" i="6"/>
  <c r="Y1551" i="6"/>
  <c r="R1552" i="6"/>
  <c r="J1599" i="6"/>
  <c r="D1553" i="6"/>
  <c r="T1553" i="6"/>
  <c r="V1554" i="6"/>
  <c r="F1647" i="6"/>
  <c r="P1555" i="6"/>
  <c r="Y1555" i="6"/>
  <c r="R1556" i="6"/>
  <c r="J1603" i="6"/>
  <c r="D1557" i="6"/>
  <c r="T1557" i="6"/>
  <c r="B1558" i="6"/>
  <c r="P1558" i="6"/>
  <c r="AA1558" i="6"/>
  <c r="Y1561" i="6"/>
  <c r="F1656" i="6"/>
  <c r="B1610" i="6"/>
  <c r="J1611" i="6"/>
  <c r="D1565" i="6"/>
  <c r="J1614" i="6"/>
  <c r="B1614" i="6" s="1"/>
  <c r="D1568" i="6"/>
  <c r="I1714" i="6"/>
  <c r="AH1668" i="6"/>
  <c r="X1668" i="6"/>
  <c r="P1668" i="6"/>
  <c r="AM1668" i="6"/>
  <c r="U1668" i="6"/>
  <c r="AQ1668" i="6"/>
  <c r="S1668" i="6"/>
  <c r="AO1668" i="6"/>
  <c r="R1668" i="6"/>
  <c r="AN1668" i="6"/>
  <c r="AA1668" i="6"/>
  <c r="Q1668" i="6"/>
  <c r="Z1668" i="6"/>
  <c r="AK1668" i="6"/>
  <c r="Y1668" i="6"/>
  <c r="W1668" i="6"/>
  <c r="F1772" i="6"/>
  <c r="R1510" i="6"/>
  <c r="Z1510" i="6"/>
  <c r="R1514" i="6"/>
  <c r="Z1514" i="6"/>
  <c r="AJ1514" i="6"/>
  <c r="AR1514" i="6" s="1"/>
  <c r="R1518" i="6"/>
  <c r="Z1518" i="6"/>
  <c r="AJ1518" i="6"/>
  <c r="R1530" i="6"/>
  <c r="Z1530" i="6"/>
  <c r="R1531" i="6"/>
  <c r="Z1531" i="6"/>
  <c r="I1578" i="6"/>
  <c r="W1532" i="6"/>
  <c r="S1532" i="6"/>
  <c r="B1534" i="6"/>
  <c r="X1534" i="6"/>
  <c r="Q1535" i="6"/>
  <c r="I1582" i="6"/>
  <c r="W1536" i="6"/>
  <c r="S1536" i="6"/>
  <c r="U1537" i="6"/>
  <c r="B1538" i="6"/>
  <c r="X1538" i="6"/>
  <c r="Q1539" i="6"/>
  <c r="I1586" i="6"/>
  <c r="W1540" i="6"/>
  <c r="S1540" i="6"/>
  <c r="U1541" i="6"/>
  <c r="B1542" i="6"/>
  <c r="X1542" i="6"/>
  <c r="Q1543" i="6"/>
  <c r="I1590" i="6"/>
  <c r="W1544" i="6"/>
  <c r="S1544" i="6"/>
  <c r="U1545" i="6"/>
  <c r="B1546" i="6"/>
  <c r="X1546" i="6"/>
  <c r="Q1547" i="6"/>
  <c r="Z1547" i="6"/>
  <c r="I1594" i="6"/>
  <c r="W1548" i="6"/>
  <c r="S1548" i="6"/>
  <c r="U1549" i="6"/>
  <c r="B1550" i="6"/>
  <c r="X1550" i="6"/>
  <c r="Q1551" i="6"/>
  <c r="Z1551" i="6"/>
  <c r="I1598" i="6"/>
  <c r="W1552" i="6"/>
  <c r="S1552" i="6"/>
  <c r="U1553" i="6"/>
  <c r="B1554" i="6"/>
  <c r="X1554" i="6"/>
  <c r="Q1555" i="6"/>
  <c r="Z1555" i="6"/>
  <c r="I1602" i="6"/>
  <c r="W1556" i="6"/>
  <c r="S1556" i="6"/>
  <c r="U1557" i="6"/>
  <c r="F1650" i="6"/>
  <c r="Q1558" i="6"/>
  <c r="Z1560" i="6"/>
  <c r="R1560" i="6"/>
  <c r="I1606" i="6"/>
  <c r="W1560" i="6"/>
  <c r="T1560" i="6"/>
  <c r="B1561" i="6"/>
  <c r="B1563" i="6"/>
  <c r="AA1564" i="6"/>
  <c r="B1567" i="6"/>
  <c r="D1571" i="6"/>
  <c r="D1573" i="6"/>
  <c r="D1575" i="6"/>
  <c r="D1577" i="6"/>
  <c r="V1741" i="6"/>
  <c r="V1576" i="6"/>
  <c r="U1576" i="6"/>
  <c r="T1576" i="6"/>
  <c r="AA1576" i="6"/>
  <c r="S1576" i="6"/>
  <c r="Z1576" i="6"/>
  <c r="R1576" i="6"/>
  <c r="Y1576" i="6"/>
  <c r="Q1576" i="6"/>
  <c r="I1622" i="6"/>
  <c r="X1576" i="6"/>
  <c r="P1576" i="6"/>
  <c r="S1530" i="6"/>
  <c r="AA1530" i="6"/>
  <c r="V1577" i="6"/>
  <c r="U1577" i="6"/>
  <c r="T1577" i="6"/>
  <c r="AA1577" i="6"/>
  <c r="S1577" i="6"/>
  <c r="Z1577" i="6"/>
  <c r="R1577" i="6"/>
  <c r="Y1577" i="6"/>
  <c r="Q1577" i="6"/>
  <c r="I1623" i="6"/>
  <c r="X1577" i="6"/>
  <c r="P1577" i="6"/>
  <c r="S1531" i="6"/>
  <c r="AA1531" i="6"/>
  <c r="J1578" i="6"/>
  <c r="D1532" i="6"/>
  <c r="F1626" i="6"/>
  <c r="P1534" i="6"/>
  <c r="Y1534" i="6"/>
  <c r="J1582" i="6"/>
  <c r="D1536" i="6"/>
  <c r="F1630" i="6"/>
  <c r="P1538" i="6"/>
  <c r="Y1538" i="6"/>
  <c r="J1586" i="6"/>
  <c r="D1540" i="6"/>
  <c r="F1634" i="6"/>
  <c r="B1588" i="6"/>
  <c r="P1542" i="6"/>
  <c r="AB1542" i="6" s="1"/>
  <c r="Y1542" i="6"/>
  <c r="J1590" i="6"/>
  <c r="D1544" i="6"/>
  <c r="F1638" i="6"/>
  <c r="P1546" i="6"/>
  <c r="Y1546" i="6"/>
  <c r="R1547" i="6"/>
  <c r="J1594" i="6"/>
  <c r="D1548" i="6"/>
  <c r="F1642" i="6"/>
  <c r="B1596" i="6"/>
  <c r="P1550" i="6"/>
  <c r="Y1550" i="6"/>
  <c r="R1551" i="6"/>
  <c r="J1598" i="6"/>
  <c r="D1552" i="6"/>
  <c r="F1646" i="6"/>
  <c r="B1600" i="6"/>
  <c r="P1554" i="6"/>
  <c r="Y1554" i="6"/>
  <c r="R1555" i="6"/>
  <c r="J1602" i="6"/>
  <c r="D1556" i="6"/>
  <c r="J1606" i="6"/>
  <c r="D1560" i="6"/>
  <c r="F1653" i="6"/>
  <c r="B1607" i="6"/>
  <c r="F1655" i="6"/>
  <c r="J1610" i="6"/>
  <c r="D1564" i="6"/>
  <c r="F1659" i="6"/>
  <c r="AP1669" i="6"/>
  <c r="I1722" i="6"/>
  <c r="X1676" i="6"/>
  <c r="P1676" i="6"/>
  <c r="AB1676" i="6" s="1"/>
  <c r="W1676" i="6"/>
  <c r="U1676" i="6"/>
  <c r="S1676" i="6"/>
  <c r="AF1676" i="6"/>
  <c r="R1676" i="6"/>
  <c r="Q1676" i="6"/>
  <c r="AA1676" i="6"/>
  <c r="Z1676" i="6"/>
  <c r="Y1676" i="6"/>
  <c r="V1676" i="6"/>
  <c r="F1723" i="6"/>
  <c r="B1677" i="6"/>
  <c r="AL1514" i="6"/>
  <c r="AL1518" i="6"/>
  <c r="T1530" i="6"/>
  <c r="T1531" i="6"/>
  <c r="Q1534" i="6"/>
  <c r="Z1534" i="6"/>
  <c r="I1581" i="6"/>
  <c r="W1535" i="6"/>
  <c r="S1535" i="6"/>
  <c r="Q1538" i="6"/>
  <c r="Z1538" i="6"/>
  <c r="I1585" i="6"/>
  <c r="W1539" i="6"/>
  <c r="S1539" i="6"/>
  <c r="Q1542" i="6"/>
  <c r="Z1542" i="6"/>
  <c r="I1589" i="6"/>
  <c r="W1543" i="6"/>
  <c r="S1543" i="6"/>
  <c r="Q1546" i="6"/>
  <c r="Z1546" i="6"/>
  <c r="I1593" i="6"/>
  <c r="W1547" i="6"/>
  <c r="S1547" i="6"/>
  <c r="Q1550" i="6"/>
  <c r="Z1550" i="6"/>
  <c r="I1597" i="6"/>
  <c r="W1551" i="6"/>
  <c r="S1551" i="6"/>
  <c r="Q1554" i="6"/>
  <c r="Z1554" i="6"/>
  <c r="I1601" i="6"/>
  <c r="W1555" i="6"/>
  <c r="S1555" i="6"/>
  <c r="Z1558" i="6"/>
  <c r="R1558" i="6"/>
  <c r="I1604" i="6"/>
  <c r="W1558" i="6"/>
  <c r="T1558" i="6"/>
  <c r="AA1563" i="6"/>
  <c r="AA1567" i="6"/>
  <c r="W1577" i="6"/>
  <c r="S1728" i="6"/>
  <c r="U1530" i="6"/>
  <c r="U1531" i="6"/>
  <c r="B1579" i="6"/>
  <c r="F1625" i="6"/>
  <c r="R1534" i="6"/>
  <c r="J1581" i="6"/>
  <c r="D1535" i="6"/>
  <c r="T1535" i="6"/>
  <c r="F1629" i="6"/>
  <c r="R1538" i="6"/>
  <c r="J1585" i="6"/>
  <c r="D1539" i="6"/>
  <c r="T1539" i="6"/>
  <c r="F1633" i="6"/>
  <c r="B1587" i="6"/>
  <c r="R1542" i="6"/>
  <c r="J1589" i="6"/>
  <c r="D1543" i="6"/>
  <c r="T1543" i="6"/>
  <c r="F1637" i="6"/>
  <c r="B1591" i="6"/>
  <c r="R1546" i="6"/>
  <c r="J1593" i="6"/>
  <c r="D1547" i="6"/>
  <c r="T1547" i="6"/>
  <c r="F1641" i="6"/>
  <c r="B1595" i="6"/>
  <c r="R1550" i="6"/>
  <c r="J1597" i="6"/>
  <c r="D1551" i="6"/>
  <c r="T1551" i="6"/>
  <c r="F1645" i="6"/>
  <c r="R1554" i="6"/>
  <c r="J1601" i="6"/>
  <c r="D1555" i="6"/>
  <c r="T1555" i="6"/>
  <c r="F1649" i="6"/>
  <c r="B1603" i="6"/>
  <c r="J1604" i="6"/>
  <c r="D1558" i="6"/>
  <c r="U1558" i="6"/>
  <c r="F1651" i="6"/>
  <c r="AA1561" i="6"/>
  <c r="Z1561" i="6"/>
  <c r="R1561" i="6"/>
  <c r="I1607" i="6"/>
  <c r="W1561" i="6"/>
  <c r="T1561" i="6"/>
  <c r="F1654" i="6"/>
  <c r="J1609" i="6"/>
  <c r="D1563" i="6"/>
  <c r="F1658" i="6"/>
  <c r="J1613" i="6"/>
  <c r="D1567" i="6"/>
  <c r="J1719" i="6"/>
  <c r="AT1673" i="6"/>
  <c r="AE1673" i="6"/>
  <c r="AE1719" i="6" s="1"/>
  <c r="AE1765" i="6" s="1"/>
  <c r="F1729" i="6"/>
  <c r="B1683" i="6"/>
  <c r="T1688" i="6"/>
  <c r="F1745" i="6"/>
  <c r="B1699" i="6"/>
  <c r="I1580" i="6"/>
  <c r="W1534" i="6"/>
  <c r="S1534" i="6"/>
  <c r="I1584" i="6"/>
  <c r="W1538" i="6"/>
  <c r="S1538" i="6"/>
  <c r="I1588" i="6"/>
  <c r="W1542" i="6"/>
  <c r="S1542" i="6"/>
  <c r="I1592" i="6"/>
  <c r="W1546" i="6"/>
  <c r="S1546" i="6"/>
  <c r="I1596" i="6"/>
  <c r="W1550" i="6"/>
  <c r="S1550" i="6"/>
  <c r="I1600" i="6"/>
  <c r="W1554" i="6"/>
  <c r="S1554" i="6"/>
  <c r="J1607" i="6"/>
  <c r="D1561" i="6"/>
  <c r="AA1562" i="6"/>
  <c r="AA1566" i="6"/>
  <c r="D1570" i="6"/>
  <c r="D1572" i="6"/>
  <c r="D1574" i="6"/>
  <c r="D1576" i="6"/>
  <c r="F1800" i="6"/>
  <c r="B1754" i="6"/>
  <c r="AG1713" i="6"/>
  <c r="J1714" i="6"/>
  <c r="AE1668" i="6"/>
  <c r="AE1714" i="6" s="1"/>
  <c r="AE1760" i="6" s="1"/>
  <c r="AT1668" i="6"/>
  <c r="F1762" i="6"/>
  <c r="B1762" i="6" s="1"/>
  <c r="B1716" i="6"/>
  <c r="I1718" i="6"/>
  <c r="AP1672" i="6"/>
  <c r="X1673" i="6"/>
  <c r="J1722" i="6"/>
  <c r="B1676" i="6"/>
  <c r="AE1676" i="6"/>
  <c r="AE1722" i="6" s="1"/>
  <c r="AE1768" i="6" s="1"/>
  <c r="I1723" i="6"/>
  <c r="Z1677" i="6"/>
  <c r="R1677" i="6"/>
  <c r="Y1677" i="6"/>
  <c r="Q1677" i="6"/>
  <c r="W1677" i="6"/>
  <c r="U1677" i="6"/>
  <c r="F1770" i="6"/>
  <c r="B1724" i="6"/>
  <c r="I1727" i="6"/>
  <c r="Z1681" i="6"/>
  <c r="R1681" i="6"/>
  <c r="Y1681" i="6"/>
  <c r="Q1681" i="6"/>
  <c r="X1681" i="6"/>
  <c r="P1681" i="6"/>
  <c r="W1681" i="6"/>
  <c r="V1681" i="6"/>
  <c r="Q1731" i="6"/>
  <c r="F1778" i="6"/>
  <c r="B1732" i="6"/>
  <c r="F1749" i="6"/>
  <c r="B1703" i="6"/>
  <c r="AE1705" i="6"/>
  <c r="AE1751" i="6" s="1"/>
  <c r="AE1797" i="6" s="1"/>
  <c r="J1751" i="6"/>
  <c r="B1705" i="6"/>
  <c r="J1778" i="6"/>
  <c r="AT1778" i="6" s="1"/>
  <c r="AT1732" i="6"/>
  <c r="I1782" i="6"/>
  <c r="Z1736" i="6"/>
  <c r="R1736" i="6"/>
  <c r="Y1736" i="6"/>
  <c r="Q1736" i="6"/>
  <c r="X1736" i="6"/>
  <c r="P1736" i="6"/>
  <c r="AG1736" i="6"/>
  <c r="W1736" i="6"/>
  <c r="AF1736" i="6"/>
  <c r="V1736" i="6"/>
  <c r="U1736" i="6"/>
  <c r="AA1736" i="6"/>
  <c r="T1736" i="6"/>
  <c r="S1736" i="6"/>
  <c r="Z1771" i="6"/>
  <c r="R1771" i="6"/>
  <c r="Y1771" i="6"/>
  <c r="Q1771" i="6"/>
  <c r="W1771" i="6"/>
  <c r="U1771" i="6"/>
  <c r="T1771" i="6"/>
  <c r="AF1771" i="6"/>
  <c r="S1771" i="6"/>
  <c r="P1771" i="6"/>
  <c r="AA1771" i="6"/>
  <c r="X1771" i="6"/>
  <c r="V1771" i="6"/>
  <c r="J1713" i="6"/>
  <c r="AT1667" i="6"/>
  <c r="P1669" i="6"/>
  <c r="AA1669" i="6"/>
  <c r="Z1717" i="6"/>
  <c r="J1718" i="6"/>
  <c r="AE1672" i="6"/>
  <c r="AE1718" i="6" s="1"/>
  <c r="AE1764" i="6" s="1"/>
  <c r="AT1672" i="6"/>
  <c r="AA1673" i="6"/>
  <c r="J1766" i="6"/>
  <c r="AT1766" i="6" s="1"/>
  <c r="AT1720" i="6"/>
  <c r="F1767" i="6"/>
  <c r="J1769" i="6"/>
  <c r="AT1769" i="6" s="1"/>
  <c r="AT1723" i="6"/>
  <c r="V1677" i="6"/>
  <c r="J1773" i="6"/>
  <c r="AT1773" i="6" s="1"/>
  <c r="AT1727" i="6"/>
  <c r="AA1681" i="6"/>
  <c r="AT1681" i="6"/>
  <c r="J1731" i="6"/>
  <c r="AT1685" i="6"/>
  <c r="AE1685" i="6"/>
  <c r="AE1731" i="6" s="1"/>
  <c r="AE1777" i="6" s="1"/>
  <c r="I1778" i="6"/>
  <c r="Z1732" i="6"/>
  <c r="R1732" i="6"/>
  <c r="Y1732" i="6"/>
  <c r="Q1732" i="6"/>
  <c r="X1732" i="6"/>
  <c r="P1732" i="6"/>
  <c r="AG1732" i="6"/>
  <c r="W1732" i="6"/>
  <c r="AF1732" i="6"/>
  <c r="V1732" i="6"/>
  <c r="U1732" i="6"/>
  <c r="AA1732" i="6"/>
  <c r="T1732" i="6"/>
  <c r="S1732" i="6"/>
  <c r="F1780" i="6"/>
  <c r="B1734" i="6"/>
  <c r="J1739" i="6"/>
  <c r="AT1693" i="6"/>
  <c r="AE1693" i="6"/>
  <c r="AE1739" i="6" s="1"/>
  <c r="AE1785" i="6" s="1"/>
  <c r="Z1743" i="6"/>
  <c r="F1753" i="6"/>
  <c r="B1707" i="6"/>
  <c r="AH1709" i="6"/>
  <c r="X1709" i="6"/>
  <c r="P1709" i="6"/>
  <c r="U1709" i="6"/>
  <c r="I1755" i="6"/>
  <c r="AF1709" i="6"/>
  <c r="S1709" i="6"/>
  <c r="R1709" i="6"/>
  <c r="AA1709" i="6"/>
  <c r="Q1709" i="6"/>
  <c r="Z1709" i="6"/>
  <c r="Y1709" i="6"/>
  <c r="AJ1709" i="6"/>
  <c r="W1709" i="6"/>
  <c r="AI1709" i="6"/>
  <c r="V1709" i="6"/>
  <c r="AT1736" i="6"/>
  <c r="W1562" i="6"/>
  <c r="W1563" i="6"/>
  <c r="W1564" i="6"/>
  <c r="W1565" i="6"/>
  <c r="W1566" i="6"/>
  <c r="W1567" i="6"/>
  <c r="W1568" i="6"/>
  <c r="F1715" i="6"/>
  <c r="B1669" i="6"/>
  <c r="Q1669" i="6"/>
  <c r="I1716" i="6"/>
  <c r="T1670" i="6"/>
  <c r="Y1670" i="6"/>
  <c r="Q1670" i="6"/>
  <c r="U1670" i="6"/>
  <c r="J1717" i="6"/>
  <c r="AT1671" i="6"/>
  <c r="X1677" i="6"/>
  <c r="V1725" i="6"/>
  <c r="I1726" i="6"/>
  <c r="X1680" i="6"/>
  <c r="P1680" i="6"/>
  <c r="AG1680" i="6"/>
  <c r="W1680" i="6"/>
  <c r="AF1680" i="6"/>
  <c r="V1680" i="6"/>
  <c r="U1680" i="6"/>
  <c r="T1680" i="6"/>
  <c r="U1729" i="6"/>
  <c r="F1784" i="6"/>
  <c r="B1784" i="6" s="1"/>
  <c r="B1738" i="6"/>
  <c r="J1743" i="6"/>
  <c r="AT1697" i="6"/>
  <c r="AE1697" i="6"/>
  <c r="AE1743" i="6" s="1"/>
  <c r="AE1789" i="6" s="1"/>
  <c r="J1798" i="6"/>
  <c r="AT1798" i="6" s="1"/>
  <c r="AT1752" i="6"/>
  <c r="X1567" i="6"/>
  <c r="P1568" i="6"/>
  <c r="X1568" i="6"/>
  <c r="I1608" i="6"/>
  <c r="I1609" i="6"/>
  <c r="I1610" i="6"/>
  <c r="I1611" i="6"/>
  <c r="I1612" i="6"/>
  <c r="I1613" i="6"/>
  <c r="I1614" i="6"/>
  <c r="B1668" i="6"/>
  <c r="S1669" i="6"/>
  <c r="F1719" i="6"/>
  <c r="B1673" i="6"/>
  <c r="P1673" i="6"/>
  <c r="AA1677" i="6"/>
  <c r="J1770" i="6"/>
  <c r="AT1770" i="6" s="1"/>
  <c r="AT1724" i="6"/>
  <c r="J1726" i="6"/>
  <c r="B1680" i="6"/>
  <c r="AE1680" i="6"/>
  <c r="AE1726" i="6" s="1"/>
  <c r="AE1772" i="6" s="1"/>
  <c r="AE1681" i="6"/>
  <c r="AE1727" i="6" s="1"/>
  <c r="AE1773" i="6" s="1"/>
  <c r="B1682" i="6"/>
  <c r="R1684" i="6"/>
  <c r="F1733" i="6"/>
  <c r="B1687" i="6"/>
  <c r="I1734" i="6"/>
  <c r="Y1688" i="6"/>
  <c r="Q1688" i="6"/>
  <c r="X1688" i="6"/>
  <c r="P1688" i="6"/>
  <c r="AG1688" i="6"/>
  <c r="W1688" i="6"/>
  <c r="AF1688" i="6"/>
  <c r="V1688" i="6"/>
  <c r="U1688" i="6"/>
  <c r="Z1688" i="6"/>
  <c r="B1742" i="6"/>
  <c r="F1788" i="6"/>
  <c r="J1747" i="6"/>
  <c r="AT1701" i="6"/>
  <c r="AE1701" i="6"/>
  <c r="AE1747" i="6" s="1"/>
  <c r="AE1793" i="6" s="1"/>
  <c r="Q1562" i="6"/>
  <c r="Y1562" i="6"/>
  <c r="Q1563" i="6"/>
  <c r="Y1563" i="6"/>
  <c r="Q1564" i="6"/>
  <c r="Y1564" i="6"/>
  <c r="Q1565" i="6"/>
  <c r="Y1565" i="6"/>
  <c r="Q1566" i="6"/>
  <c r="Y1566" i="6"/>
  <c r="Q1567" i="6"/>
  <c r="Y1567" i="6"/>
  <c r="Q1568" i="6"/>
  <c r="Y1568" i="6"/>
  <c r="F1760" i="6"/>
  <c r="B1714" i="6"/>
  <c r="I1715" i="6"/>
  <c r="Z1669" i="6"/>
  <c r="R1669" i="6"/>
  <c r="W1669" i="6"/>
  <c r="AQ1669" i="6"/>
  <c r="Z1672" i="6"/>
  <c r="S1673" i="6"/>
  <c r="AF1673" i="6"/>
  <c r="B1722" i="6"/>
  <c r="F1768" i="6"/>
  <c r="F1774" i="6"/>
  <c r="B1728" i="6"/>
  <c r="F1776" i="6"/>
  <c r="B1730" i="6"/>
  <c r="S1684" i="6"/>
  <c r="J1734" i="6"/>
  <c r="B1688" i="6"/>
  <c r="AE1688" i="6"/>
  <c r="AE1734" i="6" s="1"/>
  <c r="AE1780" i="6" s="1"/>
  <c r="J1735" i="6"/>
  <c r="AT1689" i="6"/>
  <c r="J1786" i="6"/>
  <c r="AT1786" i="6" s="1"/>
  <c r="AT1740" i="6"/>
  <c r="T1744" i="6"/>
  <c r="F1792" i="6"/>
  <c r="B1746" i="6"/>
  <c r="R1562" i="6"/>
  <c r="Z1562" i="6"/>
  <c r="R1563" i="6"/>
  <c r="Z1563" i="6"/>
  <c r="R1564" i="6"/>
  <c r="Z1564" i="6"/>
  <c r="R1565" i="6"/>
  <c r="Z1565" i="6"/>
  <c r="R1566" i="6"/>
  <c r="Z1566" i="6"/>
  <c r="R1567" i="6"/>
  <c r="Z1567" i="6"/>
  <c r="R1568" i="6"/>
  <c r="Z1568" i="6"/>
  <c r="F1759" i="6"/>
  <c r="B1713" i="6"/>
  <c r="J1761" i="6"/>
  <c r="AT1761" i="6" s="1"/>
  <c r="AT1715" i="6"/>
  <c r="U1669" i="6"/>
  <c r="AT1669" i="6"/>
  <c r="X1670" i="6"/>
  <c r="B1671" i="6"/>
  <c r="B1718" i="6"/>
  <c r="F1764" i="6"/>
  <c r="AA1672" i="6"/>
  <c r="T1673" i="6"/>
  <c r="B1674" i="6"/>
  <c r="J1721" i="6"/>
  <c r="AE1675" i="6"/>
  <c r="AE1721" i="6" s="1"/>
  <c r="AE1767" i="6" s="1"/>
  <c r="AT1675" i="6"/>
  <c r="AT1676" i="6"/>
  <c r="P1677" i="6"/>
  <c r="AE1677" i="6"/>
  <c r="AE1723" i="6" s="1"/>
  <c r="AE1769" i="6" s="1"/>
  <c r="AT1677" i="6"/>
  <c r="AT1680" i="6"/>
  <c r="S1681" i="6"/>
  <c r="I1774" i="6"/>
  <c r="Z1728" i="6"/>
  <c r="R1728" i="6"/>
  <c r="Y1728" i="6"/>
  <c r="Q1728" i="6"/>
  <c r="X1728" i="6"/>
  <c r="P1728" i="6"/>
  <c r="W1728" i="6"/>
  <c r="V1728" i="6"/>
  <c r="U1728" i="6"/>
  <c r="AA1728" i="6"/>
  <c r="T1728" i="6"/>
  <c r="AT1744" i="6"/>
  <c r="J1790" i="6"/>
  <c r="AT1790" i="6" s="1"/>
  <c r="AT1748" i="6"/>
  <c r="J1794" i="6"/>
  <c r="AT1794" i="6" s="1"/>
  <c r="S1562" i="6"/>
  <c r="S1563" i="6"/>
  <c r="S1564" i="6"/>
  <c r="S1565" i="6"/>
  <c r="S1566" i="6"/>
  <c r="S1567" i="6"/>
  <c r="S1568" i="6"/>
  <c r="F1763" i="6"/>
  <c r="B1717" i="6"/>
  <c r="I1719" i="6"/>
  <c r="Z1673" i="6"/>
  <c r="R1673" i="6"/>
  <c r="Y1673" i="6"/>
  <c r="Q1673" i="6"/>
  <c r="W1673" i="6"/>
  <c r="U1673" i="6"/>
  <c r="F1766" i="6"/>
  <c r="B1766" i="6" s="1"/>
  <c r="B1720" i="6"/>
  <c r="J1774" i="6"/>
  <c r="AT1774" i="6" s="1"/>
  <c r="AT1728" i="6"/>
  <c r="I1730" i="6"/>
  <c r="Y1684" i="6"/>
  <c r="Q1684" i="6"/>
  <c r="X1684" i="6"/>
  <c r="P1684" i="6"/>
  <c r="AG1684" i="6"/>
  <c r="W1684" i="6"/>
  <c r="AF1684" i="6"/>
  <c r="V1684" i="6"/>
  <c r="U1684" i="6"/>
  <c r="Z1684" i="6"/>
  <c r="F1737" i="6"/>
  <c r="B1691" i="6"/>
  <c r="F1741" i="6"/>
  <c r="B1695" i="6"/>
  <c r="AT1716" i="6"/>
  <c r="J1762" i="6"/>
  <c r="AT1762" i="6" s="1"/>
  <c r="I1784" i="6"/>
  <c r="AF1738" i="6"/>
  <c r="V1738" i="6"/>
  <c r="U1738" i="6"/>
  <c r="T1738" i="6"/>
  <c r="AA1738" i="6"/>
  <c r="S1738" i="6"/>
  <c r="Z1738" i="6"/>
  <c r="R1738" i="6"/>
  <c r="Y1738" i="6"/>
  <c r="Q1738" i="6"/>
  <c r="S1692" i="6"/>
  <c r="AA1692" i="6"/>
  <c r="I1788" i="6"/>
  <c r="W1742" i="6"/>
  <c r="V1742" i="6"/>
  <c r="U1742" i="6"/>
  <c r="T1742" i="6"/>
  <c r="AA1742" i="6"/>
  <c r="S1742" i="6"/>
  <c r="Z1742" i="6"/>
  <c r="R1742" i="6"/>
  <c r="Y1742" i="6"/>
  <c r="Q1742" i="6"/>
  <c r="S1696" i="6"/>
  <c r="AA1696" i="6"/>
  <c r="I1792" i="6"/>
  <c r="AG1746" i="6"/>
  <c r="W1746" i="6"/>
  <c r="AF1746" i="6"/>
  <c r="V1746" i="6"/>
  <c r="U1746" i="6"/>
  <c r="T1746" i="6"/>
  <c r="AA1746" i="6"/>
  <c r="S1746" i="6"/>
  <c r="Z1746" i="6"/>
  <c r="R1746" i="6"/>
  <c r="Y1746" i="6"/>
  <c r="Q1746" i="6"/>
  <c r="S1700" i="6"/>
  <c r="AA1700" i="6"/>
  <c r="J1750" i="6"/>
  <c r="AT1704" i="6"/>
  <c r="W1705" i="6"/>
  <c r="AE1709" i="6"/>
  <c r="AE1755" i="6" s="1"/>
  <c r="AE1801" i="6" s="1"/>
  <c r="J1755" i="6"/>
  <c r="AT1709" i="6"/>
  <c r="Y1710" i="6"/>
  <c r="F1803" i="6"/>
  <c r="B1757" i="6"/>
  <c r="P1713" i="6"/>
  <c r="AF1713" i="6"/>
  <c r="X1717" i="6"/>
  <c r="P1721" i="6"/>
  <c r="U1725" i="6"/>
  <c r="Z1731" i="6"/>
  <c r="Y1735" i="6"/>
  <c r="AF1745" i="6"/>
  <c r="T1748" i="6"/>
  <c r="F1782" i="6"/>
  <c r="B1782" i="6" s="1"/>
  <c r="B1736" i="6"/>
  <c r="J1784" i="6"/>
  <c r="AT1784" i="6" s="1"/>
  <c r="AT1738" i="6"/>
  <c r="T1692" i="6"/>
  <c r="F1786" i="6"/>
  <c r="B1786" i="6" s="1"/>
  <c r="B1740" i="6"/>
  <c r="J1788" i="6"/>
  <c r="AT1788" i="6" s="1"/>
  <c r="AT1742" i="6"/>
  <c r="T1696" i="6"/>
  <c r="V1697" i="6"/>
  <c r="AF1697" i="6"/>
  <c r="F1790" i="6"/>
  <c r="B1790" i="6" s="1"/>
  <c r="B1744" i="6"/>
  <c r="P1698" i="6"/>
  <c r="X1698" i="6"/>
  <c r="J1792" i="6"/>
  <c r="AT1792" i="6" s="1"/>
  <c r="AT1746" i="6"/>
  <c r="T1700" i="6"/>
  <c r="V1701" i="6"/>
  <c r="AF1701" i="6"/>
  <c r="F1794" i="6"/>
  <c r="B1748" i="6"/>
  <c r="P1702" i="6"/>
  <c r="AB1702" i="6" s="1"/>
  <c r="X1702" i="6"/>
  <c r="AT1703" i="6"/>
  <c r="Y1705" i="6"/>
  <c r="F1752" i="6"/>
  <c r="B1706" i="6"/>
  <c r="Q1706" i="6"/>
  <c r="T1707" i="6"/>
  <c r="I1753" i="6"/>
  <c r="AI1707" i="6"/>
  <c r="Y1707" i="6"/>
  <c r="Q1707" i="6"/>
  <c r="U1707" i="6"/>
  <c r="AG1707" i="6"/>
  <c r="J1754" i="6"/>
  <c r="AT1708" i="6"/>
  <c r="P1710" i="6"/>
  <c r="AA1710" i="6"/>
  <c r="R1713" i="6"/>
  <c r="U1721" i="6"/>
  <c r="Z1735" i="6"/>
  <c r="F1750" i="6"/>
  <c r="T1713" i="6"/>
  <c r="I1759" i="6"/>
  <c r="AA1713" i="6"/>
  <c r="S1713" i="6"/>
  <c r="Y1713" i="6"/>
  <c r="Q1713" i="6"/>
  <c r="S1667" i="6"/>
  <c r="AA1667" i="6"/>
  <c r="T1717" i="6"/>
  <c r="I1763" i="6"/>
  <c r="AA1717" i="6"/>
  <c r="S1717" i="6"/>
  <c r="Y1717" i="6"/>
  <c r="Q1717" i="6"/>
  <c r="AG1717" i="6"/>
  <c r="W1717" i="6"/>
  <c r="S1671" i="6"/>
  <c r="AA1671" i="6"/>
  <c r="Q1674" i="6"/>
  <c r="Y1674" i="6"/>
  <c r="T1721" i="6"/>
  <c r="I1767" i="6"/>
  <c r="AA1721" i="6"/>
  <c r="S1721" i="6"/>
  <c r="Z1721" i="6"/>
  <c r="R1721" i="6"/>
  <c r="Y1721" i="6"/>
  <c r="Q1721" i="6"/>
  <c r="W1721" i="6"/>
  <c r="S1675" i="6"/>
  <c r="AA1675" i="6"/>
  <c r="Q1678" i="6"/>
  <c r="Y1678" i="6"/>
  <c r="T1725" i="6"/>
  <c r="AA1725" i="6"/>
  <c r="S1725" i="6"/>
  <c r="Z1725" i="6"/>
  <c r="R1725" i="6"/>
  <c r="Y1725" i="6"/>
  <c r="Q1725" i="6"/>
  <c r="X1725" i="6"/>
  <c r="P1725" i="6"/>
  <c r="AB1725" i="6" s="1"/>
  <c r="W1725" i="6"/>
  <c r="S1679" i="6"/>
  <c r="AA1679" i="6"/>
  <c r="AT1679" i="6"/>
  <c r="B1681" i="6"/>
  <c r="Q1682" i="6"/>
  <c r="Y1682" i="6"/>
  <c r="I1775" i="6"/>
  <c r="T1729" i="6"/>
  <c r="AA1729" i="6"/>
  <c r="S1729" i="6"/>
  <c r="Z1729" i="6"/>
  <c r="R1729" i="6"/>
  <c r="Y1729" i="6"/>
  <c r="Q1729" i="6"/>
  <c r="X1729" i="6"/>
  <c r="P1729" i="6"/>
  <c r="W1729" i="6"/>
  <c r="S1683" i="6"/>
  <c r="AA1683" i="6"/>
  <c r="AT1683" i="6"/>
  <c r="B1685" i="6"/>
  <c r="W1685" i="6"/>
  <c r="Q1686" i="6"/>
  <c r="Y1686" i="6"/>
  <c r="I1779" i="6"/>
  <c r="T1733" i="6"/>
  <c r="AA1733" i="6"/>
  <c r="S1733" i="6"/>
  <c r="Z1733" i="6"/>
  <c r="R1733" i="6"/>
  <c r="Y1733" i="6"/>
  <c r="Q1733" i="6"/>
  <c r="X1733" i="6"/>
  <c r="P1733" i="6"/>
  <c r="W1733" i="6"/>
  <c r="S1687" i="6"/>
  <c r="AA1687" i="6"/>
  <c r="AT1687" i="6"/>
  <c r="B1689" i="6"/>
  <c r="W1689" i="6"/>
  <c r="Q1690" i="6"/>
  <c r="Y1690" i="6"/>
  <c r="I1783" i="6"/>
  <c r="T1737" i="6"/>
  <c r="AA1737" i="6"/>
  <c r="S1737" i="6"/>
  <c r="Z1737" i="6"/>
  <c r="R1737" i="6"/>
  <c r="Y1737" i="6"/>
  <c r="Q1737" i="6"/>
  <c r="X1737" i="6"/>
  <c r="P1737" i="6"/>
  <c r="W1737" i="6"/>
  <c r="S1691" i="6"/>
  <c r="AA1691" i="6"/>
  <c r="AT1691" i="6"/>
  <c r="U1692" i="6"/>
  <c r="AE1692" i="6"/>
  <c r="AE1738" i="6" s="1"/>
  <c r="AE1784" i="6" s="1"/>
  <c r="B1693" i="6"/>
  <c r="W1693" i="6"/>
  <c r="Q1694" i="6"/>
  <c r="Y1694" i="6"/>
  <c r="I1787" i="6"/>
  <c r="U1741" i="6"/>
  <c r="T1741" i="6"/>
  <c r="AA1741" i="6"/>
  <c r="S1741" i="6"/>
  <c r="Z1741" i="6"/>
  <c r="R1741" i="6"/>
  <c r="Y1741" i="6"/>
  <c r="Q1741" i="6"/>
  <c r="X1741" i="6"/>
  <c r="P1741" i="6"/>
  <c r="W1741" i="6"/>
  <c r="S1695" i="6"/>
  <c r="AA1695" i="6"/>
  <c r="AT1695" i="6"/>
  <c r="U1696" i="6"/>
  <c r="AE1696" i="6"/>
  <c r="AE1742" i="6" s="1"/>
  <c r="AE1788" i="6" s="1"/>
  <c r="B1697" i="6"/>
  <c r="W1697" i="6"/>
  <c r="Q1698" i="6"/>
  <c r="Y1698" i="6"/>
  <c r="I1791" i="6"/>
  <c r="U1745" i="6"/>
  <c r="T1745" i="6"/>
  <c r="AA1745" i="6"/>
  <c r="S1745" i="6"/>
  <c r="Z1745" i="6"/>
  <c r="R1745" i="6"/>
  <c r="Y1745" i="6"/>
  <c r="Q1745" i="6"/>
  <c r="X1745" i="6"/>
  <c r="P1745" i="6"/>
  <c r="AB1745" i="6" s="1"/>
  <c r="W1745" i="6"/>
  <c r="S1699" i="6"/>
  <c r="AA1699" i="6"/>
  <c r="AT1699" i="6"/>
  <c r="U1700" i="6"/>
  <c r="AE1700" i="6"/>
  <c r="AE1746" i="6" s="1"/>
  <c r="AE1792" i="6" s="1"/>
  <c r="B1701" i="6"/>
  <c r="W1701" i="6"/>
  <c r="Q1702" i="6"/>
  <c r="Y1702" i="6"/>
  <c r="I1749" i="6"/>
  <c r="S1703" i="6"/>
  <c r="AA1703" i="6"/>
  <c r="Z1705" i="6"/>
  <c r="S1706" i="6"/>
  <c r="AE1706" i="6"/>
  <c r="AE1752" i="6" s="1"/>
  <c r="AE1798" i="6" s="1"/>
  <c r="J1799" i="6"/>
  <c r="AT1799" i="6" s="1"/>
  <c r="AT1753" i="6"/>
  <c r="V1707" i="6"/>
  <c r="AH1707" i="6"/>
  <c r="F1756" i="6"/>
  <c r="B1710" i="6"/>
  <c r="Q1710" i="6"/>
  <c r="T1711" i="6"/>
  <c r="I1757" i="6"/>
  <c r="AI1711" i="6"/>
  <c r="Y1711" i="6"/>
  <c r="Q1711" i="6"/>
  <c r="U1711" i="6"/>
  <c r="AG1711" i="6"/>
  <c r="U1713" i="6"/>
  <c r="V1721" i="6"/>
  <c r="I1724" i="6"/>
  <c r="V1729" i="6"/>
  <c r="U1733" i="6"/>
  <c r="AF1741" i="6"/>
  <c r="R1747" i="6"/>
  <c r="AT1725" i="6"/>
  <c r="J1771" i="6"/>
  <c r="AT1771" i="6" s="1"/>
  <c r="F1773" i="6"/>
  <c r="B1727" i="6"/>
  <c r="R1682" i="6"/>
  <c r="Z1682" i="6"/>
  <c r="J1775" i="6"/>
  <c r="AT1775" i="6" s="1"/>
  <c r="AT1729" i="6"/>
  <c r="F1777" i="6"/>
  <c r="B1731" i="6"/>
  <c r="P1685" i="6"/>
  <c r="X1685" i="6"/>
  <c r="R1686" i="6"/>
  <c r="Z1686" i="6"/>
  <c r="J1779" i="6"/>
  <c r="AT1779" i="6" s="1"/>
  <c r="AT1733" i="6"/>
  <c r="F1781" i="6"/>
  <c r="B1735" i="6"/>
  <c r="P1689" i="6"/>
  <c r="X1689" i="6"/>
  <c r="R1690" i="6"/>
  <c r="Z1690" i="6"/>
  <c r="J1783" i="6"/>
  <c r="AT1783" i="6" s="1"/>
  <c r="AT1737" i="6"/>
  <c r="V1692" i="6"/>
  <c r="AF1692" i="6"/>
  <c r="F1785" i="6"/>
  <c r="B1739" i="6"/>
  <c r="P1693" i="6"/>
  <c r="X1693" i="6"/>
  <c r="R1694" i="6"/>
  <c r="Z1694" i="6"/>
  <c r="J1787" i="6"/>
  <c r="AT1787" i="6" s="1"/>
  <c r="AT1741" i="6"/>
  <c r="V1696" i="6"/>
  <c r="F1789" i="6"/>
  <c r="B1743" i="6"/>
  <c r="P1697" i="6"/>
  <c r="X1697" i="6"/>
  <c r="R1698" i="6"/>
  <c r="Z1698" i="6"/>
  <c r="J1791" i="6"/>
  <c r="AT1791" i="6" s="1"/>
  <c r="AT1745" i="6"/>
  <c r="V1700" i="6"/>
  <c r="AF1700" i="6"/>
  <c r="F1793" i="6"/>
  <c r="B1747" i="6"/>
  <c r="P1701" i="6"/>
  <c r="X1701" i="6"/>
  <c r="R1702" i="6"/>
  <c r="Z1702" i="6"/>
  <c r="J1795" i="6"/>
  <c r="AT1795" i="6" s="1"/>
  <c r="AT1749" i="6"/>
  <c r="F1797" i="6"/>
  <c r="B1751" i="6"/>
  <c r="Q1705" i="6"/>
  <c r="AA1705" i="6"/>
  <c r="I1752" i="6"/>
  <c r="Z1706" i="6"/>
  <c r="R1706" i="6"/>
  <c r="AG1706" i="6"/>
  <c r="W1706" i="6"/>
  <c r="T1706" i="6"/>
  <c r="AF1706" i="6"/>
  <c r="W1707" i="6"/>
  <c r="AJ1707" i="6"/>
  <c r="B1709" i="6"/>
  <c r="S1710" i="6"/>
  <c r="J1803" i="6"/>
  <c r="AT1803" i="6" s="1"/>
  <c r="AT1757" i="6"/>
  <c r="V1713" i="6"/>
  <c r="AF1717" i="6"/>
  <c r="I1720" i="6"/>
  <c r="X1721" i="6"/>
  <c r="AF1725" i="6"/>
  <c r="V1733" i="6"/>
  <c r="U1737" i="6"/>
  <c r="Z1747" i="6"/>
  <c r="J1756" i="6"/>
  <c r="S1674" i="6"/>
  <c r="AA1674" i="6"/>
  <c r="S1678" i="6"/>
  <c r="AA1678" i="6"/>
  <c r="AE1679" i="6"/>
  <c r="AE1725" i="6" s="1"/>
  <c r="AE1771" i="6" s="1"/>
  <c r="S1682" i="6"/>
  <c r="AA1682" i="6"/>
  <c r="AE1683" i="6"/>
  <c r="AE1729" i="6" s="1"/>
  <c r="AE1775" i="6" s="1"/>
  <c r="Q1685" i="6"/>
  <c r="Y1685" i="6"/>
  <c r="S1686" i="6"/>
  <c r="AA1686" i="6"/>
  <c r="Q1689" i="6"/>
  <c r="Y1689" i="6"/>
  <c r="S1690" i="6"/>
  <c r="AA1690" i="6"/>
  <c r="B1692" i="6"/>
  <c r="W1692" i="6"/>
  <c r="Q1693" i="6"/>
  <c r="Y1693" i="6"/>
  <c r="I1786" i="6"/>
  <c r="AA1740" i="6"/>
  <c r="S1740" i="6"/>
  <c r="Z1740" i="6"/>
  <c r="R1740" i="6"/>
  <c r="Y1740" i="6"/>
  <c r="Q1740" i="6"/>
  <c r="X1740" i="6"/>
  <c r="P1740" i="6"/>
  <c r="AG1740" i="6"/>
  <c r="W1740" i="6"/>
  <c r="AF1740" i="6"/>
  <c r="V1740" i="6"/>
  <c r="U1740" i="6"/>
  <c r="S1694" i="6"/>
  <c r="AA1694" i="6"/>
  <c r="W1696" i="6"/>
  <c r="AG1696" i="6"/>
  <c r="Q1697" i="6"/>
  <c r="Y1697" i="6"/>
  <c r="I1790" i="6"/>
  <c r="AA1744" i="6"/>
  <c r="S1744" i="6"/>
  <c r="Z1744" i="6"/>
  <c r="R1744" i="6"/>
  <c r="Y1744" i="6"/>
  <c r="Q1744" i="6"/>
  <c r="X1744" i="6"/>
  <c r="P1744" i="6"/>
  <c r="W1744" i="6"/>
  <c r="AF1744" i="6"/>
  <c r="V1744" i="6"/>
  <c r="U1744" i="6"/>
  <c r="S1698" i="6"/>
  <c r="AA1698" i="6"/>
  <c r="W1700" i="6"/>
  <c r="AG1700" i="6"/>
  <c r="Q1701" i="6"/>
  <c r="Y1701" i="6"/>
  <c r="I1794" i="6"/>
  <c r="AA1748" i="6"/>
  <c r="S1748" i="6"/>
  <c r="Z1748" i="6"/>
  <c r="R1748" i="6"/>
  <c r="Y1748" i="6"/>
  <c r="Q1748" i="6"/>
  <c r="X1748" i="6"/>
  <c r="P1748" i="6"/>
  <c r="AG1748" i="6"/>
  <c r="W1748" i="6"/>
  <c r="AF1748" i="6"/>
  <c r="V1748" i="6"/>
  <c r="U1748" i="6"/>
  <c r="S1702" i="6"/>
  <c r="AA1702" i="6"/>
  <c r="R1705" i="6"/>
  <c r="AT1706" i="6"/>
  <c r="F1801" i="6"/>
  <c r="I1756" i="6"/>
  <c r="Z1710" i="6"/>
  <c r="R1710" i="6"/>
  <c r="AG1710" i="6"/>
  <c r="W1710" i="6"/>
  <c r="T1710" i="6"/>
  <c r="AF1710" i="6"/>
  <c r="W1713" i="6"/>
  <c r="P1717" i="6"/>
  <c r="AH1717" i="6"/>
  <c r="AF1729" i="6"/>
  <c r="V1737" i="6"/>
  <c r="T1740" i="6"/>
  <c r="R1743" i="6"/>
  <c r="P1746" i="6"/>
  <c r="T1674" i="6"/>
  <c r="T1678" i="6"/>
  <c r="T1682" i="6"/>
  <c r="R1685" i="6"/>
  <c r="Z1685" i="6"/>
  <c r="T1686" i="6"/>
  <c r="R1689" i="6"/>
  <c r="Z1689" i="6"/>
  <c r="T1690" i="6"/>
  <c r="P1692" i="6"/>
  <c r="X1692" i="6"/>
  <c r="R1693" i="6"/>
  <c r="Z1693" i="6"/>
  <c r="T1694" i="6"/>
  <c r="P1696" i="6"/>
  <c r="X1696" i="6"/>
  <c r="R1697" i="6"/>
  <c r="Z1697" i="6"/>
  <c r="T1698" i="6"/>
  <c r="P1700" i="6"/>
  <c r="X1700" i="6"/>
  <c r="R1701" i="6"/>
  <c r="Z1701" i="6"/>
  <c r="T1702" i="6"/>
  <c r="S1705" i="6"/>
  <c r="V1706" i="6"/>
  <c r="Z1707" i="6"/>
  <c r="U1710" i="6"/>
  <c r="AH1710" i="6"/>
  <c r="X1713" i="6"/>
  <c r="R1717" i="6"/>
  <c r="AF1721" i="6"/>
  <c r="AF1733" i="6"/>
  <c r="P1738" i="6"/>
  <c r="X1746" i="6"/>
  <c r="I1777" i="6"/>
  <c r="X1731" i="6"/>
  <c r="P1731" i="6"/>
  <c r="W1731" i="6"/>
  <c r="AF1731" i="6"/>
  <c r="V1731" i="6"/>
  <c r="U1731" i="6"/>
  <c r="T1731" i="6"/>
  <c r="AA1731" i="6"/>
  <c r="S1731" i="6"/>
  <c r="S1685" i="6"/>
  <c r="AA1685" i="6"/>
  <c r="I1781" i="6"/>
  <c r="X1735" i="6"/>
  <c r="P1735" i="6"/>
  <c r="W1735" i="6"/>
  <c r="AF1735" i="6"/>
  <c r="V1735" i="6"/>
  <c r="U1735" i="6"/>
  <c r="T1735" i="6"/>
  <c r="AA1735" i="6"/>
  <c r="S1735" i="6"/>
  <c r="S1689" i="6"/>
  <c r="AA1689" i="6"/>
  <c r="Q1692" i="6"/>
  <c r="Y1692" i="6"/>
  <c r="I1785" i="6"/>
  <c r="Y1739" i="6"/>
  <c r="Q1739" i="6"/>
  <c r="X1739" i="6"/>
  <c r="P1739" i="6"/>
  <c r="W1739" i="6"/>
  <c r="AF1739" i="6"/>
  <c r="V1739" i="6"/>
  <c r="U1739" i="6"/>
  <c r="T1739" i="6"/>
  <c r="AA1739" i="6"/>
  <c r="S1739" i="6"/>
  <c r="S1693" i="6"/>
  <c r="AA1693" i="6"/>
  <c r="Q1696" i="6"/>
  <c r="Y1696" i="6"/>
  <c r="I1789" i="6"/>
  <c r="Y1743" i="6"/>
  <c r="Q1743" i="6"/>
  <c r="X1743" i="6"/>
  <c r="P1743" i="6"/>
  <c r="W1743" i="6"/>
  <c r="AF1743" i="6"/>
  <c r="V1743" i="6"/>
  <c r="U1743" i="6"/>
  <c r="T1743" i="6"/>
  <c r="AA1743" i="6"/>
  <c r="S1743" i="6"/>
  <c r="S1697" i="6"/>
  <c r="AA1697" i="6"/>
  <c r="Q1700" i="6"/>
  <c r="Y1700" i="6"/>
  <c r="I1793" i="6"/>
  <c r="Y1747" i="6"/>
  <c r="Q1747" i="6"/>
  <c r="X1747" i="6"/>
  <c r="P1747" i="6"/>
  <c r="W1747" i="6"/>
  <c r="AF1747" i="6"/>
  <c r="V1747" i="6"/>
  <c r="U1747" i="6"/>
  <c r="T1747" i="6"/>
  <c r="AA1747" i="6"/>
  <c r="S1747" i="6"/>
  <c r="S1701" i="6"/>
  <c r="AA1701" i="6"/>
  <c r="AE1704" i="6"/>
  <c r="AE1750" i="6" s="1"/>
  <c r="AE1796" i="6" s="1"/>
  <c r="X1705" i="6"/>
  <c r="P1705" i="6"/>
  <c r="U1705" i="6"/>
  <c r="I1751" i="6"/>
  <c r="T1705" i="6"/>
  <c r="Z1713" i="6"/>
  <c r="U1717" i="6"/>
  <c r="R1731" i="6"/>
  <c r="Q1735" i="6"/>
  <c r="AF1737" i="6"/>
  <c r="W1738" i="6"/>
  <c r="R1739" i="6"/>
  <c r="P1742" i="6"/>
  <c r="W1833" i="6"/>
  <c r="W1834" i="6"/>
  <c r="W1832" i="6"/>
  <c r="AY1912" i="6"/>
  <c r="AI1912" i="6"/>
  <c r="P1890" i="6"/>
  <c r="P1832" i="6"/>
  <c r="P1834" i="6"/>
  <c r="P1833" i="6"/>
  <c r="S1704" i="6"/>
  <c r="AA1704" i="6"/>
  <c r="S1708" i="6"/>
  <c r="AA1708" i="6"/>
  <c r="I1750" i="6"/>
  <c r="I1754" i="6"/>
  <c r="AG1895" i="6"/>
  <c r="AW1895" i="6"/>
  <c r="AX1895" i="6" s="1"/>
  <c r="AG1889" i="6"/>
  <c r="AG2082" i="6" s="1"/>
  <c r="AW1889" i="6"/>
  <c r="AX1889" i="6" s="1"/>
  <c r="V1704" i="6"/>
  <c r="AF1704" i="6"/>
  <c r="V1708" i="6"/>
  <c r="AF1708" i="6"/>
  <c r="T1897" i="6"/>
  <c r="T1846" i="6"/>
  <c r="T1892" i="6"/>
  <c r="T1894" i="6"/>
  <c r="T1821" i="6"/>
  <c r="T1898" i="6"/>
  <c r="AJ1898" i="6" s="1"/>
  <c r="AJ2091" i="6" s="1"/>
  <c r="T1895" i="6"/>
  <c r="AB1818" i="6"/>
  <c r="H2082" i="6"/>
  <c r="H2128" i="6" s="1"/>
  <c r="H1936" i="6"/>
  <c r="AH1892" i="6"/>
  <c r="AH2131" i="6" s="1"/>
  <c r="AX1892" i="6"/>
  <c r="AW1897" i="6"/>
  <c r="AX1897" i="6" s="1"/>
  <c r="AY1897" i="6" s="1"/>
  <c r="AZ1897" i="6" s="1"/>
  <c r="BA1897" i="6" s="1"/>
  <c r="BB1897" i="6" s="1"/>
  <c r="AA2002" i="6"/>
  <c r="AA2007" i="6"/>
  <c r="U1892" i="6"/>
  <c r="U1894" i="6"/>
  <c r="U1898" i="6"/>
  <c r="U1895" i="6"/>
  <c r="H2090" i="6"/>
  <c r="H2136" i="6" s="1"/>
  <c r="H1944" i="6"/>
  <c r="R2091" i="6"/>
  <c r="AH1898" i="6"/>
  <c r="AF2093" i="6"/>
  <c r="AG2094" i="6"/>
  <c r="AZ1916" i="6"/>
  <c r="AJ1916" i="6"/>
  <c r="AJ2109" i="6" s="1"/>
  <c r="V1821" i="6"/>
  <c r="V1898" i="6"/>
  <c r="V1897" i="6"/>
  <c r="AL1897" i="6" s="1"/>
  <c r="AL2090" i="6" s="1"/>
  <c r="AR1845" i="6"/>
  <c r="AR1846" i="6"/>
  <c r="AR1854" i="6"/>
  <c r="AR1862" i="6"/>
  <c r="AR1870" i="6"/>
  <c r="AR1878" i="6"/>
  <c r="AG1888" i="6"/>
  <c r="AG2081" i="6" s="1"/>
  <c r="AW1888" i="6"/>
  <c r="V1892" i="6"/>
  <c r="AG1894" i="6"/>
  <c r="AG2087" i="6" s="1"/>
  <c r="AW1894" i="6"/>
  <c r="AF2098" i="6"/>
  <c r="AI1908" i="6"/>
  <c r="AY1908" i="6"/>
  <c r="AJ1910" i="6"/>
  <c r="AZ1910" i="6"/>
  <c r="AG1914" i="6"/>
  <c r="AW1914" i="6"/>
  <c r="AF2113" i="6"/>
  <c r="B1934" i="6"/>
  <c r="AE1942" i="6"/>
  <c r="B1942" i="6"/>
  <c r="U1987" i="6"/>
  <c r="J2034" i="6"/>
  <c r="D2034" i="6" s="1"/>
  <c r="D1988" i="6"/>
  <c r="W1894" i="6"/>
  <c r="W1892" i="6"/>
  <c r="W1846" i="6"/>
  <c r="R1821" i="6"/>
  <c r="Z1821" i="6"/>
  <c r="AR1847" i="6"/>
  <c r="AR1855" i="6"/>
  <c r="AR1863" i="6"/>
  <c r="AR1871" i="6"/>
  <c r="AR1877" i="6"/>
  <c r="AR1879" i="6"/>
  <c r="AR1885" i="6"/>
  <c r="AG1896" i="6"/>
  <c r="AW1896" i="6"/>
  <c r="AG2099" i="6"/>
  <c r="AF1898" i="6"/>
  <c r="U1832" i="6"/>
  <c r="U1833" i="6"/>
  <c r="U1890" i="6"/>
  <c r="U1834" i="6"/>
  <c r="AR1852" i="6"/>
  <c r="AR1860" i="6"/>
  <c r="AR1868" i="6"/>
  <c r="AR1876" i="6"/>
  <c r="AR1884" i="6"/>
  <c r="AG2083" i="6"/>
  <c r="AF2085" i="6"/>
  <c r="AG2086" i="6"/>
  <c r="U1897" i="6"/>
  <c r="AK1897" i="6" s="1"/>
  <c r="AI1906" i="6"/>
  <c r="AI2099" i="6" s="1"/>
  <c r="AY1906" i="6"/>
  <c r="AV1915" i="6"/>
  <c r="AG1920" i="6"/>
  <c r="AG2113" i="6" s="1"/>
  <c r="AW1920" i="6"/>
  <c r="AF2121" i="6"/>
  <c r="T2029" i="6"/>
  <c r="Z2029" i="6"/>
  <c r="R2029" i="6"/>
  <c r="Y2029" i="6"/>
  <c r="Q2029" i="6"/>
  <c r="W2029" i="6"/>
  <c r="X2029" i="6"/>
  <c r="V2029" i="6"/>
  <c r="U2029" i="6"/>
  <c r="S2029" i="6"/>
  <c r="P2029" i="6"/>
  <c r="AA2029" i="6"/>
  <c r="Q1898" i="6"/>
  <c r="Q1897" i="6"/>
  <c r="AG1897" i="6" s="1"/>
  <c r="AG2090" i="6" s="1"/>
  <c r="Q1821" i="6"/>
  <c r="Y1892" i="6"/>
  <c r="Y2131" i="6" s="1"/>
  <c r="Y1821" i="6"/>
  <c r="AR1853" i="6"/>
  <c r="AR1861" i="6"/>
  <c r="AR1869" i="6"/>
  <c r="AH1889" i="6"/>
  <c r="AH2082" i="6" s="1"/>
  <c r="AI1890" i="6"/>
  <c r="AI2083" i="6" s="1"/>
  <c r="AY1890" i="6"/>
  <c r="AZ1890" i="6" s="1"/>
  <c r="BA1890" i="6" s="1"/>
  <c r="BB1890" i="6" s="1"/>
  <c r="AH1893" i="6"/>
  <c r="AH2086" i="6" s="1"/>
  <c r="AX1893" i="6"/>
  <c r="AF2109" i="6"/>
  <c r="AZ1918" i="6"/>
  <c r="AJ1918" i="6"/>
  <c r="AG1924" i="6"/>
  <c r="AG2117" i="6" s="1"/>
  <c r="AW1924" i="6"/>
  <c r="AB1895" i="6"/>
  <c r="Z2085" i="6"/>
  <c r="X1890" i="6"/>
  <c r="X2083" i="6" s="1"/>
  <c r="X1893" i="6"/>
  <c r="AR1844" i="6"/>
  <c r="H2080" i="6"/>
  <c r="H2126" i="6" s="1"/>
  <c r="H1934" i="6"/>
  <c r="AG1887" i="6"/>
  <c r="AW1887" i="6"/>
  <c r="Y1894" i="6"/>
  <c r="AM1898" i="6"/>
  <c r="AM2091" i="6" s="1"/>
  <c r="BC1898" i="6"/>
  <c r="AF2096" i="6"/>
  <c r="AF2102" i="6"/>
  <c r="BB1911" i="6"/>
  <c r="AL1911" i="6"/>
  <c r="AG2105" i="6"/>
  <c r="AH1913" i="6"/>
  <c r="AH2106" i="6" s="1"/>
  <c r="AX1913" i="6"/>
  <c r="AH1930" i="6"/>
  <c r="AH2123" i="6" s="1"/>
  <c r="AX1930" i="6"/>
  <c r="T2045" i="6"/>
  <c r="Z2045" i="6"/>
  <c r="R2045" i="6"/>
  <c r="Y2045" i="6"/>
  <c r="Q2045" i="6"/>
  <c r="W2045" i="6"/>
  <c r="X2045" i="6"/>
  <c r="V2045" i="6"/>
  <c r="U2045" i="6"/>
  <c r="S2045" i="6"/>
  <c r="P2045" i="6"/>
  <c r="AA2045" i="6"/>
  <c r="T2118" i="6"/>
  <c r="T2123" i="6"/>
  <c r="Y2122" i="6"/>
  <c r="Y2123" i="6"/>
  <c r="X2123" i="6"/>
  <c r="Y2124" i="6"/>
  <c r="W2123" i="6"/>
  <c r="Z2122" i="6"/>
  <c r="W2121" i="6"/>
  <c r="AA2119" i="6"/>
  <c r="Q2119" i="6"/>
  <c r="Z2118" i="6"/>
  <c r="P2118" i="6"/>
  <c r="AB2118" i="6" s="1"/>
  <c r="W2115" i="6"/>
  <c r="Y2114" i="6"/>
  <c r="P2114" i="6"/>
  <c r="V2113" i="6"/>
  <c r="X2110" i="6"/>
  <c r="P2110" i="6"/>
  <c r="V2109" i="6"/>
  <c r="T2124" i="6"/>
  <c r="Q2124" i="6"/>
  <c r="Q2123" i="6"/>
  <c r="W2122" i="6"/>
  <c r="Y2119" i="6"/>
  <c r="X2118" i="6"/>
  <c r="V2110" i="6"/>
  <c r="V2106" i="6"/>
  <c r="V2102" i="6"/>
  <c r="P2123" i="6"/>
  <c r="V2122" i="6"/>
  <c r="T2121" i="6"/>
  <c r="X2119" i="6"/>
  <c r="W2118" i="6"/>
  <c r="V2114" i="6"/>
  <c r="U2110" i="6"/>
  <c r="U2106" i="6"/>
  <c r="U2102" i="6"/>
  <c r="U2122" i="6"/>
  <c r="S2121" i="6"/>
  <c r="W2119" i="6"/>
  <c r="V2118" i="6"/>
  <c r="AA2115" i="6"/>
  <c r="R2115" i="6"/>
  <c r="U2114" i="6"/>
  <c r="R2122" i="6"/>
  <c r="T2119" i="6"/>
  <c r="U2118" i="6"/>
  <c r="Q2122" i="6"/>
  <c r="R2118" i="6"/>
  <c r="Z2098" i="6"/>
  <c r="R2098" i="6"/>
  <c r="X2122" i="6"/>
  <c r="R2119" i="6"/>
  <c r="X2115" i="6"/>
  <c r="W2113" i="6"/>
  <c r="R2109" i="6"/>
  <c r="AA2107" i="6"/>
  <c r="X2104" i="6"/>
  <c r="W2102" i="6"/>
  <c r="V2101" i="6"/>
  <c r="P2098" i="6"/>
  <c r="T2096" i="6"/>
  <c r="W2095" i="6"/>
  <c r="Y2094" i="6"/>
  <c r="P2094" i="6"/>
  <c r="U2093" i="6"/>
  <c r="Y2091" i="6"/>
  <c r="W2090" i="6"/>
  <c r="U2089" i="6"/>
  <c r="P2122" i="6"/>
  <c r="P2119" i="6"/>
  <c r="V2115" i="6"/>
  <c r="U2113" i="6"/>
  <c r="Y2110" i="6"/>
  <c r="Y2106" i="6"/>
  <c r="Z2105" i="6"/>
  <c r="T2102" i="6"/>
  <c r="Y2098" i="6"/>
  <c r="X2094" i="6"/>
  <c r="R2113" i="6"/>
  <c r="W2110" i="6"/>
  <c r="X2106" i="6"/>
  <c r="W2105" i="6"/>
  <c r="Q2102" i="6"/>
  <c r="T2101" i="6"/>
  <c r="X2098" i="6"/>
  <c r="N49" i="10" s="1"/>
  <c r="AA2096" i="6"/>
  <c r="R2096" i="6"/>
  <c r="W2094" i="6"/>
  <c r="W2083" i="6"/>
  <c r="Z2123" i="6"/>
  <c r="X2121" i="6"/>
  <c r="U2116" i="6"/>
  <c r="T2110" i="6"/>
  <c r="W2106" i="6"/>
  <c r="V2105" i="6"/>
  <c r="S2104" i="6"/>
  <c r="P2102" i="6"/>
  <c r="S2101" i="6"/>
  <c r="W2098" i="6"/>
  <c r="Z2096" i="6"/>
  <c r="Q2096" i="6"/>
  <c r="V2094" i="6"/>
  <c r="Z2093" i="6"/>
  <c r="R2093" i="6"/>
  <c r="Z2089" i="6"/>
  <c r="R2089" i="6"/>
  <c r="V2087" i="6"/>
  <c r="R2123" i="6"/>
  <c r="V2121" i="6"/>
  <c r="AA2117" i="6"/>
  <c r="S2116" i="6"/>
  <c r="U2112" i="6"/>
  <c r="Q2110" i="6"/>
  <c r="S2107" i="6"/>
  <c r="T2106" i="6"/>
  <c r="U2105" i="6"/>
  <c r="P2104" i="6"/>
  <c r="R2101" i="6"/>
  <c r="V2098" i="6"/>
  <c r="Y2096" i="6"/>
  <c r="P2096" i="6"/>
  <c r="U2094" i="6"/>
  <c r="Q2093" i="6"/>
  <c r="Y2089" i="6"/>
  <c r="Q2089" i="6"/>
  <c r="Q2085" i="6"/>
  <c r="Y2118" i="6"/>
  <c r="Z2114" i="6"/>
  <c r="Z2109" i="6"/>
  <c r="Q2106" i="6"/>
  <c r="R2105" i="6"/>
  <c r="AA2101" i="6"/>
  <c r="U2098" i="6"/>
  <c r="X2096" i="6"/>
  <c r="T2094" i="6"/>
  <c r="Q2118" i="6"/>
  <c r="R2117" i="6"/>
  <c r="X2114" i="6"/>
  <c r="P2112" i="6"/>
  <c r="AB2112" i="6" s="1"/>
  <c r="W2109" i="6"/>
  <c r="Q2107" i="6"/>
  <c r="P2106" i="6"/>
  <c r="Y2102" i="6"/>
  <c r="Z2101" i="6"/>
  <c r="T2098" i="6"/>
  <c r="V2096" i="6"/>
  <c r="R2094" i="6"/>
  <c r="Q2114" i="6"/>
  <c r="V2093" i="6"/>
  <c r="V2089" i="6"/>
  <c r="Q2087" i="6"/>
  <c r="W2086" i="6"/>
  <c r="S2084" i="6"/>
  <c r="Z2083" i="6"/>
  <c r="Q2081" i="6"/>
  <c r="V2111" i="6"/>
  <c r="AA2104" i="6"/>
  <c r="T2100" i="6"/>
  <c r="T2086" i="6"/>
  <c r="P2084" i="6"/>
  <c r="AA2081" i="6"/>
  <c r="P2108" i="6"/>
  <c r="Z2094" i="6"/>
  <c r="P2086" i="6"/>
  <c r="Z2081" i="6"/>
  <c r="Z2119" i="6"/>
  <c r="Z2113" i="6"/>
  <c r="T2097" i="6"/>
  <c r="Q2094" i="6"/>
  <c r="T2092" i="6"/>
  <c r="X2090" i="6"/>
  <c r="Y2081" i="6"/>
  <c r="R2085" i="6"/>
  <c r="X2082" i="6"/>
  <c r="X2102" i="6"/>
  <c r="U2096" i="6"/>
  <c r="Z2091" i="6"/>
  <c r="S2081" i="6"/>
  <c r="Y2080" i="6"/>
  <c r="Q2098" i="6"/>
  <c r="G49" i="10" s="1"/>
  <c r="Q2083" i="6"/>
  <c r="V2081" i="6"/>
  <c r="P2080" i="6"/>
  <c r="AA2027" i="6"/>
  <c r="AA2026" i="6"/>
  <c r="AA2025" i="6"/>
  <c r="AA2024" i="6"/>
  <c r="AA2023" i="6"/>
  <c r="P2022" i="6"/>
  <c r="R2021" i="6"/>
  <c r="W2020" i="6"/>
  <c r="AA2019" i="6"/>
  <c r="Q2019" i="6"/>
  <c r="W2018" i="6"/>
  <c r="R2081" i="6"/>
  <c r="Z2023" i="6"/>
  <c r="X2023" i="6"/>
  <c r="R2087" i="6"/>
  <c r="W2023" i="6"/>
  <c r="U2109" i="6"/>
  <c r="Y2103" i="6"/>
  <c r="W2101" i="6"/>
  <c r="R2026" i="6"/>
  <c r="R2025" i="6"/>
  <c r="R2024" i="6"/>
  <c r="S2023" i="6"/>
  <c r="W2021" i="6"/>
  <c r="Z2020" i="6"/>
  <c r="P2020" i="6"/>
  <c r="U2019" i="6"/>
  <c r="Z2018" i="6"/>
  <c r="P2018" i="6"/>
  <c r="S2099" i="6"/>
  <c r="T2084" i="6"/>
  <c r="P2027" i="6"/>
  <c r="P2026" i="6"/>
  <c r="P2025" i="6"/>
  <c r="P2024" i="6"/>
  <c r="R2023" i="6"/>
  <c r="Y2020" i="6"/>
  <c r="Y2018" i="6"/>
  <c r="X2080" i="6"/>
  <c r="S2021" i="6"/>
  <c r="S2010" i="6"/>
  <c r="AA2009" i="6"/>
  <c r="U2002" i="6"/>
  <c r="AA1997" i="6"/>
  <c r="S1996" i="6"/>
  <c r="R1993" i="6"/>
  <c r="AA1990" i="6"/>
  <c r="Z1989" i="6"/>
  <c r="S1986" i="6"/>
  <c r="R1985" i="6"/>
  <c r="X2020" i="6"/>
  <c r="U1997" i="6"/>
  <c r="AA1992" i="6"/>
  <c r="T1989" i="6"/>
  <c r="AA1984" i="6"/>
  <c r="R2019" i="6"/>
  <c r="AA2014" i="6"/>
  <c r="AA2006" i="6"/>
  <c r="AA2000" i="6"/>
  <c r="AA1998" i="6"/>
  <c r="S1997" i="6"/>
  <c r="Z1992" i="6"/>
  <c r="T1990" i="6"/>
  <c r="S1989" i="6"/>
  <c r="AA1985" i="6"/>
  <c r="Z1984" i="6"/>
  <c r="S2014" i="6"/>
  <c r="S2006" i="6"/>
  <c r="R1997" i="6"/>
  <c r="R1989" i="6"/>
  <c r="AA1986" i="6"/>
  <c r="X2018" i="6"/>
  <c r="AA1996" i="6"/>
  <c r="T1992" i="6"/>
  <c r="Z1986" i="6"/>
  <c r="T1984" i="6"/>
  <c r="P2023" i="6"/>
  <c r="AF1888" i="6"/>
  <c r="Z1894" i="6"/>
  <c r="AF1896" i="6"/>
  <c r="S1898" i="6"/>
  <c r="AI1898" i="6" s="1"/>
  <c r="AI2091" i="6" s="1"/>
  <c r="G2093" i="6"/>
  <c r="G2139" i="6" s="1"/>
  <c r="G1947" i="6"/>
  <c r="AE1947" i="6" s="1"/>
  <c r="G2095" i="6"/>
  <c r="G2141" i="6" s="1"/>
  <c r="G1949" i="6"/>
  <c r="AB1902" i="6"/>
  <c r="AK1911" i="6"/>
  <c r="AK2104" i="6" s="1"/>
  <c r="AH1916" i="6"/>
  <c r="AE1940" i="6"/>
  <c r="L1940" i="6"/>
  <c r="K1940" i="6"/>
  <c r="AK1941" i="6"/>
  <c r="AJ1941" i="6"/>
  <c r="AQ1941" i="6"/>
  <c r="AI1941" i="6"/>
  <c r="AP1941" i="6"/>
  <c r="AH1941" i="6"/>
  <c r="AO1941" i="6"/>
  <c r="AG1941" i="6"/>
  <c r="AN1941" i="6"/>
  <c r="AF1941" i="6"/>
  <c r="AM1941" i="6"/>
  <c r="B1947" i="6"/>
  <c r="L1947" i="6"/>
  <c r="K1947" i="6"/>
  <c r="AR1968" i="6"/>
  <c r="I2062" i="6"/>
  <c r="Z2016" i="6"/>
  <c r="R2016" i="6"/>
  <c r="Y2016" i="6"/>
  <c r="Q2016" i="6"/>
  <c r="X2016" i="6"/>
  <c r="P2016" i="6"/>
  <c r="W2016" i="6"/>
  <c r="V2016" i="6"/>
  <c r="U2016" i="6"/>
  <c r="T2016" i="6"/>
  <c r="AA2016" i="6"/>
  <c r="S2016" i="6"/>
  <c r="R2022" i="6"/>
  <c r="AE1844" i="6"/>
  <c r="X1846" i="6"/>
  <c r="W2082" i="6"/>
  <c r="G2085" i="6"/>
  <c r="G2131" i="6" s="1"/>
  <c r="G1939" i="6"/>
  <c r="AE1939" i="6" s="1"/>
  <c r="X1892" i="6"/>
  <c r="P1894" i="6"/>
  <c r="P2133" i="6" s="1"/>
  <c r="AA1894" i="6"/>
  <c r="G2091" i="6"/>
  <c r="G2137" i="6" s="1"/>
  <c r="G1945" i="6"/>
  <c r="H2093" i="6"/>
  <c r="H2139" i="6" s="1"/>
  <c r="H1947" i="6"/>
  <c r="H2095" i="6"/>
  <c r="H2141" i="6" s="1"/>
  <c r="H1949" i="6"/>
  <c r="AI1916" i="6"/>
  <c r="AI2109" i="6" s="1"/>
  <c r="AG2109" i="6"/>
  <c r="AF2110" i="6"/>
  <c r="AV1919" i="6"/>
  <c r="AV1923" i="6"/>
  <c r="AV1927" i="6"/>
  <c r="AM1934" i="6"/>
  <c r="AL1934" i="6"/>
  <c r="AK1934" i="6"/>
  <c r="AJ1934" i="6"/>
  <c r="AQ1934" i="6"/>
  <c r="AI1934" i="6"/>
  <c r="AP1934" i="6"/>
  <c r="AH1934" i="6"/>
  <c r="AO1934" i="6"/>
  <c r="AG1934" i="6"/>
  <c r="H1935" i="6"/>
  <c r="AM1942" i="6"/>
  <c r="AL1942" i="6"/>
  <c r="AK1942" i="6"/>
  <c r="AJ1942" i="6"/>
  <c r="AQ1942" i="6"/>
  <c r="AI1942" i="6"/>
  <c r="AP1942" i="6"/>
  <c r="AH1942" i="6"/>
  <c r="AO1942" i="6"/>
  <c r="AG1942" i="6"/>
  <c r="AR1942" i="6" s="1"/>
  <c r="H1943" i="6"/>
  <c r="B1944" i="6"/>
  <c r="AR1955" i="6"/>
  <c r="AR1967" i="6"/>
  <c r="R1998" i="6"/>
  <c r="Z1999" i="6"/>
  <c r="AA2005" i="6"/>
  <c r="AA2010" i="6"/>
  <c r="S2011" i="6"/>
  <c r="AA2015" i="6"/>
  <c r="S1821" i="6"/>
  <c r="AA1821" i="6"/>
  <c r="G1935" i="6"/>
  <c r="G2081" i="6"/>
  <c r="G2127" i="6" s="1"/>
  <c r="P2082" i="6"/>
  <c r="AB1889" i="6"/>
  <c r="G2083" i="6"/>
  <c r="G2129" i="6" s="1"/>
  <c r="G1937" i="6"/>
  <c r="AE1937" i="6" s="1"/>
  <c r="AV1891" i="6"/>
  <c r="S2133" i="6"/>
  <c r="G2088" i="6"/>
  <c r="G2134" i="6" s="1"/>
  <c r="G1942" i="6"/>
  <c r="G2089" i="6"/>
  <c r="G2135" i="6" s="1"/>
  <c r="G1943" i="6"/>
  <c r="AE1943" i="6" s="1"/>
  <c r="P1897" i="6"/>
  <c r="H2091" i="6"/>
  <c r="H2137" i="6" s="1"/>
  <c r="H1945" i="6"/>
  <c r="AW1899" i="6"/>
  <c r="AF2094" i="6"/>
  <c r="AW1901" i="6"/>
  <c r="AW1902" i="6"/>
  <c r="AW1904" i="6"/>
  <c r="AF2101" i="6"/>
  <c r="AH2104" i="6"/>
  <c r="AG2110" i="6"/>
  <c r="AH1918" i="6"/>
  <c r="B1936" i="6"/>
  <c r="AR1954" i="6"/>
  <c r="R1984" i="6"/>
  <c r="S1985" i="6"/>
  <c r="R1992" i="6"/>
  <c r="S1993" i="6"/>
  <c r="AA1994" i="6"/>
  <c r="U1996" i="6"/>
  <c r="T2049" i="6"/>
  <c r="Z2049" i="6"/>
  <c r="R2049" i="6"/>
  <c r="Y2049" i="6"/>
  <c r="Q2049" i="6"/>
  <c r="W2049" i="6"/>
  <c r="X2049" i="6"/>
  <c r="V2049" i="6"/>
  <c r="U2049" i="6"/>
  <c r="S2049" i="6"/>
  <c r="P2049" i="6"/>
  <c r="AA2049" i="6"/>
  <c r="AA2004" i="6"/>
  <c r="AE1841" i="6"/>
  <c r="AE1845" i="6"/>
  <c r="AE1846" i="6"/>
  <c r="H2083" i="6"/>
  <c r="H2129" i="6" s="1"/>
  <c r="H1937" i="6"/>
  <c r="H2088" i="6"/>
  <c r="H2134" i="6" s="1"/>
  <c r="H1942" i="6"/>
  <c r="AH1917" i="6"/>
  <c r="AH2110" i="6" s="1"/>
  <c r="AX1917" i="6"/>
  <c r="AI1918" i="6"/>
  <c r="AG2115" i="6"/>
  <c r="AE1935" i="6"/>
  <c r="B1938" i="6"/>
  <c r="AE1944" i="6"/>
  <c r="L1944" i="6"/>
  <c r="K1944" i="6"/>
  <c r="T1986" i="6"/>
  <c r="Z1988" i="6"/>
  <c r="AA1989" i="6"/>
  <c r="AA2001" i="6"/>
  <c r="AA2013" i="6"/>
  <c r="R2020" i="6"/>
  <c r="R1846" i="6"/>
  <c r="R1988" i="6" s="1"/>
  <c r="R1897" i="6"/>
  <c r="AH1897" i="6" s="1"/>
  <c r="AH2090" i="6" s="1"/>
  <c r="G2092" i="6"/>
  <c r="G2138" i="6" s="1"/>
  <c r="G1946" i="6"/>
  <c r="X2095" i="6"/>
  <c r="AF2105" i="6"/>
  <c r="AF2106" i="6"/>
  <c r="AH2115" i="6"/>
  <c r="AI2115" i="6"/>
  <c r="AH2119" i="6"/>
  <c r="AI2119" i="6"/>
  <c r="L1936" i="6"/>
  <c r="K1936" i="6"/>
  <c r="AK1937" i="6"/>
  <c r="AJ1937" i="6"/>
  <c r="AQ1937" i="6"/>
  <c r="AI1937" i="6"/>
  <c r="AP1937" i="6"/>
  <c r="AH1937" i="6"/>
  <c r="AO1937" i="6"/>
  <c r="AG1937" i="6"/>
  <c r="AN1937" i="6"/>
  <c r="AF1937" i="6"/>
  <c r="AM1937" i="6"/>
  <c r="AE1941" i="6"/>
  <c r="G1948" i="6"/>
  <c r="B2031" i="6"/>
  <c r="U1998" i="6"/>
  <c r="Y1999" i="6"/>
  <c r="Q1999" i="6"/>
  <c r="X1999" i="6"/>
  <c r="P1999" i="6"/>
  <c r="W1999" i="6"/>
  <c r="V1999" i="6"/>
  <c r="T1999" i="6"/>
  <c r="U1999" i="6"/>
  <c r="S1999" i="6"/>
  <c r="R1999" i="6"/>
  <c r="AA1999" i="6"/>
  <c r="U2000" i="6"/>
  <c r="AA2011" i="6"/>
  <c r="AA2012" i="6"/>
  <c r="S1846" i="6"/>
  <c r="S1988" i="6" s="1"/>
  <c r="G2084" i="6"/>
  <c r="G2130" i="6" s="1"/>
  <c r="G1938" i="6"/>
  <c r="AE1938" i="6" s="1"/>
  <c r="G2086" i="6"/>
  <c r="G2132" i="6" s="1"/>
  <c r="G1940" i="6"/>
  <c r="G2087" i="6"/>
  <c r="G2133" i="6" s="1"/>
  <c r="G1941" i="6"/>
  <c r="H2092" i="6"/>
  <c r="H2138" i="6" s="1"/>
  <c r="H1946" i="6"/>
  <c r="AV1900" i="6"/>
  <c r="H2094" i="6"/>
  <c r="H2140" i="6" s="1"/>
  <c r="H1948" i="6"/>
  <c r="AV1903" i="6"/>
  <c r="AV1905" i="6"/>
  <c r="AV1907" i="6"/>
  <c r="AV1909" i="6"/>
  <c r="AF2107" i="6"/>
  <c r="AV1921" i="6"/>
  <c r="AY1922" i="6"/>
  <c r="AV1925" i="6"/>
  <c r="AY1926" i="6"/>
  <c r="AG1928" i="6"/>
  <c r="AM1938" i="6"/>
  <c r="AL1938" i="6"/>
  <c r="AK1938" i="6"/>
  <c r="AJ1938" i="6"/>
  <c r="AQ1938" i="6"/>
  <c r="AI1938" i="6"/>
  <c r="AP1938" i="6"/>
  <c r="AH1938" i="6"/>
  <c r="AO1938" i="6"/>
  <c r="AG1938" i="6"/>
  <c r="AR1938" i="6" s="1"/>
  <c r="H1939" i="6"/>
  <c r="AM1946" i="6"/>
  <c r="AN1946" i="6"/>
  <c r="AL1946" i="6"/>
  <c r="AK1946" i="6"/>
  <c r="AJ1946" i="6"/>
  <c r="AI1946" i="6"/>
  <c r="AQ1946" i="6"/>
  <c r="AH1946" i="6"/>
  <c r="AP1946" i="6"/>
  <c r="AG1946" i="6"/>
  <c r="AR1946" i="6" s="1"/>
  <c r="AO1946" i="6"/>
  <c r="S1984" i="6"/>
  <c r="T1985" i="6"/>
  <c r="S1992" i="6"/>
  <c r="T2039" i="6"/>
  <c r="Z2039" i="6"/>
  <c r="R2039" i="6"/>
  <c r="Y2039" i="6"/>
  <c r="Q2039" i="6"/>
  <c r="W2039" i="6"/>
  <c r="X2039" i="6"/>
  <c r="V2039" i="6"/>
  <c r="U2039" i="6"/>
  <c r="S2039" i="6"/>
  <c r="P2039" i="6"/>
  <c r="AA2039" i="6"/>
  <c r="U1994" i="6"/>
  <c r="U1995" i="6"/>
  <c r="T2043" i="6"/>
  <c r="Z2043" i="6"/>
  <c r="R2043" i="6"/>
  <c r="Y2043" i="6"/>
  <c r="Q2043" i="6"/>
  <c r="W2043" i="6"/>
  <c r="X2043" i="6"/>
  <c r="V2043" i="6"/>
  <c r="U2043" i="6"/>
  <c r="S2043" i="6"/>
  <c r="P2043" i="6"/>
  <c r="AA2043" i="6"/>
  <c r="G2080" i="6"/>
  <c r="G2126" i="6" s="1"/>
  <c r="G1934" i="6"/>
  <c r="AE1934" i="6" s="1"/>
  <c r="G2082" i="6"/>
  <c r="G2128" i="6" s="1"/>
  <c r="G1936" i="6"/>
  <c r="AE1936" i="6" s="1"/>
  <c r="T2082" i="6"/>
  <c r="H2084" i="6"/>
  <c r="H2130" i="6" s="1"/>
  <c r="H1938" i="6"/>
  <c r="H2086" i="6"/>
  <c r="H2132" i="6" s="1"/>
  <c r="H1940" i="6"/>
  <c r="H2087" i="6"/>
  <c r="H2133" i="6" s="1"/>
  <c r="H1941" i="6"/>
  <c r="G2090" i="6"/>
  <c r="G2136" i="6" s="1"/>
  <c r="G1944" i="6"/>
  <c r="AG2106" i="6"/>
  <c r="AF2114" i="6"/>
  <c r="AF2118" i="6"/>
  <c r="AH1928" i="6"/>
  <c r="AH2121" i="6" s="1"/>
  <c r="AX1928" i="6"/>
  <c r="AR1934" i="6"/>
  <c r="AQ1948" i="6"/>
  <c r="AI1948" i="6"/>
  <c r="AH1948" i="6"/>
  <c r="AP1948" i="6"/>
  <c r="AG1948" i="6"/>
  <c r="AO1948" i="6"/>
  <c r="AF1948" i="6"/>
  <c r="AR1948" i="6" s="1"/>
  <c r="AN1948" i="6"/>
  <c r="AM1948" i="6"/>
  <c r="AL1948" i="6"/>
  <c r="AK1948" i="6"/>
  <c r="AR1965" i="6"/>
  <c r="T1983" i="6"/>
  <c r="Y1987" i="6"/>
  <c r="Q1987" i="6"/>
  <c r="X1987" i="6"/>
  <c r="P1987" i="6"/>
  <c r="W1987" i="6"/>
  <c r="V1987" i="6"/>
  <c r="T1987" i="6"/>
  <c r="S1987" i="6"/>
  <c r="R1987" i="6"/>
  <c r="I2033" i="6"/>
  <c r="AA1987" i="6"/>
  <c r="Z1987" i="6"/>
  <c r="T1988" i="6"/>
  <c r="S1990" i="6"/>
  <c r="T1991" i="6"/>
  <c r="Z2008" i="6"/>
  <c r="R2008" i="6"/>
  <c r="Y2008" i="6"/>
  <c r="Q2008" i="6"/>
  <c r="X2008" i="6"/>
  <c r="P2008" i="6"/>
  <c r="I2054" i="6"/>
  <c r="W2008" i="6"/>
  <c r="V2008" i="6"/>
  <c r="U2008" i="6"/>
  <c r="T2008" i="6"/>
  <c r="AA2008" i="6"/>
  <c r="S2008" i="6"/>
  <c r="U2017" i="6"/>
  <c r="AG1930" i="6"/>
  <c r="AG2123" i="6" s="1"/>
  <c r="W1934" i="6"/>
  <c r="Q1935" i="6"/>
  <c r="AB1935" i="6" s="1"/>
  <c r="Y1935" i="6"/>
  <c r="AI1935" i="6"/>
  <c r="AQ1935" i="6"/>
  <c r="S1936" i="6"/>
  <c r="AA1936" i="6"/>
  <c r="B1937" i="6"/>
  <c r="U1937" i="6"/>
  <c r="W1938" i="6"/>
  <c r="Q1939" i="6"/>
  <c r="AB1939" i="6" s="1"/>
  <c r="Y1939" i="6"/>
  <c r="AI1939" i="6"/>
  <c r="AQ1939" i="6"/>
  <c r="S1940" i="6"/>
  <c r="AA1940" i="6"/>
  <c r="B1941" i="6"/>
  <c r="U1941" i="6"/>
  <c r="W1942" i="6"/>
  <c r="Q1943" i="6"/>
  <c r="AB1943" i="6" s="1"/>
  <c r="Y1943" i="6"/>
  <c r="AI1943" i="6"/>
  <c r="AQ1943" i="6"/>
  <c r="S1944" i="6"/>
  <c r="AA1944" i="6"/>
  <c r="X1945" i="6"/>
  <c r="S1947" i="6"/>
  <c r="X1949" i="6"/>
  <c r="AR1953" i="6"/>
  <c r="AR1972" i="6"/>
  <c r="AR1978" i="6"/>
  <c r="R1983" i="6"/>
  <c r="Y1986" i="6"/>
  <c r="Q1986" i="6"/>
  <c r="X1986" i="6"/>
  <c r="P1986" i="6"/>
  <c r="I2032" i="6"/>
  <c r="W1986" i="6"/>
  <c r="V1986" i="6"/>
  <c r="U1986" i="6"/>
  <c r="J2033" i="6"/>
  <c r="D2033" i="6" s="1"/>
  <c r="D1987" i="6"/>
  <c r="AA1988" i="6"/>
  <c r="R1991" i="6"/>
  <c r="B2038" i="6"/>
  <c r="U1993" i="6"/>
  <c r="R1995" i="6"/>
  <c r="Y1996" i="6"/>
  <c r="Q1996" i="6"/>
  <c r="X1996" i="6"/>
  <c r="P1996" i="6"/>
  <c r="AB1996" i="6" s="1"/>
  <c r="I2042" i="6"/>
  <c r="W1996" i="6"/>
  <c r="V1996" i="6"/>
  <c r="T1996" i="6"/>
  <c r="Z1996" i="6"/>
  <c r="S1998" i="6"/>
  <c r="Z2002" i="6"/>
  <c r="R2002" i="6"/>
  <c r="Y2002" i="6"/>
  <c r="Q2002" i="6"/>
  <c r="X2002" i="6"/>
  <c r="P2002" i="6"/>
  <c r="I2048" i="6"/>
  <c r="W2002" i="6"/>
  <c r="V2002" i="6"/>
  <c r="T2002" i="6"/>
  <c r="AA2003" i="6"/>
  <c r="S2004" i="6"/>
  <c r="Z2009" i="6"/>
  <c r="R2009" i="6"/>
  <c r="Y2009" i="6"/>
  <c r="Q2009" i="6"/>
  <c r="X2009" i="6"/>
  <c r="P2009" i="6"/>
  <c r="AB2009" i="6" s="1"/>
  <c r="W2009" i="6"/>
  <c r="V2009" i="6"/>
  <c r="U2009" i="6"/>
  <c r="T2009" i="6"/>
  <c r="S2012" i="6"/>
  <c r="I2055" i="6"/>
  <c r="P1934" i="6"/>
  <c r="X1934" i="6"/>
  <c r="AJ1935" i="6"/>
  <c r="P1938" i="6"/>
  <c r="X1938" i="6"/>
  <c r="AJ1939" i="6"/>
  <c r="P1942" i="6"/>
  <c r="X1942" i="6"/>
  <c r="AJ1943" i="6"/>
  <c r="P1945" i="6"/>
  <c r="AB1945" i="6" s="1"/>
  <c r="Y1945" i="6"/>
  <c r="P1949" i="6"/>
  <c r="Y1949" i="6"/>
  <c r="B2029" i="6"/>
  <c r="S1983" i="6"/>
  <c r="Y1985" i="6"/>
  <c r="Q1985" i="6"/>
  <c r="X1985" i="6"/>
  <c r="P1985" i="6"/>
  <c r="W1985" i="6"/>
  <c r="V1985" i="6"/>
  <c r="U1985" i="6"/>
  <c r="J2032" i="6"/>
  <c r="D2032" i="6" s="1"/>
  <c r="D1986" i="6"/>
  <c r="R1990" i="6"/>
  <c r="B2037" i="6"/>
  <c r="S1991" i="6"/>
  <c r="Y1993" i="6"/>
  <c r="Q1993" i="6"/>
  <c r="X1993" i="6"/>
  <c r="P1993" i="6"/>
  <c r="W1993" i="6"/>
  <c r="V1993" i="6"/>
  <c r="T1993" i="6"/>
  <c r="Z1993" i="6"/>
  <c r="S1995" i="6"/>
  <c r="S2000" i="6"/>
  <c r="S2005" i="6"/>
  <c r="Z2010" i="6"/>
  <c r="R2010" i="6"/>
  <c r="Y2010" i="6"/>
  <c r="Q2010" i="6"/>
  <c r="X2010" i="6"/>
  <c r="P2010" i="6"/>
  <c r="I2056" i="6"/>
  <c r="W2010" i="6"/>
  <c r="V2010" i="6"/>
  <c r="U2010" i="6"/>
  <c r="T2010" i="6"/>
  <c r="S2013" i="6"/>
  <c r="F2068" i="6"/>
  <c r="B2068" i="6" s="1"/>
  <c r="B2022" i="6"/>
  <c r="AV1929" i="6"/>
  <c r="AV1931" i="6"/>
  <c r="Q1934" i="6"/>
  <c r="Y1934" i="6"/>
  <c r="K1935" i="6"/>
  <c r="S1935" i="6"/>
  <c r="AA1935" i="6"/>
  <c r="AK1935" i="6"/>
  <c r="U1936" i="6"/>
  <c r="Q1938" i="6"/>
  <c r="Y1938" i="6"/>
  <c r="K1939" i="6"/>
  <c r="S1939" i="6"/>
  <c r="AA1939" i="6"/>
  <c r="AK1939" i="6"/>
  <c r="U1940" i="6"/>
  <c r="Q1942" i="6"/>
  <c r="Y1942" i="6"/>
  <c r="K1943" i="6"/>
  <c r="S1943" i="6"/>
  <c r="AA1943" i="6"/>
  <c r="AK1943" i="6"/>
  <c r="U1944" i="6"/>
  <c r="Q1945" i="6"/>
  <c r="Z1945" i="6"/>
  <c r="U1947" i="6"/>
  <c r="Q1949" i="6"/>
  <c r="Z1949" i="6"/>
  <c r="AR1964" i="6"/>
  <c r="AR1977" i="6"/>
  <c r="Y1984" i="6"/>
  <c r="Q1984" i="6"/>
  <c r="X1984" i="6"/>
  <c r="P1984" i="6"/>
  <c r="I2030" i="6"/>
  <c r="W1984" i="6"/>
  <c r="V1984" i="6"/>
  <c r="U1984" i="6"/>
  <c r="J2031" i="6"/>
  <c r="D2031" i="6" s="1"/>
  <c r="D1985" i="6"/>
  <c r="Z1985" i="6"/>
  <c r="B2036" i="6"/>
  <c r="Y1992" i="6"/>
  <c r="Q1992" i="6"/>
  <c r="X1992" i="6"/>
  <c r="P1992" i="6"/>
  <c r="AB1992" i="6" s="1"/>
  <c r="I2038" i="6"/>
  <c r="W1992" i="6"/>
  <c r="V1992" i="6"/>
  <c r="U1992" i="6"/>
  <c r="AA1993" i="6"/>
  <c r="Y1998" i="6"/>
  <c r="Q1998" i="6"/>
  <c r="X1998" i="6"/>
  <c r="P1998" i="6"/>
  <c r="I2044" i="6"/>
  <c r="W1998" i="6"/>
  <c r="V1998" i="6"/>
  <c r="T1998" i="6"/>
  <c r="Z1998" i="6"/>
  <c r="Z2003" i="6"/>
  <c r="R2003" i="6"/>
  <c r="Y2003" i="6"/>
  <c r="Q2003" i="6"/>
  <c r="X2003" i="6"/>
  <c r="P2003" i="6"/>
  <c r="W2003" i="6"/>
  <c r="V2003" i="6"/>
  <c r="U2003" i="6"/>
  <c r="T2003" i="6"/>
  <c r="I2057" i="6"/>
  <c r="Z2011" i="6"/>
  <c r="R2011" i="6"/>
  <c r="Y2011" i="6"/>
  <c r="Q2011" i="6"/>
  <c r="X2011" i="6"/>
  <c r="P2011" i="6"/>
  <c r="W2011" i="6"/>
  <c r="V2011" i="6"/>
  <c r="U2011" i="6"/>
  <c r="T2011" i="6"/>
  <c r="AA2017" i="6"/>
  <c r="S2022" i="6"/>
  <c r="B2063" i="6"/>
  <c r="AF2122" i="6"/>
  <c r="R1934" i="6"/>
  <c r="Z1934" i="6"/>
  <c r="AL1935" i="6"/>
  <c r="R1938" i="6"/>
  <c r="Z1938" i="6"/>
  <c r="AL1939" i="6"/>
  <c r="R1942" i="6"/>
  <c r="Z1942" i="6"/>
  <c r="AL1943" i="6"/>
  <c r="R1945" i="6"/>
  <c r="AE1948" i="6"/>
  <c r="R1949" i="6"/>
  <c r="Y1983" i="6"/>
  <c r="Q1983" i="6"/>
  <c r="X1983" i="6"/>
  <c r="P1983" i="6"/>
  <c r="W1983" i="6"/>
  <c r="V1983" i="6"/>
  <c r="U1983" i="6"/>
  <c r="J2030" i="6"/>
  <c r="D2030" i="6" s="1"/>
  <c r="D1984" i="6"/>
  <c r="Y1991" i="6"/>
  <c r="Q1991" i="6"/>
  <c r="X1991" i="6"/>
  <c r="P1991" i="6"/>
  <c r="W1991" i="6"/>
  <c r="V1991" i="6"/>
  <c r="U1991" i="6"/>
  <c r="J2038" i="6"/>
  <c r="D2038" i="6" s="1"/>
  <c r="D1992" i="6"/>
  <c r="R1994" i="6"/>
  <c r="Y1995" i="6"/>
  <c r="Q1995" i="6"/>
  <c r="X1995" i="6"/>
  <c r="P1995" i="6"/>
  <c r="W1995" i="6"/>
  <c r="V1995" i="6"/>
  <c r="T1995" i="6"/>
  <c r="Z1995" i="6"/>
  <c r="S2001" i="6"/>
  <c r="Z2004" i="6"/>
  <c r="R2004" i="6"/>
  <c r="Y2004" i="6"/>
  <c r="Q2004" i="6"/>
  <c r="X2004" i="6"/>
  <c r="P2004" i="6"/>
  <c r="AB2004" i="6" s="1"/>
  <c r="I2050" i="6"/>
  <c r="W2004" i="6"/>
  <c r="V2004" i="6"/>
  <c r="U2004" i="6"/>
  <c r="T2004" i="6"/>
  <c r="S2007" i="6"/>
  <c r="Z2012" i="6"/>
  <c r="R2012" i="6"/>
  <c r="Y2012" i="6"/>
  <c r="Q2012" i="6"/>
  <c r="X2012" i="6"/>
  <c r="P2012" i="6"/>
  <c r="W2012" i="6"/>
  <c r="V2012" i="6"/>
  <c r="U2012" i="6"/>
  <c r="I2058" i="6"/>
  <c r="T2012" i="6"/>
  <c r="S2015" i="6"/>
  <c r="I2037" i="6"/>
  <c r="I2053" i="6"/>
  <c r="J2138" i="6"/>
  <c r="AT2138" i="6" s="1"/>
  <c r="AT2092" i="6"/>
  <c r="AE2092" i="6"/>
  <c r="AE2138" i="6" s="1"/>
  <c r="K1934" i="6"/>
  <c r="S1934" i="6"/>
  <c r="AA1934" i="6"/>
  <c r="B1935" i="6"/>
  <c r="U1935" i="6"/>
  <c r="AM1935" i="6"/>
  <c r="W1936" i="6"/>
  <c r="K1938" i="6"/>
  <c r="S1938" i="6"/>
  <c r="AA1938" i="6"/>
  <c r="B1939" i="6"/>
  <c r="U1939" i="6"/>
  <c r="AM1939" i="6"/>
  <c r="W1940" i="6"/>
  <c r="K1942" i="6"/>
  <c r="S1942" i="6"/>
  <c r="AA1942" i="6"/>
  <c r="B1943" i="6"/>
  <c r="U1943" i="6"/>
  <c r="AM1943" i="6"/>
  <c r="T1945" i="6"/>
  <c r="AE1945" i="6"/>
  <c r="X1947" i="6"/>
  <c r="T1949" i="6"/>
  <c r="AE1949" i="6"/>
  <c r="AR1956" i="6"/>
  <c r="AR1969" i="6"/>
  <c r="J2029" i="6"/>
  <c r="D2029" i="6" s="1"/>
  <c r="D1983" i="6"/>
  <c r="Z1983" i="6"/>
  <c r="B2034" i="6"/>
  <c r="Y1990" i="6"/>
  <c r="Q1990" i="6"/>
  <c r="X1990" i="6"/>
  <c r="P1990" i="6"/>
  <c r="I2036" i="6"/>
  <c r="W1990" i="6"/>
  <c r="V1990" i="6"/>
  <c r="U1990" i="6"/>
  <c r="J2037" i="6"/>
  <c r="D2037" i="6" s="1"/>
  <c r="D1991" i="6"/>
  <c r="Z1991" i="6"/>
  <c r="S1994" i="6"/>
  <c r="AA1995" i="6"/>
  <c r="Z2000" i="6"/>
  <c r="R2000" i="6"/>
  <c r="Y2000" i="6"/>
  <c r="Q2000" i="6"/>
  <c r="X2000" i="6"/>
  <c r="P2000" i="6"/>
  <c r="I2046" i="6"/>
  <c r="W2000" i="6"/>
  <c r="V2000" i="6"/>
  <c r="T2000" i="6"/>
  <c r="U2001" i="6"/>
  <c r="Z2005" i="6"/>
  <c r="R2005" i="6"/>
  <c r="Y2005" i="6"/>
  <c r="Q2005" i="6"/>
  <c r="X2005" i="6"/>
  <c r="P2005" i="6"/>
  <c r="W2005" i="6"/>
  <c r="V2005" i="6"/>
  <c r="U2005" i="6"/>
  <c r="T2005" i="6"/>
  <c r="I2059" i="6"/>
  <c r="Z2013" i="6"/>
  <c r="R2013" i="6"/>
  <c r="Y2013" i="6"/>
  <c r="Q2013" i="6"/>
  <c r="X2013" i="6"/>
  <c r="P2013" i="6"/>
  <c r="W2013" i="6"/>
  <c r="V2013" i="6"/>
  <c r="U2013" i="6"/>
  <c r="T2013" i="6"/>
  <c r="W2064" i="6"/>
  <c r="U2064" i="6"/>
  <c r="S2064" i="6"/>
  <c r="AA2064" i="6"/>
  <c r="R2064" i="6"/>
  <c r="Y2064" i="6"/>
  <c r="P2064" i="6"/>
  <c r="Q2064" i="6"/>
  <c r="Z2064" i="6"/>
  <c r="X2064" i="6"/>
  <c r="V2064" i="6"/>
  <c r="S2024" i="6"/>
  <c r="S2025" i="6"/>
  <c r="S2026" i="6"/>
  <c r="S2027" i="6"/>
  <c r="I2031" i="6"/>
  <c r="I2047" i="6"/>
  <c r="T1934" i="6"/>
  <c r="AF1935" i="6"/>
  <c r="P1936" i="6"/>
  <c r="AB1936" i="6" s="1"/>
  <c r="R1937" i="6"/>
  <c r="AB1937" i="6" s="1"/>
  <c r="T1938" i="6"/>
  <c r="AF1939" i="6"/>
  <c r="P1940" i="6"/>
  <c r="R1941" i="6"/>
  <c r="AB1941" i="6" s="1"/>
  <c r="T1942" i="6"/>
  <c r="AF1943" i="6"/>
  <c r="AN1943" i="6"/>
  <c r="P1944" i="6"/>
  <c r="AB1944" i="6" s="1"/>
  <c r="L1945" i="6"/>
  <c r="AE1946" i="6"/>
  <c r="P1947" i="6"/>
  <c r="Y1947" i="6"/>
  <c r="Y1948" i="6"/>
  <c r="Q1948" i="6"/>
  <c r="V1948" i="6"/>
  <c r="L1949" i="6"/>
  <c r="AA1983" i="6"/>
  <c r="R1986" i="6"/>
  <c r="B2033" i="6"/>
  <c r="Y1989" i="6"/>
  <c r="Q1989" i="6"/>
  <c r="X1989" i="6"/>
  <c r="P1989" i="6"/>
  <c r="W1989" i="6"/>
  <c r="V1989" i="6"/>
  <c r="U1989" i="6"/>
  <c r="J2036" i="6"/>
  <c r="D2036" i="6" s="1"/>
  <c r="D1990" i="6"/>
  <c r="Z1990" i="6"/>
  <c r="AA1991" i="6"/>
  <c r="R1996" i="6"/>
  <c r="Y1997" i="6"/>
  <c r="Q1997" i="6"/>
  <c r="X1997" i="6"/>
  <c r="P1997" i="6"/>
  <c r="W1997" i="6"/>
  <c r="V1997" i="6"/>
  <c r="T1997" i="6"/>
  <c r="Z1997" i="6"/>
  <c r="S2002" i="6"/>
  <c r="Z2006" i="6"/>
  <c r="R2006" i="6"/>
  <c r="Y2006" i="6"/>
  <c r="Q2006" i="6"/>
  <c r="X2006" i="6"/>
  <c r="P2006" i="6"/>
  <c r="I2052" i="6"/>
  <c r="W2006" i="6"/>
  <c r="V2006" i="6"/>
  <c r="U2006" i="6"/>
  <c r="T2006" i="6"/>
  <c r="S2009" i="6"/>
  <c r="I2060" i="6"/>
  <c r="Z2014" i="6"/>
  <c r="R2014" i="6"/>
  <c r="Y2014" i="6"/>
  <c r="Q2014" i="6"/>
  <c r="X2014" i="6"/>
  <c r="P2014" i="6"/>
  <c r="W2014" i="6"/>
  <c r="V2014" i="6"/>
  <c r="U2014" i="6"/>
  <c r="T2014" i="6"/>
  <c r="I2041" i="6"/>
  <c r="AA1945" i="6"/>
  <c r="S1945" i="6"/>
  <c r="V1945" i="6"/>
  <c r="AA1949" i="6"/>
  <c r="S1949" i="6"/>
  <c r="V1949" i="6"/>
  <c r="B2032" i="6"/>
  <c r="Y1988" i="6"/>
  <c r="Q1988" i="6"/>
  <c r="X1988" i="6"/>
  <c r="P1988" i="6"/>
  <c r="I2034" i="6"/>
  <c r="V1988" i="6"/>
  <c r="U1988" i="6"/>
  <c r="J2035" i="6"/>
  <c r="D2035" i="6" s="1"/>
  <c r="D1989" i="6"/>
  <c r="Y1994" i="6"/>
  <c r="Q1994" i="6"/>
  <c r="X1994" i="6"/>
  <c r="P1994" i="6"/>
  <c r="I2040" i="6"/>
  <c r="W1994" i="6"/>
  <c r="V1994" i="6"/>
  <c r="T1994" i="6"/>
  <c r="Z1994" i="6"/>
  <c r="Z2001" i="6"/>
  <c r="R2001" i="6"/>
  <c r="Y2001" i="6"/>
  <c r="Q2001" i="6"/>
  <c r="X2001" i="6"/>
  <c r="P2001" i="6"/>
  <c r="W2001" i="6"/>
  <c r="V2001" i="6"/>
  <c r="T2001" i="6"/>
  <c r="Z2007" i="6"/>
  <c r="R2007" i="6"/>
  <c r="Y2007" i="6"/>
  <c r="Q2007" i="6"/>
  <c r="X2007" i="6"/>
  <c r="P2007" i="6"/>
  <c r="W2007" i="6"/>
  <c r="V2007" i="6"/>
  <c r="U2007" i="6"/>
  <c r="T2007" i="6"/>
  <c r="I2061" i="6"/>
  <c r="Z2015" i="6"/>
  <c r="R2015" i="6"/>
  <c r="Y2015" i="6"/>
  <c r="Q2015" i="6"/>
  <c r="X2015" i="6"/>
  <c r="P2015" i="6"/>
  <c r="W2015" i="6"/>
  <c r="V2015" i="6"/>
  <c r="U2015" i="6"/>
  <c r="T2015" i="6"/>
  <c r="I2035" i="6"/>
  <c r="I2051" i="6"/>
  <c r="T2064" i="6"/>
  <c r="J2128" i="6"/>
  <c r="AT2128" i="6" s="1"/>
  <c r="AE2082" i="6"/>
  <c r="AE2128" i="6" s="1"/>
  <c r="AT2082" i="6"/>
  <c r="B2082" i="6"/>
  <c r="V2017" i="6"/>
  <c r="V2019" i="6"/>
  <c r="T2019" i="6"/>
  <c r="S2019" i="6"/>
  <c r="I2067" i="6"/>
  <c r="Y2021" i="6"/>
  <c r="Q2021" i="6"/>
  <c r="V2021" i="6"/>
  <c r="T2021" i="6"/>
  <c r="U2021" i="6"/>
  <c r="F2069" i="6"/>
  <c r="B2069" i="6" s="1"/>
  <c r="B2023" i="6"/>
  <c r="I2066" i="6"/>
  <c r="F2067" i="6"/>
  <c r="B2067" i="6" s="1"/>
  <c r="F2070" i="6"/>
  <c r="B2070" i="6" s="1"/>
  <c r="I2134" i="6"/>
  <c r="Z2088" i="6"/>
  <c r="R2088" i="6"/>
  <c r="Y2088" i="6"/>
  <c r="Q2088" i="6"/>
  <c r="X2088" i="6"/>
  <c r="P2088" i="6"/>
  <c r="W2088" i="6"/>
  <c r="AF2088" i="6"/>
  <c r="V2088" i="6"/>
  <c r="U2088" i="6"/>
  <c r="AA2088" i="6"/>
  <c r="T2088" i="6"/>
  <c r="W2017" i="6"/>
  <c r="F2066" i="6"/>
  <c r="B2066" i="6" s="1"/>
  <c r="B2020" i="6"/>
  <c r="I2068" i="6"/>
  <c r="Y2022" i="6"/>
  <c r="Q2022" i="6"/>
  <c r="V2022" i="6"/>
  <c r="T2022" i="6"/>
  <c r="U2022" i="6"/>
  <c r="B2025" i="6"/>
  <c r="F2071" i="6"/>
  <c r="B2071" i="6" s="1"/>
  <c r="R2027" i="6"/>
  <c r="J2058" i="6"/>
  <c r="D2058" i="6" s="1"/>
  <c r="I2063" i="6"/>
  <c r="I2166" i="6"/>
  <c r="X2120" i="6"/>
  <c r="P2120" i="6"/>
  <c r="W2120" i="6"/>
  <c r="S2120" i="6"/>
  <c r="AA2120" i="6"/>
  <c r="Q2120" i="6"/>
  <c r="Z2120" i="6"/>
  <c r="Y2120" i="6"/>
  <c r="V2120" i="6"/>
  <c r="U2120" i="6"/>
  <c r="T2120" i="6"/>
  <c r="R2120" i="6"/>
  <c r="AF2120" i="6"/>
  <c r="B1983" i="6"/>
  <c r="B1984" i="6"/>
  <c r="B1985" i="6"/>
  <c r="B1986" i="6"/>
  <c r="B1987" i="6"/>
  <c r="B1988" i="6"/>
  <c r="B1989" i="6"/>
  <c r="B1990" i="6"/>
  <c r="B1991" i="6"/>
  <c r="B1992" i="6"/>
  <c r="B1993" i="6"/>
  <c r="B1994" i="6"/>
  <c r="B1995" i="6"/>
  <c r="B1996" i="6"/>
  <c r="B1997" i="6"/>
  <c r="B1998" i="6"/>
  <c r="B1999" i="6"/>
  <c r="B2000" i="6"/>
  <c r="B2001" i="6"/>
  <c r="B2002" i="6"/>
  <c r="B2003" i="6"/>
  <c r="B2004" i="6"/>
  <c r="B2005" i="6"/>
  <c r="B2006" i="6"/>
  <c r="B2007" i="6"/>
  <c r="B2008" i="6"/>
  <c r="B2009" i="6"/>
  <c r="B2010" i="6"/>
  <c r="B2011" i="6"/>
  <c r="B2012" i="6"/>
  <c r="B2013" i="6"/>
  <c r="B2014" i="6"/>
  <c r="B2015" i="6"/>
  <c r="B2016" i="6"/>
  <c r="X2017" i="6"/>
  <c r="Q2018" i="6"/>
  <c r="AA2018" i="6"/>
  <c r="W2019" i="6"/>
  <c r="Q2020" i="6"/>
  <c r="AA2020" i="6"/>
  <c r="X2021" i="6"/>
  <c r="W2022" i="6"/>
  <c r="I2069" i="6"/>
  <c r="Y2023" i="6"/>
  <c r="Q2023" i="6"/>
  <c r="V2023" i="6"/>
  <c r="T2023" i="6"/>
  <c r="U2023" i="6"/>
  <c r="J2061" i="6"/>
  <c r="D2061" i="6" s="1"/>
  <c r="F2130" i="6"/>
  <c r="B2130" i="6" s="1"/>
  <c r="B2084" i="6"/>
  <c r="D1993" i="6"/>
  <c r="D1994" i="6"/>
  <c r="D1995" i="6"/>
  <c r="D1996" i="6"/>
  <c r="D1997" i="6"/>
  <c r="D1998" i="6"/>
  <c r="D1999" i="6"/>
  <c r="D2000" i="6"/>
  <c r="D2001" i="6"/>
  <c r="D2002" i="6"/>
  <c r="D2003" i="6"/>
  <c r="D2004" i="6"/>
  <c r="D2005" i="6"/>
  <c r="D2006" i="6"/>
  <c r="D2007" i="6"/>
  <c r="D2008" i="6"/>
  <c r="D2009" i="6"/>
  <c r="D2010" i="6"/>
  <c r="D2011" i="6"/>
  <c r="D2013" i="6"/>
  <c r="D2016" i="6"/>
  <c r="P2017" i="6"/>
  <c r="AB2017" i="6" s="1"/>
  <c r="Y2017" i="6"/>
  <c r="R2018" i="6"/>
  <c r="X2019" i="6"/>
  <c r="Z2021" i="6"/>
  <c r="X2022" i="6"/>
  <c r="I2070" i="6"/>
  <c r="Y2024" i="6"/>
  <c r="Q2024" i="6"/>
  <c r="W2024" i="6"/>
  <c r="V2024" i="6"/>
  <c r="T2024" i="6"/>
  <c r="U2024" i="6"/>
  <c r="I2071" i="6"/>
  <c r="Y2025" i="6"/>
  <c r="Q2025" i="6"/>
  <c r="W2025" i="6"/>
  <c r="V2025" i="6"/>
  <c r="T2025" i="6"/>
  <c r="U2025" i="6"/>
  <c r="I2072" i="6"/>
  <c r="Y2026" i="6"/>
  <c r="Q2026" i="6"/>
  <c r="W2026" i="6"/>
  <c r="V2026" i="6"/>
  <c r="T2026" i="6"/>
  <c r="U2026" i="6"/>
  <c r="I2073" i="6"/>
  <c r="Y2027" i="6"/>
  <c r="Q2027" i="6"/>
  <c r="W2027" i="6"/>
  <c r="V2027" i="6"/>
  <c r="T2027" i="6"/>
  <c r="U2027" i="6"/>
  <c r="B2058" i="6"/>
  <c r="Q2017" i="6"/>
  <c r="Z2017" i="6"/>
  <c r="V2018" i="6"/>
  <c r="T2018" i="6"/>
  <c r="S2018" i="6"/>
  <c r="Y2019" i="6"/>
  <c r="V2020" i="6"/>
  <c r="T2020" i="6"/>
  <c r="S2020" i="6"/>
  <c r="AA2021" i="6"/>
  <c r="Z2022" i="6"/>
  <c r="X2024" i="6"/>
  <c r="X2025" i="6"/>
  <c r="X2026" i="6"/>
  <c r="X2027" i="6"/>
  <c r="F2065" i="6"/>
  <c r="B2065" i="6" s="1"/>
  <c r="F2073" i="6"/>
  <c r="B2073" i="6" s="1"/>
  <c r="AG2101" i="6"/>
  <c r="R2017" i="6"/>
  <c r="U2018" i="6"/>
  <c r="P2019" i="6"/>
  <c r="Z2019" i="6"/>
  <c r="U2020" i="6"/>
  <c r="P2021" i="6"/>
  <c r="AA2022" i="6"/>
  <c r="Z2024" i="6"/>
  <c r="Z2025" i="6"/>
  <c r="Z2026" i="6"/>
  <c r="Z2027" i="6"/>
  <c r="B2128" i="6"/>
  <c r="S2088" i="6"/>
  <c r="T2017" i="6"/>
  <c r="S2017" i="6"/>
  <c r="I2065" i="6"/>
  <c r="F2072" i="6"/>
  <c r="B2072" i="6" s="1"/>
  <c r="I2130" i="6"/>
  <c r="Z2084" i="6"/>
  <c r="R2084" i="6"/>
  <c r="Y2084" i="6"/>
  <c r="Q2084" i="6"/>
  <c r="W2084" i="6"/>
  <c r="AF2084" i="6"/>
  <c r="V2084" i="6"/>
  <c r="U2084" i="6"/>
  <c r="X2084" i="6"/>
  <c r="J2132" i="6"/>
  <c r="AT2132" i="6" s="1"/>
  <c r="AE2086" i="6"/>
  <c r="AE2132" i="6" s="1"/>
  <c r="AT2086" i="6"/>
  <c r="AL2104" i="6"/>
  <c r="AA2080" i="6"/>
  <c r="I2127" i="6"/>
  <c r="T2081" i="6"/>
  <c r="X2081" i="6"/>
  <c r="P2081" i="6"/>
  <c r="AB2081" i="6" s="1"/>
  <c r="W2081" i="6"/>
  <c r="U2081" i="6"/>
  <c r="J2130" i="6"/>
  <c r="AT2130" i="6" s="1"/>
  <c r="AE2084" i="6"/>
  <c r="AE2130" i="6" s="1"/>
  <c r="AA2084" i="6"/>
  <c r="J2146" i="6"/>
  <c r="AT2146" i="6" s="1"/>
  <c r="AE2100" i="6"/>
  <c r="AE2146" i="6" s="1"/>
  <c r="AT2100" i="6"/>
  <c r="Q2080" i="6"/>
  <c r="AG2080" i="6"/>
  <c r="J2134" i="6"/>
  <c r="AT2134" i="6" s="1"/>
  <c r="AE2088" i="6"/>
  <c r="AE2134" i="6" s="1"/>
  <c r="T2117" i="6"/>
  <c r="S2080" i="6"/>
  <c r="F2136" i="6"/>
  <c r="B2136" i="6" s="1"/>
  <c r="B2090" i="6"/>
  <c r="J2148" i="6"/>
  <c r="AT2148" i="6" s="1"/>
  <c r="AE2102" i="6"/>
  <c r="AE2148" i="6" s="1"/>
  <c r="AT2102" i="6"/>
  <c r="B2102" i="6"/>
  <c r="I2126" i="6"/>
  <c r="Z2080" i="6"/>
  <c r="R2080" i="6"/>
  <c r="AF2080" i="6"/>
  <c r="V2080" i="6"/>
  <c r="U2080" i="6"/>
  <c r="T2080" i="6"/>
  <c r="AT2088" i="6"/>
  <c r="I2145" i="6"/>
  <c r="U2099" i="6"/>
  <c r="T2099" i="6"/>
  <c r="AF2099" i="6"/>
  <c r="R2099" i="6"/>
  <c r="AA2099" i="6"/>
  <c r="Q2099" i="6"/>
  <c r="Z2099" i="6"/>
  <c r="P2099" i="6"/>
  <c r="Y2099" i="6"/>
  <c r="X2099" i="6"/>
  <c r="W2099" i="6"/>
  <c r="AH2099" i="6"/>
  <c r="V2099" i="6"/>
  <c r="AJ2103" i="6"/>
  <c r="F2168" i="6"/>
  <c r="B2168" i="6" s="1"/>
  <c r="B2122" i="6"/>
  <c r="J2126" i="6"/>
  <c r="AT2126" i="6" s="1"/>
  <c r="AE2080" i="6"/>
  <c r="AE2126" i="6" s="1"/>
  <c r="W2080" i="6"/>
  <c r="I2143" i="6"/>
  <c r="Y2097" i="6"/>
  <c r="Q2097" i="6"/>
  <c r="S2097" i="6"/>
  <c r="AA2097" i="6"/>
  <c r="R2097" i="6"/>
  <c r="Z2097" i="6"/>
  <c r="P2097" i="6"/>
  <c r="X2097" i="6"/>
  <c r="W2097" i="6"/>
  <c r="AG2097" i="6"/>
  <c r="V2097" i="6"/>
  <c r="AF2097" i="6"/>
  <c r="U2097" i="6"/>
  <c r="Q2082" i="6"/>
  <c r="Y2082" i="6"/>
  <c r="AG2129" i="6"/>
  <c r="W2129" i="6"/>
  <c r="AI2129" i="6"/>
  <c r="Q2129" i="6"/>
  <c r="P2129" i="6"/>
  <c r="AA2129" i="6"/>
  <c r="Z2129" i="6"/>
  <c r="S2129" i="6"/>
  <c r="U2129" i="6"/>
  <c r="S2083" i="6"/>
  <c r="AA2083" i="6"/>
  <c r="AT2083" i="6"/>
  <c r="W2085" i="6"/>
  <c r="AG2085" i="6"/>
  <c r="Q2086" i="6"/>
  <c r="AG2133" i="6"/>
  <c r="W2133" i="6"/>
  <c r="V2133" i="6"/>
  <c r="U2133" i="6"/>
  <c r="Y2133" i="6"/>
  <c r="Q2133" i="6"/>
  <c r="R2133" i="6"/>
  <c r="Z2133" i="6"/>
  <c r="X2133" i="6"/>
  <c r="S2087" i="6"/>
  <c r="W2089" i="6"/>
  <c r="AG2089" i="6"/>
  <c r="Q2090" i="6"/>
  <c r="Y2090" i="6"/>
  <c r="AI2137" i="6"/>
  <c r="Y2137" i="6"/>
  <c r="Q2137" i="6"/>
  <c r="W2137" i="6"/>
  <c r="AH2137" i="6"/>
  <c r="U2137" i="6"/>
  <c r="AF2137" i="6"/>
  <c r="T2137" i="6"/>
  <c r="S2137" i="6"/>
  <c r="R2137" i="6"/>
  <c r="X2137" i="6"/>
  <c r="AM2137" i="6"/>
  <c r="AJ2137" i="6"/>
  <c r="Z2137" i="6"/>
  <c r="AA2137" i="6"/>
  <c r="P2137" i="6"/>
  <c r="S2091" i="6"/>
  <c r="AA2091" i="6"/>
  <c r="AT2091" i="6"/>
  <c r="U2092" i="6"/>
  <c r="W2093" i="6"/>
  <c r="P2095" i="6"/>
  <c r="Y2095" i="6"/>
  <c r="U2100" i="6"/>
  <c r="Z2103" i="6"/>
  <c r="S2108" i="6"/>
  <c r="I2157" i="6"/>
  <c r="AJ2111" i="6"/>
  <c r="Z2111" i="6"/>
  <c r="R2111" i="6"/>
  <c r="X2111" i="6"/>
  <c r="P2111" i="6"/>
  <c r="AB2111" i="6" s="1"/>
  <c r="AG2111" i="6"/>
  <c r="W2111" i="6"/>
  <c r="U2111" i="6"/>
  <c r="T2111" i="6"/>
  <c r="Y2111" i="6"/>
  <c r="R2082" i="6"/>
  <c r="Z2082" i="6"/>
  <c r="P2085" i="6"/>
  <c r="X2085" i="6"/>
  <c r="R2086" i="6"/>
  <c r="P2089" i="6"/>
  <c r="AB2089" i="6" s="1"/>
  <c r="X2089" i="6"/>
  <c r="R2090" i="6"/>
  <c r="Z2090" i="6"/>
  <c r="T2091" i="6"/>
  <c r="V2092" i="6"/>
  <c r="AF2092" i="6"/>
  <c r="P2093" i="6"/>
  <c r="X2093" i="6"/>
  <c r="Q2095" i="6"/>
  <c r="Z2095" i="6"/>
  <c r="X2100" i="6"/>
  <c r="AA2103" i="6"/>
  <c r="AE2104" i="6"/>
  <c r="AE2150" i="6" s="1"/>
  <c r="B2152" i="6"/>
  <c r="R2107" i="6"/>
  <c r="F2154" i="6"/>
  <c r="B2154" i="6" s="1"/>
  <c r="B2108" i="6"/>
  <c r="T2108" i="6"/>
  <c r="AA2111" i="6"/>
  <c r="S2112" i="6"/>
  <c r="U2128" i="6"/>
  <c r="AG2128" i="6"/>
  <c r="W2128" i="6"/>
  <c r="AH2128" i="6"/>
  <c r="T2128" i="6"/>
  <c r="AF2128" i="6"/>
  <c r="S2128" i="6"/>
  <c r="R2128" i="6"/>
  <c r="AA2128" i="6"/>
  <c r="Q2128" i="6"/>
  <c r="Y2128" i="6"/>
  <c r="X2128" i="6"/>
  <c r="Z2128" i="6"/>
  <c r="V2128" i="6"/>
  <c r="P2128" i="6"/>
  <c r="S2082" i="6"/>
  <c r="AA2082" i="6"/>
  <c r="U2132" i="6"/>
  <c r="T2132" i="6"/>
  <c r="S2132" i="6"/>
  <c r="R2132" i="6"/>
  <c r="AG2132" i="6"/>
  <c r="W2132" i="6"/>
  <c r="P2132" i="6"/>
  <c r="AF2132" i="6"/>
  <c r="V2132" i="6"/>
  <c r="Q2132" i="6"/>
  <c r="S2086" i="6"/>
  <c r="B2088" i="6"/>
  <c r="U2136" i="6"/>
  <c r="T2136" i="6"/>
  <c r="AK2136" i="6"/>
  <c r="AA2136" i="6"/>
  <c r="S2136" i="6"/>
  <c r="Z2136" i="6"/>
  <c r="R2136" i="6"/>
  <c r="AG2136" i="6"/>
  <c r="W2136" i="6"/>
  <c r="Y2136" i="6"/>
  <c r="X2136" i="6"/>
  <c r="P2136" i="6"/>
  <c r="AH2136" i="6"/>
  <c r="Q2136" i="6"/>
  <c r="S2090" i="6"/>
  <c r="AA2090" i="6"/>
  <c r="AK2090" i="6"/>
  <c r="AT2090" i="6"/>
  <c r="B2092" i="6"/>
  <c r="W2092" i="6"/>
  <c r="AG2092" i="6"/>
  <c r="Y2093" i="6"/>
  <c r="J2140" i="6"/>
  <c r="AT2140" i="6" s="1"/>
  <c r="AT2094" i="6"/>
  <c r="R2095" i="6"/>
  <c r="AA2095" i="6"/>
  <c r="F2142" i="6"/>
  <c r="B2142" i="6" s="1"/>
  <c r="B2096" i="6"/>
  <c r="AT2096" i="6"/>
  <c r="J2144" i="6"/>
  <c r="AT2144" i="6" s="1"/>
  <c r="AT2098" i="6"/>
  <c r="Y2100" i="6"/>
  <c r="B2101" i="6"/>
  <c r="I2154" i="6"/>
  <c r="Z2108" i="6"/>
  <c r="R2108" i="6"/>
  <c r="Y2108" i="6"/>
  <c r="Q2108" i="6"/>
  <c r="W2108" i="6"/>
  <c r="AF2108" i="6"/>
  <c r="V2108" i="6"/>
  <c r="U2108" i="6"/>
  <c r="F2158" i="6"/>
  <c r="B2158" i="6" s="1"/>
  <c r="B2112" i="6"/>
  <c r="F2163" i="6"/>
  <c r="B2163" i="6" s="1"/>
  <c r="B2117" i="6"/>
  <c r="B2134" i="6"/>
  <c r="B2138" i="6"/>
  <c r="P2092" i="6"/>
  <c r="X2092" i="6"/>
  <c r="I2141" i="6"/>
  <c r="U2095" i="6"/>
  <c r="S2095" i="6"/>
  <c r="F2146" i="6"/>
  <c r="B2146" i="6" s="1"/>
  <c r="B2100" i="6"/>
  <c r="P2100" i="6"/>
  <c r="Z2100" i="6"/>
  <c r="Q2103" i="6"/>
  <c r="AF2103" i="6"/>
  <c r="I2153" i="6"/>
  <c r="X2107" i="6"/>
  <c r="P2107" i="6"/>
  <c r="AG2107" i="6"/>
  <c r="W2107" i="6"/>
  <c r="U2107" i="6"/>
  <c r="T2107" i="6"/>
  <c r="V2107" i="6"/>
  <c r="X2108" i="6"/>
  <c r="AF2111" i="6"/>
  <c r="I2158" i="6"/>
  <c r="T2112" i="6"/>
  <c r="Z2112" i="6"/>
  <c r="R2112" i="6"/>
  <c r="Y2112" i="6"/>
  <c r="Q2112" i="6"/>
  <c r="W2112" i="6"/>
  <c r="AF2112" i="6"/>
  <c r="V2112" i="6"/>
  <c r="X2112" i="6"/>
  <c r="I2163" i="6"/>
  <c r="Y2117" i="6"/>
  <c r="Q2117" i="6"/>
  <c r="S2117" i="6"/>
  <c r="Z2117" i="6"/>
  <c r="P2117" i="6"/>
  <c r="X2117" i="6"/>
  <c r="W2117" i="6"/>
  <c r="V2117" i="6"/>
  <c r="AF2117" i="6"/>
  <c r="U2117" i="6"/>
  <c r="U2082" i="6"/>
  <c r="AA2131" i="6"/>
  <c r="S2131" i="6"/>
  <c r="Z2131" i="6"/>
  <c r="R2131" i="6"/>
  <c r="AG2131" i="6"/>
  <c r="P2131" i="6"/>
  <c r="AF2131" i="6"/>
  <c r="X2131" i="6"/>
  <c r="V2131" i="6"/>
  <c r="Q2131" i="6"/>
  <c r="S2085" i="6"/>
  <c r="AA2085" i="6"/>
  <c r="U2086" i="6"/>
  <c r="AA2135" i="6"/>
  <c r="S2135" i="6"/>
  <c r="Z2135" i="6"/>
  <c r="R2135" i="6"/>
  <c r="Y2135" i="6"/>
  <c r="Q2135" i="6"/>
  <c r="X2135" i="6"/>
  <c r="P2135" i="6"/>
  <c r="U2135" i="6"/>
  <c r="W2135" i="6"/>
  <c r="V2135" i="6"/>
  <c r="T2135" i="6"/>
  <c r="AG2135" i="6"/>
  <c r="AF2135" i="6"/>
  <c r="S2089" i="6"/>
  <c r="AA2089" i="6"/>
  <c r="U2090" i="6"/>
  <c r="AE2090" i="6"/>
  <c r="AE2136" i="6" s="1"/>
  <c r="W2091" i="6"/>
  <c r="Q2092" i="6"/>
  <c r="Y2092" i="6"/>
  <c r="I2139" i="6"/>
  <c r="S2093" i="6"/>
  <c r="AA2093" i="6"/>
  <c r="J2141" i="6"/>
  <c r="AT2141" i="6" s="1"/>
  <c r="AE2095" i="6"/>
  <c r="AE2141" i="6" s="1"/>
  <c r="T2095" i="6"/>
  <c r="AF2095" i="6"/>
  <c r="Q2100" i="6"/>
  <c r="AA2100" i="6"/>
  <c r="R2103" i="6"/>
  <c r="AI2103" i="6"/>
  <c r="F2150" i="6"/>
  <c r="B2150" i="6" s="1"/>
  <c r="B2104" i="6"/>
  <c r="T2104" i="6"/>
  <c r="J2152" i="6"/>
  <c r="AT2152" i="6" s="1"/>
  <c r="AE2106" i="6"/>
  <c r="AE2152" i="6" s="1"/>
  <c r="AT2106" i="6"/>
  <c r="Y2107" i="6"/>
  <c r="AA2108" i="6"/>
  <c r="AT2108" i="6"/>
  <c r="AI2111" i="6"/>
  <c r="AA2112" i="6"/>
  <c r="W2131" i="6"/>
  <c r="V2082" i="6"/>
  <c r="AF2082" i="6"/>
  <c r="B2129" i="6"/>
  <c r="P2083" i="6"/>
  <c r="T2085" i="6"/>
  <c r="V2086" i="6"/>
  <c r="AF2086" i="6"/>
  <c r="B2133" i="6"/>
  <c r="X2087" i="6"/>
  <c r="T2089" i="6"/>
  <c r="B2137" i="6"/>
  <c r="P2091" i="6"/>
  <c r="X2091" i="6"/>
  <c r="AH2091" i="6"/>
  <c r="R2092" i="6"/>
  <c r="Z2092" i="6"/>
  <c r="T2093" i="6"/>
  <c r="B2094" i="6"/>
  <c r="V2095" i="6"/>
  <c r="AG2095" i="6"/>
  <c r="I2142" i="6"/>
  <c r="W2096" i="6"/>
  <c r="S2096" i="6"/>
  <c r="B2143" i="6"/>
  <c r="B2098" i="6"/>
  <c r="R2100" i="6"/>
  <c r="I2147" i="6"/>
  <c r="AI2101" i="6"/>
  <c r="Y2101" i="6"/>
  <c r="Q2101" i="6"/>
  <c r="AH2101" i="6"/>
  <c r="X2101" i="6"/>
  <c r="P2101" i="6"/>
  <c r="AB2101" i="6" s="1"/>
  <c r="U2101" i="6"/>
  <c r="S2103" i="6"/>
  <c r="I2150" i="6"/>
  <c r="AJ2104" i="6"/>
  <c r="Z2104" i="6"/>
  <c r="R2104" i="6"/>
  <c r="AI2104" i="6"/>
  <c r="Y2104" i="6"/>
  <c r="Q2104" i="6"/>
  <c r="AG2104" i="6"/>
  <c r="W2104" i="6"/>
  <c r="AF2104" i="6"/>
  <c r="V2104" i="6"/>
  <c r="U2104" i="6"/>
  <c r="Z2107" i="6"/>
  <c r="Q2111" i="6"/>
  <c r="I2162" i="6"/>
  <c r="W2116" i="6"/>
  <c r="T2116" i="6"/>
  <c r="AA2116" i="6"/>
  <c r="R2116" i="6"/>
  <c r="Z2116" i="6"/>
  <c r="Q2116" i="6"/>
  <c r="Y2116" i="6"/>
  <c r="P2116" i="6"/>
  <c r="X2116" i="6"/>
  <c r="V2116" i="6"/>
  <c r="AF2116" i="6"/>
  <c r="AA2138" i="6"/>
  <c r="S2138" i="6"/>
  <c r="Y2138" i="6"/>
  <c r="Q2138" i="6"/>
  <c r="AF2138" i="6"/>
  <c r="Z2138" i="6"/>
  <c r="X2138" i="6"/>
  <c r="W2138" i="6"/>
  <c r="V2138" i="6"/>
  <c r="AG2138" i="6"/>
  <c r="T2138" i="6"/>
  <c r="R2138" i="6"/>
  <c r="U2138" i="6"/>
  <c r="P2138" i="6"/>
  <c r="S2092" i="6"/>
  <c r="AA2092" i="6"/>
  <c r="B2140" i="6"/>
  <c r="AE2096" i="6"/>
  <c r="AE2142" i="6" s="1"/>
  <c r="B2144" i="6"/>
  <c r="I2146" i="6"/>
  <c r="W2100" i="6"/>
  <c r="AF2100" i="6"/>
  <c r="V2100" i="6"/>
  <c r="S2100" i="6"/>
  <c r="J2147" i="6"/>
  <c r="AT2147" i="6" s="1"/>
  <c r="AT2101" i="6"/>
  <c r="AA2148" i="6"/>
  <c r="I2149" i="6"/>
  <c r="AH2103" i="6"/>
  <c r="X2103" i="6"/>
  <c r="P2103" i="6"/>
  <c r="AG2103" i="6"/>
  <c r="W2103" i="6"/>
  <c r="U2103" i="6"/>
  <c r="T2103" i="6"/>
  <c r="V2103" i="6"/>
  <c r="J2156" i="6"/>
  <c r="AT2156" i="6" s="1"/>
  <c r="AE2110" i="6"/>
  <c r="AE2156" i="6" s="1"/>
  <c r="AT2110" i="6"/>
  <c r="S2111" i="6"/>
  <c r="F2165" i="6"/>
  <c r="B2165" i="6" s="1"/>
  <c r="B2119" i="6"/>
  <c r="J2167" i="6"/>
  <c r="AT2167" i="6" s="1"/>
  <c r="AT2121" i="6"/>
  <c r="AE2121" i="6"/>
  <c r="AE2167" i="6" s="1"/>
  <c r="B2121" i="6"/>
  <c r="J2169" i="6"/>
  <c r="AT2169" i="6" s="1"/>
  <c r="AE2123" i="6"/>
  <c r="AE2169" i="6" s="1"/>
  <c r="AT2123" i="6"/>
  <c r="B2147" i="6"/>
  <c r="R2102" i="6"/>
  <c r="Z2102" i="6"/>
  <c r="B2151" i="6"/>
  <c r="P2105" i="6"/>
  <c r="X2105" i="6"/>
  <c r="AH2105" i="6"/>
  <c r="R2106" i="6"/>
  <c r="Z2106" i="6"/>
  <c r="B2155" i="6"/>
  <c r="P2109" i="6"/>
  <c r="X2109" i="6"/>
  <c r="AH2109" i="6"/>
  <c r="R2110" i="6"/>
  <c r="Z2110" i="6"/>
  <c r="B2159" i="6"/>
  <c r="P2113" i="6"/>
  <c r="X2113" i="6"/>
  <c r="R2114" i="6"/>
  <c r="B2161" i="6"/>
  <c r="P2115" i="6"/>
  <c r="AB2115" i="6" s="1"/>
  <c r="Y2115" i="6"/>
  <c r="I2165" i="6"/>
  <c r="AF2119" i="6"/>
  <c r="V2119" i="6"/>
  <c r="U2119" i="6"/>
  <c r="S2119" i="6"/>
  <c r="AG2119" i="6"/>
  <c r="AT2120" i="6"/>
  <c r="AA2121" i="6"/>
  <c r="J2170" i="6"/>
  <c r="AT2170" i="6" s="1"/>
  <c r="B2124" i="6"/>
  <c r="AE2124" i="6"/>
  <c r="AE2170" i="6" s="1"/>
  <c r="AT2124" i="6"/>
  <c r="AG2140" i="6"/>
  <c r="W2140" i="6"/>
  <c r="AF2140" i="6"/>
  <c r="V2140" i="6"/>
  <c r="U2140" i="6"/>
  <c r="Z2140" i="6"/>
  <c r="R2140" i="6"/>
  <c r="S2140" i="6"/>
  <c r="Q2140" i="6"/>
  <c r="P2140" i="6"/>
  <c r="Y2140" i="6"/>
  <c r="X2140" i="6"/>
  <c r="AA2140" i="6"/>
  <c r="T2140" i="6"/>
  <c r="S2094" i="6"/>
  <c r="AA2094" i="6"/>
  <c r="W2144" i="6"/>
  <c r="AF2144" i="6"/>
  <c r="V2144" i="6"/>
  <c r="U2144" i="6"/>
  <c r="Z2144" i="6"/>
  <c r="R2144" i="6"/>
  <c r="X2144" i="6"/>
  <c r="T2144" i="6"/>
  <c r="S2144" i="6"/>
  <c r="Q2144" i="6"/>
  <c r="AA2144" i="6"/>
  <c r="Y2144" i="6"/>
  <c r="P2144" i="6"/>
  <c r="S2098" i="6"/>
  <c r="I49" i="10" s="1"/>
  <c r="AA2098" i="6"/>
  <c r="Q49" i="10" s="1"/>
  <c r="AE2099" i="6"/>
  <c r="AE2145" i="6" s="1"/>
  <c r="U2148" i="6"/>
  <c r="Y2148" i="6"/>
  <c r="P2148" i="6"/>
  <c r="X2148" i="6"/>
  <c r="W2148" i="6"/>
  <c r="S2148" i="6"/>
  <c r="R2148" i="6"/>
  <c r="Q2148" i="6"/>
  <c r="AF2148" i="6"/>
  <c r="Z2148" i="6"/>
  <c r="V2148" i="6"/>
  <c r="T2148" i="6"/>
  <c r="S2102" i="6"/>
  <c r="AA2102" i="6"/>
  <c r="Q2105" i="6"/>
  <c r="Y2105" i="6"/>
  <c r="U2152" i="6"/>
  <c r="T2152" i="6"/>
  <c r="AA2152" i="6"/>
  <c r="S2152" i="6"/>
  <c r="W2152" i="6"/>
  <c r="V2152" i="6"/>
  <c r="AH2152" i="6"/>
  <c r="R2152" i="6"/>
  <c r="AG2152" i="6"/>
  <c r="Q2152" i="6"/>
  <c r="Z2152" i="6"/>
  <c r="AF2152" i="6"/>
  <c r="Y2152" i="6"/>
  <c r="X2152" i="6"/>
  <c r="P2152" i="6"/>
  <c r="S2106" i="6"/>
  <c r="AA2106" i="6"/>
  <c r="Q2109" i="6"/>
  <c r="Y2109" i="6"/>
  <c r="U2156" i="6"/>
  <c r="AA2156" i="6"/>
  <c r="S2156" i="6"/>
  <c r="AG2156" i="6"/>
  <c r="T2156" i="6"/>
  <c r="AF2156" i="6"/>
  <c r="R2156" i="6"/>
  <c r="Q2156" i="6"/>
  <c r="Z2156" i="6"/>
  <c r="Y2156" i="6"/>
  <c r="X2156" i="6"/>
  <c r="V2156" i="6"/>
  <c r="W2156" i="6"/>
  <c r="P2156" i="6"/>
  <c r="S2110" i="6"/>
  <c r="AA2110" i="6"/>
  <c r="Q2113" i="6"/>
  <c r="Y2113" i="6"/>
  <c r="I2160" i="6"/>
  <c r="AA2114" i="6"/>
  <c r="S2114" i="6"/>
  <c r="T2114" i="6"/>
  <c r="Q2115" i="6"/>
  <c r="Z2115" i="6"/>
  <c r="J2165" i="6"/>
  <c r="AT2165" i="6" s="1"/>
  <c r="AE2119" i="6"/>
  <c r="AE2165" i="6" s="1"/>
  <c r="P2121" i="6"/>
  <c r="J2160" i="6"/>
  <c r="AT2160" i="6" s="1"/>
  <c r="AT2114" i="6"/>
  <c r="F2162" i="6"/>
  <c r="B2162" i="6" s="1"/>
  <c r="B2116" i="6"/>
  <c r="J2164" i="6"/>
  <c r="AT2164" i="6" s="1"/>
  <c r="AT2118" i="6"/>
  <c r="B2123" i="6"/>
  <c r="AA2151" i="6"/>
  <c r="S2151" i="6"/>
  <c r="Z2151" i="6"/>
  <c r="Y2151" i="6"/>
  <c r="Q2151" i="6"/>
  <c r="V2151" i="6"/>
  <c r="AH2151" i="6"/>
  <c r="U2151" i="6"/>
  <c r="AG2151" i="6"/>
  <c r="T2151" i="6"/>
  <c r="AF2151" i="6"/>
  <c r="X2151" i="6"/>
  <c r="R2151" i="6"/>
  <c r="P2151" i="6"/>
  <c r="W2151" i="6"/>
  <c r="S2105" i="6"/>
  <c r="AA2105" i="6"/>
  <c r="AA2155" i="6"/>
  <c r="S2155" i="6"/>
  <c r="AI2155" i="6"/>
  <c r="Y2155" i="6"/>
  <c r="Q2155" i="6"/>
  <c r="Z2155" i="6"/>
  <c r="X2155" i="6"/>
  <c r="AJ2155" i="6"/>
  <c r="W2155" i="6"/>
  <c r="AH2155" i="6"/>
  <c r="R2155" i="6"/>
  <c r="AG2155" i="6"/>
  <c r="P2155" i="6"/>
  <c r="AF2155" i="6"/>
  <c r="V2155" i="6"/>
  <c r="U2155" i="6"/>
  <c r="S2109" i="6"/>
  <c r="AA2109" i="6"/>
  <c r="AA2159" i="6"/>
  <c r="S2159" i="6"/>
  <c r="Y2159" i="6"/>
  <c r="Q2159" i="6"/>
  <c r="W2159" i="6"/>
  <c r="V2159" i="6"/>
  <c r="AG2159" i="6"/>
  <c r="U2159" i="6"/>
  <c r="P2159" i="6"/>
  <c r="AF2159" i="6"/>
  <c r="X2159" i="6"/>
  <c r="T2159" i="6"/>
  <c r="R2159" i="6"/>
  <c r="Z2159" i="6"/>
  <c r="S2113" i="6"/>
  <c r="AA2113" i="6"/>
  <c r="I2161" i="6"/>
  <c r="U2115" i="6"/>
  <c r="S2115" i="6"/>
  <c r="B2167" i="6"/>
  <c r="T2155" i="6"/>
  <c r="T2105" i="6"/>
  <c r="T2109" i="6"/>
  <c r="T2113" i="6"/>
  <c r="W2114" i="6"/>
  <c r="J2161" i="6"/>
  <c r="AT2161" i="6" s="1"/>
  <c r="AE2115" i="6"/>
  <c r="AE2161" i="6" s="1"/>
  <c r="T2115" i="6"/>
  <c r="AF2115" i="6"/>
  <c r="I2167" i="6"/>
  <c r="Z2121" i="6"/>
  <c r="R2121" i="6"/>
  <c r="Y2121" i="6"/>
  <c r="Q2121" i="6"/>
  <c r="U2121" i="6"/>
  <c r="AG2121" i="6"/>
  <c r="B2156" i="6"/>
  <c r="B2160" i="6"/>
  <c r="AE2116" i="6"/>
  <c r="AE2162" i="6" s="1"/>
  <c r="B2164" i="6"/>
  <c r="R2124" i="6"/>
  <c r="Z2124" i="6"/>
  <c r="AA2170" i="6"/>
  <c r="S2170" i="6"/>
  <c r="Z2170" i="6"/>
  <c r="R2170" i="6"/>
  <c r="Y2170" i="6"/>
  <c r="Q2170" i="6"/>
  <c r="X2170" i="6"/>
  <c r="P2170" i="6"/>
  <c r="W2170" i="6"/>
  <c r="AF2170" i="6"/>
  <c r="V2170" i="6"/>
  <c r="U2170" i="6"/>
  <c r="T2170" i="6"/>
  <c r="S2124" i="6"/>
  <c r="AA2124" i="6"/>
  <c r="Y2169" i="6"/>
  <c r="Q2169" i="6"/>
  <c r="AH2169" i="6"/>
  <c r="X2169" i="6"/>
  <c r="P2169" i="6"/>
  <c r="AG2169" i="6"/>
  <c r="W2169" i="6"/>
  <c r="AF2169" i="6"/>
  <c r="V2169" i="6"/>
  <c r="U2169" i="6"/>
  <c r="AA2169" i="6"/>
  <c r="S2169" i="6"/>
  <c r="R2169" i="6"/>
  <c r="Z2169" i="6"/>
  <c r="T2169" i="6"/>
  <c r="S2123" i="6"/>
  <c r="AA2123" i="6"/>
  <c r="U2124" i="6"/>
  <c r="V2124" i="6"/>
  <c r="AF2124" i="6"/>
  <c r="W2164" i="6"/>
  <c r="AF2164" i="6"/>
  <c r="V2164" i="6"/>
  <c r="U2164" i="6"/>
  <c r="AA2164" i="6"/>
  <c r="S2164" i="6"/>
  <c r="Z2164" i="6"/>
  <c r="Y2164" i="6"/>
  <c r="X2164" i="6"/>
  <c r="Q2164" i="6"/>
  <c r="P2164" i="6"/>
  <c r="R2164" i="6"/>
  <c r="T2164" i="6"/>
  <c r="S2118" i="6"/>
  <c r="AA2118" i="6"/>
  <c r="B2120" i="6"/>
  <c r="W2168" i="6"/>
  <c r="AF2168" i="6"/>
  <c r="V2168" i="6"/>
  <c r="U2168" i="6"/>
  <c r="AA2168" i="6"/>
  <c r="S2168" i="6"/>
  <c r="Q2168" i="6"/>
  <c r="P2168" i="6"/>
  <c r="AB2168" i="6" s="1"/>
  <c r="X2168" i="6"/>
  <c r="T2168" i="6"/>
  <c r="Y2168" i="6"/>
  <c r="Z2168" i="6"/>
  <c r="R2168" i="6"/>
  <c r="S2122" i="6"/>
  <c r="AA2122" i="6"/>
  <c r="AT2122" i="6"/>
  <c r="U2123" i="6"/>
  <c r="W2124" i="6"/>
  <c r="B2166" i="6"/>
  <c r="T2122" i="6"/>
  <c r="V2123" i="6"/>
  <c r="AF2123" i="6"/>
  <c r="P2124" i="6"/>
  <c r="X2124" i="6"/>
  <c r="AB345" i="6" l="1"/>
  <c r="R63" i="5"/>
  <c r="R30" i="5"/>
  <c r="Q11" i="9"/>
  <c r="R41" i="5"/>
  <c r="R42" i="5" s="1"/>
  <c r="F21" i="10"/>
  <c r="N21" i="10"/>
  <c r="K21" i="10"/>
  <c r="L21" i="10"/>
  <c r="Q19" i="9"/>
  <c r="Q20" i="9" s="1"/>
  <c r="H20" i="9"/>
  <c r="R34" i="5"/>
  <c r="R45" i="5"/>
  <c r="Q7" i="9"/>
  <c r="Q8" i="9" s="1"/>
  <c r="E8" i="9"/>
  <c r="R56" i="5"/>
  <c r="J21" i="10"/>
  <c r="Q21" i="10"/>
  <c r="Q23" i="9"/>
  <c r="Q24" i="9" s="1"/>
  <c r="E24" i="9"/>
  <c r="Q15" i="9"/>
  <c r="P21" i="10"/>
  <c r="R52" i="5"/>
  <c r="R53" i="5" s="1"/>
  <c r="H21" i="10"/>
  <c r="R67" i="5"/>
  <c r="L49" i="10"/>
  <c r="K49" i="10"/>
  <c r="O49" i="10"/>
  <c r="F49" i="10"/>
  <c r="M49" i="10"/>
  <c r="H49" i="10"/>
  <c r="J49" i="10"/>
  <c r="P49" i="10"/>
  <c r="J47" i="10"/>
  <c r="AG340" i="6"/>
  <c r="N17" i="10"/>
  <c r="AR154" i="6"/>
  <c r="AR158" i="6"/>
  <c r="AR150" i="6"/>
  <c r="K11" i="10"/>
  <c r="M15" i="10"/>
  <c r="M16" i="10" s="1"/>
  <c r="J11" i="10"/>
  <c r="J7" i="10"/>
  <c r="K7" i="10"/>
  <c r="Q7" i="10"/>
  <c r="L7" i="10"/>
  <c r="O7" i="10"/>
  <c r="I7" i="10"/>
  <c r="G7" i="10"/>
  <c r="H7" i="10"/>
  <c r="P7" i="10"/>
  <c r="M7" i="10"/>
  <c r="F7" i="10"/>
  <c r="R51" i="10"/>
  <c r="R19" i="10"/>
  <c r="J53" i="5"/>
  <c r="G42" i="5"/>
  <c r="G53" i="5"/>
  <c r="O53" i="5"/>
  <c r="N42" i="5"/>
  <c r="K53" i="5"/>
  <c r="O42" i="5"/>
  <c r="P53" i="5"/>
  <c r="P42" i="5"/>
  <c r="J42" i="5"/>
  <c r="N53" i="5"/>
  <c r="L42" i="5"/>
  <c r="I42" i="5"/>
  <c r="F42" i="5"/>
  <c r="K42" i="5"/>
  <c r="Q42" i="5"/>
  <c r="F53" i="5"/>
  <c r="I53" i="5"/>
  <c r="M53" i="5"/>
  <c r="L53" i="5"/>
  <c r="Q53" i="5"/>
  <c r="M42" i="5"/>
  <c r="H53" i="5"/>
  <c r="H42" i="5"/>
  <c r="L26" i="5"/>
  <c r="K26" i="5"/>
  <c r="I26" i="5"/>
  <c r="F26" i="5"/>
  <c r="J26" i="5"/>
  <c r="Q26" i="5"/>
  <c r="P26" i="5"/>
  <c r="O26" i="5"/>
  <c r="N26" i="5"/>
  <c r="M26" i="5"/>
  <c r="H26" i="5"/>
  <c r="G26" i="5"/>
  <c r="O24" i="5"/>
  <c r="G24" i="5"/>
  <c r="N24" i="5"/>
  <c r="F24" i="5"/>
  <c r="M24" i="5"/>
  <c r="L24" i="5"/>
  <c r="K24" i="5"/>
  <c r="Q24" i="5"/>
  <c r="I24" i="5"/>
  <c r="P24" i="5"/>
  <c r="H24" i="5"/>
  <c r="J24" i="5"/>
  <c r="N18" i="5"/>
  <c r="Q18" i="5"/>
  <c r="O18" i="5"/>
  <c r="L18" i="5"/>
  <c r="J18" i="5"/>
  <c r="F18" i="5"/>
  <c r="P18" i="5"/>
  <c r="M18" i="5"/>
  <c r="H18" i="5"/>
  <c r="K18" i="5"/>
  <c r="G18" i="5"/>
  <c r="R18" i="5"/>
  <c r="R24" i="5"/>
  <c r="R26" i="5"/>
  <c r="Y524" i="6"/>
  <c r="X524" i="6"/>
  <c r="T524" i="6"/>
  <c r="S524" i="6"/>
  <c r="W524" i="6"/>
  <c r="P524" i="6"/>
  <c r="U524" i="6"/>
  <c r="Q524" i="6"/>
  <c r="R524" i="6"/>
  <c r="V524" i="6"/>
  <c r="Z524" i="6"/>
  <c r="AB2121" i="6"/>
  <c r="AB2095" i="6"/>
  <c r="AW1900" i="6"/>
  <c r="AG1900" i="6"/>
  <c r="AH1902" i="6"/>
  <c r="AX1902" i="6"/>
  <c r="AO1947" i="6"/>
  <c r="AG1947" i="6"/>
  <c r="AK1947" i="6"/>
  <c r="AJ1947" i="6"/>
  <c r="AI1947" i="6"/>
  <c r="AQ1947" i="6"/>
  <c r="AH1947" i="6"/>
  <c r="AP1947" i="6"/>
  <c r="AF1947" i="6"/>
  <c r="AN1947" i="6"/>
  <c r="AM1947" i="6"/>
  <c r="AL1947" i="6"/>
  <c r="I1766" i="6"/>
  <c r="Z1720" i="6"/>
  <c r="R1720" i="6"/>
  <c r="Y1720" i="6"/>
  <c r="Q1720" i="6"/>
  <c r="AG1720" i="6"/>
  <c r="W1720" i="6"/>
  <c r="U1720" i="6"/>
  <c r="P1720" i="6"/>
  <c r="AF1720" i="6"/>
  <c r="AA1720" i="6"/>
  <c r="X1720" i="6"/>
  <c r="V1720" i="6"/>
  <c r="T1720" i="6"/>
  <c r="S1720" i="6"/>
  <c r="V1585" i="6"/>
  <c r="U1585" i="6"/>
  <c r="T1585" i="6"/>
  <c r="AA1585" i="6"/>
  <c r="S1585" i="6"/>
  <c r="Z1585" i="6"/>
  <c r="R1585" i="6"/>
  <c r="Y1585" i="6"/>
  <c r="Q1585" i="6"/>
  <c r="X1585" i="6"/>
  <c r="P1585" i="6"/>
  <c r="W1585" i="6"/>
  <c r="I1631" i="6"/>
  <c r="AG1442" i="6"/>
  <c r="AW1442" i="6"/>
  <c r="B2148" i="6"/>
  <c r="AB2108" i="6"/>
  <c r="AB1892" i="6"/>
  <c r="AZ1912" i="6"/>
  <c r="AJ1912" i="6"/>
  <c r="F1798" i="6"/>
  <c r="B1798" i="6" s="1"/>
  <c r="B1752" i="6"/>
  <c r="B1763" i="6"/>
  <c r="V1597" i="6"/>
  <c r="U1597" i="6"/>
  <c r="T1597" i="6"/>
  <c r="I1643" i="6"/>
  <c r="AA1597" i="6"/>
  <c r="S1597" i="6"/>
  <c r="Z1597" i="6"/>
  <c r="R1597" i="6"/>
  <c r="Y1597" i="6"/>
  <c r="Q1597" i="6"/>
  <c r="X1597" i="6"/>
  <c r="P1597" i="6"/>
  <c r="W1597" i="6"/>
  <c r="AB1518" i="6"/>
  <c r="AN1500" i="6"/>
  <c r="AF1500" i="6"/>
  <c r="AM1500" i="6"/>
  <c r="AL1500" i="6"/>
  <c r="AJ1500" i="6"/>
  <c r="AI1500" i="6"/>
  <c r="AH1500" i="6"/>
  <c r="AG1500" i="6"/>
  <c r="AQ1500" i="6"/>
  <c r="AP1500" i="6"/>
  <c r="AO1500" i="6"/>
  <c r="AK1500" i="6"/>
  <c r="AG1464" i="6"/>
  <c r="AW1464" i="6"/>
  <c r="AG1440" i="6"/>
  <c r="AW1440" i="6"/>
  <c r="J1630" i="6"/>
  <c r="D1630" i="6" s="1"/>
  <c r="D1584" i="6"/>
  <c r="AK1470" i="6"/>
  <c r="AK1709" i="6" s="1"/>
  <c r="BA1470" i="6"/>
  <c r="AB1562" i="6"/>
  <c r="AF1136" i="6"/>
  <c r="V1136" i="6"/>
  <c r="I1182" i="6"/>
  <c r="AA1136" i="6"/>
  <c r="S1136" i="6"/>
  <c r="Y1136" i="6"/>
  <c r="X1136" i="6"/>
  <c r="W1136" i="6"/>
  <c r="U1136" i="6"/>
  <c r="T1136" i="6"/>
  <c r="R1136" i="6"/>
  <c r="Z1136" i="6"/>
  <c r="Q1136" i="6"/>
  <c r="P1136" i="6"/>
  <c r="AB1136" i="6" s="1"/>
  <c r="AE1189" i="6"/>
  <c r="AE1143" i="6"/>
  <c r="AE1235" i="6" s="1"/>
  <c r="AE1281" i="6" s="1"/>
  <c r="AE1327" i="6" s="1"/>
  <c r="Z766" i="6"/>
  <c r="R766" i="6"/>
  <c r="Y766" i="6"/>
  <c r="Q766" i="6"/>
  <c r="I812" i="6"/>
  <c r="X766" i="6"/>
  <c r="P766" i="6"/>
  <c r="W766" i="6"/>
  <c r="V766" i="6"/>
  <c r="U766" i="6"/>
  <c r="AA766" i="6"/>
  <c r="S766" i="6"/>
  <c r="T766" i="6"/>
  <c r="B2170" i="6"/>
  <c r="AB2164" i="6"/>
  <c r="AG2149" i="6"/>
  <c r="W2149" i="6"/>
  <c r="AI2149" i="6"/>
  <c r="X2149" i="6"/>
  <c r="AH2149" i="6"/>
  <c r="V2149" i="6"/>
  <c r="AF2149" i="6"/>
  <c r="U2149" i="6"/>
  <c r="AA2149" i="6"/>
  <c r="R2149" i="6"/>
  <c r="Q2149" i="6"/>
  <c r="AJ2149" i="6"/>
  <c r="P2149" i="6"/>
  <c r="Y2149" i="6"/>
  <c r="T2149" i="6"/>
  <c r="S2149" i="6"/>
  <c r="Z2149" i="6"/>
  <c r="AG2153" i="6"/>
  <c r="W2153" i="6"/>
  <c r="U2153" i="6"/>
  <c r="AA2153" i="6"/>
  <c r="Q2153" i="6"/>
  <c r="Z2153" i="6"/>
  <c r="P2153" i="6"/>
  <c r="Y2153" i="6"/>
  <c r="X2153" i="6"/>
  <c r="V2153" i="6"/>
  <c r="T2153" i="6"/>
  <c r="S2153" i="6"/>
  <c r="R2153" i="6"/>
  <c r="AF2153" i="6"/>
  <c r="AB2092" i="6"/>
  <c r="AL2136" i="6"/>
  <c r="AH2132" i="6"/>
  <c r="AH2085" i="6"/>
  <c r="AG2157" i="6"/>
  <c r="W2157" i="6"/>
  <c r="U2157" i="6"/>
  <c r="Y2157" i="6"/>
  <c r="AJ2157" i="6"/>
  <c r="X2157" i="6"/>
  <c r="AI2157" i="6"/>
  <c r="V2157" i="6"/>
  <c r="AA2157" i="6"/>
  <c r="Z2157" i="6"/>
  <c r="T2157" i="6"/>
  <c r="S2157" i="6"/>
  <c r="AH2157" i="6"/>
  <c r="Q2157" i="6"/>
  <c r="AF2157" i="6"/>
  <c r="P2157" i="6"/>
  <c r="R2157" i="6"/>
  <c r="AB2019" i="6"/>
  <c r="AB2001" i="6"/>
  <c r="T2041" i="6"/>
  <c r="Z2041" i="6"/>
  <c r="R2041" i="6"/>
  <c r="Y2041" i="6"/>
  <c r="Q2041" i="6"/>
  <c r="W2041" i="6"/>
  <c r="X2041" i="6"/>
  <c r="V2041" i="6"/>
  <c r="U2041" i="6"/>
  <c r="S2041" i="6"/>
  <c r="P2041" i="6"/>
  <c r="AA2041" i="6"/>
  <c r="AK1945" i="6"/>
  <c r="AP1945" i="6"/>
  <c r="AG1945" i="6"/>
  <c r="AO1945" i="6"/>
  <c r="AF1945" i="6"/>
  <c r="AN1945" i="6"/>
  <c r="AM1945" i="6"/>
  <c r="AL1945" i="6"/>
  <c r="AJ1945" i="6"/>
  <c r="AI1945" i="6"/>
  <c r="AQ1945" i="6"/>
  <c r="AH1945" i="6"/>
  <c r="W2059" i="6"/>
  <c r="V2059" i="6"/>
  <c r="T2059" i="6"/>
  <c r="S2059" i="6"/>
  <c r="Z2059" i="6"/>
  <c r="Q2059" i="6"/>
  <c r="R2059" i="6"/>
  <c r="P2059" i="6"/>
  <c r="AB2059" i="6" s="1"/>
  <c r="AA2059" i="6"/>
  <c r="Y2059" i="6"/>
  <c r="X2059" i="6"/>
  <c r="U2059" i="6"/>
  <c r="AB2000" i="6"/>
  <c r="W2057" i="6"/>
  <c r="Y2057" i="6"/>
  <c r="P2057" i="6"/>
  <c r="V2057" i="6"/>
  <c r="U2057" i="6"/>
  <c r="S2057" i="6"/>
  <c r="AA2057" i="6"/>
  <c r="Z2057" i="6"/>
  <c r="X2057" i="6"/>
  <c r="T2057" i="6"/>
  <c r="R2057" i="6"/>
  <c r="Q2057" i="6"/>
  <c r="AB1998" i="6"/>
  <c r="T2038" i="6"/>
  <c r="Z2038" i="6"/>
  <c r="R2038" i="6"/>
  <c r="Y2038" i="6"/>
  <c r="Q2038" i="6"/>
  <c r="W2038" i="6"/>
  <c r="P2038" i="6"/>
  <c r="AA2038" i="6"/>
  <c r="X2038" i="6"/>
  <c r="V2038" i="6"/>
  <c r="U2038" i="6"/>
  <c r="S2038" i="6"/>
  <c r="AB1985" i="6"/>
  <c r="T2042" i="6"/>
  <c r="Z2042" i="6"/>
  <c r="R2042" i="6"/>
  <c r="Y2042" i="6"/>
  <c r="Q2042" i="6"/>
  <c r="W2042" i="6"/>
  <c r="P2042" i="6"/>
  <c r="AA2042" i="6"/>
  <c r="X2042" i="6"/>
  <c r="V2042" i="6"/>
  <c r="U2042" i="6"/>
  <c r="S2042" i="6"/>
  <c r="AB1986" i="6"/>
  <c r="AR1937" i="6"/>
  <c r="AH1904" i="6"/>
  <c r="AX1904" i="6"/>
  <c r="AB2016" i="6"/>
  <c r="AB2023" i="6"/>
  <c r="AB2018" i="6"/>
  <c r="AB2098" i="6"/>
  <c r="AB2123" i="6"/>
  <c r="AM1911" i="6"/>
  <c r="AM2104" i="6" s="1"/>
  <c r="BC1911" i="6"/>
  <c r="Y2087" i="6"/>
  <c r="AX1924" i="6"/>
  <c r="AH1924" i="6"/>
  <c r="AH2117" i="6" s="1"/>
  <c r="AI1893" i="6"/>
  <c r="AY1893" i="6"/>
  <c r="Y1890" i="6"/>
  <c r="Y1893" i="6"/>
  <c r="Z1893" i="6"/>
  <c r="Z1832" i="6"/>
  <c r="Z1835" i="6" s="1"/>
  <c r="Z1833" i="6"/>
  <c r="Z1834" i="6"/>
  <c r="AX1914" i="6"/>
  <c r="AH1914" i="6"/>
  <c r="AH2107" i="6" s="1"/>
  <c r="V2085" i="6"/>
  <c r="AK1916" i="6"/>
  <c r="BA1916" i="6"/>
  <c r="U2087" i="6"/>
  <c r="AI1892" i="6"/>
  <c r="AY1892" i="6"/>
  <c r="T1833" i="6"/>
  <c r="T1890" i="6"/>
  <c r="T1834" i="6"/>
  <c r="T1832" i="6"/>
  <c r="AY1895" i="6"/>
  <c r="AI1895" i="6"/>
  <c r="AI2088" i="6" s="1"/>
  <c r="AF1890" i="6"/>
  <c r="AB1743" i="6"/>
  <c r="Y1789" i="6"/>
  <c r="Q1789" i="6"/>
  <c r="X1789" i="6"/>
  <c r="P1789" i="6"/>
  <c r="W1789" i="6"/>
  <c r="AF1789" i="6"/>
  <c r="V1789" i="6"/>
  <c r="U1789" i="6"/>
  <c r="T1789" i="6"/>
  <c r="AA1789" i="6"/>
  <c r="S1789" i="6"/>
  <c r="Z1789" i="6"/>
  <c r="R1789" i="6"/>
  <c r="AB1696" i="6"/>
  <c r="AB1746" i="6"/>
  <c r="AB1717" i="6"/>
  <c r="AB1697" i="6"/>
  <c r="B1773" i="6"/>
  <c r="AB1721" i="6"/>
  <c r="J1796" i="6"/>
  <c r="AT1796" i="6" s="1"/>
  <c r="AT1750" i="6"/>
  <c r="AA1774" i="6"/>
  <c r="S1774" i="6"/>
  <c r="Z1774" i="6"/>
  <c r="R1774" i="6"/>
  <c r="Y1774" i="6"/>
  <c r="Q1774" i="6"/>
  <c r="X1774" i="6"/>
  <c r="P1774" i="6"/>
  <c r="AB1774" i="6" s="1"/>
  <c r="AG1774" i="6"/>
  <c r="W1774" i="6"/>
  <c r="U1774" i="6"/>
  <c r="T1774" i="6"/>
  <c r="AF1774" i="6"/>
  <c r="V1774" i="6"/>
  <c r="J1781" i="6"/>
  <c r="AT1781" i="6" s="1"/>
  <c r="AT1735" i="6"/>
  <c r="B1774" i="6"/>
  <c r="I1660" i="6"/>
  <c r="V1614" i="6"/>
  <c r="U1614" i="6"/>
  <c r="T1614" i="6"/>
  <c r="AA1614" i="6"/>
  <c r="S1614" i="6"/>
  <c r="Z1614" i="6"/>
  <c r="R1614" i="6"/>
  <c r="Y1614" i="6"/>
  <c r="Q1614" i="6"/>
  <c r="X1614" i="6"/>
  <c r="P1614" i="6"/>
  <c r="W1614" i="6"/>
  <c r="AB1568" i="6"/>
  <c r="F1761" i="6"/>
  <c r="B1761" i="6" s="1"/>
  <c r="B1715" i="6"/>
  <c r="AA1782" i="6"/>
  <c r="S1782" i="6"/>
  <c r="Z1782" i="6"/>
  <c r="R1782" i="6"/>
  <c r="Y1782" i="6"/>
  <c r="Q1782" i="6"/>
  <c r="X1782" i="6"/>
  <c r="P1782" i="6"/>
  <c r="AG1782" i="6"/>
  <c r="W1782" i="6"/>
  <c r="AF1782" i="6"/>
  <c r="V1782" i="6"/>
  <c r="U1782" i="6"/>
  <c r="T1782" i="6"/>
  <c r="J1760" i="6"/>
  <c r="AT1760" i="6" s="1"/>
  <c r="AT1714" i="6"/>
  <c r="I1653" i="6"/>
  <c r="V1607" i="6"/>
  <c r="U1607" i="6"/>
  <c r="T1607" i="6"/>
  <c r="AA1607" i="6"/>
  <c r="S1607" i="6"/>
  <c r="Z1607" i="6"/>
  <c r="R1607" i="6"/>
  <c r="Y1607" i="6"/>
  <c r="Q1607" i="6"/>
  <c r="X1607" i="6"/>
  <c r="P1607" i="6"/>
  <c r="W1607" i="6"/>
  <c r="J1650" i="6"/>
  <c r="D1650" i="6" s="1"/>
  <c r="D1604" i="6"/>
  <c r="I1650" i="6"/>
  <c r="V1604" i="6"/>
  <c r="U1604" i="6"/>
  <c r="T1604" i="6"/>
  <c r="AA1604" i="6"/>
  <c r="S1604" i="6"/>
  <c r="Z1604" i="6"/>
  <c r="R1604" i="6"/>
  <c r="Y1604" i="6"/>
  <c r="Q1604" i="6"/>
  <c r="X1604" i="6"/>
  <c r="P1604" i="6"/>
  <c r="W1604" i="6"/>
  <c r="J1652" i="6"/>
  <c r="D1652" i="6" s="1"/>
  <c r="D1606" i="6"/>
  <c r="J1640" i="6"/>
  <c r="D1640" i="6" s="1"/>
  <c r="D1594" i="6"/>
  <c r="B1584" i="6"/>
  <c r="V1582" i="6"/>
  <c r="U1582" i="6"/>
  <c r="T1582" i="6"/>
  <c r="AA1582" i="6"/>
  <c r="S1582" i="6"/>
  <c r="Z1582" i="6"/>
  <c r="R1582" i="6"/>
  <c r="Y1582" i="6"/>
  <c r="Q1582" i="6"/>
  <c r="I1628" i="6"/>
  <c r="X1582" i="6"/>
  <c r="P1582" i="6"/>
  <c r="W1582" i="6"/>
  <c r="J1657" i="6"/>
  <c r="D1657" i="6" s="1"/>
  <c r="D1611" i="6"/>
  <c r="AB1539" i="6"/>
  <c r="F1771" i="6"/>
  <c r="B1771" i="6" s="1"/>
  <c r="B1725" i="6"/>
  <c r="J1651" i="6"/>
  <c r="D1651" i="6" s="1"/>
  <c r="D1605" i="6"/>
  <c r="V1579" i="6"/>
  <c r="U1579" i="6"/>
  <c r="T1579" i="6"/>
  <c r="AA1579" i="6"/>
  <c r="S1579" i="6"/>
  <c r="Z1579" i="6"/>
  <c r="R1579" i="6"/>
  <c r="Y1579" i="6"/>
  <c r="Q1579" i="6"/>
  <c r="I1625" i="6"/>
  <c r="X1579" i="6"/>
  <c r="P1579" i="6"/>
  <c r="AB1579" i="6" s="1"/>
  <c r="W1579" i="6"/>
  <c r="AB1514" i="6"/>
  <c r="I1651" i="6"/>
  <c r="V1605" i="6"/>
  <c r="U1605" i="6"/>
  <c r="T1605" i="6"/>
  <c r="AA1605" i="6"/>
  <c r="S1605" i="6"/>
  <c r="Z1605" i="6"/>
  <c r="R1605" i="6"/>
  <c r="Y1605" i="6"/>
  <c r="Q1605" i="6"/>
  <c r="X1605" i="6"/>
  <c r="P1605" i="6"/>
  <c r="W1605" i="6"/>
  <c r="D1580" i="6"/>
  <c r="J1626" i="6"/>
  <c r="D1626" i="6" s="1"/>
  <c r="AB1477" i="6"/>
  <c r="AN1508" i="6"/>
  <c r="AF1508" i="6"/>
  <c r="AM1508" i="6"/>
  <c r="AL1508" i="6"/>
  <c r="AO1508" i="6"/>
  <c r="AK1508" i="6"/>
  <c r="AJ1508" i="6"/>
  <c r="AI1508" i="6"/>
  <c r="AH1508" i="6"/>
  <c r="AG1508" i="6"/>
  <c r="AQ1508" i="6"/>
  <c r="AP1508" i="6"/>
  <c r="AB1478" i="6"/>
  <c r="J1638" i="6"/>
  <c r="D1638" i="6" s="1"/>
  <c r="D1592" i="6"/>
  <c r="F1632" i="6"/>
  <c r="B1586" i="6"/>
  <c r="AR1502" i="6"/>
  <c r="AB1356" i="6"/>
  <c r="AB1374" i="6" s="1"/>
  <c r="AB1368" i="6"/>
  <c r="AX1467" i="6"/>
  <c r="AH1467" i="6"/>
  <c r="AH1453" i="6"/>
  <c r="AX1453" i="6"/>
  <c r="AH1437" i="6"/>
  <c r="AH1676" i="6" s="1"/>
  <c r="AX1437" i="6"/>
  <c r="AH1459" i="6"/>
  <c r="AX1459" i="6"/>
  <c r="AH1443" i="6"/>
  <c r="AH1774" i="6" s="1"/>
  <c r="AX1443" i="6"/>
  <c r="BA1469" i="6"/>
  <c r="AK1469" i="6"/>
  <c r="AK1708" i="6" s="1"/>
  <c r="AJ1432" i="6"/>
  <c r="AJ1763" i="6" s="1"/>
  <c r="AZ1432" i="6"/>
  <c r="AB1532" i="6"/>
  <c r="AB1548" i="6"/>
  <c r="AB1549" i="6"/>
  <c r="AB1675" i="6"/>
  <c r="AB1682" i="6"/>
  <c r="AB1687" i="6"/>
  <c r="AB1690" i="6"/>
  <c r="AA1377" i="6"/>
  <c r="AA1374" i="6"/>
  <c r="AA1375" i="6"/>
  <c r="AA1376" i="6"/>
  <c r="J1192" i="6"/>
  <c r="AT1146" i="6"/>
  <c r="AT1135" i="6"/>
  <c r="J1181" i="6"/>
  <c r="I1199" i="6"/>
  <c r="Y1153" i="6"/>
  <c r="Q1153" i="6"/>
  <c r="AH1153" i="6"/>
  <c r="X1153" i="6"/>
  <c r="P1153" i="6"/>
  <c r="AF1153" i="6"/>
  <c r="V1153" i="6"/>
  <c r="U1153" i="6"/>
  <c r="AA1153" i="6"/>
  <c r="S1153" i="6"/>
  <c r="R1153" i="6"/>
  <c r="AG1153" i="6"/>
  <c r="Z1153" i="6"/>
  <c r="W1153" i="6"/>
  <c r="T1153" i="6"/>
  <c r="AB1101" i="6"/>
  <c r="I1191" i="6"/>
  <c r="Y1145" i="6"/>
  <c r="Q1145" i="6"/>
  <c r="X1145" i="6"/>
  <c r="P1145" i="6"/>
  <c r="AF1145" i="6"/>
  <c r="V1145" i="6"/>
  <c r="U1145" i="6"/>
  <c r="AA1145" i="6"/>
  <c r="S1145" i="6"/>
  <c r="R1145" i="6"/>
  <c r="AG1145" i="6"/>
  <c r="Z1145" i="6"/>
  <c r="W1145" i="6"/>
  <c r="T1145" i="6"/>
  <c r="AB1095" i="6"/>
  <c r="I1187" i="6"/>
  <c r="X1141" i="6"/>
  <c r="P1141" i="6"/>
  <c r="AF1141" i="6"/>
  <c r="V1141" i="6"/>
  <c r="AA1141" i="6"/>
  <c r="S1141" i="6"/>
  <c r="W1141" i="6"/>
  <c r="U1141" i="6"/>
  <c r="T1141" i="6"/>
  <c r="AG1141" i="6"/>
  <c r="R1141" i="6"/>
  <c r="Q1141" i="6"/>
  <c r="Z1141" i="6"/>
  <c r="Y1141" i="6"/>
  <c r="AB1088" i="6"/>
  <c r="AB1082" i="6"/>
  <c r="AE1195" i="6"/>
  <c r="AE1149" i="6"/>
  <c r="AE1241" i="6" s="1"/>
  <c r="AE1287" i="6" s="1"/>
  <c r="AE1333" i="6" s="1"/>
  <c r="AE1186" i="6"/>
  <c r="AE1140" i="6"/>
  <c r="AE1232" i="6" s="1"/>
  <c r="AE1278" i="6" s="1"/>
  <c r="AE1324" i="6" s="1"/>
  <c r="AE1181" i="6"/>
  <c r="AE1135" i="6"/>
  <c r="AE1227" i="6" s="1"/>
  <c r="AE1273" i="6" s="1"/>
  <c r="AE1319" i="6" s="1"/>
  <c r="AB1129" i="6"/>
  <c r="F1190" i="6"/>
  <c r="B1144" i="6"/>
  <c r="AB1069" i="6"/>
  <c r="I1226" i="6"/>
  <c r="AP1180" i="6"/>
  <c r="AH1180" i="6"/>
  <c r="X1180" i="6"/>
  <c r="P1180" i="6"/>
  <c r="AO1180" i="6"/>
  <c r="AG1180" i="6"/>
  <c r="W1180" i="6"/>
  <c r="AN1180" i="6"/>
  <c r="AF1180" i="6"/>
  <c r="V1180" i="6"/>
  <c r="AM1180" i="6"/>
  <c r="U1180" i="6"/>
  <c r="AL1180" i="6"/>
  <c r="T1180" i="6"/>
  <c r="AK1180" i="6"/>
  <c r="AA1180" i="6"/>
  <c r="S1180" i="6"/>
  <c r="AQ1180" i="6"/>
  <c r="AI1180" i="6"/>
  <c r="Y1180" i="6"/>
  <c r="Q1180" i="6"/>
  <c r="AJ1180" i="6"/>
  <c r="Z1180" i="6"/>
  <c r="R1180" i="6"/>
  <c r="AE1176" i="6"/>
  <c r="AE1130" i="6"/>
  <c r="AE1222" i="6" s="1"/>
  <c r="AE1268" i="6" s="1"/>
  <c r="AE1314" i="6" s="1"/>
  <c r="AE1172" i="6"/>
  <c r="AE1126" i="6"/>
  <c r="AE1218" i="6" s="1"/>
  <c r="AE1264" i="6" s="1"/>
  <c r="AE1310" i="6" s="1"/>
  <c r="I1235" i="6"/>
  <c r="AQ1189" i="6"/>
  <c r="AI1189" i="6"/>
  <c r="Y1189" i="6"/>
  <c r="Q1189" i="6"/>
  <c r="AN1189" i="6"/>
  <c r="AF1189" i="6"/>
  <c r="V1189" i="6"/>
  <c r="AK1189" i="6"/>
  <c r="X1189" i="6"/>
  <c r="AJ1189" i="6"/>
  <c r="W1189" i="6"/>
  <c r="AH1189" i="6"/>
  <c r="U1189" i="6"/>
  <c r="AG1189" i="6"/>
  <c r="T1189" i="6"/>
  <c r="AP1189" i="6"/>
  <c r="S1189" i="6"/>
  <c r="AO1189" i="6"/>
  <c r="R1189" i="6"/>
  <c r="AL1189" i="6"/>
  <c r="Z1189" i="6"/>
  <c r="AM1189" i="6"/>
  <c r="AA1189" i="6"/>
  <c r="P1189" i="6"/>
  <c r="AB1189" i="6" s="1"/>
  <c r="F1178" i="6"/>
  <c r="F1198" i="6"/>
  <c r="B1152" i="6"/>
  <c r="AE1166" i="6"/>
  <c r="AE1120" i="6"/>
  <c r="AE1212" i="6" s="1"/>
  <c r="AE1258" i="6" s="1"/>
  <c r="AE1304" i="6" s="1"/>
  <c r="AE1156" i="6"/>
  <c r="AE1110" i="6"/>
  <c r="AE1202" i="6" s="1"/>
  <c r="AE1248" i="6" s="1"/>
  <c r="AE1294" i="6" s="1"/>
  <c r="AB1070" i="6"/>
  <c r="AT1085" i="6"/>
  <c r="J1131" i="6"/>
  <c r="J1127" i="6"/>
  <c r="AT1081" i="6"/>
  <c r="AB1144" i="6"/>
  <c r="F1173" i="6"/>
  <c r="B1127" i="6"/>
  <c r="Z774" i="6"/>
  <c r="R774" i="6"/>
  <c r="I820" i="6"/>
  <c r="Y774" i="6"/>
  <c r="Q774" i="6"/>
  <c r="X774" i="6"/>
  <c r="P774" i="6"/>
  <c r="W774" i="6"/>
  <c r="V774" i="6"/>
  <c r="U774" i="6"/>
  <c r="AA774" i="6"/>
  <c r="S774" i="6"/>
  <c r="T774" i="6"/>
  <c r="Z742" i="6"/>
  <c r="R742" i="6"/>
  <c r="Y742" i="6"/>
  <c r="Q742" i="6"/>
  <c r="I788" i="6"/>
  <c r="X742" i="6"/>
  <c r="P742" i="6"/>
  <c r="W742" i="6"/>
  <c r="V742" i="6"/>
  <c r="U742" i="6"/>
  <c r="AA742" i="6"/>
  <c r="S742" i="6"/>
  <c r="T742" i="6"/>
  <c r="AB716" i="6"/>
  <c r="AB708" i="6"/>
  <c r="AB696" i="6"/>
  <c r="AT1112" i="6"/>
  <c r="J1158" i="6"/>
  <c r="J850" i="6"/>
  <c r="D804" i="6"/>
  <c r="AH1061" i="6"/>
  <c r="AB1020" i="6"/>
  <c r="AB1029" i="6"/>
  <c r="AB1021" i="6"/>
  <c r="AR1079" i="6"/>
  <c r="AB1038" i="6"/>
  <c r="AB1042" i="6"/>
  <c r="AB1046" i="6"/>
  <c r="AB1050" i="6"/>
  <c r="AB1054" i="6"/>
  <c r="AB1058" i="6"/>
  <c r="J869" i="6"/>
  <c r="D823" i="6"/>
  <c r="L1058" i="6"/>
  <c r="L1104" i="6" s="1"/>
  <c r="L1150" i="6" s="1"/>
  <c r="L1196" i="6" s="1"/>
  <c r="L1242" i="6" s="1"/>
  <c r="L1288" i="6" s="1"/>
  <c r="L1334" i="6" s="1"/>
  <c r="AT635" i="6"/>
  <c r="L1042" i="6"/>
  <c r="L1088" i="6" s="1"/>
  <c r="L1134" i="6" s="1"/>
  <c r="L1180" i="6" s="1"/>
  <c r="L1226" i="6" s="1"/>
  <c r="L1272" i="6" s="1"/>
  <c r="L1318" i="6" s="1"/>
  <c r="AT619" i="6"/>
  <c r="L1022" i="6"/>
  <c r="L1068" i="6" s="1"/>
  <c r="L1114" i="6" s="1"/>
  <c r="L1160" i="6" s="1"/>
  <c r="L1206" i="6" s="1"/>
  <c r="L1252" i="6" s="1"/>
  <c r="L1298" i="6" s="1"/>
  <c r="AT603" i="6"/>
  <c r="J854" i="6"/>
  <c r="D808" i="6"/>
  <c r="AB709" i="6"/>
  <c r="AB705" i="6"/>
  <c r="AB682" i="6"/>
  <c r="AB733" i="6"/>
  <c r="F852" i="6"/>
  <c r="B806" i="6"/>
  <c r="AB703" i="6"/>
  <c r="V740" i="6"/>
  <c r="U740" i="6"/>
  <c r="T740" i="6"/>
  <c r="AA740" i="6"/>
  <c r="S740" i="6"/>
  <c r="Z740" i="6"/>
  <c r="R740" i="6"/>
  <c r="Y740" i="6"/>
  <c r="Q740" i="6"/>
  <c r="W740" i="6"/>
  <c r="I786" i="6"/>
  <c r="X740" i="6"/>
  <c r="P740" i="6"/>
  <c r="AB740" i="6" s="1"/>
  <c r="B765" i="6"/>
  <c r="F811" i="6"/>
  <c r="B808" i="6"/>
  <c r="D794" i="6"/>
  <c r="J840" i="6"/>
  <c r="AO1428" i="6"/>
  <c r="B761" i="6"/>
  <c r="F807" i="6"/>
  <c r="J866" i="6"/>
  <c r="D820" i="6"/>
  <c r="AR677" i="6"/>
  <c r="AB666" i="6"/>
  <c r="U544" i="6"/>
  <c r="U540" i="6"/>
  <c r="U546" i="6"/>
  <c r="U542" i="6"/>
  <c r="U545" i="6"/>
  <c r="U541" i="6"/>
  <c r="U543" i="6"/>
  <c r="U539" i="6"/>
  <c r="D751" i="6"/>
  <c r="J797" i="6"/>
  <c r="F868" i="6"/>
  <c r="B822" i="6"/>
  <c r="J834" i="6"/>
  <c r="D788" i="6"/>
  <c r="AB676" i="6"/>
  <c r="AR671" i="6"/>
  <c r="AB669" i="6"/>
  <c r="AG613" i="6"/>
  <c r="AW613" i="6"/>
  <c r="AH600" i="6"/>
  <c r="AX600" i="6"/>
  <c r="AR660" i="6"/>
  <c r="AA535" i="6"/>
  <c r="J830" i="6"/>
  <c r="D784" i="6"/>
  <c r="L1061" i="6"/>
  <c r="L1107" i="6" s="1"/>
  <c r="L1153" i="6" s="1"/>
  <c r="L1199" i="6" s="1"/>
  <c r="L1245" i="6" s="1"/>
  <c r="L1291" i="6" s="1"/>
  <c r="L1337" i="6" s="1"/>
  <c r="AT638" i="6"/>
  <c r="AB374" i="6"/>
  <c r="AB370" i="6"/>
  <c r="AB366" i="6"/>
  <c r="AB362" i="6"/>
  <c r="Z395" i="6"/>
  <c r="R395" i="6"/>
  <c r="Y395" i="6"/>
  <c r="Q395" i="6"/>
  <c r="X395" i="6"/>
  <c r="P395" i="6"/>
  <c r="AG395" i="6"/>
  <c r="W395" i="6"/>
  <c r="AF395" i="6"/>
  <c r="V395" i="6"/>
  <c r="AA395" i="6"/>
  <c r="S395" i="6"/>
  <c r="I441" i="6"/>
  <c r="U395" i="6"/>
  <c r="T395" i="6"/>
  <c r="L1019" i="6"/>
  <c r="L1065" i="6" s="1"/>
  <c r="L1111" i="6" s="1"/>
  <c r="L1157" i="6" s="1"/>
  <c r="L1203" i="6" s="1"/>
  <c r="L1249" i="6" s="1"/>
  <c r="L1295" i="6" s="1"/>
  <c r="AT600" i="6"/>
  <c r="T313" i="6"/>
  <c r="X313" i="6"/>
  <c r="P313" i="6"/>
  <c r="V313" i="6"/>
  <c r="U313" i="6"/>
  <c r="S313" i="6"/>
  <c r="R313" i="6"/>
  <c r="AA313" i="6"/>
  <c r="Q313" i="6"/>
  <c r="Z313" i="6"/>
  <c r="W313" i="6"/>
  <c r="Y313" i="6"/>
  <c r="AB169" i="6"/>
  <c r="AB153" i="6"/>
  <c r="F463" i="6"/>
  <c r="B463" i="6" s="1"/>
  <c r="B417" i="6"/>
  <c r="AB409" i="6"/>
  <c r="AB397" i="6"/>
  <c r="B438" i="6"/>
  <c r="AB340" i="6"/>
  <c r="B468" i="6"/>
  <c r="AB413" i="6"/>
  <c r="AB278" i="6"/>
  <c r="AB245" i="6"/>
  <c r="T283" i="6"/>
  <c r="U283" i="6"/>
  <c r="S283" i="6"/>
  <c r="AA283" i="6"/>
  <c r="R283" i="6"/>
  <c r="Z283" i="6"/>
  <c r="Q283" i="6"/>
  <c r="Y283" i="6"/>
  <c r="P283" i="6"/>
  <c r="X283" i="6"/>
  <c r="V283" i="6"/>
  <c r="W283" i="6"/>
  <c r="J321" i="6"/>
  <c r="D321" i="6" s="1"/>
  <c r="D275" i="6"/>
  <c r="F310" i="6"/>
  <c r="B264" i="6"/>
  <c r="AB201" i="6"/>
  <c r="AR146" i="6"/>
  <c r="J314" i="6"/>
  <c r="D314" i="6" s="1"/>
  <c r="D268" i="6"/>
  <c r="F303" i="6"/>
  <c r="B257" i="6"/>
  <c r="AB194" i="6"/>
  <c r="AP177" i="6"/>
  <c r="AH177" i="6"/>
  <c r="AM177" i="6"/>
  <c r="AK177" i="6"/>
  <c r="AQ177" i="6"/>
  <c r="AI177" i="6"/>
  <c r="AO177" i="6"/>
  <c r="AN177" i="6"/>
  <c r="AL177" i="6"/>
  <c r="AJ177" i="6"/>
  <c r="AG177" i="6"/>
  <c r="AF177" i="6"/>
  <c r="AG370" i="6"/>
  <c r="AA39" i="6"/>
  <c r="AA43" i="6" s="1"/>
  <c r="AA40" i="6"/>
  <c r="AA41" i="6"/>
  <c r="AA42" i="6"/>
  <c r="T301" i="6"/>
  <c r="X301" i="6"/>
  <c r="P301" i="6"/>
  <c r="V301" i="6"/>
  <c r="U301" i="6"/>
  <c r="S301" i="6"/>
  <c r="R301" i="6"/>
  <c r="AA301" i="6"/>
  <c r="Q301" i="6"/>
  <c r="Z301" i="6"/>
  <c r="W301" i="6"/>
  <c r="Y301" i="6"/>
  <c r="L1055" i="6"/>
  <c r="L1101" i="6" s="1"/>
  <c r="L1147" i="6" s="1"/>
  <c r="L1193" i="6" s="1"/>
  <c r="L1239" i="6" s="1"/>
  <c r="L1285" i="6" s="1"/>
  <c r="L1331" i="6" s="1"/>
  <c r="AT632" i="6"/>
  <c r="J453" i="6"/>
  <c r="AT453" i="6" s="1"/>
  <c r="AT407" i="6"/>
  <c r="T305" i="6"/>
  <c r="X305" i="6"/>
  <c r="P305" i="6"/>
  <c r="V305" i="6"/>
  <c r="U305" i="6"/>
  <c r="S305" i="6"/>
  <c r="R305" i="6"/>
  <c r="AA305" i="6"/>
  <c r="Q305" i="6"/>
  <c r="Z305" i="6"/>
  <c r="W305" i="6"/>
  <c r="Y305" i="6"/>
  <c r="AB219" i="6"/>
  <c r="J324" i="6"/>
  <c r="D324" i="6" s="1"/>
  <c r="D278" i="6"/>
  <c r="J308" i="6"/>
  <c r="D308" i="6" s="1"/>
  <c r="D262" i="6"/>
  <c r="F297" i="6"/>
  <c r="B251" i="6"/>
  <c r="AL171" i="6"/>
  <c r="AQ171" i="6"/>
  <c r="AI171" i="6"/>
  <c r="AO171" i="6"/>
  <c r="AG171" i="6"/>
  <c r="AM171" i="6"/>
  <c r="AP171" i="6"/>
  <c r="AH171" i="6"/>
  <c r="AN171" i="6"/>
  <c r="AK171" i="6"/>
  <c r="AJ171" i="6"/>
  <c r="AF171" i="6"/>
  <c r="AH116" i="6"/>
  <c r="AX116" i="6"/>
  <c r="AH108" i="6"/>
  <c r="AX108" i="6"/>
  <c r="AH100" i="6"/>
  <c r="AH431" i="6" s="1"/>
  <c r="AX100" i="6"/>
  <c r="AB267" i="6"/>
  <c r="AB363" i="6"/>
  <c r="AB33" i="6"/>
  <c r="AB34" i="6"/>
  <c r="AB21" i="6"/>
  <c r="F308" i="6"/>
  <c r="B308" i="6" s="1"/>
  <c r="B262" i="6"/>
  <c r="T289" i="6"/>
  <c r="W289" i="6"/>
  <c r="V289" i="6"/>
  <c r="U289" i="6"/>
  <c r="S289" i="6"/>
  <c r="AA289" i="6"/>
  <c r="R289" i="6"/>
  <c r="Z289" i="6"/>
  <c r="Q289" i="6"/>
  <c r="X289" i="6"/>
  <c r="Y289" i="6"/>
  <c r="P289" i="6"/>
  <c r="F306" i="6"/>
  <c r="B260" i="6"/>
  <c r="AB197" i="6"/>
  <c r="P41" i="6"/>
  <c r="P42" i="6"/>
  <c r="P39" i="6"/>
  <c r="P43" i="6" s="1"/>
  <c r="P40" i="6"/>
  <c r="AB337" i="6"/>
  <c r="J302" i="6"/>
  <c r="D302" i="6" s="1"/>
  <c r="D256" i="6"/>
  <c r="F291" i="6"/>
  <c r="B245" i="6"/>
  <c r="AB184" i="6"/>
  <c r="AM96" i="6"/>
  <c r="BC96" i="6"/>
  <c r="AB725" i="6"/>
  <c r="AB353" i="6"/>
  <c r="T312" i="6"/>
  <c r="X312" i="6"/>
  <c r="P312" i="6"/>
  <c r="Y312" i="6"/>
  <c r="W312" i="6"/>
  <c r="V312" i="6"/>
  <c r="U312" i="6"/>
  <c r="S312" i="6"/>
  <c r="R312" i="6"/>
  <c r="Z312" i="6"/>
  <c r="AA312" i="6"/>
  <c r="Q312" i="6"/>
  <c r="T296" i="6"/>
  <c r="X296" i="6"/>
  <c r="P296" i="6"/>
  <c r="Y296" i="6"/>
  <c r="W296" i="6"/>
  <c r="V296" i="6"/>
  <c r="U296" i="6"/>
  <c r="S296" i="6"/>
  <c r="R296" i="6"/>
  <c r="Z296" i="6"/>
  <c r="AA296" i="6"/>
  <c r="Q296" i="6"/>
  <c r="J296" i="6"/>
  <c r="D296" i="6" s="1"/>
  <c r="D250" i="6"/>
  <c r="AL167" i="6"/>
  <c r="AQ167" i="6"/>
  <c r="AI167" i="6"/>
  <c r="AO167" i="6"/>
  <c r="AG167" i="6"/>
  <c r="AM167" i="6"/>
  <c r="AK167" i="6"/>
  <c r="AJ167" i="6"/>
  <c r="AH167" i="6"/>
  <c r="AP167" i="6"/>
  <c r="AF167" i="6"/>
  <c r="AN167" i="6"/>
  <c r="AF358" i="6"/>
  <c r="T39" i="6"/>
  <c r="T96" i="6"/>
  <c r="T40" i="6"/>
  <c r="T97" i="6"/>
  <c r="T41" i="6"/>
  <c r="T42" i="6"/>
  <c r="AX103" i="6"/>
  <c r="AH103" i="6"/>
  <c r="AH342" i="6" s="1"/>
  <c r="AX115" i="6"/>
  <c r="AH115" i="6"/>
  <c r="AH354" i="6" s="1"/>
  <c r="AR173" i="6"/>
  <c r="AI134" i="6"/>
  <c r="AI373" i="6" s="1"/>
  <c r="AY134" i="6"/>
  <c r="Z2127" i="6"/>
  <c r="R2127" i="6"/>
  <c r="Y2127" i="6"/>
  <c r="Q2127" i="6"/>
  <c r="X2127" i="6"/>
  <c r="P2127" i="6"/>
  <c r="AG2127" i="6"/>
  <c r="W2127" i="6"/>
  <c r="U2127" i="6"/>
  <c r="T2127" i="6"/>
  <c r="AF2127" i="6"/>
  <c r="AA2127" i="6"/>
  <c r="V2127" i="6"/>
  <c r="S2127" i="6"/>
  <c r="Y2130" i="6"/>
  <c r="Q2130" i="6"/>
  <c r="X2130" i="6"/>
  <c r="P2130" i="6"/>
  <c r="AA2130" i="6"/>
  <c r="S2130" i="6"/>
  <c r="Z2130" i="6"/>
  <c r="W2130" i="6"/>
  <c r="U2130" i="6"/>
  <c r="T2130" i="6"/>
  <c r="AF2130" i="6"/>
  <c r="V2130" i="6"/>
  <c r="R2130" i="6"/>
  <c r="AY1917" i="6"/>
  <c r="AI1917" i="6"/>
  <c r="AG1788" i="6"/>
  <c r="W1788" i="6"/>
  <c r="AF1788" i="6"/>
  <c r="V1788" i="6"/>
  <c r="U1788" i="6"/>
  <c r="T1788" i="6"/>
  <c r="AA1788" i="6"/>
  <c r="S1788" i="6"/>
  <c r="Z1788" i="6"/>
  <c r="R1788" i="6"/>
  <c r="Y1788" i="6"/>
  <c r="Q1788" i="6"/>
  <c r="X1788" i="6"/>
  <c r="P1788" i="6"/>
  <c r="AB1673" i="6"/>
  <c r="J1639" i="6"/>
  <c r="D1639" i="6" s="1"/>
  <c r="D1593" i="6"/>
  <c r="V1587" i="6"/>
  <c r="U1587" i="6"/>
  <c r="T1587" i="6"/>
  <c r="AA1587" i="6"/>
  <c r="S1587" i="6"/>
  <c r="Z1587" i="6"/>
  <c r="R1587" i="6"/>
  <c r="I1633" i="6"/>
  <c r="Y1587" i="6"/>
  <c r="Q1587" i="6"/>
  <c r="X1587" i="6"/>
  <c r="P1587" i="6"/>
  <c r="W1587" i="6"/>
  <c r="V1583" i="6"/>
  <c r="I1629" i="6"/>
  <c r="U1583" i="6"/>
  <c r="T1583" i="6"/>
  <c r="AA1583" i="6"/>
  <c r="S1583" i="6"/>
  <c r="Z1583" i="6"/>
  <c r="R1583" i="6"/>
  <c r="Y1583" i="6"/>
  <c r="Q1583" i="6"/>
  <c r="X1583" i="6"/>
  <c r="P1583" i="6"/>
  <c r="W1583" i="6"/>
  <c r="AG1434" i="6"/>
  <c r="AW1434" i="6"/>
  <c r="J1658" i="6"/>
  <c r="D1658" i="6" s="1"/>
  <c r="D1612" i="6"/>
  <c r="AF1698" i="6"/>
  <c r="AF1682" i="6"/>
  <c r="V1669" i="6"/>
  <c r="V1433" i="6"/>
  <c r="AL1430" i="6"/>
  <c r="AL1669" i="6" s="1"/>
  <c r="T1433" i="6"/>
  <c r="AJ1430" i="6"/>
  <c r="AJ1669" i="6" s="1"/>
  <c r="AH1457" i="6"/>
  <c r="AX1457" i="6"/>
  <c r="AJ1471" i="6"/>
  <c r="AJ1710" i="6" s="1"/>
  <c r="AZ1471" i="6"/>
  <c r="AB1686" i="6"/>
  <c r="J1198" i="6"/>
  <c r="AT1152" i="6"/>
  <c r="J1186" i="6"/>
  <c r="AT1140" i="6"/>
  <c r="AB1102" i="6"/>
  <c r="I1192" i="6"/>
  <c r="Y1146" i="6"/>
  <c r="Q1146" i="6"/>
  <c r="X1146" i="6"/>
  <c r="P1146" i="6"/>
  <c r="AF1146" i="6"/>
  <c r="V1146" i="6"/>
  <c r="U1146" i="6"/>
  <c r="AA1146" i="6"/>
  <c r="S1146" i="6"/>
  <c r="T1146" i="6"/>
  <c r="R1146" i="6"/>
  <c r="Z1146" i="6"/>
  <c r="W1146" i="6"/>
  <c r="AB1096" i="6"/>
  <c r="I1185" i="6"/>
  <c r="X1139" i="6"/>
  <c r="P1139" i="6"/>
  <c r="AF1139" i="6"/>
  <c r="V1139" i="6"/>
  <c r="AA1139" i="6"/>
  <c r="S1139" i="6"/>
  <c r="Z1139" i="6"/>
  <c r="Y1139" i="6"/>
  <c r="W1139" i="6"/>
  <c r="U1139" i="6"/>
  <c r="T1139" i="6"/>
  <c r="AG1139" i="6"/>
  <c r="R1139" i="6"/>
  <c r="Q1139" i="6"/>
  <c r="AB1089" i="6"/>
  <c r="AF1135" i="6"/>
  <c r="I1181" i="6"/>
  <c r="AA1135" i="6"/>
  <c r="S1135" i="6"/>
  <c r="W1135" i="6"/>
  <c r="V1135" i="6"/>
  <c r="AG1135" i="6"/>
  <c r="U1135" i="6"/>
  <c r="T1135" i="6"/>
  <c r="R1135" i="6"/>
  <c r="Z1135" i="6"/>
  <c r="Q1135" i="6"/>
  <c r="Y1135" i="6"/>
  <c r="X1135" i="6"/>
  <c r="P1135" i="6"/>
  <c r="I1178" i="6"/>
  <c r="AA1132" i="6"/>
  <c r="S1132" i="6"/>
  <c r="X1132" i="6"/>
  <c r="W1132" i="6"/>
  <c r="V1132" i="6"/>
  <c r="AF1132" i="6"/>
  <c r="U1132" i="6"/>
  <c r="T1132" i="6"/>
  <c r="R1132" i="6"/>
  <c r="P1132" i="6"/>
  <c r="Z1132" i="6"/>
  <c r="Q1132" i="6"/>
  <c r="Y1132" i="6"/>
  <c r="I1170" i="6"/>
  <c r="AK1124" i="6"/>
  <c r="AA1124" i="6"/>
  <c r="S1124" i="6"/>
  <c r="AJ1124" i="6"/>
  <c r="Z1124" i="6"/>
  <c r="R1124" i="6"/>
  <c r="AQ1124" i="6"/>
  <c r="AI1124" i="6"/>
  <c r="Y1124" i="6"/>
  <c r="Q1124" i="6"/>
  <c r="AP1124" i="6"/>
  <c r="AH1124" i="6"/>
  <c r="X1124" i="6"/>
  <c r="P1124" i="6"/>
  <c r="AO1124" i="6"/>
  <c r="AG1124" i="6"/>
  <c r="W1124" i="6"/>
  <c r="AN1124" i="6"/>
  <c r="AF1124" i="6"/>
  <c r="V1124" i="6"/>
  <c r="AM1124" i="6"/>
  <c r="AL1124" i="6"/>
  <c r="U1124" i="6"/>
  <c r="T1124" i="6"/>
  <c r="J1184" i="6"/>
  <c r="AT1138" i="6"/>
  <c r="AE1199" i="6"/>
  <c r="AE1153" i="6"/>
  <c r="AE1245" i="6" s="1"/>
  <c r="AE1291" i="6" s="1"/>
  <c r="AE1337" i="6" s="1"/>
  <c r="AE1144" i="6"/>
  <c r="AE1236" i="6" s="1"/>
  <c r="AE1282" i="6" s="1"/>
  <c r="AE1328" i="6" s="1"/>
  <c r="AE1190" i="6"/>
  <c r="F1174" i="6"/>
  <c r="J1109" i="6"/>
  <c r="AT1063" i="6"/>
  <c r="J1130" i="6"/>
  <c r="B1130" i="6" s="1"/>
  <c r="AT1084" i="6"/>
  <c r="J1126" i="6"/>
  <c r="B1126" i="6" s="1"/>
  <c r="AT1080" i="6"/>
  <c r="F1170" i="6"/>
  <c r="AE1168" i="6"/>
  <c r="AE1122" i="6"/>
  <c r="AE1214" i="6" s="1"/>
  <c r="AE1260" i="6" s="1"/>
  <c r="AE1306" i="6" s="1"/>
  <c r="F1176" i="6"/>
  <c r="AE1167" i="6"/>
  <c r="AE1121" i="6"/>
  <c r="AE1213" i="6" s="1"/>
  <c r="AE1259" i="6" s="1"/>
  <c r="AE1305" i="6" s="1"/>
  <c r="J1120" i="6"/>
  <c r="AT1074" i="6"/>
  <c r="I1166" i="6"/>
  <c r="AA1120" i="6"/>
  <c r="S1120" i="6"/>
  <c r="Z1120" i="6"/>
  <c r="R1120" i="6"/>
  <c r="Y1120" i="6"/>
  <c r="Q1120" i="6"/>
  <c r="X1120" i="6"/>
  <c r="P1120" i="6"/>
  <c r="W1120" i="6"/>
  <c r="AF1120" i="6"/>
  <c r="V1120" i="6"/>
  <c r="U1120" i="6"/>
  <c r="T1120" i="6"/>
  <c r="F1161" i="6"/>
  <c r="B1115" i="6"/>
  <c r="F1199" i="6"/>
  <c r="B1153" i="6"/>
  <c r="F1194" i="6"/>
  <c r="B1148" i="6"/>
  <c r="F1188" i="6"/>
  <c r="B1142" i="6"/>
  <c r="F1183" i="6"/>
  <c r="B1137" i="6"/>
  <c r="F1166" i="6"/>
  <c r="B1120" i="6"/>
  <c r="Z770" i="6"/>
  <c r="R770" i="6"/>
  <c r="Y770" i="6"/>
  <c r="Q770" i="6"/>
  <c r="I816" i="6"/>
  <c r="X770" i="6"/>
  <c r="P770" i="6"/>
  <c r="AB770" i="6" s="1"/>
  <c r="W770" i="6"/>
  <c r="V770" i="6"/>
  <c r="U770" i="6"/>
  <c r="AA770" i="6"/>
  <c r="S770" i="6"/>
  <c r="T770" i="6"/>
  <c r="Z738" i="6"/>
  <c r="R738" i="6"/>
  <c r="Y738" i="6"/>
  <c r="Q738" i="6"/>
  <c r="I784" i="6"/>
  <c r="X738" i="6"/>
  <c r="P738" i="6"/>
  <c r="W738" i="6"/>
  <c r="V738" i="6"/>
  <c r="U738" i="6"/>
  <c r="AA738" i="6"/>
  <c r="S738" i="6"/>
  <c r="T738" i="6"/>
  <c r="AB728" i="6"/>
  <c r="AT1117" i="6"/>
  <c r="J1163" i="6"/>
  <c r="T777" i="6"/>
  <c r="AA777" i="6"/>
  <c r="S777" i="6"/>
  <c r="Z777" i="6"/>
  <c r="R777" i="6"/>
  <c r="Y777" i="6"/>
  <c r="Q777" i="6"/>
  <c r="X777" i="6"/>
  <c r="P777" i="6"/>
  <c r="I823" i="6"/>
  <c r="W777" i="6"/>
  <c r="U777" i="6"/>
  <c r="V777" i="6"/>
  <c r="AB723" i="6"/>
  <c r="V780" i="6"/>
  <c r="I826" i="6"/>
  <c r="U780" i="6"/>
  <c r="T780" i="6"/>
  <c r="AA780" i="6"/>
  <c r="S780" i="6"/>
  <c r="Z780" i="6"/>
  <c r="R780" i="6"/>
  <c r="Y780" i="6"/>
  <c r="Q780" i="6"/>
  <c r="W780" i="6"/>
  <c r="X780" i="6"/>
  <c r="P780" i="6"/>
  <c r="AR675" i="6"/>
  <c r="F864" i="6"/>
  <c r="B818" i="6"/>
  <c r="F856" i="6"/>
  <c r="B810" i="6"/>
  <c r="F831" i="6"/>
  <c r="B785" i="6"/>
  <c r="AR650" i="6"/>
  <c r="AH1059" i="6"/>
  <c r="AB1027" i="6"/>
  <c r="AR1078" i="6"/>
  <c r="I793" i="6"/>
  <c r="X747" i="6"/>
  <c r="P747" i="6"/>
  <c r="W747" i="6"/>
  <c r="V747" i="6"/>
  <c r="U747" i="6"/>
  <c r="T747" i="6"/>
  <c r="AA747" i="6"/>
  <c r="S747" i="6"/>
  <c r="Y747" i="6"/>
  <c r="Q747" i="6"/>
  <c r="R747" i="6"/>
  <c r="Z747" i="6"/>
  <c r="J837" i="6"/>
  <c r="D791" i="6"/>
  <c r="AB695" i="6"/>
  <c r="L1056" i="6"/>
  <c r="L1102" i="6" s="1"/>
  <c r="L1148" i="6" s="1"/>
  <c r="L1194" i="6" s="1"/>
  <c r="L1240" i="6" s="1"/>
  <c r="L1286" i="6" s="1"/>
  <c r="L1332" i="6" s="1"/>
  <c r="AT633" i="6"/>
  <c r="L1040" i="6"/>
  <c r="L1086" i="6" s="1"/>
  <c r="L1132" i="6" s="1"/>
  <c r="L1178" i="6" s="1"/>
  <c r="L1224" i="6" s="1"/>
  <c r="L1270" i="6" s="1"/>
  <c r="L1316" i="6" s="1"/>
  <c r="AT617" i="6"/>
  <c r="L1020" i="6"/>
  <c r="L1066" i="6" s="1"/>
  <c r="L1112" i="6" s="1"/>
  <c r="L1158" i="6" s="1"/>
  <c r="L1204" i="6" s="1"/>
  <c r="L1250" i="6" s="1"/>
  <c r="L1296" i="6" s="1"/>
  <c r="AT601" i="6"/>
  <c r="F865" i="6"/>
  <c r="B819" i="6"/>
  <c r="AR663" i="6"/>
  <c r="I1229" i="6"/>
  <c r="AQ1183" i="6"/>
  <c r="AI1183" i="6"/>
  <c r="Y1183" i="6"/>
  <c r="Q1183" i="6"/>
  <c r="AN1183" i="6"/>
  <c r="AF1183" i="6"/>
  <c r="V1183" i="6"/>
  <c r="AP1183" i="6"/>
  <c r="S1183" i="6"/>
  <c r="AO1183" i="6"/>
  <c r="R1183" i="6"/>
  <c r="AM1183" i="6"/>
  <c r="AA1183" i="6"/>
  <c r="P1183" i="6"/>
  <c r="AL1183" i="6"/>
  <c r="Z1183" i="6"/>
  <c r="AK1183" i="6"/>
  <c r="X1183" i="6"/>
  <c r="AJ1183" i="6"/>
  <c r="W1183" i="6"/>
  <c r="AG1183" i="6"/>
  <c r="T1183" i="6"/>
  <c r="AH1183" i="6"/>
  <c r="U1183" i="6"/>
  <c r="AB685" i="6"/>
  <c r="AR672" i="6"/>
  <c r="AP1428" i="6"/>
  <c r="D763" i="6"/>
  <c r="J809" i="6"/>
  <c r="B821" i="6"/>
  <c r="F867" i="6"/>
  <c r="F900" i="6"/>
  <c r="B854" i="6"/>
  <c r="D759" i="6"/>
  <c r="J805" i="6"/>
  <c r="D799" i="6"/>
  <c r="J845" i="6"/>
  <c r="AR684" i="6"/>
  <c r="AB670" i="6"/>
  <c r="AN1428" i="6"/>
  <c r="F859" i="6"/>
  <c r="J852" i="6"/>
  <c r="D806" i="6"/>
  <c r="V756" i="6"/>
  <c r="U756" i="6"/>
  <c r="T756" i="6"/>
  <c r="AA756" i="6"/>
  <c r="S756" i="6"/>
  <c r="Z756" i="6"/>
  <c r="R756" i="6"/>
  <c r="Y756" i="6"/>
  <c r="Q756" i="6"/>
  <c r="W756" i="6"/>
  <c r="X756" i="6"/>
  <c r="P756" i="6"/>
  <c r="I802" i="6"/>
  <c r="AB656" i="6"/>
  <c r="AG611" i="6"/>
  <c r="AW611" i="6"/>
  <c r="J847" i="6"/>
  <c r="D801" i="6"/>
  <c r="B786" i="6"/>
  <c r="F832" i="6"/>
  <c r="AG1019" i="6"/>
  <c r="AB721" i="6"/>
  <c r="D739" i="6"/>
  <c r="J785" i="6"/>
  <c r="AN655" i="6"/>
  <c r="AQ655" i="6"/>
  <c r="AH655" i="6"/>
  <c r="AP655" i="6"/>
  <c r="AG655" i="6"/>
  <c r="AO655" i="6"/>
  <c r="AF655" i="6"/>
  <c r="AM655" i="6"/>
  <c r="AL655" i="6"/>
  <c r="AK655" i="6"/>
  <c r="AI655" i="6"/>
  <c r="AJ655" i="6"/>
  <c r="L1057" i="6"/>
  <c r="L1103" i="6" s="1"/>
  <c r="L1149" i="6" s="1"/>
  <c r="L1195" i="6" s="1"/>
  <c r="L1241" i="6" s="1"/>
  <c r="L1287" i="6" s="1"/>
  <c r="L1333" i="6" s="1"/>
  <c r="AT634" i="6"/>
  <c r="U423" i="6"/>
  <c r="T423" i="6"/>
  <c r="AH423" i="6"/>
  <c r="X423" i="6"/>
  <c r="P423" i="6"/>
  <c r="AF423" i="6"/>
  <c r="V423" i="6"/>
  <c r="R423" i="6"/>
  <c r="Q423" i="6"/>
  <c r="AG423" i="6"/>
  <c r="AA423" i="6"/>
  <c r="Z423" i="6"/>
  <c r="I469" i="6"/>
  <c r="S423" i="6"/>
  <c r="Y423" i="6"/>
  <c r="W423" i="6"/>
  <c r="AB690" i="6"/>
  <c r="AI421" i="6"/>
  <c r="Y421" i="6"/>
  <c r="Q421" i="6"/>
  <c r="AH421" i="6"/>
  <c r="X421" i="6"/>
  <c r="P421" i="6"/>
  <c r="T421" i="6"/>
  <c r="Z421" i="6"/>
  <c r="R421" i="6"/>
  <c r="S421" i="6"/>
  <c r="AG421" i="6"/>
  <c r="AF421" i="6"/>
  <c r="I467" i="6"/>
  <c r="AA421" i="6"/>
  <c r="U421" i="6"/>
  <c r="W421" i="6"/>
  <c r="V421" i="6"/>
  <c r="Z391" i="6"/>
  <c r="R391" i="6"/>
  <c r="Y391" i="6"/>
  <c r="Q391" i="6"/>
  <c r="X391" i="6"/>
  <c r="P391" i="6"/>
  <c r="AG391" i="6"/>
  <c r="W391" i="6"/>
  <c r="AF391" i="6"/>
  <c r="V391" i="6"/>
  <c r="AA391" i="6"/>
  <c r="S391" i="6"/>
  <c r="U391" i="6"/>
  <c r="I437" i="6"/>
  <c r="T391" i="6"/>
  <c r="J469" i="6"/>
  <c r="AT423" i="6"/>
  <c r="B423" i="6"/>
  <c r="AB376" i="6"/>
  <c r="J839" i="6"/>
  <c r="D793" i="6"/>
  <c r="P546" i="6"/>
  <c r="P542" i="6"/>
  <c r="P543" i="6"/>
  <c r="P539" i="6"/>
  <c r="P544" i="6"/>
  <c r="P540" i="6"/>
  <c r="P545" i="6"/>
  <c r="P541" i="6"/>
  <c r="L1047" i="6"/>
  <c r="L1093" i="6" s="1"/>
  <c r="L1139" i="6" s="1"/>
  <c r="L1185" i="6" s="1"/>
  <c r="L1231" i="6" s="1"/>
  <c r="L1277" i="6" s="1"/>
  <c r="L1323" i="6" s="1"/>
  <c r="AT624" i="6"/>
  <c r="F443" i="6"/>
  <c r="B397" i="6"/>
  <c r="F467" i="6"/>
  <c r="B467" i="6" s="1"/>
  <c r="B421" i="6"/>
  <c r="F457" i="6"/>
  <c r="B457" i="6" s="1"/>
  <c r="B411" i="6"/>
  <c r="F439" i="6"/>
  <c r="B393" i="6"/>
  <c r="AB417" i="6"/>
  <c r="T299" i="6"/>
  <c r="X299" i="6"/>
  <c r="P299" i="6"/>
  <c r="AA299" i="6"/>
  <c r="Q299" i="6"/>
  <c r="Z299" i="6"/>
  <c r="Y299" i="6"/>
  <c r="W299" i="6"/>
  <c r="V299" i="6"/>
  <c r="U299" i="6"/>
  <c r="R299" i="6"/>
  <c r="S299" i="6"/>
  <c r="J297" i="6"/>
  <c r="D297" i="6" s="1"/>
  <c r="D251" i="6"/>
  <c r="B240" i="6"/>
  <c r="F286" i="6"/>
  <c r="T294" i="6"/>
  <c r="V294" i="6"/>
  <c r="U294" i="6"/>
  <c r="S294" i="6"/>
  <c r="AA294" i="6"/>
  <c r="R294" i="6"/>
  <c r="Z294" i="6"/>
  <c r="Q294" i="6"/>
  <c r="Y294" i="6"/>
  <c r="P294" i="6"/>
  <c r="W294" i="6"/>
  <c r="X294" i="6"/>
  <c r="J290" i="6"/>
  <c r="D290" i="6" s="1"/>
  <c r="D244" i="6"/>
  <c r="AL179" i="6"/>
  <c r="AQ179" i="6"/>
  <c r="AI179" i="6"/>
  <c r="AO179" i="6"/>
  <c r="AG179" i="6"/>
  <c r="AM179" i="6"/>
  <c r="AP179" i="6"/>
  <c r="AN179" i="6"/>
  <c r="AK179" i="6"/>
  <c r="AJ179" i="6"/>
  <c r="AH179" i="6"/>
  <c r="AF179" i="6"/>
  <c r="S39" i="6"/>
  <c r="S96" i="6"/>
  <c r="S40" i="6"/>
  <c r="S97" i="6"/>
  <c r="S41" i="6"/>
  <c r="S94" i="6"/>
  <c r="S42" i="6"/>
  <c r="J311" i="6"/>
  <c r="D311" i="6" s="1"/>
  <c r="D265" i="6"/>
  <c r="F447" i="6"/>
  <c r="B401" i="6"/>
  <c r="AB334" i="6"/>
  <c r="F304" i="6"/>
  <c r="B258" i="6"/>
  <c r="AF333" i="6"/>
  <c r="T308" i="6"/>
  <c r="X308" i="6"/>
  <c r="P308" i="6"/>
  <c r="Y308" i="6"/>
  <c r="W308" i="6"/>
  <c r="V308" i="6"/>
  <c r="U308" i="6"/>
  <c r="S308" i="6"/>
  <c r="R308" i="6"/>
  <c r="Z308" i="6"/>
  <c r="AA308" i="6"/>
  <c r="Q308" i="6"/>
  <c r="T292" i="6"/>
  <c r="X292" i="6"/>
  <c r="W292" i="6"/>
  <c r="V292" i="6"/>
  <c r="U292" i="6"/>
  <c r="S292" i="6"/>
  <c r="AA292" i="6"/>
  <c r="R292" i="6"/>
  <c r="Y292" i="6"/>
  <c r="P292" i="6"/>
  <c r="Z292" i="6"/>
  <c r="Q292" i="6"/>
  <c r="AB228" i="6"/>
  <c r="J284" i="6"/>
  <c r="D284" i="6" s="1"/>
  <c r="D238" i="6"/>
  <c r="AP181" i="6"/>
  <c r="AH181" i="6"/>
  <c r="AM181" i="6"/>
  <c r="AK181" i="6"/>
  <c r="AQ181" i="6"/>
  <c r="AI181" i="6"/>
  <c r="AF181" i="6"/>
  <c r="AO181" i="6"/>
  <c r="AN181" i="6"/>
  <c r="AJ181" i="6"/>
  <c r="AL181" i="6"/>
  <c r="AG181" i="6"/>
  <c r="AP161" i="6"/>
  <c r="AH161" i="6"/>
  <c r="AM161" i="6"/>
  <c r="AK161" i="6"/>
  <c r="AQ161" i="6"/>
  <c r="AI161" i="6"/>
  <c r="AG161" i="6"/>
  <c r="AF161" i="6"/>
  <c r="AR161" i="6" s="1"/>
  <c r="AL161" i="6"/>
  <c r="AO161" i="6"/>
  <c r="AN161" i="6"/>
  <c r="AJ161" i="6"/>
  <c r="AY131" i="6"/>
  <c r="AI131" i="6"/>
  <c r="AH122" i="6"/>
  <c r="AX122" i="6"/>
  <c r="AB373" i="6"/>
  <c r="AA432" i="6"/>
  <c r="Q9" i="10" s="1"/>
  <c r="S432" i="6"/>
  <c r="I9" i="10" s="1"/>
  <c r="Z432" i="6"/>
  <c r="P9" i="10" s="1"/>
  <c r="R432" i="6"/>
  <c r="H9" i="10" s="1"/>
  <c r="AF432" i="6"/>
  <c r="V432" i="6"/>
  <c r="L9" i="10" s="1"/>
  <c r="T432" i="6"/>
  <c r="J9" i="10" s="1"/>
  <c r="Y432" i="6"/>
  <c r="O9" i="10" s="1"/>
  <c r="X432" i="6"/>
  <c r="N9" i="10" s="1"/>
  <c r="W432" i="6"/>
  <c r="M9" i="10" s="1"/>
  <c r="U432" i="6"/>
  <c r="K9" i="10" s="1"/>
  <c r="AG432" i="6"/>
  <c r="Q432" i="6"/>
  <c r="G9" i="10" s="1"/>
  <c r="P432" i="6"/>
  <c r="F9" i="10" s="1"/>
  <c r="J293" i="6"/>
  <c r="D293" i="6" s="1"/>
  <c r="D247" i="6"/>
  <c r="AA452" i="6"/>
  <c r="S452" i="6"/>
  <c r="Z452" i="6"/>
  <c r="R452" i="6"/>
  <c r="AH452" i="6"/>
  <c r="X452" i="6"/>
  <c r="P452" i="6"/>
  <c r="AF452" i="6"/>
  <c r="V452" i="6"/>
  <c r="T452" i="6"/>
  <c r="Y452" i="6"/>
  <c r="W452" i="6"/>
  <c r="U452" i="6"/>
  <c r="Q452" i="6"/>
  <c r="AG452" i="6"/>
  <c r="AB357" i="6"/>
  <c r="T298" i="6"/>
  <c r="X298" i="6"/>
  <c r="P298" i="6"/>
  <c r="S298" i="6"/>
  <c r="R298" i="6"/>
  <c r="AA298" i="6"/>
  <c r="Q298" i="6"/>
  <c r="Z298" i="6"/>
  <c r="Y298" i="6"/>
  <c r="W298" i="6"/>
  <c r="U298" i="6"/>
  <c r="V298" i="6"/>
  <c r="F326" i="6"/>
  <c r="B280" i="6"/>
  <c r="AB143" i="6"/>
  <c r="J319" i="6"/>
  <c r="D319" i="6" s="1"/>
  <c r="D273" i="6"/>
  <c r="AB250" i="6"/>
  <c r="AB216" i="6"/>
  <c r="F285" i="6"/>
  <c r="B239" i="6"/>
  <c r="AN176" i="6"/>
  <c r="AF176" i="6"/>
  <c r="AK176" i="6"/>
  <c r="AQ176" i="6"/>
  <c r="AI176" i="6"/>
  <c r="AO176" i="6"/>
  <c r="AG176" i="6"/>
  <c r="AM176" i="6"/>
  <c r="AL176" i="6"/>
  <c r="AJ176" i="6"/>
  <c r="AH176" i="6"/>
  <c r="AP176" i="6"/>
  <c r="AF354" i="6"/>
  <c r="AF338" i="6"/>
  <c r="AX105" i="6"/>
  <c r="AH105" i="6"/>
  <c r="AH344" i="6" s="1"/>
  <c r="AB1059" i="6"/>
  <c r="L1049" i="6"/>
  <c r="L1095" i="6" s="1"/>
  <c r="L1141" i="6" s="1"/>
  <c r="L1187" i="6" s="1"/>
  <c r="L1233" i="6" s="1"/>
  <c r="L1279" i="6" s="1"/>
  <c r="L1325" i="6" s="1"/>
  <c r="AT626" i="6"/>
  <c r="AR649" i="6"/>
  <c r="AB354" i="6"/>
  <c r="L1053" i="6"/>
  <c r="L1099" i="6" s="1"/>
  <c r="L1145" i="6" s="1"/>
  <c r="L1191" i="6" s="1"/>
  <c r="L1237" i="6" s="1"/>
  <c r="L1283" i="6" s="1"/>
  <c r="L1329" i="6" s="1"/>
  <c r="AT630" i="6"/>
  <c r="L1045" i="6"/>
  <c r="L1091" i="6" s="1"/>
  <c r="L1137" i="6" s="1"/>
  <c r="L1183" i="6" s="1"/>
  <c r="L1229" i="6" s="1"/>
  <c r="L1275" i="6" s="1"/>
  <c r="L1321" i="6" s="1"/>
  <c r="AT622" i="6"/>
  <c r="L1037" i="6"/>
  <c r="L1083" i="6" s="1"/>
  <c r="L1129" i="6" s="1"/>
  <c r="L1175" i="6" s="1"/>
  <c r="L1221" i="6" s="1"/>
  <c r="L1267" i="6" s="1"/>
  <c r="L1313" i="6" s="1"/>
  <c r="AT614" i="6"/>
  <c r="L1025" i="6"/>
  <c r="L1071" i="6" s="1"/>
  <c r="L1117" i="6" s="1"/>
  <c r="L1163" i="6" s="1"/>
  <c r="L1209" i="6" s="1"/>
  <c r="L1255" i="6" s="1"/>
  <c r="L1301" i="6" s="1"/>
  <c r="AT606" i="6"/>
  <c r="Z387" i="6"/>
  <c r="R387" i="6"/>
  <c r="Y387" i="6"/>
  <c r="Q387" i="6"/>
  <c r="X387" i="6"/>
  <c r="P387" i="6"/>
  <c r="AG387" i="6"/>
  <c r="W387" i="6"/>
  <c r="I433" i="6"/>
  <c r="G11" i="10" s="1"/>
  <c r="AF387" i="6"/>
  <c r="V387" i="6"/>
  <c r="AA387" i="6"/>
  <c r="S387" i="6"/>
  <c r="T387" i="6"/>
  <c r="U387" i="6"/>
  <c r="AH618" i="6"/>
  <c r="AX618" i="6"/>
  <c r="AB405" i="6"/>
  <c r="AB346" i="6"/>
  <c r="T392" i="6"/>
  <c r="AA392" i="6"/>
  <c r="S392" i="6"/>
  <c r="I438" i="6"/>
  <c r="Z392" i="6"/>
  <c r="R392" i="6"/>
  <c r="Y392" i="6"/>
  <c r="Q392" i="6"/>
  <c r="X392" i="6"/>
  <c r="P392" i="6"/>
  <c r="U392" i="6"/>
  <c r="AG392" i="6"/>
  <c r="AF392" i="6"/>
  <c r="W392" i="6"/>
  <c r="V392" i="6"/>
  <c r="J428" i="6"/>
  <c r="AT428" i="6" s="1"/>
  <c r="AT382" i="6"/>
  <c r="Y427" i="6"/>
  <c r="Q427" i="6"/>
  <c r="X427" i="6"/>
  <c r="P427" i="6"/>
  <c r="T427" i="6"/>
  <c r="Z427" i="6"/>
  <c r="S427" i="6"/>
  <c r="AG427" i="6"/>
  <c r="AF427" i="6"/>
  <c r="AA427" i="6"/>
  <c r="AM427" i="6"/>
  <c r="W427" i="6"/>
  <c r="V427" i="6"/>
  <c r="AB165" i="6"/>
  <c r="I440" i="6"/>
  <c r="X394" i="6"/>
  <c r="P394" i="6"/>
  <c r="AG394" i="6"/>
  <c r="W394" i="6"/>
  <c r="AF394" i="6"/>
  <c r="V394" i="6"/>
  <c r="U394" i="6"/>
  <c r="T394" i="6"/>
  <c r="Y394" i="6"/>
  <c r="Q394" i="6"/>
  <c r="R394" i="6"/>
  <c r="AA394" i="6"/>
  <c r="S394" i="6"/>
  <c r="Z394" i="6"/>
  <c r="Y455" i="6"/>
  <c r="Q455" i="6"/>
  <c r="X455" i="6"/>
  <c r="P455" i="6"/>
  <c r="AF455" i="6"/>
  <c r="V455" i="6"/>
  <c r="T455" i="6"/>
  <c r="Z455" i="6"/>
  <c r="R455" i="6"/>
  <c r="AG455" i="6"/>
  <c r="AA455" i="6"/>
  <c r="W455" i="6"/>
  <c r="U455" i="6"/>
  <c r="S455" i="6"/>
  <c r="J439" i="6"/>
  <c r="AT439" i="6" s="1"/>
  <c r="AT393" i="6"/>
  <c r="L1039" i="6"/>
  <c r="L1085" i="6" s="1"/>
  <c r="L1131" i="6" s="1"/>
  <c r="L1177" i="6" s="1"/>
  <c r="L1223" i="6" s="1"/>
  <c r="L1269" i="6" s="1"/>
  <c r="L1315" i="6" s="1"/>
  <c r="AT616" i="6"/>
  <c r="Y451" i="6"/>
  <c r="Q451" i="6"/>
  <c r="AH451" i="6"/>
  <c r="X451" i="6"/>
  <c r="P451" i="6"/>
  <c r="AF451" i="6"/>
  <c r="V451" i="6"/>
  <c r="T451" i="6"/>
  <c r="Z451" i="6"/>
  <c r="R451" i="6"/>
  <c r="AA451" i="6"/>
  <c r="W451" i="6"/>
  <c r="U451" i="6"/>
  <c r="S451" i="6"/>
  <c r="AG451" i="6"/>
  <c r="I436" i="6"/>
  <c r="X390" i="6"/>
  <c r="P390" i="6"/>
  <c r="AG390" i="6"/>
  <c r="W390" i="6"/>
  <c r="AF390" i="6"/>
  <c r="V390" i="6"/>
  <c r="U390" i="6"/>
  <c r="T390" i="6"/>
  <c r="Y390" i="6"/>
  <c r="Q390" i="6"/>
  <c r="S390" i="6"/>
  <c r="R390" i="6"/>
  <c r="Z390" i="6"/>
  <c r="AA390" i="6"/>
  <c r="Y439" i="6"/>
  <c r="O32" i="10" s="1"/>
  <c r="Q439" i="6"/>
  <c r="G32" i="10" s="1"/>
  <c r="AH439" i="6"/>
  <c r="X439" i="6"/>
  <c r="N32" i="10" s="1"/>
  <c r="P439" i="6"/>
  <c r="F32" i="10" s="1"/>
  <c r="T439" i="6"/>
  <c r="J32" i="10" s="1"/>
  <c r="Z439" i="6"/>
  <c r="P32" i="10" s="1"/>
  <c r="R439" i="6"/>
  <c r="H32" i="10" s="1"/>
  <c r="W439" i="6"/>
  <c r="M32" i="10" s="1"/>
  <c r="V439" i="6"/>
  <c r="L32" i="10" s="1"/>
  <c r="U439" i="6"/>
  <c r="K32" i="10" s="1"/>
  <c r="S439" i="6"/>
  <c r="I32" i="10" s="1"/>
  <c r="AG439" i="6"/>
  <c r="AA439" i="6"/>
  <c r="Q32" i="10" s="1"/>
  <c r="AF439" i="6"/>
  <c r="AI1428" i="6"/>
  <c r="J461" i="6"/>
  <c r="AT415" i="6"/>
  <c r="AB368" i="6"/>
  <c r="J447" i="6"/>
  <c r="AT447" i="6" s="1"/>
  <c r="AT401" i="6"/>
  <c r="AB348" i="6"/>
  <c r="F433" i="6"/>
  <c r="B387" i="6"/>
  <c r="Y273" i="6"/>
  <c r="Q273" i="6"/>
  <c r="W273" i="6"/>
  <c r="V273" i="6"/>
  <c r="U273" i="6"/>
  <c r="T273" i="6"/>
  <c r="I319" i="6"/>
  <c r="S273" i="6"/>
  <c r="AA273" i="6"/>
  <c r="R273" i="6"/>
  <c r="X273" i="6"/>
  <c r="Z273" i="6"/>
  <c r="P273" i="6"/>
  <c r="Y459" i="6"/>
  <c r="Q459" i="6"/>
  <c r="X459" i="6"/>
  <c r="P459" i="6"/>
  <c r="AF459" i="6"/>
  <c r="V459" i="6"/>
  <c r="U459" i="6"/>
  <c r="T459" i="6"/>
  <c r="Z459" i="6"/>
  <c r="R459" i="6"/>
  <c r="AG459" i="6"/>
  <c r="AA459" i="6"/>
  <c r="W459" i="6"/>
  <c r="S459" i="6"/>
  <c r="AB385" i="6"/>
  <c r="Y271" i="6"/>
  <c r="Q271" i="6"/>
  <c r="I317" i="6"/>
  <c r="Z271" i="6"/>
  <c r="P271" i="6"/>
  <c r="X271" i="6"/>
  <c r="W271" i="6"/>
  <c r="V271" i="6"/>
  <c r="U271" i="6"/>
  <c r="T271" i="6"/>
  <c r="AA271" i="6"/>
  <c r="R271" i="6"/>
  <c r="S271" i="6"/>
  <c r="AR641" i="6"/>
  <c r="I448" i="6"/>
  <c r="X402" i="6"/>
  <c r="P402" i="6"/>
  <c r="AG402" i="6"/>
  <c r="W402" i="6"/>
  <c r="AF402" i="6"/>
  <c r="V402" i="6"/>
  <c r="U402" i="6"/>
  <c r="T402" i="6"/>
  <c r="Y402" i="6"/>
  <c r="Q402" i="6"/>
  <c r="AA402" i="6"/>
  <c r="Z402" i="6"/>
  <c r="S402" i="6"/>
  <c r="R402" i="6"/>
  <c r="AB217" i="6"/>
  <c r="AG416" i="6"/>
  <c r="AB314" i="6"/>
  <c r="F319" i="6"/>
  <c r="B319" i="6" s="1"/>
  <c r="B273" i="6"/>
  <c r="AB210" i="6"/>
  <c r="AB310" i="6"/>
  <c r="B238" i="6"/>
  <c r="F284" i="6"/>
  <c r="B284" i="6" s="1"/>
  <c r="J322" i="6"/>
  <c r="D322" i="6" s="1"/>
  <c r="D276" i="6"/>
  <c r="J291" i="6"/>
  <c r="D291" i="6" s="1"/>
  <c r="D245" i="6"/>
  <c r="J295" i="6"/>
  <c r="D295" i="6" s="1"/>
  <c r="D249" i="6"/>
  <c r="AB262" i="6"/>
  <c r="T288" i="6"/>
  <c r="S288" i="6"/>
  <c r="AA288" i="6"/>
  <c r="R288" i="6"/>
  <c r="Z288" i="6"/>
  <c r="Q288" i="6"/>
  <c r="Y288" i="6"/>
  <c r="P288" i="6"/>
  <c r="X288" i="6"/>
  <c r="W288" i="6"/>
  <c r="U288" i="6"/>
  <c r="V288" i="6"/>
  <c r="F325" i="6"/>
  <c r="B325" i="6" s="1"/>
  <c r="B279" i="6"/>
  <c r="F313" i="6"/>
  <c r="B267" i="6"/>
  <c r="AB204" i="6"/>
  <c r="AF369" i="6"/>
  <c r="AH114" i="6"/>
  <c r="AH353" i="6" s="1"/>
  <c r="AX114" i="6"/>
  <c r="AH106" i="6"/>
  <c r="AH345" i="6" s="1"/>
  <c r="AX106" i="6"/>
  <c r="AH98" i="6"/>
  <c r="AH337" i="6" s="1"/>
  <c r="AX98" i="6"/>
  <c r="AB367" i="6"/>
  <c r="AB275" i="6"/>
  <c r="AB349" i="6"/>
  <c r="AB215" i="6"/>
  <c r="B453" i="6"/>
  <c r="J323" i="6"/>
  <c r="D323" i="6" s="1"/>
  <c r="D277" i="6"/>
  <c r="T311" i="6"/>
  <c r="X311" i="6"/>
  <c r="P311" i="6"/>
  <c r="AA311" i="6"/>
  <c r="Q311" i="6"/>
  <c r="Z311" i="6"/>
  <c r="Y311" i="6"/>
  <c r="W311" i="6"/>
  <c r="V311" i="6"/>
  <c r="U311" i="6"/>
  <c r="R311" i="6"/>
  <c r="S311" i="6"/>
  <c r="AB257" i="6"/>
  <c r="J317" i="6"/>
  <c r="D317" i="6" s="1"/>
  <c r="D271" i="6"/>
  <c r="AB213" i="6"/>
  <c r="AB372" i="6"/>
  <c r="AB260" i="6"/>
  <c r="J318" i="6"/>
  <c r="D318" i="6" s="1"/>
  <c r="D272" i="6"/>
  <c r="F307" i="6"/>
  <c r="B261" i="6"/>
  <c r="AB198" i="6"/>
  <c r="AB180" i="6"/>
  <c r="AB147" i="6"/>
  <c r="I817" i="6"/>
  <c r="X771" i="6"/>
  <c r="P771" i="6"/>
  <c r="W771" i="6"/>
  <c r="V771" i="6"/>
  <c r="U771" i="6"/>
  <c r="T771" i="6"/>
  <c r="AA771" i="6"/>
  <c r="S771" i="6"/>
  <c r="Y771" i="6"/>
  <c r="Q771" i="6"/>
  <c r="Z771" i="6"/>
  <c r="R771" i="6"/>
  <c r="F314" i="6"/>
  <c r="B314" i="6" s="1"/>
  <c r="B268" i="6"/>
  <c r="T284" i="6"/>
  <c r="X284" i="6"/>
  <c r="W284" i="6"/>
  <c r="V284" i="6"/>
  <c r="U284" i="6"/>
  <c r="S284" i="6"/>
  <c r="AA284" i="6"/>
  <c r="R284" i="6"/>
  <c r="Y284" i="6"/>
  <c r="P284" i="6"/>
  <c r="Z284" i="6"/>
  <c r="Q284" i="6"/>
  <c r="J312" i="6"/>
  <c r="D312" i="6" s="1"/>
  <c r="D266" i="6"/>
  <c r="F301" i="6"/>
  <c r="B255" i="6"/>
  <c r="AB172" i="6"/>
  <c r="AF352" i="6"/>
  <c r="AF336" i="6"/>
  <c r="AI138" i="6"/>
  <c r="AI377" i="6" s="1"/>
  <c r="AY138" i="6"/>
  <c r="AX127" i="6"/>
  <c r="AH127" i="6"/>
  <c r="AX101" i="6"/>
  <c r="AH101" i="6"/>
  <c r="AX121" i="6"/>
  <c r="AH121" i="6"/>
  <c r="AX123" i="6"/>
  <c r="AH123" i="6"/>
  <c r="AH362" i="6" s="1"/>
  <c r="T2050" i="6"/>
  <c r="Z2050" i="6"/>
  <c r="R2050" i="6"/>
  <c r="Y2050" i="6"/>
  <c r="Q2050" i="6"/>
  <c r="W2050" i="6"/>
  <c r="P2050" i="6"/>
  <c r="AA2050" i="6"/>
  <c r="X2050" i="6"/>
  <c r="V2050" i="6"/>
  <c r="U2050" i="6"/>
  <c r="S2050" i="6"/>
  <c r="AH1888" i="6"/>
  <c r="AH2081" i="6" s="1"/>
  <c r="AX1888" i="6"/>
  <c r="I1642" i="6"/>
  <c r="V1596" i="6"/>
  <c r="U1596" i="6"/>
  <c r="T1596" i="6"/>
  <c r="AA1596" i="6"/>
  <c r="S1596" i="6"/>
  <c r="Z1596" i="6"/>
  <c r="R1596" i="6"/>
  <c r="Y1596" i="6"/>
  <c r="Q1596" i="6"/>
  <c r="X1596" i="6"/>
  <c r="P1596" i="6"/>
  <c r="AB1596" i="6" s="1"/>
  <c r="W1596" i="6"/>
  <c r="J1649" i="6"/>
  <c r="D1649" i="6" s="1"/>
  <c r="D1603" i="6"/>
  <c r="W2061" i="6"/>
  <c r="T2061" i="6"/>
  <c r="AA2061" i="6"/>
  <c r="R2061" i="6"/>
  <c r="Z2061" i="6"/>
  <c r="Q2061" i="6"/>
  <c r="X2061" i="6"/>
  <c r="U2061" i="6"/>
  <c r="S2061" i="6"/>
  <c r="P2061" i="6"/>
  <c r="Y2061" i="6"/>
  <c r="V2061" i="6"/>
  <c r="T2052" i="6"/>
  <c r="Z2052" i="6"/>
  <c r="R2052" i="6"/>
  <c r="Y2052" i="6"/>
  <c r="Q2052" i="6"/>
  <c r="W2052" i="6"/>
  <c r="P2052" i="6"/>
  <c r="AA2052" i="6"/>
  <c r="X2052" i="6"/>
  <c r="V2052" i="6"/>
  <c r="U2052" i="6"/>
  <c r="S2052" i="6"/>
  <c r="AB2013" i="6"/>
  <c r="V2091" i="6"/>
  <c r="AL1898" i="6"/>
  <c r="Z1724" i="6"/>
  <c r="R1724" i="6"/>
  <c r="Y1724" i="6"/>
  <c r="Q1724" i="6"/>
  <c r="I1770" i="6"/>
  <c r="X1724" i="6"/>
  <c r="P1724" i="6"/>
  <c r="AG1724" i="6"/>
  <c r="W1724" i="6"/>
  <c r="AF1724" i="6"/>
  <c r="U1724" i="6"/>
  <c r="T1724" i="6"/>
  <c r="S1724" i="6"/>
  <c r="AA1724" i="6"/>
  <c r="V1724" i="6"/>
  <c r="J1801" i="6"/>
  <c r="AT1801" i="6" s="1"/>
  <c r="AT1755" i="6"/>
  <c r="J1767" i="6"/>
  <c r="AT1767" i="6" s="1"/>
  <c r="AT1721" i="6"/>
  <c r="J1656" i="6"/>
  <c r="D1656" i="6" s="1"/>
  <c r="D1610" i="6"/>
  <c r="J1648" i="6"/>
  <c r="D1648" i="6" s="1"/>
  <c r="D1602" i="6"/>
  <c r="AG1456" i="6"/>
  <c r="AW1456" i="6"/>
  <c r="B1578" i="6"/>
  <c r="F1624" i="6"/>
  <c r="B1624" i="6" s="1"/>
  <c r="AH1463" i="6"/>
  <c r="AX1463" i="6"/>
  <c r="AB1706" i="6"/>
  <c r="I1193" i="6"/>
  <c r="Y1147" i="6"/>
  <c r="Q1147" i="6"/>
  <c r="X1147" i="6"/>
  <c r="P1147" i="6"/>
  <c r="AF1147" i="6"/>
  <c r="V1147" i="6"/>
  <c r="U1147" i="6"/>
  <c r="AA1147" i="6"/>
  <c r="S1147" i="6"/>
  <c r="W1147" i="6"/>
  <c r="T1147" i="6"/>
  <c r="R1147" i="6"/>
  <c r="AG1147" i="6"/>
  <c r="Z1147" i="6"/>
  <c r="AB1083" i="6"/>
  <c r="AE1194" i="6"/>
  <c r="AE1148" i="6"/>
  <c r="AE1240" i="6" s="1"/>
  <c r="AE1286" i="6" s="1"/>
  <c r="AE1332" i="6" s="1"/>
  <c r="AE1185" i="6"/>
  <c r="AE1139" i="6"/>
  <c r="AE1231" i="6" s="1"/>
  <c r="AE1277" i="6" s="1"/>
  <c r="AE1323" i="6" s="1"/>
  <c r="J1122" i="6"/>
  <c r="AT1076" i="6"/>
  <c r="I1164" i="6"/>
  <c r="AA1118" i="6"/>
  <c r="S1118" i="6"/>
  <c r="Z1118" i="6"/>
  <c r="R1118" i="6"/>
  <c r="Y1118" i="6"/>
  <c r="Q1118" i="6"/>
  <c r="X1118" i="6"/>
  <c r="P1118" i="6"/>
  <c r="AG1118" i="6"/>
  <c r="W1118" i="6"/>
  <c r="AF1118" i="6"/>
  <c r="V1118" i="6"/>
  <c r="U1118" i="6"/>
  <c r="T1118" i="6"/>
  <c r="F1180" i="6"/>
  <c r="B1134" i="6"/>
  <c r="AB726" i="6"/>
  <c r="AB1017" i="6"/>
  <c r="AB1033" i="6"/>
  <c r="AB1047" i="6"/>
  <c r="AB1055" i="6"/>
  <c r="Z543" i="6"/>
  <c r="Z539" i="6"/>
  <c r="Z544" i="6"/>
  <c r="Z540" i="6"/>
  <c r="Z545" i="6"/>
  <c r="Z541" i="6"/>
  <c r="Z546" i="6"/>
  <c r="Z542" i="6"/>
  <c r="F869" i="6"/>
  <c r="B823" i="6"/>
  <c r="J865" i="6"/>
  <c r="D819" i="6"/>
  <c r="L1038" i="6"/>
  <c r="L1084" i="6" s="1"/>
  <c r="L1130" i="6" s="1"/>
  <c r="L1176" i="6" s="1"/>
  <c r="L1222" i="6" s="1"/>
  <c r="L1268" i="6" s="1"/>
  <c r="L1314" i="6" s="1"/>
  <c r="AT615" i="6"/>
  <c r="I801" i="6"/>
  <c r="X755" i="6"/>
  <c r="P755" i="6"/>
  <c r="W755" i="6"/>
  <c r="V755" i="6"/>
  <c r="U755" i="6"/>
  <c r="T755" i="6"/>
  <c r="AA755" i="6"/>
  <c r="S755" i="6"/>
  <c r="Y755" i="6"/>
  <c r="Q755" i="6"/>
  <c r="Z755" i="6"/>
  <c r="R755" i="6"/>
  <c r="I797" i="6"/>
  <c r="X751" i="6"/>
  <c r="P751" i="6"/>
  <c r="W751" i="6"/>
  <c r="V751" i="6"/>
  <c r="U751" i="6"/>
  <c r="T751" i="6"/>
  <c r="AA751" i="6"/>
  <c r="S751" i="6"/>
  <c r="Y751" i="6"/>
  <c r="Q751" i="6"/>
  <c r="Z751" i="6"/>
  <c r="R751" i="6"/>
  <c r="D795" i="6"/>
  <c r="J841" i="6"/>
  <c r="J864" i="6"/>
  <c r="D818" i="6"/>
  <c r="I825" i="6"/>
  <c r="X779" i="6"/>
  <c r="P779" i="6"/>
  <c r="W779" i="6"/>
  <c r="V779" i="6"/>
  <c r="U779" i="6"/>
  <c r="T779" i="6"/>
  <c r="AA779" i="6"/>
  <c r="S779" i="6"/>
  <c r="Y779" i="6"/>
  <c r="Q779" i="6"/>
  <c r="R779" i="6"/>
  <c r="Z779" i="6"/>
  <c r="D798" i="6"/>
  <c r="J844" i="6"/>
  <c r="AG633" i="6"/>
  <c r="AW633" i="6"/>
  <c r="L1059" i="6"/>
  <c r="L1105" i="6" s="1"/>
  <c r="L1151" i="6" s="1"/>
  <c r="L1197" i="6" s="1"/>
  <c r="L1243" i="6" s="1"/>
  <c r="L1289" i="6" s="1"/>
  <c r="L1335" i="6" s="1"/>
  <c r="AT636" i="6"/>
  <c r="L1051" i="6"/>
  <c r="L1097" i="6" s="1"/>
  <c r="L1143" i="6" s="1"/>
  <c r="L1189" i="6" s="1"/>
  <c r="L1235" i="6" s="1"/>
  <c r="L1281" i="6" s="1"/>
  <c r="L1327" i="6" s="1"/>
  <c r="AT628" i="6"/>
  <c r="L1043" i="6"/>
  <c r="L1089" i="6" s="1"/>
  <c r="L1135" i="6" s="1"/>
  <c r="L1181" i="6" s="1"/>
  <c r="L1227" i="6" s="1"/>
  <c r="L1273" i="6" s="1"/>
  <c r="L1319" i="6" s="1"/>
  <c r="AT620" i="6"/>
  <c r="L1035" i="6"/>
  <c r="L1081" i="6" s="1"/>
  <c r="L1127" i="6" s="1"/>
  <c r="L1173" i="6" s="1"/>
  <c r="L1219" i="6" s="1"/>
  <c r="L1265" i="6" s="1"/>
  <c r="L1311" i="6" s="1"/>
  <c r="AT612" i="6"/>
  <c r="L1023" i="6"/>
  <c r="L1069" i="6" s="1"/>
  <c r="L1115" i="6" s="1"/>
  <c r="L1161" i="6" s="1"/>
  <c r="L1207" i="6" s="1"/>
  <c r="L1253" i="6" s="1"/>
  <c r="L1299" i="6" s="1"/>
  <c r="AT604" i="6"/>
  <c r="U419" i="6"/>
  <c r="T419" i="6"/>
  <c r="AH419" i="6"/>
  <c r="X419" i="6"/>
  <c r="P419" i="6"/>
  <c r="AF419" i="6"/>
  <c r="V419" i="6"/>
  <c r="Q419" i="6"/>
  <c r="I465" i="6"/>
  <c r="AG419" i="6"/>
  <c r="AA419" i="6"/>
  <c r="Z419" i="6"/>
  <c r="Y419" i="6"/>
  <c r="R419" i="6"/>
  <c r="W419" i="6"/>
  <c r="S419" i="6"/>
  <c r="U2167" i="6"/>
  <c r="T2167" i="6"/>
  <c r="AA2167" i="6"/>
  <c r="S2167" i="6"/>
  <c r="AI2167" i="6"/>
  <c r="Y2167" i="6"/>
  <c r="Q2167" i="6"/>
  <c r="X2167" i="6"/>
  <c r="W2167" i="6"/>
  <c r="V2167" i="6"/>
  <c r="AG2167" i="6"/>
  <c r="AF2167" i="6"/>
  <c r="Z2167" i="6"/>
  <c r="AH2167" i="6"/>
  <c r="R2167" i="6"/>
  <c r="P2167" i="6"/>
  <c r="B2169" i="6"/>
  <c r="AI2151" i="6"/>
  <c r="U2160" i="6"/>
  <c r="AA2160" i="6"/>
  <c r="S2160" i="6"/>
  <c r="Q2160" i="6"/>
  <c r="Z2160" i="6"/>
  <c r="P2160" i="6"/>
  <c r="AB2160" i="6" s="1"/>
  <c r="Y2160" i="6"/>
  <c r="T2160" i="6"/>
  <c r="AF2160" i="6"/>
  <c r="W2160" i="6"/>
  <c r="R2160" i="6"/>
  <c r="X2160" i="6"/>
  <c r="V2160" i="6"/>
  <c r="AB2156" i="6"/>
  <c r="AI2105" i="6"/>
  <c r="AB2148" i="6"/>
  <c r="AB2138" i="6"/>
  <c r="AB2116" i="6"/>
  <c r="AA2147" i="6"/>
  <c r="S2147" i="6"/>
  <c r="Z2147" i="6"/>
  <c r="Q2147" i="6"/>
  <c r="Y2147" i="6"/>
  <c r="P2147" i="6"/>
  <c r="AI2147" i="6"/>
  <c r="X2147" i="6"/>
  <c r="AF2147" i="6"/>
  <c r="U2147" i="6"/>
  <c r="V2147" i="6"/>
  <c r="T2147" i="6"/>
  <c r="R2147" i="6"/>
  <c r="AH2147" i="6"/>
  <c r="AG2147" i="6"/>
  <c r="W2147" i="6"/>
  <c r="P2087" i="6"/>
  <c r="T2087" i="6"/>
  <c r="AH2111" i="6"/>
  <c r="T2133" i="6"/>
  <c r="AB2133" i="6" s="1"/>
  <c r="U2143" i="6"/>
  <c r="T2143" i="6"/>
  <c r="AA2143" i="6"/>
  <c r="S2143" i="6"/>
  <c r="AH2143" i="6"/>
  <c r="X2143" i="6"/>
  <c r="P2143" i="6"/>
  <c r="AG2143" i="6"/>
  <c r="AF2143" i="6"/>
  <c r="Z2143" i="6"/>
  <c r="Y2143" i="6"/>
  <c r="V2143" i="6"/>
  <c r="R2143" i="6"/>
  <c r="W2143" i="6"/>
  <c r="Q2143" i="6"/>
  <c r="B2126" i="6"/>
  <c r="W2065" i="6"/>
  <c r="Y2065" i="6"/>
  <c r="P2065" i="6"/>
  <c r="V2065" i="6"/>
  <c r="U2065" i="6"/>
  <c r="S2065" i="6"/>
  <c r="AA2065" i="6"/>
  <c r="Z2065" i="6"/>
  <c r="X2065" i="6"/>
  <c r="T2065" i="6"/>
  <c r="R2065" i="6"/>
  <c r="Q2065" i="6"/>
  <c r="W2070" i="6"/>
  <c r="AA2070" i="6"/>
  <c r="S2070" i="6"/>
  <c r="Z2070" i="6"/>
  <c r="R2070" i="6"/>
  <c r="Y2070" i="6"/>
  <c r="X2070" i="6"/>
  <c r="V2070" i="6"/>
  <c r="T2070" i="6"/>
  <c r="U2070" i="6"/>
  <c r="Q2070" i="6"/>
  <c r="P2070" i="6"/>
  <c r="AB1994" i="6"/>
  <c r="W1988" i="6"/>
  <c r="W2075" i="6" s="1"/>
  <c r="AB2006" i="6"/>
  <c r="AB1948" i="6"/>
  <c r="AR1943" i="6"/>
  <c r="AR1935" i="6"/>
  <c r="B2035" i="6"/>
  <c r="T2055" i="6"/>
  <c r="Z2055" i="6"/>
  <c r="R2055" i="6"/>
  <c r="Y2055" i="6"/>
  <c r="Q2055" i="6"/>
  <c r="W2055" i="6"/>
  <c r="X2055" i="6"/>
  <c r="V2055" i="6"/>
  <c r="U2055" i="6"/>
  <c r="S2055" i="6"/>
  <c r="P2055" i="6"/>
  <c r="AA2055" i="6"/>
  <c r="AI1928" i="6"/>
  <c r="AY1928" i="6"/>
  <c r="AG1925" i="6"/>
  <c r="AW1925" i="6"/>
  <c r="AW1909" i="6"/>
  <c r="AG1909" i="6"/>
  <c r="AQ1936" i="6"/>
  <c r="AI1936" i="6"/>
  <c r="AP1936" i="6"/>
  <c r="AH1936" i="6"/>
  <c r="AO1936" i="6"/>
  <c r="AG1936" i="6"/>
  <c r="AN1936" i="6"/>
  <c r="AF1936" i="6"/>
  <c r="AM1936" i="6"/>
  <c r="AL1936" i="6"/>
  <c r="AK1936" i="6"/>
  <c r="AJ1936" i="6"/>
  <c r="AB2025" i="6"/>
  <c r="AB2020" i="6"/>
  <c r="AB2096" i="6"/>
  <c r="AB2102" i="6"/>
  <c r="AB2110" i="6"/>
  <c r="AX1920" i="6"/>
  <c r="AH1920" i="6"/>
  <c r="BA1910" i="6"/>
  <c r="AK1910" i="6"/>
  <c r="V1890" i="6"/>
  <c r="V1834" i="6"/>
  <c r="V1832" i="6"/>
  <c r="V1835" i="6" s="1"/>
  <c r="V1833" i="6"/>
  <c r="W1835" i="6"/>
  <c r="AB1747" i="6"/>
  <c r="Y1793" i="6"/>
  <c r="Q1793" i="6"/>
  <c r="X1793" i="6"/>
  <c r="P1793" i="6"/>
  <c r="W1793" i="6"/>
  <c r="AF1793" i="6"/>
  <c r="V1793" i="6"/>
  <c r="U1793" i="6"/>
  <c r="T1793" i="6"/>
  <c r="AA1793" i="6"/>
  <c r="S1793" i="6"/>
  <c r="Z1793" i="6"/>
  <c r="R1793" i="6"/>
  <c r="Y1777" i="6"/>
  <c r="Q1777" i="6"/>
  <c r="X1777" i="6"/>
  <c r="P1777" i="6"/>
  <c r="W1777" i="6"/>
  <c r="AF1777" i="6"/>
  <c r="V1777" i="6"/>
  <c r="U1777" i="6"/>
  <c r="AA1777" i="6"/>
  <c r="S1777" i="6"/>
  <c r="Z1777" i="6"/>
  <c r="T1777" i="6"/>
  <c r="R1777" i="6"/>
  <c r="AA1794" i="6"/>
  <c r="S1794" i="6"/>
  <c r="Z1794" i="6"/>
  <c r="R1794" i="6"/>
  <c r="Y1794" i="6"/>
  <c r="Q1794" i="6"/>
  <c r="AH1794" i="6"/>
  <c r="X1794" i="6"/>
  <c r="P1794" i="6"/>
  <c r="AG1794" i="6"/>
  <c r="W1794" i="6"/>
  <c r="AF1794" i="6"/>
  <c r="V1794" i="6"/>
  <c r="U1794" i="6"/>
  <c r="T1794" i="6"/>
  <c r="AG1692" i="6"/>
  <c r="AB1710" i="6"/>
  <c r="B1794" i="6"/>
  <c r="AG1728" i="6"/>
  <c r="B1792" i="6"/>
  <c r="J1780" i="6"/>
  <c r="AT1780" i="6" s="1"/>
  <c r="AT1734" i="6"/>
  <c r="B1760" i="6"/>
  <c r="AB1688" i="6"/>
  <c r="I1780" i="6"/>
  <c r="AF1734" i="6"/>
  <c r="V1734" i="6"/>
  <c r="U1734" i="6"/>
  <c r="T1734" i="6"/>
  <c r="AA1734" i="6"/>
  <c r="S1734" i="6"/>
  <c r="Z1734" i="6"/>
  <c r="R1734" i="6"/>
  <c r="Y1734" i="6"/>
  <c r="Q1734" i="6"/>
  <c r="X1734" i="6"/>
  <c r="W1734" i="6"/>
  <c r="P1734" i="6"/>
  <c r="AG1734" i="6"/>
  <c r="F1765" i="6"/>
  <c r="B1719" i="6"/>
  <c r="I1657" i="6"/>
  <c r="V1611" i="6"/>
  <c r="U1611" i="6"/>
  <c r="T1611" i="6"/>
  <c r="AA1611" i="6"/>
  <c r="S1611" i="6"/>
  <c r="Z1611" i="6"/>
  <c r="R1611" i="6"/>
  <c r="Y1611" i="6"/>
  <c r="Q1611" i="6"/>
  <c r="X1611" i="6"/>
  <c r="P1611" i="6"/>
  <c r="AB1611" i="6" s="1"/>
  <c r="W1611" i="6"/>
  <c r="J1763" i="6"/>
  <c r="AT1763" i="6" s="1"/>
  <c r="AT1717" i="6"/>
  <c r="B1778" i="6"/>
  <c r="V1718" i="6"/>
  <c r="I1764" i="6"/>
  <c r="AA1718" i="6"/>
  <c r="S1718" i="6"/>
  <c r="AQ1718" i="6"/>
  <c r="Z1718" i="6"/>
  <c r="AP1718" i="6"/>
  <c r="X1718" i="6"/>
  <c r="T1718" i="6"/>
  <c r="J1653" i="6"/>
  <c r="D1653" i="6" s="1"/>
  <c r="D1607" i="6"/>
  <c r="J1655" i="6"/>
  <c r="D1655" i="6" s="1"/>
  <c r="D1609" i="6"/>
  <c r="J1643" i="6"/>
  <c r="D1643" i="6" s="1"/>
  <c r="D1597" i="6"/>
  <c r="J1627" i="6"/>
  <c r="D1627" i="6" s="1"/>
  <c r="D1581" i="6"/>
  <c r="B1609" i="6"/>
  <c r="AB1546" i="6"/>
  <c r="J1628" i="6"/>
  <c r="D1628" i="6" s="1"/>
  <c r="D1582" i="6"/>
  <c r="J1641" i="6"/>
  <c r="D1641" i="6" s="1"/>
  <c r="D1595" i="6"/>
  <c r="V1595" i="6"/>
  <c r="U1595" i="6"/>
  <c r="T1595" i="6"/>
  <c r="AA1595" i="6"/>
  <c r="S1595" i="6"/>
  <c r="Z1595" i="6"/>
  <c r="R1595" i="6"/>
  <c r="I1641" i="6"/>
  <c r="Y1595" i="6"/>
  <c r="Q1595" i="6"/>
  <c r="X1595" i="6"/>
  <c r="P1595" i="6"/>
  <c r="W1595" i="6"/>
  <c r="AB1531" i="6"/>
  <c r="AB1559" i="6"/>
  <c r="AB1524" i="6"/>
  <c r="V1570" i="6"/>
  <c r="U1570" i="6"/>
  <c r="T1570" i="6"/>
  <c r="AA1570" i="6"/>
  <c r="S1570" i="6"/>
  <c r="Z1570" i="6"/>
  <c r="R1570" i="6"/>
  <c r="Y1570" i="6"/>
  <c r="Q1570" i="6"/>
  <c r="I1616" i="6"/>
  <c r="X1570" i="6"/>
  <c r="P1570" i="6"/>
  <c r="W1570" i="6"/>
  <c r="AR1480" i="6"/>
  <c r="AR1475" i="6"/>
  <c r="AB1527" i="6"/>
  <c r="V1573" i="6"/>
  <c r="U1573" i="6"/>
  <c r="T1573" i="6"/>
  <c r="AA1573" i="6"/>
  <c r="S1573" i="6"/>
  <c r="Z1573" i="6"/>
  <c r="R1573" i="6"/>
  <c r="Y1573" i="6"/>
  <c r="Q1573" i="6"/>
  <c r="I1619" i="6"/>
  <c r="X1573" i="6"/>
  <c r="P1573" i="6"/>
  <c r="W1573" i="6"/>
  <c r="R1433" i="6"/>
  <c r="AH1430" i="6"/>
  <c r="AH1669" i="6" s="1"/>
  <c r="Y1669" i="6"/>
  <c r="Y1433" i="6"/>
  <c r="Y1718" i="6" s="1"/>
  <c r="AO1430" i="6"/>
  <c r="AO1669" i="6" s="1"/>
  <c r="AB1513" i="6"/>
  <c r="AB1498" i="6"/>
  <c r="AH1431" i="6"/>
  <c r="AH1670" i="6" s="1"/>
  <c r="AX1431" i="6"/>
  <c r="AB1529" i="6"/>
  <c r="AF1694" i="6"/>
  <c r="AF1678" i="6"/>
  <c r="Z1377" i="6"/>
  <c r="Z1375" i="6"/>
  <c r="Z1374" i="6"/>
  <c r="Z1376" i="6"/>
  <c r="AP1501" i="6"/>
  <c r="AH1501" i="6"/>
  <c r="AO1501" i="6"/>
  <c r="AG1501" i="6"/>
  <c r="AN1501" i="6"/>
  <c r="AF1501" i="6"/>
  <c r="AQ1501" i="6"/>
  <c r="AM1501" i="6"/>
  <c r="AL1501" i="6"/>
  <c r="AK1501" i="6"/>
  <c r="AJ1501" i="6"/>
  <c r="AI1501" i="6"/>
  <c r="P1813" i="6"/>
  <c r="AB1812" i="6"/>
  <c r="AB1813" i="6" s="1"/>
  <c r="AR1505" i="6"/>
  <c r="S1672" i="6"/>
  <c r="AI1433" i="6"/>
  <c r="AI1672" i="6" s="1"/>
  <c r="AH1449" i="6"/>
  <c r="AH1688" i="6" s="1"/>
  <c r="AX1449" i="6"/>
  <c r="AB1497" i="6"/>
  <c r="AB1494" i="6"/>
  <c r="BG1429" i="6"/>
  <c r="X1669" i="6"/>
  <c r="AB1669" i="6" s="1"/>
  <c r="AN1430" i="6"/>
  <c r="AN1669" i="6" s="1"/>
  <c r="X1433" i="6"/>
  <c r="AR1509" i="6"/>
  <c r="AB1560" i="6"/>
  <c r="AB1553" i="6"/>
  <c r="AB1565" i="6"/>
  <c r="AB1711" i="6"/>
  <c r="S1377" i="6"/>
  <c r="S1374" i="6"/>
  <c r="S1375" i="6"/>
  <c r="S1376" i="6"/>
  <c r="J1197" i="6"/>
  <c r="AT1151" i="6"/>
  <c r="J1185" i="6"/>
  <c r="AT1139" i="6"/>
  <c r="AB1104" i="6"/>
  <c r="I1194" i="6"/>
  <c r="Y1148" i="6"/>
  <c r="Q1148" i="6"/>
  <c r="X1148" i="6"/>
  <c r="P1148" i="6"/>
  <c r="AF1148" i="6"/>
  <c r="V1148" i="6"/>
  <c r="U1148" i="6"/>
  <c r="AA1148" i="6"/>
  <c r="S1148" i="6"/>
  <c r="Z1148" i="6"/>
  <c r="W1148" i="6"/>
  <c r="T1148" i="6"/>
  <c r="R1148" i="6"/>
  <c r="AG1148" i="6"/>
  <c r="AB1097" i="6"/>
  <c r="I1188" i="6"/>
  <c r="X1142" i="6"/>
  <c r="P1142" i="6"/>
  <c r="AF1142" i="6"/>
  <c r="V1142" i="6"/>
  <c r="AA1142" i="6"/>
  <c r="S1142" i="6"/>
  <c r="U1142" i="6"/>
  <c r="T1142" i="6"/>
  <c r="R1142" i="6"/>
  <c r="Q1142" i="6"/>
  <c r="Z1142" i="6"/>
  <c r="Y1142" i="6"/>
  <c r="W1142" i="6"/>
  <c r="AB1084" i="6"/>
  <c r="I1172" i="6"/>
  <c r="AK1126" i="6"/>
  <c r="AA1126" i="6"/>
  <c r="S1126" i="6"/>
  <c r="AJ1126" i="6"/>
  <c r="Z1126" i="6"/>
  <c r="R1126" i="6"/>
  <c r="AQ1126" i="6"/>
  <c r="AI1126" i="6"/>
  <c r="Y1126" i="6"/>
  <c r="Q1126" i="6"/>
  <c r="AP1126" i="6"/>
  <c r="AH1126" i="6"/>
  <c r="X1126" i="6"/>
  <c r="P1126" i="6"/>
  <c r="AO1126" i="6"/>
  <c r="AG1126" i="6"/>
  <c r="W1126" i="6"/>
  <c r="AN1126" i="6"/>
  <c r="AF1126" i="6"/>
  <c r="V1126" i="6"/>
  <c r="U1126" i="6"/>
  <c r="T1126" i="6"/>
  <c r="AM1126" i="6"/>
  <c r="AL1126" i="6"/>
  <c r="J1194" i="6"/>
  <c r="AT1148" i="6"/>
  <c r="AE1198" i="6"/>
  <c r="AE1152" i="6"/>
  <c r="AE1244" i="6" s="1"/>
  <c r="AE1290" i="6" s="1"/>
  <c r="AE1336" i="6" s="1"/>
  <c r="AE1184" i="6"/>
  <c r="AE1138" i="6"/>
  <c r="AE1230" i="6" s="1"/>
  <c r="AE1276" i="6" s="1"/>
  <c r="AE1322" i="6" s="1"/>
  <c r="F1172" i="6"/>
  <c r="F1165" i="6"/>
  <c r="AB1066" i="6"/>
  <c r="F1160" i="6"/>
  <c r="I1155" i="6"/>
  <c r="AA1109" i="6"/>
  <c r="S1109" i="6"/>
  <c r="Z1109" i="6"/>
  <c r="R1109" i="6"/>
  <c r="Y1109" i="6"/>
  <c r="Q1109" i="6"/>
  <c r="X1109" i="6"/>
  <c r="P1109" i="6"/>
  <c r="AG1109" i="6"/>
  <c r="W1109" i="6"/>
  <c r="AF1109" i="6"/>
  <c r="V1109" i="6"/>
  <c r="U1109" i="6"/>
  <c r="T1109" i="6"/>
  <c r="I1160" i="6"/>
  <c r="AA1114" i="6"/>
  <c r="S1114" i="6"/>
  <c r="Z1114" i="6"/>
  <c r="R1114" i="6"/>
  <c r="Y1114" i="6"/>
  <c r="Q1114" i="6"/>
  <c r="X1114" i="6"/>
  <c r="P1114" i="6"/>
  <c r="W1114" i="6"/>
  <c r="AF1114" i="6"/>
  <c r="V1114" i="6"/>
  <c r="U1114" i="6"/>
  <c r="T1114" i="6"/>
  <c r="AB1073" i="6"/>
  <c r="I1157" i="6"/>
  <c r="AA1111" i="6"/>
  <c r="S1111" i="6"/>
  <c r="Z1111" i="6"/>
  <c r="R1111" i="6"/>
  <c r="Y1111" i="6"/>
  <c r="Q1111" i="6"/>
  <c r="AH1111" i="6"/>
  <c r="X1111" i="6"/>
  <c r="P1111" i="6"/>
  <c r="AG1111" i="6"/>
  <c r="W1111" i="6"/>
  <c r="AF1111" i="6"/>
  <c r="V1111" i="6"/>
  <c r="T1111" i="6"/>
  <c r="U1111" i="6"/>
  <c r="F1162" i="6"/>
  <c r="F1193" i="6"/>
  <c r="B1147" i="6"/>
  <c r="AE1179" i="6"/>
  <c r="AE1133" i="6"/>
  <c r="AE1225" i="6" s="1"/>
  <c r="AE1271" i="6" s="1"/>
  <c r="AE1317" i="6" s="1"/>
  <c r="AE1175" i="6"/>
  <c r="AE1129" i="6"/>
  <c r="AE1221" i="6" s="1"/>
  <c r="AE1267" i="6" s="1"/>
  <c r="AE1313" i="6" s="1"/>
  <c r="AE1170" i="6"/>
  <c r="AE1124" i="6"/>
  <c r="AE1216" i="6" s="1"/>
  <c r="AE1262" i="6" s="1"/>
  <c r="AE1308" i="6" s="1"/>
  <c r="AE1165" i="6"/>
  <c r="AE1119" i="6"/>
  <c r="AE1211" i="6" s="1"/>
  <c r="AE1257" i="6" s="1"/>
  <c r="AE1303" i="6" s="1"/>
  <c r="F1159" i="6"/>
  <c r="B1113" i="6"/>
  <c r="AB1064" i="6"/>
  <c r="F1197" i="6"/>
  <c r="B1151" i="6"/>
  <c r="F1192" i="6"/>
  <c r="B1146" i="6"/>
  <c r="F1187" i="6"/>
  <c r="B1141" i="6"/>
  <c r="F1163" i="6"/>
  <c r="B1117" i="6"/>
  <c r="Z762" i="6"/>
  <c r="R762" i="6"/>
  <c r="Y762" i="6"/>
  <c r="Q762" i="6"/>
  <c r="I808" i="6"/>
  <c r="X762" i="6"/>
  <c r="P762" i="6"/>
  <c r="AB762" i="6" s="1"/>
  <c r="W762" i="6"/>
  <c r="V762" i="6"/>
  <c r="U762" i="6"/>
  <c r="AA762" i="6"/>
  <c r="S762" i="6"/>
  <c r="T762" i="6"/>
  <c r="AB720" i="6"/>
  <c r="AT1118" i="6"/>
  <c r="J1164" i="6"/>
  <c r="T769" i="6"/>
  <c r="AA769" i="6"/>
  <c r="S769" i="6"/>
  <c r="Z769" i="6"/>
  <c r="R769" i="6"/>
  <c r="Y769" i="6"/>
  <c r="Q769" i="6"/>
  <c r="I815" i="6"/>
  <c r="X769" i="6"/>
  <c r="P769" i="6"/>
  <c r="W769" i="6"/>
  <c r="U769" i="6"/>
  <c r="V769" i="6"/>
  <c r="AB727" i="6"/>
  <c r="AT1110" i="6"/>
  <c r="J1156" i="6"/>
  <c r="V772" i="6"/>
  <c r="U772" i="6"/>
  <c r="T772" i="6"/>
  <c r="AA772" i="6"/>
  <c r="S772" i="6"/>
  <c r="Z772" i="6"/>
  <c r="R772" i="6"/>
  <c r="Y772" i="6"/>
  <c r="Q772" i="6"/>
  <c r="I818" i="6"/>
  <c r="W772" i="6"/>
  <c r="X772" i="6"/>
  <c r="P772" i="6"/>
  <c r="F880" i="6"/>
  <c r="B834" i="6"/>
  <c r="B794" i="6"/>
  <c r="F840" i="6"/>
  <c r="AB697" i="6"/>
  <c r="AB1022" i="6"/>
  <c r="AB1023" i="6"/>
  <c r="J842" i="6"/>
  <c r="D796" i="6"/>
  <c r="T741" i="6"/>
  <c r="AA741" i="6"/>
  <c r="S741" i="6"/>
  <c r="Z741" i="6"/>
  <c r="R741" i="6"/>
  <c r="Y741" i="6"/>
  <c r="Q741" i="6"/>
  <c r="I787" i="6"/>
  <c r="X741" i="6"/>
  <c r="P741" i="6"/>
  <c r="W741" i="6"/>
  <c r="U741" i="6"/>
  <c r="V741" i="6"/>
  <c r="AY638" i="6"/>
  <c r="AI638" i="6"/>
  <c r="L1052" i="6"/>
  <c r="L1098" i="6" s="1"/>
  <c r="L1144" i="6" s="1"/>
  <c r="L1190" i="6" s="1"/>
  <c r="L1236" i="6" s="1"/>
  <c r="L1282" i="6" s="1"/>
  <c r="L1328" i="6" s="1"/>
  <c r="AT629" i="6"/>
  <c r="L1036" i="6"/>
  <c r="L1082" i="6" s="1"/>
  <c r="L1128" i="6" s="1"/>
  <c r="L1174" i="6" s="1"/>
  <c r="L1220" i="6" s="1"/>
  <c r="L1266" i="6" s="1"/>
  <c r="L1312" i="6" s="1"/>
  <c r="AT613" i="6"/>
  <c r="D771" i="6"/>
  <c r="J817" i="6"/>
  <c r="B804" i="6"/>
  <c r="B769" i="6"/>
  <c r="F815" i="6"/>
  <c r="B751" i="6"/>
  <c r="AH1428" i="6"/>
  <c r="F904" i="6"/>
  <c r="F851" i="6"/>
  <c r="B805" i="6"/>
  <c r="AB677" i="6"/>
  <c r="AB673" i="6"/>
  <c r="F872" i="6"/>
  <c r="B826" i="6"/>
  <c r="F958" i="6"/>
  <c r="D811" i="6"/>
  <c r="J857" i="6"/>
  <c r="J846" i="6"/>
  <c r="D800" i="6"/>
  <c r="AB693" i="6"/>
  <c r="AB660" i="6"/>
  <c r="AG631" i="6"/>
  <c r="AW631" i="6"/>
  <c r="AG623" i="6"/>
  <c r="AW623" i="6"/>
  <c r="AG607" i="6"/>
  <c r="AW607" i="6"/>
  <c r="U535" i="6"/>
  <c r="I813" i="6"/>
  <c r="X767" i="6"/>
  <c r="P767" i="6"/>
  <c r="W767" i="6"/>
  <c r="V767" i="6"/>
  <c r="U767" i="6"/>
  <c r="T767" i="6"/>
  <c r="AA767" i="6"/>
  <c r="S767" i="6"/>
  <c r="Y767" i="6"/>
  <c r="Q767" i="6"/>
  <c r="Z767" i="6"/>
  <c r="R767" i="6"/>
  <c r="AI601" i="6"/>
  <c r="AY601" i="6"/>
  <c r="Z519" i="6"/>
  <c r="AR644" i="6"/>
  <c r="L1041" i="6"/>
  <c r="L1087" i="6" s="1"/>
  <c r="L1133" i="6" s="1"/>
  <c r="L1179" i="6" s="1"/>
  <c r="L1225" i="6" s="1"/>
  <c r="L1271" i="6" s="1"/>
  <c r="L1317" i="6" s="1"/>
  <c r="AT618" i="6"/>
  <c r="L1029" i="6"/>
  <c r="L1075" i="6" s="1"/>
  <c r="L1121" i="6" s="1"/>
  <c r="L1167" i="6" s="1"/>
  <c r="L1213" i="6" s="1"/>
  <c r="L1259" i="6" s="1"/>
  <c r="L1305" i="6" s="1"/>
  <c r="AT610" i="6"/>
  <c r="L1021" i="6"/>
  <c r="L1067" i="6" s="1"/>
  <c r="L1113" i="6" s="1"/>
  <c r="L1159" i="6" s="1"/>
  <c r="L1205" i="6" s="1"/>
  <c r="L1251" i="6" s="1"/>
  <c r="L1297" i="6" s="1"/>
  <c r="AT602" i="6"/>
  <c r="AT406" i="6"/>
  <c r="J452" i="6"/>
  <c r="AT452" i="6" s="1"/>
  <c r="AP643" i="6"/>
  <c r="AH643" i="6"/>
  <c r="AO643" i="6"/>
  <c r="AG643" i="6"/>
  <c r="AN643" i="6"/>
  <c r="AF643" i="6"/>
  <c r="AM643" i="6"/>
  <c r="AL643" i="6"/>
  <c r="AK643" i="6"/>
  <c r="AQ643" i="6"/>
  <c r="AI643" i="6"/>
  <c r="AJ643" i="6"/>
  <c r="Z383" i="6"/>
  <c r="R383" i="6"/>
  <c r="Y383" i="6"/>
  <c r="Q383" i="6"/>
  <c r="AH383" i="6"/>
  <c r="X383" i="6"/>
  <c r="P383" i="6"/>
  <c r="I429" i="6"/>
  <c r="AG383" i="6"/>
  <c r="W383" i="6"/>
  <c r="AF383" i="6"/>
  <c r="V383" i="6"/>
  <c r="AA383" i="6"/>
  <c r="S383" i="6"/>
  <c r="T383" i="6"/>
  <c r="U383" i="6"/>
  <c r="AG1041" i="6"/>
  <c r="F427" i="6"/>
  <c r="B381" i="6"/>
  <c r="Y443" i="6"/>
  <c r="O17" i="10" s="1"/>
  <c r="Q443" i="6"/>
  <c r="G17" i="10" s="1"/>
  <c r="AH443" i="6"/>
  <c r="X443" i="6"/>
  <c r="P443" i="6"/>
  <c r="F17" i="10" s="1"/>
  <c r="AF443" i="6"/>
  <c r="V443" i="6"/>
  <c r="L17" i="10" s="1"/>
  <c r="T443" i="6"/>
  <c r="J17" i="10" s="1"/>
  <c r="Z443" i="6"/>
  <c r="P17" i="10" s="1"/>
  <c r="R443" i="6"/>
  <c r="H17" i="10" s="1"/>
  <c r="AG443" i="6"/>
  <c r="AA443" i="6"/>
  <c r="Q17" i="10" s="1"/>
  <c r="W443" i="6"/>
  <c r="M17" i="10" s="1"/>
  <c r="U443" i="6"/>
  <c r="K17" i="10" s="1"/>
  <c r="S443" i="6"/>
  <c r="I17" i="10" s="1"/>
  <c r="Y463" i="6"/>
  <c r="Q463" i="6"/>
  <c r="X463" i="6"/>
  <c r="P463" i="6"/>
  <c r="AB463" i="6" s="1"/>
  <c r="AF463" i="6"/>
  <c r="V463" i="6"/>
  <c r="U463" i="6"/>
  <c r="T463" i="6"/>
  <c r="Z463" i="6"/>
  <c r="R463" i="6"/>
  <c r="AG463" i="6"/>
  <c r="AA463" i="6"/>
  <c r="W463" i="6"/>
  <c r="S463" i="6"/>
  <c r="J432" i="6"/>
  <c r="AT432" i="6" s="1"/>
  <c r="AT386" i="6"/>
  <c r="AB531" i="6"/>
  <c r="AB518" i="6"/>
  <c r="AB516" i="6"/>
  <c r="AB492" i="6"/>
  <c r="AB515" i="6"/>
  <c r="AB517" i="6"/>
  <c r="Y431" i="6"/>
  <c r="Q431" i="6"/>
  <c r="X431" i="6"/>
  <c r="P431" i="6"/>
  <c r="T431" i="6"/>
  <c r="Z431" i="6"/>
  <c r="R431" i="6"/>
  <c r="U431" i="6"/>
  <c r="S431" i="6"/>
  <c r="AG431" i="6"/>
  <c r="AF431" i="6"/>
  <c r="V431" i="6"/>
  <c r="AA431" i="6"/>
  <c r="W431" i="6"/>
  <c r="J457" i="6"/>
  <c r="AT457" i="6" s="1"/>
  <c r="AT411" i="6"/>
  <c r="I809" i="6"/>
  <c r="X763" i="6"/>
  <c r="P763" i="6"/>
  <c r="W763" i="6"/>
  <c r="V763" i="6"/>
  <c r="U763" i="6"/>
  <c r="T763" i="6"/>
  <c r="AA763" i="6"/>
  <c r="S763" i="6"/>
  <c r="Y763" i="6"/>
  <c r="Q763" i="6"/>
  <c r="Z763" i="6"/>
  <c r="R763" i="6"/>
  <c r="AG409" i="6"/>
  <c r="AB389" i="6"/>
  <c r="AB694" i="6"/>
  <c r="AB364" i="6"/>
  <c r="F445" i="6"/>
  <c r="B445" i="6" s="1"/>
  <c r="B399" i="6"/>
  <c r="B436" i="6"/>
  <c r="AB365" i="6"/>
  <c r="J325" i="6"/>
  <c r="D325" i="6" s="1"/>
  <c r="D279" i="6"/>
  <c r="J313" i="6"/>
  <c r="D313" i="6" s="1"/>
  <c r="D267" i="6"/>
  <c r="F302" i="6"/>
  <c r="B256" i="6"/>
  <c r="AB193" i="6"/>
  <c r="AB256" i="6"/>
  <c r="AB240" i="6"/>
  <c r="T282" i="6"/>
  <c r="Z282" i="6"/>
  <c r="Q282" i="6"/>
  <c r="Y282" i="6"/>
  <c r="P282" i="6"/>
  <c r="X282" i="6"/>
  <c r="W282" i="6"/>
  <c r="V282" i="6"/>
  <c r="U282" i="6"/>
  <c r="AA282" i="6"/>
  <c r="R282" i="6"/>
  <c r="S282" i="6"/>
  <c r="J306" i="6"/>
  <c r="D306" i="6" s="1"/>
  <c r="D260" i="6"/>
  <c r="B249" i="6"/>
  <c r="F295" i="6"/>
  <c r="AB234" i="6"/>
  <c r="F435" i="6"/>
  <c r="B389" i="6"/>
  <c r="T287" i="6"/>
  <c r="Y287" i="6"/>
  <c r="P287" i="6"/>
  <c r="AB287" i="6" s="1"/>
  <c r="X287" i="6"/>
  <c r="W287" i="6"/>
  <c r="V287" i="6"/>
  <c r="U287" i="6"/>
  <c r="S287" i="6"/>
  <c r="Z287" i="6"/>
  <c r="Q287" i="6"/>
  <c r="AA287" i="6"/>
  <c r="R287" i="6"/>
  <c r="AB211" i="6"/>
  <c r="AR152" i="6"/>
  <c r="Z42" i="6"/>
  <c r="Z39" i="6"/>
  <c r="Z40" i="6"/>
  <c r="Z41" i="6"/>
  <c r="AB246" i="6"/>
  <c r="J300" i="6"/>
  <c r="D300" i="6" s="1"/>
  <c r="D254" i="6"/>
  <c r="B243" i="6"/>
  <c r="F289" i="6"/>
  <c r="AH128" i="6"/>
  <c r="AX128" i="6"/>
  <c r="AH120" i="6"/>
  <c r="AX120" i="6"/>
  <c r="AB341" i="6"/>
  <c r="AB233" i="6"/>
  <c r="J309" i="6"/>
  <c r="D309" i="6" s="1"/>
  <c r="D263" i="6"/>
  <c r="F298" i="6"/>
  <c r="B252" i="6"/>
  <c r="AB406" i="6"/>
  <c r="T293" i="6"/>
  <c r="AA293" i="6"/>
  <c r="R293" i="6"/>
  <c r="Z293" i="6"/>
  <c r="Q293" i="6"/>
  <c r="Y293" i="6"/>
  <c r="P293" i="6"/>
  <c r="X293" i="6"/>
  <c r="W293" i="6"/>
  <c r="V293" i="6"/>
  <c r="S293" i="6"/>
  <c r="U293" i="6"/>
  <c r="J303" i="6"/>
  <c r="D303" i="6" s="1"/>
  <c r="D257" i="6"/>
  <c r="J287" i="6"/>
  <c r="D287" i="6" s="1"/>
  <c r="D241" i="6"/>
  <c r="F449" i="6"/>
  <c r="B403" i="6"/>
  <c r="J294" i="6"/>
  <c r="D294" i="6" s="1"/>
  <c r="D248" i="6"/>
  <c r="F283" i="6"/>
  <c r="B237" i="6"/>
  <c r="AW133" i="6"/>
  <c r="AG133" i="6"/>
  <c r="AB263" i="6"/>
  <c r="F323" i="6"/>
  <c r="B323" i="6" s="1"/>
  <c r="B277" i="6"/>
  <c r="J288" i="6"/>
  <c r="D288" i="6" s="1"/>
  <c r="D242" i="6"/>
  <c r="AB192" i="6"/>
  <c r="AL175" i="6"/>
  <c r="AQ175" i="6"/>
  <c r="AI175" i="6"/>
  <c r="AO175" i="6"/>
  <c r="AG175" i="6"/>
  <c r="AM175" i="6"/>
  <c r="AK175" i="6"/>
  <c r="AJ175" i="6"/>
  <c r="AH175" i="6"/>
  <c r="AF175" i="6"/>
  <c r="AP175" i="6"/>
  <c r="AN175" i="6"/>
  <c r="V43" i="6"/>
  <c r="AH109" i="6"/>
  <c r="AH348" i="6" s="1"/>
  <c r="AX109" i="6"/>
  <c r="AX99" i="6"/>
  <c r="AH99" i="6"/>
  <c r="AH338" i="6" s="1"/>
  <c r="AA2162" i="6"/>
  <c r="Y2162" i="6"/>
  <c r="Q2162" i="6"/>
  <c r="W2162" i="6"/>
  <c r="P2162" i="6"/>
  <c r="Z2162" i="6"/>
  <c r="X2162" i="6"/>
  <c r="T2162" i="6"/>
  <c r="AF2162" i="6"/>
  <c r="S2162" i="6"/>
  <c r="V2162" i="6"/>
  <c r="R2162" i="6"/>
  <c r="U2162" i="6"/>
  <c r="AI2134" i="6"/>
  <c r="Y2134" i="6"/>
  <c r="Q2134" i="6"/>
  <c r="X2134" i="6"/>
  <c r="P2134" i="6"/>
  <c r="AG2134" i="6"/>
  <c r="W2134" i="6"/>
  <c r="AF2134" i="6"/>
  <c r="V2134" i="6"/>
  <c r="AA2134" i="6"/>
  <c r="S2134" i="6"/>
  <c r="T2134" i="6"/>
  <c r="R2134" i="6"/>
  <c r="Z2134" i="6"/>
  <c r="U2134" i="6"/>
  <c r="AG1923" i="6"/>
  <c r="AW1923" i="6"/>
  <c r="AQ1940" i="6"/>
  <c r="AI1940" i="6"/>
  <c r="AP1940" i="6"/>
  <c r="AH1940" i="6"/>
  <c r="AO1940" i="6"/>
  <c r="AG1940" i="6"/>
  <c r="AN1940" i="6"/>
  <c r="AF1940" i="6"/>
  <c r="AM1940" i="6"/>
  <c r="AL1940" i="6"/>
  <c r="AK1940" i="6"/>
  <c r="AJ1940" i="6"/>
  <c r="U2085" i="6"/>
  <c r="AB2085" i="6" s="1"/>
  <c r="U1787" i="6"/>
  <c r="T1787" i="6"/>
  <c r="AA1787" i="6"/>
  <c r="S1787" i="6"/>
  <c r="Z1787" i="6"/>
  <c r="R1787" i="6"/>
  <c r="Y1787" i="6"/>
  <c r="Q1787" i="6"/>
  <c r="X1787" i="6"/>
  <c r="P1787" i="6"/>
  <c r="AG1787" i="6"/>
  <c r="W1787" i="6"/>
  <c r="AF1787" i="6"/>
  <c r="V1787" i="6"/>
  <c r="U1763" i="6"/>
  <c r="T1763" i="6"/>
  <c r="AA1763" i="6"/>
  <c r="S1763" i="6"/>
  <c r="Z1763" i="6"/>
  <c r="R1763" i="6"/>
  <c r="AI1763" i="6"/>
  <c r="Y1763" i="6"/>
  <c r="Q1763" i="6"/>
  <c r="AH1763" i="6"/>
  <c r="X1763" i="6"/>
  <c r="P1763" i="6"/>
  <c r="AB1763" i="6" s="1"/>
  <c r="AG1763" i="6"/>
  <c r="W1763" i="6"/>
  <c r="V1763" i="6"/>
  <c r="AF1763" i="6"/>
  <c r="B1768" i="6"/>
  <c r="B1630" i="6"/>
  <c r="J1624" i="6"/>
  <c r="D1624" i="6" s="1"/>
  <c r="D1578" i="6"/>
  <c r="F1628" i="6"/>
  <c r="B1628" i="6" s="1"/>
  <c r="B1582" i="6"/>
  <c r="AB1983" i="6"/>
  <c r="AZ1926" i="6"/>
  <c r="AJ1926" i="6"/>
  <c r="F1787" i="6"/>
  <c r="B1787" i="6" s="1"/>
  <c r="B1741" i="6"/>
  <c r="I1772" i="6"/>
  <c r="AF1726" i="6"/>
  <c r="V1726" i="6"/>
  <c r="U1726" i="6"/>
  <c r="T1726" i="6"/>
  <c r="AA1726" i="6"/>
  <c r="S1726" i="6"/>
  <c r="Z1726" i="6"/>
  <c r="R1726" i="6"/>
  <c r="Y1726" i="6"/>
  <c r="Q1726" i="6"/>
  <c r="AG1726" i="6"/>
  <c r="X1726" i="6"/>
  <c r="W1726" i="6"/>
  <c r="P1726" i="6"/>
  <c r="AB1576" i="6"/>
  <c r="AG1448" i="6"/>
  <c r="AW1448" i="6"/>
  <c r="AB1552" i="6"/>
  <c r="AB1683" i="6"/>
  <c r="AB1071" i="6"/>
  <c r="J1121" i="6"/>
  <c r="AT1075" i="6"/>
  <c r="F1182" i="6"/>
  <c r="B1136" i="6"/>
  <c r="I819" i="6"/>
  <c r="T773" i="6"/>
  <c r="AA773" i="6"/>
  <c r="S773" i="6"/>
  <c r="Z773" i="6"/>
  <c r="R773" i="6"/>
  <c r="Y773" i="6"/>
  <c r="Q773" i="6"/>
  <c r="X773" i="6"/>
  <c r="P773" i="6"/>
  <c r="W773" i="6"/>
  <c r="U773" i="6"/>
  <c r="V773" i="6"/>
  <c r="AB734" i="6"/>
  <c r="AB1031" i="6"/>
  <c r="AB1039" i="6"/>
  <c r="AB1051" i="6"/>
  <c r="B830" i="6"/>
  <c r="F876" i="6"/>
  <c r="L1054" i="6"/>
  <c r="L1100" i="6" s="1"/>
  <c r="L1146" i="6" s="1"/>
  <c r="L1192" i="6" s="1"/>
  <c r="L1238" i="6" s="1"/>
  <c r="L1284" i="6" s="1"/>
  <c r="L1330" i="6" s="1"/>
  <c r="AT631" i="6"/>
  <c r="L1018" i="6"/>
  <c r="L1064" i="6" s="1"/>
  <c r="L1110" i="6" s="1"/>
  <c r="L1156" i="6" s="1"/>
  <c r="L1202" i="6" s="1"/>
  <c r="L1248" i="6" s="1"/>
  <c r="L1294" i="6" s="1"/>
  <c r="AT599" i="6"/>
  <c r="J862" i="6"/>
  <c r="D816" i="6"/>
  <c r="V736" i="6"/>
  <c r="U736" i="6"/>
  <c r="T736" i="6"/>
  <c r="AA736" i="6"/>
  <c r="S736" i="6"/>
  <c r="Z736" i="6"/>
  <c r="R736" i="6"/>
  <c r="Y736" i="6"/>
  <c r="Q736" i="6"/>
  <c r="W736" i="6"/>
  <c r="I782" i="6"/>
  <c r="X736" i="6"/>
  <c r="P736" i="6"/>
  <c r="F847" i="6"/>
  <c r="B801" i="6"/>
  <c r="T749" i="6"/>
  <c r="AA749" i="6"/>
  <c r="S749" i="6"/>
  <c r="Z749" i="6"/>
  <c r="R749" i="6"/>
  <c r="Y749" i="6"/>
  <c r="Q749" i="6"/>
  <c r="I795" i="6"/>
  <c r="X749" i="6"/>
  <c r="P749" i="6"/>
  <c r="W749" i="6"/>
  <c r="U749" i="6"/>
  <c r="V749" i="6"/>
  <c r="F884" i="6"/>
  <c r="AG625" i="6"/>
  <c r="AG1140" i="6" s="1"/>
  <c r="AW625" i="6"/>
  <c r="AG609" i="6"/>
  <c r="AW609" i="6"/>
  <c r="AB718" i="6"/>
  <c r="AB2170" i="6"/>
  <c r="AB2151" i="6"/>
  <c r="AB2144" i="6"/>
  <c r="AB2103" i="6"/>
  <c r="Y2146" i="6"/>
  <c r="S2146" i="6"/>
  <c r="AA2146" i="6"/>
  <c r="R2146" i="6"/>
  <c r="Z2146" i="6"/>
  <c r="Q2146" i="6"/>
  <c r="AG2146" i="6"/>
  <c r="V2146" i="6"/>
  <c r="X2146" i="6"/>
  <c r="W2146" i="6"/>
  <c r="U2146" i="6"/>
  <c r="T2146" i="6"/>
  <c r="AF2146" i="6"/>
  <c r="P2146" i="6"/>
  <c r="AA2142" i="6"/>
  <c r="S2142" i="6"/>
  <c r="Z2142" i="6"/>
  <c r="R2142" i="6"/>
  <c r="Y2142" i="6"/>
  <c r="Q2142" i="6"/>
  <c r="AF2142" i="6"/>
  <c r="V2142" i="6"/>
  <c r="U2142" i="6"/>
  <c r="T2142" i="6"/>
  <c r="P2142" i="6"/>
  <c r="X2142" i="6"/>
  <c r="W2142" i="6"/>
  <c r="T2131" i="6"/>
  <c r="U2131" i="6"/>
  <c r="AB2131" i="6" s="1"/>
  <c r="AB2107" i="6"/>
  <c r="Y2141" i="6"/>
  <c r="Q2141" i="6"/>
  <c r="AH2141" i="6"/>
  <c r="X2141" i="6"/>
  <c r="P2141" i="6"/>
  <c r="AG2141" i="6"/>
  <c r="W2141" i="6"/>
  <c r="T2141" i="6"/>
  <c r="AA2141" i="6"/>
  <c r="Z2141" i="6"/>
  <c r="V2141" i="6"/>
  <c r="S2141" i="6"/>
  <c r="R2141" i="6"/>
  <c r="AF2141" i="6"/>
  <c r="U2141" i="6"/>
  <c r="AB2128" i="6"/>
  <c r="AB2137" i="6"/>
  <c r="AA2087" i="6"/>
  <c r="B2132" i="6"/>
  <c r="AB2099" i="6"/>
  <c r="W2071" i="6"/>
  <c r="AA2071" i="6"/>
  <c r="S2071" i="6"/>
  <c r="Z2071" i="6"/>
  <c r="R2071" i="6"/>
  <c r="P2071" i="6"/>
  <c r="Y2071" i="6"/>
  <c r="X2071" i="6"/>
  <c r="U2071" i="6"/>
  <c r="V2071" i="6"/>
  <c r="T2071" i="6"/>
  <c r="Q2071" i="6"/>
  <c r="W2063" i="6"/>
  <c r="AA2063" i="6"/>
  <c r="R2063" i="6"/>
  <c r="Y2063" i="6"/>
  <c r="P2063" i="6"/>
  <c r="X2063" i="6"/>
  <c r="U2063" i="6"/>
  <c r="V2063" i="6"/>
  <c r="T2063" i="6"/>
  <c r="S2063" i="6"/>
  <c r="Q2063" i="6"/>
  <c r="Z2063" i="6"/>
  <c r="AG2088" i="6"/>
  <c r="W2066" i="6"/>
  <c r="AA2066" i="6"/>
  <c r="S2066" i="6"/>
  <c r="Z2066" i="6"/>
  <c r="R2066" i="6"/>
  <c r="U2066" i="6"/>
  <c r="Q2066" i="6"/>
  <c r="P2066" i="6"/>
  <c r="Y2066" i="6"/>
  <c r="X2066" i="6"/>
  <c r="V2066" i="6"/>
  <c r="T2066" i="6"/>
  <c r="W2067" i="6"/>
  <c r="AA2067" i="6"/>
  <c r="S2067" i="6"/>
  <c r="Z2067" i="6"/>
  <c r="R2067" i="6"/>
  <c r="V2067" i="6"/>
  <c r="T2067" i="6"/>
  <c r="Q2067" i="6"/>
  <c r="Y2067" i="6"/>
  <c r="X2067" i="6"/>
  <c r="U2067" i="6"/>
  <c r="P2067" i="6"/>
  <c r="AB2015" i="6"/>
  <c r="T2034" i="6"/>
  <c r="Z2034" i="6"/>
  <c r="R2034" i="6"/>
  <c r="Y2034" i="6"/>
  <c r="Q2034" i="6"/>
  <c r="W2034" i="6"/>
  <c r="P2034" i="6"/>
  <c r="AA2034" i="6"/>
  <c r="X2034" i="6"/>
  <c r="V2034" i="6"/>
  <c r="U2034" i="6"/>
  <c r="S2034" i="6"/>
  <c r="W2060" i="6"/>
  <c r="Z2060" i="6"/>
  <c r="Q2060" i="6"/>
  <c r="X2060" i="6"/>
  <c r="V2060" i="6"/>
  <c r="T2060" i="6"/>
  <c r="AA2060" i="6"/>
  <c r="Y2060" i="6"/>
  <c r="U2060" i="6"/>
  <c r="S2060" i="6"/>
  <c r="R2060" i="6"/>
  <c r="P2060" i="6"/>
  <c r="T2030" i="6"/>
  <c r="T2075" i="6" s="1"/>
  <c r="Z2030" i="6"/>
  <c r="Z2075" i="6" s="1"/>
  <c r="R2030" i="6"/>
  <c r="Y2030" i="6"/>
  <c r="Q2030" i="6"/>
  <c r="Q2075" i="6" s="1"/>
  <c r="W2030" i="6"/>
  <c r="P2030" i="6"/>
  <c r="P2075" i="6" s="1"/>
  <c r="AA2030" i="6"/>
  <c r="AA2075" i="6" s="1"/>
  <c r="X2030" i="6"/>
  <c r="X2075" i="6" s="1"/>
  <c r="V2030" i="6"/>
  <c r="V2075" i="6" s="1"/>
  <c r="U2030" i="6"/>
  <c r="S2030" i="6"/>
  <c r="AB1993" i="6"/>
  <c r="AB1942" i="6"/>
  <c r="T2048" i="6"/>
  <c r="Z2048" i="6"/>
  <c r="R2048" i="6"/>
  <c r="Y2048" i="6"/>
  <c r="Q2048" i="6"/>
  <c r="W2048" i="6"/>
  <c r="P2048" i="6"/>
  <c r="AA2048" i="6"/>
  <c r="X2048" i="6"/>
  <c r="V2048" i="6"/>
  <c r="U2048" i="6"/>
  <c r="S2048" i="6"/>
  <c r="B2030" i="6"/>
  <c r="AB2039" i="6"/>
  <c r="AW1907" i="6"/>
  <c r="AG1907" i="6"/>
  <c r="AH1899" i="6"/>
  <c r="AX1899" i="6"/>
  <c r="AG1919" i="6"/>
  <c r="AW1919" i="6"/>
  <c r="AB2026" i="6"/>
  <c r="AB2084" i="6"/>
  <c r="AB2094" i="6"/>
  <c r="AY1913" i="6"/>
  <c r="AI1913" i="6"/>
  <c r="AK1918" i="6"/>
  <c r="AK2111" i="6" s="1"/>
  <c r="BA1918" i="6"/>
  <c r="Q2091" i="6"/>
  <c r="AB2091" i="6" s="1"/>
  <c r="AG1898" i="6"/>
  <c r="U1835" i="6"/>
  <c r="AH1896" i="6"/>
  <c r="AX1896" i="6"/>
  <c r="W2087" i="6"/>
  <c r="T2090" i="6"/>
  <c r="AJ1897" i="6"/>
  <c r="AY1889" i="6"/>
  <c r="AI1889" i="6"/>
  <c r="AG1754" i="6"/>
  <c r="W1754" i="6"/>
  <c r="AF1754" i="6"/>
  <c r="V1754" i="6"/>
  <c r="U1754" i="6"/>
  <c r="T1754" i="6"/>
  <c r="I1800" i="6"/>
  <c r="AK1754" i="6"/>
  <c r="AA1754" i="6"/>
  <c r="S1754" i="6"/>
  <c r="AJ1754" i="6"/>
  <c r="Z1754" i="6"/>
  <c r="R1754" i="6"/>
  <c r="AI1754" i="6"/>
  <c r="Y1754" i="6"/>
  <c r="Q1754" i="6"/>
  <c r="AH1754" i="6"/>
  <c r="X1754" i="6"/>
  <c r="P1754" i="6"/>
  <c r="I1802" i="6"/>
  <c r="AA1756" i="6"/>
  <c r="S1756" i="6"/>
  <c r="AJ1756" i="6"/>
  <c r="Z1756" i="6"/>
  <c r="R1756" i="6"/>
  <c r="AI1756" i="6"/>
  <c r="Y1756" i="6"/>
  <c r="Q1756" i="6"/>
  <c r="AH1756" i="6"/>
  <c r="X1756" i="6"/>
  <c r="P1756" i="6"/>
  <c r="AG1756" i="6"/>
  <c r="W1756" i="6"/>
  <c r="AF1756" i="6"/>
  <c r="V1756" i="6"/>
  <c r="U1756" i="6"/>
  <c r="T1756" i="6"/>
  <c r="AG1744" i="6"/>
  <c r="AA1790" i="6"/>
  <c r="S1790" i="6"/>
  <c r="Z1790" i="6"/>
  <c r="R1790" i="6"/>
  <c r="Y1790" i="6"/>
  <c r="Q1790" i="6"/>
  <c r="AH1790" i="6"/>
  <c r="X1790" i="6"/>
  <c r="P1790" i="6"/>
  <c r="AG1790" i="6"/>
  <c r="W1790" i="6"/>
  <c r="AF1790" i="6"/>
  <c r="V1790" i="6"/>
  <c r="U1790" i="6"/>
  <c r="T1790" i="6"/>
  <c r="I1798" i="6"/>
  <c r="AA1752" i="6"/>
  <c r="S1752" i="6"/>
  <c r="Z1752" i="6"/>
  <c r="R1752" i="6"/>
  <c r="Y1752" i="6"/>
  <c r="Q1752" i="6"/>
  <c r="AH1752" i="6"/>
  <c r="X1752" i="6"/>
  <c r="P1752" i="6"/>
  <c r="AG1752" i="6"/>
  <c r="W1752" i="6"/>
  <c r="AF1752" i="6"/>
  <c r="V1752" i="6"/>
  <c r="U1752" i="6"/>
  <c r="T1752" i="6"/>
  <c r="AF1696" i="6"/>
  <c r="AB1689" i="6"/>
  <c r="U1757" i="6"/>
  <c r="T1757" i="6"/>
  <c r="AA1757" i="6"/>
  <c r="S1757" i="6"/>
  <c r="Z1757" i="6"/>
  <c r="R1757" i="6"/>
  <c r="AI1757" i="6"/>
  <c r="Y1757" i="6"/>
  <c r="Q1757" i="6"/>
  <c r="AH1757" i="6"/>
  <c r="X1757" i="6"/>
  <c r="P1757" i="6"/>
  <c r="AG1757" i="6"/>
  <c r="W1757" i="6"/>
  <c r="AF1757" i="6"/>
  <c r="V1757" i="6"/>
  <c r="I1803" i="6"/>
  <c r="U1791" i="6"/>
  <c r="T1791" i="6"/>
  <c r="AA1791" i="6"/>
  <c r="S1791" i="6"/>
  <c r="Z1791" i="6"/>
  <c r="R1791" i="6"/>
  <c r="Y1791" i="6"/>
  <c r="Q1791" i="6"/>
  <c r="X1791" i="6"/>
  <c r="P1791" i="6"/>
  <c r="AG1791" i="6"/>
  <c r="W1791" i="6"/>
  <c r="AF1791" i="6"/>
  <c r="V1791" i="6"/>
  <c r="AB1737" i="6"/>
  <c r="U1783" i="6"/>
  <c r="T1783" i="6"/>
  <c r="AA1783" i="6"/>
  <c r="S1783" i="6"/>
  <c r="Z1783" i="6"/>
  <c r="R1783" i="6"/>
  <c r="Y1783" i="6"/>
  <c r="Q1783" i="6"/>
  <c r="X1783" i="6"/>
  <c r="P1783" i="6"/>
  <c r="AG1783" i="6"/>
  <c r="W1783" i="6"/>
  <c r="V1783" i="6"/>
  <c r="AF1783" i="6"/>
  <c r="AB1733" i="6"/>
  <c r="U1779" i="6"/>
  <c r="T1779" i="6"/>
  <c r="AA1779" i="6"/>
  <c r="S1779" i="6"/>
  <c r="Z1779" i="6"/>
  <c r="R1779" i="6"/>
  <c r="Y1779" i="6"/>
  <c r="Q1779" i="6"/>
  <c r="X1779" i="6"/>
  <c r="P1779" i="6"/>
  <c r="AB1779" i="6" s="1"/>
  <c r="W1779" i="6"/>
  <c r="AF1779" i="6"/>
  <c r="V1779" i="6"/>
  <c r="AB1729" i="6"/>
  <c r="U1775" i="6"/>
  <c r="T1775" i="6"/>
  <c r="AA1775" i="6"/>
  <c r="S1775" i="6"/>
  <c r="Z1775" i="6"/>
  <c r="R1775" i="6"/>
  <c r="Y1775" i="6"/>
  <c r="Q1775" i="6"/>
  <c r="W1775" i="6"/>
  <c r="AF1775" i="6"/>
  <c r="X1775" i="6"/>
  <c r="V1775" i="6"/>
  <c r="P1775" i="6"/>
  <c r="AI1717" i="6"/>
  <c r="I1799" i="6"/>
  <c r="U1753" i="6"/>
  <c r="T1753" i="6"/>
  <c r="AK1753" i="6"/>
  <c r="AA1753" i="6"/>
  <c r="S1753" i="6"/>
  <c r="AJ1753" i="6"/>
  <c r="Z1753" i="6"/>
  <c r="R1753" i="6"/>
  <c r="AI1753" i="6"/>
  <c r="Y1753" i="6"/>
  <c r="Q1753" i="6"/>
  <c r="AH1753" i="6"/>
  <c r="X1753" i="6"/>
  <c r="P1753" i="6"/>
  <c r="AG1753" i="6"/>
  <c r="W1753" i="6"/>
  <c r="AF1753" i="6"/>
  <c r="V1753" i="6"/>
  <c r="AB1713" i="6"/>
  <c r="F1783" i="6"/>
  <c r="B1783" i="6" s="1"/>
  <c r="B1737" i="6"/>
  <c r="J1772" i="6"/>
  <c r="AT1772" i="6" s="1"/>
  <c r="AT1726" i="6"/>
  <c r="I1656" i="6"/>
  <c r="V1610" i="6"/>
  <c r="U1610" i="6"/>
  <c r="T1610" i="6"/>
  <c r="AA1610" i="6"/>
  <c r="S1610" i="6"/>
  <c r="Z1610" i="6"/>
  <c r="R1610" i="6"/>
  <c r="Y1610" i="6"/>
  <c r="Q1610" i="6"/>
  <c r="X1610" i="6"/>
  <c r="P1610" i="6"/>
  <c r="W1610" i="6"/>
  <c r="I1762" i="6"/>
  <c r="Z1716" i="6"/>
  <c r="R1716" i="6"/>
  <c r="Y1716" i="6"/>
  <c r="Q1716" i="6"/>
  <c r="AG1716" i="6"/>
  <c r="W1716" i="6"/>
  <c r="U1716" i="6"/>
  <c r="AA1716" i="6"/>
  <c r="X1716" i="6"/>
  <c r="V1716" i="6"/>
  <c r="T1716" i="6"/>
  <c r="S1716" i="6"/>
  <c r="AH1716" i="6"/>
  <c r="P1716" i="6"/>
  <c r="AF1716" i="6"/>
  <c r="AB1709" i="6"/>
  <c r="J1797" i="6"/>
  <c r="AT1797" i="6" s="1"/>
  <c r="AT1751" i="6"/>
  <c r="X1723" i="6"/>
  <c r="P1723" i="6"/>
  <c r="AG1723" i="6"/>
  <c r="W1723" i="6"/>
  <c r="AF1723" i="6"/>
  <c r="V1723" i="6"/>
  <c r="U1723" i="6"/>
  <c r="AA1723" i="6"/>
  <c r="S1723" i="6"/>
  <c r="I1769" i="6"/>
  <c r="Q1723" i="6"/>
  <c r="Z1723" i="6"/>
  <c r="Y1723" i="6"/>
  <c r="T1723" i="6"/>
  <c r="R1723" i="6"/>
  <c r="V1592" i="6"/>
  <c r="U1592" i="6"/>
  <c r="T1592" i="6"/>
  <c r="AA1592" i="6"/>
  <c r="S1592" i="6"/>
  <c r="I1638" i="6"/>
  <c r="Z1592" i="6"/>
  <c r="R1592" i="6"/>
  <c r="Y1592" i="6"/>
  <c r="Q1592" i="6"/>
  <c r="X1592" i="6"/>
  <c r="P1592" i="6"/>
  <c r="W1592" i="6"/>
  <c r="B1605" i="6"/>
  <c r="V1589" i="6"/>
  <c r="U1589" i="6"/>
  <c r="T1589" i="6"/>
  <c r="I1635" i="6"/>
  <c r="AA1589" i="6"/>
  <c r="S1589" i="6"/>
  <c r="Z1589" i="6"/>
  <c r="R1589" i="6"/>
  <c r="Y1589" i="6"/>
  <c r="Q1589" i="6"/>
  <c r="X1589" i="6"/>
  <c r="P1589" i="6"/>
  <c r="W1589" i="6"/>
  <c r="B1655" i="6"/>
  <c r="AB1550" i="6"/>
  <c r="B1592" i="6"/>
  <c r="AB1577" i="6"/>
  <c r="Y1622" i="6"/>
  <c r="Q1622" i="6"/>
  <c r="X1622" i="6"/>
  <c r="P1622" i="6"/>
  <c r="W1622" i="6"/>
  <c r="V1622" i="6"/>
  <c r="U1622" i="6"/>
  <c r="T1622" i="6"/>
  <c r="AA1622" i="6"/>
  <c r="S1622" i="6"/>
  <c r="Z1622" i="6"/>
  <c r="R1622" i="6"/>
  <c r="B1726" i="6"/>
  <c r="AN1714" i="6"/>
  <c r="V1714" i="6"/>
  <c r="AM1714" i="6"/>
  <c r="U1714" i="6"/>
  <c r="I1760" i="6"/>
  <c r="AK1714" i="6"/>
  <c r="AA1714" i="6"/>
  <c r="S1714" i="6"/>
  <c r="AQ1714" i="6"/>
  <c r="AO1714" i="6"/>
  <c r="Y1714" i="6"/>
  <c r="AL1714" i="6"/>
  <c r="X1714" i="6"/>
  <c r="W1714" i="6"/>
  <c r="AI1714" i="6"/>
  <c r="T1714" i="6"/>
  <c r="AH1714" i="6"/>
  <c r="R1714" i="6"/>
  <c r="AG1714" i="6"/>
  <c r="Q1714" i="6"/>
  <c r="P1714" i="6"/>
  <c r="AP1714" i="6"/>
  <c r="Z1714" i="6"/>
  <c r="AB1555" i="6"/>
  <c r="J1637" i="6"/>
  <c r="D1637" i="6" s="1"/>
  <c r="D1591" i="6"/>
  <c r="J1625" i="6"/>
  <c r="D1625" i="6" s="1"/>
  <c r="D1579" i="6"/>
  <c r="I1649" i="6"/>
  <c r="V1603" i="6"/>
  <c r="U1603" i="6"/>
  <c r="T1603" i="6"/>
  <c r="AA1603" i="6"/>
  <c r="S1603" i="6"/>
  <c r="Z1603" i="6"/>
  <c r="R1603" i="6"/>
  <c r="Y1603" i="6"/>
  <c r="Q1603" i="6"/>
  <c r="X1603" i="6"/>
  <c r="P1603" i="6"/>
  <c r="W1603" i="6"/>
  <c r="V1599" i="6"/>
  <c r="I1645" i="6"/>
  <c r="U1599" i="6"/>
  <c r="T1599" i="6"/>
  <c r="AA1599" i="6"/>
  <c r="S1599" i="6"/>
  <c r="Z1599" i="6"/>
  <c r="R1599" i="6"/>
  <c r="Y1599" i="6"/>
  <c r="Q1599" i="6"/>
  <c r="X1599" i="6"/>
  <c r="P1599" i="6"/>
  <c r="W1599" i="6"/>
  <c r="AB1510" i="6"/>
  <c r="D1596" i="6"/>
  <c r="J1642" i="6"/>
  <c r="D1642" i="6" s="1"/>
  <c r="AB1502" i="6"/>
  <c r="AR1481" i="6"/>
  <c r="AN1488" i="6"/>
  <c r="AF1488" i="6"/>
  <c r="AR1488" i="6" s="1"/>
  <c r="AM1488" i="6"/>
  <c r="AL1488" i="6"/>
  <c r="AK1488" i="6"/>
  <c r="AJ1488" i="6"/>
  <c r="AI1488" i="6"/>
  <c r="AH1488" i="6"/>
  <c r="AG1488" i="6"/>
  <c r="AQ1488" i="6"/>
  <c r="AP1488" i="6"/>
  <c r="AO1488" i="6"/>
  <c r="Q1433" i="6"/>
  <c r="Q1718" i="6" s="1"/>
  <c r="AG1430" i="6"/>
  <c r="AG1669" i="6" s="1"/>
  <c r="AB1525" i="6"/>
  <c r="V1571" i="6"/>
  <c r="U1571" i="6"/>
  <c r="T1571" i="6"/>
  <c r="AA1571" i="6"/>
  <c r="S1571" i="6"/>
  <c r="Z1571" i="6"/>
  <c r="R1571" i="6"/>
  <c r="Y1571" i="6"/>
  <c r="Q1571" i="6"/>
  <c r="I1617" i="6"/>
  <c r="X1571" i="6"/>
  <c r="P1571" i="6"/>
  <c r="W1571" i="6"/>
  <c r="AR1513" i="6"/>
  <c r="F1648" i="6"/>
  <c r="B1648" i="6" s="1"/>
  <c r="B1602" i="6"/>
  <c r="V1575" i="6"/>
  <c r="U1575" i="6"/>
  <c r="T1575" i="6"/>
  <c r="AA1575" i="6"/>
  <c r="S1575" i="6"/>
  <c r="Z1575" i="6"/>
  <c r="R1575" i="6"/>
  <c r="Y1575" i="6"/>
  <c r="Q1575" i="6"/>
  <c r="I1621" i="6"/>
  <c r="X1575" i="6"/>
  <c r="P1575" i="6"/>
  <c r="W1575" i="6"/>
  <c r="AR1517" i="6"/>
  <c r="AQ1512" i="6"/>
  <c r="AI1512" i="6"/>
  <c r="AN1512" i="6"/>
  <c r="AF1512" i="6"/>
  <c r="AM1512" i="6"/>
  <c r="AL1512" i="6"/>
  <c r="AG1512" i="6"/>
  <c r="AP1512" i="6"/>
  <c r="AO1512" i="6"/>
  <c r="AK1512" i="6"/>
  <c r="AJ1512" i="6"/>
  <c r="AH1512" i="6"/>
  <c r="AP1489" i="6"/>
  <c r="AH1489" i="6"/>
  <c r="AO1489" i="6"/>
  <c r="AG1489" i="6"/>
  <c r="AN1489" i="6"/>
  <c r="AF1489" i="6"/>
  <c r="AI1489" i="6"/>
  <c r="AQ1489" i="6"/>
  <c r="AM1489" i="6"/>
  <c r="AL1489" i="6"/>
  <c r="AK1489" i="6"/>
  <c r="AJ1489" i="6"/>
  <c r="AR1478" i="6"/>
  <c r="AH1461" i="6"/>
  <c r="AX1461" i="6"/>
  <c r="AH1445" i="6"/>
  <c r="AH1684" i="6" s="1"/>
  <c r="AX1445" i="6"/>
  <c r="AH1451" i="6"/>
  <c r="AH1782" i="6" s="1"/>
  <c r="AX1451" i="6"/>
  <c r="AH1435" i="6"/>
  <c r="AH1674" i="6" s="1"/>
  <c r="AX1435" i="6"/>
  <c r="W1378" i="6"/>
  <c r="AB1485" i="6"/>
  <c r="AL1468" i="6"/>
  <c r="AL1707" i="6" s="1"/>
  <c r="BB1468" i="6"/>
  <c r="AB1564" i="6"/>
  <c r="AB1540" i="6"/>
  <c r="AB1556" i="6"/>
  <c r="AB1533" i="6"/>
  <c r="J1190" i="6"/>
  <c r="AT1144" i="6"/>
  <c r="J1183" i="6"/>
  <c r="AT1137" i="6"/>
  <c r="AB1105" i="6"/>
  <c r="I1195" i="6"/>
  <c r="Y1149" i="6"/>
  <c r="Q1149" i="6"/>
  <c r="X1149" i="6"/>
  <c r="P1149" i="6"/>
  <c r="AF1149" i="6"/>
  <c r="V1149" i="6"/>
  <c r="U1149" i="6"/>
  <c r="AA1149" i="6"/>
  <c r="S1149" i="6"/>
  <c r="Z1149" i="6"/>
  <c r="W1149" i="6"/>
  <c r="T1149" i="6"/>
  <c r="R1149" i="6"/>
  <c r="AG1149" i="6"/>
  <c r="AB1091" i="6"/>
  <c r="I1179" i="6"/>
  <c r="AA1133" i="6"/>
  <c r="S1133" i="6"/>
  <c r="AF1133" i="6"/>
  <c r="U1133" i="6"/>
  <c r="T1133" i="6"/>
  <c r="R1133" i="6"/>
  <c r="Z1133" i="6"/>
  <c r="Q1133" i="6"/>
  <c r="Y1133" i="6"/>
  <c r="P1133" i="6"/>
  <c r="X1133" i="6"/>
  <c r="AH1133" i="6"/>
  <c r="AG1133" i="6"/>
  <c r="W1133" i="6"/>
  <c r="V1133" i="6"/>
  <c r="AB1085" i="6"/>
  <c r="I1169" i="6"/>
  <c r="AK1123" i="6"/>
  <c r="AA1123" i="6"/>
  <c r="S1123" i="6"/>
  <c r="AJ1123" i="6"/>
  <c r="Z1123" i="6"/>
  <c r="R1123" i="6"/>
  <c r="AQ1123" i="6"/>
  <c r="AI1123" i="6"/>
  <c r="Y1123" i="6"/>
  <c r="Q1123" i="6"/>
  <c r="AP1123" i="6"/>
  <c r="AH1123" i="6"/>
  <c r="X1123" i="6"/>
  <c r="P1123" i="6"/>
  <c r="AB1123" i="6" s="1"/>
  <c r="AO1123" i="6"/>
  <c r="AG1123" i="6"/>
  <c r="W1123" i="6"/>
  <c r="AN1123" i="6"/>
  <c r="AF1123" i="6"/>
  <c r="V1123" i="6"/>
  <c r="T1123" i="6"/>
  <c r="AM1123" i="6"/>
  <c r="AL1123" i="6"/>
  <c r="U1123" i="6"/>
  <c r="AB1077" i="6"/>
  <c r="AE1197" i="6"/>
  <c r="AE1151" i="6"/>
  <c r="AE1243" i="6" s="1"/>
  <c r="AE1289" i="6" s="1"/>
  <c r="AE1335" i="6" s="1"/>
  <c r="AE1193" i="6"/>
  <c r="AE1147" i="6"/>
  <c r="AE1239" i="6" s="1"/>
  <c r="AE1285" i="6" s="1"/>
  <c r="AE1331" i="6" s="1"/>
  <c r="AE1188" i="6"/>
  <c r="AE1142" i="6"/>
  <c r="AE1234" i="6" s="1"/>
  <c r="AE1280" i="6" s="1"/>
  <c r="AE1326" i="6" s="1"/>
  <c r="J1226" i="6"/>
  <c r="AT1180" i="6"/>
  <c r="B1080" i="6"/>
  <c r="I1161" i="6"/>
  <c r="AA1115" i="6"/>
  <c r="S1115" i="6"/>
  <c r="Z1115" i="6"/>
  <c r="R1115" i="6"/>
  <c r="Y1115" i="6"/>
  <c r="Q1115" i="6"/>
  <c r="X1115" i="6"/>
  <c r="P1115" i="6"/>
  <c r="AG1115" i="6"/>
  <c r="W1115" i="6"/>
  <c r="AF1115" i="6"/>
  <c r="V1115" i="6"/>
  <c r="T1115" i="6"/>
  <c r="U1115" i="6"/>
  <c r="AE1178" i="6"/>
  <c r="AE1132" i="6"/>
  <c r="AE1224" i="6" s="1"/>
  <c r="AE1270" i="6" s="1"/>
  <c r="AE1316" i="6" s="1"/>
  <c r="AE1174" i="6"/>
  <c r="AE1128" i="6"/>
  <c r="AE1220" i="6" s="1"/>
  <c r="AE1266" i="6" s="1"/>
  <c r="AE1312" i="6" s="1"/>
  <c r="AB1143" i="6"/>
  <c r="AE1160" i="6"/>
  <c r="AE1114" i="6"/>
  <c r="AE1206" i="6" s="1"/>
  <c r="AE1252" i="6" s="1"/>
  <c r="AE1298" i="6" s="1"/>
  <c r="F1177" i="6"/>
  <c r="B1131" i="6"/>
  <c r="I1162" i="6"/>
  <c r="AA1116" i="6"/>
  <c r="S1116" i="6"/>
  <c r="Z1116" i="6"/>
  <c r="R1116" i="6"/>
  <c r="Y1116" i="6"/>
  <c r="Q1116" i="6"/>
  <c r="X1116" i="6"/>
  <c r="P1116" i="6"/>
  <c r="AG1116" i="6"/>
  <c r="W1116" i="6"/>
  <c r="AF1116" i="6"/>
  <c r="V1116" i="6"/>
  <c r="U1116" i="6"/>
  <c r="T1116" i="6"/>
  <c r="J1133" i="6"/>
  <c r="AT1087" i="6"/>
  <c r="AT1083" i="6"/>
  <c r="J1129" i="6"/>
  <c r="J1124" i="6"/>
  <c r="AT1078" i="6"/>
  <c r="AT1115" i="6"/>
  <c r="J1161" i="6"/>
  <c r="F1179" i="6"/>
  <c r="AE1171" i="6"/>
  <c r="AE1125" i="6"/>
  <c r="AE1217" i="6" s="1"/>
  <c r="AE1263" i="6" s="1"/>
  <c r="AE1309" i="6" s="1"/>
  <c r="F1168" i="6"/>
  <c r="B1122" i="6"/>
  <c r="F1167" i="6"/>
  <c r="B1121" i="6"/>
  <c r="Z758" i="6"/>
  <c r="R758" i="6"/>
  <c r="Y758" i="6"/>
  <c r="Q758" i="6"/>
  <c r="I804" i="6"/>
  <c r="X758" i="6"/>
  <c r="P758" i="6"/>
  <c r="W758" i="6"/>
  <c r="V758" i="6"/>
  <c r="U758" i="6"/>
  <c r="AA758" i="6"/>
  <c r="S758" i="6"/>
  <c r="T758" i="6"/>
  <c r="AB732" i="6"/>
  <c r="AB712" i="6"/>
  <c r="AB704" i="6"/>
  <c r="T765" i="6"/>
  <c r="AA765" i="6"/>
  <c r="S765" i="6"/>
  <c r="Z765" i="6"/>
  <c r="R765" i="6"/>
  <c r="Y765" i="6"/>
  <c r="Q765" i="6"/>
  <c r="I811" i="6"/>
  <c r="X765" i="6"/>
  <c r="P765" i="6"/>
  <c r="W765" i="6"/>
  <c r="U765" i="6"/>
  <c r="V765" i="6"/>
  <c r="V768" i="6"/>
  <c r="U768" i="6"/>
  <c r="T768" i="6"/>
  <c r="AA768" i="6"/>
  <c r="S768" i="6"/>
  <c r="Z768" i="6"/>
  <c r="R768" i="6"/>
  <c r="Y768" i="6"/>
  <c r="Q768" i="6"/>
  <c r="W768" i="6"/>
  <c r="I814" i="6"/>
  <c r="X768" i="6"/>
  <c r="P768" i="6"/>
  <c r="J871" i="6"/>
  <c r="D825" i="6"/>
  <c r="AR680" i="6"/>
  <c r="AR646" i="6"/>
  <c r="V519" i="6"/>
  <c r="AB1026" i="6"/>
  <c r="AR1031" i="6"/>
  <c r="AB1036" i="6"/>
  <c r="AB1040" i="6"/>
  <c r="AB1044" i="6"/>
  <c r="AB1048" i="6"/>
  <c r="AB1052" i="6"/>
  <c r="AB1056" i="6"/>
  <c r="AB1060" i="6"/>
  <c r="J867" i="6"/>
  <c r="D821" i="6"/>
  <c r="AB668" i="6"/>
  <c r="L1050" i="6"/>
  <c r="L1096" i="6" s="1"/>
  <c r="L1142" i="6" s="1"/>
  <c r="L1188" i="6" s="1"/>
  <c r="L1234" i="6" s="1"/>
  <c r="L1280" i="6" s="1"/>
  <c r="L1326" i="6" s="1"/>
  <c r="AT627" i="6"/>
  <c r="L1030" i="6"/>
  <c r="L1076" i="6" s="1"/>
  <c r="L1122" i="6" s="1"/>
  <c r="L1168" i="6" s="1"/>
  <c r="L1214" i="6" s="1"/>
  <c r="L1260" i="6" s="1"/>
  <c r="L1306" i="6" s="1"/>
  <c r="AT611" i="6"/>
  <c r="Q546" i="6"/>
  <c r="Q542" i="6"/>
  <c r="Q544" i="6"/>
  <c r="Q540" i="6"/>
  <c r="Q545" i="6"/>
  <c r="Q543" i="6"/>
  <c r="Q541" i="6"/>
  <c r="Q539" i="6"/>
  <c r="Q547" i="6" s="1"/>
  <c r="F896" i="6"/>
  <c r="B850" i="6"/>
  <c r="T745" i="6"/>
  <c r="AA745" i="6"/>
  <c r="S745" i="6"/>
  <c r="Z745" i="6"/>
  <c r="R745" i="6"/>
  <c r="Y745" i="6"/>
  <c r="Q745" i="6"/>
  <c r="I791" i="6"/>
  <c r="X745" i="6"/>
  <c r="P745" i="6"/>
  <c r="W745" i="6"/>
  <c r="U745" i="6"/>
  <c r="V745" i="6"/>
  <c r="D767" i="6"/>
  <c r="J813" i="6"/>
  <c r="I805" i="6"/>
  <c r="X759" i="6"/>
  <c r="P759" i="6"/>
  <c r="AB759" i="6" s="1"/>
  <c r="W759" i="6"/>
  <c r="V759" i="6"/>
  <c r="U759" i="6"/>
  <c r="T759" i="6"/>
  <c r="AA759" i="6"/>
  <c r="S759" i="6"/>
  <c r="Y759" i="6"/>
  <c r="Q759" i="6"/>
  <c r="Z759" i="6"/>
  <c r="R759" i="6"/>
  <c r="F843" i="6"/>
  <c r="B797" i="6"/>
  <c r="D790" i="6"/>
  <c r="J836" i="6"/>
  <c r="J872" i="6"/>
  <c r="D826" i="6"/>
  <c r="B816" i="6"/>
  <c r="V744" i="6"/>
  <c r="U744" i="6"/>
  <c r="T744" i="6"/>
  <c r="AA744" i="6"/>
  <c r="S744" i="6"/>
  <c r="Z744" i="6"/>
  <c r="R744" i="6"/>
  <c r="Y744" i="6"/>
  <c r="Q744" i="6"/>
  <c r="W744" i="6"/>
  <c r="I790" i="6"/>
  <c r="X744" i="6"/>
  <c r="P744" i="6"/>
  <c r="R532" i="6"/>
  <c r="B782" i="6"/>
  <c r="F828" i="6"/>
  <c r="Y532" i="6"/>
  <c r="AF1667" i="6"/>
  <c r="B771" i="6"/>
  <c r="B763" i="6"/>
  <c r="B790" i="6"/>
  <c r="F836" i="6"/>
  <c r="AR667" i="6"/>
  <c r="AB665" i="6"/>
  <c r="AG621" i="6"/>
  <c r="AG1136" i="6" s="1"/>
  <c r="AW621" i="6"/>
  <c r="AG605" i="6"/>
  <c r="AW605" i="6"/>
  <c r="J848" i="6"/>
  <c r="D802" i="6"/>
  <c r="AB523" i="6"/>
  <c r="AB533" i="6"/>
  <c r="AB671" i="6"/>
  <c r="U415" i="6"/>
  <c r="T415" i="6"/>
  <c r="X415" i="6"/>
  <c r="P415" i="6"/>
  <c r="AF415" i="6"/>
  <c r="V415" i="6"/>
  <c r="AA415" i="6"/>
  <c r="Z415" i="6"/>
  <c r="I461" i="6"/>
  <c r="Y415" i="6"/>
  <c r="W415" i="6"/>
  <c r="Q415" i="6"/>
  <c r="S415" i="6"/>
  <c r="R415" i="6"/>
  <c r="AH628" i="6"/>
  <c r="AX628" i="6"/>
  <c r="AG349" i="6"/>
  <c r="J448" i="6"/>
  <c r="AT448" i="6" s="1"/>
  <c r="AT402" i="6"/>
  <c r="AG420" i="6"/>
  <c r="W420" i="6"/>
  <c r="AF420" i="6"/>
  <c r="V420" i="6"/>
  <c r="I466" i="6"/>
  <c r="Z420" i="6"/>
  <c r="R420" i="6"/>
  <c r="AH420" i="6"/>
  <c r="X420" i="6"/>
  <c r="P420" i="6"/>
  <c r="Y420" i="6"/>
  <c r="U420" i="6"/>
  <c r="T420" i="6"/>
  <c r="S420" i="6"/>
  <c r="AI420" i="6"/>
  <c r="Q420" i="6"/>
  <c r="AA420" i="6"/>
  <c r="Z379" i="6"/>
  <c r="Y379" i="6"/>
  <c r="Q379" i="6"/>
  <c r="I425" i="6"/>
  <c r="X379" i="6"/>
  <c r="P379" i="6"/>
  <c r="W379" i="6"/>
  <c r="AF379" i="6"/>
  <c r="V379" i="6"/>
  <c r="AA379" i="6"/>
  <c r="S379" i="6"/>
  <c r="U379" i="6"/>
  <c r="T379" i="6"/>
  <c r="I444" i="6"/>
  <c r="X398" i="6"/>
  <c r="P398" i="6"/>
  <c r="AG398" i="6"/>
  <c r="W398" i="6"/>
  <c r="AF398" i="6"/>
  <c r="V398" i="6"/>
  <c r="U398" i="6"/>
  <c r="T398" i="6"/>
  <c r="Y398" i="6"/>
  <c r="Q398" i="6"/>
  <c r="AA398" i="6"/>
  <c r="Z398" i="6"/>
  <c r="R398" i="6"/>
  <c r="S398" i="6"/>
  <c r="J455" i="6"/>
  <c r="AT455" i="6" s="1"/>
  <c r="AT409" i="6"/>
  <c r="I430" i="6"/>
  <c r="T384" i="6"/>
  <c r="AA384" i="6"/>
  <c r="S384" i="6"/>
  <c r="Z384" i="6"/>
  <c r="R384" i="6"/>
  <c r="Y384" i="6"/>
  <c r="Q384" i="6"/>
  <c r="X384" i="6"/>
  <c r="P384" i="6"/>
  <c r="U384" i="6"/>
  <c r="AG384" i="6"/>
  <c r="AF384" i="6"/>
  <c r="W384" i="6"/>
  <c r="V384" i="6"/>
  <c r="AB177" i="6"/>
  <c r="AB161" i="6"/>
  <c r="AB360" i="6"/>
  <c r="AB352" i="6"/>
  <c r="F437" i="6"/>
  <c r="N42" i="10" s="1"/>
  <c r="N43" i="10" s="1"/>
  <c r="B391" i="6"/>
  <c r="P519" i="6"/>
  <c r="AB680" i="6"/>
  <c r="Y435" i="6"/>
  <c r="O15" i="10" s="1"/>
  <c r="O16" i="10" s="1"/>
  <c r="Q435" i="6"/>
  <c r="G15" i="10" s="1"/>
  <c r="G16" i="10" s="1"/>
  <c r="X435" i="6"/>
  <c r="N15" i="10" s="1"/>
  <c r="N16" i="10" s="1"/>
  <c r="P435" i="6"/>
  <c r="F15" i="10" s="1"/>
  <c r="F16" i="10" s="1"/>
  <c r="T435" i="6"/>
  <c r="J15" i="10" s="1"/>
  <c r="J16" i="10" s="1"/>
  <c r="Z435" i="6"/>
  <c r="P15" i="10" s="1"/>
  <c r="P16" i="10" s="1"/>
  <c r="R435" i="6"/>
  <c r="H15" i="10" s="1"/>
  <c r="H16" i="10" s="1"/>
  <c r="V435" i="6"/>
  <c r="L15" i="10" s="1"/>
  <c r="L16" i="10" s="1"/>
  <c r="U435" i="6"/>
  <c r="K15" i="10" s="1"/>
  <c r="K16" i="10" s="1"/>
  <c r="S435" i="6"/>
  <c r="I15" i="10" s="1"/>
  <c r="I16" i="10" s="1"/>
  <c r="AG435" i="6"/>
  <c r="AF435" i="6"/>
  <c r="W435" i="6"/>
  <c r="AA435" i="6"/>
  <c r="Q15" i="10" s="1"/>
  <c r="Q16" i="10" s="1"/>
  <c r="AB411" i="6"/>
  <c r="AG458" i="6"/>
  <c r="W458" i="6"/>
  <c r="AF458" i="6"/>
  <c r="V458" i="6"/>
  <c r="T458" i="6"/>
  <c r="AA458" i="6"/>
  <c r="S458" i="6"/>
  <c r="Z458" i="6"/>
  <c r="R458" i="6"/>
  <c r="AH458" i="6"/>
  <c r="X458" i="6"/>
  <c r="P458" i="6"/>
  <c r="U458" i="6"/>
  <c r="Q458" i="6"/>
  <c r="Y458" i="6"/>
  <c r="J451" i="6"/>
  <c r="AT451" i="6" s="1"/>
  <c r="AT405" i="6"/>
  <c r="B432" i="6"/>
  <c r="F849" i="6"/>
  <c r="B803" i="6"/>
  <c r="V752" i="6"/>
  <c r="U752" i="6"/>
  <c r="T752" i="6"/>
  <c r="AA752" i="6"/>
  <c r="S752" i="6"/>
  <c r="Z752" i="6"/>
  <c r="R752" i="6"/>
  <c r="Y752" i="6"/>
  <c r="Q752" i="6"/>
  <c r="W752" i="6"/>
  <c r="X752" i="6"/>
  <c r="P752" i="6"/>
  <c r="I798" i="6"/>
  <c r="AT380" i="6"/>
  <c r="J426" i="6"/>
  <c r="AB270" i="6"/>
  <c r="U453" i="6"/>
  <c r="T453" i="6"/>
  <c r="Z453" i="6"/>
  <c r="R453" i="6"/>
  <c r="AH453" i="6"/>
  <c r="X453" i="6"/>
  <c r="P453" i="6"/>
  <c r="AF453" i="6"/>
  <c r="V453" i="6"/>
  <c r="AG453" i="6"/>
  <c r="AA453" i="6"/>
  <c r="Y453" i="6"/>
  <c r="W453" i="6"/>
  <c r="S453" i="6"/>
  <c r="Q453" i="6"/>
  <c r="J443" i="6"/>
  <c r="AT443" i="6" s="1"/>
  <c r="AT397" i="6"/>
  <c r="Y269" i="6"/>
  <c r="Q269" i="6"/>
  <c r="S269" i="6"/>
  <c r="AA269" i="6"/>
  <c r="R269" i="6"/>
  <c r="Z269" i="6"/>
  <c r="P269" i="6"/>
  <c r="X269" i="6"/>
  <c r="I315" i="6"/>
  <c r="W269" i="6"/>
  <c r="V269" i="6"/>
  <c r="T269" i="6"/>
  <c r="U269" i="6"/>
  <c r="T302" i="6"/>
  <c r="X302" i="6"/>
  <c r="P302" i="6"/>
  <c r="S302" i="6"/>
  <c r="R302" i="6"/>
  <c r="AA302" i="6"/>
  <c r="Q302" i="6"/>
  <c r="Z302" i="6"/>
  <c r="Y302" i="6"/>
  <c r="W302" i="6"/>
  <c r="U302" i="6"/>
  <c r="V302" i="6"/>
  <c r="T307" i="6"/>
  <c r="X307" i="6"/>
  <c r="P307" i="6"/>
  <c r="AA307" i="6"/>
  <c r="Q307" i="6"/>
  <c r="Z307" i="6"/>
  <c r="Y307" i="6"/>
  <c r="W307" i="6"/>
  <c r="V307" i="6"/>
  <c r="U307" i="6"/>
  <c r="R307" i="6"/>
  <c r="S307" i="6"/>
  <c r="AB253" i="6"/>
  <c r="T291" i="6"/>
  <c r="U291" i="6"/>
  <c r="S291" i="6"/>
  <c r="AA291" i="6"/>
  <c r="R291" i="6"/>
  <c r="Z291" i="6"/>
  <c r="Q291" i="6"/>
  <c r="Y291" i="6"/>
  <c r="P291" i="6"/>
  <c r="X291" i="6"/>
  <c r="V291" i="6"/>
  <c r="W291" i="6"/>
  <c r="AB239" i="6"/>
  <c r="AB237" i="6"/>
  <c r="J289" i="6"/>
  <c r="D289" i="6" s="1"/>
  <c r="D243" i="6"/>
  <c r="F324" i="6"/>
  <c r="B324" i="6" s="1"/>
  <c r="B278" i="6"/>
  <c r="AB226" i="6"/>
  <c r="J282" i="6"/>
  <c r="D282" i="6" s="1"/>
  <c r="D236" i="6"/>
  <c r="AN160" i="6"/>
  <c r="AF160" i="6"/>
  <c r="AK160" i="6"/>
  <c r="AQ160" i="6"/>
  <c r="AI160" i="6"/>
  <c r="AO160" i="6"/>
  <c r="AG160" i="6"/>
  <c r="AP160" i="6"/>
  <c r="AM160" i="6"/>
  <c r="AL160" i="6"/>
  <c r="AJ160" i="6"/>
  <c r="AH160" i="6"/>
  <c r="AB141" i="6"/>
  <c r="AB255" i="6"/>
  <c r="AB191" i="6"/>
  <c r="J437" i="6"/>
  <c r="AT437" i="6" s="1"/>
  <c r="AT391" i="6"/>
  <c r="T380" i="6"/>
  <c r="AA380" i="6"/>
  <c r="S380" i="6"/>
  <c r="Z380" i="6"/>
  <c r="R380" i="6"/>
  <c r="Y380" i="6"/>
  <c r="Q380" i="6"/>
  <c r="X380" i="6"/>
  <c r="P380" i="6"/>
  <c r="I426" i="6"/>
  <c r="U380" i="6"/>
  <c r="AF380" i="6"/>
  <c r="V380" i="6"/>
  <c r="W380" i="6"/>
  <c r="T320" i="6"/>
  <c r="X320" i="6"/>
  <c r="P320" i="6"/>
  <c r="Y320" i="6"/>
  <c r="W320" i="6"/>
  <c r="V320" i="6"/>
  <c r="U320" i="6"/>
  <c r="S320" i="6"/>
  <c r="R320" i="6"/>
  <c r="Z320" i="6"/>
  <c r="AA320" i="6"/>
  <c r="Q320" i="6"/>
  <c r="AB259" i="6"/>
  <c r="J307" i="6"/>
  <c r="D307" i="6" s="1"/>
  <c r="D261" i="6"/>
  <c r="F296" i="6"/>
  <c r="B296" i="6" s="1"/>
  <c r="B250" i="6"/>
  <c r="J283" i="6"/>
  <c r="D283" i="6" s="1"/>
  <c r="D237" i="6"/>
  <c r="AR153" i="6"/>
  <c r="R42" i="6"/>
  <c r="R39" i="6"/>
  <c r="R43" i="6" s="1"/>
  <c r="R96" i="6"/>
  <c r="R40" i="6"/>
  <c r="R94" i="6"/>
  <c r="R97" i="6"/>
  <c r="R382" i="6" s="1"/>
  <c r="R41" i="6"/>
  <c r="AB199" i="6"/>
  <c r="F429" i="6"/>
  <c r="B383" i="6"/>
  <c r="AB220" i="6"/>
  <c r="AH112" i="6"/>
  <c r="AX112" i="6"/>
  <c r="AH104" i="6"/>
  <c r="AX104" i="6"/>
  <c r="AB347" i="6"/>
  <c r="AB338" i="6"/>
  <c r="AB351" i="6"/>
  <c r="AB361" i="6"/>
  <c r="AB369" i="6"/>
  <c r="AH610" i="6"/>
  <c r="AX610" i="6"/>
  <c r="T295" i="6"/>
  <c r="X295" i="6"/>
  <c r="P295" i="6"/>
  <c r="AA295" i="6"/>
  <c r="Q295" i="6"/>
  <c r="Z295" i="6"/>
  <c r="Y295" i="6"/>
  <c r="W295" i="6"/>
  <c r="V295" i="6"/>
  <c r="U295" i="6"/>
  <c r="R295" i="6"/>
  <c r="S295" i="6"/>
  <c r="J285" i="6"/>
  <c r="D285" i="6" s="1"/>
  <c r="D239" i="6"/>
  <c r="AR164" i="6"/>
  <c r="AB214" i="6"/>
  <c r="AB160" i="6"/>
  <c r="W97" i="6"/>
  <c r="W382" i="6" s="1"/>
  <c r="AB238" i="6"/>
  <c r="F317" i="6"/>
  <c r="B317" i="6" s="1"/>
  <c r="B271" i="6"/>
  <c r="AB208" i="6"/>
  <c r="AW137" i="6"/>
  <c r="AG137" i="6"/>
  <c r="AF366" i="6"/>
  <c r="AR165" i="6"/>
  <c r="AH111" i="6"/>
  <c r="AH350" i="6" s="1"/>
  <c r="AX111" i="6"/>
  <c r="AX113" i="6"/>
  <c r="AH113" i="6"/>
  <c r="AH352" i="6" s="1"/>
  <c r="AJ136" i="6"/>
  <c r="AZ136" i="6"/>
  <c r="AQ1944" i="6"/>
  <c r="AI1944" i="6"/>
  <c r="AP1944" i="6"/>
  <c r="AH1944" i="6"/>
  <c r="AO1944" i="6"/>
  <c r="AG1944" i="6"/>
  <c r="AN1944" i="6"/>
  <c r="AF1944" i="6"/>
  <c r="AM1944" i="6"/>
  <c r="AL1944" i="6"/>
  <c r="AK1944" i="6"/>
  <c r="AJ1944" i="6"/>
  <c r="X2086" i="6"/>
  <c r="AB1893" i="6"/>
  <c r="Y2085" i="6"/>
  <c r="AP1715" i="6"/>
  <c r="AH1715" i="6"/>
  <c r="X1715" i="6"/>
  <c r="P1715" i="6"/>
  <c r="W1715" i="6"/>
  <c r="AM1715" i="6"/>
  <c r="U1715" i="6"/>
  <c r="I1761" i="6"/>
  <c r="AA1715" i="6"/>
  <c r="S1715" i="6"/>
  <c r="AI1715" i="6"/>
  <c r="Q1715" i="6"/>
  <c r="AF1715" i="6"/>
  <c r="Z1715" i="6"/>
  <c r="AQ1715" i="6"/>
  <c r="Y1715" i="6"/>
  <c r="V1715" i="6"/>
  <c r="AL1715" i="6"/>
  <c r="T1715" i="6"/>
  <c r="AJ1715" i="6"/>
  <c r="R1715" i="6"/>
  <c r="B1780" i="6"/>
  <c r="V1586" i="6"/>
  <c r="U1586" i="6"/>
  <c r="I1632" i="6"/>
  <c r="T1586" i="6"/>
  <c r="AA1586" i="6"/>
  <c r="S1586" i="6"/>
  <c r="Z1586" i="6"/>
  <c r="R1586" i="6"/>
  <c r="Y1586" i="6"/>
  <c r="Q1586" i="6"/>
  <c r="X1586" i="6"/>
  <c r="P1586" i="6"/>
  <c r="W1586" i="6"/>
  <c r="AG1450" i="6"/>
  <c r="AW1450" i="6"/>
  <c r="W2058" i="6"/>
  <c r="S2058" i="6"/>
  <c r="Z2058" i="6"/>
  <c r="Q2058" i="6"/>
  <c r="Y2058" i="6"/>
  <c r="P2058" i="6"/>
  <c r="AB2058" i="6" s="1"/>
  <c r="V2058" i="6"/>
  <c r="X2058" i="6"/>
  <c r="U2058" i="6"/>
  <c r="T2058" i="6"/>
  <c r="R2058" i="6"/>
  <c r="AA2058" i="6"/>
  <c r="AB2024" i="6"/>
  <c r="AH1887" i="6"/>
  <c r="AX1887" i="6"/>
  <c r="AB1681" i="6"/>
  <c r="V1591" i="6"/>
  <c r="I1637" i="6"/>
  <c r="U1591" i="6"/>
  <c r="T1591" i="6"/>
  <c r="AA1591" i="6"/>
  <c r="S1591" i="6"/>
  <c r="Z1591" i="6"/>
  <c r="R1591" i="6"/>
  <c r="Y1591" i="6"/>
  <c r="Q1591" i="6"/>
  <c r="X1591" i="6"/>
  <c r="P1591" i="6"/>
  <c r="W1591" i="6"/>
  <c r="AN1492" i="6"/>
  <c r="AF1492" i="6"/>
  <c r="AM1492" i="6"/>
  <c r="AL1492" i="6"/>
  <c r="AH1492" i="6"/>
  <c r="AG1492" i="6"/>
  <c r="AQ1492" i="6"/>
  <c r="AP1492" i="6"/>
  <c r="AO1492" i="6"/>
  <c r="AK1492" i="6"/>
  <c r="AJ1492" i="6"/>
  <c r="AI1492" i="6"/>
  <c r="V776" i="6"/>
  <c r="U776" i="6"/>
  <c r="T776" i="6"/>
  <c r="AA776" i="6"/>
  <c r="S776" i="6"/>
  <c r="I822" i="6"/>
  <c r="Z776" i="6"/>
  <c r="R776" i="6"/>
  <c r="Y776" i="6"/>
  <c r="Q776" i="6"/>
  <c r="W776" i="6"/>
  <c r="X776" i="6"/>
  <c r="P776" i="6"/>
  <c r="AB2169" i="6"/>
  <c r="AI2150" i="6"/>
  <c r="Y2150" i="6"/>
  <c r="Q2150" i="6"/>
  <c r="AG2150" i="6"/>
  <c r="V2150" i="6"/>
  <c r="AF2150" i="6"/>
  <c r="U2150" i="6"/>
  <c r="T2150" i="6"/>
  <c r="AK2150" i="6"/>
  <c r="Z2150" i="6"/>
  <c r="P2150" i="6"/>
  <c r="AB2150" i="6" s="1"/>
  <c r="AJ2150" i="6"/>
  <c r="AH2150" i="6"/>
  <c r="AA2150" i="6"/>
  <c r="W2150" i="6"/>
  <c r="AM2150" i="6"/>
  <c r="S2150" i="6"/>
  <c r="AL2150" i="6"/>
  <c r="X2150" i="6"/>
  <c r="R2150" i="6"/>
  <c r="V2090" i="6"/>
  <c r="AB2117" i="6"/>
  <c r="AB2100" i="6"/>
  <c r="AB2093" i="6"/>
  <c r="AH2126" i="6"/>
  <c r="X2126" i="6"/>
  <c r="P2126" i="6"/>
  <c r="AG2126" i="6"/>
  <c r="W2126" i="6"/>
  <c r="AF2126" i="6"/>
  <c r="V2126" i="6"/>
  <c r="U2126" i="6"/>
  <c r="AA2126" i="6"/>
  <c r="S2126" i="6"/>
  <c r="Z2126" i="6"/>
  <c r="R2126" i="6"/>
  <c r="T2126" i="6"/>
  <c r="Q2126" i="6"/>
  <c r="Y2126" i="6"/>
  <c r="AB2021" i="6"/>
  <c r="W2072" i="6"/>
  <c r="AA2072" i="6"/>
  <c r="S2072" i="6"/>
  <c r="Z2072" i="6"/>
  <c r="R2072" i="6"/>
  <c r="Q2072" i="6"/>
  <c r="P2072" i="6"/>
  <c r="AB2072" i="6" s="1"/>
  <c r="Y2072" i="6"/>
  <c r="V2072" i="6"/>
  <c r="X2072" i="6"/>
  <c r="U2072" i="6"/>
  <c r="T2072" i="6"/>
  <c r="AB1988" i="6"/>
  <c r="T2047" i="6"/>
  <c r="Z2047" i="6"/>
  <c r="R2047" i="6"/>
  <c r="Y2047" i="6"/>
  <c r="Q2047" i="6"/>
  <c r="W2047" i="6"/>
  <c r="X2047" i="6"/>
  <c r="V2047" i="6"/>
  <c r="U2047" i="6"/>
  <c r="S2047" i="6"/>
  <c r="P2047" i="6"/>
  <c r="AA2047" i="6"/>
  <c r="AB2005" i="6"/>
  <c r="AB1995" i="6"/>
  <c r="AB2003" i="6"/>
  <c r="AB1984" i="6"/>
  <c r="AG1931" i="6"/>
  <c r="AW1931" i="6"/>
  <c r="AB2002" i="6"/>
  <c r="T2054" i="6"/>
  <c r="Z2054" i="6"/>
  <c r="R2054" i="6"/>
  <c r="Y2054" i="6"/>
  <c r="Q2054" i="6"/>
  <c r="W2054" i="6"/>
  <c r="P2054" i="6"/>
  <c r="AA2054" i="6"/>
  <c r="X2054" i="6"/>
  <c r="V2054" i="6"/>
  <c r="U2054" i="6"/>
  <c r="S2054" i="6"/>
  <c r="AZ1922" i="6"/>
  <c r="AJ1922" i="6"/>
  <c r="AJ2161" i="6" s="1"/>
  <c r="AW1905" i="6"/>
  <c r="AG1905" i="6"/>
  <c r="AB1999" i="6"/>
  <c r="AB2049" i="6"/>
  <c r="AG1891" i="6"/>
  <c r="AG2130" i="6" s="1"/>
  <c r="AW1891" i="6"/>
  <c r="AA1893" i="6"/>
  <c r="AA1832" i="6"/>
  <c r="AA1833" i="6"/>
  <c r="AA1834" i="6"/>
  <c r="AF2089" i="6"/>
  <c r="AB2027" i="6"/>
  <c r="AB2080" i="6"/>
  <c r="AJ1908" i="6"/>
  <c r="AJ2147" i="6" s="1"/>
  <c r="AZ1908" i="6"/>
  <c r="AH1894" i="6"/>
  <c r="AX1894" i="6"/>
  <c r="AB1821" i="6"/>
  <c r="AB1832" i="6"/>
  <c r="I1796" i="6"/>
  <c r="AG1750" i="6"/>
  <c r="W1750" i="6"/>
  <c r="AF1750" i="6"/>
  <c r="V1750" i="6"/>
  <c r="U1750" i="6"/>
  <c r="T1750" i="6"/>
  <c r="AA1750" i="6"/>
  <c r="S1750" i="6"/>
  <c r="Z1750" i="6"/>
  <c r="R1750" i="6"/>
  <c r="Y1750" i="6"/>
  <c r="Q1750" i="6"/>
  <c r="X1750" i="6"/>
  <c r="P1750" i="6"/>
  <c r="AB1705" i="6"/>
  <c r="AB1739" i="6"/>
  <c r="Y1785" i="6"/>
  <c r="Q1785" i="6"/>
  <c r="X1785" i="6"/>
  <c r="P1785" i="6"/>
  <c r="AG1785" i="6"/>
  <c r="W1785" i="6"/>
  <c r="AF1785" i="6"/>
  <c r="V1785" i="6"/>
  <c r="U1785" i="6"/>
  <c r="T1785" i="6"/>
  <c r="AA1785" i="6"/>
  <c r="S1785" i="6"/>
  <c r="Z1785" i="6"/>
  <c r="R1785" i="6"/>
  <c r="AB1738" i="6"/>
  <c r="AF1705" i="6"/>
  <c r="B1755" i="6"/>
  <c r="AB1748" i="6"/>
  <c r="AA1786" i="6"/>
  <c r="S1786" i="6"/>
  <c r="Z1786" i="6"/>
  <c r="R1786" i="6"/>
  <c r="Y1786" i="6"/>
  <c r="Q1786" i="6"/>
  <c r="AH1786" i="6"/>
  <c r="X1786" i="6"/>
  <c r="P1786" i="6"/>
  <c r="AG1786" i="6"/>
  <c r="W1786" i="6"/>
  <c r="AF1786" i="6"/>
  <c r="V1786" i="6"/>
  <c r="U1786" i="6"/>
  <c r="T1786" i="6"/>
  <c r="U1767" i="6"/>
  <c r="T1767" i="6"/>
  <c r="AA1767" i="6"/>
  <c r="S1767" i="6"/>
  <c r="Z1767" i="6"/>
  <c r="R1767" i="6"/>
  <c r="Y1767" i="6"/>
  <c r="Q1767" i="6"/>
  <c r="X1767" i="6"/>
  <c r="P1767" i="6"/>
  <c r="W1767" i="6"/>
  <c r="AF1767" i="6"/>
  <c r="V1767" i="6"/>
  <c r="J1800" i="6"/>
  <c r="AT1800" i="6" s="1"/>
  <c r="AT1754" i="6"/>
  <c r="AB1728" i="6"/>
  <c r="J1793" i="6"/>
  <c r="AT1793" i="6" s="1"/>
  <c r="AT1747" i="6"/>
  <c r="F1779" i="6"/>
  <c r="B1779" i="6" s="1"/>
  <c r="B1733" i="6"/>
  <c r="I1655" i="6"/>
  <c r="V1609" i="6"/>
  <c r="U1609" i="6"/>
  <c r="T1609" i="6"/>
  <c r="AA1609" i="6"/>
  <c r="S1609" i="6"/>
  <c r="Z1609" i="6"/>
  <c r="R1609" i="6"/>
  <c r="Y1609" i="6"/>
  <c r="Q1609" i="6"/>
  <c r="X1609" i="6"/>
  <c r="P1609" i="6"/>
  <c r="W1609" i="6"/>
  <c r="J1777" i="6"/>
  <c r="AT1777" i="6" s="1"/>
  <c r="AT1731" i="6"/>
  <c r="AB1736" i="6"/>
  <c r="I1773" i="6"/>
  <c r="X1727" i="6"/>
  <c r="P1727" i="6"/>
  <c r="AG1727" i="6"/>
  <c r="W1727" i="6"/>
  <c r="AF1727" i="6"/>
  <c r="V1727" i="6"/>
  <c r="U1727" i="6"/>
  <c r="T1727" i="6"/>
  <c r="AA1727" i="6"/>
  <c r="S1727" i="6"/>
  <c r="Y1727" i="6"/>
  <c r="R1727" i="6"/>
  <c r="Q1727" i="6"/>
  <c r="Z1727" i="6"/>
  <c r="I1626" i="6"/>
  <c r="V1580" i="6"/>
  <c r="U1580" i="6"/>
  <c r="T1580" i="6"/>
  <c r="AA1580" i="6"/>
  <c r="S1580" i="6"/>
  <c r="Z1580" i="6"/>
  <c r="R1580" i="6"/>
  <c r="Y1580" i="6"/>
  <c r="Q1580" i="6"/>
  <c r="X1580" i="6"/>
  <c r="P1580" i="6"/>
  <c r="W1580" i="6"/>
  <c r="J1765" i="6"/>
  <c r="AT1765" i="6" s="1"/>
  <c r="AT1719" i="6"/>
  <c r="B1651" i="6"/>
  <c r="J1647" i="6"/>
  <c r="D1647" i="6" s="1"/>
  <c r="D1601" i="6"/>
  <c r="J1631" i="6"/>
  <c r="D1631" i="6" s="1"/>
  <c r="D1585" i="6"/>
  <c r="V1601" i="6"/>
  <c r="U1601" i="6"/>
  <c r="T1601" i="6"/>
  <c r="AA1601" i="6"/>
  <c r="S1601" i="6"/>
  <c r="Z1601" i="6"/>
  <c r="R1601" i="6"/>
  <c r="Y1601" i="6"/>
  <c r="Q1601" i="6"/>
  <c r="X1601" i="6"/>
  <c r="P1601" i="6"/>
  <c r="W1601" i="6"/>
  <c r="I1647" i="6"/>
  <c r="AF1722" i="6"/>
  <c r="V1722" i="6"/>
  <c r="U1722" i="6"/>
  <c r="T1722" i="6"/>
  <c r="I1768" i="6"/>
  <c r="AA1722" i="6"/>
  <c r="S1722" i="6"/>
  <c r="Y1722" i="6"/>
  <c r="Q1722" i="6"/>
  <c r="AH1722" i="6"/>
  <c r="AG1722" i="6"/>
  <c r="Z1722" i="6"/>
  <c r="X1722" i="6"/>
  <c r="W1722" i="6"/>
  <c r="R1722" i="6"/>
  <c r="P1722" i="6"/>
  <c r="AB1554" i="6"/>
  <c r="B1638" i="6"/>
  <c r="J1632" i="6"/>
  <c r="D1632" i="6" s="1"/>
  <c r="D1586" i="6"/>
  <c r="AB1534" i="6"/>
  <c r="B1604" i="6"/>
  <c r="B1772" i="6"/>
  <c r="AB1558" i="6"/>
  <c r="B1601" i="6"/>
  <c r="AB1551" i="6"/>
  <c r="J1633" i="6"/>
  <c r="D1633" i="6" s="1"/>
  <c r="D1587" i="6"/>
  <c r="J1629" i="6"/>
  <c r="D1629" i="6" s="1"/>
  <c r="D1583" i="6"/>
  <c r="B1606" i="6"/>
  <c r="AR1484" i="6"/>
  <c r="AR1498" i="6"/>
  <c r="AB1486" i="6"/>
  <c r="F1644" i="6"/>
  <c r="B1598" i="6"/>
  <c r="AB1490" i="6"/>
  <c r="AG1462" i="6"/>
  <c r="AG1793" i="6" s="1"/>
  <c r="AW1462" i="6"/>
  <c r="AG1454" i="6"/>
  <c r="AW1454" i="6"/>
  <c r="AG1446" i="6"/>
  <c r="AW1446" i="6"/>
  <c r="AG1438" i="6"/>
  <c r="AW1438" i="6"/>
  <c r="AB1501" i="6"/>
  <c r="AR1494" i="6"/>
  <c r="AB1528" i="6"/>
  <c r="V1574" i="6"/>
  <c r="U1574" i="6"/>
  <c r="T1574" i="6"/>
  <c r="AA1574" i="6"/>
  <c r="S1574" i="6"/>
  <c r="Z1574" i="6"/>
  <c r="R1574" i="6"/>
  <c r="Y1574" i="6"/>
  <c r="Q1574" i="6"/>
  <c r="I1620" i="6"/>
  <c r="X1574" i="6"/>
  <c r="P1574" i="6"/>
  <c r="W1574" i="6"/>
  <c r="AB1489" i="6"/>
  <c r="AN1504" i="6"/>
  <c r="AF1504" i="6"/>
  <c r="AM1504" i="6"/>
  <c r="AL1504" i="6"/>
  <c r="AG1504" i="6"/>
  <c r="AQ1504" i="6"/>
  <c r="AP1504" i="6"/>
  <c r="AO1504" i="6"/>
  <c r="AK1504" i="6"/>
  <c r="AJ1504" i="6"/>
  <c r="AI1504" i="6"/>
  <c r="AH1504" i="6"/>
  <c r="AG1709" i="6"/>
  <c r="AF1690" i="6"/>
  <c r="AF1674" i="6"/>
  <c r="AB1526" i="6"/>
  <c r="V1572" i="6"/>
  <c r="U1572" i="6"/>
  <c r="T1572" i="6"/>
  <c r="AA1572" i="6"/>
  <c r="S1572" i="6"/>
  <c r="Z1572" i="6"/>
  <c r="R1572" i="6"/>
  <c r="Y1572" i="6"/>
  <c r="Q1572" i="6"/>
  <c r="I1618" i="6"/>
  <c r="X1572" i="6"/>
  <c r="P1572" i="6"/>
  <c r="W1572" i="6"/>
  <c r="AB1480" i="6"/>
  <c r="AB1369" i="6"/>
  <c r="AB1375" i="6"/>
  <c r="U1375" i="6" s="1"/>
  <c r="AB1503" i="6"/>
  <c r="AH1465" i="6"/>
  <c r="AH1704" i="6" s="1"/>
  <c r="AX1465" i="6"/>
  <c r="U1433" i="6"/>
  <c r="AK1430" i="6"/>
  <c r="AK1669" i="6" s="1"/>
  <c r="AR1477" i="6"/>
  <c r="AJ1472" i="6"/>
  <c r="AZ1472" i="6"/>
  <c r="AB1566" i="6"/>
  <c r="AB1545" i="6"/>
  <c r="AB1674" i="6"/>
  <c r="AB1694" i="6"/>
  <c r="J1196" i="6"/>
  <c r="AT1150" i="6"/>
  <c r="AB1106" i="6"/>
  <c r="I1196" i="6"/>
  <c r="Y1150" i="6"/>
  <c r="Q1150" i="6"/>
  <c r="X1150" i="6"/>
  <c r="P1150" i="6"/>
  <c r="AF1150" i="6"/>
  <c r="V1150" i="6"/>
  <c r="U1150" i="6"/>
  <c r="AA1150" i="6"/>
  <c r="S1150" i="6"/>
  <c r="AG1150" i="6"/>
  <c r="Z1150" i="6"/>
  <c r="W1150" i="6"/>
  <c r="T1150" i="6"/>
  <c r="R1150" i="6"/>
  <c r="AB1098" i="6"/>
  <c r="I1186" i="6"/>
  <c r="X1140" i="6"/>
  <c r="P1140" i="6"/>
  <c r="AF1140" i="6"/>
  <c r="V1140" i="6"/>
  <c r="AA1140" i="6"/>
  <c r="S1140" i="6"/>
  <c r="Y1140" i="6"/>
  <c r="W1140" i="6"/>
  <c r="U1140" i="6"/>
  <c r="T1140" i="6"/>
  <c r="R1140" i="6"/>
  <c r="Q1140" i="6"/>
  <c r="Z1140" i="6"/>
  <c r="AB1092" i="6"/>
  <c r="AB1086" i="6"/>
  <c r="I1173" i="6"/>
  <c r="AA1127" i="6"/>
  <c r="S1127" i="6"/>
  <c r="Z1127" i="6"/>
  <c r="R1127" i="6"/>
  <c r="Y1127" i="6"/>
  <c r="Q1127" i="6"/>
  <c r="AH1127" i="6"/>
  <c r="X1127" i="6"/>
  <c r="P1127" i="6"/>
  <c r="AG1127" i="6"/>
  <c r="W1127" i="6"/>
  <c r="AF1127" i="6"/>
  <c r="V1127" i="6"/>
  <c r="T1127" i="6"/>
  <c r="U1127" i="6"/>
  <c r="I1168" i="6"/>
  <c r="AA1122" i="6"/>
  <c r="S1122" i="6"/>
  <c r="Z1122" i="6"/>
  <c r="R1122" i="6"/>
  <c r="Y1122" i="6"/>
  <c r="Q1122" i="6"/>
  <c r="X1122" i="6"/>
  <c r="P1122" i="6"/>
  <c r="AG1122" i="6"/>
  <c r="W1122" i="6"/>
  <c r="AF1122" i="6"/>
  <c r="V1122" i="6"/>
  <c r="U1122" i="6"/>
  <c r="T1122" i="6"/>
  <c r="AB1079" i="6"/>
  <c r="AE1192" i="6"/>
  <c r="AE1146" i="6"/>
  <c r="AE1238" i="6" s="1"/>
  <c r="AE1284" i="6" s="1"/>
  <c r="AE1330" i="6" s="1"/>
  <c r="AE1183" i="6"/>
  <c r="AE1137" i="6"/>
  <c r="AE1229" i="6" s="1"/>
  <c r="AE1275" i="6" s="1"/>
  <c r="AE1321" i="6" s="1"/>
  <c r="AT1086" i="6"/>
  <c r="J1132" i="6"/>
  <c r="B1132" i="6" s="1"/>
  <c r="J1128" i="6"/>
  <c r="AT1082" i="6"/>
  <c r="F1158" i="6"/>
  <c r="B1112" i="6"/>
  <c r="F1164" i="6"/>
  <c r="B1118" i="6"/>
  <c r="J1111" i="6"/>
  <c r="B1111" i="6" s="1"/>
  <c r="AT1065" i="6"/>
  <c r="AE1169" i="6"/>
  <c r="AE1123" i="6"/>
  <c r="AE1215" i="6" s="1"/>
  <c r="AE1261" i="6" s="1"/>
  <c r="AE1307" i="6" s="1"/>
  <c r="J1234" i="6"/>
  <c r="AT1188" i="6"/>
  <c r="I1165" i="6"/>
  <c r="AA1119" i="6"/>
  <c r="S1119" i="6"/>
  <c r="Z1119" i="6"/>
  <c r="R1119" i="6"/>
  <c r="Y1119" i="6"/>
  <c r="Q1119" i="6"/>
  <c r="X1119" i="6"/>
  <c r="P1119" i="6"/>
  <c r="AG1119" i="6"/>
  <c r="W1119" i="6"/>
  <c r="AF1119" i="6"/>
  <c r="V1119" i="6"/>
  <c r="T1119" i="6"/>
  <c r="U1119" i="6"/>
  <c r="AG1065" i="6"/>
  <c r="F1157" i="6"/>
  <c r="F1196" i="6"/>
  <c r="B1150" i="6"/>
  <c r="F1191" i="6"/>
  <c r="B1145" i="6"/>
  <c r="F1186" i="6"/>
  <c r="B1140" i="6"/>
  <c r="B1087" i="6"/>
  <c r="J1125" i="6"/>
  <c r="AT1079" i="6"/>
  <c r="B1076" i="6"/>
  <c r="Z754" i="6"/>
  <c r="R754" i="6"/>
  <c r="Y754" i="6"/>
  <c r="Q754" i="6"/>
  <c r="I800" i="6"/>
  <c r="X754" i="6"/>
  <c r="P754" i="6"/>
  <c r="W754" i="6"/>
  <c r="V754" i="6"/>
  <c r="U754" i="6"/>
  <c r="AA754" i="6"/>
  <c r="S754" i="6"/>
  <c r="T754" i="6"/>
  <c r="T761" i="6"/>
  <c r="AA761" i="6"/>
  <c r="S761" i="6"/>
  <c r="Z761" i="6"/>
  <c r="R761" i="6"/>
  <c r="Y761" i="6"/>
  <c r="Q761" i="6"/>
  <c r="I807" i="6"/>
  <c r="X761" i="6"/>
  <c r="P761" i="6"/>
  <c r="W761" i="6"/>
  <c r="U761" i="6"/>
  <c r="V761" i="6"/>
  <c r="AB731" i="6"/>
  <c r="AB715" i="6"/>
  <c r="AB707" i="6"/>
  <c r="V764" i="6"/>
  <c r="U764" i="6"/>
  <c r="T764" i="6"/>
  <c r="AA764" i="6"/>
  <c r="S764" i="6"/>
  <c r="Z764" i="6"/>
  <c r="R764" i="6"/>
  <c r="Y764" i="6"/>
  <c r="Q764" i="6"/>
  <c r="W764" i="6"/>
  <c r="I810" i="6"/>
  <c r="P764" i="6"/>
  <c r="X764" i="6"/>
  <c r="F860" i="6"/>
  <c r="B814" i="6"/>
  <c r="I789" i="6"/>
  <c r="X743" i="6"/>
  <c r="P743" i="6"/>
  <c r="AB743" i="6" s="1"/>
  <c r="W743" i="6"/>
  <c r="V743" i="6"/>
  <c r="U743" i="6"/>
  <c r="T743" i="6"/>
  <c r="AA743" i="6"/>
  <c r="S743" i="6"/>
  <c r="Y743" i="6"/>
  <c r="Q743" i="6"/>
  <c r="R743" i="6"/>
  <c r="Z743" i="6"/>
  <c r="D787" i="6"/>
  <c r="J833" i="6"/>
  <c r="AB691" i="6"/>
  <c r="AB644" i="6"/>
  <c r="AB1018" i="6"/>
  <c r="AB1019" i="6"/>
  <c r="AB1024" i="6"/>
  <c r="AR1034" i="6"/>
  <c r="AK1428" i="6"/>
  <c r="F892" i="6"/>
  <c r="B846" i="6"/>
  <c r="F835" i="6"/>
  <c r="B789" i="6"/>
  <c r="D782" i="6"/>
  <c r="J828" i="6"/>
  <c r="L1060" i="6"/>
  <c r="L1106" i="6" s="1"/>
  <c r="L1152" i="6" s="1"/>
  <c r="L1198" i="6" s="1"/>
  <c r="L1244" i="6" s="1"/>
  <c r="L1290" i="6" s="1"/>
  <c r="L1336" i="6" s="1"/>
  <c r="AT637" i="6"/>
  <c r="L1048" i="6"/>
  <c r="L1094" i="6" s="1"/>
  <c r="L1140" i="6" s="1"/>
  <c r="L1186" i="6" s="1"/>
  <c r="L1232" i="6" s="1"/>
  <c r="L1278" i="6" s="1"/>
  <c r="L1324" i="6" s="1"/>
  <c r="AT625" i="6"/>
  <c r="L1028" i="6"/>
  <c r="L1074" i="6" s="1"/>
  <c r="L1120" i="6" s="1"/>
  <c r="L1166" i="6" s="1"/>
  <c r="L1212" i="6" s="1"/>
  <c r="L1258" i="6" s="1"/>
  <c r="L1304" i="6" s="1"/>
  <c r="AT609" i="6"/>
  <c r="B741" i="6"/>
  <c r="F787" i="6"/>
  <c r="J858" i="6"/>
  <c r="B858" i="6" s="1"/>
  <c r="D812" i="6"/>
  <c r="D786" i="6"/>
  <c r="J832" i="6"/>
  <c r="AR659" i="6"/>
  <c r="AB729" i="6"/>
  <c r="F908" i="6"/>
  <c r="J856" i="6"/>
  <c r="D810" i="6"/>
  <c r="B796" i="6"/>
  <c r="AR685" i="6"/>
  <c r="AB653" i="6"/>
  <c r="AB649" i="6"/>
  <c r="AB645" i="6"/>
  <c r="AB641" i="6"/>
  <c r="J870" i="6"/>
  <c r="D824" i="6"/>
  <c r="AB698" i="6"/>
  <c r="AB1667" i="6"/>
  <c r="B824" i="6"/>
  <c r="B817" i="6"/>
  <c r="F863" i="6"/>
  <c r="F855" i="6"/>
  <c r="B809" i="6"/>
  <c r="I785" i="6"/>
  <c r="X739" i="6"/>
  <c r="P739" i="6"/>
  <c r="W739" i="6"/>
  <c r="V739" i="6"/>
  <c r="U739" i="6"/>
  <c r="T739" i="6"/>
  <c r="AA739" i="6"/>
  <c r="S739" i="6"/>
  <c r="Y739" i="6"/>
  <c r="Q739" i="6"/>
  <c r="Z739" i="6"/>
  <c r="R739" i="6"/>
  <c r="D783" i="6"/>
  <c r="J829" i="6"/>
  <c r="AG619" i="6"/>
  <c r="AW619" i="6"/>
  <c r="AG603" i="6"/>
  <c r="AG1114" i="6" s="1"/>
  <c r="AW603" i="6"/>
  <c r="AA543" i="6"/>
  <c r="AA539" i="6"/>
  <c r="AA545" i="6"/>
  <c r="AA541" i="6"/>
  <c r="AA546" i="6"/>
  <c r="AA544" i="6"/>
  <c r="AA542" i="6"/>
  <c r="AA540" i="6"/>
  <c r="AR656" i="6"/>
  <c r="AP647" i="6"/>
  <c r="AH647" i="6"/>
  <c r="AO647" i="6"/>
  <c r="AG647" i="6"/>
  <c r="AN647" i="6"/>
  <c r="AF647" i="6"/>
  <c r="AR647" i="6" s="1"/>
  <c r="AM647" i="6"/>
  <c r="AL647" i="6"/>
  <c r="AK647" i="6"/>
  <c r="AQ647" i="6"/>
  <c r="AI647" i="6"/>
  <c r="AJ647" i="6"/>
  <c r="AH630" i="6"/>
  <c r="AX630" i="6"/>
  <c r="AH622" i="6"/>
  <c r="AX622" i="6"/>
  <c r="AH614" i="6"/>
  <c r="AX614" i="6"/>
  <c r="AH606" i="6"/>
  <c r="AH1117" i="6" s="1"/>
  <c r="AX606" i="6"/>
  <c r="T404" i="6"/>
  <c r="AA404" i="6"/>
  <c r="S404" i="6"/>
  <c r="Z404" i="6"/>
  <c r="R404" i="6"/>
  <c r="Y404" i="6"/>
  <c r="Q404" i="6"/>
  <c r="X404" i="6"/>
  <c r="P404" i="6"/>
  <c r="U404" i="6"/>
  <c r="W404" i="6"/>
  <c r="V404" i="6"/>
  <c r="AF404" i="6"/>
  <c r="I450" i="6"/>
  <c r="AG404" i="6"/>
  <c r="AG1051" i="6"/>
  <c r="AH620" i="6"/>
  <c r="AX620" i="6"/>
  <c r="AB525" i="6"/>
  <c r="AR648" i="6"/>
  <c r="J444" i="6"/>
  <c r="AT444" i="6" s="1"/>
  <c r="AT398" i="6"/>
  <c r="AH632" i="6"/>
  <c r="AX632" i="6"/>
  <c r="AH624" i="6"/>
  <c r="AX624" i="6"/>
  <c r="AH616" i="6"/>
  <c r="AX616" i="6"/>
  <c r="AH608" i="6"/>
  <c r="AH1119" i="6" s="1"/>
  <c r="AX608" i="6"/>
  <c r="AG408" i="6"/>
  <c r="W408" i="6"/>
  <c r="AF408" i="6"/>
  <c r="V408" i="6"/>
  <c r="AH408" i="6"/>
  <c r="X408" i="6"/>
  <c r="P408" i="6"/>
  <c r="I454" i="6"/>
  <c r="U408" i="6"/>
  <c r="T408" i="6"/>
  <c r="S408" i="6"/>
  <c r="R408" i="6"/>
  <c r="Q408" i="6"/>
  <c r="Y408" i="6"/>
  <c r="AA408" i="6"/>
  <c r="Z408" i="6"/>
  <c r="D803" i="6"/>
  <c r="J849" i="6"/>
  <c r="J433" i="6"/>
  <c r="AT433" i="6" s="1"/>
  <c r="AT387" i="6"/>
  <c r="I468" i="6"/>
  <c r="AA422" i="6"/>
  <c r="S422" i="6"/>
  <c r="Z422" i="6"/>
  <c r="R422" i="6"/>
  <c r="AF422" i="6"/>
  <c r="V422" i="6"/>
  <c r="T422" i="6"/>
  <c r="Y422" i="6"/>
  <c r="X422" i="6"/>
  <c r="W422" i="6"/>
  <c r="U422" i="6"/>
  <c r="Q422" i="6"/>
  <c r="AG422" i="6"/>
  <c r="P422" i="6"/>
  <c r="AB422" i="6" s="1"/>
  <c r="J429" i="6"/>
  <c r="AT429" i="6" s="1"/>
  <c r="AT383" i="6"/>
  <c r="B402" i="6"/>
  <c r="AB342" i="6"/>
  <c r="T388" i="6"/>
  <c r="I434" i="6"/>
  <c r="AA388" i="6"/>
  <c r="S388" i="6"/>
  <c r="Z388" i="6"/>
  <c r="R388" i="6"/>
  <c r="Y388" i="6"/>
  <c r="Q388" i="6"/>
  <c r="AH388" i="6"/>
  <c r="X388" i="6"/>
  <c r="P388" i="6"/>
  <c r="U388" i="6"/>
  <c r="AG388" i="6"/>
  <c r="AF388" i="6"/>
  <c r="W388" i="6"/>
  <c r="V388" i="6"/>
  <c r="T324" i="6"/>
  <c r="X324" i="6"/>
  <c r="P324" i="6"/>
  <c r="Y324" i="6"/>
  <c r="W324" i="6"/>
  <c r="V324" i="6"/>
  <c r="U324" i="6"/>
  <c r="S324" i="6"/>
  <c r="R324" i="6"/>
  <c r="Z324" i="6"/>
  <c r="Q324" i="6"/>
  <c r="AA324" i="6"/>
  <c r="AA519" i="6"/>
  <c r="J425" i="6"/>
  <c r="AT425" i="6" s="1"/>
  <c r="AT379" i="6"/>
  <c r="F455" i="6"/>
  <c r="B455" i="6" s="1"/>
  <c r="B409" i="6"/>
  <c r="AH634" i="6"/>
  <c r="AH1149" i="6" s="1"/>
  <c r="AX634" i="6"/>
  <c r="AH602" i="6"/>
  <c r="AX602" i="6"/>
  <c r="AB412" i="6"/>
  <c r="I428" i="6"/>
  <c r="X382" i="6"/>
  <c r="P382" i="6"/>
  <c r="AG382" i="6"/>
  <c r="AN382" i="6"/>
  <c r="AF382" i="6"/>
  <c r="V382" i="6"/>
  <c r="AL382" i="6"/>
  <c r="T382" i="6"/>
  <c r="Y382" i="6"/>
  <c r="Q382" i="6"/>
  <c r="AA382" i="6"/>
  <c r="Z382" i="6"/>
  <c r="S382" i="6"/>
  <c r="B386" i="6"/>
  <c r="AB526" i="6"/>
  <c r="J449" i="6"/>
  <c r="AT449" i="6" s="1"/>
  <c r="AT403" i="6"/>
  <c r="AB344" i="6"/>
  <c r="J441" i="6"/>
  <c r="AT441" i="6" s="1"/>
  <c r="AT395" i="6"/>
  <c r="AB407" i="6"/>
  <c r="AB356" i="6"/>
  <c r="J427" i="6"/>
  <c r="AT427" i="6" s="1"/>
  <c r="AT381" i="6"/>
  <c r="AB231" i="6"/>
  <c r="F318" i="6"/>
  <c r="B318" i="6" s="1"/>
  <c r="B272" i="6"/>
  <c r="AB209" i="6"/>
  <c r="AP149" i="6"/>
  <c r="AH149" i="6"/>
  <c r="AM149" i="6"/>
  <c r="AK149" i="6"/>
  <c r="AQ149" i="6"/>
  <c r="AI149" i="6"/>
  <c r="AO149" i="6"/>
  <c r="AF149" i="6"/>
  <c r="AN149" i="6"/>
  <c r="AL149" i="6"/>
  <c r="AJ149" i="6"/>
  <c r="AG149" i="6"/>
  <c r="AG462" i="6"/>
  <c r="W462" i="6"/>
  <c r="AF462" i="6"/>
  <c r="V462" i="6"/>
  <c r="T462" i="6"/>
  <c r="AA462" i="6"/>
  <c r="S462" i="6"/>
  <c r="Z462" i="6"/>
  <c r="R462" i="6"/>
  <c r="AH462" i="6"/>
  <c r="X462" i="6"/>
  <c r="P462" i="6"/>
  <c r="AB462" i="6" s="1"/>
  <c r="AI462" i="6"/>
  <c r="Q462" i="6"/>
  <c r="Y462" i="6"/>
  <c r="U462" i="6"/>
  <c r="T286" i="6"/>
  <c r="V286" i="6"/>
  <c r="U286" i="6"/>
  <c r="S286" i="6"/>
  <c r="AA286" i="6"/>
  <c r="R286" i="6"/>
  <c r="Z286" i="6"/>
  <c r="Q286" i="6"/>
  <c r="Y286" i="6"/>
  <c r="P286" i="6"/>
  <c r="AB286" i="6" s="1"/>
  <c r="W286" i="6"/>
  <c r="X286" i="6"/>
  <c r="AB236" i="6"/>
  <c r="F311" i="6"/>
  <c r="B311" i="6" s="1"/>
  <c r="B265" i="6"/>
  <c r="AB202" i="6"/>
  <c r="AN184" i="6"/>
  <c r="AF184" i="6"/>
  <c r="AK184" i="6"/>
  <c r="AQ184" i="6"/>
  <c r="AI184" i="6"/>
  <c r="AO184" i="6"/>
  <c r="AG184" i="6"/>
  <c r="AP184" i="6"/>
  <c r="AM184" i="6"/>
  <c r="AL184" i="6"/>
  <c r="AJ184" i="6"/>
  <c r="AH184" i="6"/>
  <c r="AR148" i="6"/>
  <c r="F316" i="6"/>
  <c r="B270" i="6"/>
  <c r="T326" i="6"/>
  <c r="X326" i="6"/>
  <c r="P326" i="6"/>
  <c r="S326" i="6"/>
  <c r="R326" i="6"/>
  <c r="AA326" i="6"/>
  <c r="Q326" i="6"/>
  <c r="Z326" i="6"/>
  <c r="Y326" i="6"/>
  <c r="W326" i="6"/>
  <c r="U326" i="6"/>
  <c r="V326" i="6"/>
  <c r="AB274" i="6"/>
  <c r="T297" i="6"/>
  <c r="X297" i="6"/>
  <c r="P297" i="6"/>
  <c r="V297" i="6"/>
  <c r="U297" i="6"/>
  <c r="S297" i="6"/>
  <c r="R297" i="6"/>
  <c r="AA297" i="6"/>
  <c r="Q297" i="6"/>
  <c r="Z297" i="6"/>
  <c r="W297" i="6"/>
  <c r="Y297" i="6"/>
  <c r="J326" i="6"/>
  <c r="D326" i="6" s="1"/>
  <c r="D280" i="6"/>
  <c r="AB272" i="6"/>
  <c r="T300" i="6"/>
  <c r="X300" i="6"/>
  <c r="P300" i="6"/>
  <c r="Y300" i="6"/>
  <c r="W300" i="6"/>
  <c r="V300" i="6"/>
  <c r="U300" i="6"/>
  <c r="S300" i="6"/>
  <c r="R300" i="6"/>
  <c r="Z300" i="6"/>
  <c r="Q300" i="6"/>
  <c r="AA300" i="6"/>
  <c r="J316" i="6"/>
  <c r="D316" i="6" s="1"/>
  <c r="D270" i="6"/>
  <c r="F305" i="6"/>
  <c r="B259" i="6"/>
  <c r="AB196" i="6"/>
  <c r="AP185" i="6"/>
  <c r="AH185" i="6"/>
  <c r="AM185" i="6"/>
  <c r="AK185" i="6"/>
  <c r="AQ185" i="6"/>
  <c r="AI185" i="6"/>
  <c r="AG185" i="6"/>
  <c r="AF185" i="6"/>
  <c r="AL185" i="6"/>
  <c r="AO185" i="6"/>
  <c r="AN185" i="6"/>
  <c r="AJ185" i="6"/>
  <c r="AH126" i="6"/>
  <c r="AX126" i="6"/>
  <c r="AH118" i="6"/>
  <c r="AH357" i="6" s="1"/>
  <c r="AX118" i="6"/>
  <c r="AG95" i="6"/>
  <c r="AG334" i="6" s="1"/>
  <c r="AW95" i="6"/>
  <c r="AB355" i="6"/>
  <c r="Q42" i="6"/>
  <c r="Q39" i="6"/>
  <c r="Q40" i="6"/>
  <c r="Q41" i="6"/>
  <c r="AG1029" i="6"/>
  <c r="AG1075" i="6"/>
  <c r="AB386" i="6"/>
  <c r="AB265" i="6"/>
  <c r="AB205" i="6"/>
  <c r="AG335" i="6"/>
  <c r="F300" i="6"/>
  <c r="B300" i="6" s="1"/>
  <c r="B254" i="6"/>
  <c r="AR156" i="6"/>
  <c r="AB252" i="6"/>
  <c r="T290" i="6"/>
  <c r="Z290" i="6"/>
  <c r="Q290" i="6"/>
  <c r="Y290" i="6"/>
  <c r="P290" i="6"/>
  <c r="X290" i="6"/>
  <c r="W290" i="6"/>
  <c r="V290" i="6"/>
  <c r="U290" i="6"/>
  <c r="AA290" i="6"/>
  <c r="R290" i="6"/>
  <c r="S290" i="6"/>
  <c r="J310" i="6"/>
  <c r="D310" i="6" s="1"/>
  <c r="D264" i="6"/>
  <c r="F299" i="6"/>
  <c r="B299" i="6" s="1"/>
  <c r="B253" i="6"/>
  <c r="AB190" i="6"/>
  <c r="AL163" i="6"/>
  <c r="AQ163" i="6"/>
  <c r="AI163" i="6"/>
  <c r="AO163" i="6"/>
  <c r="AG163" i="6"/>
  <c r="AM163" i="6"/>
  <c r="AH163" i="6"/>
  <c r="AF163" i="6"/>
  <c r="AK163" i="6"/>
  <c r="AP163" i="6"/>
  <c r="AN163" i="6"/>
  <c r="AJ163" i="6"/>
  <c r="AG130" i="6"/>
  <c r="AG369" i="6" s="1"/>
  <c r="AW130" i="6"/>
  <c r="AR652" i="6"/>
  <c r="AB322" i="6"/>
  <c r="T304" i="6"/>
  <c r="X304" i="6"/>
  <c r="P304" i="6"/>
  <c r="Y304" i="6"/>
  <c r="W304" i="6"/>
  <c r="V304" i="6"/>
  <c r="U304" i="6"/>
  <c r="S304" i="6"/>
  <c r="R304" i="6"/>
  <c r="Z304" i="6"/>
  <c r="AA304" i="6"/>
  <c r="Q304" i="6"/>
  <c r="J304" i="6"/>
  <c r="D304" i="6" s="1"/>
  <c r="D258" i="6"/>
  <c r="F293" i="6"/>
  <c r="B293" i="6" s="1"/>
  <c r="B247" i="6"/>
  <c r="AF364" i="6"/>
  <c r="AF346" i="6"/>
  <c r="U96" i="6"/>
  <c r="U427" i="6" s="1"/>
  <c r="U40" i="6"/>
  <c r="U42" i="6"/>
  <c r="U41" i="6"/>
  <c r="U97" i="6"/>
  <c r="U39" i="6"/>
  <c r="U43" i="6" s="1"/>
  <c r="BD97" i="6"/>
  <c r="AN97" i="6"/>
  <c r="AN336" i="6" s="1"/>
  <c r="AG2161" i="6"/>
  <c r="W2161" i="6"/>
  <c r="U2161" i="6"/>
  <c r="AI2161" i="6"/>
  <c r="V2161" i="6"/>
  <c r="AH2161" i="6"/>
  <c r="T2161" i="6"/>
  <c r="AF2161" i="6"/>
  <c r="S2161" i="6"/>
  <c r="Y2161" i="6"/>
  <c r="R2161" i="6"/>
  <c r="Q2161" i="6"/>
  <c r="P2161" i="6"/>
  <c r="AA2161" i="6"/>
  <c r="Z2161" i="6"/>
  <c r="X2161" i="6"/>
  <c r="AI2145" i="6"/>
  <c r="Y2145" i="6"/>
  <c r="Q2145" i="6"/>
  <c r="AH2145" i="6"/>
  <c r="X2145" i="6"/>
  <c r="P2145" i="6"/>
  <c r="AG2145" i="6"/>
  <c r="W2145" i="6"/>
  <c r="T2145" i="6"/>
  <c r="AJ2145" i="6"/>
  <c r="R2145" i="6"/>
  <c r="AF2145" i="6"/>
  <c r="AA2145" i="6"/>
  <c r="V2145" i="6"/>
  <c r="U2145" i="6"/>
  <c r="S2145" i="6"/>
  <c r="Z2145" i="6"/>
  <c r="T2033" i="6"/>
  <c r="Z2033" i="6"/>
  <c r="R2033" i="6"/>
  <c r="Y2033" i="6"/>
  <c r="Q2033" i="6"/>
  <c r="W2033" i="6"/>
  <c r="X2033" i="6"/>
  <c r="V2033" i="6"/>
  <c r="U2033" i="6"/>
  <c r="S2033" i="6"/>
  <c r="P2033" i="6"/>
  <c r="AA2033" i="6"/>
  <c r="I1659" i="6"/>
  <c r="V1613" i="6"/>
  <c r="U1613" i="6"/>
  <c r="T1613" i="6"/>
  <c r="AA1613" i="6"/>
  <c r="S1613" i="6"/>
  <c r="Z1613" i="6"/>
  <c r="R1613" i="6"/>
  <c r="Y1613" i="6"/>
  <c r="Q1613" i="6"/>
  <c r="X1613" i="6"/>
  <c r="P1613" i="6"/>
  <c r="AB1613" i="6" s="1"/>
  <c r="W1613" i="6"/>
  <c r="J1764" i="6"/>
  <c r="AT1764" i="6" s="1"/>
  <c r="AT1718" i="6"/>
  <c r="B1658" i="6"/>
  <c r="I1652" i="6"/>
  <c r="V1606" i="6"/>
  <c r="U1606" i="6"/>
  <c r="T1606" i="6"/>
  <c r="AA1606" i="6"/>
  <c r="S1606" i="6"/>
  <c r="Z1606" i="6"/>
  <c r="R1606" i="6"/>
  <c r="Y1606" i="6"/>
  <c r="Q1606" i="6"/>
  <c r="X1606" i="6"/>
  <c r="P1606" i="6"/>
  <c r="AB1606" i="6" s="1"/>
  <c r="W1606" i="6"/>
  <c r="AW1466" i="6"/>
  <c r="AG1466" i="6"/>
  <c r="AG1705" i="6" s="1"/>
  <c r="AG1458" i="6"/>
  <c r="AW1458" i="6"/>
  <c r="AA2166" i="6"/>
  <c r="S2166" i="6"/>
  <c r="Z2166" i="6"/>
  <c r="R2166" i="6"/>
  <c r="Y2166" i="6"/>
  <c r="Q2166" i="6"/>
  <c r="W2166" i="6"/>
  <c r="AF2166" i="6"/>
  <c r="U2166" i="6"/>
  <c r="T2166" i="6"/>
  <c r="X2166" i="6"/>
  <c r="V2166" i="6"/>
  <c r="P2166" i="6"/>
  <c r="AB1934" i="6"/>
  <c r="AH1901" i="6"/>
  <c r="AX1901" i="6"/>
  <c r="Q1834" i="6"/>
  <c r="Q1832" i="6"/>
  <c r="Q1835" i="6" s="1"/>
  <c r="Q1833" i="6"/>
  <c r="AB1742" i="6"/>
  <c r="I1797" i="6"/>
  <c r="Y1751" i="6"/>
  <c r="Q1751" i="6"/>
  <c r="X1751" i="6"/>
  <c r="P1751" i="6"/>
  <c r="AG1751" i="6"/>
  <c r="W1751" i="6"/>
  <c r="AF1751" i="6"/>
  <c r="V1751" i="6"/>
  <c r="U1751" i="6"/>
  <c r="T1751" i="6"/>
  <c r="AA1751" i="6"/>
  <c r="S1751" i="6"/>
  <c r="Z1751" i="6"/>
  <c r="R1751" i="6"/>
  <c r="AB1735" i="6"/>
  <c r="F1802" i="6"/>
  <c r="B1756" i="6"/>
  <c r="B1750" i="6"/>
  <c r="F1796" i="6"/>
  <c r="B1796" i="6" s="1"/>
  <c r="V1584" i="6"/>
  <c r="U1584" i="6"/>
  <c r="T1584" i="6"/>
  <c r="AA1584" i="6"/>
  <c r="S1584" i="6"/>
  <c r="I1630" i="6"/>
  <c r="Z1584" i="6"/>
  <c r="R1584" i="6"/>
  <c r="Y1584" i="6"/>
  <c r="Q1584" i="6"/>
  <c r="X1584" i="6"/>
  <c r="P1584" i="6"/>
  <c r="W1584" i="6"/>
  <c r="F1775" i="6"/>
  <c r="B1775" i="6" s="1"/>
  <c r="B1729" i="6"/>
  <c r="B1649" i="6"/>
  <c r="J1645" i="6"/>
  <c r="D1645" i="6" s="1"/>
  <c r="D1599" i="6"/>
  <c r="AB1536" i="6"/>
  <c r="F1185" i="6"/>
  <c r="B1139" i="6"/>
  <c r="I1159" i="6"/>
  <c r="AA1113" i="6"/>
  <c r="S1113" i="6"/>
  <c r="Z1113" i="6"/>
  <c r="R1113" i="6"/>
  <c r="Y1113" i="6"/>
  <c r="Q1113" i="6"/>
  <c r="AH1113" i="6"/>
  <c r="X1113" i="6"/>
  <c r="P1113" i="6"/>
  <c r="AG1113" i="6"/>
  <c r="W1113" i="6"/>
  <c r="AF1113" i="6"/>
  <c r="V1113" i="6"/>
  <c r="U1113" i="6"/>
  <c r="T1113" i="6"/>
  <c r="AH2156" i="6"/>
  <c r="AB2155" i="6"/>
  <c r="U2163" i="6"/>
  <c r="T2163" i="6"/>
  <c r="AA2163" i="6"/>
  <c r="S2163" i="6"/>
  <c r="Y2163" i="6"/>
  <c r="Q2163" i="6"/>
  <c r="R2163" i="6"/>
  <c r="AH2163" i="6"/>
  <c r="P2163" i="6"/>
  <c r="AG2163" i="6"/>
  <c r="X2163" i="6"/>
  <c r="W2163" i="6"/>
  <c r="AF2163" i="6"/>
  <c r="Z2163" i="6"/>
  <c r="V2163" i="6"/>
  <c r="X2132" i="6"/>
  <c r="V2137" i="6"/>
  <c r="AA2133" i="6"/>
  <c r="W2073" i="6"/>
  <c r="AA2073" i="6"/>
  <c r="S2073" i="6"/>
  <c r="Z2073" i="6"/>
  <c r="R2073" i="6"/>
  <c r="T2073" i="6"/>
  <c r="Q2073" i="6"/>
  <c r="P2073" i="6"/>
  <c r="X2073" i="6"/>
  <c r="Y2073" i="6"/>
  <c r="V2073" i="6"/>
  <c r="U2073" i="6"/>
  <c r="AB2120" i="6"/>
  <c r="W2068" i="6"/>
  <c r="AA2068" i="6"/>
  <c r="S2068" i="6"/>
  <c r="Z2068" i="6"/>
  <c r="R2068" i="6"/>
  <c r="X2068" i="6"/>
  <c r="U2068" i="6"/>
  <c r="T2068" i="6"/>
  <c r="P2068" i="6"/>
  <c r="Y2068" i="6"/>
  <c r="V2068" i="6"/>
  <c r="Q2068" i="6"/>
  <c r="AB2088" i="6"/>
  <c r="T2051" i="6"/>
  <c r="Z2051" i="6"/>
  <c r="R2051" i="6"/>
  <c r="Y2051" i="6"/>
  <c r="Q2051" i="6"/>
  <c r="W2051" i="6"/>
  <c r="X2051" i="6"/>
  <c r="V2051" i="6"/>
  <c r="U2051" i="6"/>
  <c r="S2051" i="6"/>
  <c r="P2051" i="6"/>
  <c r="AA2051" i="6"/>
  <c r="AB2014" i="6"/>
  <c r="AB1997" i="6"/>
  <c r="AB1947" i="6"/>
  <c r="AB1940" i="6"/>
  <c r="T2031" i="6"/>
  <c r="Z2031" i="6"/>
  <c r="R2031" i="6"/>
  <c r="Y2031" i="6"/>
  <c r="Y2075" i="6" s="1"/>
  <c r="Q2031" i="6"/>
  <c r="W2031" i="6"/>
  <c r="X2031" i="6"/>
  <c r="V2031" i="6"/>
  <c r="U2031" i="6"/>
  <c r="U2075" i="6" s="1"/>
  <c r="S2031" i="6"/>
  <c r="S2075" i="6" s="1"/>
  <c r="P2031" i="6"/>
  <c r="AA2031" i="6"/>
  <c r="T2036" i="6"/>
  <c r="Z2036" i="6"/>
  <c r="R2036" i="6"/>
  <c r="Y2036" i="6"/>
  <c r="Q2036" i="6"/>
  <c r="W2036" i="6"/>
  <c r="P2036" i="6"/>
  <c r="AA2036" i="6"/>
  <c r="X2036" i="6"/>
  <c r="V2036" i="6"/>
  <c r="U2036" i="6"/>
  <c r="S2036" i="6"/>
  <c r="T2053" i="6"/>
  <c r="Z2053" i="6"/>
  <c r="R2053" i="6"/>
  <c r="Y2053" i="6"/>
  <c r="Q2053" i="6"/>
  <c r="W2053" i="6"/>
  <c r="X2053" i="6"/>
  <c r="V2053" i="6"/>
  <c r="U2053" i="6"/>
  <c r="S2053" i="6"/>
  <c r="P2053" i="6"/>
  <c r="AA2053" i="6"/>
  <c r="AB2012" i="6"/>
  <c r="AG1929" i="6"/>
  <c r="AW1929" i="6"/>
  <c r="W2056" i="6"/>
  <c r="U2056" i="6"/>
  <c r="S2056" i="6"/>
  <c r="AA2056" i="6"/>
  <c r="R2056" i="6"/>
  <c r="Y2056" i="6"/>
  <c r="P2056" i="6"/>
  <c r="Q2056" i="6"/>
  <c r="Z2056" i="6"/>
  <c r="X2056" i="6"/>
  <c r="V2056" i="6"/>
  <c r="T2056" i="6"/>
  <c r="AB2008" i="6"/>
  <c r="AB2043" i="6"/>
  <c r="AG1921" i="6"/>
  <c r="AW1921" i="6"/>
  <c r="AW1903" i="6"/>
  <c r="AG1903" i="6"/>
  <c r="AG2142" i="6" s="1"/>
  <c r="S1832" i="6"/>
  <c r="AG1927" i="6"/>
  <c r="AW1927" i="6"/>
  <c r="W2062" i="6"/>
  <c r="X2062" i="6"/>
  <c r="U2062" i="6"/>
  <c r="T2062" i="6"/>
  <c r="AA2062" i="6"/>
  <c r="R2062" i="6"/>
  <c r="Z2062" i="6"/>
  <c r="Y2062" i="6"/>
  <c r="V2062" i="6"/>
  <c r="S2062" i="6"/>
  <c r="Q2062" i="6"/>
  <c r="P2062" i="6"/>
  <c r="AR1941" i="6"/>
  <c r="Z2087" i="6"/>
  <c r="AB2106" i="6"/>
  <c r="AB2119" i="6"/>
  <c r="AB2114" i="6"/>
  <c r="AN1898" i="6"/>
  <c r="BD1898" i="6"/>
  <c r="AH1895" i="6"/>
  <c r="AH2088" i="6" s="1"/>
  <c r="AB2029" i="6"/>
  <c r="AG1915" i="6"/>
  <c r="AW1915" i="6"/>
  <c r="AB1898" i="6"/>
  <c r="AM1897" i="6"/>
  <c r="BC1897" i="6"/>
  <c r="AJ1895" i="6"/>
  <c r="AJ2088" i="6" s="1"/>
  <c r="Y1781" i="6"/>
  <c r="Q1781" i="6"/>
  <c r="X1781" i="6"/>
  <c r="P1781" i="6"/>
  <c r="AG1781" i="6"/>
  <c r="W1781" i="6"/>
  <c r="AF1781" i="6"/>
  <c r="V1781" i="6"/>
  <c r="U1781" i="6"/>
  <c r="T1781" i="6"/>
  <c r="AA1781" i="6"/>
  <c r="S1781" i="6"/>
  <c r="Z1781" i="6"/>
  <c r="R1781" i="6"/>
  <c r="B1801" i="6"/>
  <c r="AB1744" i="6"/>
  <c r="AB1693" i="6"/>
  <c r="B1781" i="6"/>
  <c r="U1759" i="6"/>
  <c r="T1759" i="6"/>
  <c r="AK1759" i="6"/>
  <c r="AA1759" i="6"/>
  <c r="S1759" i="6"/>
  <c r="AJ1759" i="6"/>
  <c r="Z1759" i="6"/>
  <c r="R1759" i="6"/>
  <c r="AI1759" i="6"/>
  <c r="Y1759" i="6"/>
  <c r="Q1759" i="6"/>
  <c r="AP1759" i="6"/>
  <c r="AH1759" i="6"/>
  <c r="X1759" i="6"/>
  <c r="P1759" i="6"/>
  <c r="AO1759" i="6"/>
  <c r="AG1759" i="6"/>
  <c r="W1759" i="6"/>
  <c r="AN1759" i="6"/>
  <c r="AF1759" i="6"/>
  <c r="V1759" i="6"/>
  <c r="AB1698" i="6"/>
  <c r="B1803" i="6"/>
  <c r="AG1784" i="6"/>
  <c r="W1784" i="6"/>
  <c r="AF1784" i="6"/>
  <c r="V1784" i="6"/>
  <c r="U1784" i="6"/>
  <c r="T1784" i="6"/>
  <c r="AA1784" i="6"/>
  <c r="S1784" i="6"/>
  <c r="Z1784" i="6"/>
  <c r="R1784" i="6"/>
  <c r="Y1784" i="6"/>
  <c r="Q1784" i="6"/>
  <c r="AH1784" i="6"/>
  <c r="X1784" i="6"/>
  <c r="P1784" i="6"/>
  <c r="AB1684" i="6"/>
  <c r="I1776" i="6"/>
  <c r="AF1730" i="6"/>
  <c r="V1730" i="6"/>
  <c r="U1730" i="6"/>
  <c r="T1730" i="6"/>
  <c r="AA1730" i="6"/>
  <c r="S1730" i="6"/>
  <c r="Z1730" i="6"/>
  <c r="R1730" i="6"/>
  <c r="Y1730" i="6"/>
  <c r="Q1730" i="6"/>
  <c r="AG1730" i="6"/>
  <c r="X1730" i="6"/>
  <c r="W1730" i="6"/>
  <c r="P1730" i="6"/>
  <c r="AH1730" i="6"/>
  <c r="AB1677" i="6"/>
  <c r="B1788" i="6"/>
  <c r="I1654" i="6"/>
  <c r="V1608" i="6"/>
  <c r="U1608" i="6"/>
  <c r="T1608" i="6"/>
  <c r="AA1608" i="6"/>
  <c r="S1608" i="6"/>
  <c r="Z1608" i="6"/>
  <c r="R1608" i="6"/>
  <c r="Y1608" i="6"/>
  <c r="Q1608" i="6"/>
  <c r="X1608" i="6"/>
  <c r="P1608" i="6"/>
  <c r="W1608" i="6"/>
  <c r="AB1680" i="6"/>
  <c r="J1785" i="6"/>
  <c r="AT1785" i="6" s="1"/>
  <c r="AT1739" i="6"/>
  <c r="V1600" i="6"/>
  <c r="U1600" i="6"/>
  <c r="T1600" i="6"/>
  <c r="AA1600" i="6"/>
  <c r="S1600" i="6"/>
  <c r="I1646" i="6"/>
  <c r="Z1600" i="6"/>
  <c r="R1600" i="6"/>
  <c r="Y1600" i="6"/>
  <c r="Q1600" i="6"/>
  <c r="X1600" i="6"/>
  <c r="P1600" i="6"/>
  <c r="W1600" i="6"/>
  <c r="B1641" i="6"/>
  <c r="V1581" i="6"/>
  <c r="U1581" i="6"/>
  <c r="T1581" i="6"/>
  <c r="I1627" i="6"/>
  <c r="AA1581" i="6"/>
  <c r="S1581" i="6"/>
  <c r="Z1581" i="6"/>
  <c r="R1581" i="6"/>
  <c r="Y1581" i="6"/>
  <c r="Q1581" i="6"/>
  <c r="X1581" i="6"/>
  <c r="P1581" i="6"/>
  <c r="W1581" i="6"/>
  <c r="F1769" i="6"/>
  <c r="B1769" i="6" s="1"/>
  <c r="B1723" i="6"/>
  <c r="B1653" i="6"/>
  <c r="B1642" i="6"/>
  <c r="B1580" i="6"/>
  <c r="Y1623" i="6"/>
  <c r="Q1623" i="6"/>
  <c r="X1623" i="6"/>
  <c r="P1623" i="6"/>
  <c r="W1623" i="6"/>
  <c r="V1623" i="6"/>
  <c r="U1623" i="6"/>
  <c r="T1623" i="6"/>
  <c r="AA1623" i="6"/>
  <c r="S1623" i="6"/>
  <c r="Z1623" i="6"/>
  <c r="R1623" i="6"/>
  <c r="B1650" i="6"/>
  <c r="V1578" i="6"/>
  <c r="U1578" i="6"/>
  <c r="T1578" i="6"/>
  <c r="AA1578" i="6"/>
  <c r="S1578" i="6"/>
  <c r="Z1578" i="6"/>
  <c r="R1578" i="6"/>
  <c r="Y1578" i="6"/>
  <c r="Q1578" i="6"/>
  <c r="I1624" i="6"/>
  <c r="X1578" i="6"/>
  <c r="P1578" i="6"/>
  <c r="W1578" i="6"/>
  <c r="V1668" i="6"/>
  <c r="J1660" i="6"/>
  <c r="D1660" i="6" s="1"/>
  <c r="D1614" i="6"/>
  <c r="B1597" i="6"/>
  <c r="AB1547" i="6"/>
  <c r="J1776" i="6"/>
  <c r="AT1776" i="6" s="1"/>
  <c r="AT1730" i="6"/>
  <c r="B1652" i="6"/>
  <c r="F1657" i="6"/>
  <c r="B1657" i="6" s="1"/>
  <c r="B1611" i="6"/>
  <c r="D1588" i="6"/>
  <c r="J1634" i="6"/>
  <c r="D1634" i="6" s="1"/>
  <c r="AR1485" i="6"/>
  <c r="AG1460" i="6"/>
  <c r="AW1460" i="6"/>
  <c r="AG1452" i="6"/>
  <c r="AW1452" i="6"/>
  <c r="AG1444" i="6"/>
  <c r="AG1775" i="6" s="1"/>
  <c r="AW1444" i="6"/>
  <c r="AG1436" i="6"/>
  <c r="AW1436" i="6"/>
  <c r="J1646" i="6"/>
  <c r="D1646" i="6" s="1"/>
  <c r="D1600" i="6"/>
  <c r="AM1430" i="6"/>
  <c r="AM1669" i="6" s="1"/>
  <c r="W1433" i="6"/>
  <c r="W1718" i="6" s="1"/>
  <c r="F1640" i="6"/>
  <c r="B1640" i="6" s="1"/>
  <c r="B1594" i="6"/>
  <c r="AB1506" i="6"/>
  <c r="X1376" i="6"/>
  <c r="R1377" i="6"/>
  <c r="R1375" i="6"/>
  <c r="R1374" i="6"/>
  <c r="R1376" i="6"/>
  <c r="BG1428" i="6"/>
  <c r="AB1376" i="6"/>
  <c r="U1376" i="6" s="1"/>
  <c r="T1668" i="6"/>
  <c r="AB1668" i="6" s="1"/>
  <c r="AJ1429" i="6"/>
  <c r="AJ1668" i="6" s="1"/>
  <c r="AH1455" i="6"/>
  <c r="AX1455" i="6"/>
  <c r="AH1439" i="6"/>
  <c r="AH1678" i="6" s="1"/>
  <c r="AX1439" i="6"/>
  <c r="AF1430" i="6"/>
  <c r="AB1430" i="6"/>
  <c r="P1433" i="6"/>
  <c r="AB1544" i="6"/>
  <c r="AB1557" i="6"/>
  <c r="AB1567" i="6"/>
  <c r="AB1691" i="6"/>
  <c r="AB1703" i="6"/>
  <c r="AB1704" i="6"/>
  <c r="AB1708" i="6"/>
  <c r="AB1377" i="6"/>
  <c r="U1377" i="6" s="1"/>
  <c r="J1199" i="6"/>
  <c r="AT1153" i="6"/>
  <c r="J1193" i="6"/>
  <c r="AT1147" i="6"/>
  <c r="AT1136" i="6"/>
  <c r="J1182" i="6"/>
  <c r="AB1107" i="6"/>
  <c r="AH1105" i="6"/>
  <c r="I1197" i="6"/>
  <c r="AI1151" i="6"/>
  <c r="Y1151" i="6"/>
  <c r="Q1151" i="6"/>
  <c r="AH1151" i="6"/>
  <c r="X1151" i="6"/>
  <c r="P1151" i="6"/>
  <c r="AF1151" i="6"/>
  <c r="V1151" i="6"/>
  <c r="U1151" i="6"/>
  <c r="AA1151" i="6"/>
  <c r="S1151" i="6"/>
  <c r="AG1151" i="6"/>
  <c r="Z1151" i="6"/>
  <c r="W1151" i="6"/>
  <c r="T1151" i="6"/>
  <c r="R1151" i="6"/>
  <c r="AB1099" i="6"/>
  <c r="AB1093" i="6"/>
  <c r="AB1087" i="6"/>
  <c r="I1177" i="6"/>
  <c r="AA1131" i="6"/>
  <c r="S1131" i="6"/>
  <c r="R1131" i="6"/>
  <c r="Z1131" i="6"/>
  <c r="Q1131" i="6"/>
  <c r="Y1131" i="6"/>
  <c r="P1131" i="6"/>
  <c r="X1131" i="6"/>
  <c r="AH1131" i="6"/>
  <c r="W1131" i="6"/>
  <c r="AG1131" i="6"/>
  <c r="V1131" i="6"/>
  <c r="U1131" i="6"/>
  <c r="T1131" i="6"/>
  <c r="AF1131" i="6"/>
  <c r="I1176" i="6"/>
  <c r="AA1130" i="6"/>
  <c r="S1130" i="6"/>
  <c r="AG1130" i="6"/>
  <c r="V1130" i="6"/>
  <c r="AF1130" i="6"/>
  <c r="U1130" i="6"/>
  <c r="T1130" i="6"/>
  <c r="R1130" i="6"/>
  <c r="Z1130" i="6"/>
  <c r="Q1130" i="6"/>
  <c r="Y1130" i="6"/>
  <c r="P1130" i="6"/>
  <c r="X1130" i="6"/>
  <c r="W1130" i="6"/>
  <c r="I1174" i="6"/>
  <c r="AA1128" i="6"/>
  <c r="S1128" i="6"/>
  <c r="T1128" i="6"/>
  <c r="R1128" i="6"/>
  <c r="Z1128" i="6"/>
  <c r="Q1128" i="6"/>
  <c r="Y1128" i="6"/>
  <c r="P1128" i="6"/>
  <c r="X1128" i="6"/>
  <c r="W1128" i="6"/>
  <c r="AG1128" i="6"/>
  <c r="AF1128" i="6"/>
  <c r="V1128" i="6"/>
  <c r="U1128" i="6"/>
  <c r="I1171" i="6"/>
  <c r="AK1125" i="6"/>
  <c r="AA1125" i="6"/>
  <c r="S1125" i="6"/>
  <c r="AJ1125" i="6"/>
  <c r="Z1125" i="6"/>
  <c r="R1125" i="6"/>
  <c r="AQ1125" i="6"/>
  <c r="AI1125" i="6"/>
  <c r="Y1125" i="6"/>
  <c r="Q1125" i="6"/>
  <c r="AP1125" i="6"/>
  <c r="AH1125" i="6"/>
  <c r="X1125" i="6"/>
  <c r="P1125" i="6"/>
  <c r="AO1125" i="6"/>
  <c r="AG1125" i="6"/>
  <c r="W1125" i="6"/>
  <c r="AN1125" i="6"/>
  <c r="AF1125" i="6"/>
  <c r="V1125" i="6"/>
  <c r="AL1125" i="6"/>
  <c r="U1125" i="6"/>
  <c r="T1125" i="6"/>
  <c r="AM1125" i="6"/>
  <c r="I1167" i="6"/>
  <c r="AA1121" i="6"/>
  <c r="S1121" i="6"/>
  <c r="Z1121" i="6"/>
  <c r="R1121" i="6"/>
  <c r="Y1121" i="6"/>
  <c r="Q1121" i="6"/>
  <c r="AH1121" i="6"/>
  <c r="X1121" i="6"/>
  <c r="P1121" i="6"/>
  <c r="AG1121" i="6"/>
  <c r="W1121" i="6"/>
  <c r="AF1121" i="6"/>
  <c r="V1121" i="6"/>
  <c r="U1121" i="6"/>
  <c r="T1121" i="6"/>
  <c r="AB1078" i="6"/>
  <c r="AE1196" i="6"/>
  <c r="AE1150" i="6"/>
  <c r="AE1242" i="6" s="1"/>
  <c r="AE1288" i="6" s="1"/>
  <c r="AE1334" i="6" s="1"/>
  <c r="AE1187" i="6"/>
  <c r="AE1141" i="6"/>
  <c r="AE1233" i="6" s="1"/>
  <c r="AE1279" i="6" s="1"/>
  <c r="AE1325" i="6" s="1"/>
  <c r="I1221" i="6"/>
  <c r="AP1175" i="6"/>
  <c r="AH1175" i="6"/>
  <c r="X1175" i="6"/>
  <c r="P1175" i="6"/>
  <c r="AO1175" i="6"/>
  <c r="AG1175" i="6"/>
  <c r="W1175" i="6"/>
  <c r="AN1175" i="6"/>
  <c r="AF1175" i="6"/>
  <c r="AR1175" i="6" s="1"/>
  <c r="V1175" i="6"/>
  <c r="AM1175" i="6"/>
  <c r="U1175" i="6"/>
  <c r="AL1175" i="6"/>
  <c r="T1175" i="6"/>
  <c r="AK1175" i="6"/>
  <c r="AA1175" i="6"/>
  <c r="S1175" i="6"/>
  <c r="AQ1175" i="6"/>
  <c r="AI1175" i="6"/>
  <c r="Y1175" i="6"/>
  <c r="Q1175" i="6"/>
  <c r="Z1175" i="6"/>
  <c r="R1175" i="6"/>
  <c r="AJ1175" i="6"/>
  <c r="I1163" i="6"/>
  <c r="AA1117" i="6"/>
  <c r="S1117" i="6"/>
  <c r="Z1117" i="6"/>
  <c r="R1117" i="6"/>
  <c r="Y1117" i="6"/>
  <c r="Q1117" i="6"/>
  <c r="X1117" i="6"/>
  <c r="P1117" i="6"/>
  <c r="AG1117" i="6"/>
  <c r="W1117" i="6"/>
  <c r="AF1117" i="6"/>
  <c r="V1117" i="6"/>
  <c r="U1117" i="6"/>
  <c r="T1117" i="6"/>
  <c r="AE1162" i="6"/>
  <c r="AE1116" i="6"/>
  <c r="AE1208" i="6" s="1"/>
  <c r="AE1254" i="6" s="1"/>
  <c r="AE1300" i="6" s="1"/>
  <c r="J1123" i="6"/>
  <c r="AT1077" i="6"/>
  <c r="AE1158" i="6"/>
  <c r="AE1112" i="6"/>
  <c r="AE1204" i="6" s="1"/>
  <c r="AE1250" i="6" s="1"/>
  <c r="AE1296" i="6" s="1"/>
  <c r="F1171" i="6"/>
  <c r="B1125" i="6"/>
  <c r="J1113" i="6"/>
  <c r="AT1067" i="6"/>
  <c r="B1063" i="6"/>
  <c r="AB1072" i="6"/>
  <c r="F1175" i="6"/>
  <c r="B1129" i="6"/>
  <c r="F1169" i="6"/>
  <c r="B1123" i="6"/>
  <c r="Z750" i="6"/>
  <c r="R750" i="6"/>
  <c r="Y750" i="6"/>
  <c r="Q750" i="6"/>
  <c r="I796" i="6"/>
  <c r="X750" i="6"/>
  <c r="P750" i="6"/>
  <c r="W750" i="6"/>
  <c r="V750" i="6"/>
  <c r="U750" i="6"/>
  <c r="AA750" i="6"/>
  <c r="S750" i="6"/>
  <c r="T750" i="6"/>
  <c r="AB724" i="6"/>
  <c r="AB700" i="6"/>
  <c r="T757" i="6"/>
  <c r="AA757" i="6"/>
  <c r="S757" i="6"/>
  <c r="Z757" i="6"/>
  <c r="R757" i="6"/>
  <c r="Y757" i="6"/>
  <c r="Q757" i="6"/>
  <c r="I803" i="6"/>
  <c r="X757" i="6"/>
  <c r="P757" i="6"/>
  <c r="W757" i="6"/>
  <c r="U757" i="6"/>
  <c r="V757" i="6"/>
  <c r="AB1067" i="6"/>
  <c r="B1135" i="6"/>
  <c r="V760" i="6"/>
  <c r="U760" i="6"/>
  <c r="T760" i="6"/>
  <c r="AA760" i="6"/>
  <c r="S760" i="6"/>
  <c r="Z760" i="6"/>
  <c r="R760" i="6"/>
  <c r="Y760" i="6"/>
  <c r="Q760" i="6"/>
  <c r="W760" i="6"/>
  <c r="P760" i="6"/>
  <c r="I806" i="6"/>
  <c r="X760" i="6"/>
  <c r="AR654" i="6"/>
  <c r="AB730" i="6"/>
  <c r="AB1028" i="6"/>
  <c r="AB1032" i="6"/>
  <c r="AB1034" i="6"/>
  <c r="AB1037" i="6"/>
  <c r="AB1041" i="6"/>
  <c r="AB1045" i="6"/>
  <c r="AB1049" i="6"/>
  <c r="AB1053" i="6"/>
  <c r="AB1057" i="6"/>
  <c r="AB1061" i="6"/>
  <c r="B745" i="6"/>
  <c r="F791" i="6"/>
  <c r="AB714" i="6"/>
  <c r="AR676" i="6"/>
  <c r="AB672" i="6"/>
  <c r="AY636" i="6"/>
  <c r="AI636" i="6"/>
  <c r="L1046" i="6"/>
  <c r="L1092" i="6" s="1"/>
  <c r="L1138" i="6" s="1"/>
  <c r="L1184" i="6" s="1"/>
  <c r="L1230" i="6" s="1"/>
  <c r="L1276" i="6" s="1"/>
  <c r="L1322" i="6" s="1"/>
  <c r="AT623" i="6"/>
  <c r="L1026" i="6"/>
  <c r="L1072" i="6" s="1"/>
  <c r="L1118" i="6" s="1"/>
  <c r="L1164" i="6" s="1"/>
  <c r="L1210" i="6" s="1"/>
  <c r="L1256" i="6" s="1"/>
  <c r="L1302" i="6" s="1"/>
  <c r="AT607" i="6"/>
  <c r="AJ1428" i="6"/>
  <c r="AR1428" i="6" s="1"/>
  <c r="F848" i="6"/>
  <c r="B802" i="6"/>
  <c r="F839" i="6"/>
  <c r="B793" i="6"/>
  <c r="AB1137" i="6"/>
  <c r="B737" i="6"/>
  <c r="F783" i="6"/>
  <c r="AB684" i="6"/>
  <c r="AB678" i="6"/>
  <c r="B825" i="6"/>
  <c r="F871" i="6"/>
  <c r="F888" i="6"/>
  <c r="B842" i="6"/>
  <c r="AR681" i="6"/>
  <c r="AR668" i="6"/>
  <c r="AR664" i="6"/>
  <c r="F916" i="6"/>
  <c r="B870" i="6"/>
  <c r="AG637" i="6"/>
  <c r="AW637" i="6"/>
  <c r="AG629" i="6"/>
  <c r="AW629" i="6"/>
  <c r="AG617" i="6"/>
  <c r="AG1132" i="6" s="1"/>
  <c r="AW617" i="6"/>
  <c r="AP651" i="6"/>
  <c r="AH651" i="6"/>
  <c r="AO651" i="6"/>
  <c r="AG651" i="6"/>
  <c r="AN651" i="6"/>
  <c r="AF651" i="6"/>
  <c r="AM651" i="6"/>
  <c r="AL651" i="6"/>
  <c r="AK651" i="6"/>
  <c r="AQ651" i="6"/>
  <c r="AI651" i="6"/>
  <c r="AJ651" i="6"/>
  <c r="AG1053" i="6"/>
  <c r="AG1045" i="6"/>
  <c r="AG1037" i="6"/>
  <c r="AG1025" i="6"/>
  <c r="AM1428" i="6"/>
  <c r="T400" i="6"/>
  <c r="AA400" i="6"/>
  <c r="S400" i="6"/>
  <c r="I446" i="6"/>
  <c r="Z400" i="6"/>
  <c r="R400" i="6"/>
  <c r="Y400" i="6"/>
  <c r="Q400" i="6"/>
  <c r="AH400" i="6"/>
  <c r="X400" i="6"/>
  <c r="P400" i="6"/>
  <c r="U400" i="6"/>
  <c r="AF400" i="6"/>
  <c r="W400" i="6"/>
  <c r="V400" i="6"/>
  <c r="AG400" i="6"/>
  <c r="J835" i="6"/>
  <c r="D789" i="6"/>
  <c r="AG1043" i="6"/>
  <c r="AH612" i="6"/>
  <c r="AX612" i="6"/>
  <c r="AH604" i="6"/>
  <c r="AX604" i="6"/>
  <c r="AH598" i="6"/>
  <c r="AX598" i="6"/>
  <c r="AB667" i="6"/>
  <c r="J440" i="6"/>
  <c r="AT440" i="6" s="1"/>
  <c r="AT394" i="6"/>
  <c r="AB358" i="6"/>
  <c r="AR674" i="6"/>
  <c r="AG1055" i="6"/>
  <c r="AG1101" i="6"/>
  <c r="AG1047" i="6"/>
  <c r="AG1093" i="6"/>
  <c r="AG1039" i="6"/>
  <c r="AG1085" i="6"/>
  <c r="AG1027" i="6"/>
  <c r="AG1073" i="6"/>
  <c r="Z403" i="6"/>
  <c r="R403" i="6"/>
  <c r="Y403" i="6"/>
  <c r="Q403" i="6"/>
  <c r="AH403" i="6"/>
  <c r="X403" i="6"/>
  <c r="P403" i="6"/>
  <c r="AG403" i="6"/>
  <c r="W403" i="6"/>
  <c r="I449" i="6"/>
  <c r="AF403" i="6"/>
  <c r="V403" i="6"/>
  <c r="AA403" i="6"/>
  <c r="S403" i="6"/>
  <c r="U403" i="6"/>
  <c r="T403" i="6"/>
  <c r="L1027" i="6"/>
  <c r="L1073" i="6" s="1"/>
  <c r="L1119" i="6" s="1"/>
  <c r="L1165" i="6" s="1"/>
  <c r="L1211" i="6" s="1"/>
  <c r="L1257" i="6" s="1"/>
  <c r="L1303" i="6" s="1"/>
  <c r="AT608" i="6"/>
  <c r="F425" i="6"/>
  <c r="B425" i="6" s="1"/>
  <c r="B379" i="6"/>
  <c r="B456" i="6"/>
  <c r="AH626" i="6"/>
  <c r="AX626" i="6"/>
  <c r="F451" i="6"/>
  <c r="B451" i="6" s="1"/>
  <c r="B405" i="6"/>
  <c r="B448" i="6"/>
  <c r="T316" i="6"/>
  <c r="X316" i="6"/>
  <c r="P316" i="6"/>
  <c r="Y316" i="6"/>
  <c r="W316" i="6"/>
  <c r="V316" i="6"/>
  <c r="U316" i="6"/>
  <c r="S316" i="6"/>
  <c r="R316" i="6"/>
  <c r="Z316" i="6"/>
  <c r="AA316" i="6"/>
  <c r="Q316" i="6"/>
  <c r="I460" i="6"/>
  <c r="AA414" i="6"/>
  <c r="S414" i="6"/>
  <c r="Z414" i="6"/>
  <c r="R414" i="6"/>
  <c r="AF414" i="6"/>
  <c r="V414" i="6"/>
  <c r="T414" i="6"/>
  <c r="W414" i="6"/>
  <c r="U414" i="6"/>
  <c r="Q414" i="6"/>
  <c r="P414" i="6"/>
  <c r="AG414" i="6"/>
  <c r="X414" i="6"/>
  <c r="Y414" i="6"/>
  <c r="B406" i="6"/>
  <c r="B398" i="6"/>
  <c r="AG1057" i="6"/>
  <c r="AG1021" i="6"/>
  <c r="B460" i="6"/>
  <c r="Y279" i="6"/>
  <c r="Q279" i="6"/>
  <c r="I325" i="6"/>
  <c r="Z279" i="6"/>
  <c r="P279" i="6"/>
  <c r="X279" i="6"/>
  <c r="W279" i="6"/>
  <c r="V279" i="6"/>
  <c r="U279" i="6"/>
  <c r="T279" i="6"/>
  <c r="AA279" i="6"/>
  <c r="R279" i="6"/>
  <c r="S279" i="6"/>
  <c r="F441" i="6"/>
  <c r="B395" i="6"/>
  <c r="AB268" i="6"/>
  <c r="J305" i="6"/>
  <c r="D305" i="6" s="1"/>
  <c r="D259" i="6"/>
  <c r="B248" i="6"/>
  <c r="F294" i="6"/>
  <c r="AP157" i="6"/>
  <c r="AH157" i="6"/>
  <c r="AM157" i="6"/>
  <c r="AK157" i="6"/>
  <c r="AQ157" i="6"/>
  <c r="AI157" i="6"/>
  <c r="AO157" i="6"/>
  <c r="AN157" i="6"/>
  <c r="AL157" i="6"/>
  <c r="AJ157" i="6"/>
  <c r="AG157" i="6"/>
  <c r="AF157" i="6"/>
  <c r="AB416" i="6"/>
  <c r="J315" i="6"/>
  <c r="D315" i="6" s="1"/>
  <c r="D269" i="6"/>
  <c r="J298" i="6"/>
  <c r="D298" i="6" s="1"/>
  <c r="D252" i="6"/>
  <c r="B241" i="6"/>
  <c r="F287" i="6"/>
  <c r="B287" i="6" s="1"/>
  <c r="AP169" i="6"/>
  <c r="AH169" i="6"/>
  <c r="AM169" i="6"/>
  <c r="AK169" i="6"/>
  <c r="AQ169" i="6"/>
  <c r="AI169" i="6"/>
  <c r="AG169" i="6"/>
  <c r="AO169" i="6"/>
  <c r="AN169" i="6"/>
  <c r="AL169" i="6"/>
  <c r="AJ169" i="6"/>
  <c r="AF169" i="6"/>
  <c r="AL159" i="6"/>
  <c r="AQ159" i="6"/>
  <c r="AI159" i="6"/>
  <c r="AO159" i="6"/>
  <c r="AG159" i="6"/>
  <c r="AM159" i="6"/>
  <c r="AP159" i="6"/>
  <c r="AN159" i="6"/>
  <c r="AK159" i="6"/>
  <c r="AJ159" i="6"/>
  <c r="AH159" i="6"/>
  <c r="AF159" i="6"/>
  <c r="AR144" i="6"/>
  <c r="B246" i="6"/>
  <c r="F292" i="6"/>
  <c r="B292" i="6" s="1"/>
  <c r="F322" i="6"/>
  <c r="B322" i="6" s="1"/>
  <c r="B276" i="6"/>
  <c r="AB241" i="6"/>
  <c r="F320" i="6"/>
  <c r="B320" i="6" s="1"/>
  <c r="B274" i="6"/>
  <c r="F312" i="6"/>
  <c r="B312" i="6" s="1"/>
  <c r="B266" i="6"/>
  <c r="AB203" i="6"/>
  <c r="AL151" i="6"/>
  <c r="AQ151" i="6"/>
  <c r="AI151" i="6"/>
  <c r="AO151" i="6"/>
  <c r="AG151" i="6"/>
  <c r="AM151" i="6"/>
  <c r="AP151" i="6"/>
  <c r="AF151" i="6"/>
  <c r="AN151" i="6"/>
  <c r="AK151" i="6"/>
  <c r="AJ151" i="6"/>
  <c r="AH151" i="6"/>
  <c r="AR147" i="6"/>
  <c r="AR143" i="6"/>
  <c r="J465" i="6"/>
  <c r="AT419" i="6"/>
  <c r="B419" i="6"/>
  <c r="T306" i="6"/>
  <c r="X306" i="6"/>
  <c r="P306" i="6"/>
  <c r="S306" i="6"/>
  <c r="R306" i="6"/>
  <c r="AA306" i="6"/>
  <c r="Q306" i="6"/>
  <c r="Z306" i="6"/>
  <c r="Y306" i="6"/>
  <c r="W306" i="6"/>
  <c r="U306" i="6"/>
  <c r="V306" i="6"/>
  <c r="AB254" i="6"/>
  <c r="AB242" i="6"/>
  <c r="J292" i="6"/>
  <c r="D292" i="6" s="1"/>
  <c r="D246" i="6"/>
  <c r="AN172" i="6"/>
  <c r="AF172" i="6"/>
  <c r="AK172" i="6"/>
  <c r="AQ172" i="6"/>
  <c r="AI172" i="6"/>
  <c r="AO172" i="6"/>
  <c r="AG172" i="6"/>
  <c r="AP172" i="6"/>
  <c r="AM172" i="6"/>
  <c r="AL172" i="6"/>
  <c r="AJ172" i="6"/>
  <c r="AH172" i="6"/>
  <c r="AB145" i="6"/>
  <c r="AF373" i="6"/>
  <c r="AH110" i="6"/>
  <c r="AH349" i="6" s="1"/>
  <c r="AX110" i="6"/>
  <c r="AH102" i="6"/>
  <c r="AH341" i="6" s="1"/>
  <c r="AX102" i="6"/>
  <c r="AG94" i="6"/>
  <c r="AG333" i="6" s="1"/>
  <c r="AW94" i="6"/>
  <c r="AX94" i="6" s="1"/>
  <c r="AY94" i="6" s="1"/>
  <c r="AB343" i="6"/>
  <c r="AB375" i="6"/>
  <c r="AB371" i="6"/>
  <c r="AB339" i="6"/>
  <c r="AB359" i="6"/>
  <c r="AB377" i="6"/>
  <c r="AB230" i="6"/>
  <c r="F459" i="6"/>
  <c r="B459" i="6" s="1"/>
  <c r="B413" i="6"/>
  <c r="AB229" i="6"/>
  <c r="J301" i="6"/>
  <c r="D301" i="6" s="1"/>
  <c r="D255" i="6"/>
  <c r="F290" i="6"/>
  <c r="B290" i="6" s="1"/>
  <c r="B244" i="6"/>
  <c r="I464" i="6"/>
  <c r="AA418" i="6"/>
  <c r="S418" i="6"/>
  <c r="Z418" i="6"/>
  <c r="R418" i="6"/>
  <c r="AF418" i="6"/>
  <c r="V418" i="6"/>
  <c r="T418" i="6"/>
  <c r="X418" i="6"/>
  <c r="W418" i="6"/>
  <c r="U418" i="6"/>
  <c r="Q418" i="6"/>
  <c r="P418" i="6"/>
  <c r="Y418" i="6"/>
  <c r="AG418" i="6"/>
  <c r="J286" i="6"/>
  <c r="D286" i="6" s="1"/>
  <c r="D240" i="6"/>
  <c r="F282" i="6"/>
  <c r="B282" i="6" s="1"/>
  <c r="B236" i="6"/>
  <c r="AB148" i="6"/>
  <c r="AB144" i="6"/>
  <c r="AR645" i="6"/>
  <c r="AB258" i="6"/>
  <c r="AB224" i="6"/>
  <c r="AN168" i="6"/>
  <c r="AF168" i="6"/>
  <c r="AK168" i="6"/>
  <c r="AQ168" i="6"/>
  <c r="AI168" i="6"/>
  <c r="AO168" i="6"/>
  <c r="AG168" i="6"/>
  <c r="AM168" i="6"/>
  <c r="AL168" i="6"/>
  <c r="AJ168" i="6"/>
  <c r="AH168" i="6"/>
  <c r="AP168" i="6"/>
  <c r="AF362" i="6"/>
  <c r="AF344" i="6"/>
  <c r="AX125" i="6"/>
  <c r="AH125" i="6"/>
  <c r="AH364" i="6" s="1"/>
  <c r="AL96" i="6"/>
  <c r="AB285" i="6"/>
  <c r="AX119" i="6"/>
  <c r="AH119" i="6"/>
  <c r="AH358" i="6" s="1"/>
  <c r="AH129" i="6"/>
  <c r="AH368" i="6" s="1"/>
  <c r="AX129" i="6"/>
  <c r="B2061" i="6"/>
  <c r="AK1949" i="6"/>
  <c r="AP1949" i="6"/>
  <c r="AG1949" i="6"/>
  <c r="AO1949" i="6"/>
  <c r="AF1949" i="6"/>
  <c r="AR1949" i="6" s="1"/>
  <c r="AN1949" i="6"/>
  <c r="AM1949" i="6"/>
  <c r="AL1949" i="6"/>
  <c r="AJ1949" i="6"/>
  <c r="AI1949" i="6"/>
  <c r="AQ1949" i="6"/>
  <c r="AH1949" i="6"/>
  <c r="AB1846" i="6"/>
  <c r="AB2082" i="6"/>
  <c r="AJ1906" i="6"/>
  <c r="AZ1906" i="6"/>
  <c r="R1832" i="6"/>
  <c r="R1833" i="6"/>
  <c r="R1890" i="6"/>
  <c r="R1834" i="6"/>
  <c r="AB1692" i="6"/>
  <c r="B1777" i="6"/>
  <c r="AG1792" i="6"/>
  <c r="W1792" i="6"/>
  <c r="AF1792" i="6"/>
  <c r="V1792" i="6"/>
  <c r="U1792" i="6"/>
  <c r="T1792" i="6"/>
  <c r="AA1792" i="6"/>
  <c r="S1792" i="6"/>
  <c r="Z1792" i="6"/>
  <c r="R1792" i="6"/>
  <c r="Y1792" i="6"/>
  <c r="Q1792" i="6"/>
  <c r="AH1792" i="6"/>
  <c r="X1792" i="6"/>
  <c r="P1792" i="6"/>
  <c r="I1801" i="6"/>
  <c r="AI1755" i="6"/>
  <c r="Y1755" i="6"/>
  <c r="Q1755" i="6"/>
  <c r="AH1755" i="6"/>
  <c r="X1755" i="6"/>
  <c r="P1755" i="6"/>
  <c r="AG1755" i="6"/>
  <c r="W1755" i="6"/>
  <c r="AF1755" i="6"/>
  <c r="V1755" i="6"/>
  <c r="U1755" i="6"/>
  <c r="T1755" i="6"/>
  <c r="AK1755" i="6"/>
  <c r="AA1755" i="6"/>
  <c r="S1755" i="6"/>
  <c r="R1755" i="6"/>
  <c r="AJ1755" i="6"/>
  <c r="Z1755" i="6"/>
  <c r="F1799" i="6"/>
  <c r="B1799" i="6" s="1"/>
  <c r="B1753" i="6"/>
  <c r="J1644" i="6"/>
  <c r="D1644" i="6" s="1"/>
  <c r="D1598" i="6"/>
  <c r="AN1496" i="6"/>
  <c r="AF1496" i="6"/>
  <c r="AM1496" i="6"/>
  <c r="AL1496" i="6"/>
  <c r="AP1496" i="6"/>
  <c r="AO1496" i="6"/>
  <c r="AK1496" i="6"/>
  <c r="AJ1496" i="6"/>
  <c r="AI1496" i="6"/>
  <c r="AH1496" i="6"/>
  <c r="AG1496" i="6"/>
  <c r="AQ1496" i="6"/>
  <c r="J1654" i="6"/>
  <c r="D1654" i="6" s="1"/>
  <c r="D1608" i="6"/>
  <c r="V2136" i="6"/>
  <c r="AB2136" i="6" s="1"/>
  <c r="B2141" i="6"/>
  <c r="T2040" i="6"/>
  <c r="Z2040" i="6"/>
  <c r="R2040" i="6"/>
  <c r="Y2040" i="6"/>
  <c r="Q2040" i="6"/>
  <c r="W2040" i="6"/>
  <c r="P2040" i="6"/>
  <c r="AB2040" i="6" s="1"/>
  <c r="AA2040" i="6"/>
  <c r="X2040" i="6"/>
  <c r="V2040" i="6"/>
  <c r="U2040" i="6"/>
  <c r="S2040" i="6"/>
  <c r="AB1989" i="6"/>
  <c r="AB2011" i="6"/>
  <c r="AF1894" i="6"/>
  <c r="AB1894" i="6"/>
  <c r="AI1930" i="6"/>
  <c r="AY1930" i="6"/>
  <c r="AM1890" i="6"/>
  <c r="BC1890" i="6"/>
  <c r="BD1890" i="6" s="1"/>
  <c r="BE1890" i="6" s="1"/>
  <c r="U2083" i="6"/>
  <c r="AK1890" i="6"/>
  <c r="AB1701" i="6"/>
  <c r="I1658" i="6"/>
  <c r="V1612" i="6"/>
  <c r="U1612" i="6"/>
  <c r="T1612" i="6"/>
  <c r="AA1612" i="6"/>
  <c r="S1612" i="6"/>
  <c r="Z1612" i="6"/>
  <c r="R1612" i="6"/>
  <c r="Y1612" i="6"/>
  <c r="Q1612" i="6"/>
  <c r="X1612" i="6"/>
  <c r="P1612" i="6"/>
  <c r="W1612" i="6"/>
  <c r="AA1778" i="6"/>
  <c r="S1778" i="6"/>
  <c r="Z1778" i="6"/>
  <c r="R1778" i="6"/>
  <c r="Y1778" i="6"/>
  <c r="Q1778" i="6"/>
  <c r="X1778" i="6"/>
  <c r="P1778" i="6"/>
  <c r="AG1778" i="6"/>
  <c r="W1778" i="6"/>
  <c r="AF1778" i="6"/>
  <c r="V1778" i="6"/>
  <c r="U1778" i="6"/>
  <c r="T1778" i="6"/>
  <c r="V1602" i="6"/>
  <c r="U1602" i="6"/>
  <c r="I1648" i="6"/>
  <c r="T1602" i="6"/>
  <c r="AA1602" i="6"/>
  <c r="S1602" i="6"/>
  <c r="Z1602" i="6"/>
  <c r="R1602" i="6"/>
  <c r="Y1602" i="6"/>
  <c r="Q1602" i="6"/>
  <c r="X1602" i="6"/>
  <c r="P1602" i="6"/>
  <c r="W1602" i="6"/>
  <c r="V1598" i="6"/>
  <c r="U1598" i="6"/>
  <c r="T1598" i="6"/>
  <c r="AA1598" i="6"/>
  <c r="S1598" i="6"/>
  <c r="Z1598" i="6"/>
  <c r="R1598" i="6"/>
  <c r="Y1598" i="6"/>
  <c r="Q1598" i="6"/>
  <c r="I1644" i="6"/>
  <c r="X1598" i="6"/>
  <c r="P1598" i="6"/>
  <c r="AB1598" i="6" s="1"/>
  <c r="W1598" i="6"/>
  <c r="V1594" i="6"/>
  <c r="U1594" i="6"/>
  <c r="I1640" i="6"/>
  <c r="T1594" i="6"/>
  <c r="AA1594" i="6"/>
  <c r="S1594" i="6"/>
  <c r="Z1594" i="6"/>
  <c r="R1594" i="6"/>
  <c r="Y1594" i="6"/>
  <c r="Q1594" i="6"/>
  <c r="X1594" i="6"/>
  <c r="P1594" i="6"/>
  <c r="W1594" i="6"/>
  <c r="V1590" i="6"/>
  <c r="U1590" i="6"/>
  <c r="T1590" i="6"/>
  <c r="AA1590" i="6"/>
  <c r="S1590" i="6"/>
  <c r="Z1590" i="6"/>
  <c r="R1590" i="6"/>
  <c r="Y1590" i="6"/>
  <c r="Q1590" i="6"/>
  <c r="I1636" i="6"/>
  <c r="X1590" i="6"/>
  <c r="P1590" i="6"/>
  <c r="W1590" i="6"/>
  <c r="AB1561" i="6"/>
  <c r="AH1447" i="6"/>
  <c r="AH1778" i="6" s="1"/>
  <c r="AX1447" i="6"/>
  <c r="AB1541" i="6"/>
  <c r="J1191" i="6"/>
  <c r="AT1145" i="6"/>
  <c r="J1195" i="6"/>
  <c r="AT1149" i="6"/>
  <c r="AE1180" i="6"/>
  <c r="AE1134" i="6"/>
  <c r="AE1226" i="6" s="1"/>
  <c r="AE1272" i="6" s="1"/>
  <c r="AE1318" i="6" s="1"/>
  <c r="AB2159" i="6"/>
  <c r="AB2152" i="6"/>
  <c r="AB2140" i="6"/>
  <c r="AI2165" i="6"/>
  <c r="Y2165" i="6"/>
  <c r="Q2165" i="6"/>
  <c r="AH2165" i="6"/>
  <c r="X2165" i="6"/>
  <c r="P2165" i="6"/>
  <c r="AG2165" i="6"/>
  <c r="W2165" i="6"/>
  <c r="U2165" i="6"/>
  <c r="T2165" i="6"/>
  <c r="S2165" i="6"/>
  <c r="AJ2165" i="6"/>
  <c r="R2165" i="6"/>
  <c r="AA2165" i="6"/>
  <c r="Z2165" i="6"/>
  <c r="AF2165" i="6"/>
  <c r="V2165" i="6"/>
  <c r="AB2124" i="6"/>
  <c r="AB2113" i="6"/>
  <c r="AB2109" i="6"/>
  <c r="AB2105" i="6"/>
  <c r="U2139" i="6"/>
  <c r="AA2139" i="6"/>
  <c r="S2139" i="6"/>
  <c r="X2139" i="6"/>
  <c r="P2139" i="6"/>
  <c r="AB2139" i="6" s="1"/>
  <c r="Z2139" i="6"/>
  <c r="Y2139" i="6"/>
  <c r="W2139" i="6"/>
  <c r="V2139" i="6"/>
  <c r="R2139" i="6"/>
  <c r="AG2139" i="6"/>
  <c r="Q2139" i="6"/>
  <c r="AF2139" i="6"/>
  <c r="T2139" i="6"/>
  <c r="AB2135" i="6"/>
  <c r="Y2158" i="6"/>
  <c r="Q2158" i="6"/>
  <c r="AG2158" i="6"/>
  <c r="W2158" i="6"/>
  <c r="S2158" i="6"/>
  <c r="R2158" i="6"/>
  <c r="AA2158" i="6"/>
  <c r="P2158" i="6"/>
  <c r="U2158" i="6"/>
  <c r="T2158" i="6"/>
  <c r="Z2158" i="6"/>
  <c r="AF2158" i="6"/>
  <c r="V2158" i="6"/>
  <c r="X2158" i="6"/>
  <c r="Y2154" i="6"/>
  <c r="Q2154" i="6"/>
  <c r="AG2154" i="6"/>
  <c r="W2154" i="6"/>
  <c r="U2154" i="6"/>
  <c r="AF2154" i="6"/>
  <c r="T2154" i="6"/>
  <c r="S2154" i="6"/>
  <c r="V2154" i="6"/>
  <c r="R2154" i="6"/>
  <c r="P2154" i="6"/>
  <c r="AA2154" i="6"/>
  <c r="Z2154" i="6"/>
  <c r="X2154" i="6"/>
  <c r="X2129" i="6"/>
  <c r="AB2097" i="6"/>
  <c r="W2069" i="6"/>
  <c r="AA2069" i="6"/>
  <c r="S2069" i="6"/>
  <c r="Z2069" i="6"/>
  <c r="R2069" i="6"/>
  <c r="R2075" i="6" s="1"/>
  <c r="Y2069" i="6"/>
  <c r="V2069" i="6"/>
  <c r="U2069" i="6"/>
  <c r="Q2069" i="6"/>
  <c r="X2069" i="6"/>
  <c r="T2069" i="6"/>
  <c r="P2069" i="6"/>
  <c r="T2035" i="6"/>
  <c r="Z2035" i="6"/>
  <c r="R2035" i="6"/>
  <c r="Y2035" i="6"/>
  <c r="Q2035" i="6"/>
  <c r="W2035" i="6"/>
  <c r="X2035" i="6"/>
  <c r="V2035" i="6"/>
  <c r="U2035" i="6"/>
  <c r="S2035" i="6"/>
  <c r="P2035" i="6"/>
  <c r="AA2035" i="6"/>
  <c r="AB2007" i="6"/>
  <c r="AR1939" i="6"/>
  <c r="AB2064" i="6"/>
  <c r="T2046" i="6"/>
  <c r="Z2046" i="6"/>
  <c r="R2046" i="6"/>
  <c r="Y2046" i="6"/>
  <c r="Q2046" i="6"/>
  <c r="W2046" i="6"/>
  <c r="P2046" i="6"/>
  <c r="AA2046" i="6"/>
  <c r="X2046" i="6"/>
  <c r="V2046" i="6"/>
  <c r="U2046" i="6"/>
  <c r="S2046" i="6"/>
  <c r="AB1990" i="6"/>
  <c r="T2037" i="6"/>
  <c r="Z2037" i="6"/>
  <c r="R2037" i="6"/>
  <c r="Y2037" i="6"/>
  <c r="Q2037" i="6"/>
  <c r="W2037" i="6"/>
  <c r="X2037" i="6"/>
  <c r="V2037" i="6"/>
  <c r="U2037" i="6"/>
  <c r="S2037" i="6"/>
  <c r="P2037" i="6"/>
  <c r="AA2037" i="6"/>
  <c r="AB1991" i="6"/>
  <c r="T2044" i="6"/>
  <c r="Z2044" i="6"/>
  <c r="R2044" i="6"/>
  <c r="Y2044" i="6"/>
  <c r="Q2044" i="6"/>
  <c r="W2044" i="6"/>
  <c r="P2044" i="6"/>
  <c r="AB2044" i="6" s="1"/>
  <c r="AA2044" i="6"/>
  <c r="X2044" i="6"/>
  <c r="V2044" i="6"/>
  <c r="U2044" i="6"/>
  <c r="S2044" i="6"/>
  <c r="AB2010" i="6"/>
  <c r="AB1949" i="6"/>
  <c r="AB1938" i="6"/>
  <c r="T2032" i="6"/>
  <c r="Z2032" i="6"/>
  <c r="R2032" i="6"/>
  <c r="Y2032" i="6"/>
  <c r="Q2032" i="6"/>
  <c r="W2032" i="6"/>
  <c r="P2032" i="6"/>
  <c r="AA2032" i="6"/>
  <c r="X2032" i="6"/>
  <c r="V2032" i="6"/>
  <c r="U2032" i="6"/>
  <c r="S2032" i="6"/>
  <c r="AB1987" i="6"/>
  <c r="P2090" i="6"/>
  <c r="AB2090" i="6" s="1"/>
  <c r="AF1897" i="6"/>
  <c r="AB1897" i="6"/>
  <c r="AF2081" i="6"/>
  <c r="AB2022" i="6"/>
  <c r="AB2104" i="6"/>
  <c r="AB2122" i="6"/>
  <c r="AB2045" i="6"/>
  <c r="AF2091" i="6"/>
  <c r="U2091" i="6"/>
  <c r="AK1898" i="6"/>
  <c r="P1835" i="6"/>
  <c r="AI1897" i="6"/>
  <c r="AB1731" i="6"/>
  <c r="AB1700" i="6"/>
  <c r="AB1740" i="6"/>
  <c r="J1802" i="6"/>
  <c r="AT1802" i="6" s="1"/>
  <c r="AT1756" i="6"/>
  <c r="AB1685" i="6"/>
  <c r="I1795" i="6"/>
  <c r="U1749" i="6"/>
  <c r="T1749" i="6"/>
  <c r="AA1749" i="6"/>
  <c r="S1749" i="6"/>
  <c r="Z1749" i="6"/>
  <c r="R1749" i="6"/>
  <c r="Y1749" i="6"/>
  <c r="Q1749" i="6"/>
  <c r="X1749" i="6"/>
  <c r="P1749" i="6"/>
  <c r="AG1749" i="6"/>
  <c r="W1749" i="6"/>
  <c r="AF1749" i="6"/>
  <c r="V1749" i="6"/>
  <c r="AB1741" i="6"/>
  <c r="X1719" i="6"/>
  <c r="P1719" i="6"/>
  <c r="AG1719" i="6"/>
  <c r="W1719" i="6"/>
  <c r="U1719" i="6"/>
  <c r="I1765" i="6"/>
  <c r="AA1719" i="6"/>
  <c r="S1719" i="6"/>
  <c r="V1719" i="6"/>
  <c r="T1719" i="6"/>
  <c r="R1719" i="6"/>
  <c r="Q1719" i="6"/>
  <c r="AF1719" i="6"/>
  <c r="Z1719" i="6"/>
  <c r="Y1719" i="6"/>
  <c r="J1789" i="6"/>
  <c r="AT1789" i="6" s="1"/>
  <c r="AT1743" i="6"/>
  <c r="AB1732" i="6"/>
  <c r="B1721" i="6"/>
  <c r="J1759" i="6"/>
  <c r="AT1759" i="6" s="1"/>
  <c r="AT1713" i="6"/>
  <c r="AB1771" i="6"/>
  <c r="F1795" i="6"/>
  <c r="B1795" i="6" s="1"/>
  <c r="B1749" i="6"/>
  <c r="B1770" i="6"/>
  <c r="J1768" i="6"/>
  <c r="AT1768" i="6" s="1"/>
  <c r="AT1722" i="6"/>
  <c r="I1634" i="6"/>
  <c r="V1588" i="6"/>
  <c r="U1588" i="6"/>
  <c r="T1588" i="6"/>
  <c r="AA1588" i="6"/>
  <c r="S1588" i="6"/>
  <c r="Z1588" i="6"/>
  <c r="R1588" i="6"/>
  <c r="Y1588" i="6"/>
  <c r="Q1588" i="6"/>
  <c r="X1588" i="6"/>
  <c r="P1588" i="6"/>
  <c r="W1588" i="6"/>
  <c r="F1791" i="6"/>
  <c r="B1791" i="6" s="1"/>
  <c r="B1745" i="6"/>
  <c r="J1659" i="6"/>
  <c r="D1659" i="6" s="1"/>
  <c r="D1613" i="6"/>
  <c r="B1599" i="6"/>
  <c r="J1635" i="6"/>
  <c r="D1635" i="6" s="1"/>
  <c r="D1589" i="6"/>
  <c r="B1583" i="6"/>
  <c r="V1593" i="6"/>
  <c r="U1593" i="6"/>
  <c r="T1593" i="6"/>
  <c r="AA1593" i="6"/>
  <c r="S1593" i="6"/>
  <c r="Z1593" i="6"/>
  <c r="R1593" i="6"/>
  <c r="Y1593" i="6"/>
  <c r="Q1593" i="6"/>
  <c r="X1593" i="6"/>
  <c r="P1593" i="6"/>
  <c r="I1639" i="6"/>
  <c r="W1593" i="6"/>
  <c r="B1613" i="6"/>
  <c r="J1636" i="6"/>
  <c r="D1636" i="6" s="1"/>
  <c r="D1590" i="6"/>
  <c r="AB1538" i="6"/>
  <c r="B1626" i="6"/>
  <c r="B1643" i="6"/>
  <c r="B1593" i="6"/>
  <c r="AB1543" i="6"/>
  <c r="AB1535" i="6"/>
  <c r="AB1530" i="6"/>
  <c r="AR1497" i="6"/>
  <c r="AB1505" i="6"/>
  <c r="F1636" i="6"/>
  <c r="B1636" i="6" s="1"/>
  <c r="B1590" i="6"/>
  <c r="AB1493" i="6"/>
  <c r="AR1476" i="6"/>
  <c r="AR1510" i="6"/>
  <c r="AP1493" i="6"/>
  <c r="AH1493" i="6"/>
  <c r="AO1493" i="6"/>
  <c r="AG1493" i="6"/>
  <c r="AN1493" i="6"/>
  <c r="AF1493" i="6"/>
  <c r="AQ1493" i="6"/>
  <c r="AM1493" i="6"/>
  <c r="AL1493" i="6"/>
  <c r="AK1493" i="6"/>
  <c r="AJ1493" i="6"/>
  <c r="AI1493" i="6"/>
  <c r="AQ1516" i="6"/>
  <c r="AI1516" i="6"/>
  <c r="AP1516" i="6"/>
  <c r="AH1516" i="6"/>
  <c r="AN1516" i="6"/>
  <c r="AF1516" i="6"/>
  <c r="AM1516" i="6"/>
  <c r="AL1516" i="6"/>
  <c r="AO1516" i="6"/>
  <c r="AK1516" i="6"/>
  <c r="AJ1516" i="6"/>
  <c r="AG1516" i="6"/>
  <c r="AF1702" i="6"/>
  <c r="AF1686" i="6"/>
  <c r="P1376" i="6"/>
  <c r="P1377" i="6"/>
  <c r="P1374" i="6"/>
  <c r="P1375" i="6"/>
  <c r="T1376" i="6"/>
  <c r="T1375" i="6"/>
  <c r="AH1441" i="6"/>
  <c r="AH1680" i="6" s="1"/>
  <c r="AX1441" i="6"/>
  <c r="AB1429" i="6"/>
  <c r="AF1429" i="6"/>
  <c r="AB1670" i="6"/>
  <c r="AB1537" i="6"/>
  <c r="AB1695" i="6"/>
  <c r="AB1699" i="6"/>
  <c r="AB1707" i="6"/>
  <c r="AA1370" i="6"/>
  <c r="J1187" i="6"/>
  <c r="AT1141" i="6"/>
  <c r="AB1076" i="6"/>
  <c r="I1198" i="6"/>
  <c r="Y1152" i="6"/>
  <c r="Q1152" i="6"/>
  <c r="X1152" i="6"/>
  <c r="P1152" i="6"/>
  <c r="AF1152" i="6"/>
  <c r="V1152" i="6"/>
  <c r="U1152" i="6"/>
  <c r="AA1152" i="6"/>
  <c r="S1152" i="6"/>
  <c r="AG1152" i="6"/>
  <c r="Z1152" i="6"/>
  <c r="W1152" i="6"/>
  <c r="T1152" i="6"/>
  <c r="R1152" i="6"/>
  <c r="AB1100" i="6"/>
  <c r="AB1094" i="6"/>
  <c r="I1184" i="6"/>
  <c r="AF1138" i="6"/>
  <c r="V1138" i="6"/>
  <c r="AA1138" i="6"/>
  <c r="S1138" i="6"/>
  <c r="AG1138" i="6"/>
  <c r="T1138" i="6"/>
  <c r="R1138" i="6"/>
  <c r="Q1138" i="6"/>
  <c r="Z1138" i="6"/>
  <c r="P1138" i="6"/>
  <c r="AB1138" i="6" s="1"/>
  <c r="Y1138" i="6"/>
  <c r="X1138" i="6"/>
  <c r="W1138" i="6"/>
  <c r="U1138" i="6"/>
  <c r="AB1081" i="6"/>
  <c r="AE1191" i="6"/>
  <c r="AE1145" i="6"/>
  <c r="AE1237" i="6" s="1"/>
  <c r="AE1283" i="6" s="1"/>
  <c r="AE1329" i="6" s="1"/>
  <c r="AE1182" i="6"/>
  <c r="AE1136" i="6"/>
  <c r="AE1228" i="6" s="1"/>
  <c r="AE1274" i="6" s="1"/>
  <c r="AE1320" i="6" s="1"/>
  <c r="J1235" i="6"/>
  <c r="AT1189" i="6"/>
  <c r="AB1134" i="6"/>
  <c r="I1158" i="6"/>
  <c r="AA1112" i="6"/>
  <c r="S1112" i="6"/>
  <c r="Z1112" i="6"/>
  <c r="R1112" i="6"/>
  <c r="AI1112" i="6"/>
  <c r="Y1112" i="6"/>
  <c r="Q1112" i="6"/>
  <c r="AH1112" i="6"/>
  <c r="X1112" i="6"/>
  <c r="P1112" i="6"/>
  <c r="AB1112" i="6" s="1"/>
  <c r="AG1112" i="6"/>
  <c r="W1112" i="6"/>
  <c r="AF1112" i="6"/>
  <c r="V1112" i="6"/>
  <c r="U1112" i="6"/>
  <c r="T1112" i="6"/>
  <c r="F1156" i="6"/>
  <c r="B1110" i="6"/>
  <c r="J1114" i="6"/>
  <c r="AT1068" i="6"/>
  <c r="AB1063" i="6"/>
  <c r="AB1080" i="6"/>
  <c r="J1119" i="6"/>
  <c r="AT1073" i="6"/>
  <c r="AB1068" i="6"/>
  <c r="B1086" i="6"/>
  <c r="J1116" i="6"/>
  <c r="AT1070" i="6"/>
  <c r="AB1065" i="6"/>
  <c r="B1079" i="6"/>
  <c r="AE1177" i="6"/>
  <c r="AE1131" i="6"/>
  <c r="AE1223" i="6" s="1"/>
  <c r="AE1269" i="6" s="1"/>
  <c r="AE1315" i="6" s="1"/>
  <c r="AE1173" i="6"/>
  <c r="AE1127" i="6"/>
  <c r="AE1219" i="6" s="1"/>
  <c r="AE1265" i="6" s="1"/>
  <c r="AE1311" i="6" s="1"/>
  <c r="F1155" i="6"/>
  <c r="B1109" i="6"/>
  <c r="I1236" i="6"/>
  <c r="AQ1190" i="6"/>
  <c r="AI1190" i="6"/>
  <c r="Y1190" i="6"/>
  <c r="Q1190" i="6"/>
  <c r="AN1190" i="6"/>
  <c r="AF1190" i="6"/>
  <c r="V1190" i="6"/>
  <c r="AM1190" i="6"/>
  <c r="AA1190" i="6"/>
  <c r="P1190" i="6"/>
  <c r="AL1190" i="6"/>
  <c r="Z1190" i="6"/>
  <c r="AK1190" i="6"/>
  <c r="X1190" i="6"/>
  <c r="AJ1190" i="6"/>
  <c r="W1190" i="6"/>
  <c r="AH1190" i="6"/>
  <c r="U1190" i="6"/>
  <c r="AG1190" i="6"/>
  <c r="T1190" i="6"/>
  <c r="AO1190" i="6"/>
  <c r="R1190" i="6"/>
  <c r="S1190" i="6"/>
  <c r="AP1190" i="6"/>
  <c r="I1156" i="6"/>
  <c r="AA1110" i="6"/>
  <c r="S1110" i="6"/>
  <c r="Z1110" i="6"/>
  <c r="R1110" i="6"/>
  <c r="AI1110" i="6"/>
  <c r="Y1110" i="6"/>
  <c r="Q1110" i="6"/>
  <c r="AH1110" i="6"/>
  <c r="X1110" i="6"/>
  <c r="P1110" i="6"/>
  <c r="AG1110" i="6"/>
  <c r="W1110" i="6"/>
  <c r="AF1110" i="6"/>
  <c r="V1110" i="6"/>
  <c r="U1110" i="6"/>
  <c r="T1110" i="6"/>
  <c r="F1195" i="6"/>
  <c r="B1149" i="6"/>
  <c r="F1189" i="6"/>
  <c r="B1143" i="6"/>
  <c r="F1184" i="6"/>
  <c r="B1138" i="6"/>
  <c r="B1083" i="6"/>
  <c r="B1077" i="6"/>
  <c r="Z778" i="6"/>
  <c r="R778" i="6"/>
  <c r="Y778" i="6"/>
  <c r="Q778" i="6"/>
  <c r="X778" i="6"/>
  <c r="P778" i="6"/>
  <c r="W778" i="6"/>
  <c r="V778" i="6"/>
  <c r="U778" i="6"/>
  <c r="AA778" i="6"/>
  <c r="S778" i="6"/>
  <c r="T778" i="6"/>
  <c r="I824" i="6"/>
  <c r="Z746" i="6"/>
  <c r="R746" i="6"/>
  <c r="Y746" i="6"/>
  <c r="Q746" i="6"/>
  <c r="I792" i="6"/>
  <c r="X746" i="6"/>
  <c r="P746" i="6"/>
  <c r="W746" i="6"/>
  <c r="V746" i="6"/>
  <c r="U746" i="6"/>
  <c r="AA746" i="6"/>
  <c r="S746" i="6"/>
  <c r="T746" i="6"/>
  <c r="T753" i="6"/>
  <c r="AA753" i="6"/>
  <c r="S753" i="6"/>
  <c r="Z753" i="6"/>
  <c r="R753" i="6"/>
  <c r="Y753" i="6"/>
  <c r="Q753" i="6"/>
  <c r="I799" i="6"/>
  <c r="X753" i="6"/>
  <c r="P753" i="6"/>
  <c r="W753" i="6"/>
  <c r="U753" i="6"/>
  <c r="V753" i="6"/>
  <c r="AB719" i="6"/>
  <c r="F1227" i="6"/>
  <c r="B1181" i="6"/>
  <c r="AR679" i="6"/>
  <c r="B749" i="6"/>
  <c r="F795" i="6"/>
  <c r="J838" i="6"/>
  <c r="B838" i="6" s="1"/>
  <c r="D792" i="6"/>
  <c r="T737" i="6"/>
  <c r="AA737" i="6"/>
  <c r="S737" i="6"/>
  <c r="Z737" i="6"/>
  <c r="R737" i="6"/>
  <c r="Y737" i="6"/>
  <c r="Q737" i="6"/>
  <c r="I783" i="6"/>
  <c r="X737" i="6"/>
  <c r="P737" i="6"/>
  <c r="W737" i="6"/>
  <c r="U737" i="6"/>
  <c r="V737" i="6"/>
  <c r="AB652" i="6"/>
  <c r="AR642" i="6"/>
  <c r="AR1080" i="6"/>
  <c r="AR1077" i="6"/>
  <c r="AB1030" i="6"/>
  <c r="AB1075" i="6"/>
  <c r="AR1032" i="6"/>
  <c r="F844" i="6"/>
  <c r="B798" i="6"/>
  <c r="AB701" i="6"/>
  <c r="L1044" i="6"/>
  <c r="L1090" i="6" s="1"/>
  <c r="L1136" i="6" s="1"/>
  <c r="L1182" i="6" s="1"/>
  <c r="L1228" i="6" s="1"/>
  <c r="L1274" i="6" s="1"/>
  <c r="L1320" i="6" s="1"/>
  <c r="AT621" i="6"/>
  <c r="L1024" i="6"/>
  <c r="L1070" i="6" s="1"/>
  <c r="L1116" i="6" s="1"/>
  <c r="L1162" i="6" s="1"/>
  <c r="L1208" i="6" s="1"/>
  <c r="L1254" i="6" s="1"/>
  <c r="L1300" i="6" s="1"/>
  <c r="AT605" i="6"/>
  <c r="X775" i="6"/>
  <c r="P775" i="6"/>
  <c r="W775" i="6"/>
  <c r="V775" i="6"/>
  <c r="I821" i="6"/>
  <c r="U775" i="6"/>
  <c r="T775" i="6"/>
  <c r="AA775" i="6"/>
  <c r="S775" i="6"/>
  <c r="Y775" i="6"/>
  <c r="Q775" i="6"/>
  <c r="R775" i="6"/>
  <c r="Z775" i="6"/>
  <c r="AB681" i="6"/>
  <c r="AR665" i="6"/>
  <c r="B820" i="6"/>
  <c r="J868" i="6"/>
  <c r="D822" i="6"/>
  <c r="J860" i="6"/>
  <c r="D814" i="6"/>
  <c r="V545" i="6"/>
  <c r="V541" i="6"/>
  <c r="V546" i="6"/>
  <c r="V542" i="6"/>
  <c r="V543" i="6"/>
  <c r="V539" i="6"/>
  <c r="V544" i="6"/>
  <c r="V540" i="6"/>
  <c r="V748" i="6"/>
  <c r="U748" i="6"/>
  <c r="T748" i="6"/>
  <c r="AA748" i="6"/>
  <c r="S748" i="6"/>
  <c r="Z748" i="6"/>
  <c r="R748" i="6"/>
  <c r="Y748" i="6"/>
  <c r="Q748" i="6"/>
  <c r="W748" i="6"/>
  <c r="X748" i="6"/>
  <c r="I794" i="6"/>
  <c r="P748" i="6"/>
  <c r="AB679" i="6"/>
  <c r="Q519" i="6"/>
  <c r="B753" i="6"/>
  <c r="F799" i="6"/>
  <c r="D815" i="6"/>
  <c r="J861" i="6"/>
  <c r="D807" i="6"/>
  <c r="J853" i="6"/>
  <c r="AG635" i="6"/>
  <c r="AW635" i="6"/>
  <c r="AG627" i="6"/>
  <c r="AW627" i="6"/>
  <c r="AG615" i="6"/>
  <c r="AW615" i="6"/>
  <c r="AL1428" i="6"/>
  <c r="AB534" i="6"/>
  <c r="L1017" i="6"/>
  <c r="L1063" i="6" s="1"/>
  <c r="L1109" i="6" s="1"/>
  <c r="L1155" i="6" s="1"/>
  <c r="L1201" i="6" s="1"/>
  <c r="L1247" i="6" s="1"/>
  <c r="L1293" i="6" s="1"/>
  <c r="AT598" i="6"/>
  <c r="AL658" i="6"/>
  <c r="AK658" i="6"/>
  <c r="AJ658" i="6"/>
  <c r="AI658" i="6"/>
  <c r="AQ658" i="6"/>
  <c r="AH658" i="6"/>
  <c r="AP658" i="6"/>
  <c r="AG658" i="6"/>
  <c r="AO658" i="6"/>
  <c r="AF658" i="6"/>
  <c r="AM658" i="6"/>
  <c r="AN658" i="6"/>
  <c r="AB702" i="6"/>
  <c r="AL662" i="6"/>
  <c r="AK662" i="6"/>
  <c r="AJ662" i="6"/>
  <c r="AI662" i="6"/>
  <c r="AQ662" i="6"/>
  <c r="AH662" i="6"/>
  <c r="AP662" i="6"/>
  <c r="AG662" i="6"/>
  <c r="AO662" i="6"/>
  <c r="AF662" i="6"/>
  <c r="AM662" i="6"/>
  <c r="AN662" i="6"/>
  <c r="AG1035" i="6"/>
  <c r="AG1023" i="6"/>
  <c r="AG1017" i="6"/>
  <c r="J436" i="6"/>
  <c r="AT436" i="6" s="1"/>
  <c r="AT390" i="6"/>
  <c r="Z399" i="6"/>
  <c r="R399" i="6"/>
  <c r="I445" i="6"/>
  <c r="Y399" i="6"/>
  <c r="Q399" i="6"/>
  <c r="AH399" i="6"/>
  <c r="X399" i="6"/>
  <c r="P399" i="6"/>
  <c r="AG399" i="6"/>
  <c r="W399" i="6"/>
  <c r="AF399" i="6"/>
  <c r="V399" i="6"/>
  <c r="AA399" i="6"/>
  <c r="S399" i="6"/>
  <c r="U399" i="6"/>
  <c r="T399" i="6"/>
  <c r="B464" i="6"/>
  <c r="T321" i="6"/>
  <c r="X321" i="6"/>
  <c r="P321" i="6"/>
  <c r="V321" i="6"/>
  <c r="U321" i="6"/>
  <c r="S321" i="6"/>
  <c r="R321" i="6"/>
  <c r="AA321" i="6"/>
  <c r="Q321" i="6"/>
  <c r="Z321" i="6"/>
  <c r="W321" i="6"/>
  <c r="Y321" i="6"/>
  <c r="AG1049" i="6"/>
  <c r="P535" i="6"/>
  <c r="AQ1428" i="6"/>
  <c r="AQ1759" i="6" s="1"/>
  <c r="B452" i="6"/>
  <c r="J435" i="6"/>
  <c r="AT435" i="6" s="1"/>
  <c r="AT389" i="6"/>
  <c r="Y447" i="6"/>
  <c r="Q447" i="6"/>
  <c r="AH447" i="6"/>
  <c r="X447" i="6"/>
  <c r="P447" i="6"/>
  <c r="AB447" i="6" s="1"/>
  <c r="AF447" i="6"/>
  <c r="V447" i="6"/>
  <c r="T447" i="6"/>
  <c r="Z447" i="6"/>
  <c r="R447" i="6"/>
  <c r="S447" i="6"/>
  <c r="AG447" i="6"/>
  <c r="U447" i="6"/>
  <c r="AA447" i="6"/>
  <c r="W447" i="6"/>
  <c r="J431" i="6"/>
  <c r="AT431" i="6" s="1"/>
  <c r="AT385" i="6"/>
  <c r="AB706" i="6"/>
  <c r="I456" i="6"/>
  <c r="AA410" i="6"/>
  <c r="S410" i="6"/>
  <c r="Z410" i="6"/>
  <c r="R410" i="6"/>
  <c r="AF410" i="6"/>
  <c r="V410" i="6"/>
  <c r="T410" i="6"/>
  <c r="U410" i="6"/>
  <c r="Q410" i="6"/>
  <c r="AH410" i="6"/>
  <c r="P410" i="6"/>
  <c r="AG410" i="6"/>
  <c r="W410" i="6"/>
  <c r="X410" i="6"/>
  <c r="Y410" i="6"/>
  <c r="Y277" i="6"/>
  <c r="Q277" i="6"/>
  <c r="S277" i="6"/>
  <c r="AA277" i="6"/>
  <c r="R277" i="6"/>
  <c r="Z277" i="6"/>
  <c r="P277" i="6"/>
  <c r="X277" i="6"/>
  <c r="I323" i="6"/>
  <c r="W277" i="6"/>
  <c r="V277" i="6"/>
  <c r="T277" i="6"/>
  <c r="U277" i="6"/>
  <c r="AB393" i="6"/>
  <c r="AB261" i="6"/>
  <c r="AB225" i="6"/>
  <c r="AB264" i="6"/>
  <c r="AB248" i="6"/>
  <c r="AB218" i="6"/>
  <c r="AN180" i="6"/>
  <c r="AF180" i="6"/>
  <c r="AK180" i="6"/>
  <c r="AQ180" i="6"/>
  <c r="AI180" i="6"/>
  <c r="AO180" i="6"/>
  <c r="AG180" i="6"/>
  <c r="AP180" i="6"/>
  <c r="AM180" i="6"/>
  <c r="AL180" i="6"/>
  <c r="AJ180" i="6"/>
  <c r="AH180" i="6"/>
  <c r="AB223" i="6"/>
  <c r="AB350" i="6"/>
  <c r="T396" i="6"/>
  <c r="AA396" i="6"/>
  <c r="S396" i="6"/>
  <c r="Z396" i="6"/>
  <c r="R396" i="6"/>
  <c r="I442" i="6"/>
  <c r="Y396" i="6"/>
  <c r="Q396" i="6"/>
  <c r="X396" i="6"/>
  <c r="P396" i="6"/>
  <c r="U396" i="6"/>
  <c r="AG396" i="6"/>
  <c r="AF396" i="6"/>
  <c r="W396" i="6"/>
  <c r="V396" i="6"/>
  <c r="AB232" i="6"/>
  <c r="AB227" i="6"/>
  <c r="J299" i="6"/>
  <c r="D299" i="6" s="1"/>
  <c r="D253" i="6"/>
  <c r="F288" i="6"/>
  <c r="B288" i="6" s="1"/>
  <c r="B242" i="6"/>
  <c r="AL155" i="6"/>
  <c r="AQ155" i="6"/>
  <c r="AI155" i="6"/>
  <c r="AO155" i="6"/>
  <c r="AG155" i="6"/>
  <c r="AM155" i="6"/>
  <c r="AJ155" i="6"/>
  <c r="AH155" i="6"/>
  <c r="AF155" i="6"/>
  <c r="AP155" i="6"/>
  <c r="AN155" i="6"/>
  <c r="AK155" i="6"/>
  <c r="F321" i="6"/>
  <c r="B321" i="6" s="1"/>
  <c r="B275" i="6"/>
  <c r="AB212" i="6"/>
  <c r="AL183" i="6"/>
  <c r="AQ183" i="6"/>
  <c r="AI183" i="6"/>
  <c r="AO183" i="6"/>
  <c r="AG183" i="6"/>
  <c r="AM183" i="6"/>
  <c r="AP183" i="6"/>
  <c r="AN183" i="6"/>
  <c r="AK183" i="6"/>
  <c r="AJ183" i="6"/>
  <c r="AH183" i="6"/>
  <c r="AF183" i="6"/>
  <c r="AB168" i="6"/>
  <c r="AX132" i="6"/>
  <c r="AH132" i="6"/>
  <c r="AH463" i="6" s="1"/>
  <c r="AH124" i="6"/>
  <c r="AX124" i="6"/>
  <c r="AH117" i="6"/>
  <c r="AH356" i="6" s="1"/>
  <c r="AX117" i="6"/>
  <c r="AI599" i="6"/>
  <c r="AY599" i="6"/>
  <c r="T303" i="6"/>
  <c r="X303" i="6"/>
  <c r="P303" i="6"/>
  <c r="AA303" i="6"/>
  <c r="Q303" i="6"/>
  <c r="Z303" i="6"/>
  <c r="Y303" i="6"/>
  <c r="W303" i="6"/>
  <c r="V303" i="6"/>
  <c r="U303" i="6"/>
  <c r="R303" i="6"/>
  <c r="S303" i="6"/>
  <c r="AB249" i="6"/>
  <c r="AB221" i="6"/>
  <c r="AB207" i="6"/>
  <c r="F315" i="6"/>
  <c r="B269" i="6"/>
  <c r="AB206" i="6"/>
  <c r="T309" i="6"/>
  <c r="X309" i="6"/>
  <c r="P309" i="6"/>
  <c r="V309" i="6"/>
  <c r="U309" i="6"/>
  <c r="S309" i="6"/>
  <c r="R309" i="6"/>
  <c r="AA309" i="6"/>
  <c r="Q309" i="6"/>
  <c r="Z309" i="6"/>
  <c r="W309" i="6"/>
  <c r="Y309" i="6"/>
  <c r="J320" i="6"/>
  <c r="D320" i="6" s="1"/>
  <c r="D274" i="6"/>
  <c r="F309" i="6"/>
  <c r="B309" i="6" s="1"/>
  <c r="B263" i="6"/>
  <c r="AB200" i="6"/>
  <c r="AB318" i="6"/>
  <c r="AZ135" i="6"/>
  <c r="AJ135" i="6"/>
  <c r="AJ374" i="6" s="1"/>
  <c r="AH107" i="6"/>
  <c r="AH346" i="6" s="1"/>
  <c r="AX107" i="6"/>
  <c r="N23" i="10" l="1"/>
  <c r="N24" i="10" s="1"/>
  <c r="L58" i="5"/>
  <c r="L59" i="5" s="1"/>
  <c r="N25" i="10"/>
  <c r="N26" i="10" s="1"/>
  <c r="P25" i="10"/>
  <c r="P26" i="10" s="1"/>
  <c r="Q42" i="10"/>
  <c r="Q43" i="10" s="1"/>
  <c r="L25" i="10"/>
  <c r="L26" i="10" s="1"/>
  <c r="G42" i="10"/>
  <c r="G43" i="10" s="1"/>
  <c r="I42" i="10"/>
  <c r="I43" i="10" s="1"/>
  <c r="I25" i="10"/>
  <c r="I26" i="10" s="1"/>
  <c r="N36" i="5"/>
  <c r="N37" i="5" s="1"/>
  <c r="Q25" i="10"/>
  <c r="Q26" i="10" s="1"/>
  <c r="J25" i="10"/>
  <c r="J26" i="10" s="1"/>
  <c r="K42" i="10"/>
  <c r="K43" i="10" s="1"/>
  <c r="M58" i="5"/>
  <c r="M59" i="5" s="1"/>
  <c r="R47" i="10"/>
  <c r="O25" i="10"/>
  <c r="O26" i="10" s="1"/>
  <c r="H25" i="10"/>
  <c r="H26" i="10" s="1"/>
  <c r="G25" i="10"/>
  <c r="G26" i="10" s="1"/>
  <c r="P42" i="10"/>
  <c r="P43" i="10" s="1"/>
  <c r="H42" i="10"/>
  <c r="H43" i="10" s="1"/>
  <c r="M42" i="10"/>
  <c r="M43" i="10" s="1"/>
  <c r="F42" i="10"/>
  <c r="F43" i="10" s="1"/>
  <c r="F25" i="10"/>
  <c r="F26" i="10" s="1"/>
  <c r="M25" i="10"/>
  <c r="M26" i="10" s="1"/>
  <c r="O42" i="10"/>
  <c r="O43" i="10" s="1"/>
  <c r="K29" i="9"/>
  <c r="L42" i="10"/>
  <c r="L43" i="10" s="1"/>
  <c r="J42" i="10"/>
  <c r="J43" i="10" s="1"/>
  <c r="K25" i="10"/>
  <c r="K26" i="10" s="1"/>
  <c r="R25" i="10"/>
  <c r="R26" i="10" s="1"/>
  <c r="AH390" i="6"/>
  <c r="R49" i="10"/>
  <c r="AH396" i="6"/>
  <c r="AB392" i="6"/>
  <c r="Q53" i="10"/>
  <c r="Q54" i="10" s="1"/>
  <c r="O29" i="9"/>
  <c r="P31" i="9"/>
  <c r="K31" i="9"/>
  <c r="L53" i="10"/>
  <c r="L54" i="10" s="1"/>
  <c r="J29" i="9"/>
  <c r="Q69" i="5"/>
  <c r="Q70" i="5" s="1"/>
  <c r="H27" i="9"/>
  <c r="E29" i="9"/>
  <c r="L29" i="9"/>
  <c r="O31" i="9"/>
  <c r="J36" i="5"/>
  <c r="J37" i="5" s="1"/>
  <c r="F53" i="10"/>
  <c r="F54" i="10" s="1"/>
  <c r="H53" i="10"/>
  <c r="H54" i="10" s="1"/>
  <c r="K58" i="5"/>
  <c r="K59" i="5" s="1"/>
  <c r="R7" i="10"/>
  <c r="M11" i="10"/>
  <c r="I11" i="10"/>
  <c r="H11" i="10"/>
  <c r="P11" i="10"/>
  <c r="O11" i="10"/>
  <c r="N11" i="10"/>
  <c r="Q11" i="10"/>
  <c r="R15" i="10"/>
  <c r="R16" i="10" s="1"/>
  <c r="L11" i="10"/>
  <c r="F11" i="10"/>
  <c r="AB431" i="6"/>
  <c r="P29" i="9"/>
  <c r="E31" i="9"/>
  <c r="R58" i="5"/>
  <c r="R59" i="5" s="1"/>
  <c r="F29" i="9"/>
  <c r="G47" i="5"/>
  <c r="G48" i="5" s="1"/>
  <c r="L47" i="5"/>
  <c r="L48" i="5" s="1"/>
  <c r="N47" i="5"/>
  <c r="N48" i="5" s="1"/>
  <c r="H69" i="5"/>
  <c r="H70" i="5" s="1"/>
  <c r="L36" i="5"/>
  <c r="L37" i="5" s="1"/>
  <c r="G69" i="5"/>
  <c r="G70" i="5" s="1"/>
  <c r="I29" i="9"/>
  <c r="Q29" i="9"/>
  <c r="Q30" i="9" s="1"/>
  <c r="N53" i="10"/>
  <c r="N54" i="10" s="1"/>
  <c r="H29" i="9"/>
  <c r="G58" i="5"/>
  <c r="G59" i="5" s="1"/>
  <c r="P69" i="5"/>
  <c r="P70" i="5" s="1"/>
  <c r="Q36" i="5"/>
  <c r="Q37" i="5" s="1"/>
  <c r="I58" i="5"/>
  <c r="I59" i="5" s="1"/>
  <c r="I27" i="9"/>
  <c r="H58" i="5"/>
  <c r="H59" i="5" s="1"/>
  <c r="H36" i="5"/>
  <c r="H37" i="5" s="1"/>
  <c r="N27" i="9"/>
  <c r="G31" i="9"/>
  <c r="M47" i="5"/>
  <c r="M48" i="5" s="1"/>
  <c r="L31" i="9"/>
  <c r="E27" i="9"/>
  <c r="P58" i="5"/>
  <c r="P59" i="5" s="1"/>
  <c r="O69" i="5"/>
  <c r="O70" i="5" s="1"/>
  <c r="I36" i="5"/>
  <c r="I37" i="5" s="1"/>
  <c r="M31" i="9"/>
  <c r="L69" i="5"/>
  <c r="L70" i="5" s="1"/>
  <c r="N29" i="9"/>
  <c r="O47" i="5"/>
  <c r="O48" i="5" s="1"/>
  <c r="F27" i="9"/>
  <c r="K53" i="10"/>
  <c r="K54" i="10" s="1"/>
  <c r="O27" i="9"/>
  <c r="F69" i="5"/>
  <c r="F70" i="5" s="1"/>
  <c r="H31" i="9"/>
  <c r="J31" i="9"/>
  <c r="O53" i="10"/>
  <c r="O54" i="10" s="1"/>
  <c r="I47" i="5"/>
  <c r="I48" i="5" s="1"/>
  <c r="F58" i="5"/>
  <c r="F59" i="5" s="1"/>
  <c r="G53" i="10"/>
  <c r="G54" i="10" s="1"/>
  <c r="Q58" i="5"/>
  <c r="Q59" i="5" s="1"/>
  <c r="K36" i="5"/>
  <c r="K37" i="5" s="1"/>
  <c r="I53" i="10"/>
  <c r="I54" i="10" s="1"/>
  <c r="G29" i="9"/>
  <c r="K47" i="5"/>
  <c r="K48" i="5" s="1"/>
  <c r="Q47" i="5"/>
  <c r="Q48" i="5" s="1"/>
  <c r="L27" i="9"/>
  <c r="O36" i="5"/>
  <c r="O37" i="5" s="1"/>
  <c r="J69" i="5"/>
  <c r="J70" i="5" s="1"/>
  <c r="F47" i="5"/>
  <c r="F48" i="5" s="1"/>
  <c r="P47" i="5"/>
  <c r="P48" i="5" s="1"/>
  <c r="P27" i="9"/>
  <c r="R36" i="5"/>
  <c r="R37" i="5" s="1"/>
  <c r="K69" i="5"/>
  <c r="K70" i="5" s="1"/>
  <c r="M27" i="9"/>
  <c r="N69" i="5"/>
  <c r="N70" i="5" s="1"/>
  <c r="N58" i="5"/>
  <c r="N59" i="5" s="1"/>
  <c r="G27" i="9"/>
  <c r="H47" i="5"/>
  <c r="H48" i="5" s="1"/>
  <c r="M29" i="9"/>
  <c r="J47" i="5"/>
  <c r="J48" i="5" s="1"/>
  <c r="O58" i="5"/>
  <c r="O59" i="5" s="1"/>
  <c r="M69" i="5"/>
  <c r="M70" i="5" s="1"/>
  <c r="I31" i="9"/>
  <c r="F36" i="5"/>
  <c r="F37" i="5" s="1"/>
  <c r="F31" i="9"/>
  <c r="R69" i="5"/>
  <c r="R70" i="5" s="1"/>
  <c r="P36" i="5"/>
  <c r="P37" i="5" s="1"/>
  <c r="N31" i="9"/>
  <c r="P53" i="10"/>
  <c r="P54" i="10" s="1"/>
  <c r="J58" i="5"/>
  <c r="J59" i="5" s="1"/>
  <c r="J27" i="9"/>
  <c r="M53" i="10"/>
  <c r="M54" i="10" s="1"/>
  <c r="M36" i="5"/>
  <c r="M37" i="5" s="1"/>
  <c r="K27" i="9"/>
  <c r="R47" i="5"/>
  <c r="R48" i="5" s="1"/>
  <c r="I69" i="5"/>
  <c r="I70" i="5" s="1"/>
  <c r="G36" i="5"/>
  <c r="G37" i="5" s="1"/>
  <c r="J53" i="10"/>
  <c r="J54" i="10" s="1"/>
  <c r="AA328" i="6"/>
  <c r="AB1378" i="6"/>
  <c r="U1374" i="6"/>
  <c r="U1378" i="6" s="1"/>
  <c r="X1374" i="6"/>
  <c r="T1374" i="6"/>
  <c r="X1634" i="6"/>
  <c r="P1634" i="6"/>
  <c r="T1634" i="6"/>
  <c r="S1634" i="6"/>
  <c r="AA1634" i="6"/>
  <c r="R1634" i="6"/>
  <c r="Z1634" i="6"/>
  <c r="Q1634" i="6"/>
  <c r="Y1634" i="6"/>
  <c r="W1634" i="6"/>
  <c r="V1634" i="6"/>
  <c r="U1634" i="6"/>
  <c r="F917" i="6"/>
  <c r="B871" i="6"/>
  <c r="W806" i="6"/>
  <c r="V806" i="6"/>
  <c r="U806" i="6"/>
  <c r="T806" i="6"/>
  <c r="AA806" i="6"/>
  <c r="S806" i="6"/>
  <c r="Z806" i="6"/>
  <c r="R806" i="6"/>
  <c r="X806" i="6"/>
  <c r="P806" i="6"/>
  <c r="I852" i="6"/>
  <c r="Y806" i="6"/>
  <c r="Q806" i="6"/>
  <c r="AT1193" i="6"/>
  <c r="J1239" i="6"/>
  <c r="Y1797" i="6"/>
  <c r="Q1797" i="6"/>
  <c r="X1797" i="6"/>
  <c r="P1797" i="6"/>
  <c r="AG1797" i="6"/>
  <c r="W1797" i="6"/>
  <c r="AF1797" i="6"/>
  <c r="V1797" i="6"/>
  <c r="U1797" i="6"/>
  <c r="T1797" i="6"/>
  <c r="AA1797" i="6"/>
  <c r="S1797" i="6"/>
  <c r="Z1797" i="6"/>
  <c r="R1797" i="6"/>
  <c r="AG434" i="6"/>
  <c r="W434" i="6"/>
  <c r="M13" i="10" s="1"/>
  <c r="AF434" i="6"/>
  <c r="V434" i="6"/>
  <c r="L13" i="10" s="1"/>
  <c r="Z434" i="6"/>
  <c r="P13" i="10" s="1"/>
  <c r="R434" i="6"/>
  <c r="H13" i="10" s="1"/>
  <c r="AH434" i="6"/>
  <c r="X434" i="6"/>
  <c r="N13" i="10" s="1"/>
  <c r="P434" i="6"/>
  <c r="F13" i="10" s="1"/>
  <c r="AA434" i="6"/>
  <c r="Q13" i="10" s="1"/>
  <c r="Y434" i="6"/>
  <c r="O13" i="10" s="1"/>
  <c r="U434" i="6"/>
  <c r="K13" i="10" s="1"/>
  <c r="T434" i="6"/>
  <c r="J13" i="10" s="1"/>
  <c r="Q434" i="6"/>
  <c r="G13" i="10" s="1"/>
  <c r="S434" i="6"/>
  <c r="I13" i="10" s="1"/>
  <c r="AA468" i="6"/>
  <c r="S468" i="6"/>
  <c r="Z468" i="6"/>
  <c r="R468" i="6"/>
  <c r="X468" i="6"/>
  <c r="P468" i="6"/>
  <c r="AG468" i="6"/>
  <c r="W468" i="6"/>
  <c r="AF468" i="6"/>
  <c r="V468" i="6"/>
  <c r="T468" i="6"/>
  <c r="Q468" i="6"/>
  <c r="U468" i="6"/>
  <c r="Y468" i="6"/>
  <c r="AB761" i="6"/>
  <c r="Y1617" i="6"/>
  <c r="Q1617" i="6"/>
  <c r="X1617" i="6"/>
  <c r="P1617" i="6"/>
  <c r="W1617" i="6"/>
  <c r="V1617" i="6"/>
  <c r="U1617" i="6"/>
  <c r="T1617" i="6"/>
  <c r="AA1617" i="6"/>
  <c r="S1617" i="6"/>
  <c r="Z1617" i="6"/>
  <c r="R1617" i="6"/>
  <c r="X1638" i="6"/>
  <c r="P1638" i="6"/>
  <c r="Y1638" i="6"/>
  <c r="W1638" i="6"/>
  <c r="V1638" i="6"/>
  <c r="U1638" i="6"/>
  <c r="T1638" i="6"/>
  <c r="S1638" i="6"/>
  <c r="AA1638" i="6"/>
  <c r="R1638" i="6"/>
  <c r="Z1638" i="6"/>
  <c r="Q1638" i="6"/>
  <c r="I865" i="6"/>
  <c r="T819" i="6"/>
  <c r="AA819" i="6"/>
  <c r="R819" i="6"/>
  <c r="Z819" i="6"/>
  <c r="Q819" i="6"/>
  <c r="Y819" i="6"/>
  <c r="P819" i="6"/>
  <c r="X819" i="6"/>
  <c r="W819" i="6"/>
  <c r="V819" i="6"/>
  <c r="S819" i="6"/>
  <c r="U819" i="6"/>
  <c r="AB1787" i="6"/>
  <c r="T517" i="6"/>
  <c r="Y517" i="6"/>
  <c r="W517" i="6"/>
  <c r="R517" i="6"/>
  <c r="X517" i="6"/>
  <c r="S517" i="6"/>
  <c r="AP1890" i="6"/>
  <c r="BF1890" i="6"/>
  <c r="AA464" i="6"/>
  <c r="S464" i="6"/>
  <c r="Z464" i="6"/>
  <c r="R464" i="6"/>
  <c r="X464" i="6"/>
  <c r="P464" i="6"/>
  <c r="AG464" i="6"/>
  <c r="W464" i="6"/>
  <c r="AF464" i="6"/>
  <c r="V464" i="6"/>
  <c r="T464" i="6"/>
  <c r="Y464" i="6"/>
  <c r="U464" i="6"/>
  <c r="Q464" i="6"/>
  <c r="AB2163" i="6"/>
  <c r="AH95" i="6"/>
  <c r="AX95" i="6"/>
  <c r="AA428" i="6"/>
  <c r="S428" i="6"/>
  <c r="Z428" i="6"/>
  <c r="R428" i="6"/>
  <c r="AN428" i="6"/>
  <c r="AF428" i="6"/>
  <c r="V428" i="6"/>
  <c r="AL428" i="6"/>
  <c r="T428" i="6"/>
  <c r="Y428" i="6"/>
  <c r="X428" i="6"/>
  <c r="W428" i="6"/>
  <c r="U428" i="6"/>
  <c r="Q428" i="6"/>
  <c r="AH428" i="6"/>
  <c r="AG428" i="6"/>
  <c r="P428" i="6"/>
  <c r="AY616" i="6"/>
  <c r="AI616" i="6"/>
  <c r="AH1053" i="6"/>
  <c r="AH1099" i="6"/>
  <c r="I831" i="6"/>
  <c r="Y785" i="6"/>
  <c r="Q785" i="6"/>
  <c r="X785" i="6"/>
  <c r="P785" i="6"/>
  <c r="W785" i="6"/>
  <c r="V785" i="6"/>
  <c r="U785" i="6"/>
  <c r="T785" i="6"/>
  <c r="Z785" i="6"/>
  <c r="R785" i="6"/>
  <c r="AA785" i="6"/>
  <c r="S785" i="6"/>
  <c r="AB754" i="6"/>
  <c r="F1242" i="6"/>
  <c r="B1196" i="6"/>
  <c r="AK1433" i="6"/>
  <c r="U1672" i="6"/>
  <c r="AB1609" i="6"/>
  <c r="AH2133" i="6"/>
  <c r="AH2087" i="6"/>
  <c r="AH1450" i="6"/>
  <c r="AX1450" i="6"/>
  <c r="AQ1761" i="6"/>
  <c r="AI1761" i="6"/>
  <c r="Y1761" i="6"/>
  <c r="Q1761" i="6"/>
  <c r="AP1761" i="6"/>
  <c r="AH1761" i="6"/>
  <c r="X1761" i="6"/>
  <c r="P1761" i="6"/>
  <c r="AO1761" i="6"/>
  <c r="AG1761" i="6"/>
  <c r="W1761" i="6"/>
  <c r="AN1761" i="6"/>
  <c r="AF1761" i="6"/>
  <c r="V1761" i="6"/>
  <c r="AM1761" i="6"/>
  <c r="U1761" i="6"/>
  <c r="AL1761" i="6"/>
  <c r="T1761" i="6"/>
  <c r="AK1761" i="6"/>
  <c r="AA1761" i="6"/>
  <c r="S1761" i="6"/>
  <c r="AJ1761" i="6"/>
  <c r="Z1761" i="6"/>
  <c r="R1761" i="6"/>
  <c r="AY610" i="6"/>
  <c r="AI610" i="6"/>
  <c r="AH94" i="6"/>
  <c r="R333" i="6"/>
  <c r="AB94" i="6"/>
  <c r="AB291" i="6"/>
  <c r="U425" i="6"/>
  <c r="T425" i="6"/>
  <c r="AH425" i="6"/>
  <c r="X425" i="6"/>
  <c r="P425" i="6"/>
  <c r="AF425" i="6"/>
  <c r="V425" i="6"/>
  <c r="Q425" i="6"/>
  <c r="AG425" i="6"/>
  <c r="AA425" i="6"/>
  <c r="Z425" i="6"/>
  <c r="Y425" i="6"/>
  <c r="AJ425" i="6"/>
  <c r="R425" i="6"/>
  <c r="W425" i="6"/>
  <c r="S425" i="6"/>
  <c r="AY628" i="6"/>
  <c r="AI628" i="6"/>
  <c r="D872" i="6"/>
  <c r="J918" i="6"/>
  <c r="W814" i="6"/>
  <c r="V814" i="6"/>
  <c r="U814" i="6"/>
  <c r="T814" i="6"/>
  <c r="I860" i="6"/>
  <c r="AA814" i="6"/>
  <c r="S814" i="6"/>
  <c r="Z814" i="6"/>
  <c r="R814" i="6"/>
  <c r="X814" i="6"/>
  <c r="P814" i="6"/>
  <c r="Y814" i="6"/>
  <c r="Q814" i="6"/>
  <c r="J1207" i="6"/>
  <c r="AT1161" i="6"/>
  <c r="I1208" i="6"/>
  <c r="AP1162" i="6"/>
  <c r="AH1162" i="6"/>
  <c r="X1162" i="6"/>
  <c r="P1162" i="6"/>
  <c r="AO1162" i="6"/>
  <c r="AG1162" i="6"/>
  <c r="W1162" i="6"/>
  <c r="AN1162" i="6"/>
  <c r="AF1162" i="6"/>
  <c r="V1162" i="6"/>
  <c r="AM1162" i="6"/>
  <c r="U1162" i="6"/>
  <c r="AL1162" i="6"/>
  <c r="T1162" i="6"/>
  <c r="AK1162" i="6"/>
  <c r="AA1162" i="6"/>
  <c r="S1162" i="6"/>
  <c r="AQ1162" i="6"/>
  <c r="AI1162" i="6"/>
  <c r="Y1162" i="6"/>
  <c r="Q1162" i="6"/>
  <c r="AJ1162" i="6"/>
  <c r="Z1162" i="6"/>
  <c r="R1162" i="6"/>
  <c r="I1225" i="6"/>
  <c r="AP1179" i="6"/>
  <c r="AH1179" i="6"/>
  <c r="X1179" i="6"/>
  <c r="P1179" i="6"/>
  <c r="AO1179" i="6"/>
  <c r="AG1179" i="6"/>
  <c r="W1179" i="6"/>
  <c r="AN1179" i="6"/>
  <c r="AF1179" i="6"/>
  <c r="V1179" i="6"/>
  <c r="AM1179" i="6"/>
  <c r="U1179" i="6"/>
  <c r="AL1179" i="6"/>
  <c r="T1179" i="6"/>
  <c r="AK1179" i="6"/>
  <c r="AA1179" i="6"/>
  <c r="S1179" i="6"/>
  <c r="AQ1179" i="6"/>
  <c r="AI1179" i="6"/>
  <c r="Y1179" i="6"/>
  <c r="Q1179" i="6"/>
  <c r="Z1179" i="6"/>
  <c r="R1179" i="6"/>
  <c r="AJ1179" i="6"/>
  <c r="B1793" i="6"/>
  <c r="AZ1889" i="6"/>
  <c r="AJ1889" i="6"/>
  <c r="AH2089" i="6"/>
  <c r="AH2135" i="6"/>
  <c r="AJ1913" i="6"/>
  <c r="AZ1913" i="6"/>
  <c r="F893" i="6"/>
  <c r="B847" i="6"/>
  <c r="J908" i="6"/>
  <c r="B908" i="6" s="1"/>
  <c r="D862" i="6"/>
  <c r="AG1772" i="6"/>
  <c r="T1772" i="6"/>
  <c r="AA1772" i="6"/>
  <c r="S1772" i="6"/>
  <c r="Y1772" i="6"/>
  <c r="Q1772" i="6"/>
  <c r="V1772" i="6"/>
  <c r="U1772" i="6"/>
  <c r="AH1772" i="6"/>
  <c r="R1772" i="6"/>
  <c r="AF1772" i="6"/>
  <c r="P1772" i="6"/>
  <c r="Z1772" i="6"/>
  <c r="X1772" i="6"/>
  <c r="W1772" i="6"/>
  <c r="AI99" i="6"/>
  <c r="AY99" i="6"/>
  <c r="AH367" i="6"/>
  <c r="AH413" i="6"/>
  <c r="AB282" i="6"/>
  <c r="AB519" i="6"/>
  <c r="R515" i="6"/>
  <c r="Y515" i="6"/>
  <c r="W515" i="6"/>
  <c r="T515" i="6"/>
  <c r="S515" i="6"/>
  <c r="X515" i="6"/>
  <c r="AB443" i="6"/>
  <c r="R17" i="10" s="1"/>
  <c r="AG1046" i="6"/>
  <c r="AG1092" i="6"/>
  <c r="F897" i="6"/>
  <c r="F1209" i="6"/>
  <c r="B1163" i="6"/>
  <c r="B315" i="6"/>
  <c r="AH627" i="6"/>
  <c r="AX627" i="6"/>
  <c r="F845" i="6"/>
  <c r="B799" i="6"/>
  <c r="I867" i="6"/>
  <c r="X821" i="6"/>
  <c r="P821" i="6"/>
  <c r="U821" i="6"/>
  <c r="T821" i="6"/>
  <c r="S821" i="6"/>
  <c r="AA821" i="6"/>
  <c r="R821" i="6"/>
  <c r="Z821" i="6"/>
  <c r="Q821" i="6"/>
  <c r="Y821" i="6"/>
  <c r="V821" i="6"/>
  <c r="W821" i="6"/>
  <c r="B844" i="6"/>
  <c r="F890" i="6"/>
  <c r="AB753" i="6"/>
  <c r="Z824" i="6"/>
  <c r="R824" i="6"/>
  <c r="Y824" i="6"/>
  <c r="P824" i="6"/>
  <c r="X824" i="6"/>
  <c r="W824" i="6"/>
  <c r="V824" i="6"/>
  <c r="U824" i="6"/>
  <c r="I870" i="6"/>
  <c r="T824" i="6"/>
  <c r="AA824" i="6"/>
  <c r="Q824" i="6"/>
  <c r="S824" i="6"/>
  <c r="F1230" i="6"/>
  <c r="B1184" i="6"/>
  <c r="AR1190" i="6"/>
  <c r="F1201" i="6"/>
  <c r="J1162" i="6"/>
  <c r="AT1116" i="6"/>
  <c r="AT1114" i="6"/>
  <c r="J1160" i="6"/>
  <c r="AB1152" i="6"/>
  <c r="I1244" i="6"/>
  <c r="AM1198" i="6"/>
  <c r="U1198" i="6"/>
  <c r="AL1198" i="6"/>
  <c r="T1198" i="6"/>
  <c r="AK1198" i="6"/>
  <c r="AA1198" i="6"/>
  <c r="S1198" i="6"/>
  <c r="AQ1198" i="6"/>
  <c r="AI1198" i="6"/>
  <c r="Y1198" i="6"/>
  <c r="Q1198" i="6"/>
  <c r="AN1198" i="6"/>
  <c r="AF1198" i="6"/>
  <c r="V1198" i="6"/>
  <c r="AH1198" i="6"/>
  <c r="AG1198" i="6"/>
  <c r="Z1198" i="6"/>
  <c r="X1198" i="6"/>
  <c r="W1198" i="6"/>
  <c r="AP1198" i="6"/>
  <c r="R1198" i="6"/>
  <c r="AJ1198" i="6"/>
  <c r="AO1198" i="6"/>
  <c r="P1198" i="6"/>
  <c r="AR1516" i="6"/>
  <c r="AB2046" i="6"/>
  <c r="AB2158" i="6"/>
  <c r="J1241" i="6"/>
  <c r="AT1195" i="6"/>
  <c r="X1644" i="6"/>
  <c r="P1644" i="6"/>
  <c r="AA1644" i="6"/>
  <c r="R1644" i="6"/>
  <c r="Z1644" i="6"/>
  <c r="Q1644" i="6"/>
  <c r="Y1644" i="6"/>
  <c r="W1644" i="6"/>
  <c r="V1644" i="6"/>
  <c r="U1644" i="6"/>
  <c r="T1644" i="6"/>
  <c r="S1644" i="6"/>
  <c r="AB1612" i="6"/>
  <c r="AM2083" i="6"/>
  <c r="AM2129" i="6"/>
  <c r="AI119" i="6"/>
  <c r="AY119" i="6"/>
  <c r="AJ94" i="6"/>
  <c r="AZ94" i="6"/>
  <c r="AR151" i="6"/>
  <c r="AR169" i="6"/>
  <c r="T325" i="6"/>
  <c r="X325" i="6"/>
  <c r="X328" i="6" s="1"/>
  <c r="P325" i="6"/>
  <c r="V325" i="6"/>
  <c r="U325" i="6"/>
  <c r="S325" i="6"/>
  <c r="R325" i="6"/>
  <c r="AA325" i="6"/>
  <c r="Q325" i="6"/>
  <c r="Z325" i="6"/>
  <c r="W325" i="6"/>
  <c r="W328" i="6" s="1"/>
  <c r="Y325" i="6"/>
  <c r="Y328" i="6" s="1"/>
  <c r="AY604" i="6"/>
  <c r="AI604" i="6"/>
  <c r="J881" i="6"/>
  <c r="D835" i="6"/>
  <c r="AH617" i="6"/>
  <c r="AX617" i="6"/>
  <c r="F962" i="6"/>
  <c r="I1213" i="6"/>
  <c r="AP1167" i="6"/>
  <c r="AH1167" i="6"/>
  <c r="X1167" i="6"/>
  <c r="P1167" i="6"/>
  <c r="AO1167" i="6"/>
  <c r="AG1167" i="6"/>
  <c r="W1167" i="6"/>
  <c r="AN1167" i="6"/>
  <c r="AF1167" i="6"/>
  <c r="V1167" i="6"/>
  <c r="AM1167" i="6"/>
  <c r="U1167" i="6"/>
  <c r="AL1167" i="6"/>
  <c r="T1167" i="6"/>
  <c r="AK1167" i="6"/>
  <c r="AA1167" i="6"/>
  <c r="S1167" i="6"/>
  <c r="AQ1167" i="6"/>
  <c r="AI1167" i="6"/>
  <c r="Y1167" i="6"/>
  <c r="Q1167" i="6"/>
  <c r="Z1167" i="6"/>
  <c r="R1167" i="6"/>
  <c r="AJ1167" i="6"/>
  <c r="AB1130" i="6"/>
  <c r="AB1151" i="6"/>
  <c r="I1243" i="6"/>
  <c r="AM1197" i="6"/>
  <c r="U1197" i="6"/>
  <c r="AL1197" i="6"/>
  <c r="T1197" i="6"/>
  <c r="AK1197" i="6"/>
  <c r="AA1197" i="6"/>
  <c r="S1197" i="6"/>
  <c r="AQ1197" i="6"/>
  <c r="AI1197" i="6"/>
  <c r="Y1197" i="6"/>
  <c r="Q1197" i="6"/>
  <c r="AN1197" i="6"/>
  <c r="AF1197" i="6"/>
  <c r="V1197" i="6"/>
  <c r="AH1197" i="6"/>
  <c r="AG1197" i="6"/>
  <c r="Z1197" i="6"/>
  <c r="X1197" i="6"/>
  <c r="W1197" i="6"/>
  <c r="AP1197" i="6"/>
  <c r="R1197" i="6"/>
  <c r="AJ1197" i="6"/>
  <c r="P1197" i="6"/>
  <c r="AO1197" i="6"/>
  <c r="J1245" i="6"/>
  <c r="AT1199" i="6"/>
  <c r="AH1694" i="6"/>
  <c r="AH1740" i="6"/>
  <c r="R1378" i="6"/>
  <c r="AH1436" i="6"/>
  <c r="AX1436" i="6"/>
  <c r="B1647" i="6"/>
  <c r="X1646" i="6"/>
  <c r="P1646" i="6"/>
  <c r="Y1646" i="6"/>
  <c r="W1646" i="6"/>
  <c r="V1646" i="6"/>
  <c r="U1646" i="6"/>
  <c r="T1646" i="6"/>
  <c r="S1646" i="6"/>
  <c r="AA1646" i="6"/>
  <c r="R1646" i="6"/>
  <c r="Q1646" i="6"/>
  <c r="Z1646" i="6"/>
  <c r="B1776" i="6"/>
  <c r="AM2090" i="6"/>
  <c r="AM2136" i="6"/>
  <c r="AG2108" i="6"/>
  <c r="AH1921" i="6"/>
  <c r="AX1921" i="6"/>
  <c r="AB2166" i="6"/>
  <c r="AH1458" i="6"/>
  <c r="AX1458" i="6"/>
  <c r="AB304" i="6"/>
  <c r="AB290" i="6"/>
  <c r="AB388" i="6"/>
  <c r="AH1039" i="6"/>
  <c r="AH1085" i="6"/>
  <c r="W525" i="6"/>
  <c r="Q525" i="6"/>
  <c r="Y525" i="6"/>
  <c r="P525" i="6"/>
  <c r="T525" i="6"/>
  <c r="R525" i="6"/>
  <c r="U525" i="6"/>
  <c r="V525" i="6"/>
  <c r="Z525" i="6"/>
  <c r="X525" i="6"/>
  <c r="S525" i="6"/>
  <c r="AG450" i="6"/>
  <c r="W450" i="6"/>
  <c r="AF450" i="6"/>
  <c r="V450" i="6"/>
  <c r="T450" i="6"/>
  <c r="Z450" i="6"/>
  <c r="R450" i="6"/>
  <c r="AH450" i="6"/>
  <c r="X450" i="6"/>
  <c r="P450" i="6"/>
  <c r="Y450" i="6"/>
  <c r="U450" i="6"/>
  <c r="S450" i="6"/>
  <c r="Q450" i="6"/>
  <c r="AA450" i="6"/>
  <c r="AI450" i="6"/>
  <c r="AB404" i="6"/>
  <c r="AY606" i="6"/>
  <c r="AI606" i="6"/>
  <c r="AG1042" i="6"/>
  <c r="AG1088" i="6"/>
  <c r="AG1134" i="6"/>
  <c r="J916" i="6"/>
  <c r="D870" i="6"/>
  <c r="J902" i="6"/>
  <c r="D856" i="6"/>
  <c r="F881" i="6"/>
  <c r="B835" i="6"/>
  <c r="I835" i="6"/>
  <c r="Y789" i="6"/>
  <c r="Q789" i="6"/>
  <c r="X789" i="6"/>
  <c r="P789" i="6"/>
  <c r="W789" i="6"/>
  <c r="V789" i="6"/>
  <c r="U789" i="6"/>
  <c r="T789" i="6"/>
  <c r="Z789" i="6"/>
  <c r="R789" i="6"/>
  <c r="AA789" i="6"/>
  <c r="S789" i="6"/>
  <c r="I853" i="6"/>
  <c r="U807" i="6"/>
  <c r="T807" i="6"/>
  <c r="AA807" i="6"/>
  <c r="S807" i="6"/>
  <c r="Z807" i="6"/>
  <c r="R807" i="6"/>
  <c r="Y807" i="6"/>
  <c r="Q807" i="6"/>
  <c r="X807" i="6"/>
  <c r="P807" i="6"/>
  <c r="V807" i="6"/>
  <c r="W807" i="6"/>
  <c r="AT1125" i="6"/>
  <c r="J1171" i="6"/>
  <c r="AT1128" i="6"/>
  <c r="J1174" i="6"/>
  <c r="AB1150" i="6"/>
  <c r="I1242" i="6"/>
  <c r="AM1196" i="6"/>
  <c r="U1196" i="6"/>
  <c r="AL1196" i="6"/>
  <c r="T1196" i="6"/>
  <c r="AK1196" i="6"/>
  <c r="AA1196" i="6"/>
  <c r="S1196" i="6"/>
  <c r="AQ1196" i="6"/>
  <c r="AI1196" i="6"/>
  <c r="Y1196" i="6"/>
  <c r="Q1196" i="6"/>
  <c r="AN1196" i="6"/>
  <c r="AF1196" i="6"/>
  <c r="V1196" i="6"/>
  <c r="AH1196" i="6"/>
  <c r="AG1196" i="6"/>
  <c r="Z1196" i="6"/>
  <c r="X1196" i="6"/>
  <c r="W1196" i="6"/>
  <c r="AP1196" i="6"/>
  <c r="R1196" i="6"/>
  <c r="AJ1196" i="6"/>
  <c r="AO1196" i="6"/>
  <c r="P1196" i="6"/>
  <c r="AI1465" i="6"/>
  <c r="AY1465" i="6"/>
  <c r="AH1454" i="6"/>
  <c r="AX1454" i="6"/>
  <c r="B1644" i="6"/>
  <c r="AB1601" i="6"/>
  <c r="X1626" i="6"/>
  <c r="P1626" i="6"/>
  <c r="T1626" i="6"/>
  <c r="S1626" i="6"/>
  <c r="AA1626" i="6"/>
  <c r="R1626" i="6"/>
  <c r="Z1626" i="6"/>
  <c r="Q1626" i="6"/>
  <c r="Y1626" i="6"/>
  <c r="W1626" i="6"/>
  <c r="V1626" i="6"/>
  <c r="U1626" i="6"/>
  <c r="BA1908" i="6"/>
  <c r="AK1908" i="6"/>
  <c r="V822" i="6"/>
  <c r="W822" i="6"/>
  <c r="U822" i="6"/>
  <c r="I868" i="6"/>
  <c r="T822" i="6"/>
  <c r="S822" i="6"/>
  <c r="AA822" i="6"/>
  <c r="R822" i="6"/>
  <c r="Z822" i="6"/>
  <c r="Q822" i="6"/>
  <c r="X822" i="6"/>
  <c r="Y822" i="6"/>
  <c r="P822" i="6"/>
  <c r="AR1492" i="6"/>
  <c r="AG1689" i="6"/>
  <c r="AG1735" i="6"/>
  <c r="AH1029" i="6"/>
  <c r="AH1075" i="6"/>
  <c r="AG426" i="6"/>
  <c r="W426" i="6"/>
  <c r="AF426" i="6"/>
  <c r="V426" i="6"/>
  <c r="Z426" i="6"/>
  <c r="R426" i="6"/>
  <c r="AH426" i="6"/>
  <c r="X426" i="6"/>
  <c r="P426" i="6"/>
  <c r="Y426" i="6"/>
  <c r="U426" i="6"/>
  <c r="T426" i="6"/>
  <c r="S426" i="6"/>
  <c r="Q426" i="6"/>
  <c r="AA426" i="6"/>
  <c r="AR160" i="6"/>
  <c r="AJ420" i="6"/>
  <c r="AH1051" i="6"/>
  <c r="AH1143" i="6"/>
  <c r="AH1097" i="6"/>
  <c r="AH605" i="6"/>
  <c r="AX605" i="6"/>
  <c r="AB744" i="6"/>
  <c r="J882" i="6"/>
  <c r="D836" i="6"/>
  <c r="I851" i="6"/>
  <c r="Y805" i="6"/>
  <c r="Q805" i="6"/>
  <c r="X805" i="6"/>
  <c r="P805" i="6"/>
  <c r="W805" i="6"/>
  <c r="V805" i="6"/>
  <c r="U805" i="6"/>
  <c r="T805" i="6"/>
  <c r="Z805" i="6"/>
  <c r="R805" i="6"/>
  <c r="AA805" i="6"/>
  <c r="S805" i="6"/>
  <c r="AB758" i="6"/>
  <c r="F1213" i="6"/>
  <c r="B1167" i="6"/>
  <c r="AB1599" i="6"/>
  <c r="AA1649" i="6"/>
  <c r="S1649" i="6"/>
  <c r="X1649" i="6"/>
  <c r="P1649" i="6"/>
  <c r="T1649" i="6"/>
  <c r="R1649" i="6"/>
  <c r="Q1649" i="6"/>
  <c r="Z1649" i="6"/>
  <c r="Y1649" i="6"/>
  <c r="W1649" i="6"/>
  <c r="V1649" i="6"/>
  <c r="U1649" i="6"/>
  <c r="AB1714" i="6"/>
  <c r="AJ1714" i="6"/>
  <c r="AB1622" i="6"/>
  <c r="AB1592" i="6"/>
  <c r="AA1762" i="6"/>
  <c r="S1762" i="6"/>
  <c r="Z1762" i="6"/>
  <c r="R1762" i="6"/>
  <c r="Y1762" i="6"/>
  <c r="Q1762" i="6"/>
  <c r="AH1762" i="6"/>
  <c r="X1762" i="6"/>
  <c r="P1762" i="6"/>
  <c r="AG1762" i="6"/>
  <c r="W1762" i="6"/>
  <c r="AF1762" i="6"/>
  <c r="V1762" i="6"/>
  <c r="U1762" i="6"/>
  <c r="T1762" i="6"/>
  <c r="AB1775" i="6"/>
  <c r="AB1783" i="6"/>
  <c r="U1798" i="6"/>
  <c r="AG1798" i="6"/>
  <c r="V1798" i="6"/>
  <c r="AF1798" i="6"/>
  <c r="T1798" i="6"/>
  <c r="S1798" i="6"/>
  <c r="AA1798" i="6"/>
  <c r="R1798" i="6"/>
  <c r="Z1798" i="6"/>
  <c r="Q1798" i="6"/>
  <c r="Y1798" i="6"/>
  <c r="P1798" i="6"/>
  <c r="AI1798" i="6"/>
  <c r="X1798" i="6"/>
  <c r="AH1798" i="6"/>
  <c r="W1798" i="6"/>
  <c r="AJ2090" i="6"/>
  <c r="AJ2136" i="6"/>
  <c r="AB2141" i="6"/>
  <c r="F930" i="6"/>
  <c r="F1228" i="6"/>
  <c r="B1182" i="6"/>
  <c r="AR1940" i="6"/>
  <c r="AI109" i="6"/>
  <c r="AY109" i="6"/>
  <c r="AR175" i="6"/>
  <c r="B449" i="6"/>
  <c r="B302" i="6"/>
  <c r="AB544" i="6"/>
  <c r="AB540" i="6"/>
  <c r="AB545" i="6"/>
  <c r="AB541" i="6"/>
  <c r="AB546" i="6"/>
  <c r="AB542" i="6"/>
  <c r="AB543" i="6"/>
  <c r="AB539" i="6"/>
  <c r="B427" i="6"/>
  <c r="U429" i="6"/>
  <c r="T429" i="6"/>
  <c r="AH429" i="6"/>
  <c r="X429" i="6"/>
  <c r="P429" i="6"/>
  <c r="AF429" i="6"/>
  <c r="V429" i="6"/>
  <c r="R429" i="6"/>
  <c r="Q429" i="6"/>
  <c r="AG429" i="6"/>
  <c r="AA429" i="6"/>
  <c r="Z429" i="6"/>
  <c r="S429" i="6"/>
  <c r="Y429" i="6"/>
  <c r="W429" i="6"/>
  <c r="AB767" i="6"/>
  <c r="AH631" i="6"/>
  <c r="AX631" i="6"/>
  <c r="I833" i="6"/>
  <c r="U787" i="6"/>
  <c r="T787" i="6"/>
  <c r="AA787" i="6"/>
  <c r="S787" i="6"/>
  <c r="Z787" i="6"/>
  <c r="R787" i="6"/>
  <c r="Y787" i="6"/>
  <c r="Q787" i="6"/>
  <c r="X787" i="6"/>
  <c r="P787" i="6"/>
  <c r="V787" i="6"/>
  <c r="W787" i="6"/>
  <c r="F926" i="6"/>
  <c r="B880" i="6"/>
  <c r="F1205" i="6"/>
  <c r="AB1111" i="6"/>
  <c r="I1206" i="6"/>
  <c r="AO1160" i="6"/>
  <c r="AG1160" i="6"/>
  <c r="W1160" i="6"/>
  <c r="AN1160" i="6"/>
  <c r="AF1160" i="6"/>
  <c r="V1160" i="6"/>
  <c r="AL1160" i="6"/>
  <c r="T1160" i="6"/>
  <c r="AK1160" i="6"/>
  <c r="AA1160" i="6"/>
  <c r="S1160" i="6"/>
  <c r="AQ1160" i="6"/>
  <c r="AI1160" i="6"/>
  <c r="Y1160" i="6"/>
  <c r="Q1160" i="6"/>
  <c r="X1160" i="6"/>
  <c r="U1160" i="6"/>
  <c r="AP1160" i="6"/>
  <c r="R1160" i="6"/>
  <c r="AM1160" i="6"/>
  <c r="P1160" i="6"/>
  <c r="AJ1160" i="6"/>
  <c r="AH1160" i="6"/>
  <c r="Z1160" i="6"/>
  <c r="AT1194" i="6"/>
  <c r="J1240" i="6"/>
  <c r="AR1126" i="6"/>
  <c r="S1378" i="6"/>
  <c r="AN1433" i="6"/>
  <c r="X1672" i="6"/>
  <c r="AI1449" i="6"/>
  <c r="AY1449" i="6"/>
  <c r="AB1595" i="6"/>
  <c r="B1634" i="6"/>
  <c r="U1718" i="6"/>
  <c r="AH1734" i="6"/>
  <c r="AH2113" i="6"/>
  <c r="AH2159" i="6"/>
  <c r="AH1925" i="6"/>
  <c r="AX1925" i="6"/>
  <c r="AB419" i="6"/>
  <c r="J887" i="6"/>
  <c r="D841" i="6"/>
  <c r="Z547" i="6"/>
  <c r="F1226" i="6"/>
  <c r="B1180" i="6"/>
  <c r="AH406" i="6"/>
  <c r="AH360" i="6"/>
  <c r="B313" i="6"/>
  <c r="AA448" i="6"/>
  <c r="S448" i="6"/>
  <c r="Z448" i="6"/>
  <c r="R448" i="6"/>
  <c r="AH448" i="6"/>
  <c r="X448" i="6"/>
  <c r="P448" i="6"/>
  <c r="AF448" i="6"/>
  <c r="V448" i="6"/>
  <c r="T448" i="6"/>
  <c r="U448" i="6"/>
  <c r="Q448" i="6"/>
  <c r="AG448" i="6"/>
  <c r="W448" i="6"/>
  <c r="Y448" i="6"/>
  <c r="AB459" i="6"/>
  <c r="AB273" i="6"/>
  <c r="AB451" i="6"/>
  <c r="U433" i="6"/>
  <c r="T433" i="6"/>
  <c r="AH433" i="6"/>
  <c r="X433" i="6"/>
  <c r="P433" i="6"/>
  <c r="AF433" i="6"/>
  <c r="V433" i="6"/>
  <c r="S433" i="6"/>
  <c r="R433" i="6"/>
  <c r="Q433" i="6"/>
  <c r="AG433" i="6"/>
  <c r="AA433" i="6"/>
  <c r="W433" i="6"/>
  <c r="Z433" i="6"/>
  <c r="Y433" i="6"/>
  <c r="AR176" i="6"/>
  <c r="AR179" i="6"/>
  <c r="AB294" i="6"/>
  <c r="B428" i="6"/>
  <c r="AT469" i="6"/>
  <c r="B469" i="6"/>
  <c r="AI467" i="6"/>
  <c r="Y467" i="6"/>
  <c r="Q467" i="6"/>
  <c r="AH467" i="6"/>
  <c r="X467" i="6"/>
  <c r="P467" i="6"/>
  <c r="AF467" i="6"/>
  <c r="V467" i="6"/>
  <c r="U467" i="6"/>
  <c r="T467" i="6"/>
  <c r="AJ467" i="6"/>
  <c r="Z467" i="6"/>
  <c r="R467" i="6"/>
  <c r="AA467" i="6"/>
  <c r="W467" i="6"/>
  <c r="S467" i="6"/>
  <c r="AG467" i="6"/>
  <c r="AB1183" i="6"/>
  <c r="AR1183" i="6"/>
  <c r="AB780" i="6"/>
  <c r="F1240" i="6"/>
  <c r="B1194" i="6"/>
  <c r="AB1120" i="6"/>
  <c r="J1166" i="6"/>
  <c r="AT1120" i="6"/>
  <c r="F1216" i="6"/>
  <c r="F1220" i="6"/>
  <c r="B1174" i="6"/>
  <c r="J1230" i="6"/>
  <c r="AT1184" i="6"/>
  <c r="AJ1433" i="6"/>
  <c r="T1672" i="6"/>
  <c r="AB1583" i="6"/>
  <c r="AI103" i="6"/>
  <c r="AY103" i="6"/>
  <c r="AI100" i="6"/>
  <c r="AY100" i="6"/>
  <c r="AB283" i="6"/>
  <c r="F857" i="6"/>
  <c r="B811" i="6"/>
  <c r="AA788" i="6"/>
  <c r="S788" i="6"/>
  <c r="Z788" i="6"/>
  <c r="R788" i="6"/>
  <c r="Y788" i="6"/>
  <c r="Q788" i="6"/>
  <c r="I834" i="6"/>
  <c r="X788" i="6"/>
  <c r="P788" i="6"/>
  <c r="W788" i="6"/>
  <c r="V788" i="6"/>
  <c r="T788" i="6"/>
  <c r="U788" i="6"/>
  <c r="AA1378" i="6"/>
  <c r="AH1698" i="6"/>
  <c r="AH1744" i="6"/>
  <c r="AB1582" i="6"/>
  <c r="B1645" i="6"/>
  <c r="AB1614" i="6"/>
  <c r="Y2083" i="6"/>
  <c r="AO1890" i="6"/>
  <c r="Y2129" i="6"/>
  <c r="AN1911" i="6"/>
  <c r="BD1911" i="6"/>
  <c r="AB2041" i="6"/>
  <c r="AK2157" i="6"/>
  <c r="AB2153" i="6"/>
  <c r="AB1585" i="6"/>
  <c r="AB1720" i="6"/>
  <c r="AB303" i="6"/>
  <c r="AH371" i="6"/>
  <c r="AH417" i="6"/>
  <c r="J884" i="6"/>
  <c r="D838" i="6"/>
  <c r="J1281" i="6"/>
  <c r="AT1235" i="6"/>
  <c r="X1639" i="6"/>
  <c r="P1639" i="6"/>
  <c r="S1639" i="6"/>
  <c r="AA1639" i="6"/>
  <c r="R1639" i="6"/>
  <c r="Z1639" i="6"/>
  <c r="Q1639" i="6"/>
  <c r="Y1639" i="6"/>
  <c r="W1639" i="6"/>
  <c r="V1639" i="6"/>
  <c r="U1639" i="6"/>
  <c r="T1639" i="6"/>
  <c r="AB316" i="6"/>
  <c r="AH1049" i="6"/>
  <c r="AH1095" i="6"/>
  <c r="AR1125" i="6"/>
  <c r="AH1452" i="6"/>
  <c r="AX1452" i="6"/>
  <c r="AB326" i="6"/>
  <c r="AR184" i="6"/>
  <c r="I1232" i="6"/>
  <c r="AQ1186" i="6"/>
  <c r="AI1186" i="6"/>
  <c r="Y1186" i="6"/>
  <c r="Q1186" i="6"/>
  <c r="AN1186" i="6"/>
  <c r="AF1186" i="6"/>
  <c r="V1186" i="6"/>
  <c r="AM1186" i="6"/>
  <c r="AA1186" i="6"/>
  <c r="P1186" i="6"/>
  <c r="AL1186" i="6"/>
  <c r="Z1186" i="6"/>
  <c r="AK1186" i="6"/>
  <c r="X1186" i="6"/>
  <c r="AJ1186" i="6"/>
  <c r="W1186" i="6"/>
  <c r="AH1186" i="6"/>
  <c r="U1186" i="6"/>
  <c r="AG1186" i="6"/>
  <c r="T1186" i="6"/>
  <c r="AO1186" i="6"/>
  <c r="R1186" i="6"/>
  <c r="AP1186" i="6"/>
  <c r="S1186" i="6"/>
  <c r="AR1504" i="6"/>
  <c r="AG1731" i="6"/>
  <c r="AG1685" i="6"/>
  <c r="AI2106" i="6"/>
  <c r="AI2152" i="6"/>
  <c r="AB1110" i="6"/>
  <c r="R2083" i="6"/>
  <c r="AH1890" i="6"/>
  <c r="R2129" i="6"/>
  <c r="F837" i="6"/>
  <c r="B791" i="6"/>
  <c r="AI1455" i="6"/>
  <c r="AY1455" i="6"/>
  <c r="AH1903" i="6"/>
  <c r="AX1903" i="6"/>
  <c r="AJ599" i="6"/>
  <c r="AZ599" i="6"/>
  <c r="AR183" i="6"/>
  <c r="AB321" i="6"/>
  <c r="AI1441" i="6"/>
  <c r="AY1441" i="6"/>
  <c r="AT1123" i="6"/>
  <c r="J1169" i="6"/>
  <c r="AH1927" i="6"/>
  <c r="AX1927" i="6"/>
  <c r="AG2114" i="6"/>
  <c r="AH1929" i="6"/>
  <c r="AX1929" i="6"/>
  <c r="AG1743" i="6"/>
  <c r="AG1697" i="6"/>
  <c r="AA1652" i="6"/>
  <c r="S1652" i="6"/>
  <c r="X1652" i="6"/>
  <c r="P1652" i="6"/>
  <c r="V1652" i="6"/>
  <c r="U1652" i="6"/>
  <c r="T1652" i="6"/>
  <c r="R1652" i="6"/>
  <c r="Q1652" i="6"/>
  <c r="Z1652" i="6"/>
  <c r="Y1652" i="6"/>
  <c r="W1652" i="6"/>
  <c r="AA1659" i="6"/>
  <c r="S1659" i="6"/>
  <c r="X1659" i="6"/>
  <c r="P1659" i="6"/>
  <c r="Y1659" i="6"/>
  <c r="W1659" i="6"/>
  <c r="V1659" i="6"/>
  <c r="U1659" i="6"/>
  <c r="T1659" i="6"/>
  <c r="R1659" i="6"/>
  <c r="Q1659" i="6"/>
  <c r="Z1659" i="6"/>
  <c r="AB300" i="6"/>
  <c r="AB297" i="6"/>
  <c r="AY602" i="6"/>
  <c r="AI602" i="6"/>
  <c r="AY624" i="6"/>
  <c r="AI624" i="6"/>
  <c r="AH1025" i="6"/>
  <c r="AH1071" i="6"/>
  <c r="J875" i="6"/>
  <c r="D829" i="6"/>
  <c r="F901" i="6"/>
  <c r="F954" i="6"/>
  <c r="J878" i="6"/>
  <c r="D832" i="6"/>
  <c r="AA800" i="6"/>
  <c r="S800" i="6"/>
  <c r="Z800" i="6"/>
  <c r="R800" i="6"/>
  <c r="Y800" i="6"/>
  <c r="Q800" i="6"/>
  <c r="X800" i="6"/>
  <c r="P800" i="6"/>
  <c r="W800" i="6"/>
  <c r="V800" i="6"/>
  <c r="T800" i="6"/>
  <c r="I846" i="6"/>
  <c r="U800" i="6"/>
  <c r="F1203" i="6"/>
  <c r="AT1111" i="6"/>
  <c r="J1157" i="6"/>
  <c r="AT1132" i="6"/>
  <c r="J1178" i="6"/>
  <c r="AB1572" i="6"/>
  <c r="AG1693" i="6"/>
  <c r="AG1739" i="6"/>
  <c r="B1654" i="6"/>
  <c r="Y1773" i="6"/>
  <c r="Q1773" i="6"/>
  <c r="X1773" i="6"/>
  <c r="P1773" i="6"/>
  <c r="AG1773" i="6"/>
  <c r="W1773" i="6"/>
  <c r="AF1773" i="6"/>
  <c r="V1773" i="6"/>
  <c r="U1773" i="6"/>
  <c r="AA1773" i="6"/>
  <c r="S1773" i="6"/>
  <c r="Z1773" i="6"/>
  <c r="T1773" i="6"/>
  <c r="R1773" i="6"/>
  <c r="AB1767" i="6"/>
  <c r="AB1785" i="6"/>
  <c r="AJ2101" i="6"/>
  <c r="AB776" i="6"/>
  <c r="AI113" i="6"/>
  <c r="AY113" i="6"/>
  <c r="AG376" i="6"/>
  <c r="R335" i="6"/>
  <c r="AH96" i="6"/>
  <c r="AB96" i="6"/>
  <c r="R381" i="6"/>
  <c r="AB381" i="6" s="1"/>
  <c r="AB380" i="6"/>
  <c r="AT426" i="6"/>
  <c r="B426" i="6"/>
  <c r="AB435" i="6"/>
  <c r="AB398" i="6"/>
  <c r="AG379" i="6"/>
  <c r="AG466" i="6"/>
  <c r="W466" i="6"/>
  <c r="AF466" i="6"/>
  <c r="V466" i="6"/>
  <c r="T466" i="6"/>
  <c r="AK466" i="6"/>
  <c r="AA466" i="6"/>
  <c r="S466" i="6"/>
  <c r="AJ466" i="6"/>
  <c r="Z466" i="6"/>
  <c r="R466" i="6"/>
  <c r="AH466" i="6"/>
  <c r="X466" i="6"/>
  <c r="P466" i="6"/>
  <c r="AB466" i="6" s="1"/>
  <c r="AI466" i="6"/>
  <c r="Y466" i="6"/>
  <c r="U466" i="6"/>
  <c r="Q466" i="6"/>
  <c r="AG1024" i="6"/>
  <c r="AG1070" i="6"/>
  <c r="J859" i="6"/>
  <c r="D813" i="6"/>
  <c r="AB1116" i="6"/>
  <c r="F1223" i="6"/>
  <c r="I1207" i="6"/>
  <c r="AP1161" i="6"/>
  <c r="AH1161" i="6"/>
  <c r="X1161" i="6"/>
  <c r="P1161" i="6"/>
  <c r="AO1161" i="6"/>
  <c r="AG1161" i="6"/>
  <c r="W1161" i="6"/>
  <c r="AN1161" i="6"/>
  <c r="AF1161" i="6"/>
  <c r="V1161" i="6"/>
  <c r="AM1161" i="6"/>
  <c r="U1161" i="6"/>
  <c r="AL1161" i="6"/>
  <c r="T1161" i="6"/>
  <c r="AK1161" i="6"/>
  <c r="AA1161" i="6"/>
  <c r="S1161" i="6"/>
  <c r="AQ1161" i="6"/>
  <c r="AI1161" i="6"/>
  <c r="Y1161" i="6"/>
  <c r="Q1161" i="6"/>
  <c r="AJ1161" i="6"/>
  <c r="Z1161" i="6"/>
  <c r="R1161" i="6"/>
  <c r="AB1149" i="6"/>
  <c r="I1241" i="6"/>
  <c r="AM1195" i="6"/>
  <c r="U1195" i="6"/>
  <c r="AL1195" i="6"/>
  <c r="T1195" i="6"/>
  <c r="AK1195" i="6"/>
  <c r="AA1195" i="6"/>
  <c r="S1195" i="6"/>
  <c r="AQ1195" i="6"/>
  <c r="AI1195" i="6"/>
  <c r="Y1195" i="6"/>
  <c r="Q1195" i="6"/>
  <c r="AN1195" i="6"/>
  <c r="AF1195" i="6"/>
  <c r="V1195" i="6"/>
  <c r="AH1195" i="6"/>
  <c r="AG1195" i="6"/>
  <c r="Z1195" i="6"/>
  <c r="X1195" i="6"/>
  <c r="W1195" i="6"/>
  <c r="AP1195" i="6"/>
  <c r="R1195" i="6"/>
  <c r="AJ1195" i="6"/>
  <c r="AO1195" i="6"/>
  <c r="P1195" i="6"/>
  <c r="AO1760" i="6"/>
  <c r="AG1760" i="6"/>
  <c r="W1760" i="6"/>
  <c r="AN1760" i="6"/>
  <c r="AF1760" i="6"/>
  <c r="V1760" i="6"/>
  <c r="AM1760" i="6"/>
  <c r="U1760" i="6"/>
  <c r="AL1760" i="6"/>
  <c r="T1760" i="6"/>
  <c r="AK1760" i="6"/>
  <c r="AA1760" i="6"/>
  <c r="S1760" i="6"/>
  <c r="AJ1760" i="6"/>
  <c r="Z1760" i="6"/>
  <c r="R1760" i="6"/>
  <c r="AQ1760" i="6"/>
  <c r="AI1760" i="6"/>
  <c r="Y1760" i="6"/>
  <c r="Q1760" i="6"/>
  <c r="X1760" i="6"/>
  <c r="P1760" i="6"/>
  <c r="AP1760" i="6"/>
  <c r="AH1760" i="6"/>
  <c r="AB1589" i="6"/>
  <c r="X1635" i="6"/>
  <c r="P1635" i="6"/>
  <c r="W1635" i="6"/>
  <c r="V1635" i="6"/>
  <c r="U1635" i="6"/>
  <c r="T1635" i="6"/>
  <c r="S1635" i="6"/>
  <c r="AA1635" i="6"/>
  <c r="R1635" i="6"/>
  <c r="Z1635" i="6"/>
  <c r="Q1635" i="6"/>
  <c r="Y1635" i="6"/>
  <c r="AB1723" i="6"/>
  <c r="AB1716" i="6"/>
  <c r="AB1791" i="6"/>
  <c r="AB2030" i="6"/>
  <c r="AB2060" i="6"/>
  <c r="AB2142" i="6"/>
  <c r="AB736" i="6"/>
  <c r="AH1448" i="6"/>
  <c r="AX1448" i="6"/>
  <c r="AB1726" i="6"/>
  <c r="AH1923" i="6"/>
  <c r="AX1923" i="6"/>
  <c r="AG372" i="6"/>
  <c r="B289" i="6"/>
  <c r="Z43" i="6"/>
  <c r="AB763" i="6"/>
  <c r="X516" i="6"/>
  <c r="R516" i="6"/>
  <c r="S516" i="6"/>
  <c r="Y516" i="6"/>
  <c r="W516" i="6"/>
  <c r="T516" i="6"/>
  <c r="AB383" i="6"/>
  <c r="AG1054" i="6"/>
  <c r="AG1100" i="6"/>
  <c r="F1004" i="6"/>
  <c r="F950" i="6"/>
  <c r="B904" i="6"/>
  <c r="AI1107" i="6"/>
  <c r="AI1061" i="6"/>
  <c r="D842" i="6"/>
  <c r="J888" i="6"/>
  <c r="AB772" i="6"/>
  <c r="AA808" i="6"/>
  <c r="S808" i="6"/>
  <c r="I854" i="6"/>
  <c r="Z808" i="6"/>
  <c r="R808" i="6"/>
  <c r="Y808" i="6"/>
  <c r="Q808" i="6"/>
  <c r="X808" i="6"/>
  <c r="P808" i="6"/>
  <c r="W808" i="6"/>
  <c r="V808" i="6"/>
  <c r="T808" i="6"/>
  <c r="U808" i="6"/>
  <c r="F1233" i="6"/>
  <c r="B1187" i="6"/>
  <c r="I1201" i="6"/>
  <c r="AO1155" i="6"/>
  <c r="AG1155" i="6"/>
  <c r="W1155" i="6"/>
  <c r="AN1155" i="6"/>
  <c r="AF1155" i="6"/>
  <c r="V1155" i="6"/>
  <c r="AL1155" i="6"/>
  <c r="T1155" i="6"/>
  <c r="AK1155" i="6"/>
  <c r="AA1155" i="6"/>
  <c r="S1155" i="6"/>
  <c r="AQ1155" i="6"/>
  <c r="AI1155" i="6"/>
  <c r="Y1155" i="6"/>
  <c r="Q1155" i="6"/>
  <c r="X1155" i="6"/>
  <c r="U1155" i="6"/>
  <c r="AP1155" i="6"/>
  <c r="R1155" i="6"/>
  <c r="AM1155" i="6"/>
  <c r="P1155" i="6"/>
  <c r="AJ1155" i="6"/>
  <c r="AH1155" i="6"/>
  <c r="Z1155" i="6"/>
  <c r="F1218" i="6"/>
  <c r="B1172" i="6"/>
  <c r="AB1142" i="6"/>
  <c r="Y1619" i="6"/>
  <c r="Q1619" i="6"/>
  <c r="X1619" i="6"/>
  <c r="P1619" i="6"/>
  <c r="W1619" i="6"/>
  <c r="V1619" i="6"/>
  <c r="U1619" i="6"/>
  <c r="T1619" i="6"/>
  <c r="AA1619" i="6"/>
  <c r="S1619" i="6"/>
  <c r="Z1619" i="6"/>
  <c r="R1619" i="6"/>
  <c r="Y1616" i="6"/>
  <c r="Y1662" i="6" s="1"/>
  <c r="Q1616" i="6"/>
  <c r="Q1662" i="6" s="1"/>
  <c r="X1616" i="6"/>
  <c r="X1662" i="6" s="1"/>
  <c r="P1616" i="6"/>
  <c r="W1616" i="6"/>
  <c r="V1616" i="6"/>
  <c r="V1662" i="6" s="1"/>
  <c r="U1616" i="6"/>
  <c r="U1662" i="6" s="1"/>
  <c r="T1616" i="6"/>
  <c r="T1662" i="6" s="1"/>
  <c r="AA1616" i="6"/>
  <c r="AA1662" i="6" s="1"/>
  <c r="S1616" i="6"/>
  <c r="S1662" i="6" s="1"/>
  <c r="Z1616" i="6"/>
  <c r="Z1662" i="6" s="1"/>
  <c r="R1616" i="6"/>
  <c r="R1662" i="6" s="1"/>
  <c r="AG1777" i="6"/>
  <c r="AI1920" i="6"/>
  <c r="AY1920" i="6"/>
  <c r="AG2118" i="6"/>
  <c r="AG2164" i="6"/>
  <c r="AB779" i="6"/>
  <c r="AB755" i="6"/>
  <c r="B869" i="6"/>
  <c r="F915" i="6"/>
  <c r="AP1164" i="6"/>
  <c r="AH1164" i="6"/>
  <c r="X1164" i="6"/>
  <c r="P1164" i="6"/>
  <c r="AB1164" i="6" s="1"/>
  <c r="AO1164" i="6"/>
  <c r="AG1164" i="6"/>
  <c r="W1164" i="6"/>
  <c r="I1210" i="6"/>
  <c r="AN1164" i="6"/>
  <c r="AF1164" i="6"/>
  <c r="V1164" i="6"/>
  <c r="AM1164" i="6"/>
  <c r="U1164" i="6"/>
  <c r="AL1164" i="6"/>
  <c r="T1164" i="6"/>
  <c r="AK1164" i="6"/>
  <c r="AA1164" i="6"/>
  <c r="S1164" i="6"/>
  <c r="AQ1164" i="6"/>
  <c r="AI1164" i="6"/>
  <c r="Y1164" i="6"/>
  <c r="Q1164" i="6"/>
  <c r="AJ1164" i="6"/>
  <c r="Z1164" i="6"/>
  <c r="R1164" i="6"/>
  <c r="AH1770" i="6"/>
  <c r="X1770" i="6"/>
  <c r="P1770" i="6"/>
  <c r="AG1770" i="6"/>
  <c r="W1770" i="6"/>
  <c r="Z1770" i="6"/>
  <c r="Y1770" i="6"/>
  <c r="V1770" i="6"/>
  <c r="U1770" i="6"/>
  <c r="AF1770" i="6"/>
  <c r="T1770" i="6"/>
  <c r="S1770" i="6"/>
  <c r="R1770" i="6"/>
  <c r="AA1770" i="6"/>
  <c r="Q1770" i="6"/>
  <c r="AI121" i="6"/>
  <c r="AY121" i="6"/>
  <c r="B307" i="6"/>
  <c r="AI114" i="6"/>
  <c r="AY114" i="6"/>
  <c r="AB394" i="6"/>
  <c r="AI105" i="6"/>
  <c r="AY105" i="6"/>
  <c r="AI122" i="6"/>
  <c r="AY122" i="6"/>
  <c r="AB391" i="6"/>
  <c r="J893" i="6"/>
  <c r="D847" i="6"/>
  <c r="J891" i="6"/>
  <c r="D845" i="6"/>
  <c r="J855" i="6"/>
  <c r="D809" i="6"/>
  <c r="AB747" i="6"/>
  <c r="I1216" i="6"/>
  <c r="AP1170" i="6"/>
  <c r="AH1170" i="6"/>
  <c r="X1170" i="6"/>
  <c r="P1170" i="6"/>
  <c r="AO1170" i="6"/>
  <c r="AG1170" i="6"/>
  <c r="W1170" i="6"/>
  <c r="AN1170" i="6"/>
  <c r="AF1170" i="6"/>
  <c r="V1170" i="6"/>
  <c r="AM1170" i="6"/>
  <c r="U1170" i="6"/>
  <c r="AL1170" i="6"/>
  <c r="T1170" i="6"/>
  <c r="AK1170" i="6"/>
  <c r="AA1170" i="6"/>
  <c r="S1170" i="6"/>
  <c r="AQ1170" i="6"/>
  <c r="AI1170" i="6"/>
  <c r="Y1170" i="6"/>
  <c r="Q1170" i="6"/>
  <c r="AJ1170" i="6"/>
  <c r="Z1170" i="6"/>
  <c r="R1170" i="6"/>
  <c r="I1227" i="6"/>
  <c r="AP1181" i="6"/>
  <c r="AH1181" i="6"/>
  <c r="X1181" i="6"/>
  <c r="P1181" i="6"/>
  <c r="AO1181" i="6"/>
  <c r="AG1181" i="6"/>
  <c r="W1181" i="6"/>
  <c r="AN1181" i="6"/>
  <c r="AF1181" i="6"/>
  <c r="V1181" i="6"/>
  <c r="AM1181" i="6"/>
  <c r="U1181" i="6"/>
  <c r="AL1181" i="6"/>
  <c r="T1181" i="6"/>
  <c r="AK1181" i="6"/>
  <c r="AA1181" i="6"/>
  <c r="S1181" i="6"/>
  <c r="AQ1181" i="6"/>
  <c r="AI1181" i="6"/>
  <c r="Y1181" i="6"/>
  <c r="Q1181" i="6"/>
  <c r="AJ1181" i="6"/>
  <c r="Z1181" i="6"/>
  <c r="R1181" i="6"/>
  <c r="AB1139" i="6"/>
  <c r="AG1146" i="6"/>
  <c r="X1633" i="6"/>
  <c r="P1633" i="6"/>
  <c r="Z1633" i="6"/>
  <c r="Q1633" i="6"/>
  <c r="Y1633" i="6"/>
  <c r="W1633" i="6"/>
  <c r="V1633" i="6"/>
  <c r="U1633" i="6"/>
  <c r="T1633" i="6"/>
  <c r="S1633" i="6"/>
  <c r="AA1633" i="6"/>
  <c r="R1633" i="6"/>
  <c r="AJ134" i="6"/>
  <c r="AZ134" i="6"/>
  <c r="AB296" i="6"/>
  <c r="AH339" i="6"/>
  <c r="AH385" i="6"/>
  <c r="AY600" i="6"/>
  <c r="AI600" i="6"/>
  <c r="J880" i="6"/>
  <c r="D834" i="6"/>
  <c r="J912" i="6"/>
  <c r="D866" i="6"/>
  <c r="B866" i="6"/>
  <c r="B852" i="6"/>
  <c r="F898" i="6"/>
  <c r="F1224" i="6"/>
  <c r="B1178" i="6"/>
  <c r="AB1141" i="6"/>
  <c r="AH1145" i="6"/>
  <c r="AB1153" i="6"/>
  <c r="I1245" i="6"/>
  <c r="AM1199" i="6"/>
  <c r="U1199" i="6"/>
  <c r="AL1199" i="6"/>
  <c r="T1199" i="6"/>
  <c r="AK1199" i="6"/>
  <c r="AA1199" i="6"/>
  <c r="S1199" i="6"/>
  <c r="AQ1199" i="6"/>
  <c r="AI1199" i="6"/>
  <c r="Y1199" i="6"/>
  <c r="Q1199" i="6"/>
  <c r="AN1199" i="6"/>
  <c r="AF1199" i="6"/>
  <c r="AR1199" i="6" s="1"/>
  <c r="V1199" i="6"/>
  <c r="AH1199" i="6"/>
  <c r="AG1199" i="6"/>
  <c r="Z1199" i="6"/>
  <c r="X1199" i="6"/>
  <c r="W1199" i="6"/>
  <c r="AP1199" i="6"/>
  <c r="R1199" i="6"/>
  <c r="AJ1199" i="6"/>
  <c r="AO1199" i="6"/>
  <c r="P1199" i="6"/>
  <c r="AK1432" i="6"/>
  <c r="BA1432" i="6"/>
  <c r="AI1437" i="6"/>
  <c r="AY1437" i="6"/>
  <c r="B1659" i="6"/>
  <c r="AG1789" i="6"/>
  <c r="T1835" i="6"/>
  <c r="AL1916" i="6"/>
  <c r="BB1916" i="6"/>
  <c r="AB2038" i="6"/>
  <c r="AR1945" i="6"/>
  <c r="I858" i="6"/>
  <c r="AA812" i="6"/>
  <c r="S812" i="6"/>
  <c r="Z812" i="6"/>
  <c r="R812" i="6"/>
  <c r="Y812" i="6"/>
  <c r="Q812" i="6"/>
  <c r="X812" i="6"/>
  <c r="P812" i="6"/>
  <c r="W812" i="6"/>
  <c r="V812" i="6"/>
  <c r="T812" i="6"/>
  <c r="U812" i="6"/>
  <c r="AH1464" i="6"/>
  <c r="AX1464" i="6"/>
  <c r="AH1720" i="6"/>
  <c r="I1230" i="6"/>
  <c r="AQ1184" i="6"/>
  <c r="AI1184" i="6"/>
  <c r="Y1184" i="6"/>
  <c r="Q1184" i="6"/>
  <c r="AN1184" i="6"/>
  <c r="AF1184" i="6"/>
  <c r="AR1184" i="6" s="1"/>
  <c r="V1184" i="6"/>
  <c r="AH1184" i="6"/>
  <c r="U1184" i="6"/>
  <c r="AG1184" i="6"/>
  <c r="T1184" i="6"/>
  <c r="AP1184" i="6"/>
  <c r="S1184" i="6"/>
  <c r="AO1184" i="6"/>
  <c r="R1184" i="6"/>
  <c r="AM1184" i="6"/>
  <c r="AA1184" i="6"/>
  <c r="P1184" i="6"/>
  <c r="AL1184" i="6"/>
  <c r="Z1184" i="6"/>
  <c r="AJ1184" i="6"/>
  <c r="W1184" i="6"/>
  <c r="AK1184" i="6"/>
  <c r="X1184" i="6"/>
  <c r="AR1429" i="6"/>
  <c r="AF1668" i="6"/>
  <c r="AR1668" i="6" s="1"/>
  <c r="AB1117" i="6"/>
  <c r="AB1751" i="6"/>
  <c r="AY630" i="6"/>
  <c r="AI630" i="6"/>
  <c r="AG1022" i="6"/>
  <c r="AG1068" i="6"/>
  <c r="F1204" i="6"/>
  <c r="B1158" i="6"/>
  <c r="AJ375" i="6"/>
  <c r="AB97" i="6"/>
  <c r="AH97" i="6"/>
  <c r="R336" i="6"/>
  <c r="B836" i="6"/>
  <c r="F882" i="6"/>
  <c r="AI1451" i="6"/>
  <c r="AY1451" i="6"/>
  <c r="AK1926" i="6"/>
  <c r="BA1926" i="6"/>
  <c r="AK135" i="6"/>
  <c r="BA135" i="6"/>
  <c r="T323" i="6"/>
  <c r="X323" i="6"/>
  <c r="P323" i="6"/>
  <c r="AB323" i="6" s="1"/>
  <c r="AA323" i="6"/>
  <c r="Q323" i="6"/>
  <c r="Z323" i="6"/>
  <c r="Y323" i="6"/>
  <c r="W323" i="6"/>
  <c r="V323" i="6"/>
  <c r="U323" i="6"/>
  <c r="R323" i="6"/>
  <c r="R328" i="6" s="1"/>
  <c r="S323" i="6"/>
  <c r="B294" i="6"/>
  <c r="AH1017" i="6"/>
  <c r="AH1063" i="6"/>
  <c r="AB757" i="6"/>
  <c r="AI1221" i="6"/>
  <c r="Y1221" i="6"/>
  <c r="Q1221" i="6"/>
  <c r="AH1221" i="6"/>
  <c r="X1221" i="6"/>
  <c r="P1221" i="6"/>
  <c r="AG1221" i="6"/>
  <c r="W1221" i="6"/>
  <c r="I1267" i="6"/>
  <c r="AF1221" i="6"/>
  <c r="V1221" i="6"/>
  <c r="U1221" i="6"/>
  <c r="T1221" i="6"/>
  <c r="Z1221" i="6"/>
  <c r="AA1221" i="6"/>
  <c r="S1221" i="6"/>
  <c r="R1221" i="6"/>
  <c r="AG1691" i="6"/>
  <c r="AG1737" i="6"/>
  <c r="Y1624" i="6"/>
  <c r="Q1624" i="6"/>
  <c r="X1624" i="6"/>
  <c r="P1624" i="6"/>
  <c r="W1624" i="6"/>
  <c r="V1624" i="6"/>
  <c r="U1624" i="6"/>
  <c r="T1624" i="6"/>
  <c r="AA1624" i="6"/>
  <c r="S1624" i="6"/>
  <c r="Z1624" i="6"/>
  <c r="R1624" i="6"/>
  <c r="AR1759" i="6"/>
  <c r="AB277" i="6"/>
  <c r="AK2091" i="6"/>
  <c r="AK2137" i="6"/>
  <c r="AN1890" i="6"/>
  <c r="AB414" i="6"/>
  <c r="AG1040" i="6"/>
  <c r="AG1086" i="6"/>
  <c r="AB1131" i="6"/>
  <c r="AH1460" i="6"/>
  <c r="AX1460" i="6"/>
  <c r="AI1018" i="6"/>
  <c r="AI1064" i="6"/>
  <c r="AI117" i="6"/>
  <c r="AY117" i="6"/>
  <c r="AR180" i="6"/>
  <c r="AA456" i="6"/>
  <c r="S456" i="6"/>
  <c r="Z456" i="6"/>
  <c r="R456" i="6"/>
  <c r="AH456" i="6"/>
  <c r="X456" i="6"/>
  <c r="P456" i="6"/>
  <c r="AG456" i="6"/>
  <c r="AF456" i="6"/>
  <c r="V456" i="6"/>
  <c r="T456" i="6"/>
  <c r="Y456" i="6"/>
  <c r="Q456" i="6"/>
  <c r="W456" i="6"/>
  <c r="U456" i="6"/>
  <c r="J906" i="6"/>
  <c r="D860" i="6"/>
  <c r="F1235" i="6"/>
  <c r="B1189" i="6"/>
  <c r="F1202" i="6"/>
  <c r="B1156" i="6"/>
  <c r="AJ1930" i="6"/>
  <c r="AZ1930" i="6"/>
  <c r="AB418" i="6"/>
  <c r="AI102" i="6"/>
  <c r="AY102" i="6"/>
  <c r="AB403" i="6"/>
  <c r="AY612" i="6"/>
  <c r="AI612" i="6"/>
  <c r="I1220" i="6"/>
  <c r="AP1174" i="6"/>
  <c r="AH1174" i="6"/>
  <c r="X1174" i="6"/>
  <c r="P1174" i="6"/>
  <c r="AO1174" i="6"/>
  <c r="AG1174" i="6"/>
  <c r="W1174" i="6"/>
  <c r="AN1174" i="6"/>
  <c r="AF1174" i="6"/>
  <c r="V1174" i="6"/>
  <c r="AM1174" i="6"/>
  <c r="U1174" i="6"/>
  <c r="AL1174" i="6"/>
  <c r="T1174" i="6"/>
  <c r="AK1174" i="6"/>
  <c r="AA1174" i="6"/>
  <c r="S1174" i="6"/>
  <c r="AQ1174" i="6"/>
  <c r="AI1174" i="6"/>
  <c r="Y1174" i="6"/>
  <c r="Q1174" i="6"/>
  <c r="AJ1174" i="6"/>
  <c r="R1174" i="6"/>
  <c r="Z1174" i="6"/>
  <c r="I1205" i="6"/>
  <c r="AO1159" i="6"/>
  <c r="AG1159" i="6"/>
  <c r="W1159" i="6"/>
  <c r="AN1159" i="6"/>
  <c r="AF1159" i="6"/>
  <c r="V1159" i="6"/>
  <c r="AL1159" i="6"/>
  <c r="T1159" i="6"/>
  <c r="AK1159" i="6"/>
  <c r="AA1159" i="6"/>
  <c r="S1159" i="6"/>
  <c r="AQ1159" i="6"/>
  <c r="AI1159" i="6"/>
  <c r="Y1159" i="6"/>
  <c r="Q1159" i="6"/>
  <c r="X1159" i="6"/>
  <c r="U1159" i="6"/>
  <c r="AP1159" i="6"/>
  <c r="R1159" i="6"/>
  <c r="AM1159" i="6"/>
  <c r="P1159" i="6"/>
  <c r="AJ1159" i="6"/>
  <c r="AH1159" i="6"/>
  <c r="Z1159" i="6"/>
  <c r="AK97" i="6"/>
  <c r="U336" i="6"/>
  <c r="B316" i="6"/>
  <c r="AH1021" i="6"/>
  <c r="AH1067" i="6"/>
  <c r="J895" i="6"/>
  <c r="D849" i="6"/>
  <c r="AH404" i="6"/>
  <c r="B863" i="6"/>
  <c r="F909" i="6"/>
  <c r="B862" i="6"/>
  <c r="F938" i="6"/>
  <c r="J879" i="6"/>
  <c r="D833" i="6"/>
  <c r="AB1574" i="6"/>
  <c r="AI104" i="6"/>
  <c r="AY104" i="6"/>
  <c r="F895" i="6"/>
  <c r="B849" i="6"/>
  <c r="AB384" i="6"/>
  <c r="AG430" i="6"/>
  <c r="W430" i="6"/>
  <c r="AF430" i="6"/>
  <c r="V430" i="6"/>
  <c r="Z430" i="6"/>
  <c r="R430" i="6"/>
  <c r="AH430" i="6"/>
  <c r="X430" i="6"/>
  <c r="P430" i="6"/>
  <c r="AA430" i="6"/>
  <c r="Y430" i="6"/>
  <c r="U430" i="6"/>
  <c r="T430" i="6"/>
  <c r="S430" i="6"/>
  <c r="AI430" i="6"/>
  <c r="Q430" i="6"/>
  <c r="AB420" i="6"/>
  <c r="AB415" i="6"/>
  <c r="AH621" i="6"/>
  <c r="AX621" i="6"/>
  <c r="W790" i="6"/>
  <c r="V790" i="6"/>
  <c r="U790" i="6"/>
  <c r="T790" i="6"/>
  <c r="AA790" i="6"/>
  <c r="S790" i="6"/>
  <c r="I836" i="6"/>
  <c r="Z790" i="6"/>
  <c r="R790" i="6"/>
  <c r="X790" i="6"/>
  <c r="P790" i="6"/>
  <c r="Y790" i="6"/>
  <c r="Q790" i="6"/>
  <c r="AB745" i="6"/>
  <c r="AA804" i="6"/>
  <c r="S804" i="6"/>
  <c r="Z804" i="6"/>
  <c r="R804" i="6"/>
  <c r="Y804" i="6"/>
  <c r="Q804" i="6"/>
  <c r="I850" i="6"/>
  <c r="X804" i="6"/>
  <c r="P804" i="6"/>
  <c r="W804" i="6"/>
  <c r="V804" i="6"/>
  <c r="T804" i="6"/>
  <c r="U804" i="6"/>
  <c r="F1214" i="6"/>
  <c r="B1168" i="6"/>
  <c r="J1170" i="6"/>
  <c r="AT1124" i="6"/>
  <c r="AR1123" i="6"/>
  <c r="AI1445" i="6"/>
  <c r="AY1445" i="6"/>
  <c r="AG1433" i="6"/>
  <c r="AG1764" i="6" s="1"/>
  <c r="Q1672" i="6"/>
  <c r="X1645" i="6"/>
  <c r="P1645" i="6"/>
  <c r="U1645" i="6"/>
  <c r="T1645" i="6"/>
  <c r="S1645" i="6"/>
  <c r="AA1645" i="6"/>
  <c r="R1645" i="6"/>
  <c r="Z1645" i="6"/>
  <c r="Q1645" i="6"/>
  <c r="Y1645" i="6"/>
  <c r="W1645" i="6"/>
  <c r="V1645" i="6"/>
  <c r="AB1610" i="6"/>
  <c r="AB1757" i="6"/>
  <c r="AB1752" i="6"/>
  <c r="AG2137" i="6"/>
  <c r="AG2091" i="6"/>
  <c r="AG2100" i="6"/>
  <c r="AB2034" i="6"/>
  <c r="AB2067" i="6"/>
  <c r="AB2066" i="6"/>
  <c r="AB2063" i="6"/>
  <c r="AT1121" i="6"/>
  <c r="J1167" i="6"/>
  <c r="AG1687" i="6"/>
  <c r="AG1733" i="6"/>
  <c r="B1789" i="6"/>
  <c r="AG2116" i="6"/>
  <c r="AB2162" i="6"/>
  <c r="AX133" i="6"/>
  <c r="AH133" i="6"/>
  <c r="AB293" i="6"/>
  <c r="B435" i="6"/>
  <c r="S518" i="6"/>
  <c r="X518" i="6"/>
  <c r="Y518" i="6"/>
  <c r="W518" i="6"/>
  <c r="R518" i="6"/>
  <c r="T518" i="6"/>
  <c r="AR643" i="6"/>
  <c r="I859" i="6"/>
  <c r="Y813" i="6"/>
  <c r="Q813" i="6"/>
  <c r="X813" i="6"/>
  <c r="P813" i="6"/>
  <c r="W813" i="6"/>
  <c r="V813" i="6"/>
  <c r="U813" i="6"/>
  <c r="T813" i="6"/>
  <c r="Z813" i="6"/>
  <c r="R813" i="6"/>
  <c r="AA813" i="6"/>
  <c r="S813" i="6"/>
  <c r="AH1667" i="6"/>
  <c r="AH1713" i="6"/>
  <c r="AZ638" i="6"/>
  <c r="AJ638" i="6"/>
  <c r="AB1114" i="6"/>
  <c r="B1114" i="6"/>
  <c r="AO1433" i="6"/>
  <c r="Y1672" i="6"/>
  <c r="AI1718" i="6"/>
  <c r="AZ1928" i="6"/>
  <c r="AJ1928" i="6"/>
  <c r="U465" i="6"/>
  <c r="T465" i="6"/>
  <c r="AJ465" i="6"/>
  <c r="Z465" i="6"/>
  <c r="R465" i="6"/>
  <c r="AI465" i="6"/>
  <c r="Y465" i="6"/>
  <c r="Q465" i="6"/>
  <c r="AH465" i="6"/>
  <c r="X465" i="6"/>
  <c r="P465" i="6"/>
  <c r="AF465" i="6"/>
  <c r="V465" i="6"/>
  <c r="AG465" i="6"/>
  <c r="S465" i="6"/>
  <c r="AA465" i="6"/>
  <c r="W465" i="6"/>
  <c r="AH633" i="6"/>
  <c r="AX633" i="6"/>
  <c r="AH386" i="6"/>
  <c r="AH340" i="6"/>
  <c r="AB771" i="6"/>
  <c r="AB271" i="6"/>
  <c r="AH459" i="6"/>
  <c r="R427" i="6"/>
  <c r="AH361" i="6"/>
  <c r="AH407" i="6"/>
  <c r="AB292" i="6"/>
  <c r="AI94" i="6"/>
  <c r="AI425" i="6" s="1"/>
  <c r="S333" i="6"/>
  <c r="B286" i="6"/>
  <c r="AB421" i="6"/>
  <c r="U469" i="6"/>
  <c r="T469" i="6"/>
  <c r="Z469" i="6"/>
  <c r="R469" i="6"/>
  <c r="AI469" i="6"/>
  <c r="Y469" i="6"/>
  <c r="Q469" i="6"/>
  <c r="AH469" i="6"/>
  <c r="X469" i="6"/>
  <c r="P469" i="6"/>
  <c r="AF469" i="6"/>
  <c r="V469" i="6"/>
  <c r="AG469" i="6"/>
  <c r="AA469" i="6"/>
  <c r="W469" i="6"/>
  <c r="S469" i="6"/>
  <c r="AH611" i="6"/>
  <c r="AX611" i="6"/>
  <c r="F877" i="6"/>
  <c r="B831" i="6"/>
  <c r="I869" i="6"/>
  <c r="T823" i="6"/>
  <c r="X823" i="6"/>
  <c r="W823" i="6"/>
  <c r="V823" i="6"/>
  <c r="U823" i="6"/>
  <c r="S823" i="6"/>
  <c r="AA823" i="6"/>
  <c r="R823" i="6"/>
  <c r="Y823" i="6"/>
  <c r="P823" i="6"/>
  <c r="Q823" i="6"/>
  <c r="Z823" i="6"/>
  <c r="F1212" i="6"/>
  <c r="B1166" i="6"/>
  <c r="F1245" i="6"/>
  <c r="B1199" i="6"/>
  <c r="AT1126" i="6"/>
  <c r="J1172" i="6"/>
  <c r="I1224" i="6"/>
  <c r="AP1178" i="6"/>
  <c r="AH1178" i="6"/>
  <c r="X1178" i="6"/>
  <c r="P1178" i="6"/>
  <c r="AO1178" i="6"/>
  <c r="AG1178" i="6"/>
  <c r="W1178" i="6"/>
  <c r="AN1178" i="6"/>
  <c r="AF1178" i="6"/>
  <c r="V1178" i="6"/>
  <c r="AM1178" i="6"/>
  <c r="U1178" i="6"/>
  <c r="AL1178" i="6"/>
  <c r="T1178" i="6"/>
  <c r="AK1178" i="6"/>
  <c r="AA1178" i="6"/>
  <c r="S1178" i="6"/>
  <c r="AQ1178" i="6"/>
  <c r="AI1178" i="6"/>
  <c r="Y1178" i="6"/>
  <c r="Q1178" i="6"/>
  <c r="AJ1178" i="6"/>
  <c r="Z1178" i="6"/>
  <c r="R1178" i="6"/>
  <c r="BA1471" i="6"/>
  <c r="AK1471" i="6"/>
  <c r="AK1802" i="6" s="1"/>
  <c r="X1629" i="6"/>
  <c r="P1629" i="6"/>
  <c r="U1629" i="6"/>
  <c r="T1629" i="6"/>
  <c r="S1629" i="6"/>
  <c r="AA1629" i="6"/>
  <c r="R1629" i="6"/>
  <c r="Z1629" i="6"/>
  <c r="Q1629" i="6"/>
  <c r="Y1629" i="6"/>
  <c r="W1629" i="6"/>
  <c r="V1629" i="6"/>
  <c r="BD96" i="6"/>
  <c r="AN96" i="6"/>
  <c r="B306" i="6"/>
  <c r="AB42" i="6"/>
  <c r="AB40" i="6"/>
  <c r="AB41" i="6"/>
  <c r="AI108" i="6"/>
  <c r="AY108" i="6"/>
  <c r="B310" i="6"/>
  <c r="AB395" i="6"/>
  <c r="AH1019" i="6"/>
  <c r="AH1065" i="6"/>
  <c r="F853" i="6"/>
  <c r="B807" i="6"/>
  <c r="J896" i="6"/>
  <c r="D850" i="6"/>
  <c r="I1281" i="6"/>
  <c r="AI1235" i="6"/>
  <c r="Y1235" i="6"/>
  <c r="Q1235" i="6"/>
  <c r="AH1235" i="6"/>
  <c r="X1235" i="6"/>
  <c r="P1235" i="6"/>
  <c r="AG1235" i="6"/>
  <c r="W1235" i="6"/>
  <c r="AF1235" i="6"/>
  <c r="V1235" i="6"/>
  <c r="U1235" i="6"/>
  <c r="T1235" i="6"/>
  <c r="AA1235" i="6"/>
  <c r="R1235" i="6"/>
  <c r="Z1235" i="6"/>
  <c r="S1235" i="6"/>
  <c r="F1236" i="6"/>
  <c r="B1190" i="6"/>
  <c r="J1227" i="6"/>
  <c r="B1227" i="6" s="1"/>
  <c r="AT1181" i="6"/>
  <c r="AJ1671" i="6"/>
  <c r="AJ1717" i="6"/>
  <c r="X1628" i="6"/>
  <c r="P1628" i="6"/>
  <c r="AA1628" i="6"/>
  <c r="R1628" i="6"/>
  <c r="Z1628" i="6"/>
  <c r="Q1628" i="6"/>
  <c r="Y1628" i="6"/>
  <c r="W1628" i="6"/>
  <c r="V1628" i="6"/>
  <c r="U1628" i="6"/>
  <c r="T1628" i="6"/>
  <c r="S1628" i="6"/>
  <c r="AK2155" i="6"/>
  <c r="AK2109" i="6"/>
  <c r="Z2086" i="6"/>
  <c r="Z2132" i="6"/>
  <c r="AJ1893" i="6"/>
  <c r="AZ1893" i="6"/>
  <c r="AI1904" i="6"/>
  <c r="AY1904" i="6"/>
  <c r="AB2057" i="6"/>
  <c r="AL1470" i="6"/>
  <c r="BB1470" i="6"/>
  <c r="AG1703" i="6"/>
  <c r="AR1947" i="6"/>
  <c r="AH363" i="6"/>
  <c r="AH409" i="6"/>
  <c r="AL1667" i="6"/>
  <c r="AL1713" i="6"/>
  <c r="W794" i="6"/>
  <c r="V794" i="6"/>
  <c r="U794" i="6"/>
  <c r="T794" i="6"/>
  <c r="AA794" i="6"/>
  <c r="S794" i="6"/>
  <c r="Z794" i="6"/>
  <c r="R794" i="6"/>
  <c r="X794" i="6"/>
  <c r="P794" i="6"/>
  <c r="Y794" i="6"/>
  <c r="Q794" i="6"/>
  <c r="I840" i="6"/>
  <c r="AH615" i="6"/>
  <c r="AX615" i="6"/>
  <c r="J907" i="6"/>
  <c r="D861" i="6"/>
  <c r="AB2032" i="6"/>
  <c r="AB2069" i="6"/>
  <c r="AH365" i="6"/>
  <c r="AH411" i="6"/>
  <c r="AH457" i="6"/>
  <c r="AB302" i="6"/>
  <c r="F1225" i="6"/>
  <c r="AT1133" i="6"/>
  <c r="J1179" i="6"/>
  <c r="J1236" i="6"/>
  <c r="AT1190" i="6"/>
  <c r="AI2128" i="6"/>
  <c r="AI2082" i="6"/>
  <c r="AI1896" i="6"/>
  <c r="AY1896" i="6"/>
  <c r="AH2092" i="6"/>
  <c r="AH2138" i="6"/>
  <c r="AI128" i="6"/>
  <c r="AY128" i="6"/>
  <c r="AY132" i="6"/>
  <c r="AI132" i="6"/>
  <c r="AB778" i="6"/>
  <c r="AB1593" i="6"/>
  <c r="AB2165" i="6"/>
  <c r="AB760" i="6"/>
  <c r="AN1897" i="6"/>
  <c r="BD1897" i="6"/>
  <c r="AH1915" i="6"/>
  <c r="AX1915" i="6"/>
  <c r="AG1050" i="6"/>
  <c r="AG1096" i="6"/>
  <c r="R1835" i="6"/>
  <c r="AB400" i="6"/>
  <c r="U803" i="6"/>
  <c r="T803" i="6"/>
  <c r="I849" i="6"/>
  <c r="AA803" i="6"/>
  <c r="S803" i="6"/>
  <c r="Z803" i="6"/>
  <c r="R803" i="6"/>
  <c r="Y803" i="6"/>
  <c r="Q803" i="6"/>
  <c r="X803" i="6"/>
  <c r="P803" i="6"/>
  <c r="V803" i="6"/>
  <c r="W803" i="6"/>
  <c r="I1217" i="6"/>
  <c r="AP1171" i="6"/>
  <c r="AH1171" i="6"/>
  <c r="X1171" i="6"/>
  <c r="P1171" i="6"/>
  <c r="AO1171" i="6"/>
  <c r="AG1171" i="6"/>
  <c r="W1171" i="6"/>
  <c r="AN1171" i="6"/>
  <c r="AF1171" i="6"/>
  <c r="V1171" i="6"/>
  <c r="AM1171" i="6"/>
  <c r="U1171" i="6"/>
  <c r="AL1171" i="6"/>
  <c r="T1171" i="6"/>
  <c r="AK1171" i="6"/>
  <c r="AA1171" i="6"/>
  <c r="S1171" i="6"/>
  <c r="AQ1171" i="6"/>
  <c r="AI1171" i="6"/>
  <c r="Y1171" i="6"/>
  <c r="Q1171" i="6"/>
  <c r="Z1171" i="6"/>
  <c r="R1171" i="6"/>
  <c r="AJ1171" i="6"/>
  <c r="AG1675" i="6"/>
  <c r="AG1721" i="6"/>
  <c r="AB309" i="6"/>
  <c r="B444" i="6"/>
  <c r="AB399" i="6"/>
  <c r="U445" i="6"/>
  <c r="T445" i="6"/>
  <c r="Z445" i="6"/>
  <c r="R445" i="6"/>
  <c r="AH445" i="6"/>
  <c r="X445" i="6"/>
  <c r="P445" i="6"/>
  <c r="AF445" i="6"/>
  <c r="V445" i="6"/>
  <c r="AI445" i="6"/>
  <c r="AG445" i="6"/>
  <c r="AA445" i="6"/>
  <c r="Y445" i="6"/>
  <c r="Q445" i="6"/>
  <c r="W445" i="6"/>
  <c r="S445" i="6"/>
  <c r="AH635" i="6"/>
  <c r="AX635" i="6"/>
  <c r="U799" i="6"/>
  <c r="T799" i="6"/>
  <c r="AA799" i="6"/>
  <c r="S799" i="6"/>
  <c r="I845" i="6"/>
  <c r="Z799" i="6"/>
  <c r="R799" i="6"/>
  <c r="Y799" i="6"/>
  <c r="Q799" i="6"/>
  <c r="X799" i="6"/>
  <c r="P799" i="6"/>
  <c r="V799" i="6"/>
  <c r="W799" i="6"/>
  <c r="J1237" i="6"/>
  <c r="AT1191" i="6"/>
  <c r="X1640" i="6"/>
  <c r="P1640" i="6"/>
  <c r="V1640" i="6"/>
  <c r="U1640" i="6"/>
  <c r="T1640" i="6"/>
  <c r="S1640" i="6"/>
  <c r="AA1640" i="6"/>
  <c r="R1640" i="6"/>
  <c r="Z1640" i="6"/>
  <c r="Q1640" i="6"/>
  <c r="Y1640" i="6"/>
  <c r="W1640" i="6"/>
  <c r="AB1755" i="6"/>
  <c r="AF1801" i="6"/>
  <c r="V1801" i="6"/>
  <c r="U1801" i="6"/>
  <c r="AK1801" i="6"/>
  <c r="AA1801" i="6"/>
  <c r="S1801" i="6"/>
  <c r="AI1801" i="6"/>
  <c r="T1801" i="6"/>
  <c r="AH1801" i="6"/>
  <c r="R1801" i="6"/>
  <c r="AG1801" i="6"/>
  <c r="Q1801" i="6"/>
  <c r="P1801" i="6"/>
  <c r="Z1801" i="6"/>
  <c r="Y1801" i="6"/>
  <c r="AL1801" i="6"/>
  <c r="X1801" i="6"/>
  <c r="AJ1801" i="6"/>
  <c r="W1801" i="6"/>
  <c r="BA1906" i="6"/>
  <c r="AK1906" i="6"/>
  <c r="AL335" i="6"/>
  <c r="AL381" i="6"/>
  <c r="AH414" i="6"/>
  <c r="AM1667" i="6"/>
  <c r="AM1713" i="6"/>
  <c r="AR651" i="6"/>
  <c r="AH629" i="6"/>
  <c r="AX629" i="6"/>
  <c r="F829" i="6"/>
  <c r="B783" i="6"/>
  <c r="F885" i="6"/>
  <c r="B839" i="6"/>
  <c r="AI1105" i="6"/>
  <c r="AI1059" i="6"/>
  <c r="AB750" i="6"/>
  <c r="F1215" i="6"/>
  <c r="B1169" i="6"/>
  <c r="AB1121" i="6"/>
  <c r="AF1433" i="6"/>
  <c r="AF1764" i="6" s="1"/>
  <c r="AB1433" i="6"/>
  <c r="P1672" i="6"/>
  <c r="AG1699" i="6"/>
  <c r="AG1745" i="6"/>
  <c r="AB1623" i="6"/>
  <c r="AB1600" i="6"/>
  <c r="AB1608" i="6"/>
  <c r="AG1776" i="6"/>
  <c r="W1776" i="6"/>
  <c r="AF1776" i="6"/>
  <c r="V1776" i="6"/>
  <c r="U1776" i="6"/>
  <c r="T1776" i="6"/>
  <c r="AA1776" i="6"/>
  <c r="S1776" i="6"/>
  <c r="AI1776" i="6"/>
  <c r="Y1776" i="6"/>
  <c r="Q1776" i="6"/>
  <c r="AH1776" i="6"/>
  <c r="Z1776" i="6"/>
  <c r="X1776" i="6"/>
  <c r="R1776" i="6"/>
  <c r="P1776" i="6"/>
  <c r="AG2120" i="6"/>
  <c r="AB2056" i="6"/>
  <c r="AG2122" i="6"/>
  <c r="AG2168" i="6"/>
  <c r="AB2073" i="6"/>
  <c r="AG454" i="6"/>
  <c r="W454" i="6"/>
  <c r="AF454" i="6"/>
  <c r="V454" i="6"/>
  <c r="T454" i="6"/>
  <c r="Z454" i="6"/>
  <c r="R454" i="6"/>
  <c r="AH454" i="6"/>
  <c r="X454" i="6"/>
  <c r="P454" i="6"/>
  <c r="AI454" i="6"/>
  <c r="AA454" i="6"/>
  <c r="Y454" i="6"/>
  <c r="U454" i="6"/>
  <c r="S454" i="6"/>
  <c r="Q454" i="6"/>
  <c r="AH1047" i="6"/>
  <c r="AH1093" i="6"/>
  <c r="AY620" i="6"/>
  <c r="AI620" i="6"/>
  <c r="AY614" i="6"/>
  <c r="AI614" i="6"/>
  <c r="F906" i="6"/>
  <c r="B860" i="6"/>
  <c r="I1214" i="6"/>
  <c r="AP1168" i="6"/>
  <c r="AH1168" i="6"/>
  <c r="X1168" i="6"/>
  <c r="P1168" i="6"/>
  <c r="AO1168" i="6"/>
  <c r="AG1168" i="6"/>
  <c r="W1168" i="6"/>
  <c r="AN1168" i="6"/>
  <c r="AF1168" i="6"/>
  <c r="V1168" i="6"/>
  <c r="AM1168" i="6"/>
  <c r="U1168" i="6"/>
  <c r="AL1168" i="6"/>
  <c r="T1168" i="6"/>
  <c r="AK1168" i="6"/>
  <c r="AA1168" i="6"/>
  <c r="S1168" i="6"/>
  <c r="AQ1168" i="6"/>
  <c r="AI1168" i="6"/>
  <c r="Y1168" i="6"/>
  <c r="Q1168" i="6"/>
  <c r="AJ1168" i="6"/>
  <c r="Z1168" i="6"/>
  <c r="R1168" i="6"/>
  <c r="AB1140" i="6"/>
  <c r="AH1438" i="6"/>
  <c r="AX1438" i="6"/>
  <c r="AA1655" i="6"/>
  <c r="S1655" i="6"/>
  <c r="X1655" i="6"/>
  <c r="P1655" i="6"/>
  <c r="Y1655" i="6"/>
  <c r="W1655" i="6"/>
  <c r="V1655" i="6"/>
  <c r="U1655" i="6"/>
  <c r="T1655" i="6"/>
  <c r="R1655" i="6"/>
  <c r="Q1655" i="6"/>
  <c r="Z1655" i="6"/>
  <c r="AA1835" i="6"/>
  <c r="AG2098" i="6"/>
  <c r="AG2144" i="6"/>
  <c r="AR1944" i="6"/>
  <c r="AH137" i="6"/>
  <c r="AX137" i="6"/>
  <c r="AB307" i="6"/>
  <c r="AR155" i="6"/>
  <c r="AB396" i="6"/>
  <c r="AG442" i="6"/>
  <c r="W442" i="6"/>
  <c r="M38" i="10" s="1"/>
  <c r="AF442" i="6"/>
  <c r="V442" i="6"/>
  <c r="Z442" i="6"/>
  <c r="P38" i="10" s="1"/>
  <c r="R442" i="6"/>
  <c r="H38" i="10" s="1"/>
  <c r="AH442" i="6"/>
  <c r="X442" i="6"/>
  <c r="N38" i="10" s="1"/>
  <c r="P442" i="6"/>
  <c r="Q442" i="6"/>
  <c r="AA442" i="6"/>
  <c r="Q34" i="10" s="1"/>
  <c r="Q35" i="10" s="1"/>
  <c r="Y442" i="6"/>
  <c r="S442" i="6"/>
  <c r="U442" i="6"/>
  <c r="K38" i="10" s="1"/>
  <c r="T442" i="6"/>
  <c r="J38" i="10" s="1"/>
  <c r="AR658" i="6"/>
  <c r="T534" i="6"/>
  <c r="Y534" i="6"/>
  <c r="S534" i="6"/>
  <c r="R534" i="6"/>
  <c r="W534" i="6"/>
  <c r="X534" i="6"/>
  <c r="AG1058" i="6"/>
  <c r="AG1104" i="6"/>
  <c r="V547" i="6"/>
  <c r="AB775" i="6"/>
  <c r="AB737" i="6"/>
  <c r="F1273" i="6"/>
  <c r="AA792" i="6"/>
  <c r="S792" i="6"/>
  <c r="Z792" i="6"/>
  <c r="R792" i="6"/>
  <c r="Y792" i="6"/>
  <c r="Q792" i="6"/>
  <c r="X792" i="6"/>
  <c r="P792" i="6"/>
  <c r="I838" i="6"/>
  <c r="W792" i="6"/>
  <c r="V792" i="6"/>
  <c r="T792" i="6"/>
  <c r="U792" i="6"/>
  <c r="I1204" i="6"/>
  <c r="AO1158" i="6"/>
  <c r="AG1158" i="6"/>
  <c r="W1158" i="6"/>
  <c r="AN1158" i="6"/>
  <c r="AF1158" i="6"/>
  <c r="V1158" i="6"/>
  <c r="AL1158" i="6"/>
  <c r="T1158" i="6"/>
  <c r="AK1158" i="6"/>
  <c r="AA1158" i="6"/>
  <c r="S1158" i="6"/>
  <c r="AQ1158" i="6"/>
  <c r="AI1158" i="6"/>
  <c r="Y1158" i="6"/>
  <c r="Q1158" i="6"/>
  <c r="X1158" i="6"/>
  <c r="U1158" i="6"/>
  <c r="AP1158" i="6"/>
  <c r="R1158" i="6"/>
  <c r="AM1158" i="6"/>
  <c r="P1158" i="6"/>
  <c r="AJ1158" i="6"/>
  <c r="AH1158" i="6"/>
  <c r="Z1158" i="6"/>
  <c r="P1378" i="6"/>
  <c r="B1646" i="6"/>
  <c r="AB1588" i="6"/>
  <c r="Y1765" i="6"/>
  <c r="Q1765" i="6"/>
  <c r="X1765" i="6"/>
  <c r="P1765" i="6"/>
  <c r="AG1765" i="6"/>
  <c r="W1765" i="6"/>
  <c r="AF1765" i="6"/>
  <c r="V1765" i="6"/>
  <c r="U1765" i="6"/>
  <c r="T1765" i="6"/>
  <c r="AA1765" i="6"/>
  <c r="S1765" i="6"/>
  <c r="Z1765" i="6"/>
  <c r="R1765" i="6"/>
  <c r="AB2035" i="6"/>
  <c r="AB2154" i="6"/>
  <c r="AB1602" i="6"/>
  <c r="AA1658" i="6"/>
  <c r="S1658" i="6"/>
  <c r="X1658" i="6"/>
  <c r="P1658" i="6"/>
  <c r="Q1658" i="6"/>
  <c r="Z1658" i="6"/>
  <c r="Y1658" i="6"/>
  <c r="W1658" i="6"/>
  <c r="V1658" i="6"/>
  <c r="U1658" i="6"/>
  <c r="T1658" i="6"/>
  <c r="R1658" i="6"/>
  <c r="AI2123" i="6"/>
  <c r="AI2169" i="6"/>
  <c r="AB1792" i="6"/>
  <c r="AJ2099" i="6"/>
  <c r="AR157" i="6"/>
  <c r="AH1035" i="6"/>
  <c r="AH1081" i="6"/>
  <c r="AG1052" i="6"/>
  <c r="AG1144" i="6"/>
  <c r="AG1098" i="6"/>
  <c r="AZ636" i="6"/>
  <c r="AJ636" i="6"/>
  <c r="AT1113" i="6"/>
  <c r="J1159" i="6"/>
  <c r="AB1175" i="6"/>
  <c r="AB1125" i="6"/>
  <c r="I1222" i="6"/>
  <c r="AP1176" i="6"/>
  <c r="AH1176" i="6"/>
  <c r="X1176" i="6"/>
  <c r="P1176" i="6"/>
  <c r="AO1176" i="6"/>
  <c r="AG1176" i="6"/>
  <c r="W1176" i="6"/>
  <c r="AN1176" i="6"/>
  <c r="AF1176" i="6"/>
  <c r="V1176" i="6"/>
  <c r="AM1176" i="6"/>
  <c r="U1176" i="6"/>
  <c r="AL1176" i="6"/>
  <c r="T1176" i="6"/>
  <c r="AK1176" i="6"/>
  <c r="AA1176" i="6"/>
  <c r="S1176" i="6"/>
  <c r="AQ1176" i="6"/>
  <c r="AI1176" i="6"/>
  <c r="Y1176" i="6"/>
  <c r="Q1176" i="6"/>
  <c r="AJ1176" i="6"/>
  <c r="Z1176" i="6"/>
  <c r="R1176" i="6"/>
  <c r="J1228" i="6"/>
  <c r="AT1182" i="6"/>
  <c r="X1375" i="6"/>
  <c r="AH1444" i="6"/>
  <c r="AX1444" i="6"/>
  <c r="AL1759" i="6"/>
  <c r="X1630" i="6"/>
  <c r="P1630" i="6"/>
  <c r="Y1630" i="6"/>
  <c r="W1630" i="6"/>
  <c r="V1630" i="6"/>
  <c r="U1630" i="6"/>
  <c r="T1630" i="6"/>
  <c r="S1630" i="6"/>
  <c r="AA1630" i="6"/>
  <c r="R1630" i="6"/>
  <c r="Q1630" i="6"/>
  <c r="Z1630" i="6"/>
  <c r="AR163" i="6"/>
  <c r="AI118" i="6"/>
  <c r="AY118" i="6"/>
  <c r="AR185" i="6"/>
  <c r="V526" i="6"/>
  <c r="P526" i="6"/>
  <c r="S526" i="6"/>
  <c r="T526" i="6"/>
  <c r="Q526" i="6"/>
  <c r="W526" i="6"/>
  <c r="R526" i="6"/>
  <c r="U526" i="6"/>
  <c r="X526" i="6"/>
  <c r="Z526" i="6"/>
  <c r="Y526" i="6"/>
  <c r="U382" i="6"/>
  <c r="AB382" i="6"/>
  <c r="AY634" i="6"/>
  <c r="AI634" i="6"/>
  <c r="AB408" i="6"/>
  <c r="AY632" i="6"/>
  <c r="AI632" i="6"/>
  <c r="AH1043" i="6"/>
  <c r="AH1089" i="6"/>
  <c r="AH1037" i="6"/>
  <c r="AH1129" i="6"/>
  <c r="AH1083" i="6"/>
  <c r="AA547" i="6"/>
  <c r="AK1713" i="6"/>
  <c r="AK1667" i="6"/>
  <c r="F1232" i="6"/>
  <c r="B1186" i="6"/>
  <c r="I1211" i="6"/>
  <c r="AP1165" i="6"/>
  <c r="AH1165" i="6"/>
  <c r="X1165" i="6"/>
  <c r="P1165" i="6"/>
  <c r="AO1165" i="6"/>
  <c r="AG1165" i="6"/>
  <c r="W1165" i="6"/>
  <c r="AN1165" i="6"/>
  <c r="AF1165" i="6"/>
  <c r="V1165" i="6"/>
  <c r="AM1165" i="6"/>
  <c r="U1165" i="6"/>
  <c r="AL1165" i="6"/>
  <c r="T1165" i="6"/>
  <c r="AK1165" i="6"/>
  <c r="AA1165" i="6"/>
  <c r="S1165" i="6"/>
  <c r="AQ1165" i="6"/>
  <c r="AI1165" i="6"/>
  <c r="Y1165" i="6"/>
  <c r="Q1165" i="6"/>
  <c r="AJ1165" i="6"/>
  <c r="Z1165" i="6"/>
  <c r="R1165" i="6"/>
  <c r="F1210" i="6"/>
  <c r="B1164" i="6"/>
  <c r="I1219" i="6"/>
  <c r="AP1173" i="6"/>
  <c r="AH1173" i="6"/>
  <c r="X1173" i="6"/>
  <c r="P1173" i="6"/>
  <c r="AO1173" i="6"/>
  <c r="AG1173" i="6"/>
  <c r="W1173" i="6"/>
  <c r="AN1173" i="6"/>
  <c r="AF1173" i="6"/>
  <c r="V1173" i="6"/>
  <c r="AM1173" i="6"/>
  <c r="U1173" i="6"/>
  <c r="AL1173" i="6"/>
  <c r="T1173" i="6"/>
  <c r="AK1173" i="6"/>
  <c r="AA1173" i="6"/>
  <c r="S1173" i="6"/>
  <c r="AQ1173" i="6"/>
  <c r="AI1173" i="6"/>
  <c r="Y1173" i="6"/>
  <c r="Q1173" i="6"/>
  <c r="AJ1173" i="6"/>
  <c r="Z1173" i="6"/>
  <c r="R1173" i="6"/>
  <c r="AK1472" i="6"/>
  <c r="BA1472" i="6"/>
  <c r="Y1618" i="6"/>
  <c r="Q1618" i="6"/>
  <c r="X1618" i="6"/>
  <c r="P1618" i="6"/>
  <c r="W1618" i="6"/>
  <c r="V1618" i="6"/>
  <c r="U1618" i="6"/>
  <c r="T1618" i="6"/>
  <c r="AA1618" i="6"/>
  <c r="S1618" i="6"/>
  <c r="Z1618" i="6"/>
  <c r="R1618" i="6"/>
  <c r="AG1677" i="6"/>
  <c r="AH1462" i="6"/>
  <c r="AX1462" i="6"/>
  <c r="B1625" i="6"/>
  <c r="AB1750" i="6"/>
  <c r="AG1796" i="6"/>
  <c r="W1796" i="6"/>
  <c r="AF1796" i="6"/>
  <c r="V1796" i="6"/>
  <c r="U1796" i="6"/>
  <c r="T1796" i="6"/>
  <c r="AA1796" i="6"/>
  <c r="S1796" i="6"/>
  <c r="Z1796" i="6"/>
  <c r="R1796" i="6"/>
  <c r="AI1796" i="6"/>
  <c r="Y1796" i="6"/>
  <c r="Q1796" i="6"/>
  <c r="X1796" i="6"/>
  <c r="P1796" i="6"/>
  <c r="AH1796" i="6"/>
  <c r="AA2086" i="6"/>
  <c r="AA2132" i="6"/>
  <c r="AH1905" i="6"/>
  <c r="AX1905" i="6"/>
  <c r="AB2126" i="6"/>
  <c r="AB1586" i="6"/>
  <c r="AG1715" i="6"/>
  <c r="AR1715" i="6" s="1"/>
  <c r="AI111" i="6"/>
  <c r="AY111" i="6"/>
  <c r="AH343" i="6"/>
  <c r="AH389" i="6"/>
  <c r="B429" i="6"/>
  <c r="AG380" i="6"/>
  <c r="AH435" i="6"/>
  <c r="AH398" i="6"/>
  <c r="U461" i="6"/>
  <c r="T461" i="6"/>
  <c r="Z461" i="6"/>
  <c r="R461" i="6"/>
  <c r="Y461" i="6"/>
  <c r="Q461" i="6"/>
  <c r="AH461" i="6"/>
  <c r="X461" i="6"/>
  <c r="P461" i="6"/>
  <c r="AF461" i="6"/>
  <c r="V461" i="6"/>
  <c r="W461" i="6"/>
  <c r="S461" i="6"/>
  <c r="AA461" i="6"/>
  <c r="AG461" i="6"/>
  <c r="AG1044" i="6"/>
  <c r="AG1090" i="6"/>
  <c r="F889" i="6"/>
  <c r="AT1129" i="6"/>
  <c r="J1175" i="6"/>
  <c r="AB1115" i="6"/>
  <c r="AB1575" i="6"/>
  <c r="AL1753" i="6"/>
  <c r="AJ1803" i="6"/>
  <c r="Z1803" i="6"/>
  <c r="R1803" i="6"/>
  <c r="AI1803" i="6"/>
  <c r="Y1803" i="6"/>
  <c r="Q1803" i="6"/>
  <c r="AG1803" i="6"/>
  <c r="W1803" i="6"/>
  <c r="U1803" i="6"/>
  <c r="AH1803" i="6"/>
  <c r="T1803" i="6"/>
  <c r="AF1803" i="6"/>
  <c r="S1803" i="6"/>
  <c r="P1803" i="6"/>
  <c r="AB1803" i="6" s="1"/>
  <c r="AA1803" i="6"/>
  <c r="X1803" i="6"/>
  <c r="V1803" i="6"/>
  <c r="AH1802" i="6"/>
  <c r="X1802" i="6"/>
  <c r="P1802" i="6"/>
  <c r="AG1802" i="6"/>
  <c r="W1802" i="6"/>
  <c r="U1802" i="6"/>
  <c r="AJ1802" i="6"/>
  <c r="T1802" i="6"/>
  <c r="AI1802" i="6"/>
  <c r="S1802" i="6"/>
  <c r="AF1802" i="6"/>
  <c r="R1802" i="6"/>
  <c r="Q1802" i="6"/>
  <c r="AA1802" i="6"/>
  <c r="Z1802" i="6"/>
  <c r="Y1802" i="6"/>
  <c r="V1802" i="6"/>
  <c r="AI1800" i="6"/>
  <c r="Y1800" i="6"/>
  <c r="Q1800" i="6"/>
  <c r="S1800" i="6"/>
  <c r="AA1800" i="6"/>
  <c r="R1800" i="6"/>
  <c r="AK1800" i="6"/>
  <c r="Z1800" i="6"/>
  <c r="P1800" i="6"/>
  <c r="AJ1800" i="6"/>
  <c r="X1800" i="6"/>
  <c r="AH1800" i="6"/>
  <c r="W1800" i="6"/>
  <c r="AG1800" i="6"/>
  <c r="V1800" i="6"/>
  <c r="AF1800" i="6"/>
  <c r="U1800" i="6"/>
  <c r="T1800" i="6"/>
  <c r="AH1919" i="6"/>
  <c r="AX1919" i="6"/>
  <c r="AH1907" i="6"/>
  <c r="AX1907" i="6"/>
  <c r="AB2048" i="6"/>
  <c r="AH609" i="6"/>
  <c r="AX609" i="6"/>
  <c r="W782" i="6"/>
  <c r="V782" i="6"/>
  <c r="U782" i="6"/>
  <c r="T782" i="6"/>
  <c r="AA782" i="6"/>
  <c r="S782" i="6"/>
  <c r="I828" i="6"/>
  <c r="Z782" i="6"/>
  <c r="R782" i="6"/>
  <c r="X782" i="6"/>
  <c r="P782" i="6"/>
  <c r="Y782" i="6"/>
  <c r="Q782" i="6"/>
  <c r="AB2134" i="6"/>
  <c r="B298" i="6"/>
  <c r="I855" i="6"/>
  <c r="Y809" i="6"/>
  <c r="Q809" i="6"/>
  <c r="X809" i="6"/>
  <c r="P809" i="6"/>
  <c r="W809" i="6"/>
  <c r="V809" i="6"/>
  <c r="U809" i="6"/>
  <c r="T809" i="6"/>
  <c r="Z809" i="6"/>
  <c r="R809" i="6"/>
  <c r="AA809" i="6"/>
  <c r="S809" i="6"/>
  <c r="AB535" i="6"/>
  <c r="R531" i="6"/>
  <c r="W531" i="6"/>
  <c r="X531" i="6"/>
  <c r="T531" i="6"/>
  <c r="S531" i="6"/>
  <c r="Y531" i="6"/>
  <c r="F918" i="6"/>
  <c r="B872" i="6"/>
  <c r="J863" i="6"/>
  <c r="D817" i="6"/>
  <c r="F1238" i="6"/>
  <c r="B1192" i="6"/>
  <c r="F1239" i="6"/>
  <c r="B1193" i="6"/>
  <c r="AB1109" i="6"/>
  <c r="F1206" i="6"/>
  <c r="B1160" i="6"/>
  <c r="I1218" i="6"/>
  <c r="AP1172" i="6"/>
  <c r="AH1172" i="6"/>
  <c r="X1172" i="6"/>
  <c r="P1172" i="6"/>
  <c r="AO1172" i="6"/>
  <c r="AG1172" i="6"/>
  <c r="W1172" i="6"/>
  <c r="AN1172" i="6"/>
  <c r="AF1172" i="6"/>
  <c r="V1172" i="6"/>
  <c r="AM1172" i="6"/>
  <c r="U1172" i="6"/>
  <c r="AL1172" i="6"/>
  <c r="T1172" i="6"/>
  <c r="AK1172" i="6"/>
  <c r="AA1172" i="6"/>
  <c r="S1172" i="6"/>
  <c r="AQ1172" i="6"/>
  <c r="AI1172" i="6"/>
  <c r="Y1172" i="6"/>
  <c r="Q1172" i="6"/>
  <c r="AJ1172" i="6"/>
  <c r="Z1172" i="6"/>
  <c r="R1172" i="6"/>
  <c r="J1231" i="6"/>
  <c r="AT1185" i="6"/>
  <c r="B1800" i="6"/>
  <c r="AB1734" i="6"/>
  <c r="AB1777" i="6"/>
  <c r="V2083" i="6"/>
  <c r="AL1890" i="6"/>
  <c r="V2129" i="6"/>
  <c r="AI2121" i="6"/>
  <c r="AG1056" i="6"/>
  <c r="AG1102" i="6"/>
  <c r="I871" i="6"/>
  <c r="X825" i="6"/>
  <c r="P825" i="6"/>
  <c r="AA825" i="6"/>
  <c r="R825" i="6"/>
  <c r="Z825" i="6"/>
  <c r="Q825" i="6"/>
  <c r="Y825" i="6"/>
  <c r="W825" i="6"/>
  <c r="V825" i="6"/>
  <c r="U825" i="6"/>
  <c r="S825" i="6"/>
  <c r="T825" i="6"/>
  <c r="I847" i="6"/>
  <c r="Y801" i="6"/>
  <c r="Q801" i="6"/>
  <c r="X801" i="6"/>
  <c r="P801" i="6"/>
  <c r="W801" i="6"/>
  <c r="V801" i="6"/>
  <c r="U801" i="6"/>
  <c r="T801" i="6"/>
  <c r="Z801" i="6"/>
  <c r="R801" i="6"/>
  <c r="AA801" i="6"/>
  <c r="S801" i="6"/>
  <c r="AB1118" i="6"/>
  <c r="AH1456" i="6"/>
  <c r="AX1456" i="6"/>
  <c r="AL2091" i="6"/>
  <c r="AL2137" i="6"/>
  <c r="AI101" i="6"/>
  <c r="AY101" i="6"/>
  <c r="AB311" i="6"/>
  <c r="AB390" i="6"/>
  <c r="AH394" i="6"/>
  <c r="AH392" i="6"/>
  <c r="B285" i="6"/>
  <c r="B326" i="6"/>
  <c r="AI416" i="6"/>
  <c r="AI370" i="6"/>
  <c r="B304" i="6"/>
  <c r="AH391" i="6"/>
  <c r="AG1030" i="6"/>
  <c r="AG1076" i="6"/>
  <c r="J898" i="6"/>
  <c r="D852" i="6"/>
  <c r="J851" i="6"/>
  <c r="B851" i="6" s="1"/>
  <c r="D805" i="6"/>
  <c r="AP1713" i="6"/>
  <c r="AP1667" i="6"/>
  <c r="I839" i="6"/>
  <c r="Y793" i="6"/>
  <c r="Q793" i="6"/>
  <c r="X793" i="6"/>
  <c r="P793" i="6"/>
  <c r="W793" i="6"/>
  <c r="V793" i="6"/>
  <c r="U793" i="6"/>
  <c r="T793" i="6"/>
  <c r="Z793" i="6"/>
  <c r="R793" i="6"/>
  <c r="AA793" i="6"/>
  <c r="S793" i="6"/>
  <c r="V826" i="6"/>
  <c r="S826" i="6"/>
  <c r="I872" i="6"/>
  <c r="AA826" i="6"/>
  <c r="R826" i="6"/>
  <c r="Z826" i="6"/>
  <c r="Q826" i="6"/>
  <c r="Y826" i="6"/>
  <c r="P826" i="6"/>
  <c r="X826" i="6"/>
  <c r="W826" i="6"/>
  <c r="T826" i="6"/>
  <c r="U826" i="6"/>
  <c r="AB777" i="6"/>
  <c r="AB1124" i="6"/>
  <c r="AH1135" i="6"/>
  <c r="AH1139" i="6"/>
  <c r="J1232" i="6"/>
  <c r="AT1186" i="6"/>
  <c r="AL1433" i="6"/>
  <c r="V1672" i="6"/>
  <c r="AH1434" i="6"/>
  <c r="AH1765" i="6" s="1"/>
  <c r="AX1434" i="6"/>
  <c r="AJ97" i="6"/>
  <c r="AJ428" i="6" s="1"/>
  <c r="T336" i="6"/>
  <c r="AR167" i="6"/>
  <c r="AM335" i="6"/>
  <c r="AM381" i="6"/>
  <c r="AB289" i="6"/>
  <c r="X34" i="6"/>
  <c r="Y34" i="6"/>
  <c r="W34" i="6"/>
  <c r="AH347" i="6"/>
  <c r="AH393" i="6"/>
  <c r="B303" i="6"/>
  <c r="AH613" i="6"/>
  <c r="AX613" i="6"/>
  <c r="F914" i="6"/>
  <c r="B868" i="6"/>
  <c r="J1204" i="6"/>
  <c r="AT1158" i="6"/>
  <c r="AB774" i="6"/>
  <c r="F1219" i="6"/>
  <c r="AB1180" i="6"/>
  <c r="AH1141" i="6"/>
  <c r="AI1453" i="6"/>
  <c r="AY1453" i="6"/>
  <c r="B1639" i="6"/>
  <c r="AB1604" i="6"/>
  <c r="B1767" i="6"/>
  <c r="AA1660" i="6"/>
  <c r="S1660" i="6"/>
  <c r="X1660" i="6"/>
  <c r="P1660" i="6"/>
  <c r="V1660" i="6"/>
  <c r="U1660" i="6"/>
  <c r="T1660" i="6"/>
  <c r="R1660" i="6"/>
  <c r="Q1660" i="6"/>
  <c r="Z1660" i="6"/>
  <c r="Y1660" i="6"/>
  <c r="W1660" i="6"/>
  <c r="AB1789" i="6"/>
  <c r="AJ1890" i="6"/>
  <c r="T2129" i="6"/>
  <c r="T2083" i="6"/>
  <c r="AI2086" i="6"/>
  <c r="AI2132" i="6"/>
  <c r="AH2097" i="6"/>
  <c r="AB2149" i="6"/>
  <c r="B1631" i="6"/>
  <c r="AH1442" i="6"/>
  <c r="AH1773" i="6" s="1"/>
  <c r="AX1442" i="6"/>
  <c r="AI1902" i="6"/>
  <c r="AY1902" i="6"/>
  <c r="I1202" i="6"/>
  <c r="AO1156" i="6"/>
  <c r="AG1156" i="6"/>
  <c r="W1156" i="6"/>
  <c r="AN1156" i="6"/>
  <c r="AF1156" i="6"/>
  <c r="V1156" i="6"/>
  <c r="AL1156" i="6"/>
  <c r="T1156" i="6"/>
  <c r="AK1156" i="6"/>
  <c r="AA1156" i="6"/>
  <c r="S1156" i="6"/>
  <c r="AQ1156" i="6"/>
  <c r="AI1156" i="6"/>
  <c r="Y1156" i="6"/>
  <c r="Q1156" i="6"/>
  <c r="X1156" i="6"/>
  <c r="U1156" i="6"/>
  <c r="AP1156" i="6"/>
  <c r="R1156" i="6"/>
  <c r="AM1156" i="6"/>
  <c r="P1156" i="6"/>
  <c r="AJ1156" i="6"/>
  <c r="AH1156" i="6"/>
  <c r="Z1156" i="6"/>
  <c r="AR662" i="6"/>
  <c r="AI2136" i="6"/>
  <c r="AI2090" i="6"/>
  <c r="AB279" i="6"/>
  <c r="U449" i="6"/>
  <c r="T449" i="6"/>
  <c r="Z449" i="6"/>
  <c r="R449" i="6"/>
  <c r="AH449" i="6"/>
  <c r="X449" i="6"/>
  <c r="P449" i="6"/>
  <c r="AF449" i="6"/>
  <c r="V449" i="6"/>
  <c r="W449" i="6"/>
  <c r="S449" i="6"/>
  <c r="Q449" i="6"/>
  <c r="Y449" i="6"/>
  <c r="AG449" i="6"/>
  <c r="AA449" i="6"/>
  <c r="AY598" i="6"/>
  <c r="AI598" i="6"/>
  <c r="AH1027" i="6"/>
  <c r="AH1073" i="6"/>
  <c r="AK1715" i="6"/>
  <c r="AG415" i="6"/>
  <c r="U795" i="6"/>
  <c r="T795" i="6"/>
  <c r="I841" i="6"/>
  <c r="AA795" i="6"/>
  <c r="S795" i="6"/>
  <c r="Z795" i="6"/>
  <c r="R795" i="6"/>
  <c r="Y795" i="6"/>
  <c r="Q795" i="6"/>
  <c r="X795" i="6"/>
  <c r="P795" i="6"/>
  <c r="V795" i="6"/>
  <c r="W795" i="6"/>
  <c r="AG1038" i="6"/>
  <c r="AG1084" i="6"/>
  <c r="AB410" i="6"/>
  <c r="AB746" i="6"/>
  <c r="AB1719" i="6"/>
  <c r="AB1594" i="6"/>
  <c r="AB1778" i="6"/>
  <c r="AT465" i="6"/>
  <c r="B465" i="6"/>
  <c r="AH1023" i="6"/>
  <c r="AH1069" i="6"/>
  <c r="AI107" i="6"/>
  <c r="AY107" i="6"/>
  <c r="AI124" i="6"/>
  <c r="AY124" i="6"/>
  <c r="AQ1667" i="6"/>
  <c r="AQ1713" i="6"/>
  <c r="J899" i="6"/>
  <c r="D853" i="6"/>
  <c r="AB748" i="6"/>
  <c r="J914" i="6"/>
  <c r="D868" i="6"/>
  <c r="F1241" i="6"/>
  <c r="B1195" i="6"/>
  <c r="AB1190" i="6"/>
  <c r="AT1119" i="6"/>
  <c r="J1165" i="6"/>
  <c r="J1233" i="6"/>
  <c r="AT1187" i="6"/>
  <c r="T1377" i="6"/>
  <c r="AR1493" i="6"/>
  <c r="AB1749" i="6"/>
  <c r="AF2136" i="6"/>
  <c r="AF2090" i="6"/>
  <c r="AI1447" i="6"/>
  <c r="AY1447" i="6"/>
  <c r="AB1590" i="6"/>
  <c r="AA1648" i="6"/>
  <c r="X1648" i="6"/>
  <c r="P1648" i="6"/>
  <c r="V1648" i="6"/>
  <c r="U1648" i="6"/>
  <c r="T1648" i="6"/>
  <c r="S1648" i="6"/>
  <c r="R1648" i="6"/>
  <c r="Z1648" i="6"/>
  <c r="Q1648" i="6"/>
  <c r="Y1648" i="6"/>
  <c r="W1648" i="6"/>
  <c r="AR1496" i="6"/>
  <c r="AI125" i="6"/>
  <c r="AI456" i="6" s="1"/>
  <c r="AY125" i="6"/>
  <c r="AR168" i="6"/>
  <c r="AI110" i="6"/>
  <c r="AY110" i="6"/>
  <c r="AB306" i="6"/>
  <c r="AR159" i="6"/>
  <c r="AA460" i="6"/>
  <c r="S460" i="6"/>
  <c r="Z460" i="6"/>
  <c r="R460" i="6"/>
  <c r="AH460" i="6"/>
  <c r="X460" i="6"/>
  <c r="P460" i="6"/>
  <c r="AG460" i="6"/>
  <c r="W460" i="6"/>
  <c r="AF460" i="6"/>
  <c r="V460" i="6"/>
  <c r="T460" i="6"/>
  <c r="Y460" i="6"/>
  <c r="U460" i="6"/>
  <c r="Q460" i="6"/>
  <c r="AG446" i="6"/>
  <c r="W446" i="6"/>
  <c r="AF446" i="6"/>
  <c r="V446" i="6"/>
  <c r="T446" i="6"/>
  <c r="Z446" i="6"/>
  <c r="R446" i="6"/>
  <c r="AH446" i="6"/>
  <c r="X446" i="6"/>
  <c r="P446" i="6"/>
  <c r="Q446" i="6"/>
  <c r="AA446" i="6"/>
  <c r="S446" i="6"/>
  <c r="U446" i="6"/>
  <c r="Y446" i="6"/>
  <c r="AH637" i="6"/>
  <c r="AX637" i="6"/>
  <c r="F894" i="6"/>
  <c r="B848" i="6"/>
  <c r="AA796" i="6"/>
  <c r="S796" i="6"/>
  <c r="Z796" i="6"/>
  <c r="R796" i="6"/>
  <c r="Y796" i="6"/>
  <c r="Q796" i="6"/>
  <c r="X796" i="6"/>
  <c r="P796" i="6"/>
  <c r="W796" i="6"/>
  <c r="I842" i="6"/>
  <c r="V796" i="6"/>
  <c r="T796" i="6"/>
  <c r="U796" i="6"/>
  <c r="F1221" i="6"/>
  <c r="B1175" i="6"/>
  <c r="AP1163" i="6"/>
  <c r="AH1163" i="6"/>
  <c r="X1163" i="6"/>
  <c r="P1163" i="6"/>
  <c r="AB1163" i="6" s="1"/>
  <c r="AO1163" i="6"/>
  <c r="AG1163" i="6"/>
  <c r="W1163" i="6"/>
  <c r="I1209" i="6"/>
  <c r="AN1163" i="6"/>
  <c r="AF1163" i="6"/>
  <c r="V1163" i="6"/>
  <c r="AM1163" i="6"/>
  <c r="U1163" i="6"/>
  <c r="AL1163" i="6"/>
  <c r="T1163" i="6"/>
  <c r="AK1163" i="6"/>
  <c r="AA1163" i="6"/>
  <c r="S1163" i="6"/>
  <c r="AQ1163" i="6"/>
  <c r="AI1163" i="6"/>
  <c r="Y1163" i="6"/>
  <c r="Q1163" i="6"/>
  <c r="Z1163" i="6"/>
  <c r="R1163" i="6"/>
  <c r="AJ1163" i="6"/>
  <c r="I1223" i="6"/>
  <c r="AP1177" i="6"/>
  <c r="AH1177" i="6"/>
  <c r="X1177" i="6"/>
  <c r="P1177" i="6"/>
  <c r="AO1177" i="6"/>
  <c r="AG1177" i="6"/>
  <c r="W1177" i="6"/>
  <c r="AN1177" i="6"/>
  <c r="AF1177" i="6"/>
  <c r="V1177" i="6"/>
  <c r="AM1177" i="6"/>
  <c r="U1177" i="6"/>
  <c r="AL1177" i="6"/>
  <c r="T1177" i="6"/>
  <c r="AK1177" i="6"/>
  <c r="AA1177" i="6"/>
  <c r="S1177" i="6"/>
  <c r="AQ1177" i="6"/>
  <c r="AI1177" i="6"/>
  <c r="Y1177" i="6"/>
  <c r="Q1177" i="6"/>
  <c r="AJ1177" i="6"/>
  <c r="Z1177" i="6"/>
  <c r="R1177" i="6"/>
  <c r="AR1430" i="6"/>
  <c r="AF1669" i="6"/>
  <c r="AR1669" i="6" s="1"/>
  <c r="AM1433" i="6"/>
  <c r="W1672" i="6"/>
  <c r="AG1683" i="6"/>
  <c r="AG1729" i="6"/>
  <c r="AB1581" i="6"/>
  <c r="X1627" i="6"/>
  <c r="P1627" i="6"/>
  <c r="W1627" i="6"/>
  <c r="V1627" i="6"/>
  <c r="U1627" i="6"/>
  <c r="T1627" i="6"/>
  <c r="S1627" i="6"/>
  <c r="AA1627" i="6"/>
  <c r="R1627" i="6"/>
  <c r="Z1627" i="6"/>
  <c r="Q1627" i="6"/>
  <c r="Y1627" i="6"/>
  <c r="AB1784" i="6"/>
  <c r="AB1759" i="6"/>
  <c r="AB1781" i="6"/>
  <c r="BE1898" i="6"/>
  <c r="AO1898" i="6"/>
  <c r="AB2068" i="6"/>
  <c r="AB1113" i="6"/>
  <c r="F1231" i="6"/>
  <c r="B1185" i="6"/>
  <c r="B1802" i="6"/>
  <c r="AI1901" i="6"/>
  <c r="AY1901" i="6"/>
  <c r="AG2166" i="6"/>
  <c r="AH1466" i="6"/>
  <c r="AH1797" i="6" s="1"/>
  <c r="AX1466" i="6"/>
  <c r="AB2033" i="6"/>
  <c r="AB2161" i="6"/>
  <c r="Q43" i="6"/>
  <c r="AR149" i="6"/>
  <c r="AH1057" i="6"/>
  <c r="AH1103" i="6"/>
  <c r="AH1055" i="6"/>
  <c r="AH1101" i="6"/>
  <c r="AY622" i="6"/>
  <c r="AI622" i="6"/>
  <c r="D858" i="6"/>
  <c r="J904" i="6"/>
  <c r="AB764" i="6"/>
  <c r="AB1122" i="6"/>
  <c r="J1242" i="6"/>
  <c r="AT1196" i="6"/>
  <c r="AJ1711" i="6"/>
  <c r="Y1620" i="6"/>
  <c r="Q1620" i="6"/>
  <c r="X1620" i="6"/>
  <c r="P1620" i="6"/>
  <c r="W1620" i="6"/>
  <c r="V1620" i="6"/>
  <c r="U1620" i="6"/>
  <c r="T1620" i="6"/>
  <c r="AA1620" i="6"/>
  <c r="S1620" i="6"/>
  <c r="Z1620" i="6"/>
  <c r="R1620" i="6"/>
  <c r="AG1701" i="6"/>
  <c r="AG1747" i="6"/>
  <c r="X1832" i="6"/>
  <c r="AH1891" i="6"/>
  <c r="AX1891" i="6"/>
  <c r="AJ2115" i="6"/>
  <c r="AB2054" i="6"/>
  <c r="AH1931" i="6"/>
  <c r="AX1931" i="6"/>
  <c r="AY1887" i="6"/>
  <c r="AI1887" i="6"/>
  <c r="X1632" i="6"/>
  <c r="P1632" i="6"/>
  <c r="V1632" i="6"/>
  <c r="U1632" i="6"/>
  <c r="T1632" i="6"/>
  <c r="S1632" i="6"/>
  <c r="AA1632" i="6"/>
  <c r="R1632" i="6"/>
  <c r="Z1632" i="6"/>
  <c r="Q1632" i="6"/>
  <c r="Y1632" i="6"/>
  <c r="W1632" i="6"/>
  <c r="AO1715" i="6"/>
  <c r="AM97" i="6"/>
  <c r="AM428" i="6" s="1"/>
  <c r="W336" i="6"/>
  <c r="AB295" i="6"/>
  <c r="AI112" i="6"/>
  <c r="AY112" i="6"/>
  <c r="W798" i="6"/>
  <c r="V798" i="6"/>
  <c r="U798" i="6"/>
  <c r="T798" i="6"/>
  <c r="AA798" i="6"/>
  <c r="S798" i="6"/>
  <c r="Z798" i="6"/>
  <c r="R798" i="6"/>
  <c r="I844" i="6"/>
  <c r="X798" i="6"/>
  <c r="P798" i="6"/>
  <c r="Y798" i="6"/>
  <c r="Q798" i="6"/>
  <c r="AB458" i="6"/>
  <c r="B437" i="6"/>
  <c r="AH384" i="6"/>
  <c r="R379" i="6"/>
  <c r="AB379" i="6" s="1"/>
  <c r="R533" i="6"/>
  <c r="X533" i="6"/>
  <c r="W533" i="6"/>
  <c r="S533" i="6"/>
  <c r="T533" i="6"/>
  <c r="Y533" i="6"/>
  <c r="U791" i="6"/>
  <c r="I837" i="6"/>
  <c r="T791" i="6"/>
  <c r="AA791" i="6"/>
  <c r="S791" i="6"/>
  <c r="Z791" i="6"/>
  <c r="R791" i="6"/>
  <c r="Y791" i="6"/>
  <c r="Q791" i="6"/>
  <c r="X791" i="6"/>
  <c r="P791" i="6"/>
  <c r="V791" i="6"/>
  <c r="W791" i="6"/>
  <c r="D871" i="6"/>
  <c r="J917" i="6"/>
  <c r="J1272" i="6"/>
  <c r="AT1226" i="6"/>
  <c r="J1229" i="6"/>
  <c r="AT1183" i="6"/>
  <c r="AI1435" i="6"/>
  <c r="AY1435" i="6"/>
  <c r="AI1461" i="6"/>
  <c r="AY1461" i="6"/>
  <c r="AB1571" i="6"/>
  <c r="AB1753" i="6"/>
  <c r="AJ1757" i="6"/>
  <c r="AB1790" i="6"/>
  <c r="AL1918" i="6"/>
  <c r="BB1918" i="6"/>
  <c r="AG2112" i="6"/>
  <c r="AB2146" i="6"/>
  <c r="AG1028" i="6"/>
  <c r="AG1074" i="6"/>
  <c r="AB749" i="6"/>
  <c r="F922" i="6"/>
  <c r="B283" i="6"/>
  <c r="AI120" i="6"/>
  <c r="AY120" i="6"/>
  <c r="B295" i="6"/>
  <c r="AJ601" i="6"/>
  <c r="AZ601" i="6"/>
  <c r="AH607" i="6"/>
  <c r="AX607" i="6"/>
  <c r="F861" i="6"/>
  <c r="B815" i="6"/>
  <c r="V818" i="6"/>
  <c r="Z818" i="6"/>
  <c r="Q818" i="6"/>
  <c r="Y818" i="6"/>
  <c r="P818" i="6"/>
  <c r="X818" i="6"/>
  <c r="I864" i="6"/>
  <c r="W818" i="6"/>
  <c r="U818" i="6"/>
  <c r="T818" i="6"/>
  <c r="AA818" i="6"/>
  <c r="R818" i="6"/>
  <c r="S818" i="6"/>
  <c r="AB769" i="6"/>
  <c r="B1116" i="6"/>
  <c r="P1662" i="6"/>
  <c r="X1641" i="6"/>
  <c r="P1641" i="6"/>
  <c r="Z1641" i="6"/>
  <c r="Q1641" i="6"/>
  <c r="Y1641" i="6"/>
  <c r="W1641" i="6"/>
  <c r="V1641" i="6"/>
  <c r="U1641" i="6"/>
  <c r="T1641" i="6"/>
  <c r="S1641" i="6"/>
  <c r="AA1641" i="6"/>
  <c r="R1641" i="6"/>
  <c r="AA1657" i="6"/>
  <c r="S1657" i="6"/>
  <c r="X1657" i="6"/>
  <c r="P1657" i="6"/>
  <c r="T1657" i="6"/>
  <c r="R1657" i="6"/>
  <c r="Q1657" i="6"/>
  <c r="Z1657" i="6"/>
  <c r="Y1657" i="6"/>
  <c r="W1657" i="6"/>
  <c r="V1657" i="6"/>
  <c r="U1657" i="6"/>
  <c r="AB1793" i="6"/>
  <c r="AK2103" i="6"/>
  <c r="AB2065" i="6"/>
  <c r="AI419" i="6"/>
  <c r="AB751" i="6"/>
  <c r="AT1122" i="6"/>
  <c r="J1168" i="6"/>
  <c r="AB1147" i="6"/>
  <c r="I1239" i="6"/>
  <c r="AM1193" i="6"/>
  <c r="U1193" i="6"/>
  <c r="AL1193" i="6"/>
  <c r="T1193" i="6"/>
  <c r="AK1193" i="6"/>
  <c r="AA1193" i="6"/>
  <c r="AQ1193" i="6"/>
  <c r="AI1193" i="6"/>
  <c r="Y1193" i="6"/>
  <c r="Q1193" i="6"/>
  <c r="AN1193" i="6"/>
  <c r="AF1193" i="6"/>
  <c r="V1193" i="6"/>
  <c r="AH1193" i="6"/>
  <c r="AG1193" i="6"/>
  <c r="Z1193" i="6"/>
  <c r="X1193" i="6"/>
  <c r="W1193" i="6"/>
  <c r="AP1193" i="6"/>
  <c r="S1193" i="6"/>
  <c r="AJ1193" i="6"/>
  <c r="P1193" i="6"/>
  <c r="AO1193" i="6"/>
  <c r="R1193" i="6"/>
  <c r="AG1695" i="6"/>
  <c r="AG1741" i="6"/>
  <c r="B1627" i="6"/>
  <c r="X1642" i="6"/>
  <c r="P1642" i="6"/>
  <c r="T1642" i="6"/>
  <c r="S1642" i="6"/>
  <c r="AA1642" i="6"/>
  <c r="R1642" i="6"/>
  <c r="Z1642" i="6"/>
  <c r="Q1642" i="6"/>
  <c r="Y1642" i="6"/>
  <c r="W1642" i="6"/>
  <c r="V1642" i="6"/>
  <c r="U1642" i="6"/>
  <c r="AH412" i="6"/>
  <c r="AH366" i="6"/>
  <c r="AB284" i="6"/>
  <c r="I863" i="6"/>
  <c r="Y817" i="6"/>
  <c r="Q817" i="6"/>
  <c r="X817" i="6"/>
  <c r="P817" i="6"/>
  <c r="W817" i="6"/>
  <c r="V817" i="6"/>
  <c r="U817" i="6"/>
  <c r="T817" i="6"/>
  <c r="Z817" i="6"/>
  <c r="R817" i="6"/>
  <c r="AA817" i="6"/>
  <c r="S817" i="6"/>
  <c r="AB402" i="6"/>
  <c r="T317" i="6"/>
  <c r="X317" i="6"/>
  <c r="P317" i="6"/>
  <c r="V317" i="6"/>
  <c r="U317" i="6"/>
  <c r="S317" i="6"/>
  <c r="R317" i="6"/>
  <c r="AA317" i="6"/>
  <c r="Q317" i="6"/>
  <c r="Z317" i="6"/>
  <c r="Z328" i="6" s="1"/>
  <c r="W317" i="6"/>
  <c r="Y317" i="6"/>
  <c r="AB455" i="6"/>
  <c r="AG438" i="6"/>
  <c r="W438" i="6"/>
  <c r="M30" i="10" s="1"/>
  <c r="M31" i="10" s="1"/>
  <c r="AF438" i="6"/>
  <c r="V438" i="6"/>
  <c r="L30" i="10" s="1"/>
  <c r="L31" i="10" s="1"/>
  <c r="Z438" i="6"/>
  <c r="P30" i="10" s="1"/>
  <c r="P31" i="10" s="1"/>
  <c r="R438" i="6"/>
  <c r="H30" i="10" s="1"/>
  <c r="H31" i="10" s="1"/>
  <c r="AH438" i="6"/>
  <c r="X438" i="6"/>
  <c r="P438" i="6"/>
  <c r="AA438" i="6"/>
  <c r="Q30" i="10" s="1"/>
  <c r="Q31" i="10" s="1"/>
  <c r="Y438" i="6"/>
  <c r="U438" i="6"/>
  <c r="K30" i="10" s="1"/>
  <c r="K31" i="10" s="1"/>
  <c r="AI438" i="6"/>
  <c r="Q438" i="6"/>
  <c r="T438" i="6"/>
  <c r="S438" i="6"/>
  <c r="AY618" i="6"/>
  <c r="AI618" i="6"/>
  <c r="AB387" i="6"/>
  <c r="AB432" i="6"/>
  <c r="R9" i="10" s="1"/>
  <c r="AZ131" i="6"/>
  <c r="AJ131" i="6"/>
  <c r="S336" i="6"/>
  <c r="AI97" i="6"/>
  <c r="AI428" i="6" s="1"/>
  <c r="B440" i="6"/>
  <c r="J885" i="6"/>
  <c r="D839" i="6"/>
  <c r="U437" i="6"/>
  <c r="K23" i="10" s="1"/>
  <c r="K24" i="10" s="1"/>
  <c r="T437" i="6"/>
  <c r="J23" i="10" s="1"/>
  <c r="J24" i="10" s="1"/>
  <c r="AH437" i="6"/>
  <c r="X437" i="6"/>
  <c r="P437" i="6"/>
  <c r="F23" i="10" s="1"/>
  <c r="AF437" i="6"/>
  <c r="V437" i="6"/>
  <c r="L23" i="10" s="1"/>
  <c r="L24" i="10" s="1"/>
  <c r="W437" i="6"/>
  <c r="M23" i="10" s="1"/>
  <c r="M24" i="10" s="1"/>
  <c r="S437" i="6"/>
  <c r="I23" i="10" s="1"/>
  <c r="I24" i="10" s="1"/>
  <c r="R437" i="6"/>
  <c r="H23" i="10" s="1"/>
  <c r="H24" i="10" s="1"/>
  <c r="Q437" i="6"/>
  <c r="G23" i="10" s="1"/>
  <c r="G24" i="10" s="1"/>
  <c r="AG437" i="6"/>
  <c r="Y437" i="6"/>
  <c r="O23" i="10" s="1"/>
  <c r="O24" i="10" s="1"/>
  <c r="AA437" i="6"/>
  <c r="Q23" i="10" s="1"/>
  <c r="Q24" i="10" s="1"/>
  <c r="Z437" i="6"/>
  <c r="P23" i="10" s="1"/>
  <c r="P24" i="10" s="1"/>
  <c r="B813" i="6"/>
  <c r="B856" i="6"/>
  <c r="F902" i="6"/>
  <c r="J1209" i="6"/>
  <c r="AT1163" i="6"/>
  <c r="AA816" i="6"/>
  <c r="S816" i="6"/>
  <c r="Z816" i="6"/>
  <c r="R816" i="6"/>
  <c r="Y816" i="6"/>
  <c r="Q816" i="6"/>
  <c r="X816" i="6"/>
  <c r="P816" i="6"/>
  <c r="W816" i="6"/>
  <c r="V816" i="6"/>
  <c r="I862" i="6"/>
  <c r="T816" i="6"/>
  <c r="U816" i="6"/>
  <c r="F1229" i="6"/>
  <c r="B1183" i="6"/>
  <c r="F1222" i="6"/>
  <c r="AT1130" i="6"/>
  <c r="J1176" i="6"/>
  <c r="AB1135" i="6"/>
  <c r="AI1457" i="6"/>
  <c r="AY1457" i="6"/>
  <c r="AG1673" i="6"/>
  <c r="AB2127" i="6"/>
  <c r="Y33" i="6"/>
  <c r="Y35" i="6" s="1"/>
  <c r="AB35" i="6"/>
  <c r="W33" i="6"/>
  <c r="W35" i="6" s="1"/>
  <c r="X33" i="6"/>
  <c r="X35" i="6" s="1"/>
  <c r="AI116" i="6"/>
  <c r="AY116" i="6"/>
  <c r="B297" i="6"/>
  <c r="AB305" i="6"/>
  <c r="AB301" i="6"/>
  <c r="AH395" i="6"/>
  <c r="J876" i="6"/>
  <c r="B876" i="6" s="1"/>
  <c r="D830" i="6"/>
  <c r="AG1036" i="6"/>
  <c r="AG1082" i="6"/>
  <c r="J843" i="6"/>
  <c r="B843" i="6" s="1"/>
  <c r="D797" i="6"/>
  <c r="AO1667" i="6"/>
  <c r="AO1713" i="6"/>
  <c r="W786" i="6"/>
  <c r="V786" i="6"/>
  <c r="U786" i="6"/>
  <c r="T786" i="6"/>
  <c r="I832" i="6"/>
  <c r="AA786" i="6"/>
  <c r="S786" i="6"/>
  <c r="Z786" i="6"/>
  <c r="R786" i="6"/>
  <c r="X786" i="6"/>
  <c r="P786" i="6"/>
  <c r="Y786" i="6"/>
  <c r="Q786" i="6"/>
  <c r="D854" i="6"/>
  <c r="J900" i="6"/>
  <c r="J915" i="6"/>
  <c r="D869" i="6"/>
  <c r="AR1189" i="6"/>
  <c r="AL1469" i="6"/>
  <c r="AL1800" i="6" s="1"/>
  <c r="BB1469" i="6"/>
  <c r="AH1692" i="6"/>
  <c r="AH1738" i="6"/>
  <c r="AB1605" i="6"/>
  <c r="X1625" i="6"/>
  <c r="Z1625" i="6"/>
  <c r="Q1625" i="6"/>
  <c r="Y1625" i="6"/>
  <c r="P1625" i="6"/>
  <c r="W1625" i="6"/>
  <c r="V1625" i="6"/>
  <c r="U1625" i="6"/>
  <c r="T1625" i="6"/>
  <c r="S1625" i="6"/>
  <c r="AA1625" i="6"/>
  <c r="R1625" i="6"/>
  <c r="AB1607" i="6"/>
  <c r="AB1782" i="6"/>
  <c r="B1785" i="6"/>
  <c r="AF2083" i="6"/>
  <c r="AF2129" i="6"/>
  <c r="AB2042" i="6"/>
  <c r="AJ2105" i="6"/>
  <c r="AJ2151" i="6"/>
  <c r="AG1681" i="6"/>
  <c r="AH2095" i="6"/>
  <c r="AH1686" i="6"/>
  <c r="AH1732" i="6"/>
  <c r="AK2083" i="6"/>
  <c r="AK2129" i="6"/>
  <c r="AF2087" i="6"/>
  <c r="AF2133" i="6"/>
  <c r="AI129" i="6"/>
  <c r="AY129" i="6"/>
  <c r="AR172" i="6"/>
  <c r="B441" i="6"/>
  <c r="AY626" i="6"/>
  <c r="AI626" i="6"/>
  <c r="AG1060" i="6"/>
  <c r="AG1106" i="6"/>
  <c r="F934" i="6"/>
  <c r="B888" i="6"/>
  <c r="AJ1667" i="6"/>
  <c r="AJ1713" i="6"/>
  <c r="F1217" i="6"/>
  <c r="B1171" i="6"/>
  <c r="AB1128" i="6"/>
  <c r="AI1439" i="6"/>
  <c r="AY1439" i="6"/>
  <c r="X1377" i="6"/>
  <c r="AB1578" i="6"/>
  <c r="AA1654" i="6"/>
  <c r="S1654" i="6"/>
  <c r="X1654" i="6"/>
  <c r="P1654" i="6"/>
  <c r="Q1654" i="6"/>
  <c r="Z1654" i="6"/>
  <c r="Y1654" i="6"/>
  <c r="W1654" i="6"/>
  <c r="V1654" i="6"/>
  <c r="U1654" i="6"/>
  <c r="T1654" i="6"/>
  <c r="R1654" i="6"/>
  <c r="AB1730" i="6"/>
  <c r="AM1759" i="6"/>
  <c r="AN2091" i="6"/>
  <c r="AN2137" i="6"/>
  <c r="AB2062" i="6"/>
  <c r="AB2053" i="6"/>
  <c r="AB2036" i="6"/>
  <c r="AB2031" i="6"/>
  <c r="AB2075" i="6" s="1"/>
  <c r="AB2051" i="6"/>
  <c r="AB1584" i="6"/>
  <c r="AH2094" i="6"/>
  <c r="AH2140" i="6"/>
  <c r="AH130" i="6"/>
  <c r="AX130" i="6"/>
  <c r="AI126" i="6"/>
  <c r="AY126" i="6"/>
  <c r="B305" i="6"/>
  <c r="AB324" i="6"/>
  <c r="AY608" i="6"/>
  <c r="AI608" i="6"/>
  <c r="AH1045" i="6"/>
  <c r="AH1137" i="6"/>
  <c r="AH1091" i="6"/>
  <c r="AH603" i="6"/>
  <c r="AX603" i="6"/>
  <c r="AB739" i="6"/>
  <c r="F833" i="6"/>
  <c r="B787" i="6"/>
  <c r="D828" i="6"/>
  <c r="J874" i="6"/>
  <c r="W810" i="6"/>
  <c r="V810" i="6"/>
  <c r="U810" i="6"/>
  <c r="T810" i="6"/>
  <c r="AA810" i="6"/>
  <c r="S810" i="6"/>
  <c r="I856" i="6"/>
  <c r="Z810" i="6"/>
  <c r="R810" i="6"/>
  <c r="X810" i="6"/>
  <c r="P810" i="6"/>
  <c r="AB810" i="6" s="1"/>
  <c r="Y810" i="6"/>
  <c r="Q810" i="6"/>
  <c r="F1237" i="6"/>
  <c r="B1191" i="6"/>
  <c r="AB1119" i="6"/>
  <c r="J1280" i="6"/>
  <c r="AT1234" i="6"/>
  <c r="AB1127" i="6"/>
  <c r="X1369" i="6"/>
  <c r="U1369" i="6"/>
  <c r="T1369" i="6"/>
  <c r="AH1446" i="6"/>
  <c r="AX1446" i="6"/>
  <c r="AB1722" i="6"/>
  <c r="AB1580" i="6"/>
  <c r="AB1727" i="6"/>
  <c r="AB1786" i="6"/>
  <c r="AH1750" i="6"/>
  <c r="AB1834" i="6"/>
  <c r="AB1833" i="6"/>
  <c r="AB1835" i="6" s="1"/>
  <c r="AG2084" i="6"/>
  <c r="AK1922" i="6"/>
  <c r="BA1922" i="6"/>
  <c r="AG2170" i="6"/>
  <c r="AG2124" i="6"/>
  <c r="AB2047" i="6"/>
  <c r="AB1591" i="6"/>
  <c r="AH2080" i="6"/>
  <c r="AN1715" i="6"/>
  <c r="AB1715" i="6"/>
  <c r="BA136" i="6"/>
  <c r="AK136" i="6"/>
  <c r="AK467" i="6" s="1"/>
  <c r="AH351" i="6"/>
  <c r="AH397" i="6"/>
  <c r="AB320" i="6"/>
  <c r="T315" i="6"/>
  <c r="T328" i="6" s="1"/>
  <c r="X315" i="6"/>
  <c r="P315" i="6"/>
  <c r="AA315" i="6"/>
  <c r="Q315" i="6"/>
  <c r="Q328" i="6" s="1"/>
  <c r="Z315" i="6"/>
  <c r="Y315" i="6"/>
  <c r="W315" i="6"/>
  <c r="V315" i="6"/>
  <c r="V328" i="6" s="1"/>
  <c r="U315" i="6"/>
  <c r="U328" i="6" s="1"/>
  <c r="R315" i="6"/>
  <c r="S315" i="6"/>
  <c r="S328" i="6" s="1"/>
  <c r="AB453" i="6"/>
  <c r="AB752" i="6"/>
  <c r="AA444" i="6"/>
  <c r="S444" i="6"/>
  <c r="Z444" i="6"/>
  <c r="R444" i="6"/>
  <c r="AH444" i="6"/>
  <c r="X444" i="6"/>
  <c r="P444" i="6"/>
  <c r="AF444" i="6"/>
  <c r="V444" i="6"/>
  <c r="T444" i="6"/>
  <c r="AG444" i="6"/>
  <c r="Y444" i="6"/>
  <c r="W444" i="6"/>
  <c r="U444" i="6"/>
  <c r="Q444" i="6"/>
  <c r="W523" i="6"/>
  <c r="AB527" i="6"/>
  <c r="V523" i="6"/>
  <c r="V527" i="6" s="1"/>
  <c r="Q523" i="6"/>
  <c r="P523" i="6"/>
  <c r="P527" i="6" s="1"/>
  <c r="Z523" i="6"/>
  <c r="R523" i="6"/>
  <c r="R527" i="6" s="1"/>
  <c r="Y523" i="6"/>
  <c r="Y527" i="6" s="1"/>
  <c r="S523" i="6"/>
  <c r="S527" i="6" s="1"/>
  <c r="X523" i="6"/>
  <c r="X527" i="6" s="1"/>
  <c r="U523" i="6"/>
  <c r="U527" i="6" s="1"/>
  <c r="T523" i="6"/>
  <c r="B828" i="6"/>
  <c r="F874" i="6"/>
  <c r="F942" i="6"/>
  <c r="B896" i="6"/>
  <c r="D867" i="6"/>
  <c r="J913" i="6"/>
  <c r="AB768" i="6"/>
  <c r="AB765" i="6"/>
  <c r="B1133" i="6"/>
  <c r="AH1115" i="6"/>
  <c r="I1215" i="6"/>
  <c r="AP1169" i="6"/>
  <c r="AH1169" i="6"/>
  <c r="X1169" i="6"/>
  <c r="P1169" i="6"/>
  <c r="AO1169" i="6"/>
  <c r="AG1169" i="6"/>
  <c r="W1169" i="6"/>
  <c r="AN1169" i="6"/>
  <c r="AF1169" i="6"/>
  <c r="V1169" i="6"/>
  <c r="AM1169" i="6"/>
  <c r="U1169" i="6"/>
  <c r="AL1169" i="6"/>
  <c r="T1169" i="6"/>
  <c r="AK1169" i="6"/>
  <c r="AA1169" i="6"/>
  <c r="S1169" i="6"/>
  <c r="AQ1169" i="6"/>
  <c r="AI1169" i="6"/>
  <c r="Y1169" i="6"/>
  <c r="Q1169" i="6"/>
  <c r="AJ1169" i="6"/>
  <c r="Z1169" i="6"/>
  <c r="R1169" i="6"/>
  <c r="AM1468" i="6"/>
  <c r="BC1468" i="6"/>
  <c r="AH1700" i="6"/>
  <c r="AH1746" i="6"/>
  <c r="AR1512" i="6"/>
  <c r="Y1621" i="6"/>
  <c r="Q1621" i="6"/>
  <c r="X1621" i="6"/>
  <c r="P1621" i="6"/>
  <c r="W1621" i="6"/>
  <c r="V1621" i="6"/>
  <c r="U1621" i="6"/>
  <c r="T1621" i="6"/>
  <c r="AA1621" i="6"/>
  <c r="S1621" i="6"/>
  <c r="Z1621" i="6"/>
  <c r="R1621" i="6"/>
  <c r="B1660" i="6"/>
  <c r="AB1603" i="6"/>
  <c r="AF1714" i="6"/>
  <c r="AR1714" i="6" s="1"/>
  <c r="B1637" i="6"/>
  <c r="AF1769" i="6"/>
  <c r="V1769" i="6"/>
  <c r="U1769" i="6"/>
  <c r="AH1769" i="6"/>
  <c r="T1769" i="6"/>
  <c r="AG1769" i="6"/>
  <c r="S1769" i="6"/>
  <c r="R1769" i="6"/>
  <c r="AA1769" i="6"/>
  <c r="Q1769" i="6"/>
  <c r="Z1769" i="6"/>
  <c r="P1769" i="6"/>
  <c r="Y1769" i="6"/>
  <c r="X1769" i="6"/>
  <c r="W1769" i="6"/>
  <c r="AA1656" i="6"/>
  <c r="S1656" i="6"/>
  <c r="X1656" i="6"/>
  <c r="P1656" i="6"/>
  <c r="V1656" i="6"/>
  <c r="U1656" i="6"/>
  <c r="T1656" i="6"/>
  <c r="R1656" i="6"/>
  <c r="Q1656" i="6"/>
  <c r="Z1656" i="6"/>
  <c r="Y1656" i="6"/>
  <c r="W1656" i="6"/>
  <c r="AG1779" i="6"/>
  <c r="AB1756" i="6"/>
  <c r="AB1754" i="6"/>
  <c r="AI1899" i="6"/>
  <c r="AY1899" i="6"/>
  <c r="AB2071" i="6"/>
  <c r="AH625" i="6"/>
  <c r="AX625" i="6"/>
  <c r="AB773" i="6"/>
  <c r="B1633" i="6"/>
  <c r="AH1726" i="6"/>
  <c r="AJ2119" i="6"/>
  <c r="AJ2134" i="6"/>
  <c r="AH2134" i="6"/>
  <c r="AG2162" i="6"/>
  <c r="AH359" i="6"/>
  <c r="AH405" i="6"/>
  <c r="AI1066" i="6"/>
  <c r="AI1020" i="6"/>
  <c r="AG1026" i="6"/>
  <c r="AG1072" i="6"/>
  <c r="D846" i="6"/>
  <c r="J892" i="6"/>
  <c r="B840" i="6"/>
  <c r="F886" i="6"/>
  <c r="F1243" i="6"/>
  <c r="B1197" i="6"/>
  <c r="F1208" i="6"/>
  <c r="AH1109" i="6"/>
  <c r="B1119" i="6"/>
  <c r="AB1126" i="6"/>
  <c r="I1234" i="6"/>
  <c r="AQ1188" i="6"/>
  <c r="AI1188" i="6"/>
  <c r="Y1188" i="6"/>
  <c r="Q1188" i="6"/>
  <c r="AN1188" i="6"/>
  <c r="AF1188" i="6"/>
  <c r="V1188" i="6"/>
  <c r="AH1188" i="6"/>
  <c r="U1188" i="6"/>
  <c r="AG1188" i="6"/>
  <c r="T1188" i="6"/>
  <c r="AP1188" i="6"/>
  <c r="S1188" i="6"/>
  <c r="AO1188" i="6"/>
  <c r="R1188" i="6"/>
  <c r="AM1188" i="6"/>
  <c r="AA1188" i="6"/>
  <c r="P1188" i="6"/>
  <c r="AL1188" i="6"/>
  <c r="Z1188" i="6"/>
  <c r="AJ1188" i="6"/>
  <c r="W1188" i="6"/>
  <c r="AK1188" i="6"/>
  <c r="X1188" i="6"/>
  <c r="J1243" i="6"/>
  <c r="AT1197" i="6"/>
  <c r="Z1378" i="6"/>
  <c r="AI1431" i="6"/>
  <c r="AY1431" i="6"/>
  <c r="R1672" i="6"/>
  <c r="AH1433" i="6"/>
  <c r="P1718" i="6"/>
  <c r="B1759" i="6"/>
  <c r="AB1794" i="6"/>
  <c r="AL1910" i="6"/>
  <c r="BB1910" i="6"/>
  <c r="AB2055" i="6"/>
  <c r="J890" i="6"/>
  <c r="D844" i="6"/>
  <c r="J910" i="6"/>
  <c r="D864" i="6"/>
  <c r="AB1724" i="6"/>
  <c r="AB2052" i="6"/>
  <c r="B1635" i="6"/>
  <c r="AI127" i="6"/>
  <c r="AY127" i="6"/>
  <c r="AI98" i="6"/>
  <c r="AY98" i="6"/>
  <c r="AT461" i="6"/>
  <c r="B461" i="6"/>
  <c r="AA440" i="6"/>
  <c r="S440" i="6"/>
  <c r="I34" i="10" s="1"/>
  <c r="I35" i="10" s="1"/>
  <c r="Z440" i="6"/>
  <c r="P34" i="10" s="1"/>
  <c r="P35" i="10" s="1"/>
  <c r="R440" i="6"/>
  <c r="H34" i="10" s="1"/>
  <c r="H35" i="10" s="1"/>
  <c r="AF440" i="6"/>
  <c r="V440" i="6"/>
  <c r="T440" i="6"/>
  <c r="AH440" i="6"/>
  <c r="P440" i="6"/>
  <c r="AG440" i="6"/>
  <c r="Y440" i="6"/>
  <c r="X440" i="6"/>
  <c r="Q440" i="6"/>
  <c r="G34" i="10" s="1"/>
  <c r="G35" i="10" s="1"/>
  <c r="W440" i="6"/>
  <c r="M34" i="10" s="1"/>
  <c r="M35" i="10" s="1"/>
  <c r="U440" i="6"/>
  <c r="AH1041" i="6"/>
  <c r="AH1087" i="6"/>
  <c r="AB298" i="6"/>
  <c r="AB308" i="6"/>
  <c r="AB423" i="6"/>
  <c r="J831" i="6"/>
  <c r="D785" i="6"/>
  <c r="W802" i="6"/>
  <c r="V802" i="6"/>
  <c r="I848" i="6"/>
  <c r="U802" i="6"/>
  <c r="T802" i="6"/>
  <c r="AA802" i="6"/>
  <c r="S802" i="6"/>
  <c r="Z802" i="6"/>
  <c r="R802" i="6"/>
  <c r="X802" i="6"/>
  <c r="P802" i="6"/>
  <c r="Y802" i="6"/>
  <c r="Q802" i="6"/>
  <c r="B859" i="6"/>
  <c r="F905" i="6"/>
  <c r="F911" i="6"/>
  <c r="B865" i="6"/>
  <c r="AB738" i="6"/>
  <c r="F1207" i="6"/>
  <c r="B1161" i="6"/>
  <c r="I1231" i="6"/>
  <c r="AQ1185" i="6"/>
  <c r="AI1185" i="6"/>
  <c r="Y1185" i="6"/>
  <c r="Q1185" i="6"/>
  <c r="AN1185" i="6"/>
  <c r="AF1185" i="6"/>
  <c r="V1185" i="6"/>
  <c r="AK1185" i="6"/>
  <c r="X1185" i="6"/>
  <c r="AJ1185" i="6"/>
  <c r="W1185" i="6"/>
  <c r="AH1185" i="6"/>
  <c r="U1185" i="6"/>
  <c r="AG1185" i="6"/>
  <c r="T1185" i="6"/>
  <c r="AP1185" i="6"/>
  <c r="S1185" i="6"/>
  <c r="AO1185" i="6"/>
  <c r="R1185" i="6"/>
  <c r="AL1185" i="6"/>
  <c r="Z1185" i="6"/>
  <c r="P1185" i="6"/>
  <c r="AA1185" i="6"/>
  <c r="AM1185" i="6"/>
  <c r="AT1198" i="6"/>
  <c r="J1244" i="6"/>
  <c r="AH1696" i="6"/>
  <c r="AH1742" i="6"/>
  <c r="AB1587" i="6"/>
  <c r="AB1788" i="6"/>
  <c r="AI2110" i="6"/>
  <c r="AI2156" i="6"/>
  <c r="AI115" i="6"/>
  <c r="AY115" i="6"/>
  <c r="T335" i="6"/>
  <c r="AJ96" i="6"/>
  <c r="T381" i="6"/>
  <c r="AB312" i="6"/>
  <c r="AB39" i="6"/>
  <c r="AH355" i="6"/>
  <c r="AH401" i="6"/>
  <c r="AR177" i="6"/>
  <c r="J886" i="6"/>
  <c r="D840" i="6"/>
  <c r="I1233" i="6"/>
  <c r="AQ1187" i="6"/>
  <c r="AI1187" i="6"/>
  <c r="Y1187" i="6"/>
  <c r="Q1187" i="6"/>
  <c r="AN1187" i="6"/>
  <c r="AF1187" i="6"/>
  <c r="V1187" i="6"/>
  <c r="AP1187" i="6"/>
  <c r="S1187" i="6"/>
  <c r="AO1187" i="6"/>
  <c r="R1187" i="6"/>
  <c r="AM1187" i="6"/>
  <c r="AA1187" i="6"/>
  <c r="P1187" i="6"/>
  <c r="AL1187" i="6"/>
  <c r="Z1187" i="6"/>
  <c r="AK1187" i="6"/>
  <c r="X1187" i="6"/>
  <c r="AJ1187" i="6"/>
  <c r="W1187" i="6"/>
  <c r="AG1187" i="6"/>
  <c r="T1187" i="6"/>
  <c r="AH1187" i="6"/>
  <c r="U1187" i="6"/>
  <c r="J1238" i="6"/>
  <c r="AT1192" i="6"/>
  <c r="AI1443" i="6"/>
  <c r="AY1443" i="6"/>
  <c r="AH1706" i="6"/>
  <c r="AR1508" i="6"/>
  <c r="AB1890" i="6"/>
  <c r="AZ1892" i="6"/>
  <c r="AI1924" i="6"/>
  <c r="AY1924" i="6"/>
  <c r="I1228" i="6"/>
  <c r="AP1182" i="6"/>
  <c r="AH1182" i="6"/>
  <c r="X1182" i="6"/>
  <c r="P1182" i="6"/>
  <c r="AO1182" i="6"/>
  <c r="AG1182" i="6"/>
  <c r="W1182" i="6"/>
  <c r="AN1182" i="6"/>
  <c r="AF1182" i="6"/>
  <c r="V1182" i="6"/>
  <c r="AM1182" i="6"/>
  <c r="U1182" i="6"/>
  <c r="AL1182" i="6"/>
  <c r="T1182" i="6"/>
  <c r="AK1182" i="6"/>
  <c r="AA1182" i="6"/>
  <c r="S1182" i="6"/>
  <c r="AQ1182" i="6"/>
  <c r="AI1182" i="6"/>
  <c r="Y1182" i="6"/>
  <c r="Q1182" i="6"/>
  <c r="AJ1182" i="6"/>
  <c r="Z1182" i="6"/>
  <c r="R1182" i="6"/>
  <c r="AB1597" i="6"/>
  <c r="X1643" i="6"/>
  <c r="P1643" i="6"/>
  <c r="W1643" i="6"/>
  <c r="V1643" i="6"/>
  <c r="U1643" i="6"/>
  <c r="T1643" i="6"/>
  <c r="S1643" i="6"/>
  <c r="AA1643" i="6"/>
  <c r="R1643" i="6"/>
  <c r="Z1643" i="6"/>
  <c r="Q1643" i="6"/>
  <c r="Y1643" i="6"/>
  <c r="BA1912" i="6"/>
  <c r="AK1912" i="6"/>
  <c r="B1797" i="6"/>
  <c r="AH623" i="6"/>
  <c r="AX623" i="6"/>
  <c r="J903" i="6"/>
  <c r="D857" i="6"/>
  <c r="AB741" i="6"/>
  <c r="J1202" i="6"/>
  <c r="AT1156" i="6"/>
  <c r="I861" i="6"/>
  <c r="U815" i="6"/>
  <c r="T815" i="6"/>
  <c r="AA815" i="6"/>
  <c r="S815" i="6"/>
  <c r="Z815" i="6"/>
  <c r="R815" i="6"/>
  <c r="Y815" i="6"/>
  <c r="Q815" i="6"/>
  <c r="X815" i="6"/>
  <c r="P815" i="6"/>
  <c r="V815" i="6"/>
  <c r="W815" i="6"/>
  <c r="J1210" i="6"/>
  <c r="AT1164" i="6"/>
  <c r="I1203" i="6"/>
  <c r="AO1157" i="6"/>
  <c r="AG1157" i="6"/>
  <c r="W1157" i="6"/>
  <c r="AN1157" i="6"/>
  <c r="AF1157" i="6"/>
  <c r="V1157" i="6"/>
  <c r="AL1157" i="6"/>
  <c r="T1157" i="6"/>
  <c r="AK1157" i="6"/>
  <c r="AA1157" i="6"/>
  <c r="S1157" i="6"/>
  <c r="AQ1157" i="6"/>
  <c r="AI1157" i="6"/>
  <c r="Y1157" i="6"/>
  <c r="Q1157" i="6"/>
  <c r="X1157" i="6"/>
  <c r="U1157" i="6"/>
  <c r="AP1157" i="6"/>
  <c r="R1157" i="6"/>
  <c r="AM1157" i="6"/>
  <c r="P1157" i="6"/>
  <c r="AJ1157" i="6"/>
  <c r="AH1157" i="6"/>
  <c r="Z1157" i="6"/>
  <c r="F1211" i="6"/>
  <c r="B1165" i="6"/>
  <c r="AG1142" i="6"/>
  <c r="AR1501" i="6"/>
  <c r="B1765" i="6"/>
  <c r="AR1936" i="6"/>
  <c r="AG2102" i="6"/>
  <c r="AG2148" i="6"/>
  <c r="AB2143" i="6"/>
  <c r="AB2087" i="6"/>
  <c r="AB2147" i="6"/>
  <c r="AG2160" i="6"/>
  <c r="AB2167" i="6"/>
  <c r="I843" i="6"/>
  <c r="Y797" i="6"/>
  <c r="Q797" i="6"/>
  <c r="X797" i="6"/>
  <c r="P797" i="6"/>
  <c r="W797" i="6"/>
  <c r="V797" i="6"/>
  <c r="U797" i="6"/>
  <c r="T797" i="6"/>
  <c r="Z797" i="6"/>
  <c r="R797" i="6"/>
  <c r="AA797" i="6"/>
  <c r="S797" i="6"/>
  <c r="AH1147" i="6"/>
  <c r="AI1463" i="6"/>
  <c r="AY1463" i="6"/>
  <c r="B1656" i="6"/>
  <c r="AB2061" i="6"/>
  <c r="AH402" i="6"/>
  <c r="T319" i="6"/>
  <c r="X319" i="6"/>
  <c r="P319" i="6"/>
  <c r="AA319" i="6"/>
  <c r="Q319" i="6"/>
  <c r="Z319" i="6"/>
  <c r="Y319" i="6"/>
  <c r="W319" i="6"/>
  <c r="V319" i="6"/>
  <c r="U319" i="6"/>
  <c r="R319" i="6"/>
  <c r="S319" i="6"/>
  <c r="B433" i="6"/>
  <c r="AI1667" i="6"/>
  <c r="AI1713" i="6"/>
  <c r="AH455" i="6"/>
  <c r="AL427" i="6"/>
  <c r="AH387" i="6"/>
  <c r="AH432" i="6"/>
  <c r="AR181" i="6"/>
  <c r="B447" i="6"/>
  <c r="AI96" i="6"/>
  <c r="S335" i="6"/>
  <c r="S381" i="6"/>
  <c r="AR655" i="6"/>
  <c r="F878" i="6"/>
  <c r="B832" i="6"/>
  <c r="AB756" i="6"/>
  <c r="AN1667" i="6"/>
  <c r="AR1667" i="6" s="1"/>
  <c r="AN1713" i="6"/>
  <c r="F946" i="6"/>
  <c r="B900" i="6"/>
  <c r="AI1229" i="6"/>
  <c r="Y1229" i="6"/>
  <c r="Q1229" i="6"/>
  <c r="I1275" i="6"/>
  <c r="AH1229" i="6"/>
  <c r="X1229" i="6"/>
  <c r="P1229" i="6"/>
  <c r="AG1229" i="6"/>
  <c r="W1229" i="6"/>
  <c r="AF1229" i="6"/>
  <c r="V1229" i="6"/>
  <c r="U1229" i="6"/>
  <c r="T1229" i="6"/>
  <c r="Z1229" i="6"/>
  <c r="R1229" i="6"/>
  <c r="AA1229" i="6"/>
  <c r="S1229" i="6"/>
  <c r="J883" i="6"/>
  <c r="D837" i="6"/>
  <c r="F910" i="6"/>
  <c r="B864" i="6"/>
  <c r="F1234" i="6"/>
  <c r="B1188" i="6"/>
  <c r="AG1120" i="6"/>
  <c r="I1212" i="6"/>
  <c r="AP1166" i="6"/>
  <c r="AH1166" i="6"/>
  <c r="X1166" i="6"/>
  <c r="P1166" i="6"/>
  <c r="AO1166" i="6"/>
  <c r="AG1166" i="6"/>
  <c r="W1166" i="6"/>
  <c r="AN1166" i="6"/>
  <c r="AF1166" i="6"/>
  <c r="V1166" i="6"/>
  <c r="AM1166" i="6"/>
  <c r="U1166" i="6"/>
  <c r="AL1166" i="6"/>
  <c r="T1166" i="6"/>
  <c r="AK1166" i="6"/>
  <c r="AA1166" i="6"/>
  <c r="S1166" i="6"/>
  <c r="AQ1166" i="6"/>
  <c r="AI1166" i="6"/>
  <c r="Y1166" i="6"/>
  <c r="Q1166" i="6"/>
  <c r="AJ1166" i="6"/>
  <c r="Z1166" i="6"/>
  <c r="R1166" i="6"/>
  <c r="AT1109" i="6"/>
  <c r="J1155" i="6"/>
  <c r="AR1124" i="6"/>
  <c r="AZ1917" i="6"/>
  <c r="AJ1917" i="6"/>
  <c r="AH2127" i="6"/>
  <c r="T43" i="6"/>
  <c r="U547" i="6"/>
  <c r="AB742" i="6"/>
  <c r="AT1127" i="6"/>
  <c r="J1173" i="6"/>
  <c r="B1173" i="6" s="1"/>
  <c r="AR1180" i="6"/>
  <c r="AH1682" i="6"/>
  <c r="AH1728" i="6"/>
  <c r="AY1467" i="6"/>
  <c r="AI1467" i="6"/>
  <c r="B1632" i="6"/>
  <c r="AA1650" i="6"/>
  <c r="S1650" i="6"/>
  <c r="X1650" i="6"/>
  <c r="P1650" i="6"/>
  <c r="Q1650" i="6"/>
  <c r="Z1650" i="6"/>
  <c r="Y1650" i="6"/>
  <c r="W1650" i="6"/>
  <c r="V1650" i="6"/>
  <c r="U1650" i="6"/>
  <c r="T1650" i="6"/>
  <c r="R1650" i="6"/>
  <c r="AI2085" i="6"/>
  <c r="AI2131" i="6"/>
  <c r="AY1914" i="6"/>
  <c r="AI1914" i="6"/>
  <c r="Y1832" i="6"/>
  <c r="AH2153" i="6"/>
  <c r="AK2149" i="6"/>
  <c r="AH1440" i="6"/>
  <c r="AX1440" i="6"/>
  <c r="AJ1892" i="6"/>
  <c r="X1631" i="6"/>
  <c r="P1631" i="6"/>
  <c r="S1631" i="6"/>
  <c r="AA1631" i="6"/>
  <c r="R1631" i="6"/>
  <c r="Z1631" i="6"/>
  <c r="Q1631" i="6"/>
  <c r="Y1631" i="6"/>
  <c r="W1631" i="6"/>
  <c r="W1662" i="6" s="1"/>
  <c r="V1631" i="6"/>
  <c r="U1631" i="6"/>
  <c r="T1631" i="6"/>
  <c r="AA1766" i="6"/>
  <c r="S1766" i="6"/>
  <c r="Z1766" i="6"/>
  <c r="R1766" i="6"/>
  <c r="AI1766" i="6"/>
  <c r="Y1766" i="6"/>
  <c r="Q1766" i="6"/>
  <c r="AH1766" i="6"/>
  <c r="X1766" i="6"/>
  <c r="P1766" i="6"/>
  <c r="AG1766" i="6"/>
  <c r="W1766" i="6"/>
  <c r="AF1766" i="6"/>
  <c r="V1766" i="6"/>
  <c r="U1766" i="6"/>
  <c r="T1766" i="6"/>
  <c r="AG2093" i="6"/>
  <c r="U783" i="6"/>
  <c r="T783" i="6"/>
  <c r="AA783" i="6"/>
  <c r="S783" i="6"/>
  <c r="Z783" i="6"/>
  <c r="R783" i="6"/>
  <c r="Y783" i="6"/>
  <c r="Q783" i="6"/>
  <c r="X783" i="6"/>
  <c r="P783" i="6"/>
  <c r="I829" i="6"/>
  <c r="V783" i="6"/>
  <c r="W783" i="6"/>
  <c r="I1282" i="6"/>
  <c r="Y1236" i="6"/>
  <c r="Q1236" i="6"/>
  <c r="AH1236" i="6"/>
  <c r="X1236" i="6"/>
  <c r="P1236" i="6"/>
  <c r="AG1236" i="6"/>
  <c r="W1236" i="6"/>
  <c r="AF1236" i="6"/>
  <c r="V1236" i="6"/>
  <c r="U1236" i="6"/>
  <c r="T1236" i="6"/>
  <c r="S1236" i="6"/>
  <c r="R1236" i="6"/>
  <c r="AA1236" i="6"/>
  <c r="Z1236" i="6"/>
  <c r="U1795" i="6"/>
  <c r="T1795" i="6"/>
  <c r="AA1795" i="6"/>
  <c r="S1795" i="6"/>
  <c r="Z1795" i="6"/>
  <c r="R1795" i="6"/>
  <c r="Y1795" i="6"/>
  <c r="Q1795" i="6"/>
  <c r="AH1795" i="6"/>
  <c r="X1795" i="6"/>
  <c r="P1795" i="6"/>
  <c r="AG1795" i="6"/>
  <c r="W1795" i="6"/>
  <c r="AF1795" i="6"/>
  <c r="V1795" i="6"/>
  <c r="X1636" i="6"/>
  <c r="P1636" i="6"/>
  <c r="AA1636" i="6"/>
  <c r="R1636" i="6"/>
  <c r="Z1636" i="6"/>
  <c r="Q1636" i="6"/>
  <c r="Y1636" i="6"/>
  <c r="W1636" i="6"/>
  <c r="V1636" i="6"/>
  <c r="U1636" i="6"/>
  <c r="T1636" i="6"/>
  <c r="S1636" i="6"/>
  <c r="AG2096" i="6"/>
  <c r="AO97" i="6"/>
  <c r="BE97" i="6"/>
  <c r="U335" i="6"/>
  <c r="AK96" i="6"/>
  <c r="U381" i="6"/>
  <c r="AG1768" i="6"/>
  <c r="W1768" i="6"/>
  <c r="AF1768" i="6"/>
  <c r="V1768" i="6"/>
  <c r="U1768" i="6"/>
  <c r="T1768" i="6"/>
  <c r="AA1768" i="6"/>
  <c r="S1768" i="6"/>
  <c r="Z1768" i="6"/>
  <c r="R1768" i="6"/>
  <c r="AI1768" i="6"/>
  <c r="Y1768" i="6"/>
  <c r="Q1768" i="6"/>
  <c r="AH1768" i="6"/>
  <c r="X1768" i="6"/>
  <c r="P1768" i="6"/>
  <c r="X1647" i="6"/>
  <c r="P1647" i="6"/>
  <c r="S1647" i="6"/>
  <c r="AA1647" i="6"/>
  <c r="R1647" i="6"/>
  <c r="Z1647" i="6"/>
  <c r="Q1647" i="6"/>
  <c r="Y1647" i="6"/>
  <c r="W1647" i="6"/>
  <c r="V1647" i="6"/>
  <c r="U1647" i="6"/>
  <c r="T1647" i="6"/>
  <c r="AY1894" i="6"/>
  <c r="AI1894" i="6"/>
  <c r="AG1799" i="6"/>
  <c r="W1799" i="6"/>
  <c r="T1799" i="6"/>
  <c r="S1799" i="6"/>
  <c r="AL1799" i="6"/>
  <c r="AA1799" i="6"/>
  <c r="R1799" i="6"/>
  <c r="AK1799" i="6"/>
  <c r="Z1799" i="6"/>
  <c r="Q1799" i="6"/>
  <c r="AJ1799" i="6"/>
  <c r="Y1799" i="6"/>
  <c r="P1799" i="6"/>
  <c r="AI1799" i="6"/>
  <c r="X1799" i="6"/>
  <c r="AH1799" i="6"/>
  <c r="V1799" i="6"/>
  <c r="U1799" i="6"/>
  <c r="AF1799" i="6"/>
  <c r="AG1048" i="6"/>
  <c r="AG1094" i="6"/>
  <c r="F841" i="6"/>
  <c r="B795" i="6"/>
  <c r="AB2037" i="6"/>
  <c r="AB2145" i="6"/>
  <c r="R53" i="10" s="1"/>
  <c r="R54" i="10" s="1"/>
  <c r="AH619" i="6"/>
  <c r="AX619" i="6"/>
  <c r="AG1767" i="6"/>
  <c r="X1637" i="6"/>
  <c r="P1637" i="6"/>
  <c r="U1637" i="6"/>
  <c r="T1637" i="6"/>
  <c r="S1637" i="6"/>
  <c r="AA1637" i="6"/>
  <c r="R1637" i="6"/>
  <c r="Z1637" i="6"/>
  <c r="Q1637" i="6"/>
  <c r="Y1637" i="6"/>
  <c r="W1637" i="6"/>
  <c r="V1637" i="6"/>
  <c r="B431" i="6"/>
  <c r="AB269" i="6"/>
  <c r="J894" i="6"/>
  <c r="D848" i="6"/>
  <c r="I857" i="6"/>
  <c r="U811" i="6"/>
  <c r="T811" i="6"/>
  <c r="AA811" i="6"/>
  <c r="S811" i="6"/>
  <c r="Z811" i="6"/>
  <c r="R811" i="6"/>
  <c r="Y811" i="6"/>
  <c r="Q811" i="6"/>
  <c r="X811" i="6"/>
  <c r="P811" i="6"/>
  <c r="AB811" i="6" s="1"/>
  <c r="V811" i="6"/>
  <c r="W811" i="6"/>
  <c r="AB1133" i="6"/>
  <c r="AH1690" i="6"/>
  <c r="AH1736" i="6"/>
  <c r="AR1489" i="6"/>
  <c r="AB1148" i="6"/>
  <c r="I1240" i="6"/>
  <c r="AM1194" i="6"/>
  <c r="U1194" i="6"/>
  <c r="AL1194" i="6"/>
  <c r="T1194" i="6"/>
  <c r="AK1194" i="6"/>
  <c r="AA1194" i="6"/>
  <c r="S1194" i="6"/>
  <c r="AQ1194" i="6"/>
  <c r="AI1194" i="6"/>
  <c r="Y1194" i="6"/>
  <c r="Q1194" i="6"/>
  <c r="AN1194" i="6"/>
  <c r="AF1194" i="6"/>
  <c r="V1194" i="6"/>
  <c r="AH1194" i="6"/>
  <c r="AG1194" i="6"/>
  <c r="Z1194" i="6"/>
  <c r="X1194" i="6"/>
  <c r="W1194" i="6"/>
  <c r="AP1194" i="6"/>
  <c r="R1194" i="6"/>
  <c r="AJ1194" i="6"/>
  <c r="AO1194" i="6"/>
  <c r="P1194" i="6"/>
  <c r="AB1573" i="6"/>
  <c r="AB1570" i="6"/>
  <c r="R1718" i="6"/>
  <c r="AO1764" i="6"/>
  <c r="W1764" i="6"/>
  <c r="AN1764" i="6"/>
  <c r="V1764" i="6"/>
  <c r="AM1764" i="6"/>
  <c r="U1764" i="6"/>
  <c r="AL1764" i="6"/>
  <c r="T1764" i="6"/>
  <c r="AA1764" i="6"/>
  <c r="S1764" i="6"/>
  <c r="AJ1764" i="6"/>
  <c r="Z1764" i="6"/>
  <c r="R1764" i="6"/>
  <c r="AQ1764" i="6"/>
  <c r="AI1764" i="6"/>
  <c r="Y1764" i="6"/>
  <c r="Q1764" i="6"/>
  <c r="AP1764" i="6"/>
  <c r="AH1764" i="6"/>
  <c r="X1764" i="6"/>
  <c r="P1764" i="6"/>
  <c r="AB1764" i="6" s="1"/>
  <c r="AG1780" i="6"/>
  <c r="W1780" i="6"/>
  <c r="AF1780" i="6"/>
  <c r="V1780" i="6"/>
  <c r="U1780" i="6"/>
  <c r="T1780" i="6"/>
  <c r="AA1780" i="6"/>
  <c r="S1780" i="6"/>
  <c r="Z1780" i="6"/>
  <c r="R1780" i="6"/>
  <c r="AI1780" i="6"/>
  <c r="Y1780" i="6"/>
  <c r="Q1780" i="6"/>
  <c r="X1780" i="6"/>
  <c r="P1780" i="6"/>
  <c r="AH1780" i="6"/>
  <c r="AH1909" i="6"/>
  <c r="AX1909" i="6"/>
  <c r="AB2070" i="6"/>
  <c r="D865" i="6"/>
  <c r="J911" i="6"/>
  <c r="AH1702" i="6"/>
  <c r="AH1748" i="6"/>
  <c r="AH1724" i="6"/>
  <c r="AI1888" i="6"/>
  <c r="AY1888" i="6"/>
  <c r="AB2050" i="6"/>
  <c r="AI123" i="6"/>
  <c r="AY123" i="6"/>
  <c r="AJ138" i="6"/>
  <c r="AZ138" i="6"/>
  <c r="B301" i="6"/>
  <c r="AI106" i="6"/>
  <c r="AI437" i="6" s="1"/>
  <c r="AY106" i="6"/>
  <c r="AB288" i="6"/>
  <c r="AB439" i="6"/>
  <c r="R32" i="10" s="1"/>
  <c r="AA436" i="6"/>
  <c r="S436" i="6"/>
  <c r="Z436" i="6"/>
  <c r="R436" i="6"/>
  <c r="AF436" i="6"/>
  <c r="V436" i="6"/>
  <c r="T436" i="6"/>
  <c r="AG436" i="6"/>
  <c r="Y436" i="6"/>
  <c r="X436" i="6"/>
  <c r="W436" i="6"/>
  <c r="AH436" i="6"/>
  <c r="P436" i="6"/>
  <c r="AI436" i="6"/>
  <c r="U436" i="6"/>
  <c r="Q436" i="6"/>
  <c r="AB427" i="6"/>
  <c r="AB452" i="6"/>
  <c r="S43" i="6"/>
  <c r="AB299" i="6"/>
  <c r="B439" i="6"/>
  <c r="B443" i="6"/>
  <c r="P547" i="6"/>
  <c r="AJ421" i="6"/>
  <c r="AI423" i="6"/>
  <c r="B867" i="6"/>
  <c r="F913" i="6"/>
  <c r="AA784" i="6"/>
  <c r="S784" i="6"/>
  <c r="Z784" i="6"/>
  <c r="R784" i="6"/>
  <c r="I830" i="6"/>
  <c r="Y784" i="6"/>
  <c r="Q784" i="6"/>
  <c r="X784" i="6"/>
  <c r="P784" i="6"/>
  <c r="W784" i="6"/>
  <c r="V784" i="6"/>
  <c r="T784" i="6"/>
  <c r="U784" i="6"/>
  <c r="B1124" i="6"/>
  <c r="B1128" i="6"/>
  <c r="AB1132" i="6"/>
  <c r="AB1146" i="6"/>
  <c r="I1238" i="6"/>
  <c r="AM1192" i="6"/>
  <c r="U1192" i="6"/>
  <c r="AQ1192" i="6"/>
  <c r="AI1192" i="6"/>
  <c r="Y1192" i="6"/>
  <c r="Q1192" i="6"/>
  <c r="AN1192" i="6"/>
  <c r="AF1192" i="6"/>
  <c r="V1192" i="6"/>
  <c r="AP1192" i="6"/>
  <c r="AA1192" i="6"/>
  <c r="AO1192" i="6"/>
  <c r="Z1192" i="6"/>
  <c r="AL1192" i="6"/>
  <c r="X1192" i="6"/>
  <c r="AK1192" i="6"/>
  <c r="W1192" i="6"/>
  <c r="AJ1192" i="6"/>
  <c r="T1192" i="6"/>
  <c r="AH1192" i="6"/>
  <c r="S1192" i="6"/>
  <c r="P1192" i="6"/>
  <c r="R1192" i="6"/>
  <c r="AG1192" i="6"/>
  <c r="AH1788" i="6"/>
  <c r="AB2130" i="6"/>
  <c r="B291" i="6"/>
  <c r="AR171" i="6"/>
  <c r="AB313" i="6"/>
  <c r="U441" i="6"/>
  <c r="K36" i="10" s="1"/>
  <c r="K37" i="10" s="1"/>
  <c r="T441" i="6"/>
  <c r="J36" i="10" s="1"/>
  <c r="J37" i="10" s="1"/>
  <c r="AH441" i="6"/>
  <c r="X441" i="6"/>
  <c r="N36" i="10" s="1"/>
  <c r="N37" i="10" s="1"/>
  <c r="P441" i="6"/>
  <c r="F36" i="10" s="1"/>
  <c r="F37" i="10" s="1"/>
  <c r="AF441" i="6"/>
  <c r="V441" i="6"/>
  <c r="L36" i="10" s="1"/>
  <c r="L37" i="10" s="1"/>
  <c r="Y441" i="6"/>
  <c r="O36" i="10" s="1"/>
  <c r="O37" i="10" s="1"/>
  <c r="W441" i="6"/>
  <c r="M36" i="10" s="1"/>
  <c r="M37" i="10" s="1"/>
  <c r="S441" i="6"/>
  <c r="I36" i="10" s="1"/>
  <c r="I37" i="10" s="1"/>
  <c r="R441" i="6"/>
  <c r="H36" i="10" s="1"/>
  <c r="H37" i="10" s="1"/>
  <c r="AI441" i="6"/>
  <c r="Q441" i="6"/>
  <c r="G36" i="10" s="1"/>
  <c r="G37" i="10" s="1"/>
  <c r="Z441" i="6"/>
  <c r="P36" i="10" s="1"/>
  <c r="P37" i="10" s="1"/>
  <c r="AA441" i="6"/>
  <c r="Q36" i="10" s="1"/>
  <c r="Q37" i="10" s="1"/>
  <c r="AG441" i="6"/>
  <c r="Z820" i="6"/>
  <c r="R820" i="6"/>
  <c r="T820" i="6"/>
  <c r="S820" i="6"/>
  <c r="AA820" i="6"/>
  <c r="Q820" i="6"/>
  <c r="Y820" i="6"/>
  <c r="P820" i="6"/>
  <c r="AB820" i="6" s="1"/>
  <c r="X820" i="6"/>
  <c r="W820" i="6"/>
  <c r="U820" i="6"/>
  <c r="I866" i="6"/>
  <c r="V820" i="6"/>
  <c r="AT1131" i="6"/>
  <c r="J1177" i="6"/>
  <c r="F1244" i="6"/>
  <c r="B1198" i="6"/>
  <c r="Y1226" i="6"/>
  <c r="Q1226" i="6"/>
  <c r="AH1226" i="6"/>
  <c r="X1226" i="6"/>
  <c r="P1226" i="6"/>
  <c r="AG1226" i="6"/>
  <c r="W1226" i="6"/>
  <c r="I1272" i="6"/>
  <c r="AF1226" i="6"/>
  <c r="V1226" i="6"/>
  <c r="U1226" i="6"/>
  <c r="T1226" i="6"/>
  <c r="AA1226" i="6"/>
  <c r="Z1226" i="6"/>
  <c r="S1226" i="6"/>
  <c r="R1226" i="6"/>
  <c r="AB1145" i="6"/>
  <c r="I1237" i="6"/>
  <c r="AM1191" i="6"/>
  <c r="AQ1191" i="6"/>
  <c r="AI1191" i="6"/>
  <c r="Y1191" i="6"/>
  <c r="Q1191" i="6"/>
  <c r="AN1191" i="6"/>
  <c r="AF1191" i="6"/>
  <c r="V1191" i="6"/>
  <c r="S1191" i="6"/>
  <c r="AP1191" i="6"/>
  <c r="R1191" i="6"/>
  <c r="AO1191" i="6"/>
  <c r="AA1191" i="6"/>
  <c r="P1191" i="6"/>
  <c r="AL1191" i="6"/>
  <c r="Z1191" i="6"/>
  <c r="AK1191" i="6"/>
  <c r="X1191" i="6"/>
  <c r="AJ1191" i="6"/>
  <c r="W1191" i="6"/>
  <c r="AG1191" i="6"/>
  <c r="T1191" i="6"/>
  <c r="AH1191" i="6"/>
  <c r="U1191" i="6"/>
  <c r="AI1153" i="6"/>
  <c r="AI1459" i="6"/>
  <c r="AY1459" i="6"/>
  <c r="AB1370" i="6"/>
  <c r="T1368" i="6"/>
  <c r="T1370" i="6" s="1"/>
  <c r="X1368" i="6"/>
  <c r="X1370" i="6" s="1"/>
  <c r="U1368" i="6"/>
  <c r="U1370" i="6" s="1"/>
  <c r="AA1651" i="6"/>
  <c r="S1651" i="6"/>
  <c r="X1651" i="6"/>
  <c r="P1651" i="6"/>
  <c r="Y1651" i="6"/>
  <c r="W1651" i="6"/>
  <c r="V1651" i="6"/>
  <c r="U1651" i="6"/>
  <c r="T1651" i="6"/>
  <c r="R1651" i="6"/>
  <c r="Q1651" i="6"/>
  <c r="Z1651" i="6"/>
  <c r="B1629" i="6"/>
  <c r="AA1653" i="6"/>
  <c r="S1653" i="6"/>
  <c r="X1653" i="6"/>
  <c r="P1653" i="6"/>
  <c r="T1653" i="6"/>
  <c r="R1653" i="6"/>
  <c r="Q1653" i="6"/>
  <c r="Z1653" i="6"/>
  <c r="Y1653" i="6"/>
  <c r="W1653" i="6"/>
  <c r="V1653" i="6"/>
  <c r="U1653" i="6"/>
  <c r="B1764" i="6"/>
  <c r="AZ1895" i="6"/>
  <c r="Y2086" i="6"/>
  <c r="AB2086" i="6" s="1"/>
  <c r="Y2132" i="6"/>
  <c r="AB2132" i="6" s="1"/>
  <c r="AB2157" i="6"/>
  <c r="AB766" i="6"/>
  <c r="AG1679" i="6"/>
  <c r="AG1771" i="6"/>
  <c r="AG1725" i="6"/>
  <c r="AR1500" i="6"/>
  <c r="AH1900" i="6"/>
  <c r="AX1900" i="6"/>
  <c r="F24" i="10" l="1"/>
  <c r="R23" i="10"/>
  <c r="R24" i="10" s="1"/>
  <c r="R42" i="10"/>
  <c r="R43" i="10" s="1"/>
  <c r="I30" i="10"/>
  <c r="I31" i="10" s="1"/>
  <c r="O30" i="10"/>
  <c r="O31" i="10" s="1"/>
  <c r="L34" i="10"/>
  <c r="L35" i="10" s="1"/>
  <c r="G30" i="10"/>
  <c r="G31" i="10" s="1"/>
  <c r="F34" i="10"/>
  <c r="F35" i="10" s="1"/>
  <c r="K34" i="10"/>
  <c r="K35" i="10" s="1"/>
  <c r="J30" i="10"/>
  <c r="J31" i="10" s="1"/>
  <c r="F30" i="10"/>
  <c r="J34" i="10"/>
  <c r="J35" i="10" s="1"/>
  <c r="N30" i="10"/>
  <c r="N31" i="10" s="1"/>
  <c r="I38" i="10"/>
  <c r="G38" i="10"/>
  <c r="N34" i="10"/>
  <c r="N35" i="10" s="1"/>
  <c r="Q38" i="10"/>
  <c r="O34" i="10"/>
  <c r="O35" i="10" s="1"/>
  <c r="AB442" i="6"/>
  <c r="F38" i="10"/>
  <c r="O38" i="10"/>
  <c r="L38" i="10"/>
  <c r="R13" i="10"/>
  <c r="R11" i="10"/>
  <c r="Q27" i="9"/>
  <c r="Q28" i="9" s="1"/>
  <c r="Q31" i="9"/>
  <c r="Q32" i="9" s="1"/>
  <c r="AB1166" i="6"/>
  <c r="I1280" i="6"/>
  <c r="Y1234" i="6"/>
  <c r="Q1234" i="6"/>
  <c r="AH1234" i="6"/>
  <c r="X1234" i="6"/>
  <c r="P1234" i="6"/>
  <c r="AG1234" i="6"/>
  <c r="W1234" i="6"/>
  <c r="AF1234" i="6"/>
  <c r="V1234" i="6"/>
  <c r="U1234" i="6"/>
  <c r="T1234" i="6"/>
  <c r="Z1234" i="6"/>
  <c r="AA1234" i="6"/>
  <c r="R1234" i="6"/>
  <c r="S1234" i="6"/>
  <c r="AB1169" i="6"/>
  <c r="AI1223" i="6"/>
  <c r="Y1223" i="6"/>
  <c r="Q1223" i="6"/>
  <c r="AH1223" i="6"/>
  <c r="X1223" i="6"/>
  <c r="P1223" i="6"/>
  <c r="AG1223" i="6"/>
  <c r="W1223" i="6"/>
  <c r="AF1223" i="6"/>
  <c r="V1223" i="6"/>
  <c r="U1223" i="6"/>
  <c r="I1269" i="6"/>
  <c r="T1223" i="6"/>
  <c r="AA1223" i="6"/>
  <c r="Z1223" i="6"/>
  <c r="S1223" i="6"/>
  <c r="R1223" i="6"/>
  <c r="AI1063" i="6"/>
  <c r="AI1017" i="6"/>
  <c r="AI1109" i="6"/>
  <c r="AB825" i="6"/>
  <c r="AH1074" i="6"/>
  <c r="AH1028" i="6"/>
  <c r="AH1120" i="6"/>
  <c r="AI350" i="6"/>
  <c r="AI396" i="6"/>
  <c r="AH1211" i="6"/>
  <c r="X1211" i="6"/>
  <c r="P1211" i="6"/>
  <c r="AF1211" i="6"/>
  <c r="V1211" i="6"/>
  <c r="U1211" i="6"/>
  <c r="AA1211" i="6"/>
  <c r="Z1211" i="6"/>
  <c r="I1257" i="6"/>
  <c r="Y1211" i="6"/>
  <c r="W1211" i="6"/>
  <c r="AJ1211" i="6"/>
  <c r="T1211" i="6"/>
  <c r="Q1211" i="6"/>
  <c r="AI1211" i="6"/>
  <c r="AG1211" i="6"/>
  <c r="S1211" i="6"/>
  <c r="R1211" i="6"/>
  <c r="I1250" i="6"/>
  <c r="AK1204" i="6"/>
  <c r="AA1204" i="6"/>
  <c r="S1204" i="6"/>
  <c r="AJ1204" i="6"/>
  <c r="Z1204" i="6"/>
  <c r="R1204" i="6"/>
  <c r="AI1204" i="6"/>
  <c r="Y1204" i="6"/>
  <c r="Q1204" i="6"/>
  <c r="AH1204" i="6"/>
  <c r="X1204" i="6"/>
  <c r="P1204" i="6"/>
  <c r="AG1204" i="6"/>
  <c r="W1204" i="6"/>
  <c r="T1204" i="6"/>
  <c r="V1204" i="6"/>
  <c r="U1204" i="6"/>
  <c r="AF1204" i="6"/>
  <c r="AB1178" i="6"/>
  <c r="F1291" i="6"/>
  <c r="B1245" i="6"/>
  <c r="J1216" i="6"/>
  <c r="AT1170" i="6"/>
  <c r="AR1161" i="6"/>
  <c r="T545" i="6"/>
  <c r="R545" i="6"/>
  <c r="S545" i="6"/>
  <c r="W545" i="6"/>
  <c r="X545" i="6"/>
  <c r="Y545" i="6"/>
  <c r="AH1050" i="6"/>
  <c r="AH1096" i="6"/>
  <c r="AH1142" i="6"/>
  <c r="AJ2082" i="6"/>
  <c r="AJ2128" i="6"/>
  <c r="AZ610" i="6"/>
  <c r="AJ610" i="6"/>
  <c r="AK1672" i="6"/>
  <c r="AK1718" i="6"/>
  <c r="J1223" i="6"/>
  <c r="AT1177" i="6"/>
  <c r="B886" i="6"/>
  <c r="F932" i="6"/>
  <c r="AI625" i="6"/>
  <c r="AY625" i="6"/>
  <c r="AB444" i="6"/>
  <c r="AK2115" i="6"/>
  <c r="AK2161" i="6"/>
  <c r="AI1087" i="6"/>
  <c r="AI1041" i="6"/>
  <c r="AI1133" i="6"/>
  <c r="AA864" i="6"/>
  <c r="S864" i="6"/>
  <c r="Z864" i="6"/>
  <c r="R864" i="6"/>
  <c r="X864" i="6"/>
  <c r="P864" i="6"/>
  <c r="W864" i="6"/>
  <c r="V864" i="6"/>
  <c r="Q864" i="6"/>
  <c r="I910" i="6"/>
  <c r="Y864" i="6"/>
  <c r="T864" i="6"/>
  <c r="U864" i="6"/>
  <c r="AI359" i="6"/>
  <c r="AI405" i="6"/>
  <c r="AI451" i="6"/>
  <c r="AR1156" i="6"/>
  <c r="Y535" i="6"/>
  <c r="F923" i="6"/>
  <c r="AK336" i="6"/>
  <c r="AK382" i="6"/>
  <c r="AI341" i="6"/>
  <c r="AI387" i="6"/>
  <c r="AJ1437" i="6"/>
  <c r="AZ1437" i="6"/>
  <c r="AB1170" i="6"/>
  <c r="AI361" i="6"/>
  <c r="AI407" i="6"/>
  <c r="AI453" i="6"/>
  <c r="AJ121" i="6"/>
  <c r="AZ121" i="6"/>
  <c r="AI352" i="6"/>
  <c r="AI398" i="6"/>
  <c r="AB1773" i="6"/>
  <c r="J1203" i="6"/>
  <c r="AT1157" i="6"/>
  <c r="AJ1441" i="6"/>
  <c r="AZ1441" i="6"/>
  <c r="T540" i="6"/>
  <c r="R540" i="6"/>
  <c r="W540" i="6"/>
  <c r="X540" i="6"/>
  <c r="Y540" i="6"/>
  <c r="S540" i="6"/>
  <c r="AY1454" i="6"/>
  <c r="AI1454" i="6"/>
  <c r="AB807" i="6"/>
  <c r="AJ119" i="6"/>
  <c r="AZ119" i="6"/>
  <c r="AB1768" i="6"/>
  <c r="AR1166" i="6"/>
  <c r="AR1191" i="6"/>
  <c r="AJ1888" i="6"/>
  <c r="AZ1888" i="6"/>
  <c r="AH1212" i="6"/>
  <c r="X1212" i="6"/>
  <c r="P1212" i="6"/>
  <c r="AF1212" i="6"/>
  <c r="V1212" i="6"/>
  <c r="U1212" i="6"/>
  <c r="I1258" i="6"/>
  <c r="Z1212" i="6"/>
  <c r="Y1212" i="6"/>
  <c r="W1212" i="6"/>
  <c r="T1212" i="6"/>
  <c r="S1212" i="6"/>
  <c r="AA1212" i="6"/>
  <c r="AG1212" i="6"/>
  <c r="R1212" i="6"/>
  <c r="Q1212" i="6"/>
  <c r="J929" i="6"/>
  <c r="D883" i="6"/>
  <c r="BA1895" i="6"/>
  <c r="AK1895" i="6"/>
  <c r="AB1651" i="6"/>
  <c r="AJ1459" i="6"/>
  <c r="AZ1459" i="6"/>
  <c r="AB1226" i="6"/>
  <c r="AR1192" i="6"/>
  <c r="I1284" i="6"/>
  <c r="Y1238" i="6"/>
  <c r="Q1238" i="6"/>
  <c r="AH1238" i="6"/>
  <c r="X1238" i="6"/>
  <c r="P1238" i="6"/>
  <c r="AG1238" i="6"/>
  <c r="W1238" i="6"/>
  <c r="AF1238" i="6"/>
  <c r="V1238" i="6"/>
  <c r="U1238" i="6"/>
  <c r="T1238" i="6"/>
  <c r="AA1238" i="6"/>
  <c r="Z1238" i="6"/>
  <c r="R1238" i="6"/>
  <c r="S1238" i="6"/>
  <c r="AJ377" i="6"/>
  <c r="AJ423" i="6"/>
  <c r="AP97" i="6"/>
  <c r="BF97" i="6"/>
  <c r="AB1236" i="6"/>
  <c r="I1328" i="6"/>
  <c r="Y1282" i="6"/>
  <c r="Q1282" i="6"/>
  <c r="AH1282" i="6"/>
  <c r="X1282" i="6"/>
  <c r="P1282" i="6"/>
  <c r="AG1282" i="6"/>
  <c r="W1282" i="6"/>
  <c r="AA1282" i="6"/>
  <c r="S1282" i="6"/>
  <c r="R1282" i="6"/>
  <c r="AF1282" i="6"/>
  <c r="Z1282" i="6"/>
  <c r="V1282" i="6"/>
  <c r="T1282" i="6"/>
  <c r="U1282" i="6"/>
  <c r="AB1766" i="6"/>
  <c r="AB1631" i="6"/>
  <c r="AK1917" i="6"/>
  <c r="BA1917" i="6"/>
  <c r="B1234" i="6"/>
  <c r="F1280" i="6"/>
  <c r="F992" i="6"/>
  <c r="AB319" i="6"/>
  <c r="AI1748" i="6"/>
  <c r="AI1702" i="6"/>
  <c r="AI1794" i="6"/>
  <c r="F1257" i="6"/>
  <c r="AI623" i="6"/>
  <c r="AY623" i="6"/>
  <c r="AR1182" i="6"/>
  <c r="AI354" i="6"/>
  <c r="AI400" i="6"/>
  <c r="J1290" i="6"/>
  <c r="AT1244" i="6"/>
  <c r="AI366" i="6"/>
  <c r="AI412" i="6"/>
  <c r="AI458" i="6"/>
  <c r="AH1672" i="6"/>
  <c r="AH1718" i="6"/>
  <c r="T527" i="6"/>
  <c r="Q527" i="6"/>
  <c r="AI355" i="6"/>
  <c r="AI401" i="6"/>
  <c r="AI447" i="6"/>
  <c r="J1255" i="6"/>
  <c r="AT1209" i="6"/>
  <c r="AB317" i="6"/>
  <c r="AB1642" i="6"/>
  <c r="AB1193" i="6"/>
  <c r="J1214" i="6"/>
  <c r="AT1168" i="6"/>
  <c r="AL2111" i="6"/>
  <c r="AL2157" i="6"/>
  <c r="AJ1461" i="6"/>
  <c r="AZ1461" i="6"/>
  <c r="J1318" i="6"/>
  <c r="AT1318" i="6" s="1"/>
  <c r="AT1272" i="6"/>
  <c r="AB798" i="6"/>
  <c r="AI1931" i="6"/>
  <c r="AY1931" i="6"/>
  <c r="AB1620" i="6"/>
  <c r="AO2137" i="6"/>
  <c r="AO2091" i="6"/>
  <c r="AR1177" i="6"/>
  <c r="AB460" i="6"/>
  <c r="AB449" i="6"/>
  <c r="AH1036" i="6"/>
  <c r="AH1082" i="6"/>
  <c r="AH1128" i="6"/>
  <c r="J944" i="6"/>
  <c r="D898" i="6"/>
  <c r="AH1695" i="6"/>
  <c r="AH1741" i="6"/>
  <c r="AH1787" i="6"/>
  <c r="AB1172" i="6"/>
  <c r="F964" i="6"/>
  <c r="B918" i="6"/>
  <c r="AI609" i="6"/>
  <c r="AI1212" i="6" s="1"/>
  <c r="AY609" i="6"/>
  <c r="AH2112" i="6"/>
  <c r="AH2158" i="6"/>
  <c r="AJ111" i="6"/>
  <c r="AZ111" i="6"/>
  <c r="AB1618" i="6"/>
  <c r="F1256" i="6"/>
  <c r="B1210" i="6"/>
  <c r="AR1165" i="6"/>
  <c r="AZ634" i="6"/>
  <c r="AJ634" i="6"/>
  <c r="AJ1241" i="6" s="1"/>
  <c r="AZ118" i="6"/>
  <c r="AJ118" i="6"/>
  <c r="AI442" i="6"/>
  <c r="AH1214" i="6"/>
  <c r="X1214" i="6"/>
  <c r="P1214" i="6"/>
  <c r="AF1214" i="6"/>
  <c r="V1214" i="6"/>
  <c r="U1214" i="6"/>
  <c r="I1260" i="6"/>
  <c r="W1214" i="6"/>
  <c r="T1214" i="6"/>
  <c r="S1214" i="6"/>
  <c r="AG1214" i="6"/>
  <c r="R1214" i="6"/>
  <c r="Q1214" i="6"/>
  <c r="Y1214" i="6"/>
  <c r="AA1214" i="6"/>
  <c r="Z1214" i="6"/>
  <c r="AB1672" i="6"/>
  <c r="AL1906" i="6"/>
  <c r="BB1906" i="6"/>
  <c r="AH1058" i="6"/>
  <c r="AH1104" i="6"/>
  <c r="AH1150" i="6"/>
  <c r="AR1171" i="6"/>
  <c r="AI371" i="6"/>
  <c r="AI417" i="6"/>
  <c r="AI463" i="6"/>
  <c r="AI2089" i="6"/>
  <c r="AI2135" i="6"/>
  <c r="F1271" i="6"/>
  <c r="I886" i="6"/>
  <c r="X840" i="6"/>
  <c r="P840" i="6"/>
  <c r="W840" i="6"/>
  <c r="AA840" i="6"/>
  <c r="Q840" i="6"/>
  <c r="Z840" i="6"/>
  <c r="Y840" i="6"/>
  <c r="V840" i="6"/>
  <c r="U840" i="6"/>
  <c r="T840" i="6"/>
  <c r="R840" i="6"/>
  <c r="S840" i="6"/>
  <c r="AJ1904" i="6"/>
  <c r="AZ1904" i="6"/>
  <c r="F899" i="6"/>
  <c r="B853" i="6"/>
  <c r="X40" i="6"/>
  <c r="Y40" i="6"/>
  <c r="W40" i="6"/>
  <c r="AB1629" i="6"/>
  <c r="Y869" i="6"/>
  <c r="Q869" i="6"/>
  <c r="X869" i="6"/>
  <c r="P869" i="6"/>
  <c r="V869" i="6"/>
  <c r="I915" i="6"/>
  <c r="U869" i="6"/>
  <c r="T869" i="6"/>
  <c r="AA869" i="6"/>
  <c r="Z869" i="6"/>
  <c r="W869" i="6"/>
  <c r="S869" i="6"/>
  <c r="R869" i="6"/>
  <c r="AJ469" i="6"/>
  <c r="AH1056" i="6"/>
  <c r="AH1102" i="6"/>
  <c r="AH1148" i="6"/>
  <c r="AB804" i="6"/>
  <c r="I882" i="6"/>
  <c r="X836" i="6"/>
  <c r="P836" i="6"/>
  <c r="W836" i="6"/>
  <c r="Z836" i="6"/>
  <c r="Y836" i="6"/>
  <c r="V836" i="6"/>
  <c r="U836" i="6"/>
  <c r="T836" i="6"/>
  <c r="S836" i="6"/>
  <c r="AA836" i="6"/>
  <c r="Q836" i="6"/>
  <c r="R836" i="6"/>
  <c r="AH1044" i="6"/>
  <c r="AH1090" i="6"/>
  <c r="AH1136" i="6"/>
  <c r="AZ104" i="6"/>
  <c r="AJ104" i="6"/>
  <c r="F955" i="6"/>
  <c r="AB1174" i="6"/>
  <c r="AZ117" i="6"/>
  <c r="AJ117" i="6"/>
  <c r="AK2119" i="6"/>
  <c r="AK2165" i="6"/>
  <c r="AZ630" i="6"/>
  <c r="AJ630" i="6"/>
  <c r="AB812" i="6"/>
  <c r="W858" i="6"/>
  <c r="V858" i="6"/>
  <c r="T858" i="6"/>
  <c r="AA858" i="6"/>
  <c r="S858" i="6"/>
  <c r="Z858" i="6"/>
  <c r="R858" i="6"/>
  <c r="I904" i="6"/>
  <c r="Y858" i="6"/>
  <c r="X858" i="6"/>
  <c r="U858" i="6"/>
  <c r="Q858" i="6"/>
  <c r="P858" i="6"/>
  <c r="J958" i="6"/>
  <c r="D912" i="6"/>
  <c r="B912" i="6"/>
  <c r="AB1770" i="6"/>
  <c r="AB1616" i="6"/>
  <c r="AY1448" i="6"/>
  <c r="AI1448" i="6"/>
  <c r="AB1195" i="6"/>
  <c r="I1287" i="6"/>
  <c r="AI1241" i="6"/>
  <c r="Y1241" i="6"/>
  <c r="Q1241" i="6"/>
  <c r="AH1241" i="6"/>
  <c r="X1241" i="6"/>
  <c r="P1241" i="6"/>
  <c r="AG1241" i="6"/>
  <c r="W1241" i="6"/>
  <c r="AF1241" i="6"/>
  <c r="V1241" i="6"/>
  <c r="U1241" i="6"/>
  <c r="T1241" i="6"/>
  <c r="Z1241" i="6"/>
  <c r="S1241" i="6"/>
  <c r="R1241" i="6"/>
  <c r="AA1241" i="6"/>
  <c r="J1224" i="6"/>
  <c r="AT1178" i="6"/>
  <c r="F947" i="6"/>
  <c r="AI1021" i="6"/>
  <c r="AI1067" i="6"/>
  <c r="AI1113" i="6"/>
  <c r="AB1652" i="6"/>
  <c r="AY1929" i="6"/>
  <c r="AI1929" i="6"/>
  <c r="AJ1018" i="6"/>
  <c r="AJ1064" i="6"/>
  <c r="AJ1110" i="6"/>
  <c r="AB2129" i="6"/>
  <c r="AY1452" i="6"/>
  <c r="AI1452" i="6"/>
  <c r="AB1639" i="6"/>
  <c r="AB788" i="6"/>
  <c r="AJ103" i="6"/>
  <c r="AZ103" i="6"/>
  <c r="J1276" i="6"/>
  <c r="AT1230" i="6"/>
  <c r="AN1672" i="6"/>
  <c r="AN1718" i="6"/>
  <c r="AB1160" i="6"/>
  <c r="AR1160" i="6"/>
  <c r="F1251" i="6"/>
  <c r="AI631" i="6"/>
  <c r="AY631" i="6"/>
  <c r="T541" i="6"/>
  <c r="R541" i="6"/>
  <c r="S541" i="6"/>
  <c r="W541" i="6"/>
  <c r="X541" i="6"/>
  <c r="Y541" i="6"/>
  <c r="AJ109" i="6"/>
  <c r="AZ109" i="6"/>
  <c r="U851" i="6"/>
  <c r="T851" i="6"/>
  <c r="Z851" i="6"/>
  <c r="R851" i="6"/>
  <c r="Y851" i="6"/>
  <c r="Q851" i="6"/>
  <c r="I897" i="6"/>
  <c r="X851" i="6"/>
  <c r="P851" i="6"/>
  <c r="AA851" i="6"/>
  <c r="W851" i="6"/>
  <c r="V851" i="6"/>
  <c r="S851" i="6"/>
  <c r="AK2101" i="6"/>
  <c r="AK2147" i="6"/>
  <c r="AB450" i="6"/>
  <c r="AB1646" i="6"/>
  <c r="F1008" i="6"/>
  <c r="AZ604" i="6"/>
  <c r="AJ604" i="6"/>
  <c r="AJ333" i="6"/>
  <c r="AJ379" i="6"/>
  <c r="AI627" i="6"/>
  <c r="AY627" i="6"/>
  <c r="R519" i="6"/>
  <c r="AH1208" i="6"/>
  <c r="X1208" i="6"/>
  <c r="P1208" i="6"/>
  <c r="AF1208" i="6"/>
  <c r="V1208" i="6"/>
  <c r="U1208" i="6"/>
  <c r="I1254" i="6"/>
  <c r="S1208" i="6"/>
  <c r="AG1208" i="6"/>
  <c r="R1208" i="6"/>
  <c r="Q1208" i="6"/>
  <c r="AA1208" i="6"/>
  <c r="Z1208" i="6"/>
  <c r="T1208" i="6"/>
  <c r="W1208" i="6"/>
  <c r="Y1208" i="6"/>
  <c r="D918" i="6"/>
  <c r="J964" i="6"/>
  <c r="AI1075" i="6"/>
  <c r="AI1029" i="6"/>
  <c r="AI1121" i="6"/>
  <c r="AH334" i="6"/>
  <c r="AH380" i="6"/>
  <c r="AB434" i="6"/>
  <c r="AI1900" i="6"/>
  <c r="AY1900" i="6"/>
  <c r="AH1046" i="6"/>
  <c r="AH1092" i="6"/>
  <c r="AH1138" i="6"/>
  <c r="B911" i="6"/>
  <c r="F957" i="6"/>
  <c r="F1289" i="6"/>
  <c r="B1243" i="6"/>
  <c r="U863" i="6"/>
  <c r="T863" i="6"/>
  <c r="Z863" i="6"/>
  <c r="R863" i="6"/>
  <c r="Y863" i="6"/>
  <c r="Q863" i="6"/>
  <c r="I909" i="6"/>
  <c r="X863" i="6"/>
  <c r="P863" i="6"/>
  <c r="W863" i="6"/>
  <c r="V863" i="6"/>
  <c r="S863" i="6"/>
  <c r="AA863" i="6"/>
  <c r="AJ1901" i="6"/>
  <c r="AZ1901" i="6"/>
  <c r="AJ125" i="6"/>
  <c r="AZ125" i="6"/>
  <c r="AL1672" i="6"/>
  <c r="AL1718" i="6"/>
  <c r="I874" i="6"/>
  <c r="W828" i="6"/>
  <c r="X828" i="6"/>
  <c r="V828" i="6"/>
  <c r="U828" i="6"/>
  <c r="T828" i="6"/>
  <c r="S828" i="6"/>
  <c r="AA828" i="6"/>
  <c r="R828" i="6"/>
  <c r="Y828" i="6"/>
  <c r="P828" i="6"/>
  <c r="Z828" i="6"/>
  <c r="Q828" i="6"/>
  <c r="AI357" i="6"/>
  <c r="AI403" i="6"/>
  <c r="AQ1217" i="6"/>
  <c r="AI1217" i="6"/>
  <c r="Y1217" i="6"/>
  <c r="Q1217" i="6"/>
  <c r="AP1217" i="6"/>
  <c r="AH1217" i="6"/>
  <c r="X1217" i="6"/>
  <c r="P1217" i="6"/>
  <c r="AO1217" i="6"/>
  <c r="AG1217" i="6"/>
  <c r="W1217" i="6"/>
  <c r="AN1217" i="6"/>
  <c r="AF1217" i="6"/>
  <c r="V1217" i="6"/>
  <c r="AM1217" i="6"/>
  <c r="U1217" i="6"/>
  <c r="AL1217" i="6"/>
  <c r="T1217" i="6"/>
  <c r="I1263" i="6"/>
  <c r="S1217" i="6"/>
  <c r="AK1217" i="6"/>
  <c r="AJ1217" i="6"/>
  <c r="AA1217" i="6"/>
  <c r="Z1217" i="6"/>
  <c r="R1217" i="6"/>
  <c r="AI333" i="6"/>
  <c r="AI379" i="6"/>
  <c r="AI356" i="6"/>
  <c r="AI402" i="6"/>
  <c r="D855" i="6"/>
  <c r="J901" i="6"/>
  <c r="AH2122" i="6"/>
  <c r="AH2168" i="6"/>
  <c r="AI1903" i="6"/>
  <c r="AY1903" i="6"/>
  <c r="AH2129" i="6"/>
  <c r="AH2083" i="6"/>
  <c r="AI342" i="6"/>
  <c r="AI388" i="6"/>
  <c r="AL1908" i="6"/>
  <c r="BB1908" i="6"/>
  <c r="AB1644" i="6"/>
  <c r="AB824" i="6"/>
  <c r="AH1275" i="6"/>
  <c r="X1275" i="6"/>
  <c r="P1275" i="6"/>
  <c r="I1321" i="6"/>
  <c r="AA1275" i="6"/>
  <c r="S1275" i="6"/>
  <c r="AG1275" i="6"/>
  <c r="U1275" i="6"/>
  <c r="AF1275" i="6"/>
  <c r="T1275" i="6"/>
  <c r="R1275" i="6"/>
  <c r="Q1275" i="6"/>
  <c r="Z1275" i="6"/>
  <c r="Y1275" i="6"/>
  <c r="W1275" i="6"/>
  <c r="V1275" i="6"/>
  <c r="AI1275" i="6"/>
  <c r="F951" i="6"/>
  <c r="J877" i="6"/>
  <c r="D831" i="6"/>
  <c r="J959" i="6"/>
  <c r="D913" i="6"/>
  <c r="AH1022" i="6"/>
  <c r="AH1068" i="6"/>
  <c r="AH1114" i="6"/>
  <c r="D915" i="6"/>
  <c r="J961" i="6"/>
  <c r="AI1742" i="6"/>
  <c r="AI1696" i="6"/>
  <c r="AI1788" i="6"/>
  <c r="AR1193" i="6"/>
  <c r="I890" i="6"/>
  <c r="X844" i="6"/>
  <c r="P844" i="6"/>
  <c r="W844" i="6"/>
  <c r="R844" i="6"/>
  <c r="AA844" i="6"/>
  <c r="Q844" i="6"/>
  <c r="Z844" i="6"/>
  <c r="Y844" i="6"/>
  <c r="V844" i="6"/>
  <c r="U844" i="6"/>
  <c r="S844" i="6"/>
  <c r="T844" i="6"/>
  <c r="T842" i="6"/>
  <c r="AA842" i="6"/>
  <c r="S842" i="6"/>
  <c r="Z842" i="6"/>
  <c r="P842" i="6"/>
  <c r="Y842" i="6"/>
  <c r="X842" i="6"/>
  <c r="W842" i="6"/>
  <c r="I888" i="6"/>
  <c r="V842" i="6"/>
  <c r="U842" i="6"/>
  <c r="Q842" i="6"/>
  <c r="R842" i="6"/>
  <c r="AB1156" i="6"/>
  <c r="F1285" i="6"/>
  <c r="B1239" i="6"/>
  <c r="AB1173" i="6"/>
  <c r="AI137" i="6"/>
  <c r="AY137" i="6"/>
  <c r="AB454" i="6"/>
  <c r="AZ128" i="6"/>
  <c r="AJ128" i="6"/>
  <c r="J1253" i="6"/>
  <c r="AT1207" i="6"/>
  <c r="AI1143" i="6"/>
  <c r="AI1097" i="6"/>
  <c r="AI1051" i="6"/>
  <c r="AB1761" i="6"/>
  <c r="AY1450" i="6"/>
  <c r="AI1450" i="6"/>
  <c r="Z831" i="6"/>
  <c r="R831" i="6"/>
  <c r="Y831" i="6"/>
  <c r="Q831" i="6"/>
  <c r="I877" i="6"/>
  <c r="S831" i="6"/>
  <c r="P831" i="6"/>
  <c r="AA831" i="6"/>
  <c r="X831" i="6"/>
  <c r="W831" i="6"/>
  <c r="V831" i="6"/>
  <c r="T831" i="6"/>
  <c r="U831" i="6"/>
  <c r="Y865" i="6"/>
  <c r="Q865" i="6"/>
  <c r="X865" i="6"/>
  <c r="P865" i="6"/>
  <c r="V865" i="6"/>
  <c r="U865" i="6"/>
  <c r="T865" i="6"/>
  <c r="AA865" i="6"/>
  <c r="I911" i="6"/>
  <c r="Z865" i="6"/>
  <c r="W865" i="6"/>
  <c r="S865" i="6"/>
  <c r="R865" i="6"/>
  <c r="AA852" i="6"/>
  <c r="S852" i="6"/>
  <c r="Z852" i="6"/>
  <c r="R852" i="6"/>
  <c r="I898" i="6"/>
  <c r="X852" i="6"/>
  <c r="P852" i="6"/>
  <c r="W852" i="6"/>
  <c r="V852" i="6"/>
  <c r="Y852" i="6"/>
  <c r="U852" i="6"/>
  <c r="T852" i="6"/>
  <c r="Q852" i="6"/>
  <c r="AB1634" i="6"/>
  <c r="AB1653" i="6"/>
  <c r="F959" i="6"/>
  <c r="B913" i="6"/>
  <c r="AB436" i="6"/>
  <c r="AZ106" i="6"/>
  <c r="AJ106" i="6"/>
  <c r="AI362" i="6"/>
  <c r="AI408" i="6"/>
  <c r="Y857" i="6"/>
  <c r="Q857" i="6"/>
  <c r="I903" i="6"/>
  <c r="X857" i="6"/>
  <c r="P857" i="6"/>
  <c r="V857" i="6"/>
  <c r="U857" i="6"/>
  <c r="T857" i="6"/>
  <c r="R857" i="6"/>
  <c r="AA857" i="6"/>
  <c r="Z857" i="6"/>
  <c r="S857" i="6"/>
  <c r="W857" i="6"/>
  <c r="I875" i="6"/>
  <c r="V829" i="6"/>
  <c r="U829" i="6"/>
  <c r="R829" i="6"/>
  <c r="AA829" i="6"/>
  <c r="Q829" i="6"/>
  <c r="Z829" i="6"/>
  <c r="P829" i="6"/>
  <c r="Y829" i="6"/>
  <c r="X829" i="6"/>
  <c r="W829" i="6"/>
  <c r="S829" i="6"/>
  <c r="T829" i="6"/>
  <c r="AY1440" i="6"/>
  <c r="AI1440" i="6"/>
  <c r="J1201" i="6"/>
  <c r="B1201" i="6" s="1"/>
  <c r="AT1155" i="6"/>
  <c r="AB797" i="6"/>
  <c r="J1248" i="6"/>
  <c r="AT1202" i="6"/>
  <c r="AL1912" i="6"/>
  <c r="BB1912" i="6"/>
  <c r="AZ1924" i="6"/>
  <c r="AJ1924" i="6"/>
  <c r="AB1187" i="6"/>
  <c r="AR1187" i="6"/>
  <c r="J932" i="6"/>
  <c r="D886" i="6"/>
  <c r="I1277" i="6"/>
  <c r="AI1231" i="6"/>
  <c r="Y1231" i="6"/>
  <c r="Q1231" i="6"/>
  <c r="AH1231" i="6"/>
  <c r="X1231" i="6"/>
  <c r="P1231" i="6"/>
  <c r="AB1231" i="6" s="1"/>
  <c r="AG1231" i="6"/>
  <c r="W1231" i="6"/>
  <c r="AF1231" i="6"/>
  <c r="V1231" i="6"/>
  <c r="U1231" i="6"/>
  <c r="T1231" i="6"/>
  <c r="AA1231" i="6"/>
  <c r="R1231" i="6"/>
  <c r="Z1231" i="6"/>
  <c r="S1231" i="6"/>
  <c r="AL2103" i="6"/>
  <c r="AL2149" i="6"/>
  <c r="AJ1431" i="6"/>
  <c r="AZ1431" i="6"/>
  <c r="AR1188" i="6"/>
  <c r="AH1048" i="6"/>
  <c r="AH1094" i="6"/>
  <c r="AH1140" i="6"/>
  <c r="AN1468" i="6"/>
  <c r="BD1468" i="6"/>
  <c r="W527" i="6"/>
  <c r="J1326" i="6"/>
  <c r="AT1326" i="6" s="1"/>
  <c r="AT1280" i="6"/>
  <c r="AI365" i="6"/>
  <c r="AI457" i="6"/>
  <c r="AI411" i="6"/>
  <c r="D900" i="6"/>
  <c r="J946" i="6"/>
  <c r="B946" i="6" s="1"/>
  <c r="AJ370" i="6"/>
  <c r="AJ416" i="6"/>
  <c r="AJ462" i="6"/>
  <c r="AZ618" i="6"/>
  <c r="AJ618" i="6"/>
  <c r="AI607" i="6"/>
  <c r="AY607" i="6"/>
  <c r="AJ1435" i="6"/>
  <c r="AZ1435" i="6"/>
  <c r="AZ112" i="6"/>
  <c r="AJ112" i="6"/>
  <c r="AB1632" i="6"/>
  <c r="AR1163" i="6"/>
  <c r="AI1686" i="6"/>
  <c r="AI1732" i="6"/>
  <c r="AI1778" i="6"/>
  <c r="J960" i="6"/>
  <c r="D914" i="6"/>
  <c r="AZ124" i="6"/>
  <c r="AJ124" i="6"/>
  <c r="AJ1902" i="6"/>
  <c r="AZ1902" i="6"/>
  <c r="AJ2083" i="6"/>
  <c r="AJ2129" i="6"/>
  <c r="J1278" i="6"/>
  <c r="AT1232" i="6"/>
  <c r="I918" i="6"/>
  <c r="AA872" i="6"/>
  <c r="S872" i="6"/>
  <c r="Z872" i="6"/>
  <c r="R872" i="6"/>
  <c r="X872" i="6"/>
  <c r="P872" i="6"/>
  <c r="W872" i="6"/>
  <c r="V872" i="6"/>
  <c r="Y872" i="6"/>
  <c r="U872" i="6"/>
  <c r="T872" i="6"/>
  <c r="Q872" i="6"/>
  <c r="AJ101" i="6"/>
  <c r="AZ101" i="6"/>
  <c r="U871" i="6"/>
  <c r="T871" i="6"/>
  <c r="Z871" i="6"/>
  <c r="R871" i="6"/>
  <c r="Y871" i="6"/>
  <c r="Q871" i="6"/>
  <c r="X871" i="6"/>
  <c r="P871" i="6"/>
  <c r="S871" i="6"/>
  <c r="I917" i="6"/>
  <c r="AA871" i="6"/>
  <c r="V871" i="6"/>
  <c r="W871" i="6"/>
  <c r="AL2083" i="6"/>
  <c r="AL2129" i="6"/>
  <c r="J1277" i="6"/>
  <c r="AT1231" i="6"/>
  <c r="AR1172" i="6"/>
  <c r="S535" i="6"/>
  <c r="B1232" i="6"/>
  <c r="F1278" i="6"/>
  <c r="AH1683" i="6"/>
  <c r="AH1729" i="6"/>
  <c r="AH1775" i="6"/>
  <c r="AB1176" i="6"/>
  <c r="J1205" i="6"/>
  <c r="AT1159" i="6"/>
  <c r="AH376" i="6"/>
  <c r="AH422" i="6"/>
  <c r="AI1129" i="6"/>
  <c r="AI1037" i="6"/>
  <c r="AI1083" i="6"/>
  <c r="AB1776" i="6"/>
  <c r="AB799" i="6"/>
  <c r="AI367" i="6"/>
  <c r="AI413" i="6"/>
  <c r="AI459" i="6"/>
  <c r="AB794" i="6"/>
  <c r="AJ2086" i="6"/>
  <c r="AJ2132" i="6"/>
  <c r="AB1628" i="6"/>
  <c r="B1236" i="6"/>
  <c r="F1282" i="6"/>
  <c r="AN335" i="6"/>
  <c r="AN381" i="6"/>
  <c r="AN427" i="6"/>
  <c r="AL1471" i="6"/>
  <c r="BB1471" i="6"/>
  <c r="F1258" i="6"/>
  <c r="AI611" i="6"/>
  <c r="AI1214" i="6" s="1"/>
  <c r="AY611" i="6"/>
  <c r="AJ2121" i="6"/>
  <c r="AJ2167" i="6"/>
  <c r="AJ1061" i="6"/>
  <c r="AJ1107" i="6"/>
  <c r="AJ1153" i="6"/>
  <c r="I905" i="6"/>
  <c r="U859" i="6"/>
  <c r="T859" i="6"/>
  <c r="Z859" i="6"/>
  <c r="R859" i="6"/>
  <c r="Y859" i="6"/>
  <c r="Q859" i="6"/>
  <c r="X859" i="6"/>
  <c r="P859" i="6"/>
  <c r="AB859" i="6" s="1"/>
  <c r="AA859" i="6"/>
  <c r="W859" i="6"/>
  <c r="V859" i="6"/>
  <c r="S859" i="6"/>
  <c r="F1260" i="6"/>
  <c r="B1214" i="6"/>
  <c r="AF1205" i="6"/>
  <c r="I1251" i="6"/>
  <c r="AA1205" i="6"/>
  <c r="S1205" i="6"/>
  <c r="Z1205" i="6"/>
  <c r="R1205" i="6"/>
  <c r="Y1205" i="6"/>
  <c r="Q1205" i="6"/>
  <c r="X1205" i="6"/>
  <c r="P1205" i="6"/>
  <c r="AI1205" i="6"/>
  <c r="W1205" i="6"/>
  <c r="T1205" i="6"/>
  <c r="AH1205" i="6"/>
  <c r="AG1205" i="6"/>
  <c r="U1205" i="6"/>
  <c r="V1205" i="6"/>
  <c r="AR1174" i="6"/>
  <c r="F1281" i="6"/>
  <c r="B1235" i="6"/>
  <c r="AB1624" i="6"/>
  <c r="AB1221" i="6"/>
  <c r="B882" i="6"/>
  <c r="F928" i="6"/>
  <c r="F1250" i="6"/>
  <c r="B1204" i="6"/>
  <c r="AH1703" i="6"/>
  <c r="AH1749" i="6"/>
  <c r="AI1676" i="6"/>
  <c r="AI1722" i="6"/>
  <c r="B1224" i="6"/>
  <c r="F1270" i="6"/>
  <c r="J937" i="6"/>
  <c r="D891" i="6"/>
  <c r="AJ105" i="6"/>
  <c r="AZ105" i="6"/>
  <c r="AI360" i="6"/>
  <c r="AI406" i="6"/>
  <c r="AI452" i="6"/>
  <c r="AR1164" i="6"/>
  <c r="F1264" i="6"/>
  <c r="AB808" i="6"/>
  <c r="AR1760" i="6"/>
  <c r="AR1195" i="6"/>
  <c r="B1177" i="6"/>
  <c r="AB800" i="6"/>
  <c r="AI1680" i="6"/>
  <c r="AI1726" i="6"/>
  <c r="J1327" i="6"/>
  <c r="AT1327" i="6" s="1"/>
  <c r="AT1281" i="6"/>
  <c r="B1170" i="6"/>
  <c r="AH2118" i="6"/>
  <c r="AH2164" i="6"/>
  <c r="J1286" i="6"/>
  <c r="AT1240" i="6"/>
  <c r="AB429" i="6"/>
  <c r="T544" i="6"/>
  <c r="W544" i="6"/>
  <c r="X544" i="6"/>
  <c r="S544" i="6"/>
  <c r="Y544" i="6"/>
  <c r="R544" i="6"/>
  <c r="AB822" i="6"/>
  <c r="AH1739" i="6"/>
  <c r="AH1693" i="6"/>
  <c r="AH1785" i="6"/>
  <c r="J1220" i="6"/>
  <c r="AT1174" i="6"/>
  <c r="B881" i="6"/>
  <c r="F927" i="6"/>
  <c r="AH1697" i="6"/>
  <c r="AH1743" i="6"/>
  <c r="AH1789" i="6"/>
  <c r="AY1436" i="6"/>
  <c r="AI1436" i="6"/>
  <c r="I1289" i="6"/>
  <c r="AI1243" i="6"/>
  <c r="Y1243" i="6"/>
  <c r="Q1243" i="6"/>
  <c r="AH1243" i="6"/>
  <c r="X1243" i="6"/>
  <c r="P1243" i="6"/>
  <c r="AG1243" i="6"/>
  <c r="W1243" i="6"/>
  <c r="AF1243" i="6"/>
  <c r="V1243" i="6"/>
  <c r="U1243" i="6"/>
  <c r="T1243" i="6"/>
  <c r="AJ1243" i="6"/>
  <c r="AA1243" i="6"/>
  <c r="R1243" i="6"/>
  <c r="S1243" i="6"/>
  <c r="Z1243" i="6"/>
  <c r="AH1040" i="6"/>
  <c r="AH1086" i="6"/>
  <c r="AH1132" i="6"/>
  <c r="AI358" i="6"/>
  <c r="AI404" i="6"/>
  <c r="B1155" i="6"/>
  <c r="X519" i="6"/>
  <c r="F939" i="6"/>
  <c r="B893" i="6"/>
  <c r="BA1889" i="6"/>
  <c r="AK1889" i="6"/>
  <c r="AB1179" i="6"/>
  <c r="AA860" i="6"/>
  <c r="S860" i="6"/>
  <c r="I906" i="6"/>
  <c r="Z860" i="6"/>
  <c r="R860" i="6"/>
  <c r="X860" i="6"/>
  <c r="P860" i="6"/>
  <c r="W860" i="6"/>
  <c r="V860" i="6"/>
  <c r="T860" i="6"/>
  <c r="Q860" i="6"/>
  <c r="U860" i="6"/>
  <c r="Y860" i="6"/>
  <c r="AZ628" i="6"/>
  <c r="AJ628" i="6"/>
  <c r="AH1735" i="6"/>
  <c r="AH1689" i="6"/>
  <c r="AH1781" i="6"/>
  <c r="AB464" i="6"/>
  <c r="AB819" i="6"/>
  <c r="AB468" i="6"/>
  <c r="AB806" i="6"/>
  <c r="AI1698" i="6"/>
  <c r="AI1744" i="6"/>
  <c r="AI1790" i="6"/>
  <c r="F1290" i="6"/>
  <c r="B1244" i="6"/>
  <c r="AI2107" i="6"/>
  <c r="AI2153" i="6"/>
  <c r="Y1228" i="6"/>
  <c r="Q1228" i="6"/>
  <c r="AH1228" i="6"/>
  <c r="X1228" i="6"/>
  <c r="P1228" i="6"/>
  <c r="AG1228" i="6"/>
  <c r="W1228" i="6"/>
  <c r="AF1228" i="6"/>
  <c r="V1228" i="6"/>
  <c r="U1228" i="6"/>
  <c r="T1228" i="6"/>
  <c r="I1274" i="6"/>
  <c r="R1228" i="6"/>
  <c r="S1228" i="6"/>
  <c r="Z1228" i="6"/>
  <c r="AA1228" i="6"/>
  <c r="AZ120" i="6"/>
  <c r="AJ120" i="6"/>
  <c r="AH2170" i="6"/>
  <c r="AH2124" i="6"/>
  <c r="AB1801" i="6"/>
  <c r="AJ132" i="6"/>
  <c r="AZ132" i="6"/>
  <c r="J1273" i="6"/>
  <c r="AT1227" i="6"/>
  <c r="AI343" i="6"/>
  <c r="AI389" i="6"/>
  <c r="AI435" i="6"/>
  <c r="AB1633" i="6"/>
  <c r="AZ122" i="6"/>
  <c r="AJ122" i="6"/>
  <c r="AZ602" i="6"/>
  <c r="AJ602" i="6"/>
  <c r="AJ1205" i="6" s="1"/>
  <c r="AI348" i="6"/>
  <c r="AI394" i="6"/>
  <c r="F956" i="6"/>
  <c r="B910" i="6"/>
  <c r="AK2105" i="6"/>
  <c r="AK2151" i="6"/>
  <c r="AY1444" i="6"/>
  <c r="AI1444" i="6"/>
  <c r="B906" i="6"/>
  <c r="F952" i="6"/>
  <c r="AK1893" i="6"/>
  <c r="BA1893" i="6"/>
  <c r="AG1672" i="6"/>
  <c r="AG1718" i="6"/>
  <c r="J926" i="6"/>
  <c r="B926" i="6" s="1"/>
  <c r="D880" i="6"/>
  <c r="AB1760" i="6"/>
  <c r="AH1207" i="6"/>
  <c r="AF1207" i="6"/>
  <c r="V1207" i="6"/>
  <c r="U1207" i="6"/>
  <c r="W1207" i="6"/>
  <c r="I1253" i="6"/>
  <c r="AI1207" i="6"/>
  <c r="T1207" i="6"/>
  <c r="AG1207" i="6"/>
  <c r="S1207" i="6"/>
  <c r="R1207" i="6"/>
  <c r="AA1207" i="6"/>
  <c r="Q1207" i="6"/>
  <c r="X1207" i="6"/>
  <c r="Z1207" i="6"/>
  <c r="P1207" i="6"/>
  <c r="Y1207" i="6"/>
  <c r="AY1925" i="6"/>
  <c r="AI1925" i="6"/>
  <c r="AB1798" i="6"/>
  <c r="AB325" i="6"/>
  <c r="AB328" i="6" s="1"/>
  <c r="J1256" i="6"/>
  <c r="AT1210" i="6"/>
  <c r="AI2117" i="6"/>
  <c r="AI2163" i="6"/>
  <c r="AJ1443" i="6"/>
  <c r="AZ1443" i="6"/>
  <c r="AJ335" i="6"/>
  <c r="AJ381" i="6"/>
  <c r="AJ427" i="6"/>
  <c r="AB440" i="6"/>
  <c r="AZ98" i="6"/>
  <c r="AJ98" i="6"/>
  <c r="AI1670" i="6"/>
  <c r="AI1716" i="6"/>
  <c r="D892" i="6"/>
  <c r="J938" i="6"/>
  <c r="AB1656" i="6"/>
  <c r="AB1621" i="6"/>
  <c r="AM1707" i="6"/>
  <c r="AM1753" i="6"/>
  <c r="AR1169" i="6"/>
  <c r="AI444" i="6"/>
  <c r="AY1446" i="6"/>
  <c r="AI1446" i="6"/>
  <c r="J920" i="6"/>
  <c r="D874" i="6"/>
  <c r="AI1095" i="6"/>
  <c r="AI1049" i="6"/>
  <c r="AI1141" i="6"/>
  <c r="J1222" i="6"/>
  <c r="B1222" i="6" s="1"/>
  <c r="AT1176" i="6"/>
  <c r="W862" i="6"/>
  <c r="V862" i="6"/>
  <c r="I908" i="6"/>
  <c r="T862" i="6"/>
  <c r="AA862" i="6"/>
  <c r="S862" i="6"/>
  <c r="Z862" i="6"/>
  <c r="R862" i="6"/>
  <c r="Y862" i="6"/>
  <c r="X862" i="6"/>
  <c r="U862" i="6"/>
  <c r="Q862" i="6"/>
  <c r="P862" i="6"/>
  <c r="BA131" i="6"/>
  <c r="AK131" i="6"/>
  <c r="AB818" i="6"/>
  <c r="AH1026" i="6"/>
  <c r="AH1072" i="6"/>
  <c r="AH1118" i="6"/>
  <c r="AI1674" i="6"/>
  <c r="AI1720" i="6"/>
  <c r="AI351" i="6"/>
  <c r="AI397" i="6"/>
  <c r="AI443" i="6"/>
  <c r="AI1091" i="6"/>
  <c r="AI1137" i="6"/>
  <c r="AI1045" i="6"/>
  <c r="AB796" i="6"/>
  <c r="J1279" i="6"/>
  <c r="AT1233" i="6"/>
  <c r="AI363" i="6"/>
  <c r="AI409" i="6"/>
  <c r="AI455" i="6"/>
  <c r="AI2095" i="6"/>
  <c r="AI2141" i="6"/>
  <c r="AJ1453" i="6"/>
  <c r="AZ1453" i="6"/>
  <c r="J1250" i="6"/>
  <c r="AT1204" i="6"/>
  <c r="AI340" i="6"/>
  <c r="AI386" i="6"/>
  <c r="AI432" i="6"/>
  <c r="AQ1218" i="6"/>
  <c r="AI1218" i="6"/>
  <c r="Y1218" i="6"/>
  <c r="Q1218" i="6"/>
  <c r="AP1218" i="6"/>
  <c r="AH1218" i="6"/>
  <c r="X1218" i="6"/>
  <c r="P1218" i="6"/>
  <c r="AO1218" i="6"/>
  <c r="AG1218" i="6"/>
  <c r="W1218" i="6"/>
  <c r="AN1218" i="6"/>
  <c r="AF1218" i="6"/>
  <c r="V1218" i="6"/>
  <c r="AM1218" i="6"/>
  <c r="U1218" i="6"/>
  <c r="AL1218" i="6"/>
  <c r="T1218" i="6"/>
  <c r="I1264" i="6"/>
  <c r="AA1218" i="6"/>
  <c r="AK1218" i="6"/>
  <c r="AJ1218" i="6"/>
  <c r="Z1218" i="6"/>
  <c r="S1218" i="6"/>
  <c r="R1218" i="6"/>
  <c r="B1238" i="6"/>
  <c r="F1284" i="6"/>
  <c r="T535" i="6"/>
  <c r="AI1907" i="6"/>
  <c r="AY1907" i="6"/>
  <c r="AB1796" i="6"/>
  <c r="AY1462" i="6"/>
  <c r="AI1462" i="6"/>
  <c r="AL1472" i="6"/>
  <c r="BB1472" i="6"/>
  <c r="AI1101" i="6"/>
  <c r="AI1055" i="6"/>
  <c r="AI1147" i="6"/>
  <c r="AB1765" i="6"/>
  <c r="AB1158" i="6"/>
  <c r="AR1158" i="6"/>
  <c r="AB1168" i="6"/>
  <c r="AZ614" i="6"/>
  <c r="AJ614" i="6"/>
  <c r="F875" i="6"/>
  <c r="B829" i="6"/>
  <c r="AB1640" i="6"/>
  <c r="AB803" i="6"/>
  <c r="I895" i="6"/>
  <c r="X849" i="6"/>
  <c r="P849" i="6"/>
  <c r="V849" i="6"/>
  <c r="U849" i="6"/>
  <c r="T849" i="6"/>
  <c r="AA849" i="6"/>
  <c r="Z849" i="6"/>
  <c r="Y849" i="6"/>
  <c r="W849" i="6"/>
  <c r="S849" i="6"/>
  <c r="R849" i="6"/>
  <c r="Q849" i="6"/>
  <c r="AY1915" i="6"/>
  <c r="AI1915" i="6"/>
  <c r="J1282" i="6"/>
  <c r="AT1236" i="6"/>
  <c r="AB1235" i="6"/>
  <c r="AI1281" i="6"/>
  <c r="Y1281" i="6"/>
  <c r="Q1281" i="6"/>
  <c r="I1327" i="6"/>
  <c r="AH1281" i="6"/>
  <c r="X1281" i="6"/>
  <c r="P1281" i="6"/>
  <c r="AG1281" i="6"/>
  <c r="W1281" i="6"/>
  <c r="AA1281" i="6"/>
  <c r="S1281" i="6"/>
  <c r="Z1281" i="6"/>
  <c r="V1281" i="6"/>
  <c r="U1281" i="6"/>
  <c r="T1281" i="6"/>
  <c r="AJ1281" i="6"/>
  <c r="R1281" i="6"/>
  <c r="AF1281" i="6"/>
  <c r="AO96" i="6"/>
  <c r="BE96" i="6"/>
  <c r="AR1178" i="6"/>
  <c r="AH1030" i="6"/>
  <c r="AH1076" i="6"/>
  <c r="AH1122" i="6"/>
  <c r="AK1928" i="6"/>
  <c r="BA1928" i="6"/>
  <c r="AK638" i="6"/>
  <c r="BA638" i="6"/>
  <c r="AJ1445" i="6"/>
  <c r="AZ1445" i="6"/>
  <c r="AB790" i="6"/>
  <c r="J925" i="6"/>
  <c r="D879" i="6"/>
  <c r="J941" i="6"/>
  <c r="D895" i="6"/>
  <c r="Y1220" i="6"/>
  <c r="Q1220" i="6"/>
  <c r="AH1220" i="6"/>
  <c r="X1220" i="6"/>
  <c r="P1220" i="6"/>
  <c r="AG1220" i="6"/>
  <c r="W1220" i="6"/>
  <c r="AF1220" i="6"/>
  <c r="V1220" i="6"/>
  <c r="U1220" i="6"/>
  <c r="T1220" i="6"/>
  <c r="I1266" i="6"/>
  <c r="R1220" i="6"/>
  <c r="AA1220" i="6"/>
  <c r="Z1220" i="6"/>
  <c r="S1220" i="6"/>
  <c r="AB456" i="6"/>
  <c r="BC1916" i="6"/>
  <c r="AM1916" i="6"/>
  <c r="AL1432" i="6"/>
  <c r="BB1432" i="6"/>
  <c r="B898" i="6"/>
  <c r="F944" i="6"/>
  <c r="AI1065" i="6"/>
  <c r="AI1019" i="6"/>
  <c r="AI1111" i="6"/>
  <c r="BA134" i="6"/>
  <c r="AK134" i="6"/>
  <c r="AR1181" i="6"/>
  <c r="AI344" i="6"/>
  <c r="AI390" i="6"/>
  <c r="AB1619" i="6"/>
  <c r="I1247" i="6"/>
  <c r="AA1201" i="6"/>
  <c r="S1201" i="6"/>
  <c r="AJ1201" i="6"/>
  <c r="Z1201" i="6"/>
  <c r="R1201" i="6"/>
  <c r="AI1201" i="6"/>
  <c r="Y1201" i="6"/>
  <c r="Q1201" i="6"/>
  <c r="AH1201" i="6"/>
  <c r="X1201" i="6"/>
  <c r="P1201" i="6"/>
  <c r="AG1201" i="6"/>
  <c r="W1201" i="6"/>
  <c r="T1201" i="6"/>
  <c r="AF1201" i="6"/>
  <c r="V1201" i="6"/>
  <c r="U1201" i="6"/>
  <c r="AY1923" i="6"/>
  <c r="AI1923" i="6"/>
  <c r="F1269" i="6"/>
  <c r="AH335" i="6"/>
  <c r="AH381" i="6"/>
  <c r="AH427" i="6"/>
  <c r="B1157" i="6"/>
  <c r="D878" i="6"/>
  <c r="J924" i="6"/>
  <c r="AB1659" i="6"/>
  <c r="AY1927" i="6"/>
  <c r="AI1927" i="6"/>
  <c r="AJ1455" i="6"/>
  <c r="AZ1455" i="6"/>
  <c r="I1278" i="6"/>
  <c r="AI1232" i="6"/>
  <c r="Y1232" i="6"/>
  <c r="Q1232" i="6"/>
  <c r="AH1232" i="6"/>
  <c r="X1232" i="6"/>
  <c r="P1232" i="6"/>
  <c r="AG1232" i="6"/>
  <c r="W1232" i="6"/>
  <c r="AF1232" i="6"/>
  <c r="V1232" i="6"/>
  <c r="U1232" i="6"/>
  <c r="T1232" i="6"/>
  <c r="R1232" i="6"/>
  <c r="S1232" i="6"/>
  <c r="AA1232" i="6"/>
  <c r="Z1232" i="6"/>
  <c r="AO2083" i="6"/>
  <c r="AO2129" i="6"/>
  <c r="AZ100" i="6"/>
  <c r="AJ100" i="6"/>
  <c r="F1262" i="6"/>
  <c r="B1216" i="6"/>
  <c r="AI433" i="6"/>
  <c r="AB433" i="6"/>
  <c r="B1226" i="6"/>
  <c r="F1272" i="6"/>
  <c r="AB547" i="6"/>
  <c r="T539" i="6"/>
  <c r="W539" i="6"/>
  <c r="Y539" i="6"/>
  <c r="X539" i="6"/>
  <c r="S539" i="6"/>
  <c r="R539" i="6"/>
  <c r="AB1649" i="6"/>
  <c r="AB805" i="6"/>
  <c r="AI605" i="6"/>
  <c r="AI1208" i="6" s="1"/>
  <c r="AY605" i="6"/>
  <c r="AA868" i="6"/>
  <c r="S868" i="6"/>
  <c r="Z868" i="6"/>
  <c r="R868" i="6"/>
  <c r="I914" i="6"/>
  <c r="X868" i="6"/>
  <c r="P868" i="6"/>
  <c r="W868" i="6"/>
  <c r="V868" i="6"/>
  <c r="Y868" i="6"/>
  <c r="U868" i="6"/>
  <c r="Q868" i="6"/>
  <c r="T868" i="6"/>
  <c r="Y853" i="6"/>
  <c r="Q853" i="6"/>
  <c r="I899" i="6"/>
  <c r="X853" i="6"/>
  <c r="P853" i="6"/>
  <c r="V853" i="6"/>
  <c r="U853" i="6"/>
  <c r="T853" i="6"/>
  <c r="S853" i="6"/>
  <c r="R853" i="6"/>
  <c r="AA853" i="6"/>
  <c r="W853" i="6"/>
  <c r="Z853" i="6"/>
  <c r="AI1025" i="6"/>
  <c r="AI1071" i="6"/>
  <c r="AI1117" i="6"/>
  <c r="AH1675" i="6"/>
  <c r="AH1721" i="6"/>
  <c r="AH1767" i="6"/>
  <c r="AB1197" i="6"/>
  <c r="J1287" i="6"/>
  <c r="AT1241" i="6"/>
  <c r="AB1198" i="6"/>
  <c r="I1290" i="6"/>
  <c r="Y1244" i="6"/>
  <c r="Q1244" i="6"/>
  <c r="AH1244" i="6"/>
  <c r="X1244" i="6"/>
  <c r="P1244" i="6"/>
  <c r="AG1244" i="6"/>
  <c r="W1244" i="6"/>
  <c r="AF1244" i="6"/>
  <c r="V1244" i="6"/>
  <c r="U1244" i="6"/>
  <c r="T1244" i="6"/>
  <c r="AA1244" i="6"/>
  <c r="S1244" i="6"/>
  <c r="R1244" i="6"/>
  <c r="Z1244" i="6"/>
  <c r="F1247" i="6"/>
  <c r="W870" i="6"/>
  <c r="V870" i="6"/>
  <c r="T870" i="6"/>
  <c r="AA870" i="6"/>
  <c r="S870" i="6"/>
  <c r="I916" i="6"/>
  <c r="Z870" i="6"/>
  <c r="R870" i="6"/>
  <c r="X870" i="6"/>
  <c r="U870" i="6"/>
  <c r="Q870" i="6"/>
  <c r="P870" i="6"/>
  <c r="Y870" i="6"/>
  <c r="U867" i="6"/>
  <c r="T867" i="6"/>
  <c r="I913" i="6"/>
  <c r="Z867" i="6"/>
  <c r="R867" i="6"/>
  <c r="Y867" i="6"/>
  <c r="Q867" i="6"/>
  <c r="X867" i="6"/>
  <c r="P867" i="6"/>
  <c r="V867" i="6"/>
  <c r="S867" i="6"/>
  <c r="W867" i="6"/>
  <c r="AA867" i="6"/>
  <c r="F1255" i="6"/>
  <c r="B1209" i="6"/>
  <c r="S519" i="6"/>
  <c r="AB1772" i="6"/>
  <c r="AB1162" i="6"/>
  <c r="AB425" i="6"/>
  <c r="B1242" i="6"/>
  <c r="F1288" i="6"/>
  <c r="T1378" i="6"/>
  <c r="AO336" i="6"/>
  <c r="AO382" i="6"/>
  <c r="AI335" i="6"/>
  <c r="AI381" i="6"/>
  <c r="AI427" i="6"/>
  <c r="AI603" i="6"/>
  <c r="AY603" i="6"/>
  <c r="AJ1457" i="6"/>
  <c r="AZ1457" i="6"/>
  <c r="F1275" i="6"/>
  <c r="B1229" i="6"/>
  <c r="B902" i="6"/>
  <c r="F948" i="6"/>
  <c r="AI336" i="6"/>
  <c r="AI382" i="6"/>
  <c r="AH1687" i="6"/>
  <c r="AH1733" i="6"/>
  <c r="AH1779" i="6"/>
  <c r="AH1691" i="6"/>
  <c r="AH1737" i="6"/>
  <c r="AH1783" i="6"/>
  <c r="AA1203" i="6"/>
  <c r="S1203" i="6"/>
  <c r="Z1203" i="6"/>
  <c r="R1203" i="6"/>
  <c r="AI1203" i="6"/>
  <c r="Y1203" i="6"/>
  <c r="Q1203" i="6"/>
  <c r="AH1203" i="6"/>
  <c r="X1203" i="6"/>
  <c r="P1203" i="6"/>
  <c r="AB1203" i="6" s="1"/>
  <c r="I1249" i="6"/>
  <c r="AG1203" i="6"/>
  <c r="W1203" i="6"/>
  <c r="T1203" i="6"/>
  <c r="AF1203" i="6"/>
  <c r="V1203" i="6"/>
  <c r="U1203" i="6"/>
  <c r="BC1910" i="6"/>
  <c r="AM1910" i="6"/>
  <c r="AI364" i="6"/>
  <c r="AI410" i="6"/>
  <c r="AJ1447" i="6"/>
  <c r="AZ1447" i="6"/>
  <c r="AZ598" i="6"/>
  <c r="AJ598" i="6"/>
  <c r="Z839" i="6"/>
  <c r="R839" i="6"/>
  <c r="Y839" i="6"/>
  <c r="Q839" i="6"/>
  <c r="I885" i="6"/>
  <c r="U839" i="6"/>
  <c r="T839" i="6"/>
  <c r="S839" i="6"/>
  <c r="P839" i="6"/>
  <c r="AA839" i="6"/>
  <c r="X839" i="6"/>
  <c r="V839" i="6"/>
  <c r="W839" i="6"/>
  <c r="AB809" i="6"/>
  <c r="AK1710" i="6"/>
  <c r="AK1756" i="6"/>
  <c r="J921" i="6"/>
  <c r="D875" i="6"/>
  <c r="F1259" i="6"/>
  <c r="AY1458" i="6"/>
  <c r="AI1458" i="6"/>
  <c r="AB821" i="6"/>
  <c r="AB1780" i="6"/>
  <c r="AB783" i="6"/>
  <c r="AH1679" i="6"/>
  <c r="AH1771" i="6"/>
  <c r="AH1725" i="6"/>
  <c r="AI1706" i="6"/>
  <c r="AI1752" i="6"/>
  <c r="D894" i="6"/>
  <c r="J940" i="6"/>
  <c r="AI2087" i="6"/>
  <c r="AI2133" i="6"/>
  <c r="AJ1467" i="6"/>
  <c r="AZ1467" i="6"/>
  <c r="AB1182" i="6"/>
  <c r="AI1682" i="6"/>
  <c r="AI1728" i="6"/>
  <c r="AI1774" i="6"/>
  <c r="AB1185" i="6"/>
  <c r="AR1185" i="6"/>
  <c r="AI337" i="6"/>
  <c r="AI383" i="6"/>
  <c r="D910" i="6"/>
  <c r="J956" i="6"/>
  <c r="AJ1899" i="6"/>
  <c r="AZ1899" i="6"/>
  <c r="AP1215" i="6"/>
  <c r="AH1215" i="6"/>
  <c r="X1215" i="6"/>
  <c r="P1215" i="6"/>
  <c r="AO1215" i="6"/>
  <c r="AN1215" i="6"/>
  <c r="AF1215" i="6"/>
  <c r="V1215" i="6"/>
  <c r="AM1215" i="6"/>
  <c r="U1215" i="6"/>
  <c r="AI1215" i="6"/>
  <c r="S1215" i="6"/>
  <c r="AA1215" i="6"/>
  <c r="Z1215" i="6"/>
  <c r="Y1215" i="6"/>
  <c r="AQ1215" i="6"/>
  <c r="W1215" i="6"/>
  <c r="AL1215" i="6"/>
  <c r="T1215" i="6"/>
  <c r="I1261" i="6"/>
  <c r="AK1215" i="6"/>
  <c r="R1215" i="6"/>
  <c r="AJ1215" i="6"/>
  <c r="Q1215" i="6"/>
  <c r="AG1215" i="6"/>
  <c r="F988" i="6"/>
  <c r="X1833" i="6"/>
  <c r="Y1833" i="6"/>
  <c r="S1833" i="6"/>
  <c r="AH1731" i="6"/>
  <c r="AH1685" i="6"/>
  <c r="AH1777" i="6"/>
  <c r="AA856" i="6"/>
  <c r="S856" i="6"/>
  <c r="Z856" i="6"/>
  <c r="R856" i="6"/>
  <c r="I902" i="6"/>
  <c r="X856" i="6"/>
  <c r="P856" i="6"/>
  <c r="W856" i="6"/>
  <c r="V856" i="6"/>
  <c r="U856" i="6"/>
  <c r="T856" i="6"/>
  <c r="Q856" i="6"/>
  <c r="Y856" i="6"/>
  <c r="AI130" i="6"/>
  <c r="AY130" i="6"/>
  <c r="AJ1439" i="6"/>
  <c r="AZ1439" i="6"/>
  <c r="AZ626" i="6"/>
  <c r="AJ626" i="6"/>
  <c r="I878" i="6"/>
  <c r="X832" i="6"/>
  <c r="P832" i="6"/>
  <c r="AB832" i="6" s="1"/>
  <c r="W832" i="6"/>
  <c r="Y832" i="6"/>
  <c r="V832" i="6"/>
  <c r="U832" i="6"/>
  <c r="T832" i="6"/>
  <c r="S832" i="6"/>
  <c r="R832" i="6"/>
  <c r="Z832" i="6"/>
  <c r="AA832" i="6"/>
  <c r="Q832" i="6"/>
  <c r="J889" i="6"/>
  <c r="D843" i="6"/>
  <c r="AB817" i="6"/>
  <c r="AK601" i="6"/>
  <c r="BA601" i="6"/>
  <c r="AI2080" i="6"/>
  <c r="AI2126" i="6"/>
  <c r="AI1891" i="6"/>
  <c r="AY1891" i="6"/>
  <c r="AZ622" i="6"/>
  <c r="AJ622" i="6"/>
  <c r="AJ1275" i="6" s="1"/>
  <c r="F1277" i="6"/>
  <c r="B1231" i="6"/>
  <c r="AB1177" i="6"/>
  <c r="AH1209" i="6"/>
  <c r="X1209" i="6"/>
  <c r="P1209" i="6"/>
  <c r="AF1209" i="6"/>
  <c r="V1209" i="6"/>
  <c r="U1209" i="6"/>
  <c r="I1255" i="6"/>
  <c r="AG1209" i="6"/>
  <c r="R1209" i="6"/>
  <c r="Q1209" i="6"/>
  <c r="AA1209" i="6"/>
  <c r="Z1209" i="6"/>
  <c r="Y1209" i="6"/>
  <c r="AI1209" i="6"/>
  <c r="S1209" i="6"/>
  <c r="T1209" i="6"/>
  <c r="W1209" i="6"/>
  <c r="AJ1209" i="6"/>
  <c r="B894" i="6"/>
  <c r="F940" i="6"/>
  <c r="AZ110" i="6"/>
  <c r="AJ110" i="6"/>
  <c r="J1211" i="6"/>
  <c r="AT1165" i="6"/>
  <c r="AY1442" i="6"/>
  <c r="AI1442" i="6"/>
  <c r="AB1660" i="6"/>
  <c r="AB1662" i="6" s="1"/>
  <c r="AI1738" i="6"/>
  <c r="AI1692" i="6"/>
  <c r="AI1784" i="6"/>
  <c r="AJ336" i="6"/>
  <c r="AJ382" i="6"/>
  <c r="AB826" i="6"/>
  <c r="X535" i="6"/>
  <c r="AB782" i="6"/>
  <c r="AH2100" i="6"/>
  <c r="AH2146" i="6"/>
  <c r="AI1905" i="6"/>
  <c r="AY1905" i="6"/>
  <c r="AH1747" i="6"/>
  <c r="AH1701" i="6"/>
  <c r="AH1793" i="6"/>
  <c r="AK1711" i="6"/>
  <c r="AK1757" i="6"/>
  <c r="AR1173" i="6"/>
  <c r="AB1165" i="6"/>
  <c r="AZ632" i="6"/>
  <c r="AJ632" i="6"/>
  <c r="AJ1239" i="6" s="1"/>
  <c r="AJ1059" i="6"/>
  <c r="AJ1105" i="6"/>
  <c r="AJ1151" i="6"/>
  <c r="AB1658" i="6"/>
  <c r="AY1438" i="6"/>
  <c r="AI1438" i="6"/>
  <c r="AI1089" i="6"/>
  <c r="AI1043" i="6"/>
  <c r="AI1135" i="6"/>
  <c r="F1261" i="6"/>
  <c r="AB1171" i="6"/>
  <c r="AH2108" i="6"/>
  <c r="AH2154" i="6"/>
  <c r="J1225" i="6"/>
  <c r="B1225" i="6" s="1"/>
  <c r="AT1179" i="6"/>
  <c r="J953" i="6"/>
  <c r="D907" i="6"/>
  <c r="AM1470" i="6"/>
  <c r="BC1470" i="6"/>
  <c r="AZ108" i="6"/>
  <c r="AJ108" i="6"/>
  <c r="Y1224" i="6"/>
  <c r="Q1224" i="6"/>
  <c r="AH1224" i="6"/>
  <c r="X1224" i="6"/>
  <c r="P1224" i="6"/>
  <c r="I1270" i="6"/>
  <c r="AG1224" i="6"/>
  <c r="W1224" i="6"/>
  <c r="AF1224" i="6"/>
  <c r="V1224" i="6"/>
  <c r="U1224" i="6"/>
  <c r="T1224" i="6"/>
  <c r="S1224" i="6"/>
  <c r="AA1224" i="6"/>
  <c r="Z1224" i="6"/>
  <c r="R1224" i="6"/>
  <c r="AR1713" i="6"/>
  <c r="AH372" i="6"/>
  <c r="AH418" i="6"/>
  <c r="AI1684" i="6"/>
  <c r="AI1730" i="6"/>
  <c r="F941" i="6"/>
  <c r="B895" i="6"/>
  <c r="B892" i="6"/>
  <c r="AK1930" i="6"/>
  <c r="BA1930" i="6"/>
  <c r="J952" i="6"/>
  <c r="D906" i="6"/>
  <c r="AY1460" i="6"/>
  <c r="AI1460" i="6"/>
  <c r="AN2083" i="6"/>
  <c r="AN2129" i="6"/>
  <c r="AL135" i="6"/>
  <c r="BB135" i="6"/>
  <c r="AB336" i="6"/>
  <c r="AB1184" i="6"/>
  <c r="AL2155" i="6"/>
  <c r="AL2109" i="6"/>
  <c r="AK1671" i="6"/>
  <c r="AK1717" i="6"/>
  <c r="AK1763" i="6"/>
  <c r="AZ600" i="6"/>
  <c r="AJ600" i="6"/>
  <c r="AJ1203" i="6" s="1"/>
  <c r="AJ373" i="6"/>
  <c r="AJ419" i="6"/>
  <c r="AI1227" i="6"/>
  <c r="Y1227" i="6"/>
  <c r="Q1227" i="6"/>
  <c r="AH1227" i="6"/>
  <c r="X1227" i="6"/>
  <c r="P1227" i="6"/>
  <c r="AG1227" i="6"/>
  <c r="W1227" i="6"/>
  <c r="AF1227" i="6"/>
  <c r="V1227" i="6"/>
  <c r="U1227" i="6"/>
  <c r="I1273" i="6"/>
  <c r="T1227" i="6"/>
  <c r="AA1227" i="6"/>
  <c r="R1227" i="6"/>
  <c r="Z1227" i="6"/>
  <c r="S1227" i="6"/>
  <c r="AR1170" i="6"/>
  <c r="D893" i="6"/>
  <c r="J939" i="6"/>
  <c r="AH1210" i="6"/>
  <c r="X1210" i="6"/>
  <c r="P1210" i="6"/>
  <c r="AF1210" i="6"/>
  <c r="V1210" i="6"/>
  <c r="U1210" i="6"/>
  <c r="I1256" i="6"/>
  <c r="Q1210" i="6"/>
  <c r="AA1210" i="6"/>
  <c r="Z1210" i="6"/>
  <c r="Y1210" i="6"/>
  <c r="W1210" i="6"/>
  <c r="AG1210" i="6"/>
  <c r="R1210" i="6"/>
  <c r="T1210" i="6"/>
  <c r="S1210" i="6"/>
  <c r="AI1210" i="6"/>
  <c r="B915" i="6"/>
  <c r="F961" i="6"/>
  <c r="AZ1920" i="6"/>
  <c r="AJ1920" i="6"/>
  <c r="J934" i="6"/>
  <c r="D888" i="6"/>
  <c r="AH2116" i="6"/>
  <c r="AH2162" i="6"/>
  <c r="AB1635" i="6"/>
  <c r="AB335" i="6"/>
  <c r="F1249" i="6"/>
  <c r="B1203" i="6"/>
  <c r="AH2120" i="6"/>
  <c r="AH2166" i="6"/>
  <c r="AI1740" i="6"/>
  <c r="AI1694" i="6"/>
  <c r="AI1786" i="6"/>
  <c r="D884" i="6"/>
  <c r="J930" i="6"/>
  <c r="AI339" i="6"/>
  <c r="AI385" i="6"/>
  <c r="AI431" i="6"/>
  <c r="AB467" i="6"/>
  <c r="AB448" i="6"/>
  <c r="AJ1449" i="6"/>
  <c r="AZ1449" i="6"/>
  <c r="AF1206" i="6"/>
  <c r="V1206" i="6"/>
  <c r="U1206" i="6"/>
  <c r="AG1206" i="6"/>
  <c r="S1206" i="6"/>
  <c r="R1206" i="6"/>
  <c r="AA1206" i="6"/>
  <c r="Q1206" i="6"/>
  <c r="Z1206" i="6"/>
  <c r="P1206" i="6"/>
  <c r="Y1206" i="6"/>
  <c r="AH1206" i="6"/>
  <c r="T1206" i="6"/>
  <c r="I1252" i="6"/>
  <c r="AI1206" i="6"/>
  <c r="X1206" i="6"/>
  <c r="W1206" i="6"/>
  <c r="AB787" i="6"/>
  <c r="AI429" i="6"/>
  <c r="T543" i="6"/>
  <c r="W543" i="6"/>
  <c r="Y543" i="6"/>
  <c r="X543" i="6"/>
  <c r="S543" i="6"/>
  <c r="R543" i="6"/>
  <c r="F1274" i="6"/>
  <c r="B1228" i="6"/>
  <c r="AH1024" i="6"/>
  <c r="AH1070" i="6"/>
  <c r="AH1116" i="6"/>
  <c r="AJ1465" i="6"/>
  <c r="AZ1465" i="6"/>
  <c r="AB789" i="6"/>
  <c r="J948" i="6"/>
  <c r="D902" i="6"/>
  <c r="AZ606" i="6"/>
  <c r="AJ606" i="6"/>
  <c r="AR1167" i="6"/>
  <c r="D881" i="6"/>
  <c r="J927" i="6"/>
  <c r="T519" i="6"/>
  <c r="BA1913" i="6"/>
  <c r="AK1913" i="6"/>
  <c r="AB814" i="6"/>
  <c r="AR1761" i="6"/>
  <c r="AI1085" i="6"/>
  <c r="AI1039" i="6"/>
  <c r="AI1131" i="6"/>
  <c r="AH464" i="6"/>
  <c r="AQ1890" i="6"/>
  <c r="AR1890" i="6" s="1"/>
  <c r="BG1890" i="6"/>
  <c r="AB1638" i="6"/>
  <c r="AH468" i="6"/>
  <c r="AI434" i="6"/>
  <c r="X1378" i="6"/>
  <c r="J1219" i="6"/>
  <c r="AT1173" i="6"/>
  <c r="I1279" i="6"/>
  <c r="AI1233" i="6"/>
  <c r="Y1233" i="6"/>
  <c r="Q1233" i="6"/>
  <c r="AH1233" i="6"/>
  <c r="X1233" i="6"/>
  <c r="P1233" i="6"/>
  <c r="AG1233" i="6"/>
  <c r="W1233" i="6"/>
  <c r="AF1233" i="6"/>
  <c r="V1233" i="6"/>
  <c r="U1233" i="6"/>
  <c r="T1233" i="6"/>
  <c r="Z1233" i="6"/>
  <c r="S1233" i="6"/>
  <c r="AJ1233" i="6"/>
  <c r="AA1233" i="6"/>
  <c r="R1233" i="6"/>
  <c r="B1241" i="6"/>
  <c r="F1287" i="6"/>
  <c r="F1265" i="6"/>
  <c r="B1219" i="6"/>
  <c r="B889" i="6"/>
  <c r="F935" i="6"/>
  <c r="AB1655" i="6"/>
  <c r="AI2097" i="6"/>
  <c r="AI2143" i="6"/>
  <c r="Y42" i="6"/>
  <c r="W42" i="6"/>
  <c r="X42" i="6"/>
  <c r="AJ1451" i="6"/>
  <c r="AZ1451" i="6"/>
  <c r="AB1181" i="6"/>
  <c r="W854" i="6"/>
  <c r="V854" i="6"/>
  <c r="T854" i="6"/>
  <c r="AA854" i="6"/>
  <c r="S854" i="6"/>
  <c r="Z854" i="6"/>
  <c r="R854" i="6"/>
  <c r="Y854" i="6"/>
  <c r="X854" i="6"/>
  <c r="I900" i="6"/>
  <c r="U854" i="6"/>
  <c r="P854" i="6"/>
  <c r="Q854" i="6"/>
  <c r="AJ113" i="6"/>
  <c r="AZ113" i="6"/>
  <c r="B1240" i="6"/>
  <c r="F1286" i="6"/>
  <c r="AH1054" i="6"/>
  <c r="AH1100" i="6"/>
  <c r="AH1146" i="6"/>
  <c r="AB1762" i="6"/>
  <c r="J954" i="6"/>
  <c r="D908" i="6"/>
  <c r="AB441" i="6"/>
  <c r="R36" i="10" s="1"/>
  <c r="R37" i="10" s="1"/>
  <c r="AB784" i="6"/>
  <c r="AJ123" i="6"/>
  <c r="AZ123" i="6"/>
  <c r="J957" i="6"/>
  <c r="D911" i="6"/>
  <c r="AJ2085" i="6"/>
  <c r="AJ2131" i="6"/>
  <c r="AZ1914" i="6"/>
  <c r="AJ1914" i="6"/>
  <c r="F1263" i="6"/>
  <c r="AI368" i="6"/>
  <c r="AI414" i="6"/>
  <c r="F907" i="6"/>
  <c r="B861" i="6"/>
  <c r="J950" i="6"/>
  <c r="D904" i="6"/>
  <c r="AI2094" i="6"/>
  <c r="AI2140" i="6"/>
  <c r="AB446" i="6"/>
  <c r="AF1672" i="6"/>
  <c r="AR1672" i="6" s="1"/>
  <c r="AR1433" i="6"/>
  <c r="AF1718" i="6"/>
  <c r="F931" i="6"/>
  <c r="B885" i="6"/>
  <c r="W850" i="6"/>
  <c r="V850" i="6"/>
  <c r="T850" i="6"/>
  <c r="AA850" i="6"/>
  <c r="S850" i="6"/>
  <c r="Z850" i="6"/>
  <c r="R850" i="6"/>
  <c r="P850" i="6"/>
  <c r="I896" i="6"/>
  <c r="Y850" i="6"/>
  <c r="X850" i="6"/>
  <c r="Q850" i="6"/>
  <c r="U850" i="6"/>
  <c r="AY1464" i="6"/>
  <c r="AI1464" i="6"/>
  <c r="AH2096" i="6"/>
  <c r="AH2142" i="6"/>
  <c r="AB2083" i="6"/>
  <c r="J928" i="6"/>
  <c r="D882" i="6"/>
  <c r="AR1196" i="6"/>
  <c r="J1291" i="6"/>
  <c r="AT1245" i="6"/>
  <c r="AB1167" i="6"/>
  <c r="AI617" i="6"/>
  <c r="AY617" i="6"/>
  <c r="J1208" i="6"/>
  <c r="AT1162" i="6"/>
  <c r="I1283" i="6"/>
  <c r="AI1237" i="6"/>
  <c r="Y1237" i="6"/>
  <c r="Q1237" i="6"/>
  <c r="AH1237" i="6"/>
  <c r="X1237" i="6"/>
  <c r="P1237" i="6"/>
  <c r="AG1237" i="6"/>
  <c r="W1237" i="6"/>
  <c r="AF1237" i="6"/>
  <c r="V1237" i="6"/>
  <c r="U1237" i="6"/>
  <c r="T1237" i="6"/>
  <c r="S1237" i="6"/>
  <c r="Z1237" i="6"/>
  <c r="AJ1237" i="6"/>
  <c r="AA1237" i="6"/>
  <c r="R1237" i="6"/>
  <c r="AH1272" i="6"/>
  <c r="X1272" i="6"/>
  <c r="P1272" i="6"/>
  <c r="AB1272" i="6" s="1"/>
  <c r="I1318" i="6"/>
  <c r="AA1272" i="6"/>
  <c r="S1272" i="6"/>
  <c r="W1272" i="6"/>
  <c r="AI1272" i="6"/>
  <c r="V1272" i="6"/>
  <c r="AG1272" i="6"/>
  <c r="U1272" i="6"/>
  <c r="AF1272" i="6"/>
  <c r="T1272" i="6"/>
  <c r="R1272" i="6"/>
  <c r="Q1272" i="6"/>
  <c r="Z1272" i="6"/>
  <c r="Y1272" i="6"/>
  <c r="AB1157" i="6"/>
  <c r="AR1157" i="6"/>
  <c r="AB1191" i="6"/>
  <c r="T830" i="6"/>
  <c r="AA830" i="6"/>
  <c r="S830" i="6"/>
  <c r="W830" i="6"/>
  <c r="V830" i="6"/>
  <c r="U830" i="6"/>
  <c r="R830" i="6"/>
  <c r="Q830" i="6"/>
  <c r="I876" i="6"/>
  <c r="Z830" i="6"/>
  <c r="P830" i="6"/>
  <c r="X830" i="6"/>
  <c r="Y830" i="6"/>
  <c r="AI2081" i="6"/>
  <c r="AI2127" i="6"/>
  <c r="AI1909" i="6"/>
  <c r="AY1909" i="6"/>
  <c r="AI619" i="6"/>
  <c r="AY619" i="6"/>
  <c r="F887" i="6"/>
  <c r="B841" i="6"/>
  <c r="AM1799" i="6"/>
  <c r="AZ1894" i="6"/>
  <c r="AJ1894" i="6"/>
  <c r="AB1636" i="6"/>
  <c r="AB1795" i="6"/>
  <c r="AB1650" i="6"/>
  <c r="AB1229" i="6"/>
  <c r="J949" i="6"/>
  <c r="D903" i="6"/>
  <c r="AB1643" i="6"/>
  <c r="BA1892" i="6"/>
  <c r="AK1892" i="6"/>
  <c r="F1253" i="6"/>
  <c r="B1207" i="6"/>
  <c r="AB802" i="6"/>
  <c r="Z848" i="6"/>
  <c r="R848" i="6"/>
  <c r="I894" i="6"/>
  <c r="X848" i="6"/>
  <c r="P848" i="6"/>
  <c r="W848" i="6"/>
  <c r="Y848" i="6"/>
  <c r="V848" i="6"/>
  <c r="U848" i="6"/>
  <c r="T848" i="6"/>
  <c r="S848" i="6"/>
  <c r="Q848" i="6"/>
  <c r="AA848" i="6"/>
  <c r="AI440" i="6"/>
  <c r="B1162" i="6"/>
  <c r="AI2138" i="6"/>
  <c r="AI2092" i="6"/>
  <c r="AB1769" i="6"/>
  <c r="B874" i="6"/>
  <c r="F920" i="6"/>
  <c r="Z527" i="6"/>
  <c r="AK375" i="6"/>
  <c r="AK421" i="6"/>
  <c r="X1834" i="6"/>
  <c r="S1834" i="6"/>
  <c r="Y1834" i="6"/>
  <c r="F1283" i="6"/>
  <c r="B1237" i="6"/>
  <c r="AI1073" i="6"/>
  <c r="AI1027" i="6"/>
  <c r="AI1119" i="6"/>
  <c r="AH369" i="6"/>
  <c r="AH415" i="6"/>
  <c r="AB1654" i="6"/>
  <c r="AI1678" i="6"/>
  <c r="AI1724" i="6"/>
  <c r="F980" i="6"/>
  <c r="B934" i="6"/>
  <c r="AB1625" i="6"/>
  <c r="AM1469" i="6"/>
  <c r="BC1469" i="6"/>
  <c r="B1176" i="6"/>
  <c r="AB437" i="6"/>
  <c r="I1285" i="6"/>
  <c r="AI1239" i="6"/>
  <c r="Y1239" i="6"/>
  <c r="Q1239" i="6"/>
  <c r="AH1239" i="6"/>
  <c r="X1239" i="6"/>
  <c r="P1239" i="6"/>
  <c r="AG1239" i="6"/>
  <c r="W1239" i="6"/>
  <c r="AF1239" i="6"/>
  <c r="V1239" i="6"/>
  <c r="U1239" i="6"/>
  <c r="T1239" i="6"/>
  <c r="AA1239" i="6"/>
  <c r="Z1239" i="6"/>
  <c r="R1239" i="6"/>
  <c r="S1239" i="6"/>
  <c r="AJ1020" i="6"/>
  <c r="AJ1066" i="6"/>
  <c r="AJ1112" i="6"/>
  <c r="F968" i="6"/>
  <c r="J1275" i="6"/>
  <c r="AT1229" i="6"/>
  <c r="AB791" i="6"/>
  <c r="AJ1887" i="6"/>
  <c r="AZ1887" i="6"/>
  <c r="AH2084" i="6"/>
  <c r="AH2130" i="6"/>
  <c r="AY1466" i="6"/>
  <c r="AI1466" i="6"/>
  <c r="AM1672" i="6"/>
  <c r="AM1718" i="6"/>
  <c r="B1221" i="6"/>
  <c r="F1267" i="6"/>
  <c r="AI637" i="6"/>
  <c r="AY637" i="6"/>
  <c r="AI446" i="6"/>
  <c r="AI349" i="6"/>
  <c r="AI395" i="6"/>
  <c r="AB1648" i="6"/>
  <c r="J945" i="6"/>
  <c r="D899" i="6"/>
  <c r="AJ107" i="6"/>
  <c r="AZ107" i="6"/>
  <c r="AI449" i="6"/>
  <c r="AH1681" i="6"/>
  <c r="AH1727" i="6"/>
  <c r="B914" i="6"/>
  <c r="F960" i="6"/>
  <c r="AY1434" i="6"/>
  <c r="AI1434" i="6"/>
  <c r="AB793" i="6"/>
  <c r="D851" i="6"/>
  <c r="J897" i="6"/>
  <c r="T847" i="6"/>
  <c r="Z847" i="6"/>
  <c r="R847" i="6"/>
  <c r="Y847" i="6"/>
  <c r="Q847" i="6"/>
  <c r="I893" i="6"/>
  <c r="X847" i="6"/>
  <c r="W847" i="6"/>
  <c r="V847" i="6"/>
  <c r="U847" i="6"/>
  <c r="S847" i="6"/>
  <c r="P847" i="6"/>
  <c r="AA847" i="6"/>
  <c r="F1252" i="6"/>
  <c r="B1206" i="6"/>
  <c r="D863" i="6"/>
  <c r="J909" i="6"/>
  <c r="B909" i="6" s="1"/>
  <c r="W535" i="6"/>
  <c r="U855" i="6"/>
  <c r="T855" i="6"/>
  <c r="Z855" i="6"/>
  <c r="R855" i="6"/>
  <c r="Y855" i="6"/>
  <c r="Q855" i="6"/>
  <c r="I901" i="6"/>
  <c r="X855" i="6"/>
  <c r="P855" i="6"/>
  <c r="AA855" i="6"/>
  <c r="W855" i="6"/>
  <c r="V855" i="6"/>
  <c r="S855" i="6"/>
  <c r="AB1800" i="6"/>
  <c r="AB1802" i="6"/>
  <c r="J1221" i="6"/>
  <c r="AT1175" i="6"/>
  <c r="AH2098" i="6"/>
  <c r="AH2144" i="6"/>
  <c r="AI1219" i="6"/>
  <c r="Y1219" i="6"/>
  <c r="Q1219" i="6"/>
  <c r="AH1219" i="6"/>
  <c r="X1219" i="6"/>
  <c r="P1219" i="6"/>
  <c r="AG1219" i="6"/>
  <c r="W1219" i="6"/>
  <c r="AF1219" i="6"/>
  <c r="V1219" i="6"/>
  <c r="U1219" i="6"/>
  <c r="T1219" i="6"/>
  <c r="AA1219" i="6"/>
  <c r="R1219" i="6"/>
  <c r="Z1219" i="6"/>
  <c r="S1219" i="6"/>
  <c r="I1265" i="6"/>
  <c r="AB1630" i="6"/>
  <c r="J1274" i="6"/>
  <c r="AT1228" i="6"/>
  <c r="AR1176" i="6"/>
  <c r="AK636" i="6"/>
  <c r="AK1243" i="6" s="1"/>
  <c r="BA636" i="6"/>
  <c r="T838" i="6"/>
  <c r="AA838" i="6"/>
  <c r="S838" i="6"/>
  <c r="Y838" i="6"/>
  <c r="I884" i="6"/>
  <c r="X838" i="6"/>
  <c r="W838" i="6"/>
  <c r="V838" i="6"/>
  <c r="U838" i="6"/>
  <c r="R838" i="6"/>
  <c r="Z838" i="6"/>
  <c r="P838" i="6"/>
  <c r="Q838" i="6"/>
  <c r="AH1677" i="6"/>
  <c r="AH1723" i="6"/>
  <c r="AZ620" i="6"/>
  <c r="AJ620" i="6"/>
  <c r="AI629" i="6"/>
  <c r="AY629" i="6"/>
  <c r="AO1897" i="6"/>
  <c r="BE1897" i="6"/>
  <c r="AI615" i="6"/>
  <c r="AY615" i="6"/>
  <c r="AL1709" i="6"/>
  <c r="AL1755" i="6"/>
  <c r="J942" i="6"/>
  <c r="B942" i="6" s="1"/>
  <c r="D896" i="6"/>
  <c r="AI347" i="6"/>
  <c r="AI393" i="6"/>
  <c r="AI439" i="6"/>
  <c r="J1218" i="6"/>
  <c r="B1218" i="6" s="1"/>
  <c r="AT1172" i="6"/>
  <c r="AB823" i="6"/>
  <c r="AB469" i="6"/>
  <c r="AI133" i="6"/>
  <c r="AY133" i="6"/>
  <c r="J1213" i="6"/>
  <c r="AT1167" i="6"/>
  <c r="AB430" i="6"/>
  <c r="B938" i="6"/>
  <c r="F984" i="6"/>
  <c r="AB1159" i="6"/>
  <c r="AR1159" i="6"/>
  <c r="AI1081" i="6"/>
  <c r="AI1035" i="6"/>
  <c r="AI1127" i="6"/>
  <c r="AJ2123" i="6"/>
  <c r="AJ2169" i="6"/>
  <c r="AH1699" i="6"/>
  <c r="AH1745" i="6"/>
  <c r="AH1791" i="6"/>
  <c r="AK374" i="6"/>
  <c r="AK420" i="6"/>
  <c r="AH336" i="6"/>
  <c r="AH382" i="6"/>
  <c r="AB1199" i="6"/>
  <c r="I1291" i="6"/>
  <c r="AI1245" i="6"/>
  <c r="Y1245" i="6"/>
  <c r="Q1245" i="6"/>
  <c r="AH1245" i="6"/>
  <c r="X1245" i="6"/>
  <c r="P1245" i="6"/>
  <c r="AG1245" i="6"/>
  <c r="W1245" i="6"/>
  <c r="AF1245" i="6"/>
  <c r="V1245" i="6"/>
  <c r="U1245" i="6"/>
  <c r="T1245" i="6"/>
  <c r="S1245" i="6"/>
  <c r="R1245" i="6"/>
  <c r="AK1245" i="6"/>
  <c r="Z1245" i="6"/>
  <c r="AJ1245" i="6"/>
  <c r="AA1245" i="6"/>
  <c r="AP1216" i="6"/>
  <c r="AH1216" i="6"/>
  <c r="X1216" i="6"/>
  <c r="P1216" i="6"/>
  <c r="AO1216" i="6"/>
  <c r="AG1216" i="6"/>
  <c r="W1216" i="6"/>
  <c r="AN1216" i="6"/>
  <c r="AF1216" i="6"/>
  <c r="V1216" i="6"/>
  <c r="AM1216" i="6"/>
  <c r="U1216" i="6"/>
  <c r="AQ1216" i="6"/>
  <c r="Y1216" i="6"/>
  <c r="I1262" i="6"/>
  <c r="AJ1216" i="6"/>
  <c r="R1216" i="6"/>
  <c r="AA1216" i="6"/>
  <c r="Z1216" i="6"/>
  <c r="T1216" i="6"/>
  <c r="S1216" i="6"/>
  <c r="AL1216" i="6"/>
  <c r="Q1216" i="6"/>
  <c r="AK1216" i="6"/>
  <c r="AI1216" i="6"/>
  <c r="AZ114" i="6"/>
  <c r="AJ114" i="6"/>
  <c r="AI1770" i="6"/>
  <c r="AI2113" i="6"/>
  <c r="AI2159" i="6"/>
  <c r="F1279" i="6"/>
  <c r="B1233" i="6"/>
  <c r="AB1161" i="6"/>
  <c r="F1000" i="6"/>
  <c r="B954" i="6"/>
  <c r="AI1093" i="6"/>
  <c r="AI1047" i="6"/>
  <c r="AI1139" i="6"/>
  <c r="J1215" i="6"/>
  <c r="AT1169" i="6"/>
  <c r="AR1186" i="6"/>
  <c r="AJ1672" i="6"/>
  <c r="AJ1718" i="6"/>
  <c r="J1212" i="6"/>
  <c r="AT1166" i="6"/>
  <c r="AI1688" i="6"/>
  <c r="AI1734" i="6"/>
  <c r="T542" i="6"/>
  <c r="X542" i="6"/>
  <c r="W542" i="6"/>
  <c r="Y542" i="6"/>
  <c r="S542" i="6"/>
  <c r="R542" i="6"/>
  <c r="B884" i="6"/>
  <c r="AB1626" i="6"/>
  <c r="AI1704" i="6"/>
  <c r="AI1750" i="6"/>
  <c r="J1217" i="6"/>
  <c r="AT1171" i="6"/>
  <c r="AY1921" i="6"/>
  <c r="AI1921" i="6"/>
  <c r="AR1197" i="6"/>
  <c r="AH1213" i="6"/>
  <c r="X1213" i="6"/>
  <c r="P1213" i="6"/>
  <c r="AF1213" i="6"/>
  <c r="V1213" i="6"/>
  <c r="U1213" i="6"/>
  <c r="I1259" i="6"/>
  <c r="Y1213" i="6"/>
  <c r="W1213" i="6"/>
  <c r="AJ1213" i="6"/>
  <c r="T1213" i="6"/>
  <c r="AI1213" i="6"/>
  <c r="S1213" i="6"/>
  <c r="AG1213" i="6"/>
  <c r="R1213" i="6"/>
  <c r="Z1213" i="6"/>
  <c r="AA1213" i="6"/>
  <c r="Q1213" i="6"/>
  <c r="B890" i="6"/>
  <c r="F936" i="6"/>
  <c r="F891" i="6"/>
  <c r="B845" i="6"/>
  <c r="F943" i="6"/>
  <c r="W519" i="6"/>
  <c r="AJ99" i="6"/>
  <c r="AZ99" i="6"/>
  <c r="AI1772" i="6"/>
  <c r="AJ2152" i="6"/>
  <c r="AJ2106" i="6"/>
  <c r="AR1179" i="6"/>
  <c r="AB333" i="6"/>
  <c r="AB785" i="6"/>
  <c r="AZ616" i="6"/>
  <c r="AJ616" i="6"/>
  <c r="AK428" i="6"/>
  <c r="AP2129" i="6"/>
  <c r="AP2083" i="6"/>
  <c r="AB1797" i="6"/>
  <c r="J1285" i="6"/>
  <c r="AT1239" i="6"/>
  <c r="F963" i="6"/>
  <c r="B917" i="6"/>
  <c r="Y861" i="6"/>
  <c r="Q861" i="6"/>
  <c r="X861" i="6"/>
  <c r="P861" i="6"/>
  <c r="I907" i="6"/>
  <c r="V861" i="6"/>
  <c r="U861" i="6"/>
  <c r="T861" i="6"/>
  <c r="AA861" i="6"/>
  <c r="Z861" i="6"/>
  <c r="W861" i="6"/>
  <c r="R861" i="6"/>
  <c r="S861" i="6"/>
  <c r="AB43" i="6"/>
  <c r="X39" i="6"/>
  <c r="Y39" i="6"/>
  <c r="W39" i="6"/>
  <c r="AL1922" i="6"/>
  <c r="BB1922" i="6"/>
  <c r="AJ129" i="6"/>
  <c r="AZ129" i="6"/>
  <c r="AB1657" i="6"/>
  <c r="AI1746" i="6"/>
  <c r="AI1700" i="6"/>
  <c r="AI1792" i="6"/>
  <c r="AP1898" i="6"/>
  <c r="BF1898" i="6"/>
  <c r="AQ1898" i="6" s="1"/>
  <c r="I891" i="6"/>
  <c r="V845" i="6"/>
  <c r="U845" i="6"/>
  <c r="X845" i="6"/>
  <c r="W845" i="6"/>
  <c r="T845" i="6"/>
  <c r="S845" i="6"/>
  <c r="R845" i="6"/>
  <c r="AA845" i="6"/>
  <c r="Q845" i="6"/>
  <c r="Y845" i="6"/>
  <c r="Z845" i="6"/>
  <c r="P845" i="6"/>
  <c r="AZ102" i="6"/>
  <c r="AJ102" i="6"/>
  <c r="F1248" i="6"/>
  <c r="B1202" i="6"/>
  <c r="AO1911" i="6"/>
  <c r="BE1911" i="6"/>
  <c r="Z835" i="6"/>
  <c r="R835" i="6"/>
  <c r="Y835" i="6"/>
  <c r="Q835" i="6"/>
  <c r="I881" i="6"/>
  <c r="T835" i="6"/>
  <c r="S835" i="6"/>
  <c r="P835" i="6"/>
  <c r="AA835" i="6"/>
  <c r="X835" i="6"/>
  <c r="W835" i="6"/>
  <c r="U835" i="6"/>
  <c r="V835" i="6"/>
  <c r="AH2093" i="6"/>
  <c r="AH2139" i="6"/>
  <c r="AB1192" i="6"/>
  <c r="AR1194" i="6"/>
  <c r="AB1637" i="6"/>
  <c r="AB1647" i="6"/>
  <c r="AZ126" i="6"/>
  <c r="AJ126" i="6"/>
  <c r="D876" i="6"/>
  <c r="J922" i="6"/>
  <c r="B922" i="6" s="1"/>
  <c r="D917" i="6"/>
  <c r="J963" i="6"/>
  <c r="AB801" i="6"/>
  <c r="AB465" i="6"/>
  <c r="AI1690" i="6"/>
  <c r="AI1736" i="6"/>
  <c r="AI1782" i="6"/>
  <c r="F996" i="6"/>
  <c r="B950" i="6"/>
  <c r="AB1186" i="6"/>
  <c r="AN2104" i="6"/>
  <c r="AN2150" i="6"/>
  <c r="T834" i="6"/>
  <c r="AA834" i="6"/>
  <c r="S834" i="6"/>
  <c r="X834" i="6"/>
  <c r="W834" i="6"/>
  <c r="V834" i="6"/>
  <c r="U834" i="6"/>
  <c r="R834" i="6"/>
  <c r="Q834" i="6"/>
  <c r="Y834" i="6"/>
  <c r="I880" i="6"/>
  <c r="P834" i="6"/>
  <c r="Z834" i="6"/>
  <c r="F903" i="6"/>
  <c r="B857" i="6"/>
  <c r="F1266" i="6"/>
  <c r="B1220" i="6"/>
  <c r="AI448" i="6"/>
  <c r="F972" i="6"/>
  <c r="AI345" i="6"/>
  <c r="AI391" i="6"/>
  <c r="AB1799" i="6"/>
  <c r="I912" i="6"/>
  <c r="W866" i="6"/>
  <c r="V866" i="6"/>
  <c r="T866" i="6"/>
  <c r="AA866" i="6"/>
  <c r="S866" i="6"/>
  <c r="Z866" i="6"/>
  <c r="R866" i="6"/>
  <c r="Y866" i="6"/>
  <c r="X866" i="6"/>
  <c r="U866" i="6"/>
  <c r="Q866" i="6"/>
  <c r="P866" i="6"/>
  <c r="AK381" i="6"/>
  <c r="AK335" i="6"/>
  <c r="AK427" i="6"/>
  <c r="B878" i="6"/>
  <c r="F924" i="6"/>
  <c r="BA138" i="6"/>
  <c r="AK138" i="6"/>
  <c r="AH2102" i="6"/>
  <c r="AH2148" i="6"/>
  <c r="AK1764" i="6"/>
  <c r="AR1764" i="6" s="1"/>
  <c r="AB1194" i="6"/>
  <c r="I1286" i="6"/>
  <c r="Y1240" i="6"/>
  <c r="Q1240" i="6"/>
  <c r="AH1240" i="6"/>
  <c r="X1240" i="6"/>
  <c r="P1240" i="6"/>
  <c r="AG1240" i="6"/>
  <c r="W1240" i="6"/>
  <c r="AF1240" i="6"/>
  <c r="V1240" i="6"/>
  <c r="U1240" i="6"/>
  <c r="T1240" i="6"/>
  <c r="R1240" i="6"/>
  <c r="S1240" i="6"/>
  <c r="AA1240" i="6"/>
  <c r="Z1240" i="6"/>
  <c r="AH1042" i="6"/>
  <c r="AH1088" i="6"/>
  <c r="AH1134" i="6"/>
  <c r="Y1835" i="6"/>
  <c r="AJ2156" i="6"/>
  <c r="AJ2110" i="6"/>
  <c r="AJ1463" i="6"/>
  <c r="AZ1463" i="6"/>
  <c r="Z843" i="6"/>
  <c r="R843" i="6"/>
  <c r="Y843" i="6"/>
  <c r="Q843" i="6"/>
  <c r="I889" i="6"/>
  <c r="V843" i="6"/>
  <c r="U843" i="6"/>
  <c r="T843" i="6"/>
  <c r="S843" i="6"/>
  <c r="P843" i="6"/>
  <c r="AA843" i="6"/>
  <c r="W843" i="6"/>
  <c r="X843" i="6"/>
  <c r="AB815" i="6"/>
  <c r="J1284" i="6"/>
  <c r="AT1238" i="6"/>
  <c r="AJ115" i="6"/>
  <c r="AZ115" i="6"/>
  <c r="AJ127" i="6"/>
  <c r="AZ127" i="6"/>
  <c r="J936" i="6"/>
  <c r="D890" i="6"/>
  <c r="AB1718" i="6"/>
  <c r="AT1243" i="6"/>
  <c r="J1289" i="6"/>
  <c r="AB1188" i="6"/>
  <c r="F1254" i="6"/>
  <c r="B1208" i="6"/>
  <c r="AB315" i="6"/>
  <c r="BB136" i="6"/>
  <c r="AL136" i="6"/>
  <c r="F879" i="6"/>
  <c r="B833" i="6"/>
  <c r="AZ608" i="6"/>
  <c r="AJ608" i="6"/>
  <c r="BG1898" i="6"/>
  <c r="AL1708" i="6"/>
  <c r="AL1754" i="6"/>
  <c r="AB786" i="6"/>
  <c r="AZ116" i="6"/>
  <c r="AJ116" i="6"/>
  <c r="F1268" i="6"/>
  <c r="AB816" i="6"/>
  <c r="D885" i="6"/>
  <c r="J931" i="6"/>
  <c r="AB438" i="6"/>
  <c r="AB1641" i="6"/>
  <c r="BC1918" i="6"/>
  <c r="AM1918" i="6"/>
  <c r="I883" i="6"/>
  <c r="V837" i="6"/>
  <c r="U837" i="6"/>
  <c r="T837" i="6"/>
  <c r="S837" i="6"/>
  <c r="R837" i="6"/>
  <c r="AA837" i="6"/>
  <c r="Q837" i="6"/>
  <c r="Z837" i="6"/>
  <c r="P837" i="6"/>
  <c r="Y837" i="6"/>
  <c r="W837" i="6"/>
  <c r="X837" i="6"/>
  <c r="AM336" i="6"/>
  <c r="AM382" i="6"/>
  <c r="X1835" i="6"/>
  <c r="J1288" i="6"/>
  <c r="AT1242" i="6"/>
  <c r="AH1705" i="6"/>
  <c r="AH1751" i="6"/>
  <c r="AB1627" i="6"/>
  <c r="AH1060" i="6"/>
  <c r="AH1106" i="6"/>
  <c r="AH1152" i="6"/>
  <c r="AI460" i="6"/>
  <c r="AI346" i="6"/>
  <c r="AI392" i="6"/>
  <c r="AB795" i="6"/>
  <c r="I887" i="6"/>
  <c r="V841" i="6"/>
  <c r="U841" i="6"/>
  <c r="W841" i="6"/>
  <c r="T841" i="6"/>
  <c r="S841" i="6"/>
  <c r="R841" i="6"/>
  <c r="AA841" i="6"/>
  <c r="Q841" i="6"/>
  <c r="Z841" i="6"/>
  <c r="P841" i="6"/>
  <c r="X841" i="6"/>
  <c r="Y841" i="6"/>
  <c r="I1248" i="6"/>
  <c r="AA1202" i="6"/>
  <c r="S1202" i="6"/>
  <c r="AJ1202" i="6"/>
  <c r="Z1202" i="6"/>
  <c r="R1202" i="6"/>
  <c r="AI1202" i="6"/>
  <c r="Y1202" i="6"/>
  <c r="Q1202" i="6"/>
  <c r="AH1202" i="6"/>
  <c r="X1202" i="6"/>
  <c r="P1202" i="6"/>
  <c r="AG1202" i="6"/>
  <c r="W1202" i="6"/>
  <c r="T1202" i="6"/>
  <c r="U1202" i="6"/>
  <c r="AF1202" i="6"/>
  <c r="V1202" i="6"/>
  <c r="AI613" i="6"/>
  <c r="AY613" i="6"/>
  <c r="AH1673" i="6"/>
  <c r="AH1719" i="6"/>
  <c r="AY1456" i="6"/>
  <c r="AI1456" i="6"/>
  <c r="R535" i="6"/>
  <c r="AY1919" i="6"/>
  <c r="AI1919" i="6"/>
  <c r="AK1803" i="6"/>
  <c r="AB461" i="6"/>
  <c r="AI1057" i="6"/>
  <c r="AI1103" i="6"/>
  <c r="AI1149" i="6"/>
  <c r="I1268" i="6"/>
  <c r="AI1222" i="6"/>
  <c r="Y1222" i="6"/>
  <c r="Q1222" i="6"/>
  <c r="AH1222" i="6"/>
  <c r="X1222" i="6"/>
  <c r="P1222" i="6"/>
  <c r="AG1222" i="6"/>
  <c r="W1222" i="6"/>
  <c r="AF1222" i="6"/>
  <c r="V1222" i="6"/>
  <c r="U1222" i="6"/>
  <c r="T1222" i="6"/>
  <c r="Z1222" i="6"/>
  <c r="AA1222" i="6"/>
  <c r="S1222" i="6"/>
  <c r="R1222" i="6"/>
  <c r="AB792" i="6"/>
  <c r="F1319" i="6"/>
  <c r="B1273" i="6"/>
  <c r="AR1168" i="6"/>
  <c r="AH1052" i="6"/>
  <c r="AH1098" i="6"/>
  <c r="AH1144" i="6"/>
  <c r="AK2099" i="6"/>
  <c r="AK2145" i="6"/>
  <c r="J1283" i="6"/>
  <c r="AT1237" i="6"/>
  <c r="AI635" i="6"/>
  <c r="AY635" i="6"/>
  <c r="AB445" i="6"/>
  <c r="AN2136" i="6"/>
  <c r="AN2090" i="6"/>
  <c r="AJ1896" i="6"/>
  <c r="AZ1896" i="6"/>
  <c r="B1179" i="6"/>
  <c r="AH1038" i="6"/>
  <c r="AH1084" i="6"/>
  <c r="AH1130" i="6"/>
  <c r="W41" i="6"/>
  <c r="Y41" i="6"/>
  <c r="X41" i="6"/>
  <c r="AI633" i="6"/>
  <c r="AY633" i="6"/>
  <c r="AO1672" i="6"/>
  <c r="AO1718" i="6"/>
  <c r="AB813" i="6"/>
  <c r="AB1645" i="6"/>
  <c r="AI621" i="6"/>
  <c r="AY621" i="6"/>
  <c r="AZ612" i="6"/>
  <c r="AJ612" i="6"/>
  <c r="AJ1219" i="6" s="1"/>
  <c r="I1313" i="6"/>
  <c r="AA1267" i="6"/>
  <c r="S1267" i="6"/>
  <c r="AG1267" i="6"/>
  <c r="V1267" i="6"/>
  <c r="AF1267" i="6"/>
  <c r="U1267" i="6"/>
  <c r="T1267" i="6"/>
  <c r="R1267" i="6"/>
  <c r="Z1267" i="6"/>
  <c r="Q1267" i="6"/>
  <c r="AJ1267" i="6"/>
  <c r="Y1267" i="6"/>
  <c r="P1267" i="6"/>
  <c r="AI1267" i="6"/>
  <c r="AH1267" i="6"/>
  <c r="W1267" i="6"/>
  <c r="X1267" i="6"/>
  <c r="AL1926" i="6"/>
  <c r="BB1926" i="6"/>
  <c r="AI1099" i="6"/>
  <c r="AI1053" i="6"/>
  <c r="AI1145" i="6"/>
  <c r="AI1230" i="6"/>
  <c r="Y1230" i="6"/>
  <c r="Q1230" i="6"/>
  <c r="AH1230" i="6"/>
  <c r="X1230" i="6"/>
  <c r="P1230" i="6"/>
  <c r="AG1230" i="6"/>
  <c r="W1230" i="6"/>
  <c r="I1276" i="6"/>
  <c r="AF1230" i="6"/>
  <c r="V1230" i="6"/>
  <c r="U1230" i="6"/>
  <c r="T1230" i="6"/>
  <c r="AA1230" i="6"/>
  <c r="Z1230" i="6"/>
  <c r="R1230" i="6"/>
  <c r="S1230" i="6"/>
  <c r="AI353" i="6"/>
  <c r="AI399" i="6"/>
  <c r="AB1155" i="6"/>
  <c r="AR1155" i="6"/>
  <c r="D859" i="6"/>
  <c r="J905" i="6"/>
  <c r="T846" i="6"/>
  <c r="AA846" i="6"/>
  <c r="S846" i="6"/>
  <c r="Q846" i="6"/>
  <c r="Z846" i="6"/>
  <c r="P846" i="6"/>
  <c r="Y846" i="6"/>
  <c r="X846" i="6"/>
  <c r="W846" i="6"/>
  <c r="V846" i="6"/>
  <c r="I892" i="6"/>
  <c r="R846" i="6"/>
  <c r="U846" i="6"/>
  <c r="B855" i="6"/>
  <c r="AZ624" i="6"/>
  <c r="AJ624" i="6"/>
  <c r="AJ1231" i="6" s="1"/>
  <c r="AK599" i="6"/>
  <c r="AK1202" i="6" s="1"/>
  <c r="BA599" i="6"/>
  <c r="F883" i="6"/>
  <c r="B837" i="6"/>
  <c r="J933" i="6"/>
  <c r="D887" i="6"/>
  <c r="B1159" i="6"/>
  <c r="I879" i="6"/>
  <c r="V833" i="6"/>
  <c r="U833" i="6"/>
  <c r="S833" i="6"/>
  <c r="R833" i="6"/>
  <c r="AA833" i="6"/>
  <c r="Q833" i="6"/>
  <c r="Z833" i="6"/>
  <c r="P833" i="6"/>
  <c r="Y833" i="6"/>
  <c r="X833" i="6"/>
  <c r="T833" i="6"/>
  <c r="W833" i="6"/>
  <c r="T546" i="6"/>
  <c r="X546" i="6"/>
  <c r="W546" i="6"/>
  <c r="Y546" i="6"/>
  <c r="R546" i="6"/>
  <c r="S546" i="6"/>
  <c r="B930" i="6"/>
  <c r="F976" i="6"/>
  <c r="AI1762" i="6"/>
  <c r="AB426" i="6"/>
  <c r="AB1196" i="6"/>
  <c r="I1288" i="6"/>
  <c r="AI1242" i="6"/>
  <c r="Y1242" i="6"/>
  <c r="Q1242" i="6"/>
  <c r="AH1242" i="6"/>
  <c r="X1242" i="6"/>
  <c r="P1242" i="6"/>
  <c r="AG1242" i="6"/>
  <c r="W1242" i="6"/>
  <c r="AF1242" i="6"/>
  <c r="V1242" i="6"/>
  <c r="U1242" i="6"/>
  <c r="T1242" i="6"/>
  <c r="Z1242" i="6"/>
  <c r="S1242" i="6"/>
  <c r="AA1242" i="6"/>
  <c r="R1242" i="6"/>
  <c r="D916" i="6"/>
  <c r="J962" i="6"/>
  <c r="B962" i="6" s="1"/>
  <c r="AH2114" i="6"/>
  <c r="AH2160" i="6"/>
  <c r="B916" i="6"/>
  <c r="AI1069" i="6"/>
  <c r="AI1023" i="6"/>
  <c r="AI1115" i="6"/>
  <c r="BA94" i="6"/>
  <c r="AK94" i="6"/>
  <c r="AR1198" i="6"/>
  <c r="J1206" i="6"/>
  <c r="AT1160" i="6"/>
  <c r="B1230" i="6"/>
  <c r="F1276" i="6"/>
  <c r="Y519" i="6"/>
  <c r="AI338" i="6"/>
  <c r="AI384" i="6"/>
  <c r="AI1225" i="6"/>
  <c r="Y1225" i="6"/>
  <c r="Q1225" i="6"/>
  <c r="I1271" i="6"/>
  <c r="AH1225" i="6"/>
  <c r="X1225" i="6"/>
  <c r="P1225" i="6"/>
  <c r="AG1225" i="6"/>
  <c r="W1225" i="6"/>
  <c r="AF1225" i="6"/>
  <c r="V1225" i="6"/>
  <c r="U1225" i="6"/>
  <c r="T1225" i="6"/>
  <c r="S1225" i="6"/>
  <c r="AA1225" i="6"/>
  <c r="Z1225" i="6"/>
  <c r="R1225" i="6"/>
  <c r="AJ1225" i="6"/>
  <c r="AR1162" i="6"/>
  <c r="AH333" i="6"/>
  <c r="AH379" i="6"/>
  <c r="AB428" i="6"/>
  <c r="AO428" i="6"/>
  <c r="AY95" i="6"/>
  <c r="AI95" i="6"/>
  <c r="AB1617" i="6"/>
  <c r="P328" i="6"/>
  <c r="F31" i="10" l="1"/>
  <c r="R30" i="10"/>
  <c r="R31" i="10" s="1"/>
  <c r="R34" i="10"/>
  <c r="R35" i="10" s="1"/>
  <c r="R38" i="10"/>
  <c r="F1325" i="6"/>
  <c r="B1279" i="6"/>
  <c r="D897" i="6"/>
  <c r="J943" i="6"/>
  <c r="D945" i="6"/>
  <c r="J991" i="6"/>
  <c r="D991" i="6" s="1"/>
  <c r="F1313" i="6"/>
  <c r="AI1086" i="6"/>
  <c r="AI1040" i="6"/>
  <c r="AI1132" i="6"/>
  <c r="F1311" i="6"/>
  <c r="AJ1438" i="6"/>
  <c r="AZ1438" i="6"/>
  <c r="W547" i="6"/>
  <c r="AJ1462" i="6"/>
  <c r="AZ1462" i="6"/>
  <c r="J1251" i="6"/>
  <c r="AT1205" i="6"/>
  <c r="AK106" i="6"/>
  <c r="BA106" i="6"/>
  <c r="J1269" i="6"/>
  <c r="AT1223" i="6"/>
  <c r="AG1313" i="6"/>
  <c r="W1313" i="6"/>
  <c r="AF1313" i="6"/>
  <c r="V1313" i="6"/>
  <c r="U1313" i="6"/>
  <c r="T1313" i="6"/>
  <c r="AA1313" i="6"/>
  <c r="S1313" i="6"/>
  <c r="AJ1313" i="6"/>
  <c r="Z1313" i="6"/>
  <c r="R1313" i="6"/>
  <c r="AI1313" i="6"/>
  <c r="Y1313" i="6"/>
  <c r="Q1313" i="6"/>
  <c r="AH1313" i="6"/>
  <c r="X1313" i="6"/>
  <c r="P1313" i="6"/>
  <c r="AJ2113" i="6"/>
  <c r="AJ2159" i="6"/>
  <c r="AL1930" i="6"/>
  <c r="BB1930" i="6"/>
  <c r="AI1697" i="6"/>
  <c r="AI1743" i="6"/>
  <c r="AI1789" i="6"/>
  <c r="AB1228" i="6"/>
  <c r="AB1205" i="6"/>
  <c r="AJ2095" i="6"/>
  <c r="AJ2141" i="6"/>
  <c r="AK1435" i="6"/>
  <c r="BA1435" i="6"/>
  <c r="AK333" i="6"/>
  <c r="AK379" i="6"/>
  <c r="AK425" i="6"/>
  <c r="AB833" i="6"/>
  <c r="Z879" i="6"/>
  <c r="R879" i="6"/>
  <c r="I925" i="6"/>
  <c r="Y879" i="6"/>
  <c r="Q879" i="6"/>
  <c r="X879" i="6"/>
  <c r="P879" i="6"/>
  <c r="AB879" i="6" s="1"/>
  <c r="W879" i="6"/>
  <c r="V879" i="6"/>
  <c r="U879" i="6"/>
  <c r="AA879" i="6"/>
  <c r="T879" i="6"/>
  <c r="S879" i="6"/>
  <c r="AL599" i="6"/>
  <c r="BB599" i="6"/>
  <c r="BC1926" i="6"/>
  <c r="AM1926" i="6"/>
  <c r="AI1044" i="6"/>
  <c r="AI1090" i="6"/>
  <c r="AI1136" i="6"/>
  <c r="AI1102" i="6"/>
  <c r="AI1056" i="6"/>
  <c r="AI1148" i="6"/>
  <c r="AB1222" i="6"/>
  <c r="I1314" i="6"/>
  <c r="AA1268" i="6"/>
  <c r="S1268" i="6"/>
  <c r="R1268" i="6"/>
  <c r="Z1268" i="6"/>
  <c r="Q1268" i="6"/>
  <c r="Y1268" i="6"/>
  <c r="P1268" i="6"/>
  <c r="AB1268" i="6" s="1"/>
  <c r="AI1268" i="6"/>
  <c r="X1268" i="6"/>
  <c r="AH1268" i="6"/>
  <c r="W1268" i="6"/>
  <c r="AG1268" i="6"/>
  <c r="V1268" i="6"/>
  <c r="AF1268" i="6"/>
  <c r="U1268" i="6"/>
  <c r="T1268" i="6"/>
  <c r="AI2112" i="6"/>
  <c r="AI2158" i="6"/>
  <c r="AN1918" i="6"/>
  <c r="BD1918" i="6"/>
  <c r="I935" i="6"/>
  <c r="V889" i="6"/>
  <c r="U889" i="6"/>
  <c r="T889" i="6"/>
  <c r="AA889" i="6"/>
  <c r="S889" i="6"/>
  <c r="Z889" i="6"/>
  <c r="R889" i="6"/>
  <c r="Y889" i="6"/>
  <c r="Q889" i="6"/>
  <c r="X889" i="6"/>
  <c r="W889" i="6"/>
  <c r="P889" i="6"/>
  <c r="AB889" i="6" s="1"/>
  <c r="F970" i="6"/>
  <c r="B924" i="6"/>
  <c r="AB834" i="6"/>
  <c r="J1009" i="6"/>
  <c r="D1009" i="6" s="1"/>
  <c r="D963" i="6"/>
  <c r="Z891" i="6"/>
  <c r="R891" i="6"/>
  <c r="Y891" i="6"/>
  <c r="Q891" i="6"/>
  <c r="X891" i="6"/>
  <c r="P891" i="6"/>
  <c r="W891" i="6"/>
  <c r="V891" i="6"/>
  <c r="I937" i="6"/>
  <c r="U891" i="6"/>
  <c r="AA891" i="6"/>
  <c r="T891" i="6"/>
  <c r="S891" i="6"/>
  <c r="AJ368" i="6"/>
  <c r="AJ414" i="6"/>
  <c r="AJ460" i="6"/>
  <c r="T907" i="6"/>
  <c r="U907" i="6"/>
  <c r="S907" i="6"/>
  <c r="AA907" i="6"/>
  <c r="R907" i="6"/>
  <c r="Z907" i="6"/>
  <c r="Q907" i="6"/>
  <c r="Y907" i="6"/>
  <c r="P907" i="6"/>
  <c r="I953" i="6"/>
  <c r="X907" i="6"/>
  <c r="W907" i="6"/>
  <c r="V907" i="6"/>
  <c r="J1331" i="6"/>
  <c r="AT1331" i="6" s="1"/>
  <c r="AT1285" i="6"/>
  <c r="AJ1039" i="6"/>
  <c r="AJ1085" i="6"/>
  <c r="AJ1131" i="6"/>
  <c r="AK99" i="6"/>
  <c r="BA99" i="6"/>
  <c r="J1263" i="6"/>
  <c r="AT1217" i="6"/>
  <c r="J1258" i="6"/>
  <c r="AT1212" i="6"/>
  <c r="AK114" i="6"/>
  <c r="BA114" i="6"/>
  <c r="AO2090" i="6"/>
  <c r="AO2136" i="6"/>
  <c r="I1311" i="6"/>
  <c r="AG1265" i="6"/>
  <c r="W1265" i="6"/>
  <c r="AF1265" i="6"/>
  <c r="V1265" i="6"/>
  <c r="U1265" i="6"/>
  <c r="T1265" i="6"/>
  <c r="AA1265" i="6"/>
  <c r="S1265" i="6"/>
  <c r="AJ1265" i="6"/>
  <c r="Z1265" i="6"/>
  <c r="R1265" i="6"/>
  <c r="AI1265" i="6"/>
  <c r="AH1265" i="6"/>
  <c r="X1265" i="6"/>
  <c r="Q1265" i="6"/>
  <c r="P1265" i="6"/>
  <c r="Y1265" i="6"/>
  <c r="AI1060" i="6"/>
  <c r="AI1106" i="6"/>
  <c r="AI1152" i="6"/>
  <c r="AG1318" i="6"/>
  <c r="W1318" i="6"/>
  <c r="AH1318" i="6"/>
  <c r="V1318" i="6"/>
  <c r="AF1318" i="6"/>
  <c r="U1318" i="6"/>
  <c r="T1318" i="6"/>
  <c r="S1318" i="6"/>
  <c r="AA1318" i="6"/>
  <c r="R1318" i="6"/>
  <c r="Z1318" i="6"/>
  <c r="Q1318" i="6"/>
  <c r="Y1318" i="6"/>
  <c r="P1318" i="6"/>
  <c r="AI1318" i="6"/>
  <c r="X1318" i="6"/>
  <c r="AJ617" i="6"/>
  <c r="AZ617" i="6"/>
  <c r="J974" i="6"/>
  <c r="D974" i="6" s="1"/>
  <c r="D928" i="6"/>
  <c r="B907" i="6"/>
  <c r="F953" i="6"/>
  <c r="F1332" i="6"/>
  <c r="B1286" i="6"/>
  <c r="X900" i="6"/>
  <c r="P900" i="6"/>
  <c r="AB900" i="6" s="1"/>
  <c r="W900" i="6"/>
  <c r="V900" i="6"/>
  <c r="U900" i="6"/>
  <c r="T900" i="6"/>
  <c r="I946" i="6"/>
  <c r="AA900" i="6"/>
  <c r="S900" i="6"/>
  <c r="Z900" i="6"/>
  <c r="Y900" i="6"/>
  <c r="R900" i="6"/>
  <c r="Q900" i="6"/>
  <c r="J1265" i="6"/>
  <c r="B1265" i="6" s="1"/>
  <c r="AT1219" i="6"/>
  <c r="BB1913" i="6"/>
  <c r="AL1913" i="6"/>
  <c r="AK606" i="6"/>
  <c r="BA606" i="6"/>
  <c r="F1295" i="6"/>
  <c r="J980" i="6"/>
  <c r="D980" i="6" s="1"/>
  <c r="D934" i="6"/>
  <c r="AB1224" i="6"/>
  <c r="F1307" i="6"/>
  <c r="AI1677" i="6"/>
  <c r="AI1723" i="6"/>
  <c r="AI1769" i="6"/>
  <c r="AI1681" i="6"/>
  <c r="AI1727" i="6"/>
  <c r="AI1773" i="6"/>
  <c r="I1301" i="6"/>
  <c r="AG1255" i="6"/>
  <c r="W1255" i="6"/>
  <c r="AF1255" i="6"/>
  <c r="V1255" i="6"/>
  <c r="U1255" i="6"/>
  <c r="T1255" i="6"/>
  <c r="AK1255" i="6"/>
  <c r="AA1255" i="6"/>
  <c r="S1255" i="6"/>
  <c r="AJ1255" i="6"/>
  <c r="Z1255" i="6"/>
  <c r="R1255" i="6"/>
  <c r="Y1255" i="6"/>
  <c r="X1255" i="6"/>
  <c r="P1255" i="6"/>
  <c r="AH1255" i="6"/>
  <c r="AI1255" i="6"/>
  <c r="Q1255" i="6"/>
  <c r="AK1020" i="6"/>
  <c r="AK1066" i="6"/>
  <c r="AK1112" i="6"/>
  <c r="AK626" i="6"/>
  <c r="BA626" i="6"/>
  <c r="J1002" i="6"/>
  <c r="D1002" i="6" s="1"/>
  <c r="D956" i="6"/>
  <c r="D921" i="6"/>
  <c r="J967" i="6"/>
  <c r="D967" i="6" s="1"/>
  <c r="AJ1732" i="6"/>
  <c r="AJ1686" i="6"/>
  <c r="AJ1778" i="6"/>
  <c r="AK1457" i="6"/>
  <c r="BA1457" i="6"/>
  <c r="I959" i="6"/>
  <c r="X913" i="6"/>
  <c r="P913" i="6"/>
  <c r="T913" i="6"/>
  <c r="S913" i="6"/>
  <c r="AA913" i="6"/>
  <c r="R913" i="6"/>
  <c r="Z913" i="6"/>
  <c r="Q913" i="6"/>
  <c r="Y913" i="6"/>
  <c r="W913" i="6"/>
  <c r="V913" i="6"/>
  <c r="U913" i="6"/>
  <c r="AI1244" i="6"/>
  <c r="AB868" i="6"/>
  <c r="AJ605" i="6"/>
  <c r="AZ605" i="6"/>
  <c r="Y547" i="6"/>
  <c r="AB1232" i="6"/>
  <c r="AI1278" i="6"/>
  <c r="Y1278" i="6"/>
  <c r="Q1278" i="6"/>
  <c r="AH1278" i="6"/>
  <c r="X1278" i="6"/>
  <c r="P1278" i="6"/>
  <c r="AG1278" i="6"/>
  <c r="W1278" i="6"/>
  <c r="I1324" i="6"/>
  <c r="AA1278" i="6"/>
  <c r="S1278" i="6"/>
  <c r="R1278" i="6"/>
  <c r="AF1278" i="6"/>
  <c r="Z1278" i="6"/>
  <c r="V1278" i="6"/>
  <c r="U1278" i="6"/>
  <c r="T1278" i="6"/>
  <c r="F1315" i="6"/>
  <c r="B1269" i="6"/>
  <c r="BD1916" i="6"/>
  <c r="AN1916" i="6"/>
  <c r="AK1061" i="6"/>
  <c r="AK1107" i="6"/>
  <c r="AK1153" i="6"/>
  <c r="AB849" i="6"/>
  <c r="AI1701" i="6"/>
  <c r="AI1747" i="6"/>
  <c r="AI1793" i="6"/>
  <c r="F1330" i="6"/>
  <c r="B1284" i="6"/>
  <c r="I1310" i="6"/>
  <c r="AO1264" i="6"/>
  <c r="AG1264" i="6"/>
  <c r="W1264" i="6"/>
  <c r="AN1264" i="6"/>
  <c r="AF1264" i="6"/>
  <c r="V1264" i="6"/>
  <c r="AM1264" i="6"/>
  <c r="U1264" i="6"/>
  <c r="AL1264" i="6"/>
  <c r="T1264" i="6"/>
  <c r="AK1264" i="6"/>
  <c r="AA1264" i="6"/>
  <c r="S1264" i="6"/>
  <c r="AJ1264" i="6"/>
  <c r="Z1264" i="6"/>
  <c r="R1264" i="6"/>
  <c r="P1264" i="6"/>
  <c r="AB1264" i="6" s="1"/>
  <c r="AQ1264" i="6"/>
  <c r="AI1264" i="6"/>
  <c r="AH1264" i="6"/>
  <c r="Y1264" i="6"/>
  <c r="Q1264" i="6"/>
  <c r="AP1264" i="6"/>
  <c r="X1264" i="6"/>
  <c r="AT1250" i="6"/>
  <c r="J1296" i="6"/>
  <c r="AT1296" i="6" s="1"/>
  <c r="BA132" i="6"/>
  <c r="AK132" i="6"/>
  <c r="AI1228" i="6"/>
  <c r="V906" i="6"/>
  <c r="S906" i="6"/>
  <c r="AA906" i="6"/>
  <c r="R906" i="6"/>
  <c r="Z906" i="6"/>
  <c r="Q906" i="6"/>
  <c r="Y906" i="6"/>
  <c r="P906" i="6"/>
  <c r="I952" i="6"/>
  <c r="X906" i="6"/>
  <c r="W906" i="6"/>
  <c r="U906" i="6"/>
  <c r="T906" i="6"/>
  <c r="AB1243" i="6"/>
  <c r="I1335" i="6"/>
  <c r="AI1289" i="6"/>
  <c r="Y1289" i="6"/>
  <c r="Q1289" i="6"/>
  <c r="AH1289" i="6"/>
  <c r="X1289" i="6"/>
  <c r="P1289" i="6"/>
  <c r="AG1289" i="6"/>
  <c r="W1289" i="6"/>
  <c r="U1289" i="6"/>
  <c r="AK1289" i="6"/>
  <c r="AA1289" i="6"/>
  <c r="S1289" i="6"/>
  <c r="Z1289" i="6"/>
  <c r="V1289" i="6"/>
  <c r="T1289" i="6"/>
  <c r="R1289" i="6"/>
  <c r="AJ1289" i="6"/>
  <c r="AF1289" i="6"/>
  <c r="F973" i="6"/>
  <c r="B927" i="6"/>
  <c r="J1332" i="6"/>
  <c r="AT1332" i="6" s="1"/>
  <c r="AT1286" i="6"/>
  <c r="F1316" i="6"/>
  <c r="F1296" i="6"/>
  <c r="B1296" i="6" s="1"/>
  <c r="B1250" i="6"/>
  <c r="AJ351" i="6"/>
  <c r="AJ397" i="6"/>
  <c r="AJ443" i="6"/>
  <c r="BE1468" i="6"/>
  <c r="AO1468" i="6"/>
  <c r="AJ2117" i="6"/>
  <c r="AJ2163" i="6"/>
  <c r="Z903" i="6"/>
  <c r="R903" i="6"/>
  <c r="I949" i="6"/>
  <c r="Y903" i="6"/>
  <c r="Q903" i="6"/>
  <c r="X903" i="6"/>
  <c r="P903" i="6"/>
  <c r="W903" i="6"/>
  <c r="V903" i="6"/>
  <c r="U903" i="6"/>
  <c r="AA903" i="6"/>
  <c r="T903" i="6"/>
  <c r="S903" i="6"/>
  <c r="AJ345" i="6"/>
  <c r="AJ391" i="6"/>
  <c r="AJ437" i="6"/>
  <c r="T911" i="6"/>
  <c r="Z911" i="6"/>
  <c r="Q911" i="6"/>
  <c r="I957" i="6"/>
  <c r="Y911" i="6"/>
  <c r="P911" i="6"/>
  <c r="X911" i="6"/>
  <c r="W911" i="6"/>
  <c r="V911" i="6"/>
  <c r="U911" i="6"/>
  <c r="S911" i="6"/>
  <c r="R911" i="6"/>
  <c r="AA911" i="6"/>
  <c r="D901" i="6"/>
  <c r="J947" i="6"/>
  <c r="B947" i="6" s="1"/>
  <c r="J1010" i="6"/>
  <c r="D1010" i="6" s="1"/>
  <c r="D964" i="6"/>
  <c r="AK109" i="6"/>
  <c r="BA109" i="6"/>
  <c r="AJ1929" i="6"/>
  <c r="AZ1929" i="6"/>
  <c r="AK104" i="6"/>
  <c r="BA104" i="6"/>
  <c r="T882" i="6"/>
  <c r="AA882" i="6"/>
  <c r="S882" i="6"/>
  <c r="Z882" i="6"/>
  <c r="R882" i="6"/>
  <c r="Y882" i="6"/>
  <c r="Q882" i="6"/>
  <c r="I928" i="6"/>
  <c r="X882" i="6"/>
  <c r="P882" i="6"/>
  <c r="W882" i="6"/>
  <c r="V882" i="6"/>
  <c r="U882" i="6"/>
  <c r="AB869" i="6"/>
  <c r="AB840" i="6"/>
  <c r="AL2099" i="6"/>
  <c r="AL2145" i="6"/>
  <c r="AB1214" i="6"/>
  <c r="AK111" i="6"/>
  <c r="BA111" i="6"/>
  <c r="B964" i="6"/>
  <c r="F1010" i="6"/>
  <c r="B1010" i="6" s="1"/>
  <c r="F1303" i="6"/>
  <c r="B1257" i="6"/>
  <c r="AB1282" i="6"/>
  <c r="AA1328" i="6"/>
  <c r="S1328" i="6"/>
  <c r="Z1328" i="6"/>
  <c r="R1328" i="6"/>
  <c r="AI1328" i="6"/>
  <c r="Y1328" i="6"/>
  <c r="AG1328" i="6"/>
  <c r="W1328" i="6"/>
  <c r="V1328" i="6"/>
  <c r="U1328" i="6"/>
  <c r="T1328" i="6"/>
  <c r="AH1328" i="6"/>
  <c r="Q1328" i="6"/>
  <c r="AF1328" i="6"/>
  <c r="P1328" i="6"/>
  <c r="AB1328" i="6" s="1"/>
  <c r="X1328" i="6"/>
  <c r="AB1238" i="6"/>
  <c r="I1330" i="6"/>
  <c r="AI1284" i="6"/>
  <c r="Y1284" i="6"/>
  <c r="Q1284" i="6"/>
  <c r="AH1284" i="6"/>
  <c r="X1284" i="6"/>
  <c r="P1284" i="6"/>
  <c r="AG1284" i="6"/>
  <c r="W1284" i="6"/>
  <c r="AA1284" i="6"/>
  <c r="S1284" i="6"/>
  <c r="R1284" i="6"/>
  <c r="AF1284" i="6"/>
  <c r="Z1284" i="6"/>
  <c r="V1284" i="6"/>
  <c r="U1284" i="6"/>
  <c r="T1284" i="6"/>
  <c r="AK2088" i="6"/>
  <c r="AK2134" i="6"/>
  <c r="AJ2081" i="6"/>
  <c r="AJ2127" i="6"/>
  <c r="AI1693" i="6"/>
  <c r="AI1739" i="6"/>
  <c r="AI1785" i="6"/>
  <c r="AK1437" i="6"/>
  <c r="BA1437" i="6"/>
  <c r="V910" i="6"/>
  <c r="I956" i="6"/>
  <c r="Y910" i="6"/>
  <c r="P910" i="6"/>
  <c r="X910" i="6"/>
  <c r="W910" i="6"/>
  <c r="U910" i="6"/>
  <c r="T910" i="6"/>
  <c r="S910" i="6"/>
  <c r="Q910" i="6"/>
  <c r="AA910" i="6"/>
  <c r="R910" i="6"/>
  <c r="Z910" i="6"/>
  <c r="F1337" i="6"/>
  <c r="B1291" i="6"/>
  <c r="AB1234" i="6"/>
  <c r="AI1280" i="6"/>
  <c r="Y1280" i="6"/>
  <c r="Q1280" i="6"/>
  <c r="AH1280" i="6"/>
  <c r="X1280" i="6"/>
  <c r="P1280" i="6"/>
  <c r="I1326" i="6"/>
  <c r="AG1280" i="6"/>
  <c r="W1280" i="6"/>
  <c r="AA1280" i="6"/>
  <c r="S1280" i="6"/>
  <c r="R1280" i="6"/>
  <c r="AF1280" i="6"/>
  <c r="Z1280" i="6"/>
  <c r="V1280" i="6"/>
  <c r="U1280" i="6"/>
  <c r="T1280" i="6"/>
  <c r="Z887" i="6"/>
  <c r="R887" i="6"/>
  <c r="I933" i="6"/>
  <c r="Y887" i="6"/>
  <c r="Q887" i="6"/>
  <c r="X887" i="6"/>
  <c r="P887" i="6"/>
  <c r="AB887" i="6" s="1"/>
  <c r="W887" i="6"/>
  <c r="V887" i="6"/>
  <c r="U887" i="6"/>
  <c r="T887" i="6"/>
  <c r="S887" i="6"/>
  <c r="AA887" i="6"/>
  <c r="AL375" i="6"/>
  <c r="AL421" i="6"/>
  <c r="AL467" i="6"/>
  <c r="J1335" i="6"/>
  <c r="AT1335" i="6" s="1"/>
  <c r="AT1289" i="6"/>
  <c r="AK115" i="6"/>
  <c r="BA115" i="6"/>
  <c r="AB861" i="6"/>
  <c r="AK616" i="6"/>
  <c r="BA616" i="6"/>
  <c r="AJ338" i="6"/>
  <c r="AJ384" i="6"/>
  <c r="AJ430" i="6"/>
  <c r="I1305" i="6"/>
  <c r="AG1259" i="6"/>
  <c r="W1259" i="6"/>
  <c r="AF1259" i="6"/>
  <c r="V1259" i="6"/>
  <c r="U1259" i="6"/>
  <c r="T1259" i="6"/>
  <c r="AK1259" i="6"/>
  <c r="AA1259" i="6"/>
  <c r="S1259" i="6"/>
  <c r="AJ1259" i="6"/>
  <c r="Z1259" i="6"/>
  <c r="R1259" i="6"/>
  <c r="AH1259" i="6"/>
  <c r="Y1259" i="6"/>
  <c r="X1259" i="6"/>
  <c r="P1259" i="6"/>
  <c r="AI1259" i="6"/>
  <c r="Q1259" i="6"/>
  <c r="AJ1442" i="6"/>
  <c r="AZ1442" i="6"/>
  <c r="AL1928" i="6"/>
  <c r="BB1928" i="6"/>
  <c r="J972" i="6"/>
  <c r="D972" i="6" s="1"/>
  <c r="D926" i="6"/>
  <c r="AJ611" i="6"/>
  <c r="AZ611" i="6"/>
  <c r="AK1924" i="6"/>
  <c r="BA1924" i="6"/>
  <c r="J1247" i="6"/>
  <c r="B1247" i="6" s="1"/>
  <c r="AT1201" i="6"/>
  <c r="I923" i="6"/>
  <c r="V877" i="6"/>
  <c r="U877" i="6"/>
  <c r="T877" i="6"/>
  <c r="AA877" i="6"/>
  <c r="S877" i="6"/>
  <c r="Z877" i="6"/>
  <c r="R877" i="6"/>
  <c r="Y877" i="6"/>
  <c r="Q877" i="6"/>
  <c r="W877" i="6"/>
  <c r="P877" i="6"/>
  <c r="X877" i="6"/>
  <c r="AI1082" i="6"/>
  <c r="AI1036" i="6"/>
  <c r="AI1128" i="6"/>
  <c r="AM136" i="6"/>
  <c r="BC136" i="6"/>
  <c r="AJ354" i="6"/>
  <c r="AJ400" i="6"/>
  <c r="AJ446" i="6"/>
  <c r="D948" i="6"/>
  <c r="J994" i="6"/>
  <c r="D994" i="6" s="1"/>
  <c r="Z916" i="6"/>
  <c r="R916" i="6"/>
  <c r="X916" i="6"/>
  <c r="W916" i="6"/>
  <c r="V916" i="6"/>
  <c r="U916" i="6"/>
  <c r="T916" i="6"/>
  <c r="I962" i="6"/>
  <c r="S916" i="6"/>
  <c r="Y916" i="6"/>
  <c r="Q916" i="6"/>
  <c r="P916" i="6"/>
  <c r="AA916" i="6"/>
  <c r="V914" i="6"/>
  <c r="U914" i="6"/>
  <c r="T914" i="6"/>
  <c r="S914" i="6"/>
  <c r="AA914" i="6"/>
  <c r="R914" i="6"/>
  <c r="I960" i="6"/>
  <c r="Z914" i="6"/>
  <c r="Q914" i="6"/>
  <c r="Y914" i="6"/>
  <c r="P914" i="6"/>
  <c r="X914" i="6"/>
  <c r="W914" i="6"/>
  <c r="T547" i="6"/>
  <c r="AK1443" i="6"/>
  <c r="BA1443" i="6"/>
  <c r="AK604" i="6"/>
  <c r="BA604" i="6"/>
  <c r="AK634" i="6"/>
  <c r="BA634" i="6"/>
  <c r="AB1212" i="6"/>
  <c r="AJ1680" i="6"/>
  <c r="AJ1726" i="6"/>
  <c r="AJ1772" i="6"/>
  <c r="AK121" i="6"/>
  <c r="BA121" i="6"/>
  <c r="AI334" i="6"/>
  <c r="AI380" i="6"/>
  <c r="AI426" i="6"/>
  <c r="AB1225" i="6"/>
  <c r="D933" i="6"/>
  <c r="J979" i="6"/>
  <c r="D979" i="6" s="1"/>
  <c r="AK624" i="6"/>
  <c r="BA624" i="6"/>
  <c r="AJ635" i="6"/>
  <c r="AZ635" i="6"/>
  <c r="B1319" i="6"/>
  <c r="AJ355" i="6"/>
  <c r="AJ401" i="6"/>
  <c r="AJ447" i="6"/>
  <c r="AB843" i="6"/>
  <c r="AB835" i="6"/>
  <c r="AK102" i="6"/>
  <c r="BA102" i="6"/>
  <c r="F989" i="6"/>
  <c r="B943" i="6"/>
  <c r="I1308" i="6"/>
  <c r="AO1262" i="6"/>
  <c r="AG1262" i="6"/>
  <c r="W1262" i="6"/>
  <c r="AN1262" i="6"/>
  <c r="AF1262" i="6"/>
  <c r="V1262" i="6"/>
  <c r="AM1262" i="6"/>
  <c r="U1262" i="6"/>
  <c r="AL1262" i="6"/>
  <c r="T1262" i="6"/>
  <c r="AK1262" i="6"/>
  <c r="AA1262" i="6"/>
  <c r="S1262" i="6"/>
  <c r="AJ1262" i="6"/>
  <c r="Z1262" i="6"/>
  <c r="R1262" i="6"/>
  <c r="AP1262" i="6"/>
  <c r="AI1262" i="6"/>
  <c r="Y1262" i="6"/>
  <c r="X1262" i="6"/>
  <c r="Q1262" i="6"/>
  <c r="AQ1262" i="6"/>
  <c r="P1262" i="6"/>
  <c r="AH1262" i="6"/>
  <c r="J1259" i="6"/>
  <c r="AT1213" i="6"/>
  <c r="AJ615" i="6"/>
  <c r="AJ1268" i="6" s="1"/>
  <c r="AZ615" i="6"/>
  <c r="AI1052" i="6"/>
  <c r="AI1144" i="6"/>
  <c r="AI1098" i="6"/>
  <c r="AI1236" i="6"/>
  <c r="AK1059" i="6"/>
  <c r="AK1105" i="6"/>
  <c r="AK1151" i="6"/>
  <c r="I939" i="6"/>
  <c r="V893" i="6"/>
  <c r="U893" i="6"/>
  <c r="T893" i="6"/>
  <c r="AA893" i="6"/>
  <c r="S893" i="6"/>
  <c r="Z893" i="6"/>
  <c r="R893" i="6"/>
  <c r="Y893" i="6"/>
  <c r="Q893" i="6"/>
  <c r="X893" i="6"/>
  <c r="W893" i="6"/>
  <c r="P893" i="6"/>
  <c r="AK1887" i="6"/>
  <c r="BA1887" i="6"/>
  <c r="AN1469" i="6"/>
  <c r="BD1469" i="6"/>
  <c r="F1299" i="6"/>
  <c r="B1253" i="6"/>
  <c r="AJ619" i="6"/>
  <c r="AZ619" i="6"/>
  <c r="B1217" i="6"/>
  <c r="AK113" i="6"/>
  <c r="BA113" i="6"/>
  <c r="AK1451" i="6"/>
  <c r="BA1451" i="6"/>
  <c r="J973" i="6"/>
  <c r="D973" i="6" s="1"/>
  <c r="D927" i="6"/>
  <c r="F1320" i="6"/>
  <c r="B1274" i="6"/>
  <c r="AK1920" i="6"/>
  <c r="BA1920" i="6"/>
  <c r="AB1210" i="6"/>
  <c r="AJ1227" i="6"/>
  <c r="AB1227" i="6"/>
  <c r="AK2169" i="6"/>
  <c r="AK2123" i="6"/>
  <c r="AN1470" i="6"/>
  <c r="BD1470" i="6"/>
  <c r="AJ1905" i="6"/>
  <c r="AZ1905" i="6"/>
  <c r="J1257" i="6"/>
  <c r="AT1211" i="6"/>
  <c r="AI2084" i="6"/>
  <c r="AI2130" i="6"/>
  <c r="I924" i="6"/>
  <c r="T878" i="6"/>
  <c r="AA878" i="6"/>
  <c r="S878" i="6"/>
  <c r="Z878" i="6"/>
  <c r="R878" i="6"/>
  <c r="Y878" i="6"/>
  <c r="Q878" i="6"/>
  <c r="X878" i="6"/>
  <c r="P878" i="6"/>
  <c r="W878" i="6"/>
  <c r="V878" i="6"/>
  <c r="U878" i="6"/>
  <c r="AZ130" i="6"/>
  <c r="AJ130" i="6"/>
  <c r="AB856" i="6"/>
  <c r="BA1467" i="6"/>
  <c r="AK1467" i="6"/>
  <c r="AJ1458" i="6"/>
  <c r="AZ1458" i="6"/>
  <c r="AB839" i="6"/>
  <c r="F994" i="6"/>
  <c r="B994" i="6" s="1"/>
  <c r="B948" i="6"/>
  <c r="AJ603" i="6"/>
  <c r="AZ603" i="6"/>
  <c r="AI2120" i="6"/>
  <c r="AI2166" i="6"/>
  <c r="AJ1923" i="6"/>
  <c r="AZ1923" i="6"/>
  <c r="I1312" i="6"/>
  <c r="AA1266" i="6"/>
  <c r="S1266" i="6"/>
  <c r="Y1266" i="6"/>
  <c r="P1266" i="6"/>
  <c r="AI1266" i="6"/>
  <c r="X1266" i="6"/>
  <c r="AH1266" i="6"/>
  <c r="W1266" i="6"/>
  <c r="AG1266" i="6"/>
  <c r="V1266" i="6"/>
  <c r="AF1266" i="6"/>
  <c r="U1266" i="6"/>
  <c r="T1266" i="6"/>
  <c r="Z1266" i="6"/>
  <c r="R1266" i="6"/>
  <c r="Q1266" i="6"/>
  <c r="AK1445" i="6"/>
  <c r="BA1445" i="6"/>
  <c r="AP96" i="6"/>
  <c r="BF96" i="6"/>
  <c r="AB1218" i="6"/>
  <c r="AJ1692" i="6"/>
  <c r="AJ1738" i="6"/>
  <c r="AJ1784" i="6"/>
  <c r="J1325" i="6"/>
  <c r="AT1325" i="6" s="1"/>
  <c r="AT1279" i="6"/>
  <c r="AJ1728" i="6"/>
  <c r="AJ1682" i="6"/>
  <c r="AJ1774" i="6"/>
  <c r="AJ1444" i="6"/>
  <c r="AZ1444" i="6"/>
  <c r="AK602" i="6"/>
  <c r="BA602" i="6"/>
  <c r="AJ1436" i="6"/>
  <c r="AZ1436" i="6"/>
  <c r="J1266" i="6"/>
  <c r="AT1220" i="6"/>
  <c r="F1306" i="6"/>
  <c r="B1260" i="6"/>
  <c r="B1212" i="6"/>
  <c r="V918" i="6"/>
  <c r="I964" i="6"/>
  <c r="AA918" i="6"/>
  <c r="R918" i="6"/>
  <c r="Z918" i="6"/>
  <c r="Q918" i="6"/>
  <c r="Y918" i="6"/>
  <c r="P918" i="6"/>
  <c r="X918" i="6"/>
  <c r="W918" i="6"/>
  <c r="U918" i="6"/>
  <c r="T918" i="6"/>
  <c r="S918" i="6"/>
  <c r="AJ1674" i="6"/>
  <c r="AJ1720" i="6"/>
  <c r="AJ1766" i="6"/>
  <c r="D946" i="6"/>
  <c r="J992" i="6"/>
  <c r="D992" i="6" s="1"/>
  <c r="BC1912" i="6"/>
  <c r="AM1912" i="6"/>
  <c r="Z875" i="6"/>
  <c r="R875" i="6"/>
  <c r="Y875" i="6"/>
  <c r="Q875" i="6"/>
  <c r="W875" i="6"/>
  <c r="V875" i="6"/>
  <c r="I921" i="6"/>
  <c r="U875" i="6"/>
  <c r="AA875" i="6"/>
  <c r="X875" i="6"/>
  <c r="T875" i="6"/>
  <c r="S875" i="6"/>
  <c r="P875" i="6"/>
  <c r="AB842" i="6"/>
  <c r="AB844" i="6"/>
  <c r="D961" i="6"/>
  <c r="J1007" i="6"/>
  <c r="D1007" i="6" s="1"/>
  <c r="J1005" i="6"/>
  <c r="D1005" i="6" s="1"/>
  <c r="D959" i="6"/>
  <c r="AJ364" i="6"/>
  <c r="AJ410" i="6"/>
  <c r="AJ456" i="6"/>
  <c r="AB863" i="6"/>
  <c r="B1205" i="6"/>
  <c r="J1322" i="6"/>
  <c r="AT1322" i="6" s="1"/>
  <c r="AT1276" i="6"/>
  <c r="AJ1053" i="6"/>
  <c r="AJ1099" i="6"/>
  <c r="AJ1145" i="6"/>
  <c r="BA1904" i="6"/>
  <c r="AK1904" i="6"/>
  <c r="AP336" i="6"/>
  <c r="AP382" i="6"/>
  <c r="AP428" i="6"/>
  <c r="AJ360" i="6"/>
  <c r="AJ406" i="6"/>
  <c r="AJ452" i="6"/>
  <c r="I1296" i="6"/>
  <c r="AG1250" i="6"/>
  <c r="W1250" i="6"/>
  <c r="AF1250" i="6"/>
  <c r="V1250" i="6"/>
  <c r="U1250" i="6"/>
  <c r="T1250" i="6"/>
  <c r="AK1250" i="6"/>
  <c r="AA1250" i="6"/>
  <c r="S1250" i="6"/>
  <c r="AJ1250" i="6"/>
  <c r="Z1250" i="6"/>
  <c r="R1250" i="6"/>
  <c r="X1250" i="6"/>
  <c r="Q1250" i="6"/>
  <c r="Y1250" i="6"/>
  <c r="P1250" i="6"/>
  <c r="AH1250" i="6"/>
  <c r="AI1250" i="6"/>
  <c r="AJ1223" i="6"/>
  <c r="AL2119" i="6"/>
  <c r="AL2165" i="6"/>
  <c r="AJ1919" i="6"/>
  <c r="AZ1919" i="6"/>
  <c r="AJ613" i="6"/>
  <c r="AZ613" i="6"/>
  <c r="BC1922" i="6"/>
  <c r="AM1922" i="6"/>
  <c r="AR1216" i="6"/>
  <c r="D949" i="6"/>
  <c r="J995" i="6"/>
  <c r="D995" i="6" s="1"/>
  <c r="AJ347" i="6"/>
  <c r="AJ393" i="6"/>
  <c r="AJ439" i="6"/>
  <c r="AJ1055" i="6"/>
  <c r="AJ1101" i="6"/>
  <c r="AJ1147" i="6"/>
  <c r="AK1439" i="6"/>
  <c r="BA1439" i="6"/>
  <c r="F1293" i="6"/>
  <c r="AK1455" i="6"/>
  <c r="BA1455" i="6"/>
  <c r="AJ1037" i="6"/>
  <c r="AJ1129" i="6"/>
  <c r="AJ1083" i="6"/>
  <c r="AJ1221" i="6"/>
  <c r="AJ371" i="6"/>
  <c r="AJ417" i="6"/>
  <c r="AJ463" i="6"/>
  <c r="I951" i="6"/>
  <c r="X905" i="6"/>
  <c r="P905" i="6"/>
  <c r="AA905" i="6"/>
  <c r="R905" i="6"/>
  <c r="Z905" i="6"/>
  <c r="Q905" i="6"/>
  <c r="Y905" i="6"/>
  <c r="W905" i="6"/>
  <c r="V905" i="6"/>
  <c r="U905" i="6"/>
  <c r="S905" i="6"/>
  <c r="T905" i="6"/>
  <c r="I1300" i="6"/>
  <c r="AG1254" i="6"/>
  <c r="W1254" i="6"/>
  <c r="AF1254" i="6"/>
  <c r="V1254" i="6"/>
  <c r="U1254" i="6"/>
  <c r="T1254" i="6"/>
  <c r="AA1254" i="6"/>
  <c r="S1254" i="6"/>
  <c r="AJ1254" i="6"/>
  <c r="Z1254" i="6"/>
  <c r="R1254" i="6"/>
  <c r="AI1254" i="6"/>
  <c r="Y1254" i="6"/>
  <c r="X1254" i="6"/>
  <c r="Q1254" i="6"/>
  <c r="AH1254" i="6"/>
  <c r="P1254" i="6"/>
  <c r="AJ1069" i="6"/>
  <c r="AJ1023" i="6"/>
  <c r="AJ1115" i="6"/>
  <c r="I943" i="6"/>
  <c r="V897" i="6"/>
  <c r="U897" i="6"/>
  <c r="T897" i="6"/>
  <c r="AA897" i="6"/>
  <c r="S897" i="6"/>
  <c r="Z897" i="6"/>
  <c r="R897" i="6"/>
  <c r="Y897" i="6"/>
  <c r="Q897" i="6"/>
  <c r="P897" i="6"/>
  <c r="W897" i="6"/>
  <c r="X897" i="6"/>
  <c r="AJ348" i="6"/>
  <c r="AJ394" i="6"/>
  <c r="AJ440" i="6"/>
  <c r="AJ631" i="6"/>
  <c r="AZ631" i="6"/>
  <c r="AI1691" i="6"/>
  <c r="AI1737" i="6"/>
  <c r="AI1783" i="6"/>
  <c r="J1270" i="6"/>
  <c r="AT1224" i="6"/>
  <c r="F945" i="6"/>
  <c r="B899" i="6"/>
  <c r="AK1461" i="6"/>
  <c r="BA1461" i="6"/>
  <c r="F1326" i="6"/>
  <c r="B1326" i="6" s="1"/>
  <c r="B1280" i="6"/>
  <c r="AB1245" i="6"/>
  <c r="AL636" i="6"/>
  <c r="BB636" i="6"/>
  <c r="F1329" i="6"/>
  <c r="B1283" i="6"/>
  <c r="B920" i="6"/>
  <c r="F966" i="6"/>
  <c r="B966" i="6" s="1"/>
  <c r="D954" i="6"/>
  <c r="J1000" i="6"/>
  <c r="D1000" i="6" s="1"/>
  <c r="F1333" i="6"/>
  <c r="B1287" i="6"/>
  <c r="AK108" i="6"/>
  <c r="BA108" i="6"/>
  <c r="AK632" i="6"/>
  <c r="AK1285" i="6" s="1"/>
  <c r="BA632" i="6"/>
  <c r="AJ1678" i="6"/>
  <c r="AJ1724" i="6"/>
  <c r="AJ1770" i="6"/>
  <c r="AB1244" i="6"/>
  <c r="I1336" i="6"/>
  <c r="AI1290" i="6"/>
  <c r="Y1290" i="6"/>
  <c r="Q1290" i="6"/>
  <c r="AH1290" i="6"/>
  <c r="X1290" i="6"/>
  <c r="P1290" i="6"/>
  <c r="AG1290" i="6"/>
  <c r="W1290" i="6"/>
  <c r="U1290" i="6"/>
  <c r="AA1290" i="6"/>
  <c r="S1290" i="6"/>
  <c r="AF1290" i="6"/>
  <c r="Z1290" i="6"/>
  <c r="V1290" i="6"/>
  <c r="T1290" i="6"/>
  <c r="R1290" i="6"/>
  <c r="AJ1740" i="6"/>
  <c r="AJ1694" i="6"/>
  <c r="AJ1786" i="6"/>
  <c r="AI2116" i="6"/>
  <c r="AI2162" i="6"/>
  <c r="AK2121" i="6"/>
  <c r="AK2167" i="6"/>
  <c r="J966" i="6"/>
  <c r="D966" i="6" s="1"/>
  <c r="D920" i="6"/>
  <c r="AI1100" i="6"/>
  <c r="AI1054" i="6"/>
  <c r="AI1146" i="6"/>
  <c r="AJ1452" i="6"/>
  <c r="AZ1452" i="6"/>
  <c r="AQ97" i="6"/>
  <c r="BG97" i="6"/>
  <c r="AJ95" i="6"/>
  <c r="AZ95" i="6"/>
  <c r="AB1242" i="6"/>
  <c r="I1334" i="6"/>
  <c r="AI1288" i="6"/>
  <c r="Y1288" i="6"/>
  <c r="Q1288" i="6"/>
  <c r="AH1288" i="6"/>
  <c r="X1288" i="6"/>
  <c r="P1288" i="6"/>
  <c r="AG1288" i="6"/>
  <c r="W1288" i="6"/>
  <c r="U1288" i="6"/>
  <c r="AA1288" i="6"/>
  <c r="S1288" i="6"/>
  <c r="Z1288" i="6"/>
  <c r="V1288" i="6"/>
  <c r="T1288" i="6"/>
  <c r="R1288" i="6"/>
  <c r="AJ1288" i="6"/>
  <c r="AF1288" i="6"/>
  <c r="AB846" i="6"/>
  <c r="J951" i="6"/>
  <c r="D905" i="6"/>
  <c r="AJ1035" i="6"/>
  <c r="AJ1081" i="6"/>
  <c r="AJ1127" i="6"/>
  <c r="AK1896" i="6"/>
  <c r="BA1896" i="6"/>
  <c r="AI1104" i="6"/>
  <c r="AI1058" i="6"/>
  <c r="AI1150" i="6"/>
  <c r="AI1695" i="6"/>
  <c r="AI1741" i="6"/>
  <c r="AI1787" i="6"/>
  <c r="I1294" i="6"/>
  <c r="AG1248" i="6"/>
  <c r="W1248" i="6"/>
  <c r="AF1248" i="6"/>
  <c r="V1248" i="6"/>
  <c r="U1248" i="6"/>
  <c r="AL1248" i="6"/>
  <c r="T1248" i="6"/>
  <c r="AK1248" i="6"/>
  <c r="AA1248" i="6"/>
  <c r="S1248" i="6"/>
  <c r="AJ1248" i="6"/>
  <c r="Z1248" i="6"/>
  <c r="R1248" i="6"/>
  <c r="P1248" i="6"/>
  <c r="AI1248" i="6"/>
  <c r="AH1248" i="6"/>
  <c r="Q1248" i="6"/>
  <c r="X1248" i="6"/>
  <c r="Y1248" i="6"/>
  <c r="AK116" i="6"/>
  <c r="BA116" i="6"/>
  <c r="AJ1027" i="6"/>
  <c r="AJ1073" i="6"/>
  <c r="AJ1119" i="6"/>
  <c r="AK377" i="6"/>
  <c r="AK423" i="6"/>
  <c r="AK469" i="6"/>
  <c r="F1312" i="6"/>
  <c r="B1266" i="6"/>
  <c r="AJ365" i="6"/>
  <c r="AJ457" i="6"/>
  <c r="AJ411" i="6"/>
  <c r="AB845" i="6"/>
  <c r="W43" i="6"/>
  <c r="B897" i="6"/>
  <c r="AZ133" i="6"/>
  <c r="AJ133" i="6"/>
  <c r="AI1084" i="6"/>
  <c r="AI1038" i="6"/>
  <c r="AI1130" i="6"/>
  <c r="X884" i="6"/>
  <c r="P884" i="6"/>
  <c r="AB884" i="6" s="1"/>
  <c r="W884" i="6"/>
  <c r="V884" i="6"/>
  <c r="U884" i="6"/>
  <c r="T884" i="6"/>
  <c r="I930" i="6"/>
  <c r="AA884" i="6"/>
  <c r="S884" i="6"/>
  <c r="Z884" i="6"/>
  <c r="Y884" i="6"/>
  <c r="Q884" i="6"/>
  <c r="R884" i="6"/>
  <c r="AJ2080" i="6"/>
  <c r="AJ2126" i="6"/>
  <c r="AM1708" i="6"/>
  <c r="AM1754" i="6"/>
  <c r="AM1800" i="6"/>
  <c r="AB848" i="6"/>
  <c r="AI1134" i="6"/>
  <c r="AI1088" i="6"/>
  <c r="AI1042" i="6"/>
  <c r="AI1226" i="6"/>
  <c r="AB830" i="6"/>
  <c r="J1337" i="6"/>
  <c r="AT1337" i="6" s="1"/>
  <c r="AT1291" i="6"/>
  <c r="X896" i="6"/>
  <c r="P896" i="6"/>
  <c r="I942" i="6"/>
  <c r="W896" i="6"/>
  <c r="V896" i="6"/>
  <c r="U896" i="6"/>
  <c r="T896" i="6"/>
  <c r="AA896" i="6"/>
  <c r="S896" i="6"/>
  <c r="Q896" i="6"/>
  <c r="Z896" i="6"/>
  <c r="R896" i="6"/>
  <c r="Y896" i="6"/>
  <c r="F1309" i="6"/>
  <c r="B1263" i="6"/>
  <c r="D957" i="6"/>
  <c r="J1003" i="6"/>
  <c r="D1003" i="6" s="1"/>
  <c r="AJ352" i="6"/>
  <c r="AJ398" i="6"/>
  <c r="AJ444" i="6"/>
  <c r="AJ1736" i="6"/>
  <c r="AJ1690" i="6"/>
  <c r="AJ1782" i="6"/>
  <c r="F981" i="6"/>
  <c r="F1007" i="6"/>
  <c r="B1007" i="6" s="1"/>
  <c r="B961" i="6"/>
  <c r="AM1709" i="6"/>
  <c r="AM1755" i="6"/>
  <c r="AM1801" i="6"/>
  <c r="AI2098" i="6"/>
  <c r="AI2144" i="6"/>
  <c r="F1323" i="6"/>
  <c r="B1277" i="6"/>
  <c r="AI369" i="6"/>
  <c r="AI415" i="6"/>
  <c r="AI461" i="6"/>
  <c r="AR1215" i="6"/>
  <c r="BA1899" i="6"/>
  <c r="AK1899" i="6"/>
  <c r="AJ1706" i="6"/>
  <c r="AJ1752" i="6"/>
  <c r="AJ1798" i="6"/>
  <c r="B1213" i="6"/>
  <c r="AJ1063" i="6"/>
  <c r="AJ1017" i="6"/>
  <c r="AJ1109" i="6"/>
  <c r="AI1068" i="6"/>
  <c r="AI1022" i="6"/>
  <c r="AI1114" i="6"/>
  <c r="AB870" i="6"/>
  <c r="AJ339" i="6"/>
  <c r="AJ385" i="6"/>
  <c r="AJ431" i="6"/>
  <c r="AJ1927" i="6"/>
  <c r="AZ1927" i="6"/>
  <c r="AI1220" i="6"/>
  <c r="AJ1684" i="6"/>
  <c r="AJ1730" i="6"/>
  <c r="AJ1776" i="6"/>
  <c r="AO335" i="6"/>
  <c r="AO381" i="6"/>
  <c r="AO427" i="6"/>
  <c r="AI2108" i="6"/>
  <c r="AI2154" i="6"/>
  <c r="AB862" i="6"/>
  <c r="AI1731" i="6"/>
  <c r="AI1685" i="6"/>
  <c r="AI1777" i="6"/>
  <c r="AJ337" i="6"/>
  <c r="AJ383" i="6"/>
  <c r="AJ429" i="6"/>
  <c r="AI2118" i="6"/>
  <c r="AI2164" i="6"/>
  <c r="F1002" i="6"/>
  <c r="B1002" i="6" s="1"/>
  <c r="B956" i="6"/>
  <c r="AJ1051" i="6"/>
  <c r="AJ1143" i="6"/>
  <c r="AJ1097" i="6"/>
  <c r="AJ1235" i="6"/>
  <c r="AB860" i="6"/>
  <c r="AK2128" i="6"/>
  <c r="AK2082" i="6"/>
  <c r="AK105" i="6"/>
  <c r="BA105" i="6"/>
  <c r="F1304" i="6"/>
  <c r="B1258" i="6"/>
  <c r="J1323" i="6"/>
  <c r="AT1323" i="6" s="1"/>
  <c r="AT1277" i="6"/>
  <c r="AB871" i="6"/>
  <c r="AK101" i="6"/>
  <c r="BA101" i="6"/>
  <c r="AJ363" i="6"/>
  <c r="AJ409" i="6"/>
  <c r="AJ455" i="6"/>
  <c r="AJ607" i="6"/>
  <c r="AZ607" i="6"/>
  <c r="AL2151" i="6"/>
  <c r="AL2105" i="6"/>
  <c r="AI1679" i="6"/>
  <c r="AI1725" i="6"/>
  <c r="AI1771" i="6"/>
  <c r="AB829" i="6"/>
  <c r="F1005" i="6"/>
  <c r="B1005" i="6" s="1"/>
  <c r="B959" i="6"/>
  <c r="AG1321" i="6"/>
  <c r="W1321" i="6"/>
  <c r="AF1321" i="6"/>
  <c r="U1321" i="6"/>
  <c r="T1321" i="6"/>
  <c r="S1321" i="6"/>
  <c r="AA1321" i="6"/>
  <c r="R1321" i="6"/>
  <c r="Z1321" i="6"/>
  <c r="Q1321" i="6"/>
  <c r="AJ1321" i="6"/>
  <c r="Y1321" i="6"/>
  <c r="P1321" i="6"/>
  <c r="AI1321" i="6"/>
  <c r="X1321" i="6"/>
  <c r="V1321" i="6"/>
  <c r="AH1321" i="6"/>
  <c r="AM1908" i="6"/>
  <c r="BC1908" i="6"/>
  <c r="AJ1903" i="6"/>
  <c r="AZ1903" i="6"/>
  <c r="I1309" i="6"/>
  <c r="AO1263" i="6"/>
  <c r="AG1263" i="6"/>
  <c r="W1263" i="6"/>
  <c r="AN1263" i="6"/>
  <c r="AF1263" i="6"/>
  <c r="V1263" i="6"/>
  <c r="AM1263" i="6"/>
  <c r="U1263" i="6"/>
  <c r="AL1263" i="6"/>
  <c r="T1263" i="6"/>
  <c r="AK1263" i="6"/>
  <c r="AA1263" i="6"/>
  <c r="S1263" i="6"/>
  <c r="AJ1263" i="6"/>
  <c r="Z1263" i="6"/>
  <c r="R1263" i="6"/>
  <c r="Y1263" i="6"/>
  <c r="X1263" i="6"/>
  <c r="P1263" i="6"/>
  <c r="AQ1263" i="6"/>
  <c r="AP1263" i="6"/>
  <c r="AH1263" i="6"/>
  <c r="AI1263" i="6"/>
  <c r="Q1263" i="6"/>
  <c r="F1297" i="6"/>
  <c r="B1251" i="6"/>
  <c r="AK103" i="6"/>
  <c r="BA103" i="6"/>
  <c r="AI1687" i="6"/>
  <c r="AI1733" i="6"/>
  <c r="AI1779" i="6"/>
  <c r="J1004" i="6"/>
  <c r="D958" i="6"/>
  <c r="B958" i="6"/>
  <c r="AK630" i="6"/>
  <c r="BA630" i="6"/>
  <c r="AJ2097" i="6"/>
  <c r="AJ2143" i="6"/>
  <c r="F1317" i="6"/>
  <c r="AZ1931" i="6"/>
  <c r="AJ1931" i="6"/>
  <c r="J1301" i="6"/>
  <c r="AT1301" i="6" s="1"/>
  <c r="AT1255" i="6"/>
  <c r="BB1917" i="6"/>
  <c r="AL1917" i="6"/>
  <c r="D929" i="6"/>
  <c r="J975" i="6"/>
  <c r="D975" i="6" s="1"/>
  <c r="I1304" i="6"/>
  <c r="AG1258" i="6"/>
  <c r="W1258" i="6"/>
  <c r="AF1258" i="6"/>
  <c r="V1258" i="6"/>
  <c r="U1258" i="6"/>
  <c r="T1258" i="6"/>
  <c r="AA1258" i="6"/>
  <c r="S1258" i="6"/>
  <c r="Z1258" i="6"/>
  <c r="R1258" i="6"/>
  <c r="X1258" i="6"/>
  <c r="Q1258" i="6"/>
  <c r="AI1258" i="6"/>
  <c r="Y1258" i="6"/>
  <c r="AH1258" i="6"/>
  <c r="P1258" i="6"/>
  <c r="AK119" i="6"/>
  <c r="BA119" i="6"/>
  <c r="J1249" i="6"/>
  <c r="B1249" i="6" s="1"/>
  <c r="AT1203" i="6"/>
  <c r="AB864" i="6"/>
  <c r="AJ625" i="6"/>
  <c r="AZ625" i="6"/>
  <c r="AK1018" i="6"/>
  <c r="AK1064" i="6"/>
  <c r="AK1110" i="6"/>
  <c r="F1314" i="6"/>
  <c r="B1268" i="6"/>
  <c r="AQ2091" i="6"/>
  <c r="AQ2137" i="6"/>
  <c r="AR2137" i="6" s="1"/>
  <c r="J1264" i="6"/>
  <c r="AT1218" i="6"/>
  <c r="I1295" i="6"/>
  <c r="AG1249" i="6"/>
  <c r="W1249" i="6"/>
  <c r="AF1249" i="6"/>
  <c r="V1249" i="6"/>
  <c r="U1249" i="6"/>
  <c r="T1249" i="6"/>
  <c r="AA1249" i="6"/>
  <c r="S1249" i="6"/>
  <c r="AJ1249" i="6"/>
  <c r="Z1249" i="6"/>
  <c r="R1249" i="6"/>
  <c r="AI1249" i="6"/>
  <c r="AH1249" i="6"/>
  <c r="X1249" i="6"/>
  <c r="Q1249" i="6"/>
  <c r="Y1249" i="6"/>
  <c r="P1249" i="6"/>
  <c r="AK370" i="6"/>
  <c r="AK416" i="6"/>
  <c r="AK462" i="6"/>
  <c r="AJ356" i="6"/>
  <c r="AJ402" i="6"/>
  <c r="AJ448" i="6"/>
  <c r="AJ1676" i="6"/>
  <c r="AJ1722" i="6"/>
  <c r="AJ1768" i="6"/>
  <c r="AB1211" i="6"/>
  <c r="AP2091" i="6"/>
  <c r="AR2091" i="6" s="1"/>
  <c r="AP2137" i="6"/>
  <c r="AL2115" i="6"/>
  <c r="AL2161" i="6"/>
  <c r="F1308" i="6"/>
  <c r="J1328" i="6"/>
  <c r="AT1328" i="6" s="1"/>
  <c r="AT1282" i="6"/>
  <c r="Z895" i="6"/>
  <c r="R895" i="6"/>
  <c r="I941" i="6"/>
  <c r="Y895" i="6"/>
  <c r="Q895" i="6"/>
  <c r="X895" i="6"/>
  <c r="P895" i="6"/>
  <c r="W895" i="6"/>
  <c r="V895" i="6"/>
  <c r="U895" i="6"/>
  <c r="AA895" i="6"/>
  <c r="S895" i="6"/>
  <c r="T895" i="6"/>
  <c r="AK614" i="6"/>
  <c r="BA614" i="6"/>
  <c r="AK1453" i="6"/>
  <c r="BA1453" i="6"/>
  <c r="AL131" i="6"/>
  <c r="BB131" i="6"/>
  <c r="J1268" i="6"/>
  <c r="AT1222" i="6"/>
  <c r="AI1683" i="6"/>
  <c r="AI1729" i="6"/>
  <c r="AI1775" i="6"/>
  <c r="I1306" i="6"/>
  <c r="AG1260" i="6"/>
  <c r="W1260" i="6"/>
  <c r="AF1260" i="6"/>
  <c r="V1260" i="6"/>
  <c r="U1260" i="6"/>
  <c r="T1260" i="6"/>
  <c r="AA1260" i="6"/>
  <c r="S1260" i="6"/>
  <c r="AJ1260" i="6"/>
  <c r="Z1260" i="6"/>
  <c r="R1260" i="6"/>
  <c r="AH1260" i="6"/>
  <c r="Y1260" i="6"/>
  <c r="Q1260" i="6"/>
  <c r="P1260" i="6"/>
  <c r="AB1260" i="6" s="1"/>
  <c r="AI1260" i="6"/>
  <c r="X1260" i="6"/>
  <c r="J1252" i="6"/>
  <c r="AT1206" i="6"/>
  <c r="AB1230" i="6"/>
  <c r="AB837" i="6"/>
  <c r="D936" i="6"/>
  <c r="J982" i="6"/>
  <c r="D982" i="6" s="1"/>
  <c r="AI1240" i="6"/>
  <c r="AL138" i="6"/>
  <c r="BB138" i="6"/>
  <c r="AP1911" i="6"/>
  <c r="BF1911" i="6"/>
  <c r="AQ1911" i="6" s="1"/>
  <c r="Y43" i="6"/>
  <c r="AI2114" i="6"/>
  <c r="AI2160" i="6"/>
  <c r="AI372" i="6"/>
  <c r="AI418" i="6"/>
  <c r="AI464" i="6"/>
  <c r="AB838" i="6"/>
  <c r="AB855" i="6"/>
  <c r="AB847" i="6"/>
  <c r="AI1673" i="6"/>
  <c r="AI1719" i="6"/>
  <c r="AI1765" i="6"/>
  <c r="AK2085" i="6"/>
  <c r="AK2131" i="6"/>
  <c r="AJ1909" i="6"/>
  <c r="AZ1909" i="6"/>
  <c r="AB1237" i="6"/>
  <c r="I1329" i="6"/>
  <c r="AI1283" i="6"/>
  <c r="Y1283" i="6"/>
  <c r="Q1283" i="6"/>
  <c r="AH1283" i="6"/>
  <c r="X1283" i="6"/>
  <c r="P1283" i="6"/>
  <c r="AG1283" i="6"/>
  <c r="W1283" i="6"/>
  <c r="AK1283" i="6"/>
  <c r="AA1283" i="6"/>
  <c r="S1283" i="6"/>
  <c r="Z1283" i="6"/>
  <c r="V1283" i="6"/>
  <c r="U1283" i="6"/>
  <c r="T1283" i="6"/>
  <c r="AJ1283" i="6"/>
  <c r="R1283" i="6"/>
  <c r="AF1283" i="6"/>
  <c r="AB850" i="6"/>
  <c r="AJ2107" i="6"/>
  <c r="AJ2153" i="6"/>
  <c r="AK123" i="6"/>
  <c r="BA123" i="6"/>
  <c r="AK1465" i="6"/>
  <c r="BA1465" i="6"/>
  <c r="AB1206" i="6"/>
  <c r="AK1449" i="6"/>
  <c r="BA1449" i="6"/>
  <c r="I1302" i="6"/>
  <c r="AG1256" i="6"/>
  <c r="W1256" i="6"/>
  <c r="AF1256" i="6"/>
  <c r="V1256" i="6"/>
  <c r="U1256" i="6"/>
  <c r="T1256" i="6"/>
  <c r="AA1256" i="6"/>
  <c r="S1256" i="6"/>
  <c r="AJ1256" i="6"/>
  <c r="Z1256" i="6"/>
  <c r="R1256" i="6"/>
  <c r="P1256" i="6"/>
  <c r="AI1256" i="6"/>
  <c r="AH1256" i="6"/>
  <c r="Y1256" i="6"/>
  <c r="Q1256" i="6"/>
  <c r="X1256" i="6"/>
  <c r="AJ349" i="6"/>
  <c r="AJ395" i="6"/>
  <c r="AJ441" i="6"/>
  <c r="I948" i="6"/>
  <c r="T902" i="6"/>
  <c r="AA902" i="6"/>
  <c r="S902" i="6"/>
  <c r="Z902" i="6"/>
  <c r="R902" i="6"/>
  <c r="Y902" i="6"/>
  <c r="Q902" i="6"/>
  <c r="X902" i="6"/>
  <c r="P902" i="6"/>
  <c r="W902" i="6"/>
  <c r="V902" i="6"/>
  <c r="U902" i="6"/>
  <c r="S1835" i="6"/>
  <c r="AJ2092" i="6"/>
  <c r="AJ2138" i="6"/>
  <c r="F1305" i="6"/>
  <c r="B1259" i="6"/>
  <c r="AK598" i="6"/>
  <c r="BA598" i="6"/>
  <c r="AM2103" i="6"/>
  <c r="AM2149" i="6"/>
  <c r="F1334" i="6"/>
  <c r="B1288" i="6"/>
  <c r="F1301" i="6"/>
  <c r="B1301" i="6" s="1"/>
  <c r="B1255" i="6"/>
  <c r="J1333" i="6"/>
  <c r="AT1333" i="6" s="1"/>
  <c r="AT1287" i="6"/>
  <c r="AB853" i="6"/>
  <c r="R547" i="6"/>
  <c r="F1318" i="6"/>
  <c r="B1318" i="6" s="1"/>
  <c r="B1272" i="6"/>
  <c r="AK100" i="6"/>
  <c r="BA100" i="6"/>
  <c r="I1293" i="6"/>
  <c r="AG1247" i="6"/>
  <c r="W1247" i="6"/>
  <c r="AF1247" i="6"/>
  <c r="V1247" i="6"/>
  <c r="U1247" i="6"/>
  <c r="T1247" i="6"/>
  <c r="AK1247" i="6"/>
  <c r="AA1247" i="6"/>
  <c r="S1247" i="6"/>
  <c r="AJ1247" i="6"/>
  <c r="Z1247" i="6"/>
  <c r="R1247" i="6"/>
  <c r="Y1247" i="6"/>
  <c r="X1247" i="6"/>
  <c r="P1247" i="6"/>
  <c r="AH1247" i="6"/>
  <c r="AI1247" i="6"/>
  <c r="Q1247" i="6"/>
  <c r="AK373" i="6"/>
  <c r="AK419" i="6"/>
  <c r="AK465" i="6"/>
  <c r="AM1432" i="6"/>
  <c r="BC1432" i="6"/>
  <c r="AB1281" i="6"/>
  <c r="AZ1915" i="6"/>
  <c r="AJ1915" i="6"/>
  <c r="BC1472" i="6"/>
  <c r="AM1472" i="6"/>
  <c r="AJ1907" i="6"/>
  <c r="AZ1907" i="6"/>
  <c r="AJ1446" i="6"/>
  <c r="AZ1446" i="6"/>
  <c r="AK98" i="6"/>
  <c r="BA98" i="6"/>
  <c r="AJ1925" i="6"/>
  <c r="AZ1925" i="6"/>
  <c r="I1299" i="6"/>
  <c r="AG1253" i="6"/>
  <c r="W1253" i="6"/>
  <c r="AF1253" i="6"/>
  <c r="V1253" i="6"/>
  <c r="U1253" i="6"/>
  <c r="T1253" i="6"/>
  <c r="AK1253" i="6"/>
  <c r="AA1253" i="6"/>
  <c r="S1253" i="6"/>
  <c r="AJ1253" i="6"/>
  <c r="Z1253" i="6"/>
  <c r="R1253" i="6"/>
  <c r="Q1253" i="6"/>
  <c r="P1253" i="6"/>
  <c r="AI1253" i="6"/>
  <c r="X1253" i="6"/>
  <c r="Y1253" i="6"/>
  <c r="AH1253" i="6"/>
  <c r="AL1893" i="6"/>
  <c r="BB1893" i="6"/>
  <c r="AJ361" i="6"/>
  <c r="AJ407" i="6"/>
  <c r="AJ453" i="6"/>
  <c r="AK628" i="6"/>
  <c r="BA628" i="6"/>
  <c r="AL1889" i="6"/>
  <c r="BB1889" i="6"/>
  <c r="F1310" i="6"/>
  <c r="B1264" i="6"/>
  <c r="AJ344" i="6"/>
  <c r="AJ390" i="6"/>
  <c r="AJ436" i="6"/>
  <c r="AM1471" i="6"/>
  <c r="BC1471" i="6"/>
  <c r="AJ340" i="6"/>
  <c r="AJ386" i="6"/>
  <c r="AJ432" i="6"/>
  <c r="AB872" i="6"/>
  <c r="J1324" i="6"/>
  <c r="AT1324" i="6" s="1"/>
  <c r="AT1278" i="6"/>
  <c r="AK124" i="6"/>
  <c r="BA124" i="6"/>
  <c r="AI1026" i="6"/>
  <c r="AI1072" i="6"/>
  <c r="AI1118" i="6"/>
  <c r="J978" i="6"/>
  <c r="D978" i="6" s="1"/>
  <c r="D932" i="6"/>
  <c r="AJ1440" i="6"/>
  <c r="AZ1440" i="6"/>
  <c r="AB852" i="6"/>
  <c r="AB865" i="6"/>
  <c r="AZ137" i="6"/>
  <c r="AJ137" i="6"/>
  <c r="T890" i="6"/>
  <c r="AA890" i="6"/>
  <c r="S890" i="6"/>
  <c r="Z890" i="6"/>
  <c r="R890" i="6"/>
  <c r="Y890" i="6"/>
  <c r="Q890" i="6"/>
  <c r="I936" i="6"/>
  <c r="X890" i="6"/>
  <c r="P890" i="6"/>
  <c r="W890" i="6"/>
  <c r="V890" i="6"/>
  <c r="U890" i="6"/>
  <c r="D877" i="6"/>
  <c r="J923" i="6"/>
  <c r="AB1275" i="6"/>
  <c r="AL2101" i="6"/>
  <c r="AL2147" i="6"/>
  <c r="AI2096" i="6"/>
  <c r="AI2142" i="6"/>
  <c r="AB828" i="6"/>
  <c r="BA1901" i="6"/>
  <c r="AK1901" i="6"/>
  <c r="I955" i="6"/>
  <c r="X909" i="6"/>
  <c r="P909" i="6"/>
  <c r="W909" i="6"/>
  <c r="V909" i="6"/>
  <c r="U909" i="6"/>
  <c r="T909" i="6"/>
  <c r="S909" i="6"/>
  <c r="AA909" i="6"/>
  <c r="R909" i="6"/>
  <c r="Z909" i="6"/>
  <c r="Y909" i="6"/>
  <c r="Q909" i="6"/>
  <c r="AJ627" i="6"/>
  <c r="AJ1280" i="6" s="1"/>
  <c r="AZ627" i="6"/>
  <c r="AJ342" i="6"/>
  <c r="AJ388" i="6"/>
  <c r="AJ434" i="6"/>
  <c r="AJ1448" i="6"/>
  <c r="AZ1448" i="6"/>
  <c r="AB858" i="6"/>
  <c r="AJ609" i="6"/>
  <c r="AZ609" i="6"/>
  <c r="AI2124" i="6"/>
  <c r="AI2170" i="6"/>
  <c r="AJ623" i="6"/>
  <c r="AZ623" i="6"/>
  <c r="AK2156" i="6"/>
  <c r="AK2110" i="6"/>
  <c r="AK1459" i="6"/>
  <c r="BA1459" i="6"/>
  <c r="AJ358" i="6"/>
  <c r="AJ404" i="6"/>
  <c r="AJ450" i="6"/>
  <c r="AI1094" i="6"/>
  <c r="AI1048" i="6"/>
  <c r="AI1140" i="6"/>
  <c r="AJ1029" i="6"/>
  <c r="AJ1075" i="6"/>
  <c r="AJ1121" i="6"/>
  <c r="AB1204" i="6"/>
  <c r="I1322" i="6"/>
  <c r="AH1276" i="6"/>
  <c r="X1276" i="6"/>
  <c r="P1276" i="6"/>
  <c r="AA1276" i="6"/>
  <c r="S1276" i="6"/>
  <c r="W1276" i="6"/>
  <c r="AI1276" i="6"/>
  <c r="V1276" i="6"/>
  <c r="AG1276" i="6"/>
  <c r="U1276" i="6"/>
  <c r="AF1276" i="6"/>
  <c r="T1276" i="6"/>
  <c r="R1276" i="6"/>
  <c r="Q1276" i="6"/>
  <c r="Z1276" i="6"/>
  <c r="Y1276" i="6"/>
  <c r="B972" i="6"/>
  <c r="X880" i="6"/>
  <c r="P880" i="6"/>
  <c r="I926" i="6"/>
  <c r="W880" i="6"/>
  <c r="V880" i="6"/>
  <c r="U880" i="6"/>
  <c r="T880" i="6"/>
  <c r="AA880" i="6"/>
  <c r="S880" i="6"/>
  <c r="Z880" i="6"/>
  <c r="Y880" i="6"/>
  <c r="R880" i="6"/>
  <c r="Q880" i="6"/>
  <c r="F1294" i="6"/>
  <c r="B1248" i="6"/>
  <c r="AB1219" i="6"/>
  <c r="AM135" i="6"/>
  <c r="BC135" i="6"/>
  <c r="J998" i="6"/>
  <c r="D998" i="6" s="1"/>
  <c r="D952" i="6"/>
  <c r="J1271" i="6"/>
  <c r="AT1225" i="6"/>
  <c r="AI1070" i="6"/>
  <c r="AI1024" i="6"/>
  <c r="AI1116" i="6"/>
  <c r="D925" i="6"/>
  <c r="J971" i="6"/>
  <c r="D971" i="6" s="1"/>
  <c r="AK1327" i="6"/>
  <c r="AA1327" i="6"/>
  <c r="S1327" i="6"/>
  <c r="AJ1327" i="6"/>
  <c r="Z1327" i="6"/>
  <c r="R1327" i="6"/>
  <c r="AG1327" i="6"/>
  <c r="W1327" i="6"/>
  <c r="X1327" i="6"/>
  <c r="V1327" i="6"/>
  <c r="AI1327" i="6"/>
  <c r="U1327" i="6"/>
  <c r="AH1327" i="6"/>
  <c r="T1327" i="6"/>
  <c r="AF1327" i="6"/>
  <c r="Q1327" i="6"/>
  <c r="P1327" i="6"/>
  <c r="Y1327" i="6"/>
  <c r="BA1902" i="6"/>
  <c r="AK1902" i="6"/>
  <c r="AK112" i="6"/>
  <c r="BA112" i="6"/>
  <c r="AJ367" i="6"/>
  <c r="AJ413" i="6"/>
  <c r="AJ459" i="6"/>
  <c r="F1331" i="6"/>
  <c r="B1331" i="6" s="1"/>
  <c r="B1285" i="6"/>
  <c r="D962" i="6"/>
  <c r="J1008" i="6"/>
  <c r="D1008" i="6" s="1"/>
  <c r="AJ1047" i="6"/>
  <c r="AJ1093" i="6"/>
  <c r="AJ1139" i="6"/>
  <c r="Z912" i="6"/>
  <c r="R912" i="6"/>
  <c r="S912" i="6"/>
  <c r="I958" i="6"/>
  <c r="AA912" i="6"/>
  <c r="Q912" i="6"/>
  <c r="Y912" i="6"/>
  <c r="P912" i="6"/>
  <c r="X912" i="6"/>
  <c r="W912" i="6"/>
  <c r="V912" i="6"/>
  <c r="U912" i="6"/>
  <c r="T912" i="6"/>
  <c r="D922" i="6"/>
  <c r="J968" i="6"/>
  <c r="D968" i="6" s="1"/>
  <c r="AJ341" i="6"/>
  <c r="AJ387" i="6"/>
  <c r="AJ433" i="6"/>
  <c r="I1337" i="6"/>
  <c r="AI1291" i="6"/>
  <c r="Y1291" i="6"/>
  <c r="Q1291" i="6"/>
  <c r="AH1291" i="6"/>
  <c r="X1291" i="6"/>
  <c r="P1291" i="6"/>
  <c r="AG1291" i="6"/>
  <c r="W1291" i="6"/>
  <c r="U1291" i="6"/>
  <c r="AK1291" i="6"/>
  <c r="AA1291" i="6"/>
  <c r="S1291" i="6"/>
  <c r="AJ1291" i="6"/>
  <c r="AF1291" i="6"/>
  <c r="Z1291" i="6"/>
  <c r="V1291" i="6"/>
  <c r="T1291" i="6"/>
  <c r="R1291" i="6"/>
  <c r="AJ629" i="6"/>
  <c r="AJ1328" i="6" s="1"/>
  <c r="AZ629" i="6"/>
  <c r="F1298" i="6"/>
  <c r="B1252" i="6"/>
  <c r="F933" i="6"/>
  <c r="B887" i="6"/>
  <c r="AZ1891" i="6"/>
  <c r="AJ1891" i="6"/>
  <c r="AB867" i="6"/>
  <c r="B944" i="6"/>
  <c r="F990" i="6"/>
  <c r="B990" i="6" s="1"/>
  <c r="AI1076" i="6"/>
  <c r="AI1030" i="6"/>
  <c r="AI1122" i="6"/>
  <c r="F1328" i="6"/>
  <c r="B1328" i="6" s="1"/>
  <c r="B1282" i="6"/>
  <c r="I963" i="6"/>
  <c r="X917" i="6"/>
  <c r="P917" i="6"/>
  <c r="Z917" i="6"/>
  <c r="Q917" i="6"/>
  <c r="Y917" i="6"/>
  <c r="W917" i="6"/>
  <c r="V917" i="6"/>
  <c r="U917" i="6"/>
  <c r="T917" i="6"/>
  <c r="AA917" i="6"/>
  <c r="S917" i="6"/>
  <c r="R917" i="6"/>
  <c r="AI1277" i="6"/>
  <c r="Y1277" i="6"/>
  <c r="Q1277" i="6"/>
  <c r="AH1277" i="6"/>
  <c r="X1277" i="6"/>
  <c r="P1277" i="6"/>
  <c r="AG1277" i="6"/>
  <c r="W1277" i="6"/>
  <c r="I1323" i="6"/>
  <c r="AK1277" i="6"/>
  <c r="AA1277" i="6"/>
  <c r="S1277" i="6"/>
  <c r="Z1277" i="6"/>
  <c r="V1277" i="6"/>
  <c r="U1277" i="6"/>
  <c r="T1277" i="6"/>
  <c r="AJ1277" i="6"/>
  <c r="R1277" i="6"/>
  <c r="AF1277" i="6"/>
  <c r="AK128" i="6"/>
  <c r="BA128" i="6"/>
  <c r="AB1241" i="6"/>
  <c r="I1333" i="6"/>
  <c r="AI1287" i="6"/>
  <c r="Y1287" i="6"/>
  <c r="Q1287" i="6"/>
  <c r="AH1287" i="6"/>
  <c r="X1287" i="6"/>
  <c r="P1287" i="6"/>
  <c r="AG1287" i="6"/>
  <c r="W1287" i="6"/>
  <c r="U1287" i="6"/>
  <c r="AK1287" i="6"/>
  <c r="AA1287" i="6"/>
  <c r="S1287" i="6"/>
  <c r="V1287" i="6"/>
  <c r="T1287" i="6"/>
  <c r="R1287" i="6"/>
  <c r="AJ1287" i="6"/>
  <c r="AF1287" i="6"/>
  <c r="Z1287" i="6"/>
  <c r="I932" i="6"/>
  <c r="T886" i="6"/>
  <c r="AA886" i="6"/>
  <c r="S886" i="6"/>
  <c r="Z886" i="6"/>
  <c r="R886" i="6"/>
  <c r="Y886" i="6"/>
  <c r="Q886" i="6"/>
  <c r="X886" i="6"/>
  <c r="P886" i="6"/>
  <c r="W886" i="6"/>
  <c r="U886" i="6"/>
  <c r="V886" i="6"/>
  <c r="AJ1700" i="6"/>
  <c r="AJ1746" i="6"/>
  <c r="AJ1792" i="6"/>
  <c r="AK612" i="6"/>
  <c r="AK1265" i="6" s="1"/>
  <c r="BA612" i="6"/>
  <c r="J977" i="6"/>
  <c r="D977" i="6" s="1"/>
  <c r="D931" i="6"/>
  <c r="AK608" i="6"/>
  <c r="BA608" i="6"/>
  <c r="J1330" i="6"/>
  <c r="AT1330" i="6" s="1"/>
  <c r="AT1284" i="6"/>
  <c r="AK126" i="6"/>
  <c r="BA126" i="6"/>
  <c r="J1329" i="6"/>
  <c r="AT1329" i="6" s="1"/>
  <c r="AT1283" i="6"/>
  <c r="AB1202" i="6"/>
  <c r="J1334" i="6"/>
  <c r="AT1334" i="6" s="1"/>
  <c r="AT1288" i="6"/>
  <c r="Z883" i="6"/>
  <c r="R883" i="6"/>
  <c r="Y883" i="6"/>
  <c r="Q883" i="6"/>
  <c r="X883" i="6"/>
  <c r="P883" i="6"/>
  <c r="W883" i="6"/>
  <c r="V883" i="6"/>
  <c r="I929" i="6"/>
  <c r="U883" i="6"/>
  <c r="AA883" i="6"/>
  <c r="T883" i="6"/>
  <c r="S883" i="6"/>
  <c r="AK127" i="6"/>
  <c r="BA127" i="6"/>
  <c r="AK1463" i="6"/>
  <c r="BA1463" i="6"/>
  <c r="AB866" i="6"/>
  <c r="F949" i="6"/>
  <c r="B903" i="6"/>
  <c r="I927" i="6"/>
  <c r="V881" i="6"/>
  <c r="U881" i="6"/>
  <c r="T881" i="6"/>
  <c r="AA881" i="6"/>
  <c r="S881" i="6"/>
  <c r="Z881" i="6"/>
  <c r="R881" i="6"/>
  <c r="Y881" i="6"/>
  <c r="Q881" i="6"/>
  <c r="X881" i="6"/>
  <c r="W881" i="6"/>
  <c r="P881" i="6"/>
  <c r="AO2104" i="6"/>
  <c r="AO2150" i="6"/>
  <c r="X43" i="6"/>
  <c r="B963" i="6"/>
  <c r="F1009" i="6"/>
  <c r="B1009" i="6" s="1"/>
  <c r="F937" i="6"/>
  <c r="B891" i="6"/>
  <c r="AJ1921" i="6"/>
  <c r="AZ1921" i="6"/>
  <c r="J1261" i="6"/>
  <c r="AT1215" i="6"/>
  <c r="AB1216" i="6"/>
  <c r="AJ1043" i="6"/>
  <c r="AJ1089" i="6"/>
  <c r="AJ1135" i="6"/>
  <c r="J1320" i="6"/>
  <c r="AT1320" i="6" s="1"/>
  <c r="AT1274" i="6"/>
  <c r="J1267" i="6"/>
  <c r="AT1221" i="6"/>
  <c r="AJ1434" i="6"/>
  <c r="AZ1434" i="6"/>
  <c r="AK107" i="6"/>
  <c r="BA107" i="6"/>
  <c r="AI1705" i="6"/>
  <c r="AI1751" i="6"/>
  <c r="AI1797" i="6"/>
  <c r="AB1239" i="6"/>
  <c r="I1331" i="6"/>
  <c r="AI1285" i="6"/>
  <c r="Y1285" i="6"/>
  <c r="Q1285" i="6"/>
  <c r="AH1285" i="6"/>
  <c r="X1285" i="6"/>
  <c r="P1285" i="6"/>
  <c r="AG1285" i="6"/>
  <c r="W1285" i="6"/>
  <c r="AA1285" i="6"/>
  <c r="S1285" i="6"/>
  <c r="Z1285" i="6"/>
  <c r="V1285" i="6"/>
  <c r="U1285" i="6"/>
  <c r="T1285" i="6"/>
  <c r="AJ1285" i="6"/>
  <c r="R1285" i="6"/>
  <c r="AF1285" i="6"/>
  <c r="I940" i="6"/>
  <c r="T894" i="6"/>
  <c r="AA894" i="6"/>
  <c r="S894" i="6"/>
  <c r="Z894" i="6"/>
  <c r="R894" i="6"/>
  <c r="Y894" i="6"/>
  <c r="Q894" i="6"/>
  <c r="X894" i="6"/>
  <c r="P894" i="6"/>
  <c r="W894" i="6"/>
  <c r="V894" i="6"/>
  <c r="U894" i="6"/>
  <c r="BB1892" i="6"/>
  <c r="AL1892" i="6"/>
  <c r="AJ2087" i="6"/>
  <c r="AJ2133" i="6"/>
  <c r="AI2102" i="6"/>
  <c r="AI2148" i="6"/>
  <c r="X876" i="6"/>
  <c r="P876" i="6"/>
  <c r="W876" i="6"/>
  <c r="U876" i="6"/>
  <c r="T876" i="6"/>
  <c r="I922" i="6"/>
  <c r="AA876" i="6"/>
  <c r="S876" i="6"/>
  <c r="V876" i="6"/>
  <c r="R876" i="6"/>
  <c r="Q876" i="6"/>
  <c r="Y876" i="6"/>
  <c r="Z876" i="6"/>
  <c r="AI1703" i="6"/>
  <c r="AI1749" i="6"/>
  <c r="AI1795" i="6"/>
  <c r="B931" i="6"/>
  <c r="F977" i="6"/>
  <c r="J996" i="6"/>
  <c r="D996" i="6" s="1"/>
  <c r="D950" i="6"/>
  <c r="AK1914" i="6"/>
  <c r="BA1914" i="6"/>
  <c r="AJ362" i="6"/>
  <c r="AJ408" i="6"/>
  <c r="AJ454" i="6"/>
  <c r="AB854" i="6"/>
  <c r="AB1233" i="6"/>
  <c r="AI1279" i="6"/>
  <c r="Y1279" i="6"/>
  <c r="Q1279" i="6"/>
  <c r="AH1279" i="6"/>
  <c r="X1279" i="6"/>
  <c r="P1279" i="6"/>
  <c r="AG1279" i="6"/>
  <c r="W1279" i="6"/>
  <c r="I1325" i="6"/>
  <c r="AK1279" i="6"/>
  <c r="AA1279" i="6"/>
  <c r="S1279" i="6"/>
  <c r="Z1279" i="6"/>
  <c r="V1279" i="6"/>
  <c r="U1279" i="6"/>
  <c r="T1279" i="6"/>
  <c r="AJ1279" i="6"/>
  <c r="R1279" i="6"/>
  <c r="AF1279" i="6"/>
  <c r="AJ1704" i="6"/>
  <c r="AJ1750" i="6"/>
  <c r="AJ1796" i="6"/>
  <c r="AJ1688" i="6"/>
  <c r="AJ1734" i="6"/>
  <c r="AJ1780" i="6"/>
  <c r="D930" i="6"/>
  <c r="J976" i="6"/>
  <c r="D976" i="6" s="1"/>
  <c r="AJ1019" i="6"/>
  <c r="AJ1065" i="6"/>
  <c r="AJ1111" i="6"/>
  <c r="AI1699" i="6"/>
  <c r="AI1745" i="6"/>
  <c r="AI1791" i="6"/>
  <c r="F987" i="6"/>
  <c r="B987" i="6" s="1"/>
  <c r="B941" i="6"/>
  <c r="AI1224" i="6"/>
  <c r="D953" i="6"/>
  <c r="J999" i="6"/>
  <c r="D999" i="6" s="1"/>
  <c r="AK110" i="6"/>
  <c r="BA110" i="6"/>
  <c r="AB1209" i="6"/>
  <c r="AJ1045" i="6"/>
  <c r="AJ1091" i="6"/>
  <c r="AJ1137" i="6"/>
  <c r="AJ1229" i="6"/>
  <c r="D889" i="6"/>
  <c r="J935" i="6"/>
  <c r="AN1910" i="6"/>
  <c r="BD1910" i="6"/>
  <c r="F1321" i="6"/>
  <c r="B1275" i="6"/>
  <c r="S547" i="6"/>
  <c r="BB134" i="6"/>
  <c r="AL134" i="6"/>
  <c r="AL1671" i="6"/>
  <c r="AL1717" i="6"/>
  <c r="AL1763" i="6"/>
  <c r="AB1220" i="6"/>
  <c r="F921" i="6"/>
  <c r="B875" i="6"/>
  <c r="AL1711" i="6"/>
  <c r="AL1757" i="6"/>
  <c r="AL1803" i="6"/>
  <c r="AI2100" i="6"/>
  <c r="AI2146" i="6"/>
  <c r="AR1218" i="6"/>
  <c r="Z908" i="6"/>
  <c r="R908" i="6"/>
  <c r="V908" i="6"/>
  <c r="U908" i="6"/>
  <c r="T908" i="6"/>
  <c r="S908" i="6"/>
  <c r="AA908" i="6"/>
  <c r="Q908" i="6"/>
  <c r="I954" i="6"/>
  <c r="Y908" i="6"/>
  <c r="P908" i="6"/>
  <c r="X908" i="6"/>
  <c r="W908" i="6"/>
  <c r="J984" i="6"/>
  <c r="D984" i="6" s="1"/>
  <c r="D938" i="6"/>
  <c r="AK2086" i="6"/>
  <c r="AK2132" i="6"/>
  <c r="AK122" i="6"/>
  <c r="BA122" i="6"/>
  <c r="AJ359" i="6"/>
  <c r="AJ405" i="6"/>
  <c r="AJ451" i="6"/>
  <c r="F1336" i="6"/>
  <c r="B1336" i="6" s="1"/>
  <c r="B1290" i="6"/>
  <c r="I1297" i="6"/>
  <c r="AG1251" i="6"/>
  <c r="W1251" i="6"/>
  <c r="AF1251" i="6"/>
  <c r="V1251" i="6"/>
  <c r="U1251" i="6"/>
  <c r="T1251" i="6"/>
  <c r="AK1251" i="6"/>
  <c r="AA1251" i="6"/>
  <c r="S1251" i="6"/>
  <c r="AJ1251" i="6"/>
  <c r="Z1251" i="6"/>
  <c r="R1251" i="6"/>
  <c r="AH1251" i="6"/>
  <c r="Y1251" i="6"/>
  <c r="P1251" i="6"/>
  <c r="AI1251" i="6"/>
  <c r="X1251" i="6"/>
  <c r="Q1251" i="6"/>
  <c r="AL1710" i="6"/>
  <c r="AL1756" i="6"/>
  <c r="AL1802" i="6"/>
  <c r="F1324" i="6"/>
  <c r="B1324" i="6" s="1"/>
  <c r="B1278" i="6"/>
  <c r="AJ1041" i="6"/>
  <c r="AJ1087" i="6"/>
  <c r="AJ1133" i="6"/>
  <c r="BA1431" i="6"/>
  <c r="AK1431" i="6"/>
  <c r="AT1248" i="6"/>
  <c r="J1294" i="6"/>
  <c r="AT1294" i="6" s="1"/>
  <c r="AB857" i="6"/>
  <c r="AI1735" i="6"/>
  <c r="AI1689" i="6"/>
  <c r="AI1781" i="6"/>
  <c r="AI376" i="6"/>
  <c r="AI422" i="6"/>
  <c r="AI468" i="6"/>
  <c r="F997" i="6"/>
  <c r="AJ2094" i="6"/>
  <c r="AJ2140" i="6"/>
  <c r="F1335" i="6"/>
  <c r="B1335" i="6" s="1"/>
  <c r="B1289" i="6"/>
  <c r="AJ1900" i="6"/>
  <c r="AZ1900" i="6"/>
  <c r="AI1096" i="6"/>
  <c r="AI1050" i="6"/>
  <c r="AI1142" i="6"/>
  <c r="B901" i="6"/>
  <c r="F1001" i="6"/>
  <c r="AB836" i="6"/>
  <c r="T915" i="6"/>
  <c r="W915" i="6"/>
  <c r="V915" i="6"/>
  <c r="U915" i="6"/>
  <c r="S915" i="6"/>
  <c r="AA915" i="6"/>
  <c r="R915" i="6"/>
  <c r="I961" i="6"/>
  <c r="Z915" i="6"/>
  <c r="Q915" i="6"/>
  <c r="P915" i="6"/>
  <c r="X915" i="6"/>
  <c r="Y915" i="6"/>
  <c r="AJ357" i="6"/>
  <c r="AJ403" i="6"/>
  <c r="AJ449" i="6"/>
  <c r="F1302" i="6"/>
  <c r="B1256" i="6"/>
  <c r="AI1074" i="6"/>
  <c r="AI1028" i="6"/>
  <c r="AI1120" i="6"/>
  <c r="AI1046" i="6"/>
  <c r="AI1092" i="6"/>
  <c r="AI1138" i="6"/>
  <c r="AI1282" i="6"/>
  <c r="AI1238" i="6"/>
  <c r="AJ1698" i="6"/>
  <c r="AJ1744" i="6"/>
  <c r="AJ1790" i="6"/>
  <c r="B877" i="6"/>
  <c r="B932" i="6"/>
  <c r="F978" i="6"/>
  <c r="B978" i="6" s="1"/>
  <c r="AK610" i="6"/>
  <c r="BA610" i="6"/>
  <c r="J1262" i="6"/>
  <c r="B1262" i="6" s="1"/>
  <c r="AT1216" i="6"/>
  <c r="I1315" i="6"/>
  <c r="AK1269" i="6"/>
  <c r="AA1269" i="6"/>
  <c r="S1269" i="6"/>
  <c r="AI1269" i="6"/>
  <c r="X1269" i="6"/>
  <c r="AH1269" i="6"/>
  <c r="W1269" i="6"/>
  <c r="AG1269" i="6"/>
  <c r="V1269" i="6"/>
  <c r="AF1269" i="6"/>
  <c r="U1269" i="6"/>
  <c r="T1269" i="6"/>
  <c r="R1269" i="6"/>
  <c r="AJ1269" i="6"/>
  <c r="Z1269" i="6"/>
  <c r="Y1269" i="6"/>
  <c r="Q1269" i="6"/>
  <c r="P1269" i="6"/>
  <c r="AI1234" i="6"/>
  <c r="AL94" i="6"/>
  <c r="BB94" i="6"/>
  <c r="AJ1696" i="6"/>
  <c r="AJ1742" i="6"/>
  <c r="AJ1788" i="6"/>
  <c r="F974" i="6"/>
  <c r="B974" i="6" s="1"/>
  <c r="B928" i="6"/>
  <c r="AN1707" i="6"/>
  <c r="AN1753" i="6"/>
  <c r="AN1799" i="6"/>
  <c r="AJ1057" i="6"/>
  <c r="AJ1103" i="6"/>
  <c r="AJ1149" i="6"/>
  <c r="AJ350" i="6"/>
  <c r="AJ396" i="6"/>
  <c r="AJ442" i="6"/>
  <c r="AL1895" i="6"/>
  <c r="BB1895" i="6"/>
  <c r="AJ1454" i="6"/>
  <c r="AZ1454" i="6"/>
  <c r="AK1441" i="6"/>
  <c r="BA1441" i="6"/>
  <c r="F1322" i="6"/>
  <c r="B1322" i="6" s="1"/>
  <c r="B1276" i="6"/>
  <c r="I1319" i="6"/>
  <c r="AH1273" i="6"/>
  <c r="X1273" i="6"/>
  <c r="P1273" i="6"/>
  <c r="AA1273" i="6"/>
  <c r="S1273" i="6"/>
  <c r="Z1273" i="6"/>
  <c r="Y1273" i="6"/>
  <c r="AJ1273" i="6"/>
  <c r="W1273" i="6"/>
  <c r="AI1273" i="6"/>
  <c r="V1273" i="6"/>
  <c r="AG1273" i="6"/>
  <c r="U1273" i="6"/>
  <c r="AF1273" i="6"/>
  <c r="T1273" i="6"/>
  <c r="R1273" i="6"/>
  <c r="Q1273" i="6"/>
  <c r="AL374" i="6"/>
  <c r="AL420" i="6"/>
  <c r="AL466" i="6"/>
  <c r="AJ1021" i="6"/>
  <c r="AJ1067" i="6"/>
  <c r="AJ1113" i="6"/>
  <c r="AI1675" i="6"/>
  <c r="AI1721" i="6"/>
  <c r="AI1767" i="6"/>
  <c r="AR1217" i="6"/>
  <c r="AK125" i="6"/>
  <c r="BA125" i="6"/>
  <c r="Z904" i="6"/>
  <c r="R904" i="6"/>
  <c r="Y904" i="6"/>
  <c r="P904" i="6"/>
  <c r="I950" i="6"/>
  <c r="X904" i="6"/>
  <c r="W904" i="6"/>
  <c r="V904" i="6"/>
  <c r="U904" i="6"/>
  <c r="T904" i="6"/>
  <c r="AA904" i="6"/>
  <c r="S904" i="6"/>
  <c r="Q904" i="6"/>
  <c r="AK117" i="6"/>
  <c r="BA117" i="6"/>
  <c r="AJ2089" i="6"/>
  <c r="AJ2135" i="6"/>
  <c r="AJ1456" i="6"/>
  <c r="AZ1456" i="6"/>
  <c r="AH1271" i="6"/>
  <c r="X1271" i="6"/>
  <c r="P1271" i="6"/>
  <c r="AA1271" i="6"/>
  <c r="S1271" i="6"/>
  <c r="AG1271" i="6"/>
  <c r="U1271" i="6"/>
  <c r="AF1271" i="6"/>
  <c r="T1271" i="6"/>
  <c r="R1271" i="6"/>
  <c r="Q1271" i="6"/>
  <c r="Z1271" i="6"/>
  <c r="Y1271" i="6"/>
  <c r="AI1271" i="6"/>
  <c r="W1271" i="6"/>
  <c r="V1271" i="6"/>
  <c r="AJ1271" i="6"/>
  <c r="I1317" i="6"/>
  <c r="F929" i="6"/>
  <c r="B883" i="6"/>
  <c r="X892" i="6"/>
  <c r="P892" i="6"/>
  <c r="W892" i="6"/>
  <c r="V892" i="6"/>
  <c r="U892" i="6"/>
  <c r="T892" i="6"/>
  <c r="I938" i="6"/>
  <c r="AA892" i="6"/>
  <c r="S892" i="6"/>
  <c r="Z892" i="6"/>
  <c r="Y892" i="6"/>
  <c r="R892" i="6"/>
  <c r="Q892" i="6"/>
  <c r="AB1267" i="6"/>
  <c r="AJ621" i="6"/>
  <c r="AJ1274" i="6" s="1"/>
  <c r="AZ621" i="6"/>
  <c r="AJ633" i="6"/>
  <c r="AZ633" i="6"/>
  <c r="AB841" i="6"/>
  <c r="AM2111" i="6"/>
  <c r="AM2157" i="6"/>
  <c r="F925" i="6"/>
  <c r="B879" i="6"/>
  <c r="F1300" i="6"/>
  <c r="AJ366" i="6"/>
  <c r="AJ412" i="6"/>
  <c r="AJ458" i="6"/>
  <c r="AJ1748" i="6"/>
  <c r="AJ1702" i="6"/>
  <c r="AJ1794" i="6"/>
  <c r="AB1240" i="6"/>
  <c r="I1332" i="6"/>
  <c r="AI1286" i="6"/>
  <c r="Y1286" i="6"/>
  <c r="Q1286" i="6"/>
  <c r="AH1286" i="6"/>
  <c r="X1286" i="6"/>
  <c r="P1286" i="6"/>
  <c r="AG1286" i="6"/>
  <c r="W1286" i="6"/>
  <c r="U1286" i="6"/>
  <c r="AA1286" i="6"/>
  <c r="S1286" i="6"/>
  <c r="T1286" i="6"/>
  <c r="R1286" i="6"/>
  <c r="AJ1286" i="6"/>
  <c r="AF1286" i="6"/>
  <c r="Z1286" i="6"/>
  <c r="V1286" i="6"/>
  <c r="AK129" i="6"/>
  <c r="BA129" i="6"/>
  <c r="B936" i="6"/>
  <c r="F982" i="6"/>
  <c r="B982" i="6" s="1"/>
  <c r="AB1213" i="6"/>
  <c r="AJ353" i="6"/>
  <c r="AJ399" i="6"/>
  <c r="AJ445" i="6"/>
  <c r="D942" i="6"/>
  <c r="J988" i="6"/>
  <c r="D988" i="6" s="1"/>
  <c r="AP1897" i="6"/>
  <c r="BF1897" i="6"/>
  <c r="AK620" i="6"/>
  <c r="BA620" i="6"/>
  <c r="I947" i="6"/>
  <c r="V901" i="6"/>
  <c r="U901" i="6"/>
  <c r="T901" i="6"/>
  <c r="AA901" i="6"/>
  <c r="S901" i="6"/>
  <c r="Z901" i="6"/>
  <c r="R901" i="6"/>
  <c r="Y901" i="6"/>
  <c r="Q901" i="6"/>
  <c r="X901" i="6"/>
  <c r="W901" i="6"/>
  <c r="P901" i="6"/>
  <c r="D909" i="6"/>
  <c r="J955" i="6"/>
  <c r="F1006" i="6"/>
  <c r="B960" i="6"/>
  <c r="AJ346" i="6"/>
  <c r="AJ392" i="6"/>
  <c r="AJ438" i="6"/>
  <c r="AJ637" i="6"/>
  <c r="AJ1290" i="6" s="1"/>
  <c r="AZ637" i="6"/>
  <c r="AZ1466" i="6"/>
  <c r="AJ1466" i="6"/>
  <c r="J1321" i="6"/>
  <c r="AT1321" i="6" s="1"/>
  <c r="AT1275" i="6"/>
  <c r="BA1894" i="6"/>
  <c r="AK1894" i="6"/>
  <c r="J1254" i="6"/>
  <c r="AT1208" i="6"/>
  <c r="AJ1464" i="6"/>
  <c r="AZ1464" i="6"/>
  <c r="AR1718" i="6"/>
  <c r="AQ2083" i="6"/>
  <c r="AR2083" i="6" s="1"/>
  <c r="AQ2129" i="6"/>
  <c r="AR2129" i="6" s="1"/>
  <c r="AK2106" i="6"/>
  <c r="AK2152" i="6"/>
  <c r="AJ1071" i="6"/>
  <c r="AJ1025" i="6"/>
  <c r="AJ1117" i="6"/>
  <c r="I1298" i="6"/>
  <c r="AG1252" i="6"/>
  <c r="W1252" i="6"/>
  <c r="AF1252" i="6"/>
  <c r="V1252" i="6"/>
  <c r="U1252" i="6"/>
  <c r="T1252" i="6"/>
  <c r="AA1252" i="6"/>
  <c r="S1252" i="6"/>
  <c r="AJ1252" i="6"/>
  <c r="Z1252" i="6"/>
  <c r="R1252" i="6"/>
  <c r="AH1252" i="6"/>
  <c r="Y1252" i="6"/>
  <c r="Q1252" i="6"/>
  <c r="P1252" i="6"/>
  <c r="AI1252" i="6"/>
  <c r="X1252" i="6"/>
  <c r="J985" i="6"/>
  <c r="D985" i="6" s="1"/>
  <c r="D939" i="6"/>
  <c r="AK600" i="6"/>
  <c r="BA600" i="6"/>
  <c r="AJ1460" i="6"/>
  <c r="AZ1460" i="6"/>
  <c r="I1316" i="6"/>
  <c r="AA1270" i="6"/>
  <c r="S1270" i="6"/>
  <c r="AF1270" i="6"/>
  <c r="U1270" i="6"/>
  <c r="T1270" i="6"/>
  <c r="R1270" i="6"/>
  <c r="Z1270" i="6"/>
  <c r="Q1270" i="6"/>
  <c r="AJ1270" i="6"/>
  <c r="Y1270" i="6"/>
  <c r="P1270" i="6"/>
  <c r="AI1270" i="6"/>
  <c r="X1270" i="6"/>
  <c r="AH1270" i="6"/>
  <c r="AG1270" i="6"/>
  <c r="W1270" i="6"/>
  <c r="V1270" i="6"/>
  <c r="B1215" i="6"/>
  <c r="B940" i="6"/>
  <c r="F986" i="6"/>
  <c r="B986" i="6" s="1"/>
  <c r="AK622" i="6"/>
  <c r="BA622" i="6"/>
  <c r="AL601" i="6"/>
  <c r="AL1250" i="6" s="1"/>
  <c r="BB601" i="6"/>
  <c r="AJ1049" i="6"/>
  <c r="AJ1095" i="6"/>
  <c r="AJ1141" i="6"/>
  <c r="I1307" i="6"/>
  <c r="AO1261" i="6"/>
  <c r="AG1261" i="6"/>
  <c r="W1261" i="6"/>
  <c r="AN1261" i="6"/>
  <c r="AF1261" i="6"/>
  <c r="V1261" i="6"/>
  <c r="AM1261" i="6"/>
  <c r="U1261" i="6"/>
  <c r="AL1261" i="6"/>
  <c r="T1261" i="6"/>
  <c r="AK1261" i="6"/>
  <c r="AA1261" i="6"/>
  <c r="S1261" i="6"/>
  <c r="AJ1261" i="6"/>
  <c r="Z1261" i="6"/>
  <c r="R1261" i="6"/>
  <c r="Q1261" i="6"/>
  <c r="P1261" i="6"/>
  <c r="AP1261" i="6"/>
  <c r="AI1261" i="6"/>
  <c r="AH1261" i="6"/>
  <c r="X1261" i="6"/>
  <c r="AQ1261" i="6"/>
  <c r="Y1261" i="6"/>
  <c r="AB1215" i="6"/>
  <c r="D940" i="6"/>
  <c r="J986" i="6"/>
  <c r="D986" i="6" s="1"/>
  <c r="I931" i="6"/>
  <c r="V885" i="6"/>
  <c r="U885" i="6"/>
  <c r="T885" i="6"/>
  <c r="AA885" i="6"/>
  <c r="S885" i="6"/>
  <c r="Z885" i="6"/>
  <c r="R885" i="6"/>
  <c r="Y885" i="6"/>
  <c r="Q885" i="6"/>
  <c r="X885" i="6"/>
  <c r="P885" i="6"/>
  <c r="W885" i="6"/>
  <c r="AK1447" i="6"/>
  <c r="BA1447" i="6"/>
  <c r="Z899" i="6"/>
  <c r="R899" i="6"/>
  <c r="Y899" i="6"/>
  <c r="Q899" i="6"/>
  <c r="X899" i="6"/>
  <c r="P899" i="6"/>
  <c r="W899" i="6"/>
  <c r="V899" i="6"/>
  <c r="I945" i="6"/>
  <c r="U899" i="6"/>
  <c r="AA899" i="6"/>
  <c r="T899" i="6"/>
  <c r="S899" i="6"/>
  <c r="X547" i="6"/>
  <c r="J970" i="6"/>
  <c r="D970" i="6" s="1"/>
  <c r="D924" i="6"/>
  <c r="B1223" i="6"/>
  <c r="AB1201" i="6"/>
  <c r="AM2109" i="6"/>
  <c r="AM2155" i="6"/>
  <c r="D941" i="6"/>
  <c r="J987" i="6"/>
  <c r="D987" i="6" s="1"/>
  <c r="AL638" i="6"/>
  <c r="BB638" i="6"/>
  <c r="J1302" i="6"/>
  <c r="AT1302" i="6" s="1"/>
  <c r="AT1256" i="6"/>
  <c r="AB1207" i="6"/>
  <c r="AJ1207" i="6"/>
  <c r="B952" i="6"/>
  <c r="F998" i="6"/>
  <c r="B998" i="6" s="1"/>
  <c r="J1319" i="6"/>
  <c r="AT1319" i="6" s="1"/>
  <c r="AT1273" i="6"/>
  <c r="AK120" i="6"/>
  <c r="BA120" i="6"/>
  <c r="AH1274" i="6"/>
  <c r="X1274" i="6"/>
  <c r="P1274" i="6"/>
  <c r="I1320" i="6"/>
  <c r="AA1274" i="6"/>
  <c r="S1274" i="6"/>
  <c r="R1274" i="6"/>
  <c r="Q1274" i="6"/>
  <c r="Z1274" i="6"/>
  <c r="Y1274" i="6"/>
  <c r="W1274" i="6"/>
  <c r="AI1274" i="6"/>
  <c r="V1274" i="6"/>
  <c r="AF1274" i="6"/>
  <c r="U1274" i="6"/>
  <c r="T1274" i="6"/>
  <c r="AG1274" i="6"/>
  <c r="B939" i="6"/>
  <c r="F985" i="6"/>
  <c r="B985" i="6" s="1"/>
  <c r="D937" i="6"/>
  <c r="J983" i="6"/>
  <c r="D983" i="6" s="1"/>
  <c r="F1327" i="6"/>
  <c r="B1327" i="6" s="1"/>
  <c r="B1281" i="6"/>
  <c r="J1006" i="6"/>
  <c r="D1006" i="6" s="1"/>
  <c r="D960" i="6"/>
  <c r="AK618" i="6"/>
  <c r="BA618" i="6"/>
  <c r="AJ1670" i="6"/>
  <c r="AJ1716" i="6"/>
  <c r="AJ1762" i="6"/>
  <c r="T898" i="6"/>
  <c r="AA898" i="6"/>
  <c r="S898" i="6"/>
  <c r="Z898" i="6"/>
  <c r="R898" i="6"/>
  <c r="Y898" i="6"/>
  <c r="Q898" i="6"/>
  <c r="I944" i="6"/>
  <c r="X898" i="6"/>
  <c r="P898" i="6"/>
  <c r="AB898" i="6" s="1"/>
  <c r="W898" i="6"/>
  <c r="U898" i="6"/>
  <c r="V898" i="6"/>
  <c r="AB831" i="6"/>
  <c r="AJ1450" i="6"/>
  <c r="AZ1450" i="6"/>
  <c r="J1299" i="6"/>
  <c r="AT1299" i="6" s="1"/>
  <c r="AT1253" i="6"/>
  <c r="X888" i="6"/>
  <c r="P888" i="6"/>
  <c r="I934" i="6"/>
  <c r="W888" i="6"/>
  <c r="V888" i="6"/>
  <c r="U888" i="6"/>
  <c r="T888" i="6"/>
  <c r="AA888" i="6"/>
  <c r="S888" i="6"/>
  <c r="Y888" i="6"/>
  <c r="R888" i="6"/>
  <c r="Q888" i="6"/>
  <c r="Z888" i="6"/>
  <c r="B905" i="6"/>
  <c r="AB1217" i="6"/>
  <c r="T874" i="6"/>
  <c r="AA874" i="6"/>
  <c r="S874" i="6"/>
  <c r="Y874" i="6"/>
  <c r="Q874" i="6"/>
  <c r="I920" i="6"/>
  <c r="X874" i="6"/>
  <c r="P874" i="6"/>
  <c r="W874" i="6"/>
  <c r="Z874" i="6"/>
  <c r="V874" i="6"/>
  <c r="U874" i="6"/>
  <c r="R874" i="6"/>
  <c r="F1003" i="6"/>
  <c r="B1003" i="6" s="1"/>
  <c r="B957" i="6"/>
  <c r="AI2093" i="6"/>
  <c r="AI2139" i="6"/>
  <c r="AB1208" i="6"/>
  <c r="AB851" i="6"/>
  <c r="AI2122" i="6"/>
  <c r="AI2168" i="6"/>
  <c r="F993" i="6"/>
  <c r="AJ343" i="6"/>
  <c r="AJ389" i="6"/>
  <c r="AJ435" i="6"/>
  <c r="AM1906" i="6"/>
  <c r="BC1906" i="6"/>
  <c r="AK118" i="6"/>
  <c r="BA118" i="6"/>
  <c r="J990" i="6"/>
  <c r="D990" i="6" s="1"/>
  <c r="D944" i="6"/>
  <c r="AR1898" i="6"/>
  <c r="J1260" i="6"/>
  <c r="AT1214" i="6"/>
  <c r="J1336" i="6"/>
  <c r="AT1336" i="6" s="1"/>
  <c r="AT1290" i="6"/>
  <c r="B1211" i="6"/>
  <c r="B992" i="6"/>
  <c r="AK1888" i="6"/>
  <c r="BA1888" i="6"/>
  <c r="F969" i="6"/>
  <c r="B923" i="6"/>
  <c r="I1303" i="6"/>
  <c r="AG1257" i="6"/>
  <c r="W1257" i="6"/>
  <c r="AF1257" i="6"/>
  <c r="V1257" i="6"/>
  <c r="U1257" i="6"/>
  <c r="T1257" i="6"/>
  <c r="AK1257" i="6"/>
  <c r="AA1257" i="6"/>
  <c r="S1257" i="6"/>
  <c r="AJ1257" i="6"/>
  <c r="Z1257" i="6"/>
  <c r="R1257" i="6"/>
  <c r="AI1257" i="6"/>
  <c r="AH1257" i="6"/>
  <c r="X1257" i="6"/>
  <c r="Q1257" i="6"/>
  <c r="P1257" i="6"/>
  <c r="Y1257" i="6"/>
  <c r="AB1223" i="6"/>
  <c r="AB1274" i="6" l="1"/>
  <c r="AM134" i="6"/>
  <c r="BC134" i="6"/>
  <c r="AL1459" i="6"/>
  <c r="BB1459" i="6"/>
  <c r="AJ1687" i="6"/>
  <c r="AJ1733" i="6"/>
  <c r="AJ1779" i="6"/>
  <c r="AJ2118" i="6"/>
  <c r="AJ2164" i="6"/>
  <c r="AJ2100" i="6"/>
  <c r="AJ2146" i="6"/>
  <c r="AN1432" i="6"/>
  <c r="BD1432" i="6"/>
  <c r="AK385" i="6"/>
  <c r="AK339" i="6"/>
  <c r="AK431" i="6"/>
  <c r="BA133" i="6"/>
  <c r="AK133" i="6"/>
  <c r="AG1294" i="6"/>
  <c r="W1294" i="6"/>
  <c r="AF1294" i="6"/>
  <c r="V1294" i="6"/>
  <c r="U1294" i="6"/>
  <c r="AL1294" i="6"/>
  <c r="AK1294" i="6"/>
  <c r="AA1294" i="6"/>
  <c r="S1294" i="6"/>
  <c r="AI1294" i="6"/>
  <c r="Y1294" i="6"/>
  <c r="Q1294" i="6"/>
  <c r="Z1294" i="6"/>
  <c r="X1294" i="6"/>
  <c r="T1294" i="6"/>
  <c r="R1294" i="6"/>
  <c r="P1294" i="6"/>
  <c r="AJ1294" i="6"/>
  <c r="AH1294" i="6"/>
  <c r="AJ1318" i="6"/>
  <c r="BC599" i="6"/>
  <c r="AM599" i="6"/>
  <c r="AM1294" i="6" s="1"/>
  <c r="AK357" i="6"/>
  <c r="AK403" i="6"/>
  <c r="AK449" i="6"/>
  <c r="AB874" i="6"/>
  <c r="AL618" i="6"/>
  <c r="BB618" i="6"/>
  <c r="AG1320" i="6"/>
  <c r="W1320" i="6"/>
  <c r="AJ1320" i="6"/>
  <c r="Y1320" i="6"/>
  <c r="P1320" i="6"/>
  <c r="AI1320" i="6"/>
  <c r="X1320" i="6"/>
  <c r="AH1320" i="6"/>
  <c r="V1320" i="6"/>
  <c r="AF1320" i="6"/>
  <c r="U1320" i="6"/>
  <c r="T1320" i="6"/>
  <c r="S1320" i="6"/>
  <c r="AA1320" i="6"/>
  <c r="R1320" i="6"/>
  <c r="Z1320" i="6"/>
  <c r="Q1320" i="6"/>
  <c r="AO1307" i="6"/>
  <c r="AG1307" i="6"/>
  <c r="W1307" i="6"/>
  <c r="AN1307" i="6"/>
  <c r="AF1307" i="6"/>
  <c r="V1307" i="6"/>
  <c r="AM1307" i="6"/>
  <c r="U1307" i="6"/>
  <c r="AL1307" i="6"/>
  <c r="T1307" i="6"/>
  <c r="AK1307" i="6"/>
  <c r="AA1307" i="6"/>
  <c r="S1307" i="6"/>
  <c r="AJ1307" i="6"/>
  <c r="Z1307" i="6"/>
  <c r="R1307" i="6"/>
  <c r="AQ1307" i="6"/>
  <c r="AI1307" i="6"/>
  <c r="Y1307" i="6"/>
  <c r="Q1307" i="6"/>
  <c r="P1307" i="6"/>
  <c r="AP1307" i="6"/>
  <c r="AH1307" i="6"/>
  <c r="X1307" i="6"/>
  <c r="AJ1699" i="6"/>
  <c r="AJ1745" i="6"/>
  <c r="AJ1791" i="6"/>
  <c r="F971" i="6"/>
  <c r="B971" i="6" s="1"/>
  <c r="B925" i="6"/>
  <c r="AJ1056" i="6"/>
  <c r="AJ1102" i="6"/>
  <c r="AJ1148" i="6"/>
  <c r="AJ1240" i="6"/>
  <c r="AB892" i="6"/>
  <c r="AK1456" i="6"/>
  <c r="BA1456" i="6"/>
  <c r="AB904" i="6"/>
  <c r="AK1273" i="6"/>
  <c r="AM1895" i="6"/>
  <c r="BC1895" i="6"/>
  <c r="AK1029" i="6"/>
  <c r="AK1075" i="6"/>
  <c r="AK1121" i="6"/>
  <c r="AK1213" i="6"/>
  <c r="AJ2093" i="6"/>
  <c r="AJ2139" i="6"/>
  <c r="AA954" i="6"/>
  <c r="S954" i="6"/>
  <c r="X954" i="6"/>
  <c r="W954" i="6"/>
  <c r="V954" i="6"/>
  <c r="U954" i="6"/>
  <c r="T954" i="6"/>
  <c r="R954" i="6"/>
  <c r="Z954" i="6"/>
  <c r="Y954" i="6"/>
  <c r="Q954" i="6"/>
  <c r="P954" i="6"/>
  <c r="I1000" i="6"/>
  <c r="AL373" i="6"/>
  <c r="AL419" i="6"/>
  <c r="AL465" i="6"/>
  <c r="AN2103" i="6"/>
  <c r="AN2149" i="6"/>
  <c r="AJ1673" i="6"/>
  <c r="AJ1719" i="6"/>
  <c r="AJ1765" i="6"/>
  <c r="B984" i="6"/>
  <c r="AJ2114" i="6"/>
  <c r="AJ2160" i="6"/>
  <c r="AB881" i="6"/>
  <c r="AK1027" i="6"/>
  <c r="AK1073" i="6"/>
  <c r="AK1119" i="6"/>
  <c r="AK1211" i="6"/>
  <c r="AK1323" i="6"/>
  <c r="AA1323" i="6"/>
  <c r="S1323" i="6"/>
  <c r="AG1323" i="6"/>
  <c r="W1323" i="6"/>
  <c r="AJ1323" i="6"/>
  <c r="X1323" i="6"/>
  <c r="AI1323" i="6"/>
  <c r="V1323" i="6"/>
  <c r="AH1323" i="6"/>
  <c r="U1323" i="6"/>
  <c r="AF1323" i="6"/>
  <c r="T1323" i="6"/>
  <c r="R1323" i="6"/>
  <c r="Q1323" i="6"/>
  <c r="Z1323" i="6"/>
  <c r="P1323" i="6"/>
  <c r="Y1323" i="6"/>
  <c r="Y963" i="6"/>
  <c r="Q963" i="6"/>
  <c r="Z963" i="6"/>
  <c r="P963" i="6"/>
  <c r="I1009" i="6"/>
  <c r="X963" i="6"/>
  <c r="W963" i="6"/>
  <c r="V963" i="6"/>
  <c r="U963" i="6"/>
  <c r="T963" i="6"/>
  <c r="R963" i="6"/>
  <c r="S963" i="6"/>
  <c r="AA963" i="6"/>
  <c r="J1317" i="6"/>
  <c r="AT1317" i="6" s="1"/>
  <c r="AT1271" i="6"/>
  <c r="AA1322" i="6"/>
  <c r="S1322" i="6"/>
  <c r="AG1322" i="6"/>
  <c r="W1322" i="6"/>
  <c r="AH1322" i="6"/>
  <c r="U1322" i="6"/>
  <c r="AF1322" i="6"/>
  <c r="T1322" i="6"/>
  <c r="R1322" i="6"/>
  <c r="Q1322" i="6"/>
  <c r="Z1322" i="6"/>
  <c r="P1322" i="6"/>
  <c r="Y1322" i="6"/>
  <c r="AJ1322" i="6"/>
  <c r="X1322" i="6"/>
  <c r="AI1322" i="6"/>
  <c r="V1322" i="6"/>
  <c r="AJ1046" i="6"/>
  <c r="AJ1092" i="6"/>
  <c r="AJ1138" i="6"/>
  <c r="AJ1230" i="6"/>
  <c r="AK1448" i="6"/>
  <c r="BA1448" i="6"/>
  <c r="AL1901" i="6"/>
  <c r="BB1901" i="6"/>
  <c r="AJ1679" i="6"/>
  <c r="AJ1771" i="6"/>
  <c r="AJ1725" i="6"/>
  <c r="AK363" i="6"/>
  <c r="AK409" i="6"/>
  <c r="AK455" i="6"/>
  <c r="BD1471" i="6"/>
  <c r="AN1471" i="6"/>
  <c r="AK1925" i="6"/>
  <c r="BA1925" i="6"/>
  <c r="AK1907" i="6"/>
  <c r="BA1907" i="6"/>
  <c r="BB100" i="6"/>
  <c r="AL100" i="6"/>
  <c r="AK1017" i="6"/>
  <c r="AK1063" i="6"/>
  <c r="AK1109" i="6"/>
  <c r="AK1201" i="6"/>
  <c r="AB1256" i="6"/>
  <c r="AL370" i="6"/>
  <c r="AL416" i="6"/>
  <c r="AL462" i="6"/>
  <c r="AL119" i="6"/>
  <c r="BB119" i="6"/>
  <c r="AO1309" i="6"/>
  <c r="AG1309" i="6"/>
  <c r="W1309" i="6"/>
  <c r="AN1309" i="6"/>
  <c r="AF1309" i="6"/>
  <c r="V1309" i="6"/>
  <c r="AM1309" i="6"/>
  <c r="U1309" i="6"/>
  <c r="AL1309" i="6"/>
  <c r="T1309" i="6"/>
  <c r="AK1309" i="6"/>
  <c r="AA1309" i="6"/>
  <c r="S1309" i="6"/>
  <c r="AJ1309" i="6"/>
  <c r="Z1309" i="6"/>
  <c r="R1309" i="6"/>
  <c r="AQ1309" i="6"/>
  <c r="AI1309" i="6"/>
  <c r="Y1309" i="6"/>
  <c r="Q1309" i="6"/>
  <c r="AP1309" i="6"/>
  <c r="AH1309" i="6"/>
  <c r="X1309" i="6"/>
  <c r="P1309" i="6"/>
  <c r="B1323" i="6"/>
  <c r="AJ372" i="6"/>
  <c r="AJ418" i="6"/>
  <c r="AJ464" i="6"/>
  <c r="AB1248" i="6"/>
  <c r="AJ334" i="6"/>
  <c r="AJ380" i="6"/>
  <c r="AJ426" i="6"/>
  <c r="AL632" i="6"/>
  <c r="BB632" i="6"/>
  <c r="AB1254" i="6"/>
  <c r="AG1300" i="6"/>
  <c r="W1300" i="6"/>
  <c r="AF1300" i="6"/>
  <c r="V1300" i="6"/>
  <c r="U1300" i="6"/>
  <c r="T1300" i="6"/>
  <c r="AA1300" i="6"/>
  <c r="S1300" i="6"/>
  <c r="AJ1300" i="6"/>
  <c r="Z1300" i="6"/>
  <c r="R1300" i="6"/>
  <c r="AI1300" i="6"/>
  <c r="Y1300" i="6"/>
  <c r="Q1300" i="6"/>
  <c r="AH1300" i="6"/>
  <c r="X1300" i="6"/>
  <c r="P1300" i="6"/>
  <c r="B1008" i="6"/>
  <c r="AP335" i="6"/>
  <c r="AP381" i="6"/>
  <c r="AP427" i="6"/>
  <c r="AK619" i="6"/>
  <c r="BA619" i="6"/>
  <c r="AB893" i="6"/>
  <c r="AK341" i="6"/>
  <c r="AK387" i="6"/>
  <c r="AK433" i="6"/>
  <c r="B976" i="6"/>
  <c r="AL121" i="6"/>
  <c r="BB121" i="6"/>
  <c r="AK1057" i="6"/>
  <c r="AK1103" i="6"/>
  <c r="AK1149" i="6"/>
  <c r="AK1241" i="6"/>
  <c r="AJ1681" i="6"/>
  <c r="AJ1727" i="6"/>
  <c r="AJ1773" i="6"/>
  <c r="AL111" i="6"/>
  <c r="BB111" i="6"/>
  <c r="AK389" i="6"/>
  <c r="AK343" i="6"/>
  <c r="AK435" i="6"/>
  <c r="AK1049" i="6"/>
  <c r="AK1095" i="6"/>
  <c r="AK1141" i="6"/>
  <c r="AK1233" i="6"/>
  <c r="AK1025" i="6"/>
  <c r="AK1071" i="6"/>
  <c r="AK1117" i="6"/>
  <c r="AK1209" i="6"/>
  <c r="AL99" i="6"/>
  <c r="BB99" i="6"/>
  <c r="B970" i="6"/>
  <c r="AN2111" i="6"/>
  <c r="AN2157" i="6"/>
  <c r="AN1926" i="6"/>
  <c r="BD1926" i="6"/>
  <c r="AK1674" i="6"/>
  <c r="AK1720" i="6"/>
  <c r="AK1766" i="6"/>
  <c r="AK1313" i="6"/>
  <c r="BB106" i="6"/>
  <c r="AL106" i="6"/>
  <c r="B988" i="6"/>
  <c r="J989" i="6"/>
  <c r="D989" i="6" s="1"/>
  <c r="D943" i="6"/>
  <c r="AK1903" i="6"/>
  <c r="BA1903" i="6"/>
  <c r="AT1247" i="6"/>
  <c r="J1293" i="6"/>
  <c r="AT1293" i="6" s="1"/>
  <c r="AK2081" i="6"/>
  <c r="AK2127" i="6"/>
  <c r="AN1906" i="6"/>
  <c r="BD1906" i="6"/>
  <c r="AK1464" i="6"/>
  <c r="BA1464" i="6"/>
  <c r="Y947" i="6"/>
  <c r="Q947" i="6"/>
  <c r="Z947" i="6"/>
  <c r="P947" i="6"/>
  <c r="X947" i="6"/>
  <c r="W947" i="6"/>
  <c r="V947" i="6"/>
  <c r="U947" i="6"/>
  <c r="I993" i="6"/>
  <c r="T947" i="6"/>
  <c r="R947" i="6"/>
  <c r="S947" i="6"/>
  <c r="AA947" i="6"/>
  <c r="AB915" i="6"/>
  <c r="AB1251" i="6"/>
  <c r="J981" i="6"/>
  <c r="D981" i="6" s="1"/>
  <c r="D935" i="6"/>
  <c r="BB110" i="6"/>
  <c r="AL110" i="6"/>
  <c r="AL1914" i="6"/>
  <c r="BB1914" i="6"/>
  <c r="J1313" i="6"/>
  <c r="AT1313" i="6" s="1"/>
  <c r="AT1267" i="6"/>
  <c r="F983" i="6"/>
  <c r="B983" i="6" s="1"/>
  <c r="B937" i="6"/>
  <c r="AL1463" i="6"/>
  <c r="BB1463" i="6"/>
  <c r="U929" i="6"/>
  <c r="X929" i="6"/>
  <c r="W929" i="6"/>
  <c r="V929" i="6"/>
  <c r="T929" i="6"/>
  <c r="S929" i="6"/>
  <c r="AA929" i="6"/>
  <c r="R929" i="6"/>
  <c r="Z929" i="6"/>
  <c r="Y929" i="6"/>
  <c r="I975" i="6"/>
  <c r="Q929" i="6"/>
  <c r="P929" i="6"/>
  <c r="BB126" i="6"/>
  <c r="AL126" i="6"/>
  <c r="AK413" i="6"/>
  <c r="AK367" i="6"/>
  <c r="AK459" i="6"/>
  <c r="F979" i="6"/>
  <c r="B979" i="6" s="1"/>
  <c r="B933" i="6"/>
  <c r="AL1291" i="6"/>
  <c r="AK397" i="6"/>
  <c r="AK351" i="6"/>
  <c r="AK443" i="6"/>
  <c r="AB1327" i="6"/>
  <c r="B996" i="6"/>
  <c r="AK1744" i="6"/>
  <c r="AK1698" i="6"/>
  <c r="AK1790" i="6"/>
  <c r="J969" i="6"/>
  <c r="D969" i="6" s="1"/>
  <c r="D923" i="6"/>
  <c r="AJ376" i="6"/>
  <c r="AJ422" i="6"/>
  <c r="AJ468" i="6"/>
  <c r="AM1711" i="6"/>
  <c r="AM1757" i="6"/>
  <c r="AM1803" i="6"/>
  <c r="AM1671" i="6"/>
  <c r="AM1717" i="6"/>
  <c r="AM1763" i="6"/>
  <c r="W948" i="6"/>
  <c r="AA948" i="6"/>
  <c r="R948" i="6"/>
  <c r="Z948" i="6"/>
  <c r="Q948" i="6"/>
  <c r="Y948" i="6"/>
  <c r="P948" i="6"/>
  <c r="X948" i="6"/>
  <c r="V948" i="6"/>
  <c r="U948" i="6"/>
  <c r="I994" i="6"/>
  <c r="T948" i="6"/>
  <c r="S948" i="6"/>
  <c r="AL123" i="6"/>
  <c r="BB123" i="6"/>
  <c r="AP2104" i="6"/>
  <c r="AP2150" i="6"/>
  <c r="AR1911" i="6"/>
  <c r="AK1738" i="6"/>
  <c r="AK1692" i="6"/>
  <c r="AK1784" i="6"/>
  <c r="AJ1048" i="6"/>
  <c r="AJ1094" i="6"/>
  <c r="AJ1140" i="6"/>
  <c r="AJ1232" i="6"/>
  <c r="AB1258" i="6"/>
  <c r="AG1304" i="6"/>
  <c r="W1304" i="6"/>
  <c r="AF1304" i="6"/>
  <c r="V1304" i="6"/>
  <c r="U1304" i="6"/>
  <c r="T1304" i="6"/>
  <c r="AA1304" i="6"/>
  <c r="S1304" i="6"/>
  <c r="AJ1304" i="6"/>
  <c r="Z1304" i="6"/>
  <c r="R1304" i="6"/>
  <c r="AI1304" i="6"/>
  <c r="Y1304" i="6"/>
  <c r="Q1304" i="6"/>
  <c r="AH1304" i="6"/>
  <c r="X1304" i="6"/>
  <c r="P1304" i="6"/>
  <c r="AJ2124" i="6"/>
  <c r="AJ2170" i="6"/>
  <c r="AL630" i="6"/>
  <c r="BB630" i="6"/>
  <c r="AJ2096" i="6"/>
  <c r="AJ2142" i="6"/>
  <c r="AB1321" i="6"/>
  <c r="AA942" i="6"/>
  <c r="S942" i="6"/>
  <c r="T942" i="6"/>
  <c r="R942" i="6"/>
  <c r="Z942" i="6"/>
  <c r="Q942" i="6"/>
  <c r="Y942" i="6"/>
  <c r="P942" i="6"/>
  <c r="X942" i="6"/>
  <c r="W942" i="6"/>
  <c r="V942" i="6"/>
  <c r="I988" i="6"/>
  <c r="U942" i="6"/>
  <c r="AJ1691" i="6"/>
  <c r="AJ1737" i="6"/>
  <c r="AJ1783" i="6"/>
  <c r="AB1290" i="6"/>
  <c r="AA1336" i="6"/>
  <c r="S1336" i="6"/>
  <c r="AJ1336" i="6"/>
  <c r="Z1336" i="6"/>
  <c r="R1336" i="6"/>
  <c r="AI1336" i="6"/>
  <c r="Y1336" i="6"/>
  <c r="Q1336" i="6"/>
  <c r="AG1336" i="6"/>
  <c r="W1336" i="6"/>
  <c r="V1336" i="6"/>
  <c r="U1336" i="6"/>
  <c r="T1336" i="6"/>
  <c r="AH1336" i="6"/>
  <c r="P1336" i="6"/>
  <c r="AB1336" i="6" s="1"/>
  <c r="AF1336" i="6"/>
  <c r="X1336" i="6"/>
  <c r="BB108" i="6"/>
  <c r="AL108" i="6"/>
  <c r="AL1461" i="6"/>
  <c r="BB1461" i="6"/>
  <c r="AB897" i="6"/>
  <c r="AM2115" i="6"/>
  <c r="AM2161" i="6"/>
  <c r="AM2105" i="6"/>
  <c r="AM2151" i="6"/>
  <c r="AK1021" i="6"/>
  <c r="AK1067" i="6"/>
  <c r="AK1113" i="6"/>
  <c r="AK1205" i="6"/>
  <c r="AK1684" i="6"/>
  <c r="AK1730" i="6"/>
  <c r="AK1776" i="6"/>
  <c r="BA130" i="6"/>
  <c r="AK130" i="6"/>
  <c r="BE1470" i="6"/>
  <c r="AO1470" i="6"/>
  <c r="AL1451" i="6"/>
  <c r="BB1451" i="6"/>
  <c r="AO1308" i="6"/>
  <c r="AG1308" i="6"/>
  <c r="W1308" i="6"/>
  <c r="AN1308" i="6"/>
  <c r="AF1308" i="6"/>
  <c r="V1308" i="6"/>
  <c r="AM1308" i="6"/>
  <c r="U1308" i="6"/>
  <c r="AL1308" i="6"/>
  <c r="T1308" i="6"/>
  <c r="AK1308" i="6"/>
  <c r="AA1308" i="6"/>
  <c r="S1308" i="6"/>
  <c r="AJ1308" i="6"/>
  <c r="Z1308" i="6"/>
  <c r="R1308" i="6"/>
  <c r="AQ1308" i="6"/>
  <c r="AI1308" i="6"/>
  <c r="Y1308" i="6"/>
  <c r="Q1308" i="6"/>
  <c r="AH1308" i="6"/>
  <c r="X1308" i="6"/>
  <c r="P1308" i="6"/>
  <c r="AP1308" i="6"/>
  <c r="AK635" i="6"/>
  <c r="BA635" i="6"/>
  <c r="AL604" i="6"/>
  <c r="BB604" i="6"/>
  <c r="AK1039" i="6"/>
  <c r="AK1085" i="6"/>
  <c r="AK1131" i="6"/>
  <c r="AK1223" i="6"/>
  <c r="AA1326" i="6"/>
  <c r="S1326" i="6"/>
  <c r="AJ1326" i="6"/>
  <c r="Z1326" i="6"/>
  <c r="R1326" i="6"/>
  <c r="AG1326" i="6"/>
  <c r="W1326" i="6"/>
  <c r="Y1326" i="6"/>
  <c r="X1326" i="6"/>
  <c r="V1326" i="6"/>
  <c r="AI1326" i="6"/>
  <c r="U1326" i="6"/>
  <c r="AH1326" i="6"/>
  <c r="T1326" i="6"/>
  <c r="AF1326" i="6"/>
  <c r="Q1326" i="6"/>
  <c r="P1326" i="6"/>
  <c r="AJ2122" i="6"/>
  <c r="AJ2168" i="6"/>
  <c r="AO1310" i="6"/>
  <c r="AG1310" i="6"/>
  <c r="W1310" i="6"/>
  <c r="AN1310" i="6"/>
  <c r="AF1310" i="6"/>
  <c r="V1310" i="6"/>
  <c r="AM1310" i="6"/>
  <c r="U1310" i="6"/>
  <c r="AL1310" i="6"/>
  <c r="T1310" i="6"/>
  <c r="AK1310" i="6"/>
  <c r="AA1310" i="6"/>
  <c r="S1310" i="6"/>
  <c r="AJ1310" i="6"/>
  <c r="Z1310" i="6"/>
  <c r="R1310" i="6"/>
  <c r="AQ1310" i="6"/>
  <c r="AI1310" i="6"/>
  <c r="Y1310" i="6"/>
  <c r="Q1310" i="6"/>
  <c r="AP1310" i="6"/>
  <c r="AH1310" i="6"/>
  <c r="X1310" i="6"/>
  <c r="P1310" i="6"/>
  <c r="AB1310" i="6" s="1"/>
  <c r="AB1255" i="6"/>
  <c r="AL2106" i="6"/>
  <c r="AL2152" i="6"/>
  <c r="AK617" i="6"/>
  <c r="BA617" i="6"/>
  <c r="AK353" i="6"/>
  <c r="AK399" i="6"/>
  <c r="AK445" i="6"/>
  <c r="U953" i="6"/>
  <c r="X953" i="6"/>
  <c r="W953" i="6"/>
  <c r="V953" i="6"/>
  <c r="T953" i="6"/>
  <c r="S953" i="6"/>
  <c r="I999" i="6"/>
  <c r="AA953" i="6"/>
  <c r="R953" i="6"/>
  <c r="Y953" i="6"/>
  <c r="Q953" i="6"/>
  <c r="P953" i="6"/>
  <c r="Z953" i="6"/>
  <c r="AL1018" i="6"/>
  <c r="AL1064" i="6"/>
  <c r="AL1110" i="6"/>
  <c r="AL1202" i="6"/>
  <c r="AK1438" i="6"/>
  <c r="BA1438" i="6"/>
  <c r="AB1252" i="6"/>
  <c r="AJ1695" i="6"/>
  <c r="AJ1741" i="6"/>
  <c r="AJ1787" i="6"/>
  <c r="AB1273" i="6"/>
  <c r="AL2088" i="6"/>
  <c r="AL2134" i="6"/>
  <c r="AA958" i="6"/>
  <c r="S958" i="6"/>
  <c r="T958" i="6"/>
  <c r="R958" i="6"/>
  <c r="Z958" i="6"/>
  <c r="Q958" i="6"/>
  <c r="I1004" i="6"/>
  <c r="Y958" i="6"/>
  <c r="P958" i="6"/>
  <c r="X958" i="6"/>
  <c r="W958" i="6"/>
  <c r="V958" i="6"/>
  <c r="U958" i="6"/>
  <c r="BB112" i="6"/>
  <c r="AL112" i="6"/>
  <c r="AL1453" i="6"/>
  <c r="BB1453" i="6"/>
  <c r="AB1249" i="6"/>
  <c r="AG1295" i="6"/>
  <c r="W1295" i="6"/>
  <c r="AF1295" i="6"/>
  <c r="V1295" i="6"/>
  <c r="U1295" i="6"/>
  <c r="T1295" i="6"/>
  <c r="AK1295" i="6"/>
  <c r="AA1295" i="6"/>
  <c r="S1295" i="6"/>
  <c r="AI1295" i="6"/>
  <c r="Y1295" i="6"/>
  <c r="Q1295" i="6"/>
  <c r="P1295" i="6"/>
  <c r="AJ1295" i="6"/>
  <c r="AH1295" i="6"/>
  <c r="Z1295" i="6"/>
  <c r="X1295" i="6"/>
  <c r="R1295" i="6"/>
  <c r="J997" i="6"/>
  <c r="D997" i="6" s="1"/>
  <c r="D951" i="6"/>
  <c r="AJ1042" i="6"/>
  <c r="AJ1088" i="6"/>
  <c r="AJ1134" i="6"/>
  <c r="AJ1226" i="6"/>
  <c r="AJ1272" i="6"/>
  <c r="AL616" i="6"/>
  <c r="BB616" i="6"/>
  <c r="AK1929" i="6"/>
  <c r="BA1929" i="6"/>
  <c r="J993" i="6"/>
  <c r="D993" i="6" s="1"/>
  <c r="D947" i="6"/>
  <c r="BB114" i="6"/>
  <c r="AL114" i="6"/>
  <c r="AK345" i="6"/>
  <c r="AK391" i="6"/>
  <c r="AK437" i="6"/>
  <c r="AK1019" i="6"/>
  <c r="AK1065" i="6"/>
  <c r="AK1111" i="6"/>
  <c r="AK1203" i="6"/>
  <c r="W944" i="6"/>
  <c r="V944" i="6"/>
  <c r="U944" i="6"/>
  <c r="I990" i="6"/>
  <c r="T944" i="6"/>
  <c r="S944" i="6"/>
  <c r="AA944" i="6"/>
  <c r="R944" i="6"/>
  <c r="Z944" i="6"/>
  <c r="Q944" i="6"/>
  <c r="Y944" i="6"/>
  <c r="X944" i="6"/>
  <c r="P944" i="6"/>
  <c r="AL129" i="6"/>
  <c r="BB129" i="6"/>
  <c r="AA938" i="6"/>
  <c r="S938" i="6"/>
  <c r="X938" i="6"/>
  <c r="W938" i="6"/>
  <c r="I984" i="6"/>
  <c r="V938" i="6"/>
  <c r="U938" i="6"/>
  <c r="T938" i="6"/>
  <c r="R938" i="6"/>
  <c r="Z938" i="6"/>
  <c r="Y938" i="6"/>
  <c r="Q938" i="6"/>
  <c r="P938" i="6"/>
  <c r="AB938" i="6" s="1"/>
  <c r="F975" i="6"/>
  <c r="B975" i="6" s="1"/>
  <c r="B929" i="6"/>
  <c r="AB1271" i="6"/>
  <c r="AL1441" i="6"/>
  <c r="BB1441" i="6"/>
  <c r="AB1269" i="6"/>
  <c r="AG1315" i="6"/>
  <c r="W1315" i="6"/>
  <c r="AI1315" i="6"/>
  <c r="X1315" i="6"/>
  <c r="AH1315" i="6"/>
  <c r="V1315" i="6"/>
  <c r="AF1315" i="6"/>
  <c r="U1315" i="6"/>
  <c r="T1315" i="6"/>
  <c r="S1315" i="6"/>
  <c r="AL1315" i="6"/>
  <c r="AA1315" i="6"/>
  <c r="R1315" i="6"/>
  <c r="AK1315" i="6"/>
  <c r="Z1315" i="6"/>
  <c r="Q1315" i="6"/>
  <c r="P1315" i="6"/>
  <c r="AJ1315" i="6"/>
  <c r="Y1315" i="6"/>
  <c r="B1302" i="6"/>
  <c r="AK349" i="6"/>
  <c r="AK395" i="6"/>
  <c r="AK441" i="6"/>
  <c r="AK2107" i="6"/>
  <c r="AK2153" i="6"/>
  <c r="AA922" i="6"/>
  <c r="S922" i="6"/>
  <c r="X922" i="6"/>
  <c r="W922" i="6"/>
  <c r="V922" i="6"/>
  <c r="U922" i="6"/>
  <c r="T922" i="6"/>
  <c r="R922" i="6"/>
  <c r="Z922" i="6"/>
  <c r="I968" i="6"/>
  <c r="Y922" i="6"/>
  <c r="Q922" i="6"/>
  <c r="P922" i="6"/>
  <c r="AB894" i="6"/>
  <c r="AK1702" i="6"/>
  <c r="AK1748" i="6"/>
  <c r="AK1794" i="6"/>
  <c r="AK365" i="6"/>
  <c r="AK411" i="6"/>
  <c r="AK457" i="6"/>
  <c r="AN135" i="6"/>
  <c r="BD135" i="6"/>
  <c r="AK609" i="6"/>
  <c r="AK1304" i="6" s="1"/>
  <c r="BA609" i="6"/>
  <c r="BA137" i="6"/>
  <c r="AK137" i="6"/>
  <c r="BC1889" i="6"/>
  <c r="AM1889" i="6"/>
  <c r="BB98" i="6"/>
  <c r="AL98" i="6"/>
  <c r="AN1472" i="6"/>
  <c r="BD1472" i="6"/>
  <c r="AB1247" i="6"/>
  <c r="AL1449" i="6"/>
  <c r="BB1449" i="6"/>
  <c r="AK362" i="6"/>
  <c r="AK408" i="6"/>
  <c r="AK454" i="6"/>
  <c r="AK1909" i="6"/>
  <c r="BA1909" i="6"/>
  <c r="AM138" i="6"/>
  <c r="BC138" i="6"/>
  <c r="AL614" i="6"/>
  <c r="BB614" i="6"/>
  <c r="AB895" i="6"/>
  <c r="AK1931" i="6"/>
  <c r="BA1931" i="6"/>
  <c r="AK1053" i="6"/>
  <c r="AK1099" i="6"/>
  <c r="AK1145" i="6"/>
  <c r="AK1237" i="6"/>
  <c r="AR1263" i="6"/>
  <c r="AN1908" i="6"/>
  <c r="BD1908" i="6"/>
  <c r="B935" i="6"/>
  <c r="AB896" i="6"/>
  <c r="AL1896" i="6"/>
  <c r="BB1896" i="6"/>
  <c r="AK347" i="6"/>
  <c r="AK393" i="6"/>
  <c r="AK439" i="6"/>
  <c r="B1329" i="6"/>
  <c r="AK1746" i="6"/>
  <c r="AK1700" i="6"/>
  <c r="AK1792" i="6"/>
  <c r="AK631" i="6"/>
  <c r="BA631" i="6"/>
  <c r="AL1439" i="6"/>
  <c r="BB1439" i="6"/>
  <c r="AN1922" i="6"/>
  <c r="BD1922" i="6"/>
  <c r="AB1250" i="6"/>
  <c r="U921" i="6"/>
  <c r="X921" i="6"/>
  <c r="W921" i="6"/>
  <c r="V921" i="6"/>
  <c r="T921" i="6"/>
  <c r="S921" i="6"/>
  <c r="I967" i="6"/>
  <c r="AA921" i="6"/>
  <c r="R921" i="6"/>
  <c r="Y921" i="6"/>
  <c r="Q921" i="6"/>
  <c r="P921" i="6"/>
  <c r="AB921" i="6" s="1"/>
  <c r="Z921" i="6"/>
  <c r="AN1912" i="6"/>
  <c r="BD1912" i="6"/>
  <c r="AK1444" i="6"/>
  <c r="BA1444" i="6"/>
  <c r="AG1312" i="6"/>
  <c r="W1312" i="6"/>
  <c r="AF1312" i="6"/>
  <c r="V1312" i="6"/>
  <c r="U1312" i="6"/>
  <c r="T1312" i="6"/>
  <c r="AA1312" i="6"/>
  <c r="S1312" i="6"/>
  <c r="AJ1312" i="6"/>
  <c r="Z1312" i="6"/>
  <c r="R1312" i="6"/>
  <c r="AI1312" i="6"/>
  <c r="Y1312" i="6"/>
  <c r="Q1312" i="6"/>
  <c r="AH1312" i="6"/>
  <c r="X1312" i="6"/>
  <c r="P1312" i="6"/>
  <c r="AK1458" i="6"/>
  <c r="BA1458" i="6"/>
  <c r="AN1709" i="6"/>
  <c r="AN1755" i="6"/>
  <c r="AN1801" i="6"/>
  <c r="AL1920" i="6"/>
  <c r="BB1920" i="6"/>
  <c r="AK1690" i="6"/>
  <c r="AK1736" i="6"/>
  <c r="AK1782" i="6"/>
  <c r="B1299" i="6"/>
  <c r="AB1262" i="6"/>
  <c r="B1000" i="6"/>
  <c r="AJ1058" i="6"/>
  <c r="AJ1104" i="6"/>
  <c r="AJ1150" i="6"/>
  <c r="AJ1242" i="6"/>
  <c r="AK1023" i="6"/>
  <c r="AK1069" i="6"/>
  <c r="AK1115" i="6"/>
  <c r="AK1207" i="6"/>
  <c r="AB914" i="6"/>
  <c r="AA962" i="6"/>
  <c r="S962" i="6"/>
  <c r="I1008" i="6"/>
  <c r="X962" i="6"/>
  <c r="W962" i="6"/>
  <c r="V962" i="6"/>
  <c r="U962" i="6"/>
  <c r="T962" i="6"/>
  <c r="R962" i="6"/>
  <c r="Z962" i="6"/>
  <c r="Y962" i="6"/>
  <c r="P962" i="6"/>
  <c r="Q962" i="6"/>
  <c r="BD136" i="6"/>
  <c r="AN136" i="6"/>
  <c r="AL1924" i="6"/>
  <c r="BB1924" i="6"/>
  <c r="BC1928" i="6"/>
  <c r="AM1928" i="6"/>
  <c r="AB1280" i="6"/>
  <c r="AL1437" i="6"/>
  <c r="BB1437" i="6"/>
  <c r="AL109" i="6"/>
  <c r="BB109" i="6"/>
  <c r="AB903" i="6"/>
  <c r="W952" i="6"/>
  <c r="V952" i="6"/>
  <c r="U952" i="6"/>
  <c r="T952" i="6"/>
  <c r="S952" i="6"/>
  <c r="I998" i="6"/>
  <c r="AA952" i="6"/>
  <c r="R952" i="6"/>
  <c r="Z952" i="6"/>
  <c r="Q952" i="6"/>
  <c r="P952" i="6"/>
  <c r="X952" i="6"/>
  <c r="Y952" i="6"/>
  <c r="AJ1278" i="6"/>
  <c r="AB1278" i="6"/>
  <c r="AB913" i="6"/>
  <c r="BC1913" i="6"/>
  <c r="AM1913" i="6"/>
  <c r="AJ1040" i="6"/>
  <c r="AJ1086" i="6"/>
  <c r="AJ1132" i="6"/>
  <c r="AJ1224" i="6"/>
  <c r="AG1311" i="6"/>
  <c r="W1311" i="6"/>
  <c r="AF1311" i="6"/>
  <c r="V1311" i="6"/>
  <c r="U1311" i="6"/>
  <c r="T1311" i="6"/>
  <c r="AK1311" i="6"/>
  <c r="AA1311" i="6"/>
  <c r="S1311" i="6"/>
  <c r="AJ1311" i="6"/>
  <c r="Z1311" i="6"/>
  <c r="R1311" i="6"/>
  <c r="AI1311" i="6"/>
  <c r="Y1311" i="6"/>
  <c r="Q1311" i="6"/>
  <c r="P1311" i="6"/>
  <c r="AH1311" i="6"/>
  <c r="X1311" i="6"/>
  <c r="AB907" i="6"/>
  <c r="U937" i="6"/>
  <c r="X937" i="6"/>
  <c r="I983" i="6"/>
  <c r="W937" i="6"/>
  <c r="V937" i="6"/>
  <c r="T937" i="6"/>
  <c r="S937" i="6"/>
  <c r="AA937" i="6"/>
  <c r="R937" i="6"/>
  <c r="Y937" i="6"/>
  <c r="Q937" i="6"/>
  <c r="P937" i="6"/>
  <c r="Z937" i="6"/>
  <c r="BC1930" i="6"/>
  <c r="AM1930" i="6"/>
  <c r="AB1313" i="6"/>
  <c r="AJ1677" i="6"/>
  <c r="AJ1723" i="6"/>
  <c r="AJ1769" i="6"/>
  <c r="B968" i="6"/>
  <c r="B1325" i="6"/>
  <c r="AB885" i="6"/>
  <c r="AK1325" i="6"/>
  <c r="AA1325" i="6"/>
  <c r="S1325" i="6"/>
  <c r="AJ1325" i="6"/>
  <c r="Z1325" i="6"/>
  <c r="R1325" i="6"/>
  <c r="AG1325" i="6"/>
  <c r="W1325" i="6"/>
  <c r="Y1325" i="6"/>
  <c r="X1325" i="6"/>
  <c r="V1325" i="6"/>
  <c r="AI1325" i="6"/>
  <c r="U1325" i="6"/>
  <c r="AH1325" i="6"/>
  <c r="T1325" i="6"/>
  <c r="AF1325" i="6"/>
  <c r="Q1325" i="6"/>
  <c r="P1325" i="6"/>
  <c r="BB128" i="6"/>
  <c r="AL128" i="6"/>
  <c r="B1294" i="6"/>
  <c r="AG1302" i="6"/>
  <c r="W1302" i="6"/>
  <c r="AF1302" i="6"/>
  <c r="V1302" i="6"/>
  <c r="U1302" i="6"/>
  <c r="T1302" i="6"/>
  <c r="AA1302" i="6"/>
  <c r="S1302" i="6"/>
  <c r="AJ1302" i="6"/>
  <c r="Z1302" i="6"/>
  <c r="R1302" i="6"/>
  <c r="AI1302" i="6"/>
  <c r="Y1302" i="6"/>
  <c r="Q1302" i="6"/>
  <c r="AH1302" i="6"/>
  <c r="X1302" i="6"/>
  <c r="P1302" i="6"/>
  <c r="AK406" i="6"/>
  <c r="AK360" i="6"/>
  <c r="AK452" i="6"/>
  <c r="AK350" i="6"/>
  <c r="AK396" i="6"/>
  <c r="AK442" i="6"/>
  <c r="AM638" i="6"/>
  <c r="BC638" i="6"/>
  <c r="J1306" i="6"/>
  <c r="AT1306" i="6" s="1"/>
  <c r="AT1260" i="6"/>
  <c r="AM2099" i="6"/>
  <c r="AM2145" i="6"/>
  <c r="AL1061" i="6"/>
  <c r="AL1107" i="6"/>
  <c r="AL1153" i="6"/>
  <c r="AL1245" i="6"/>
  <c r="U945" i="6"/>
  <c r="X945" i="6"/>
  <c r="W945" i="6"/>
  <c r="V945" i="6"/>
  <c r="I991" i="6"/>
  <c r="T945" i="6"/>
  <c r="S945" i="6"/>
  <c r="AA945" i="6"/>
  <c r="R945" i="6"/>
  <c r="Z945" i="6"/>
  <c r="Y945" i="6"/>
  <c r="Q945" i="6"/>
  <c r="P945" i="6"/>
  <c r="AB1270" i="6"/>
  <c r="B1006" i="6"/>
  <c r="AJ1735" i="6"/>
  <c r="AJ1689" i="6"/>
  <c r="AJ1781" i="6"/>
  <c r="AK637" i="6"/>
  <c r="BA637" i="6"/>
  <c r="J1001" i="6"/>
  <c r="D1001" i="6" s="1"/>
  <c r="D955" i="6"/>
  <c r="AK1043" i="6"/>
  <c r="AK1089" i="6"/>
  <c r="AK1135" i="6"/>
  <c r="AK1227" i="6"/>
  <c r="AK368" i="6"/>
  <c r="AK414" i="6"/>
  <c r="AK460" i="6"/>
  <c r="AL125" i="6"/>
  <c r="BB125" i="6"/>
  <c r="AK1680" i="6"/>
  <c r="AK1726" i="6"/>
  <c r="AK1772" i="6"/>
  <c r="AK1670" i="6"/>
  <c r="AK1716" i="6"/>
  <c r="AK1762" i="6"/>
  <c r="W940" i="6"/>
  <c r="AA940" i="6"/>
  <c r="R940" i="6"/>
  <c r="Z940" i="6"/>
  <c r="Q940" i="6"/>
  <c r="Y940" i="6"/>
  <c r="P940" i="6"/>
  <c r="X940" i="6"/>
  <c r="V940" i="6"/>
  <c r="I986" i="6"/>
  <c r="U940" i="6"/>
  <c r="T940" i="6"/>
  <c r="S940" i="6"/>
  <c r="Y927" i="6"/>
  <c r="Q927" i="6"/>
  <c r="U927" i="6"/>
  <c r="T927" i="6"/>
  <c r="S927" i="6"/>
  <c r="AA927" i="6"/>
  <c r="R927" i="6"/>
  <c r="I973" i="6"/>
  <c r="Z927" i="6"/>
  <c r="P927" i="6"/>
  <c r="X927" i="6"/>
  <c r="W927" i="6"/>
  <c r="V927" i="6"/>
  <c r="AL127" i="6"/>
  <c r="BB127" i="6"/>
  <c r="AL612" i="6"/>
  <c r="AL1311" i="6" s="1"/>
  <c r="BB612" i="6"/>
  <c r="AB1277" i="6"/>
  <c r="B1298" i="6"/>
  <c r="AK2095" i="6"/>
  <c r="AK2141" i="6"/>
  <c r="AM374" i="6"/>
  <c r="AM420" i="6"/>
  <c r="AM466" i="6"/>
  <c r="AB1276" i="6"/>
  <c r="AJ1028" i="6"/>
  <c r="AJ1074" i="6"/>
  <c r="AJ1120" i="6"/>
  <c r="AJ1212" i="6"/>
  <c r="AB909" i="6"/>
  <c r="AL2082" i="6"/>
  <c r="AL2128" i="6"/>
  <c r="AM1893" i="6"/>
  <c r="BC1893" i="6"/>
  <c r="AB1253" i="6"/>
  <c r="AK337" i="6"/>
  <c r="AK383" i="6"/>
  <c r="AK429" i="6"/>
  <c r="B1334" i="6"/>
  <c r="AK1688" i="6"/>
  <c r="AK1734" i="6"/>
  <c r="AK1780" i="6"/>
  <c r="AJ2148" i="6"/>
  <c r="AJ2102" i="6"/>
  <c r="AL377" i="6"/>
  <c r="AL423" i="6"/>
  <c r="AL469" i="6"/>
  <c r="J1298" i="6"/>
  <c r="AT1298" i="6" s="1"/>
  <c r="AT1252" i="6"/>
  <c r="AK1037" i="6"/>
  <c r="AK1083" i="6"/>
  <c r="AK1129" i="6"/>
  <c r="AK1221" i="6"/>
  <c r="AK1267" i="6"/>
  <c r="J1310" i="6"/>
  <c r="AT1310" i="6" s="1"/>
  <c r="AT1264" i="6"/>
  <c r="AJ1258" i="6"/>
  <c r="AL103" i="6"/>
  <c r="BB103" i="6"/>
  <c r="AM2101" i="6"/>
  <c r="AM2147" i="6"/>
  <c r="AL101" i="6"/>
  <c r="BB101" i="6"/>
  <c r="B981" i="6"/>
  <c r="AA930" i="6"/>
  <c r="S930" i="6"/>
  <c r="I976" i="6"/>
  <c r="X930" i="6"/>
  <c r="W930" i="6"/>
  <c r="V930" i="6"/>
  <c r="U930" i="6"/>
  <c r="T930" i="6"/>
  <c r="R930" i="6"/>
  <c r="Z930" i="6"/>
  <c r="Y930" i="6"/>
  <c r="P930" i="6"/>
  <c r="Q930" i="6"/>
  <c r="AK2089" i="6"/>
  <c r="AK2135" i="6"/>
  <c r="AB1288" i="6"/>
  <c r="AK1334" i="6"/>
  <c r="AA1334" i="6"/>
  <c r="S1334" i="6"/>
  <c r="AJ1334" i="6"/>
  <c r="Z1334" i="6"/>
  <c r="R1334" i="6"/>
  <c r="AI1334" i="6"/>
  <c r="Y1334" i="6"/>
  <c r="Q1334" i="6"/>
  <c r="AG1334" i="6"/>
  <c r="W1334" i="6"/>
  <c r="V1334" i="6"/>
  <c r="U1334" i="6"/>
  <c r="T1334" i="6"/>
  <c r="AH1334" i="6"/>
  <c r="P1334" i="6"/>
  <c r="AB1334" i="6" s="1"/>
  <c r="AF1334" i="6"/>
  <c r="X1334" i="6"/>
  <c r="AM636" i="6"/>
  <c r="BC636" i="6"/>
  <c r="AJ1054" i="6"/>
  <c r="AJ1100" i="6"/>
  <c r="AJ1146" i="6"/>
  <c r="AJ1238" i="6"/>
  <c r="Y943" i="6"/>
  <c r="Q943" i="6"/>
  <c r="I989" i="6"/>
  <c r="U943" i="6"/>
  <c r="T943" i="6"/>
  <c r="S943" i="6"/>
  <c r="AA943" i="6"/>
  <c r="R943" i="6"/>
  <c r="Z943" i="6"/>
  <c r="P943" i="6"/>
  <c r="X943" i="6"/>
  <c r="W943" i="6"/>
  <c r="V943" i="6"/>
  <c r="AB905" i="6"/>
  <c r="AK1678" i="6"/>
  <c r="AK1724" i="6"/>
  <c r="AK1770" i="6"/>
  <c r="AK613" i="6"/>
  <c r="BA613" i="6"/>
  <c r="AJ1683" i="6"/>
  <c r="AJ1729" i="6"/>
  <c r="AJ1775" i="6"/>
  <c r="AK603" i="6"/>
  <c r="BA603" i="6"/>
  <c r="AJ1697" i="6"/>
  <c r="AJ1743" i="6"/>
  <c r="AJ1789" i="6"/>
  <c r="J1303" i="6"/>
  <c r="AT1303" i="6" s="1"/>
  <c r="AT1257" i="6"/>
  <c r="AK2159" i="6"/>
  <c r="AK2113" i="6"/>
  <c r="AL113" i="6"/>
  <c r="BB113" i="6"/>
  <c r="BE1469" i="6"/>
  <c r="AO1469" i="6"/>
  <c r="Y939" i="6"/>
  <c r="Q939" i="6"/>
  <c r="Z939" i="6"/>
  <c r="P939" i="6"/>
  <c r="X939" i="6"/>
  <c r="W939" i="6"/>
  <c r="I985" i="6"/>
  <c r="V939" i="6"/>
  <c r="U939" i="6"/>
  <c r="T939" i="6"/>
  <c r="AA939" i="6"/>
  <c r="S939" i="6"/>
  <c r="R939" i="6"/>
  <c r="AL624" i="6"/>
  <c r="AL1323" i="6" s="1"/>
  <c r="BB624" i="6"/>
  <c r="AM375" i="6"/>
  <c r="AM421" i="6"/>
  <c r="AM467" i="6"/>
  <c r="AB877" i="6"/>
  <c r="AK2117" i="6"/>
  <c r="AK2163" i="6"/>
  <c r="AL2121" i="6"/>
  <c r="AL2167" i="6"/>
  <c r="AG1305" i="6"/>
  <c r="W1305" i="6"/>
  <c r="AF1305" i="6"/>
  <c r="V1305" i="6"/>
  <c r="U1305" i="6"/>
  <c r="T1305" i="6"/>
  <c r="AK1305" i="6"/>
  <c r="AA1305" i="6"/>
  <c r="S1305" i="6"/>
  <c r="AJ1305" i="6"/>
  <c r="Z1305" i="6"/>
  <c r="R1305" i="6"/>
  <c r="AI1305" i="6"/>
  <c r="Y1305" i="6"/>
  <c r="Q1305" i="6"/>
  <c r="AH1305" i="6"/>
  <c r="X1305" i="6"/>
  <c r="P1305" i="6"/>
  <c r="AL115" i="6"/>
  <c r="BB115" i="6"/>
  <c r="AK1676" i="6"/>
  <c r="AK1722" i="6"/>
  <c r="AK1768" i="6"/>
  <c r="AB882" i="6"/>
  <c r="AK348" i="6"/>
  <c r="AK394" i="6"/>
  <c r="AK440" i="6"/>
  <c r="AB911" i="6"/>
  <c r="B973" i="6"/>
  <c r="AB906" i="6"/>
  <c r="B1330" i="6"/>
  <c r="AA946" i="6"/>
  <c r="S946" i="6"/>
  <c r="X946" i="6"/>
  <c r="W946" i="6"/>
  <c r="V946" i="6"/>
  <c r="U946" i="6"/>
  <c r="I992" i="6"/>
  <c r="T946" i="6"/>
  <c r="R946" i="6"/>
  <c r="Z946" i="6"/>
  <c r="Y946" i="6"/>
  <c r="P946" i="6"/>
  <c r="Q946" i="6"/>
  <c r="B1332" i="6"/>
  <c r="J1304" i="6"/>
  <c r="AT1304" i="6" s="1"/>
  <c r="AT1258" i="6"/>
  <c r="AG1314" i="6"/>
  <c r="W1314" i="6"/>
  <c r="AF1314" i="6"/>
  <c r="V1314" i="6"/>
  <c r="U1314" i="6"/>
  <c r="T1314" i="6"/>
  <c r="AA1314" i="6"/>
  <c r="S1314" i="6"/>
  <c r="AJ1314" i="6"/>
  <c r="Z1314" i="6"/>
  <c r="R1314" i="6"/>
  <c r="AI1314" i="6"/>
  <c r="Y1314" i="6"/>
  <c r="Q1314" i="6"/>
  <c r="AH1314" i="6"/>
  <c r="X1314" i="6"/>
  <c r="P1314" i="6"/>
  <c r="AL2123" i="6"/>
  <c r="AL2169" i="6"/>
  <c r="J1297" i="6"/>
  <c r="AT1297" i="6" s="1"/>
  <c r="AT1251" i="6"/>
  <c r="B1267" i="6"/>
  <c r="B993" i="6"/>
  <c r="AB902" i="6"/>
  <c r="AG1296" i="6"/>
  <c r="W1296" i="6"/>
  <c r="AF1296" i="6"/>
  <c r="V1296" i="6"/>
  <c r="U1296" i="6"/>
  <c r="AL1296" i="6"/>
  <c r="T1296" i="6"/>
  <c r="AK1296" i="6"/>
  <c r="AA1296" i="6"/>
  <c r="S1296" i="6"/>
  <c r="AI1296" i="6"/>
  <c r="Y1296" i="6"/>
  <c r="Q1296" i="6"/>
  <c r="AJ1296" i="6"/>
  <c r="AH1296" i="6"/>
  <c r="Z1296" i="6"/>
  <c r="X1296" i="6"/>
  <c r="R1296" i="6"/>
  <c r="P1296" i="6"/>
  <c r="W956" i="6"/>
  <c r="AA956" i="6"/>
  <c r="R956" i="6"/>
  <c r="I1002" i="6"/>
  <c r="Z956" i="6"/>
  <c r="Q956" i="6"/>
  <c r="Y956" i="6"/>
  <c r="P956" i="6"/>
  <c r="X956" i="6"/>
  <c r="V956" i="6"/>
  <c r="U956" i="6"/>
  <c r="T956" i="6"/>
  <c r="S956" i="6"/>
  <c r="AK338" i="6"/>
  <c r="AK384" i="6"/>
  <c r="AK430" i="6"/>
  <c r="W920" i="6"/>
  <c r="V920" i="6"/>
  <c r="U920" i="6"/>
  <c r="T920" i="6"/>
  <c r="S920" i="6"/>
  <c r="I966" i="6"/>
  <c r="AA920" i="6"/>
  <c r="R920" i="6"/>
  <c r="Z920" i="6"/>
  <c r="Q920" i="6"/>
  <c r="P920" i="6"/>
  <c r="AB920" i="6" s="1"/>
  <c r="X920" i="6"/>
  <c r="Y920" i="6"/>
  <c r="AJ1044" i="6"/>
  <c r="AJ1090" i="6"/>
  <c r="AJ1136" i="6"/>
  <c r="AJ1228" i="6"/>
  <c r="AG1303" i="6"/>
  <c r="W1303" i="6"/>
  <c r="AF1303" i="6"/>
  <c r="V1303" i="6"/>
  <c r="U1303" i="6"/>
  <c r="T1303" i="6"/>
  <c r="AK1303" i="6"/>
  <c r="AA1303" i="6"/>
  <c r="S1303" i="6"/>
  <c r="AJ1303" i="6"/>
  <c r="Z1303" i="6"/>
  <c r="R1303" i="6"/>
  <c r="AI1303" i="6"/>
  <c r="Y1303" i="6"/>
  <c r="Q1303" i="6"/>
  <c r="P1303" i="6"/>
  <c r="AH1303" i="6"/>
  <c r="X1303" i="6"/>
  <c r="Y931" i="6"/>
  <c r="Q931" i="6"/>
  <c r="Z931" i="6"/>
  <c r="P931" i="6"/>
  <c r="I977" i="6"/>
  <c r="X931" i="6"/>
  <c r="W931" i="6"/>
  <c r="V931" i="6"/>
  <c r="U931" i="6"/>
  <c r="T931" i="6"/>
  <c r="R931" i="6"/>
  <c r="S931" i="6"/>
  <c r="AA931" i="6"/>
  <c r="BB120" i="6"/>
  <c r="AL120" i="6"/>
  <c r="AL1020" i="6"/>
  <c r="AL1066" i="6"/>
  <c r="AL1112" i="6"/>
  <c r="AL1204" i="6"/>
  <c r="AG1298" i="6"/>
  <c r="W1298" i="6"/>
  <c r="AF1298" i="6"/>
  <c r="V1298" i="6"/>
  <c r="U1298" i="6"/>
  <c r="T1298" i="6"/>
  <c r="AK1298" i="6"/>
  <c r="AA1298" i="6"/>
  <c r="S1298" i="6"/>
  <c r="AJ1298" i="6"/>
  <c r="Z1298" i="6"/>
  <c r="R1298" i="6"/>
  <c r="AI1298" i="6"/>
  <c r="Y1298" i="6"/>
  <c r="Q1298" i="6"/>
  <c r="AH1298" i="6"/>
  <c r="X1298" i="6"/>
  <c r="P1298" i="6"/>
  <c r="J1300" i="6"/>
  <c r="AT1300" i="6" s="1"/>
  <c r="AT1254" i="6"/>
  <c r="AJ1060" i="6"/>
  <c r="AJ1106" i="6"/>
  <c r="AJ1152" i="6"/>
  <c r="AJ1244" i="6"/>
  <c r="AQ1897" i="6"/>
  <c r="BG1897" i="6"/>
  <c r="AB1286" i="6"/>
  <c r="AA1332" i="6"/>
  <c r="S1332" i="6"/>
  <c r="AJ1332" i="6"/>
  <c r="Z1332" i="6"/>
  <c r="R1332" i="6"/>
  <c r="AI1332" i="6"/>
  <c r="Y1332" i="6"/>
  <c r="Q1332" i="6"/>
  <c r="AG1332" i="6"/>
  <c r="W1332" i="6"/>
  <c r="V1332" i="6"/>
  <c r="U1332" i="6"/>
  <c r="T1332" i="6"/>
  <c r="AH1332" i="6"/>
  <c r="P1332" i="6"/>
  <c r="AF1332" i="6"/>
  <c r="X1332" i="6"/>
  <c r="B1254" i="6"/>
  <c r="BB117" i="6"/>
  <c r="AL117" i="6"/>
  <c r="AK364" i="6"/>
  <c r="AK410" i="6"/>
  <c r="AK456" i="6"/>
  <c r="AG1319" i="6"/>
  <c r="W1319" i="6"/>
  <c r="S1319" i="6"/>
  <c r="AA1319" i="6"/>
  <c r="R1319" i="6"/>
  <c r="AK1319" i="6"/>
  <c r="Z1319" i="6"/>
  <c r="Q1319" i="6"/>
  <c r="AJ1319" i="6"/>
  <c r="Y1319" i="6"/>
  <c r="P1319" i="6"/>
  <c r="AI1319" i="6"/>
  <c r="X1319" i="6"/>
  <c r="AH1319" i="6"/>
  <c r="V1319" i="6"/>
  <c r="AF1319" i="6"/>
  <c r="U1319" i="6"/>
  <c r="T1319" i="6"/>
  <c r="AK1454" i="6"/>
  <c r="BA1454" i="6"/>
  <c r="AM94" i="6"/>
  <c r="BC94" i="6"/>
  <c r="U961" i="6"/>
  <c r="X961" i="6"/>
  <c r="W961" i="6"/>
  <c r="V961" i="6"/>
  <c r="T961" i="6"/>
  <c r="S961" i="6"/>
  <c r="AA961" i="6"/>
  <c r="R961" i="6"/>
  <c r="I1007" i="6"/>
  <c r="Z961" i="6"/>
  <c r="Y961" i="6"/>
  <c r="Q961" i="6"/>
  <c r="P961" i="6"/>
  <c r="AL1431" i="6"/>
  <c r="BB1431" i="6"/>
  <c r="AL122" i="6"/>
  <c r="BB122" i="6"/>
  <c r="B1321" i="6"/>
  <c r="AB1279" i="6"/>
  <c r="AL107" i="6"/>
  <c r="BB107" i="6"/>
  <c r="J1307" i="6"/>
  <c r="AT1307" i="6" s="1"/>
  <c r="AT1261" i="6"/>
  <c r="AK412" i="6"/>
  <c r="AK366" i="6"/>
  <c r="AK458" i="6"/>
  <c r="AB883" i="6"/>
  <c r="AK1035" i="6"/>
  <c r="AK1081" i="6"/>
  <c r="AK1127" i="6"/>
  <c r="AK1219" i="6"/>
  <c r="AB886" i="6"/>
  <c r="AB912" i="6"/>
  <c r="AL1902" i="6"/>
  <c r="BB1902" i="6"/>
  <c r="AA926" i="6"/>
  <c r="S926" i="6"/>
  <c r="T926" i="6"/>
  <c r="R926" i="6"/>
  <c r="Z926" i="6"/>
  <c r="Q926" i="6"/>
  <c r="I972" i="6"/>
  <c r="Y926" i="6"/>
  <c r="P926" i="6"/>
  <c r="AB926" i="6" s="1"/>
  <c r="X926" i="6"/>
  <c r="W926" i="6"/>
  <c r="V926" i="6"/>
  <c r="U926" i="6"/>
  <c r="AL628" i="6"/>
  <c r="BB628" i="6"/>
  <c r="AL2086" i="6"/>
  <c r="AL2132" i="6"/>
  <c r="AK1446" i="6"/>
  <c r="BA1446" i="6"/>
  <c r="AJ2108" i="6"/>
  <c r="AJ2154" i="6"/>
  <c r="AG1306" i="6"/>
  <c r="W1306" i="6"/>
  <c r="AF1306" i="6"/>
  <c r="V1306" i="6"/>
  <c r="U1306" i="6"/>
  <c r="T1306" i="6"/>
  <c r="AA1306" i="6"/>
  <c r="S1306" i="6"/>
  <c r="AJ1306" i="6"/>
  <c r="Z1306" i="6"/>
  <c r="R1306" i="6"/>
  <c r="AI1306" i="6"/>
  <c r="Y1306" i="6"/>
  <c r="Q1306" i="6"/>
  <c r="AH1306" i="6"/>
  <c r="X1306" i="6"/>
  <c r="P1306" i="6"/>
  <c r="J1314" i="6"/>
  <c r="AT1314" i="6" s="1"/>
  <c r="AT1268" i="6"/>
  <c r="AL2110" i="6"/>
  <c r="AL2156" i="6"/>
  <c r="B1271" i="6"/>
  <c r="AK342" i="6"/>
  <c r="AK388" i="6"/>
  <c r="AK434" i="6"/>
  <c r="AB1263" i="6"/>
  <c r="AK607" i="6"/>
  <c r="BA607" i="6"/>
  <c r="AK386" i="6"/>
  <c r="AK340" i="6"/>
  <c r="AK432" i="6"/>
  <c r="AL105" i="6"/>
  <c r="BB105" i="6"/>
  <c r="AK1927" i="6"/>
  <c r="BA1927" i="6"/>
  <c r="BB116" i="6"/>
  <c r="AL116" i="6"/>
  <c r="AQ336" i="6"/>
  <c r="AR336" i="6" s="1"/>
  <c r="AQ382" i="6"/>
  <c r="AR382" i="6" s="1"/>
  <c r="AQ428" i="6"/>
  <c r="AR97" i="6"/>
  <c r="B1333" i="6"/>
  <c r="AL1059" i="6"/>
  <c r="AL1105" i="6"/>
  <c r="AL1151" i="6"/>
  <c r="AL1243" i="6"/>
  <c r="F991" i="6"/>
  <c r="B991" i="6" s="1"/>
  <c r="B945" i="6"/>
  <c r="AJ1036" i="6"/>
  <c r="AJ1082" i="6"/>
  <c r="AJ1128" i="6"/>
  <c r="AJ1220" i="6"/>
  <c r="AK2097" i="6"/>
  <c r="AK2143" i="6"/>
  <c r="AB875" i="6"/>
  <c r="W964" i="6"/>
  <c r="AA964" i="6"/>
  <c r="R964" i="6"/>
  <c r="Z964" i="6"/>
  <c r="Q964" i="6"/>
  <c r="Y964" i="6"/>
  <c r="P964" i="6"/>
  <c r="I1010" i="6"/>
  <c r="X964" i="6"/>
  <c r="V964" i="6"/>
  <c r="U964" i="6"/>
  <c r="T964" i="6"/>
  <c r="S964" i="6"/>
  <c r="J1312" i="6"/>
  <c r="AT1312" i="6" s="1"/>
  <c r="AT1266" i="6"/>
  <c r="AB1266" i="6"/>
  <c r="AK1923" i="6"/>
  <c r="BA1923" i="6"/>
  <c r="AJ1022" i="6"/>
  <c r="AJ1068" i="6"/>
  <c r="AJ1114" i="6"/>
  <c r="AJ1206" i="6"/>
  <c r="AK1706" i="6"/>
  <c r="AK1752" i="6"/>
  <c r="AK1798" i="6"/>
  <c r="AK352" i="6"/>
  <c r="AK398" i="6"/>
  <c r="AK444" i="6"/>
  <c r="AN1708" i="6"/>
  <c r="AN1754" i="6"/>
  <c r="AN1800" i="6"/>
  <c r="AR1262" i="6"/>
  <c r="B989" i="6"/>
  <c r="AK1047" i="6"/>
  <c r="AK1093" i="6"/>
  <c r="AK1139" i="6"/>
  <c r="AK1231" i="6"/>
  <c r="AL1443" i="6"/>
  <c r="BB1443" i="6"/>
  <c r="AK611" i="6"/>
  <c r="AK1306" i="6" s="1"/>
  <c r="BA611" i="6"/>
  <c r="AK354" i="6"/>
  <c r="AK400" i="6"/>
  <c r="AK446" i="6"/>
  <c r="U933" i="6"/>
  <c r="S933" i="6"/>
  <c r="AA933" i="6"/>
  <c r="R933" i="6"/>
  <c r="Z933" i="6"/>
  <c r="Q933" i="6"/>
  <c r="Y933" i="6"/>
  <c r="P933" i="6"/>
  <c r="I979" i="6"/>
  <c r="X933" i="6"/>
  <c r="W933" i="6"/>
  <c r="V933" i="6"/>
  <c r="T933" i="6"/>
  <c r="B1337" i="6"/>
  <c r="AO1707" i="6"/>
  <c r="AO1753" i="6"/>
  <c r="AO1799" i="6"/>
  <c r="AB1289" i="6"/>
  <c r="AK1335" i="6"/>
  <c r="AA1335" i="6"/>
  <c r="S1335" i="6"/>
  <c r="AJ1335" i="6"/>
  <c r="Z1335" i="6"/>
  <c r="R1335" i="6"/>
  <c r="AI1335" i="6"/>
  <c r="Y1335" i="6"/>
  <c r="Q1335" i="6"/>
  <c r="AG1335" i="6"/>
  <c r="W1335" i="6"/>
  <c r="AF1335" i="6"/>
  <c r="X1335" i="6"/>
  <c r="V1335" i="6"/>
  <c r="AM1335" i="6"/>
  <c r="U1335" i="6"/>
  <c r="AL1335" i="6"/>
  <c r="T1335" i="6"/>
  <c r="AH1335" i="6"/>
  <c r="P1335" i="6"/>
  <c r="AR1264" i="6"/>
  <c r="AK605" i="6"/>
  <c r="AK1300" i="6" s="1"/>
  <c r="BA605" i="6"/>
  <c r="Y959" i="6"/>
  <c r="Q959" i="6"/>
  <c r="U959" i="6"/>
  <c r="T959" i="6"/>
  <c r="S959" i="6"/>
  <c r="AA959" i="6"/>
  <c r="R959" i="6"/>
  <c r="I1005" i="6"/>
  <c r="Z959" i="6"/>
  <c r="P959" i="6"/>
  <c r="X959" i="6"/>
  <c r="W959" i="6"/>
  <c r="V959" i="6"/>
  <c r="AG1301" i="6"/>
  <c r="W1301" i="6"/>
  <c r="AF1301" i="6"/>
  <c r="V1301" i="6"/>
  <c r="U1301" i="6"/>
  <c r="T1301" i="6"/>
  <c r="AK1301" i="6"/>
  <c r="AA1301" i="6"/>
  <c r="S1301" i="6"/>
  <c r="AJ1301" i="6"/>
  <c r="Z1301" i="6"/>
  <c r="R1301" i="6"/>
  <c r="AI1301" i="6"/>
  <c r="Y1301" i="6"/>
  <c r="Q1301" i="6"/>
  <c r="AH1301" i="6"/>
  <c r="X1301" i="6"/>
  <c r="P1301" i="6"/>
  <c r="J1311" i="6"/>
  <c r="AT1311" i="6" s="1"/>
  <c r="AT1265" i="6"/>
  <c r="F999" i="6"/>
  <c r="B999" i="6" s="1"/>
  <c r="B953" i="6"/>
  <c r="Y935" i="6"/>
  <c r="Q935" i="6"/>
  <c r="U935" i="6"/>
  <c r="T935" i="6"/>
  <c r="S935" i="6"/>
  <c r="AA935" i="6"/>
  <c r="R935" i="6"/>
  <c r="Z935" i="6"/>
  <c r="P935" i="6"/>
  <c r="AB935" i="6" s="1"/>
  <c r="X935" i="6"/>
  <c r="I981" i="6"/>
  <c r="W935" i="6"/>
  <c r="V935" i="6"/>
  <c r="U925" i="6"/>
  <c r="S925" i="6"/>
  <c r="AA925" i="6"/>
  <c r="R925" i="6"/>
  <c r="I971" i="6"/>
  <c r="Z925" i="6"/>
  <c r="Q925" i="6"/>
  <c r="Y925" i="6"/>
  <c r="P925" i="6"/>
  <c r="X925" i="6"/>
  <c r="W925" i="6"/>
  <c r="T925" i="6"/>
  <c r="V925" i="6"/>
  <c r="AK1462" i="6"/>
  <c r="BA1462" i="6"/>
  <c r="B1311" i="6"/>
  <c r="B1313" i="6"/>
  <c r="BG1911" i="6"/>
  <c r="AL1888" i="6"/>
  <c r="BB1888" i="6"/>
  <c r="AK1041" i="6"/>
  <c r="AK1087" i="6"/>
  <c r="AK1133" i="6"/>
  <c r="AK1225" i="6"/>
  <c r="AQ2104" i="6"/>
  <c r="AQ2150" i="6"/>
  <c r="AR2150" i="6" s="1"/>
  <c r="AK625" i="6"/>
  <c r="BA625" i="6"/>
  <c r="AK358" i="6"/>
  <c r="AK404" i="6"/>
  <c r="AK450" i="6"/>
  <c r="AK1055" i="6"/>
  <c r="AK1101" i="6"/>
  <c r="AK1147" i="6"/>
  <c r="AK1239" i="6"/>
  <c r="AL1445" i="6"/>
  <c r="BB1445" i="6"/>
  <c r="AJ369" i="6"/>
  <c r="AJ415" i="6"/>
  <c r="AJ461" i="6"/>
  <c r="AG1316" i="6"/>
  <c r="W1316" i="6"/>
  <c r="T1316" i="6"/>
  <c r="S1316" i="6"/>
  <c r="AA1316" i="6"/>
  <c r="R1316" i="6"/>
  <c r="AK1316" i="6"/>
  <c r="Z1316" i="6"/>
  <c r="Q1316" i="6"/>
  <c r="AJ1316" i="6"/>
  <c r="Y1316" i="6"/>
  <c r="P1316" i="6"/>
  <c r="AI1316" i="6"/>
  <c r="X1316" i="6"/>
  <c r="AH1316" i="6"/>
  <c r="V1316" i="6"/>
  <c r="AF1316" i="6"/>
  <c r="U1316" i="6"/>
  <c r="AJ1703" i="6"/>
  <c r="AJ1749" i="6"/>
  <c r="AJ1795" i="6"/>
  <c r="AK1466" i="6"/>
  <c r="BA1466" i="6"/>
  <c r="AL620" i="6"/>
  <c r="AL1319" i="6" s="1"/>
  <c r="BB620" i="6"/>
  <c r="BC601" i="6"/>
  <c r="AM601" i="6"/>
  <c r="AM1296" i="6" s="1"/>
  <c r="AB1257" i="6"/>
  <c r="B969" i="6"/>
  <c r="AA934" i="6"/>
  <c r="S934" i="6"/>
  <c r="T934" i="6"/>
  <c r="R934" i="6"/>
  <c r="Z934" i="6"/>
  <c r="Q934" i="6"/>
  <c r="Y934" i="6"/>
  <c r="P934" i="6"/>
  <c r="X934" i="6"/>
  <c r="I980" i="6"/>
  <c r="W934" i="6"/>
  <c r="V934" i="6"/>
  <c r="U934" i="6"/>
  <c r="AK359" i="6"/>
  <c r="AK405" i="6"/>
  <c r="AK451" i="6"/>
  <c r="AB899" i="6"/>
  <c r="AL1447" i="6"/>
  <c r="BB1447" i="6"/>
  <c r="AB1261" i="6"/>
  <c r="AL622" i="6"/>
  <c r="BB622" i="6"/>
  <c r="AK2133" i="6"/>
  <c r="AK2087" i="6"/>
  <c r="AB901" i="6"/>
  <c r="AP2090" i="6"/>
  <c r="AP2136" i="6"/>
  <c r="B1300" i="6"/>
  <c r="AG1317" i="6"/>
  <c r="W1317" i="6"/>
  <c r="AK1317" i="6"/>
  <c r="Z1317" i="6"/>
  <c r="Q1317" i="6"/>
  <c r="AJ1317" i="6"/>
  <c r="Y1317" i="6"/>
  <c r="P1317" i="6"/>
  <c r="AI1317" i="6"/>
  <c r="X1317" i="6"/>
  <c r="AH1317" i="6"/>
  <c r="V1317" i="6"/>
  <c r="AF1317" i="6"/>
  <c r="U1317" i="6"/>
  <c r="T1317" i="6"/>
  <c r="S1317" i="6"/>
  <c r="AL1317" i="6"/>
  <c r="AA1317" i="6"/>
  <c r="R1317" i="6"/>
  <c r="AK356" i="6"/>
  <c r="AK402" i="6"/>
  <c r="AK448" i="6"/>
  <c r="AJ1739" i="6"/>
  <c r="AJ1693" i="6"/>
  <c r="AJ1785" i="6"/>
  <c r="AL333" i="6"/>
  <c r="AL379" i="6"/>
  <c r="AL425" i="6"/>
  <c r="J1308" i="6"/>
  <c r="AT1308" i="6" s="1"/>
  <c r="AT1262" i="6"/>
  <c r="B955" i="6"/>
  <c r="B951" i="6"/>
  <c r="AK407" i="6"/>
  <c r="AK361" i="6"/>
  <c r="AK453" i="6"/>
  <c r="AB908" i="6"/>
  <c r="B977" i="6"/>
  <c r="AL2085" i="6"/>
  <c r="AL2131" i="6"/>
  <c r="AB1285" i="6"/>
  <c r="AK1331" i="6"/>
  <c r="AA1331" i="6"/>
  <c r="S1331" i="6"/>
  <c r="AJ1331" i="6"/>
  <c r="Z1331" i="6"/>
  <c r="R1331" i="6"/>
  <c r="AI1331" i="6"/>
  <c r="Y1331" i="6"/>
  <c r="Q1331" i="6"/>
  <c r="AG1331" i="6"/>
  <c r="W1331" i="6"/>
  <c r="AF1331" i="6"/>
  <c r="X1331" i="6"/>
  <c r="V1331" i="6"/>
  <c r="U1331" i="6"/>
  <c r="AL1331" i="6"/>
  <c r="T1331" i="6"/>
  <c r="AH1331" i="6"/>
  <c r="P1331" i="6"/>
  <c r="AK346" i="6"/>
  <c r="AK392" i="6"/>
  <c r="AK438" i="6"/>
  <c r="W932" i="6"/>
  <c r="AA932" i="6"/>
  <c r="R932" i="6"/>
  <c r="Z932" i="6"/>
  <c r="Q932" i="6"/>
  <c r="Y932" i="6"/>
  <c r="P932" i="6"/>
  <c r="AB932" i="6" s="1"/>
  <c r="I978" i="6"/>
  <c r="X932" i="6"/>
  <c r="V932" i="6"/>
  <c r="U932" i="6"/>
  <c r="T932" i="6"/>
  <c r="S932" i="6"/>
  <c r="AB917" i="6"/>
  <c r="AJ2084" i="6"/>
  <c r="AJ2130" i="6"/>
  <c r="AK629" i="6"/>
  <c r="BA629" i="6"/>
  <c r="AB880" i="6"/>
  <c r="AK627" i="6"/>
  <c r="BA627" i="6"/>
  <c r="Y955" i="6"/>
  <c r="Q955" i="6"/>
  <c r="Z955" i="6"/>
  <c r="P955" i="6"/>
  <c r="X955" i="6"/>
  <c r="W955" i="6"/>
  <c r="V955" i="6"/>
  <c r="U955" i="6"/>
  <c r="T955" i="6"/>
  <c r="I1001" i="6"/>
  <c r="AA955" i="6"/>
  <c r="S955" i="6"/>
  <c r="R955" i="6"/>
  <c r="AK1051" i="6"/>
  <c r="AK1143" i="6"/>
  <c r="AK1097" i="6"/>
  <c r="AK1235" i="6"/>
  <c r="AK1281" i="6"/>
  <c r="AG1299" i="6"/>
  <c r="W1299" i="6"/>
  <c r="AF1299" i="6"/>
  <c r="V1299" i="6"/>
  <c r="U1299" i="6"/>
  <c r="AL1299" i="6"/>
  <c r="T1299" i="6"/>
  <c r="AK1299" i="6"/>
  <c r="AA1299" i="6"/>
  <c r="S1299" i="6"/>
  <c r="AJ1299" i="6"/>
  <c r="Z1299" i="6"/>
  <c r="R1299" i="6"/>
  <c r="AI1299" i="6"/>
  <c r="Y1299" i="6"/>
  <c r="Q1299" i="6"/>
  <c r="P1299" i="6"/>
  <c r="AH1299" i="6"/>
  <c r="X1299" i="6"/>
  <c r="AJ1731" i="6"/>
  <c r="AJ1685" i="6"/>
  <c r="AJ1777" i="6"/>
  <c r="AK1915" i="6"/>
  <c r="BA1915" i="6"/>
  <c r="AG1293" i="6"/>
  <c r="W1293" i="6"/>
  <c r="AF1293" i="6"/>
  <c r="V1293" i="6"/>
  <c r="U1293" i="6"/>
  <c r="AK1293" i="6"/>
  <c r="AA1293" i="6"/>
  <c r="S1293" i="6"/>
  <c r="AI1293" i="6"/>
  <c r="Y1293" i="6"/>
  <c r="Q1293" i="6"/>
  <c r="X1293" i="6"/>
  <c r="T1293" i="6"/>
  <c r="R1293" i="6"/>
  <c r="P1293" i="6"/>
  <c r="AJ1293" i="6"/>
  <c r="AH1293" i="6"/>
  <c r="Z1293" i="6"/>
  <c r="AL1465" i="6"/>
  <c r="BB1465" i="6"/>
  <c r="AK1249" i="6"/>
  <c r="J1295" i="6"/>
  <c r="AT1295" i="6" s="1"/>
  <c r="AT1249" i="6"/>
  <c r="BC1917" i="6"/>
  <c r="AM1917" i="6"/>
  <c r="B1317" i="6"/>
  <c r="D1004" i="6"/>
  <c r="B1004" i="6"/>
  <c r="AJ1026" i="6"/>
  <c r="AJ1072" i="6"/>
  <c r="AJ1118" i="6"/>
  <c r="AJ1210" i="6"/>
  <c r="AK344" i="6"/>
  <c r="AK390" i="6"/>
  <c r="AK436" i="6"/>
  <c r="AJ2120" i="6"/>
  <c r="AJ2166" i="6"/>
  <c r="AK2138" i="6"/>
  <c r="AK2092" i="6"/>
  <c r="AK401" i="6"/>
  <c r="AK355" i="6"/>
  <c r="AK447" i="6"/>
  <c r="Y951" i="6"/>
  <c r="Q951" i="6"/>
  <c r="U951" i="6"/>
  <c r="T951" i="6"/>
  <c r="I997" i="6"/>
  <c r="S951" i="6"/>
  <c r="AA951" i="6"/>
  <c r="R951" i="6"/>
  <c r="Z951" i="6"/>
  <c r="P951" i="6"/>
  <c r="X951" i="6"/>
  <c r="W951" i="6"/>
  <c r="V951" i="6"/>
  <c r="AL1455" i="6"/>
  <c r="BB1455" i="6"/>
  <c r="AK1919" i="6"/>
  <c r="BA1919" i="6"/>
  <c r="AL1904" i="6"/>
  <c r="BB1904" i="6"/>
  <c r="AK1436" i="6"/>
  <c r="BA1436" i="6"/>
  <c r="AJ2116" i="6"/>
  <c r="AJ2162" i="6"/>
  <c r="AL1467" i="6"/>
  <c r="BB1467" i="6"/>
  <c r="AB878" i="6"/>
  <c r="AK1905" i="6"/>
  <c r="BA1905" i="6"/>
  <c r="AL1887" i="6"/>
  <c r="BB1887" i="6"/>
  <c r="AK615" i="6"/>
  <c r="BA615" i="6"/>
  <c r="AK1682" i="6"/>
  <c r="AK1728" i="6"/>
  <c r="AK1774" i="6"/>
  <c r="AJ1030" i="6"/>
  <c r="AJ1076" i="6"/>
  <c r="AJ1122" i="6"/>
  <c r="AJ1214" i="6"/>
  <c r="AB1259" i="6"/>
  <c r="AB1284" i="6"/>
  <c r="AK1330" i="6"/>
  <c r="AA1330" i="6"/>
  <c r="S1330" i="6"/>
  <c r="AJ1330" i="6"/>
  <c r="Z1330" i="6"/>
  <c r="R1330" i="6"/>
  <c r="AI1330" i="6"/>
  <c r="Y1330" i="6"/>
  <c r="Q1330" i="6"/>
  <c r="AG1330" i="6"/>
  <c r="W1330" i="6"/>
  <c r="V1330" i="6"/>
  <c r="U1330" i="6"/>
  <c r="T1330" i="6"/>
  <c r="AH1330" i="6"/>
  <c r="P1330" i="6"/>
  <c r="AF1330" i="6"/>
  <c r="X1330" i="6"/>
  <c r="W928" i="6"/>
  <c r="V928" i="6"/>
  <c r="U928" i="6"/>
  <c r="T928" i="6"/>
  <c r="S928" i="6"/>
  <c r="AA928" i="6"/>
  <c r="R928" i="6"/>
  <c r="Z928" i="6"/>
  <c r="Q928" i="6"/>
  <c r="Y928" i="6"/>
  <c r="I974" i="6"/>
  <c r="X928" i="6"/>
  <c r="P928" i="6"/>
  <c r="U957" i="6"/>
  <c r="S957" i="6"/>
  <c r="AA957" i="6"/>
  <c r="R957" i="6"/>
  <c r="I1003" i="6"/>
  <c r="Z957" i="6"/>
  <c r="Q957" i="6"/>
  <c r="Y957" i="6"/>
  <c r="P957" i="6"/>
  <c r="X957" i="6"/>
  <c r="W957" i="6"/>
  <c r="T957" i="6"/>
  <c r="V957" i="6"/>
  <c r="BF1468" i="6"/>
  <c r="AP1468" i="6"/>
  <c r="AK417" i="6"/>
  <c r="AK371" i="6"/>
  <c r="AK463" i="6"/>
  <c r="AN2109" i="6"/>
  <c r="AN2155" i="6"/>
  <c r="AJ1024" i="6"/>
  <c r="AJ1070" i="6"/>
  <c r="AJ1116" i="6"/>
  <c r="AJ1208" i="6"/>
  <c r="AL1457" i="6"/>
  <c r="BB1457" i="6"/>
  <c r="B1261" i="6"/>
  <c r="B1295" i="6"/>
  <c r="B980" i="6"/>
  <c r="AB1265" i="6"/>
  <c r="J1309" i="6"/>
  <c r="AT1309" i="6" s="1"/>
  <c r="AT1263" i="6"/>
  <c r="AB891" i="6"/>
  <c r="J1315" i="6"/>
  <c r="AT1315" i="6" s="1"/>
  <c r="AT1269" i="6"/>
  <c r="AJ1701" i="6"/>
  <c r="AJ1747" i="6"/>
  <c r="AJ1793" i="6"/>
  <c r="AL600" i="6"/>
  <c r="BB600" i="6"/>
  <c r="AK621" i="6"/>
  <c r="BA621" i="6"/>
  <c r="F967" i="6"/>
  <c r="B967" i="6" s="1"/>
  <c r="B921" i="6"/>
  <c r="AB1291" i="6"/>
  <c r="AK1337" i="6"/>
  <c r="AA1337" i="6"/>
  <c r="S1337" i="6"/>
  <c r="AJ1337" i="6"/>
  <c r="Z1337" i="6"/>
  <c r="R1337" i="6"/>
  <c r="AI1337" i="6"/>
  <c r="Y1337" i="6"/>
  <c r="Q1337" i="6"/>
  <c r="AG1337" i="6"/>
  <c r="W1337" i="6"/>
  <c r="AF1337" i="6"/>
  <c r="X1337" i="6"/>
  <c r="V1337" i="6"/>
  <c r="AM1337" i="6"/>
  <c r="U1337" i="6"/>
  <c r="AL1337" i="6"/>
  <c r="T1337" i="6"/>
  <c r="AH1337" i="6"/>
  <c r="P1337" i="6"/>
  <c r="W936" i="6"/>
  <c r="I982" i="6"/>
  <c r="V936" i="6"/>
  <c r="U936" i="6"/>
  <c r="T936" i="6"/>
  <c r="S936" i="6"/>
  <c r="AA936" i="6"/>
  <c r="R936" i="6"/>
  <c r="Z936" i="6"/>
  <c r="Q936" i="6"/>
  <c r="P936" i="6"/>
  <c r="X936" i="6"/>
  <c r="Y936" i="6"/>
  <c r="AM1710" i="6"/>
  <c r="AM1756" i="6"/>
  <c r="AM1802" i="6"/>
  <c r="AK1452" i="6"/>
  <c r="BA1452" i="6"/>
  <c r="AL602" i="6"/>
  <c r="BB602" i="6"/>
  <c r="J1305" i="6"/>
  <c r="AT1305" i="6" s="1"/>
  <c r="AT1259" i="6"/>
  <c r="AJ1705" i="6"/>
  <c r="AJ1751" i="6"/>
  <c r="AJ1797" i="6"/>
  <c r="AK1271" i="6"/>
  <c r="AK1450" i="6"/>
  <c r="BA1450" i="6"/>
  <c r="AR1261" i="6"/>
  <c r="BB118" i="6"/>
  <c r="AL118" i="6"/>
  <c r="AB888" i="6"/>
  <c r="AK1732" i="6"/>
  <c r="AK1686" i="6"/>
  <c r="AK1778" i="6"/>
  <c r="AK1045" i="6"/>
  <c r="AK1137" i="6"/>
  <c r="AK1091" i="6"/>
  <c r="AK1229" i="6"/>
  <c r="AK1275" i="6"/>
  <c r="AK1460" i="6"/>
  <c r="BA1460" i="6"/>
  <c r="AL1894" i="6"/>
  <c r="BB1894" i="6"/>
  <c r="AK633" i="6"/>
  <c r="BA633" i="6"/>
  <c r="AA950" i="6"/>
  <c r="S950" i="6"/>
  <c r="T950" i="6"/>
  <c r="I996" i="6"/>
  <c r="R950" i="6"/>
  <c r="Z950" i="6"/>
  <c r="Q950" i="6"/>
  <c r="Y950" i="6"/>
  <c r="P950" i="6"/>
  <c r="X950" i="6"/>
  <c r="W950" i="6"/>
  <c r="V950" i="6"/>
  <c r="U950" i="6"/>
  <c r="AL610" i="6"/>
  <c r="BB610" i="6"/>
  <c r="B1001" i="6"/>
  <c r="AK1900" i="6"/>
  <c r="BA1900" i="6"/>
  <c r="B997" i="6"/>
  <c r="AG1297" i="6"/>
  <c r="W1297" i="6"/>
  <c r="AF1297" i="6"/>
  <c r="V1297" i="6"/>
  <c r="U1297" i="6"/>
  <c r="AL1297" i="6"/>
  <c r="T1297" i="6"/>
  <c r="AK1297" i="6"/>
  <c r="AA1297" i="6"/>
  <c r="S1297" i="6"/>
  <c r="AJ1297" i="6"/>
  <c r="Z1297" i="6"/>
  <c r="R1297" i="6"/>
  <c r="AI1297" i="6"/>
  <c r="Y1297" i="6"/>
  <c r="Q1297" i="6"/>
  <c r="AH1297" i="6"/>
  <c r="X1297" i="6"/>
  <c r="P1297" i="6"/>
  <c r="AO1910" i="6"/>
  <c r="BE1910" i="6"/>
  <c r="AB876" i="6"/>
  <c r="BC1892" i="6"/>
  <c r="AM1892" i="6"/>
  <c r="AK1434" i="6"/>
  <c r="BA1434" i="6"/>
  <c r="AK1921" i="6"/>
  <c r="BA1921" i="6"/>
  <c r="F995" i="6"/>
  <c r="B995" i="6" s="1"/>
  <c r="B949" i="6"/>
  <c r="AL608" i="6"/>
  <c r="AL1303" i="6" s="1"/>
  <c r="BB608" i="6"/>
  <c r="AB1287" i="6"/>
  <c r="AK1333" i="6"/>
  <c r="AA1333" i="6"/>
  <c r="S1333" i="6"/>
  <c r="AJ1333" i="6"/>
  <c r="Z1333" i="6"/>
  <c r="R1333" i="6"/>
  <c r="AI1333" i="6"/>
  <c r="Y1333" i="6"/>
  <c r="Q1333" i="6"/>
  <c r="AG1333" i="6"/>
  <c r="W1333" i="6"/>
  <c r="AF1333" i="6"/>
  <c r="X1333" i="6"/>
  <c r="V1333" i="6"/>
  <c r="U1333" i="6"/>
  <c r="AL1333" i="6"/>
  <c r="T1333" i="6"/>
  <c r="AH1333" i="6"/>
  <c r="P1333" i="6"/>
  <c r="AK1891" i="6"/>
  <c r="BA1891" i="6"/>
  <c r="AJ1052" i="6"/>
  <c r="AJ1098" i="6"/>
  <c r="AJ1144" i="6"/>
  <c r="AJ1236" i="6"/>
  <c r="AJ1282" i="6"/>
  <c r="AJ1276" i="6"/>
  <c r="AK623" i="6"/>
  <c r="BA623" i="6"/>
  <c r="AJ1050" i="6"/>
  <c r="AJ1096" i="6"/>
  <c r="AJ1142" i="6"/>
  <c r="AJ1234" i="6"/>
  <c r="AK2094" i="6"/>
  <c r="AK2140" i="6"/>
  <c r="AB890" i="6"/>
  <c r="AK1440" i="6"/>
  <c r="BA1440" i="6"/>
  <c r="BB124" i="6"/>
  <c r="AL124" i="6"/>
  <c r="AL598" i="6"/>
  <c r="AL1293" i="6" s="1"/>
  <c r="BB598" i="6"/>
  <c r="AK1704" i="6"/>
  <c r="AK1750" i="6"/>
  <c r="AK1796" i="6"/>
  <c r="AB1283" i="6"/>
  <c r="AK1329" i="6"/>
  <c r="AA1329" i="6"/>
  <c r="S1329" i="6"/>
  <c r="AJ1329" i="6"/>
  <c r="Z1329" i="6"/>
  <c r="R1329" i="6"/>
  <c r="AI1329" i="6"/>
  <c r="Y1329" i="6"/>
  <c r="Q1329" i="6"/>
  <c r="AG1329" i="6"/>
  <c r="W1329" i="6"/>
  <c r="AF1329" i="6"/>
  <c r="X1329" i="6"/>
  <c r="V1329" i="6"/>
  <c r="U1329" i="6"/>
  <c r="AL1329" i="6"/>
  <c r="T1329" i="6"/>
  <c r="P1329" i="6"/>
  <c r="AH1329" i="6"/>
  <c r="AM131" i="6"/>
  <c r="BC131" i="6"/>
  <c r="U941" i="6"/>
  <c r="S941" i="6"/>
  <c r="AA941" i="6"/>
  <c r="R941" i="6"/>
  <c r="Z941" i="6"/>
  <c r="Q941" i="6"/>
  <c r="Y941" i="6"/>
  <c r="P941" i="6"/>
  <c r="X941" i="6"/>
  <c r="W941" i="6"/>
  <c r="I987" i="6"/>
  <c r="T941" i="6"/>
  <c r="V941" i="6"/>
  <c r="B1297" i="6"/>
  <c r="AK1321" i="6"/>
  <c r="AL1899" i="6"/>
  <c r="BB1899" i="6"/>
  <c r="B1309" i="6"/>
  <c r="BA95" i="6"/>
  <c r="AK95" i="6"/>
  <c r="J1316" i="6"/>
  <c r="AT1316" i="6" s="1"/>
  <c r="AT1270" i="6"/>
  <c r="AK1740" i="6"/>
  <c r="AK1694" i="6"/>
  <c r="AK1786" i="6"/>
  <c r="AJ2112" i="6"/>
  <c r="AJ2158" i="6"/>
  <c r="AR428" i="6"/>
  <c r="AB918" i="6"/>
  <c r="AJ1675" i="6"/>
  <c r="AJ1721" i="6"/>
  <c r="AJ1767" i="6"/>
  <c r="AQ96" i="6"/>
  <c r="AR96" i="6" s="1"/>
  <c r="BG96" i="6"/>
  <c r="AJ1266" i="6"/>
  <c r="W924" i="6"/>
  <c r="AA924" i="6"/>
  <c r="R924" i="6"/>
  <c r="I970" i="6"/>
  <c r="Z924" i="6"/>
  <c r="Q924" i="6"/>
  <c r="Y924" i="6"/>
  <c r="P924" i="6"/>
  <c r="X924" i="6"/>
  <c r="V924" i="6"/>
  <c r="U924" i="6"/>
  <c r="T924" i="6"/>
  <c r="S924" i="6"/>
  <c r="AJ2098" i="6"/>
  <c r="AJ2144" i="6"/>
  <c r="B1320" i="6"/>
  <c r="AK2080" i="6"/>
  <c r="AK2126" i="6"/>
  <c r="AJ1038" i="6"/>
  <c r="AJ1084" i="6"/>
  <c r="AJ1130" i="6"/>
  <c r="AJ1222" i="6"/>
  <c r="AL102" i="6"/>
  <c r="BB102" i="6"/>
  <c r="AL634" i="6"/>
  <c r="BB634" i="6"/>
  <c r="W960" i="6"/>
  <c r="V960" i="6"/>
  <c r="U960" i="6"/>
  <c r="T960" i="6"/>
  <c r="S960" i="6"/>
  <c r="AA960" i="6"/>
  <c r="R960" i="6"/>
  <c r="Z960" i="6"/>
  <c r="Q960" i="6"/>
  <c r="I1006" i="6"/>
  <c r="Y960" i="6"/>
  <c r="X960" i="6"/>
  <c r="P960" i="6"/>
  <c r="AB916" i="6"/>
  <c r="Y923" i="6"/>
  <c r="Q923" i="6"/>
  <c r="Z923" i="6"/>
  <c r="P923" i="6"/>
  <c r="X923" i="6"/>
  <c r="W923" i="6"/>
  <c r="V923" i="6"/>
  <c r="U923" i="6"/>
  <c r="T923" i="6"/>
  <c r="AA923" i="6"/>
  <c r="I969" i="6"/>
  <c r="S923" i="6"/>
  <c r="R923" i="6"/>
  <c r="AK1442" i="6"/>
  <c r="BA1442" i="6"/>
  <c r="AB910" i="6"/>
  <c r="AJ1284" i="6"/>
  <c r="BB104" i="6"/>
  <c r="AL104" i="6"/>
  <c r="U949" i="6"/>
  <c r="I995" i="6"/>
  <c r="S949" i="6"/>
  <c r="AA949" i="6"/>
  <c r="R949" i="6"/>
  <c r="Z949" i="6"/>
  <c r="Q949" i="6"/>
  <c r="Y949" i="6"/>
  <c r="P949" i="6"/>
  <c r="X949" i="6"/>
  <c r="W949" i="6"/>
  <c r="V949" i="6"/>
  <c r="T949" i="6"/>
  <c r="B1270" i="6"/>
  <c r="AL1289" i="6"/>
  <c r="AL132" i="6"/>
  <c r="BB132" i="6"/>
  <c r="AO1916" i="6"/>
  <c r="BE1916" i="6"/>
  <c r="AK1324" i="6"/>
  <c r="AA1324" i="6"/>
  <c r="S1324" i="6"/>
  <c r="AJ1324" i="6"/>
  <c r="Z1324" i="6"/>
  <c r="R1324" i="6"/>
  <c r="AG1324" i="6"/>
  <c r="W1324" i="6"/>
  <c r="P1324" i="6"/>
  <c r="Y1324" i="6"/>
  <c r="X1324" i="6"/>
  <c r="V1324" i="6"/>
  <c r="AI1324" i="6"/>
  <c r="U1324" i="6"/>
  <c r="AH1324" i="6"/>
  <c r="T1324" i="6"/>
  <c r="AF1324" i="6"/>
  <c r="Q1324" i="6"/>
  <c r="AK1742" i="6"/>
  <c r="AK1696" i="6"/>
  <c r="AK1788" i="6"/>
  <c r="AL626" i="6"/>
  <c r="BB626" i="6"/>
  <c r="B1307" i="6"/>
  <c r="AL606" i="6"/>
  <c r="AL1301" i="6" s="1"/>
  <c r="BB606" i="6"/>
  <c r="AB1318" i="6"/>
  <c r="AO1918" i="6"/>
  <c r="BE1918" i="6"/>
  <c r="AM2119" i="6"/>
  <c r="AM2165" i="6"/>
  <c r="AL1435" i="6"/>
  <c r="BB1435" i="6"/>
  <c r="BD1892" i="6" l="1"/>
  <c r="AN1892" i="6"/>
  <c r="AB960" i="6"/>
  <c r="AK334" i="6"/>
  <c r="AK380" i="6"/>
  <c r="AK426" i="6"/>
  <c r="AL371" i="6"/>
  <c r="AL417" i="6"/>
  <c r="AL463" i="6"/>
  <c r="AB1324" i="6"/>
  <c r="AO2109" i="6"/>
  <c r="AO2155" i="6"/>
  <c r="AL1057" i="6"/>
  <c r="AL1103" i="6"/>
  <c r="AL1149" i="6"/>
  <c r="AL1241" i="6"/>
  <c r="AL1287" i="6"/>
  <c r="AL2092" i="6"/>
  <c r="AL2138" i="6"/>
  <c r="AL1440" i="6"/>
  <c r="BB1440" i="6"/>
  <c r="AM608" i="6"/>
  <c r="BC608" i="6"/>
  <c r="AM2085" i="6"/>
  <c r="AM2131" i="6"/>
  <c r="AL1029" i="6"/>
  <c r="AL1075" i="6"/>
  <c r="AL1121" i="6"/>
  <c r="AL1213" i="6"/>
  <c r="AL1259" i="6"/>
  <c r="AK1745" i="6"/>
  <c r="AK1699" i="6"/>
  <c r="AK1791" i="6"/>
  <c r="X982" i="6"/>
  <c r="P982" i="6"/>
  <c r="AA982" i="6"/>
  <c r="R982" i="6"/>
  <c r="Z982" i="6"/>
  <c r="Q982" i="6"/>
  <c r="Y982" i="6"/>
  <c r="W982" i="6"/>
  <c r="V982" i="6"/>
  <c r="U982" i="6"/>
  <c r="T982" i="6"/>
  <c r="S982" i="6"/>
  <c r="AM600" i="6"/>
  <c r="BC600" i="6"/>
  <c r="AB928" i="6"/>
  <c r="AB1330" i="6"/>
  <c r="AL615" i="6"/>
  <c r="BB615" i="6"/>
  <c r="AL1706" i="6"/>
  <c r="AL1752" i="6"/>
  <c r="AL1798" i="6"/>
  <c r="AL2097" i="6"/>
  <c r="AL2143" i="6"/>
  <c r="AB951" i="6"/>
  <c r="AM2110" i="6"/>
  <c r="AM2156" i="6"/>
  <c r="AK2108" i="6"/>
  <c r="AK2154" i="6"/>
  <c r="AB1299" i="6"/>
  <c r="X978" i="6"/>
  <c r="P978" i="6"/>
  <c r="U978" i="6"/>
  <c r="T978" i="6"/>
  <c r="S978" i="6"/>
  <c r="AA978" i="6"/>
  <c r="R978" i="6"/>
  <c r="Z978" i="6"/>
  <c r="Q978" i="6"/>
  <c r="Y978" i="6"/>
  <c r="V978" i="6"/>
  <c r="W978" i="6"/>
  <c r="BC1888" i="6"/>
  <c r="AM1888" i="6"/>
  <c r="V971" i="6"/>
  <c r="T971" i="6"/>
  <c r="S971" i="6"/>
  <c r="AA971" i="6"/>
  <c r="R971" i="6"/>
  <c r="Z971" i="6"/>
  <c r="Q971" i="6"/>
  <c r="Y971" i="6"/>
  <c r="P971" i="6"/>
  <c r="AB971" i="6" s="1"/>
  <c r="X971" i="6"/>
  <c r="W971" i="6"/>
  <c r="U971" i="6"/>
  <c r="AB964" i="6"/>
  <c r="AM116" i="6"/>
  <c r="BC116" i="6"/>
  <c r="B1308" i="6"/>
  <c r="AM122" i="6"/>
  <c r="BC122" i="6"/>
  <c r="AB1319" i="6"/>
  <c r="AB1332" i="6"/>
  <c r="AB1296" i="6"/>
  <c r="T992" i="6"/>
  <c r="W992" i="6"/>
  <c r="V992" i="6"/>
  <c r="U992" i="6"/>
  <c r="S992" i="6"/>
  <c r="AA992" i="6"/>
  <c r="R992" i="6"/>
  <c r="Z992" i="6"/>
  <c r="Q992" i="6"/>
  <c r="Y992" i="6"/>
  <c r="X992" i="6"/>
  <c r="P992" i="6"/>
  <c r="BF1469" i="6"/>
  <c r="AP1469" i="6"/>
  <c r="AL366" i="6"/>
  <c r="AL412" i="6"/>
  <c r="AL458" i="6"/>
  <c r="AL637" i="6"/>
  <c r="BB637" i="6"/>
  <c r="AB1302" i="6"/>
  <c r="AL348" i="6"/>
  <c r="AL394" i="6"/>
  <c r="AL440" i="6"/>
  <c r="AL2117" i="6"/>
  <c r="AL2163" i="6"/>
  <c r="AL1458" i="6"/>
  <c r="BB1458" i="6"/>
  <c r="AN2105" i="6"/>
  <c r="AN2151" i="6"/>
  <c r="AO1922" i="6"/>
  <c r="BE1922" i="6"/>
  <c r="AK2102" i="6"/>
  <c r="AK2148" i="6"/>
  <c r="AL137" i="6"/>
  <c r="BB137" i="6"/>
  <c r="AM129" i="6"/>
  <c r="BC129" i="6"/>
  <c r="AM114" i="6"/>
  <c r="BC114" i="6"/>
  <c r="AB1326" i="6"/>
  <c r="AK369" i="6"/>
  <c r="AK415" i="6"/>
  <c r="AK461" i="6"/>
  <c r="AL1053" i="6"/>
  <c r="AL1099" i="6"/>
  <c r="AL1145" i="6"/>
  <c r="AL1237" i="6"/>
  <c r="AL1283" i="6"/>
  <c r="AM123" i="6"/>
  <c r="BC123" i="6"/>
  <c r="AB948" i="6"/>
  <c r="AL349" i="6"/>
  <c r="AL395" i="6"/>
  <c r="AL441" i="6"/>
  <c r="AM99" i="6"/>
  <c r="BC99" i="6"/>
  <c r="AL358" i="6"/>
  <c r="AL404" i="6"/>
  <c r="AL450" i="6"/>
  <c r="BB1925" i="6"/>
  <c r="AL1925" i="6"/>
  <c r="AL1448" i="6"/>
  <c r="BB1448" i="6"/>
  <c r="AK1320" i="6"/>
  <c r="AB1320" i="6"/>
  <c r="AL1041" i="6"/>
  <c r="AL1087" i="6"/>
  <c r="AL1133" i="6"/>
  <c r="AL1225" i="6"/>
  <c r="AL1271" i="6"/>
  <c r="BE1432" i="6"/>
  <c r="AO1432" i="6"/>
  <c r="BF1918" i="6"/>
  <c r="AP1918" i="6"/>
  <c r="AL633" i="6"/>
  <c r="BB633" i="6"/>
  <c r="AL1019" i="6"/>
  <c r="AL1065" i="6"/>
  <c r="AL1111" i="6"/>
  <c r="AL1203" i="6"/>
  <c r="AL1249" i="6"/>
  <c r="AP1707" i="6"/>
  <c r="AP1753" i="6"/>
  <c r="AP1799" i="6"/>
  <c r="AK1038" i="6"/>
  <c r="AK1084" i="6"/>
  <c r="AK1130" i="6"/>
  <c r="AK1222" i="6"/>
  <c r="AK1268" i="6"/>
  <c r="BB1919" i="6"/>
  <c r="AL1919" i="6"/>
  <c r="AN1917" i="6"/>
  <c r="BD1917" i="6"/>
  <c r="AL1466" i="6"/>
  <c r="BB1466" i="6"/>
  <c r="BC1445" i="6"/>
  <c r="AM1445" i="6"/>
  <c r="AL2081" i="6"/>
  <c r="AL2127" i="6"/>
  <c r="AL611" i="6"/>
  <c r="BB611" i="6"/>
  <c r="AM107" i="6"/>
  <c r="BC107" i="6"/>
  <c r="AL361" i="6"/>
  <c r="AL407" i="6"/>
  <c r="AL453" i="6"/>
  <c r="V1007" i="6"/>
  <c r="Z1007" i="6"/>
  <c r="Q1007" i="6"/>
  <c r="Y1007" i="6"/>
  <c r="P1007" i="6"/>
  <c r="X1007" i="6"/>
  <c r="W1007" i="6"/>
  <c r="U1007" i="6"/>
  <c r="T1007" i="6"/>
  <c r="AA1007" i="6"/>
  <c r="R1007" i="6"/>
  <c r="S1007" i="6"/>
  <c r="X986" i="6"/>
  <c r="P986" i="6"/>
  <c r="W986" i="6"/>
  <c r="V986" i="6"/>
  <c r="U986" i="6"/>
  <c r="T986" i="6"/>
  <c r="S986" i="6"/>
  <c r="AA986" i="6"/>
  <c r="R986" i="6"/>
  <c r="Z986" i="6"/>
  <c r="Y986" i="6"/>
  <c r="Q986" i="6"/>
  <c r="AK1060" i="6"/>
  <c r="AK1106" i="6"/>
  <c r="AK1152" i="6"/>
  <c r="AK1244" i="6"/>
  <c r="AK1290" i="6"/>
  <c r="AB937" i="6"/>
  <c r="AB1311" i="6"/>
  <c r="AN375" i="6"/>
  <c r="AN421" i="6"/>
  <c r="AN467" i="6"/>
  <c r="BC1920" i="6"/>
  <c r="AM1920" i="6"/>
  <c r="AK1743" i="6"/>
  <c r="AK1697" i="6"/>
  <c r="AK1789" i="6"/>
  <c r="AN2115" i="6"/>
  <c r="AN2161" i="6"/>
  <c r="AM614" i="6"/>
  <c r="BC614" i="6"/>
  <c r="BE1472" i="6"/>
  <c r="AO1472" i="6"/>
  <c r="AL609" i="6"/>
  <c r="BB609" i="6"/>
  <c r="AL368" i="6"/>
  <c r="AL414" i="6"/>
  <c r="AL460" i="6"/>
  <c r="BC1453" i="6"/>
  <c r="AM1453" i="6"/>
  <c r="AL635" i="6"/>
  <c r="BB635" i="6"/>
  <c r="BB130" i="6"/>
  <c r="AL130" i="6"/>
  <c r="AB942" i="6"/>
  <c r="AL362" i="6"/>
  <c r="AL408" i="6"/>
  <c r="AL454" i="6"/>
  <c r="V975" i="6"/>
  <c r="Z975" i="6"/>
  <c r="Q975" i="6"/>
  <c r="Y975" i="6"/>
  <c r="P975" i="6"/>
  <c r="AB975" i="6" s="1"/>
  <c r="X975" i="6"/>
  <c r="W975" i="6"/>
  <c r="U975" i="6"/>
  <c r="T975" i="6"/>
  <c r="AA975" i="6"/>
  <c r="S975" i="6"/>
  <c r="R975" i="6"/>
  <c r="AM110" i="6"/>
  <c r="BC110" i="6"/>
  <c r="Z993" i="6"/>
  <c r="R993" i="6"/>
  <c r="X993" i="6"/>
  <c r="W993" i="6"/>
  <c r="V993" i="6"/>
  <c r="U993" i="6"/>
  <c r="T993" i="6"/>
  <c r="S993" i="6"/>
  <c r="Y993" i="6"/>
  <c r="P993" i="6"/>
  <c r="Q993" i="6"/>
  <c r="AA993" i="6"/>
  <c r="AL338" i="6"/>
  <c r="AL384" i="6"/>
  <c r="AL430" i="6"/>
  <c r="AM111" i="6"/>
  <c r="BC111" i="6"/>
  <c r="AK2118" i="6"/>
  <c r="AK2164" i="6"/>
  <c r="AK1687" i="6"/>
  <c r="AK1733" i="6"/>
  <c r="AK1779" i="6"/>
  <c r="AB1323" i="6"/>
  <c r="AL1456" i="6"/>
  <c r="BB1456" i="6"/>
  <c r="AB1307" i="6"/>
  <c r="AR1307" i="6"/>
  <c r="AN1671" i="6"/>
  <c r="AN1717" i="6"/>
  <c r="AN1763" i="6"/>
  <c r="V995" i="6"/>
  <c r="AA995" i="6"/>
  <c r="R995" i="6"/>
  <c r="Z995" i="6"/>
  <c r="Q995" i="6"/>
  <c r="Y995" i="6"/>
  <c r="P995" i="6"/>
  <c r="X995" i="6"/>
  <c r="W995" i="6"/>
  <c r="U995" i="6"/>
  <c r="S995" i="6"/>
  <c r="T995" i="6"/>
  <c r="AB949" i="6"/>
  <c r="AL1900" i="6"/>
  <c r="BB1900" i="6"/>
  <c r="AK1056" i="6"/>
  <c r="AK1102" i="6"/>
  <c r="AK1148" i="6"/>
  <c r="AK1240" i="6"/>
  <c r="AK1286" i="6"/>
  <c r="AL1450" i="6"/>
  <c r="BB1450" i="6"/>
  <c r="AB1337" i="6"/>
  <c r="AQ1468" i="6"/>
  <c r="BG1468" i="6"/>
  <c r="X974" i="6"/>
  <c r="P974" i="6"/>
  <c r="Y974" i="6"/>
  <c r="W974" i="6"/>
  <c r="V974" i="6"/>
  <c r="U974" i="6"/>
  <c r="T974" i="6"/>
  <c r="S974" i="6"/>
  <c r="Z974" i="6"/>
  <c r="R974" i="6"/>
  <c r="Q974" i="6"/>
  <c r="AA974" i="6"/>
  <c r="AM1887" i="6"/>
  <c r="BC1887" i="6"/>
  <c r="AK2112" i="6"/>
  <c r="AK2158" i="6"/>
  <c r="AB1293" i="6"/>
  <c r="AL627" i="6"/>
  <c r="BB627" i="6"/>
  <c r="BC1447" i="6"/>
  <c r="AM1447" i="6"/>
  <c r="AK1705" i="6"/>
  <c r="AK1751" i="6"/>
  <c r="AK1797" i="6"/>
  <c r="AL1684" i="6"/>
  <c r="AL1730" i="6"/>
  <c r="AL1776" i="6"/>
  <c r="AB959" i="6"/>
  <c r="AK1030" i="6"/>
  <c r="AK1076" i="6"/>
  <c r="AK1122" i="6"/>
  <c r="AK1214" i="6"/>
  <c r="AK1260" i="6"/>
  <c r="AM628" i="6"/>
  <c r="BC628" i="6"/>
  <c r="AL346" i="6"/>
  <c r="AL392" i="6"/>
  <c r="AL438" i="6"/>
  <c r="AM1431" i="6"/>
  <c r="BC1431" i="6"/>
  <c r="AN94" i="6"/>
  <c r="BD94" i="6"/>
  <c r="AL356" i="6"/>
  <c r="AL402" i="6"/>
  <c r="AL448" i="6"/>
  <c r="AB939" i="6"/>
  <c r="AM113" i="6"/>
  <c r="BC113" i="6"/>
  <c r="AM103" i="6"/>
  <c r="BC103" i="6"/>
  <c r="BD1893" i="6"/>
  <c r="AN1893" i="6"/>
  <c r="V983" i="6"/>
  <c r="S983" i="6"/>
  <c r="AA983" i="6"/>
  <c r="R983" i="6"/>
  <c r="Z983" i="6"/>
  <c r="Q983" i="6"/>
  <c r="Y983" i="6"/>
  <c r="P983" i="6"/>
  <c r="AB983" i="6" s="1"/>
  <c r="X983" i="6"/>
  <c r="W983" i="6"/>
  <c r="T983" i="6"/>
  <c r="U983" i="6"/>
  <c r="AM2106" i="6"/>
  <c r="AM2152" i="6"/>
  <c r="AB952" i="6"/>
  <c r="BC1437" i="6"/>
  <c r="AM1437" i="6"/>
  <c r="AO136" i="6"/>
  <c r="BE136" i="6"/>
  <c r="AL2159" i="6"/>
  <c r="AL2113" i="6"/>
  <c r="BC1439" i="6"/>
  <c r="AM1439" i="6"/>
  <c r="AL1037" i="6"/>
  <c r="AL1129" i="6"/>
  <c r="AL1083" i="6"/>
  <c r="AL1221" i="6"/>
  <c r="AL1267" i="6"/>
  <c r="AL1313" i="6"/>
  <c r="AN1711" i="6"/>
  <c r="AN1757" i="6"/>
  <c r="AN1803" i="6"/>
  <c r="AK1028" i="6"/>
  <c r="AK1074" i="6"/>
  <c r="AK1120" i="6"/>
  <c r="AK1212" i="6"/>
  <c r="AK1258" i="6"/>
  <c r="T968" i="6"/>
  <c r="Y968" i="6"/>
  <c r="P968" i="6"/>
  <c r="X968" i="6"/>
  <c r="W968" i="6"/>
  <c r="V968" i="6"/>
  <c r="U968" i="6"/>
  <c r="S968" i="6"/>
  <c r="Q968" i="6"/>
  <c r="AA968" i="6"/>
  <c r="R968" i="6"/>
  <c r="Z968" i="6"/>
  <c r="T984" i="6"/>
  <c r="U984" i="6"/>
  <c r="S984" i="6"/>
  <c r="AA984" i="6"/>
  <c r="R984" i="6"/>
  <c r="Z984" i="6"/>
  <c r="Q984" i="6"/>
  <c r="Y984" i="6"/>
  <c r="P984" i="6"/>
  <c r="X984" i="6"/>
  <c r="W984" i="6"/>
  <c r="V984" i="6"/>
  <c r="AL1692" i="6"/>
  <c r="AL1738" i="6"/>
  <c r="AL1784" i="6"/>
  <c r="V999" i="6"/>
  <c r="X999" i="6"/>
  <c r="W999" i="6"/>
  <c r="U999" i="6"/>
  <c r="T999" i="6"/>
  <c r="S999" i="6"/>
  <c r="AA999" i="6"/>
  <c r="R999" i="6"/>
  <c r="Y999" i="6"/>
  <c r="P999" i="6"/>
  <c r="AB999" i="6" s="1"/>
  <c r="Z999" i="6"/>
  <c r="Q999" i="6"/>
  <c r="AK1058" i="6"/>
  <c r="AK1104" i="6"/>
  <c r="AK1150" i="6"/>
  <c r="AK1242" i="6"/>
  <c r="AK1288" i="6"/>
  <c r="B1306" i="6"/>
  <c r="AL350" i="6"/>
  <c r="AL396" i="6"/>
  <c r="AL442" i="6"/>
  <c r="AR1309" i="6"/>
  <c r="B1310" i="6"/>
  <c r="Z1009" i="6"/>
  <c r="R1009" i="6"/>
  <c r="T1009" i="6"/>
  <c r="S1009" i="6"/>
  <c r="AA1009" i="6"/>
  <c r="Q1009" i="6"/>
  <c r="Y1009" i="6"/>
  <c r="P1009" i="6"/>
  <c r="X1009" i="6"/>
  <c r="W1009" i="6"/>
  <c r="U1009" i="6"/>
  <c r="V1009" i="6"/>
  <c r="AK1741" i="6"/>
  <c r="AK1695" i="6"/>
  <c r="AK1787" i="6"/>
  <c r="AK372" i="6"/>
  <c r="AK418" i="6"/>
  <c r="AK464" i="6"/>
  <c r="AL343" i="6"/>
  <c r="AL389" i="6"/>
  <c r="AL435" i="6"/>
  <c r="AK1681" i="6"/>
  <c r="AK1727" i="6"/>
  <c r="AK1773" i="6"/>
  <c r="AL341" i="6"/>
  <c r="AL387" i="6"/>
  <c r="AL433" i="6"/>
  <c r="AB924" i="6"/>
  <c r="AL95" i="6"/>
  <c r="BB95" i="6"/>
  <c r="AM598" i="6"/>
  <c r="BC598" i="6"/>
  <c r="AK1046" i="6"/>
  <c r="AK1092" i="6"/>
  <c r="AK1138" i="6"/>
  <c r="AK1230" i="6"/>
  <c r="AK1276" i="6"/>
  <c r="AK2093" i="6"/>
  <c r="AK2139" i="6"/>
  <c r="AK1735" i="6"/>
  <c r="AK1689" i="6"/>
  <c r="AK1781" i="6"/>
  <c r="V1003" i="6"/>
  <c r="T1003" i="6"/>
  <c r="S1003" i="6"/>
  <c r="AA1003" i="6"/>
  <c r="R1003" i="6"/>
  <c r="Z1003" i="6"/>
  <c r="Q1003" i="6"/>
  <c r="Y1003" i="6"/>
  <c r="P1003" i="6"/>
  <c r="X1003" i="6"/>
  <c r="U1003" i="6"/>
  <c r="W1003" i="6"/>
  <c r="AL2080" i="6"/>
  <c r="AL2126" i="6"/>
  <c r="BC1455" i="6"/>
  <c r="AM1455" i="6"/>
  <c r="AK1050" i="6"/>
  <c r="AK1096" i="6"/>
  <c r="AK1142" i="6"/>
  <c r="AK1234" i="6"/>
  <c r="AK1280" i="6"/>
  <c r="AB1331" i="6"/>
  <c r="AL1732" i="6"/>
  <c r="AL1686" i="6"/>
  <c r="AL1778" i="6"/>
  <c r="AM1020" i="6"/>
  <c r="AM1066" i="6"/>
  <c r="AM1112" i="6"/>
  <c r="AM1204" i="6"/>
  <c r="AM1250" i="6"/>
  <c r="V979" i="6"/>
  <c r="W979" i="6"/>
  <c r="U979" i="6"/>
  <c r="T979" i="6"/>
  <c r="S979" i="6"/>
  <c r="AA979" i="6"/>
  <c r="R979" i="6"/>
  <c r="Z979" i="6"/>
  <c r="Q979" i="6"/>
  <c r="X979" i="6"/>
  <c r="P979" i="6"/>
  <c r="Y979" i="6"/>
  <c r="BB1927" i="6"/>
  <c r="AL1927" i="6"/>
  <c r="AL607" i="6"/>
  <c r="BB607" i="6"/>
  <c r="AB1306" i="6"/>
  <c r="AL1051" i="6"/>
  <c r="AL1143" i="6"/>
  <c r="AL1097" i="6"/>
  <c r="AL1235" i="6"/>
  <c r="AL1281" i="6"/>
  <c r="AL1327" i="6"/>
  <c r="T972" i="6"/>
  <c r="V972" i="6"/>
  <c r="U972" i="6"/>
  <c r="S972" i="6"/>
  <c r="AA972" i="6"/>
  <c r="R972" i="6"/>
  <c r="Z972" i="6"/>
  <c r="Q972" i="6"/>
  <c r="Y972" i="6"/>
  <c r="P972" i="6"/>
  <c r="X972" i="6"/>
  <c r="W972" i="6"/>
  <c r="AM1902" i="6"/>
  <c r="BC1902" i="6"/>
  <c r="AL1670" i="6"/>
  <c r="AL1716" i="6"/>
  <c r="AL1762" i="6"/>
  <c r="AM333" i="6"/>
  <c r="AM379" i="6"/>
  <c r="AM425" i="6"/>
  <c r="AM117" i="6"/>
  <c r="BC117" i="6"/>
  <c r="X1002" i="6"/>
  <c r="P1002" i="6"/>
  <c r="S1002" i="6"/>
  <c r="AA1002" i="6"/>
  <c r="R1002" i="6"/>
  <c r="Z1002" i="6"/>
  <c r="Q1002" i="6"/>
  <c r="Y1002" i="6"/>
  <c r="W1002" i="6"/>
  <c r="V1002" i="6"/>
  <c r="T1002" i="6"/>
  <c r="U1002" i="6"/>
  <c r="AB946" i="6"/>
  <c r="AL352" i="6"/>
  <c r="AL398" i="6"/>
  <c r="AL444" i="6"/>
  <c r="AL613" i="6"/>
  <c r="BB613" i="6"/>
  <c r="Z989" i="6"/>
  <c r="R989" i="6"/>
  <c r="S989" i="6"/>
  <c r="AA989" i="6"/>
  <c r="Q989" i="6"/>
  <c r="Y989" i="6"/>
  <c r="P989" i="6"/>
  <c r="X989" i="6"/>
  <c r="W989" i="6"/>
  <c r="V989" i="6"/>
  <c r="U989" i="6"/>
  <c r="T989" i="6"/>
  <c r="AN636" i="6"/>
  <c r="BD636" i="6"/>
  <c r="AL342" i="6"/>
  <c r="AL388" i="6"/>
  <c r="AL434" i="6"/>
  <c r="AM2086" i="6"/>
  <c r="AM2132" i="6"/>
  <c r="AL367" i="6"/>
  <c r="AL413" i="6"/>
  <c r="AL459" i="6"/>
  <c r="BD1913" i="6"/>
  <c r="AN1913" i="6"/>
  <c r="AL1676" i="6"/>
  <c r="AL1722" i="6"/>
  <c r="AL1768" i="6"/>
  <c r="AB1312" i="6"/>
  <c r="AL1678" i="6"/>
  <c r="AL1724" i="6"/>
  <c r="AL1770" i="6"/>
  <c r="AL337" i="6"/>
  <c r="AL383" i="6"/>
  <c r="AL429" i="6"/>
  <c r="AB944" i="6"/>
  <c r="AL1929" i="6"/>
  <c r="BB1929" i="6"/>
  <c r="AB958" i="6"/>
  <c r="BC1461" i="6"/>
  <c r="AM1461" i="6"/>
  <c r="AL1464" i="6"/>
  <c r="BB1464" i="6"/>
  <c r="AL345" i="6"/>
  <c r="AL391" i="6"/>
  <c r="AL437" i="6"/>
  <c r="AO1926" i="6"/>
  <c r="BE1926" i="6"/>
  <c r="AB963" i="6"/>
  <c r="BB133" i="6"/>
  <c r="AL133" i="6"/>
  <c r="BC1459" i="6"/>
  <c r="AM1459" i="6"/>
  <c r="BC132" i="6"/>
  <c r="AM132" i="6"/>
  <c r="AL1442" i="6"/>
  <c r="BB1442" i="6"/>
  <c r="AL1049" i="6"/>
  <c r="AL1095" i="6"/>
  <c r="AL1141" i="6"/>
  <c r="AL1233" i="6"/>
  <c r="AL1279" i="6"/>
  <c r="AL1017" i="6"/>
  <c r="AL1063" i="6"/>
  <c r="AL1109" i="6"/>
  <c r="AL1201" i="6"/>
  <c r="AL1247" i="6"/>
  <c r="BB1921" i="6"/>
  <c r="AL1921" i="6"/>
  <c r="AP1910" i="6"/>
  <c r="BF1910" i="6"/>
  <c r="AQ1910" i="6" s="1"/>
  <c r="BG1910" i="6"/>
  <c r="T996" i="6"/>
  <c r="S996" i="6"/>
  <c r="AA996" i="6"/>
  <c r="R996" i="6"/>
  <c r="Z996" i="6"/>
  <c r="Q996" i="6"/>
  <c r="Y996" i="6"/>
  <c r="P996" i="6"/>
  <c r="X996" i="6"/>
  <c r="W996" i="6"/>
  <c r="U996" i="6"/>
  <c r="V996" i="6"/>
  <c r="AM602" i="6"/>
  <c r="BC602" i="6"/>
  <c r="AL1905" i="6"/>
  <c r="BB1905" i="6"/>
  <c r="AL1436" i="6"/>
  <c r="BB1436" i="6"/>
  <c r="AL1694" i="6"/>
  <c r="AL1740" i="6"/>
  <c r="AL1786" i="6"/>
  <c r="AB1317" i="6"/>
  <c r="BD601" i="6"/>
  <c r="AN601" i="6"/>
  <c r="AB925" i="6"/>
  <c r="Z1005" i="6"/>
  <c r="R1005" i="6"/>
  <c r="W1005" i="6"/>
  <c r="V1005" i="6"/>
  <c r="U1005" i="6"/>
  <c r="T1005" i="6"/>
  <c r="S1005" i="6"/>
  <c r="AA1005" i="6"/>
  <c r="Q1005" i="6"/>
  <c r="X1005" i="6"/>
  <c r="Y1005" i="6"/>
  <c r="P1005" i="6"/>
  <c r="AL605" i="6"/>
  <c r="BB605" i="6"/>
  <c r="AB933" i="6"/>
  <c r="BC1443" i="6"/>
  <c r="AM1443" i="6"/>
  <c r="AK2120" i="6"/>
  <c r="AK2166" i="6"/>
  <c r="AK1026" i="6"/>
  <c r="AK1072" i="6"/>
  <c r="AK1118" i="6"/>
  <c r="AK1210" i="6"/>
  <c r="AK1256" i="6"/>
  <c r="AL2095" i="6"/>
  <c r="AL2141" i="6"/>
  <c r="AL1454" i="6"/>
  <c r="BB1454" i="6"/>
  <c r="AK1332" i="6"/>
  <c r="AL359" i="6"/>
  <c r="AL405" i="6"/>
  <c r="AL451" i="6"/>
  <c r="AK1314" i="6"/>
  <c r="AM115" i="6"/>
  <c r="BC115" i="6"/>
  <c r="AL603" i="6"/>
  <c r="BB603" i="6"/>
  <c r="AK1036" i="6"/>
  <c r="AK1082" i="6"/>
  <c r="AK1128" i="6"/>
  <c r="AK1220" i="6"/>
  <c r="AK1266" i="6"/>
  <c r="AB943" i="6"/>
  <c r="AM1059" i="6"/>
  <c r="AM1105" i="6"/>
  <c r="AM1151" i="6"/>
  <c r="AM1243" i="6"/>
  <c r="AM1289" i="6"/>
  <c r="B1312" i="6"/>
  <c r="AB927" i="6"/>
  <c r="AB940" i="6"/>
  <c r="AM125" i="6"/>
  <c r="BC125" i="6"/>
  <c r="AN638" i="6"/>
  <c r="BD638" i="6"/>
  <c r="AM128" i="6"/>
  <c r="BC128" i="6"/>
  <c r="AM2169" i="6"/>
  <c r="AM2123" i="6"/>
  <c r="AB962" i="6"/>
  <c r="AL1444" i="6"/>
  <c r="BB1444" i="6"/>
  <c r="BC1449" i="6"/>
  <c r="AM1449" i="6"/>
  <c r="AM98" i="6"/>
  <c r="BC98" i="6"/>
  <c r="BE135" i="6"/>
  <c r="AO135" i="6"/>
  <c r="X990" i="6"/>
  <c r="P990" i="6"/>
  <c r="T990" i="6"/>
  <c r="S990" i="6"/>
  <c r="AA990" i="6"/>
  <c r="R990" i="6"/>
  <c r="Z990" i="6"/>
  <c r="Q990" i="6"/>
  <c r="Y990" i="6"/>
  <c r="W990" i="6"/>
  <c r="V990" i="6"/>
  <c r="U990" i="6"/>
  <c r="AK2168" i="6"/>
  <c r="AK2122" i="6"/>
  <c r="AL1438" i="6"/>
  <c r="BB1438" i="6"/>
  <c r="AL617" i="6"/>
  <c r="BB617" i="6"/>
  <c r="AB1308" i="6"/>
  <c r="BC1451" i="6"/>
  <c r="AM1451" i="6"/>
  <c r="AL1700" i="6"/>
  <c r="AL1746" i="6"/>
  <c r="AL1792" i="6"/>
  <c r="AB1304" i="6"/>
  <c r="X994" i="6"/>
  <c r="P994" i="6"/>
  <c r="Z994" i="6"/>
  <c r="Q994" i="6"/>
  <c r="Y994" i="6"/>
  <c r="W994" i="6"/>
  <c r="V994" i="6"/>
  <c r="U994" i="6"/>
  <c r="T994" i="6"/>
  <c r="AA994" i="6"/>
  <c r="R994" i="6"/>
  <c r="S994" i="6"/>
  <c r="AK1703" i="6"/>
  <c r="AK1749" i="6"/>
  <c r="AK1795" i="6"/>
  <c r="B1293" i="6"/>
  <c r="AM106" i="6"/>
  <c r="BC106" i="6"/>
  <c r="AN2119" i="6"/>
  <c r="AN2165" i="6"/>
  <c r="B1316" i="6"/>
  <c r="AL339" i="6"/>
  <c r="AL385" i="6"/>
  <c r="AL431" i="6"/>
  <c r="AN1710" i="6"/>
  <c r="AN1756" i="6"/>
  <c r="AN1802" i="6"/>
  <c r="AL1698" i="6"/>
  <c r="AL1744" i="6"/>
  <c r="AL1790" i="6"/>
  <c r="AK1725" i="6"/>
  <c r="AK1771" i="6"/>
  <c r="AK1679" i="6"/>
  <c r="AO2111" i="6"/>
  <c r="AO2157" i="6"/>
  <c r="AM626" i="6"/>
  <c r="BC626" i="6"/>
  <c r="AL623" i="6"/>
  <c r="BB623" i="6"/>
  <c r="AM104" i="6"/>
  <c r="BC104" i="6"/>
  <c r="AN131" i="6"/>
  <c r="BD131" i="6"/>
  <c r="AL1674" i="6"/>
  <c r="AL1720" i="6"/>
  <c r="AL1766" i="6"/>
  <c r="AB923" i="6"/>
  <c r="X1006" i="6"/>
  <c r="P1006" i="6"/>
  <c r="Y1006" i="6"/>
  <c r="W1006" i="6"/>
  <c r="V1006" i="6"/>
  <c r="U1006" i="6"/>
  <c r="T1006" i="6"/>
  <c r="S1006" i="6"/>
  <c r="Z1006" i="6"/>
  <c r="Q1006" i="6"/>
  <c r="R1006" i="6"/>
  <c r="AA1006" i="6"/>
  <c r="AQ335" i="6"/>
  <c r="AR335" i="6" s="1"/>
  <c r="AQ381" i="6"/>
  <c r="AR381" i="6" s="1"/>
  <c r="AQ427" i="6"/>
  <c r="AR427" i="6" s="1"/>
  <c r="AM416" i="6"/>
  <c r="AM370" i="6"/>
  <c r="AM462" i="6"/>
  <c r="AL1891" i="6"/>
  <c r="BB1891" i="6"/>
  <c r="AK2114" i="6"/>
  <c r="AK2160" i="6"/>
  <c r="AO2103" i="6"/>
  <c r="AO2149" i="6"/>
  <c r="BC1894" i="6"/>
  <c r="AM1894" i="6"/>
  <c r="AL357" i="6"/>
  <c r="AL403" i="6"/>
  <c r="AL449" i="6"/>
  <c r="AL1021" i="6"/>
  <c r="AL1067" i="6"/>
  <c r="AL1113" i="6"/>
  <c r="AL1205" i="6"/>
  <c r="AL1251" i="6"/>
  <c r="BC1457" i="6"/>
  <c r="AM1457" i="6"/>
  <c r="AK2144" i="6"/>
  <c r="AK2098" i="6"/>
  <c r="AK1675" i="6"/>
  <c r="AK1721" i="6"/>
  <c r="AK1767" i="6"/>
  <c r="Z997" i="6"/>
  <c r="R997" i="6"/>
  <c r="U997" i="6"/>
  <c r="T997" i="6"/>
  <c r="S997" i="6"/>
  <c r="AA997" i="6"/>
  <c r="Q997" i="6"/>
  <c r="Y997" i="6"/>
  <c r="P997" i="6"/>
  <c r="X997" i="6"/>
  <c r="V997" i="6"/>
  <c r="W997" i="6"/>
  <c r="BC1465" i="6"/>
  <c r="AM1465" i="6"/>
  <c r="AB955" i="6"/>
  <c r="T980" i="6"/>
  <c r="X980" i="6"/>
  <c r="W980" i="6"/>
  <c r="V980" i="6"/>
  <c r="U980" i="6"/>
  <c r="S980" i="6"/>
  <c r="AA980" i="6"/>
  <c r="R980" i="6"/>
  <c r="Z980" i="6"/>
  <c r="Y980" i="6"/>
  <c r="Q980" i="6"/>
  <c r="P980" i="6"/>
  <c r="AK1024" i="6"/>
  <c r="AK1070" i="6"/>
  <c r="AK1116" i="6"/>
  <c r="AK1208" i="6"/>
  <c r="AK1254" i="6"/>
  <c r="AL1728" i="6"/>
  <c r="AL1682" i="6"/>
  <c r="AL1774" i="6"/>
  <c r="BB1923" i="6"/>
  <c r="AL1923" i="6"/>
  <c r="AB961" i="6"/>
  <c r="AK1693" i="6"/>
  <c r="AK1739" i="6"/>
  <c r="AK1785" i="6"/>
  <c r="AM120" i="6"/>
  <c r="BC120" i="6"/>
  <c r="AL354" i="6"/>
  <c r="AL400" i="6"/>
  <c r="AL446" i="6"/>
  <c r="AL1305" i="6"/>
  <c r="AK1022" i="6"/>
  <c r="AK1068" i="6"/>
  <c r="AK1114" i="6"/>
  <c r="AK1206" i="6"/>
  <c r="AK1252" i="6"/>
  <c r="AM612" i="6"/>
  <c r="BC612" i="6"/>
  <c r="AL364" i="6"/>
  <c r="AL410" i="6"/>
  <c r="AL456" i="6"/>
  <c r="AM1061" i="6"/>
  <c r="AM1107" i="6"/>
  <c r="AM1153" i="6"/>
  <c r="AM1245" i="6"/>
  <c r="AM1291" i="6"/>
  <c r="AK1302" i="6"/>
  <c r="BD1930" i="6"/>
  <c r="AN1930" i="6"/>
  <c r="AM2121" i="6"/>
  <c r="AM2167" i="6"/>
  <c r="T1008" i="6"/>
  <c r="AA1008" i="6"/>
  <c r="R1008" i="6"/>
  <c r="Z1008" i="6"/>
  <c r="Q1008" i="6"/>
  <c r="Y1008" i="6"/>
  <c r="P1008" i="6"/>
  <c r="X1008" i="6"/>
  <c r="W1008" i="6"/>
  <c r="V1008" i="6"/>
  <c r="S1008" i="6"/>
  <c r="U1008" i="6"/>
  <c r="AK1683" i="6"/>
  <c r="AK1729" i="6"/>
  <c r="AK1775" i="6"/>
  <c r="AL631" i="6"/>
  <c r="BB631" i="6"/>
  <c r="B1304" i="6"/>
  <c r="AL1931" i="6"/>
  <c r="BB1931" i="6"/>
  <c r="BD138" i="6"/>
  <c r="AN138" i="6"/>
  <c r="AL1688" i="6"/>
  <c r="AL1734" i="6"/>
  <c r="AL1780" i="6"/>
  <c r="AM2128" i="6"/>
  <c r="AM2082" i="6"/>
  <c r="AN374" i="6"/>
  <c r="AN420" i="6"/>
  <c r="AN466" i="6"/>
  <c r="BC1441" i="6"/>
  <c r="AM1441" i="6"/>
  <c r="AM616" i="6"/>
  <c r="BC616" i="6"/>
  <c r="AB1295" i="6"/>
  <c r="AL351" i="6"/>
  <c r="AL397" i="6"/>
  <c r="AL443" i="6"/>
  <c r="T1004" i="6"/>
  <c r="V1004" i="6"/>
  <c r="U1004" i="6"/>
  <c r="S1004" i="6"/>
  <c r="AA1004" i="6"/>
  <c r="R1004" i="6"/>
  <c r="Z1004" i="6"/>
  <c r="Q1004" i="6"/>
  <c r="Y1004" i="6"/>
  <c r="P1004" i="6"/>
  <c r="W1004" i="6"/>
  <c r="X1004" i="6"/>
  <c r="AK1677" i="6"/>
  <c r="AK1723" i="6"/>
  <c r="AK1769" i="6"/>
  <c r="AB953" i="6"/>
  <c r="AK1040" i="6"/>
  <c r="AK1086" i="6"/>
  <c r="AK1132" i="6"/>
  <c r="AK1224" i="6"/>
  <c r="AK1270" i="6"/>
  <c r="AR1310" i="6"/>
  <c r="AM604" i="6"/>
  <c r="BC604" i="6"/>
  <c r="AL1690" i="6"/>
  <c r="AL1736" i="6"/>
  <c r="AL1782" i="6"/>
  <c r="AL347" i="6"/>
  <c r="AL393" i="6"/>
  <c r="AL439" i="6"/>
  <c r="T988" i="6"/>
  <c r="Z988" i="6"/>
  <c r="Q988" i="6"/>
  <c r="Y988" i="6"/>
  <c r="P988" i="6"/>
  <c r="X988" i="6"/>
  <c r="W988" i="6"/>
  <c r="V988" i="6"/>
  <c r="U988" i="6"/>
  <c r="AA988" i="6"/>
  <c r="R988" i="6"/>
  <c r="S988" i="6"/>
  <c r="AL365" i="6"/>
  <c r="AL457" i="6"/>
  <c r="AL411" i="6"/>
  <c r="BC1463" i="6"/>
  <c r="AM1463" i="6"/>
  <c r="BC1914" i="6"/>
  <c r="AM1914" i="6"/>
  <c r="AO1906" i="6"/>
  <c r="BE1906" i="6"/>
  <c r="AL1903" i="6"/>
  <c r="BB1903" i="6"/>
  <c r="AM100" i="6"/>
  <c r="BC100" i="6"/>
  <c r="BE1471" i="6"/>
  <c r="AO1471" i="6"/>
  <c r="AB1322" i="6"/>
  <c r="T1000" i="6"/>
  <c r="Y1000" i="6"/>
  <c r="P1000" i="6"/>
  <c r="X1000" i="6"/>
  <c r="W1000" i="6"/>
  <c r="V1000" i="6"/>
  <c r="U1000" i="6"/>
  <c r="S1000" i="6"/>
  <c r="Z1000" i="6"/>
  <c r="Q1000" i="6"/>
  <c r="AA1000" i="6"/>
  <c r="R1000" i="6"/>
  <c r="AN1895" i="6"/>
  <c r="BD1895" i="6"/>
  <c r="AM1018" i="6"/>
  <c r="AM1064" i="6"/>
  <c r="AM1110" i="6"/>
  <c r="AM1202" i="6"/>
  <c r="AM1248" i="6"/>
  <c r="AB1294" i="6"/>
  <c r="BD134" i="6"/>
  <c r="AN134" i="6"/>
  <c r="V987" i="6"/>
  <c r="Y987" i="6"/>
  <c r="P987" i="6"/>
  <c r="X987" i="6"/>
  <c r="W987" i="6"/>
  <c r="U987" i="6"/>
  <c r="T987" i="6"/>
  <c r="S987" i="6"/>
  <c r="AA987" i="6"/>
  <c r="Z987" i="6"/>
  <c r="R987" i="6"/>
  <c r="Q987" i="6"/>
  <c r="AM102" i="6"/>
  <c r="BC102" i="6"/>
  <c r="BC1435" i="6"/>
  <c r="AM1435" i="6"/>
  <c r="AB941" i="6"/>
  <c r="AM606" i="6"/>
  <c r="BC606" i="6"/>
  <c r="Z969" i="6"/>
  <c r="R969" i="6"/>
  <c r="AA969" i="6"/>
  <c r="Q969" i="6"/>
  <c r="Y969" i="6"/>
  <c r="P969" i="6"/>
  <c r="X969" i="6"/>
  <c r="W969" i="6"/>
  <c r="V969" i="6"/>
  <c r="U969" i="6"/>
  <c r="T969" i="6"/>
  <c r="S969" i="6"/>
  <c r="AL363" i="6"/>
  <c r="AL409" i="6"/>
  <c r="AL455" i="6"/>
  <c r="AK2084" i="6"/>
  <c r="AK2130" i="6"/>
  <c r="AL1434" i="6"/>
  <c r="BB1434" i="6"/>
  <c r="AL2133" i="6"/>
  <c r="AL2087" i="6"/>
  <c r="AM118" i="6"/>
  <c r="BC118" i="6"/>
  <c r="AL1452" i="6"/>
  <c r="BB1452" i="6"/>
  <c r="AL621" i="6"/>
  <c r="BB621" i="6"/>
  <c r="AL1696" i="6"/>
  <c r="AL1742" i="6"/>
  <c r="AL1788" i="6"/>
  <c r="AL1704" i="6"/>
  <c r="AL1750" i="6"/>
  <c r="AL1796" i="6"/>
  <c r="AL629" i="6"/>
  <c r="BB629" i="6"/>
  <c r="AM622" i="6"/>
  <c r="BC622" i="6"/>
  <c r="AM620" i="6"/>
  <c r="BC620" i="6"/>
  <c r="AB1316" i="6"/>
  <c r="AL625" i="6"/>
  <c r="BB625" i="6"/>
  <c r="AL1462" i="6"/>
  <c r="BB1462" i="6"/>
  <c r="AK2116" i="6"/>
  <c r="AK2162" i="6"/>
  <c r="AM105" i="6"/>
  <c r="BC105" i="6"/>
  <c r="AL1446" i="6"/>
  <c r="BB1446" i="6"/>
  <c r="Z977" i="6"/>
  <c r="R977" i="6"/>
  <c r="T977" i="6"/>
  <c r="S977" i="6"/>
  <c r="AA977" i="6"/>
  <c r="Q977" i="6"/>
  <c r="Y977" i="6"/>
  <c r="P977" i="6"/>
  <c r="X977" i="6"/>
  <c r="W977" i="6"/>
  <c r="V977" i="6"/>
  <c r="U977" i="6"/>
  <c r="AB1303" i="6"/>
  <c r="X966" i="6"/>
  <c r="P966" i="6"/>
  <c r="V966" i="6"/>
  <c r="U966" i="6"/>
  <c r="T966" i="6"/>
  <c r="S966" i="6"/>
  <c r="AA966" i="6"/>
  <c r="R966" i="6"/>
  <c r="Z966" i="6"/>
  <c r="Q966" i="6"/>
  <c r="Y966" i="6"/>
  <c r="W966" i="6"/>
  <c r="AB1305" i="6"/>
  <c r="AM624" i="6"/>
  <c r="BC624" i="6"/>
  <c r="AB930" i="6"/>
  <c r="AM101" i="6"/>
  <c r="BC101" i="6"/>
  <c r="AL1035" i="6"/>
  <c r="AL1081" i="6"/>
  <c r="AL1127" i="6"/>
  <c r="AL1219" i="6"/>
  <c r="AL1265" i="6"/>
  <c r="Z973" i="6"/>
  <c r="R973" i="6"/>
  <c r="W973" i="6"/>
  <c r="V973" i="6"/>
  <c r="U973" i="6"/>
  <c r="T973" i="6"/>
  <c r="S973" i="6"/>
  <c r="AA973" i="6"/>
  <c r="Q973" i="6"/>
  <c r="P973" i="6"/>
  <c r="X973" i="6"/>
  <c r="Y973" i="6"/>
  <c r="AB1325" i="6"/>
  <c r="AL1325" i="6"/>
  <c r="AN1928" i="6"/>
  <c r="BD1928" i="6"/>
  <c r="AK1054" i="6"/>
  <c r="AK1100" i="6"/>
  <c r="AK1146" i="6"/>
  <c r="AK1238" i="6"/>
  <c r="AK1284" i="6"/>
  <c r="BC1896" i="6"/>
  <c r="AM1896" i="6"/>
  <c r="AO1908" i="6"/>
  <c r="BE1908" i="6"/>
  <c r="AK2124" i="6"/>
  <c r="AK2170" i="6"/>
  <c r="AM377" i="6"/>
  <c r="AM423" i="6"/>
  <c r="AM469" i="6"/>
  <c r="AN1889" i="6"/>
  <c r="BD1889" i="6"/>
  <c r="AB1315" i="6"/>
  <c r="AL1680" i="6"/>
  <c r="AL1726" i="6"/>
  <c r="AL1772" i="6"/>
  <c r="AL1039" i="6"/>
  <c r="AL1085" i="6"/>
  <c r="AL1131" i="6"/>
  <c r="AL1223" i="6"/>
  <c r="AL1269" i="6"/>
  <c r="AL1295" i="6"/>
  <c r="AM112" i="6"/>
  <c r="BC112" i="6"/>
  <c r="B1303" i="6"/>
  <c r="AK1326" i="6"/>
  <c r="AL1023" i="6"/>
  <c r="AL1069" i="6"/>
  <c r="AL1115" i="6"/>
  <c r="AL1207" i="6"/>
  <c r="AL1253" i="6"/>
  <c r="AR1308" i="6"/>
  <c r="AO1709" i="6"/>
  <c r="AO1755" i="6"/>
  <c r="AO1801" i="6"/>
  <c r="AM108" i="6"/>
  <c r="BC108" i="6"/>
  <c r="AK1336" i="6"/>
  <c r="AR2104" i="6"/>
  <c r="AM126" i="6"/>
  <c r="BC126" i="6"/>
  <c r="AL1702" i="6"/>
  <c r="AL1748" i="6"/>
  <c r="AL1794" i="6"/>
  <c r="AL2107" i="6"/>
  <c r="AL2153" i="6"/>
  <c r="AB947" i="6"/>
  <c r="AN2099" i="6"/>
  <c r="AN2145" i="6"/>
  <c r="AK2096" i="6"/>
  <c r="AK2142" i="6"/>
  <c r="AM121" i="6"/>
  <c r="BC121" i="6"/>
  <c r="AL619" i="6"/>
  <c r="BB619" i="6"/>
  <c r="AB1300" i="6"/>
  <c r="AM632" i="6"/>
  <c r="BC632" i="6"/>
  <c r="AL1907" i="6"/>
  <c r="BB1907" i="6"/>
  <c r="AM1901" i="6"/>
  <c r="BC1901" i="6"/>
  <c r="AK1322" i="6"/>
  <c r="AB954" i="6"/>
  <c r="AM2088" i="6"/>
  <c r="AM2134" i="6"/>
  <c r="BD599" i="6"/>
  <c r="AN599" i="6"/>
  <c r="AM373" i="6"/>
  <c r="AM419" i="6"/>
  <c r="AM465" i="6"/>
  <c r="AL1027" i="6"/>
  <c r="AL1073" i="6"/>
  <c r="AL1119" i="6"/>
  <c r="AL1211" i="6"/>
  <c r="AL1257" i="6"/>
  <c r="AL1025" i="6"/>
  <c r="AL1071" i="6"/>
  <c r="AL1117" i="6"/>
  <c r="AL1209" i="6"/>
  <c r="AL1255" i="6"/>
  <c r="BF1916" i="6"/>
  <c r="AP1916" i="6"/>
  <c r="AM634" i="6"/>
  <c r="BC634" i="6"/>
  <c r="X970" i="6"/>
  <c r="P970" i="6"/>
  <c r="S970" i="6"/>
  <c r="AA970" i="6"/>
  <c r="R970" i="6"/>
  <c r="Z970" i="6"/>
  <c r="Q970" i="6"/>
  <c r="Y970" i="6"/>
  <c r="W970" i="6"/>
  <c r="V970" i="6"/>
  <c r="U970" i="6"/>
  <c r="T970" i="6"/>
  <c r="AM1899" i="6"/>
  <c r="BC1899" i="6"/>
  <c r="AB1329" i="6"/>
  <c r="AM124" i="6"/>
  <c r="BC124" i="6"/>
  <c r="AB1333" i="6"/>
  <c r="AK1673" i="6"/>
  <c r="AK1719" i="6"/>
  <c r="AK1765" i="6"/>
  <c r="AB1297" i="6"/>
  <c r="AM610" i="6"/>
  <c r="BC610" i="6"/>
  <c r="AB950" i="6"/>
  <c r="AL1460" i="6"/>
  <c r="BB1460" i="6"/>
  <c r="AK1691" i="6"/>
  <c r="AK1737" i="6"/>
  <c r="AK1783" i="6"/>
  <c r="AB936" i="6"/>
  <c r="AK1044" i="6"/>
  <c r="AK1090" i="6"/>
  <c r="AK1136" i="6"/>
  <c r="AK1228" i="6"/>
  <c r="AK1274" i="6"/>
  <c r="AB957" i="6"/>
  <c r="AM1467" i="6"/>
  <c r="BC1467" i="6"/>
  <c r="AM1904" i="6"/>
  <c r="BC1904" i="6"/>
  <c r="BB1915" i="6"/>
  <c r="AL1915" i="6"/>
  <c r="Z1001" i="6"/>
  <c r="R1001" i="6"/>
  <c r="AA1001" i="6"/>
  <c r="Q1001" i="6"/>
  <c r="Y1001" i="6"/>
  <c r="P1001" i="6"/>
  <c r="X1001" i="6"/>
  <c r="W1001" i="6"/>
  <c r="V1001" i="6"/>
  <c r="U1001" i="6"/>
  <c r="S1001" i="6"/>
  <c r="T1001" i="6"/>
  <c r="AK1052" i="6"/>
  <c r="AK1144" i="6"/>
  <c r="AK1098" i="6"/>
  <c r="AK1236" i="6"/>
  <c r="AK1282" i="6"/>
  <c r="AK1328" i="6"/>
  <c r="AL1045" i="6"/>
  <c r="AL1137" i="6"/>
  <c r="AL1091" i="6"/>
  <c r="AL1229" i="6"/>
  <c r="AL1275" i="6"/>
  <c r="AL1321" i="6"/>
  <c r="AB934" i="6"/>
  <c r="AL1043" i="6"/>
  <c r="AL1089" i="6"/>
  <c r="AL1135" i="6"/>
  <c r="AL1227" i="6"/>
  <c r="AL1273" i="6"/>
  <c r="AK1048" i="6"/>
  <c r="AK1094" i="6"/>
  <c r="AK1140" i="6"/>
  <c r="AK1232" i="6"/>
  <c r="AK1278" i="6"/>
  <c r="AK1701" i="6"/>
  <c r="AK1747" i="6"/>
  <c r="AK1793" i="6"/>
  <c r="Z981" i="6"/>
  <c r="R981" i="6"/>
  <c r="Y981" i="6"/>
  <c r="P981" i="6"/>
  <c r="X981" i="6"/>
  <c r="W981" i="6"/>
  <c r="V981" i="6"/>
  <c r="U981" i="6"/>
  <c r="T981" i="6"/>
  <c r="AA981" i="6"/>
  <c r="S981" i="6"/>
  <c r="Q981" i="6"/>
  <c r="AB1301" i="6"/>
  <c r="AB1335" i="6"/>
  <c r="X1010" i="6"/>
  <c r="X1012" i="6" s="1"/>
  <c r="P1010" i="6"/>
  <c r="U1010" i="6"/>
  <c r="U1012" i="6" s="1"/>
  <c r="T1010" i="6"/>
  <c r="T1012" i="6" s="1"/>
  <c r="S1010" i="6"/>
  <c r="S1012" i="6" s="1"/>
  <c r="AA1010" i="6"/>
  <c r="AA1012" i="6" s="1"/>
  <c r="R1010" i="6"/>
  <c r="R1012" i="6" s="1"/>
  <c r="Z1010" i="6"/>
  <c r="Z1012" i="6" s="1"/>
  <c r="Q1010" i="6"/>
  <c r="Q1012" i="6" s="1"/>
  <c r="Y1010" i="6"/>
  <c r="Y1012" i="6" s="1"/>
  <c r="V1010" i="6"/>
  <c r="V1012" i="6" s="1"/>
  <c r="W1010" i="6"/>
  <c r="W1012" i="6" s="1"/>
  <c r="AL355" i="6"/>
  <c r="AL401" i="6"/>
  <c r="AL447" i="6"/>
  <c r="AL344" i="6"/>
  <c r="AL390" i="6"/>
  <c r="AL436" i="6"/>
  <c r="AK1685" i="6"/>
  <c r="AK1731" i="6"/>
  <c r="AK1777" i="6"/>
  <c r="AQ2090" i="6"/>
  <c r="AR2090" i="6" s="1"/>
  <c r="AQ2136" i="6"/>
  <c r="AR2136" i="6" s="1"/>
  <c r="AB1298" i="6"/>
  <c r="AB931" i="6"/>
  <c r="AB956" i="6"/>
  <c r="AB1314" i="6"/>
  <c r="AL1047" i="6"/>
  <c r="AL1093" i="6"/>
  <c r="AL1139" i="6"/>
  <c r="AL1231" i="6"/>
  <c r="AL1277" i="6"/>
  <c r="Z985" i="6"/>
  <c r="R985" i="6"/>
  <c r="V985" i="6"/>
  <c r="U985" i="6"/>
  <c r="T985" i="6"/>
  <c r="S985" i="6"/>
  <c r="AA985" i="6"/>
  <c r="Q985" i="6"/>
  <c r="Y985" i="6"/>
  <c r="P985" i="6"/>
  <c r="X985" i="6"/>
  <c r="W985" i="6"/>
  <c r="AO1708" i="6"/>
  <c r="AO1754" i="6"/>
  <c r="AO1800" i="6"/>
  <c r="T976" i="6"/>
  <c r="AA976" i="6"/>
  <c r="R976" i="6"/>
  <c r="Z976" i="6"/>
  <c r="Q976" i="6"/>
  <c r="Y976" i="6"/>
  <c r="P976" i="6"/>
  <c r="X976" i="6"/>
  <c r="W976" i="6"/>
  <c r="V976" i="6"/>
  <c r="U976" i="6"/>
  <c r="S976" i="6"/>
  <c r="AL386" i="6"/>
  <c r="AL340" i="6"/>
  <c r="AL432" i="6"/>
  <c r="AM127" i="6"/>
  <c r="BC127" i="6"/>
  <c r="AB945" i="6"/>
  <c r="V991" i="6"/>
  <c r="U991" i="6"/>
  <c r="T991" i="6"/>
  <c r="S991" i="6"/>
  <c r="AA991" i="6"/>
  <c r="R991" i="6"/>
  <c r="Z991" i="6"/>
  <c r="Q991" i="6"/>
  <c r="Y991" i="6"/>
  <c r="P991" i="6"/>
  <c r="X991" i="6"/>
  <c r="W991" i="6"/>
  <c r="B1315" i="6"/>
  <c r="X998" i="6"/>
  <c r="P998" i="6"/>
  <c r="V998" i="6"/>
  <c r="U998" i="6"/>
  <c r="T998" i="6"/>
  <c r="S998" i="6"/>
  <c r="AA998" i="6"/>
  <c r="R998" i="6"/>
  <c r="Z998" i="6"/>
  <c r="Q998" i="6"/>
  <c r="W998" i="6"/>
  <c r="Y998" i="6"/>
  <c r="AM109" i="6"/>
  <c r="BC109" i="6"/>
  <c r="BC1924" i="6"/>
  <c r="AM1924" i="6"/>
  <c r="AK1312" i="6"/>
  <c r="AO1912" i="6"/>
  <c r="BE1912" i="6"/>
  <c r="V967" i="6"/>
  <c r="X967" i="6"/>
  <c r="W967" i="6"/>
  <c r="U967" i="6"/>
  <c r="T967" i="6"/>
  <c r="S967" i="6"/>
  <c r="AA967" i="6"/>
  <c r="R967" i="6"/>
  <c r="Z967" i="6"/>
  <c r="Y967" i="6"/>
  <c r="P967" i="6"/>
  <c r="AB967" i="6" s="1"/>
  <c r="Q967" i="6"/>
  <c r="AL2089" i="6"/>
  <c r="AL2135" i="6"/>
  <c r="AN2101" i="6"/>
  <c r="AN2147" i="6"/>
  <c r="AL1909" i="6"/>
  <c r="BB1909" i="6"/>
  <c r="AK376" i="6"/>
  <c r="AK422" i="6"/>
  <c r="AK468" i="6"/>
  <c r="AB922" i="6"/>
  <c r="AL353" i="6"/>
  <c r="AL399" i="6"/>
  <c r="AL445" i="6"/>
  <c r="BF1470" i="6"/>
  <c r="AP1470" i="6"/>
  <c r="AM630" i="6"/>
  <c r="BC630" i="6"/>
  <c r="B1305" i="6"/>
  <c r="AB929" i="6"/>
  <c r="B1314" i="6"/>
  <c r="AL406" i="6"/>
  <c r="AL360" i="6"/>
  <c r="AL452" i="6"/>
  <c r="AK1042" i="6"/>
  <c r="AK1134" i="6"/>
  <c r="AK1088" i="6"/>
  <c r="AK1226" i="6"/>
  <c r="AK1272" i="6"/>
  <c r="AK1318" i="6"/>
  <c r="AL1055" i="6"/>
  <c r="AL1101" i="6"/>
  <c r="AL1147" i="6"/>
  <c r="AL1239" i="6"/>
  <c r="AL1285" i="6"/>
  <c r="AB1309" i="6"/>
  <c r="AM119" i="6"/>
  <c r="BC119" i="6"/>
  <c r="AK2100" i="6"/>
  <c r="AK2146" i="6"/>
  <c r="AL2094" i="6"/>
  <c r="AL2140" i="6"/>
  <c r="AM618" i="6"/>
  <c r="BC618" i="6"/>
  <c r="AR1897" i="6"/>
  <c r="AN124" i="6" l="1"/>
  <c r="BD124" i="6"/>
  <c r="AP1709" i="6"/>
  <c r="AP1755" i="6"/>
  <c r="AP1801" i="6"/>
  <c r="AQ1470" i="6"/>
  <c r="BG1470" i="6"/>
  <c r="BD109" i="6"/>
  <c r="AN109" i="6"/>
  <c r="AB976" i="6"/>
  <c r="BC1915" i="6"/>
  <c r="AM1915" i="6"/>
  <c r="AM1029" i="6"/>
  <c r="AM1075" i="6"/>
  <c r="AM1121" i="6"/>
  <c r="AM1213" i="6"/>
  <c r="AM1259" i="6"/>
  <c r="AM1305" i="6"/>
  <c r="AM1057" i="6"/>
  <c r="AM1103" i="6"/>
  <c r="AM1149" i="6"/>
  <c r="AM1241" i="6"/>
  <c r="AM1287" i="6"/>
  <c r="AM1333" i="6"/>
  <c r="AN1901" i="6"/>
  <c r="BD1901" i="6"/>
  <c r="AL1042" i="6"/>
  <c r="AL1088" i="6"/>
  <c r="AL1134" i="6"/>
  <c r="AL1226" i="6"/>
  <c r="AL1272" i="6"/>
  <c r="AL1318" i="6"/>
  <c r="AM365" i="6"/>
  <c r="AM457" i="6"/>
  <c r="AM411" i="6"/>
  <c r="AL1685" i="6"/>
  <c r="AL1731" i="6"/>
  <c r="AL1777" i="6"/>
  <c r="AN622" i="6"/>
  <c r="BD622" i="6"/>
  <c r="AL1691" i="6"/>
  <c r="AL1737" i="6"/>
  <c r="AL1783" i="6"/>
  <c r="AN102" i="6"/>
  <c r="BD102" i="6"/>
  <c r="AP1906" i="6"/>
  <c r="BF1906" i="6"/>
  <c r="AB988" i="6"/>
  <c r="AN616" i="6"/>
  <c r="BD616" i="6"/>
  <c r="AM1931" i="6"/>
  <c r="BC1931" i="6"/>
  <c r="AL2116" i="6"/>
  <c r="AL2162" i="6"/>
  <c r="AB997" i="6"/>
  <c r="AM1696" i="6"/>
  <c r="AM1742" i="6"/>
  <c r="AM1788" i="6"/>
  <c r="AM1891" i="6"/>
  <c r="BC1891" i="6"/>
  <c r="BC623" i="6"/>
  <c r="AM623" i="6"/>
  <c r="AM1444" i="6"/>
  <c r="BC1444" i="6"/>
  <c r="AQ2103" i="6"/>
  <c r="AQ2149" i="6"/>
  <c r="AR1910" i="6"/>
  <c r="AM1442" i="6"/>
  <c r="BC1442" i="6"/>
  <c r="AL372" i="6"/>
  <c r="AL418" i="6"/>
  <c r="AL464" i="6"/>
  <c r="AN2106" i="6"/>
  <c r="AN2152" i="6"/>
  <c r="AM2095" i="6"/>
  <c r="AM2141" i="6"/>
  <c r="AM1927" i="6"/>
  <c r="BC1927" i="6"/>
  <c r="AM1017" i="6"/>
  <c r="AM1063" i="6"/>
  <c r="AM1109" i="6"/>
  <c r="AM1201" i="6"/>
  <c r="AM1247" i="6"/>
  <c r="AM1293" i="6"/>
  <c r="AN2086" i="6"/>
  <c r="AN2132" i="6"/>
  <c r="AM1051" i="6"/>
  <c r="AM1143" i="6"/>
  <c r="AM1097" i="6"/>
  <c r="AM1235" i="6"/>
  <c r="AM1281" i="6"/>
  <c r="AM1327" i="6"/>
  <c r="AM1450" i="6"/>
  <c r="BC1450" i="6"/>
  <c r="AL2093" i="6"/>
  <c r="AL2139" i="6"/>
  <c r="AB995" i="6"/>
  <c r="AM1692" i="6"/>
  <c r="AM1738" i="6"/>
  <c r="AM1784" i="6"/>
  <c r="AO1711" i="6"/>
  <c r="AO1757" i="6"/>
  <c r="AO1803" i="6"/>
  <c r="BC611" i="6"/>
  <c r="AM611" i="6"/>
  <c r="AL1705" i="6"/>
  <c r="AL1751" i="6"/>
  <c r="AL1797" i="6"/>
  <c r="AO1671" i="6"/>
  <c r="AO1717" i="6"/>
  <c r="AO1763" i="6"/>
  <c r="AL376" i="6"/>
  <c r="AL422" i="6"/>
  <c r="AL468" i="6"/>
  <c r="AL1697" i="6"/>
  <c r="AL1743" i="6"/>
  <c r="AL1789" i="6"/>
  <c r="AM361" i="6"/>
  <c r="AM407" i="6"/>
  <c r="AM453" i="6"/>
  <c r="BC615" i="6"/>
  <c r="AM615" i="6"/>
  <c r="AM1027" i="6"/>
  <c r="AM1073" i="6"/>
  <c r="AM1119" i="6"/>
  <c r="AM1211" i="6"/>
  <c r="AM1257" i="6"/>
  <c r="AM1303" i="6"/>
  <c r="AN2085" i="6"/>
  <c r="AN2131" i="6"/>
  <c r="BD119" i="6"/>
  <c r="AN119" i="6"/>
  <c r="AP1912" i="6"/>
  <c r="BF1912" i="6"/>
  <c r="AQ1912" i="6" s="1"/>
  <c r="AM348" i="6"/>
  <c r="AM394" i="6"/>
  <c r="AM440" i="6"/>
  <c r="AB981" i="6"/>
  <c r="AB1001" i="6"/>
  <c r="AN1904" i="6"/>
  <c r="BD1904" i="6"/>
  <c r="AN1899" i="6"/>
  <c r="BD1899" i="6"/>
  <c r="AP2109" i="6"/>
  <c r="AP2155" i="6"/>
  <c r="AM2094" i="6"/>
  <c r="AM2140" i="6"/>
  <c r="BD121" i="6"/>
  <c r="AN121" i="6"/>
  <c r="AP1908" i="6"/>
  <c r="BF1908" i="6"/>
  <c r="P1012" i="6"/>
  <c r="AN624" i="6"/>
  <c r="BD624" i="6"/>
  <c r="AM1462" i="6"/>
  <c r="BC1462" i="6"/>
  <c r="AM1045" i="6"/>
  <c r="AM1091" i="6"/>
  <c r="AM1137" i="6"/>
  <c r="AM1229" i="6"/>
  <c r="AM1275" i="6"/>
  <c r="AM1321" i="6"/>
  <c r="AN118" i="6"/>
  <c r="BD118" i="6"/>
  <c r="AM341" i="6"/>
  <c r="AM387" i="6"/>
  <c r="AM433" i="6"/>
  <c r="AO1895" i="6"/>
  <c r="BE1895" i="6"/>
  <c r="AO2099" i="6"/>
  <c r="AO2145" i="6"/>
  <c r="AM1039" i="6"/>
  <c r="AM1085" i="6"/>
  <c r="AM1131" i="6"/>
  <c r="AM1223" i="6"/>
  <c r="AM1269" i="6"/>
  <c r="AM1315" i="6"/>
  <c r="AL2124" i="6"/>
  <c r="AL2170" i="6"/>
  <c r="AB1008" i="6"/>
  <c r="AM1923" i="6"/>
  <c r="BC1923" i="6"/>
  <c r="AN1457" i="6"/>
  <c r="BD1457" i="6"/>
  <c r="AL2084" i="6"/>
  <c r="AL2130" i="6"/>
  <c r="AL1046" i="6"/>
  <c r="AL1092" i="6"/>
  <c r="AL1138" i="6"/>
  <c r="AL1230" i="6"/>
  <c r="AL1276" i="6"/>
  <c r="AL1322" i="6"/>
  <c r="AN106" i="6"/>
  <c r="BD106" i="6"/>
  <c r="AM1438" i="6"/>
  <c r="BC1438" i="6"/>
  <c r="AO374" i="6"/>
  <c r="AO420" i="6"/>
  <c r="AO466" i="6"/>
  <c r="AL1683" i="6"/>
  <c r="AL1729" i="6"/>
  <c r="AL1775" i="6"/>
  <c r="AO638" i="6"/>
  <c r="BE638" i="6"/>
  <c r="AN602" i="6"/>
  <c r="BD602" i="6"/>
  <c r="AP2103" i="6"/>
  <c r="AP2149" i="6"/>
  <c r="AL1681" i="6"/>
  <c r="AL1727" i="6"/>
  <c r="AL1773" i="6"/>
  <c r="BC133" i="6"/>
  <c r="AM133" i="6"/>
  <c r="AM1929" i="6"/>
  <c r="BC1929" i="6"/>
  <c r="AO1913" i="6"/>
  <c r="BE1913" i="6"/>
  <c r="AM95" i="6"/>
  <c r="BC95" i="6"/>
  <c r="BE1893" i="6"/>
  <c r="AO1893" i="6"/>
  <c r="AN1431" i="6"/>
  <c r="BD1431" i="6"/>
  <c r="AL1689" i="6"/>
  <c r="AL1735" i="6"/>
  <c r="AL1781" i="6"/>
  <c r="AN1453" i="6"/>
  <c r="BD1453" i="6"/>
  <c r="BF1472" i="6"/>
  <c r="AP1472" i="6"/>
  <c r="AL1030" i="6"/>
  <c r="AL1076" i="6"/>
  <c r="AL1122" i="6"/>
  <c r="AL1214" i="6"/>
  <c r="AL1260" i="6"/>
  <c r="AL1306" i="6"/>
  <c r="AO1917" i="6"/>
  <c r="BE1917" i="6"/>
  <c r="AP1432" i="6"/>
  <c r="BF1432" i="6"/>
  <c r="AN114" i="6"/>
  <c r="BD114" i="6"/>
  <c r="BC637" i="6"/>
  <c r="AM637" i="6"/>
  <c r="AP1708" i="6"/>
  <c r="AP1754" i="6"/>
  <c r="AP1800" i="6"/>
  <c r="AL1038" i="6"/>
  <c r="AL1084" i="6"/>
  <c r="AL1130" i="6"/>
  <c r="AL1222" i="6"/>
  <c r="AL1268" i="6"/>
  <c r="AL1314" i="6"/>
  <c r="AM1440" i="6"/>
  <c r="BC1440" i="6"/>
  <c r="BE1892" i="6"/>
  <c r="AO1892" i="6"/>
  <c r="AM412" i="6"/>
  <c r="AM366" i="6"/>
  <c r="AM458" i="6"/>
  <c r="AN618" i="6"/>
  <c r="BD618" i="6"/>
  <c r="AM358" i="6"/>
  <c r="AM404" i="6"/>
  <c r="AM450" i="6"/>
  <c r="AO2105" i="6"/>
  <c r="AO2151" i="6"/>
  <c r="AB991" i="6"/>
  <c r="AB1010" i="6"/>
  <c r="AB1012" i="6" s="1"/>
  <c r="AM2097" i="6"/>
  <c r="AM2143" i="6"/>
  <c r="AM2138" i="6"/>
  <c r="AM2092" i="6"/>
  <c r="AQ1916" i="6"/>
  <c r="BG1916" i="6"/>
  <c r="AN1018" i="6"/>
  <c r="AN1064" i="6"/>
  <c r="AN1110" i="6"/>
  <c r="AN1202" i="6"/>
  <c r="AN1248" i="6"/>
  <c r="AN1294" i="6"/>
  <c r="AM1907" i="6"/>
  <c r="BC1907" i="6"/>
  <c r="AM406" i="6"/>
  <c r="AM360" i="6"/>
  <c r="AM452" i="6"/>
  <c r="AO1889" i="6"/>
  <c r="BE1889" i="6"/>
  <c r="AO2101" i="6"/>
  <c r="AO2147" i="6"/>
  <c r="AM1047" i="6"/>
  <c r="AM1093" i="6"/>
  <c r="AM1139" i="6"/>
  <c r="AM1231" i="6"/>
  <c r="AM1277" i="6"/>
  <c r="AM1323" i="6"/>
  <c r="BD105" i="6"/>
  <c r="AN105" i="6"/>
  <c r="AL1701" i="6"/>
  <c r="AL1747" i="6"/>
  <c r="AL1793" i="6"/>
  <c r="BC629" i="6"/>
  <c r="AM629" i="6"/>
  <c r="AM357" i="6"/>
  <c r="AM403" i="6"/>
  <c r="AM449" i="6"/>
  <c r="AN606" i="6"/>
  <c r="BD606" i="6"/>
  <c r="AN2088" i="6"/>
  <c r="AN2134" i="6"/>
  <c r="AO1710" i="6"/>
  <c r="AO1756" i="6"/>
  <c r="AO1802" i="6"/>
  <c r="AM2107" i="6"/>
  <c r="AM2153" i="6"/>
  <c r="AB1004" i="6"/>
  <c r="AN120" i="6"/>
  <c r="BD120" i="6"/>
  <c r="AM2087" i="6"/>
  <c r="AM2133" i="6"/>
  <c r="BE131" i="6"/>
  <c r="AO131" i="6"/>
  <c r="AN626" i="6"/>
  <c r="BD626" i="6"/>
  <c r="AM345" i="6"/>
  <c r="AM391" i="6"/>
  <c r="AM437" i="6"/>
  <c r="AM1690" i="6"/>
  <c r="AM1736" i="6"/>
  <c r="AM1782" i="6"/>
  <c r="AL1677" i="6"/>
  <c r="AL1723" i="6"/>
  <c r="AL1769" i="6"/>
  <c r="BF135" i="6"/>
  <c r="AP135" i="6"/>
  <c r="AN1061" i="6"/>
  <c r="AN1107" i="6"/>
  <c r="AN1153" i="6"/>
  <c r="AN1245" i="6"/>
  <c r="AN1291" i="6"/>
  <c r="AN1337" i="6"/>
  <c r="AM1682" i="6"/>
  <c r="AM1728" i="6"/>
  <c r="AM1774" i="6"/>
  <c r="AM1021" i="6"/>
  <c r="AM1067" i="6"/>
  <c r="AM1113" i="6"/>
  <c r="AM1205" i="6"/>
  <c r="AM1251" i="6"/>
  <c r="AM1297" i="6"/>
  <c r="AL2114" i="6"/>
  <c r="AL2160" i="6"/>
  <c r="AM371" i="6"/>
  <c r="AM417" i="6"/>
  <c r="AM463" i="6"/>
  <c r="AM1464" i="6"/>
  <c r="BC1464" i="6"/>
  <c r="AL2168" i="6"/>
  <c r="AL2122" i="6"/>
  <c r="BC613" i="6"/>
  <c r="AM613" i="6"/>
  <c r="AM1694" i="6"/>
  <c r="AM1740" i="6"/>
  <c r="AM1786" i="6"/>
  <c r="AB1003" i="6"/>
  <c r="AL334" i="6"/>
  <c r="AL380" i="6"/>
  <c r="AL426" i="6"/>
  <c r="AB1009" i="6"/>
  <c r="AB968" i="6"/>
  <c r="AP136" i="6"/>
  <c r="BF136" i="6"/>
  <c r="AM1670" i="6"/>
  <c r="AM1716" i="6"/>
  <c r="AM1762" i="6"/>
  <c r="AB974" i="6"/>
  <c r="AN614" i="6"/>
  <c r="BD614" i="6"/>
  <c r="AM2113" i="6"/>
  <c r="AM2159" i="6"/>
  <c r="AB986" i="6"/>
  <c r="AN2110" i="6"/>
  <c r="AN2156" i="6"/>
  <c r="AM353" i="6"/>
  <c r="AM399" i="6"/>
  <c r="AM445" i="6"/>
  <c r="AL1060" i="6"/>
  <c r="AL1106" i="6"/>
  <c r="AL1152" i="6"/>
  <c r="AL1244" i="6"/>
  <c r="AL1290" i="6"/>
  <c r="AL1336" i="6"/>
  <c r="AQ1469" i="6"/>
  <c r="BG1469" i="6"/>
  <c r="AM2081" i="6"/>
  <c r="AM2127" i="6"/>
  <c r="AB982" i="6"/>
  <c r="AL1679" i="6"/>
  <c r="AL1771" i="6"/>
  <c r="AL1725" i="6"/>
  <c r="AM2117" i="6"/>
  <c r="AM2163" i="6"/>
  <c r="AM1041" i="6"/>
  <c r="AM1087" i="6"/>
  <c r="AM1133" i="6"/>
  <c r="AM1225" i="6"/>
  <c r="AM1271" i="6"/>
  <c r="AM1317" i="6"/>
  <c r="AN1467" i="6"/>
  <c r="BD1467" i="6"/>
  <c r="AO599" i="6"/>
  <c r="BE599" i="6"/>
  <c r="AL2100" i="6"/>
  <c r="AL2146" i="6"/>
  <c r="AN112" i="6"/>
  <c r="BD112" i="6"/>
  <c r="AN2128" i="6"/>
  <c r="AN2082" i="6"/>
  <c r="AM2089" i="6"/>
  <c r="AM2135" i="6"/>
  <c r="AM344" i="6"/>
  <c r="AM390" i="6"/>
  <c r="AM436" i="6"/>
  <c r="BC625" i="6"/>
  <c r="AM625" i="6"/>
  <c r="AL1052" i="6"/>
  <c r="AL1098" i="6"/>
  <c r="AL1144" i="6"/>
  <c r="AL1236" i="6"/>
  <c r="AL1282" i="6"/>
  <c r="AL1328" i="6"/>
  <c r="AB969" i="6"/>
  <c r="AM1025" i="6"/>
  <c r="AM1071" i="6"/>
  <c r="AM1117" i="6"/>
  <c r="AM1209" i="6"/>
  <c r="AM1255" i="6"/>
  <c r="AM1301" i="6"/>
  <c r="AB987" i="6"/>
  <c r="BF1471" i="6"/>
  <c r="AP1471" i="6"/>
  <c r="BD1914" i="6"/>
  <c r="AN1914" i="6"/>
  <c r="AN604" i="6"/>
  <c r="BD604" i="6"/>
  <c r="BC631" i="6"/>
  <c r="AM631" i="6"/>
  <c r="AN2123" i="6"/>
  <c r="AN2169" i="6"/>
  <c r="AM359" i="6"/>
  <c r="AM405" i="6"/>
  <c r="AM451" i="6"/>
  <c r="AB980" i="6"/>
  <c r="AM1704" i="6"/>
  <c r="AM1750" i="6"/>
  <c r="AM1796" i="6"/>
  <c r="BD1894" i="6"/>
  <c r="AN1894" i="6"/>
  <c r="AN370" i="6"/>
  <c r="AN416" i="6"/>
  <c r="AN462" i="6"/>
  <c r="AM1049" i="6"/>
  <c r="AM1095" i="6"/>
  <c r="AM1141" i="6"/>
  <c r="AM1233" i="6"/>
  <c r="AM1279" i="6"/>
  <c r="AM1325" i="6"/>
  <c r="AB994" i="6"/>
  <c r="AN1451" i="6"/>
  <c r="BD1451" i="6"/>
  <c r="AN98" i="6"/>
  <c r="BD98" i="6"/>
  <c r="AN1443" i="6"/>
  <c r="BD1443" i="6"/>
  <c r="AM1921" i="6"/>
  <c r="BC1921" i="6"/>
  <c r="AN132" i="6"/>
  <c r="BD132" i="6"/>
  <c r="AL1703" i="6"/>
  <c r="AL1749" i="6"/>
  <c r="AL1795" i="6"/>
  <c r="AB989" i="6"/>
  <c r="AL1036" i="6"/>
  <c r="AL1082" i="6"/>
  <c r="AL1128" i="6"/>
  <c r="AL1220" i="6"/>
  <c r="AL1266" i="6"/>
  <c r="AL1312" i="6"/>
  <c r="AB1002" i="6"/>
  <c r="AB972" i="6"/>
  <c r="AN1455" i="6"/>
  <c r="BD1455" i="6"/>
  <c r="AO375" i="6"/>
  <c r="AO421" i="6"/>
  <c r="AO467" i="6"/>
  <c r="BD103" i="6"/>
  <c r="AN103" i="6"/>
  <c r="AM1686" i="6"/>
  <c r="AM1732" i="6"/>
  <c r="AM1778" i="6"/>
  <c r="BD111" i="6"/>
  <c r="AN111" i="6"/>
  <c r="AB993" i="6"/>
  <c r="AL369" i="6"/>
  <c r="AL415" i="6"/>
  <c r="AL461" i="6"/>
  <c r="AM1037" i="6"/>
  <c r="AM1083" i="6"/>
  <c r="AM1129" i="6"/>
  <c r="AM1221" i="6"/>
  <c r="AM1267" i="6"/>
  <c r="AM1313" i="6"/>
  <c r="BD1920" i="6"/>
  <c r="AN1920" i="6"/>
  <c r="AL2112" i="6"/>
  <c r="AL2158" i="6"/>
  <c r="AM1448" i="6"/>
  <c r="BC1448" i="6"/>
  <c r="BD123" i="6"/>
  <c r="AN123" i="6"/>
  <c r="BF1922" i="6"/>
  <c r="AP1922" i="6"/>
  <c r="AN116" i="6"/>
  <c r="BD116" i="6"/>
  <c r="AN1888" i="6"/>
  <c r="BD1888" i="6"/>
  <c r="AN630" i="6"/>
  <c r="BD630" i="6"/>
  <c r="AB998" i="6"/>
  <c r="AM1706" i="6"/>
  <c r="AM1752" i="6"/>
  <c r="AM1798" i="6"/>
  <c r="AM1460" i="6"/>
  <c r="BC1460" i="6"/>
  <c r="AN632" i="6"/>
  <c r="BD632" i="6"/>
  <c r="AN108" i="6"/>
  <c r="BD108" i="6"/>
  <c r="AM351" i="6"/>
  <c r="AM397" i="6"/>
  <c r="AM443" i="6"/>
  <c r="AN1896" i="6"/>
  <c r="BD1896" i="6"/>
  <c r="AB973" i="6"/>
  <c r="AL1048" i="6"/>
  <c r="AL1094" i="6"/>
  <c r="AL1140" i="6"/>
  <c r="AL1232" i="6"/>
  <c r="AL1278" i="6"/>
  <c r="AL1324" i="6"/>
  <c r="AB1000" i="6"/>
  <c r="AN100" i="6"/>
  <c r="BD100" i="6"/>
  <c r="AM1748" i="6"/>
  <c r="AM1702" i="6"/>
  <c r="AM1794" i="6"/>
  <c r="AM1023" i="6"/>
  <c r="AM1069" i="6"/>
  <c r="AM1115" i="6"/>
  <c r="AM1207" i="6"/>
  <c r="AM1253" i="6"/>
  <c r="AM1299" i="6"/>
  <c r="AM1680" i="6"/>
  <c r="AM1726" i="6"/>
  <c r="AM1772" i="6"/>
  <c r="AL1054" i="6"/>
  <c r="AL1100" i="6"/>
  <c r="AL1146" i="6"/>
  <c r="AL1238" i="6"/>
  <c r="AL1284" i="6"/>
  <c r="AL1330" i="6"/>
  <c r="AO1930" i="6"/>
  <c r="BE1930" i="6"/>
  <c r="AN1465" i="6"/>
  <c r="BD1465" i="6"/>
  <c r="AB1006" i="6"/>
  <c r="AM337" i="6"/>
  <c r="AM383" i="6"/>
  <c r="AM429" i="6"/>
  <c r="BD125" i="6"/>
  <c r="AN125" i="6"/>
  <c r="BC603" i="6"/>
  <c r="AM603" i="6"/>
  <c r="AM1436" i="6"/>
  <c r="BC1436" i="6"/>
  <c r="AO636" i="6"/>
  <c r="BE636" i="6"/>
  <c r="BC607" i="6"/>
  <c r="AM607" i="6"/>
  <c r="AM1676" i="6"/>
  <c r="AM1722" i="6"/>
  <c r="AM1768" i="6"/>
  <c r="AM342" i="6"/>
  <c r="AM388" i="6"/>
  <c r="AM434" i="6"/>
  <c r="AN1447" i="6"/>
  <c r="BD1447" i="6"/>
  <c r="AM350" i="6"/>
  <c r="AM396" i="6"/>
  <c r="AM442" i="6"/>
  <c r="AM130" i="6"/>
  <c r="BC130" i="6"/>
  <c r="AB1007" i="6"/>
  <c r="AM1919" i="6"/>
  <c r="BC1919" i="6"/>
  <c r="BC633" i="6"/>
  <c r="AM633" i="6"/>
  <c r="AL1687" i="6"/>
  <c r="AL1733" i="6"/>
  <c r="AL1779" i="6"/>
  <c r="BD99" i="6"/>
  <c r="AN99" i="6"/>
  <c r="AM362" i="6"/>
  <c r="AM408" i="6"/>
  <c r="AM454" i="6"/>
  <c r="BD129" i="6"/>
  <c r="AN129" i="6"/>
  <c r="AO2115" i="6"/>
  <c r="AO2161" i="6"/>
  <c r="AB992" i="6"/>
  <c r="AM355" i="6"/>
  <c r="AM401" i="6"/>
  <c r="AM447" i="6"/>
  <c r="AM1053" i="6"/>
  <c r="AM1099" i="6"/>
  <c r="AM1145" i="6"/>
  <c r="AM1237" i="6"/>
  <c r="AM1283" i="6"/>
  <c r="AM1329" i="6"/>
  <c r="AM1909" i="6"/>
  <c r="BC1909" i="6"/>
  <c r="BD127" i="6"/>
  <c r="AN127" i="6"/>
  <c r="AB985" i="6"/>
  <c r="AL1699" i="6"/>
  <c r="AL1745" i="6"/>
  <c r="AL1791" i="6"/>
  <c r="AB970" i="6"/>
  <c r="AM1055" i="6"/>
  <c r="AM1101" i="6"/>
  <c r="AM1147" i="6"/>
  <c r="AM1239" i="6"/>
  <c r="AM1285" i="6"/>
  <c r="AM1331" i="6"/>
  <c r="AM347" i="6"/>
  <c r="AM393" i="6"/>
  <c r="AM439" i="6"/>
  <c r="AO1928" i="6"/>
  <c r="BE1928" i="6"/>
  <c r="BD101" i="6"/>
  <c r="AN101" i="6"/>
  <c r="BC621" i="6"/>
  <c r="AM621" i="6"/>
  <c r="AM1434" i="6"/>
  <c r="BC1434" i="6"/>
  <c r="AM339" i="6"/>
  <c r="AM385" i="6"/>
  <c r="AM431" i="6"/>
  <c r="AN1463" i="6"/>
  <c r="BD1463" i="6"/>
  <c r="AN1441" i="6"/>
  <c r="BD1441" i="6"/>
  <c r="AN104" i="6"/>
  <c r="BD104" i="6"/>
  <c r="AM364" i="6"/>
  <c r="AM410" i="6"/>
  <c r="AM456" i="6"/>
  <c r="AL1022" i="6"/>
  <c r="AL1068" i="6"/>
  <c r="AL1114" i="6"/>
  <c r="AL1206" i="6"/>
  <c r="AL1252" i="6"/>
  <c r="AL1298" i="6"/>
  <c r="BC605" i="6"/>
  <c r="AM605" i="6"/>
  <c r="AN1020" i="6"/>
  <c r="AN1066" i="6"/>
  <c r="AN1112" i="6"/>
  <c r="AN1204" i="6"/>
  <c r="AN1250" i="6"/>
  <c r="AN1296" i="6"/>
  <c r="AL1675" i="6"/>
  <c r="AL1721" i="6"/>
  <c r="AL1767" i="6"/>
  <c r="AM1698" i="6"/>
  <c r="AM1744" i="6"/>
  <c r="AM1790" i="6"/>
  <c r="BF1926" i="6"/>
  <c r="AP1926" i="6"/>
  <c r="AM1746" i="6"/>
  <c r="AM1700" i="6"/>
  <c r="AM1792" i="6"/>
  <c r="AN1059" i="6"/>
  <c r="AN1105" i="6"/>
  <c r="AN1151" i="6"/>
  <c r="AN1243" i="6"/>
  <c r="AN1289" i="6"/>
  <c r="AN1335" i="6"/>
  <c r="AL1026" i="6"/>
  <c r="AL1072" i="6"/>
  <c r="AL1118" i="6"/>
  <c r="AL1210" i="6"/>
  <c r="AL1256" i="6"/>
  <c r="AL1302" i="6"/>
  <c r="AB979" i="6"/>
  <c r="AM1678" i="6"/>
  <c r="AM1724" i="6"/>
  <c r="AM1770" i="6"/>
  <c r="AN1437" i="6"/>
  <c r="BD1437" i="6"/>
  <c r="BD113" i="6"/>
  <c r="AN113" i="6"/>
  <c r="BC627" i="6"/>
  <c r="AM627" i="6"/>
  <c r="AQ1707" i="6"/>
  <c r="AR1707" i="6" s="1"/>
  <c r="AQ1753" i="6"/>
  <c r="AR1753" i="6" s="1"/>
  <c r="AQ1799" i="6"/>
  <c r="AR1799" i="6" s="1"/>
  <c r="AR1468" i="6"/>
  <c r="AN110" i="6"/>
  <c r="BD110" i="6"/>
  <c r="BC635" i="6"/>
  <c r="AM635" i="6"/>
  <c r="BD107" i="6"/>
  <c r="AN107" i="6"/>
  <c r="AM1684" i="6"/>
  <c r="AM1730" i="6"/>
  <c r="AM1776" i="6"/>
  <c r="AL1056" i="6"/>
  <c r="AL1102" i="6"/>
  <c r="AL1148" i="6"/>
  <c r="AL1240" i="6"/>
  <c r="AL1286" i="6"/>
  <c r="AL1332" i="6"/>
  <c r="AL2118" i="6"/>
  <c r="AL2164" i="6"/>
  <c r="AM338" i="6"/>
  <c r="AM384" i="6"/>
  <c r="AM430" i="6"/>
  <c r="AM368" i="6"/>
  <c r="AM414" i="6"/>
  <c r="AM460" i="6"/>
  <c r="AN2121" i="6"/>
  <c r="AN2167" i="6"/>
  <c r="AM340" i="6"/>
  <c r="AM386" i="6"/>
  <c r="AM432" i="6"/>
  <c r="AN620" i="6"/>
  <c r="BD620" i="6"/>
  <c r="AL1044" i="6"/>
  <c r="AL1090" i="6"/>
  <c r="AL1136" i="6"/>
  <c r="AL1228" i="6"/>
  <c r="AL1274" i="6"/>
  <c r="AL1320" i="6"/>
  <c r="AL1673" i="6"/>
  <c r="AL1719" i="6"/>
  <c r="AL1765" i="6"/>
  <c r="AM1674" i="6"/>
  <c r="AM1720" i="6"/>
  <c r="AM1766" i="6"/>
  <c r="AN373" i="6"/>
  <c r="AN419" i="6"/>
  <c r="AN465" i="6"/>
  <c r="AM1903" i="6"/>
  <c r="BC1903" i="6"/>
  <c r="AN377" i="6"/>
  <c r="AN423" i="6"/>
  <c r="AN469" i="6"/>
  <c r="AN612" i="6"/>
  <c r="BD612" i="6"/>
  <c r="AM343" i="6"/>
  <c r="AM389" i="6"/>
  <c r="AM435" i="6"/>
  <c r="BC617" i="6"/>
  <c r="AM617" i="6"/>
  <c r="AM1688" i="6"/>
  <c r="AM1734" i="6"/>
  <c r="AM1780" i="6"/>
  <c r="AN128" i="6"/>
  <c r="BD128" i="6"/>
  <c r="BD115" i="6"/>
  <c r="AN115" i="6"/>
  <c r="AM1454" i="6"/>
  <c r="BC1454" i="6"/>
  <c r="AL1024" i="6"/>
  <c r="AL1070" i="6"/>
  <c r="AL1116" i="6"/>
  <c r="AL1208" i="6"/>
  <c r="AL1254" i="6"/>
  <c r="AL1300" i="6"/>
  <c r="AO601" i="6"/>
  <c r="BE601" i="6"/>
  <c r="AM1905" i="6"/>
  <c r="BC1905" i="6"/>
  <c r="AN1459" i="6"/>
  <c r="BD1459" i="6"/>
  <c r="AO2119" i="6"/>
  <c r="AO2165" i="6"/>
  <c r="AN1461" i="6"/>
  <c r="BD1461" i="6"/>
  <c r="AN117" i="6"/>
  <c r="BD117" i="6"/>
  <c r="AN1439" i="6"/>
  <c r="BD1439" i="6"/>
  <c r="AM352" i="6"/>
  <c r="AM398" i="6"/>
  <c r="AM444" i="6"/>
  <c r="AO94" i="6"/>
  <c r="BE94" i="6"/>
  <c r="AL1050" i="6"/>
  <c r="AL1096" i="6"/>
  <c r="AL1142" i="6"/>
  <c r="AL1234" i="6"/>
  <c r="AL1280" i="6"/>
  <c r="AL1326" i="6"/>
  <c r="AN1887" i="6"/>
  <c r="BD1887" i="6"/>
  <c r="AM1456" i="6"/>
  <c r="BC1456" i="6"/>
  <c r="AM349" i="6"/>
  <c r="AM395" i="6"/>
  <c r="AM441" i="6"/>
  <c r="AL1058" i="6"/>
  <c r="AL1104" i="6"/>
  <c r="AL1150" i="6"/>
  <c r="AL1242" i="6"/>
  <c r="AL1288" i="6"/>
  <c r="AL1334" i="6"/>
  <c r="BC609" i="6"/>
  <c r="AM609" i="6"/>
  <c r="AM346" i="6"/>
  <c r="AM392" i="6"/>
  <c r="AM438" i="6"/>
  <c r="AN1445" i="6"/>
  <c r="BD1445" i="6"/>
  <c r="AP2111" i="6"/>
  <c r="AP2157" i="6"/>
  <c r="AM1925" i="6"/>
  <c r="BC1925" i="6"/>
  <c r="AN600" i="6"/>
  <c r="BD600" i="6"/>
  <c r="AL2102" i="6"/>
  <c r="AL2148" i="6"/>
  <c r="BD1924" i="6"/>
  <c r="AN1924" i="6"/>
  <c r="AL2108" i="6"/>
  <c r="AL2154" i="6"/>
  <c r="AN610" i="6"/>
  <c r="BD610" i="6"/>
  <c r="AM363" i="6"/>
  <c r="AM409" i="6"/>
  <c r="AM455" i="6"/>
  <c r="AN634" i="6"/>
  <c r="BD634" i="6"/>
  <c r="BC619" i="6"/>
  <c r="AM619" i="6"/>
  <c r="AN126" i="6"/>
  <c r="BD126" i="6"/>
  <c r="AB966" i="6"/>
  <c r="AB977" i="6"/>
  <c r="AM1446" i="6"/>
  <c r="BC1446" i="6"/>
  <c r="AM1043" i="6"/>
  <c r="AM1089" i="6"/>
  <c r="AM1135" i="6"/>
  <c r="AM1227" i="6"/>
  <c r="AM1273" i="6"/>
  <c r="AM1319" i="6"/>
  <c r="AM1452" i="6"/>
  <c r="BC1452" i="6"/>
  <c r="AN1435" i="6"/>
  <c r="BD1435" i="6"/>
  <c r="BE134" i="6"/>
  <c r="AO134" i="6"/>
  <c r="AL2096" i="6"/>
  <c r="AL2142" i="6"/>
  <c r="AO138" i="6"/>
  <c r="BE138" i="6"/>
  <c r="AM1035" i="6"/>
  <c r="AM1081" i="6"/>
  <c r="AM1127" i="6"/>
  <c r="AM1219" i="6"/>
  <c r="AM1265" i="6"/>
  <c r="AM1311" i="6"/>
  <c r="AL1040" i="6"/>
  <c r="AL1086" i="6"/>
  <c r="AL1132" i="6"/>
  <c r="AL1224" i="6"/>
  <c r="AL1270" i="6"/>
  <c r="AL1316" i="6"/>
  <c r="AB990" i="6"/>
  <c r="AN1449" i="6"/>
  <c r="BD1449" i="6"/>
  <c r="AM367" i="6"/>
  <c r="AM413" i="6"/>
  <c r="AM459" i="6"/>
  <c r="AM354" i="6"/>
  <c r="AM400" i="6"/>
  <c r="AM446" i="6"/>
  <c r="AL1693" i="6"/>
  <c r="AL1739" i="6"/>
  <c r="AL1785" i="6"/>
  <c r="AB1005" i="6"/>
  <c r="AL2098" i="6"/>
  <c r="AL2144" i="6"/>
  <c r="AB996" i="6"/>
  <c r="AM356" i="6"/>
  <c r="AM402" i="6"/>
  <c r="AM448" i="6"/>
  <c r="BD1902" i="6"/>
  <c r="AN1902" i="6"/>
  <c r="AL2120" i="6"/>
  <c r="AL2166" i="6"/>
  <c r="AN598" i="6"/>
  <c r="BD598" i="6"/>
  <c r="AB984" i="6"/>
  <c r="AN333" i="6"/>
  <c r="AN379" i="6"/>
  <c r="AN425" i="6"/>
  <c r="AN628" i="6"/>
  <c r="BD628" i="6"/>
  <c r="AM2080" i="6"/>
  <c r="AM2126" i="6"/>
  <c r="AM1900" i="6"/>
  <c r="BC1900" i="6"/>
  <c r="AL1695" i="6"/>
  <c r="AL1741" i="6"/>
  <c r="AL1787" i="6"/>
  <c r="AL1028" i="6"/>
  <c r="AL1074" i="6"/>
  <c r="AL1120" i="6"/>
  <c r="AL1212" i="6"/>
  <c r="AL1258" i="6"/>
  <c r="AL1304" i="6"/>
  <c r="AM1466" i="6"/>
  <c r="BC1466" i="6"/>
  <c r="AQ1918" i="6"/>
  <c r="BG1918" i="6"/>
  <c r="BC137" i="6"/>
  <c r="AM137" i="6"/>
  <c r="AM1458" i="6"/>
  <c r="BC1458" i="6"/>
  <c r="AN122" i="6"/>
  <c r="BD122" i="6"/>
  <c r="AB978" i="6"/>
  <c r="AM1019" i="6"/>
  <c r="AM1065" i="6"/>
  <c r="AM1111" i="6"/>
  <c r="AM1203" i="6"/>
  <c r="AM1249" i="6"/>
  <c r="AM1295" i="6"/>
  <c r="AN608" i="6"/>
  <c r="BD608" i="6"/>
  <c r="AN1057" i="6" l="1"/>
  <c r="AN1103" i="6"/>
  <c r="AN1149" i="6"/>
  <c r="AN1241" i="6"/>
  <c r="AN1287" i="6"/>
  <c r="AN1333" i="6"/>
  <c r="AN1684" i="6"/>
  <c r="AN1730" i="6"/>
  <c r="AN1776" i="6"/>
  <c r="AN2095" i="6"/>
  <c r="AN2141" i="6"/>
  <c r="AO1887" i="6"/>
  <c r="BE1887" i="6"/>
  <c r="AP94" i="6"/>
  <c r="BF94" i="6"/>
  <c r="AO117" i="6"/>
  <c r="BE117" i="6"/>
  <c r="AN1905" i="6"/>
  <c r="BD1905" i="6"/>
  <c r="AO122" i="6"/>
  <c r="BE122" i="6"/>
  <c r="AQ2111" i="6"/>
  <c r="AR2111" i="6" s="1"/>
  <c r="AQ2157" i="6"/>
  <c r="AR2157" i="6" s="1"/>
  <c r="AR1918" i="6"/>
  <c r="BE1902" i="6"/>
  <c r="AO1902" i="6"/>
  <c r="AO373" i="6"/>
  <c r="AO419" i="6"/>
  <c r="AO465" i="6"/>
  <c r="AO126" i="6"/>
  <c r="BE126" i="6"/>
  <c r="AO1924" i="6"/>
  <c r="BE1924" i="6"/>
  <c r="BD1925" i="6"/>
  <c r="AN1925" i="6"/>
  <c r="AN2080" i="6"/>
  <c r="AN2126" i="6"/>
  <c r="AO333" i="6"/>
  <c r="AO379" i="6"/>
  <c r="AO425" i="6"/>
  <c r="AN356" i="6"/>
  <c r="AN402" i="6"/>
  <c r="AN448" i="6"/>
  <c r="AM2098" i="6"/>
  <c r="AM2144" i="6"/>
  <c r="AN1903" i="6"/>
  <c r="BD1903" i="6"/>
  <c r="AN346" i="6"/>
  <c r="AN392" i="6"/>
  <c r="AN438" i="6"/>
  <c r="AN1676" i="6"/>
  <c r="AN1722" i="6"/>
  <c r="AN1768" i="6"/>
  <c r="AP2119" i="6"/>
  <c r="AP2165" i="6"/>
  <c r="BD605" i="6"/>
  <c r="AN605" i="6"/>
  <c r="AO1463" i="6"/>
  <c r="BE1463" i="6"/>
  <c r="BD621" i="6"/>
  <c r="AN621" i="6"/>
  <c r="AM2102" i="6"/>
  <c r="AM2148" i="6"/>
  <c r="AO129" i="6"/>
  <c r="BE129" i="6"/>
  <c r="AM369" i="6"/>
  <c r="AM415" i="6"/>
  <c r="AM461" i="6"/>
  <c r="AM1026" i="6"/>
  <c r="AM1072" i="6"/>
  <c r="AM1118" i="6"/>
  <c r="AM1210" i="6"/>
  <c r="AM1256" i="6"/>
  <c r="AM1302" i="6"/>
  <c r="AM1675" i="6"/>
  <c r="AM1721" i="6"/>
  <c r="AM1767" i="6"/>
  <c r="AO123" i="6"/>
  <c r="BE123" i="6"/>
  <c r="AO1920" i="6"/>
  <c r="BE1920" i="6"/>
  <c r="AN1694" i="6"/>
  <c r="AN1740" i="6"/>
  <c r="AN1786" i="6"/>
  <c r="AN371" i="6"/>
  <c r="AN417" i="6"/>
  <c r="AN463" i="6"/>
  <c r="AO1451" i="6"/>
  <c r="BE1451" i="6"/>
  <c r="BD631" i="6"/>
  <c r="AN631" i="6"/>
  <c r="AQ1471" i="6"/>
  <c r="BG1471" i="6"/>
  <c r="AM1048" i="6"/>
  <c r="AM1094" i="6"/>
  <c r="AM1140" i="6"/>
  <c r="AM1232" i="6"/>
  <c r="AM1278" i="6"/>
  <c r="AM1324" i="6"/>
  <c r="AM1036" i="6"/>
  <c r="AM1082" i="6"/>
  <c r="AM1128" i="6"/>
  <c r="AM1220" i="6"/>
  <c r="AM1266" i="6"/>
  <c r="AM1312" i="6"/>
  <c r="AN1049" i="6"/>
  <c r="AN1095" i="6"/>
  <c r="AN1141" i="6"/>
  <c r="AN1233" i="6"/>
  <c r="AN1279" i="6"/>
  <c r="AN1325" i="6"/>
  <c r="AN359" i="6"/>
  <c r="AN405" i="6"/>
  <c r="AN451" i="6"/>
  <c r="BD629" i="6"/>
  <c r="AN629" i="6"/>
  <c r="AO114" i="6"/>
  <c r="BE114" i="6"/>
  <c r="AN1738" i="6"/>
  <c r="AN1692" i="6"/>
  <c r="AN1784" i="6"/>
  <c r="AN95" i="6"/>
  <c r="BD95" i="6"/>
  <c r="AP638" i="6"/>
  <c r="BF638" i="6"/>
  <c r="AN1438" i="6"/>
  <c r="BD1438" i="6"/>
  <c r="AM2116" i="6"/>
  <c r="AM2162" i="6"/>
  <c r="AP2101" i="6"/>
  <c r="AP2147" i="6"/>
  <c r="AN358" i="6"/>
  <c r="AN404" i="6"/>
  <c r="AN450" i="6"/>
  <c r="AN1450" i="6"/>
  <c r="BD1450" i="6"/>
  <c r="AM2170" i="6"/>
  <c r="AM2124" i="6"/>
  <c r="AN348" i="6"/>
  <c r="AN394" i="6"/>
  <c r="AN440" i="6"/>
  <c r="AO124" i="6"/>
  <c r="BE124" i="6"/>
  <c r="BF134" i="6"/>
  <c r="AP134" i="6"/>
  <c r="AM2118" i="6"/>
  <c r="AM2164" i="6"/>
  <c r="AO1461" i="6"/>
  <c r="BE1461" i="6"/>
  <c r="AP601" i="6"/>
  <c r="BF601" i="6"/>
  <c r="AN1454" i="6"/>
  <c r="BD1454" i="6"/>
  <c r="AO612" i="6"/>
  <c r="BE612" i="6"/>
  <c r="AM2096" i="6"/>
  <c r="AM2142" i="6"/>
  <c r="AO107" i="6"/>
  <c r="BE107" i="6"/>
  <c r="AQ1926" i="6"/>
  <c r="BG1926" i="6"/>
  <c r="AN1702" i="6"/>
  <c r="AN1748" i="6"/>
  <c r="AN1794" i="6"/>
  <c r="AN386" i="6"/>
  <c r="AN340" i="6"/>
  <c r="AN432" i="6"/>
  <c r="BD607" i="6"/>
  <c r="AN607" i="6"/>
  <c r="AM1022" i="6"/>
  <c r="AM1068" i="6"/>
  <c r="AM1114" i="6"/>
  <c r="AM1206" i="6"/>
  <c r="AM1252" i="6"/>
  <c r="AM1298" i="6"/>
  <c r="AO1465" i="6"/>
  <c r="BE1465" i="6"/>
  <c r="AO100" i="6"/>
  <c r="BE100" i="6"/>
  <c r="AO1888" i="6"/>
  <c r="BE1888" i="6"/>
  <c r="BD1921" i="6"/>
  <c r="AN1921" i="6"/>
  <c r="AN1690" i="6"/>
  <c r="AN1736" i="6"/>
  <c r="AN1782" i="6"/>
  <c r="BD625" i="6"/>
  <c r="AN625" i="6"/>
  <c r="AO1467" i="6"/>
  <c r="BE1467" i="6"/>
  <c r="BD613" i="6"/>
  <c r="AN613" i="6"/>
  <c r="AO370" i="6"/>
  <c r="AO416" i="6"/>
  <c r="AO462" i="6"/>
  <c r="AO2131" i="6"/>
  <c r="AO2085" i="6"/>
  <c r="AN353" i="6"/>
  <c r="AN399" i="6"/>
  <c r="AN445" i="6"/>
  <c r="AM334" i="6"/>
  <c r="AM380" i="6"/>
  <c r="AM426" i="6"/>
  <c r="AO1061" i="6"/>
  <c r="AO1107" i="6"/>
  <c r="AO1153" i="6"/>
  <c r="AO1245" i="6"/>
  <c r="AO1291" i="6"/>
  <c r="AO1337" i="6"/>
  <c r="AM1677" i="6"/>
  <c r="AM1723" i="6"/>
  <c r="AM1769" i="6"/>
  <c r="AO119" i="6"/>
  <c r="BE119" i="6"/>
  <c r="AM1689" i="6"/>
  <c r="AM1735" i="6"/>
  <c r="AM1781" i="6"/>
  <c r="AN1444" i="6"/>
  <c r="BD1444" i="6"/>
  <c r="AO616" i="6"/>
  <c r="BE616" i="6"/>
  <c r="AM2108" i="6"/>
  <c r="AM2154" i="6"/>
  <c r="AO109" i="6"/>
  <c r="BE109" i="6"/>
  <c r="AN363" i="6"/>
  <c r="AN409" i="6"/>
  <c r="AN455" i="6"/>
  <c r="AN1698" i="6"/>
  <c r="AN1744" i="6"/>
  <c r="AN1790" i="6"/>
  <c r="AO1435" i="6"/>
  <c r="BE1435" i="6"/>
  <c r="AM1058" i="6"/>
  <c r="AM1104" i="6"/>
  <c r="AM1150" i="6"/>
  <c r="AM1242" i="6"/>
  <c r="AM1288" i="6"/>
  <c r="AM1334" i="6"/>
  <c r="AO101" i="6"/>
  <c r="BE101" i="6"/>
  <c r="AM1056" i="6"/>
  <c r="AM1102" i="6"/>
  <c r="AM1148" i="6"/>
  <c r="AM1240" i="6"/>
  <c r="AM1286" i="6"/>
  <c r="AM1332" i="6"/>
  <c r="AP636" i="6"/>
  <c r="BF636" i="6"/>
  <c r="BD603" i="6"/>
  <c r="AN603" i="6"/>
  <c r="AN1704" i="6"/>
  <c r="AN1750" i="6"/>
  <c r="AN1796" i="6"/>
  <c r="AN339" i="6"/>
  <c r="AN385" i="6"/>
  <c r="AN431" i="6"/>
  <c r="AO108" i="6"/>
  <c r="BE108" i="6"/>
  <c r="AN2081" i="6"/>
  <c r="AN2127" i="6"/>
  <c r="AN1448" i="6"/>
  <c r="BD1448" i="6"/>
  <c r="AN342" i="6"/>
  <c r="AN388" i="6"/>
  <c r="AN434" i="6"/>
  <c r="AM2114" i="6"/>
  <c r="AM2160" i="6"/>
  <c r="AO112" i="6"/>
  <c r="BE112" i="6"/>
  <c r="AN1706" i="6"/>
  <c r="AN1752" i="6"/>
  <c r="AN1798" i="6"/>
  <c r="AP131" i="6"/>
  <c r="BF131" i="6"/>
  <c r="AO606" i="6"/>
  <c r="BE606" i="6"/>
  <c r="BF1892" i="6"/>
  <c r="AP1892" i="6"/>
  <c r="AP1913" i="6"/>
  <c r="BF1913" i="6"/>
  <c r="AO106" i="6"/>
  <c r="BE106" i="6"/>
  <c r="AO118" i="6"/>
  <c r="BE118" i="6"/>
  <c r="AN1462" i="6"/>
  <c r="BD1462" i="6"/>
  <c r="AN360" i="6"/>
  <c r="AN406" i="6"/>
  <c r="AN452" i="6"/>
  <c r="AO1899" i="6"/>
  <c r="BE1899" i="6"/>
  <c r="AM1038" i="6"/>
  <c r="AM1084" i="6"/>
  <c r="AM1130" i="6"/>
  <c r="AM1222" i="6"/>
  <c r="AM1268" i="6"/>
  <c r="AM1314" i="6"/>
  <c r="BD1927" i="6"/>
  <c r="AN1927" i="6"/>
  <c r="AM1683" i="6"/>
  <c r="AM1729" i="6"/>
  <c r="AM1775" i="6"/>
  <c r="AN1039" i="6"/>
  <c r="AN1085" i="6"/>
  <c r="AN1131" i="6"/>
  <c r="AN1223" i="6"/>
  <c r="AN1269" i="6"/>
  <c r="AN1315" i="6"/>
  <c r="BD1915" i="6"/>
  <c r="AN1915" i="6"/>
  <c r="AN361" i="6"/>
  <c r="AN407" i="6"/>
  <c r="AN453" i="6"/>
  <c r="AN1466" i="6"/>
  <c r="BD1466" i="6"/>
  <c r="AN365" i="6"/>
  <c r="AN411" i="6"/>
  <c r="AN457" i="6"/>
  <c r="AM1705" i="6"/>
  <c r="AM1751" i="6"/>
  <c r="AM1797" i="6"/>
  <c r="AN1051" i="6"/>
  <c r="AN1143" i="6"/>
  <c r="AN1097" i="6"/>
  <c r="AN1235" i="6"/>
  <c r="AN1281" i="6"/>
  <c r="AN1327" i="6"/>
  <c r="AM1042" i="6"/>
  <c r="AM1134" i="6"/>
  <c r="AM1088" i="6"/>
  <c r="AM1226" i="6"/>
  <c r="AM1272" i="6"/>
  <c r="AM1318" i="6"/>
  <c r="AM1028" i="6"/>
  <c r="AM1074" i="6"/>
  <c r="AM1120" i="6"/>
  <c r="AM1212" i="6"/>
  <c r="AM1258" i="6"/>
  <c r="AM1304" i="6"/>
  <c r="AN1746" i="6"/>
  <c r="AN1700" i="6"/>
  <c r="AN1792" i="6"/>
  <c r="AO1020" i="6"/>
  <c r="AO1066" i="6"/>
  <c r="AO1112" i="6"/>
  <c r="AO1204" i="6"/>
  <c r="AO1250" i="6"/>
  <c r="AO1296" i="6"/>
  <c r="AM1693" i="6"/>
  <c r="AM1739" i="6"/>
  <c r="AM1785" i="6"/>
  <c r="AN1035" i="6"/>
  <c r="AN1081" i="6"/>
  <c r="AN1127" i="6"/>
  <c r="AN1219" i="6"/>
  <c r="AN1265" i="6"/>
  <c r="AN1311" i="6"/>
  <c r="AN1458" i="6"/>
  <c r="BD1458" i="6"/>
  <c r="AO598" i="6"/>
  <c r="BE598" i="6"/>
  <c r="AO1449" i="6"/>
  <c r="BE1449" i="6"/>
  <c r="AN1674" i="6"/>
  <c r="AN1720" i="6"/>
  <c r="AN1766" i="6"/>
  <c r="BD619" i="6"/>
  <c r="AN619" i="6"/>
  <c r="AO610" i="6"/>
  <c r="BE610" i="6"/>
  <c r="BD609" i="6"/>
  <c r="AN609" i="6"/>
  <c r="AN354" i="6"/>
  <c r="AN400" i="6"/>
  <c r="AN446" i="6"/>
  <c r="AM1040" i="6"/>
  <c r="AM1086" i="6"/>
  <c r="AM1132" i="6"/>
  <c r="AM1224" i="6"/>
  <c r="AM1270" i="6"/>
  <c r="AM1316" i="6"/>
  <c r="AO620" i="6"/>
  <c r="BE620" i="6"/>
  <c r="BD635" i="6"/>
  <c r="AN635" i="6"/>
  <c r="AM1050" i="6"/>
  <c r="AM1096" i="6"/>
  <c r="AM1142" i="6"/>
  <c r="AM1234" i="6"/>
  <c r="AM1280" i="6"/>
  <c r="AM1326" i="6"/>
  <c r="AP1928" i="6"/>
  <c r="BF1928" i="6"/>
  <c r="BD633" i="6"/>
  <c r="AN633" i="6"/>
  <c r="AO1059" i="6"/>
  <c r="AO1105" i="6"/>
  <c r="AO1151" i="6"/>
  <c r="AO1243" i="6"/>
  <c r="AO1289" i="6"/>
  <c r="AO1335" i="6"/>
  <c r="AN364" i="6"/>
  <c r="AN410" i="6"/>
  <c r="AN456" i="6"/>
  <c r="AP1930" i="6"/>
  <c r="BF1930" i="6"/>
  <c r="AO1896" i="6"/>
  <c r="BE1896" i="6"/>
  <c r="AN347" i="6"/>
  <c r="AN393" i="6"/>
  <c r="AN439" i="6"/>
  <c r="AO116" i="6"/>
  <c r="BE116" i="6"/>
  <c r="AM1687" i="6"/>
  <c r="AM1733" i="6"/>
  <c r="AM1779" i="6"/>
  <c r="AO103" i="6"/>
  <c r="BE103" i="6"/>
  <c r="AO1443" i="6"/>
  <c r="BE1443" i="6"/>
  <c r="AO604" i="6"/>
  <c r="BE604" i="6"/>
  <c r="AN351" i="6"/>
  <c r="AN397" i="6"/>
  <c r="AN443" i="6"/>
  <c r="AQ1708" i="6"/>
  <c r="AR1708" i="6" s="1"/>
  <c r="AQ1754" i="6"/>
  <c r="AR1754" i="6" s="1"/>
  <c r="AQ1800" i="6"/>
  <c r="AR1800" i="6" s="1"/>
  <c r="AR1469" i="6"/>
  <c r="AN1025" i="6"/>
  <c r="AN1071" i="6"/>
  <c r="AN1117" i="6"/>
  <c r="AN1209" i="6"/>
  <c r="AN1255" i="6"/>
  <c r="AN1301" i="6"/>
  <c r="AN1440" i="6"/>
  <c r="BD1440" i="6"/>
  <c r="AQ1432" i="6"/>
  <c r="BG1432" i="6"/>
  <c r="AO2106" i="6"/>
  <c r="AO2152" i="6"/>
  <c r="AN345" i="6"/>
  <c r="AN391" i="6"/>
  <c r="AN437" i="6"/>
  <c r="AN357" i="6"/>
  <c r="AN403" i="6"/>
  <c r="AN449" i="6"/>
  <c r="AM1701" i="6"/>
  <c r="AM1747" i="6"/>
  <c r="AM1793" i="6"/>
  <c r="AO121" i="6"/>
  <c r="BE121" i="6"/>
  <c r="AN2092" i="6"/>
  <c r="AN2138" i="6"/>
  <c r="BD615" i="6"/>
  <c r="AN615" i="6"/>
  <c r="AM2120" i="6"/>
  <c r="AM2166" i="6"/>
  <c r="AN1442" i="6"/>
  <c r="BD1442" i="6"/>
  <c r="AM1046" i="6"/>
  <c r="AM1092" i="6"/>
  <c r="AM1138" i="6"/>
  <c r="AM1230" i="6"/>
  <c r="AM1276" i="6"/>
  <c r="AM1322" i="6"/>
  <c r="AO1901" i="6"/>
  <c r="BE1901" i="6"/>
  <c r="AQ1709" i="6"/>
  <c r="AR1709" i="6" s="1"/>
  <c r="AQ1755" i="6"/>
  <c r="AR1755" i="6" s="1"/>
  <c r="AQ1801" i="6"/>
  <c r="AR1801" i="6" s="1"/>
  <c r="AM376" i="6"/>
  <c r="AM422" i="6"/>
  <c r="AM468" i="6"/>
  <c r="AO608" i="6"/>
  <c r="BE608" i="6"/>
  <c r="AN137" i="6"/>
  <c r="BD137" i="6"/>
  <c r="AM2093" i="6"/>
  <c r="AM2139" i="6"/>
  <c r="AM1695" i="6"/>
  <c r="AM1741" i="6"/>
  <c r="AM1787" i="6"/>
  <c r="AO628" i="6"/>
  <c r="BE628" i="6"/>
  <c r="AM1697" i="6"/>
  <c r="AM1743" i="6"/>
  <c r="AM1789" i="6"/>
  <c r="AN1017" i="6"/>
  <c r="AN1063" i="6"/>
  <c r="AN1109" i="6"/>
  <c r="AN1201" i="6"/>
  <c r="AN1247" i="6"/>
  <c r="AN1293" i="6"/>
  <c r="AN1688" i="6"/>
  <c r="AN1734" i="6"/>
  <c r="AN1780" i="6"/>
  <c r="BF138" i="6"/>
  <c r="AP138" i="6"/>
  <c r="AN1452" i="6"/>
  <c r="BD1452" i="6"/>
  <c r="AN1446" i="6"/>
  <c r="BD1446" i="6"/>
  <c r="AN1029" i="6"/>
  <c r="AN1075" i="6"/>
  <c r="AN1121" i="6"/>
  <c r="AN1213" i="6"/>
  <c r="AN1259" i="6"/>
  <c r="AN1305" i="6"/>
  <c r="AO600" i="6"/>
  <c r="BE600" i="6"/>
  <c r="AO1439" i="6"/>
  <c r="BE1439" i="6"/>
  <c r="AO115" i="6"/>
  <c r="BE115" i="6"/>
  <c r="BD617" i="6"/>
  <c r="AN617" i="6"/>
  <c r="AN1043" i="6"/>
  <c r="AN1089" i="6"/>
  <c r="AN1135" i="6"/>
  <c r="AN1227" i="6"/>
  <c r="AN1273" i="6"/>
  <c r="AN1319" i="6"/>
  <c r="AO110" i="6"/>
  <c r="BE110" i="6"/>
  <c r="BD627" i="6"/>
  <c r="AN627" i="6"/>
  <c r="AO104" i="6"/>
  <c r="BE104" i="6"/>
  <c r="AO2121" i="6"/>
  <c r="AO2167" i="6"/>
  <c r="BD1919" i="6"/>
  <c r="AN1919" i="6"/>
  <c r="AO125" i="6"/>
  <c r="BE125" i="6"/>
  <c r="AO2123" i="6"/>
  <c r="AO2169" i="6"/>
  <c r="AN2089" i="6"/>
  <c r="AN2135" i="6"/>
  <c r="AO632" i="6"/>
  <c r="BE632" i="6"/>
  <c r="AO630" i="6"/>
  <c r="BE630" i="6"/>
  <c r="AN355" i="6"/>
  <c r="AN401" i="6"/>
  <c r="AN447" i="6"/>
  <c r="AN350" i="6"/>
  <c r="AN396" i="6"/>
  <c r="AN442" i="6"/>
  <c r="AN1682" i="6"/>
  <c r="AN1728" i="6"/>
  <c r="AN1774" i="6"/>
  <c r="AN2087" i="6"/>
  <c r="AN2133" i="6"/>
  <c r="AN1023" i="6"/>
  <c r="AN1069" i="6"/>
  <c r="AN1115" i="6"/>
  <c r="AN1207" i="6"/>
  <c r="AN1253" i="6"/>
  <c r="AN1299" i="6"/>
  <c r="AO614" i="6"/>
  <c r="BE614" i="6"/>
  <c r="AQ136" i="6"/>
  <c r="BG136" i="6"/>
  <c r="AN1464" i="6"/>
  <c r="BD1464" i="6"/>
  <c r="AP374" i="6"/>
  <c r="AP420" i="6"/>
  <c r="AP466" i="6"/>
  <c r="AN344" i="6"/>
  <c r="AN390" i="6"/>
  <c r="AN436" i="6"/>
  <c r="AN1907" i="6"/>
  <c r="BD1907" i="6"/>
  <c r="AO618" i="6"/>
  <c r="BE618" i="6"/>
  <c r="AM1679" i="6"/>
  <c r="AM1725" i="6"/>
  <c r="AM1771" i="6"/>
  <c r="AP1671" i="6"/>
  <c r="AP1717" i="6"/>
  <c r="AP1763" i="6"/>
  <c r="AO1431" i="6"/>
  <c r="BE1431" i="6"/>
  <c r="AN1929" i="6"/>
  <c r="BD1929" i="6"/>
  <c r="AO1457" i="6"/>
  <c r="BE1457" i="6"/>
  <c r="AO624" i="6"/>
  <c r="BE624" i="6"/>
  <c r="BG1912" i="6"/>
  <c r="AM1030" i="6"/>
  <c r="AM1076" i="6"/>
  <c r="AM1122" i="6"/>
  <c r="AM1214" i="6"/>
  <c r="AM1260" i="6"/>
  <c r="AM1306" i="6"/>
  <c r="AM1681" i="6"/>
  <c r="AM1727" i="6"/>
  <c r="AM1773" i="6"/>
  <c r="BD623" i="6"/>
  <c r="AN623" i="6"/>
  <c r="AQ1906" i="6"/>
  <c r="BG1906" i="6"/>
  <c r="AO622" i="6"/>
  <c r="BE622" i="6"/>
  <c r="AN2094" i="6"/>
  <c r="AN2140" i="6"/>
  <c r="AR1470" i="6"/>
  <c r="AN1900" i="6"/>
  <c r="BD1900" i="6"/>
  <c r="AO377" i="6"/>
  <c r="AO423" i="6"/>
  <c r="AO469" i="6"/>
  <c r="AM1691" i="6"/>
  <c r="AM1737" i="6"/>
  <c r="AM1783" i="6"/>
  <c r="AM1685" i="6"/>
  <c r="AM1731" i="6"/>
  <c r="AM1777" i="6"/>
  <c r="AO634" i="6"/>
  <c r="BE634" i="6"/>
  <c r="AN1019" i="6"/>
  <c r="AN1065" i="6"/>
  <c r="AN1111" i="6"/>
  <c r="AN1203" i="6"/>
  <c r="AN1249" i="6"/>
  <c r="AN1295" i="6"/>
  <c r="AO1445" i="6"/>
  <c r="BE1445" i="6"/>
  <c r="AN1456" i="6"/>
  <c r="BD1456" i="6"/>
  <c r="AN1678" i="6"/>
  <c r="AN1724" i="6"/>
  <c r="AN1770" i="6"/>
  <c r="AO1459" i="6"/>
  <c r="BE1459" i="6"/>
  <c r="AO128" i="6"/>
  <c r="BE128" i="6"/>
  <c r="AN349" i="6"/>
  <c r="AN395" i="6"/>
  <c r="AN441" i="6"/>
  <c r="AN352" i="6"/>
  <c r="AN398" i="6"/>
  <c r="AN444" i="6"/>
  <c r="AN343" i="6"/>
  <c r="AN389" i="6"/>
  <c r="AN435" i="6"/>
  <c r="AN1434" i="6"/>
  <c r="BD1434" i="6"/>
  <c r="AN366" i="6"/>
  <c r="AN412" i="6"/>
  <c r="AN458" i="6"/>
  <c r="AN338" i="6"/>
  <c r="AN384" i="6"/>
  <c r="AN430" i="6"/>
  <c r="AM2112" i="6"/>
  <c r="AM2158" i="6"/>
  <c r="AO1447" i="6"/>
  <c r="BE1447" i="6"/>
  <c r="AN1055" i="6"/>
  <c r="AN1101" i="6"/>
  <c r="AN1147" i="6"/>
  <c r="AN1239" i="6"/>
  <c r="AN1285" i="6"/>
  <c r="AN1331" i="6"/>
  <c r="AN1053" i="6"/>
  <c r="AN1099" i="6"/>
  <c r="AN1145" i="6"/>
  <c r="AN1237" i="6"/>
  <c r="AN1283" i="6"/>
  <c r="AN1329" i="6"/>
  <c r="AP2115" i="6"/>
  <c r="AP2161" i="6"/>
  <c r="AO111" i="6"/>
  <c r="BE111" i="6"/>
  <c r="BE1894" i="6"/>
  <c r="AO1894" i="6"/>
  <c r="AN2107" i="6"/>
  <c r="AN2153" i="6"/>
  <c r="AN1037" i="6"/>
  <c r="AN1083" i="6"/>
  <c r="AN1129" i="6"/>
  <c r="AN1221" i="6"/>
  <c r="AN1267" i="6"/>
  <c r="AN1313" i="6"/>
  <c r="AP375" i="6"/>
  <c r="AP421" i="6"/>
  <c r="AP467" i="6"/>
  <c r="AM1703" i="6"/>
  <c r="AM1749" i="6"/>
  <c r="AM1795" i="6"/>
  <c r="AQ135" i="6"/>
  <c r="BG135" i="6"/>
  <c r="AO105" i="6"/>
  <c r="BE105" i="6"/>
  <c r="AM2100" i="6"/>
  <c r="AM2146" i="6"/>
  <c r="AQ2109" i="6"/>
  <c r="AR2109" i="6" s="1"/>
  <c r="AQ2155" i="6"/>
  <c r="AR2155" i="6" s="1"/>
  <c r="AR1916" i="6"/>
  <c r="AN1041" i="6"/>
  <c r="AN1087" i="6"/>
  <c r="AN1133" i="6"/>
  <c r="AN1225" i="6"/>
  <c r="AN1271" i="6"/>
  <c r="AN1317" i="6"/>
  <c r="AP1917" i="6"/>
  <c r="BF1917" i="6"/>
  <c r="AP1711" i="6"/>
  <c r="AP1757" i="6"/>
  <c r="AP1803" i="6"/>
  <c r="AN1670" i="6"/>
  <c r="AN1716" i="6"/>
  <c r="AN1762" i="6"/>
  <c r="AM2122" i="6"/>
  <c r="AM2168" i="6"/>
  <c r="AN1742" i="6"/>
  <c r="AN1696" i="6"/>
  <c r="AN1788" i="6"/>
  <c r="AP1895" i="6"/>
  <c r="BF1895" i="6"/>
  <c r="AN1047" i="6"/>
  <c r="AN1093" i="6"/>
  <c r="AN1139" i="6"/>
  <c r="AN1231" i="6"/>
  <c r="AN1277" i="6"/>
  <c r="AN1323" i="6"/>
  <c r="AO1904" i="6"/>
  <c r="BE1904" i="6"/>
  <c r="AQ2151" i="6"/>
  <c r="AQ2105" i="6"/>
  <c r="AR1912" i="6"/>
  <c r="BD611" i="6"/>
  <c r="AN611" i="6"/>
  <c r="AP2099" i="6"/>
  <c r="AP2145" i="6"/>
  <c r="AN1045" i="6"/>
  <c r="AN1091" i="6"/>
  <c r="AN1137" i="6"/>
  <c r="AN1229" i="6"/>
  <c r="AN1275" i="6"/>
  <c r="AN1321" i="6"/>
  <c r="AO113" i="6"/>
  <c r="BE113" i="6"/>
  <c r="AO1441" i="6"/>
  <c r="BE1441" i="6"/>
  <c r="AM1673" i="6"/>
  <c r="AM1719" i="6"/>
  <c r="AM1765" i="6"/>
  <c r="AO127" i="6"/>
  <c r="BE127" i="6"/>
  <c r="AO99" i="6"/>
  <c r="BE99" i="6"/>
  <c r="AN1686" i="6"/>
  <c r="AN1732" i="6"/>
  <c r="AN1778" i="6"/>
  <c r="AN1460" i="6"/>
  <c r="BD1460" i="6"/>
  <c r="AQ1922" i="6"/>
  <c r="BG1922" i="6"/>
  <c r="AO98" i="6"/>
  <c r="BE98" i="6"/>
  <c r="AO1914" i="6"/>
  <c r="BE1914" i="6"/>
  <c r="AP599" i="6"/>
  <c r="BF599" i="6"/>
  <c r="AP1889" i="6"/>
  <c r="BF1889" i="6"/>
  <c r="AQ1889" i="6" s="1"/>
  <c r="AM1060" i="6"/>
  <c r="AM1106" i="6"/>
  <c r="AM1152" i="6"/>
  <c r="AM1244" i="6"/>
  <c r="AM1290" i="6"/>
  <c r="AM1336" i="6"/>
  <c r="AO2110" i="6"/>
  <c r="AO2156" i="6"/>
  <c r="AQ1472" i="6"/>
  <c r="BG1472" i="6"/>
  <c r="AO2086" i="6"/>
  <c r="AO2132" i="6"/>
  <c r="AM372" i="6"/>
  <c r="AM418" i="6"/>
  <c r="AM464" i="6"/>
  <c r="AO602" i="6"/>
  <c r="BE602" i="6"/>
  <c r="AO2088" i="6"/>
  <c r="AO2134" i="6"/>
  <c r="AN2097" i="6"/>
  <c r="AN2143" i="6"/>
  <c r="AP2105" i="6"/>
  <c r="AP2151" i="6"/>
  <c r="AR2149" i="6"/>
  <c r="AN1891" i="6"/>
  <c r="BD1891" i="6"/>
  <c r="AO102" i="6"/>
  <c r="BE102" i="6"/>
  <c r="AN367" i="6"/>
  <c r="AN413" i="6"/>
  <c r="AN459" i="6"/>
  <c r="AN1027" i="6"/>
  <c r="AN1073" i="6"/>
  <c r="AN1119" i="6"/>
  <c r="AN1211" i="6"/>
  <c r="AN1257" i="6"/>
  <c r="AN1303" i="6"/>
  <c r="AN2117" i="6"/>
  <c r="AN2163" i="6"/>
  <c r="AO1437" i="6"/>
  <c r="BE1437" i="6"/>
  <c r="AM1024" i="6"/>
  <c r="AM1070" i="6"/>
  <c r="AM1116" i="6"/>
  <c r="AM1208" i="6"/>
  <c r="AM1254" i="6"/>
  <c r="AM1300" i="6"/>
  <c r="AN1680" i="6"/>
  <c r="AN1726" i="6"/>
  <c r="AN1772" i="6"/>
  <c r="AM1044" i="6"/>
  <c r="AM1090" i="6"/>
  <c r="AM1136" i="6"/>
  <c r="AM1228" i="6"/>
  <c r="AM1274" i="6"/>
  <c r="AM1320" i="6"/>
  <c r="AN1909" i="6"/>
  <c r="BD1909" i="6"/>
  <c r="AN368" i="6"/>
  <c r="AN414" i="6"/>
  <c r="AN460" i="6"/>
  <c r="AN130" i="6"/>
  <c r="BD130" i="6"/>
  <c r="AN1436" i="6"/>
  <c r="BD1436" i="6"/>
  <c r="AM1699" i="6"/>
  <c r="AM1745" i="6"/>
  <c r="AM1791" i="6"/>
  <c r="AN362" i="6"/>
  <c r="AN408" i="6"/>
  <c r="AN454" i="6"/>
  <c r="AN2113" i="6"/>
  <c r="AN2159" i="6"/>
  <c r="AO1455" i="6"/>
  <c r="BE1455" i="6"/>
  <c r="AO132" i="6"/>
  <c r="BE132" i="6"/>
  <c r="AN337" i="6"/>
  <c r="AN383" i="6"/>
  <c r="AN429" i="6"/>
  <c r="AM1054" i="6"/>
  <c r="AM1100" i="6"/>
  <c r="AM1146" i="6"/>
  <c r="AM1238" i="6"/>
  <c r="AM1284" i="6"/>
  <c r="AM1330" i="6"/>
  <c r="AP1710" i="6"/>
  <c r="AP1756" i="6"/>
  <c r="AP1802" i="6"/>
  <c r="AO1018" i="6"/>
  <c r="AO1064" i="6"/>
  <c r="AO1110" i="6"/>
  <c r="AO1202" i="6"/>
  <c r="AO1248" i="6"/>
  <c r="AO1294" i="6"/>
  <c r="AO626" i="6"/>
  <c r="BE626" i="6"/>
  <c r="AO120" i="6"/>
  <c r="BE120" i="6"/>
  <c r="AM1052" i="6"/>
  <c r="AM1098" i="6"/>
  <c r="AM1144" i="6"/>
  <c r="AM1236" i="6"/>
  <c r="AM1282" i="6"/>
  <c r="AM1328" i="6"/>
  <c r="AO2082" i="6"/>
  <c r="AO2128" i="6"/>
  <c r="BD637" i="6"/>
  <c r="AN637" i="6"/>
  <c r="AO1453" i="6"/>
  <c r="BE1453" i="6"/>
  <c r="BF1893" i="6"/>
  <c r="AP1893" i="6"/>
  <c r="AN133" i="6"/>
  <c r="BD133" i="6"/>
  <c r="AN1021" i="6"/>
  <c r="AN1067" i="6"/>
  <c r="AN1113" i="6"/>
  <c r="AN1205" i="6"/>
  <c r="AN1251" i="6"/>
  <c r="AN1297" i="6"/>
  <c r="BD1923" i="6"/>
  <c r="AN1923" i="6"/>
  <c r="AQ1908" i="6"/>
  <c r="BG1908" i="6"/>
  <c r="AR2103" i="6"/>
  <c r="AM2084" i="6"/>
  <c r="AM2130" i="6"/>
  <c r="AN1931" i="6"/>
  <c r="BD1931" i="6"/>
  <c r="AN341" i="6"/>
  <c r="AN387" i="6"/>
  <c r="AN433" i="6"/>
  <c r="AP1453" i="6" l="1"/>
  <c r="BF1453" i="6"/>
  <c r="AO340" i="6"/>
  <c r="AO386" i="6"/>
  <c r="AO432" i="6"/>
  <c r="AO1706" i="6"/>
  <c r="AO1752" i="6"/>
  <c r="AO1798" i="6"/>
  <c r="AP1888" i="6"/>
  <c r="BF1888" i="6"/>
  <c r="AQ1893" i="6"/>
  <c r="BG1893" i="6"/>
  <c r="AO359" i="6"/>
  <c r="AO405" i="6"/>
  <c r="AO451" i="6"/>
  <c r="AO1694" i="6"/>
  <c r="AO1740" i="6"/>
  <c r="AO1786" i="6"/>
  <c r="AP602" i="6"/>
  <c r="BF602" i="6"/>
  <c r="AQ1711" i="6"/>
  <c r="AR1711" i="6" s="1"/>
  <c r="AQ1757" i="6"/>
  <c r="AR1757" i="6" s="1"/>
  <c r="AQ1803" i="6"/>
  <c r="AR1803" i="6" s="1"/>
  <c r="AR1472" i="6"/>
  <c r="AQ2115" i="6"/>
  <c r="AR2115" i="6" s="1"/>
  <c r="AQ2161" i="6"/>
  <c r="AR2161" i="6" s="1"/>
  <c r="AR1922" i="6"/>
  <c r="BF127" i="6"/>
  <c r="AP127" i="6"/>
  <c r="AO352" i="6"/>
  <c r="AO398" i="6"/>
  <c r="AO444" i="6"/>
  <c r="AP1904" i="6"/>
  <c r="BF1904" i="6"/>
  <c r="AO623" i="6"/>
  <c r="BE623" i="6"/>
  <c r="AO1047" i="6"/>
  <c r="AO1093" i="6"/>
  <c r="AO1139" i="6"/>
  <c r="AO1231" i="6"/>
  <c r="AO1277" i="6"/>
  <c r="AO1323" i="6"/>
  <c r="BE1907" i="6"/>
  <c r="AO1907" i="6"/>
  <c r="AN1040" i="6"/>
  <c r="AN1086" i="6"/>
  <c r="AN1132" i="6"/>
  <c r="AN1224" i="6"/>
  <c r="AN1270" i="6"/>
  <c r="AN1316" i="6"/>
  <c r="AO1019" i="6"/>
  <c r="AO1065" i="6"/>
  <c r="AO1111" i="6"/>
  <c r="AO1203" i="6"/>
  <c r="AO1249" i="6"/>
  <c r="AO1295" i="6"/>
  <c r="AN1685" i="6"/>
  <c r="AN1731" i="6"/>
  <c r="AN1777" i="6"/>
  <c r="AP1443" i="6"/>
  <c r="BF1443" i="6"/>
  <c r="AO355" i="6"/>
  <c r="AO401" i="6"/>
  <c r="AO447" i="6"/>
  <c r="AO1043" i="6"/>
  <c r="AO1089" i="6"/>
  <c r="AO1135" i="6"/>
  <c r="AO1227" i="6"/>
  <c r="AO1273" i="6"/>
  <c r="AO1319" i="6"/>
  <c r="AO619" i="6"/>
  <c r="BE619" i="6"/>
  <c r="AO1017" i="6"/>
  <c r="AO1063" i="6"/>
  <c r="AO1109" i="6"/>
  <c r="AO1201" i="6"/>
  <c r="AO1247" i="6"/>
  <c r="AO1293" i="6"/>
  <c r="BE1466" i="6"/>
  <c r="AO1466" i="6"/>
  <c r="AO1462" i="6"/>
  <c r="BE1462" i="6"/>
  <c r="AP2085" i="6"/>
  <c r="AP2131" i="6"/>
  <c r="AO1448" i="6"/>
  <c r="BE1448" i="6"/>
  <c r="AP1059" i="6"/>
  <c r="AP1105" i="6"/>
  <c r="AP1151" i="6"/>
  <c r="AP1243" i="6"/>
  <c r="AP1289" i="6"/>
  <c r="AP1335" i="6"/>
  <c r="BF101" i="6"/>
  <c r="AP101" i="6"/>
  <c r="AP616" i="6"/>
  <c r="BF616" i="6"/>
  <c r="AO358" i="6"/>
  <c r="AO404" i="6"/>
  <c r="AO450" i="6"/>
  <c r="BF1467" i="6"/>
  <c r="AP1467" i="6"/>
  <c r="AO1921" i="6"/>
  <c r="BE1921" i="6"/>
  <c r="BF107" i="6"/>
  <c r="AP107" i="6"/>
  <c r="AN1693" i="6"/>
  <c r="AN1739" i="6"/>
  <c r="AN1785" i="6"/>
  <c r="AQ134" i="6"/>
  <c r="BG134" i="6"/>
  <c r="AN1054" i="6"/>
  <c r="AN1100" i="6"/>
  <c r="AN1146" i="6"/>
  <c r="AN1238" i="6"/>
  <c r="AN1284" i="6"/>
  <c r="AN1330" i="6"/>
  <c r="BF1924" i="6"/>
  <c r="AP1924" i="6"/>
  <c r="BE1905" i="6"/>
  <c r="AO1905" i="6"/>
  <c r="AQ599" i="6"/>
  <c r="BG599" i="6"/>
  <c r="AO366" i="6"/>
  <c r="AO412" i="6"/>
  <c r="AO458" i="6"/>
  <c r="AO2097" i="6"/>
  <c r="AO2143" i="6"/>
  <c r="AN1705" i="6"/>
  <c r="AN1751" i="6"/>
  <c r="AN1797" i="6"/>
  <c r="AQ1892" i="6"/>
  <c r="BG1892" i="6"/>
  <c r="AO346" i="6"/>
  <c r="AO392" i="6"/>
  <c r="AO438" i="6"/>
  <c r="AQ601" i="6"/>
  <c r="BG601" i="6"/>
  <c r="AO1450" i="6"/>
  <c r="BE1450" i="6"/>
  <c r="BE1903" i="6"/>
  <c r="AO1903" i="6"/>
  <c r="AO2117" i="6"/>
  <c r="AO2163" i="6"/>
  <c r="AO2095" i="6"/>
  <c r="AO2141" i="6"/>
  <c r="AN2098" i="6"/>
  <c r="AN2144" i="6"/>
  <c r="AO1692" i="6"/>
  <c r="AO1738" i="6"/>
  <c r="AO1784" i="6"/>
  <c r="AO1049" i="6"/>
  <c r="AO1095" i="6"/>
  <c r="AO1141" i="6"/>
  <c r="AO1233" i="6"/>
  <c r="AO1279" i="6"/>
  <c r="AO1325" i="6"/>
  <c r="AO1436" i="6"/>
  <c r="BE1436" i="6"/>
  <c r="AN2102" i="6"/>
  <c r="AN2148" i="6"/>
  <c r="BG1889" i="6"/>
  <c r="AP1018" i="6"/>
  <c r="AP1064" i="6"/>
  <c r="AP1110" i="6"/>
  <c r="AP1202" i="6"/>
  <c r="AP1248" i="6"/>
  <c r="AP1294" i="6"/>
  <c r="AN1699" i="6"/>
  <c r="AN1745" i="6"/>
  <c r="AN1791" i="6"/>
  <c r="AP2088" i="6"/>
  <c r="AP2134" i="6"/>
  <c r="AO350" i="6"/>
  <c r="AO396" i="6"/>
  <c r="AO442" i="6"/>
  <c r="AO367" i="6"/>
  <c r="AO413" i="6"/>
  <c r="AO459" i="6"/>
  <c r="AN1695" i="6"/>
  <c r="AN1741" i="6"/>
  <c r="AN1787" i="6"/>
  <c r="AP1457" i="6"/>
  <c r="BF1457" i="6"/>
  <c r="AN1703" i="6"/>
  <c r="AN1749" i="6"/>
  <c r="AN1795" i="6"/>
  <c r="AO1053" i="6"/>
  <c r="AO1099" i="6"/>
  <c r="AO1145" i="6"/>
  <c r="AO1237" i="6"/>
  <c r="AO1283" i="6"/>
  <c r="AO1329" i="6"/>
  <c r="AP125" i="6"/>
  <c r="BF125" i="6"/>
  <c r="AO343" i="6"/>
  <c r="AO389" i="6"/>
  <c r="AO435" i="6"/>
  <c r="BF115" i="6"/>
  <c r="AP115" i="6"/>
  <c r="AN1691" i="6"/>
  <c r="AN1737" i="6"/>
  <c r="AN1783" i="6"/>
  <c r="AO1051" i="6"/>
  <c r="AO1143" i="6"/>
  <c r="AO1097" i="6"/>
  <c r="AO1235" i="6"/>
  <c r="AO1281" i="6"/>
  <c r="AO1327" i="6"/>
  <c r="BE137" i="6"/>
  <c r="AO137" i="6"/>
  <c r="AN1038" i="6"/>
  <c r="AN1084" i="6"/>
  <c r="AN1130" i="6"/>
  <c r="AN1222" i="6"/>
  <c r="AN1268" i="6"/>
  <c r="AN1314" i="6"/>
  <c r="BF103" i="6"/>
  <c r="AP103" i="6"/>
  <c r="AO633" i="6"/>
  <c r="BE633" i="6"/>
  <c r="AO1458" i="6"/>
  <c r="BE1458" i="6"/>
  <c r="AN2120" i="6"/>
  <c r="AN2166" i="6"/>
  <c r="AP118" i="6"/>
  <c r="BF118" i="6"/>
  <c r="AP606" i="6"/>
  <c r="BF606" i="6"/>
  <c r="AO351" i="6"/>
  <c r="AO397" i="6"/>
  <c r="AO443" i="6"/>
  <c r="AO1444" i="6"/>
  <c r="BE1444" i="6"/>
  <c r="AN1048" i="6"/>
  <c r="AN1094" i="6"/>
  <c r="AN1140" i="6"/>
  <c r="AN1232" i="6"/>
  <c r="AN1278" i="6"/>
  <c r="AN1324" i="6"/>
  <c r="AO2081" i="6"/>
  <c r="AO2127" i="6"/>
  <c r="AP1020" i="6"/>
  <c r="AP1066" i="6"/>
  <c r="AP1112" i="6"/>
  <c r="AP1204" i="6"/>
  <c r="AP1250" i="6"/>
  <c r="AP1296" i="6"/>
  <c r="AP124" i="6"/>
  <c r="BF124" i="6"/>
  <c r="AN1689" i="6"/>
  <c r="AN1735" i="6"/>
  <c r="AN1781" i="6"/>
  <c r="AO1438" i="6"/>
  <c r="BE1438" i="6"/>
  <c r="AP1451" i="6"/>
  <c r="BF1451" i="6"/>
  <c r="AN1044" i="6"/>
  <c r="AN1090" i="6"/>
  <c r="AN1136" i="6"/>
  <c r="AN1228" i="6"/>
  <c r="AN1274" i="6"/>
  <c r="AN1320" i="6"/>
  <c r="AN2096" i="6"/>
  <c r="AN2142" i="6"/>
  <c r="AP126" i="6"/>
  <c r="BF126" i="6"/>
  <c r="AP1902" i="6"/>
  <c r="BF1902" i="6"/>
  <c r="AP117" i="6"/>
  <c r="BF117" i="6"/>
  <c r="BE1909" i="6"/>
  <c r="AO1909" i="6"/>
  <c r="AO1460" i="6"/>
  <c r="BE1460" i="6"/>
  <c r="AO631" i="6"/>
  <c r="BE631" i="6"/>
  <c r="AP102" i="6"/>
  <c r="BF102" i="6"/>
  <c r="AQ2128" i="6"/>
  <c r="AQ2082" i="6"/>
  <c r="AR1889" i="6"/>
  <c r="BF1914" i="6"/>
  <c r="AP1914" i="6"/>
  <c r="AN1030" i="6"/>
  <c r="AN1076" i="6"/>
  <c r="AN1122" i="6"/>
  <c r="AN1214" i="6"/>
  <c r="AN1260" i="6"/>
  <c r="AN1306" i="6"/>
  <c r="AP105" i="6"/>
  <c r="BF105" i="6"/>
  <c r="AP1447" i="6"/>
  <c r="BF1447" i="6"/>
  <c r="AP1445" i="6"/>
  <c r="BF1445" i="6"/>
  <c r="AP634" i="6"/>
  <c r="BF634" i="6"/>
  <c r="AP622" i="6"/>
  <c r="BF622" i="6"/>
  <c r="AO1696" i="6"/>
  <c r="AO1742" i="6"/>
  <c r="AO1788" i="6"/>
  <c r="AP632" i="6"/>
  <c r="BF632" i="6"/>
  <c r="AO364" i="6"/>
  <c r="AO410" i="6"/>
  <c r="AO456" i="6"/>
  <c r="AO354" i="6"/>
  <c r="AO400" i="6"/>
  <c r="AO446" i="6"/>
  <c r="AP377" i="6"/>
  <c r="AP423" i="6"/>
  <c r="AP469" i="6"/>
  <c r="AN376" i="6"/>
  <c r="AN422" i="6"/>
  <c r="AN468" i="6"/>
  <c r="AO615" i="6"/>
  <c r="BE615" i="6"/>
  <c r="AO342" i="6"/>
  <c r="AO388" i="6"/>
  <c r="AO434" i="6"/>
  <c r="AQ1928" i="6"/>
  <c r="BG1928" i="6"/>
  <c r="AN1028" i="6"/>
  <c r="AN1074" i="6"/>
  <c r="AN1120" i="6"/>
  <c r="AN1212" i="6"/>
  <c r="AN1258" i="6"/>
  <c r="AN1304" i="6"/>
  <c r="AN1743" i="6"/>
  <c r="AN1697" i="6"/>
  <c r="AN1789" i="6"/>
  <c r="AO1927" i="6"/>
  <c r="BE1927" i="6"/>
  <c r="AP1899" i="6"/>
  <c r="BF1899" i="6"/>
  <c r="AO357" i="6"/>
  <c r="AO403" i="6"/>
  <c r="AO449" i="6"/>
  <c r="AO1025" i="6"/>
  <c r="AO1071" i="6"/>
  <c r="AO1117" i="6"/>
  <c r="AO1209" i="6"/>
  <c r="AO1255" i="6"/>
  <c r="AO1301" i="6"/>
  <c r="AP1435" i="6"/>
  <c r="BF1435" i="6"/>
  <c r="AN1683" i="6"/>
  <c r="AN1729" i="6"/>
  <c r="AN1775" i="6"/>
  <c r="AO625" i="6"/>
  <c r="BE625" i="6"/>
  <c r="AP100" i="6"/>
  <c r="BF100" i="6"/>
  <c r="AP1461" i="6"/>
  <c r="BF1461" i="6"/>
  <c r="AO363" i="6"/>
  <c r="AO409" i="6"/>
  <c r="AO455" i="6"/>
  <c r="AN1677" i="6"/>
  <c r="AN1723" i="6"/>
  <c r="AN1769" i="6"/>
  <c r="AP114" i="6"/>
  <c r="BF114" i="6"/>
  <c r="AO1690" i="6"/>
  <c r="AO1736" i="6"/>
  <c r="AO1782" i="6"/>
  <c r="BF1920" i="6"/>
  <c r="AP1920" i="6"/>
  <c r="AO621" i="6"/>
  <c r="BE621" i="6"/>
  <c r="AO411" i="6"/>
  <c r="AO365" i="6"/>
  <c r="AO457" i="6"/>
  <c r="AO356" i="6"/>
  <c r="AO402" i="6"/>
  <c r="AO448" i="6"/>
  <c r="AQ1895" i="6"/>
  <c r="BG1895" i="6"/>
  <c r="AP128" i="6"/>
  <c r="BF128" i="6"/>
  <c r="AO1456" i="6"/>
  <c r="BE1456" i="6"/>
  <c r="AO1452" i="6"/>
  <c r="BE1452" i="6"/>
  <c r="AP628" i="6"/>
  <c r="BF628" i="6"/>
  <c r="AO1039" i="6"/>
  <c r="AO1085" i="6"/>
  <c r="AO1131" i="6"/>
  <c r="AO1223" i="6"/>
  <c r="AO1269" i="6"/>
  <c r="AO1315" i="6"/>
  <c r="AN1675" i="6"/>
  <c r="AN1721" i="6"/>
  <c r="AN1767" i="6"/>
  <c r="AO130" i="6"/>
  <c r="BE130" i="6"/>
  <c r="AP1437" i="6"/>
  <c r="BF1437" i="6"/>
  <c r="AO341" i="6"/>
  <c r="AO387" i="6"/>
  <c r="AO433" i="6"/>
  <c r="AP2082" i="6"/>
  <c r="AP2128" i="6"/>
  <c r="AO2107" i="6"/>
  <c r="AO2153" i="6"/>
  <c r="AO611" i="6"/>
  <c r="BE611" i="6"/>
  <c r="AO344" i="6"/>
  <c r="AO390" i="6"/>
  <c r="AO436" i="6"/>
  <c r="AO1686" i="6"/>
  <c r="AO1732" i="6"/>
  <c r="AO1778" i="6"/>
  <c r="AP1459" i="6"/>
  <c r="BF1459" i="6"/>
  <c r="AO1684" i="6"/>
  <c r="AO1730" i="6"/>
  <c r="AO1776" i="6"/>
  <c r="AO1057" i="6"/>
  <c r="AO1103" i="6"/>
  <c r="AO1149" i="6"/>
  <c r="AO1241" i="6"/>
  <c r="AO1287" i="6"/>
  <c r="AO1333" i="6"/>
  <c r="AO1045" i="6"/>
  <c r="AO1091" i="6"/>
  <c r="AO1137" i="6"/>
  <c r="AO1229" i="6"/>
  <c r="AO1275" i="6"/>
  <c r="AO1321" i="6"/>
  <c r="AO1929" i="6"/>
  <c r="BE1929" i="6"/>
  <c r="AQ375" i="6"/>
  <c r="AR375" i="6" s="1"/>
  <c r="AQ421" i="6"/>
  <c r="AR421" i="6" s="1"/>
  <c r="AQ467" i="6"/>
  <c r="AR467" i="6" s="1"/>
  <c r="AR136" i="6"/>
  <c r="AO1055" i="6"/>
  <c r="AO1101" i="6"/>
  <c r="AO1147" i="6"/>
  <c r="AO1239" i="6"/>
  <c r="AO1285" i="6"/>
  <c r="AO1331" i="6"/>
  <c r="AN2112" i="6"/>
  <c r="AN2158" i="6"/>
  <c r="AN1050" i="6"/>
  <c r="AN1096" i="6"/>
  <c r="AN1142" i="6"/>
  <c r="AN1234" i="6"/>
  <c r="AN1280" i="6"/>
  <c r="AN1326" i="6"/>
  <c r="AP1439" i="6"/>
  <c r="BF1439" i="6"/>
  <c r="AQ138" i="6"/>
  <c r="BG138" i="6"/>
  <c r="AP608" i="6"/>
  <c r="BF608" i="6"/>
  <c r="AQ1671" i="6"/>
  <c r="AR1671" i="6" s="1"/>
  <c r="AQ1717" i="6"/>
  <c r="AR1717" i="6" s="1"/>
  <c r="AQ1763" i="6"/>
  <c r="AR1763" i="6" s="1"/>
  <c r="AR1432" i="6"/>
  <c r="AP1896" i="6"/>
  <c r="BF1896" i="6"/>
  <c r="AP2121" i="6"/>
  <c r="AP2167" i="6"/>
  <c r="AO609" i="6"/>
  <c r="BE609" i="6"/>
  <c r="AO2092" i="6"/>
  <c r="AO2138" i="6"/>
  <c r="AP106" i="6"/>
  <c r="BF106" i="6"/>
  <c r="AQ131" i="6"/>
  <c r="BG131" i="6"/>
  <c r="AO1674" i="6"/>
  <c r="AO1720" i="6"/>
  <c r="AO1766" i="6"/>
  <c r="AP109" i="6"/>
  <c r="BF109" i="6"/>
  <c r="AO339" i="6"/>
  <c r="AO385" i="6"/>
  <c r="AO431" i="6"/>
  <c r="AO1746" i="6"/>
  <c r="AO1700" i="6"/>
  <c r="AO1792" i="6"/>
  <c r="AQ638" i="6"/>
  <c r="BG638" i="6"/>
  <c r="AO353" i="6"/>
  <c r="AO399" i="6"/>
  <c r="AO445" i="6"/>
  <c r="AO2113" i="6"/>
  <c r="AO2159" i="6"/>
  <c r="AP1463" i="6"/>
  <c r="BF1463" i="6"/>
  <c r="AQ94" i="6"/>
  <c r="BG94" i="6"/>
  <c r="BF111" i="6"/>
  <c r="AP111" i="6"/>
  <c r="AO617" i="6"/>
  <c r="BE617" i="6"/>
  <c r="AQ2101" i="6"/>
  <c r="AR2101" i="6" s="1"/>
  <c r="AQ2147" i="6"/>
  <c r="AR2147" i="6" s="1"/>
  <c r="AR1908" i="6"/>
  <c r="AN2116" i="6"/>
  <c r="AN2162" i="6"/>
  <c r="BE133" i="6"/>
  <c r="AO133" i="6"/>
  <c r="AO637" i="6"/>
  <c r="BE637" i="6"/>
  <c r="AO1676" i="6"/>
  <c r="AO1722" i="6"/>
  <c r="AO1768" i="6"/>
  <c r="AO1891" i="6"/>
  <c r="BE1891" i="6"/>
  <c r="AP98" i="6"/>
  <c r="BF98" i="6"/>
  <c r="AP1441" i="6"/>
  <c r="BF1441" i="6"/>
  <c r="AO1434" i="6"/>
  <c r="BE1434" i="6"/>
  <c r="AO1698" i="6"/>
  <c r="AO1744" i="6"/>
  <c r="AO1790" i="6"/>
  <c r="AN2122" i="6"/>
  <c r="AN2168" i="6"/>
  <c r="AP614" i="6"/>
  <c r="BF614" i="6"/>
  <c r="AO1919" i="6"/>
  <c r="BE1919" i="6"/>
  <c r="AO627" i="6"/>
  <c r="BE627" i="6"/>
  <c r="AO1678" i="6"/>
  <c r="AO1724" i="6"/>
  <c r="AO1770" i="6"/>
  <c r="AO1027" i="6"/>
  <c r="AO1073" i="6"/>
  <c r="AO1119" i="6"/>
  <c r="AO1211" i="6"/>
  <c r="AO1257" i="6"/>
  <c r="AO1303" i="6"/>
  <c r="AP1901" i="6"/>
  <c r="BF1901" i="6"/>
  <c r="AO1440" i="6"/>
  <c r="BE1440" i="6"/>
  <c r="AO2135" i="6"/>
  <c r="AO2089" i="6"/>
  <c r="AN1058" i="6"/>
  <c r="AN1104" i="6"/>
  <c r="AN1150" i="6"/>
  <c r="AN1242" i="6"/>
  <c r="AN1288" i="6"/>
  <c r="AN1334" i="6"/>
  <c r="AP610" i="6"/>
  <c r="BF610" i="6"/>
  <c r="AP1449" i="6"/>
  <c r="BF1449" i="6"/>
  <c r="AN2108" i="6"/>
  <c r="AN2154" i="6"/>
  <c r="AO345" i="6"/>
  <c r="AO391" i="6"/>
  <c r="AO437" i="6"/>
  <c r="AP370" i="6"/>
  <c r="AP416" i="6"/>
  <c r="AP462" i="6"/>
  <c r="AP108" i="6"/>
  <c r="BF108" i="6"/>
  <c r="AN1022" i="6"/>
  <c r="AN1068" i="6"/>
  <c r="AN1114" i="6"/>
  <c r="AN1206" i="6"/>
  <c r="AN1252" i="6"/>
  <c r="AN1298" i="6"/>
  <c r="AO348" i="6"/>
  <c r="AO394" i="6"/>
  <c r="AO440" i="6"/>
  <c r="AP1465" i="6"/>
  <c r="BF1465" i="6"/>
  <c r="AN1026" i="6"/>
  <c r="AN1072" i="6"/>
  <c r="AN1118" i="6"/>
  <c r="AN1210" i="6"/>
  <c r="AN1256" i="6"/>
  <c r="AN1302" i="6"/>
  <c r="AP612" i="6"/>
  <c r="BF612" i="6"/>
  <c r="AP1061" i="6"/>
  <c r="AP1107" i="6"/>
  <c r="AP1153" i="6"/>
  <c r="AP1245" i="6"/>
  <c r="AP1291" i="6"/>
  <c r="AP1337" i="6"/>
  <c r="AP129" i="6"/>
  <c r="BF129" i="6"/>
  <c r="AO1748" i="6"/>
  <c r="AO1702" i="6"/>
  <c r="AO1794" i="6"/>
  <c r="AN2118" i="6"/>
  <c r="AN2164" i="6"/>
  <c r="AP333" i="6"/>
  <c r="AP379" i="6"/>
  <c r="AP425" i="6"/>
  <c r="AP626" i="6"/>
  <c r="BF626" i="6"/>
  <c r="AN2100" i="6"/>
  <c r="AN2146" i="6"/>
  <c r="AO1464" i="6"/>
  <c r="BE1464" i="6"/>
  <c r="AP104" i="6"/>
  <c r="BF104" i="6"/>
  <c r="AO1682" i="6"/>
  <c r="AO1728" i="6"/>
  <c r="AO1774" i="6"/>
  <c r="AN1056" i="6"/>
  <c r="AN1102" i="6"/>
  <c r="AN1148" i="6"/>
  <c r="AN1240" i="6"/>
  <c r="AN1286" i="6"/>
  <c r="AN1332" i="6"/>
  <c r="AN369" i="6"/>
  <c r="AN415" i="6"/>
  <c r="AN461" i="6"/>
  <c r="AO1931" i="6"/>
  <c r="BE1931" i="6"/>
  <c r="AO1923" i="6"/>
  <c r="BE1923" i="6"/>
  <c r="AN372" i="6"/>
  <c r="AN418" i="6"/>
  <c r="AN464" i="6"/>
  <c r="AO371" i="6"/>
  <c r="AO417" i="6"/>
  <c r="AO463" i="6"/>
  <c r="AN2084" i="6"/>
  <c r="AN2130" i="6"/>
  <c r="AO337" i="6"/>
  <c r="AO383" i="6"/>
  <c r="AO429" i="6"/>
  <c r="BF99" i="6"/>
  <c r="AP99" i="6"/>
  <c r="AO1680" i="6"/>
  <c r="AO1726" i="6"/>
  <c r="AO1772" i="6"/>
  <c r="AR2105" i="6"/>
  <c r="AQ1917" i="6"/>
  <c r="BG1917" i="6"/>
  <c r="AQ374" i="6"/>
  <c r="AR374" i="6" s="1"/>
  <c r="AQ420" i="6"/>
  <c r="AR420" i="6" s="1"/>
  <c r="AQ466" i="6"/>
  <c r="AR466" i="6" s="1"/>
  <c r="AR135" i="6"/>
  <c r="AO2087" i="6"/>
  <c r="AO2133" i="6"/>
  <c r="AN1673" i="6"/>
  <c r="AN1719" i="6"/>
  <c r="AN1765" i="6"/>
  <c r="BE1900" i="6"/>
  <c r="AO1900" i="6"/>
  <c r="AQ2099" i="6"/>
  <c r="AR2099" i="6" s="1"/>
  <c r="AQ2145" i="6"/>
  <c r="AR2145" i="6" s="1"/>
  <c r="AR1906" i="6"/>
  <c r="AP1431" i="6"/>
  <c r="BF1431" i="6"/>
  <c r="AP618" i="6"/>
  <c r="BF618" i="6"/>
  <c r="AO1037" i="6"/>
  <c r="AO1129" i="6"/>
  <c r="AO1083" i="6"/>
  <c r="AO1221" i="6"/>
  <c r="AO1267" i="6"/>
  <c r="AO1313" i="6"/>
  <c r="AP110" i="6"/>
  <c r="BF110" i="6"/>
  <c r="AO2094" i="6"/>
  <c r="AO2140" i="6"/>
  <c r="AO1442" i="6"/>
  <c r="BE1442" i="6"/>
  <c r="AP121" i="6"/>
  <c r="BF121" i="6"/>
  <c r="AN1679" i="6"/>
  <c r="AN1771" i="6"/>
  <c r="AN1725" i="6"/>
  <c r="AP604" i="6"/>
  <c r="BF604" i="6"/>
  <c r="AQ1930" i="6"/>
  <c r="BG1930" i="6"/>
  <c r="AO635" i="6"/>
  <c r="BE635" i="6"/>
  <c r="AO1029" i="6"/>
  <c r="AO1075" i="6"/>
  <c r="AO1121" i="6"/>
  <c r="AO1213" i="6"/>
  <c r="AO1259" i="6"/>
  <c r="AO1305" i="6"/>
  <c r="AO1688" i="6"/>
  <c r="AO1734" i="6"/>
  <c r="AO1780" i="6"/>
  <c r="AO1915" i="6"/>
  <c r="BE1915" i="6"/>
  <c r="AQ1913" i="6"/>
  <c r="BG1913" i="6"/>
  <c r="AO347" i="6"/>
  <c r="AO393" i="6"/>
  <c r="AO439" i="6"/>
  <c r="AO603" i="6"/>
  <c r="BE603" i="6"/>
  <c r="AN1036" i="6"/>
  <c r="AN1082" i="6"/>
  <c r="AN1128" i="6"/>
  <c r="AN1220" i="6"/>
  <c r="AN1266" i="6"/>
  <c r="AN1312" i="6"/>
  <c r="AO1704" i="6"/>
  <c r="AO1750" i="6"/>
  <c r="AO1796" i="6"/>
  <c r="AO607" i="6"/>
  <c r="BE607" i="6"/>
  <c r="AO1035" i="6"/>
  <c r="AO1081" i="6"/>
  <c r="AO1127" i="6"/>
  <c r="AO1219" i="6"/>
  <c r="AO1265" i="6"/>
  <c r="AO1311" i="6"/>
  <c r="AO95" i="6"/>
  <c r="BE95" i="6"/>
  <c r="AN1052" i="6"/>
  <c r="AN1098" i="6"/>
  <c r="AN1144" i="6"/>
  <c r="AN1236" i="6"/>
  <c r="AN1282" i="6"/>
  <c r="AN1328" i="6"/>
  <c r="BF123" i="6"/>
  <c r="AP123" i="6"/>
  <c r="AO368" i="6"/>
  <c r="AO414" i="6"/>
  <c r="AO460" i="6"/>
  <c r="AN1024" i="6"/>
  <c r="AN1070" i="6"/>
  <c r="AN1116" i="6"/>
  <c r="AN1208" i="6"/>
  <c r="AN1254" i="6"/>
  <c r="AN1300" i="6"/>
  <c r="AO1925" i="6"/>
  <c r="BE1925" i="6"/>
  <c r="AP122" i="6"/>
  <c r="BF122" i="6"/>
  <c r="AP1887" i="6"/>
  <c r="BF1887" i="6"/>
  <c r="AO1021" i="6"/>
  <c r="AO1067" i="6"/>
  <c r="AO1113" i="6"/>
  <c r="AO1205" i="6"/>
  <c r="AO1251" i="6"/>
  <c r="AO1297" i="6"/>
  <c r="AP630" i="6"/>
  <c r="BF630" i="6"/>
  <c r="AN1747" i="6"/>
  <c r="AN1701" i="6"/>
  <c r="AN1793" i="6"/>
  <c r="AP112" i="6"/>
  <c r="BF112" i="6"/>
  <c r="AN1687" i="6"/>
  <c r="AN1733" i="6"/>
  <c r="AN1779" i="6"/>
  <c r="AN1060" i="6"/>
  <c r="AN1106" i="6"/>
  <c r="AN1152" i="6"/>
  <c r="AN1244" i="6"/>
  <c r="AN1290" i="6"/>
  <c r="AN1336" i="6"/>
  <c r="AP132" i="6"/>
  <c r="BF132" i="6"/>
  <c r="AN2170" i="6"/>
  <c r="AN2124" i="6"/>
  <c r="AP2086" i="6"/>
  <c r="AP2132" i="6"/>
  <c r="AP120" i="6"/>
  <c r="BF120" i="6"/>
  <c r="AP1455" i="6"/>
  <c r="BF1455" i="6"/>
  <c r="AO338" i="6"/>
  <c r="AO384" i="6"/>
  <c r="AO430" i="6"/>
  <c r="BF113" i="6"/>
  <c r="AP113" i="6"/>
  <c r="AR2151" i="6"/>
  <c r="AP2110" i="6"/>
  <c r="AP2156" i="6"/>
  <c r="BF1894" i="6"/>
  <c r="AP1894" i="6"/>
  <c r="AN2093" i="6"/>
  <c r="AN2139" i="6"/>
  <c r="AN1046" i="6"/>
  <c r="AN1092" i="6"/>
  <c r="AN1138" i="6"/>
  <c r="AN1230" i="6"/>
  <c r="AN1276" i="6"/>
  <c r="AN1322" i="6"/>
  <c r="AP624" i="6"/>
  <c r="BF624" i="6"/>
  <c r="AO1670" i="6"/>
  <c r="AO1716" i="6"/>
  <c r="AO1762" i="6"/>
  <c r="AO1041" i="6"/>
  <c r="AO1087" i="6"/>
  <c r="AO1133" i="6"/>
  <c r="AO1225" i="6"/>
  <c r="AO1271" i="6"/>
  <c r="AO1317" i="6"/>
  <c r="AO349" i="6"/>
  <c r="AO395" i="6"/>
  <c r="AO441" i="6"/>
  <c r="AP600" i="6"/>
  <c r="BF600" i="6"/>
  <c r="AO1446" i="6"/>
  <c r="BE1446" i="6"/>
  <c r="AN1681" i="6"/>
  <c r="AN1727" i="6"/>
  <c r="AN1773" i="6"/>
  <c r="AO360" i="6"/>
  <c r="AO406" i="6"/>
  <c r="AO452" i="6"/>
  <c r="AO1023" i="6"/>
  <c r="AO1069" i="6"/>
  <c r="AO1115" i="6"/>
  <c r="AO1207" i="6"/>
  <c r="AO1253" i="6"/>
  <c r="AO1299" i="6"/>
  <c r="AP116" i="6"/>
  <c r="BF116" i="6"/>
  <c r="AP2123" i="6"/>
  <c r="AP2169" i="6"/>
  <c r="AP620" i="6"/>
  <c r="BF620" i="6"/>
  <c r="AN1042" i="6"/>
  <c r="AN1134" i="6"/>
  <c r="AN1088" i="6"/>
  <c r="AN1226" i="6"/>
  <c r="AN1272" i="6"/>
  <c r="AN1318" i="6"/>
  <c r="AP598" i="6"/>
  <c r="BF598" i="6"/>
  <c r="AP2106" i="6"/>
  <c r="AP2152" i="6"/>
  <c r="AQ636" i="6"/>
  <c r="BG636" i="6"/>
  <c r="BF119" i="6"/>
  <c r="AP119" i="6"/>
  <c r="AO613" i="6"/>
  <c r="BE613" i="6"/>
  <c r="AN2114" i="6"/>
  <c r="AN2160" i="6"/>
  <c r="AQ2119" i="6"/>
  <c r="AR2119" i="6" s="1"/>
  <c r="AQ2165" i="6"/>
  <c r="AR2165" i="6" s="1"/>
  <c r="AR1926" i="6"/>
  <c r="AO1454" i="6"/>
  <c r="BE1454" i="6"/>
  <c r="AP373" i="6"/>
  <c r="AP419" i="6"/>
  <c r="AP465" i="6"/>
  <c r="AR134" i="6"/>
  <c r="AN334" i="6"/>
  <c r="AN380" i="6"/>
  <c r="AN426" i="6"/>
  <c r="AO629" i="6"/>
  <c r="BE629" i="6"/>
  <c r="AQ1710" i="6"/>
  <c r="AR1710" i="6" s="1"/>
  <c r="AQ1756" i="6"/>
  <c r="AR1756" i="6" s="1"/>
  <c r="AQ1802" i="6"/>
  <c r="AR1802" i="6" s="1"/>
  <c r="AR1471" i="6"/>
  <c r="AO362" i="6"/>
  <c r="AO408" i="6"/>
  <c r="AO454" i="6"/>
  <c r="AO605" i="6"/>
  <c r="BE605" i="6"/>
  <c r="AO361" i="6"/>
  <c r="AO407" i="6"/>
  <c r="AO453" i="6"/>
  <c r="AO2080" i="6"/>
  <c r="AO2126" i="6"/>
  <c r="AO1052" i="6" l="1"/>
  <c r="AO1098" i="6"/>
  <c r="AO1144" i="6"/>
  <c r="AO1236" i="6"/>
  <c r="AO1282" i="6"/>
  <c r="AO1328" i="6"/>
  <c r="AP1454" i="6"/>
  <c r="BF1454" i="6"/>
  <c r="AO1036" i="6"/>
  <c r="AO1082" i="6"/>
  <c r="AO1128" i="6"/>
  <c r="AO1220" i="6"/>
  <c r="AO1266" i="6"/>
  <c r="AO1312" i="6"/>
  <c r="AP1017" i="6"/>
  <c r="AP1063" i="6"/>
  <c r="AP1109" i="6"/>
  <c r="AP1201" i="6"/>
  <c r="AP1247" i="6"/>
  <c r="AP1293" i="6"/>
  <c r="AP1043" i="6"/>
  <c r="AP1089" i="6"/>
  <c r="AP1135" i="6"/>
  <c r="AP1227" i="6"/>
  <c r="AP1273" i="6"/>
  <c r="AP1319" i="6"/>
  <c r="AQ1105" i="6"/>
  <c r="AR1105" i="6" s="1"/>
  <c r="AQ1059" i="6"/>
  <c r="AR1059" i="6" s="1"/>
  <c r="AQ1151" i="6"/>
  <c r="AR1151" i="6" s="1"/>
  <c r="AQ1243" i="6"/>
  <c r="AR1243" i="6" s="1"/>
  <c r="AQ1289" i="6"/>
  <c r="AR1289" i="6" s="1"/>
  <c r="AQ1335" i="6"/>
  <c r="AR636" i="6"/>
  <c r="AP355" i="6"/>
  <c r="AP401" i="6"/>
  <c r="AP447" i="6"/>
  <c r="AP1019" i="6"/>
  <c r="AP1065" i="6"/>
  <c r="AP1111" i="6"/>
  <c r="AP1203" i="6"/>
  <c r="AP1249" i="6"/>
  <c r="AP1295" i="6"/>
  <c r="AQ1894" i="6"/>
  <c r="BG1894" i="6"/>
  <c r="AO2118" i="6"/>
  <c r="AO2164" i="6"/>
  <c r="AO2093" i="6"/>
  <c r="AO2139" i="6"/>
  <c r="AP1923" i="6"/>
  <c r="BF1923" i="6"/>
  <c r="AP1049" i="6"/>
  <c r="AP1095" i="6"/>
  <c r="AP1141" i="6"/>
  <c r="AP1233" i="6"/>
  <c r="AP1279" i="6"/>
  <c r="AP1325" i="6"/>
  <c r="AP1688" i="6"/>
  <c r="AP1734" i="6"/>
  <c r="AP1780" i="6"/>
  <c r="AP627" i="6"/>
  <c r="BF627" i="6"/>
  <c r="AP337" i="6"/>
  <c r="AP383" i="6"/>
  <c r="AP429" i="6"/>
  <c r="AO1060" i="6"/>
  <c r="AO1106" i="6"/>
  <c r="AO1152" i="6"/>
  <c r="AO1244" i="6"/>
  <c r="AO1290" i="6"/>
  <c r="AO1336" i="6"/>
  <c r="AP1702" i="6"/>
  <c r="AP1748" i="6"/>
  <c r="AP1794" i="6"/>
  <c r="AQ1439" i="6"/>
  <c r="BG1439" i="6"/>
  <c r="AQ1437" i="6"/>
  <c r="BG1437" i="6"/>
  <c r="AO1691" i="6"/>
  <c r="AO1737" i="6"/>
  <c r="AO1783" i="6"/>
  <c r="AQ1920" i="6"/>
  <c r="BG1920" i="6"/>
  <c r="AP625" i="6"/>
  <c r="BF625" i="6"/>
  <c r="AQ1899" i="6"/>
  <c r="BG1899" i="6"/>
  <c r="AP1045" i="6"/>
  <c r="AP1091" i="6"/>
  <c r="AP1137" i="6"/>
  <c r="AP1229" i="6"/>
  <c r="AP1275" i="6"/>
  <c r="AP1321" i="6"/>
  <c r="AP344" i="6"/>
  <c r="AP390" i="6"/>
  <c r="AP436" i="6"/>
  <c r="AQ1914" i="6"/>
  <c r="BG1914" i="6"/>
  <c r="AO1054" i="6"/>
  <c r="AO1100" i="6"/>
  <c r="AO1146" i="6"/>
  <c r="AO1238" i="6"/>
  <c r="AO1284" i="6"/>
  <c r="AO1330" i="6"/>
  <c r="AQ1902" i="6"/>
  <c r="BG1902" i="6"/>
  <c r="AP1458" i="6"/>
  <c r="BF1458" i="6"/>
  <c r="AQ1064" i="6"/>
  <c r="AR1064" i="6" s="1"/>
  <c r="AQ1018" i="6"/>
  <c r="AR1018" i="6" s="1"/>
  <c r="AQ1110" i="6"/>
  <c r="AR1110" i="6" s="1"/>
  <c r="AQ1202" i="6"/>
  <c r="AR1202" i="6" s="1"/>
  <c r="AQ1248" i="6"/>
  <c r="AR1248" i="6" s="1"/>
  <c r="AQ1294" i="6"/>
  <c r="AR599" i="6"/>
  <c r="AP346" i="6"/>
  <c r="AP392" i="6"/>
  <c r="AP438" i="6"/>
  <c r="AO1747" i="6"/>
  <c r="AO1701" i="6"/>
  <c r="AO1793" i="6"/>
  <c r="AQ1904" i="6"/>
  <c r="BG1904" i="6"/>
  <c r="AQ1455" i="6"/>
  <c r="BG1455" i="6"/>
  <c r="AQ132" i="6"/>
  <c r="BG132" i="6"/>
  <c r="AQ110" i="6"/>
  <c r="BG110" i="6"/>
  <c r="AQ618" i="6"/>
  <c r="BG618" i="6"/>
  <c r="AP1900" i="6"/>
  <c r="BF1900" i="6"/>
  <c r="AO2116" i="6"/>
  <c r="AO2162" i="6"/>
  <c r="AQ104" i="6"/>
  <c r="BG104" i="6"/>
  <c r="AQ610" i="6"/>
  <c r="BG610" i="6"/>
  <c r="AO1050" i="6"/>
  <c r="AO1096" i="6"/>
  <c r="AO1142" i="6"/>
  <c r="AO1234" i="6"/>
  <c r="AO1280" i="6"/>
  <c r="AO1326" i="6"/>
  <c r="AO372" i="6"/>
  <c r="AO418" i="6"/>
  <c r="AO464" i="6"/>
  <c r="AP617" i="6"/>
  <c r="BF617" i="6"/>
  <c r="AP1678" i="6"/>
  <c r="AP1724" i="6"/>
  <c r="AP1770" i="6"/>
  <c r="AP1676" i="6"/>
  <c r="AP1722" i="6"/>
  <c r="AP1768" i="6"/>
  <c r="AP1456" i="6"/>
  <c r="BF1456" i="6"/>
  <c r="AO1048" i="6"/>
  <c r="AO1094" i="6"/>
  <c r="AO1140" i="6"/>
  <c r="AO1232" i="6"/>
  <c r="AO1278" i="6"/>
  <c r="AO1324" i="6"/>
  <c r="AP2138" i="6"/>
  <c r="AP2092" i="6"/>
  <c r="AQ634" i="6"/>
  <c r="BG634" i="6"/>
  <c r="AP2095" i="6"/>
  <c r="AP2141" i="6"/>
  <c r="AQ606" i="6"/>
  <c r="BG606" i="6"/>
  <c r="AO1743" i="6"/>
  <c r="AO1697" i="6"/>
  <c r="AO1789" i="6"/>
  <c r="AP354" i="6"/>
  <c r="AP400" i="6"/>
  <c r="AP446" i="6"/>
  <c r="AQ1457" i="6"/>
  <c r="BG1457" i="6"/>
  <c r="AR1294" i="6"/>
  <c r="AQ1066" i="6"/>
  <c r="AR1066" i="6" s="1"/>
  <c r="AQ1020" i="6"/>
  <c r="AR1020" i="6" s="1"/>
  <c r="AQ1112" i="6"/>
  <c r="AR1112" i="6" s="1"/>
  <c r="AQ1204" i="6"/>
  <c r="AR1204" i="6" s="1"/>
  <c r="AQ1250" i="6"/>
  <c r="AR1250" i="6" s="1"/>
  <c r="AQ1296" i="6"/>
  <c r="AR1296" i="6" s="1"/>
  <c r="AR601" i="6"/>
  <c r="AO2098" i="6"/>
  <c r="AO2144" i="6"/>
  <c r="AQ107" i="6"/>
  <c r="BG107" i="6"/>
  <c r="AQ616" i="6"/>
  <c r="BG616" i="6"/>
  <c r="AO1705" i="6"/>
  <c r="AO1751" i="6"/>
  <c r="AO1797" i="6"/>
  <c r="AP619" i="6"/>
  <c r="BF619" i="6"/>
  <c r="AP2097" i="6"/>
  <c r="AP2143" i="6"/>
  <c r="AQ1888" i="6"/>
  <c r="BG1888" i="6"/>
  <c r="AQ1453" i="6"/>
  <c r="BG1453" i="6"/>
  <c r="AP1694" i="6"/>
  <c r="AP1740" i="6"/>
  <c r="AP1786" i="6"/>
  <c r="AP371" i="6"/>
  <c r="AP417" i="6"/>
  <c r="AP463" i="6"/>
  <c r="AQ630" i="6"/>
  <c r="BG630" i="6"/>
  <c r="AP362" i="6"/>
  <c r="AP408" i="6"/>
  <c r="AP454" i="6"/>
  <c r="AP95" i="6"/>
  <c r="BF95" i="6"/>
  <c r="AP607" i="6"/>
  <c r="BF607" i="6"/>
  <c r="AP635" i="6"/>
  <c r="BF635" i="6"/>
  <c r="AP349" i="6"/>
  <c r="AP395" i="6"/>
  <c r="AP441" i="6"/>
  <c r="AP1041" i="6"/>
  <c r="AP1087" i="6"/>
  <c r="AP1133" i="6"/>
  <c r="AP1225" i="6"/>
  <c r="AP1271" i="6"/>
  <c r="AP1317" i="6"/>
  <c r="AP1931" i="6"/>
  <c r="BF1931" i="6"/>
  <c r="AP343" i="6"/>
  <c r="AP389" i="6"/>
  <c r="AP435" i="6"/>
  <c r="AQ129" i="6"/>
  <c r="BG129" i="6"/>
  <c r="AQ612" i="6"/>
  <c r="BG612" i="6"/>
  <c r="AQ1465" i="6"/>
  <c r="BG1465" i="6"/>
  <c r="AP1029" i="6"/>
  <c r="AP1075" i="6"/>
  <c r="AP1121" i="6"/>
  <c r="AP1213" i="6"/>
  <c r="AP1259" i="6"/>
  <c r="AP1305" i="6"/>
  <c r="AP1919" i="6"/>
  <c r="BF1919" i="6"/>
  <c r="AP1891" i="6"/>
  <c r="BF1891" i="6"/>
  <c r="AP133" i="6"/>
  <c r="BF133" i="6"/>
  <c r="AO1040" i="6"/>
  <c r="AO1086" i="6"/>
  <c r="AO1132" i="6"/>
  <c r="AO1224" i="6"/>
  <c r="AO1270" i="6"/>
  <c r="AO1316" i="6"/>
  <c r="AP609" i="6"/>
  <c r="BF609" i="6"/>
  <c r="AP130" i="6"/>
  <c r="BF130" i="6"/>
  <c r="AO1695" i="6"/>
  <c r="AO1741" i="6"/>
  <c r="AO1787" i="6"/>
  <c r="AP1927" i="6"/>
  <c r="BF1927" i="6"/>
  <c r="AP615" i="6"/>
  <c r="BF615" i="6"/>
  <c r="AQ632" i="6"/>
  <c r="BG632" i="6"/>
  <c r="AP1057" i="6"/>
  <c r="AP1103" i="6"/>
  <c r="AP1149" i="6"/>
  <c r="AP1241" i="6"/>
  <c r="AP1287" i="6"/>
  <c r="AP1333" i="6"/>
  <c r="AR2082" i="6"/>
  <c r="AP1460" i="6"/>
  <c r="BF1460" i="6"/>
  <c r="AQ126" i="6"/>
  <c r="BG126" i="6"/>
  <c r="AP1025" i="6"/>
  <c r="AP1071" i="6"/>
  <c r="AP1117" i="6"/>
  <c r="AP1209" i="6"/>
  <c r="AP1255" i="6"/>
  <c r="AP1301" i="6"/>
  <c r="AQ115" i="6"/>
  <c r="BG115" i="6"/>
  <c r="AP1696" i="6"/>
  <c r="AP1742" i="6"/>
  <c r="AP1788" i="6"/>
  <c r="AP1905" i="6"/>
  <c r="BF1905" i="6"/>
  <c r="AP1921" i="6"/>
  <c r="BF1921" i="6"/>
  <c r="AP1039" i="6"/>
  <c r="AP1085" i="6"/>
  <c r="AP1131" i="6"/>
  <c r="AP1223" i="6"/>
  <c r="AP1269" i="6"/>
  <c r="AP1315" i="6"/>
  <c r="AP1466" i="6"/>
  <c r="BF1466" i="6"/>
  <c r="AO1042" i="6"/>
  <c r="AO1134" i="6"/>
  <c r="AO1088" i="6"/>
  <c r="AO1226" i="6"/>
  <c r="AO1272" i="6"/>
  <c r="AO1318" i="6"/>
  <c r="AP2081" i="6"/>
  <c r="AP2127" i="6"/>
  <c r="AP1692" i="6"/>
  <c r="AP1738" i="6"/>
  <c r="AP1784" i="6"/>
  <c r="AP605" i="6"/>
  <c r="BF605" i="6"/>
  <c r="AO1024" i="6"/>
  <c r="AO1070" i="6"/>
  <c r="AO1116" i="6"/>
  <c r="AO1208" i="6"/>
  <c r="AO1254" i="6"/>
  <c r="AO1300" i="6"/>
  <c r="AP629" i="6"/>
  <c r="BF629" i="6"/>
  <c r="AP613" i="6"/>
  <c r="BF613" i="6"/>
  <c r="AQ598" i="6"/>
  <c r="BG598" i="6"/>
  <c r="AQ620" i="6"/>
  <c r="BG620" i="6"/>
  <c r="AQ120" i="6"/>
  <c r="BG120" i="6"/>
  <c r="AP1053" i="6"/>
  <c r="AP1099" i="6"/>
  <c r="AP1145" i="6"/>
  <c r="AP1237" i="6"/>
  <c r="AP1283" i="6"/>
  <c r="AP1329" i="6"/>
  <c r="AQ1887" i="6"/>
  <c r="BG1887" i="6"/>
  <c r="AQ123" i="6"/>
  <c r="BG123" i="6"/>
  <c r="AO334" i="6"/>
  <c r="AO380" i="6"/>
  <c r="AO426" i="6"/>
  <c r="AO1026" i="6"/>
  <c r="AO1072" i="6"/>
  <c r="AO1118" i="6"/>
  <c r="AO1210" i="6"/>
  <c r="AO1256" i="6"/>
  <c r="AO1302" i="6"/>
  <c r="AO1058" i="6"/>
  <c r="AO1104" i="6"/>
  <c r="AO1150" i="6"/>
  <c r="AO1242" i="6"/>
  <c r="AO1288" i="6"/>
  <c r="AO1334" i="6"/>
  <c r="AQ121" i="6"/>
  <c r="BG121" i="6"/>
  <c r="AQ1431" i="6"/>
  <c r="BG1431" i="6"/>
  <c r="AP338" i="6"/>
  <c r="AP384" i="6"/>
  <c r="AP430" i="6"/>
  <c r="AO2124" i="6"/>
  <c r="AO2170" i="6"/>
  <c r="AP1464" i="6"/>
  <c r="BF1464" i="6"/>
  <c r="AP368" i="6"/>
  <c r="AP414" i="6"/>
  <c r="AP460" i="6"/>
  <c r="AP1035" i="6"/>
  <c r="AP1081" i="6"/>
  <c r="AP1127" i="6"/>
  <c r="AP1219" i="6"/>
  <c r="AP1265" i="6"/>
  <c r="AP1311" i="6"/>
  <c r="AP1704" i="6"/>
  <c r="AP1750" i="6"/>
  <c r="AP1796" i="6"/>
  <c r="AP1440" i="6"/>
  <c r="BF1440" i="6"/>
  <c r="AO2112" i="6"/>
  <c r="AO2158" i="6"/>
  <c r="AP1434" i="6"/>
  <c r="BF1434" i="6"/>
  <c r="AO2084" i="6"/>
  <c r="AO2130" i="6"/>
  <c r="AP350" i="6"/>
  <c r="AP396" i="6"/>
  <c r="AP442" i="6"/>
  <c r="AO1028" i="6"/>
  <c r="AO1074" i="6"/>
  <c r="AO1120" i="6"/>
  <c r="AO1212" i="6"/>
  <c r="AO1258" i="6"/>
  <c r="AO1304" i="6"/>
  <c r="AO369" i="6"/>
  <c r="AO415" i="6"/>
  <c r="AO461" i="6"/>
  <c r="AQ128" i="6"/>
  <c r="BG128" i="6"/>
  <c r="AO2120" i="6"/>
  <c r="AO2166" i="6"/>
  <c r="AO1038" i="6"/>
  <c r="AO1084" i="6"/>
  <c r="AO1130" i="6"/>
  <c r="AO1222" i="6"/>
  <c r="AO1268" i="6"/>
  <c r="AO1314" i="6"/>
  <c r="AP1055" i="6"/>
  <c r="AP1101" i="6"/>
  <c r="AP1147" i="6"/>
  <c r="AP1239" i="6"/>
  <c r="AP1285" i="6"/>
  <c r="AP1331" i="6"/>
  <c r="AQ1445" i="6"/>
  <c r="BG1445" i="6"/>
  <c r="AR2128" i="6"/>
  <c r="AO1699" i="6"/>
  <c r="AO1745" i="6"/>
  <c r="AO1791" i="6"/>
  <c r="AP365" i="6"/>
  <c r="AP411" i="6"/>
  <c r="AP457" i="6"/>
  <c r="AQ124" i="6"/>
  <c r="BG124" i="6"/>
  <c r="AQ118" i="6"/>
  <c r="BG118" i="6"/>
  <c r="AP633" i="6"/>
  <c r="BF633" i="6"/>
  <c r="AP1436" i="6"/>
  <c r="BF1436" i="6"/>
  <c r="AP2117" i="6"/>
  <c r="AP2163" i="6"/>
  <c r="AO2114" i="6"/>
  <c r="AO2160" i="6"/>
  <c r="AP340" i="6"/>
  <c r="AP386" i="6"/>
  <c r="AP432" i="6"/>
  <c r="AP1448" i="6"/>
  <c r="BF1448" i="6"/>
  <c r="AP352" i="6"/>
  <c r="AP398" i="6"/>
  <c r="AP444" i="6"/>
  <c r="AP359" i="6"/>
  <c r="AP405" i="6"/>
  <c r="AP451" i="6"/>
  <c r="AQ112" i="6"/>
  <c r="BG112" i="6"/>
  <c r="AP2080" i="6"/>
  <c r="AP2126" i="6"/>
  <c r="AQ2106" i="6"/>
  <c r="AR2106" i="6" s="1"/>
  <c r="AQ2152" i="6"/>
  <c r="AR2152" i="6" s="1"/>
  <c r="AR1913" i="6"/>
  <c r="AP360" i="6"/>
  <c r="AP406" i="6"/>
  <c r="AP452" i="6"/>
  <c r="AP1670" i="6"/>
  <c r="AP1716" i="6"/>
  <c r="AP1762" i="6"/>
  <c r="AQ99" i="6"/>
  <c r="BG99" i="6"/>
  <c r="AO1703" i="6"/>
  <c r="AO1749" i="6"/>
  <c r="AO1795" i="6"/>
  <c r="AO1679" i="6"/>
  <c r="AO1771" i="6"/>
  <c r="AO1725" i="6"/>
  <c r="AQ614" i="6"/>
  <c r="BG614" i="6"/>
  <c r="AO1673" i="6"/>
  <c r="AO1719" i="6"/>
  <c r="AO1765" i="6"/>
  <c r="AQ111" i="6"/>
  <c r="BG111" i="6"/>
  <c r="AQ416" i="6"/>
  <c r="AR416" i="6" s="1"/>
  <c r="AQ370" i="6"/>
  <c r="AR370" i="6" s="1"/>
  <c r="AQ462" i="6"/>
  <c r="AR462" i="6" s="1"/>
  <c r="AR131" i="6"/>
  <c r="AQ608" i="6"/>
  <c r="BG608" i="6"/>
  <c r="AP1929" i="6"/>
  <c r="BF1929" i="6"/>
  <c r="AP367" i="6"/>
  <c r="AP413" i="6"/>
  <c r="AP459" i="6"/>
  <c r="AQ114" i="6"/>
  <c r="BG114" i="6"/>
  <c r="AQ1461" i="6"/>
  <c r="BG1461" i="6"/>
  <c r="AP1684" i="6"/>
  <c r="AP1730" i="6"/>
  <c r="AP1776" i="6"/>
  <c r="AQ102" i="6"/>
  <c r="BG102" i="6"/>
  <c r="AO2102" i="6"/>
  <c r="AO2148" i="6"/>
  <c r="AQ1451" i="6"/>
  <c r="BG1451" i="6"/>
  <c r="AP363" i="6"/>
  <c r="AP409" i="6"/>
  <c r="AP455" i="6"/>
  <c r="AP1444" i="6"/>
  <c r="BF1444" i="6"/>
  <c r="AP357" i="6"/>
  <c r="AP403" i="6"/>
  <c r="AP449" i="6"/>
  <c r="AO1056" i="6"/>
  <c r="AO1102" i="6"/>
  <c r="AO1148" i="6"/>
  <c r="AO1240" i="6"/>
  <c r="AO1286" i="6"/>
  <c r="AO1332" i="6"/>
  <c r="AO1675" i="6"/>
  <c r="AO1721" i="6"/>
  <c r="AO1767" i="6"/>
  <c r="AO2096" i="6"/>
  <c r="AO2142" i="6"/>
  <c r="AQ1924" i="6"/>
  <c r="BG1924" i="6"/>
  <c r="AQ373" i="6"/>
  <c r="AR373" i="6" s="1"/>
  <c r="AQ419" i="6"/>
  <c r="AR419" i="6" s="1"/>
  <c r="AQ465" i="6"/>
  <c r="AR465" i="6" s="1"/>
  <c r="AP1706" i="6"/>
  <c r="AP1752" i="6"/>
  <c r="AP1798" i="6"/>
  <c r="AQ101" i="6"/>
  <c r="BG101" i="6"/>
  <c r="AO1687" i="6"/>
  <c r="AO1733" i="6"/>
  <c r="AO1779" i="6"/>
  <c r="AQ1443" i="6"/>
  <c r="BG1443" i="6"/>
  <c r="AO1693" i="6"/>
  <c r="AO1739" i="6"/>
  <c r="AO1785" i="6"/>
  <c r="AP358" i="6"/>
  <c r="AP404" i="6"/>
  <c r="AP450" i="6"/>
  <c r="AP1446" i="6"/>
  <c r="BF1446" i="6"/>
  <c r="AQ624" i="6"/>
  <c r="BG624" i="6"/>
  <c r="AQ113" i="6"/>
  <c r="BG113" i="6"/>
  <c r="AP351" i="6"/>
  <c r="AP397" i="6"/>
  <c r="AP443" i="6"/>
  <c r="AQ122" i="6"/>
  <c r="BG122" i="6"/>
  <c r="AQ2123" i="6"/>
  <c r="AR2123" i="6" s="1"/>
  <c r="AQ2169" i="6"/>
  <c r="AR2169" i="6" s="1"/>
  <c r="AR1930" i="6"/>
  <c r="AP1442" i="6"/>
  <c r="BF1442" i="6"/>
  <c r="AQ108" i="6"/>
  <c r="BG108" i="6"/>
  <c r="AQ1901" i="6"/>
  <c r="BG1901" i="6"/>
  <c r="AP1037" i="6"/>
  <c r="AP1129" i="6"/>
  <c r="AP1083" i="6"/>
  <c r="AP1221" i="6"/>
  <c r="AP1267" i="6"/>
  <c r="AP1313" i="6"/>
  <c r="AQ1441" i="6"/>
  <c r="BG1441" i="6"/>
  <c r="AQ106" i="6"/>
  <c r="BG106" i="6"/>
  <c r="AP1027" i="6"/>
  <c r="AP1073" i="6"/>
  <c r="AP1119" i="6"/>
  <c r="AP1211" i="6"/>
  <c r="AP1257" i="6"/>
  <c r="AP1303" i="6"/>
  <c r="AO2122" i="6"/>
  <c r="AO2168" i="6"/>
  <c r="AQ1459" i="6"/>
  <c r="BG1459" i="6"/>
  <c r="AQ628" i="6"/>
  <c r="BG628" i="6"/>
  <c r="AP621" i="6"/>
  <c r="BF621" i="6"/>
  <c r="AP353" i="6"/>
  <c r="AP399" i="6"/>
  <c r="AP445" i="6"/>
  <c r="AP1746" i="6"/>
  <c r="AP1700" i="6"/>
  <c r="AP1792" i="6"/>
  <c r="AQ1435" i="6"/>
  <c r="BG1435" i="6"/>
  <c r="AQ1447" i="6"/>
  <c r="BG1447" i="6"/>
  <c r="AP341" i="6"/>
  <c r="AP387" i="6"/>
  <c r="AP433" i="6"/>
  <c r="AP1909" i="6"/>
  <c r="BF1909" i="6"/>
  <c r="AP1690" i="6"/>
  <c r="AP1736" i="6"/>
  <c r="AP1782" i="6"/>
  <c r="AO1683" i="6"/>
  <c r="AO1729" i="6"/>
  <c r="AO1775" i="6"/>
  <c r="AP342" i="6"/>
  <c r="AP388" i="6"/>
  <c r="AP434" i="6"/>
  <c r="AO376" i="6"/>
  <c r="AO422" i="6"/>
  <c r="AO468" i="6"/>
  <c r="AP1903" i="6"/>
  <c r="BF1903" i="6"/>
  <c r="AQ1467" i="6"/>
  <c r="BG1467" i="6"/>
  <c r="AR1335" i="6"/>
  <c r="AP1682" i="6"/>
  <c r="AP1728" i="6"/>
  <c r="AP1774" i="6"/>
  <c r="AO2100" i="6"/>
  <c r="AO2146" i="6"/>
  <c r="AP366" i="6"/>
  <c r="AP412" i="6"/>
  <c r="AP458" i="6"/>
  <c r="AQ119" i="6"/>
  <c r="BG119" i="6"/>
  <c r="AO1731" i="6"/>
  <c r="AO1685" i="6"/>
  <c r="AO1777" i="6"/>
  <c r="AP1047" i="6"/>
  <c r="AP1093" i="6"/>
  <c r="AP1139" i="6"/>
  <c r="AP1231" i="6"/>
  <c r="AP1277" i="6"/>
  <c r="AP1323" i="6"/>
  <c r="AP361" i="6"/>
  <c r="AP407" i="6"/>
  <c r="AP453" i="6"/>
  <c r="AP603" i="6"/>
  <c r="BF603" i="6"/>
  <c r="AP1915" i="6"/>
  <c r="BF1915" i="6"/>
  <c r="AQ604" i="6"/>
  <c r="BG604" i="6"/>
  <c r="AO1681" i="6"/>
  <c r="AO1727" i="6"/>
  <c r="AO1773" i="6"/>
  <c r="AQ2110" i="6"/>
  <c r="AR2110" i="6" s="1"/>
  <c r="AQ2156" i="6"/>
  <c r="AR2156" i="6" s="1"/>
  <c r="AR1917" i="6"/>
  <c r="AP347" i="6"/>
  <c r="AP393" i="6"/>
  <c r="AP439" i="6"/>
  <c r="AP2094" i="6"/>
  <c r="AP2140" i="6"/>
  <c r="AP1680" i="6"/>
  <c r="AP1726" i="6"/>
  <c r="AP1772" i="6"/>
  <c r="AQ333" i="6"/>
  <c r="AR333" i="6" s="1"/>
  <c r="AQ379" i="6"/>
  <c r="AR379" i="6" s="1"/>
  <c r="AQ425" i="6"/>
  <c r="AR425" i="6" s="1"/>
  <c r="AR94" i="6"/>
  <c r="AQ109" i="6"/>
  <c r="BG109" i="6"/>
  <c r="AP345" i="6"/>
  <c r="AP391" i="6"/>
  <c r="AP437" i="6"/>
  <c r="AQ1896" i="6"/>
  <c r="BG1896" i="6"/>
  <c r="AP1744" i="6"/>
  <c r="AP1698" i="6"/>
  <c r="AP1790" i="6"/>
  <c r="AP611" i="6"/>
  <c r="BF611" i="6"/>
  <c r="AP1051" i="6"/>
  <c r="AP1143" i="6"/>
  <c r="AP1097" i="6"/>
  <c r="AP1235" i="6"/>
  <c r="AP1281" i="6"/>
  <c r="AP1327" i="6"/>
  <c r="AQ2088" i="6"/>
  <c r="AR2088" i="6" s="1"/>
  <c r="AQ2134" i="6"/>
  <c r="AR2134" i="6" s="1"/>
  <c r="AR1895" i="6"/>
  <c r="AO1044" i="6"/>
  <c r="AO1090" i="6"/>
  <c r="AO1136" i="6"/>
  <c r="AO1228" i="6"/>
  <c r="AO1274" i="6"/>
  <c r="AO1320" i="6"/>
  <c r="AQ100" i="6"/>
  <c r="BG100" i="6"/>
  <c r="AP1674" i="6"/>
  <c r="AP1720" i="6"/>
  <c r="AP1766" i="6"/>
  <c r="AQ2121" i="6"/>
  <c r="AR2121" i="6" s="1"/>
  <c r="AQ2167" i="6"/>
  <c r="AR2167" i="6" s="1"/>
  <c r="AR1928" i="6"/>
  <c r="AP1686" i="6"/>
  <c r="AP1732" i="6"/>
  <c r="AP1778" i="6"/>
  <c r="AQ117" i="6"/>
  <c r="BG117" i="6"/>
  <c r="AP1438" i="6"/>
  <c r="BF1438" i="6"/>
  <c r="AQ103" i="6"/>
  <c r="BG103" i="6"/>
  <c r="BF137" i="6"/>
  <c r="AP137" i="6"/>
  <c r="AQ125" i="6"/>
  <c r="BG125" i="6"/>
  <c r="AP1450" i="6"/>
  <c r="BF1450" i="6"/>
  <c r="AQ2085" i="6"/>
  <c r="AR2085" i="6" s="1"/>
  <c r="AQ2131" i="6"/>
  <c r="AR2131" i="6" s="1"/>
  <c r="AR1892" i="6"/>
  <c r="AP1907" i="6"/>
  <c r="BF1907" i="6"/>
  <c r="AP623" i="6"/>
  <c r="BF623" i="6"/>
  <c r="AQ127" i="6"/>
  <c r="BG127" i="6"/>
  <c r="AQ602" i="6"/>
  <c r="BG602" i="6"/>
  <c r="AQ116" i="6"/>
  <c r="BG116" i="6"/>
  <c r="AQ600" i="6"/>
  <c r="BG600" i="6"/>
  <c r="AP2133" i="6"/>
  <c r="AP2087" i="6"/>
  <c r="AP1925" i="6"/>
  <c r="BF1925" i="6"/>
  <c r="AO1022" i="6"/>
  <c r="AO1068" i="6"/>
  <c r="AO1114" i="6"/>
  <c r="AO1206" i="6"/>
  <c r="AO1252" i="6"/>
  <c r="AO1298" i="6"/>
  <c r="AO2108" i="6"/>
  <c r="AO2154" i="6"/>
  <c r="AP1023" i="6"/>
  <c r="AP1069" i="6"/>
  <c r="AP1115" i="6"/>
  <c r="AP1207" i="6"/>
  <c r="AP1253" i="6"/>
  <c r="AP1299" i="6"/>
  <c r="AQ626" i="6"/>
  <c r="BG626" i="6"/>
  <c r="AQ1449" i="6"/>
  <c r="BG1449" i="6"/>
  <c r="AQ98" i="6"/>
  <c r="BG98" i="6"/>
  <c r="AP637" i="6"/>
  <c r="BF637" i="6"/>
  <c r="AQ1463" i="6"/>
  <c r="BG1463" i="6"/>
  <c r="AQ1107" i="6"/>
  <c r="AR1107" i="6" s="1"/>
  <c r="AQ1061" i="6"/>
  <c r="AR1061" i="6" s="1"/>
  <c r="AQ1153" i="6"/>
  <c r="AR1153" i="6" s="1"/>
  <c r="AQ1245" i="6"/>
  <c r="AR1245" i="6" s="1"/>
  <c r="AQ1291" i="6"/>
  <c r="AR1291" i="6" s="1"/>
  <c r="AR638" i="6"/>
  <c r="AQ1337" i="6"/>
  <c r="AR1337" i="6" s="1"/>
  <c r="AP348" i="6"/>
  <c r="AP394" i="6"/>
  <c r="AP440" i="6"/>
  <c r="AP2089" i="6"/>
  <c r="AP2135" i="6"/>
  <c r="AQ377" i="6"/>
  <c r="AR377" i="6" s="1"/>
  <c r="AQ423" i="6"/>
  <c r="AR423" i="6" s="1"/>
  <c r="AQ469" i="6"/>
  <c r="AR469" i="6" s="1"/>
  <c r="AR138" i="6"/>
  <c r="AO1030" i="6"/>
  <c r="AO1076" i="6"/>
  <c r="AO1122" i="6"/>
  <c r="AO1214" i="6"/>
  <c r="AO1260" i="6"/>
  <c r="AO1306" i="6"/>
  <c r="AP1452" i="6"/>
  <c r="BF1452" i="6"/>
  <c r="AP2113" i="6"/>
  <c r="AP2159" i="6"/>
  <c r="AP339" i="6"/>
  <c r="AP385" i="6"/>
  <c r="AP431" i="6"/>
  <c r="AQ622" i="6"/>
  <c r="BG622" i="6"/>
  <c r="AQ105" i="6"/>
  <c r="BG105" i="6"/>
  <c r="AP2107" i="6"/>
  <c r="AP2153" i="6"/>
  <c r="AP631" i="6"/>
  <c r="BF631" i="6"/>
  <c r="AP356" i="6"/>
  <c r="AP402" i="6"/>
  <c r="AP448" i="6"/>
  <c r="AO1677" i="6"/>
  <c r="AO1723" i="6"/>
  <c r="AO1769" i="6"/>
  <c r="AP364" i="6"/>
  <c r="AP410" i="6"/>
  <c r="AP456" i="6"/>
  <c r="AO1735" i="6"/>
  <c r="AO1689" i="6"/>
  <c r="AO1781" i="6"/>
  <c r="AP1462" i="6"/>
  <c r="BF1462" i="6"/>
  <c r="AO1046" i="6"/>
  <c r="AO1092" i="6"/>
  <c r="AO1138" i="6"/>
  <c r="AO1230" i="6"/>
  <c r="AO1276" i="6"/>
  <c r="AO1322" i="6"/>
  <c r="AP1021" i="6"/>
  <c r="AP1067" i="6"/>
  <c r="AP1113" i="6"/>
  <c r="AP1205" i="6"/>
  <c r="AP1251" i="6"/>
  <c r="AP1297" i="6"/>
  <c r="AQ2086" i="6"/>
  <c r="AR2086" i="6" s="1"/>
  <c r="AQ2132" i="6"/>
  <c r="AR2132" i="6" s="1"/>
  <c r="AR1893" i="6"/>
  <c r="AQ631" i="6" l="1"/>
  <c r="BG631" i="6"/>
  <c r="AQ1925" i="6"/>
  <c r="BG1925" i="6"/>
  <c r="AQ1436" i="6"/>
  <c r="BG1436" i="6"/>
  <c r="AQ637" i="6"/>
  <c r="BG637" i="6"/>
  <c r="AQ1137" i="6"/>
  <c r="AR1137" i="6" s="1"/>
  <c r="AQ1091" i="6"/>
  <c r="AR1091" i="6" s="1"/>
  <c r="AQ1045" i="6"/>
  <c r="AR1045" i="6" s="1"/>
  <c r="AQ1229" i="6"/>
  <c r="AR1229" i="6" s="1"/>
  <c r="AQ1275" i="6"/>
  <c r="AR1275" i="6" s="1"/>
  <c r="AQ1321" i="6"/>
  <c r="AR1321" i="6" s="1"/>
  <c r="AR622" i="6"/>
  <c r="AP1691" i="6"/>
  <c r="AP1737" i="6"/>
  <c r="AP1783" i="6"/>
  <c r="AQ355" i="6"/>
  <c r="AR355" i="6" s="1"/>
  <c r="AQ401" i="6"/>
  <c r="AR401" i="6" s="1"/>
  <c r="AQ447" i="6"/>
  <c r="AR447" i="6" s="1"/>
  <c r="AR116" i="6"/>
  <c r="AP2100" i="6"/>
  <c r="AP2146" i="6"/>
  <c r="AP376" i="6"/>
  <c r="AP422" i="6"/>
  <c r="AP468" i="6"/>
  <c r="AQ2089" i="6"/>
  <c r="AR2089" i="6" s="1"/>
  <c r="AQ2135" i="6"/>
  <c r="AR2135" i="6" s="1"/>
  <c r="AR1896" i="6"/>
  <c r="AP2096" i="6"/>
  <c r="AP2142" i="6"/>
  <c r="AQ1051" i="6"/>
  <c r="AR1051" i="6" s="1"/>
  <c r="AQ1097" i="6"/>
  <c r="AR1097" i="6" s="1"/>
  <c r="AQ1143" i="6"/>
  <c r="AR1143" i="6" s="1"/>
  <c r="AQ1235" i="6"/>
  <c r="AR1235" i="6" s="1"/>
  <c r="AQ1281" i="6"/>
  <c r="AR1281" i="6" s="1"/>
  <c r="AQ1327" i="6"/>
  <c r="AR1327" i="6" s="1"/>
  <c r="AR628" i="6"/>
  <c r="AQ347" i="6"/>
  <c r="AR347" i="6" s="1"/>
  <c r="AQ393" i="6"/>
  <c r="AR393" i="6" s="1"/>
  <c r="AQ439" i="6"/>
  <c r="AR439" i="6" s="1"/>
  <c r="AR108" i="6"/>
  <c r="AP1685" i="6"/>
  <c r="AP1731" i="6"/>
  <c r="AP1777" i="6"/>
  <c r="AQ351" i="6"/>
  <c r="AR351" i="6" s="1"/>
  <c r="AQ397" i="6"/>
  <c r="AR397" i="6" s="1"/>
  <c r="AQ443" i="6"/>
  <c r="AR443" i="6" s="1"/>
  <c r="AR112" i="6"/>
  <c r="AQ1448" i="6"/>
  <c r="BG1448" i="6"/>
  <c r="AQ363" i="6"/>
  <c r="AR363" i="6" s="1"/>
  <c r="AQ409" i="6"/>
  <c r="AR409" i="6" s="1"/>
  <c r="AQ455" i="6"/>
  <c r="AR455" i="6" s="1"/>
  <c r="AR124" i="6"/>
  <c r="AQ1434" i="6"/>
  <c r="BG1434" i="6"/>
  <c r="AQ2080" i="6"/>
  <c r="AR2080" i="6" s="1"/>
  <c r="AQ2126" i="6"/>
  <c r="AR2126" i="6" s="1"/>
  <c r="AR1887" i="6"/>
  <c r="AQ359" i="6"/>
  <c r="AR359" i="6" s="1"/>
  <c r="AQ405" i="6"/>
  <c r="AR405" i="6" s="1"/>
  <c r="AQ451" i="6"/>
  <c r="AR451" i="6" s="1"/>
  <c r="AR120" i="6"/>
  <c r="AP1052" i="6"/>
  <c r="AP1144" i="6"/>
  <c r="AP1098" i="6"/>
  <c r="AP1236" i="6"/>
  <c r="AP1282" i="6"/>
  <c r="AP1328" i="6"/>
  <c r="AP1024" i="6"/>
  <c r="AP1070" i="6"/>
  <c r="AP1116" i="6"/>
  <c r="AP1208" i="6"/>
  <c r="AP1254" i="6"/>
  <c r="AP1300" i="6"/>
  <c r="AQ615" i="6"/>
  <c r="BG615" i="6"/>
  <c r="AP369" i="6"/>
  <c r="AP415" i="6"/>
  <c r="AP461" i="6"/>
  <c r="AP2170" i="6"/>
  <c r="AP2124" i="6"/>
  <c r="AQ2095" i="6"/>
  <c r="AR2095" i="6" s="1"/>
  <c r="AQ2141" i="6"/>
  <c r="AR2141" i="6" s="1"/>
  <c r="AR1902" i="6"/>
  <c r="AQ2107" i="6"/>
  <c r="AR2107" i="6" s="1"/>
  <c r="AQ2153" i="6"/>
  <c r="AR2153" i="6" s="1"/>
  <c r="AR1914" i="6"/>
  <c r="AQ1454" i="6"/>
  <c r="BG1454" i="6"/>
  <c r="AQ1684" i="6"/>
  <c r="AR1684" i="6" s="1"/>
  <c r="AQ1730" i="6"/>
  <c r="AR1730" i="6" s="1"/>
  <c r="AQ1776" i="6"/>
  <c r="AR1776" i="6" s="1"/>
  <c r="AR1445" i="6"/>
  <c r="AP1038" i="6"/>
  <c r="AP1084" i="6"/>
  <c r="AP1130" i="6"/>
  <c r="AP1222" i="6"/>
  <c r="AP1268" i="6"/>
  <c r="AP1314" i="6"/>
  <c r="AP1054" i="6"/>
  <c r="AP1100" i="6"/>
  <c r="AP1146" i="6"/>
  <c r="AP1238" i="6"/>
  <c r="AP1284" i="6"/>
  <c r="AP1330" i="6"/>
  <c r="AP2118" i="6"/>
  <c r="AP2164" i="6"/>
  <c r="AQ1067" i="6"/>
  <c r="AR1067" i="6" s="1"/>
  <c r="AQ1021" i="6"/>
  <c r="AR1021" i="6" s="1"/>
  <c r="AQ1113" i="6"/>
  <c r="AR1113" i="6" s="1"/>
  <c r="AQ1205" i="6"/>
  <c r="AR1205" i="6" s="1"/>
  <c r="AQ1251" i="6"/>
  <c r="AR1251" i="6" s="1"/>
  <c r="AQ1297" i="6"/>
  <c r="AR1297" i="6" s="1"/>
  <c r="AR602" i="6"/>
  <c r="AQ339" i="6"/>
  <c r="AR339" i="6" s="1"/>
  <c r="AQ385" i="6"/>
  <c r="AR385" i="6" s="1"/>
  <c r="AQ431" i="6"/>
  <c r="AR431" i="6" s="1"/>
  <c r="AR100" i="6"/>
  <c r="AQ611" i="6"/>
  <c r="BG611" i="6"/>
  <c r="AQ1915" i="6"/>
  <c r="BG1915" i="6"/>
  <c r="AQ1698" i="6"/>
  <c r="AR1698" i="6" s="1"/>
  <c r="AQ1744" i="6"/>
  <c r="AR1744" i="6" s="1"/>
  <c r="AQ1790" i="6"/>
  <c r="AR1790" i="6" s="1"/>
  <c r="AR1459" i="6"/>
  <c r="AP1681" i="6"/>
  <c r="AP1727" i="6"/>
  <c r="AP1773" i="6"/>
  <c r="AQ338" i="6"/>
  <c r="AR338" i="6" s="1"/>
  <c r="AQ384" i="6"/>
  <c r="AR384" i="6" s="1"/>
  <c r="AQ430" i="6"/>
  <c r="AR430" i="6" s="1"/>
  <c r="AR99" i="6"/>
  <c r="AP1675" i="6"/>
  <c r="AP1721" i="6"/>
  <c r="AP1767" i="6"/>
  <c r="AQ1043" i="6"/>
  <c r="AR1043" i="6" s="1"/>
  <c r="AQ1089" i="6"/>
  <c r="AR1089" i="6" s="1"/>
  <c r="AQ1135" i="6"/>
  <c r="AR1135" i="6" s="1"/>
  <c r="AQ1227" i="6"/>
  <c r="AR1227" i="6" s="1"/>
  <c r="AQ1273" i="6"/>
  <c r="AR1273" i="6" s="1"/>
  <c r="AR620" i="6"/>
  <c r="AQ1319" i="6"/>
  <c r="AR1319" i="6" s="1"/>
  <c r="AQ1927" i="6"/>
  <c r="BG1927" i="6"/>
  <c r="AQ609" i="6"/>
  <c r="BG609" i="6"/>
  <c r="AQ133" i="6"/>
  <c r="BG133" i="6"/>
  <c r="AQ635" i="6"/>
  <c r="BG635" i="6"/>
  <c r="AP1042" i="6"/>
  <c r="AP1088" i="6"/>
  <c r="AP1134" i="6"/>
  <c r="AP1226" i="6"/>
  <c r="AP1272" i="6"/>
  <c r="AP1318" i="6"/>
  <c r="AQ1057" i="6"/>
  <c r="AR1057" i="6" s="1"/>
  <c r="AQ1103" i="6"/>
  <c r="AR1103" i="6" s="1"/>
  <c r="AQ1149" i="6"/>
  <c r="AR1149" i="6" s="1"/>
  <c r="AQ1241" i="6"/>
  <c r="AR1241" i="6" s="1"/>
  <c r="AQ1287" i="6"/>
  <c r="AR1287" i="6" s="1"/>
  <c r="AQ1333" i="6"/>
  <c r="AR1333" i="6" s="1"/>
  <c r="AR634" i="6"/>
  <c r="AP1687" i="6"/>
  <c r="AP1733" i="6"/>
  <c r="AP1779" i="6"/>
  <c r="AQ1081" i="6"/>
  <c r="AR1081" i="6" s="1"/>
  <c r="AQ1035" i="6"/>
  <c r="AR1035" i="6" s="1"/>
  <c r="AQ1127" i="6"/>
  <c r="AR1127" i="6" s="1"/>
  <c r="AQ1219" i="6"/>
  <c r="AR1219" i="6" s="1"/>
  <c r="AQ1265" i="6"/>
  <c r="AR1265" i="6" s="1"/>
  <c r="AQ1311" i="6"/>
  <c r="AR1311" i="6" s="1"/>
  <c r="AR612" i="6"/>
  <c r="AQ1095" i="6"/>
  <c r="AR1095" i="6" s="1"/>
  <c r="AQ1049" i="6"/>
  <c r="AR1049" i="6" s="1"/>
  <c r="AQ1141" i="6"/>
  <c r="AR1141" i="6" s="1"/>
  <c r="AQ1233" i="6"/>
  <c r="AR1233" i="6" s="1"/>
  <c r="AQ1279" i="6"/>
  <c r="AR1279" i="6" s="1"/>
  <c r="AQ1325" i="6"/>
  <c r="AR1325" i="6" s="1"/>
  <c r="AR626" i="6"/>
  <c r="AQ1462" i="6"/>
  <c r="BG1462" i="6"/>
  <c r="AP1060" i="6"/>
  <c r="AP1106" i="6"/>
  <c r="AP1152" i="6"/>
  <c r="AP1244" i="6"/>
  <c r="AP1290" i="6"/>
  <c r="AP1336" i="6"/>
  <c r="AQ342" i="6"/>
  <c r="AR342" i="6" s="1"/>
  <c r="AQ388" i="6"/>
  <c r="AR388" i="6" s="1"/>
  <c r="AQ434" i="6"/>
  <c r="AR434" i="6" s="1"/>
  <c r="AR103" i="6"/>
  <c r="AP1030" i="6"/>
  <c r="AP1076" i="6"/>
  <c r="AP1122" i="6"/>
  <c r="AP1214" i="6"/>
  <c r="AP1260" i="6"/>
  <c r="AP1306" i="6"/>
  <c r="AP2108" i="6"/>
  <c r="AP2154" i="6"/>
  <c r="AQ358" i="6"/>
  <c r="AR358" i="6" s="1"/>
  <c r="AQ404" i="6"/>
  <c r="AR404" i="6" s="1"/>
  <c r="AQ450" i="6"/>
  <c r="AR450" i="6" s="1"/>
  <c r="AR119" i="6"/>
  <c r="AQ1690" i="6"/>
  <c r="AR1690" i="6" s="1"/>
  <c r="AQ1736" i="6"/>
  <c r="AR1736" i="6" s="1"/>
  <c r="AQ1782" i="6"/>
  <c r="AR1782" i="6" s="1"/>
  <c r="AR1451" i="6"/>
  <c r="AQ1929" i="6"/>
  <c r="BG1929" i="6"/>
  <c r="AQ633" i="6"/>
  <c r="BG633" i="6"/>
  <c r="AQ1464" i="6"/>
  <c r="BG1464" i="6"/>
  <c r="AQ1670" i="6"/>
  <c r="AR1670" i="6" s="1"/>
  <c r="AQ1716" i="6"/>
  <c r="AR1716" i="6" s="1"/>
  <c r="AQ1762" i="6"/>
  <c r="AR1762" i="6" s="1"/>
  <c r="AR1431" i="6"/>
  <c r="AP2120" i="6"/>
  <c r="AP2166" i="6"/>
  <c r="AP1028" i="6"/>
  <c r="AP1074" i="6"/>
  <c r="AP1120" i="6"/>
  <c r="AP1212" i="6"/>
  <c r="AP1258" i="6"/>
  <c r="AP1304" i="6"/>
  <c r="AP372" i="6"/>
  <c r="AP418" i="6"/>
  <c r="AP464" i="6"/>
  <c r="AQ368" i="6"/>
  <c r="AR368" i="6" s="1"/>
  <c r="AQ414" i="6"/>
  <c r="AR414" i="6" s="1"/>
  <c r="AQ460" i="6"/>
  <c r="AR460" i="6" s="1"/>
  <c r="AR129" i="6"/>
  <c r="AP1058" i="6"/>
  <c r="AP1104" i="6"/>
  <c r="AP1150" i="6"/>
  <c r="AP1242" i="6"/>
  <c r="AP1288" i="6"/>
  <c r="AP1334" i="6"/>
  <c r="AQ1456" i="6"/>
  <c r="BG1456" i="6"/>
  <c r="AQ617" i="6"/>
  <c r="BG617" i="6"/>
  <c r="AQ371" i="6"/>
  <c r="AR371" i="6" s="1"/>
  <c r="AQ417" i="6"/>
  <c r="AR417" i="6" s="1"/>
  <c r="AQ463" i="6"/>
  <c r="AR463" i="6" s="1"/>
  <c r="AR132" i="6"/>
  <c r="AQ2138" i="6"/>
  <c r="AR2138" i="6" s="1"/>
  <c r="AQ2092" i="6"/>
  <c r="AR2092" i="6" s="1"/>
  <c r="AR1899" i="6"/>
  <c r="AQ627" i="6"/>
  <c r="BG627" i="6"/>
  <c r="AQ1069" i="6"/>
  <c r="AR1069" i="6" s="1"/>
  <c r="AQ1023" i="6"/>
  <c r="AR1023" i="6" s="1"/>
  <c r="AQ1115" i="6"/>
  <c r="AR1115" i="6" s="1"/>
  <c r="AQ1207" i="6"/>
  <c r="AR1207" i="6" s="1"/>
  <c r="AQ1253" i="6"/>
  <c r="AR1253" i="6" s="1"/>
  <c r="AQ1299" i="6"/>
  <c r="AR1299" i="6" s="1"/>
  <c r="AR604" i="6"/>
  <c r="AQ1442" i="6"/>
  <c r="BG1442" i="6"/>
  <c r="AQ1682" i="6"/>
  <c r="AR1682" i="6" s="1"/>
  <c r="AQ1728" i="6"/>
  <c r="AR1728" i="6" s="1"/>
  <c r="AQ1774" i="6"/>
  <c r="AR1774" i="6" s="1"/>
  <c r="AR1443" i="6"/>
  <c r="AQ367" i="6"/>
  <c r="AR367" i="6" s="1"/>
  <c r="AQ413" i="6"/>
  <c r="AR413" i="6" s="1"/>
  <c r="AQ459" i="6"/>
  <c r="AR459" i="6" s="1"/>
  <c r="AR128" i="6"/>
  <c r="AP1673" i="6"/>
  <c r="AP1719" i="6"/>
  <c r="AP1765" i="6"/>
  <c r="AQ346" i="6"/>
  <c r="AR346" i="6" s="1"/>
  <c r="AQ392" i="6"/>
  <c r="AR392" i="6" s="1"/>
  <c r="AQ438" i="6"/>
  <c r="AR438" i="6" s="1"/>
  <c r="AR107" i="6"/>
  <c r="AP1693" i="6"/>
  <c r="AP1739" i="6"/>
  <c r="AP1785" i="6"/>
  <c r="AQ603" i="6"/>
  <c r="BG603" i="6"/>
  <c r="AQ1732" i="6"/>
  <c r="AR1732" i="6" s="1"/>
  <c r="AQ1686" i="6"/>
  <c r="AR1686" i="6" s="1"/>
  <c r="AQ1778" i="6"/>
  <c r="AR1778" i="6" s="1"/>
  <c r="AR1447" i="6"/>
  <c r="AQ345" i="6"/>
  <c r="AR345" i="6" s="1"/>
  <c r="AQ391" i="6"/>
  <c r="AR391" i="6" s="1"/>
  <c r="AQ437" i="6"/>
  <c r="AR437" i="6" s="1"/>
  <c r="AR106" i="6"/>
  <c r="AQ352" i="6"/>
  <c r="AR352" i="6" s="1"/>
  <c r="AQ398" i="6"/>
  <c r="AR398" i="6" s="1"/>
  <c r="AQ444" i="6"/>
  <c r="AR444" i="6" s="1"/>
  <c r="AR113" i="6"/>
  <c r="AQ1700" i="6"/>
  <c r="AR1700" i="6" s="1"/>
  <c r="AQ1746" i="6"/>
  <c r="AR1746" i="6" s="1"/>
  <c r="AQ1792" i="6"/>
  <c r="AR1792" i="6" s="1"/>
  <c r="AR1461" i="6"/>
  <c r="AP2122" i="6"/>
  <c r="AP2168" i="6"/>
  <c r="AQ350" i="6"/>
  <c r="AR350" i="6" s="1"/>
  <c r="AQ396" i="6"/>
  <c r="AR396" i="6" s="1"/>
  <c r="AQ442" i="6"/>
  <c r="AR442" i="6" s="1"/>
  <c r="AR111" i="6"/>
  <c r="AP1056" i="6"/>
  <c r="AP1102" i="6"/>
  <c r="AP1148" i="6"/>
  <c r="AP1240" i="6"/>
  <c r="AP1286" i="6"/>
  <c r="AP1332" i="6"/>
  <c r="AQ1440" i="6"/>
  <c r="BG1440" i="6"/>
  <c r="AP1703" i="6"/>
  <c r="AP1749" i="6"/>
  <c r="AP1795" i="6"/>
  <c r="AQ1017" i="6"/>
  <c r="AR1017" i="6" s="1"/>
  <c r="AQ1063" i="6"/>
  <c r="AR1063" i="6" s="1"/>
  <c r="AQ1109" i="6"/>
  <c r="AR1109" i="6" s="1"/>
  <c r="AQ1201" i="6"/>
  <c r="AR1201" i="6" s="1"/>
  <c r="AQ1247" i="6"/>
  <c r="AR1247" i="6" s="1"/>
  <c r="AQ1293" i="6"/>
  <c r="AR1293" i="6" s="1"/>
  <c r="AR598" i="6"/>
  <c r="AQ1466" i="6"/>
  <c r="BG1466" i="6"/>
  <c r="AQ1921" i="6"/>
  <c r="BG1921" i="6"/>
  <c r="AQ354" i="6"/>
  <c r="AR354" i="6" s="1"/>
  <c r="AQ400" i="6"/>
  <c r="AR400" i="6" s="1"/>
  <c r="AQ446" i="6"/>
  <c r="AR446" i="6" s="1"/>
  <c r="AR115" i="6"/>
  <c r="AQ365" i="6"/>
  <c r="AR365" i="6" s="1"/>
  <c r="AQ411" i="6"/>
  <c r="AR411" i="6" s="1"/>
  <c r="AQ457" i="6"/>
  <c r="AR457" i="6" s="1"/>
  <c r="AR126" i="6"/>
  <c r="AQ1891" i="6"/>
  <c r="BG1891" i="6"/>
  <c r="AQ607" i="6"/>
  <c r="BG607" i="6"/>
  <c r="AQ1053" i="6"/>
  <c r="AR1053" i="6" s="1"/>
  <c r="AQ1099" i="6"/>
  <c r="AR1099" i="6" s="1"/>
  <c r="AQ1145" i="6"/>
  <c r="AR1145" i="6" s="1"/>
  <c r="AQ1237" i="6"/>
  <c r="AR1237" i="6" s="1"/>
  <c r="AQ1283" i="6"/>
  <c r="AR1283" i="6" s="1"/>
  <c r="AQ1329" i="6"/>
  <c r="AR1329" i="6" s="1"/>
  <c r="AR630" i="6"/>
  <c r="AQ1692" i="6"/>
  <c r="AR1692" i="6" s="1"/>
  <c r="AQ1738" i="6"/>
  <c r="AR1738" i="6" s="1"/>
  <c r="AQ1784" i="6"/>
  <c r="AR1784" i="6" s="1"/>
  <c r="AR1453" i="6"/>
  <c r="AP1695" i="6"/>
  <c r="AP1741" i="6"/>
  <c r="AP1787" i="6"/>
  <c r="AP1040" i="6"/>
  <c r="AP1086" i="6"/>
  <c r="AP1132" i="6"/>
  <c r="AP1224" i="6"/>
  <c r="AP1270" i="6"/>
  <c r="AP1316" i="6"/>
  <c r="AQ1900" i="6"/>
  <c r="BG1900" i="6"/>
  <c r="AQ625" i="6"/>
  <c r="BG625" i="6"/>
  <c r="AQ1676" i="6"/>
  <c r="AR1676" i="6" s="1"/>
  <c r="AQ1722" i="6"/>
  <c r="AR1722" i="6" s="1"/>
  <c r="AQ1768" i="6"/>
  <c r="AR1768" i="6" s="1"/>
  <c r="AR1437" i="6"/>
  <c r="AP1050" i="6"/>
  <c r="AP1096" i="6"/>
  <c r="AP1142" i="6"/>
  <c r="AP1234" i="6"/>
  <c r="AP1280" i="6"/>
  <c r="AP1326" i="6"/>
  <c r="AQ349" i="6"/>
  <c r="AR349" i="6" s="1"/>
  <c r="AQ395" i="6"/>
  <c r="AR395" i="6" s="1"/>
  <c r="AR110" i="6"/>
  <c r="AQ441" i="6"/>
  <c r="AR441" i="6" s="1"/>
  <c r="AQ1450" i="6"/>
  <c r="BG1450" i="6"/>
  <c r="AQ337" i="6"/>
  <c r="AR337" i="6" s="1"/>
  <c r="AQ383" i="6"/>
  <c r="AR383" i="6" s="1"/>
  <c r="AR98" i="6"/>
  <c r="AQ429" i="6"/>
  <c r="AR429" i="6" s="1"/>
  <c r="AQ623" i="6"/>
  <c r="BG623" i="6"/>
  <c r="AP1735" i="6"/>
  <c r="AP1689" i="6"/>
  <c r="AP1781" i="6"/>
  <c r="AP1677" i="6"/>
  <c r="AP1723" i="6"/>
  <c r="AP1769" i="6"/>
  <c r="AQ348" i="6"/>
  <c r="AR348" i="6" s="1"/>
  <c r="AQ394" i="6"/>
  <c r="AR394" i="6" s="1"/>
  <c r="AQ440" i="6"/>
  <c r="AR440" i="6" s="1"/>
  <c r="AR109" i="6"/>
  <c r="AP1022" i="6"/>
  <c r="AP1068" i="6"/>
  <c r="AP1114" i="6"/>
  <c r="AP1206" i="6"/>
  <c r="AP1252" i="6"/>
  <c r="AP1298" i="6"/>
  <c r="AQ621" i="6"/>
  <c r="BG621" i="6"/>
  <c r="AQ1444" i="6"/>
  <c r="BG1444" i="6"/>
  <c r="AP1679" i="6"/>
  <c r="AP1771" i="6"/>
  <c r="AP1725" i="6"/>
  <c r="AQ360" i="6"/>
  <c r="AR360" i="6" s="1"/>
  <c r="AQ406" i="6"/>
  <c r="AR406" i="6" s="1"/>
  <c r="AQ452" i="6"/>
  <c r="AR452" i="6" s="1"/>
  <c r="AR121" i="6"/>
  <c r="AQ613" i="6"/>
  <c r="BG613" i="6"/>
  <c r="AP1705" i="6"/>
  <c r="AP1751" i="6"/>
  <c r="AP1797" i="6"/>
  <c r="AP2114" i="6"/>
  <c r="AP2160" i="6"/>
  <c r="AQ1460" i="6"/>
  <c r="BG1460" i="6"/>
  <c r="AP2084" i="6"/>
  <c r="AP2130" i="6"/>
  <c r="AP1026" i="6"/>
  <c r="AP1072" i="6"/>
  <c r="AP1118" i="6"/>
  <c r="AP1210" i="6"/>
  <c r="AP1256" i="6"/>
  <c r="AP1302" i="6"/>
  <c r="AQ1696" i="6"/>
  <c r="AR1696" i="6" s="1"/>
  <c r="AQ1742" i="6"/>
  <c r="AR1742" i="6" s="1"/>
  <c r="AQ1788" i="6"/>
  <c r="AR1788" i="6" s="1"/>
  <c r="AR1457" i="6"/>
  <c r="AQ1025" i="6"/>
  <c r="AR1025" i="6" s="1"/>
  <c r="AQ1071" i="6"/>
  <c r="AR1071" i="6" s="1"/>
  <c r="AQ1117" i="6"/>
  <c r="AR1117" i="6" s="1"/>
  <c r="AQ1209" i="6"/>
  <c r="AR1209" i="6" s="1"/>
  <c r="AQ1255" i="6"/>
  <c r="AR1255" i="6" s="1"/>
  <c r="AQ1301" i="6"/>
  <c r="AR1301" i="6" s="1"/>
  <c r="AR606" i="6"/>
  <c r="AP2093" i="6"/>
  <c r="AP2139" i="6"/>
  <c r="AQ1694" i="6"/>
  <c r="AR1694" i="6" s="1"/>
  <c r="AQ1740" i="6"/>
  <c r="AR1740" i="6" s="1"/>
  <c r="AQ1786" i="6"/>
  <c r="AR1786" i="6" s="1"/>
  <c r="AR1455" i="6"/>
  <c r="AQ1458" i="6"/>
  <c r="BG1458" i="6"/>
  <c r="AP1048" i="6"/>
  <c r="AP1094" i="6"/>
  <c r="AP1140" i="6"/>
  <c r="AP1232" i="6"/>
  <c r="AP1278" i="6"/>
  <c r="AP1324" i="6"/>
  <c r="AQ2087" i="6"/>
  <c r="AR2087" i="6" s="1"/>
  <c r="AQ2133" i="6"/>
  <c r="AR2133" i="6" s="1"/>
  <c r="AR1894" i="6"/>
  <c r="AQ1748" i="6"/>
  <c r="AR1748" i="6" s="1"/>
  <c r="AQ1702" i="6"/>
  <c r="AR1702" i="6" s="1"/>
  <c r="AQ1794" i="6"/>
  <c r="AR1794" i="6" s="1"/>
  <c r="AR1463" i="6"/>
  <c r="AQ137" i="6"/>
  <c r="BG137" i="6"/>
  <c r="AQ619" i="6"/>
  <c r="BG619" i="6"/>
  <c r="AQ344" i="6"/>
  <c r="AR344" i="6" s="1"/>
  <c r="AQ390" i="6"/>
  <c r="AR390" i="6" s="1"/>
  <c r="AQ436" i="6"/>
  <c r="AR436" i="6" s="1"/>
  <c r="AR105" i="6"/>
  <c r="AQ1019" i="6"/>
  <c r="AR1019" i="6" s="1"/>
  <c r="AQ1065" i="6"/>
  <c r="AR1065" i="6" s="1"/>
  <c r="AQ1111" i="6"/>
  <c r="AR1111" i="6" s="1"/>
  <c r="AQ1203" i="6"/>
  <c r="AR1203" i="6" s="1"/>
  <c r="AQ1249" i="6"/>
  <c r="AR1249" i="6" s="1"/>
  <c r="AQ1295" i="6"/>
  <c r="AR1295" i="6" s="1"/>
  <c r="AR600" i="6"/>
  <c r="AP1046" i="6"/>
  <c r="AP1092" i="6"/>
  <c r="AP1138" i="6"/>
  <c r="AP1230" i="6"/>
  <c r="AP1276" i="6"/>
  <c r="AP1322" i="6"/>
  <c r="AQ1706" i="6"/>
  <c r="AR1706" i="6" s="1"/>
  <c r="AQ1752" i="6"/>
  <c r="AR1752" i="6" s="1"/>
  <c r="AQ1798" i="6"/>
  <c r="AR1798" i="6" s="1"/>
  <c r="AR1467" i="6"/>
  <c r="AQ1909" i="6"/>
  <c r="BG1909" i="6"/>
  <c r="AQ1674" i="6"/>
  <c r="AR1674" i="6" s="1"/>
  <c r="AQ1720" i="6"/>
  <c r="AR1720" i="6" s="1"/>
  <c r="AQ1766" i="6"/>
  <c r="AR1766" i="6" s="1"/>
  <c r="AR1435" i="6"/>
  <c r="AP1044" i="6"/>
  <c r="AP1090" i="6"/>
  <c r="AP1136" i="6"/>
  <c r="AP1228" i="6"/>
  <c r="AP1274" i="6"/>
  <c r="AP1320" i="6"/>
  <c r="AQ1680" i="6"/>
  <c r="AR1680" i="6" s="1"/>
  <c r="AQ1726" i="6"/>
  <c r="AR1726" i="6" s="1"/>
  <c r="AQ1772" i="6"/>
  <c r="AR1772" i="6" s="1"/>
  <c r="AR1441" i="6"/>
  <c r="AQ2094" i="6"/>
  <c r="AR2094" i="6" s="1"/>
  <c r="AQ2140" i="6"/>
  <c r="AR2140" i="6" s="1"/>
  <c r="AR1901" i="6"/>
  <c r="AQ1047" i="6"/>
  <c r="AR1047" i="6" s="1"/>
  <c r="AQ1093" i="6"/>
  <c r="AR1093" i="6" s="1"/>
  <c r="AQ1139" i="6"/>
  <c r="AR1139" i="6" s="1"/>
  <c r="AQ1231" i="6"/>
  <c r="AR1231" i="6" s="1"/>
  <c r="AQ1277" i="6"/>
  <c r="AR1277" i="6" s="1"/>
  <c r="AQ1323" i="6"/>
  <c r="AR1323" i="6" s="1"/>
  <c r="AR624" i="6"/>
  <c r="AQ340" i="6"/>
  <c r="AR340" i="6" s="1"/>
  <c r="AQ386" i="6"/>
  <c r="AR386" i="6" s="1"/>
  <c r="AQ432" i="6"/>
  <c r="AR432" i="6" s="1"/>
  <c r="AR101" i="6"/>
  <c r="AQ2117" i="6"/>
  <c r="AR2117" i="6" s="1"/>
  <c r="AQ2163" i="6"/>
  <c r="AR2163" i="6" s="1"/>
  <c r="AR1924" i="6"/>
  <c r="AP1683" i="6"/>
  <c r="AP1729" i="6"/>
  <c r="AP1775" i="6"/>
  <c r="AQ353" i="6"/>
  <c r="AR353" i="6" s="1"/>
  <c r="AQ399" i="6"/>
  <c r="AR399" i="6" s="1"/>
  <c r="AQ445" i="6"/>
  <c r="AR445" i="6" s="1"/>
  <c r="AR114" i="6"/>
  <c r="AQ1027" i="6"/>
  <c r="AR1027" i="6" s="1"/>
  <c r="AQ1073" i="6"/>
  <c r="AR1073" i="6" s="1"/>
  <c r="AQ1119" i="6"/>
  <c r="AR1119" i="6" s="1"/>
  <c r="AQ1211" i="6"/>
  <c r="AR1211" i="6" s="1"/>
  <c r="AQ1257" i="6"/>
  <c r="AR1257" i="6" s="1"/>
  <c r="AQ1303" i="6"/>
  <c r="AR1303" i="6" s="1"/>
  <c r="AR608" i="6"/>
  <c r="AQ357" i="6"/>
  <c r="AR357" i="6" s="1"/>
  <c r="AQ403" i="6"/>
  <c r="AR403" i="6" s="1"/>
  <c r="AR118" i="6"/>
  <c r="AQ449" i="6"/>
  <c r="AR449" i="6" s="1"/>
  <c r="AQ362" i="6"/>
  <c r="AR362" i="6" s="1"/>
  <c r="AQ408" i="6"/>
  <c r="AR408" i="6" s="1"/>
  <c r="AQ454" i="6"/>
  <c r="AR454" i="6" s="1"/>
  <c r="AR123" i="6"/>
  <c r="AP1036" i="6"/>
  <c r="AP1082" i="6"/>
  <c r="AP1128" i="6"/>
  <c r="AP1220" i="6"/>
  <c r="AP1266" i="6"/>
  <c r="AP1312" i="6"/>
  <c r="AQ1905" i="6"/>
  <c r="BG1905" i="6"/>
  <c r="AP1699" i="6"/>
  <c r="AP1745" i="6"/>
  <c r="AP1791" i="6"/>
  <c r="AQ1919" i="6"/>
  <c r="BG1919" i="6"/>
  <c r="AQ95" i="6"/>
  <c r="BG95" i="6"/>
  <c r="AQ2081" i="6"/>
  <c r="AR2081" i="6" s="1"/>
  <c r="AQ2127" i="6"/>
  <c r="AR2127" i="6" s="1"/>
  <c r="AR1888" i="6"/>
  <c r="AP1697" i="6"/>
  <c r="AP1743" i="6"/>
  <c r="AP1789" i="6"/>
  <c r="AQ1678" i="6"/>
  <c r="AR1678" i="6" s="1"/>
  <c r="AQ1724" i="6"/>
  <c r="AR1724" i="6" s="1"/>
  <c r="AQ1770" i="6"/>
  <c r="AR1770" i="6" s="1"/>
  <c r="AR1439" i="6"/>
  <c r="AQ1923" i="6"/>
  <c r="BG1923" i="6"/>
  <c r="AQ1037" i="6"/>
  <c r="AR1037" i="6" s="1"/>
  <c r="AQ1129" i="6"/>
  <c r="AR1129" i="6" s="1"/>
  <c r="AQ1083" i="6"/>
  <c r="AR1083" i="6" s="1"/>
  <c r="AQ1221" i="6"/>
  <c r="AR1221" i="6" s="1"/>
  <c r="AQ1267" i="6"/>
  <c r="AR1267" i="6" s="1"/>
  <c r="AQ1313" i="6"/>
  <c r="AR1313" i="6" s="1"/>
  <c r="AR614" i="6"/>
  <c r="AQ343" i="6"/>
  <c r="AR343" i="6" s="1"/>
  <c r="AQ389" i="6"/>
  <c r="AR389" i="6" s="1"/>
  <c r="AQ435" i="6"/>
  <c r="AR435" i="6" s="1"/>
  <c r="AR104" i="6"/>
  <c r="AP1701" i="6"/>
  <c r="AP1747" i="6"/>
  <c r="AP1793" i="6"/>
  <c r="AQ412" i="6"/>
  <c r="AR412" i="6" s="1"/>
  <c r="AQ366" i="6"/>
  <c r="AR366" i="6" s="1"/>
  <c r="AQ458" i="6"/>
  <c r="AR458" i="6" s="1"/>
  <c r="AR127" i="6"/>
  <c r="AQ1438" i="6"/>
  <c r="BG1438" i="6"/>
  <c r="AQ1452" i="6"/>
  <c r="BG1452" i="6"/>
  <c r="AQ1688" i="6"/>
  <c r="AR1688" i="6" s="1"/>
  <c r="AQ1734" i="6"/>
  <c r="AR1734" i="6" s="1"/>
  <c r="AQ1780" i="6"/>
  <c r="AR1780" i="6" s="1"/>
  <c r="AR1449" i="6"/>
  <c r="AQ1907" i="6"/>
  <c r="BG1907" i="6"/>
  <c r="AQ364" i="6"/>
  <c r="AR364" i="6" s="1"/>
  <c r="AQ410" i="6"/>
  <c r="AR410" i="6" s="1"/>
  <c r="AQ456" i="6"/>
  <c r="AR456" i="6" s="1"/>
  <c r="AR125" i="6"/>
  <c r="AQ356" i="6"/>
  <c r="AR356" i="6" s="1"/>
  <c r="AQ402" i="6"/>
  <c r="AR402" i="6" s="1"/>
  <c r="AQ448" i="6"/>
  <c r="AR448" i="6" s="1"/>
  <c r="AR117" i="6"/>
  <c r="AQ1903" i="6"/>
  <c r="BG1903" i="6"/>
  <c r="AP2102" i="6"/>
  <c r="AP2148" i="6"/>
  <c r="AQ361" i="6"/>
  <c r="AR361" i="6" s="1"/>
  <c r="AQ407" i="6"/>
  <c r="AR407" i="6" s="1"/>
  <c r="AQ453" i="6"/>
  <c r="AR453" i="6" s="1"/>
  <c r="AR122" i="6"/>
  <c r="AQ1446" i="6"/>
  <c r="BG1446" i="6"/>
  <c r="AQ341" i="6"/>
  <c r="AR341" i="6" s="1"/>
  <c r="AQ387" i="6"/>
  <c r="AR387" i="6" s="1"/>
  <c r="AQ433" i="6"/>
  <c r="AR433" i="6" s="1"/>
  <c r="AR102" i="6"/>
  <c r="AQ629" i="6"/>
  <c r="BG629" i="6"/>
  <c r="AQ605" i="6"/>
  <c r="BG605" i="6"/>
  <c r="AP2098" i="6"/>
  <c r="AP2144" i="6"/>
  <c r="AQ1101" i="6"/>
  <c r="AR1101" i="6" s="1"/>
  <c r="AQ1055" i="6"/>
  <c r="AR1055" i="6" s="1"/>
  <c r="AQ1147" i="6"/>
  <c r="AR1147" i="6" s="1"/>
  <c r="AQ1239" i="6"/>
  <c r="AR1239" i="6" s="1"/>
  <c r="AQ1285" i="6"/>
  <c r="AR1285" i="6" s="1"/>
  <c r="AQ1331" i="6"/>
  <c r="AR1331" i="6" s="1"/>
  <c r="AR632" i="6"/>
  <c r="AQ130" i="6"/>
  <c r="BG130" i="6"/>
  <c r="AP2112" i="6"/>
  <c r="AP2158" i="6"/>
  <c r="AQ1704" i="6"/>
  <c r="AR1704" i="6" s="1"/>
  <c r="AQ1750" i="6"/>
  <c r="AR1750" i="6" s="1"/>
  <c r="AQ1796" i="6"/>
  <c r="AR1796" i="6" s="1"/>
  <c r="AR1465" i="6"/>
  <c r="AQ1931" i="6"/>
  <c r="BG1931" i="6"/>
  <c r="AP334" i="6"/>
  <c r="AP380" i="6"/>
  <c r="AP426" i="6"/>
  <c r="AQ1085" i="6"/>
  <c r="AR1085" i="6" s="1"/>
  <c r="AQ1039" i="6"/>
  <c r="AR1039" i="6" s="1"/>
  <c r="AQ1131" i="6"/>
  <c r="AR1131" i="6" s="1"/>
  <c r="AQ1223" i="6"/>
  <c r="AR1223" i="6" s="1"/>
  <c r="AQ1269" i="6"/>
  <c r="AR1269" i="6" s="1"/>
  <c r="AQ1315" i="6"/>
  <c r="AR1315" i="6" s="1"/>
  <c r="AR616" i="6"/>
  <c r="AQ1075" i="6"/>
  <c r="AR1075" i="6" s="1"/>
  <c r="AQ1029" i="6"/>
  <c r="AR1029" i="6" s="1"/>
  <c r="AQ1121" i="6"/>
  <c r="AR1121" i="6" s="1"/>
  <c r="AQ1213" i="6"/>
  <c r="AR1213" i="6" s="1"/>
  <c r="AQ1259" i="6"/>
  <c r="AR1259" i="6" s="1"/>
  <c r="AQ1305" i="6"/>
  <c r="AR1305" i="6" s="1"/>
  <c r="AR610" i="6"/>
  <c r="AQ1087" i="6"/>
  <c r="AR1087" i="6" s="1"/>
  <c r="AQ1041" i="6"/>
  <c r="AR1041" i="6" s="1"/>
  <c r="AQ1133" i="6"/>
  <c r="AR1133" i="6" s="1"/>
  <c r="AQ1225" i="6"/>
  <c r="AR1225" i="6" s="1"/>
  <c r="AQ1271" i="6"/>
  <c r="AR1271" i="6" s="1"/>
  <c r="AR618" i="6"/>
  <c r="AQ1317" i="6"/>
  <c r="AR1317" i="6" s="1"/>
  <c r="AQ2097" i="6"/>
  <c r="AR2097" i="6" s="1"/>
  <c r="AQ2143" i="6"/>
  <c r="AR2143" i="6" s="1"/>
  <c r="AR1904" i="6"/>
  <c r="AQ2113" i="6"/>
  <c r="AR2113" i="6" s="1"/>
  <c r="AQ2159" i="6"/>
  <c r="AR2159" i="6" s="1"/>
  <c r="AR1920" i="6"/>
  <c r="AP2116" i="6"/>
  <c r="AP2162" i="6"/>
  <c r="AQ1024" i="6" l="1"/>
  <c r="AR1024" i="6" s="1"/>
  <c r="AQ1070" i="6"/>
  <c r="AR1070" i="6" s="1"/>
  <c r="AQ1116" i="6"/>
  <c r="AR1116" i="6" s="1"/>
  <c r="AQ1208" i="6"/>
  <c r="AR1208" i="6" s="1"/>
  <c r="AQ1254" i="6"/>
  <c r="AR1254" i="6" s="1"/>
  <c r="AQ1300" i="6"/>
  <c r="AR1300" i="6" s="1"/>
  <c r="AR605" i="6"/>
  <c r="AQ2096" i="6"/>
  <c r="AR2096" i="6" s="1"/>
  <c r="AQ2142" i="6"/>
  <c r="AR2142" i="6" s="1"/>
  <c r="AR1903" i="6"/>
  <c r="AQ1691" i="6"/>
  <c r="AR1691" i="6" s="1"/>
  <c r="AQ1737" i="6"/>
  <c r="AR1737" i="6" s="1"/>
  <c r="AQ1783" i="6"/>
  <c r="AR1783" i="6" s="1"/>
  <c r="AR1452" i="6"/>
  <c r="AQ376" i="6"/>
  <c r="AR376" i="6" s="1"/>
  <c r="AQ422" i="6"/>
  <c r="AR422" i="6" s="1"/>
  <c r="AQ468" i="6"/>
  <c r="AR468" i="6" s="1"/>
  <c r="AR137" i="6"/>
  <c r="AQ2114" i="6"/>
  <c r="AR2114" i="6" s="1"/>
  <c r="AQ2160" i="6"/>
  <c r="AR2160" i="6" s="1"/>
  <c r="AR1921" i="6"/>
  <c r="AQ1681" i="6"/>
  <c r="AR1681" i="6" s="1"/>
  <c r="AQ1727" i="6"/>
  <c r="AR1727" i="6" s="1"/>
  <c r="AQ1773" i="6"/>
  <c r="AR1773" i="6" s="1"/>
  <c r="AR1442" i="6"/>
  <c r="AQ2098" i="6"/>
  <c r="AR2098" i="6" s="1"/>
  <c r="AQ2144" i="6"/>
  <c r="AR2144" i="6" s="1"/>
  <c r="AR1905" i="6"/>
  <c r="AQ1699" i="6"/>
  <c r="AR1699" i="6" s="1"/>
  <c r="AQ1745" i="6"/>
  <c r="AR1745" i="6" s="1"/>
  <c r="AQ1791" i="6"/>
  <c r="AR1791" i="6" s="1"/>
  <c r="AR1460" i="6"/>
  <c r="AQ1683" i="6"/>
  <c r="AR1683" i="6" s="1"/>
  <c r="AQ1729" i="6"/>
  <c r="AR1729" i="6" s="1"/>
  <c r="AQ1775" i="6"/>
  <c r="AR1775" i="6" s="1"/>
  <c r="AR1444" i="6"/>
  <c r="AQ1705" i="6"/>
  <c r="AR1705" i="6" s="1"/>
  <c r="AQ1751" i="6"/>
  <c r="AR1751" i="6" s="1"/>
  <c r="AQ1797" i="6"/>
  <c r="AR1797" i="6" s="1"/>
  <c r="AR1466" i="6"/>
  <c r="AQ1086" i="6"/>
  <c r="AR1086" i="6" s="1"/>
  <c r="AQ1040" i="6"/>
  <c r="AR1040" i="6" s="1"/>
  <c r="AQ1132" i="6"/>
  <c r="AR1132" i="6" s="1"/>
  <c r="AQ1224" i="6"/>
  <c r="AR1224" i="6" s="1"/>
  <c r="AQ1270" i="6"/>
  <c r="AR1270" i="6" s="1"/>
  <c r="AQ1316" i="6"/>
  <c r="AR1316" i="6" s="1"/>
  <c r="AR617" i="6"/>
  <c r="AQ1038" i="6"/>
  <c r="AR1038" i="6" s="1"/>
  <c r="AQ1084" i="6"/>
  <c r="AR1084" i="6" s="1"/>
  <c r="AQ1130" i="6"/>
  <c r="AR1130" i="6" s="1"/>
  <c r="AQ1222" i="6"/>
  <c r="AR1222" i="6" s="1"/>
  <c r="AQ1268" i="6"/>
  <c r="AR1268" i="6" s="1"/>
  <c r="AQ1314" i="6"/>
  <c r="AR1314" i="6" s="1"/>
  <c r="AR615" i="6"/>
  <c r="AQ1144" i="6"/>
  <c r="AR1144" i="6" s="1"/>
  <c r="AQ1098" i="6"/>
  <c r="AR1098" i="6" s="1"/>
  <c r="AQ1052" i="6"/>
  <c r="AR1052" i="6" s="1"/>
  <c r="AQ1236" i="6"/>
  <c r="AR1236" i="6" s="1"/>
  <c r="AQ1282" i="6"/>
  <c r="AR1282" i="6" s="1"/>
  <c r="AQ1328" i="6"/>
  <c r="AR1328" i="6" s="1"/>
  <c r="AR629" i="6"/>
  <c r="AQ2100" i="6"/>
  <c r="AR2100" i="6" s="1"/>
  <c r="AQ2146" i="6"/>
  <c r="AR2146" i="6" s="1"/>
  <c r="AR1907" i="6"/>
  <c r="AQ1677" i="6"/>
  <c r="AR1677" i="6" s="1"/>
  <c r="AQ1723" i="6"/>
  <c r="AR1723" i="6" s="1"/>
  <c r="AQ1769" i="6"/>
  <c r="AR1769" i="6" s="1"/>
  <c r="AR1438" i="6"/>
  <c r="AQ334" i="6"/>
  <c r="AR334" i="6" s="1"/>
  <c r="AQ380" i="6"/>
  <c r="AR380" i="6" s="1"/>
  <c r="AQ426" i="6"/>
  <c r="AR426" i="6" s="1"/>
  <c r="AR95" i="6"/>
  <c r="AQ2122" i="6"/>
  <c r="AR2122" i="6" s="1"/>
  <c r="AQ2168" i="6"/>
  <c r="AR2168" i="6" s="1"/>
  <c r="AR1929" i="6"/>
  <c r="AQ1074" i="6"/>
  <c r="AR1074" i="6" s="1"/>
  <c r="AQ1028" i="6"/>
  <c r="AR1028" i="6" s="1"/>
  <c r="AQ1120" i="6"/>
  <c r="AR1120" i="6" s="1"/>
  <c r="AQ1212" i="6"/>
  <c r="AR1212" i="6" s="1"/>
  <c r="AQ1258" i="6"/>
  <c r="AR1258" i="6" s="1"/>
  <c r="AQ1304" i="6"/>
  <c r="AR1304" i="6" s="1"/>
  <c r="AR609" i="6"/>
  <c r="AQ1675" i="6"/>
  <c r="AR1675" i="6" s="1"/>
  <c r="AQ1721" i="6"/>
  <c r="AR1721" i="6" s="1"/>
  <c r="AQ1767" i="6"/>
  <c r="AR1767" i="6" s="1"/>
  <c r="AR1436" i="6"/>
  <c r="AQ1044" i="6"/>
  <c r="AR1044" i="6" s="1"/>
  <c r="AQ1090" i="6"/>
  <c r="AR1090" i="6" s="1"/>
  <c r="AQ1136" i="6"/>
  <c r="AR1136" i="6" s="1"/>
  <c r="AQ1228" i="6"/>
  <c r="AR1228" i="6" s="1"/>
  <c r="AQ1274" i="6"/>
  <c r="AR1274" i="6" s="1"/>
  <c r="AQ1320" i="6"/>
  <c r="AR1320" i="6" s="1"/>
  <c r="AR621" i="6"/>
  <c r="AQ1735" i="6"/>
  <c r="AR1735" i="6" s="1"/>
  <c r="AQ1689" i="6"/>
  <c r="AR1689" i="6" s="1"/>
  <c r="AQ1781" i="6"/>
  <c r="AR1781" i="6" s="1"/>
  <c r="AR1450" i="6"/>
  <c r="AQ1094" i="6"/>
  <c r="AR1094" i="6" s="1"/>
  <c r="AQ1048" i="6"/>
  <c r="AR1048" i="6" s="1"/>
  <c r="AQ1140" i="6"/>
  <c r="AR1140" i="6" s="1"/>
  <c r="AQ1232" i="6"/>
  <c r="AR1232" i="6" s="1"/>
  <c r="AQ1278" i="6"/>
  <c r="AR1278" i="6" s="1"/>
  <c r="AQ1324" i="6"/>
  <c r="AR1324" i="6" s="1"/>
  <c r="AR625" i="6"/>
  <c r="AQ1026" i="6"/>
  <c r="AR1026" i="6" s="1"/>
  <c r="AQ1072" i="6"/>
  <c r="AR1072" i="6" s="1"/>
  <c r="AQ1118" i="6"/>
  <c r="AR1118" i="6" s="1"/>
  <c r="AQ1210" i="6"/>
  <c r="AR1210" i="6" s="1"/>
  <c r="AQ1256" i="6"/>
  <c r="AR1256" i="6" s="1"/>
  <c r="AQ1302" i="6"/>
  <c r="AR1302" i="6" s="1"/>
  <c r="AR607" i="6"/>
  <c r="AQ1068" i="6"/>
  <c r="AR1068" i="6" s="1"/>
  <c r="AQ1022" i="6"/>
  <c r="AR1022" i="6" s="1"/>
  <c r="AQ1114" i="6"/>
  <c r="AR1114" i="6" s="1"/>
  <c r="AQ1206" i="6"/>
  <c r="AR1206" i="6" s="1"/>
  <c r="AQ1252" i="6"/>
  <c r="AR1252" i="6" s="1"/>
  <c r="AQ1298" i="6"/>
  <c r="AR1298" i="6" s="1"/>
  <c r="AR603" i="6"/>
  <c r="AQ1695" i="6"/>
  <c r="AR1695" i="6" s="1"/>
  <c r="AQ1741" i="6"/>
  <c r="AR1741" i="6" s="1"/>
  <c r="AQ1787" i="6"/>
  <c r="AR1787" i="6" s="1"/>
  <c r="AR1456" i="6"/>
  <c r="AQ2108" i="6"/>
  <c r="AR2108" i="6" s="1"/>
  <c r="AQ2154" i="6"/>
  <c r="AR2154" i="6" s="1"/>
  <c r="AR1915" i="6"/>
  <c r="AQ1050" i="6"/>
  <c r="AR1050" i="6" s="1"/>
  <c r="AQ1096" i="6"/>
  <c r="AR1096" i="6" s="1"/>
  <c r="AQ1142" i="6"/>
  <c r="AR1142" i="6" s="1"/>
  <c r="AQ1234" i="6"/>
  <c r="AR1234" i="6" s="1"/>
  <c r="AQ1280" i="6"/>
  <c r="AR1280" i="6" s="1"/>
  <c r="AQ1326" i="6"/>
  <c r="AR1326" i="6" s="1"/>
  <c r="AR627" i="6"/>
  <c r="AQ2112" i="6"/>
  <c r="AR2112" i="6" s="1"/>
  <c r="AQ2158" i="6"/>
  <c r="AR2158" i="6" s="1"/>
  <c r="AR1919" i="6"/>
  <c r="AQ2120" i="6"/>
  <c r="AR2120" i="6" s="1"/>
  <c r="AQ2166" i="6"/>
  <c r="AR2166" i="6" s="1"/>
  <c r="AR1927" i="6"/>
  <c r="AQ1693" i="6"/>
  <c r="AR1693" i="6" s="1"/>
  <c r="AQ1739" i="6"/>
  <c r="AR1739" i="6" s="1"/>
  <c r="AQ1785" i="6"/>
  <c r="AR1785" i="6" s="1"/>
  <c r="AR1454" i="6"/>
  <c r="AQ1687" i="6"/>
  <c r="AR1687" i="6" s="1"/>
  <c r="AQ1733" i="6"/>
  <c r="AR1733" i="6" s="1"/>
  <c r="AQ1779" i="6"/>
  <c r="AR1779" i="6" s="1"/>
  <c r="AR1448" i="6"/>
  <c r="AQ2118" i="6"/>
  <c r="AR2118" i="6" s="1"/>
  <c r="AQ2164" i="6"/>
  <c r="AR2164" i="6" s="1"/>
  <c r="AR1925" i="6"/>
  <c r="AQ1082" i="6"/>
  <c r="AR1082" i="6" s="1"/>
  <c r="AQ1036" i="6"/>
  <c r="AR1036" i="6" s="1"/>
  <c r="AQ1128" i="6"/>
  <c r="AR1128" i="6" s="1"/>
  <c r="AQ1220" i="6"/>
  <c r="AR1220" i="6" s="1"/>
  <c r="AQ1266" i="6"/>
  <c r="AR1266" i="6" s="1"/>
  <c r="AQ1312" i="6"/>
  <c r="AR1312" i="6" s="1"/>
  <c r="AR613" i="6"/>
  <c r="AQ1088" i="6"/>
  <c r="AR1088" i="6" s="1"/>
  <c r="AQ1134" i="6"/>
  <c r="AR1134" i="6" s="1"/>
  <c r="AQ1042" i="6"/>
  <c r="AR1042" i="6" s="1"/>
  <c r="AQ1226" i="6"/>
  <c r="AR1226" i="6" s="1"/>
  <c r="AQ1272" i="6"/>
  <c r="AR1272" i="6" s="1"/>
  <c r="AQ1318" i="6"/>
  <c r="AR1318" i="6" s="1"/>
  <c r="AR619" i="6"/>
  <c r="AQ1092" i="6"/>
  <c r="AR1092" i="6" s="1"/>
  <c r="AQ1046" i="6"/>
  <c r="AR1046" i="6" s="1"/>
  <c r="AQ1138" i="6"/>
  <c r="AR1138" i="6" s="1"/>
  <c r="AQ1230" i="6"/>
  <c r="AR1230" i="6" s="1"/>
  <c r="AQ1276" i="6"/>
  <c r="AR1276" i="6" s="1"/>
  <c r="AQ1322" i="6"/>
  <c r="AR1322" i="6" s="1"/>
  <c r="AR623" i="6"/>
  <c r="AQ2093" i="6"/>
  <c r="AR2093" i="6" s="1"/>
  <c r="AQ2139" i="6"/>
  <c r="AR2139" i="6" s="1"/>
  <c r="AR1900" i="6"/>
  <c r="AQ2084" i="6"/>
  <c r="AR2084" i="6" s="1"/>
  <c r="AQ2130" i="6"/>
  <c r="AR2130" i="6" s="1"/>
  <c r="AR1891" i="6"/>
  <c r="AQ1679" i="6"/>
  <c r="AR1679" i="6" s="1"/>
  <c r="AQ1771" i="6"/>
  <c r="AR1771" i="6" s="1"/>
  <c r="AQ1725" i="6"/>
  <c r="AR1725" i="6" s="1"/>
  <c r="AR1440" i="6"/>
  <c r="AQ1030" i="6"/>
  <c r="AR1030" i="6" s="1"/>
  <c r="AQ1076" i="6"/>
  <c r="AR1076" i="6" s="1"/>
  <c r="AQ1122" i="6"/>
  <c r="AR1122" i="6" s="1"/>
  <c r="AQ1214" i="6"/>
  <c r="AR1214" i="6" s="1"/>
  <c r="AQ1260" i="6"/>
  <c r="AR1260" i="6" s="1"/>
  <c r="AQ1306" i="6"/>
  <c r="AR1306" i="6" s="1"/>
  <c r="AR611" i="6"/>
  <c r="AQ1731" i="6"/>
  <c r="AR1731" i="6" s="1"/>
  <c r="AQ1685" i="6"/>
  <c r="AR1685" i="6" s="1"/>
  <c r="AQ1777" i="6"/>
  <c r="AR1777" i="6" s="1"/>
  <c r="AR1446" i="6"/>
  <c r="AQ1056" i="6"/>
  <c r="AR1056" i="6" s="1"/>
  <c r="AQ1102" i="6"/>
  <c r="AR1102" i="6" s="1"/>
  <c r="AQ1148" i="6"/>
  <c r="AR1148" i="6" s="1"/>
  <c r="AQ1240" i="6"/>
  <c r="AR1240" i="6" s="1"/>
  <c r="AQ1286" i="6"/>
  <c r="AR1286" i="6" s="1"/>
  <c r="AQ1332" i="6"/>
  <c r="AR1332" i="6" s="1"/>
  <c r="AR633" i="6"/>
  <c r="AQ372" i="6"/>
  <c r="AR372" i="6" s="1"/>
  <c r="AQ418" i="6"/>
  <c r="AR418" i="6" s="1"/>
  <c r="AQ464" i="6"/>
  <c r="AR464" i="6" s="1"/>
  <c r="AR133" i="6"/>
  <c r="AQ1106" i="6"/>
  <c r="AR1106" i="6" s="1"/>
  <c r="AQ1060" i="6"/>
  <c r="AR1060" i="6" s="1"/>
  <c r="AQ1152" i="6"/>
  <c r="AR1152" i="6" s="1"/>
  <c r="AQ1244" i="6"/>
  <c r="AR1244" i="6" s="1"/>
  <c r="AQ1290" i="6"/>
  <c r="AR1290" i="6" s="1"/>
  <c r="AQ1336" i="6"/>
  <c r="AR1336" i="6" s="1"/>
  <c r="AR637" i="6"/>
  <c r="AQ2124" i="6"/>
  <c r="AR2124" i="6" s="1"/>
  <c r="AQ2170" i="6"/>
  <c r="AR2170" i="6" s="1"/>
  <c r="AR1931" i="6"/>
  <c r="AQ369" i="6"/>
  <c r="AR369" i="6" s="1"/>
  <c r="AQ415" i="6"/>
  <c r="AR415" i="6" s="1"/>
  <c r="AQ461" i="6"/>
  <c r="AR461" i="6" s="1"/>
  <c r="AR130" i="6"/>
  <c r="AQ2116" i="6"/>
  <c r="AR2116" i="6" s="1"/>
  <c r="AQ2162" i="6"/>
  <c r="AR2162" i="6" s="1"/>
  <c r="AR1923" i="6"/>
  <c r="AQ2102" i="6"/>
  <c r="AR2102" i="6" s="1"/>
  <c r="AQ2148" i="6"/>
  <c r="AR2148" i="6" s="1"/>
  <c r="AR1909" i="6"/>
  <c r="AQ1743" i="6"/>
  <c r="AR1743" i="6" s="1"/>
  <c r="AQ1697" i="6"/>
  <c r="AR1697" i="6" s="1"/>
  <c r="AQ1789" i="6"/>
  <c r="AR1789" i="6" s="1"/>
  <c r="AR1458" i="6"/>
  <c r="AQ1703" i="6"/>
  <c r="AR1703" i="6" s="1"/>
  <c r="AQ1749" i="6"/>
  <c r="AR1749" i="6" s="1"/>
  <c r="AQ1795" i="6"/>
  <c r="AR1795" i="6" s="1"/>
  <c r="AR1464" i="6"/>
  <c r="AQ1747" i="6"/>
  <c r="AR1747" i="6" s="1"/>
  <c r="AQ1701" i="6"/>
  <c r="AR1701" i="6" s="1"/>
  <c r="AQ1793" i="6"/>
  <c r="AR1793" i="6" s="1"/>
  <c r="AR1462" i="6"/>
  <c r="AQ1058" i="6"/>
  <c r="AR1058" i="6" s="1"/>
  <c r="AQ1104" i="6"/>
  <c r="AR1104" i="6" s="1"/>
  <c r="AQ1150" i="6"/>
  <c r="AR1150" i="6" s="1"/>
  <c r="AQ1242" i="6"/>
  <c r="AR1242" i="6" s="1"/>
  <c r="AQ1288" i="6"/>
  <c r="AR1288" i="6" s="1"/>
  <c r="AQ1334" i="6"/>
  <c r="AR1334" i="6" s="1"/>
  <c r="AR635" i="6"/>
  <c r="AQ1673" i="6"/>
  <c r="AR1673" i="6" s="1"/>
  <c r="AQ1719" i="6"/>
  <c r="AR1719" i="6" s="1"/>
  <c r="AQ1765" i="6"/>
  <c r="AR1765" i="6" s="1"/>
  <c r="AR1434" i="6"/>
  <c r="AQ1100" i="6"/>
  <c r="AR1100" i="6" s="1"/>
  <c r="AQ1054" i="6"/>
  <c r="AR1054" i="6" s="1"/>
  <c r="AQ1146" i="6"/>
  <c r="AR1146" i="6" s="1"/>
  <c r="AQ1238" i="6"/>
  <c r="AR1238" i="6" s="1"/>
  <c r="AQ1284" i="6"/>
  <c r="AR1284" i="6" s="1"/>
  <c r="AR631" i="6"/>
  <c r="AQ1330" i="6"/>
  <c r="AR1330" i="6" s="1"/>
  <c r="R7" i="5" l="1"/>
  <c r="P7" i="4" l="1"/>
  <c r="H83" i="10"/>
  <c r="F83" i="10" s="1"/>
  <c r="P9" i="4"/>
  <c r="H84" i="10" s="1"/>
  <c r="F84" i="10" s="1"/>
  <c r="P10" i="4"/>
  <c r="P11" i="4"/>
  <c r="H86" i="10" s="1"/>
  <c r="F86" i="10" s="1"/>
  <c r="P12" i="4"/>
  <c r="H87" i="10" s="1"/>
  <c r="F87" i="10" s="1"/>
  <c r="P13" i="4"/>
  <c r="P14" i="4"/>
  <c r="P15" i="4"/>
  <c r="P16" i="4"/>
  <c r="P17" i="4"/>
  <c r="H95" i="10" s="1"/>
  <c r="F95" i="10" s="1"/>
  <c r="P18" i="4"/>
  <c r="P19" i="4"/>
  <c r="H96" i="10" s="1"/>
  <c r="F96" i="10" s="1"/>
  <c r="P20" i="4"/>
  <c r="P21" i="4"/>
  <c r="P23" i="4"/>
  <c r="P25" i="4"/>
  <c r="P26" i="4"/>
  <c r="P31" i="4"/>
  <c r="P32" i="4"/>
  <c r="P33" i="4"/>
  <c r="P34" i="4"/>
  <c r="P35" i="4"/>
  <c r="P36" i="4"/>
  <c r="P37" i="4"/>
  <c r="P38" i="4"/>
  <c r="P5" i="4"/>
  <c r="J17" i="11" l="1"/>
  <c r="J15" i="11"/>
  <c r="J16" i="11"/>
  <c r="H20" i="10"/>
  <c r="M20" i="10"/>
  <c r="L20" i="10"/>
  <c r="Q20" i="10"/>
  <c r="K20" i="10"/>
  <c r="F20" i="10"/>
  <c r="G20" i="10"/>
  <c r="I20" i="10"/>
  <c r="J20" i="10"/>
  <c r="N20" i="10"/>
  <c r="P20" i="10"/>
  <c r="O20" i="10"/>
  <c r="R20" i="10"/>
  <c r="K14" i="10"/>
  <c r="M14" i="10"/>
  <c r="F14" i="10"/>
  <c r="L14" i="10"/>
  <c r="J14" i="10"/>
  <c r="N14" i="10"/>
  <c r="I14" i="10"/>
  <c r="P14" i="10"/>
  <c r="O14" i="10"/>
  <c r="Q14" i="10"/>
  <c r="H14" i="10"/>
  <c r="G14" i="10"/>
  <c r="R14" i="10"/>
  <c r="K12" i="10"/>
  <c r="G12" i="10"/>
  <c r="J12" i="10"/>
  <c r="H12" i="10"/>
  <c r="L12" i="10"/>
  <c r="N12" i="10"/>
  <c r="M12" i="10"/>
  <c r="F12" i="10"/>
  <c r="O12" i="10"/>
  <c r="P12" i="10"/>
  <c r="I12" i="10"/>
  <c r="Q12" i="10"/>
  <c r="R12" i="10"/>
  <c r="N8" i="10"/>
  <c r="F8" i="10"/>
  <c r="I8" i="10"/>
  <c r="Q8" i="10"/>
  <c r="M8" i="10"/>
  <c r="K8" i="10"/>
  <c r="O8" i="10"/>
  <c r="L8" i="10"/>
  <c r="J8" i="10"/>
  <c r="P8" i="10"/>
  <c r="H8" i="10"/>
  <c r="G8" i="10"/>
  <c r="R8" i="10"/>
  <c r="Q52" i="10"/>
  <c r="N52" i="10"/>
  <c r="G52" i="10"/>
  <c r="M52" i="10"/>
  <c r="N48" i="10"/>
  <c r="G48" i="10"/>
  <c r="K52" i="10"/>
  <c r="F48" i="10"/>
  <c r="I48" i="10"/>
  <c r="P48" i="10"/>
  <c r="L48" i="10"/>
  <c r="K48" i="10"/>
  <c r="H52" i="10"/>
  <c r="L52" i="10"/>
  <c r="M48" i="10"/>
  <c r="O52" i="10"/>
  <c r="N50" i="10"/>
  <c r="H48" i="10"/>
  <c r="O48" i="10"/>
  <c r="G50" i="10"/>
  <c r="P52" i="10"/>
  <c r="Q48" i="10"/>
  <c r="Q50" i="10"/>
  <c r="F52" i="10"/>
  <c r="I52" i="10"/>
  <c r="J52" i="10"/>
  <c r="I50" i="10"/>
  <c r="F50" i="10"/>
  <c r="P50" i="10"/>
  <c r="J50" i="10"/>
  <c r="O50" i="10"/>
  <c r="R52" i="10"/>
  <c r="H50" i="10"/>
  <c r="K50" i="10"/>
  <c r="J48" i="10"/>
  <c r="L50" i="10"/>
  <c r="M50" i="10"/>
  <c r="R50" i="10"/>
  <c r="R48" i="10"/>
  <c r="H94" i="10"/>
  <c r="F94" i="10" s="1"/>
  <c r="H82" i="10"/>
  <c r="F82" i="10" s="1"/>
  <c r="Q18" i="10"/>
  <c r="O18" i="10"/>
  <c r="K18" i="10"/>
  <c r="J18" i="10"/>
  <c r="H18" i="10"/>
  <c r="M18" i="10"/>
  <c r="G18" i="10"/>
  <c r="I18" i="10"/>
  <c r="F18" i="10"/>
  <c r="L18" i="10"/>
  <c r="P18" i="10"/>
  <c r="N18" i="10"/>
  <c r="R18" i="10"/>
  <c r="H107" i="5"/>
  <c r="F107" i="5" s="1"/>
  <c r="N22" i="5" s="1"/>
  <c r="H89" i="10"/>
  <c r="F89" i="10" s="1"/>
  <c r="G63" i="9"/>
  <c r="E63" i="9" s="1"/>
  <c r="H79" i="10"/>
  <c r="F79" i="10" s="1"/>
  <c r="G53" i="9"/>
  <c r="E53" i="9" s="1"/>
  <c r="H98" i="10"/>
  <c r="F98" i="10" s="1"/>
  <c r="H108" i="5"/>
  <c r="F108" i="5" s="1"/>
  <c r="M31" i="5" s="1"/>
  <c r="H103" i="5"/>
  <c r="F103" i="5" s="1"/>
  <c r="H85" i="10"/>
  <c r="F85" i="10" s="1"/>
  <c r="G59" i="9"/>
  <c r="E59" i="9" s="1"/>
  <c r="H95" i="5"/>
  <c r="F95" i="5" s="1"/>
  <c r="H96" i="5"/>
  <c r="F96" i="5" s="1"/>
  <c r="R55" i="10" l="1"/>
  <c r="N55" i="10"/>
  <c r="O55" i="10"/>
  <c r="K55" i="10"/>
  <c r="H39" i="10"/>
  <c r="M39" i="10"/>
  <c r="P39" i="10"/>
  <c r="K39" i="10"/>
  <c r="N39" i="10"/>
  <c r="J39" i="10"/>
  <c r="Q39" i="10"/>
  <c r="G39" i="10"/>
  <c r="I39" i="10"/>
  <c r="L39" i="10"/>
  <c r="O39" i="10"/>
  <c r="F39" i="10"/>
  <c r="R39" i="10"/>
  <c r="M55" i="10"/>
  <c r="G55" i="10"/>
  <c r="J55" i="10"/>
  <c r="L55" i="10"/>
  <c r="I55" i="10"/>
  <c r="H55" i="10"/>
  <c r="Q55" i="10"/>
  <c r="F55" i="10"/>
  <c r="P55" i="10"/>
  <c r="Q22" i="10"/>
  <c r="O22" i="10"/>
  <c r="M22" i="10"/>
  <c r="R22" i="10"/>
  <c r="I22" i="10"/>
  <c r="G22" i="10"/>
  <c r="N22" i="10"/>
  <c r="H22" i="10"/>
  <c r="P22" i="10"/>
  <c r="F22" i="10"/>
  <c r="K22" i="10"/>
  <c r="J22" i="10"/>
  <c r="L22" i="10"/>
  <c r="Q22" i="5"/>
  <c r="G22" i="5"/>
  <c r="H22" i="5"/>
  <c r="O22" i="5"/>
  <c r="P31" i="5"/>
  <c r="R31" i="5"/>
  <c r="G31" i="5"/>
  <c r="I31" i="5"/>
  <c r="K31" i="5"/>
  <c r="K22" i="5"/>
  <c r="P22" i="5"/>
  <c r="R22" i="5"/>
  <c r="J22" i="5"/>
  <c r="F22" i="5"/>
  <c r="P33" i="10"/>
  <c r="P44" i="10" s="1"/>
  <c r="I33" i="10"/>
  <c r="I44" i="10" s="1"/>
  <c r="M33" i="10"/>
  <c r="M44" i="10" s="1"/>
  <c r="Q33" i="10"/>
  <c r="Q44" i="10" s="1"/>
  <c r="N33" i="10"/>
  <c r="N44" i="10" s="1"/>
  <c r="O33" i="10"/>
  <c r="O44" i="10" s="1"/>
  <c r="J33" i="10"/>
  <c r="J44" i="10" s="1"/>
  <c r="G33" i="10"/>
  <c r="G44" i="10" s="1"/>
  <c r="K33" i="10"/>
  <c r="K44" i="10" s="1"/>
  <c r="F33" i="10"/>
  <c r="F44" i="10" s="1"/>
  <c r="H33" i="10"/>
  <c r="H44" i="10" s="1"/>
  <c r="L33" i="10"/>
  <c r="L44" i="10" s="1"/>
  <c r="R33" i="10"/>
  <c r="R44" i="10" s="1"/>
  <c r="K10" i="10"/>
  <c r="G10" i="10"/>
  <c r="J10" i="10"/>
  <c r="L10" i="10"/>
  <c r="P10" i="10"/>
  <c r="F10" i="10"/>
  <c r="Q10" i="10"/>
  <c r="I10" i="10"/>
  <c r="R10" i="10"/>
  <c r="H10" i="10"/>
  <c r="O10" i="10"/>
  <c r="M10" i="10"/>
  <c r="N10" i="10"/>
  <c r="L31" i="5"/>
  <c r="F31" i="5"/>
  <c r="I22" i="5"/>
  <c r="L22" i="5"/>
  <c r="H31" i="5"/>
  <c r="J31" i="5"/>
  <c r="O31" i="5"/>
  <c r="Q31" i="5"/>
  <c r="M22" i="5"/>
  <c r="N31" i="5"/>
  <c r="J12" i="9"/>
  <c r="Q12" i="9"/>
  <c r="F12" i="9"/>
  <c r="G12" i="9"/>
  <c r="H12" i="9"/>
  <c r="P12" i="9"/>
  <c r="N12" i="9"/>
  <c r="O12" i="9"/>
  <c r="E12" i="9"/>
  <c r="I12" i="9"/>
  <c r="M12" i="9"/>
  <c r="K12" i="9"/>
  <c r="L12" i="9"/>
  <c r="J16" i="9"/>
  <c r="E16" i="9"/>
  <c r="M14" i="9"/>
  <c r="N16" i="9"/>
  <c r="E14" i="9"/>
  <c r="F16" i="9"/>
  <c r="K14" i="9"/>
  <c r="O16" i="9"/>
  <c r="G14" i="9"/>
  <c r="H14" i="9"/>
  <c r="L14" i="9"/>
  <c r="J14" i="9"/>
  <c r="Q14" i="9"/>
  <c r="M16" i="9"/>
  <c r="I14" i="9"/>
  <c r="P14" i="9"/>
  <c r="L16" i="9"/>
  <c r="F14" i="9"/>
  <c r="G16" i="9"/>
  <c r="O14" i="9"/>
  <c r="H16" i="9"/>
  <c r="K16" i="9"/>
  <c r="I16" i="9"/>
  <c r="P16" i="9"/>
  <c r="N14" i="9"/>
  <c r="Q16" i="9"/>
  <c r="K22" i="9"/>
  <c r="M22" i="9"/>
  <c r="E22" i="9"/>
  <c r="H22" i="9"/>
  <c r="F22" i="9"/>
  <c r="J22" i="9"/>
  <c r="L22" i="9"/>
  <c r="G22" i="9"/>
  <c r="P22" i="9"/>
  <c r="Q22" i="9"/>
  <c r="O22" i="9"/>
  <c r="N22" i="9"/>
  <c r="I22" i="9"/>
  <c r="R64" i="5"/>
  <c r="F64" i="5"/>
  <c r="M64" i="5"/>
  <c r="I64" i="5"/>
  <c r="H64" i="5"/>
  <c r="P64" i="5"/>
  <c r="G64" i="5"/>
  <c r="N64" i="5"/>
  <c r="Q64" i="5"/>
  <c r="O64" i="5"/>
  <c r="J64" i="5"/>
  <c r="K64" i="5"/>
  <c r="L64" i="5"/>
  <c r="K33" i="5"/>
  <c r="I57" i="5"/>
  <c r="I46" i="5"/>
  <c r="H55" i="5"/>
  <c r="P46" i="5"/>
  <c r="O44" i="5"/>
  <c r="L44" i="5"/>
  <c r="G55" i="5"/>
  <c r="O46" i="5"/>
  <c r="P57" i="5"/>
  <c r="J66" i="5"/>
  <c r="K57" i="5"/>
  <c r="N66" i="5"/>
  <c r="L46" i="5"/>
  <c r="M46" i="5"/>
  <c r="H46" i="5"/>
  <c r="K66" i="5"/>
  <c r="L55" i="5"/>
  <c r="L66" i="5"/>
  <c r="F55" i="5"/>
  <c r="H44" i="5"/>
  <c r="L68" i="5"/>
  <c r="F57" i="5"/>
  <c r="H66" i="5"/>
  <c r="N46" i="5"/>
  <c r="F68" i="5"/>
  <c r="N68" i="5"/>
  <c r="H68" i="5"/>
  <c r="J68" i="5"/>
  <c r="I68" i="5"/>
  <c r="N55" i="5"/>
  <c r="P44" i="5"/>
  <c r="N57" i="5"/>
  <c r="J44" i="5"/>
  <c r="P66" i="5"/>
  <c r="K55" i="5"/>
  <c r="O66" i="5"/>
  <c r="M66" i="5"/>
  <c r="O55" i="5"/>
  <c r="K46" i="5"/>
  <c r="Q68" i="5"/>
  <c r="L57" i="5"/>
  <c r="G46" i="5"/>
  <c r="H57" i="5"/>
  <c r="M57" i="5"/>
  <c r="O57" i="5"/>
  <c r="Q46" i="5"/>
  <c r="K44" i="5"/>
  <c r="F44" i="5"/>
  <c r="J46" i="5"/>
  <c r="G44" i="5"/>
  <c r="I44" i="5"/>
  <c r="I55" i="5"/>
  <c r="G68" i="5"/>
  <c r="K68" i="5"/>
  <c r="G57" i="5"/>
  <c r="P68" i="5"/>
  <c r="P55" i="5"/>
  <c r="N44" i="5"/>
  <c r="J55" i="5"/>
  <c r="F46" i="5"/>
  <c r="Q44" i="5"/>
  <c r="G66" i="5"/>
  <c r="Q55" i="5"/>
  <c r="O68" i="5"/>
  <c r="I66" i="5"/>
  <c r="M44" i="5"/>
  <c r="Q66" i="5"/>
  <c r="Q57" i="5"/>
  <c r="M55" i="5"/>
  <c r="J57" i="5"/>
  <c r="F66" i="5"/>
  <c r="M68" i="5"/>
  <c r="R66" i="5"/>
  <c r="R68" i="5"/>
  <c r="R44" i="5"/>
  <c r="R46" i="5"/>
  <c r="R55" i="5"/>
  <c r="R57" i="5"/>
  <c r="I35" i="5"/>
  <c r="N35" i="5"/>
  <c r="P35" i="5"/>
  <c r="R35" i="5"/>
  <c r="K35" i="5"/>
  <c r="O35" i="5"/>
  <c r="F35" i="5"/>
  <c r="M35" i="5"/>
  <c r="H35" i="5"/>
  <c r="L35" i="5"/>
  <c r="Q35" i="5"/>
  <c r="J35" i="5"/>
  <c r="G35" i="5"/>
  <c r="J33" i="5"/>
  <c r="Q33" i="5"/>
  <c r="F33" i="5"/>
  <c r="O33" i="5"/>
  <c r="H33" i="5"/>
  <c r="P33" i="5"/>
  <c r="N33" i="5"/>
  <c r="G33" i="5"/>
  <c r="I33" i="5"/>
  <c r="M33" i="5"/>
  <c r="L33" i="5"/>
  <c r="R33" i="5"/>
  <c r="L16" i="5"/>
  <c r="H12" i="5"/>
  <c r="M20" i="5"/>
  <c r="P10" i="5"/>
  <c r="N10" i="5"/>
  <c r="H10" i="5"/>
  <c r="R10" i="5"/>
  <c r="F10" i="5"/>
  <c r="Q10" i="5"/>
  <c r="L10" i="5"/>
  <c r="M10" i="5"/>
  <c r="O10" i="5"/>
  <c r="K10" i="5"/>
  <c r="J10" i="5"/>
  <c r="G10" i="5"/>
  <c r="I10" i="5"/>
  <c r="N14" i="5"/>
  <c r="R12" i="5"/>
  <c r="M12" i="5"/>
  <c r="M8" i="5"/>
  <c r="G8" i="5"/>
  <c r="Q14" i="5"/>
  <c r="I8" i="5"/>
  <c r="J14" i="5"/>
  <c r="G16" i="5"/>
  <c r="H8" i="5"/>
  <c r="P16" i="5"/>
  <c r="M14" i="5"/>
  <c r="J20" i="5"/>
  <c r="R14" i="5"/>
  <c r="J12" i="5"/>
  <c r="O12" i="5"/>
  <c r="K16" i="5"/>
  <c r="G14" i="5"/>
  <c r="Q12" i="5"/>
  <c r="O20" i="5"/>
  <c r="R16" i="5"/>
  <c r="K8" i="5"/>
  <c r="P14" i="5"/>
  <c r="H16" i="5"/>
  <c r="J8" i="5"/>
  <c r="I12" i="5"/>
  <c r="O16" i="5"/>
  <c r="M16" i="5"/>
  <c r="G20" i="5"/>
  <c r="R20" i="5"/>
  <c r="P20" i="5"/>
  <c r="R8" i="5"/>
  <c r="F8" i="5"/>
  <c r="K12" i="5"/>
  <c r="N16" i="5"/>
  <c r="N20" i="5"/>
  <c r="O8" i="5"/>
  <c r="I14" i="5"/>
  <c r="F12" i="5"/>
  <c r="I16" i="5"/>
  <c r="Q20" i="5"/>
  <c r="Q8" i="5"/>
  <c r="K14" i="5"/>
  <c r="G12" i="5"/>
  <c r="J16" i="5"/>
  <c r="L20" i="5"/>
  <c r="H20" i="5"/>
  <c r="L8" i="5"/>
  <c r="P8" i="5"/>
  <c r="F14" i="5"/>
  <c r="L12" i="5"/>
  <c r="P12" i="5"/>
  <c r="Q16" i="5"/>
  <c r="F20" i="5"/>
  <c r="I20" i="5"/>
  <c r="N8" i="5"/>
  <c r="O14" i="5"/>
  <c r="L14" i="5"/>
  <c r="N12" i="5"/>
  <c r="F16" i="5"/>
  <c r="K20" i="5"/>
  <c r="H60" i="5" l="1"/>
  <c r="R27" i="10"/>
  <c r="R59" i="10" s="1"/>
  <c r="Q27" i="10"/>
  <c r="Q59" i="10" s="1"/>
  <c r="O27" i="10"/>
  <c r="O59" i="10" s="1"/>
  <c r="J27" i="10"/>
  <c r="J59" i="10" s="1"/>
  <c r="G27" i="10"/>
  <c r="G59" i="10" s="1"/>
  <c r="P27" i="10"/>
  <c r="P59" i="10" s="1"/>
  <c r="M27" i="10"/>
  <c r="M59" i="10" s="1"/>
  <c r="K27" i="10"/>
  <c r="K59" i="10" s="1"/>
  <c r="F27" i="10"/>
  <c r="F59" i="10" s="1"/>
  <c r="I27" i="10"/>
  <c r="I59" i="10" s="1"/>
  <c r="L27" i="10"/>
  <c r="L59" i="10" s="1"/>
  <c r="N27" i="10"/>
  <c r="N59" i="10" s="1"/>
  <c r="H27" i="10"/>
  <c r="H59" i="10" s="1"/>
  <c r="I33" i="9"/>
  <c r="F33" i="9"/>
  <c r="K33" i="9"/>
  <c r="Q33" i="9"/>
  <c r="J33" i="9"/>
  <c r="M33" i="9"/>
  <c r="G33" i="9"/>
  <c r="L33" i="9"/>
  <c r="N33" i="9"/>
  <c r="H33" i="9"/>
  <c r="O33" i="9"/>
  <c r="E33" i="9"/>
  <c r="P33" i="9"/>
  <c r="G60" i="5"/>
  <c r="L60" i="5"/>
  <c r="K38" i="5"/>
  <c r="R60" i="5"/>
  <c r="Q49" i="5"/>
  <c r="J60" i="5"/>
  <c r="F60" i="5"/>
  <c r="M49" i="5"/>
  <c r="K71" i="5"/>
  <c r="L71" i="5"/>
  <c r="J71" i="5"/>
  <c r="P71" i="5"/>
  <c r="I71" i="5"/>
  <c r="R49" i="5"/>
  <c r="J49" i="5"/>
  <c r="H49" i="5"/>
  <c r="F49" i="5"/>
  <c r="K49" i="5"/>
  <c r="G71" i="5"/>
  <c r="O60" i="5"/>
  <c r="L49" i="5"/>
  <c r="Q60" i="5"/>
  <c r="M60" i="5"/>
  <c r="P49" i="5"/>
  <c r="H71" i="5"/>
  <c r="K60" i="5"/>
  <c r="R71" i="5"/>
  <c r="G49" i="5"/>
  <c r="N71" i="5"/>
  <c r="I49" i="5"/>
  <c r="F71" i="5"/>
  <c r="P60" i="5"/>
  <c r="I60" i="5"/>
  <c r="M71" i="5"/>
  <c r="O71" i="5"/>
  <c r="Q71" i="5"/>
  <c r="N60" i="5"/>
  <c r="N49" i="5"/>
  <c r="O49" i="5"/>
  <c r="F38" i="5"/>
  <c r="M38" i="5"/>
  <c r="O38" i="5"/>
  <c r="G38" i="5"/>
  <c r="J38" i="5"/>
  <c r="R38" i="5"/>
  <c r="Q38" i="5"/>
  <c r="P38" i="5"/>
  <c r="L38" i="5"/>
  <c r="N38" i="5"/>
  <c r="H38" i="5"/>
  <c r="I38" i="5"/>
  <c r="R75" i="5"/>
  <c r="H27" i="5"/>
  <c r="I27" i="5"/>
  <c r="Q27" i="5"/>
  <c r="M27" i="5"/>
  <c r="K27" i="5"/>
  <c r="G27" i="5"/>
  <c r="J27" i="5"/>
  <c r="R27" i="5"/>
  <c r="N27" i="5"/>
  <c r="O27" i="5"/>
  <c r="P27" i="5"/>
  <c r="L27" i="5"/>
  <c r="F27" i="5"/>
  <c r="G75" i="5" l="1"/>
  <c r="F75" i="5"/>
  <c r="L75" i="5"/>
  <c r="H75" i="5"/>
  <c r="J75" i="5"/>
  <c r="K75" i="5"/>
  <c r="P75" i="5"/>
  <c r="M75" i="5"/>
  <c r="O75" i="5"/>
  <c r="N75" i="5"/>
  <c r="I75" i="5"/>
  <c r="Q75" i="5"/>
</calcChain>
</file>

<file path=xl/sharedStrings.xml><?xml version="1.0" encoding="utf-8"?>
<sst xmlns="http://schemas.openxmlformats.org/spreadsheetml/2006/main" count="2182" uniqueCount="799">
  <si>
    <t>Cód. Operação</t>
  </si>
  <si>
    <t>Descr. Operação</t>
  </si>
  <si>
    <t>Tipo Trator</t>
  </si>
  <si>
    <t>U/M</t>
  </si>
  <si>
    <t>Rendimento Validado</t>
  </si>
  <si>
    <t>Pesado</t>
  </si>
  <si>
    <t>há/h</t>
  </si>
  <si>
    <t>Médio</t>
  </si>
  <si>
    <t>Médio/Pesado</t>
  </si>
  <si>
    <t>Medio</t>
  </si>
  <si>
    <t>Leve</t>
  </si>
  <si>
    <t>Caminhão</t>
  </si>
  <si>
    <t>TRAÇÃO / RECOLHIMENTO DE PALHA</t>
  </si>
  <si>
    <t>T8</t>
  </si>
  <si>
    <t>1.01</t>
  </si>
  <si>
    <t>Plantio (Meiose)</t>
  </si>
  <si>
    <t>Manual</t>
  </si>
  <si>
    <t>1.02</t>
  </si>
  <si>
    <t>Plantio (Cantose)</t>
  </si>
  <si>
    <t>1.03</t>
  </si>
  <si>
    <t>Plantio (Convencional) - Equipe</t>
  </si>
  <si>
    <t>há/dia</t>
  </si>
  <si>
    <t>1.04</t>
  </si>
  <si>
    <t>Plantio (MPB)</t>
  </si>
  <si>
    <t>1.05</t>
  </si>
  <si>
    <t>Corte de Muda</t>
  </si>
  <si>
    <t>ton./dia</t>
  </si>
  <si>
    <t>Operação</t>
  </si>
  <si>
    <t>Turnos</t>
  </si>
  <si>
    <t>Horas de atividade dia</t>
  </si>
  <si>
    <t>Disp. Mecânica</t>
  </si>
  <si>
    <t>Troca de Turno</t>
  </si>
  <si>
    <t>Check-list</t>
  </si>
  <si>
    <t>Abast.e/ou lubrificação</t>
  </si>
  <si>
    <t>Refeição</t>
  </si>
  <si>
    <t>Mudança de área</t>
  </si>
  <si>
    <t>Manobra</t>
  </si>
  <si>
    <t>Abast. Insumo</t>
  </si>
  <si>
    <t>Total horas disponivel dia para produção</t>
  </si>
  <si>
    <t>qtd.</t>
  </si>
  <si>
    <t>h</t>
  </si>
  <si>
    <t>%</t>
  </si>
  <si>
    <t>h/dia</t>
  </si>
  <si>
    <t>PREPARO DE SOLO</t>
  </si>
  <si>
    <t>TERRACEAMENTO</t>
  </si>
  <si>
    <t>CURVA EM NÍVEL</t>
  </si>
  <si>
    <t>SISTEMATIZAÇÃO</t>
  </si>
  <si>
    <t>ARAÇÃO</t>
  </si>
  <si>
    <t>GRADAGEM ARADORA</t>
  </si>
  <si>
    <t>GRADAGEM INTERMEDIÁRIA</t>
  </si>
  <si>
    <t>GRADAGEM NIVELADORA</t>
  </si>
  <si>
    <t>SUBSOLAGEM</t>
  </si>
  <si>
    <t>ENLEIRAMENTO DE PALHA</t>
  </si>
  <si>
    <t>APLICAÇÃO DE FOSFATO</t>
  </si>
  <si>
    <t>APLICAÇÃO DE CALCÁRIO</t>
  </si>
  <si>
    <t>APLICAÇÃO DE GESSO</t>
  </si>
  <si>
    <t>APLICAÇÃO DE TORTA DE FILTRO</t>
  </si>
  <si>
    <t>ENFARDAMENTO DE PALHA</t>
  </si>
  <si>
    <t>TRATOS CULTURAIS</t>
  </si>
  <si>
    <t>QUEBRA DE LOMBO</t>
  </si>
  <si>
    <t>CULTIVO (adubação soca)</t>
  </si>
  <si>
    <t>APLICAÇÃO DE HERBICIDA</t>
  </si>
  <si>
    <t>APLICAÇÃO DE INSETICIDA</t>
  </si>
  <si>
    <t>APLIC DE VINHAÇA VIA CAMINHÃO</t>
  </si>
  <si>
    <t>TRAÇÃO MOTOBOMBA (canal)</t>
  </si>
  <si>
    <t>PLANTIO</t>
  </si>
  <si>
    <t>Plantio (Convencional)</t>
  </si>
  <si>
    <t>Corte de Muda (16 ton. p/ há)</t>
  </si>
  <si>
    <t>SULCAÇÃO</t>
  </si>
  <si>
    <t>Colheita</t>
  </si>
  <si>
    <t>xx1</t>
  </si>
  <si>
    <t>Biomassa</t>
  </si>
  <si>
    <t>CD_Operação</t>
  </si>
  <si>
    <t>DE_Operação</t>
  </si>
  <si>
    <t>Deslocamento</t>
  </si>
  <si>
    <t>Mês</t>
  </si>
  <si>
    <t>Nec_Tratores</t>
  </si>
  <si>
    <t>Disp_Tratores</t>
  </si>
  <si>
    <t>Trator Torta</t>
  </si>
  <si>
    <t>Inventário Máquinas</t>
  </si>
  <si>
    <t>Rendimento Operacional</t>
  </si>
  <si>
    <t>ha/máquina/dia</t>
  </si>
  <si>
    <t>Dias Trabalháveis</t>
  </si>
  <si>
    <t>DIMENSIONAMENTO DE MÁQUINAS - TRATOS CULTURAIS - OPERAÇÕES PRÓPRIAS</t>
  </si>
  <si>
    <t>Trator Tratos</t>
  </si>
  <si>
    <t>Total</t>
  </si>
  <si>
    <t>Trator_Herbicida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</si>
  <si>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</si>
  <si>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</si>
  <si>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</si>
  <si>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</si>
  <si>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</si>
  <si>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</si>
  <si>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</si>
  <si>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</si>
  <si>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</si>
  <si>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</si>
  <si>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</si>
  <si>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</si>
  <si>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</si>
  <si>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</si>
  <si>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</si>
  <si>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</si>
  <si>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</si>
  <si>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</si>
  <si>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</si>
  <si>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</si>
  <si>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</si>
  <si>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</si>
  <si>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</si>
  <si>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</si>
  <si>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</si>
  <si>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</si>
  <si>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</si>
  <si>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</si>
  <si>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</si>
  <si>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</si>
  <si>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</si>
  <si>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</si>
  <si>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</si>
  <si>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</si>
  <si>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</si>
  <si>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</si>
  <si>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</si>
  <si>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</si>
  <si>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</si>
  <si>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</si>
  <si>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</si>
  <si>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</si>
  <si>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</si>
  <si>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</si>
  <si>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</si>
  <si>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</si>
  <si>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</si>
  <si>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</si>
  <si>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</si>
  <si>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</si>
  <si>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</si>
  <si>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</si>
  <si>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</si>
  <si>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</si>
  <si>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</si>
  <si>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</si>
  <si>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</si>
  <si>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C58</t>
  </si>
  <si>
    <t>C59</t>
  </si>
  <si>
    <t>C60</t>
  </si>
  <si>
    <t>C61</t>
  </si>
  <si>
    <t>C62</t>
  </si>
  <si>
    <t>C63</t>
  </si>
  <si>
    <t>C64</t>
  </si>
  <si>
    <t>C65</t>
  </si>
  <si>
    <t>C66</t>
  </si>
  <si>
    <t>C67</t>
  </si>
  <si>
    <t>C68</t>
  </si>
  <si>
    <t>C69</t>
  </si>
  <si>
    <t>C70</t>
  </si>
  <si>
    <t>C71</t>
  </si>
  <si>
    <t>C72</t>
  </si>
  <si>
    <t>C73</t>
  </si>
  <si>
    <t>C74</t>
  </si>
  <si>
    <t>C75</t>
  </si>
  <si>
    <t>C76</t>
  </si>
  <si>
    <t>C77</t>
  </si>
  <si>
    <t>C78</t>
  </si>
  <si>
    <t>C79</t>
  </si>
  <si>
    <t>C80</t>
  </si>
  <si>
    <t>C81</t>
  </si>
  <si>
    <t>C82</t>
  </si>
  <si>
    <t>C83</t>
  </si>
  <si>
    <t>C84</t>
  </si>
  <si>
    <t>C85</t>
  </si>
  <si>
    <t>C86</t>
  </si>
  <si>
    <t>C87</t>
  </si>
  <si>
    <t>C88</t>
  </si>
  <si>
    <t>C89</t>
  </si>
  <si>
    <t>C90</t>
  </si>
  <si>
    <t>C91</t>
  </si>
  <si>
    <t>C92</t>
  </si>
  <si>
    <t>C93</t>
  </si>
  <si>
    <t>C94</t>
  </si>
  <si>
    <t>C95</t>
  </si>
  <si>
    <t>C96</t>
  </si>
  <si>
    <t>C97</t>
  </si>
  <si>
    <t>C98</t>
  </si>
  <si>
    <t>C99</t>
  </si>
  <si>
    <t>C100</t>
  </si>
  <si>
    <t xml:space="preserve">DIMENSIONAMENTO DAS PREMISSAS DE PLANTIO E TRATOS SOCA </t>
  </si>
  <si>
    <t>1 - PREPARO DE SOLO</t>
  </si>
  <si>
    <t>1.1 - DIAS EFETIVOS</t>
  </si>
  <si>
    <t>Meses</t>
  </si>
  <si>
    <t>Und</t>
  </si>
  <si>
    <t>Observação</t>
  </si>
  <si>
    <t>Dias Corridos</t>
  </si>
  <si>
    <t>dias</t>
  </si>
  <si>
    <t>Dias Efetivos</t>
  </si>
  <si>
    <t>% Aproveitamento</t>
  </si>
  <si>
    <t>1.2 - PRODUÇÕES</t>
  </si>
  <si>
    <t>Indicador</t>
  </si>
  <si>
    <t>Unid.</t>
  </si>
  <si>
    <t>Preparo de Solo - Expansão</t>
  </si>
  <si>
    <t>Ha</t>
  </si>
  <si>
    <t>Preparo de Solo - Renovação</t>
  </si>
  <si>
    <t>Preparo de Solo - Fornecedor</t>
  </si>
  <si>
    <t>Preparo de Solo - Fornecedor - Subsidio</t>
  </si>
  <si>
    <t>Porcentagem Individual</t>
  </si>
  <si>
    <t>Chave1</t>
  </si>
  <si>
    <t>Chave2</t>
  </si>
  <si>
    <t>Chave3</t>
  </si>
  <si>
    <t>Índice %</t>
  </si>
  <si>
    <t>PREP</t>
  </si>
  <si>
    <t>Preparo de Solo - Renovação - Subsidio</t>
  </si>
  <si>
    <t>Porcentagem Áreas Próprias</t>
  </si>
  <si>
    <t>Porcentagem Geral</t>
  </si>
  <si>
    <t>1.3 - BASE OPERACIONAL</t>
  </si>
  <si>
    <t>OPERAÇÕES</t>
  </si>
  <si>
    <t>OPERAÇÕES TERCEIRIZADAS</t>
  </si>
  <si>
    <t>Unid. Oper.</t>
  </si>
  <si>
    <t>Fluxo</t>
  </si>
  <si>
    <t>Qualificador</t>
  </si>
  <si>
    <t>Diária/Horas/Km</t>
  </si>
  <si>
    <t>Turno</t>
  </si>
  <si>
    <t>Qtde Recursos</t>
  </si>
  <si>
    <t xml:space="preserve">Total </t>
  </si>
  <si>
    <t>Unitário Oper. Terceiros</t>
  </si>
  <si>
    <t>Média</t>
  </si>
  <si>
    <t>CHECK_OPER_TERC</t>
  </si>
  <si>
    <t>PREPSP</t>
  </si>
  <si>
    <t>OPERAÇÕES PRÓPRIAS</t>
  </si>
  <si>
    <t>Recurso</t>
  </si>
  <si>
    <t>Unid. Recurso</t>
  </si>
  <si>
    <t>Unid. Rendim. Recurso</t>
  </si>
  <si>
    <t>Rendimento Recurso</t>
  </si>
  <si>
    <t>Indice Consumo Combustível</t>
  </si>
  <si>
    <t xml:space="preserve">PRÉ PLANTIO INCORPORADO (PPI) </t>
  </si>
  <si>
    <t>HA</t>
  </si>
  <si>
    <t xml:space="preserve">APLICAÇÃO DESSECAÇÃO          </t>
  </si>
  <si>
    <t>50% da área - a partir de dezembro</t>
  </si>
  <si>
    <t xml:space="preserve">APLICAÇÃO MISTA CORREÇÃO SOLO </t>
  </si>
  <si>
    <t>100% da área - a partir de dezembro</t>
  </si>
  <si>
    <t>Mesma área da crotalaria</t>
  </si>
  <si>
    <t>0,5 hora por há</t>
  </si>
  <si>
    <t>Base Histórico Apontamentos</t>
  </si>
  <si>
    <t>Sistematização próprio, 6 há</t>
  </si>
  <si>
    <t>OPERAÇÕES PRÓPRIAS - COMBUSTÍVEL</t>
  </si>
  <si>
    <t>Tipo Recurso</t>
  </si>
  <si>
    <t>Unid. Consumo Comb.</t>
  </si>
  <si>
    <t>Qtde Diesel</t>
  </si>
  <si>
    <t>T</t>
  </si>
  <si>
    <t>1.4 - DISTRIBUIÇÃO OPERAÇÕES TERCEIRIZADAS</t>
  </si>
  <si>
    <t>Chave 1</t>
  </si>
  <si>
    <t>Ccusto</t>
  </si>
  <si>
    <t>PREPARO DE SOLO - EXPANSÃO</t>
  </si>
  <si>
    <t>PREPARO DE SOLO - RENOVAÇÃO</t>
  </si>
  <si>
    <t>PREPARO DE SOLO - FORNECEDOR</t>
  </si>
  <si>
    <t>Check Operações Terceirizadas</t>
  </si>
  <si>
    <t>1.5 - DISTRIBUIÇÃO OPERAÇÕES PRÓPRIAS</t>
  </si>
  <si>
    <t>'</t>
  </si>
  <si>
    <t>Seq_Rec</t>
  </si>
  <si>
    <t>2 - PLANTIO DE CANA</t>
  </si>
  <si>
    <t>2.1 - DIAS EFETIVOS</t>
  </si>
  <si>
    <t>2.2 - PRODUÇÕES</t>
  </si>
  <si>
    <t>Plantio Convencional - Expansão</t>
  </si>
  <si>
    <t>Plantio Convencional - Renovação</t>
  </si>
  <si>
    <t>Plantio Convencional - Fornecedor</t>
  </si>
  <si>
    <t>Plantio Convencional - Fornecedor - Subsidio</t>
  </si>
  <si>
    <t>Plantio Mecanizado - Expansão</t>
  </si>
  <si>
    <t>Plantio Mecanizado - Renovação</t>
  </si>
  <si>
    <t>Plantio Mecanizado - Fornecedor</t>
  </si>
  <si>
    <t>Plantio Mecanizado - Fornecedor - Subsidio</t>
  </si>
  <si>
    <t>Plantio de Viveiro</t>
  </si>
  <si>
    <t>Unid. Oper..</t>
  </si>
  <si>
    <t>Porcentagem Áreas Plantio Convencional</t>
  </si>
  <si>
    <t>Porcentagem Áreas Plantio Mecanizado</t>
  </si>
  <si>
    <t>2.3 - BASE OPERACIONAL</t>
  </si>
  <si>
    <t>PLANCP</t>
  </si>
  <si>
    <t>PLANCF</t>
  </si>
  <si>
    <t>PLANMP</t>
  </si>
  <si>
    <t>2.4 - DISTRIBUIÇÃO OPERAÇÕES TERCEIRIZADAS</t>
  </si>
  <si>
    <t>PLANTIO CONVENCIONAL - EXPANSÃO</t>
  </si>
  <si>
    <t>PLANTIO CONVENCIONAL - RENOVAÇÃO</t>
  </si>
  <si>
    <t>PLANTIO CONVENCIONAL - FORNECEDOR</t>
  </si>
  <si>
    <t>PLANTIO DE VIVEIRO</t>
  </si>
  <si>
    <t>PLANTIO MECANIZADO - EXPANSÃO</t>
  </si>
  <si>
    <t>PLANTIO MECANIZADO - RENOVAÇÃO</t>
  </si>
  <si>
    <t>PLANTIO MECANIZADO - FORNECEDOR</t>
  </si>
  <si>
    <t>2.5 - DISTRIBUIÇÃO OPERAÇÕES PRÓPRIAS</t>
  </si>
  <si>
    <t>3 - TRATOS CANA PLANTA</t>
  </si>
  <si>
    <t>3.1 - DIAS EFETIVOS</t>
  </si>
  <si>
    <t>3.2 - PRODUÇÕES</t>
  </si>
  <si>
    <t>Tratos Cana Planta - Expansão</t>
  </si>
  <si>
    <t>Tratos Cana Planta - Renovação</t>
  </si>
  <si>
    <t>Tratos Cana Planta - Fornecedor</t>
  </si>
  <si>
    <t>Tratos Cana Planta - Fornecedor - Subsidio</t>
  </si>
  <si>
    <t>3.3 - BASE OPERACIONAL</t>
  </si>
  <si>
    <t>TRATCPP</t>
  </si>
  <si>
    <t>FOLIAR</t>
  </si>
  <si>
    <t>40% DA ÁREA QUEBRA LOMBO</t>
  </si>
  <si>
    <t>80% DA ÁREA DE QUEBRA LOMBO</t>
  </si>
  <si>
    <t>TRATCPF</t>
  </si>
  <si>
    <t>3.4 - DISTRIBUIÇÃO OPERAÇÕES TERCEIRIZADAS</t>
  </si>
  <si>
    <t>TRATOS CANA PLANTA - EXPANSÃO</t>
  </si>
  <si>
    <t>TRATOS CANA PLANTA - RENOVAÇÃO</t>
  </si>
  <si>
    <t>TRATOS CANA PLANTA - FORNECEDOR</t>
  </si>
  <si>
    <t>3.5 - DISTRIBUIÇÃO OPERAÇÕES PRÓPRIAS</t>
  </si>
  <si>
    <t>4 - TRATOS CANA SOCA</t>
  </si>
  <si>
    <t>4.1 - DIAS EFETIVOS</t>
  </si>
  <si>
    <t>4.2 - PRODUÇÕES</t>
  </si>
  <si>
    <t>Tratos Cana Soca - Própria</t>
  </si>
  <si>
    <t>Tratos Cana Soca - Fornecedor</t>
  </si>
  <si>
    <t>Tratos Cana Soca - Fornecedor - Subsidio</t>
  </si>
  <si>
    <t>4.3 - BASE OPERACIONAL</t>
  </si>
  <si>
    <t>TRATCSP</t>
  </si>
  <si>
    <t>TRATCSFS</t>
  </si>
  <si>
    <t>20% da área 2ª aplicação de herbicida</t>
  </si>
  <si>
    <t>TRATCSF</t>
  </si>
  <si>
    <t>4.4 - DISTRIBUIÇÃO OPERAÇÕES TERCEIRIZADAS</t>
  </si>
  <si>
    <t>TRATOS CANA SOCA - PRÓPRIA</t>
  </si>
  <si>
    <t>TRATOS CANA SOCA - FORNECEDOR</t>
  </si>
  <si>
    <t>4.5 - DISTRIBUIÇÃO OPERAÇÕES PRÓPRIAS</t>
  </si>
  <si>
    <t>Op</t>
  </si>
  <si>
    <t>Descrição</t>
  </si>
  <si>
    <t xml:space="preserve">Aplicação De Fungicida        </t>
  </si>
  <si>
    <t xml:space="preserve">Gastos De Mecanização         </t>
  </si>
  <si>
    <t xml:space="preserve">Replantio Manual De Cana      </t>
  </si>
  <si>
    <t xml:space="preserve">Auto Deslocamento Maquina     </t>
  </si>
  <si>
    <t xml:space="preserve">Manobra Colhedora             </t>
  </si>
  <si>
    <t xml:space="preserve">Embuchamento Rolo Ou Cesto    </t>
  </si>
  <si>
    <t xml:space="preserve">Manobra Transbordo            </t>
  </si>
  <si>
    <t xml:space="preserve">Deslocamento Carregado        </t>
  </si>
  <si>
    <t xml:space="preserve">Deslocamento Vazio            </t>
  </si>
  <si>
    <t xml:space="preserve">Transbordo Carregando Cana    </t>
  </si>
  <si>
    <t xml:space="preserve">Transbordando Carga           </t>
  </si>
  <si>
    <t xml:space="preserve">Pesagem Balanca               </t>
  </si>
  <si>
    <t xml:space="preserve">Fila Unica De Transbordo      </t>
  </si>
  <si>
    <t xml:space="preserve">Dentro Da Usina               </t>
  </si>
  <si>
    <t xml:space="preserve">Caminhao Fila Balanca         </t>
  </si>
  <si>
    <t xml:space="preserve">Balanca Entrada               </t>
  </si>
  <si>
    <t xml:space="preserve">Transporte Topografia         </t>
  </si>
  <si>
    <t xml:space="preserve">Insumos - Orgânicos           </t>
  </si>
  <si>
    <t xml:space="preserve">Abastecimento Comboio         </t>
  </si>
  <si>
    <t xml:space="preserve">Abastecimento Oficina Volante </t>
  </si>
  <si>
    <t xml:space="preserve">Corte Manual De Cana Crua     </t>
  </si>
  <si>
    <t xml:space="preserve">Corte Manual De Cana Queimada </t>
  </si>
  <si>
    <t xml:space="preserve">Corte Manual De Mudas         </t>
  </si>
  <si>
    <t xml:space="preserve">Distribuição De Cana/Sulco    </t>
  </si>
  <si>
    <t xml:space="preserve">Erradicação De Ervas Daninhas </t>
  </si>
  <si>
    <t xml:space="preserve">Esparramação Manual De Palha  </t>
  </si>
  <si>
    <t xml:space="preserve">Limpeza De Banca              </t>
  </si>
  <si>
    <t xml:space="preserve">Marcação De Cabeceira         </t>
  </si>
  <si>
    <t xml:space="preserve">Medidor De Banca              </t>
  </si>
  <si>
    <t xml:space="preserve">Cobrição Manual De Cana       </t>
  </si>
  <si>
    <t xml:space="preserve">C. Pragas - Broca Da Cana     </t>
  </si>
  <si>
    <t>C. Pragas - Cigarrinha Da Raíz</t>
  </si>
  <si>
    <t xml:space="preserve">C. Pragas - Besouro Da Raíz   </t>
  </si>
  <si>
    <t xml:space="preserve">C. Pragas - Bicudo Da Cana    </t>
  </si>
  <si>
    <t xml:space="preserve">C. Pragas - Cupins E Formigas </t>
  </si>
  <si>
    <t xml:space="preserve">Análise De Solo / Nematóide   </t>
  </si>
  <si>
    <t xml:space="preserve">Topografia                    </t>
  </si>
  <si>
    <t>Locação De Curvas /Carreadores</t>
  </si>
  <si>
    <t xml:space="preserve">Insumos - Herbicidas          </t>
  </si>
  <si>
    <t xml:space="preserve">Insumos - Fertilizantes       </t>
  </si>
  <si>
    <t xml:space="preserve">Insumos - Corretivos De Solo  </t>
  </si>
  <si>
    <t xml:space="preserve">Insumos - Biológicos          </t>
  </si>
  <si>
    <t xml:space="preserve">Terraceamento                 </t>
  </si>
  <si>
    <t xml:space="preserve">Terraplanagem                 </t>
  </si>
  <si>
    <t xml:space="preserve">Conservação De Estradas       </t>
  </si>
  <si>
    <t xml:space="preserve">Curva Em Nível                </t>
  </si>
  <si>
    <t xml:space="preserve">Sistematização                </t>
  </si>
  <si>
    <t xml:space="preserve">Arranquio De Citrus Densidade </t>
  </si>
  <si>
    <t xml:space="preserve">Arranquio De Citrus Cleópatra </t>
  </si>
  <si>
    <t xml:space="preserve">Arranquio De Citrumelo        </t>
  </si>
  <si>
    <t xml:space="preserve">Queima De Citrus              </t>
  </si>
  <si>
    <t xml:space="preserve">Aração                        </t>
  </si>
  <si>
    <t xml:space="preserve">Aração Com Defensivos         </t>
  </si>
  <si>
    <t xml:space="preserve">Gradagem Aradora              </t>
  </si>
  <si>
    <t xml:space="preserve">Gradagem Intermediária        </t>
  </si>
  <si>
    <t xml:space="preserve">Gradagem Niveladora           </t>
  </si>
  <si>
    <t xml:space="preserve">Subsolagem                    </t>
  </si>
  <si>
    <t xml:space="preserve">Sulcação                      </t>
  </si>
  <si>
    <t xml:space="preserve">Quebra De Lombo               </t>
  </si>
  <si>
    <t xml:space="preserve">Cultivo                       </t>
  </si>
  <si>
    <t xml:space="preserve">Cobrição De Cana              </t>
  </si>
  <si>
    <t xml:space="preserve">Arranquio De Toco / Diversos  </t>
  </si>
  <si>
    <t xml:space="preserve">Aplicação De Fosfato          </t>
  </si>
  <si>
    <t xml:space="preserve">Adubação Aérea                </t>
  </si>
  <si>
    <t xml:space="preserve">Aplicação De Calcário         </t>
  </si>
  <si>
    <t xml:space="preserve">Aplicação De Gesso            </t>
  </si>
  <si>
    <t xml:space="preserve">Aplicação Fertilizante Foliar </t>
  </si>
  <si>
    <t xml:space="preserve">1ª Aplicação De Herbicida     </t>
  </si>
  <si>
    <t xml:space="preserve">Aplicação De Inseticida       </t>
  </si>
  <si>
    <t xml:space="preserve">Aplicação De Torta De Filtro  </t>
  </si>
  <si>
    <t xml:space="preserve">Aplicação De Compostagem      </t>
  </si>
  <si>
    <t xml:space="preserve">Aplic De Vinhaça Via Caminhão </t>
  </si>
  <si>
    <t>Aplicação De Vinhaça Via Canal</t>
  </si>
  <si>
    <t xml:space="preserve">Abertura De Valeta / Canal    </t>
  </si>
  <si>
    <t xml:space="preserve">Manutenção Rede De Vinhaça    </t>
  </si>
  <si>
    <t xml:space="preserve">Compostagem                   </t>
  </si>
  <si>
    <t xml:space="preserve">Lenheiro                      </t>
  </si>
  <si>
    <t xml:space="preserve">Roçadeira                     </t>
  </si>
  <si>
    <t xml:space="preserve">Rolo Compactador              </t>
  </si>
  <si>
    <t xml:space="preserve">Corte Mecanizado De Mudas     </t>
  </si>
  <si>
    <t xml:space="preserve">Plantio Mecanizado            </t>
  </si>
  <si>
    <t xml:space="preserve">Banqueta Mecânica             </t>
  </si>
  <si>
    <t xml:space="preserve">Plantio De Cereais            </t>
  </si>
  <si>
    <t xml:space="preserve">Serviços Curral               </t>
  </si>
  <si>
    <t xml:space="preserve">Tração                        </t>
  </si>
  <si>
    <t xml:space="preserve">Tração Motobomba              </t>
  </si>
  <si>
    <t xml:space="preserve">Tração Para Terceiros         </t>
  </si>
  <si>
    <t>Carreg. Cana / Carga E Descarg</t>
  </si>
  <si>
    <t xml:space="preserve">Carreg. Bag / Diversos        </t>
  </si>
  <si>
    <t>(Pá) Aterro De Estradas-Outros</t>
  </si>
  <si>
    <t xml:space="preserve">Esparramação De Cinzas        </t>
  </si>
  <si>
    <t xml:space="preserve">Aceiro Tratorizado            </t>
  </si>
  <si>
    <t xml:space="preserve">(Pá) Bagaço De Cana - Usina   </t>
  </si>
  <si>
    <t xml:space="preserve">Perfurador De Solo            </t>
  </si>
  <si>
    <t xml:space="preserve">Enfardamento De Palha         </t>
  </si>
  <si>
    <t>Prest. Serviço Usina / Máquina</t>
  </si>
  <si>
    <t xml:space="preserve">Bombeiro                      </t>
  </si>
  <si>
    <t xml:space="preserve">Cam. Molhando Estradas        </t>
  </si>
  <si>
    <t xml:space="preserve">Transp. De Água Potável       </t>
  </si>
  <si>
    <t xml:space="preserve">Transp Água Herb / Inseticida </t>
  </si>
  <si>
    <t xml:space="preserve">Transporte De Vinhaça         </t>
  </si>
  <si>
    <t xml:space="preserve">Transp De Cana Carregado      </t>
  </si>
  <si>
    <t xml:space="preserve">Transporte De Cana            </t>
  </si>
  <si>
    <t xml:space="preserve">Tração Transbordo             </t>
  </si>
  <si>
    <t xml:space="preserve">Munck                         </t>
  </si>
  <si>
    <t xml:space="preserve">Munck Para Terceiros          </t>
  </si>
  <si>
    <t xml:space="preserve">Prancha                       </t>
  </si>
  <si>
    <t>Prest. Serviço Usina /Caminhão</t>
  </si>
  <si>
    <t xml:space="preserve">Basculante Terceiros          </t>
  </si>
  <si>
    <t xml:space="preserve">Transp. De Fertilizantes      </t>
  </si>
  <si>
    <t xml:space="preserve">Transp. De Terra / Cascalho   </t>
  </si>
  <si>
    <t>Transporte De Gesso / Calcário</t>
  </si>
  <si>
    <t xml:space="preserve">Transp. Bagaço De Cana        </t>
  </si>
  <si>
    <t xml:space="preserve">Transp. De Cereais            </t>
  </si>
  <si>
    <t xml:space="preserve">Transp. De Mudas              </t>
  </si>
  <si>
    <t>Transp Mudas / Reflorestamento</t>
  </si>
  <si>
    <t xml:space="preserve">Transporte Coletivo           </t>
  </si>
  <si>
    <t xml:space="preserve">Serviços Gerais De Transporte </t>
  </si>
  <si>
    <t xml:space="preserve">Transporte Lixo               </t>
  </si>
  <si>
    <t xml:space="preserve">Corte Mecanizado De Cana Crua </t>
  </si>
  <si>
    <t xml:space="preserve">Corte Mecanizado Cana Crua    </t>
  </si>
  <si>
    <t xml:space="preserve">Tração Transbordo - Terceiros </t>
  </si>
  <si>
    <t xml:space="preserve">Abastecimento                 </t>
  </si>
  <si>
    <t xml:space="preserve">Peças (Requisição)            </t>
  </si>
  <si>
    <t xml:space="preserve">Lubrificantes (Requisição)    </t>
  </si>
  <si>
    <t xml:space="preserve">Mão De Obra Mecânica          </t>
  </si>
  <si>
    <t xml:space="preserve">Insumos - Maturadores         </t>
  </si>
  <si>
    <t xml:space="preserve">Transp De Cana Vazio          </t>
  </si>
  <si>
    <t xml:space="preserve">Tracao Transbordo             </t>
  </si>
  <si>
    <t xml:space="preserve">Catação Manual De Cana Muda   </t>
  </si>
  <si>
    <t xml:space="preserve">Distrib. De Cana Convencional </t>
  </si>
  <si>
    <t xml:space="preserve">Distrib. De Cana Diferenciado </t>
  </si>
  <si>
    <t xml:space="preserve">Distrib. De Cana 3 Plantas    </t>
  </si>
  <si>
    <t xml:space="preserve">Aceiro Manual 3-4 Cortes      </t>
  </si>
  <si>
    <t xml:space="preserve">Aceiro Manual 5-Maior Cortes  </t>
  </si>
  <si>
    <t xml:space="preserve">Suporte Com Pá Carregadeira   </t>
  </si>
  <si>
    <t xml:space="preserve">Mudanca De Area Rodando       </t>
  </si>
  <si>
    <t xml:space="preserve">Gastos Plantio Mão De Obra 1  </t>
  </si>
  <si>
    <t xml:space="preserve">Oficina Movel                 </t>
  </si>
  <si>
    <t xml:space="preserve">Descarregamento Vinhaça       </t>
  </si>
  <si>
    <t xml:space="preserve">Carregando Vinhaça            </t>
  </si>
  <si>
    <t xml:space="preserve">Carpa Manual                  </t>
  </si>
  <si>
    <t xml:space="preserve">Arranquio De Citrus           </t>
  </si>
  <si>
    <t>(Pá) Carregamento Terra-Outros</t>
  </si>
  <si>
    <t xml:space="preserve">Churumeira                    </t>
  </si>
  <si>
    <t xml:space="preserve">Aplicação Avião Maturador     </t>
  </si>
  <si>
    <t xml:space="preserve">Transp Equipe Contr Costal    </t>
  </si>
  <si>
    <t xml:space="preserve">2ª Aplicação De Herbicida     </t>
  </si>
  <si>
    <t xml:space="preserve">Repasse Aplicação Herbicida   </t>
  </si>
  <si>
    <t xml:space="preserve">Bonus No Plantio              </t>
  </si>
  <si>
    <t xml:space="preserve">Aplicação Drone Maturador     </t>
  </si>
  <si>
    <t xml:space="preserve">Veiculos Leves                </t>
  </si>
  <si>
    <t xml:space="preserve">Diaria Transp Muda (Mes) Ter  </t>
  </si>
  <si>
    <t>Aplic. Herb Man - Cat. Quimíca</t>
  </si>
  <si>
    <t xml:space="preserve">Aplicação Mista               </t>
  </si>
  <si>
    <t xml:space="preserve">Cana De Açúcar (Mp)           </t>
  </si>
  <si>
    <t xml:space="preserve">Aplicação Inseticida Sph      </t>
  </si>
  <si>
    <t>Carregamento Caminhão De Terra</t>
  </si>
  <si>
    <t xml:space="preserve">Carregamento Torta            </t>
  </si>
  <si>
    <t xml:space="preserve">Carregamento Insumos          </t>
  </si>
  <si>
    <t xml:space="preserve">Limpeza De Área               </t>
  </si>
  <si>
    <t xml:space="preserve">Limpeza De Indústria          </t>
  </si>
  <si>
    <t xml:space="preserve">Apoio Safra                   </t>
  </si>
  <si>
    <t xml:space="preserve">Amontoando Torta              </t>
  </si>
  <si>
    <t xml:space="preserve">Subsolagem Preço Variavel     </t>
  </si>
  <si>
    <t xml:space="preserve">Irrigação De Meiose Tanque    </t>
  </si>
  <si>
    <t>Pagamento De Gradagem Aradoura</t>
  </si>
  <si>
    <t xml:space="preserve">Pagamento Aplicação De Torta  </t>
  </si>
  <si>
    <t xml:space="preserve">Transp. Fardos De Palha       </t>
  </si>
  <si>
    <t xml:space="preserve">Subsolagem Com Defensivos     </t>
  </si>
  <si>
    <t xml:space="preserve">Silagem                       </t>
  </si>
  <si>
    <t xml:space="preserve">Insumos - Fungicidas          </t>
  </si>
  <si>
    <t xml:space="preserve">Enleiramento De Palha         </t>
  </si>
  <si>
    <t xml:space="preserve">Aceiro Manual 1-2 Cortes      </t>
  </si>
  <si>
    <t xml:space="preserve">Servicos Diversos             </t>
  </si>
  <si>
    <t xml:space="preserve">Abertura Manual De Aceiro     </t>
  </si>
  <si>
    <t xml:space="preserve">Insumos - Inseticidas         </t>
  </si>
  <si>
    <t xml:space="preserve">Destruição De Soqueira / Sph  </t>
  </si>
  <si>
    <t>Tração / Recolhimento De Palha</t>
  </si>
  <si>
    <t xml:space="preserve">Prancha Para Terceiros        </t>
  </si>
  <si>
    <t xml:space="preserve">Operação Industrial           </t>
  </si>
  <si>
    <t>Corte Manual De Mudas Terceiro</t>
  </si>
  <si>
    <t xml:space="preserve">Picação De Cana No Sulco Terc </t>
  </si>
  <si>
    <t xml:space="preserve">Distrib. De Cana Terceiro     </t>
  </si>
  <si>
    <t xml:space="preserve">Cobrição Manual De Cana Terc  </t>
  </si>
  <si>
    <t xml:space="preserve">Replantio Manual De Cana Terc </t>
  </si>
  <si>
    <t xml:space="preserve">Aplicação Drone Catação       </t>
  </si>
  <si>
    <t xml:space="preserve">Corte Mec Cana Quei           </t>
  </si>
  <si>
    <t>Diaria Transp Muda (Mensal)Ter</t>
  </si>
  <si>
    <t>Diaria Quinho C/Operador (Mes)</t>
  </si>
  <si>
    <t>Diaria Cam Molhando Estr (Mes)</t>
  </si>
  <si>
    <t>Diárias Basculanete Terc (Mes)</t>
  </si>
  <si>
    <t xml:space="preserve">Pagamento Corte De Soqueira   </t>
  </si>
  <si>
    <t>Equipamentos Sede Curral/Horta</t>
  </si>
  <si>
    <t xml:space="preserve">Pagamento De Cobrição De Cana </t>
  </si>
  <si>
    <t>Diaria Transp Muda (Quinz) Ter</t>
  </si>
  <si>
    <t xml:space="preserve">Aplicação Drone Inseticida    </t>
  </si>
  <si>
    <t xml:space="preserve">Irrigação Com Agua            </t>
  </si>
  <si>
    <t xml:space="preserve">Enxada Rotativa               </t>
  </si>
  <si>
    <t xml:space="preserve">Colheita De Cereais           </t>
  </si>
  <si>
    <t xml:space="preserve">Manobra                       </t>
  </si>
  <si>
    <t xml:space="preserve">Gastos Plantio Mão De Obra 2  </t>
  </si>
  <si>
    <t xml:space="preserve">Gastos Plantio Mecanização 1  </t>
  </si>
  <si>
    <t xml:space="preserve">Gastos Plantio Mecanização 2  </t>
  </si>
  <si>
    <t xml:space="preserve">Aplic. Herbicida - Herbiciclo </t>
  </si>
  <si>
    <t xml:space="preserve">Aplic. Fertilizante Líquido   </t>
  </si>
  <si>
    <t xml:space="preserve">Eletroímã                     </t>
  </si>
  <si>
    <t xml:space="preserve">Eletro Ima                    </t>
  </si>
  <si>
    <t xml:space="preserve">Tombamento De Cana Manual     </t>
  </si>
  <si>
    <t xml:space="preserve">Aplicação Avião Insumos       </t>
  </si>
  <si>
    <t xml:space="preserve">Abastecimento Aeronaves       </t>
  </si>
  <si>
    <t xml:space="preserve">Tratos Culturais Terceirizado </t>
  </si>
  <si>
    <t xml:space="preserve">Aplicação Mista De Produtos   </t>
  </si>
  <si>
    <t xml:space="preserve">Diárias De Terceiros (Mo)     </t>
  </si>
  <si>
    <t xml:space="preserve">Aplic. De Vinhaça Localizada  </t>
  </si>
  <si>
    <t xml:space="preserve">Gasto Plantio Mão De Obra     </t>
  </si>
  <si>
    <t xml:space="preserve">Gasto Plantio Mecanização     </t>
  </si>
  <si>
    <t xml:space="preserve">Carreg.Cana Preço Variavel    </t>
  </si>
  <si>
    <t xml:space="preserve">Descarregamento Cana Muda     </t>
  </si>
  <si>
    <t>Diaria Cobrição Trator Terceir</t>
  </si>
  <si>
    <t>Diaria Sulcação Trator Terceir</t>
  </si>
  <si>
    <t xml:space="preserve">Gasto Plantio Mec. Mensal     </t>
  </si>
  <si>
    <t xml:space="preserve">Gasto Plantio M.O. Mensal     </t>
  </si>
  <si>
    <t xml:space="preserve">Sulcação Mensal               </t>
  </si>
  <si>
    <t xml:space="preserve">Cobrição Mensal               </t>
  </si>
  <si>
    <t xml:space="preserve">Diárias 3º M.O Mensal         </t>
  </si>
  <si>
    <t xml:space="preserve">Pagamento Grade Niveladora    </t>
  </si>
  <si>
    <t xml:space="preserve">Gasto Plantio Mecanizaçao     </t>
  </si>
  <si>
    <t xml:space="preserve">Gasto Plantio Mao De Obra     </t>
  </si>
  <si>
    <t xml:space="preserve">Equipe Controle De Pragas     </t>
  </si>
  <si>
    <t xml:space="preserve">Pá Carregamento De Torta      </t>
  </si>
  <si>
    <t xml:space="preserve">Transporte De Torta           </t>
  </si>
  <si>
    <t xml:space="preserve">Canterizador                  </t>
  </si>
  <si>
    <t xml:space="preserve">Gastos Plantio P2P            </t>
  </si>
  <si>
    <t xml:space="preserve">Gradagem Preço Variavel       </t>
  </si>
  <si>
    <t xml:space="preserve">Gestao Da Colheita Mecanizada </t>
  </si>
  <si>
    <t xml:space="preserve">Pagamento Vinhaça Localizada  </t>
  </si>
  <si>
    <t>Aplic. Com Taxa Variavel Gesso</t>
  </si>
  <si>
    <t xml:space="preserve">Tracao Transbordo Media       </t>
  </si>
  <si>
    <t xml:space="preserve">Tracao Transbordo Alta        </t>
  </si>
  <si>
    <t xml:space="preserve">Aplic. Com Taxa Variavel Cal. </t>
  </si>
  <si>
    <t xml:space="preserve">Plantio Com Torta             </t>
  </si>
  <si>
    <t xml:space="preserve">Enleiramento Convencional     </t>
  </si>
  <si>
    <t xml:space="preserve">Sulcação Preço Variável       </t>
  </si>
  <si>
    <t xml:space="preserve">Aplicação Dessecação          </t>
  </si>
  <si>
    <t xml:space="preserve">Aplicação Cultivo Tercerizado </t>
  </si>
  <si>
    <t>Aplicação Herbicida Tercerizad</t>
  </si>
  <si>
    <t xml:space="preserve">Quebra Lombo - Terceiro       </t>
  </si>
  <si>
    <t xml:space="preserve">Picação De Cana No Sulco      </t>
  </si>
  <si>
    <t xml:space="preserve">Plantio Mpb C/ Matraca        </t>
  </si>
  <si>
    <t>Irrigação De Meiosi - Bombeiro</t>
  </si>
  <si>
    <t xml:space="preserve">Plantio Convencional 1 Linha  </t>
  </si>
  <si>
    <t xml:space="preserve">Transp. De Mudas Mpb          </t>
  </si>
  <si>
    <t xml:space="preserve">Corte Manual De Mudas Meiosi  </t>
  </si>
  <si>
    <t xml:space="preserve">Gastos Plantio Preço Variável </t>
  </si>
  <si>
    <t xml:space="preserve">Pgt Eliminador De Soqueira.   </t>
  </si>
  <si>
    <t>Carregadeira Terceiro (Diária)</t>
  </si>
  <si>
    <t xml:space="preserve">Trajeto Auxiliar Da Operação  </t>
  </si>
  <si>
    <t>Apl Inseticida Em Profundidade</t>
  </si>
  <si>
    <t xml:space="preserve">Gasto Plantio Mecanizado 3    </t>
  </si>
  <si>
    <t xml:space="preserve">Pré Plantio Incorporado (Ppi) </t>
  </si>
  <si>
    <t xml:space="preserve">Mapeamento Agricola           </t>
  </si>
  <si>
    <t xml:space="preserve">Gastos Corte De Mudas         </t>
  </si>
  <si>
    <t xml:space="preserve">Aplicação Mista Correção Solo </t>
  </si>
  <si>
    <t xml:space="preserve">Canterizador De Cana          </t>
  </si>
  <si>
    <t xml:space="preserve">2ªaplicação Vinhaça Canal     </t>
  </si>
  <si>
    <t>2ªaplicação Vinhaça Sobre Roda</t>
  </si>
  <si>
    <t>2ªaplicação Vinhaça Localizada</t>
  </si>
  <si>
    <t xml:space="preserve">2ª Aplic. Vinhaça C/ Ferti.   </t>
  </si>
  <si>
    <t xml:space="preserve">Apoios Administrativos        </t>
  </si>
  <si>
    <t xml:space="preserve">Diaria Tratores Terceiros     </t>
  </si>
  <si>
    <t xml:space="preserve">Treinamento / Palestra Rural  </t>
  </si>
  <si>
    <t xml:space="preserve">Tracao Transbordo Baixa       </t>
  </si>
  <si>
    <t xml:space="preserve">Carregamento De Cana Muda     </t>
  </si>
  <si>
    <t xml:space="preserve">Subsolagem Preço Variavel 2   </t>
  </si>
  <si>
    <t xml:space="preserve">Aplicação Mista De Produto    </t>
  </si>
  <si>
    <t xml:space="preserve">Diária - Cat. Quimíca         </t>
  </si>
  <si>
    <t>Aplic. Vinhaça C/ Fertilizante</t>
  </si>
  <si>
    <t xml:space="preserve">Compl Plantio Mecanizaçao     </t>
  </si>
  <si>
    <t xml:space="preserve">Compl Plantio Mao De Obra     </t>
  </si>
  <si>
    <t>Código</t>
  </si>
  <si>
    <t>Trator_Apl Inseticida Em Profundidade</t>
  </si>
  <si>
    <t>Rendimento H</t>
  </si>
  <si>
    <t>Horas/Maq/Dia</t>
  </si>
  <si>
    <t>Rendimento</t>
  </si>
  <si>
    <t>Proprio</t>
  </si>
  <si>
    <t>Trator_Torta</t>
  </si>
  <si>
    <t>Trator_Cultivo</t>
  </si>
  <si>
    <t>Trator_Correção Solo</t>
  </si>
  <si>
    <t>Operação Agrícola</t>
  </si>
  <si>
    <t xml:space="preserve"> CORTE MANUAL DE CANA QUEIMADA </t>
  </si>
  <si>
    <t xml:space="preserve"> DISTRIBUIÇÃO DE CANA/SULCO    </t>
  </si>
  <si>
    <t xml:space="preserve"> SERVICOS DIVERSOS             </t>
  </si>
  <si>
    <t xml:space="preserve"> REPLANTIO MANUAL DE CANA      </t>
  </si>
  <si>
    <t xml:space="preserve"> TERRACEAMENTO                 </t>
  </si>
  <si>
    <t xml:space="preserve"> TERRAPLANAGEM                 </t>
  </si>
  <si>
    <t xml:space="preserve"> CONSERVAÇÃO DE ESTRADAS       </t>
  </si>
  <si>
    <t xml:space="preserve"> CURVA EM NÍVEL                </t>
  </si>
  <si>
    <t xml:space="preserve"> SISTEMATIZAÇÃO                </t>
  </si>
  <si>
    <t xml:space="preserve"> ARRANQUIO DE CITRUS           </t>
  </si>
  <si>
    <t xml:space="preserve"> ARRANQUIO DE CITRUS DENSIDADE </t>
  </si>
  <si>
    <t xml:space="preserve"> ARRANQUIO DE CITRUS CLEÓPATRA </t>
  </si>
  <si>
    <t xml:space="preserve"> ARRANQUIO DE CITRUMELO        </t>
  </si>
  <si>
    <t xml:space="preserve"> QUEIMA DE CITRUS              </t>
  </si>
  <si>
    <t xml:space="preserve"> ARAÇÃO                        </t>
  </si>
  <si>
    <t xml:space="preserve"> ARAÇÃO COM DEFENSIVOS         </t>
  </si>
  <si>
    <t xml:space="preserve"> GRADAGEM ARADORA              </t>
  </si>
  <si>
    <t xml:space="preserve"> GRADAGEM INTERMEDIÁRIA        </t>
  </si>
  <si>
    <t xml:space="preserve"> GRADAGEM NIVELADORA           </t>
  </si>
  <si>
    <t xml:space="preserve"> SUBSOLAGEM                    </t>
  </si>
  <si>
    <t xml:space="preserve"> SUBSOLAGEM COM DEFENSIVOS     </t>
  </si>
  <si>
    <t xml:space="preserve"> SULCAÇÃO                      </t>
  </si>
  <si>
    <t xml:space="preserve"> DESTRUIÇÃO DE SOQUEIRA / SPH  </t>
  </si>
  <si>
    <t xml:space="preserve"> QUEBRA DE LOMBO               </t>
  </si>
  <si>
    <t xml:space="preserve"> CULTIVO                       </t>
  </si>
  <si>
    <t xml:space="preserve"> COBRIÇÃO DE CANA              </t>
  </si>
  <si>
    <t xml:space="preserve"> ENLEIRAMENTO DE PALHA         </t>
  </si>
  <si>
    <t xml:space="preserve"> ARRANQUIO DE TOCO / DIVERSOS  </t>
  </si>
  <si>
    <t xml:space="preserve"> APLICAÇÃO DE FOSFATO          </t>
  </si>
  <si>
    <t xml:space="preserve"> ADUBAÇÃO AÉREA                </t>
  </si>
  <si>
    <t xml:space="preserve"> APLICAÇÃO DE CALCÁRIO         </t>
  </si>
  <si>
    <t xml:space="preserve"> APLICAÇÃO DE GESSO            </t>
  </si>
  <si>
    <t xml:space="preserve"> APLICAÇÃO FERTILIZANTE FOLIAR </t>
  </si>
  <si>
    <t xml:space="preserve"> 1ª APLICAÇÃO DE HERBICIDA     </t>
  </si>
  <si>
    <t xml:space="preserve"> APLICAÇÃO DE INSETICIDA       </t>
  </si>
  <si>
    <t xml:space="preserve"> APLICAÇÃO DE TORTA DE FILTRO  </t>
  </si>
  <si>
    <t xml:space="preserve"> APLICAÇÃO DE COMPOSTAGEM      </t>
  </si>
  <si>
    <t xml:space="preserve"> APLIC DE VINHAÇA VIA CAMINHÃO </t>
  </si>
  <si>
    <t xml:space="preserve"> APLICAÇÃO DE VINHAÇA VIA CANAL</t>
  </si>
  <si>
    <t xml:space="preserve"> ABERTURA DE VALETA / CANAL    </t>
  </si>
  <si>
    <t xml:space="preserve"> MANUTENÇÃO REDE DE VINHAÇA    </t>
  </si>
  <si>
    <t xml:space="preserve"> COMPOSTAGEM                   </t>
  </si>
  <si>
    <t xml:space="preserve"> LENHEIRO                      </t>
  </si>
  <si>
    <t xml:space="preserve"> ROÇADEIRA                     </t>
  </si>
  <si>
    <t xml:space="preserve"> ROLO COMPACTADOR              </t>
  </si>
  <si>
    <t xml:space="preserve"> CORTE MECANIZADO DE MUDAS     </t>
  </si>
  <si>
    <t xml:space="preserve"> PLANTIO MECANIZADO            </t>
  </si>
  <si>
    <t xml:space="preserve"> BANQUETA MECÂNICA             </t>
  </si>
  <si>
    <t xml:space="preserve"> PLANTIO DE CEREAIS            </t>
  </si>
  <si>
    <t xml:space="preserve"> SILAGEM                       </t>
  </si>
  <si>
    <t xml:space="preserve"> SERVIÇOS CURRAL               </t>
  </si>
  <si>
    <t xml:space="preserve"> TRAÇÃO                        </t>
  </si>
  <si>
    <t xml:space="preserve"> TRAÇÃO MOTOBOMBA              </t>
  </si>
  <si>
    <t xml:space="preserve"> TRAÇÃO PARA TERCEIROS         </t>
  </si>
  <si>
    <t xml:space="preserve"> TRAÇÃO / RECOLHIMENTO DE PALHA</t>
  </si>
  <si>
    <t xml:space="preserve"> CARREG. CANA / CARGA E DESCARG</t>
  </si>
  <si>
    <t xml:space="preserve"> CARREG. BAG / DIVERSOS        </t>
  </si>
  <si>
    <t xml:space="preserve"> (PÁ) CARREGAMENTO TERRA</t>
  </si>
  <si>
    <t xml:space="preserve"> (PÁ) ATERRO DE ESTRADAS</t>
  </si>
  <si>
    <t xml:space="preserve"> ESPARRAMAÇÃO DE CINZAS        </t>
  </si>
  <si>
    <t xml:space="preserve"> ACEIRO TRATORIZADO            </t>
  </si>
  <si>
    <t xml:space="preserve"> (PÁ) BAGAÇO DE CANA </t>
  </si>
  <si>
    <t xml:space="preserve"> PERFURADOR DE SOLO            </t>
  </si>
  <si>
    <t xml:space="preserve"> ENFARDAMENTO DE PALHA         </t>
  </si>
  <si>
    <t xml:space="preserve"> PREST. SERVIÇO USINA / MÁQUINA</t>
  </si>
  <si>
    <t xml:space="preserve"> SUPORTE COM PÁ CARREGADEIRA   </t>
  </si>
  <si>
    <t xml:space="preserve"> APLICAÇÃO DE FUNGICIDA        </t>
  </si>
  <si>
    <t xml:space="preserve"> CANTERIZADOR                  </t>
  </si>
  <si>
    <t xml:space="preserve"> APLIC. DE VINHAÇA LOCALIZADA  </t>
  </si>
  <si>
    <t xml:space="preserve"> APLICAÇÃO MISTA DE PRODUTOS   </t>
  </si>
  <si>
    <t xml:space="preserve"> APLICAÇÃO MISTA CORREÇÃO SOLO </t>
  </si>
  <si>
    <t xml:space="preserve"> TRAJETO AUXILIAR DA OPERAÇÃO  </t>
  </si>
  <si>
    <t xml:space="preserve"> APL INSETICIDA EM PROFUNDIDADE</t>
  </si>
  <si>
    <t xml:space="preserve"> PLANTIO COM TORTA             </t>
  </si>
  <si>
    <t xml:space="preserve"> 2ª APLICAÇÃO DE HERBICIDA     </t>
  </si>
  <si>
    <t xml:space="preserve"> APLICAÇÃO DESSECAÇÃO          </t>
  </si>
  <si>
    <t xml:space="preserve"> MAPEAMENTO AGRICOLA           </t>
  </si>
  <si>
    <t xml:space="preserve"> CANTERIZADOR DE CANA          </t>
  </si>
  <si>
    <t xml:space="preserve"> PÁ CARREGAMENTO DE TORTA      </t>
  </si>
  <si>
    <t xml:space="preserve"> LIMPEZA DE ÁREA               </t>
  </si>
  <si>
    <t xml:space="preserve"> REPASSE APLICAÇÃO HERBICIDA   </t>
  </si>
  <si>
    <t xml:space="preserve"> APLIC. HERB MAN </t>
  </si>
  <si>
    <t xml:space="preserve"> APLIC. VINHAÇA C/ FERTILIZANTE</t>
  </si>
  <si>
    <t xml:space="preserve"> APLIC. HERBICIDA </t>
  </si>
  <si>
    <t xml:space="preserve"> APLIC. FERTILIZANTE LÍQUIDO   </t>
  </si>
  <si>
    <t xml:space="preserve"> IRRIGAÇÃO COM AGUA            </t>
  </si>
  <si>
    <t xml:space="preserve"> PRÉ PLANTIO INCORPORADO (PPI) </t>
  </si>
  <si>
    <t xml:space="preserve"> ELETROÍMÃ                     </t>
  </si>
  <si>
    <t xml:space="preserve"> 2ªAPLICAÇÃO VINHAÇA CANAL     </t>
  </si>
  <si>
    <t xml:space="preserve"> 2ªAPLICAÇÃO VINHAÇA SOBRE RODA</t>
  </si>
  <si>
    <t xml:space="preserve"> 2ªAPLICAÇÃO VINHAÇA LOCALIZADA</t>
  </si>
  <si>
    <t xml:space="preserve"> BOMBEIRO                      </t>
  </si>
  <si>
    <t xml:space="preserve"> CAM. MOLHANDO ESTRADAS        </t>
  </si>
  <si>
    <t xml:space="preserve"> TRANSP. DE ÁGUA POTÁVEL       </t>
  </si>
  <si>
    <t xml:space="preserve"> TRANSP ÁGUA HERB / INSETICIDA </t>
  </si>
  <si>
    <t xml:space="preserve"> TRANSPORTE DE VINHAÇA         </t>
  </si>
  <si>
    <t xml:space="preserve"> TRANSP DE CANA CARREGADO      </t>
  </si>
  <si>
    <t xml:space="preserve"> TRANSPORTE DE CANA            </t>
  </si>
  <si>
    <t xml:space="preserve"> TRAÇÃO TRANSBORDO             </t>
  </si>
  <si>
    <t xml:space="preserve"> ABASTECIMENTO COMBOIO         </t>
  </si>
  <si>
    <t xml:space="preserve"> ABASTECIMENTO OFICINA VOLANTE </t>
  </si>
  <si>
    <t xml:space="preserve"> MUNCK                         </t>
  </si>
  <si>
    <t xml:space="preserve"> MUNCK PARA TERCEIROS          </t>
  </si>
  <si>
    <t xml:space="preserve"> PRANCHA                       </t>
  </si>
  <si>
    <t xml:space="preserve"> PRANCHA PARA TERCEIROS        </t>
  </si>
  <si>
    <t xml:space="preserve"> PREST. SERVIÇO USINA /CAMINHÃO</t>
  </si>
  <si>
    <t xml:space="preserve"> BASCULANTE TERCEIROS          </t>
  </si>
  <si>
    <t xml:space="preserve"> TRANSP. DE FERTILIZANTES      </t>
  </si>
  <si>
    <t xml:space="preserve"> TRANSP. DE TERRA / CASCALHO   </t>
  </si>
  <si>
    <t xml:space="preserve"> TRANSPORTE DE GESSO / CALCÁRIO</t>
  </si>
  <si>
    <t xml:space="preserve"> TRANSP. BAGAÇO DE CANA        </t>
  </si>
  <si>
    <t xml:space="preserve"> TRANSP. DE CEREAIS            </t>
  </si>
  <si>
    <t xml:space="preserve"> TRANSP. DE MUDAS              </t>
  </si>
  <si>
    <t xml:space="preserve"> TRANSPORTE COLETIVO           </t>
  </si>
  <si>
    <t xml:space="preserve"> SERVIÇOS GERAIS DE TRANSPORTE </t>
  </si>
  <si>
    <t xml:space="preserve"> CHURUMEIRA                    </t>
  </si>
  <si>
    <t xml:space="preserve"> TRANSPORTE LIXO               </t>
  </si>
  <si>
    <t xml:space="preserve"> TRANSP. FARDOS DE PALHA       </t>
  </si>
  <si>
    <t xml:space="preserve"> DENTRO DA USINA               </t>
  </si>
  <si>
    <t xml:space="preserve"> CAMINHAO FILA BALANCA         </t>
  </si>
  <si>
    <t xml:space="preserve"> OFICINA MOVEL                 </t>
  </si>
  <si>
    <t xml:space="preserve"> IRRIGAÇÃO DE MEIOSI </t>
  </si>
  <si>
    <t xml:space="preserve"> IRRIGAÇÃO DE MEIOSE TANQUE    </t>
  </si>
  <si>
    <t xml:space="preserve"> TRANSPORTE DE TORTA           </t>
  </si>
  <si>
    <t xml:space="preserve"> MUDANCA DE AREA RODANDO       </t>
  </si>
  <si>
    <t xml:space="preserve"> TRACAO TRANSBORDO             </t>
  </si>
  <si>
    <t xml:space="preserve"> CORTE MECANIZADO DE CANA CRUA </t>
  </si>
  <si>
    <t xml:space="preserve"> CORTE MECANIZADO CANA CRUA    </t>
  </si>
  <si>
    <t xml:space="preserve"> CORTE MEC CANA QUEI           </t>
  </si>
  <si>
    <t xml:space="preserve"> TRAÇÃO TRANSBORDO </t>
  </si>
  <si>
    <t xml:space="preserve"> TRANSBORDO CARREGANDO CANA    </t>
  </si>
  <si>
    <t xml:space="preserve"> TRANSBORDANDO CARGA           </t>
  </si>
  <si>
    <t xml:space="preserve"> EQUIPAMENTOS SEDE CURRAL/HORTA</t>
  </si>
  <si>
    <t xml:space="preserve"> GASTO PLANTIO MAO DE OBRA     </t>
  </si>
  <si>
    <t>Trator Herbicida</t>
  </si>
  <si>
    <t>Trator Quebra Lombo</t>
  </si>
  <si>
    <t>Trator Cultivo</t>
  </si>
  <si>
    <t>Trator Catação</t>
  </si>
  <si>
    <t>Trator Apl Inseticida Em Profundidade</t>
  </si>
  <si>
    <t>Check</t>
  </si>
  <si>
    <t>Carreador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</si>
  <si>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</si>
  <si>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Trator_Tratos</t>
  </si>
  <si>
    <t>Trator_Corte Soqueira</t>
  </si>
  <si>
    <t>Trator_Catação</t>
  </si>
  <si>
    <t>Total_Nec_Tratores</t>
  </si>
  <si>
    <t>Total_Disp_Tratores</t>
  </si>
  <si>
    <t>DIMENSIONAMENTO DE MÁQUINAS - PREPARO DE SOLO - OPERAÇÕES PRÓPRIAS</t>
  </si>
  <si>
    <t>Trator_Preparo</t>
  </si>
  <si>
    <t>Maquinas_Amarela</t>
  </si>
  <si>
    <t>Trator_Recolhimento</t>
  </si>
  <si>
    <t>DESTRUIÇÃO DE SOQUEIRA / SPH</t>
  </si>
  <si>
    <t>TERRAPLANAGEM</t>
  </si>
  <si>
    <t>CONSERVAÇÃO DE ESTRADAS</t>
  </si>
  <si>
    <t>Trator_Carreador</t>
  </si>
  <si>
    <t>Trator Preparo</t>
  </si>
  <si>
    <t>Pá_Carregadeira</t>
  </si>
  <si>
    <t>PATRIOT 70122</t>
  </si>
  <si>
    <t>JONH DEERE 70121</t>
  </si>
  <si>
    <t>VALTRA BS 340</t>
  </si>
  <si>
    <t>NEW HOLLAND 11125</t>
  </si>
  <si>
    <t>NEW HOLLAND 11225</t>
  </si>
  <si>
    <t>CASE 11124</t>
  </si>
  <si>
    <t>CASE 11224</t>
  </si>
  <si>
    <t>NEW HOLLAND 11418</t>
  </si>
  <si>
    <t>NEW HOLLAND 11518</t>
  </si>
  <si>
    <t>NEW HOLLAND 11618</t>
  </si>
  <si>
    <t>NEW HOLLAND 11718</t>
  </si>
  <si>
    <t>PUMA 11324</t>
  </si>
  <si>
    <t>PUMA 11424</t>
  </si>
  <si>
    <t>PUMA 11524</t>
  </si>
  <si>
    <t>HONDA 2120</t>
  </si>
  <si>
    <t>HONDA 2220</t>
  </si>
  <si>
    <t>HONDA 2320</t>
  </si>
  <si>
    <t>COSTAL</t>
  </si>
  <si>
    <t>1ª HERBICIDA</t>
  </si>
  <si>
    <t>CARREADOR</t>
  </si>
  <si>
    <t>CATAÇÃO</t>
  </si>
  <si>
    <t>CORTE SOQUEIRA</t>
  </si>
  <si>
    <t>QUEBRA LOMBO</t>
  </si>
  <si>
    <t>Realizado</t>
  </si>
  <si>
    <t>Há/h</t>
  </si>
  <si>
    <t>Horas trabalhado</t>
  </si>
  <si>
    <t>Há/Dia</t>
  </si>
  <si>
    <t>Frota</t>
  </si>
  <si>
    <t>Modelo</t>
  </si>
  <si>
    <t>Cod. Operação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</si>
</sst>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-* #,##0.00_-;\-* #,##0.00_-;_-* &quot;-&quot;??_-;_-@_-"/>
    <numFmt numFmtId="164" formatCode="mmm/yyyy"/>
    <numFmt numFmtId="165" formatCode="0.0"/>
    <numFmt numFmtId="166" formatCode="[$-416]mmm/yy;@"/>
    <numFmt numFmtId="167" formatCode="_(* #,##0.00_);_(* \(#,##0.00\);_(* &quot;-&quot;??_);_(@_)"/>
    <numFmt numFmtId="168" formatCode="_(* #,##0_);_(* \(#,##0\);_(* &quot;-&quot;??_);_(@_)"/>
    <numFmt numFmtId="169" formatCode="[$-416]mmm\-yy;@"/>
    <numFmt numFmtId="170" formatCode="_-* #,##0_-;\-* #,##0_-;_-* &quot;-&quot;??_-;_-@_-"/>
    <numFmt numFmtId="171" formatCode="h:mm;@"/>
    <numFmt numFmtId="172" formatCode="0.0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FFFFFF"/>
      <name val="Aptos Narrow"/>
      <family val="2"/>
      <scheme val="minor"/>
    </font>
    <font>
      <b/>
      <sz val="11"/>
      <color theme="9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name val="Calibri"/>
      <family val="2"/>
    </font>
    <font>
      <sz val="10"/>
      <name val="Times New Roman"/>
      <family val="1"/>
    </font>
    <font>
      <sz val="10"/>
      <name val="Calibri"/>
      <family val="2"/>
    </font>
    <font>
      <sz val="10"/>
      <name val="Arial"/>
      <family val="2"/>
    </font>
    <font>
      <b/>
      <i/>
      <sz val="10"/>
      <name val="Calibri"/>
      <family val="2"/>
    </font>
    <font>
      <sz val="10"/>
      <color rgb="FFFF0000"/>
      <name val="Calibri"/>
      <family val="2"/>
    </font>
    <font>
      <b/>
      <sz val="16"/>
      <color rgb="FFFFFFFF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theme="9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929295"/>
        <bgColor indexed="64"/>
      </patternFill>
    </fill>
    <fill>
      <patternFill patternType="solid">
        <fgColor rgb="FFB9BCC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 tint="0.34998626667073579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indexed="64"/>
      </top>
      <bottom style="thin">
        <color theme="0" tint="-0.24994659260841701"/>
      </bottom>
      <diagonal/>
    </border>
    <border>
      <left/>
      <right/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 style="thin">
        <color indexed="64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indexed="64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indexed="64"/>
      </bottom>
      <diagonal/>
    </border>
    <border>
      <left/>
      <right/>
      <top style="thin">
        <color theme="0" tint="-0.24994659260841701"/>
      </top>
      <bottom style="thin">
        <color indexed="64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 style="thin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theme="0" tint="-0.24994659260841701"/>
      </top>
      <bottom style="thin">
        <color indexed="64"/>
      </bottom>
      <diagonal/>
    </border>
    <border>
      <left style="thin">
        <color indexed="64"/>
      </left>
      <right style="thin">
        <color theme="0" tint="-0.24994659260841701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24994659260841701"/>
      </bottom>
      <diagonal/>
    </border>
    <border>
      <left/>
      <right/>
      <top style="thin">
        <color rgb="FFFFFFFF"/>
      </top>
      <bottom/>
      <diagonal/>
    </border>
  </borders>
  <cellStyleXfs count="14">
    <xf numFmtId="0" fontId="0" fillId="0" borderId="0"/>
    <xf numFmtId="0" fontId="7" fillId="0" borderId="0"/>
    <xf numFmtId="43" fontId="7" fillId="0" borderId="0" applyFont="0" applyFill="0" applyBorder="0" applyAlignment="0" applyProtection="0"/>
    <xf numFmtId="166" fontId="1" fillId="0" borderId="0"/>
    <xf numFmtId="43" fontId="1" fillId="0" borderId="0" applyFont="0" applyFill="0" applyBorder="0" applyAlignment="0" applyProtection="0"/>
    <xf numFmtId="0" fontId="11" fillId="0" borderId="0"/>
    <xf numFmtId="0" fontId="13" fillId="0" borderId="0"/>
    <xf numFmtId="167" fontId="13" fillId="0" borderId="0" applyFont="0" applyFill="0" applyBorder="0" applyAlignment="0" applyProtection="0"/>
    <xf numFmtId="0" fontId="13" fillId="0" borderId="0"/>
    <xf numFmtId="9" fontId="7" fillId="0" borderId="0" applyFont="0" applyFill="0" applyBorder="0" applyAlignment="0" applyProtection="0"/>
    <xf numFmtId="0" fontId="11" fillId="0" borderId="0"/>
    <xf numFmtId="167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92">
    <xf numFmtId="0" fontId="0" fillId="0" borderId="0" xfId="0"/>
    <xf numFmtId="0" fontId="0" fillId="2" borderId="0" xfId="0" applyFill="1"/>
    <xf numFmtId="0" fontId="4" fillId="2" borderId="0" xfId="0" applyFont="1" applyFill="1" applyAlignment="1">
      <alignment horizontal="left" vertical="center"/>
    </xf>
    <xf numFmtId="165" fontId="4" fillId="2" borderId="0" xfId="0" applyNumberFormat="1" applyFont="1" applyFill="1" applyAlignment="1">
      <alignment horizontal="right" vertical="center"/>
    </xf>
    <xf numFmtId="1" fontId="5" fillId="3" borderId="2" xfId="0" applyNumberFormat="1" applyFont="1" applyFill="1" applyBorder="1" applyAlignment="1">
      <alignment horizontal="left" vertical="center"/>
    </xf>
    <xf numFmtId="1" fontId="5" fillId="3" borderId="2" xfId="0" applyNumberFormat="1" applyFont="1" applyFill="1" applyBorder="1" applyAlignment="1">
      <alignment horizontal="right" vertical="center"/>
    </xf>
    <xf numFmtId="0" fontId="4" fillId="4" borderId="0" xfId="0" applyFont="1" applyFill="1" applyAlignment="1">
      <alignment horizontal="left" vertical="center"/>
    </xf>
    <xf numFmtId="165" fontId="4" fillId="4" borderId="0" xfId="0" applyNumberFormat="1" applyFont="1" applyFill="1" applyAlignment="1">
      <alignment horizontal="right" vertical="center"/>
    </xf>
    <xf numFmtId="0" fontId="0" fillId="6" borderId="0" xfId="0" applyFill="1"/>
    <xf numFmtId="0" fontId="3" fillId="6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7" fillId="0" borderId="0" xfId="1" applyAlignment="1">
      <alignment horizontal="center"/>
    </xf>
    <xf numFmtId="43" fontId="0" fillId="0" borderId="0" xfId="2" applyFont="1" applyAlignment="1">
      <alignment horizontal="center"/>
    </xf>
    <xf numFmtId="0" fontId="0" fillId="0" borderId="0" xfId="2" applyNumberFormat="1" applyFont="1" applyAlignment="1">
      <alignment horizontal="center"/>
    </xf>
    <xf numFmtId="0" fontId="7" fillId="0" borderId="0" xfId="1"/>
    <xf numFmtId="0" fontId="8" fillId="0" borderId="0" xfId="3" applyNumberFormat="1" applyFont="1"/>
    <xf numFmtId="0" fontId="9" fillId="0" borderId="0" xfId="3" applyNumberFormat="1" applyFont="1"/>
    <xf numFmtId="0" fontId="8" fillId="0" borderId="0" xfId="3" applyNumberFormat="1" applyFont="1" applyAlignment="1">
      <alignment horizontal="center"/>
    </xf>
    <xf numFmtId="4" fontId="8" fillId="0" borderId="0" xfId="3" applyNumberFormat="1" applyFont="1"/>
    <xf numFmtId="4" fontId="8" fillId="0" borderId="0" xfId="4" applyNumberFormat="1" applyFont="1"/>
    <xf numFmtId="0" fontId="10" fillId="7" borderId="0" xfId="3" applyNumberFormat="1" applyFont="1" applyFill="1"/>
    <xf numFmtId="0" fontId="12" fillId="7" borderId="0" xfId="5" applyFont="1" applyFill="1" applyAlignment="1">
      <alignment horizontal="left" vertical="center"/>
    </xf>
    <xf numFmtId="0" fontId="8" fillId="7" borderId="0" xfId="3" applyNumberFormat="1" applyFont="1" applyFill="1" applyAlignment="1">
      <alignment horizontal="center"/>
    </xf>
    <xf numFmtId="4" fontId="8" fillId="7" borderId="0" xfId="3" applyNumberFormat="1" applyFont="1" applyFill="1"/>
    <xf numFmtId="4" fontId="8" fillId="7" borderId="0" xfId="4" applyNumberFormat="1" applyFont="1" applyFill="1"/>
    <xf numFmtId="0" fontId="8" fillId="7" borderId="0" xfId="3" applyNumberFormat="1" applyFont="1" applyFill="1"/>
    <xf numFmtId="0" fontId="10" fillId="0" borderId="0" xfId="3" applyNumberFormat="1" applyFont="1"/>
    <xf numFmtId="0" fontId="12" fillId="0" borderId="0" xfId="5" applyFont="1" applyAlignment="1">
      <alignment horizontal="left" vertical="center"/>
    </xf>
    <xf numFmtId="0" fontId="12" fillId="0" borderId="0" xfId="6" applyFont="1" applyAlignment="1">
      <alignment horizontal="center" vertical="center"/>
    </xf>
    <xf numFmtId="0" fontId="10" fillId="8" borderId="3" xfId="7" applyNumberFormat="1" applyFont="1" applyFill="1" applyBorder="1" applyAlignment="1">
      <alignment vertical="center"/>
    </xf>
    <xf numFmtId="0" fontId="10" fillId="8" borderId="4" xfId="7" applyNumberFormat="1" applyFont="1" applyFill="1" applyBorder="1" applyAlignment="1">
      <alignment horizontal="center" vertical="center"/>
    </xf>
    <xf numFmtId="0" fontId="10" fillId="8" borderId="5" xfId="7" applyNumberFormat="1" applyFont="1" applyFill="1" applyBorder="1" applyAlignment="1">
      <alignment horizontal="center" vertical="center"/>
    </xf>
    <xf numFmtId="0" fontId="10" fillId="8" borderId="6" xfId="7" applyNumberFormat="1" applyFont="1" applyFill="1" applyBorder="1" applyAlignment="1">
      <alignment horizontal="center" vertical="center"/>
    </xf>
    <xf numFmtId="0" fontId="10" fillId="8" borderId="7" xfId="7" applyNumberFormat="1" applyFont="1" applyFill="1" applyBorder="1" applyAlignment="1">
      <alignment horizontal="center" vertical="center"/>
    </xf>
    <xf numFmtId="3" fontId="10" fillId="8" borderId="7" xfId="7" applyNumberFormat="1" applyFont="1" applyFill="1" applyBorder="1" applyAlignment="1">
      <alignment horizontal="center" vertical="center"/>
    </xf>
    <xf numFmtId="17" fontId="10" fillId="8" borderId="5" xfId="8" applyNumberFormat="1" applyFont="1" applyFill="1" applyBorder="1" applyAlignment="1">
      <alignment horizontal="center" vertical="center"/>
    </xf>
    <xf numFmtId="3" fontId="10" fillId="8" borderId="8" xfId="7" applyNumberFormat="1" applyFont="1" applyFill="1" applyBorder="1" applyAlignment="1">
      <alignment horizontal="center" vertical="center"/>
    </xf>
    <xf numFmtId="0" fontId="10" fillId="8" borderId="8" xfId="7" applyNumberFormat="1" applyFont="1" applyFill="1" applyBorder="1" applyAlignment="1">
      <alignment horizontal="center" vertical="center"/>
    </xf>
    <xf numFmtId="0" fontId="12" fillId="0" borderId="0" xfId="6" applyFont="1" applyAlignment="1">
      <alignment horizontal="left" vertical="center"/>
    </xf>
    <xf numFmtId="0" fontId="12" fillId="0" borderId="9" xfId="7" applyNumberFormat="1" applyFont="1" applyBorder="1" applyAlignment="1">
      <alignment vertical="center"/>
    </xf>
    <xf numFmtId="0" fontId="12" fillId="0" borderId="10" xfId="7" applyNumberFormat="1" applyFont="1" applyBorder="1" applyAlignment="1">
      <alignment horizontal="center" vertical="center"/>
    </xf>
    <xf numFmtId="0" fontId="12" fillId="0" borderId="11" xfId="7" applyNumberFormat="1" applyFont="1" applyBorder="1" applyAlignment="1">
      <alignment horizontal="center" vertical="center"/>
    </xf>
    <xf numFmtId="0" fontId="12" fillId="0" borderId="12" xfId="7" applyNumberFormat="1" applyFont="1" applyBorder="1" applyAlignment="1">
      <alignment horizontal="center" vertical="center"/>
    </xf>
    <xf numFmtId="0" fontId="12" fillId="0" borderId="13" xfId="7" applyNumberFormat="1" applyFont="1" applyBorder="1" applyAlignment="1">
      <alignment horizontal="center" vertical="center"/>
    </xf>
    <xf numFmtId="3" fontId="12" fillId="0" borderId="13" xfId="7" applyNumberFormat="1" applyFont="1" applyBorder="1" applyAlignment="1">
      <alignment horizontal="center" vertical="center"/>
    </xf>
    <xf numFmtId="3" fontId="12" fillId="0" borderId="11" xfId="7" applyNumberFormat="1" applyFont="1" applyBorder="1" applyAlignment="1">
      <alignment horizontal="center" vertical="center"/>
    </xf>
    <xf numFmtId="3" fontId="12" fillId="0" borderId="14" xfId="7" applyNumberFormat="1" applyFont="1" applyBorder="1" applyAlignment="1">
      <alignment horizontal="center" vertical="center"/>
    </xf>
    <xf numFmtId="0" fontId="12" fillId="0" borderId="14" xfId="7" applyNumberFormat="1" applyFont="1" applyBorder="1" applyAlignment="1" applyProtection="1">
      <alignment horizontal="center" vertical="center"/>
      <protection locked="0"/>
    </xf>
    <xf numFmtId="3" fontId="12" fillId="9" borderId="11" xfId="7" applyNumberFormat="1" applyFont="1" applyFill="1" applyBorder="1" applyAlignment="1" applyProtection="1">
      <alignment horizontal="center" vertical="center"/>
      <protection locked="0"/>
    </xf>
    <xf numFmtId="0" fontId="12" fillId="0" borderId="15" xfId="7" applyNumberFormat="1" applyFont="1" applyBorder="1" applyAlignment="1">
      <alignment vertical="center"/>
    </xf>
    <xf numFmtId="0" fontId="12" fillId="0" borderId="16" xfId="7" applyNumberFormat="1" applyFont="1" applyBorder="1" applyAlignment="1">
      <alignment horizontal="center" vertical="center"/>
    </xf>
    <xf numFmtId="0" fontId="12" fillId="0" borderId="17" xfId="7" applyNumberFormat="1" applyFont="1" applyBorder="1" applyAlignment="1">
      <alignment horizontal="center" vertical="center"/>
    </xf>
    <xf numFmtId="0" fontId="12" fillId="0" borderId="18" xfId="7" applyNumberFormat="1" applyFont="1" applyBorder="1" applyAlignment="1">
      <alignment horizontal="center" vertical="center"/>
    </xf>
    <xf numFmtId="0" fontId="12" fillId="0" borderId="19" xfId="9" applyNumberFormat="1" applyFont="1" applyBorder="1" applyAlignment="1">
      <alignment horizontal="center" vertical="center"/>
    </xf>
    <xf numFmtId="9" fontId="12" fillId="0" borderId="19" xfId="9" applyFont="1" applyBorder="1" applyAlignment="1">
      <alignment horizontal="center" vertical="center"/>
    </xf>
    <xf numFmtId="0" fontId="12" fillId="0" borderId="16" xfId="9" applyNumberFormat="1" applyFont="1" applyBorder="1" applyAlignment="1">
      <alignment horizontal="center" vertical="center"/>
    </xf>
    <xf numFmtId="9" fontId="12" fillId="0" borderId="17" xfId="9" applyFont="1" applyBorder="1" applyAlignment="1">
      <alignment horizontal="center" vertical="center"/>
    </xf>
    <xf numFmtId="9" fontId="12" fillId="0" borderId="20" xfId="9" applyFont="1" applyBorder="1" applyAlignment="1">
      <alignment horizontal="center" vertical="center"/>
    </xf>
    <xf numFmtId="0" fontId="12" fillId="0" borderId="20" xfId="9" applyNumberFormat="1" applyFont="1" applyBorder="1" applyAlignment="1" applyProtection="1">
      <alignment horizontal="center" vertical="center"/>
      <protection locked="0"/>
    </xf>
    <xf numFmtId="0" fontId="10" fillId="0" borderId="21" xfId="7" applyNumberFormat="1" applyFont="1" applyBorder="1" applyAlignment="1">
      <alignment vertical="center"/>
    </xf>
    <xf numFmtId="0" fontId="12" fillId="0" borderId="21" xfId="7" applyNumberFormat="1" applyFont="1" applyBorder="1" applyAlignment="1">
      <alignment horizontal="center" vertical="center"/>
    </xf>
    <xf numFmtId="3" fontId="12" fillId="0" borderId="21" xfId="7" applyNumberFormat="1" applyFont="1" applyBorder="1" applyAlignment="1">
      <alignment horizontal="center" vertical="center"/>
    </xf>
    <xf numFmtId="4" fontId="12" fillId="0" borderId="21" xfId="6" applyNumberFormat="1" applyFont="1" applyBorder="1" applyAlignment="1">
      <alignment horizontal="left" vertical="center"/>
    </xf>
    <xf numFmtId="0" fontId="12" fillId="0" borderId="21" xfId="6" applyFont="1" applyBorder="1" applyAlignment="1">
      <alignment horizontal="left" vertical="center"/>
    </xf>
    <xf numFmtId="0" fontId="12" fillId="0" borderId="0" xfId="3" applyNumberFormat="1" applyFont="1" applyAlignment="1">
      <alignment horizontal="center"/>
    </xf>
    <xf numFmtId="4" fontId="12" fillId="0" borderId="0" xfId="3" applyNumberFormat="1" applyFont="1" applyAlignment="1">
      <alignment horizontal="center"/>
    </xf>
    <xf numFmtId="4" fontId="12" fillId="0" borderId="0" xfId="3" applyNumberFormat="1" applyFont="1"/>
    <xf numFmtId="0" fontId="12" fillId="0" borderId="0" xfId="3" applyNumberFormat="1" applyFont="1"/>
    <xf numFmtId="0" fontId="10" fillId="0" borderId="0" xfId="10" applyFont="1"/>
    <xf numFmtId="0" fontId="14" fillId="0" borderId="0" xfId="10" applyFont="1" applyAlignment="1">
      <alignment horizontal="left"/>
    </xf>
    <xf numFmtId="0" fontId="10" fillId="0" borderId="0" xfId="11" applyNumberFormat="1" applyFont="1"/>
    <xf numFmtId="0" fontId="10" fillId="0" borderId="0" xfId="11" applyNumberFormat="1" applyFont="1" applyAlignment="1">
      <alignment horizontal="center"/>
    </xf>
    <xf numFmtId="168" fontId="10" fillId="0" borderId="0" xfId="11" applyNumberFormat="1" applyFont="1" applyAlignment="1">
      <alignment horizontal="center"/>
    </xf>
    <xf numFmtId="168" fontId="10" fillId="0" borderId="0" xfId="11" applyNumberFormat="1" applyFont="1"/>
    <xf numFmtId="0" fontId="12" fillId="0" borderId="0" xfId="10" applyFont="1" applyAlignment="1">
      <alignment vertical="center"/>
    </xf>
    <xf numFmtId="0" fontId="10" fillId="8" borderId="3" xfId="10" applyFont="1" applyFill="1" applyBorder="1" applyAlignment="1">
      <alignment vertical="center"/>
    </xf>
    <xf numFmtId="0" fontId="10" fillId="8" borderId="4" xfId="10" applyFont="1" applyFill="1" applyBorder="1" applyAlignment="1">
      <alignment horizontal="center" vertical="center"/>
    </xf>
    <xf numFmtId="0" fontId="10" fillId="8" borderId="5" xfId="10" applyFont="1" applyFill="1" applyBorder="1" applyAlignment="1">
      <alignment horizontal="center" vertical="center"/>
    </xf>
    <xf numFmtId="0" fontId="10" fillId="8" borderId="6" xfId="10" applyFont="1" applyFill="1" applyBorder="1" applyAlignment="1">
      <alignment horizontal="center" vertical="center"/>
    </xf>
    <xf numFmtId="0" fontId="10" fillId="8" borderId="7" xfId="8" applyFont="1" applyFill="1" applyBorder="1" applyAlignment="1">
      <alignment horizontal="center" vertical="center"/>
    </xf>
    <xf numFmtId="17" fontId="10" fillId="8" borderId="7" xfId="8" applyNumberFormat="1" applyFont="1" applyFill="1" applyBorder="1" applyAlignment="1">
      <alignment horizontal="center" vertical="center"/>
    </xf>
    <xf numFmtId="17" fontId="10" fillId="8" borderId="8" xfId="8" applyNumberFormat="1" applyFont="1" applyFill="1" applyBorder="1" applyAlignment="1">
      <alignment horizontal="center" vertical="center"/>
    </xf>
    <xf numFmtId="0" fontId="10" fillId="8" borderId="8" xfId="8" applyFont="1" applyFill="1" applyBorder="1" applyAlignment="1">
      <alignment horizontal="center" vertical="center"/>
    </xf>
    <xf numFmtId="0" fontId="12" fillId="0" borderId="0" xfId="10" applyFont="1"/>
    <xf numFmtId="0" fontId="12" fillId="0" borderId="9" xfId="4" applyNumberFormat="1" applyFont="1" applyBorder="1"/>
    <xf numFmtId="0" fontId="12" fillId="0" borderId="10" xfId="4" applyNumberFormat="1" applyFont="1" applyBorder="1" applyAlignment="1">
      <alignment horizontal="center" vertical="center"/>
    </xf>
    <xf numFmtId="0" fontId="12" fillId="0" borderId="11" xfId="4" applyNumberFormat="1" applyFont="1" applyBorder="1" applyAlignment="1">
      <alignment horizontal="center" vertical="center"/>
    </xf>
    <xf numFmtId="0" fontId="12" fillId="0" borderId="12" xfId="4" applyNumberFormat="1" applyFont="1" applyBorder="1" applyAlignment="1">
      <alignment horizontal="center" vertical="center"/>
    </xf>
    <xf numFmtId="0" fontId="12" fillId="0" borderId="13" xfId="4" applyNumberFormat="1" applyFont="1" applyBorder="1" applyAlignment="1">
      <alignment horizontal="center" vertical="center"/>
    </xf>
    <xf numFmtId="3" fontId="12" fillId="0" borderId="13" xfId="4" applyNumberFormat="1" applyFont="1" applyBorder="1" applyAlignment="1">
      <alignment horizontal="center" vertical="center"/>
    </xf>
    <xf numFmtId="4" fontId="12" fillId="0" borderId="11" xfId="4" applyNumberFormat="1" applyFont="1" applyBorder="1" applyAlignment="1">
      <alignment horizontal="center" vertical="center"/>
    </xf>
    <xf numFmtId="4" fontId="12" fillId="0" borderId="14" xfId="4" applyNumberFormat="1" applyFont="1" applyBorder="1" applyAlignment="1">
      <alignment horizontal="center" vertical="center"/>
    </xf>
    <xf numFmtId="0" fontId="12" fillId="0" borderId="14" xfId="4" applyNumberFormat="1" applyFont="1" applyBorder="1" applyAlignment="1" applyProtection="1">
      <alignment horizontal="center" vertical="center"/>
      <protection locked="0"/>
    </xf>
    <xf numFmtId="4" fontId="12" fillId="10" borderId="14" xfId="4" applyNumberFormat="1" applyFont="1" applyFill="1" applyBorder="1" applyAlignment="1">
      <alignment horizontal="center" vertical="center"/>
    </xf>
    <xf numFmtId="0" fontId="12" fillId="10" borderId="14" xfId="4" applyNumberFormat="1" applyFont="1" applyFill="1" applyBorder="1" applyAlignment="1" applyProtection="1">
      <alignment horizontal="center" vertical="center"/>
      <protection locked="0"/>
    </xf>
    <xf numFmtId="0" fontId="12" fillId="0" borderId="9" xfId="4" applyNumberFormat="1" applyFont="1" applyBorder="1" applyAlignment="1">
      <alignment horizontal="left"/>
    </xf>
    <xf numFmtId="0" fontId="10" fillId="0" borderId="15" xfId="4" applyNumberFormat="1" applyFont="1" applyBorder="1"/>
    <xf numFmtId="0" fontId="10" fillId="0" borderId="16" xfId="4" applyNumberFormat="1" applyFont="1" applyBorder="1" applyAlignment="1">
      <alignment horizontal="center" vertical="center"/>
    </xf>
    <xf numFmtId="0" fontId="10" fillId="0" borderId="17" xfId="4" applyNumberFormat="1" applyFont="1" applyBorder="1" applyAlignment="1">
      <alignment horizontal="center" vertical="center"/>
    </xf>
    <xf numFmtId="0" fontId="10" fillId="0" borderId="18" xfId="4" applyNumberFormat="1" applyFont="1" applyBorder="1" applyAlignment="1">
      <alignment horizontal="center" vertical="center"/>
    </xf>
    <xf numFmtId="0" fontId="10" fillId="0" borderId="19" xfId="4" applyNumberFormat="1" applyFont="1" applyBorder="1" applyAlignment="1">
      <alignment horizontal="center" vertical="center"/>
    </xf>
    <xf numFmtId="3" fontId="10" fillId="0" borderId="19" xfId="4" applyNumberFormat="1" applyFont="1" applyBorder="1" applyAlignment="1">
      <alignment horizontal="center" vertical="center"/>
    </xf>
    <xf numFmtId="4" fontId="10" fillId="0" borderId="17" xfId="4" applyNumberFormat="1" applyFont="1" applyBorder="1" applyAlignment="1">
      <alignment horizontal="center" vertical="center"/>
    </xf>
    <xf numFmtId="4" fontId="10" fillId="0" borderId="20" xfId="4" applyNumberFormat="1" applyFont="1" applyBorder="1" applyAlignment="1">
      <alignment horizontal="center" vertical="center"/>
    </xf>
    <xf numFmtId="0" fontId="10" fillId="0" borderId="20" xfId="4" applyNumberFormat="1" applyFont="1" applyBorder="1" applyAlignment="1" applyProtection="1">
      <alignment horizontal="center" vertical="center"/>
      <protection locked="0"/>
    </xf>
    <xf numFmtId="0" fontId="12" fillId="0" borderId="0" xfId="10" applyFont="1" applyAlignment="1">
      <alignment horizontal="center"/>
    </xf>
    <xf numFmtId="0" fontId="10" fillId="0" borderId="0" xfId="11" applyNumberFormat="1" applyFont="1" applyAlignment="1">
      <alignment horizontal="center" vertical="center"/>
    </xf>
    <xf numFmtId="3" fontId="10" fillId="0" borderId="0" xfId="11" applyNumberFormat="1" applyFont="1" applyAlignment="1">
      <alignment horizontal="center" vertical="center"/>
    </xf>
    <xf numFmtId="3" fontId="12" fillId="0" borderId="0" xfId="10" applyNumberFormat="1" applyFont="1" applyAlignment="1">
      <alignment horizontal="center" vertical="center"/>
    </xf>
    <xf numFmtId="0" fontId="12" fillId="0" borderId="0" xfId="10" applyFont="1" applyAlignment="1">
      <alignment horizontal="center" vertical="center"/>
    </xf>
    <xf numFmtId="168" fontId="10" fillId="0" borderId="0" xfId="11" applyNumberFormat="1" applyFont="1" applyAlignment="1">
      <alignment horizontal="center" vertical="center"/>
    </xf>
    <xf numFmtId="0" fontId="10" fillId="8" borderId="4" xfId="8" applyFont="1" applyFill="1" applyBorder="1" applyAlignment="1">
      <alignment horizontal="center" vertical="center"/>
    </xf>
    <xf numFmtId="169" fontId="10" fillId="8" borderId="8" xfId="11" applyNumberFormat="1" applyFont="1" applyFill="1" applyBorder="1" applyAlignment="1">
      <alignment horizontal="center" vertical="center"/>
    </xf>
    <xf numFmtId="0" fontId="10" fillId="8" borderId="8" xfId="11" applyNumberFormat="1" applyFont="1" applyFill="1" applyBorder="1" applyAlignment="1">
      <alignment horizontal="center" vertical="center"/>
    </xf>
    <xf numFmtId="0" fontId="12" fillId="0" borderId="9" xfId="11" applyNumberFormat="1" applyFont="1" applyBorder="1"/>
    <xf numFmtId="0" fontId="12" fillId="0" borderId="10" xfId="12" applyNumberFormat="1" applyFont="1" applyBorder="1" applyAlignment="1">
      <alignment horizontal="center" vertical="center"/>
    </xf>
    <xf numFmtId="0" fontId="12" fillId="0" borderId="11" xfId="12" applyNumberFormat="1" applyFont="1" applyBorder="1" applyAlignment="1">
      <alignment horizontal="center" vertical="center"/>
    </xf>
    <xf numFmtId="0" fontId="12" fillId="0" borderId="12" xfId="12" applyNumberFormat="1" applyFont="1" applyBorder="1" applyAlignment="1">
      <alignment horizontal="center" vertical="center"/>
    </xf>
    <xf numFmtId="0" fontId="12" fillId="0" borderId="13" xfId="11" applyNumberFormat="1" applyFont="1" applyBorder="1" applyAlignment="1">
      <alignment horizontal="center" vertical="center"/>
    </xf>
    <xf numFmtId="9" fontId="12" fillId="0" borderId="13" xfId="11" applyNumberFormat="1" applyFont="1" applyBorder="1" applyAlignment="1">
      <alignment horizontal="center" vertical="center"/>
    </xf>
    <xf numFmtId="0" fontId="12" fillId="0" borderId="10" xfId="11" applyNumberFormat="1" applyFont="1" applyBorder="1" applyAlignment="1">
      <alignment horizontal="center" vertical="center"/>
    </xf>
    <xf numFmtId="9" fontId="12" fillId="0" borderId="11" xfId="11" applyNumberFormat="1" applyFont="1" applyBorder="1" applyAlignment="1">
      <alignment horizontal="center" vertical="center"/>
    </xf>
    <xf numFmtId="9" fontId="10" fillId="0" borderId="14" xfId="9" applyFont="1" applyBorder="1" applyAlignment="1">
      <alignment horizontal="center" vertical="center"/>
    </xf>
    <xf numFmtId="0" fontId="10" fillId="0" borderId="14" xfId="9" applyNumberFormat="1" applyFont="1" applyBorder="1" applyAlignment="1" applyProtection="1">
      <alignment horizontal="center" vertical="center"/>
      <protection locked="0"/>
    </xf>
    <xf numFmtId="0" fontId="10" fillId="0" borderId="15" xfId="11" applyNumberFormat="1" applyFont="1" applyBorder="1"/>
    <xf numFmtId="0" fontId="10" fillId="0" borderId="16" xfId="12" applyNumberFormat="1" applyFont="1" applyBorder="1" applyAlignment="1">
      <alignment horizontal="center" vertical="center"/>
    </xf>
    <xf numFmtId="0" fontId="10" fillId="0" borderId="17" xfId="12" applyNumberFormat="1" applyFont="1" applyBorder="1" applyAlignment="1">
      <alignment horizontal="center" vertical="center"/>
    </xf>
    <xf numFmtId="0" fontId="10" fillId="0" borderId="18" xfId="12" applyNumberFormat="1" applyFont="1" applyBorder="1" applyAlignment="1">
      <alignment horizontal="center" vertical="center"/>
    </xf>
    <xf numFmtId="0" fontId="10" fillId="0" borderId="19" xfId="9" applyNumberFormat="1" applyFont="1" applyBorder="1" applyAlignment="1">
      <alignment horizontal="center" vertical="center"/>
    </xf>
    <xf numFmtId="9" fontId="10" fillId="0" borderId="19" xfId="9" applyFont="1" applyBorder="1" applyAlignment="1">
      <alignment horizontal="center" vertical="center"/>
    </xf>
    <xf numFmtId="0" fontId="10" fillId="0" borderId="16" xfId="9" applyNumberFormat="1" applyFont="1" applyBorder="1" applyAlignment="1">
      <alignment horizontal="center" vertical="center"/>
    </xf>
    <xf numFmtId="9" fontId="10" fillId="0" borderId="17" xfId="9" applyFont="1" applyBorder="1" applyAlignment="1">
      <alignment horizontal="center" vertical="center"/>
    </xf>
    <xf numFmtId="9" fontId="10" fillId="0" borderId="20" xfId="9" applyFont="1" applyBorder="1" applyAlignment="1">
      <alignment horizontal="center" vertical="center"/>
    </xf>
    <xf numFmtId="0" fontId="10" fillId="0" borderId="20" xfId="9" applyNumberFormat="1" applyFont="1" applyBorder="1" applyAlignment="1" applyProtection="1">
      <alignment horizontal="center" vertical="center"/>
      <protection locked="0"/>
    </xf>
    <xf numFmtId="0" fontId="10" fillId="0" borderId="0" xfId="10" applyFont="1" applyAlignment="1">
      <alignment horizontal="center"/>
    </xf>
    <xf numFmtId="0" fontId="12" fillId="0" borderId="9" xfId="11" applyNumberFormat="1" applyFont="1" applyBorder="1" applyAlignment="1">
      <alignment horizontal="left"/>
    </xf>
    <xf numFmtId="0" fontId="10" fillId="0" borderId="0" xfId="10" applyFont="1" applyAlignment="1">
      <alignment horizontal="left"/>
    </xf>
    <xf numFmtId="0" fontId="10" fillId="8" borderId="22" xfId="11" applyNumberFormat="1" applyFont="1" applyFill="1" applyBorder="1" applyAlignment="1">
      <alignment vertical="center"/>
    </xf>
    <xf numFmtId="0" fontId="10" fillId="8" borderId="5" xfId="11" applyNumberFormat="1" applyFont="1" applyFill="1" applyBorder="1" applyAlignment="1">
      <alignment vertical="center"/>
    </xf>
    <xf numFmtId="0" fontId="10" fillId="8" borderId="5" xfId="11" applyNumberFormat="1" applyFont="1" applyFill="1" applyBorder="1" applyAlignment="1">
      <alignment horizontal="center" vertical="center"/>
    </xf>
    <xf numFmtId="0" fontId="10" fillId="8" borderId="6" xfId="11" applyNumberFormat="1" applyFont="1" applyFill="1" applyBorder="1" applyAlignment="1">
      <alignment horizontal="center" vertical="center"/>
    </xf>
    <xf numFmtId="0" fontId="10" fillId="8" borderId="4" xfId="11" applyNumberFormat="1" applyFont="1" applyFill="1" applyBorder="1" applyAlignment="1">
      <alignment horizontal="center" vertical="center"/>
    </xf>
    <xf numFmtId="167" fontId="10" fillId="8" borderId="5" xfId="11" applyFont="1" applyFill="1" applyBorder="1" applyAlignment="1">
      <alignment horizontal="center" vertical="center" wrapText="1"/>
    </xf>
    <xf numFmtId="0" fontId="10" fillId="8" borderId="5" xfId="11" applyNumberFormat="1" applyFont="1" applyFill="1" applyBorder="1" applyAlignment="1">
      <alignment horizontal="center" vertical="center" wrapText="1"/>
    </xf>
    <xf numFmtId="4" fontId="10" fillId="8" borderId="8" xfId="4" applyNumberFormat="1" applyFont="1" applyFill="1" applyBorder="1" applyAlignment="1">
      <alignment horizontal="center" vertical="center"/>
    </xf>
    <xf numFmtId="0" fontId="10" fillId="8" borderId="8" xfId="4" applyNumberFormat="1" applyFont="1" applyFill="1" applyBorder="1" applyAlignment="1">
      <alignment horizontal="center" vertical="center"/>
    </xf>
    <xf numFmtId="0" fontId="10" fillId="8" borderId="22" xfId="8" applyFont="1" applyFill="1" applyBorder="1" applyAlignment="1">
      <alignment horizontal="center" vertical="center"/>
    </xf>
    <xf numFmtId="17" fontId="10" fillId="8" borderId="22" xfId="8" applyNumberFormat="1" applyFont="1" applyFill="1" applyBorder="1" applyAlignment="1">
      <alignment horizontal="center" vertical="center"/>
    </xf>
    <xf numFmtId="0" fontId="12" fillId="9" borderId="23" xfId="10" applyFont="1" applyFill="1" applyBorder="1" applyAlignment="1" applyProtection="1">
      <alignment horizontal="center"/>
      <protection locked="0"/>
    </xf>
    <xf numFmtId="0" fontId="12" fillId="0" borderId="11" xfId="11" applyNumberFormat="1" applyFont="1" applyBorder="1" applyAlignment="1">
      <alignment horizontal="left"/>
    </xf>
    <xf numFmtId="0" fontId="8" fillId="0" borderId="11" xfId="4" applyNumberFormat="1" applyFont="1" applyBorder="1" applyAlignment="1">
      <alignment horizontal="center"/>
    </xf>
    <xf numFmtId="0" fontId="8" fillId="9" borderId="11" xfId="4" applyNumberFormat="1" applyFont="1" applyFill="1" applyBorder="1" applyAlignment="1" applyProtection="1">
      <alignment horizontal="center"/>
      <protection locked="0"/>
    </xf>
    <xf numFmtId="0" fontId="8" fillId="9" borderId="12" xfId="4" applyNumberFormat="1" applyFont="1" applyFill="1" applyBorder="1" applyAlignment="1" applyProtection="1">
      <alignment horizontal="center"/>
      <protection locked="0"/>
    </xf>
    <xf numFmtId="0" fontId="8" fillId="9" borderId="10" xfId="4" applyNumberFormat="1" applyFont="1" applyFill="1" applyBorder="1" applyAlignment="1" applyProtection="1">
      <alignment horizontal="center"/>
      <protection locked="0"/>
    </xf>
    <xf numFmtId="4" fontId="8" fillId="9" borderId="11" xfId="3" applyNumberFormat="1" applyFont="1" applyFill="1" applyBorder="1" applyAlignment="1" applyProtection="1">
      <alignment horizontal="center"/>
      <protection locked="0"/>
    </xf>
    <xf numFmtId="0" fontId="8" fillId="9" borderId="11" xfId="3" applyNumberFormat="1" applyFont="1" applyFill="1" applyBorder="1" applyAlignment="1" applyProtection="1">
      <alignment horizontal="center"/>
      <protection locked="0"/>
    </xf>
    <xf numFmtId="4" fontId="8" fillId="9" borderId="11" xfId="4" applyNumberFormat="1" applyFont="1" applyFill="1" applyBorder="1" applyProtection="1">
      <protection locked="0"/>
    </xf>
    <xf numFmtId="4" fontId="8" fillId="9" borderId="11" xfId="4" applyNumberFormat="1" applyFont="1" applyFill="1" applyBorder="1" applyProtection="1"/>
    <xf numFmtId="4" fontId="8" fillId="0" borderId="14" xfId="4" applyNumberFormat="1" applyFont="1" applyBorder="1"/>
    <xf numFmtId="0" fontId="8" fillId="0" borderId="14" xfId="4" applyNumberFormat="1" applyFont="1" applyBorder="1" applyAlignment="1" applyProtection="1">
      <alignment horizontal="center"/>
      <protection locked="0"/>
    </xf>
    <xf numFmtId="0" fontId="8" fillId="0" borderId="23" xfId="4" applyNumberFormat="1" applyFont="1" applyBorder="1" applyAlignment="1">
      <alignment horizontal="left"/>
    </xf>
    <xf numFmtId="4" fontId="8" fillId="0" borderId="23" xfId="4" applyNumberFormat="1" applyFont="1" applyBorder="1" applyAlignment="1">
      <alignment horizontal="right"/>
    </xf>
    <xf numFmtId="4" fontId="8" fillId="0" borderId="11" xfId="4" applyNumberFormat="1" applyFont="1" applyBorder="1" applyAlignment="1">
      <alignment horizontal="right"/>
    </xf>
    <xf numFmtId="4" fontId="8" fillId="0" borderId="14" xfId="4" applyNumberFormat="1" applyFont="1" applyBorder="1" applyAlignment="1">
      <alignment horizontal="right"/>
    </xf>
    <xf numFmtId="0" fontId="12" fillId="9" borderId="24" xfId="10" applyFont="1" applyFill="1" applyBorder="1" applyAlignment="1" applyProtection="1">
      <alignment horizontal="center"/>
      <protection locked="0"/>
    </xf>
    <xf numFmtId="0" fontId="8" fillId="9" borderId="17" xfId="4" applyNumberFormat="1" applyFont="1" applyFill="1" applyBorder="1" applyAlignment="1" applyProtection="1">
      <alignment horizontal="center"/>
      <protection locked="0"/>
    </xf>
    <xf numFmtId="0" fontId="8" fillId="9" borderId="18" xfId="4" applyNumberFormat="1" applyFont="1" applyFill="1" applyBorder="1" applyAlignment="1" applyProtection="1">
      <alignment horizontal="center"/>
      <protection locked="0"/>
    </xf>
    <xf numFmtId="0" fontId="8" fillId="9" borderId="16" xfId="4" applyNumberFormat="1" applyFont="1" applyFill="1" applyBorder="1" applyAlignment="1" applyProtection="1">
      <alignment horizontal="center"/>
      <protection locked="0"/>
    </xf>
    <xf numFmtId="4" fontId="8" fillId="9" borderId="17" xfId="3" applyNumberFormat="1" applyFont="1" applyFill="1" applyBorder="1" applyAlignment="1" applyProtection="1">
      <alignment horizontal="center"/>
      <protection locked="0"/>
    </xf>
    <xf numFmtId="0" fontId="8" fillId="9" borderId="17" xfId="3" applyNumberFormat="1" applyFont="1" applyFill="1" applyBorder="1" applyAlignment="1" applyProtection="1">
      <alignment horizontal="center"/>
      <protection locked="0"/>
    </xf>
    <xf numFmtId="4" fontId="8" fillId="9" borderId="17" xfId="4" applyNumberFormat="1" applyFont="1" applyFill="1" applyBorder="1" applyProtection="1">
      <protection locked="0"/>
    </xf>
    <xf numFmtId="4" fontId="8" fillId="0" borderId="20" xfId="4" applyNumberFormat="1" applyFont="1" applyBorder="1"/>
    <xf numFmtId="0" fontId="8" fillId="0" borderId="20" xfId="4" applyNumberFormat="1" applyFont="1" applyBorder="1" applyProtection="1">
      <protection locked="0"/>
    </xf>
    <xf numFmtId="0" fontId="8" fillId="0" borderId="24" xfId="4" applyNumberFormat="1" applyFont="1" applyBorder="1" applyAlignment="1">
      <alignment horizontal="left"/>
    </xf>
    <xf numFmtId="4" fontId="8" fillId="0" borderId="24" xfId="4" applyNumberFormat="1" applyFont="1" applyBorder="1" applyAlignment="1">
      <alignment horizontal="right"/>
    </xf>
    <xf numFmtId="4" fontId="8" fillId="0" borderId="17" xfId="4" applyNumberFormat="1" applyFont="1" applyBorder="1" applyAlignment="1">
      <alignment horizontal="right"/>
    </xf>
    <xf numFmtId="4" fontId="8" fillId="0" borderId="20" xfId="4" applyNumberFormat="1" applyFont="1" applyBorder="1" applyAlignment="1">
      <alignment horizontal="right"/>
    </xf>
    <xf numFmtId="4" fontId="10" fillId="8" borderId="8" xfId="8" applyNumberFormat="1" applyFont="1" applyFill="1" applyBorder="1" applyAlignment="1">
      <alignment vertical="center"/>
    </xf>
    <xf numFmtId="0" fontId="10" fillId="8" borderId="22" xfId="11" applyNumberFormat="1" applyFont="1" applyFill="1" applyBorder="1" applyAlignment="1">
      <alignment horizontal="center" vertical="center" wrapText="1"/>
    </xf>
    <xf numFmtId="4" fontId="10" fillId="8" borderId="8" xfId="8" applyNumberFormat="1" applyFont="1" applyFill="1" applyBorder="1" applyAlignment="1">
      <alignment horizontal="center" vertical="center"/>
    </xf>
    <xf numFmtId="4" fontId="8" fillId="9" borderId="11" xfId="4" applyNumberFormat="1" applyFont="1" applyFill="1" applyBorder="1" applyAlignment="1">
      <alignment horizontal="center"/>
    </xf>
    <xf numFmtId="0" fontId="8" fillId="0" borderId="23" xfId="4" applyNumberFormat="1" applyFont="1" applyBorder="1" applyAlignment="1" applyProtection="1">
      <alignment horizontal="center"/>
      <protection locked="0"/>
    </xf>
    <xf numFmtId="4" fontId="8" fillId="9" borderId="11" xfId="4" applyNumberFormat="1" applyFont="1" applyFill="1" applyBorder="1" applyAlignment="1" applyProtection="1">
      <alignment horizontal="center"/>
      <protection locked="0"/>
    </xf>
    <xf numFmtId="0" fontId="12" fillId="0" borderId="17" xfId="11" applyNumberFormat="1" applyFont="1" applyBorder="1" applyAlignment="1">
      <alignment horizontal="left"/>
    </xf>
    <xf numFmtId="0" fontId="8" fillId="0" borderId="17" xfId="4" applyNumberFormat="1" applyFont="1" applyBorder="1" applyAlignment="1">
      <alignment horizontal="center"/>
    </xf>
    <xf numFmtId="4" fontId="8" fillId="9" borderId="17" xfId="4" applyNumberFormat="1" applyFont="1" applyFill="1" applyBorder="1" applyAlignment="1">
      <alignment horizontal="center"/>
    </xf>
    <xf numFmtId="0" fontId="8" fillId="0" borderId="20" xfId="4" applyNumberFormat="1" applyFont="1" applyBorder="1" applyAlignment="1" applyProtection="1">
      <alignment horizontal="center"/>
      <protection locked="0"/>
    </xf>
    <xf numFmtId="0" fontId="8" fillId="0" borderId="24" xfId="4" applyNumberFormat="1" applyFont="1" applyBorder="1" applyAlignment="1" applyProtection="1">
      <alignment horizontal="center"/>
      <protection locked="0"/>
    </xf>
    <xf numFmtId="0" fontId="10" fillId="0" borderId="0" xfId="11" applyNumberFormat="1" applyFont="1" applyAlignment="1">
      <alignment horizontal="left"/>
    </xf>
    <xf numFmtId="0" fontId="10" fillId="8" borderId="25" xfId="8" applyFont="1" applyFill="1" applyBorder="1" applyAlignment="1">
      <alignment horizontal="center" vertical="center"/>
    </xf>
    <xf numFmtId="0" fontId="12" fillId="0" borderId="23" xfId="10" applyFont="1" applyBorder="1" applyAlignment="1">
      <alignment horizontal="center"/>
    </xf>
    <xf numFmtId="4" fontId="8" fillId="0" borderId="11" xfId="3" applyNumberFormat="1" applyFont="1" applyBorder="1" applyAlignment="1">
      <alignment horizontal="center"/>
    </xf>
    <xf numFmtId="4" fontId="8" fillId="0" borderId="11" xfId="4" applyNumberFormat="1" applyFont="1" applyBorder="1" applyAlignment="1">
      <alignment horizontal="center"/>
    </xf>
    <xf numFmtId="0" fontId="8" fillId="0" borderId="11" xfId="3" applyNumberFormat="1" applyFont="1" applyBorder="1" applyAlignment="1">
      <alignment horizontal="center"/>
    </xf>
    <xf numFmtId="0" fontId="8" fillId="0" borderId="26" xfId="4" applyNumberFormat="1" applyFont="1" applyBorder="1" applyAlignment="1">
      <alignment horizontal="left"/>
    </xf>
    <xf numFmtId="0" fontId="8" fillId="0" borderId="27" xfId="4" applyNumberFormat="1" applyFont="1" applyBorder="1" applyAlignment="1">
      <alignment horizontal="left"/>
    </xf>
    <xf numFmtId="0" fontId="8" fillId="0" borderId="12" xfId="4" applyNumberFormat="1" applyFont="1" applyBorder="1" applyAlignment="1">
      <alignment horizontal="center"/>
    </xf>
    <xf numFmtId="0" fontId="8" fillId="0" borderId="10" xfId="4" applyNumberFormat="1" applyFont="1" applyBorder="1" applyAlignment="1">
      <alignment horizontal="center"/>
    </xf>
    <xf numFmtId="0" fontId="8" fillId="0" borderId="14" xfId="4" applyNumberFormat="1" applyFont="1" applyBorder="1" applyProtection="1">
      <protection locked="0"/>
    </xf>
    <xf numFmtId="0" fontId="12" fillId="0" borderId="28" xfId="11" applyNumberFormat="1" applyFont="1" applyBorder="1" applyAlignment="1">
      <alignment horizontal="left"/>
    </xf>
    <xf numFmtId="0" fontId="12" fillId="0" borderId="29" xfId="11" applyNumberFormat="1" applyFont="1" applyBorder="1" applyAlignment="1">
      <alignment horizontal="left"/>
    </xf>
    <xf numFmtId="0" fontId="8" fillId="0" borderId="29" xfId="4" applyNumberFormat="1" applyFont="1" applyBorder="1" applyAlignment="1">
      <alignment horizontal="center"/>
    </xf>
    <xf numFmtId="4" fontId="8" fillId="0" borderId="29" xfId="3" applyNumberFormat="1" applyFont="1" applyBorder="1" applyAlignment="1">
      <alignment horizontal="center"/>
    </xf>
    <xf numFmtId="0" fontId="8" fillId="0" borderId="29" xfId="3" applyNumberFormat="1" applyFont="1" applyBorder="1" applyAlignment="1">
      <alignment horizontal="center"/>
    </xf>
    <xf numFmtId="43" fontId="8" fillId="0" borderId="29" xfId="4" applyFont="1" applyBorder="1" applyAlignment="1">
      <alignment horizontal="center"/>
    </xf>
    <xf numFmtId="43" fontId="8" fillId="0" borderId="30" xfId="4" applyFont="1" applyBorder="1"/>
    <xf numFmtId="0" fontId="8" fillId="0" borderId="30" xfId="4" applyNumberFormat="1" applyFont="1" applyBorder="1" applyProtection="1">
      <protection locked="0"/>
    </xf>
    <xf numFmtId="0" fontId="8" fillId="0" borderId="25" xfId="4" applyNumberFormat="1" applyFont="1" applyBorder="1"/>
    <xf numFmtId="0" fontId="8" fillId="0" borderId="26" xfId="4" applyNumberFormat="1" applyFont="1" applyBorder="1"/>
    <xf numFmtId="0" fontId="12" fillId="0" borderId="24" xfId="10" applyFont="1" applyBorder="1" applyAlignment="1">
      <alignment horizontal="center"/>
    </xf>
    <xf numFmtId="0" fontId="8" fillId="0" borderId="18" xfId="4" applyNumberFormat="1" applyFont="1" applyBorder="1" applyAlignment="1">
      <alignment horizontal="center"/>
    </xf>
    <xf numFmtId="0" fontId="8" fillId="0" borderId="16" xfId="4" applyNumberFormat="1" applyFont="1" applyBorder="1" applyAlignment="1">
      <alignment horizontal="center"/>
    </xf>
    <xf numFmtId="4" fontId="8" fillId="0" borderId="17" xfId="3" applyNumberFormat="1" applyFont="1" applyBorder="1" applyAlignment="1">
      <alignment horizontal="center"/>
    </xf>
    <xf numFmtId="0" fontId="8" fillId="0" borderId="17" xfId="3" applyNumberFormat="1" applyFont="1" applyBorder="1" applyAlignment="1">
      <alignment horizontal="center"/>
    </xf>
    <xf numFmtId="0" fontId="8" fillId="0" borderId="27" xfId="4" applyNumberFormat="1" applyFont="1" applyBorder="1"/>
    <xf numFmtId="0" fontId="10" fillId="0" borderId="0" xfId="4" applyNumberFormat="1" applyFont="1"/>
    <xf numFmtId="0" fontId="10" fillId="0" borderId="0" xfId="4" applyNumberFormat="1" applyFont="1" applyAlignment="1">
      <alignment horizontal="center" vertical="center"/>
    </xf>
    <xf numFmtId="3" fontId="10" fillId="0" borderId="0" xfId="4" applyNumberFormat="1" applyFont="1" applyAlignment="1">
      <alignment horizontal="center" vertical="center"/>
    </xf>
    <xf numFmtId="4" fontId="10" fillId="0" borderId="0" xfId="4" applyNumberFormat="1" applyFont="1" applyAlignment="1">
      <alignment horizontal="center" vertical="center"/>
    </xf>
    <xf numFmtId="0" fontId="10" fillId="0" borderId="0" xfId="4" applyNumberFormat="1" applyFont="1" applyAlignment="1" applyProtection="1">
      <alignment horizontal="center" vertical="center"/>
      <protection locked="0"/>
    </xf>
    <xf numFmtId="0" fontId="12" fillId="0" borderId="15" xfId="4" applyNumberFormat="1" applyFont="1" applyBorder="1"/>
    <xf numFmtId="0" fontId="12" fillId="0" borderId="16" xfId="4" applyNumberFormat="1" applyFont="1" applyBorder="1" applyAlignment="1">
      <alignment horizontal="center" vertical="center"/>
    </xf>
    <xf numFmtId="0" fontId="12" fillId="0" borderId="17" xfId="4" applyNumberFormat="1" applyFont="1" applyBorder="1" applyAlignment="1">
      <alignment horizontal="center" vertical="center"/>
    </xf>
    <xf numFmtId="0" fontId="12" fillId="0" borderId="18" xfId="4" applyNumberFormat="1" applyFont="1" applyBorder="1" applyAlignment="1">
      <alignment horizontal="center" vertical="center"/>
    </xf>
    <xf numFmtId="0" fontId="12" fillId="0" borderId="19" xfId="4" applyNumberFormat="1" applyFont="1" applyBorder="1" applyAlignment="1">
      <alignment horizontal="center" vertical="center"/>
    </xf>
    <xf numFmtId="3" fontId="12" fillId="0" borderId="19" xfId="4" applyNumberFormat="1" applyFont="1" applyBorder="1" applyAlignment="1">
      <alignment horizontal="center" vertical="center"/>
    </xf>
    <xf numFmtId="4" fontId="12" fillId="0" borderId="17" xfId="4" applyNumberFormat="1" applyFont="1" applyBorder="1" applyAlignment="1">
      <alignment horizontal="center" vertical="center"/>
    </xf>
    <xf numFmtId="4" fontId="12" fillId="0" borderId="20" xfId="4" applyNumberFormat="1" applyFont="1" applyBorder="1" applyAlignment="1">
      <alignment horizontal="center" vertical="center"/>
    </xf>
    <xf numFmtId="0" fontId="12" fillId="0" borderId="20" xfId="4" applyNumberFormat="1" applyFont="1" applyBorder="1" applyAlignment="1" applyProtection="1">
      <alignment horizontal="center" vertical="center"/>
      <protection locked="0"/>
    </xf>
    <xf numFmtId="0" fontId="12" fillId="0" borderId="0" xfId="4" applyNumberFormat="1" applyFont="1"/>
    <xf numFmtId="0" fontId="12" fillId="0" borderId="0" xfId="4" applyNumberFormat="1" applyFont="1" applyAlignment="1">
      <alignment horizontal="center" vertical="center"/>
    </xf>
    <xf numFmtId="3" fontId="12" fillId="0" borderId="0" xfId="4" applyNumberFormat="1" applyFont="1" applyAlignment="1">
      <alignment horizontal="center" vertical="center"/>
    </xf>
    <xf numFmtId="4" fontId="12" fillId="0" borderId="0" xfId="4" applyNumberFormat="1" applyFont="1" applyAlignment="1">
      <alignment horizontal="center" vertical="center"/>
    </xf>
    <xf numFmtId="0" fontId="12" fillId="0" borderId="0" xfId="4" applyNumberFormat="1" applyFont="1" applyAlignment="1" applyProtection="1">
      <alignment horizontal="center" vertical="center"/>
      <protection locked="0"/>
    </xf>
    <xf numFmtId="9" fontId="12" fillId="0" borderId="17" xfId="11" applyNumberFormat="1" applyFont="1" applyBorder="1" applyAlignment="1">
      <alignment horizontal="center" vertical="center"/>
    </xf>
    <xf numFmtId="9" fontId="8" fillId="9" borderId="11" xfId="9" applyFont="1" applyFill="1" applyBorder="1" applyProtection="1">
      <protection locked="0"/>
    </xf>
    <xf numFmtId="170" fontId="7" fillId="9" borderId="11" xfId="2" applyNumberFormat="1" applyFill="1" applyBorder="1" applyProtection="1">
      <protection locked="0"/>
    </xf>
    <xf numFmtId="4" fontId="8" fillId="9" borderId="17" xfId="4" applyNumberFormat="1" applyFont="1" applyFill="1" applyBorder="1" applyAlignment="1" applyProtection="1">
      <alignment horizontal="center"/>
      <protection locked="0"/>
    </xf>
    <xf numFmtId="0" fontId="8" fillId="9" borderId="17" xfId="3" quotePrefix="1" applyNumberFormat="1" applyFont="1" applyFill="1" applyBorder="1" applyAlignment="1" applyProtection="1">
      <alignment horizontal="center"/>
      <protection locked="0"/>
    </xf>
    <xf numFmtId="4" fontId="8" fillId="0" borderId="17" xfId="4" applyNumberFormat="1" applyFont="1" applyBorder="1" applyAlignment="1">
      <alignment horizontal="center"/>
    </xf>
    <xf numFmtId="3" fontId="15" fillId="0" borderId="21" xfId="7" applyNumberFormat="1" applyFont="1" applyBorder="1" applyAlignment="1">
      <alignment horizontal="center" vertical="center"/>
    </xf>
    <xf numFmtId="0" fontId="8" fillId="9" borderId="12" xfId="4" applyNumberFormat="1" applyFont="1" applyFill="1" applyBorder="1" applyAlignment="1" applyProtection="1">
      <alignment horizontal="left"/>
      <protection locked="0"/>
    </xf>
    <xf numFmtId="0" fontId="8" fillId="0" borderId="31" xfId="4" applyNumberFormat="1" applyFont="1" applyBorder="1"/>
    <xf numFmtId="43" fontId="12" fillId="10" borderId="14" xfId="4" applyFont="1" applyFill="1" applyBorder="1" applyAlignment="1" applyProtection="1">
      <alignment horizontal="center" vertical="center"/>
      <protection locked="0"/>
    </xf>
    <xf numFmtId="43" fontId="10" fillId="0" borderId="20" xfId="4" applyFont="1" applyBorder="1" applyAlignment="1" applyProtection="1">
      <alignment horizontal="center" vertical="center"/>
      <protection locked="0"/>
    </xf>
    <xf numFmtId="9" fontId="10" fillId="0" borderId="0" xfId="9" applyFont="1" applyAlignment="1">
      <alignment horizontal="center" vertical="center"/>
    </xf>
    <xf numFmtId="0" fontId="8" fillId="9" borderId="11" xfId="3" applyNumberFormat="1" applyFont="1" applyFill="1" applyBorder="1" applyAlignment="1" applyProtection="1">
      <alignment horizontal="right"/>
      <protection locked="0"/>
    </xf>
    <xf numFmtId="43" fontId="8" fillId="0" borderId="30" xfId="4" applyFont="1" applyBorder="1" applyAlignment="1">
      <alignment horizontal="center"/>
    </xf>
    <xf numFmtId="0" fontId="8" fillId="0" borderId="30" xfId="4" applyNumberFormat="1" applyFont="1" applyBorder="1" applyAlignment="1" applyProtection="1">
      <alignment horizontal="center"/>
      <protection locked="0"/>
    </xf>
    <xf numFmtId="0" fontId="2" fillId="6" borderId="0" xfId="0" applyFont="1" applyFill="1"/>
    <xf numFmtId="0" fontId="0" fillId="11" borderId="0" xfId="0" applyFill="1"/>
    <xf numFmtId="0" fontId="3" fillId="5" borderId="1" xfId="0" applyFont="1" applyFill="1" applyBorder="1" applyAlignment="1">
      <alignment horizontal="left" vertical="center"/>
    </xf>
    <xf numFmtId="164" fontId="3" fillId="5" borderId="1" xfId="0" applyNumberFormat="1" applyFont="1" applyFill="1" applyBorder="1" applyAlignment="1">
      <alignment horizontal="right" vertical="center"/>
    </xf>
    <xf numFmtId="164" fontId="3" fillId="5" borderId="1" xfId="0" applyNumberFormat="1" applyFont="1" applyFill="1" applyBorder="1" applyAlignment="1">
      <alignment horizontal="center" vertical="center"/>
    </xf>
    <xf numFmtId="0" fontId="16" fillId="6" borderId="0" xfId="0" applyFont="1" applyFill="1" applyAlignment="1">
      <alignment horizontal="left" vertical="center"/>
    </xf>
    <xf numFmtId="2" fontId="0" fillId="0" borderId="0" xfId="0" applyNumberFormat="1"/>
    <xf numFmtId="1" fontId="2" fillId="3" borderId="2" xfId="0" applyNumberFormat="1" applyFont="1" applyFill="1" applyBorder="1" applyAlignment="1">
      <alignment horizontal="left" vertical="center"/>
    </xf>
    <xf numFmtId="1" fontId="2" fillId="3" borderId="2" xfId="0" applyNumberFormat="1" applyFont="1" applyFill="1" applyBorder="1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11" borderId="0" xfId="0" applyFill="1" applyAlignment="1">
      <alignment horizontal="center" vertical="center"/>
    </xf>
    <xf numFmtId="171" fontId="0" fillId="0" borderId="0" xfId="0" applyNumberFormat="1" applyAlignment="1">
      <alignment horizontal="center" vertical="center"/>
    </xf>
    <xf numFmtId="171" fontId="0" fillId="0" borderId="0" xfId="0" applyNumberFormat="1"/>
    <xf numFmtId="165" fontId="4" fillId="4" borderId="0" xfId="0" applyNumberFormat="1" applyFont="1" applyFill="1" applyAlignment="1">
      <alignment horizontal="center" vertical="center"/>
    </xf>
    <xf numFmtId="165" fontId="4" fillId="4" borderId="0" xfId="0" applyNumberFormat="1" applyFont="1" applyFill="1" applyAlignment="1">
      <alignment horizontal="left" vertical="center"/>
    </xf>
    <xf numFmtId="0" fontId="4" fillId="4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left" vertical="center"/>
    </xf>
    <xf numFmtId="0" fontId="18" fillId="2" borderId="0" xfId="0" applyFont="1" applyFill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1" fontId="0" fillId="3" borderId="2" xfId="0" applyNumberFormat="1" applyFill="1" applyBorder="1" applyAlignment="1">
      <alignment horizontal="left" vertical="center"/>
    </xf>
    <xf numFmtId="1" fontId="5" fillId="12" borderId="2" xfId="0" applyNumberFormat="1" applyFont="1" applyFill="1" applyBorder="1" applyAlignment="1">
      <alignment horizontal="left" vertical="center"/>
    </xf>
    <xf numFmtId="1" fontId="5" fillId="12" borderId="2" xfId="0" applyNumberFormat="1" applyFont="1" applyFill="1" applyBorder="1" applyAlignment="1">
      <alignment horizontal="right" vertical="center"/>
    </xf>
    <xf numFmtId="0" fontId="2" fillId="6" borderId="0" xfId="0" applyFont="1" applyFill="1" applyAlignment="1">
      <alignment horizontal="center" vertical="center"/>
    </xf>
    <xf numFmtId="172" fontId="0" fillId="0" borderId="0" xfId="0" applyNumberFormat="1"/>
    <xf numFmtId="0" fontId="17" fillId="4" borderId="32" xfId="0" applyFont="1" applyFill="1" applyBorder="1" applyAlignment="1">
      <alignment horizontal="center" vertical="center" textRotation="90"/>
    </xf>
    <xf numFmtId="0" fontId="17" fillId="4" borderId="0" xfId="0" applyFont="1" applyFill="1" applyAlignment="1">
      <alignment horizontal="center" vertical="center" textRotation="90"/>
    </xf>
    <xf numFmtId="0" fontId="17" fillId="4" borderId="1" xfId="0" applyFont="1" applyFill="1" applyBorder="1" applyAlignment="1">
      <alignment horizontal="center" vertical="center" textRotation="90"/>
    </xf>
    <xf numFmtId="0" fontId="3" fillId="5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9" fontId="2" fillId="6" borderId="0" xfId="0" applyNumberFormat="1" applyFont="1" applyFill="1"/>
    <xf numFmtId="9" fontId="0" fillId="11" borderId="0" xfId="0" applyNumberFormat="1" applyFill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9" fontId="0" fillId="0" borderId="0" xfId="0" applyNumberFormat="1"/>
    <xf numFmtId="4" fontId="0" fillId="0" borderId="0" xfId="0" applyNumberFormat="1"/>
    <xf numFmtId="4" fontId="2" fillId="6" borderId="0" xfId="0" applyNumberFormat="1" applyFont="1" applyFill="1"/>
    <xf numFmtId="4" fontId="0" fillId="11" borderId="0" xfId="0" applyNumberFormat="1" applyFill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43" fontId="0" fillId="0" borderId="0" xfId="13" applyFont="1" applyAlignment="1">
      <alignment horizontal="center"/>
    </xf>
    <xf numFmtId="4" fontId="0" fillId="0" borderId="0" xfId="0" applyNumberFormat="1" applyAlignment="1">
      <alignment horizontal="center"/>
    </xf>
    <xf numFmtId="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4">
    <cellStyle name="Normal" xfId="0" builtinId="0"/>
    <cellStyle name="Normal 2" xfId="1" xr:uid="{AC04A087-7848-4B65-B329-3F5B47697382}"/>
    <cellStyle name="Normal 2 2" xfId="3" xr:uid="{55D204EC-1A46-4E65-B8BE-F6CEC7830D41}"/>
    <cellStyle name="Normal 2 3" xfId="6" xr:uid="{04BEA0BC-56A9-47B8-AC0D-1D7490463B16}"/>
    <cellStyle name="Normal 3 2" xfId="5" xr:uid="{89449E3F-1135-4B04-BE26-4E1405AE054D}"/>
    <cellStyle name="Normal_Cal 06 2" xfId="8" xr:uid="{0545A3FB-DF17-4920-9EED-0E158EC339B8}"/>
    <cellStyle name="Normal_Modelo Leme - 2008" xfId="10" xr:uid="{AE0B5E2A-2A27-44BC-A9E9-C82362AD4C16}"/>
    <cellStyle name="Porcentagem 2" xfId="9" xr:uid="{F9E1F139-9837-4CE4-9456-DCC17055EEA2}"/>
    <cellStyle name="Porcentagem 2 2" xfId="12" xr:uid="{B19E881A-1286-4770-9832-DE047C9E879A}"/>
    <cellStyle name="Separador de milhares 2" xfId="11" xr:uid="{0523542F-309D-42B5-8652-0C0B48D44E2D}"/>
    <cellStyle name="Vírgula" xfId="13" builtinId="3"/>
    <cellStyle name="Vírgula 2" xfId="2" xr:uid="{FF328FC7-E403-4B4B-A2E5-9A20A0D5E4D7}"/>
    <cellStyle name="Vírgula 2 3" xfId="7" xr:uid="{F66E1BEB-6B82-4723-BB4F-0FE7349CA970}"/>
    <cellStyle name="Vírgula 3" xfId="4" xr:uid="{5AD953AB-79E5-48ED-B4BB-F86A42A34434}"/>
  </cellStyles>
  <dxfs count="11">
    <dxf>
      <font>
        <b/>
        <color rgb="FFEE2828"/>
      </font>
      <numFmt numFmtId="1" formatCode="0"/>
      <fill>
        <patternFill>
          <bgColor rgb="FF929295"/>
        </patternFill>
      </fill>
      <border>
        <left/>
        <right/>
        <top style="thin">
          <color rgb="FFFFFFFF"/>
        </top>
        <bottom style="thin">
          <color rgb="FFFFFFFF"/>
        </bottom>
        <vertical/>
        <horizontal/>
      </border>
    </dxf>
    <dxf>
      <font>
        <b/>
        <color rgb="FFEE2828"/>
      </font>
      <numFmt numFmtId="1" formatCode="0"/>
      <fill>
        <patternFill>
          <bgColor rgb="FF929295"/>
        </patternFill>
      </fill>
      <border>
        <left/>
        <right/>
        <top style="thin">
          <color rgb="FFFFFFFF"/>
        </top>
        <bottom style="thin">
          <color rgb="FFFFFFFF"/>
        </bottom>
        <vertical/>
        <horizontal/>
      </border>
    </dxf>
    <dxf>
      <font>
        <b/>
        <color rgb="FFEE2828"/>
      </font>
      <numFmt numFmtId="1" formatCode="0"/>
      <fill>
        <patternFill>
          <bgColor rgb="FF929295"/>
        </patternFill>
      </fill>
      <border>
        <left/>
        <right/>
        <top style="thin">
          <color rgb="FFFFFFFF"/>
        </top>
        <bottom style="thin">
          <color rgb="FFFFFFFF"/>
        </bottom>
        <vertical/>
        <horizontal/>
      </border>
    </dxf>
    <dxf>
      <font>
        <b/>
        <color rgb="FFEE2828"/>
      </font>
      <numFmt numFmtId="1" formatCode="0"/>
      <fill>
        <patternFill>
          <bgColor rgb="FF929295"/>
        </patternFill>
      </fill>
      <border>
        <left/>
        <right/>
        <top style="thin">
          <color rgb="FFFFFFFF"/>
        </top>
        <bottom style="thin">
          <color rgb="FFFFFFFF"/>
        </bottom>
        <vertical/>
        <horizontal/>
      </border>
    </dxf>
    <dxf>
      <font>
        <b/>
        <color rgb="FFEE2828"/>
      </font>
      <numFmt numFmtId="1" formatCode="0"/>
      <fill>
        <patternFill>
          <bgColor rgb="FF929295"/>
        </patternFill>
      </fill>
      <border>
        <left/>
        <right/>
        <top style="thin">
          <color rgb="FFFFFFFF"/>
        </top>
        <bottom style="thin">
          <color rgb="FFFFFFFF"/>
        </bottom>
        <vertical/>
        <horizontal/>
      </border>
    </dxf>
    <dxf>
      <font>
        <b/>
        <color rgb="FFEE2828"/>
      </font>
      <numFmt numFmtId="1" formatCode="0"/>
      <fill>
        <patternFill>
          <bgColor rgb="FF929295"/>
        </patternFill>
      </fill>
      <border>
        <left/>
        <right/>
        <top style="thin">
          <color rgb="FFFFFFFF"/>
        </top>
        <bottom style="thin">
          <color rgb="FFFFFFFF"/>
        </bottom>
        <vertical/>
        <horizontal/>
      </border>
    </dxf>
    <dxf>
      <font>
        <b/>
        <color rgb="FFEE2828"/>
      </font>
      <numFmt numFmtId="1" formatCode="0"/>
      <fill>
        <patternFill>
          <bgColor rgb="FF929295"/>
        </patternFill>
      </fill>
      <border>
        <left/>
        <right/>
        <top style="thin">
          <color rgb="FFFFFFFF"/>
        </top>
        <bottom style="thin">
          <color rgb="FFFFFFFF"/>
        </bottom>
        <vertical/>
        <horizontal/>
      </border>
    </dxf>
    <dxf>
      <font>
        <b/>
        <color rgb="FFEE2828"/>
      </font>
      <numFmt numFmtId="1" formatCode="0"/>
      <fill>
        <patternFill>
          <bgColor rgb="FF929295"/>
        </patternFill>
      </fill>
      <border>
        <left/>
        <right/>
        <top style="thin">
          <color rgb="FFFFFFFF"/>
        </top>
        <bottom style="thin">
          <color rgb="FFFFFFFF"/>
        </bottom>
        <vertical/>
        <horizontal/>
      </border>
    </dxf>
    <dxf>
      <font>
        <b/>
        <color rgb="FFEE2828"/>
      </font>
      <numFmt numFmtId="1" formatCode="0"/>
      <fill>
        <patternFill>
          <bgColor rgb="FF929295"/>
        </patternFill>
      </fill>
      <border>
        <left/>
        <right/>
        <top style="thin">
          <color rgb="FFFFFFFF"/>
        </top>
        <bottom style="thin">
          <color rgb="FFFFFFFF"/>
        </bottom>
        <vertical/>
        <horizontal/>
      </border>
    </dxf>
    <dxf>
      <font>
        <b/>
        <color rgb="FFEE2828"/>
      </font>
      <numFmt numFmtId="1" formatCode="0"/>
      <fill>
        <patternFill>
          <bgColor rgb="FF929295"/>
        </patternFill>
      </fill>
      <border>
        <left/>
        <right/>
        <top style="thin">
          <color rgb="FFFFFFFF"/>
        </top>
        <bottom style="thin">
          <color rgb="FFFFFFFF"/>
        </bottom>
        <vertical/>
        <horizontal/>
      </border>
    </dxf>
    <dxf>
      <font>
        <b/>
        <color rgb="FFEE2828"/>
      </font>
      <numFmt numFmtId="1" formatCode="0"/>
      <fill>
        <patternFill>
          <bgColor rgb="FF929295"/>
        </patternFill>
      </fill>
      <border>
        <left/>
        <right/>
        <top style="thin">
          <color rgb="FFFFFFFF"/>
        </top>
        <bottom style="thin">
          <color rgb="FFFFFFFF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DF2A58-355D-40DD-BB93-03895AB4E754}" name="Tabela1" displayName="Tabela1" ref="A1:B281" totalsRowShown="0">
  <autoFilter ref="A1:B281" xr:uid="{5EDF2A58-355D-40DD-BB93-03895AB4E754}"/>
  <tableColumns count="2">
    <tableColumn id="1" xr3:uid="{1A058C34-5528-414F-BAB0-BB4F8A04EEB4}" name="Código"/>
    <tableColumn id="2" xr3:uid="{634E14AF-F9D7-44BF-AFD6-6A8F41952258}" name="Descrição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64BD0-B1B8-4803-A03C-CA03B1D46BA6}">
  <sheetPr>
    <outlinePr summaryBelow="0"/>
  </sheetPr>
  <dimension ref="A1:Q71"/>
  <sheetViews>
    <sheetView showGridLines="0" zoomScale="80" zoomScaleNormal="80" workbookViewId="0">
      <selection activeCell="B9" sqref="B9"/>
    </sheetView>
  </sheetViews>
  <sheetFormatPr defaultRowHeight="15" outlineLevelRow="1" x14ac:dyDescent="0.25"/>
  <cols>
    <col min="1" max="1" width="1.85546875" customWidth="1"/>
    <col min="2" max="2" width="7.42578125" customWidth="1"/>
    <col min="3" max="3" width="9.140625" bestFit="1" customWidth="1"/>
    <col min="4" max="4" width="29" customWidth="1"/>
    <col min="5" max="5" width="16.42578125" customWidth="1"/>
    <col min="6" max="6" width="13.28515625" bestFit="1" customWidth="1"/>
    <col min="7" max="7" width="14.5703125" bestFit="1" customWidth="1"/>
    <col min="8" max="17" width="12.5703125" customWidth="1"/>
    <col min="22" max="22" width="28.42578125" bestFit="1" customWidth="1"/>
  </cols>
  <sheetData>
    <row r="1" spans="1:17" x14ac:dyDescent="0.25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</row>
    <row r="2" spans="1:17" ht="21" x14ac:dyDescent="0.25">
      <c r="A2" s="8"/>
      <c r="B2" s="9"/>
      <c r="C2" s="9"/>
      <c r="D2" s="254" t="s">
        <v>83</v>
      </c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</row>
    <row r="3" spans="1:17" x14ac:dyDescent="0.2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</row>
    <row r="4" spans="1:17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25">
      <c r="A5" s="1"/>
      <c r="B5" s="10"/>
      <c r="C5" s="10"/>
      <c r="D5" s="10" t="s">
        <v>84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x14ac:dyDescent="0.25">
      <c r="A6" s="1"/>
      <c r="B6" s="251" t="s">
        <v>320</v>
      </c>
      <c r="C6" s="251" t="s">
        <v>218</v>
      </c>
      <c r="D6" s="251" t="s">
        <v>75</v>
      </c>
      <c r="E6" s="252">
        <v>45748</v>
      </c>
      <c r="F6" s="252">
        <v>45778</v>
      </c>
      <c r="G6" s="252">
        <v>45809</v>
      </c>
      <c r="H6" s="252">
        <v>45839</v>
      </c>
      <c r="I6" s="252">
        <v>45870</v>
      </c>
      <c r="J6" s="252">
        <v>45901</v>
      </c>
      <c r="K6" s="252">
        <v>45931</v>
      </c>
      <c r="L6" s="252">
        <v>45962</v>
      </c>
      <c r="M6" s="252">
        <v>45992</v>
      </c>
      <c r="N6" s="252">
        <v>46023</v>
      </c>
      <c r="O6" s="252">
        <v>46054</v>
      </c>
      <c r="P6" s="252">
        <v>46082</v>
      </c>
      <c r="Q6" s="253" t="s">
        <v>85</v>
      </c>
    </row>
    <row r="7" spans="1:17" x14ac:dyDescent="0.25">
      <c r="A7" s="1"/>
      <c r="B7" s="264">
        <v>1031</v>
      </c>
      <c r="C7" s="7" t="s">
        <v>312</v>
      </c>
      <c r="D7" s="263" t="str">
        <f>_xlfn.XLOOKUP(B7,Apoio!A:A,Apoio!B:B)</f>
        <v xml:space="preserve">1ª Aplicação De Herbicida     </v>
      </c>
      <c r="E7" s="7">
        <f>SUMIFS(Qtde_Oper_Plantio_Tratos!P:P,Qtde_Oper_Plantio_Tratos!$F:$F,'Dimensionamento Tratos (2)'!$B7,Qtde_Oper_Plantio_Tratos!$I:$I,'Dimensionamento Tratos (2)'!$C7)</f>
        <v>1329.5219999999999</v>
      </c>
      <c r="F7" s="7">
        <f>SUMIFS(Qtde_Oper_Plantio_Tratos!Q:Q,Qtde_Oper_Plantio_Tratos!$F:$F,'Dimensionamento Tratos (2)'!$B7,Qtde_Oper_Plantio_Tratos!$I:$I,'Dimensionamento Tratos (2)'!$C7)</f>
        <v>2090.75</v>
      </c>
      <c r="G7" s="7">
        <f>SUMIFS(Qtde_Oper_Plantio_Tratos!R:R,Qtde_Oper_Plantio_Tratos!$F:$F,'Dimensionamento Tratos (2)'!$B7,Qtde_Oper_Plantio_Tratos!$I:$I,'Dimensionamento Tratos (2)'!$C7)</f>
        <v>2335.4899999999998</v>
      </c>
      <c r="H7" s="7">
        <f>SUMIFS(Qtde_Oper_Plantio_Tratos!S:S,Qtde_Oper_Plantio_Tratos!$F:$F,'Dimensionamento Tratos (2)'!$B7,Qtde_Oper_Plantio_Tratos!$I:$I,'Dimensionamento Tratos (2)'!$C7)</f>
        <v>1476.67</v>
      </c>
      <c r="I7" s="7">
        <f>SUMIFS(Qtde_Oper_Plantio_Tratos!T:T,Qtde_Oper_Plantio_Tratos!$F:$F,'Dimensionamento Tratos (2)'!$B7,Qtde_Oper_Plantio_Tratos!$I:$I,'Dimensionamento Tratos (2)'!$C7)</f>
        <v>1496.14</v>
      </c>
      <c r="J7" s="7">
        <f>SUMIFS(Qtde_Oper_Plantio_Tratos!U:U,Qtde_Oper_Plantio_Tratos!$F:$F,'Dimensionamento Tratos (2)'!$B7,Qtde_Oper_Plantio_Tratos!$I:$I,'Dimensionamento Tratos (2)'!$C7)</f>
        <v>1659.82</v>
      </c>
      <c r="K7" s="7">
        <f>SUMIFS(Qtde_Oper_Plantio_Tratos!V:V,Qtde_Oper_Plantio_Tratos!$F:$F,'Dimensionamento Tratos (2)'!$B7,Qtde_Oper_Plantio_Tratos!$I:$I,'Dimensionamento Tratos (2)'!$C7)</f>
        <v>1868.84</v>
      </c>
      <c r="L7" s="7">
        <f>SUMIFS(Qtde_Oper_Plantio_Tratos!W:W,Qtde_Oper_Plantio_Tratos!$F:$F,'Dimensionamento Tratos (2)'!$B7,Qtde_Oper_Plantio_Tratos!$I:$I,'Dimensionamento Tratos (2)'!$C7)</f>
        <v>1005.77</v>
      </c>
      <c r="M7" s="7">
        <f>SUMIFS(Qtde_Oper_Plantio_Tratos!X:X,Qtde_Oper_Plantio_Tratos!$F:$F,'Dimensionamento Tratos (2)'!$B7,Qtde_Oper_Plantio_Tratos!$I:$I,'Dimensionamento Tratos (2)'!$C7)</f>
        <v>0</v>
      </c>
      <c r="N7" s="7">
        <f>SUMIFS(Qtde_Oper_Plantio_Tratos!Y:Y,Qtde_Oper_Plantio_Tratos!$F:$F,'Dimensionamento Tratos (2)'!$B7,Qtde_Oper_Plantio_Tratos!$I:$I,'Dimensionamento Tratos (2)'!$C7)</f>
        <v>0</v>
      </c>
      <c r="O7" s="7">
        <f>SUMIFS(Qtde_Oper_Plantio_Tratos!Z:Z,Qtde_Oper_Plantio_Tratos!$F:$F,'Dimensionamento Tratos (2)'!$B7,Qtde_Oper_Plantio_Tratos!$I:$I,'Dimensionamento Tratos (2)'!$C7)</f>
        <v>100</v>
      </c>
      <c r="P7" s="7">
        <f>SUMIFS(Qtde_Oper_Plantio_Tratos!AA:AA,Qtde_Oper_Plantio_Tratos!$F:$F,'Dimensionamento Tratos (2)'!$B7,Qtde_Oper_Plantio_Tratos!$I:$I,'Dimensionamento Tratos (2)'!$C7)</f>
        <v>100</v>
      </c>
      <c r="Q7" s="7">
        <f>SUM(E7:P7)</f>
        <v>13463.002</v>
      </c>
    </row>
    <row r="8" spans="1:17" outlineLevel="1" x14ac:dyDescent="0.25">
      <c r="A8" s="1"/>
      <c r="B8" s="262"/>
      <c r="C8" s="7" t="s">
        <v>607</v>
      </c>
      <c r="D8" s="263" t="s">
        <v>86</v>
      </c>
      <c r="E8" s="7">
        <f t="shared" ref="E8:P8" si="0">IF($C8="Proprio",IFERROR(E7/(_xlfn.XLOOKUP(E$6,$E$68:$Q$68,$E$69:$Q$69)*_xlfn.XLOOKUP($B7,$C$52:$C$64,$E$52:$E$64)),0),0)</f>
        <v>0.71551916667373461</v>
      </c>
      <c r="F8" s="7">
        <f t="shared" si="0"/>
        <v>1.0221495468158464</v>
      </c>
      <c r="G8" s="7">
        <f t="shared" si="0"/>
        <v>1.1070365768411692</v>
      </c>
      <c r="H8" s="7">
        <f t="shared" si="0"/>
        <v>0.64087567527487055</v>
      </c>
      <c r="I8" s="7">
        <f t="shared" si="0"/>
        <v>0.65945804955060783</v>
      </c>
      <c r="J8" s="7">
        <f t="shared" si="0"/>
        <v>0.80731796318808868</v>
      </c>
      <c r="K8" s="7">
        <f t="shared" si="0"/>
        <v>1.0183337468618536</v>
      </c>
      <c r="L8" s="7">
        <f t="shared" si="0"/>
        <v>0.61268678755074424</v>
      </c>
      <c r="M8" s="7">
        <f t="shared" si="0"/>
        <v>0</v>
      </c>
      <c r="N8" s="7">
        <f t="shared" si="0"/>
        <v>0</v>
      </c>
      <c r="O8" s="7">
        <f t="shared" si="0"/>
        <v>0.11301989150090416</v>
      </c>
      <c r="P8" s="7">
        <f t="shared" si="0"/>
        <v>7.0323488045007029E-2</v>
      </c>
      <c r="Q8" s="7">
        <f>IFERROR(Q7/(_xlfn.XLOOKUP(Q$6,$E$68:$Q$68,$E$69:$Q$69)*_xlfn.XLOOKUP($B7,$C$52:$C$64,$E$52:$E$64)),0)</f>
        <v>0.66404390628799359</v>
      </c>
    </row>
    <row r="9" spans="1:17" x14ac:dyDescent="0.25">
      <c r="A9" s="1"/>
      <c r="B9" s="265">
        <v>1073</v>
      </c>
      <c r="C9" s="2" t="s">
        <v>312</v>
      </c>
      <c r="D9" s="2" t="str">
        <f>_xlfn.XLOOKUP(B9,Apoio!A:A,Apoio!B:B)</f>
        <v>Apl Inseticida Em Profundidade</v>
      </c>
      <c r="E9" s="3">
        <f>SUMIFS(Qtde_Oper_Plantio_Tratos!P:P,Qtde_Oper_Plantio_Tratos!$F:$F,'Dimensionamento Tratos (2)'!$B9,Qtde_Oper_Plantio_Tratos!$I:$I,'Dimensionamento Tratos (2)'!$C9)</f>
        <v>1500</v>
      </c>
      <c r="F9" s="3">
        <f>SUMIFS(Qtde_Oper_Plantio_Tratos!Q:Q,Qtde_Oper_Plantio_Tratos!$F:$F,'Dimensionamento Tratos (2)'!$B9,Qtde_Oper_Plantio_Tratos!$I:$I,'Dimensionamento Tratos (2)'!$C9)</f>
        <v>1800</v>
      </c>
      <c r="G9" s="3">
        <f>SUMIFS(Qtde_Oper_Plantio_Tratos!R:R,Qtde_Oper_Plantio_Tratos!$F:$F,'Dimensionamento Tratos (2)'!$B9,Qtde_Oper_Plantio_Tratos!$I:$I,'Dimensionamento Tratos (2)'!$C9)</f>
        <v>1800</v>
      </c>
      <c r="H9" s="3">
        <f>SUMIFS(Qtde_Oper_Plantio_Tratos!S:S,Qtde_Oper_Plantio_Tratos!$F:$F,'Dimensionamento Tratos (2)'!$B9,Qtde_Oper_Plantio_Tratos!$I:$I,'Dimensionamento Tratos (2)'!$C9)</f>
        <v>1932.63</v>
      </c>
      <c r="I9" s="3">
        <f>SUMIFS(Qtde_Oper_Plantio_Tratos!T:T,Qtde_Oper_Plantio_Tratos!$F:$F,'Dimensionamento Tratos (2)'!$B9,Qtde_Oper_Plantio_Tratos!$I:$I,'Dimensionamento Tratos (2)'!$C9)</f>
        <v>1496.14</v>
      </c>
      <c r="J9" s="3">
        <f>SUMIFS(Qtde_Oper_Plantio_Tratos!U:U,Qtde_Oper_Plantio_Tratos!$F:$F,'Dimensionamento Tratos (2)'!$B9,Qtde_Oper_Plantio_Tratos!$I:$I,'Dimensionamento Tratos (2)'!$C9)</f>
        <v>1659.82</v>
      </c>
      <c r="K9" s="3">
        <f>SUMIFS(Qtde_Oper_Plantio_Tratos!V:V,Qtde_Oper_Plantio_Tratos!$F:$F,'Dimensionamento Tratos (2)'!$B9,Qtde_Oper_Plantio_Tratos!$I:$I,'Dimensionamento Tratos (2)'!$C9)</f>
        <v>1868.64</v>
      </c>
      <c r="L9" s="3">
        <f>SUMIFS(Qtde_Oper_Plantio_Tratos!W:W,Qtde_Oper_Plantio_Tratos!$F:$F,'Dimensionamento Tratos (2)'!$B9,Qtde_Oper_Plantio_Tratos!$I:$I,'Dimensionamento Tratos (2)'!$C9)</f>
        <v>1005.77</v>
      </c>
      <c r="M9" s="3">
        <f>SUMIFS(Qtde_Oper_Plantio_Tratos!X:X,Qtde_Oper_Plantio_Tratos!$F:$F,'Dimensionamento Tratos (2)'!$B9,Qtde_Oper_Plantio_Tratos!$I:$I,'Dimensionamento Tratos (2)'!$C9)</f>
        <v>0</v>
      </c>
      <c r="N9" s="3">
        <f>SUMIFS(Qtde_Oper_Plantio_Tratos!Y:Y,Qtde_Oper_Plantio_Tratos!$F:$F,'Dimensionamento Tratos (2)'!$B9,Qtde_Oper_Plantio_Tratos!$I:$I,'Dimensionamento Tratos (2)'!$C9)</f>
        <v>0</v>
      </c>
      <c r="O9" s="3">
        <f>SUMIFS(Qtde_Oper_Plantio_Tratos!Z:Z,Qtde_Oper_Plantio_Tratos!$F:$F,'Dimensionamento Tratos (2)'!$B9,Qtde_Oper_Plantio_Tratos!$I:$I,'Dimensionamento Tratos (2)'!$C9)</f>
        <v>100</v>
      </c>
      <c r="P9" s="3">
        <f>SUMIFS(Qtde_Oper_Plantio_Tratos!AA:AA,Qtde_Oper_Plantio_Tratos!$F:$F,'Dimensionamento Tratos (2)'!$B9,Qtde_Oper_Plantio_Tratos!$I:$I,'Dimensionamento Tratos (2)'!$C9)</f>
        <v>100</v>
      </c>
      <c r="Q9" s="3">
        <f>SUMIFS(Qtde_Oper_Plantio_Tratos!AB:AB,Qtde_Oper_Plantio_Tratos!$F:$F,'Dimensionamento Tratos (2)'!$B9,Qtde_Oper_Plantio_Tratos!$I:$I,'Dimensionamento Tratos (2)'!$C9)</f>
        <v>13263</v>
      </c>
    </row>
    <row r="10" spans="1:17" outlineLevel="1" x14ac:dyDescent="0.25">
      <c r="A10" s="1"/>
      <c r="B10" s="265"/>
      <c r="C10" s="2" t="s">
        <v>607</v>
      </c>
      <c r="D10" s="2" t="s">
        <v>603</v>
      </c>
      <c r="E10" s="3">
        <f t="shared" ref="E10:P10" si="1">IF($C10="Proprio",IFERROR(E9/(_xlfn.XLOOKUP(E$6,$E$68:$Q$68,$E$69:$Q$69)*_xlfn.XLOOKUP($B9,$C$52:$C$64,$E$52:$E$64)),0),0)</f>
        <v>10.541167619894056</v>
      </c>
      <c r="F10" s="3">
        <f t="shared" si="1"/>
        <v>11.490966451574939</v>
      </c>
      <c r="G10" s="3">
        <f t="shared" si="1"/>
        <v>11.141102760909591</v>
      </c>
      <c r="H10" s="3">
        <f t="shared" si="1"/>
        <v>10.952437148002412</v>
      </c>
      <c r="I10" s="3">
        <f t="shared" si="1"/>
        <v>8.6111051098343818</v>
      </c>
      <c r="J10" s="3">
        <f t="shared" si="1"/>
        <v>10.541837866422977</v>
      </c>
      <c r="K10" s="3">
        <f t="shared" si="1"/>
        <v>13.29582753027324</v>
      </c>
      <c r="L10" s="3">
        <f t="shared" si="1"/>
        <v>8.0003729283485612</v>
      </c>
      <c r="M10" s="3">
        <f t="shared" si="1"/>
        <v>0</v>
      </c>
      <c r="N10" s="3">
        <f t="shared" si="1"/>
        <v>0</v>
      </c>
      <c r="O10" s="3">
        <f t="shared" si="1"/>
        <v>1.475796930342385</v>
      </c>
      <c r="P10" s="3">
        <f t="shared" si="1"/>
        <v>0.91827364554637292</v>
      </c>
      <c r="Q10" s="3">
        <f>IFERROR(Q9/(_xlfn.XLOOKUP(Q$6,$E$68:$Q$68,$E$69:$Q$69)*_xlfn.XLOOKUP($B9,$C$52:$C$64,$E$52:$E$64)),0)</f>
        <v>8.5421731754360692</v>
      </c>
    </row>
    <row r="11" spans="1:17" x14ac:dyDescent="0.25">
      <c r="A11" s="1"/>
      <c r="B11" s="264">
        <v>1033</v>
      </c>
      <c r="C11" s="7" t="s">
        <v>312</v>
      </c>
      <c r="D11" s="263" t="str">
        <f>_xlfn.XLOOKUP(B11,Apoio!A:A,Apoio!B:B)</f>
        <v xml:space="preserve">Aplicação De Torta De Filtro  </v>
      </c>
      <c r="E11" s="7">
        <f>SUMIFS(Qtde_Oper_Plantio_Tratos!P:P,Qtde_Oper_Plantio_Tratos!$F:$F,'Dimensionamento Tratos (2)'!$B11,Qtde_Oper_Plantio_Tratos!$I:$I,'Dimensionamento Tratos (2)'!$C11)</f>
        <v>322.16000000000003</v>
      </c>
      <c r="F11" s="7">
        <f>SUMIFS(Qtde_Oper_Plantio_Tratos!Q:Q,Qtde_Oper_Plantio_Tratos!$F:$F,'Dimensionamento Tratos (2)'!$B11,Qtde_Oper_Plantio_Tratos!$I:$I,'Dimensionamento Tratos (2)'!$C11)</f>
        <v>543.24</v>
      </c>
      <c r="G11" s="7">
        <f>SUMIFS(Qtde_Oper_Plantio_Tratos!R:R,Qtde_Oper_Plantio_Tratos!$F:$F,'Dimensionamento Tratos (2)'!$B11,Qtde_Oper_Plantio_Tratos!$I:$I,'Dimensionamento Tratos (2)'!$C11)</f>
        <v>291.06</v>
      </c>
      <c r="H11" s="7">
        <f>SUMIFS(Qtde_Oper_Plantio_Tratos!S:S,Qtde_Oper_Plantio_Tratos!$F:$F,'Dimensionamento Tratos (2)'!$B11,Qtde_Oper_Plantio_Tratos!$I:$I,'Dimensionamento Tratos (2)'!$C11)</f>
        <v>120.53</v>
      </c>
      <c r="I11" s="7">
        <f>SUMIFS(Qtde_Oper_Plantio_Tratos!T:T,Qtde_Oper_Plantio_Tratos!$F:$F,'Dimensionamento Tratos (2)'!$B11,Qtde_Oper_Plantio_Tratos!$I:$I,'Dimensionamento Tratos (2)'!$C11)</f>
        <v>106.19</v>
      </c>
      <c r="J11" s="7">
        <f>SUMIFS(Qtde_Oper_Plantio_Tratos!U:U,Qtde_Oper_Plantio_Tratos!$F:$F,'Dimensionamento Tratos (2)'!$B11,Qtde_Oper_Plantio_Tratos!$I:$I,'Dimensionamento Tratos (2)'!$C11)</f>
        <v>262.37</v>
      </c>
      <c r="K11" s="7">
        <f>SUMIFS(Qtde_Oper_Plantio_Tratos!V:V,Qtde_Oper_Plantio_Tratos!$F:$F,'Dimensionamento Tratos (2)'!$B11,Qtde_Oper_Plantio_Tratos!$I:$I,'Dimensionamento Tratos (2)'!$C11)</f>
        <v>593.80999999999995</v>
      </c>
      <c r="L11" s="7">
        <f>SUMIFS(Qtde_Oper_Plantio_Tratos!W:W,Qtde_Oper_Plantio_Tratos!$F:$F,'Dimensionamento Tratos (2)'!$B11,Qtde_Oper_Plantio_Tratos!$I:$I,'Dimensionamento Tratos (2)'!$C11)</f>
        <v>337.88</v>
      </c>
      <c r="M11" s="7">
        <f>SUMIFS(Qtde_Oper_Plantio_Tratos!X:X,Qtde_Oper_Plantio_Tratos!$F:$F,'Dimensionamento Tratos (2)'!$B11,Qtde_Oper_Plantio_Tratos!$I:$I,'Dimensionamento Tratos (2)'!$C11)</f>
        <v>0</v>
      </c>
      <c r="N11" s="7">
        <f>SUMIFS(Qtde_Oper_Plantio_Tratos!Y:Y,Qtde_Oper_Plantio_Tratos!$F:$F,'Dimensionamento Tratos (2)'!$B11,Qtde_Oper_Plantio_Tratos!$I:$I,'Dimensionamento Tratos (2)'!$C11)</f>
        <v>0</v>
      </c>
      <c r="O11" s="7">
        <f>SUMIFS(Qtde_Oper_Plantio_Tratos!Z:Z,Qtde_Oper_Plantio_Tratos!$F:$F,'Dimensionamento Tratos (2)'!$B11,Qtde_Oper_Plantio_Tratos!$I:$I,'Dimensionamento Tratos (2)'!$C11)</f>
        <v>0</v>
      </c>
      <c r="P11" s="7">
        <f>SUMIFS(Qtde_Oper_Plantio_Tratos!AA:AA,Qtde_Oper_Plantio_Tratos!$F:$F,'Dimensionamento Tratos (2)'!$B11,Qtde_Oper_Plantio_Tratos!$I:$I,'Dimensionamento Tratos (2)'!$C11)</f>
        <v>0</v>
      </c>
      <c r="Q11" s="7">
        <f>SUM(E11:P11)</f>
        <v>2577.2400000000002</v>
      </c>
    </row>
    <row r="12" spans="1:17" outlineLevel="1" x14ac:dyDescent="0.25">
      <c r="A12" s="1"/>
      <c r="B12" s="262"/>
      <c r="C12" s="7" t="s">
        <v>607</v>
      </c>
      <c r="D12" s="263" t="s">
        <v>608</v>
      </c>
      <c r="E12" s="7">
        <f t="shared" ref="E12:P12" si="2">IF($C12="Proprio",IFERROR(E11/(_xlfn.XLOOKUP(E$6,$E$68:$Q$68,$E$69:$Q$69)*_xlfn.XLOOKUP($B11,$C$52:$C$64,$E$52:$E$64)),0),0)</f>
        <v>4.6066036974375937</v>
      </c>
      <c r="F12" s="7">
        <f t="shared" si="2"/>
        <v>7.0564710989684407</v>
      </c>
      <c r="G12" s="7">
        <f t="shared" si="2"/>
        <v>3.6656413837857977</v>
      </c>
      <c r="H12" s="7">
        <f t="shared" si="2"/>
        <v>1.3898533698145845</v>
      </c>
      <c r="I12" s="7">
        <f t="shared" si="2"/>
        <v>1.2436038332649884</v>
      </c>
      <c r="J12" s="7">
        <f t="shared" si="2"/>
        <v>3.3906369418301194</v>
      </c>
      <c r="K12" s="7">
        <f t="shared" si="2"/>
        <v>8.5970413151358969</v>
      </c>
      <c r="L12" s="7">
        <f t="shared" si="2"/>
        <v>5.4687215964893738</v>
      </c>
      <c r="M12" s="7">
        <f t="shared" si="2"/>
        <v>0</v>
      </c>
      <c r="N12" s="7">
        <f t="shared" si="2"/>
        <v>0</v>
      </c>
      <c r="O12" s="7">
        <f t="shared" si="2"/>
        <v>0</v>
      </c>
      <c r="P12" s="7">
        <f t="shared" si="2"/>
        <v>0</v>
      </c>
      <c r="Q12" s="7">
        <f>IFERROR(Q11/(_xlfn.XLOOKUP(Q$6,$E$68:$Q$68,$E$69:$Q$69)*_xlfn.XLOOKUP($B11,$C$52:$C$64,$E$52:$E$64)),0)</f>
        <v>3.377483532216758</v>
      </c>
    </row>
    <row r="13" spans="1:17" x14ac:dyDescent="0.25">
      <c r="A13" s="1"/>
      <c r="B13" s="265">
        <v>1022</v>
      </c>
      <c r="C13" s="2" t="s">
        <v>312</v>
      </c>
      <c r="D13" s="2" t="str">
        <f>_xlfn.XLOOKUP(B13,Apoio!A:A,Apoio!B:B)</f>
        <v xml:space="preserve">Cultivo                       </v>
      </c>
      <c r="E13" s="3">
        <f>SUMIFS(Qtde_Oper_Plantio_Tratos!P:P,Qtde_Oper_Plantio_Tratos!$F:$F,'Dimensionamento Tratos (2)'!$B13,Qtde_Oper_Plantio_Tratos!$I:$I,'Dimensionamento Tratos (2)'!$C13)</f>
        <v>57.050000000000004</v>
      </c>
      <c r="F13" s="3">
        <f>SUMIFS(Qtde_Oper_Plantio_Tratos!Q:Q,Qtde_Oper_Plantio_Tratos!$F:$F,'Dimensionamento Tratos (2)'!$B13,Qtde_Oper_Plantio_Tratos!$I:$I,'Dimensionamento Tratos (2)'!$C13)</f>
        <v>70.150000000000006</v>
      </c>
      <c r="G13" s="3">
        <f>SUMIFS(Qtde_Oper_Plantio_Tratos!R:R,Qtde_Oper_Plantio_Tratos!$F:$F,'Dimensionamento Tratos (2)'!$B13,Qtde_Oper_Plantio_Tratos!$I:$I,'Dimensionamento Tratos (2)'!$C13)</f>
        <v>0</v>
      </c>
      <c r="H13" s="3">
        <f>SUMIFS(Qtde_Oper_Plantio_Tratos!S:S,Qtde_Oper_Plantio_Tratos!$F:$F,'Dimensionamento Tratos (2)'!$B13,Qtde_Oper_Plantio_Tratos!$I:$I,'Dimensionamento Tratos (2)'!$C13)</f>
        <v>103.64</v>
      </c>
      <c r="I13" s="3">
        <f>SUMIFS(Qtde_Oper_Plantio_Tratos!T:T,Qtde_Oper_Plantio_Tratos!$F:$F,'Dimensionamento Tratos (2)'!$B13,Qtde_Oper_Plantio_Tratos!$I:$I,'Dimensionamento Tratos (2)'!$C13)</f>
        <v>57</v>
      </c>
      <c r="J13" s="3">
        <f>SUMIFS(Qtde_Oper_Plantio_Tratos!U:U,Qtde_Oper_Plantio_Tratos!$F:$F,'Dimensionamento Tratos (2)'!$B13,Qtde_Oper_Plantio_Tratos!$I:$I,'Dimensionamento Tratos (2)'!$C13)</f>
        <v>16.439999999999998</v>
      </c>
      <c r="K13" s="3">
        <f>SUMIFS(Qtde_Oper_Plantio_Tratos!V:V,Qtde_Oper_Plantio_Tratos!$F:$F,'Dimensionamento Tratos (2)'!$B13,Qtde_Oper_Plantio_Tratos!$I:$I,'Dimensionamento Tratos (2)'!$C13)</f>
        <v>0.19999999999999998</v>
      </c>
      <c r="L13" s="3">
        <f>SUMIFS(Qtde_Oper_Plantio_Tratos!W:W,Qtde_Oper_Plantio_Tratos!$F:$F,'Dimensionamento Tratos (2)'!$B13,Qtde_Oper_Plantio_Tratos!$I:$I,'Dimensionamento Tratos (2)'!$C13)</f>
        <v>368.65000000000003</v>
      </c>
      <c r="M13" s="3">
        <f>SUMIFS(Qtde_Oper_Plantio_Tratos!X:X,Qtde_Oper_Plantio_Tratos!$F:$F,'Dimensionamento Tratos (2)'!$B13,Qtde_Oper_Plantio_Tratos!$I:$I,'Dimensionamento Tratos (2)'!$C13)</f>
        <v>0</v>
      </c>
      <c r="N13" s="3">
        <f>SUMIFS(Qtde_Oper_Plantio_Tratos!Y:Y,Qtde_Oper_Plantio_Tratos!$F:$F,'Dimensionamento Tratos (2)'!$B13,Qtde_Oper_Plantio_Tratos!$I:$I,'Dimensionamento Tratos (2)'!$C13)</f>
        <v>0</v>
      </c>
      <c r="O13" s="3">
        <f>SUMIFS(Qtde_Oper_Plantio_Tratos!Z:Z,Qtde_Oper_Plantio_Tratos!$F:$F,'Dimensionamento Tratos (2)'!$B13,Qtde_Oper_Plantio_Tratos!$I:$I,'Dimensionamento Tratos (2)'!$C13)</f>
        <v>100</v>
      </c>
      <c r="P13" s="3">
        <f>SUMIFS(Qtde_Oper_Plantio_Tratos!AA:AA,Qtde_Oper_Plantio_Tratos!$F:$F,'Dimensionamento Tratos (2)'!$B13,Qtde_Oper_Plantio_Tratos!$I:$I,'Dimensionamento Tratos (2)'!$C13)</f>
        <v>100</v>
      </c>
      <c r="Q13" s="3">
        <f>SUMIFS(Qtde_Oper_Plantio_Tratos!AB:AB,Qtde_Oper_Plantio_Tratos!$F:$F,'Dimensionamento Tratos (2)'!$B13,Qtde_Oper_Plantio_Tratos!$I:$I,'Dimensionamento Tratos (2)'!$C13)</f>
        <v>873.13000000000011</v>
      </c>
    </row>
    <row r="14" spans="1:17" outlineLevel="1" x14ac:dyDescent="0.25">
      <c r="A14" s="1"/>
      <c r="B14" s="265"/>
      <c r="C14" s="2" t="s">
        <v>607</v>
      </c>
      <c r="D14" s="2" t="s">
        <v>609</v>
      </c>
      <c r="E14" s="3">
        <f t="shared" ref="E14:P14" si="3">IF($C14="Proprio",IFERROR(E13/(_xlfn.XLOOKUP(E$6,$E$68:$Q$68,$E$69:$Q$69)*_xlfn.XLOOKUP($B13,$C$52:$C$64,$E$52:$E$64)),0),0)</f>
        <v>0.40091574180997064</v>
      </c>
      <c r="F14" s="3">
        <f t="shared" si="3"/>
        <v>0.44782849809887892</v>
      </c>
      <c r="G14" s="3">
        <f t="shared" si="3"/>
        <v>0</v>
      </c>
      <c r="H14" s="3">
        <f t="shared" si="3"/>
        <v>0.58733983536371159</v>
      </c>
      <c r="I14" s="3">
        <f t="shared" si="3"/>
        <v>0.32806621790778923</v>
      </c>
      <c r="J14" s="3">
        <f t="shared" si="3"/>
        <v>0.10441361986480083</v>
      </c>
      <c r="K14" s="3">
        <f t="shared" si="3"/>
        <v>1.4230485840261622E-3</v>
      </c>
      <c r="L14" s="3">
        <f t="shared" si="3"/>
        <v>2.9324174314561953</v>
      </c>
      <c r="M14" s="3">
        <f t="shared" si="3"/>
        <v>0</v>
      </c>
      <c r="N14" s="3">
        <f t="shared" si="3"/>
        <v>0</v>
      </c>
      <c r="O14" s="3">
        <f t="shared" si="3"/>
        <v>1.475796930342385</v>
      </c>
      <c r="P14" s="3">
        <f t="shared" si="3"/>
        <v>0.91827364554637292</v>
      </c>
      <c r="Q14" s="3">
        <f>IFERROR(Q13/(_xlfn.XLOOKUP(Q$6,$E$68:$Q$68,$E$69:$Q$69)*_xlfn.XLOOKUP($B13,$C$52:$C$64,$E$52:$E$64)),0)</f>
        <v>0.56234846299242225</v>
      </c>
    </row>
    <row r="15" spans="1:17" x14ac:dyDescent="0.25">
      <c r="A15" s="1"/>
      <c r="B15" s="264">
        <v>1022</v>
      </c>
      <c r="C15" s="7" t="s">
        <v>315</v>
      </c>
      <c r="D15" s="263" t="str">
        <f>_xlfn.XLOOKUP(B15,Apoio!A:A,Apoio!B:B)</f>
        <v xml:space="preserve">Cultivo                       </v>
      </c>
      <c r="E15" s="7">
        <f>SUMIFS(Qtde_Oper_Plantio_Tratos!P:P,Qtde_Oper_Plantio_Tratos!$F:$F,'Dimensionamento Tratos (2)'!$B15,Qtde_Oper_Plantio_Tratos!$I:$I,'Dimensionamento Tratos (2)'!$C15)</f>
        <v>0</v>
      </c>
      <c r="F15" s="7">
        <f>SUMIFS(Qtde_Oper_Plantio_Tratos!Q:Q,Qtde_Oper_Plantio_Tratos!$F:$F,'Dimensionamento Tratos (2)'!$B15,Qtde_Oper_Plantio_Tratos!$I:$I,'Dimensionamento Tratos (2)'!$C15)</f>
        <v>0</v>
      </c>
      <c r="G15" s="7">
        <f>SUMIFS(Qtde_Oper_Plantio_Tratos!R:R,Qtde_Oper_Plantio_Tratos!$F:$F,'Dimensionamento Tratos (2)'!$B15,Qtde_Oper_Plantio_Tratos!$I:$I,'Dimensionamento Tratos (2)'!$C15)</f>
        <v>100</v>
      </c>
      <c r="H15" s="7">
        <f>SUMIFS(Qtde_Oper_Plantio_Tratos!S:S,Qtde_Oper_Plantio_Tratos!$F:$F,'Dimensionamento Tratos (2)'!$B15,Qtde_Oper_Plantio_Tratos!$I:$I,'Dimensionamento Tratos (2)'!$C15)</f>
        <v>0</v>
      </c>
      <c r="I15" s="7">
        <f>SUMIFS(Qtde_Oper_Plantio_Tratos!T:T,Qtde_Oper_Plantio_Tratos!$F:$F,'Dimensionamento Tratos (2)'!$B15,Qtde_Oper_Plantio_Tratos!$I:$I,'Dimensionamento Tratos (2)'!$C15)</f>
        <v>100</v>
      </c>
      <c r="J15" s="7">
        <f>SUMIFS(Qtde_Oper_Plantio_Tratos!U:U,Qtde_Oper_Plantio_Tratos!$F:$F,'Dimensionamento Tratos (2)'!$B15,Qtde_Oper_Plantio_Tratos!$I:$I,'Dimensionamento Tratos (2)'!$C15)</f>
        <v>100</v>
      </c>
      <c r="K15" s="7">
        <f>SUMIFS(Qtde_Oper_Plantio_Tratos!V:V,Qtde_Oper_Plantio_Tratos!$F:$F,'Dimensionamento Tratos (2)'!$B15,Qtde_Oper_Plantio_Tratos!$I:$I,'Dimensionamento Tratos (2)'!$C15)</f>
        <v>100</v>
      </c>
      <c r="L15" s="7">
        <f>SUMIFS(Qtde_Oper_Plantio_Tratos!W:W,Qtde_Oper_Plantio_Tratos!$F:$F,'Dimensionamento Tratos (2)'!$B15,Qtde_Oper_Plantio_Tratos!$I:$I,'Dimensionamento Tratos (2)'!$C15)</f>
        <v>0</v>
      </c>
      <c r="M15" s="7">
        <f>SUMIFS(Qtde_Oper_Plantio_Tratos!X:X,Qtde_Oper_Plantio_Tratos!$F:$F,'Dimensionamento Tratos (2)'!$B15,Qtde_Oper_Plantio_Tratos!$I:$I,'Dimensionamento Tratos (2)'!$C15)</f>
        <v>0</v>
      </c>
      <c r="N15" s="7">
        <f>SUMIFS(Qtde_Oper_Plantio_Tratos!Y:Y,Qtde_Oper_Plantio_Tratos!$F:$F,'Dimensionamento Tratos (2)'!$B15,Qtde_Oper_Plantio_Tratos!$I:$I,'Dimensionamento Tratos (2)'!$C15)</f>
        <v>0</v>
      </c>
      <c r="O15" s="7">
        <f>SUMIFS(Qtde_Oper_Plantio_Tratos!Z:Z,Qtde_Oper_Plantio_Tratos!$F:$F,'Dimensionamento Tratos (2)'!$B15,Qtde_Oper_Plantio_Tratos!$I:$I,'Dimensionamento Tratos (2)'!$C15)</f>
        <v>0</v>
      </c>
      <c r="P15" s="7">
        <f>SUMIFS(Qtde_Oper_Plantio_Tratos!AA:AA,Qtde_Oper_Plantio_Tratos!$F:$F,'Dimensionamento Tratos (2)'!$B15,Qtde_Oper_Plantio_Tratos!$I:$I,'Dimensionamento Tratos (2)'!$C15)</f>
        <v>0</v>
      </c>
      <c r="Q15" s="7">
        <f>SUM(E15:P15)</f>
        <v>400</v>
      </c>
    </row>
    <row r="16" spans="1:17" outlineLevel="1" x14ac:dyDescent="0.25">
      <c r="A16" s="1"/>
      <c r="B16" s="262"/>
      <c r="C16" s="7" t="s">
        <v>607</v>
      </c>
      <c r="D16" s="263" t="s">
        <v>610</v>
      </c>
      <c r="E16" s="7">
        <f t="shared" ref="E16:P16" si="4">IF($C16="Proprio",IFERROR(E15/(_xlfn.XLOOKUP(E$6,$E$68:$Q$68,$E$69:$Q$69)*_xlfn.XLOOKUP($B15,$C$52:$C$64,$E$52:$E$64)),0),0)</f>
        <v>0</v>
      </c>
      <c r="F16" s="7">
        <f t="shared" si="4"/>
        <v>0</v>
      </c>
      <c r="G16" s="7">
        <f t="shared" si="4"/>
        <v>0.61895015338386616</v>
      </c>
      <c r="H16" s="7">
        <f t="shared" si="4"/>
        <v>0</v>
      </c>
      <c r="I16" s="7">
        <f t="shared" si="4"/>
        <v>0.57555476825927931</v>
      </c>
      <c r="J16" s="7">
        <f t="shared" si="4"/>
        <v>0.63511934224331412</v>
      </c>
      <c r="K16" s="7">
        <f t="shared" si="4"/>
        <v>0.71152429201308109</v>
      </c>
      <c r="L16" s="7">
        <f t="shared" si="4"/>
        <v>0</v>
      </c>
      <c r="M16" s="7">
        <f t="shared" si="4"/>
        <v>0</v>
      </c>
      <c r="N16" s="7">
        <f t="shared" si="4"/>
        <v>0</v>
      </c>
      <c r="O16" s="7">
        <f t="shared" si="4"/>
        <v>0</v>
      </c>
      <c r="P16" s="7">
        <f t="shared" si="4"/>
        <v>0</v>
      </c>
      <c r="Q16" s="7">
        <f>IFERROR(Q15/(_xlfn.XLOOKUP(Q$6,$E$68:$Q$68,$E$69:$Q$69)*_xlfn.XLOOKUP($B15,$C$52:$C$64,$E$52:$E$64)),0)</f>
        <v>0.25762416272143762</v>
      </c>
    </row>
    <row r="17" spans="1:17" x14ac:dyDescent="0.25">
      <c r="A17" s="1"/>
      <c r="B17" s="265">
        <v>1078</v>
      </c>
      <c r="C17" s="2" t="s">
        <v>312</v>
      </c>
      <c r="D17" s="2" t="str">
        <f>_xlfn.XLOOKUP(B17,Apoio!A:A,Apoio!B:B)</f>
        <v xml:space="preserve">2ª Aplicação De Herbicida     </v>
      </c>
      <c r="E17" s="3">
        <f>SUMIFS(Qtde_Oper_Plantio_Tratos!P:P,Qtde_Oper_Plantio_Tratos!$F:$F,'Dimensionamento Tratos (2)'!$B17,Qtde_Oper_Plantio_Tratos!$I:$I,'Dimensionamento Tratos (2)'!$C17)</f>
        <v>0</v>
      </c>
      <c r="F17" s="3">
        <f>SUMIFS(Qtde_Oper_Plantio_Tratos!Q:Q,Qtde_Oper_Plantio_Tratos!$F:$F,'Dimensionamento Tratos (2)'!$B17,Qtde_Oper_Plantio_Tratos!$I:$I,'Dimensionamento Tratos (2)'!$C17)</f>
        <v>0</v>
      </c>
      <c r="G17" s="3">
        <f>SUMIFS(Qtde_Oper_Plantio_Tratos!R:R,Qtde_Oper_Plantio_Tratos!$F:$F,'Dimensionamento Tratos (2)'!$B17,Qtde_Oper_Plantio_Tratos!$I:$I,'Dimensionamento Tratos (2)'!$C17)</f>
        <v>554.63800000000003</v>
      </c>
      <c r="H17" s="3">
        <f>SUMIFS(Qtde_Oper_Plantio_Tratos!S:S,Qtde_Oper_Plantio_Tratos!$F:$F,'Dimensionamento Tratos (2)'!$B17,Qtde_Oper_Plantio_Tratos!$I:$I,'Dimensionamento Tratos (2)'!$C17)</f>
        <v>0</v>
      </c>
      <c r="I17" s="3">
        <f>SUMIFS(Qtde_Oper_Plantio_Tratos!T:T,Qtde_Oper_Plantio_Tratos!$F:$F,'Dimensionamento Tratos (2)'!$B17,Qtde_Oper_Plantio_Tratos!$I:$I,'Dimensionamento Tratos (2)'!$C17)</f>
        <v>523.649</v>
      </c>
      <c r="J17" s="3">
        <f>SUMIFS(Qtde_Oper_Plantio_Tratos!U:U,Qtde_Oper_Plantio_Tratos!$F:$F,'Dimensionamento Tratos (2)'!$B17,Qtde_Oper_Plantio_Tratos!$I:$I,'Dimensionamento Tratos (2)'!$C17)</f>
        <v>580.9369999999999</v>
      </c>
      <c r="K17" s="3">
        <f>SUMIFS(Qtde_Oper_Plantio_Tratos!V:V,Qtde_Oper_Plantio_Tratos!$F:$F,'Dimensionamento Tratos (2)'!$B17,Qtde_Oper_Plantio_Tratos!$I:$I,'Dimensionamento Tratos (2)'!$C17)</f>
        <v>600</v>
      </c>
      <c r="L17" s="3">
        <f>SUMIFS(Qtde_Oper_Plantio_Tratos!W:W,Qtde_Oper_Plantio_Tratos!$F:$F,'Dimensionamento Tratos (2)'!$B17,Qtde_Oper_Plantio_Tratos!$I:$I,'Dimensionamento Tratos (2)'!$C17)</f>
        <v>310</v>
      </c>
      <c r="M17" s="3">
        <f>SUMIFS(Qtde_Oper_Plantio_Tratos!X:X,Qtde_Oper_Plantio_Tratos!$F:$F,'Dimensionamento Tratos (2)'!$B17,Qtde_Oper_Plantio_Tratos!$I:$I,'Dimensionamento Tratos (2)'!$C17)</f>
        <v>250</v>
      </c>
      <c r="N17" s="3">
        <f>SUMIFS(Qtde_Oper_Plantio_Tratos!Y:Y,Qtde_Oper_Plantio_Tratos!$F:$F,'Dimensionamento Tratos (2)'!$B17,Qtde_Oper_Plantio_Tratos!$I:$I,'Dimensionamento Tratos (2)'!$C17)</f>
        <v>250</v>
      </c>
      <c r="O17" s="3">
        <f>SUMIFS(Qtde_Oper_Plantio_Tratos!Z:Z,Qtde_Oper_Plantio_Tratos!$F:$F,'Dimensionamento Tratos (2)'!$B17,Qtde_Oper_Plantio_Tratos!$I:$I,'Dimensionamento Tratos (2)'!$C17)</f>
        <v>250</v>
      </c>
      <c r="P17" s="3">
        <f>SUMIFS(Qtde_Oper_Plantio_Tratos!AA:AA,Qtde_Oper_Plantio_Tratos!$F:$F,'Dimensionamento Tratos (2)'!$B17,Qtde_Oper_Plantio_Tratos!$I:$I,'Dimensionamento Tratos (2)'!$C17)</f>
        <v>250</v>
      </c>
      <c r="Q17" s="3">
        <f>SUMIFS(Qtde_Oper_Plantio_Tratos!AB:AB,Qtde_Oper_Plantio_Tratos!$F:$F,'Dimensionamento Tratos (2)'!$B17,Qtde_Oper_Plantio_Tratos!$I:$I,'Dimensionamento Tratos (2)'!$C17)</f>
        <v>3569.2240000000002</v>
      </c>
    </row>
    <row r="18" spans="1:17" outlineLevel="1" x14ac:dyDescent="0.25">
      <c r="A18" s="1"/>
      <c r="B18" s="265"/>
      <c r="C18" s="2" t="s">
        <v>607</v>
      </c>
      <c r="D18" s="2" t="s">
        <v>84</v>
      </c>
      <c r="E18" s="3">
        <f t="shared" ref="E18:P18" si="5">IF($C18="Proprio",IFERROR(E17/(_xlfn.XLOOKUP(E$6,$E$68:$Q$68,$E$69:$Q$69)*_xlfn.XLOOKUP($B17,$C$52:$C$64,$E$52:$E$64)),0),0)</f>
        <v>0</v>
      </c>
      <c r="F18" s="3">
        <f t="shared" si="5"/>
        <v>0</v>
      </c>
      <c r="G18" s="3">
        <f t="shared" si="5"/>
        <v>0.33807775064466911</v>
      </c>
      <c r="H18" s="3">
        <f t="shared" si="5"/>
        <v>0</v>
      </c>
      <c r="I18" s="3">
        <f t="shared" si="5"/>
        <v>0.29680979495508902</v>
      </c>
      <c r="J18" s="3">
        <f t="shared" si="5"/>
        <v>0.36335879026832307</v>
      </c>
      <c r="K18" s="3">
        <f t="shared" si="5"/>
        <v>0.42042862398385528</v>
      </c>
      <c r="L18" s="3">
        <f t="shared" si="5"/>
        <v>0.24284241446847984</v>
      </c>
      <c r="M18" s="3">
        <f t="shared" si="5"/>
        <v>0.28658112538497399</v>
      </c>
      <c r="N18" s="3">
        <f t="shared" si="5"/>
        <v>0.44233173700724249</v>
      </c>
      <c r="O18" s="3">
        <f t="shared" si="5"/>
        <v>0.36334392682737776</v>
      </c>
      <c r="P18" s="3">
        <f t="shared" si="5"/>
        <v>0.22608066558147943</v>
      </c>
      <c r="Q18" s="3">
        <f>IFERROR(Q17/(_xlfn.XLOOKUP(Q$6,$E$68:$Q$68,$E$69:$Q$69)*_xlfn.XLOOKUP($B17,$C$52:$C$64,$E$52:$E$64)),0)</f>
        <v>0.22638711277617307</v>
      </c>
    </row>
    <row r="19" spans="1:17" x14ac:dyDescent="0.25">
      <c r="A19" s="1"/>
      <c r="B19" s="264">
        <v>1031</v>
      </c>
      <c r="C19" s="7" t="s">
        <v>315</v>
      </c>
      <c r="D19" s="263" t="str">
        <f>_xlfn.XLOOKUP(B19,Apoio!A:A,Apoio!B:B)</f>
        <v xml:space="preserve">1ª Aplicação De Herbicida     </v>
      </c>
      <c r="E19" s="7">
        <f>SUMIFS(Qtde_Oper_Plantio_Tratos!P:P,Qtde_Oper_Plantio_Tratos!$F:$F,'Dimensionamento Tratos (2)'!$B19,Qtde_Oper_Plantio_Tratos!$I:$I,'Dimensionamento Tratos (2)'!$C19)</f>
        <v>0</v>
      </c>
      <c r="F19" s="7">
        <f>SUMIFS(Qtde_Oper_Plantio_Tratos!Q:Q,Qtde_Oper_Plantio_Tratos!$F:$F,'Dimensionamento Tratos (2)'!$B19,Qtde_Oper_Plantio_Tratos!$I:$I,'Dimensionamento Tratos (2)'!$C19)</f>
        <v>0</v>
      </c>
      <c r="G19" s="7">
        <f>SUMIFS(Qtde_Oper_Plantio_Tratos!R:R,Qtde_Oper_Plantio_Tratos!$F:$F,'Dimensionamento Tratos (2)'!$B19,Qtde_Oper_Plantio_Tratos!$I:$I,'Dimensionamento Tratos (2)'!$C19)</f>
        <v>100</v>
      </c>
      <c r="H19" s="7">
        <f>SUMIFS(Qtde_Oper_Plantio_Tratos!S:S,Qtde_Oper_Plantio_Tratos!$F:$F,'Dimensionamento Tratos (2)'!$B19,Qtde_Oper_Plantio_Tratos!$I:$I,'Dimensionamento Tratos (2)'!$C19)</f>
        <v>0</v>
      </c>
      <c r="I19" s="7">
        <f>SUMIFS(Qtde_Oper_Plantio_Tratos!T:T,Qtde_Oper_Plantio_Tratos!$F:$F,'Dimensionamento Tratos (2)'!$B19,Qtde_Oper_Plantio_Tratos!$I:$I,'Dimensionamento Tratos (2)'!$C19)</f>
        <v>100</v>
      </c>
      <c r="J19" s="7">
        <f>SUMIFS(Qtde_Oper_Plantio_Tratos!U:U,Qtde_Oper_Plantio_Tratos!$F:$F,'Dimensionamento Tratos (2)'!$B19,Qtde_Oper_Plantio_Tratos!$I:$I,'Dimensionamento Tratos (2)'!$C19)</f>
        <v>100</v>
      </c>
      <c r="K19" s="7">
        <f>SUMIFS(Qtde_Oper_Plantio_Tratos!V:V,Qtde_Oper_Plantio_Tratos!$F:$F,'Dimensionamento Tratos (2)'!$B19,Qtde_Oper_Plantio_Tratos!$I:$I,'Dimensionamento Tratos (2)'!$C19)</f>
        <v>100</v>
      </c>
      <c r="L19" s="7">
        <f>SUMIFS(Qtde_Oper_Plantio_Tratos!W:W,Qtde_Oper_Plantio_Tratos!$F:$F,'Dimensionamento Tratos (2)'!$B19,Qtde_Oper_Plantio_Tratos!$I:$I,'Dimensionamento Tratos (2)'!$C19)</f>
        <v>0</v>
      </c>
      <c r="M19" s="7">
        <f>SUMIFS(Qtde_Oper_Plantio_Tratos!X:X,Qtde_Oper_Plantio_Tratos!$F:$F,'Dimensionamento Tratos (2)'!$B19,Qtde_Oper_Plantio_Tratos!$I:$I,'Dimensionamento Tratos (2)'!$C19)</f>
        <v>0</v>
      </c>
      <c r="N19" s="7">
        <f>SUMIFS(Qtde_Oper_Plantio_Tratos!Y:Y,Qtde_Oper_Plantio_Tratos!$F:$F,'Dimensionamento Tratos (2)'!$B19,Qtde_Oper_Plantio_Tratos!$I:$I,'Dimensionamento Tratos (2)'!$C19)</f>
        <v>0</v>
      </c>
      <c r="O19" s="7">
        <f>SUMIFS(Qtde_Oper_Plantio_Tratos!Z:Z,Qtde_Oper_Plantio_Tratos!$F:$F,'Dimensionamento Tratos (2)'!$B19,Qtde_Oper_Plantio_Tratos!$I:$I,'Dimensionamento Tratos (2)'!$C19)</f>
        <v>0</v>
      </c>
      <c r="P19" s="7">
        <f>SUMIFS(Qtde_Oper_Plantio_Tratos!AA:AA,Qtde_Oper_Plantio_Tratos!$F:$F,'Dimensionamento Tratos (2)'!$B19,Qtde_Oper_Plantio_Tratos!$I:$I,'Dimensionamento Tratos (2)'!$C19)</f>
        <v>0</v>
      </c>
      <c r="Q19" s="7">
        <f>SUM(E19:P19)</f>
        <v>400</v>
      </c>
    </row>
    <row r="20" spans="1:17" outlineLevel="1" x14ac:dyDescent="0.25">
      <c r="A20" s="1"/>
      <c r="B20" s="262"/>
      <c r="C20" s="7" t="s">
        <v>607</v>
      </c>
      <c r="D20" s="263"/>
      <c r="E20" s="7">
        <f t="shared" ref="E20:P20" si="6">IF($C20="Proprio",IFERROR(E19/(_xlfn.XLOOKUP(E$6,$E$68:$Q$68,$E$69:$Q$69)*_xlfn.XLOOKUP($B19,$C$52:$C$64,$E$52:$E$64)),0),0)</f>
        <v>0</v>
      </c>
      <c r="F20" s="7">
        <f t="shared" si="6"/>
        <v>0</v>
      </c>
      <c r="G20" s="7">
        <f t="shared" si="6"/>
        <v>4.7400613012308739E-2</v>
      </c>
      <c r="H20" s="7">
        <f t="shared" si="6"/>
        <v>0</v>
      </c>
      <c r="I20" s="7">
        <f t="shared" si="6"/>
        <v>4.4077295543906839E-2</v>
      </c>
      <c r="J20" s="7">
        <f t="shared" si="6"/>
        <v>4.8638886336355068E-2</v>
      </c>
      <c r="K20" s="7">
        <f t="shared" si="6"/>
        <v>5.4490151476951146E-2</v>
      </c>
      <c r="L20" s="7">
        <f t="shared" si="6"/>
        <v>0</v>
      </c>
      <c r="M20" s="7">
        <f t="shared" si="6"/>
        <v>0</v>
      </c>
      <c r="N20" s="7">
        <f t="shared" si="6"/>
        <v>0</v>
      </c>
      <c r="O20" s="7">
        <f t="shared" si="6"/>
        <v>0</v>
      </c>
      <c r="P20" s="7">
        <f t="shared" si="6"/>
        <v>0</v>
      </c>
      <c r="Q20" s="7">
        <f>IFERROR(Q19/(_xlfn.XLOOKUP(Q$6,$E$68:$Q$68,$E$69:$Q$69)*_xlfn.XLOOKUP($B19,$C$52:$C$64,$E$52:$E$64)),0)</f>
        <v>1.9729445372970857E-2</v>
      </c>
    </row>
    <row r="21" spans="1:17" x14ac:dyDescent="0.25">
      <c r="A21" s="1"/>
      <c r="B21" s="265">
        <v>1032</v>
      </c>
      <c r="C21" s="2" t="s">
        <v>312</v>
      </c>
      <c r="D21" s="2" t="str">
        <f>_xlfn.XLOOKUP(B21,Apoio!A:A,Apoio!B:B)</f>
        <v xml:space="preserve">Aplicação De Inseticida       </v>
      </c>
      <c r="E21" s="3">
        <f>SUMIFS(Qtde_Oper_Plantio_Tratos!P:P,Qtde_Oper_Plantio_Tratos!$F:$F,'Dimensionamento Tratos (2)'!$B21,Qtde_Oper_Plantio_Tratos!$I:$I,'Dimensionamento Tratos (2)'!$C21)</f>
        <v>149.03000000000003</v>
      </c>
      <c r="F21" s="3">
        <f>SUMIFS(Qtde_Oper_Plantio_Tratos!Q:Q,Qtde_Oper_Plantio_Tratos!$F:$F,'Dimensionamento Tratos (2)'!$B21,Qtde_Oper_Plantio_Tratos!$I:$I,'Dimensionamento Tratos (2)'!$C21)</f>
        <v>411.47999999999996</v>
      </c>
      <c r="G21" s="3">
        <f>SUMIFS(Qtde_Oper_Plantio_Tratos!R:R,Qtde_Oper_Plantio_Tratos!$F:$F,'Dimensionamento Tratos (2)'!$B21,Qtde_Oper_Plantio_Tratos!$I:$I,'Dimensionamento Tratos (2)'!$C21)</f>
        <v>211.60999999999993</v>
      </c>
      <c r="H21" s="3">
        <f>SUMIFS(Qtde_Oper_Plantio_Tratos!S:S,Qtde_Oper_Plantio_Tratos!$F:$F,'Dimensionamento Tratos (2)'!$B21,Qtde_Oper_Plantio_Tratos!$I:$I,'Dimensionamento Tratos (2)'!$C21)</f>
        <v>9.9599999999999991</v>
      </c>
      <c r="I21" s="3">
        <f>SUMIFS(Qtde_Oper_Plantio_Tratos!T:T,Qtde_Oper_Plantio_Tratos!$F:$F,'Dimensionamento Tratos (2)'!$B21,Qtde_Oper_Plantio_Tratos!$I:$I,'Dimensionamento Tratos (2)'!$C21)</f>
        <v>106.18999999999998</v>
      </c>
      <c r="J21" s="3">
        <f>SUMIFS(Qtde_Oper_Plantio_Tratos!U:U,Qtde_Oper_Plantio_Tratos!$F:$F,'Dimensionamento Tratos (2)'!$B21,Qtde_Oper_Plantio_Tratos!$I:$I,'Dimensionamento Tratos (2)'!$C21)</f>
        <v>65.319999999999993</v>
      </c>
      <c r="K21" s="3">
        <f>SUMIFS(Qtde_Oper_Plantio_Tratos!V:V,Qtde_Oper_Plantio_Tratos!$F:$F,'Dimensionamento Tratos (2)'!$B21,Qtde_Oper_Plantio_Tratos!$I:$I,'Dimensionamento Tratos (2)'!$C21)</f>
        <v>511.7600000000001</v>
      </c>
      <c r="L21" s="3">
        <f>SUMIFS(Qtde_Oper_Plantio_Tratos!W:W,Qtde_Oper_Plantio_Tratos!$F:$F,'Dimensionamento Tratos (2)'!$B21,Qtde_Oper_Plantio_Tratos!$I:$I,'Dimensionamento Tratos (2)'!$C21)</f>
        <v>10.95</v>
      </c>
      <c r="M21" s="3">
        <f>SUMIFS(Qtde_Oper_Plantio_Tratos!X:X,Qtde_Oper_Plantio_Tratos!$F:$F,'Dimensionamento Tratos (2)'!$B21,Qtde_Oper_Plantio_Tratos!$I:$I,'Dimensionamento Tratos (2)'!$C21)</f>
        <v>0</v>
      </c>
      <c r="N21" s="3">
        <f>SUMIFS(Qtde_Oper_Plantio_Tratos!Y:Y,Qtde_Oper_Plantio_Tratos!$F:$F,'Dimensionamento Tratos (2)'!$B21,Qtde_Oper_Plantio_Tratos!$I:$I,'Dimensionamento Tratos (2)'!$C21)</f>
        <v>0</v>
      </c>
      <c r="O21" s="3">
        <f>SUMIFS(Qtde_Oper_Plantio_Tratos!Z:Z,Qtde_Oper_Plantio_Tratos!$F:$F,'Dimensionamento Tratos (2)'!$B21,Qtde_Oper_Plantio_Tratos!$I:$I,'Dimensionamento Tratos (2)'!$C21)</f>
        <v>0</v>
      </c>
      <c r="P21" s="3">
        <f>SUMIFS(Qtde_Oper_Plantio_Tratos!AA:AA,Qtde_Oper_Plantio_Tratos!$F:$F,'Dimensionamento Tratos (2)'!$B21,Qtde_Oper_Plantio_Tratos!$I:$I,'Dimensionamento Tratos (2)'!$C21)</f>
        <v>0</v>
      </c>
      <c r="Q21" s="3">
        <f>SUMIFS(Qtde_Oper_Plantio_Tratos!AB:AB,Qtde_Oper_Plantio_Tratos!$F:$F,'Dimensionamento Tratos (2)'!$B21,Qtde_Oper_Plantio_Tratos!$I:$I,'Dimensionamento Tratos (2)'!$C21)</f>
        <v>1476.3</v>
      </c>
    </row>
    <row r="22" spans="1:17" outlineLevel="1" x14ac:dyDescent="0.25">
      <c r="A22" s="1"/>
      <c r="B22" s="265"/>
      <c r="C22" s="2" t="s">
        <v>607</v>
      </c>
      <c r="D22" s="2"/>
      <c r="E22" s="3">
        <f t="shared" ref="E22:P22" si="7">IF($C22="Proprio",IFERROR(E21/(_xlfn.XLOOKUP(E$6,$E$68:$Q$68,$E$69:$Q$69)*_xlfn.XLOOKUP($B21,$C$52:$C$64,$E$52:$E$64)),0),0)</f>
        <v>7.8547510519640595E-2</v>
      </c>
      <c r="F22" s="3">
        <f t="shared" si="7"/>
        <v>0.19701261981225232</v>
      </c>
      <c r="G22" s="3">
        <f t="shared" si="7"/>
        <v>9.8232031468169917E-2</v>
      </c>
      <c r="H22" s="3">
        <f t="shared" si="7"/>
        <v>4.2333351699796662E-3</v>
      </c>
      <c r="I22" s="3">
        <f t="shared" si="7"/>
        <v>4.5838620631089649E-2</v>
      </c>
      <c r="J22" s="3">
        <f t="shared" si="7"/>
        <v>3.1114496576499957E-2</v>
      </c>
      <c r="K22" s="3">
        <f t="shared" si="7"/>
        <v>0.27309725376046085</v>
      </c>
      <c r="L22" s="3">
        <f t="shared" si="7"/>
        <v>6.5326130898776622E-3</v>
      </c>
      <c r="M22" s="3">
        <f t="shared" si="7"/>
        <v>0</v>
      </c>
      <c r="N22" s="3">
        <f t="shared" si="7"/>
        <v>0</v>
      </c>
      <c r="O22" s="3">
        <f t="shared" si="7"/>
        <v>0</v>
      </c>
      <c r="P22" s="3">
        <f t="shared" si="7"/>
        <v>0</v>
      </c>
      <c r="Q22" s="3">
        <f>IFERROR(Q21/(_xlfn.XLOOKUP(Q$6,$E$68:$Q$68,$E$69:$Q$69)*_xlfn.XLOOKUP($B21,$C$52:$C$64,$E$52:$E$64)),0)</f>
        <v>7.131197839231096E-2</v>
      </c>
    </row>
    <row r="23" spans="1:17" x14ac:dyDescent="0.25">
      <c r="A23" s="1"/>
      <c r="B23" s="264">
        <v>1090</v>
      </c>
      <c r="C23" s="7" t="s">
        <v>312</v>
      </c>
      <c r="D23" s="263" t="str">
        <f>_xlfn.XLOOKUP(B23,Apoio!A:A,Apoio!B:B)</f>
        <v xml:space="preserve">Repasse Aplicação Herbicida   </v>
      </c>
      <c r="E23" s="7">
        <f>SUMIFS(Qtde_Oper_Plantio_Tratos!P:P,Qtde_Oper_Plantio_Tratos!$F:$F,'Dimensionamento Tratos (2)'!$B23,Qtde_Oper_Plantio_Tratos!$I:$I,'Dimensionamento Tratos (2)'!$C23)</f>
        <v>105</v>
      </c>
      <c r="F23" s="7">
        <f>SUMIFS(Qtde_Oper_Plantio_Tratos!Q:Q,Qtde_Oper_Plantio_Tratos!$F:$F,'Dimensionamento Tratos (2)'!$B23,Qtde_Oper_Plantio_Tratos!$I:$I,'Dimensionamento Tratos (2)'!$C23)</f>
        <v>98</v>
      </c>
      <c r="G23" s="7">
        <f>SUMIFS(Qtde_Oper_Plantio_Tratos!R:R,Qtde_Oper_Plantio_Tratos!$F:$F,'Dimensionamento Tratos (2)'!$B23,Qtde_Oper_Plantio_Tratos!$I:$I,'Dimensionamento Tratos (2)'!$C23)</f>
        <v>63</v>
      </c>
      <c r="H23" s="7">
        <f>SUMIFS(Qtde_Oper_Plantio_Tratos!S:S,Qtde_Oper_Plantio_Tratos!$F:$F,'Dimensionamento Tratos (2)'!$B23,Qtde_Oper_Plantio_Tratos!$I:$I,'Dimensionamento Tratos (2)'!$C23)</f>
        <v>100</v>
      </c>
      <c r="I23" s="7">
        <f>SUMIFS(Qtde_Oper_Plantio_Tratos!T:T,Qtde_Oper_Plantio_Tratos!$F:$F,'Dimensionamento Tratos (2)'!$B23,Qtde_Oper_Plantio_Tratos!$I:$I,'Dimensionamento Tratos (2)'!$C23)</f>
        <v>100</v>
      </c>
      <c r="J23" s="7">
        <f>SUMIFS(Qtde_Oper_Plantio_Tratos!U:U,Qtde_Oper_Plantio_Tratos!$F:$F,'Dimensionamento Tratos (2)'!$B23,Qtde_Oper_Plantio_Tratos!$I:$I,'Dimensionamento Tratos (2)'!$C23)</f>
        <v>84</v>
      </c>
      <c r="K23" s="7">
        <f>SUMIFS(Qtde_Oper_Plantio_Tratos!V:V,Qtde_Oper_Plantio_Tratos!$F:$F,'Dimensionamento Tratos (2)'!$B23,Qtde_Oper_Plantio_Tratos!$I:$I,'Dimensionamento Tratos (2)'!$C23)</f>
        <v>196</v>
      </c>
      <c r="L23" s="7">
        <f>SUMIFS(Qtde_Oper_Plantio_Tratos!W:W,Qtde_Oper_Plantio_Tratos!$F:$F,'Dimensionamento Tratos (2)'!$B23,Qtde_Oper_Plantio_Tratos!$I:$I,'Dimensionamento Tratos (2)'!$C23)</f>
        <v>0</v>
      </c>
      <c r="M23" s="7">
        <f>SUMIFS(Qtde_Oper_Plantio_Tratos!X:X,Qtde_Oper_Plantio_Tratos!$F:$F,'Dimensionamento Tratos (2)'!$B23,Qtde_Oper_Plantio_Tratos!$I:$I,'Dimensionamento Tratos (2)'!$C23)</f>
        <v>100</v>
      </c>
      <c r="N23" s="7">
        <f>SUMIFS(Qtde_Oper_Plantio_Tratos!Y:Y,Qtde_Oper_Plantio_Tratos!$F:$F,'Dimensionamento Tratos (2)'!$B23,Qtde_Oper_Plantio_Tratos!$I:$I,'Dimensionamento Tratos (2)'!$C23)</f>
        <v>100</v>
      </c>
      <c r="O23" s="7">
        <f>SUMIFS(Qtde_Oper_Plantio_Tratos!Z:Z,Qtde_Oper_Plantio_Tratos!$F:$F,'Dimensionamento Tratos (2)'!$B23,Qtde_Oper_Plantio_Tratos!$I:$I,'Dimensionamento Tratos (2)'!$C23)</f>
        <v>100</v>
      </c>
      <c r="P23" s="7">
        <f>SUMIFS(Qtde_Oper_Plantio_Tratos!AA:AA,Qtde_Oper_Plantio_Tratos!$F:$F,'Dimensionamento Tratos (2)'!$B23,Qtde_Oper_Plantio_Tratos!$I:$I,'Dimensionamento Tratos (2)'!$C23)</f>
        <v>100</v>
      </c>
      <c r="Q23" s="7">
        <f>SUM(E23:P23)</f>
        <v>1146</v>
      </c>
    </row>
    <row r="24" spans="1:17" outlineLevel="1" x14ac:dyDescent="0.25">
      <c r="A24" s="1"/>
      <c r="B24" s="262"/>
      <c r="C24" s="7" t="s">
        <v>607</v>
      </c>
      <c r="D24" s="263"/>
      <c r="E24" s="7">
        <f t="shared" ref="E24:P24" si="8">IF($C24="Proprio",IFERROR(E23/(_xlfn.XLOOKUP(E$6,$E$68:$Q$68,$E$69:$Q$69)*_xlfn.XLOOKUP($B23,$C$52:$C$64,$E$52:$E$64)),0),0)</f>
        <v>0.24573492589129176</v>
      </c>
      <c r="F24" s="7">
        <f t="shared" si="8"/>
        <v>0.20834844064644595</v>
      </c>
      <c r="G24" s="7">
        <f t="shared" si="8"/>
        <v>0.12986028493335447</v>
      </c>
      <c r="H24" s="7">
        <f t="shared" si="8"/>
        <v>0.18873053887754304</v>
      </c>
      <c r="I24" s="7">
        <f t="shared" si="8"/>
        <v>0.1916755787872646</v>
      </c>
      <c r="J24" s="7">
        <f t="shared" si="8"/>
        <v>0.17767026590534987</v>
      </c>
      <c r="K24" s="7">
        <f t="shared" si="8"/>
        <v>0.46443605805639171</v>
      </c>
      <c r="L24" s="7">
        <f t="shared" si="8"/>
        <v>0</v>
      </c>
      <c r="M24" s="7">
        <f t="shared" si="8"/>
        <v>0.38764698281431714</v>
      </c>
      <c r="N24" s="7">
        <f t="shared" si="8"/>
        <v>0.59832469086557649</v>
      </c>
      <c r="O24" s="7">
        <f t="shared" si="8"/>
        <v>0.4914809960681521</v>
      </c>
      <c r="P24" s="7">
        <f t="shared" si="8"/>
        <v>0.30581039755351686</v>
      </c>
      <c r="Q24" s="7">
        <f>IFERROR(Q23/(_xlfn.XLOOKUP(Q$6,$E$68:$Q$68,$E$69:$Q$69)*_xlfn.XLOOKUP($B23,$C$52:$C$64,$E$52:$E$64)),0)</f>
        <v>0.24580535881603813</v>
      </c>
    </row>
    <row r="25" spans="1:17" x14ac:dyDescent="0.25">
      <c r="A25" s="1"/>
      <c r="B25" s="265">
        <v>1091</v>
      </c>
      <c r="C25" s="2" t="s">
        <v>312</v>
      </c>
      <c r="D25" s="2" t="str">
        <f>_xlfn.XLOOKUP(B25,Apoio!A:A,Apoio!B:B)</f>
        <v>Aplic. Herb Man - Cat. Quimíca</v>
      </c>
      <c r="E25" s="3">
        <f>SUMIFS(Qtde_Oper_Plantio_Tratos!P:P,Qtde_Oper_Plantio_Tratos!$F:$F,'Dimensionamento Tratos (2)'!$B25,Qtde_Oper_Plantio_Tratos!$I:$I,'Dimensionamento Tratos (2)'!$C25)</f>
        <v>177.2696</v>
      </c>
      <c r="F25" s="3">
        <f>SUMIFS(Qtde_Oper_Plantio_Tratos!Q:Q,Qtde_Oper_Plantio_Tratos!$F:$F,'Dimensionamento Tratos (2)'!$B25,Qtde_Oper_Plantio_Tratos!$I:$I,'Dimensionamento Tratos (2)'!$C25)</f>
        <v>308.22640000000001</v>
      </c>
      <c r="G25" s="3">
        <f>SUMIFS(Qtde_Oper_Plantio_Tratos!R:R,Qtde_Oper_Plantio_Tratos!$F:$F,'Dimensionamento Tratos (2)'!$B25,Qtde_Oper_Plantio_Tratos!$I:$I,'Dimensionamento Tratos (2)'!$C25)</f>
        <v>126.77440000000001</v>
      </c>
      <c r="H25" s="3">
        <f>SUMIFS(Qtde_Oper_Plantio_Tratos!S:S,Qtde_Oper_Plantio_Tratos!$F:$F,'Dimensionamento Tratos (2)'!$B25,Qtde_Oper_Plantio_Tratos!$I:$I,'Dimensionamento Tratos (2)'!$C25)</f>
        <v>0</v>
      </c>
      <c r="I25" s="3">
        <f>SUMIFS(Qtde_Oper_Plantio_Tratos!T:T,Qtde_Oper_Plantio_Tratos!$F:$F,'Dimensionamento Tratos (2)'!$B25,Qtde_Oper_Plantio_Tratos!$I:$I,'Dimensionamento Tratos (2)'!$C25)</f>
        <v>119.69120000000001</v>
      </c>
      <c r="J25" s="3">
        <f>SUMIFS(Qtde_Oper_Plantio_Tratos!U:U,Qtde_Oper_Plantio_Tratos!$F:$F,'Dimensionamento Tratos (2)'!$B25,Qtde_Oper_Plantio_Tratos!$I:$I,'Dimensionamento Tratos (2)'!$C25)</f>
        <v>132.78559999999999</v>
      </c>
      <c r="K25" s="3">
        <f>SUMIFS(Qtde_Oper_Plantio_Tratos!V:V,Qtde_Oper_Plantio_Tratos!$F:$F,'Dimensionamento Tratos (2)'!$B25,Qtde_Oper_Plantio_Tratos!$I:$I,'Dimensionamento Tratos (2)'!$C25)</f>
        <v>149.49120000000002</v>
      </c>
      <c r="L25" s="3">
        <f>SUMIFS(Qtde_Oper_Plantio_Tratos!W:W,Qtde_Oper_Plantio_Tratos!$F:$F,'Dimensionamento Tratos (2)'!$B25,Qtde_Oper_Plantio_Tratos!$I:$I,'Dimensionamento Tratos (2)'!$C25)</f>
        <v>40</v>
      </c>
      <c r="M25" s="3">
        <f>SUMIFS(Qtde_Oper_Plantio_Tratos!X:X,Qtde_Oper_Plantio_Tratos!$F:$F,'Dimensionamento Tratos (2)'!$B25,Qtde_Oper_Plantio_Tratos!$I:$I,'Dimensionamento Tratos (2)'!$C25)</f>
        <v>40</v>
      </c>
      <c r="N25" s="3">
        <f>SUMIFS(Qtde_Oper_Plantio_Tratos!Y:Y,Qtde_Oper_Plantio_Tratos!$F:$F,'Dimensionamento Tratos (2)'!$B25,Qtde_Oper_Plantio_Tratos!$I:$I,'Dimensionamento Tratos (2)'!$C25)</f>
        <v>40</v>
      </c>
      <c r="O25" s="3">
        <f>SUMIFS(Qtde_Oper_Plantio_Tratos!Z:Z,Qtde_Oper_Plantio_Tratos!$F:$F,'Dimensionamento Tratos (2)'!$B25,Qtde_Oper_Plantio_Tratos!$I:$I,'Dimensionamento Tratos (2)'!$C25)</f>
        <v>40</v>
      </c>
      <c r="P25" s="3">
        <f>SUMIFS(Qtde_Oper_Plantio_Tratos!AA:AA,Qtde_Oper_Plantio_Tratos!$F:$F,'Dimensionamento Tratos (2)'!$B25,Qtde_Oper_Plantio_Tratos!$I:$I,'Dimensionamento Tratos (2)'!$C25)</f>
        <v>40</v>
      </c>
      <c r="Q25" s="3">
        <f>SUMIFS(Qtde_Oper_Plantio_Tratos!AB:AB,Qtde_Oper_Plantio_Tratos!$F:$F,'Dimensionamento Tratos (2)'!$B25,Qtde_Oper_Plantio_Tratos!$I:$I,'Dimensionamento Tratos (2)'!$C25)</f>
        <v>1214.2384000000002</v>
      </c>
    </row>
    <row r="26" spans="1:17" outlineLevel="1" x14ac:dyDescent="0.25">
      <c r="A26" s="1"/>
      <c r="B26" s="265"/>
      <c r="C26" s="2" t="s">
        <v>607</v>
      </c>
      <c r="D26" s="2"/>
      <c r="E26" s="3">
        <f t="shared" ref="E26:P26" si="9">IF($C26="Proprio",IFERROR(E25/(_xlfn.XLOOKUP(E$6,$E$68:$Q$68,$E$69:$Q$69)*_xlfn.XLOOKUP($B25,$C$52:$C$64,$E$52:$E$64)),0),0)</f>
        <v>4.1486982875027554</v>
      </c>
      <c r="F26" s="3">
        <f t="shared" si="9"/>
        <v>6.5529071230681337</v>
      </c>
      <c r="G26" s="3">
        <f t="shared" si="9"/>
        <v>2.6131682073420723</v>
      </c>
      <c r="H26" s="3">
        <f t="shared" si="9"/>
        <v>0</v>
      </c>
      <c r="I26" s="3">
        <f t="shared" si="9"/>
        <v>2.2941880035742246</v>
      </c>
      <c r="J26" s="3">
        <f t="shared" si="9"/>
        <v>2.8085777214763601</v>
      </c>
      <c r="K26" s="3">
        <f t="shared" si="9"/>
        <v>3.5423012062305959</v>
      </c>
      <c r="L26" s="3">
        <f t="shared" si="9"/>
        <v>1.0596237226763148</v>
      </c>
      <c r="M26" s="3">
        <f t="shared" si="9"/>
        <v>1.5505879312572686</v>
      </c>
      <c r="N26" s="3">
        <f t="shared" si="9"/>
        <v>2.393298763462306</v>
      </c>
      <c r="O26" s="3">
        <f t="shared" si="9"/>
        <v>1.9659239842726084</v>
      </c>
      <c r="P26" s="3">
        <f t="shared" si="9"/>
        <v>1.2232415902140674</v>
      </c>
      <c r="Q26" s="3">
        <f>IFERROR(Q25/(_xlfn.XLOOKUP(Q$6,$E$68:$Q$68,$E$69:$Q$69)*_xlfn.XLOOKUP($B25,$C$52:$C$64,$E$52:$E$64)),0)</f>
        <v>2.6044180244346604</v>
      </c>
    </row>
    <row r="27" spans="1:17" x14ac:dyDescent="0.25">
      <c r="A27" s="1"/>
      <c r="B27" s="264"/>
      <c r="C27" s="7"/>
      <c r="D27" s="263">
        <f>_xlfn.XLOOKUP(B27,Apoio!A:A,Apoio!B:B)</f>
        <v>0</v>
      </c>
      <c r="E27" s="7">
        <f>SUMIFS(Qtde_Oper_Plantio_Tratos!P:P,Qtde_Oper_Plantio_Tratos!$F:$F,'Dimensionamento Tratos (2)'!$B27,Qtde_Oper_Plantio_Tratos!$I:$I,'Dimensionamento Tratos (2)'!$C27)</f>
        <v>0</v>
      </c>
      <c r="F27" s="7">
        <f>SUMIFS(Qtde_Oper_Plantio_Tratos!Q:Q,Qtde_Oper_Plantio_Tratos!$F:$F,'Dimensionamento Tratos (2)'!$B27,Qtde_Oper_Plantio_Tratos!$I:$I,'Dimensionamento Tratos (2)'!$C27)</f>
        <v>0</v>
      </c>
      <c r="G27" s="7">
        <f>SUMIFS(Qtde_Oper_Plantio_Tratos!R:R,Qtde_Oper_Plantio_Tratos!$F:$F,'Dimensionamento Tratos (2)'!$B27,Qtde_Oper_Plantio_Tratos!$I:$I,'Dimensionamento Tratos (2)'!$C27)</f>
        <v>0</v>
      </c>
      <c r="H27" s="7">
        <f>SUMIFS(Qtde_Oper_Plantio_Tratos!S:S,Qtde_Oper_Plantio_Tratos!$F:$F,'Dimensionamento Tratos (2)'!$B27,Qtde_Oper_Plantio_Tratos!$I:$I,'Dimensionamento Tratos (2)'!$C27)</f>
        <v>0</v>
      </c>
      <c r="I27" s="7">
        <f>SUMIFS(Qtde_Oper_Plantio_Tratos!T:T,Qtde_Oper_Plantio_Tratos!$F:$F,'Dimensionamento Tratos (2)'!$B27,Qtde_Oper_Plantio_Tratos!$I:$I,'Dimensionamento Tratos (2)'!$C27)</f>
        <v>0</v>
      </c>
      <c r="J27" s="7">
        <f>SUMIFS(Qtde_Oper_Plantio_Tratos!U:U,Qtde_Oper_Plantio_Tratos!$F:$F,'Dimensionamento Tratos (2)'!$B27,Qtde_Oper_Plantio_Tratos!$I:$I,'Dimensionamento Tratos (2)'!$C27)</f>
        <v>0</v>
      </c>
      <c r="K27" s="7">
        <f>SUMIFS(Qtde_Oper_Plantio_Tratos!V:V,Qtde_Oper_Plantio_Tratos!$F:$F,'Dimensionamento Tratos (2)'!$B27,Qtde_Oper_Plantio_Tratos!$I:$I,'Dimensionamento Tratos (2)'!$C27)</f>
        <v>0</v>
      </c>
      <c r="L27" s="7">
        <f>SUMIFS(Qtde_Oper_Plantio_Tratos!W:W,Qtde_Oper_Plantio_Tratos!$F:$F,'Dimensionamento Tratos (2)'!$B27,Qtde_Oper_Plantio_Tratos!$I:$I,'Dimensionamento Tratos (2)'!$C27)</f>
        <v>0</v>
      </c>
      <c r="M27" s="7">
        <f>SUMIFS(Qtde_Oper_Plantio_Tratos!X:X,Qtde_Oper_Plantio_Tratos!$F:$F,'Dimensionamento Tratos (2)'!$B27,Qtde_Oper_Plantio_Tratos!$I:$I,'Dimensionamento Tratos (2)'!$C27)</f>
        <v>0</v>
      </c>
      <c r="N27" s="7">
        <f>SUMIFS(Qtde_Oper_Plantio_Tratos!Y:Y,Qtde_Oper_Plantio_Tratos!$F:$F,'Dimensionamento Tratos (2)'!$B27,Qtde_Oper_Plantio_Tratos!$I:$I,'Dimensionamento Tratos (2)'!$C27)</f>
        <v>0</v>
      </c>
      <c r="O27" s="7">
        <f>SUMIFS(Qtde_Oper_Plantio_Tratos!Z:Z,Qtde_Oper_Plantio_Tratos!$F:$F,'Dimensionamento Tratos (2)'!$B27,Qtde_Oper_Plantio_Tratos!$I:$I,'Dimensionamento Tratos (2)'!$C27)</f>
        <v>0</v>
      </c>
      <c r="P27" s="7">
        <f>SUMIFS(Qtde_Oper_Plantio_Tratos!AA:AA,Qtde_Oper_Plantio_Tratos!$F:$F,'Dimensionamento Tratos (2)'!$B27,Qtde_Oper_Plantio_Tratos!$I:$I,'Dimensionamento Tratos (2)'!$C27)</f>
        <v>0</v>
      </c>
      <c r="Q27" s="7">
        <f>SUM(E27:P27)</f>
        <v>0</v>
      </c>
    </row>
    <row r="28" spans="1:17" outlineLevel="1" x14ac:dyDescent="0.25">
      <c r="A28" s="1"/>
      <c r="B28" s="262"/>
      <c r="C28" s="7"/>
      <c r="D28" s="263"/>
      <c r="E28" s="7">
        <f t="shared" ref="E28:P28" si="10">IF($C28="Proprio",IFERROR(E27/(_xlfn.XLOOKUP(E$6,$E$68:$Q$68,$E$69:$Q$69)*_xlfn.XLOOKUP($B27,$C$52:$C$64,$E$52:$E$64)),0),0)</f>
        <v>0</v>
      </c>
      <c r="F28" s="7">
        <f t="shared" si="10"/>
        <v>0</v>
      </c>
      <c r="G28" s="7">
        <f t="shared" si="10"/>
        <v>0</v>
      </c>
      <c r="H28" s="7">
        <f t="shared" si="10"/>
        <v>0</v>
      </c>
      <c r="I28" s="7">
        <f t="shared" si="10"/>
        <v>0</v>
      </c>
      <c r="J28" s="7">
        <f t="shared" si="10"/>
        <v>0</v>
      </c>
      <c r="K28" s="7">
        <f t="shared" si="10"/>
        <v>0</v>
      </c>
      <c r="L28" s="7">
        <f t="shared" si="10"/>
        <v>0</v>
      </c>
      <c r="M28" s="7">
        <f t="shared" si="10"/>
        <v>0</v>
      </c>
      <c r="N28" s="7">
        <f t="shared" si="10"/>
        <v>0</v>
      </c>
      <c r="O28" s="7">
        <f t="shared" si="10"/>
        <v>0</v>
      </c>
      <c r="P28" s="7">
        <f t="shared" si="10"/>
        <v>0</v>
      </c>
      <c r="Q28" s="7">
        <f>IFERROR(Q27/(_xlfn.XLOOKUP(Q$6,$E$68:$Q$68,$E$69:$Q$69)*_xlfn.XLOOKUP($B27,$C$52:$C$64,$E$52:$E$64)),0)</f>
        <v>0</v>
      </c>
    </row>
    <row r="29" spans="1:17" x14ac:dyDescent="0.25">
      <c r="A29" s="1"/>
      <c r="B29" s="265"/>
      <c r="C29" s="2"/>
      <c r="D29" s="2">
        <f>_xlfn.XLOOKUP(B29,Apoio!A:A,Apoio!B:B)</f>
        <v>0</v>
      </c>
      <c r="E29" s="3">
        <f>SUMIFS(Qtde_Oper_Plantio_Tratos!P:P,Qtde_Oper_Plantio_Tratos!$F:$F,'Dimensionamento Tratos (2)'!$B29,Qtde_Oper_Plantio_Tratos!$I:$I,'Dimensionamento Tratos (2)'!$C29)</f>
        <v>0</v>
      </c>
      <c r="F29" s="3">
        <f>SUMIFS(Qtde_Oper_Plantio_Tratos!Q:Q,Qtde_Oper_Plantio_Tratos!$F:$F,'Dimensionamento Tratos (2)'!$B29,Qtde_Oper_Plantio_Tratos!$I:$I,'Dimensionamento Tratos (2)'!$C29)</f>
        <v>0</v>
      </c>
      <c r="G29" s="3">
        <f>SUMIFS(Qtde_Oper_Plantio_Tratos!R:R,Qtde_Oper_Plantio_Tratos!$F:$F,'Dimensionamento Tratos (2)'!$B29,Qtde_Oper_Plantio_Tratos!$I:$I,'Dimensionamento Tratos (2)'!$C29)</f>
        <v>0</v>
      </c>
      <c r="H29" s="3">
        <f>SUMIFS(Qtde_Oper_Plantio_Tratos!S:S,Qtde_Oper_Plantio_Tratos!$F:$F,'Dimensionamento Tratos (2)'!$B29,Qtde_Oper_Plantio_Tratos!$I:$I,'Dimensionamento Tratos (2)'!$C29)</f>
        <v>0</v>
      </c>
      <c r="I29" s="3">
        <f>SUMIFS(Qtde_Oper_Plantio_Tratos!T:T,Qtde_Oper_Plantio_Tratos!$F:$F,'Dimensionamento Tratos (2)'!$B29,Qtde_Oper_Plantio_Tratos!$I:$I,'Dimensionamento Tratos (2)'!$C29)</f>
        <v>0</v>
      </c>
      <c r="J29" s="3">
        <f>SUMIFS(Qtde_Oper_Plantio_Tratos!U:U,Qtde_Oper_Plantio_Tratos!$F:$F,'Dimensionamento Tratos (2)'!$B29,Qtde_Oper_Plantio_Tratos!$I:$I,'Dimensionamento Tratos (2)'!$C29)</f>
        <v>0</v>
      </c>
      <c r="K29" s="3">
        <f>SUMIFS(Qtde_Oper_Plantio_Tratos!V:V,Qtde_Oper_Plantio_Tratos!$F:$F,'Dimensionamento Tratos (2)'!$B29,Qtde_Oper_Plantio_Tratos!$I:$I,'Dimensionamento Tratos (2)'!$C29)</f>
        <v>0</v>
      </c>
      <c r="L29" s="3">
        <f>SUMIFS(Qtde_Oper_Plantio_Tratos!W:W,Qtde_Oper_Plantio_Tratos!$F:$F,'Dimensionamento Tratos (2)'!$B29,Qtde_Oper_Plantio_Tratos!$I:$I,'Dimensionamento Tratos (2)'!$C29)</f>
        <v>0</v>
      </c>
      <c r="M29" s="3">
        <f>SUMIFS(Qtde_Oper_Plantio_Tratos!X:X,Qtde_Oper_Plantio_Tratos!$F:$F,'Dimensionamento Tratos (2)'!$B29,Qtde_Oper_Plantio_Tratos!$I:$I,'Dimensionamento Tratos (2)'!$C29)</f>
        <v>0</v>
      </c>
      <c r="N29" s="3">
        <f>SUMIFS(Qtde_Oper_Plantio_Tratos!Y:Y,Qtde_Oper_Plantio_Tratos!$F:$F,'Dimensionamento Tratos (2)'!$B29,Qtde_Oper_Plantio_Tratos!$I:$I,'Dimensionamento Tratos (2)'!$C29)</f>
        <v>0</v>
      </c>
      <c r="O29" s="3">
        <f>SUMIFS(Qtde_Oper_Plantio_Tratos!Z:Z,Qtde_Oper_Plantio_Tratos!$F:$F,'Dimensionamento Tratos (2)'!$B29,Qtde_Oper_Plantio_Tratos!$I:$I,'Dimensionamento Tratos (2)'!$C29)</f>
        <v>0</v>
      </c>
      <c r="P29" s="3">
        <f>SUMIFS(Qtde_Oper_Plantio_Tratos!AA:AA,Qtde_Oper_Plantio_Tratos!$F:$F,'Dimensionamento Tratos (2)'!$B29,Qtde_Oper_Plantio_Tratos!$I:$I,'Dimensionamento Tratos (2)'!$C29)</f>
        <v>0</v>
      </c>
      <c r="Q29" s="3">
        <f>SUMIFS(Qtde_Oper_Plantio_Tratos!AB:AB,Qtde_Oper_Plantio_Tratos!$F:$F,'Dimensionamento Tratos (2)'!$B29,Qtde_Oper_Plantio_Tratos!$I:$I,'Dimensionamento Tratos (2)'!$C29)</f>
        <v>0</v>
      </c>
    </row>
    <row r="30" spans="1:17" outlineLevel="1" x14ac:dyDescent="0.25">
      <c r="A30" s="1"/>
      <c r="B30" s="265"/>
      <c r="C30" s="2"/>
      <c r="D30" s="2"/>
      <c r="E30" s="3">
        <f t="shared" ref="E30:P30" si="11">IF($C30="Proprio",IFERROR(E29/(_xlfn.XLOOKUP(E$6,$E$68:$Q$68,$E$69:$Q$69)*_xlfn.XLOOKUP($B29,$C$52:$C$64,$E$52:$E$64)),0),0)</f>
        <v>0</v>
      </c>
      <c r="F30" s="3">
        <f t="shared" si="11"/>
        <v>0</v>
      </c>
      <c r="G30" s="3">
        <f t="shared" si="11"/>
        <v>0</v>
      </c>
      <c r="H30" s="3">
        <f t="shared" si="11"/>
        <v>0</v>
      </c>
      <c r="I30" s="3">
        <f t="shared" si="11"/>
        <v>0</v>
      </c>
      <c r="J30" s="3">
        <f t="shared" si="11"/>
        <v>0</v>
      </c>
      <c r="K30" s="3">
        <f t="shared" si="11"/>
        <v>0</v>
      </c>
      <c r="L30" s="3">
        <f t="shared" si="11"/>
        <v>0</v>
      </c>
      <c r="M30" s="3">
        <f t="shared" si="11"/>
        <v>0</v>
      </c>
      <c r="N30" s="3">
        <f t="shared" si="11"/>
        <v>0</v>
      </c>
      <c r="O30" s="3">
        <f t="shared" si="11"/>
        <v>0</v>
      </c>
      <c r="P30" s="3">
        <f t="shared" si="11"/>
        <v>0</v>
      </c>
      <c r="Q30" s="3">
        <f>IFERROR(Q29/(_xlfn.XLOOKUP(Q$6,$E$68:$Q$68,$E$69:$Q$69)*_xlfn.XLOOKUP($B29,$C$52:$C$64,$E$52:$E$64)),0)</f>
        <v>0</v>
      </c>
    </row>
    <row r="31" spans="1:17" x14ac:dyDescent="0.25">
      <c r="A31" s="1"/>
      <c r="B31" s="264"/>
      <c r="C31" s="7"/>
      <c r="D31" s="263">
        <f>_xlfn.XLOOKUP(B31,Apoio!A:A,Apoio!B:B)</f>
        <v>0</v>
      </c>
      <c r="E31" s="7">
        <f>SUMIFS(Qtde_Oper_Plantio_Tratos!P:P,Qtde_Oper_Plantio_Tratos!$F:$F,'Dimensionamento Tratos (2)'!$B31,Qtde_Oper_Plantio_Tratos!$I:$I,'Dimensionamento Tratos (2)'!$C31)</f>
        <v>0</v>
      </c>
      <c r="F31" s="7">
        <f>SUMIFS(Qtde_Oper_Plantio_Tratos!Q:Q,Qtde_Oper_Plantio_Tratos!$F:$F,'Dimensionamento Tratos (2)'!$B31,Qtde_Oper_Plantio_Tratos!$I:$I,'Dimensionamento Tratos (2)'!$C31)</f>
        <v>0</v>
      </c>
      <c r="G31" s="7">
        <f>SUMIFS(Qtde_Oper_Plantio_Tratos!R:R,Qtde_Oper_Plantio_Tratos!$F:$F,'Dimensionamento Tratos (2)'!$B31,Qtde_Oper_Plantio_Tratos!$I:$I,'Dimensionamento Tratos (2)'!$C31)</f>
        <v>0</v>
      </c>
      <c r="H31" s="7">
        <f>SUMIFS(Qtde_Oper_Plantio_Tratos!S:S,Qtde_Oper_Plantio_Tratos!$F:$F,'Dimensionamento Tratos (2)'!$B31,Qtde_Oper_Plantio_Tratos!$I:$I,'Dimensionamento Tratos (2)'!$C31)</f>
        <v>0</v>
      </c>
      <c r="I31" s="7">
        <f>SUMIFS(Qtde_Oper_Plantio_Tratos!T:T,Qtde_Oper_Plantio_Tratos!$F:$F,'Dimensionamento Tratos (2)'!$B31,Qtde_Oper_Plantio_Tratos!$I:$I,'Dimensionamento Tratos (2)'!$C31)</f>
        <v>0</v>
      </c>
      <c r="J31" s="7">
        <f>SUMIFS(Qtde_Oper_Plantio_Tratos!U:U,Qtde_Oper_Plantio_Tratos!$F:$F,'Dimensionamento Tratos (2)'!$B31,Qtde_Oper_Plantio_Tratos!$I:$I,'Dimensionamento Tratos (2)'!$C31)</f>
        <v>0</v>
      </c>
      <c r="K31" s="7">
        <f>SUMIFS(Qtde_Oper_Plantio_Tratos!V:V,Qtde_Oper_Plantio_Tratos!$F:$F,'Dimensionamento Tratos (2)'!$B31,Qtde_Oper_Plantio_Tratos!$I:$I,'Dimensionamento Tratos (2)'!$C31)</f>
        <v>0</v>
      </c>
      <c r="L31" s="7">
        <f>SUMIFS(Qtde_Oper_Plantio_Tratos!W:W,Qtde_Oper_Plantio_Tratos!$F:$F,'Dimensionamento Tratos (2)'!$B31,Qtde_Oper_Plantio_Tratos!$I:$I,'Dimensionamento Tratos (2)'!$C31)</f>
        <v>0</v>
      </c>
      <c r="M31" s="7">
        <f>SUMIFS(Qtde_Oper_Plantio_Tratos!X:X,Qtde_Oper_Plantio_Tratos!$F:$F,'Dimensionamento Tratos (2)'!$B31,Qtde_Oper_Plantio_Tratos!$I:$I,'Dimensionamento Tratos (2)'!$C31)</f>
        <v>0</v>
      </c>
      <c r="N31" s="7">
        <f>SUMIFS(Qtde_Oper_Plantio_Tratos!Y:Y,Qtde_Oper_Plantio_Tratos!$F:$F,'Dimensionamento Tratos (2)'!$B31,Qtde_Oper_Plantio_Tratos!$I:$I,'Dimensionamento Tratos (2)'!$C31)</f>
        <v>0</v>
      </c>
      <c r="O31" s="7">
        <f>SUMIFS(Qtde_Oper_Plantio_Tratos!Z:Z,Qtde_Oper_Plantio_Tratos!$F:$F,'Dimensionamento Tratos (2)'!$B31,Qtde_Oper_Plantio_Tratos!$I:$I,'Dimensionamento Tratos (2)'!$C31)</f>
        <v>0</v>
      </c>
      <c r="P31" s="7">
        <f>SUMIFS(Qtde_Oper_Plantio_Tratos!AA:AA,Qtde_Oper_Plantio_Tratos!$F:$F,'Dimensionamento Tratos (2)'!$B31,Qtde_Oper_Plantio_Tratos!$I:$I,'Dimensionamento Tratos (2)'!$C31)</f>
        <v>0</v>
      </c>
      <c r="Q31" s="7">
        <f>SUM(E31:P31)</f>
        <v>0</v>
      </c>
    </row>
    <row r="32" spans="1:17" outlineLevel="1" x14ac:dyDescent="0.25">
      <c r="A32" s="1"/>
      <c r="B32" s="262"/>
      <c r="C32" s="7"/>
      <c r="D32" s="263"/>
      <c r="E32" s="7">
        <f t="shared" ref="E32:P32" si="12">IF($C32="Proprio",IFERROR(E31/(_xlfn.XLOOKUP(E$6,$E$68:$Q$68,$E$69:$Q$69)*_xlfn.XLOOKUP($B31,$C$52:$C$64,$E$52:$E$64)),0),0)</f>
        <v>0</v>
      </c>
      <c r="F32" s="7">
        <f t="shared" si="12"/>
        <v>0</v>
      </c>
      <c r="G32" s="7">
        <f t="shared" si="12"/>
        <v>0</v>
      </c>
      <c r="H32" s="7">
        <f t="shared" si="12"/>
        <v>0</v>
      </c>
      <c r="I32" s="7">
        <f t="shared" si="12"/>
        <v>0</v>
      </c>
      <c r="J32" s="7">
        <f t="shared" si="12"/>
        <v>0</v>
      </c>
      <c r="K32" s="7">
        <f t="shared" si="12"/>
        <v>0</v>
      </c>
      <c r="L32" s="7">
        <f t="shared" si="12"/>
        <v>0</v>
      </c>
      <c r="M32" s="7">
        <f t="shared" si="12"/>
        <v>0</v>
      </c>
      <c r="N32" s="7">
        <f t="shared" si="12"/>
        <v>0</v>
      </c>
      <c r="O32" s="7">
        <f t="shared" si="12"/>
        <v>0</v>
      </c>
      <c r="P32" s="7">
        <f t="shared" si="12"/>
        <v>0</v>
      </c>
      <c r="Q32" s="7">
        <f>IFERROR(Q31/(_xlfn.XLOOKUP(Q$6,$E$68:$Q$68,$E$69:$Q$69)*_xlfn.XLOOKUP($B31,$C$52:$C$64,$E$52:$E$64)),0)</f>
        <v>0</v>
      </c>
    </row>
    <row r="33" spans="1:17" x14ac:dyDescent="0.25">
      <c r="A33" s="1"/>
      <c r="B33" s="4"/>
      <c r="C33" s="4"/>
      <c r="D33" s="4" t="s">
        <v>76</v>
      </c>
      <c r="E33" s="5">
        <f>ROUNDUP(SUM(E32,E30,E28,E26,E24,E22,E20,E18,E16,E14,E12,E10,E8),0)</f>
        <v>21</v>
      </c>
      <c r="F33" s="5">
        <f t="shared" ref="F33:Q33" si="13">ROUNDUP(SUM(F32,F30,F28,F26,F24,F22,F20,F18,F16,F14,F12,F10,F8),0)</f>
        <v>27</v>
      </c>
      <c r="G33" s="5">
        <f t="shared" si="13"/>
        <v>20</v>
      </c>
      <c r="H33" s="5">
        <f t="shared" si="13"/>
        <v>14</v>
      </c>
      <c r="I33" s="5">
        <f t="shared" si="13"/>
        <v>15</v>
      </c>
      <c r="J33" s="5">
        <f t="shared" si="13"/>
        <v>19</v>
      </c>
      <c r="K33" s="5">
        <f t="shared" si="13"/>
        <v>29</v>
      </c>
      <c r="L33" s="5">
        <f t="shared" si="13"/>
        <v>19</v>
      </c>
      <c r="M33" s="5">
        <f t="shared" si="13"/>
        <v>3</v>
      </c>
      <c r="N33" s="5">
        <f t="shared" si="13"/>
        <v>4</v>
      </c>
      <c r="O33" s="5">
        <f t="shared" si="13"/>
        <v>6</v>
      </c>
      <c r="P33" s="5">
        <f t="shared" si="13"/>
        <v>4</v>
      </c>
      <c r="Q33" s="5">
        <f t="shared" si="13"/>
        <v>17</v>
      </c>
    </row>
    <row r="34" spans="1:17" x14ac:dyDescent="0.25">
      <c r="A34" s="1"/>
      <c r="B34" s="4"/>
      <c r="C34" s="4"/>
      <c r="D34" s="4" t="s">
        <v>77</v>
      </c>
      <c r="E34" s="5">
        <f>E48</f>
        <v>14</v>
      </c>
      <c r="F34" s="5">
        <f t="shared" ref="F34:Q34" si="14">F48</f>
        <v>14</v>
      </c>
      <c r="G34" s="5">
        <f t="shared" si="14"/>
        <v>14</v>
      </c>
      <c r="H34" s="5">
        <f t="shared" si="14"/>
        <v>14</v>
      </c>
      <c r="I34" s="5">
        <f t="shared" si="14"/>
        <v>14</v>
      </c>
      <c r="J34" s="5">
        <f t="shared" si="14"/>
        <v>14</v>
      </c>
      <c r="K34" s="5">
        <f t="shared" si="14"/>
        <v>14</v>
      </c>
      <c r="L34" s="5">
        <f t="shared" si="14"/>
        <v>14</v>
      </c>
      <c r="M34" s="5">
        <f t="shared" si="14"/>
        <v>14</v>
      </c>
      <c r="N34" s="5">
        <f t="shared" si="14"/>
        <v>14</v>
      </c>
      <c r="O34" s="5">
        <f t="shared" si="14"/>
        <v>14</v>
      </c>
      <c r="P34" s="5">
        <f t="shared" si="14"/>
        <v>14</v>
      </c>
      <c r="Q34" s="5">
        <f t="shared" si="14"/>
        <v>21</v>
      </c>
    </row>
    <row r="35" spans="1:1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17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17" x14ac:dyDescent="0.25">
      <c r="A37" s="1"/>
      <c r="B37" s="10"/>
      <c r="C37" s="10"/>
      <c r="D37" s="10" t="s">
        <v>79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 x14ac:dyDescent="0.25">
      <c r="A38" s="1"/>
      <c r="B38" s="251"/>
      <c r="C38" s="251"/>
      <c r="D38" s="251" t="s">
        <v>75</v>
      </c>
      <c r="E38" s="252">
        <v>45748</v>
      </c>
      <c r="F38" s="252">
        <v>45778</v>
      </c>
      <c r="G38" s="252">
        <v>45809</v>
      </c>
      <c r="H38" s="252">
        <v>45839</v>
      </c>
      <c r="I38" s="252">
        <v>45870</v>
      </c>
      <c r="J38" s="252">
        <v>45901</v>
      </c>
      <c r="K38" s="252">
        <v>45931</v>
      </c>
      <c r="L38" s="252">
        <v>45962</v>
      </c>
      <c r="M38" s="252">
        <v>45992</v>
      </c>
      <c r="N38" s="252">
        <v>46023</v>
      </c>
      <c r="O38" s="252">
        <v>46054</v>
      </c>
      <c r="P38" s="252">
        <v>46082</v>
      </c>
      <c r="Q38" s="253" t="s">
        <v>85</v>
      </c>
    </row>
    <row r="39" spans="1:17" x14ac:dyDescent="0.25">
      <c r="A39" s="1"/>
      <c r="B39" s="6"/>
      <c r="C39" s="6"/>
      <c r="D39" s="6" t="s">
        <v>746</v>
      </c>
      <c r="E39" s="7">
        <v>3</v>
      </c>
      <c r="F39" s="7">
        <v>3</v>
      </c>
      <c r="G39" s="7">
        <v>3</v>
      </c>
      <c r="H39" s="7">
        <v>3</v>
      </c>
      <c r="I39" s="7">
        <v>3</v>
      </c>
      <c r="J39" s="7">
        <v>3</v>
      </c>
      <c r="K39" s="7">
        <v>3</v>
      </c>
      <c r="L39" s="7">
        <v>3</v>
      </c>
      <c r="M39" s="7">
        <v>3</v>
      </c>
      <c r="N39" s="7">
        <v>3</v>
      </c>
      <c r="O39" s="7">
        <v>3</v>
      </c>
      <c r="P39" s="7">
        <v>3</v>
      </c>
      <c r="Q39" s="7">
        <v>3</v>
      </c>
    </row>
    <row r="40" spans="1:17" x14ac:dyDescent="0.25">
      <c r="A40" s="1"/>
      <c r="B40" s="2"/>
      <c r="C40" s="2"/>
      <c r="D40" s="2" t="s">
        <v>78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>
        <v>3</v>
      </c>
    </row>
    <row r="41" spans="1:17" x14ac:dyDescent="0.25">
      <c r="A41" s="1"/>
      <c r="B41" s="6"/>
      <c r="C41" s="6"/>
      <c r="D41" s="6" t="s">
        <v>747</v>
      </c>
      <c r="E41" s="7">
        <v>3</v>
      </c>
      <c r="F41" s="7">
        <v>3</v>
      </c>
      <c r="G41" s="7">
        <v>3</v>
      </c>
      <c r="H41" s="7">
        <v>3</v>
      </c>
      <c r="I41" s="7">
        <v>3</v>
      </c>
      <c r="J41" s="7">
        <v>3</v>
      </c>
      <c r="K41" s="7">
        <v>3</v>
      </c>
      <c r="L41" s="7">
        <v>3</v>
      </c>
      <c r="M41" s="7">
        <v>3</v>
      </c>
      <c r="N41" s="7">
        <v>3</v>
      </c>
      <c r="O41" s="7">
        <v>3</v>
      </c>
      <c r="P41" s="7">
        <v>3</v>
      </c>
      <c r="Q41" s="7">
        <v>3</v>
      </c>
    </row>
    <row r="42" spans="1:17" x14ac:dyDescent="0.25">
      <c r="A42" s="1"/>
      <c r="B42" s="2"/>
      <c r="C42" s="2"/>
      <c r="D42" s="2" t="s">
        <v>748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3</v>
      </c>
    </row>
    <row r="43" spans="1:17" x14ac:dyDescent="0.25">
      <c r="A43" s="1"/>
      <c r="B43" s="6"/>
      <c r="C43" s="6"/>
      <c r="D43" s="6" t="s">
        <v>749</v>
      </c>
      <c r="E43" s="7">
        <v>2</v>
      </c>
      <c r="F43" s="7">
        <v>2</v>
      </c>
      <c r="G43" s="7">
        <v>2</v>
      </c>
      <c r="H43" s="7">
        <v>2</v>
      </c>
      <c r="I43" s="7">
        <v>2</v>
      </c>
      <c r="J43" s="7">
        <v>2</v>
      </c>
      <c r="K43" s="7">
        <v>2</v>
      </c>
      <c r="L43" s="7">
        <v>2</v>
      </c>
      <c r="M43" s="7">
        <v>2</v>
      </c>
      <c r="N43" s="7">
        <v>2</v>
      </c>
      <c r="O43" s="7">
        <v>2</v>
      </c>
      <c r="P43" s="7">
        <v>2</v>
      </c>
      <c r="Q43" s="7">
        <v>3</v>
      </c>
    </row>
    <row r="44" spans="1:17" x14ac:dyDescent="0.25">
      <c r="A44" s="1"/>
      <c r="B44" s="2"/>
      <c r="C44" s="2"/>
      <c r="D44" s="2" t="s">
        <v>750</v>
      </c>
      <c r="E44" s="3">
        <v>4</v>
      </c>
      <c r="F44" s="3">
        <v>4</v>
      </c>
      <c r="G44" s="3">
        <v>4</v>
      </c>
      <c r="H44" s="3">
        <v>4</v>
      </c>
      <c r="I44" s="3">
        <v>4</v>
      </c>
      <c r="J44" s="3">
        <v>4</v>
      </c>
      <c r="K44" s="3">
        <v>4</v>
      </c>
      <c r="L44" s="3">
        <v>4</v>
      </c>
      <c r="M44" s="3">
        <v>4</v>
      </c>
      <c r="N44" s="3">
        <v>4</v>
      </c>
      <c r="O44" s="3">
        <v>4</v>
      </c>
      <c r="P44" s="3">
        <v>4</v>
      </c>
      <c r="Q44" s="3">
        <v>4</v>
      </c>
    </row>
    <row r="45" spans="1:17" x14ac:dyDescent="0.25">
      <c r="A45" s="1"/>
      <c r="B45" s="6"/>
      <c r="C45" s="6"/>
      <c r="D45" s="6" t="s">
        <v>752</v>
      </c>
      <c r="E45" s="7">
        <v>2</v>
      </c>
      <c r="F45" s="7">
        <v>2</v>
      </c>
      <c r="G45" s="7">
        <v>2</v>
      </c>
      <c r="H45" s="7">
        <v>2</v>
      </c>
      <c r="I45" s="7">
        <v>2</v>
      </c>
      <c r="J45" s="7">
        <v>2</v>
      </c>
      <c r="K45" s="7">
        <v>2</v>
      </c>
      <c r="L45" s="7">
        <v>2</v>
      </c>
      <c r="M45" s="7">
        <v>2</v>
      </c>
      <c r="N45" s="7">
        <v>2</v>
      </c>
      <c r="O45" s="7">
        <v>2</v>
      </c>
      <c r="P45" s="7">
        <v>2</v>
      </c>
      <c r="Q45" s="7">
        <v>2</v>
      </c>
    </row>
    <row r="46" spans="1:17" x14ac:dyDescent="0.25">
      <c r="A46" s="1"/>
      <c r="B46" s="2"/>
      <c r="C46" s="2"/>
      <c r="D46" s="2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</row>
    <row r="47" spans="1:17" x14ac:dyDescent="0.25">
      <c r="A47" s="1"/>
      <c r="B47" s="6"/>
      <c r="C47" s="6"/>
      <c r="D47" s="6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</row>
    <row r="48" spans="1:17" x14ac:dyDescent="0.25">
      <c r="A48" s="1"/>
      <c r="B48" s="256"/>
      <c r="C48" s="256"/>
      <c r="D48" s="256" t="s">
        <v>85</v>
      </c>
      <c r="E48" s="257">
        <f>SUM(E39:E47)</f>
        <v>14</v>
      </c>
      <c r="F48" s="257">
        <f t="shared" ref="F48:Q48" si="15">SUM(F39:F47)</f>
        <v>14</v>
      </c>
      <c r="G48" s="257">
        <f t="shared" si="15"/>
        <v>14</v>
      </c>
      <c r="H48" s="257">
        <f t="shared" si="15"/>
        <v>14</v>
      </c>
      <c r="I48" s="257">
        <f t="shared" si="15"/>
        <v>14</v>
      </c>
      <c r="J48" s="257">
        <f t="shared" si="15"/>
        <v>14</v>
      </c>
      <c r="K48" s="257">
        <f t="shared" si="15"/>
        <v>14</v>
      </c>
      <c r="L48" s="257">
        <f t="shared" si="15"/>
        <v>14</v>
      </c>
      <c r="M48" s="257">
        <f t="shared" si="15"/>
        <v>14</v>
      </c>
      <c r="N48" s="257">
        <f t="shared" si="15"/>
        <v>14</v>
      </c>
      <c r="O48" s="257">
        <f t="shared" si="15"/>
        <v>14</v>
      </c>
      <c r="P48" s="257">
        <f t="shared" si="15"/>
        <v>14</v>
      </c>
      <c r="Q48" s="257">
        <f t="shared" si="15"/>
        <v>21</v>
      </c>
    </row>
    <row r="49" spans="1:17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spans="1:17" x14ac:dyDescent="0.25">
      <c r="A50" s="1"/>
      <c r="B50" s="10"/>
      <c r="C50" s="10"/>
      <c r="D50" s="10" t="s">
        <v>80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1:17" x14ac:dyDescent="0.25">
      <c r="A51" s="1"/>
      <c r="B51" s="251"/>
      <c r="C51" s="251"/>
      <c r="D51" s="251" t="s">
        <v>27</v>
      </c>
      <c r="E51" s="251" t="s">
        <v>81</v>
      </c>
      <c r="F51" s="251" t="s">
        <v>604</v>
      </c>
      <c r="G51" s="251" t="s">
        <v>605</v>
      </c>
      <c r="H51" s="1"/>
      <c r="I51" s="1"/>
      <c r="J51" s="1"/>
      <c r="K51" s="1"/>
      <c r="L51" s="1"/>
      <c r="M51" s="1"/>
      <c r="N51" s="1"/>
      <c r="O51" s="1"/>
      <c r="P51" s="1"/>
      <c r="Q51" s="1"/>
    </row>
    <row r="52" spans="1:17" x14ac:dyDescent="0.25">
      <c r="A52" s="1"/>
      <c r="B52" s="6"/>
      <c r="C52" s="6">
        <v>1071</v>
      </c>
      <c r="D52" s="6" t="str">
        <f>IFERROR(_xlfn.XLOOKUP(C52,Apoio!A:A,Apoio!B:B),"")</f>
        <v xml:space="preserve">Aplicação Mista Correção Solo </v>
      </c>
      <c r="E52" s="7">
        <f>IFERROR(F52*G52,0)</f>
        <v>14.533333333333331</v>
      </c>
      <c r="F52" s="7">
        <f>IFERROR(_xlfn.XLOOKUP($C52,'Rendimentos '!$B:$B,'Rendimentos '!$H:$H),"")</f>
        <v>4</v>
      </c>
      <c r="G52" s="7">
        <f>IFERROR(_xlfn.XLOOKUP(C52,'Plano Horas'!C:C,'Plano Horas'!P:P),"")</f>
        <v>3.6333333333333329</v>
      </c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1:17" x14ac:dyDescent="0.25">
      <c r="A53" s="1"/>
      <c r="B53" s="2"/>
      <c r="C53" s="2">
        <v>1022</v>
      </c>
      <c r="D53" s="2" t="str">
        <f>IFERROR(_xlfn.XLOOKUP(C53,Apoio!A:A,Apoio!B:B),"")</f>
        <v xml:space="preserve">Cultivo                       </v>
      </c>
      <c r="E53" s="3">
        <f t="shared" ref="E53:E64" si="16">IFERROR(F53*G53,0)</f>
        <v>6.05</v>
      </c>
      <c r="F53" s="3">
        <f>IFERROR(_xlfn.XLOOKUP($C53,'Rendimentos '!$B:$B,'Rendimentos '!$H:$H),"")</f>
        <v>1.5</v>
      </c>
      <c r="G53" s="3">
        <f>IFERROR(_xlfn.XLOOKUP(C53,'Plano Horas'!C:C,'Plano Horas'!P:P),"")</f>
        <v>4.0333333333333332</v>
      </c>
      <c r="H53" s="1"/>
      <c r="I53" s="1"/>
      <c r="J53" s="1"/>
      <c r="K53" s="1"/>
      <c r="L53" s="1"/>
      <c r="M53" s="1"/>
      <c r="N53" s="1"/>
      <c r="O53" s="1"/>
      <c r="P53" s="1"/>
      <c r="Q53" s="1"/>
    </row>
    <row r="54" spans="1:17" x14ac:dyDescent="0.25">
      <c r="A54" s="1"/>
      <c r="B54" s="6"/>
      <c r="C54" s="6">
        <v>1031</v>
      </c>
      <c r="D54" s="6" t="str">
        <f>IFERROR(_xlfn.XLOOKUP(C54,Apoio!A:A,Apoio!B:B),"")</f>
        <v xml:space="preserve">1ª Aplicação De Herbicida     </v>
      </c>
      <c r="E54" s="7">
        <f t="shared" si="16"/>
        <v>79</v>
      </c>
      <c r="F54" s="7">
        <f>IFERROR(_xlfn.XLOOKUP($C54,'Rendimentos '!$B:$B,'Rendimentos '!$H:$H),"")</f>
        <v>20</v>
      </c>
      <c r="G54" s="7">
        <f>IFERROR(_xlfn.XLOOKUP(C54,'Plano Horas'!C:C,'Plano Horas'!P:P),"")</f>
        <v>3.95</v>
      </c>
      <c r="H54" s="1"/>
      <c r="I54" s="1"/>
      <c r="J54" s="1"/>
      <c r="K54" s="1"/>
      <c r="L54" s="1"/>
      <c r="M54" s="1"/>
      <c r="N54" s="1"/>
      <c r="O54" s="1"/>
      <c r="P54" s="1"/>
      <c r="Q54" s="1"/>
    </row>
    <row r="55" spans="1:17" x14ac:dyDescent="0.25">
      <c r="A55" s="1"/>
      <c r="B55" s="2"/>
      <c r="C55" s="2">
        <v>1073</v>
      </c>
      <c r="D55" s="2" t="str">
        <f>IFERROR(_xlfn.XLOOKUP(C55,Apoio!A:A,Apoio!B:B),"")</f>
        <v>Apl Inseticida Em Profundidade</v>
      </c>
      <c r="E55" s="3">
        <f t="shared" si="16"/>
        <v>6.05</v>
      </c>
      <c r="F55" s="3">
        <f>IFERROR(_xlfn.XLOOKUP($C55,'Rendimentos '!$B:$B,'Rendimentos '!$H:$H),"")</f>
        <v>1.5</v>
      </c>
      <c r="G55" s="3">
        <f>IFERROR(_xlfn.XLOOKUP(C55,'Plano Horas'!C:C,'Plano Horas'!P:P),"")</f>
        <v>4.0333333333333332</v>
      </c>
      <c r="H55" s="1"/>
      <c r="I55" s="1"/>
      <c r="J55" s="1"/>
      <c r="K55" s="1"/>
      <c r="L55" s="1"/>
      <c r="M55" s="1"/>
      <c r="N55" s="1"/>
      <c r="O55" s="1"/>
      <c r="P55" s="1"/>
      <c r="Q55" s="1"/>
    </row>
    <row r="56" spans="1:17" x14ac:dyDescent="0.25">
      <c r="A56" s="1"/>
      <c r="B56" s="6"/>
      <c r="C56" s="6">
        <v>910</v>
      </c>
      <c r="D56" s="6" t="str">
        <f>IFERROR(_xlfn.XLOOKUP(C56,Apoio!A:A,Apoio!B:B),"")</f>
        <v xml:space="preserve">Aplicação Avião Insumos       </v>
      </c>
      <c r="E56" s="7">
        <f t="shared" si="16"/>
        <v>0</v>
      </c>
      <c r="F56" s="7" t="str">
        <f>IFERROR(_xlfn.XLOOKUP($C56,'Rendimentos '!$B:$B,'Rendimentos '!$H:$H),"")</f>
        <v/>
      </c>
      <c r="G56" s="7" t="str">
        <f>IFERROR(_xlfn.XLOOKUP(C56,'Plano Horas'!C:C,'Plano Horas'!P:P),"")</f>
        <v/>
      </c>
      <c r="H56" s="1"/>
      <c r="I56" s="1"/>
      <c r="J56" s="1"/>
      <c r="K56" s="1"/>
      <c r="L56" s="1"/>
      <c r="M56" s="1"/>
      <c r="N56" s="1"/>
      <c r="O56" s="1"/>
      <c r="P56" s="1"/>
      <c r="Q56" s="1"/>
    </row>
    <row r="57" spans="1:17" x14ac:dyDescent="0.25">
      <c r="A57" s="1"/>
      <c r="B57" s="2"/>
      <c r="C57" s="2">
        <v>911</v>
      </c>
      <c r="D57" s="2" t="str">
        <f>IFERROR(_xlfn.XLOOKUP(C57,Apoio!A:A,Apoio!B:B),"")</f>
        <v xml:space="preserve">Aplicação Drone Catação       </v>
      </c>
      <c r="E57" s="3">
        <f t="shared" si="16"/>
        <v>0</v>
      </c>
      <c r="F57" s="3" t="str">
        <f>IFERROR(_xlfn.XLOOKUP($C57,'Rendimentos '!$B:$B,'Rendimentos '!$H:$H),"")</f>
        <v/>
      </c>
      <c r="G57" s="3" t="str">
        <f>IFERROR(_xlfn.XLOOKUP(C57,'Plano Horas'!C:C,'Plano Horas'!P:P),"")</f>
        <v/>
      </c>
      <c r="H57" s="1"/>
      <c r="I57" s="1"/>
      <c r="J57" s="1"/>
      <c r="K57" s="1"/>
      <c r="L57" s="1"/>
      <c r="M57" s="1"/>
      <c r="N57" s="1"/>
      <c r="O57" s="1"/>
      <c r="P57" s="1"/>
      <c r="Q57" s="1"/>
    </row>
    <row r="58" spans="1:17" x14ac:dyDescent="0.25">
      <c r="A58" s="1"/>
      <c r="B58" s="6"/>
      <c r="C58" s="6">
        <v>912</v>
      </c>
      <c r="D58" s="6" t="str">
        <f>IFERROR(_xlfn.XLOOKUP(C58,Apoio!A:A,Apoio!B:B),"")</f>
        <v xml:space="preserve">Aplicação Avião Maturador     </v>
      </c>
      <c r="E58" s="7">
        <f t="shared" si="16"/>
        <v>0</v>
      </c>
      <c r="F58" s="7" t="str">
        <f>IFERROR(_xlfn.XLOOKUP($C58,'Rendimentos '!$B:$B,'Rendimentos '!$H:$H),"")</f>
        <v/>
      </c>
      <c r="G58" s="7" t="str">
        <f>IFERROR(_xlfn.XLOOKUP(C58,'Plano Horas'!C:C,'Plano Horas'!P:P),"")</f>
        <v/>
      </c>
      <c r="H58" s="1"/>
      <c r="I58" s="1"/>
      <c r="J58" s="1"/>
      <c r="K58" s="1"/>
      <c r="L58" s="1"/>
      <c r="M58" s="1"/>
      <c r="N58" s="1"/>
      <c r="O58" s="1"/>
      <c r="P58" s="1"/>
      <c r="Q58" s="1"/>
    </row>
    <row r="59" spans="1:17" x14ac:dyDescent="0.25">
      <c r="A59" s="1"/>
      <c r="B59" s="2"/>
      <c r="C59" s="2">
        <v>1033</v>
      </c>
      <c r="D59" s="2" t="str">
        <f>IFERROR(_xlfn.XLOOKUP(C59,Apoio!A:A,Apoio!B:B),"")</f>
        <v xml:space="preserve">Aplicação De Torta De Filtro  </v>
      </c>
      <c r="E59" s="3">
        <f t="shared" si="16"/>
        <v>2.9733333333333336</v>
      </c>
      <c r="F59" s="3">
        <f>IFERROR(_xlfn.XLOOKUP($C59,'Rendimentos '!$B:$B,'Rendimentos '!$H:$H),"")</f>
        <v>0.8</v>
      </c>
      <c r="G59" s="3">
        <f>IFERROR(_xlfn.XLOOKUP(C59,'Plano Horas'!C:C,'Plano Horas'!P:P),"")</f>
        <v>3.7166666666666668</v>
      </c>
      <c r="H59" s="1"/>
      <c r="I59" s="1"/>
      <c r="J59" s="1"/>
      <c r="K59" s="1"/>
      <c r="L59" s="1"/>
      <c r="M59" s="1"/>
      <c r="N59" s="1"/>
      <c r="O59" s="1"/>
      <c r="P59" s="1"/>
      <c r="Q59" s="1"/>
    </row>
    <row r="60" spans="1:17" x14ac:dyDescent="0.25">
      <c r="A60" s="1"/>
      <c r="B60" s="6"/>
      <c r="C60" s="6">
        <v>1078</v>
      </c>
      <c r="D60" s="6" t="str">
        <f>IFERROR(_xlfn.XLOOKUP(C60,Apoio!A:A,Apoio!B:B),"")</f>
        <v xml:space="preserve">2ª Aplicação De Herbicida     </v>
      </c>
      <c r="E60" s="7">
        <f t="shared" si="16"/>
        <v>61.433333333333337</v>
      </c>
      <c r="F60" s="7">
        <f>IFERROR(_xlfn.XLOOKUP($C60,'Rendimentos '!$B:$B,'Rendimentos '!$H:$H),"")</f>
        <v>19</v>
      </c>
      <c r="G60" s="7">
        <f>IFERROR(_xlfn.XLOOKUP(C60,'Plano Horas'!C:C,'Plano Horas'!P:P),"")</f>
        <v>3.2333333333333334</v>
      </c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1:17" x14ac:dyDescent="0.25">
      <c r="A61" s="1"/>
      <c r="B61" s="2"/>
      <c r="C61" s="2">
        <v>1090</v>
      </c>
      <c r="D61" s="2" t="str">
        <f>IFERROR(_xlfn.XLOOKUP(C61,Apoio!A:A,Apoio!B:B),"")</f>
        <v xml:space="preserve">Repasse Aplicação Herbicida   </v>
      </c>
      <c r="E61" s="3">
        <f t="shared" si="16"/>
        <v>18.166666666666664</v>
      </c>
      <c r="F61" s="3">
        <f>IFERROR(_xlfn.XLOOKUP($C61,'Rendimentos '!$B:$B,'Rendimentos '!$H:$H),"")</f>
        <v>5</v>
      </c>
      <c r="G61" s="3">
        <f>IFERROR(_xlfn.XLOOKUP(C61,'Plano Horas'!C:C,'Plano Horas'!P:P),"")</f>
        <v>3.6333333333333329</v>
      </c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1:17" x14ac:dyDescent="0.25">
      <c r="A62" s="1"/>
      <c r="B62" s="6"/>
      <c r="C62" s="6">
        <v>1091</v>
      </c>
      <c r="D62" s="6" t="str">
        <f>IFERROR(_xlfn.XLOOKUP(C62,Apoio!A:A,Apoio!B:B),"")</f>
        <v>Aplic. Herb Man - Cat. Quimíca</v>
      </c>
      <c r="E62" s="7">
        <f t="shared" si="16"/>
        <v>1.8166666666666664</v>
      </c>
      <c r="F62" s="7">
        <f>IFERROR(_xlfn.XLOOKUP($C62,'Rendimentos '!$B:$B,'Rendimentos '!$H:$H),"")</f>
        <v>0.5</v>
      </c>
      <c r="G62" s="7">
        <f>IFERROR(_xlfn.XLOOKUP(C62,'Plano Horas'!C:C,'Plano Horas'!P:P),"")</f>
        <v>3.6333333333333329</v>
      </c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1:17" x14ac:dyDescent="0.25">
      <c r="A63" s="1"/>
      <c r="B63" s="2"/>
      <c r="C63" s="2">
        <v>1032</v>
      </c>
      <c r="D63" s="2" t="str">
        <f>IFERROR(_xlfn.XLOOKUP(C63,Apoio!A:A,Apoio!B:B),"")</f>
        <v xml:space="preserve">Aplicação De Inseticida       </v>
      </c>
      <c r="E63" s="3">
        <f t="shared" si="16"/>
        <v>80.666666666666657</v>
      </c>
      <c r="F63" s="3">
        <f>IFERROR(_xlfn.XLOOKUP($C63,'Rendimentos '!$B:$B,'Rendimentos '!$H:$H),"")</f>
        <v>20</v>
      </c>
      <c r="G63" s="3">
        <f>IFERROR(_xlfn.XLOOKUP(C63,'Plano Horas'!C:C,'Plano Horas'!P:P),"")</f>
        <v>4.0333333333333332</v>
      </c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1:17" x14ac:dyDescent="0.25">
      <c r="A64" s="1"/>
      <c r="B64" s="6"/>
      <c r="C64" s="6"/>
      <c r="D64" s="6">
        <f>IFERROR(_xlfn.XLOOKUP(C64,Apoio!A:A,Apoio!B:B),"")</f>
        <v>0</v>
      </c>
      <c r="E64" s="7">
        <f t="shared" si="16"/>
        <v>0</v>
      </c>
      <c r="F64" s="7">
        <f>IFERROR(_xlfn.XLOOKUP($C64,'Rendimentos '!$B:$B,'Rendimentos '!$H:$H),"")</f>
        <v>0</v>
      </c>
      <c r="G64" s="7">
        <f>IFERROR(_xlfn.XLOOKUP(C64,'Plano Horas'!C:C,'Plano Horas'!P:P),"")</f>
        <v>0</v>
      </c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1:17" x14ac:dyDescent="0.25">
      <c r="A65" s="1"/>
      <c r="B65" s="1"/>
      <c r="C65" s="1"/>
      <c r="D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1:17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1:17" x14ac:dyDescent="0.25">
      <c r="A67" s="1"/>
      <c r="B67" s="10"/>
      <c r="C67" s="10"/>
      <c r="D67" s="10" t="s">
        <v>82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1:17" x14ac:dyDescent="0.25">
      <c r="A68" s="1"/>
      <c r="B68" s="251"/>
      <c r="C68" s="251"/>
      <c r="D68" s="251" t="s">
        <v>75</v>
      </c>
      <c r="E68" s="252">
        <v>45748</v>
      </c>
      <c r="F68" s="252">
        <v>45778</v>
      </c>
      <c r="G68" s="252">
        <v>45809</v>
      </c>
      <c r="H68" s="252">
        <v>45839</v>
      </c>
      <c r="I68" s="252">
        <v>45870</v>
      </c>
      <c r="J68" s="252">
        <v>45901</v>
      </c>
      <c r="K68" s="252">
        <v>45931</v>
      </c>
      <c r="L68" s="252">
        <v>45962</v>
      </c>
      <c r="M68" s="252">
        <v>45992</v>
      </c>
      <c r="N68" s="252">
        <v>46023</v>
      </c>
      <c r="O68" s="252">
        <v>46054</v>
      </c>
      <c r="P68" s="252">
        <v>46082</v>
      </c>
      <c r="Q68" s="253" t="s">
        <v>85</v>
      </c>
    </row>
    <row r="69" spans="1:17" x14ac:dyDescent="0.25">
      <c r="A69" s="1"/>
      <c r="B69" s="6"/>
      <c r="C69" s="6"/>
      <c r="D69" s="6" t="s">
        <v>82</v>
      </c>
      <c r="E69" s="7">
        <v>23.520533325890941</v>
      </c>
      <c r="F69" s="7">
        <v>25.891700442328499</v>
      </c>
      <c r="G69" s="7">
        <v>26.70477667623042</v>
      </c>
      <c r="H69" s="7">
        <v>29.16638286893744</v>
      </c>
      <c r="I69" s="7">
        <v>28.71824981977851</v>
      </c>
      <c r="J69" s="7">
        <v>26.02491298950628</v>
      </c>
      <c r="K69" s="7">
        <v>23.230304018251051</v>
      </c>
      <c r="L69" s="7">
        <v>20.77940324725931</v>
      </c>
      <c r="M69" s="7">
        <v>14.2</v>
      </c>
      <c r="N69" s="7">
        <v>9.1999999999999993</v>
      </c>
      <c r="O69" s="7">
        <v>11.2</v>
      </c>
      <c r="P69" s="7">
        <v>18</v>
      </c>
      <c r="Q69" s="7">
        <f>SUM(E69:P69)</f>
        <v>256.63626338818244</v>
      </c>
    </row>
    <row r="70" spans="1:17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1:17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</sheetData>
  <conditionalFormatting sqref="E33:Q33">
    <cfRule type="expression" dxfId="10" priority="1">
      <formula>E33&gt;E34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1D079-7CEF-45A1-9CAF-D0B54C316864}">
  <dimension ref="B2:Q44"/>
  <sheetViews>
    <sheetView showGridLines="0" tabSelected="1" topLeftCell="D1" workbookViewId="0">
      <selection activeCell="E16" sqref="E16"/>
    </sheetView>
  </sheetViews>
  <sheetFormatPr defaultRowHeight="15" x14ac:dyDescent="0.25"/>
  <cols>
    <col min="1" max="1" width="1.28515625" customWidth="1"/>
    <col min="2" max="2" width="17.28515625" bestFit="1" customWidth="1"/>
    <col min="3" max="3" width="12.7109375" style="258" bestFit="1" customWidth="1"/>
    <col min="4" max="4" width="31.85546875" bestFit="1" customWidth="1"/>
    <col min="5" max="5" width="6.85546875" bestFit="1" customWidth="1"/>
    <col min="6" max="6" width="20.5703125" bestFit="1" customWidth="1"/>
    <col min="7" max="7" width="14.42578125" style="282" bestFit="1" customWidth="1"/>
    <col min="8" max="8" width="13.42578125" bestFit="1" customWidth="1"/>
    <col min="9" max="9" width="13.85546875" bestFit="1" customWidth="1"/>
    <col min="10" max="10" width="12.140625" bestFit="1" customWidth="1"/>
    <col min="11" max="11" width="21.7109375" bestFit="1" customWidth="1"/>
    <col min="12" max="12" width="12.140625" bestFit="1" customWidth="1"/>
    <col min="13" max="13" width="16.140625" bestFit="1" customWidth="1"/>
    <col min="14" max="14" width="10.5703125" bestFit="1" customWidth="1"/>
    <col min="15" max="15" width="13.5703125" bestFit="1" customWidth="1"/>
    <col min="16" max="16" width="37.28515625" style="283" bestFit="1" customWidth="1"/>
  </cols>
  <sheetData>
    <row r="2" spans="2:16" x14ac:dyDescent="0.25">
      <c r="B2" s="249" t="s">
        <v>27</v>
      </c>
      <c r="C2" s="272" t="s">
        <v>72</v>
      </c>
      <c r="D2" s="249" t="s">
        <v>73</v>
      </c>
      <c r="E2" s="249" t="s">
        <v>28</v>
      </c>
      <c r="F2" s="249" t="s">
        <v>29</v>
      </c>
      <c r="G2" s="279" t="s">
        <v>30</v>
      </c>
      <c r="H2" s="249" t="s">
        <v>74</v>
      </c>
      <c r="I2" s="249" t="s">
        <v>31</v>
      </c>
      <c r="J2" s="249" t="s">
        <v>32</v>
      </c>
      <c r="K2" s="249" t="s">
        <v>33</v>
      </c>
      <c r="L2" s="249" t="s">
        <v>34</v>
      </c>
      <c r="M2" s="249" t="s">
        <v>35</v>
      </c>
      <c r="N2" s="249" t="s">
        <v>36</v>
      </c>
      <c r="O2" s="249" t="s">
        <v>37</v>
      </c>
      <c r="P2" s="284" t="s">
        <v>38</v>
      </c>
    </row>
    <row r="3" spans="2:16" x14ac:dyDescent="0.25">
      <c r="B3" s="250"/>
      <c r="C3" s="259"/>
      <c r="D3" s="250"/>
      <c r="E3" s="259" t="s">
        <v>39</v>
      </c>
      <c r="F3" s="259" t="s">
        <v>40</v>
      </c>
      <c r="G3" s="280" t="s">
        <v>41</v>
      </c>
      <c r="H3" s="259" t="s">
        <v>42</v>
      </c>
      <c r="I3" s="259" t="s">
        <v>42</v>
      </c>
      <c r="J3" s="259" t="s">
        <v>42</v>
      </c>
      <c r="K3" s="259" t="s">
        <v>42</v>
      </c>
      <c r="L3" s="259" t="s">
        <v>42</v>
      </c>
      <c r="M3" s="259" t="s">
        <v>42</v>
      </c>
      <c r="N3" s="259" t="s">
        <v>41</v>
      </c>
      <c r="O3" s="259" t="s">
        <v>42</v>
      </c>
      <c r="P3" s="285" t="s">
        <v>40</v>
      </c>
    </row>
    <row r="4" spans="2:16" hidden="1" x14ac:dyDescent="0.25">
      <c r="E4" s="258"/>
      <c r="F4" s="260">
        <v>0.33333333333333331</v>
      </c>
      <c r="G4" s="281"/>
      <c r="H4" s="260">
        <v>6.25E-2</v>
      </c>
      <c r="I4" s="260"/>
      <c r="J4" s="260">
        <v>6.9444444444444441E-3</v>
      </c>
      <c r="K4" s="260">
        <v>6.9444444444444441E-3</v>
      </c>
      <c r="L4" s="260">
        <v>4.1666666666666664E-2</v>
      </c>
      <c r="M4" s="260">
        <v>2.0833333333333332E-2</v>
      </c>
      <c r="N4" s="260">
        <v>0</v>
      </c>
      <c r="O4" s="260">
        <v>0</v>
      </c>
      <c r="P4" s="286"/>
    </row>
    <row r="5" spans="2:16" x14ac:dyDescent="0.25">
      <c r="B5" t="s">
        <v>43</v>
      </c>
      <c r="C5" s="258">
        <v>1001</v>
      </c>
      <c r="D5" t="s">
        <v>44</v>
      </c>
      <c r="E5" s="258">
        <v>1</v>
      </c>
      <c r="F5" s="260">
        <f>IF($E5=1,$F$4,IF($E5=2,$F$4*2,($F$4*3)-0.0001))</f>
        <v>0.33333333333333331</v>
      </c>
      <c r="G5" s="281">
        <v>0.9</v>
      </c>
      <c r="H5" s="260">
        <v>2.7777777777777776E-2</v>
      </c>
      <c r="I5" s="260"/>
      <c r="J5" s="260">
        <f>E5*$J$4</f>
        <v>6.9444444444444441E-3</v>
      </c>
      <c r="K5" s="260">
        <v>1.3888888888888888E-2</v>
      </c>
      <c r="L5" s="260">
        <f>$L$4*$E5</f>
        <v>4.1666666666666664E-2</v>
      </c>
      <c r="M5" s="260">
        <v>3.125E-2</v>
      </c>
      <c r="N5" s="260">
        <v>0</v>
      </c>
      <c r="O5" s="260">
        <v>0</v>
      </c>
      <c r="P5" s="286">
        <f t="shared" ref="P5:P38" si="0">((F5*24)*G5)-(SUM(H5:O5)*24)</f>
        <v>4.2833333333333332</v>
      </c>
    </row>
    <row r="6" spans="2:16" x14ac:dyDescent="0.25">
      <c r="C6" s="258">
        <v>1004</v>
      </c>
      <c r="D6" t="s">
        <v>45</v>
      </c>
      <c r="E6" s="258">
        <v>1</v>
      </c>
      <c r="F6" s="260">
        <f t="shared" ref="F6:F44" si="1">IF($E6=1,$F$4,IF($E6=2,$F$4*2,($F$4*3)-0.0001))</f>
        <v>0.33333333333333331</v>
      </c>
      <c r="G6" s="281">
        <v>0.9</v>
      </c>
      <c r="H6" s="260">
        <v>2.7777777777777776E-2</v>
      </c>
      <c r="I6" s="260"/>
      <c r="J6" s="260">
        <f t="shared" ref="J6:J30" si="2">E6*$J$4</f>
        <v>6.9444444444444441E-3</v>
      </c>
      <c r="K6" s="260">
        <v>1.3888888888888888E-2</v>
      </c>
      <c r="L6" s="260">
        <f t="shared" ref="L6:L30" si="3">$L$4*$E6</f>
        <v>4.1666666666666664E-2</v>
      </c>
      <c r="M6" s="260">
        <v>3.125E-2</v>
      </c>
      <c r="N6" s="260">
        <v>0</v>
      </c>
      <c r="O6" s="260">
        <v>0</v>
      </c>
      <c r="P6" s="286">
        <f>((F6*24)*G6)-(SUM(H6:O6)*24)</f>
        <v>4.2833333333333332</v>
      </c>
    </row>
    <row r="7" spans="2:16" x14ac:dyDescent="0.25">
      <c r="C7" s="258">
        <v>1005</v>
      </c>
      <c r="D7" t="s">
        <v>46</v>
      </c>
      <c r="E7" s="258">
        <v>1</v>
      </c>
      <c r="F7" s="260">
        <f t="shared" si="1"/>
        <v>0.33333333333333331</v>
      </c>
      <c r="G7" s="281">
        <v>0.9</v>
      </c>
      <c r="H7" s="260">
        <v>2.7777777777777776E-2</v>
      </c>
      <c r="I7" s="260"/>
      <c r="J7" s="260">
        <f t="shared" si="2"/>
        <v>6.9444444444444441E-3</v>
      </c>
      <c r="K7" s="260">
        <v>1.3888888888888888E-2</v>
      </c>
      <c r="L7" s="260">
        <f t="shared" si="3"/>
        <v>4.1666666666666664E-2</v>
      </c>
      <c r="M7" s="260">
        <v>3.125E-2</v>
      </c>
      <c r="N7" s="260">
        <v>0</v>
      </c>
      <c r="O7" s="260">
        <v>0</v>
      </c>
      <c r="P7" s="286">
        <f t="shared" si="0"/>
        <v>4.2833333333333332</v>
      </c>
    </row>
    <row r="8" spans="2:16" x14ac:dyDescent="0.25">
      <c r="C8" s="258">
        <v>1011</v>
      </c>
      <c r="D8" t="s">
        <v>47</v>
      </c>
      <c r="E8" s="258">
        <v>1</v>
      </c>
      <c r="F8" s="260">
        <f t="shared" si="1"/>
        <v>0.33333333333333331</v>
      </c>
      <c r="G8" s="281">
        <v>0.9</v>
      </c>
      <c r="H8" s="260">
        <v>2.7777777777777776E-2</v>
      </c>
      <c r="I8" s="260"/>
      <c r="J8" s="260">
        <f>E8*$J$4</f>
        <v>6.9444444444444441E-3</v>
      </c>
      <c r="K8" s="260">
        <v>1.3888888888888888E-2</v>
      </c>
      <c r="L8" s="260">
        <f>$L$4*$E8</f>
        <v>4.1666666666666664E-2</v>
      </c>
      <c r="M8" s="260">
        <v>3.125E-2</v>
      </c>
      <c r="N8" s="260">
        <v>0</v>
      </c>
      <c r="O8" s="260">
        <v>0</v>
      </c>
      <c r="P8" s="286">
        <f t="shared" ref="P8" si="4">((F8*24)*G8)-(SUM(H8:O8)*24)</f>
        <v>4.2833333333333332</v>
      </c>
    </row>
    <row r="9" spans="2:16" x14ac:dyDescent="0.25">
      <c r="C9" s="258">
        <v>1013</v>
      </c>
      <c r="D9" t="s">
        <v>48</v>
      </c>
      <c r="E9" s="258">
        <v>1</v>
      </c>
      <c r="F9" s="260">
        <f t="shared" si="1"/>
        <v>0.33333333333333331</v>
      </c>
      <c r="G9" s="281">
        <v>0.85</v>
      </c>
      <c r="H9" s="260">
        <v>2.7777777777777776E-2</v>
      </c>
      <c r="I9" s="260"/>
      <c r="J9" s="260">
        <f t="shared" si="2"/>
        <v>6.9444444444444441E-3</v>
      </c>
      <c r="K9" s="260">
        <v>1.3888888888888888E-2</v>
      </c>
      <c r="L9" s="260">
        <f t="shared" si="3"/>
        <v>4.1666666666666664E-2</v>
      </c>
      <c r="M9" s="260">
        <v>3.125E-2</v>
      </c>
      <c r="N9" s="260">
        <v>0</v>
      </c>
      <c r="O9" s="260">
        <v>0</v>
      </c>
      <c r="P9" s="286">
        <f t="shared" si="0"/>
        <v>3.8833333333333333</v>
      </c>
    </row>
    <row r="10" spans="2:16" x14ac:dyDescent="0.25">
      <c r="C10" s="258">
        <v>1014</v>
      </c>
      <c r="D10" t="s">
        <v>49</v>
      </c>
      <c r="E10" s="258">
        <v>1</v>
      </c>
      <c r="F10" s="260">
        <f t="shared" si="1"/>
        <v>0.33333333333333331</v>
      </c>
      <c r="G10" s="281">
        <v>0.85</v>
      </c>
      <c r="H10" s="260">
        <v>2.7777777777777776E-2</v>
      </c>
      <c r="I10" s="260"/>
      <c r="J10" s="260">
        <f t="shared" si="2"/>
        <v>6.9444444444444441E-3</v>
      </c>
      <c r="K10" s="260">
        <v>1.3888888888888888E-2</v>
      </c>
      <c r="L10" s="260">
        <f t="shared" si="3"/>
        <v>4.1666666666666664E-2</v>
      </c>
      <c r="M10" s="260">
        <v>3.125E-2</v>
      </c>
      <c r="N10" s="260">
        <v>0</v>
      </c>
      <c r="O10" s="260">
        <v>0</v>
      </c>
      <c r="P10" s="286">
        <f t="shared" si="0"/>
        <v>3.8833333333333333</v>
      </c>
    </row>
    <row r="11" spans="2:16" x14ac:dyDescent="0.25">
      <c r="C11" s="258">
        <v>1015</v>
      </c>
      <c r="D11" t="s">
        <v>50</v>
      </c>
      <c r="E11" s="258">
        <v>1</v>
      </c>
      <c r="F11" s="260">
        <f t="shared" si="1"/>
        <v>0.33333333333333331</v>
      </c>
      <c r="G11" s="281">
        <v>0.85</v>
      </c>
      <c r="H11" s="260">
        <v>2.7777777777777776E-2</v>
      </c>
      <c r="I11" s="260"/>
      <c r="J11" s="260">
        <f t="shared" si="2"/>
        <v>6.9444444444444441E-3</v>
      </c>
      <c r="K11" s="260">
        <v>1.3888888888888888E-2</v>
      </c>
      <c r="L11" s="260">
        <f t="shared" si="3"/>
        <v>4.1666666666666664E-2</v>
      </c>
      <c r="M11" s="260">
        <v>3.125E-2</v>
      </c>
      <c r="N11" s="260">
        <v>0</v>
      </c>
      <c r="O11" s="260">
        <v>0</v>
      </c>
      <c r="P11" s="286">
        <f t="shared" si="0"/>
        <v>3.8833333333333333</v>
      </c>
    </row>
    <row r="12" spans="2:16" x14ac:dyDescent="0.25">
      <c r="C12" s="258">
        <v>1016</v>
      </c>
      <c r="D12" t="s">
        <v>51</v>
      </c>
      <c r="E12" s="258">
        <v>1</v>
      </c>
      <c r="F12" s="260">
        <f t="shared" si="1"/>
        <v>0.33333333333333331</v>
      </c>
      <c r="G12" s="281">
        <v>0.85</v>
      </c>
      <c r="H12" s="260">
        <v>2.7777777777777776E-2</v>
      </c>
      <c r="I12" s="260"/>
      <c r="J12" s="260">
        <f t="shared" si="2"/>
        <v>6.9444444444444441E-3</v>
      </c>
      <c r="K12" s="260">
        <v>1.3888888888888888E-2</v>
      </c>
      <c r="L12" s="260">
        <f t="shared" si="3"/>
        <v>4.1666666666666664E-2</v>
      </c>
      <c r="M12" s="260">
        <v>3.125E-2</v>
      </c>
      <c r="N12" s="260">
        <v>0</v>
      </c>
      <c r="O12" s="260">
        <v>0</v>
      </c>
      <c r="P12" s="286">
        <f t="shared" si="0"/>
        <v>3.8833333333333333</v>
      </c>
    </row>
    <row r="13" spans="2:16" x14ac:dyDescent="0.25">
      <c r="C13" s="258">
        <v>1024</v>
      </c>
      <c r="D13" t="s">
        <v>52</v>
      </c>
      <c r="E13" s="258">
        <v>1</v>
      </c>
      <c r="F13" s="260">
        <f t="shared" si="1"/>
        <v>0.33333333333333331</v>
      </c>
      <c r="G13" s="281">
        <v>0.85</v>
      </c>
      <c r="H13" s="260">
        <v>2.7777777777777776E-2</v>
      </c>
      <c r="I13" s="260"/>
      <c r="J13" s="260">
        <f t="shared" si="2"/>
        <v>6.9444444444444441E-3</v>
      </c>
      <c r="K13" s="260">
        <v>1.3888888888888888E-2</v>
      </c>
      <c r="L13" s="260">
        <f t="shared" si="3"/>
        <v>4.1666666666666664E-2</v>
      </c>
      <c r="M13" s="260">
        <v>3.125E-2</v>
      </c>
      <c r="N13" s="260">
        <v>0</v>
      </c>
      <c r="O13" s="260">
        <v>0</v>
      </c>
      <c r="P13" s="286">
        <f t="shared" si="0"/>
        <v>3.8833333333333333</v>
      </c>
    </row>
    <row r="14" spans="2:16" x14ac:dyDescent="0.25">
      <c r="C14" s="258">
        <v>1026</v>
      </c>
      <c r="D14" t="s">
        <v>53</v>
      </c>
      <c r="E14" s="258">
        <v>1</v>
      </c>
      <c r="F14" s="260">
        <f t="shared" si="1"/>
        <v>0.33333333333333331</v>
      </c>
      <c r="G14" s="281">
        <v>0.85</v>
      </c>
      <c r="H14" s="260">
        <v>2.7777777777777776E-2</v>
      </c>
      <c r="I14" s="260"/>
      <c r="J14" s="260">
        <f t="shared" si="2"/>
        <v>6.9444444444444441E-3</v>
      </c>
      <c r="K14" s="260">
        <v>1.3888888888888888E-2</v>
      </c>
      <c r="L14" s="260">
        <f t="shared" si="3"/>
        <v>4.1666666666666664E-2</v>
      </c>
      <c r="M14" s="260">
        <v>3.125E-2</v>
      </c>
      <c r="N14" s="260">
        <v>0</v>
      </c>
      <c r="O14" s="260">
        <v>6.9444444444444441E-3</v>
      </c>
      <c r="P14" s="286">
        <f t="shared" si="0"/>
        <v>3.7166666666666668</v>
      </c>
    </row>
    <row r="15" spans="2:16" x14ac:dyDescent="0.25">
      <c r="C15" s="258">
        <v>1028</v>
      </c>
      <c r="D15" t="s">
        <v>54</v>
      </c>
      <c r="E15" s="258">
        <v>1</v>
      </c>
      <c r="F15" s="260">
        <f t="shared" si="1"/>
        <v>0.33333333333333331</v>
      </c>
      <c r="G15" s="281">
        <v>0.85</v>
      </c>
      <c r="H15" s="260">
        <v>2.7777777777777776E-2</v>
      </c>
      <c r="I15" s="260"/>
      <c r="J15" s="260">
        <f t="shared" si="2"/>
        <v>6.9444444444444441E-3</v>
      </c>
      <c r="K15" s="260">
        <v>1.3888888888888888E-2</v>
      </c>
      <c r="L15" s="260">
        <f t="shared" si="3"/>
        <v>4.1666666666666664E-2</v>
      </c>
      <c r="M15" s="260">
        <v>3.125E-2</v>
      </c>
      <c r="N15" s="260">
        <v>0</v>
      </c>
      <c r="O15" s="260">
        <v>6.9444444444444441E-3</v>
      </c>
      <c r="P15" s="286">
        <f t="shared" si="0"/>
        <v>3.7166666666666668</v>
      </c>
    </row>
    <row r="16" spans="2:16" x14ac:dyDescent="0.25">
      <c r="C16" s="258">
        <v>1029</v>
      </c>
      <c r="D16" t="s">
        <v>55</v>
      </c>
      <c r="E16" s="258">
        <v>1</v>
      </c>
      <c r="F16" s="260">
        <f t="shared" si="1"/>
        <v>0.33333333333333331</v>
      </c>
      <c r="G16" s="281">
        <v>0.85</v>
      </c>
      <c r="H16" s="260">
        <v>2.7777777777777776E-2</v>
      </c>
      <c r="I16" s="260"/>
      <c r="J16" s="260">
        <f t="shared" si="2"/>
        <v>6.9444444444444441E-3</v>
      </c>
      <c r="K16" s="260">
        <v>1.3888888888888888E-2</v>
      </c>
      <c r="L16" s="260">
        <f t="shared" si="3"/>
        <v>4.1666666666666664E-2</v>
      </c>
      <c r="M16" s="260">
        <v>3.125E-2</v>
      </c>
      <c r="N16" s="260">
        <v>0</v>
      </c>
      <c r="O16" s="260">
        <v>6.9444444444444441E-3</v>
      </c>
      <c r="P16" s="286">
        <f t="shared" si="0"/>
        <v>3.7166666666666668</v>
      </c>
    </row>
    <row r="17" spans="2:17" x14ac:dyDescent="0.25">
      <c r="C17" s="258">
        <v>1033</v>
      </c>
      <c r="D17" t="s">
        <v>56</v>
      </c>
      <c r="E17" s="258">
        <v>1</v>
      </c>
      <c r="F17" s="260">
        <f t="shared" si="1"/>
        <v>0.33333333333333331</v>
      </c>
      <c r="G17" s="281">
        <v>0.85</v>
      </c>
      <c r="H17" s="260">
        <v>2.7777777777777776E-2</v>
      </c>
      <c r="I17" s="260"/>
      <c r="J17" s="260">
        <f t="shared" si="2"/>
        <v>6.9444444444444441E-3</v>
      </c>
      <c r="K17" s="260">
        <v>1.3888888888888888E-2</v>
      </c>
      <c r="L17" s="260">
        <f t="shared" si="3"/>
        <v>4.1666666666666664E-2</v>
      </c>
      <c r="M17" s="260">
        <v>3.125E-2</v>
      </c>
      <c r="N17" s="260">
        <v>0</v>
      </c>
      <c r="O17" s="260">
        <v>6.9444444444444441E-3</v>
      </c>
      <c r="P17" s="286">
        <f t="shared" si="0"/>
        <v>3.7166666666666668</v>
      </c>
    </row>
    <row r="18" spans="2:17" x14ac:dyDescent="0.25">
      <c r="C18" s="258">
        <v>1052</v>
      </c>
      <c r="D18" t="s">
        <v>12</v>
      </c>
      <c r="E18" s="258">
        <v>1</v>
      </c>
      <c r="F18" s="260">
        <f t="shared" si="1"/>
        <v>0.33333333333333331</v>
      </c>
      <c r="G18" s="281">
        <v>0.85</v>
      </c>
      <c r="H18" s="260">
        <v>2.7777777777777776E-2</v>
      </c>
      <c r="I18" s="260"/>
      <c r="J18" s="260">
        <f t="shared" si="2"/>
        <v>6.9444444444444441E-3</v>
      </c>
      <c r="K18" s="260">
        <v>1.3888888888888888E-2</v>
      </c>
      <c r="L18" s="260">
        <f t="shared" si="3"/>
        <v>4.1666666666666664E-2</v>
      </c>
      <c r="M18" s="260">
        <v>3.125E-2</v>
      </c>
      <c r="N18" s="260">
        <v>0</v>
      </c>
      <c r="O18" s="260">
        <v>0</v>
      </c>
      <c r="P18" s="286">
        <f t="shared" si="0"/>
        <v>3.8833333333333333</v>
      </c>
    </row>
    <row r="19" spans="2:17" x14ac:dyDescent="0.25">
      <c r="C19" s="258">
        <v>1061</v>
      </c>
      <c r="D19" t="s">
        <v>57</v>
      </c>
      <c r="E19" s="258">
        <v>1</v>
      </c>
      <c r="F19" s="260">
        <f t="shared" si="1"/>
        <v>0.33333333333333331</v>
      </c>
      <c r="G19" s="281">
        <v>0.85</v>
      </c>
      <c r="H19" s="260">
        <v>2.7777777777777776E-2</v>
      </c>
      <c r="I19" s="260"/>
      <c r="J19" s="260">
        <f t="shared" si="2"/>
        <v>6.9444444444444441E-3</v>
      </c>
      <c r="K19" s="260">
        <v>1.3888888888888888E-2</v>
      </c>
      <c r="L19" s="260">
        <f t="shared" si="3"/>
        <v>4.1666666666666664E-2</v>
      </c>
      <c r="M19" s="260">
        <v>3.125E-2</v>
      </c>
      <c r="N19" s="260">
        <v>0</v>
      </c>
      <c r="O19" s="260">
        <v>0</v>
      </c>
      <c r="P19" s="286">
        <f t="shared" si="0"/>
        <v>3.8833333333333333</v>
      </c>
    </row>
    <row r="20" spans="2:17" x14ac:dyDescent="0.25">
      <c r="B20" t="s">
        <v>58</v>
      </c>
      <c r="C20" s="258">
        <v>1020</v>
      </c>
      <c r="D20" t="s">
        <v>59</v>
      </c>
      <c r="E20" s="258">
        <v>1</v>
      </c>
      <c r="F20" s="260">
        <f t="shared" si="1"/>
        <v>0.33333333333333331</v>
      </c>
      <c r="G20" s="281">
        <v>0.9</v>
      </c>
      <c r="H20" s="260">
        <v>2.7777777777777776E-2</v>
      </c>
      <c r="I20" s="260"/>
      <c r="J20" s="260">
        <f t="shared" si="2"/>
        <v>6.9444444444444441E-3</v>
      </c>
      <c r="K20" s="260">
        <v>1.3888888888888888E-2</v>
      </c>
      <c r="L20" s="260">
        <f t="shared" si="3"/>
        <v>4.1666666666666664E-2</v>
      </c>
      <c r="M20" s="260">
        <v>3.125E-2</v>
      </c>
      <c r="N20" s="260">
        <v>0</v>
      </c>
      <c r="O20" s="260">
        <v>6.9444444444444441E-3</v>
      </c>
      <c r="P20" s="286">
        <f t="shared" si="0"/>
        <v>4.1166666666666671</v>
      </c>
    </row>
    <row r="21" spans="2:17" x14ac:dyDescent="0.25">
      <c r="C21" s="258">
        <v>1022</v>
      </c>
      <c r="D21" t="s">
        <v>60</v>
      </c>
      <c r="E21" s="258">
        <v>1</v>
      </c>
      <c r="F21" s="260">
        <f t="shared" si="1"/>
        <v>0.33333333333333331</v>
      </c>
      <c r="G21" s="281">
        <v>0.9</v>
      </c>
      <c r="H21" s="260">
        <v>2.7777777777777776E-2</v>
      </c>
      <c r="I21" s="260"/>
      <c r="J21" s="260">
        <f t="shared" si="2"/>
        <v>6.9444444444444441E-3</v>
      </c>
      <c r="K21" s="260">
        <v>1.3888888888888888E-2</v>
      </c>
      <c r="L21" s="260">
        <f t="shared" si="3"/>
        <v>4.1666666666666664E-2</v>
      </c>
      <c r="M21" s="260">
        <v>3.125E-2</v>
      </c>
      <c r="N21" s="260">
        <v>0</v>
      </c>
      <c r="O21" s="260">
        <v>1.0416666666666666E-2</v>
      </c>
      <c r="P21" s="286">
        <f t="shared" si="0"/>
        <v>4.0333333333333332</v>
      </c>
    </row>
    <row r="22" spans="2:17" x14ac:dyDescent="0.25">
      <c r="C22" s="258">
        <v>1031</v>
      </c>
      <c r="D22" t="s">
        <v>61</v>
      </c>
      <c r="E22" s="258">
        <v>1</v>
      </c>
      <c r="F22" s="260">
        <f t="shared" si="1"/>
        <v>0.33333333333333331</v>
      </c>
      <c r="G22" s="281">
        <v>0.9</v>
      </c>
      <c r="H22" s="260">
        <v>2.7777777777777776E-2</v>
      </c>
      <c r="I22" s="260"/>
      <c r="J22" s="260">
        <f t="shared" si="2"/>
        <v>6.9444444444444441E-3</v>
      </c>
      <c r="K22" s="260">
        <v>1.3888888888888888E-2</v>
      </c>
      <c r="L22" s="260">
        <f t="shared" si="3"/>
        <v>4.1666666666666664E-2</v>
      </c>
      <c r="M22" s="260">
        <v>3.125E-2</v>
      </c>
      <c r="N22" s="260">
        <v>0</v>
      </c>
      <c r="O22" s="260">
        <v>1.3888888888888888E-2</v>
      </c>
      <c r="P22" s="286">
        <f t="shared" si="0"/>
        <v>3.95</v>
      </c>
      <c r="Q22" s="261"/>
    </row>
    <row r="23" spans="2:17" x14ac:dyDescent="0.25">
      <c r="C23" s="258">
        <v>1032</v>
      </c>
      <c r="D23" t="s">
        <v>62</v>
      </c>
      <c r="E23" s="258">
        <v>1</v>
      </c>
      <c r="F23" s="260">
        <f t="shared" si="1"/>
        <v>0.33333333333333331</v>
      </c>
      <c r="G23" s="281">
        <v>0.9</v>
      </c>
      <c r="H23" s="260">
        <v>2.7777777777777776E-2</v>
      </c>
      <c r="I23" s="260"/>
      <c r="J23" s="260">
        <f t="shared" si="2"/>
        <v>6.9444444444444441E-3</v>
      </c>
      <c r="K23" s="260">
        <v>1.3888888888888888E-2</v>
      </c>
      <c r="L23" s="260">
        <f t="shared" si="3"/>
        <v>4.1666666666666664E-2</v>
      </c>
      <c r="M23" s="260">
        <v>3.125E-2</v>
      </c>
      <c r="N23" s="260">
        <v>0</v>
      </c>
      <c r="O23" s="260">
        <v>1.0416666666666666E-2</v>
      </c>
      <c r="P23" s="286">
        <f t="shared" si="0"/>
        <v>4.0333333333333332</v>
      </c>
    </row>
    <row r="24" spans="2:17" x14ac:dyDescent="0.25">
      <c r="C24" s="258">
        <v>1073</v>
      </c>
      <c r="D24" t="s">
        <v>580</v>
      </c>
      <c r="E24" s="258">
        <v>1</v>
      </c>
      <c r="F24" s="260">
        <f t="shared" si="1"/>
        <v>0.33333333333333331</v>
      </c>
      <c r="G24" s="281">
        <v>0.9</v>
      </c>
      <c r="H24" s="260">
        <v>2.7777777777777776E-2</v>
      </c>
      <c r="I24" s="260"/>
      <c r="J24" s="260">
        <f t="shared" si="2"/>
        <v>6.9444444444444441E-3</v>
      </c>
      <c r="K24" s="260">
        <v>1.3888888888888888E-2</v>
      </c>
      <c r="L24" s="260">
        <f t="shared" si="3"/>
        <v>4.1666666666666664E-2</v>
      </c>
      <c r="M24" s="260">
        <v>3.125E-2</v>
      </c>
      <c r="N24" s="260">
        <v>0</v>
      </c>
      <c r="O24" s="260">
        <v>1.0416666666666666E-2</v>
      </c>
      <c r="P24" s="286">
        <f t="shared" ref="P24" si="5">((F24*24)*G24)-(SUM(H24:O24)*24)</f>
        <v>4.0333333333333332</v>
      </c>
    </row>
    <row r="25" spans="2:17" x14ac:dyDescent="0.25">
      <c r="C25" s="258">
        <v>1035</v>
      </c>
      <c r="D25" t="s">
        <v>63</v>
      </c>
      <c r="E25" s="258">
        <v>1</v>
      </c>
      <c r="F25" s="260">
        <f t="shared" si="1"/>
        <v>0.33333333333333331</v>
      </c>
      <c r="G25" s="281">
        <v>0.9</v>
      </c>
      <c r="H25" s="260">
        <v>0</v>
      </c>
      <c r="I25" s="260"/>
      <c r="J25" s="260">
        <f t="shared" si="2"/>
        <v>6.9444444444444441E-3</v>
      </c>
      <c r="K25" s="260">
        <v>1.3888888888888888E-2</v>
      </c>
      <c r="L25" s="260">
        <f t="shared" si="3"/>
        <v>4.1666666666666664E-2</v>
      </c>
      <c r="M25" s="260">
        <v>3.125E-2</v>
      </c>
      <c r="N25" s="260">
        <v>0</v>
      </c>
      <c r="O25" s="260">
        <v>0</v>
      </c>
      <c r="P25" s="286">
        <f t="shared" si="0"/>
        <v>4.95</v>
      </c>
    </row>
    <row r="26" spans="2:17" x14ac:dyDescent="0.25">
      <c r="C26" s="258">
        <v>1050</v>
      </c>
      <c r="D26" t="s">
        <v>64</v>
      </c>
      <c r="E26" s="258">
        <v>1</v>
      </c>
      <c r="F26" s="260">
        <f t="shared" si="1"/>
        <v>0.33333333333333331</v>
      </c>
      <c r="G26" s="281">
        <v>0.9</v>
      </c>
      <c r="H26" s="260">
        <v>0</v>
      </c>
      <c r="I26" s="260"/>
      <c r="J26" s="260">
        <f t="shared" si="2"/>
        <v>6.9444444444444441E-3</v>
      </c>
      <c r="K26" s="260">
        <v>1.3888888888888888E-2</v>
      </c>
      <c r="L26" s="260">
        <f t="shared" si="3"/>
        <v>4.1666666666666664E-2</v>
      </c>
      <c r="M26" s="260">
        <v>3.125E-2</v>
      </c>
      <c r="N26" s="260">
        <v>0</v>
      </c>
      <c r="O26" s="260">
        <v>0</v>
      </c>
      <c r="P26" s="286">
        <f t="shared" si="0"/>
        <v>4.95</v>
      </c>
    </row>
    <row r="27" spans="2:17" x14ac:dyDescent="0.25">
      <c r="C27" s="258">
        <v>1078</v>
      </c>
      <c r="E27" s="258">
        <v>1</v>
      </c>
      <c r="F27" s="260">
        <f t="shared" si="1"/>
        <v>0.33333333333333331</v>
      </c>
      <c r="G27" s="281">
        <v>0.8</v>
      </c>
      <c r="H27" s="260">
        <v>2.7777777777777776E-2</v>
      </c>
      <c r="I27" s="260"/>
      <c r="J27" s="260">
        <f t="shared" si="2"/>
        <v>6.9444444444444441E-3</v>
      </c>
      <c r="K27" s="260">
        <v>1.3888888888888888E-2</v>
      </c>
      <c r="L27" s="260">
        <f t="shared" si="3"/>
        <v>4.1666666666666664E-2</v>
      </c>
      <c r="M27" s="260">
        <v>3.125E-2</v>
      </c>
      <c r="N27" s="260">
        <v>0</v>
      </c>
      <c r="O27" s="260">
        <v>1.0416666666666666E-2</v>
      </c>
      <c r="P27" s="286">
        <f t="shared" ref="P27" si="6">((F27*24)*G27)-(SUM(H27:O27)*24)</f>
        <v>3.2333333333333334</v>
      </c>
    </row>
    <row r="28" spans="2:17" x14ac:dyDescent="0.25">
      <c r="C28" s="258">
        <v>1071</v>
      </c>
      <c r="E28" s="258">
        <v>1</v>
      </c>
      <c r="F28" s="260">
        <f t="shared" si="1"/>
        <v>0.33333333333333331</v>
      </c>
      <c r="G28" s="281">
        <v>0.85</v>
      </c>
      <c r="H28" s="260">
        <v>2.7777777777777776E-2</v>
      </c>
      <c r="I28" s="260"/>
      <c r="J28" s="260">
        <f t="shared" si="2"/>
        <v>6.9444444444444441E-3</v>
      </c>
      <c r="K28" s="260">
        <v>1.3888888888888888E-2</v>
      </c>
      <c r="L28" s="260">
        <f t="shared" si="3"/>
        <v>4.1666666666666664E-2</v>
      </c>
      <c r="M28" s="260">
        <v>3.125E-2</v>
      </c>
      <c r="N28" s="260">
        <v>0</v>
      </c>
      <c r="O28" s="260">
        <v>1.0416666666666666E-2</v>
      </c>
      <c r="P28" s="286">
        <f t="shared" ref="P28:P30" si="7">((F28*24)*G28)-(SUM(H28:O28)*24)</f>
        <v>3.6333333333333329</v>
      </c>
    </row>
    <row r="29" spans="2:17" x14ac:dyDescent="0.25">
      <c r="C29" s="258">
        <v>1090</v>
      </c>
      <c r="E29" s="258">
        <v>1</v>
      </c>
      <c r="F29" s="260">
        <f t="shared" si="1"/>
        <v>0.33333333333333331</v>
      </c>
      <c r="G29" s="281">
        <v>0.85</v>
      </c>
      <c r="H29" s="260">
        <v>2.7777777777777776E-2</v>
      </c>
      <c r="I29" s="260"/>
      <c r="J29" s="260">
        <f t="shared" si="2"/>
        <v>6.9444444444444441E-3</v>
      </c>
      <c r="K29" s="260">
        <v>1.3888888888888888E-2</v>
      </c>
      <c r="L29" s="260">
        <f t="shared" si="3"/>
        <v>4.1666666666666664E-2</v>
      </c>
      <c r="M29" s="260">
        <v>3.125E-2</v>
      </c>
      <c r="N29" s="260">
        <v>0</v>
      </c>
      <c r="O29" s="260">
        <v>1.0416666666666666E-2</v>
      </c>
      <c r="P29" s="286">
        <f t="shared" si="7"/>
        <v>3.6333333333333329</v>
      </c>
    </row>
    <row r="30" spans="2:17" x14ac:dyDescent="0.25">
      <c r="C30" s="258">
        <v>1091</v>
      </c>
      <c r="E30" s="258">
        <v>1</v>
      </c>
      <c r="F30" s="260">
        <f t="shared" si="1"/>
        <v>0.33333333333333331</v>
      </c>
      <c r="G30" s="281">
        <v>0.85</v>
      </c>
      <c r="H30" s="260">
        <v>2.7777777777777776E-2</v>
      </c>
      <c r="I30" s="260"/>
      <c r="J30" s="260">
        <f t="shared" si="2"/>
        <v>6.9444444444444441E-3</v>
      </c>
      <c r="K30" s="260">
        <v>1.3888888888888888E-2</v>
      </c>
      <c r="L30" s="260">
        <f t="shared" si="3"/>
        <v>4.1666666666666664E-2</v>
      </c>
      <c r="M30" s="260">
        <v>3.125E-2</v>
      </c>
      <c r="N30" s="260">
        <v>0</v>
      </c>
      <c r="O30" s="260">
        <v>1.0416666666666666E-2</v>
      </c>
      <c r="P30" s="286">
        <f t="shared" si="7"/>
        <v>3.6333333333333329</v>
      </c>
    </row>
    <row r="31" spans="2:17" x14ac:dyDescent="0.25">
      <c r="B31" t="s">
        <v>65</v>
      </c>
      <c r="C31" s="258" t="s">
        <v>14</v>
      </c>
      <c r="D31" t="s">
        <v>15</v>
      </c>
      <c r="E31" s="258">
        <v>1</v>
      </c>
      <c r="F31" s="260">
        <f t="shared" si="1"/>
        <v>0.33333333333333331</v>
      </c>
      <c r="G31" s="281"/>
      <c r="H31" s="260"/>
      <c r="I31" s="260"/>
      <c r="J31" s="260"/>
      <c r="K31" s="260"/>
      <c r="L31" s="260"/>
      <c r="M31" s="260"/>
      <c r="N31" s="260"/>
      <c r="O31" s="260"/>
      <c r="P31" s="286">
        <f t="shared" si="0"/>
        <v>0</v>
      </c>
    </row>
    <row r="32" spans="2:17" x14ac:dyDescent="0.25">
      <c r="C32" s="258" t="s">
        <v>17</v>
      </c>
      <c r="D32" t="s">
        <v>18</v>
      </c>
      <c r="E32" s="258">
        <v>1</v>
      </c>
      <c r="F32" s="260">
        <f t="shared" si="1"/>
        <v>0.33333333333333331</v>
      </c>
      <c r="G32" s="281"/>
      <c r="H32" s="260"/>
      <c r="I32" s="260"/>
      <c r="J32" s="260"/>
      <c r="K32" s="260"/>
      <c r="L32" s="260"/>
      <c r="M32" s="260"/>
      <c r="N32" s="260"/>
      <c r="O32" s="260"/>
      <c r="P32" s="286">
        <f t="shared" si="0"/>
        <v>0</v>
      </c>
    </row>
    <row r="33" spans="3:16" x14ac:dyDescent="0.25">
      <c r="C33" s="258" t="s">
        <v>19</v>
      </c>
      <c r="D33" t="s">
        <v>66</v>
      </c>
      <c r="E33" s="258">
        <v>1</v>
      </c>
      <c r="F33" s="260">
        <f t="shared" si="1"/>
        <v>0.33333333333333331</v>
      </c>
      <c r="G33" s="281">
        <v>0.85</v>
      </c>
      <c r="H33" s="260">
        <v>2.7777777777777776E-2</v>
      </c>
      <c r="I33" s="260"/>
      <c r="J33" s="260"/>
      <c r="K33" s="260"/>
      <c r="L33" s="260">
        <v>4.1666666666666664E-2</v>
      </c>
      <c r="M33" s="260"/>
      <c r="N33" s="260"/>
      <c r="O33" s="260"/>
      <c r="P33" s="286">
        <f t="shared" si="0"/>
        <v>5.1333333333333329</v>
      </c>
    </row>
    <row r="34" spans="3:16" x14ac:dyDescent="0.25">
      <c r="C34" s="258" t="s">
        <v>22</v>
      </c>
      <c r="D34" t="s">
        <v>23</v>
      </c>
      <c r="E34" s="258">
        <v>1</v>
      </c>
      <c r="F34" s="260">
        <f t="shared" si="1"/>
        <v>0.33333333333333331</v>
      </c>
      <c r="G34" s="281"/>
      <c r="H34" s="260"/>
      <c r="I34" s="260"/>
      <c r="J34" s="260"/>
      <c r="K34" s="260"/>
      <c r="L34" s="260"/>
      <c r="M34" s="260"/>
      <c r="N34" s="260"/>
      <c r="O34" s="260"/>
      <c r="P34" s="286">
        <f t="shared" si="0"/>
        <v>0</v>
      </c>
    </row>
    <row r="35" spans="3:16" x14ac:dyDescent="0.25">
      <c r="D35" t="s">
        <v>67</v>
      </c>
      <c r="E35" s="258">
        <v>1</v>
      </c>
      <c r="F35" s="260">
        <f t="shared" si="1"/>
        <v>0.33333333333333331</v>
      </c>
      <c r="G35" s="281"/>
      <c r="H35" s="260"/>
      <c r="I35" s="260"/>
      <c r="J35" s="260"/>
      <c r="K35" s="260"/>
      <c r="L35" s="260"/>
      <c r="M35" s="260"/>
      <c r="N35" s="260"/>
      <c r="O35" s="260"/>
      <c r="P35" s="286">
        <f t="shared" si="0"/>
        <v>0</v>
      </c>
    </row>
    <row r="36" spans="3:16" x14ac:dyDescent="0.25">
      <c r="C36" s="258">
        <v>1018</v>
      </c>
      <c r="D36" t="s">
        <v>68</v>
      </c>
      <c r="E36" s="258">
        <v>1</v>
      </c>
      <c r="F36" s="260">
        <f t="shared" si="1"/>
        <v>0.33333333333333331</v>
      </c>
      <c r="G36" s="281">
        <v>0.85</v>
      </c>
      <c r="H36" s="260">
        <v>2.7777777777777776E-2</v>
      </c>
      <c r="I36" s="260"/>
      <c r="J36" s="260">
        <v>1.3888888888888888E-2</v>
      </c>
      <c r="K36" s="260">
        <v>1.3888888888888888E-2</v>
      </c>
      <c r="L36" s="260">
        <v>8.3333333333333329E-2</v>
      </c>
      <c r="M36" s="260">
        <v>3.125E-2</v>
      </c>
      <c r="N36" s="260">
        <v>0</v>
      </c>
      <c r="O36" s="260">
        <v>6.9444444444444441E-3</v>
      </c>
      <c r="P36" s="286">
        <f t="shared" si="0"/>
        <v>2.5499999999999998</v>
      </c>
    </row>
    <row r="37" spans="3:16" x14ac:dyDescent="0.25">
      <c r="C37" s="258">
        <v>4001</v>
      </c>
      <c r="D37" t="s">
        <v>69</v>
      </c>
      <c r="E37" s="258">
        <v>1</v>
      </c>
      <c r="F37" s="260">
        <f t="shared" si="1"/>
        <v>0.33333333333333331</v>
      </c>
      <c r="G37" s="281">
        <v>0.85</v>
      </c>
      <c r="H37" s="260">
        <v>0</v>
      </c>
      <c r="I37" s="260">
        <v>2.0833333333333332E-2</v>
      </c>
      <c r="J37" s="260">
        <v>2.0833333333333332E-2</v>
      </c>
      <c r="K37" s="260">
        <v>3.3333333333333333E-2</v>
      </c>
      <c r="L37" s="260">
        <v>6.25E-2</v>
      </c>
      <c r="M37" s="260">
        <v>2.4999999999999998E-2</v>
      </c>
      <c r="N37" s="260">
        <v>6.8749999999999992E-2</v>
      </c>
      <c r="O37" s="260">
        <v>4.1666666666666664E-2</v>
      </c>
      <c r="P37" s="286">
        <f t="shared" si="0"/>
        <v>0.24999999999999911</v>
      </c>
    </row>
    <row r="38" spans="3:16" x14ac:dyDescent="0.25">
      <c r="C38" s="258" t="s">
        <v>70</v>
      </c>
      <c r="D38" t="s">
        <v>71</v>
      </c>
      <c r="E38" s="258">
        <v>1</v>
      </c>
      <c r="F38" s="260">
        <f t="shared" si="1"/>
        <v>0.33333333333333331</v>
      </c>
      <c r="G38" s="281">
        <v>0.85</v>
      </c>
      <c r="H38" s="260">
        <v>2.7777777777777776E-2</v>
      </c>
      <c r="I38" s="260"/>
      <c r="J38" s="260">
        <v>6.9444444444444441E-3</v>
      </c>
      <c r="K38" s="260">
        <v>1.3888888888888888E-2</v>
      </c>
      <c r="L38" s="260">
        <v>4.1666666666666664E-2</v>
      </c>
      <c r="M38" s="260">
        <v>3.125E-2</v>
      </c>
      <c r="N38" s="260">
        <v>0</v>
      </c>
      <c r="O38" s="260">
        <v>0</v>
      </c>
      <c r="P38" s="286">
        <f t="shared" si="0"/>
        <v>3.8833333333333333</v>
      </c>
    </row>
    <row r="39" spans="3:16" x14ac:dyDescent="0.25">
      <c r="C39" s="258">
        <v>1096</v>
      </c>
      <c r="E39" s="258">
        <v>1</v>
      </c>
      <c r="F39" s="260">
        <f t="shared" si="1"/>
        <v>0.33333333333333331</v>
      </c>
      <c r="G39" s="281">
        <v>0.9</v>
      </c>
      <c r="H39" s="260">
        <v>2.7777777777777776E-2</v>
      </c>
      <c r="I39" s="260"/>
      <c r="J39" s="260">
        <f t="shared" ref="J39" si="8">E39*$J$4</f>
        <v>6.9444444444444441E-3</v>
      </c>
      <c r="K39" s="260">
        <v>1.3888888888888888E-2</v>
      </c>
      <c r="L39" s="260">
        <f t="shared" ref="L39:L44" si="9">$L$4*$E39</f>
        <v>4.1666666666666664E-2</v>
      </c>
      <c r="M39" s="260">
        <v>3.125E-2</v>
      </c>
      <c r="N39" s="260">
        <v>0</v>
      </c>
      <c r="O39" s="260">
        <v>0</v>
      </c>
      <c r="P39" s="286">
        <f t="shared" ref="P39" si="10">((F39*24)*G39)-(SUM(H39:O39)*24)</f>
        <v>4.2833333333333332</v>
      </c>
    </row>
    <row r="40" spans="3:16" x14ac:dyDescent="0.25">
      <c r="C40" s="258">
        <v>1002</v>
      </c>
      <c r="E40" s="258">
        <v>1</v>
      </c>
      <c r="F40" s="260">
        <f t="shared" si="1"/>
        <v>0.33333333333333331</v>
      </c>
      <c r="G40" s="281">
        <v>0.9</v>
      </c>
      <c r="H40" s="260">
        <v>2.7777777777777776E-2</v>
      </c>
      <c r="I40" s="260"/>
      <c r="J40" s="260">
        <f t="shared" ref="J40:J44" si="11">E40*$J$4</f>
        <v>6.9444444444444441E-3</v>
      </c>
      <c r="K40" s="260">
        <v>1.3888888888888888E-2</v>
      </c>
      <c r="L40" s="260">
        <f t="shared" si="9"/>
        <v>4.1666666666666664E-2</v>
      </c>
      <c r="M40" s="260">
        <v>3.125E-2</v>
      </c>
      <c r="N40" s="260">
        <v>0</v>
      </c>
      <c r="O40" s="260">
        <v>0</v>
      </c>
      <c r="P40" s="286">
        <f t="shared" ref="P40:P43" si="12">((F40*24)*G40)-(SUM(H40:O40)*24)</f>
        <v>4.2833333333333332</v>
      </c>
    </row>
    <row r="41" spans="3:16" x14ac:dyDescent="0.25">
      <c r="C41" s="258">
        <v>1003</v>
      </c>
      <c r="E41" s="258">
        <v>1</v>
      </c>
      <c r="F41" s="260">
        <f t="shared" si="1"/>
        <v>0.33333333333333331</v>
      </c>
      <c r="G41" s="281">
        <v>0.9</v>
      </c>
      <c r="H41" s="260">
        <v>2.7777777777777776E-2</v>
      </c>
      <c r="I41" s="260"/>
      <c r="J41" s="260">
        <f t="shared" si="11"/>
        <v>6.9444444444444441E-3</v>
      </c>
      <c r="K41" s="260">
        <v>1.3888888888888888E-2</v>
      </c>
      <c r="L41" s="260">
        <f t="shared" si="9"/>
        <v>4.1666666666666664E-2</v>
      </c>
      <c r="M41" s="260">
        <v>3.125E-2</v>
      </c>
      <c r="N41" s="260">
        <v>0</v>
      </c>
      <c r="O41" s="260">
        <v>0</v>
      </c>
      <c r="P41" s="286">
        <f t="shared" si="12"/>
        <v>4.2833333333333332</v>
      </c>
    </row>
    <row r="42" spans="3:16" x14ac:dyDescent="0.25">
      <c r="C42" s="258">
        <v>1019</v>
      </c>
      <c r="E42" s="258">
        <v>1</v>
      </c>
      <c r="F42" s="260">
        <f t="shared" si="1"/>
        <v>0.33333333333333331</v>
      </c>
      <c r="G42" s="281">
        <v>0.9</v>
      </c>
      <c r="H42" s="260">
        <v>2.7777777777777776E-2</v>
      </c>
      <c r="I42" s="260"/>
      <c r="J42" s="260">
        <f t="shared" si="11"/>
        <v>6.9444444444444441E-3</v>
      </c>
      <c r="K42" s="260">
        <v>1.3888888888888888E-2</v>
      </c>
      <c r="L42" s="260">
        <f t="shared" si="9"/>
        <v>4.1666666666666664E-2</v>
      </c>
      <c r="M42" s="260">
        <v>3.125E-2</v>
      </c>
      <c r="N42" s="260">
        <v>0</v>
      </c>
      <c r="O42" s="260">
        <v>0</v>
      </c>
      <c r="P42" s="286">
        <f t="shared" si="12"/>
        <v>4.2833333333333332</v>
      </c>
    </row>
    <row r="43" spans="3:16" x14ac:dyDescent="0.25">
      <c r="C43" s="258">
        <v>1081</v>
      </c>
      <c r="E43" s="258">
        <v>1</v>
      </c>
      <c r="F43" s="260">
        <f t="shared" si="1"/>
        <v>0.33333333333333331</v>
      </c>
      <c r="G43" s="281">
        <v>0.9</v>
      </c>
      <c r="H43" s="260">
        <v>2.7777777777777776E-2</v>
      </c>
      <c r="I43" s="260"/>
      <c r="J43" s="260">
        <f t="shared" si="11"/>
        <v>6.9444444444444441E-3</v>
      </c>
      <c r="K43" s="260">
        <v>1.3888888888888888E-2</v>
      </c>
      <c r="L43" s="260">
        <f t="shared" si="9"/>
        <v>4.1666666666666664E-2</v>
      </c>
      <c r="M43" s="260">
        <v>3.125E-2</v>
      </c>
      <c r="N43" s="260">
        <v>0</v>
      </c>
      <c r="O43" s="260">
        <v>0</v>
      </c>
      <c r="P43" s="286">
        <f t="shared" si="12"/>
        <v>4.2833333333333332</v>
      </c>
    </row>
    <row r="44" spans="3:16" x14ac:dyDescent="0.25">
      <c r="C44" s="258">
        <v>1079</v>
      </c>
      <c r="E44" s="258">
        <v>1</v>
      </c>
      <c r="F44" s="260">
        <f t="shared" si="1"/>
        <v>0.33333333333333331</v>
      </c>
      <c r="G44" s="281">
        <v>0.8</v>
      </c>
      <c r="H44" s="260">
        <v>2.7777777777777776E-2</v>
      </c>
      <c r="I44" s="260"/>
      <c r="J44" s="260">
        <f t="shared" si="11"/>
        <v>6.9444444444444441E-3</v>
      </c>
      <c r="K44" s="260">
        <v>1.3888888888888888E-2</v>
      </c>
      <c r="L44" s="260">
        <f t="shared" si="9"/>
        <v>4.1666666666666664E-2</v>
      </c>
      <c r="M44" s="260">
        <v>3.125E-2</v>
      </c>
      <c r="N44" s="260">
        <v>0</v>
      </c>
      <c r="O44" s="260">
        <v>1.3888888888888888E-2</v>
      </c>
      <c r="P44" s="286">
        <f t="shared" ref="P44" si="13">((F44*24)*G44)-(SUM(H44:O44)*24)</f>
        <v>3.1500000000000004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F2827-7BF3-473D-BF93-CF33ACFD7476}">
  <dimension ref="A1:B281"/>
  <sheetViews>
    <sheetView showGridLines="0" workbookViewId="0">
      <selection activeCell="D10" sqref="D10"/>
    </sheetView>
  </sheetViews>
  <sheetFormatPr defaultRowHeight="15" x14ac:dyDescent="0.25"/>
  <cols>
    <col min="1" max="1" width="9.28515625" customWidth="1"/>
    <col min="2" max="2" width="35.140625" bestFit="1" customWidth="1"/>
  </cols>
  <sheetData>
    <row r="1" spans="1:2" x14ac:dyDescent="0.25">
      <c r="A1" t="s">
        <v>602</v>
      </c>
      <c r="B1" t="s">
        <v>321</v>
      </c>
    </row>
    <row r="2" spans="1:2" x14ac:dyDescent="0.25">
      <c r="A2">
        <v>1064</v>
      </c>
      <c r="B2" t="s">
        <v>322</v>
      </c>
    </row>
    <row r="3" spans="1:2" x14ac:dyDescent="0.25">
      <c r="A3">
        <v>9001</v>
      </c>
      <c r="B3" t="s">
        <v>323</v>
      </c>
    </row>
    <row r="4" spans="1:2" x14ac:dyDescent="0.25">
      <c r="A4">
        <v>29</v>
      </c>
      <c r="B4" t="s">
        <v>324</v>
      </c>
    </row>
    <row r="5" spans="1:2" x14ac:dyDescent="0.25">
      <c r="A5">
        <v>4005</v>
      </c>
      <c r="B5" t="s">
        <v>325</v>
      </c>
    </row>
    <row r="6" spans="1:2" x14ac:dyDescent="0.25">
      <c r="A6">
        <v>4006</v>
      </c>
      <c r="B6" t="s">
        <v>326</v>
      </c>
    </row>
    <row r="7" spans="1:2" x14ac:dyDescent="0.25">
      <c r="A7">
        <v>4007</v>
      </c>
      <c r="B7" t="s">
        <v>327</v>
      </c>
    </row>
    <row r="8" spans="1:2" x14ac:dyDescent="0.25">
      <c r="A8">
        <v>4008</v>
      </c>
      <c r="B8" t="s">
        <v>328</v>
      </c>
    </row>
    <row r="9" spans="1:2" x14ac:dyDescent="0.25">
      <c r="A9">
        <v>4009</v>
      </c>
      <c r="B9" t="s">
        <v>329</v>
      </c>
    </row>
    <row r="10" spans="1:2" x14ac:dyDescent="0.25">
      <c r="A10">
        <v>4010</v>
      </c>
      <c r="B10" t="s">
        <v>330</v>
      </c>
    </row>
    <row r="11" spans="1:2" x14ac:dyDescent="0.25">
      <c r="A11">
        <v>4011</v>
      </c>
      <c r="B11" t="s">
        <v>331</v>
      </c>
    </row>
    <row r="12" spans="1:2" x14ac:dyDescent="0.25">
      <c r="A12">
        <v>4012</v>
      </c>
      <c r="B12" t="s">
        <v>332</v>
      </c>
    </row>
    <row r="13" spans="1:2" x14ac:dyDescent="0.25">
      <c r="A13">
        <v>4013</v>
      </c>
      <c r="B13" t="s">
        <v>333</v>
      </c>
    </row>
    <row r="14" spans="1:2" x14ac:dyDescent="0.25">
      <c r="A14">
        <v>4014</v>
      </c>
      <c r="B14" t="s">
        <v>334</v>
      </c>
    </row>
    <row r="15" spans="1:2" x14ac:dyDescent="0.25">
      <c r="A15">
        <v>2030</v>
      </c>
      <c r="B15" t="s">
        <v>335</v>
      </c>
    </row>
    <row r="16" spans="1:2" x14ac:dyDescent="0.25">
      <c r="A16">
        <v>2031</v>
      </c>
      <c r="B16" t="s">
        <v>336</v>
      </c>
    </row>
    <row r="17" spans="1:2" x14ac:dyDescent="0.25">
      <c r="A17">
        <v>2032</v>
      </c>
      <c r="B17" t="s">
        <v>337</v>
      </c>
    </row>
    <row r="18" spans="1:2" x14ac:dyDescent="0.25">
      <c r="A18">
        <v>2035</v>
      </c>
      <c r="B18" t="s">
        <v>338</v>
      </c>
    </row>
    <row r="19" spans="1:2" x14ac:dyDescent="0.25">
      <c r="A19">
        <v>900</v>
      </c>
      <c r="B19" t="s">
        <v>339</v>
      </c>
    </row>
    <row r="20" spans="1:2" x14ac:dyDescent="0.25">
      <c r="A20">
        <v>2009</v>
      </c>
      <c r="B20" t="s">
        <v>340</v>
      </c>
    </row>
    <row r="21" spans="1:2" x14ac:dyDescent="0.25">
      <c r="A21">
        <v>2010</v>
      </c>
      <c r="B21" t="s">
        <v>341</v>
      </c>
    </row>
    <row r="22" spans="1:2" x14ac:dyDescent="0.25">
      <c r="A22">
        <v>12</v>
      </c>
      <c r="B22" t="s">
        <v>342</v>
      </c>
    </row>
    <row r="23" spans="1:2" x14ac:dyDescent="0.25">
      <c r="A23">
        <v>13</v>
      </c>
      <c r="B23" t="s">
        <v>343</v>
      </c>
    </row>
    <row r="24" spans="1:2" x14ac:dyDescent="0.25">
      <c r="A24">
        <v>14</v>
      </c>
      <c r="B24" t="s">
        <v>344</v>
      </c>
    </row>
    <row r="25" spans="1:2" x14ac:dyDescent="0.25">
      <c r="A25">
        <v>15</v>
      </c>
      <c r="B25" t="s">
        <v>345</v>
      </c>
    </row>
    <row r="26" spans="1:2" x14ac:dyDescent="0.25">
      <c r="A26">
        <v>16</v>
      </c>
      <c r="B26" t="s">
        <v>346</v>
      </c>
    </row>
    <row r="27" spans="1:2" x14ac:dyDescent="0.25">
      <c r="A27">
        <v>17</v>
      </c>
      <c r="B27" t="s">
        <v>347</v>
      </c>
    </row>
    <row r="28" spans="1:2" x14ac:dyDescent="0.25">
      <c r="A28">
        <v>18</v>
      </c>
      <c r="B28" t="s">
        <v>348</v>
      </c>
    </row>
    <row r="29" spans="1:2" x14ac:dyDescent="0.25">
      <c r="A29">
        <v>19</v>
      </c>
      <c r="B29" t="s">
        <v>349</v>
      </c>
    </row>
    <row r="30" spans="1:2" x14ac:dyDescent="0.25">
      <c r="A30">
        <v>20</v>
      </c>
      <c r="B30" t="s">
        <v>350</v>
      </c>
    </row>
    <row r="31" spans="1:2" x14ac:dyDescent="0.25">
      <c r="A31">
        <v>21</v>
      </c>
      <c r="B31" t="s">
        <v>351</v>
      </c>
    </row>
    <row r="32" spans="1:2" x14ac:dyDescent="0.25">
      <c r="A32">
        <v>101</v>
      </c>
      <c r="B32" t="s">
        <v>352</v>
      </c>
    </row>
    <row r="33" spans="1:2" x14ac:dyDescent="0.25">
      <c r="A33">
        <v>102</v>
      </c>
      <c r="B33" t="s">
        <v>353</v>
      </c>
    </row>
    <row r="34" spans="1:2" x14ac:dyDescent="0.25">
      <c r="A34">
        <v>103</v>
      </c>
      <c r="B34" t="s">
        <v>354</v>
      </c>
    </row>
    <row r="35" spans="1:2" x14ac:dyDescent="0.25">
      <c r="A35">
        <v>104</v>
      </c>
      <c r="B35" t="s">
        <v>355</v>
      </c>
    </row>
    <row r="36" spans="1:2" x14ac:dyDescent="0.25">
      <c r="A36">
        <v>105</v>
      </c>
      <c r="B36" t="s">
        <v>356</v>
      </c>
    </row>
    <row r="37" spans="1:2" x14ac:dyDescent="0.25">
      <c r="A37">
        <v>106</v>
      </c>
      <c r="B37" t="s">
        <v>357</v>
      </c>
    </row>
    <row r="38" spans="1:2" x14ac:dyDescent="0.25">
      <c r="A38">
        <v>107</v>
      </c>
      <c r="B38" t="s">
        <v>358</v>
      </c>
    </row>
    <row r="39" spans="1:2" x14ac:dyDescent="0.25">
      <c r="A39">
        <v>108</v>
      </c>
      <c r="B39" t="s">
        <v>359</v>
      </c>
    </row>
    <row r="40" spans="1:2" x14ac:dyDescent="0.25">
      <c r="A40">
        <v>901</v>
      </c>
      <c r="B40" t="s">
        <v>360</v>
      </c>
    </row>
    <row r="41" spans="1:2" x14ac:dyDescent="0.25">
      <c r="A41">
        <v>903</v>
      </c>
      <c r="B41" t="s">
        <v>361</v>
      </c>
    </row>
    <row r="42" spans="1:2" x14ac:dyDescent="0.25">
      <c r="A42">
        <v>904</v>
      </c>
      <c r="B42" t="s">
        <v>362</v>
      </c>
    </row>
    <row r="43" spans="1:2" x14ac:dyDescent="0.25">
      <c r="A43">
        <v>905</v>
      </c>
      <c r="B43" t="s">
        <v>363</v>
      </c>
    </row>
    <row r="44" spans="1:2" x14ac:dyDescent="0.25">
      <c r="A44">
        <v>1001</v>
      </c>
      <c r="B44" t="s">
        <v>364</v>
      </c>
    </row>
    <row r="45" spans="1:2" x14ac:dyDescent="0.25">
      <c r="A45">
        <v>1002</v>
      </c>
      <c r="B45" t="s">
        <v>365</v>
      </c>
    </row>
    <row r="46" spans="1:2" x14ac:dyDescent="0.25">
      <c r="A46">
        <v>1003</v>
      </c>
      <c r="B46" t="s">
        <v>366</v>
      </c>
    </row>
    <row r="47" spans="1:2" x14ac:dyDescent="0.25">
      <c r="A47">
        <v>1004</v>
      </c>
      <c r="B47" t="s">
        <v>367</v>
      </c>
    </row>
    <row r="48" spans="1:2" x14ac:dyDescent="0.25">
      <c r="A48">
        <v>1005</v>
      </c>
      <c r="B48" t="s">
        <v>368</v>
      </c>
    </row>
    <row r="49" spans="1:2" x14ac:dyDescent="0.25">
      <c r="A49">
        <v>1007</v>
      </c>
      <c r="B49" t="s">
        <v>369</v>
      </c>
    </row>
    <row r="50" spans="1:2" x14ac:dyDescent="0.25">
      <c r="A50">
        <v>1008</v>
      </c>
      <c r="B50" t="s">
        <v>370</v>
      </c>
    </row>
    <row r="51" spans="1:2" x14ac:dyDescent="0.25">
      <c r="A51">
        <v>1009</v>
      </c>
      <c r="B51" t="s">
        <v>371</v>
      </c>
    </row>
    <row r="52" spans="1:2" x14ac:dyDescent="0.25">
      <c r="A52">
        <v>1010</v>
      </c>
      <c r="B52" t="s">
        <v>372</v>
      </c>
    </row>
    <row r="53" spans="1:2" x14ac:dyDescent="0.25">
      <c r="A53">
        <v>1011</v>
      </c>
      <c r="B53" t="s">
        <v>373</v>
      </c>
    </row>
    <row r="54" spans="1:2" x14ac:dyDescent="0.25">
      <c r="A54">
        <v>1012</v>
      </c>
      <c r="B54" t="s">
        <v>374</v>
      </c>
    </row>
    <row r="55" spans="1:2" x14ac:dyDescent="0.25">
      <c r="A55">
        <v>1013</v>
      </c>
      <c r="B55" t="s">
        <v>375</v>
      </c>
    </row>
    <row r="56" spans="1:2" x14ac:dyDescent="0.25">
      <c r="A56">
        <v>1014</v>
      </c>
      <c r="B56" t="s">
        <v>376</v>
      </c>
    </row>
    <row r="57" spans="1:2" x14ac:dyDescent="0.25">
      <c r="A57">
        <v>1015</v>
      </c>
      <c r="B57" t="s">
        <v>377</v>
      </c>
    </row>
    <row r="58" spans="1:2" x14ac:dyDescent="0.25">
      <c r="A58">
        <v>1016</v>
      </c>
      <c r="B58" t="s">
        <v>378</v>
      </c>
    </row>
    <row r="59" spans="1:2" x14ac:dyDescent="0.25">
      <c r="A59">
        <v>1018</v>
      </c>
      <c r="B59" t="s">
        <v>379</v>
      </c>
    </row>
    <row r="60" spans="1:2" x14ac:dyDescent="0.25">
      <c r="A60">
        <v>1020</v>
      </c>
      <c r="B60" t="s">
        <v>380</v>
      </c>
    </row>
    <row r="61" spans="1:2" x14ac:dyDescent="0.25">
      <c r="A61">
        <v>1022</v>
      </c>
      <c r="B61" t="s">
        <v>381</v>
      </c>
    </row>
    <row r="62" spans="1:2" x14ac:dyDescent="0.25">
      <c r="A62">
        <v>1023</v>
      </c>
      <c r="B62" t="s">
        <v>382</v>
      </c>
    </row>
    <row r="63" spans="1:2" x14ac:dyDescent="0.25">
      <c r="A63">
        <v>1025</v>
      </c>
      <c r="B63" t="s">
        <v>383</v>
      </c>
    </row>
    <row r="64" spans="1:2" x14ac:dyDescent="0.25">
      <c r="A64">
        <v>1026</v>
      </c>
      <c r="B64" t="s">
        <v>384</v>
      </c>
    </row>
    <row r="65" spans="1:2" x14ac:dyDescent="0.25">
      <c r="A65">
        <v>1027</v>
      </c>
      <c r="B65" t="s">
        <v>385</v>
      </c>
    </row>
    <row r="66" spans="1:2" x14ac:dyDescent="0.25">
      <c r="A66">
        <v>1028</v>
      </c>
      <c r="B66" t="s">
        <v>386</v>
      </c>
    </row>
    <row r="67" spans="1:2" x14ac:dyDescent="0.25">
      <c r="A67">
        <v>1029</v>
      </c>
      <c r="B67" t="s">
        <v>387</v>
      </c>
    </row>
    <row r="68" spans="1:2" x14ac:dyDescent="0.25">
      <c r="A68">
        <v>1030</v>
      </c>
      <c r="B68" t="s">
        <v>388</v>
      </c>
    </row>
    <row r="69" spans="1:2" x14ac:dyDescent="0.25">
      <c r="A69">
        <v>1031</v>
      </c>
      <c r="B69" t="s">
        <v>389</v>
      </c>
    </row>
    <row r="70" spans="1:2" x14ac:dyDescent="0.25">
      <c r="A70">
        <v>1032</v>
      </c>
      <c r="B70" t="s">
        <v>390</v>
      </c>
    </row>
    <row r="71" spans="1:2" x14ac:dyDescent="0.25">
      <c r="A71">
        <v>1033</v>
      </c>
      <c r="B71" t="s">
        <v>391</v>
      </c>
    </row>
    <row r="72" spans="1:2" x14ac:dyDescent="0.25">
      <c r="A72">
        <v>1034</v>
      </c>
      <c r="B72" t="s">
        <v>392</v>
      </c>
    </row>
    <row r="73" spans="1:2" x14ac:dyDescent="0.25">
      <c r="A73">
        <v>1035</v>
      </c>
      <c r="B73" t="s">
        <v>393</v>
      </c>
    </row>
    <row r="74" spans="1:2" x14ac:dyDescent="0.25">
      <c r="A74">
        <v>1036</v>
      </c>
      <c r="B74" t="s">
        <v>394</v>
      </c>
    </row>
    <row r="75" spans="1:2" x14ac:dyDescent="0.25">
      <c r="A75">
        <v>1037</v>
      </c>
      <c r="B75" t="s">
        <v>395</v>
      </c>
    </row>
    <row r="76" spans="1:2" x14ac:dyDescent="0.25">
      <c r="A76">
        <v>1038</v>
      </c>
      <c r="B76" t="s">
        <v>396</v>
      </c>
    </row>
    <row r="77" spans="1:2" x14ac:dyDescent="0.25">
      <c r="A77">
        <v>1039</v>
      </c>
      <c r="B77" t="s">
        <v>397</v>
      </c>
    </row>
    <row r="78" spans="1:2" x14ac:dyDescent="0.25">
      <c r="A78">
        <v>1040</v>
      </c>
      <c r="B78" t="s">
        <v>398</v>
      </c>
    </row>
    <row r="79" spans="1:2" x14ac:dyDescent="0.25">
      <c r="A79">
        <v>1041</v>
      </c>
      <c r="B79" t="s">
        <v>399</v>
      </c>
    </row>
    <row r="80" spans="1:2" x14ac:dyDescent="0.25">
      <c r="A80">
        <v>1042</v>
      </c>
      <c r="B80" t="s">
        <v>400</v>
      </c>
    </row>
    <row r="81" spans="1:2" x14ac:dyDescent="0.25">
      <c r="A81">
        <v>1043</v>
      </c>
      <c r="B81" t="s">
        <v>401</v>
      </c>
    </row>
    <row r="82" spans="1:2" x14ac:dyDescent="0.25">
      <c r="A82">
        <v>1044</v>
      </c>
      <c r="B82" t="s">
        <v>402</v>
      </c>
    </row>
    <row r="83" spans="1:2" x14ac:dyDescent="0.25">
      <c r="A83">
        <v>1045</v>
      </c>
      <c r="B83" t="s">
        <v>403</v>
      </c>
    </row>
    <row r="84" spans="1:2" x14ac:dyDescent="0.25">
      <c r="A84">
        <v>1046</v>
      </c>
      <c r="B84" t="s">
        <v>404</v>
      </c>
    </row>
    <row r="85" spans="1:2" x14ac:dyDescent="0.25">
      <c r="A85">
        <v>1048</v>
      </c>
      <c r="B85" t="s">
        <v>405</v>
      </c>
    </row>
    <row r="86" spans="1:2" x14ac:dyDescent="0.25">
      <c r="A86">
        <v>1049</v>
      </c>
      <c r="B86" t="s">
        <v>406</v>
      </c>
    </row>
    <row r="87" spans="1:2" x14ac:dyDescent="0.25">
      <c r="A87">
        <v>1050</v>
      </c>
      <c r="B87" t="s">
        <v>407</v>
      </c>
    </row>
    <row r="88" spans="1:2" x14ac:dyDescent="0.25">
      <c r="A88">
        <v>1051</v>
      </c>
      <c r="B88" t="s">
        <v>408</v>
      </c>
    </row>
    <row r="89" spans="1:2" x14ac:dyDescent="0.25">
      <c r="A89">
        <v>1053</v>
      </c>
      <c r="B89" t="s">
        <v>409</v>
      </c>
    </row>
    <row r="90" spans="1:2" x14ac:dyDescent="0.25">
      <c r="A90">
        <v>1054</v>
      </c>
      <c r="B90" t="s">
        <v>410</v>
      </c>
    </row>
    <row r="91" spans="1:2" x14ac:dyDescent="0.25">
      <c r="A91">
        <v>1056</v>
      </c>
      <c r="B91" t="s">
        <v>411</v>
      </c>
    </row>
    <row r="92" spans="1:2" x14ac:dyDescent="0.25">
      <c r="A92">
        <v>1057</v>
      </c>
      <c r="B92" t="s">
        <v>412</v>
      </c>
    </row>
    <row r="93" spans="1:2" x14ac:dyDescent="0.25">
      <c r="A93">
        <v>1058</v>
      </c>
      <c r="B93" t="s">
        <v>413</v>
      </c>
    </row>
    <row r="94" spans="1:2" x14ac:dyDescent="0.25">
      <c r="A94">
        <v>1059</v>
      </c>
      <c r="B94" t="s">
        <v>414</v>
      </c>
    </row>
    <row r="95" spans="1:2" x14ac:dyDescent="0.25">
      <c r="A95">
        <v>1060</v>
      </c>
      <c r="B95" t="s">
        <v>415</v>
      </c>
    </row>
    <row r="96" spans="1:2" x14ac:dyDescent="0.25">
      <c r="A96">
        <v>1061</v>
      </c>
      <c r="B96" t="s">
        <v>416</v>
      </c>
    </row>
    <row r="97" spans="1:2" x14ac:dyDescent="0.25">
      <c r="A97">
        <v>1062</v>
      </c>
      <c r="B97" t="s">
        <v>417</v>
      </c>
    </row>
    <row r="98" spans="1:2" x14ac:dyDescent="0.25">
      <c r="A98">
        <v>2001</v>
      </c>
      <c r="B98" t="s">
        <v>418</v>
      </c>
    </row>
    <row r="99" spans="1:2" x14ac:dyDescent="0.25">
      <c r="A99">
        <v>2002</v>
      </c>
      <c r="B99" t="s">
        <v>419</v>
      </c>
    </row>
    <row r="100" spans="1:2" x14ac:dyDescent="0.25">
      <c r="A100">
        <v>2003</v>
      </c>
      <c r="B100" t="s">
        <v>420</v>
      </c>
    </row>
    <row r="101" spans="1:2" x14ac:dyDescent="0.25">
      <c r="A101">
        <v>2004</v>
      </c>
      <c r="B101" t="s">
        <v>421</v>
      </c>
    </row>
    <row r="102" spans="1:2" x14ac:dyDescent="0.25">
      <c r="A102">
        <v>2005</v>
      </c>
      <c r="B102" t="s">
        <v>422</v>
      </c>
    </row>
    <row r="103" spans="1:2" x14ac:dyDescent="0.25">
      <c r="A103">
        <v>2006</v>
      </c>
      <c r="B103" t="s">
        <v>423</v>
      </c>
    </row>
    <row r="104" spans="1:2" x14ac:dyDescent="0.25">
      <c r="A104">
        <v>2007</v>
      </c>
      <c r="B104" t="s">
        <v>424</v>
      </c>
    </row>
    <row r="105" spans="1:2" x14ac:dyDescent="0.25">
      <c r="A105">
        <v>2008</v>
      </c>
      <c r="B105" t="s">
        <v>425</v>
      </c>
    </row>
    <row r="106" spans="1:2" x14ac:dyDescent="0.25">
      <c r="A106">
        <v>2011</v>
      </c>
      <c r="B106" t="s">
        <v>426</v>
      </c>
    </row>
    <row r="107" spans="1:2" x14ac:dyDescent="0.25">
      <c r="A107">
        <v>2013</v>
      </c>
      <c r="B107" t="s">
        <v>427</v>
      </c>
    </row>
    <row r="108" spans="1:2" x14ac:dyDescent="0.25">
      <c r="A108">
        <v>2014</v>
      </c>
      <c r="B108" t="s">
        <v>428</v>
      </c>
    </row>
    <row r="109" spans="1:2" x14ac:dyDescent="0.25">
      <c r="A109">
        <v>2016</v>
      </c>
      <c r="B109" t="s">
        <v>429</v>
      </c>
    </row>
    <row r="110" spans="1:2" x14ac:dyDescent="0.25">
      <c r="A110">
        <v>2017</v>
      </c>
      <c r="B110" t="s">
        <v>430</v>
      </c>
    </row>
    <row r="111" spans="1:2" x14ac:dyDescent="0.25">
      <c r="A111">
        <v>2018</v>
      </c>
      <c r="B111" t="s">
        <v>431</v>
      </c>
    </row>
    <row r="112" spans="1:2" x14ac:dyDescent="0.25">
      <c r="A112">
        <v>2019</v>
      </c>
      <c r="B112" t="s">
        <v>432</v>
      </c>
    </row>
    <row r="113" spans="1:2" x14ac:dyDescent="0.25">
      <c r="A113">
        <v>2020</v>
      </c>
      <c r="B113" t="s">
        <v>433</v>
      </c>
    </row>
    <row r="114" spans="1:2" x14ac:dyDescent="0.25">
      <c r="A114">
        <v>2021</v>
      </c>
      <c r="B114" t="s">
        <v>434</v>
      </c>
    </row>
    <row r="115" spans="1:2" x14ac:dyDescent="0.25">
      <c r="A115">
        <v>2022</v>
      </c>
      <c r="B115" t="s">
        <v>435</v>
      </c>
    </row>
    <row r="116" spans="1:2" x14ac:dyDescent="0.25">
      <c r="A116">
        <v>2023</v>
      </c>
      <c r="B116" t="s">
        <v>436</v>
      </c>
    </row>
    <row r="117" spans="1:2" x14ac:dyDescent="0.25">
      <c r="A117">
        <v>2024</v>
      </c>
      <c r="B117" t="s">
        <v>437</v>
      </c>
    </row>
    <row r="118" spans="1:2" x14ac:dyDescent="0.25">
      <c r="A118">
        <v>2025</v>
      </c>
      <c r="B118" t="s">
        <v>438</v>
      </c>
    </row>
    <row r="119" spans="1:2" x14ac:dyDescent="0.25">
      <c r="A119">
        <v>2026</v>
      </c>
      <c r="B119" t="s">
        <v>439</v>
      </c>
    </row>
    <row r="120" spans="1:2" x14ac:dyDescent="0.25">
      <c r="A120">
        <v>2028</v>
      </c>
      <c r="B120" t="s">
        <v>440</v>
      </c>
    </row>
    <row r="121" spans="1:2" x14ac:dyDescent="0.25">
      <c r="A121">
        <v>4001</v>
      </c>
      <c r="B121" t="s">
        <v>441</v>
      </c>
    </row>
    <row r="122" spans="1:2" x14ac:dyDescent="0.25">
      <c r="A122">
        <v>4002</v>
      </c>
      <c r="B122" t="s">
        <v>442</v>
      </c>
    </row>
    <row r="123" spans="1:2" x14ac:dyDescent="0.25">
      <c r="A123">
        <v>4004</v>
      </c>
      <c r="B123" t="s">
        <v>443</v>
      </c>
    </row>
    <row r="124" spans="1:2" x14ac:dyDescent="0.25">
      <c r="A124">
        <v>906</v>
      </c>
      <c r="B124" t="s">
        <v>444</v>
      </c>
    </row>
    <row r="125" spans="1:2" x14ac:dyDescent="0.25">
      <c r="A125">
        <v>907</v>
      </c>
      <c r="B125" t="s">
        <v>445</v>
      </c>
    </row>
    <row r="126" spans="1:2" x14ac:dyDescent="0.25">
      <c r="A126">
        <v>908</v>
      </c>
      <c r="B126" t="s">
        <v>446</v>
      </c>
    </row>
    <row r="127" spans="1:2" x14ac:dyDescent="0.25">
      <c r="A127">
        <v>909</v>
      </c>
      <c r="B127" t="s">
        <v>447</v>
      </c>
    </row>
    <row r="128" spans="1:2" x14ac:dyDescent="0.25">
      <c r="A128">
        <v>898</v>
      </c>
      <c r="B128" t="s">
        <v>448</v>
      </c>
    </row>
    <row r="129" spans="1:2" x14ac:dyDescent="0.25">
      <c r="A129">
        <v>2033</v>
      </c>
      <c r="B129" t="s">
        <v>449</v>
      </c>
    </row>
    <row r="130" spans="1:2" x14ac:dyDescent="0.25">
      <c r="A130">
        <v>4000</v>
      </c>
      <c r="B130" t="s">
        <v>450</v>
      </c>
    </row>
    <row r="131" spans="1:2" x14ac:dyDescent="0.25">
      <c r="A131">
        <v>31</v>
      </c>
      <c r="B131" t="s">
        <v>451</v>
      </c>
    </row>
    <row r="132" spans="1:2" x14ac:dyDescent="0.25">
      <c r="A132">
        <v>23</v>
      </c>
      <c r="B132" t="s">
        <v>452</v>
      </c>
    </row>
    <row r="133" spans="1:2" x14ac:dyDescent="0.25">
      <c r="A133">
        <v>24</v>
      </c>
      <c r="B133" t="s">
        <v>453</v>
      </c>
    </row>
    <row r="134" spans="1:2" x14ac:dyDescent="0.25">
      <c r="A134">
        <v>25</v>
      </c>
      <c r="B134" t="s">
        <v>454</v>
      </c>
    </row>
    <row r="135" spans="1:2" x14ac:dyDescent="0.25">
      <c r="A135">
        <v>27</v>
      </c>
      <c r="B135" t="s">
        <v>455</v>
      </c>
    </row>
    <row r="136" spans="1:2" x14ac:dyDescent="0.25">
      <c r="A136">
        <v>28</v>
      </c>
      <c r="B136" t="s">
        <v>456</v>
      </c>
    </row>
    <row r="137" spans="1:2" x14ac:dyDescent="0.25">
      <c r="A137">
        <v>1063</v>
      </c>
      <c r="B137" t="s">
        <v>457</v>
      </c>
    </row>
    <row r="138" spans="1:2" x14ac:dyDescent="0.25">
      <c r="A138">
        <v>3013</v>
      </c>
      <c r="B138" t="s">
        <v>458</v>
      </c>
    </row>
    <row r="139" spans="1:2" x14ac:dyDescent="0.25">
      <c r="A139">
        <v>9002</v>
      </c>
      <c r="B139" t="s">
        <v>459</v>
      </c>
    </row>
    <row r="140" spans="1:2" x14ac:dyDescent="0.25">
      <c r="A140">
        <v>2034</v>
      </c>
      <c r="B140" t="s">
        <v>460</v>
      </c>
    </row>
    <row r="141" spans="1:2" x14ac:dyDescent="0.25">
      <c r="A141">
        <v>2043</v>
      </c>
      <c r="B141" t="s">
        <v>461</v>
      </c>
    </row>
    <row r="142" spans="1:2" x14ac:dyDescent="0.25">
      <c r="A142">
        <v>2044</v>
      </c>
      <c r="B142" t="s">
        <v>462</v>
      </c>
    </row>
    <row r="143" spans="1:2" x14ac:dyDescent="0.25">
      <c r="A143">
        <v>11</v>
      </c>
      <c r="B143" t="s">
        <v>463</v>
      </c>
    </row>
    <row r="144" spans="1:2" x14ac:dyDescent="0.25">
      <c r="A144">
        <v>1006</v>
      </c>
      <c r="B144" t="s">
        <v>464</v>
      </c>
    </row>
    <row r="145" spans="1:2" x14ac:dyDescent="0.25">
      <c r="A145">
        <v>1055</v>
      </c>
      <c r="B145" t="s">
        <v>465</v>
      </c>
    </row>
    <row r="146" spans="1:2" x14ac:dyDescent="0.25">
      <c r="A146">
        <v>2027</v>
      </c>
      <c r="B146" t="s">
        <v>466</v>
      </c>
    </row>
    <row r="147" spans="1:2" x14ac:dyDescent="0.25">
      <c r="A147">
        <v>912</v>
      </c>
      <c r="B147" t="s">
        <v>467</v>
      </c>
    </row>
    <row r="148" spans="1:2" x14ac:dyDescent="0.25">
      <c r="A148">
        <v>2036</v>
      </c>
      <c r="B148" t="s">
        <v>468</v>
      </c>
    </row>
    <row r="149" spans="1:2" x14ac:dyDescent="0.25">
      <c r="A149">
        <v>1078</v>
      </c>
      <c r="B149" t="s">
        <v>469</v>
      </c>
    </row>
    <row r="150" spans="1:2" x14ac:dyDescent="0.25">
      <c r="A150">
        <v>1090</v>
      </c>
      <c r="B150" t="s">
        <v>470</v>
      </c>
    </row>
    <row r="151" spans="1:2" x14ac:dyDescent="0.25">
      <c r="A151">
        <v>9025</v>
      </c>
      <c r="B151" t="s">
        <v>471</v>
      </c>
    </row>
    <row r="152" spans="1:2" x14ac:dyDescent="0.25">
      <c r="A152">
        <v>913</v>
      </c>
      <c r="B152" t="s">
        <v>472</v>
      </c>
    </row>
    <row r="153" spans="1:2" x14ac:dyDescent="0.25">
      <c r="A153">
        <v>2041</v>
      </c>
      <c r="B153" t="s">
        <v>473</v>
      </c>
    </row>
    <row r="154" spans="1:2" x14ac:dyDescent="0.25">
      <c r="A154">
        <v>90241</v>
      </c>
      <c r="B154" t="s">
        <v>474</v>
      </c>
    </row>
    <row r="155" spans="1:2" x14ac:dyDescent="0.25">
      <c r="A155">
        <v>1091</v>
      </c>
      <c r="B155" t="s">
        <v>475</v>
      </c>
    </row>
    <row r="156" spans="1:2" x14ac:dyDescent="0.25">
      <c r="A156">
        <v>10701</v>
      </c>
      <c r="B156" t="s">
        <v>476</v>
      </c>
    </row>
    <row r="157" spans="1:2" x14ac:dyDescent="0.25">
      <c r="A157">
        <v>9006</v>
      </c>
      <c r="B157" t="s">
        <v>477</v>
      </c>
    </row>
    <row r="158" spans="1:2" x14ac:dyDescent="0.25">
      <c r="A158">
        <v>10322</v>
      </c>
      <c r="B158" t="s">
        <v>478</v>
      </c>
    </row>
    <row r="159" spans="1:2" x14ac:dyDescent="0.25">
      <c r="A159">
        <v>1083</v>
      </c>
      <c r="B159" t="s">
        <v>479</v>
      </c>
    </row>
    <row r="160" spans="1:2" x14ac:dyDescent="0.25">
      <c r="A160">
        <v>1084</v>
      </c>
      <c r="B160" t="s">
        <v>480</v>
      </c>
    </row>
    <row r="161" spans="1:2" x14ac:dyDescent="0.25">
      <c r="A161">
        <v>1085</v>
      </c>
      <c r="B161" t="s">
        <v>481</v>
      </c>
    </row>
    <row r="162" spans="1:2" x14ac:dyDescent="0.25">
      <c r="A162">
        <v>1086</v>
      </c>
      <c r="B162" t="s">
        <v>482</v>
      </c>
    </row>
    <row r="163" spans="1:2" x14ac:dyDescent="0.25">
      <c r="A163">
        <v>1087</v>
      </c>
      <c r="B163" t="s">
        <v>483</v>
      </c>
    </row>
    <row r="164" spans="1:2" x14ac:dyDescent="0.25">
      <c r="A164">
        <v>1088</v>
      </c>
      <c r="B164" t="s">
        <v>484</v>
      </c>
    </row>
    <row r="165" spans="1:2" x14ac:dyDescent="0.25">
      <c r="A165">
        <v>1089</v>
      </c>
      <c r="B165" t="s">
        <v>485</v>
      </c>
    </row>
    <row r="166" spans="1:2" x14ac:dyDescent="0.25">
      <c r="A166">
        <v>10161</v>
      </c>
      <c r="B166" t="s">
        <v>486</v>
      </c>
    </row>
    <row r="167" spans="1:2" x14ac:dyDescent="0.25">
      <c r="A167">
        <v>2039</v>
      </c>
      <c r="B167" t="s">
        <v>487</v>
      </c>
    </row>
    <row r="168" spans="1:2" x14ac:dyDescent="0.25">
      <c r="A168">
        <v>10131</v>
      </c>
      <c r="B168" t="s">
        <v>488</v>
      </c>
    </row>
    <row r="169" spans="1:2" x14ac:dyDescent="0.25">
      <c r="A169">
        <v>10331</v>
      </c>
      <c r="B169" t="s">
        <v>489</v>
      </c>
    </row>
    <row r="170" spans="1:2" x14ac:dyDescent="0.25">
      <c r="A170">
        <v>2029</v>
      </c>
      <c r="B170" t="s">
        <v>490</v>
      </c>
    </row>
    <row r="171" spans="1:2" x14ac:dyDescent="0.25">
      <c r="A171">
        <v>1017</v>
      </c>
      <c r="B171" t="s">
        <v>491</v>
      </c>
    </row>
    <row r="172" spans="1:2" x14ac:dyDescent="0.25">
      <c r="A172">
        <v>1047</v>
      </c>
      <c r="B172" t="s">
        <v>492</v>
      </c>
    </row>
    <row r="173" spans="1:2" x14ac:dyDescent="0.25">
      <c r="A173">
        <v>899</v>
      </c>
      <c r="B173" t="s">
        <v>493</v>
      </c>
    </row>
    <row r="174" spans="1:2" x14ac:dyDescent="0.25">
      <c r="A174">
        <v>1024</v>
      </c>
      <c r="B174" t="s">
        <v>494</v>
      </c>
    </row>
    <row r="175" spans="1:2" x14ac:dyDescent="0.25">
      <c r="A175">
        <v>26</v>
      </c>
      <c r="B175" t="s">
        <v>495</v>
      </c>
    </row>
    <row r="176" spans="1:2" x14ac:dyDescent="0.25">
      <c r="A176">
        <v>22</v>
      </c>
      <c r="B176" t="s">
        <v>496</v>
      </c>
    </row>
    <row r="177" spans="1:2" x14ac:dyDescent="0.25">
      <c r="A177">
        <v>10</v>
      </c>
      <c r="B177" t="s">
        <v>497</v>
      </c>
    </row>
    <row r="178" spans="1:2" x14ac:dyDescent="0.25">
      <c r="A178">
        <v>902</v>
      </c>
      <c r="B178" t="s">
        <v>498</v>
      </c>
    </row>
    <row r="179" spans="1:2" x14ac:dyDescent="0.25">
      <c r="A179">
        <v>1019</v>
      </c>
      <c r="B179" t="s">
        <v>499</v>
      </c>
    </row>
    <row r="180" spans="1:2" x14ac:dyDescent="0.25">
      <c r="A180">
        <v>1052</v>
      </c>
      <c r="B180" t="s">
        <v>500</v>
      </c>
    </row>
    <row r="181" spans="1:2" x14ac:dyDescent="0.25">
      <c r="A181">
        <v>2015</v>
      </c>
      <c r="B181" t="s">
        <v>501</v>
      </c>
    </row>
    <row r="182" spans="1:2" x14ac:dyDescent="0.25">
      <c r="A182">
        <v>9000</v>
      </c>
      <c r="B182" t="s">
        <v>502</v>
      </c>
    </row>
    <row r="183" spans="1:2" x14ac:dyDescent="0.25">
      <c r="A183">
        <v>141</v>
      </c>
      <c r="B183" t="s">
        <v>503</v>
      </c>
    </row>
    <row r="184" spans="1:2" x14ac:dyDescent="0.25">
      <c r="A184">
        <v>361</v>
      </c>
      <c r="B184" t="s">
        <v>504</v>
      </c>
    </row>
    <row r="185" spans="1:2" x14ac:dyDescent="0.25">
      <c r="A185">
        <v>231</v>
      </c>
      <c r="B185" t="s">
        <v>505</v>
      </c>
    </row>
    <row r="186" spans="1:2" x14ac:dyDescent="0.25">
      <c r="A186">
        <v>211</v>
      </c>
      <c r="B186" t="s">
        <v>506</v>
      </c>
    </row>
    <row r="187" spans="1:2" x14ac:dyDescent="0.25">
      <c r="A187">
        <v>291</v>
      </c>
      <c r="B187" t="s">
        <v>507</v>
      </c>
    </row>
    <row r="188" spans="1:2" x14ac:dyDescent="0.25">
      <c r="A188">
        <v>911</v>
      </c>
      <c r="B188" t="s">
        <v>508</v>
      </c>
    </row>
    <row r="189" spans="1:2" x14ac:dyDescent="0.25">
      <c r="A189">
        <v>4003</v>
      </c>
      <c r="B189" t="s">
        <v>509</v>
      </c>
    </row>
    <row r="190" spans="1:2" x14ac:dyDescent="0.25">
      <c r="A190">
        <v>9029</v>
      </c>
      <c r="B190" t="s">
        <v>510</v>
      </c>
    </row>
    <row r="191" spans="1:2" x14ac:dyDescent="0.25">
      <c r="A191">
        <v>9030</v>
      </c>
      <c r="B191" t="s">
        <v>511</v>
      </c>
    </row>
    <row r="192" spans="1:2" x14ac:dyDescent="0.25">
      <c r="A192">
        <v>9031</v>
      </c>
      <c r="B192" t="s">
        <v>512</v>
      </c>
    </row>
    <row r="193" spans="1:2" x14ac:dyDescent="0.25">
      <c r="A193">
        <v>9032</v>
      </c>
      <c r="B193" t="s">
        <v>513</v>
      </c>
    </row>
    <row r="194" spans="1:2" x14ac:dyDescent="0.25">
      <c r="A194">
        <v>10731</v>
      </c>
      <c r="B194" t="s">
        <v>514</v>
      </c>
    </row>
    <row r="195" spans="1:2" x14ac:dyDescent="0.25">
      <c r="A195">
        <v>9008</v>
      </c>
      <c r="B195" t="s">
        <v>515</v>
      </c>
    </row>
    <row r="196" spans="1:2" x14ac:dyDescent="0.25">
      <c r="A196">
        <v>10231</v>
      </c>
      <c r="B196" t="s">
        <v>516</v>
      </c>
    </row>
    <row r="197" spans="1:2" x14ac:dyDescent="0.25">
      <c r="A197">
        <v>9024</v>
      </c>
      <c r="B197" t="s">
        <v>517</v>
      </c>
    </row>
    <row r="198" spans="1:2" x14ac:dyDescent="0.25">
      <c r="A198">
        <v>914</v>
      </c>
      <c r="B198" t="s">
        <v>518</v>
      </c>
    </row>
    <row r="199" spans="1:2" x14ac:dyDescent="0.25">
      <c r="A199">
        <v>1095</v>
      </c>
      <c r="B199" t="s">
        <v>519</v>
      </c>
    </row>
    <row r="200" spans="1:2" x14ac:dyDescent="0.25">
      <c r="A200">
        <v>1106</v>
      </c>
      <c r="B200" t="s">
        <v>520</v>
      </c>
    </row>
    <row r="201" spans="1:2" x14ac:dyDescent="0.25">
      <c r="A201">
        <v>1065</v>
      </c>
      <c r="B201" t="s">
        <v>521</v>
      </c>
    </row>
    <row r="202" spans="1:2" x14ac:dyDescent="0.25">
      <c r="A202">
        <v>1069</v>
      </c>
      <c r="B202" t="s">
        <v>522</v>
      </c>
    </row>
    <row r="203" spans="1:2" x14ac:dyDescent="0.25">
      <c r="A203">
        <v>9003</v>
      </c>
      <c r="B203" t="s">
        <v>523</v>
      </c>
    </row>
    <row r="204" spans="1:2" x14ac:dyDescent="0.25">
      <c r="A204">
        <v>9004</v>
      </c>
      <c r="B204" t="s">
        <v>524</v>
      </c>
    </row>
    <row r="205" spans="1:2" x14ac:dyDescent="0.25">
      <c r="A205">
        <v>9005</v>
      </c>
      <c r="B205" t="s">
        <v>525</v>
      </c>
    </row>
    <row r="206" spans="1:2" x14ac:dyDescent="0.25">
      <c r="A206">
        <v>1093</v>
      </c>
      <c r="B206" t="s">
        <v>526</v>
      </c>
    </row>
    <row r="207" spans="1:2" x14ac:dyDescent="0.25">
      <c r="A207">
        <v>1094</v>
      </c>
      <c r="B207" t="s">
        <v>527</v>
      </c>
    </row>
    <row r="208" spans="1:2" x14ac:dyDescent="0.25">
      <c r="A208">
        <v>1099</v>
      </c>
      <c r="B208" t="s">
        <v>528</v>
      </c>
    </row>
    <row r="209" spans="1:2" x14ac:dyDescent="0.25">
      <c r="A209">
        <v>9020</v>
      </c>
      <c r="B209" t="s">
        <v>529</v>
      </c>
    </row>
    <row r="210" spans="1:2" x14ac:dyDescent="0.25">
      <c r="A210">
        <v>34</v>
      </c>
      <c r="B210" t="s">
        <v>530</v>
      </c>
    </row>
    <row r="211" spans="1:2" x14ac:dyDescent="0.25">
      <c r="A211">
        <v>910</v>
      </c>
      <c r="B211" t="s">
        <v>531</v>
      </c>
    </row>
    <row r="212" spans="1:2" x14ac:dyDescent="0.25">
      <c r="A212">
        <v>9010</v>
      </c>
      <c r="B212" t="s">
        <v>532</v>
      </c>
    </row>
    <row r="213" spans="1:2" x14ac:dyDescent="0.25">
      <c r="A213">
        <v>1075</v>
      </c>
      <c r="B213" t="s">
        <v>533</v>
      </c>
    </row>
    <row r="214" spans="1:2" x14ac:dyDescent="0.25">
      <c r="A214">
        <v>1070</v>
      </c>
      <c r="B214" t="s">
        <v>534</v>
      </c>
    </row>
    <row r="215" spans="1:2" x14ac:dyDescent="0.25">
      <c r="A215">
        <v>35</v>
      </c>
      <c r="B215" t="s">
        <v>535</v>
      </c>
    </row>
    <row r="216" spans="1:2" x14ac:dyDescent="0.25">
      <c r="A216">
        <v>1068</v>
      </c>
      <c r="B216" t="s">
        <v>536</v>
      </c>
    </row>
    <row r="217" spans="1:2" x14ac:dyDescent="0.25">
      <c r="A217">
        <v>9015</v>
      </c>
      <c r="B217" t="s">
        <v>537</v>
      </c>
    </row>
    <row r="218" spans="1:2" x14ac:dyDescent="0.25">
      <c r="A218">
        <v>9016</v>
      </c>
      <c r="B218" t="s">
        <v>538</v>
      </c>
    </row>
    <row r="219" spans="1:2" x14ac:dyDescent="0.25">
      <c r="A219">
        <v>10531</v>
      </c>
      <c r="B219" t="s">
        <v>539</v>
      </c>
    </row>
    <row r="220" spans="1:2" x14ac:dyDescent="0.25">
      <c r="A220">
        <v>1074</v>
      </c>
      <c r="B220" t="s">
        <v>540</v>
      </c>
    </row>
    <row r="221" spans="1:2" x14ac:dyDescent="0.25">
      <c r="A221">
        <v>9022</v>
      </c>
      <c r="B221" t="s">
        <v>541</v>
      </c>
    </row>
    <row r="222" spans="1:2" x14ac:dyDescent="0.25">
      <c r="A222">
        <v>9023</v>
      </c>
      <c r="B222" t="s">
        <v>542</v>
      </c>
    </row>
    <row r="223" spans="1:2" x14ac:dyDescent="0.25">
      <c r="A223">
        <v>90181</v>
      </c>
      <c r="B223" t="s">
        <v>543</v>
      </c>
    </row>
    <row r="224" spans="1:2" x14ac:dyDescent="0.25">
      <c r="A224">
        <v>90191</v>
      </c>
      <c r="B224" t="s">
        <v>544</v>
      </c>
    </row>
    <row r="225" spans="1:2" x14ac:dyDescent="0.25">
      <c r="A225">
        <v>10182</v>
      </c>
      <c r="B225" t="s">
        <v>545</v>
      </c>
    </row>
    <row r="226" spans="1:2" x14ac:dyDescent="0.25">
      <c r="A226">
        <v>10232</v>
      </c>
      <c r="B226" t="s">
        <v>546</v>
      </c>
    </row>
    <row r="227" spans="1:2" x14ac:dyDescent="0.25">
      <c r="A227">
        <v>351</v>
      </c>
      <c r="B227" t="s">
        <v>547</v>
      </c>
    </row>
    <row r="228" spans="1:2" x14ac:dyDescent="0.25">
      <c r="A228">
        <v>10151</v>
      </c>
      <c r="B228" t="s">
        <v>548</v>
      </c>
    </row>
    <row r="229" spans="1:2" x14ac:dyDescent="0.25">
      <c r="A229">
        <v>9018</v>
      </c>
      <c r="B229" t="s">
        <v>549</v>
      </c>
    </row>
    <row r="230" spans="1:2" x14ac:dyDescent="0.25">
      <c r="A230">
        <v>9019</v>
      </c>
      <c r="B230" t="s">
        <v>550</v>
      </c>
    </row>
    <row r="231" spans="1:2" x14ac:dyDescent="0.25">
      <c r="A231">
        <v>9012</v>
      </c>
      <c r="B231" t="s">
        <v>551</v>
      </c>
    </row>
    <row r="232" spans="1:2" x14ac:dyDescent="0.25">
      <c r="A232">
        <v>1082</v>
      </c>
      <c r="B232" t="s">
        <v>552</v>
      </c>
    </row>
    <row r="233" spans="1:2" x14ac:dyDescent="0.25">
      <c r="A233">
        <v>2042</v>
      </c>
      <c r="B233" t="s">
        <v>553</v>
      </c>
    </row>
    <row r="234" spans="1:2" x14ac:dyDescent="0.25">
      <c r="A234">
        <v>1067</v>
      </c>
      <c r="B234" t="s">
        <v>554</v>
      </c>
    </row>
    <row r="235" spans="1:2" x14ac:dyDescent="0.25">
      <c r="A235">
        <v>9013</v>
      </c>
      <c r="B235" t="s">
        <v>555</v>
      </c>
    </row>
    <row r="236" spans="1:2" x14ac:dyDescent="0.25">
      <c r="A236">
        <v>10141</v>
      </c>
      <c r="B236" t="s">
        <v>556</v>
      </c>
    </row>
    <row r="237" spans="1:2" x14ac:dyDescent="0.25">
      <c r="A237">
        <v>9009</v>
      </c>
      <c r="B237" t="s">
        <v>557</v>
      </c>
    </row>
    <row r="238" spans="1:2" x14ac:dyDescent="0.25">
      <c r="A238">
        <v>10681</v>
      </c>
      <c r="B238" t="s">
        <v>558</v>
      </c>
    </row>
    <row r="239" spans="1:2" x14ac:dyDescent="0.25">
      <c r="A239">
        <v>1098</v>
      </c>
      <c r="B239" t="s">
        <v>559</v>
      </c>
    </row>
    <row r="240" spans="1:2" x14ac:dyDescent="0.25">
      <c r="A240">
        <v>4015</v>
      </c>
      <c r="B240" t="s">
        <v>560</v>
      </c>
    </row>
    <row r="241" spans="1:2" x14ac:dyDescent="0.25">
      <c r="A241">
        <v>4016</v>
      </c>
      <c r="B241" t="s">
        <v>561</v>
      </c>
    </row>
    <row r="242" spans="1:2" x14ac:dyDescent="0.25">
      <c r="A242">
        <v>1097</v>
      </c>
      <c r="B242" t="s">
        <v>562</v>
      </c>
    </row>
    <row r="243" spans="1:2" x14ac:dyDescent="0.25">
      <c r="A243">
        <v>1076</v>
      </c>
      <c r="B243" t="s">
        <v>563</v>
      </c>
    </row>
    <row r="244" spans="1:2" x14ac:dyDescent="0.25">
      <c r="A244">
        <v>1077</v>
      </c>
      <c r="B244" t="s">
        <v>564</v>
      </c>
    </row>
    <row r="245" spans="1:2" x14ac:dyDescent="0.25">
      <c r="A245">
        <v>10181</v>
      </c>
      <c r="B245" t="s">
        <v>565</v>
      </c>
    </row>
    <row r="246" spans="1:2" x14ac:dyDescent="0.25">
      <c r="A246">
        <v>1079</v>
      </c>
      <c r="B246" t="s">
        <v>566</v>
      </c>
    </row>
    <row r="247" spans="1:2" x14ac:dyDescent="0.25">
      <c r="A247">
        <v>10222</v>
      </c>
      <c r="B247" t="s">
        <v>567</v>
      </c>
    </row>
    <row r="248" spans="1:2" x14ac:dyDescent="0.25">
      <c r="A248">
        <v>10311</v>
      </c>
      <c r="B248" t="s">
        <v>568</v>
      </c>
    </row>
    <row r="249" spans="1:2" x14ac:dyDescent="0.25">
      <c r="A249">
        <v>10201</v>
      </c>
      <c r="B249" t="s">
        <v>569</v>
      </c>
    </row>
    <row r="250" spans="1:2" x14ac:dyDescent="0.25">
      <c r="A250">
        <v>36</v>
      </c>
      <c r="B250" t="s">
        <v>570</v>
      </c>
    </row>
    <row r="251" spans="1:2" x14ac:dyDescent="0.25">
      <c r="A251">
        <v>30</v>
      </c>
      <c r="B251" t="s">
        <v>571</v>
      </c>
    </row>
    <row r="252" spans="1:2" x14ac:dyDescent="0.25">
      <c r="A252">
        <v>2037</v>
      </c>
      <c r="B252" t="s">
        <v>572</v>
      </c>
    </row>
    <row r="253" spans="1:2" x14ac:dyDescent="0.25">
      <c r="A253">
        <v>32</v>
      </c>
      <c r="B253" t="s">
        <v>573</v>
      </c>
    </row>
    <row r="254" spans="1:2" x14ac:dyDescent="0.25">
      <c r="A254">
        <v>2038</v>
      </c>
      <c r="B254" t="s">
        <v>574</v>
      </c>
    </row>
    <row r="255" spans="1:2" x14ac:dyDescent="0.25">
      <c r="A255">
        <v>33</v>
      </c>
      <c r="B255" t="s">
        <v>575</v>
      </c>
    </row>
    <row r="256" spans="1:2" x14ac:dyDescent="0.25">
      <c r="A256">
        <v>9011</v>
      </c>
      <c r="B256" t="s">
        <v>576</v>
      </c>
    </row>
    <row r="257" spans="1:2" x14ac:dyDescent="0.25">
      <c r="A257">
        <v>10191</v>
      </c>
      <c r="B257" t="s">
        <v>577</v>
      </c>
    </row>
    <row r="258" spans="1:2" x14ac:dyDescent="0.25">
      <c r="A258">
        <v>1066</v>
      </c>
      <c r="B258" t="s">
        <v>578</v>
      </c>
    </row>
    <row r="259" spans="1:2" x14ac:dyDescent="0.25">
      <c r="A259">
        <v>1072</v>
      </c>
      <c r="B259" t="s">
        <v>579</v>
      </c>
    </row>
    <row r="260" spans="1:2" x14ac:dyDescent="0.25">
      <c r="A260">
        <v>1073</v>
      </c>
      <c r="B260" t="s">
        <v>580</v>
      </c>
    </row>
    <row r="261" spans="1:2" x14ac:dyDescent="0.25">
      <c r="A261">
        <v>9017</v>
      </c>
      <c r="B261" t="s">
        <v>581</v>
      </c>
    </row>
    <row r="262" spans="1:2" x14ac:dyDescent="0.25">
      <c r="A262">
        <v>1096</v>
      </c>
      <c r="B262" t="s">
        <v>582</v>
      </c>
    </row>
    <row r="263" spans="1:2" x14ac:dyDescent="0.25">
      <c r="A263">
        <v>1080</v>
      </c>
      <c r="B263" t="s">
        <v>583</v>
      </c>
    </row>
    <row r="264" spans="1:2" x14ac:dyDescent="0.25">
      <c r="A264">
        <v>9014</v>
      </c>
      <c r="B264" t="s">
        <v>584</v>
      </c>
    </row>
    <row r="265" spans="1:2" x14ac:dyDescent="0.25">
      <c r="A265">
        <v>1071</v>
      </c>
      <c r="B265" t="s">
        <v>585</v>
      </c>
    </row>
    <row r="266" spans="1:2" x14ac:dyDescent="0.25">
      <c r="A266">
        <v>1081</v>
      </c>
      <c r="B266" t="s">
        <v>586</v>
      </c>
    </row>
    <row r="267" spans="1:2" x14ac:dyDescent="0.25">
      <c r="A267">
        <v>1100</v>
      </c>
      <c r="B267" t="s">
        <v>587</v>
      </c>
    </row>
    <row r="268" spans="1:2" x14ac:dyDescent="0.25">
      <c r="A268">
        <v>1101</v>
      </c>
      <c r="B268" t="s">
        <v>588</v>
      </c>
    </row>
    <row r="269" spans="1:2" x14ac:dyDescent="0.25">
      <c r="A269">
        <v>1102</v>
      </c>
      <c r="B269" t="s">
        <v>589</v>
      </c>
    </row>
    <row r="270" spans="1:2" x14ac:dyDescent="0.25">
      <c r="A270">
        <v>1103</v>
      </c>
      <c r="B270" t="s">
        <v>590</v>
      </c>
    </row>
    <row r="271" spans="1:2" x14ac:dyDescent="0.25">
      <c r="A271">
        <v>9007</v>
      </c>
      <c r="B271" t="s">
        <v>591</v>
      </c>
    </row>
    <row r="272" spans="1:2" x14ac:dyDescent="0.25">
      <c r="A272">
        <v>9026</v>
      </c>
      <c r="B272" t="s">
        <v>592</v>
      </c>
    </row>
    <row r="273" spans="1:2" x14ac:dyDescent="0.25">
      <c r="A273">
        <v>56</v>
      </c>
      <c r="B273" t="s">
        <v>593</v>
      </c>
    </row>
    <row r="274" spans="1:2" x14ac:dyDescent="0.25">
      <c r="A274">
        <v>4017</v>
      </c>
      <c r="B274" t="s">
        <v>594</v>
      </c>
    </row>
    <row r="275" spans="1:2" x14ac:dyDescent="0.25">
      <c r="A275">
        <v>2040</v>
      </c>
      <c r="B275" t="s">
        <v>595</v>
      </c>
    </row>
    <row r="276" spans="1:2" x14ac:dyDescent="0.25">
      <c r="A276">
        <v>10162</v>
      </c>
      <c r="B276" t="s">
        <v>596</v>
      </c>
    </row>
    <row r="277" spans="1:2" x14ac:dyDescent="0.25">
      <c r="A277">
        <v>10711</v>
      </c>
      <c r="B277" t="s">
        <v>597</v>
      </c>
    </row>
    <row r="278" spans="1:2" x14ac:dyDescent="0.25">
      <c r="A278">
        <v>9021</v>
      </c>
      <c r="B278" t="s">
        <v>598</v>
      </c>
    </row>
    <row r="279" spans="1:2" x14ac:dyDescent="0.25">
      <c r="A279">
        <v>1092</v>
      </c>
      <c r="B279" t="s">
        <v>599</v>
      </c>
    </row>
    <row r="280" spans="1:2" x14ac:dyDescent="0.25">
      <c r="A280">
        <v>9027</v>
      </c>
      <c r="B280" t="s">
        <v>600</v>
      </c>
    </row>
    <row r="281" spans="1:2" x14ac:dyDescent="0.25">
      <c r="A281">
        <v>9028</v>
      </c>
      <c r="B281" t="s">
        <v>601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E364B-E690-46C1-B78D-160A7C5ECA39}">
  <sheetPr>
    <outlinePr summaryBelow="0"/>
  </sheetPr>
  <dimension ref="A1:V105"/>
  <sheetViews>
    <sheetView showGridLines="0" topLeftCell="A21" zoomScale="80" zoomScaleNormal="80" workbookViewId="0">
      <selection activeCell="D10" sqref="D10"/>
    </sheetView>
  </sheetViews>
  <sheetFormatPr defaultRowHeight="15" outlineLevelRow="1" x14ac:dyDescent="0.25"/>
  <cols>
    <col min="1" max="1" width="1.85546875" customWidth="1"/>
    <col min="2" max="3" width="7.42578125" customWidth="1"/>
    <col min="4" max="4" width="9.140625" bestFit="1" customWidth="1"/>
    <col min="5" max="5" width="29" customWidth="1"/>
    <col min="6" max="6" width="16.42578125" customWidth="1"/>
    <col min="7" max="7" width="13.28515625" bestFit="1" customWidth="1"/>
    <col min="8" max="8" width="14.5703125" bestFit="1" customWidth="1"/>
    <col min="9" max="17" width="12.5703125" customWidth="1"/>
    <col min="18" max="18" width="12.5703125" hidden="1" customWidth="1"/>
  </cols>
  <sheetData>
    <row r="1" spans="1:22" x14ac:dyDescent="0.25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</row>
    <row r="2" spans="1:22" ht="21" x14ac:dyDescent="0.25">
      <c r="A2" s="8"/>
      <c r="B2" s="266"/>
      <c r="C2" s="266"/>
      <c r="D2" s="9"/>
      <c r="E2" s="254" t="s">
        <v>759</v>
      </c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</row>
    <row r="3" spans="1:22" x14ac:dyDescent="0.2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</row>
    <row r="4" spans="1:22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22" x14ac:dyDescent="0.25">
      <c r="A5" s="1"/>
      <c r="B5" s="267"/>
      <c r="C5" s="267"/>
      <c r="D5" s="10"/>
      <c r="E5" s="10" t="s">
        <v>767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22" x14ac:dyDescent="0.25">
      <c r="A6" s="1"/>
      <c r="B6" s="268"/>
      <c r="C6" s="268" t="s">
        <v>320</v>
      </c>
      <c r="D6" s="251" t="s">
        <v>218</v>
      </c>
      <c r="E6" s="251" t="s">
        <v>75</v>
      </c>
      <c r="F6" s="252">
        <v>45748</v>
      </c>
      <c r="G6" s="252">
        <v>45778</v>
      </c>
      <c r="H6" s="252">
        <v>45809</v>
      </c>
      <c r="I6" s="252">
        <v>45839</v>
      </c>
      <c r="J6" s="252">
        <v>45870</v>
      </c>
      <c r="K6" s="252">
        <v>45901</v>
      </c>
      <c r="L6" s="252">
        <v>45931</v>
      </c>
      <c r="M6" s="252">
        <v>45962</v>
      </c>
      <c r="N6" s="252">
        <v>45992</v>
      </c>
      <c r="O6" s="252">
        <v>46023</v>
      </c>
      <c r="P6" s="252">
        <v>46054</v>
      </c>
      <c r="Q6" s="252">
        <v>46082</v>
      </c>
      <c r="R6" s="253" t="s">
        <v>85</v>
      </c>
    </row>
    <row r="7" spans="1:22" x14ac:dyDescent="0.25">
      <c r="A7" s="1"/>
      <c r="B7" s="274" t="s">
        <v>760</v>
      </c>
      <c r="C7" s="264">
        <v>1013</v>
      </c>
      <c r="D7" s="262" t="s">
        <v>227</v>
      </c>
      <c r="E7" s="263" t="str">
        <f>_xlfn.XLOOKUP(C7,Apoio!A:A,Apoio!B:B)</f>
        <v xml:space="preserve">Gradagem Aradora              </v>
      </c>
      <c r="F7" s="7">
        <f>SUMIFS(Qtde_Oper_Plantio_Tratos!P:P,Qtde_Oper_Plantio_Tratos!$F:$F,'Dimensionamento Preparo'!$C7,Qtde_Oper_Plantio_Tratos!$I:$I,'Dimensionamento Preparo'!$D7)</f>
        <v>600</v>
      </c>
      <c r="G7" s="7">
        <f>SUMIFS(Qtde_Oper_Plantio_Tratos!Q:Q,Qtde_Oper_Plantio_Tratos!$F:$F,'Dimensionamento Preparo'!$C7,Qtde_Oper_Plantio_Tratos!$I:$I,'Dimensionamento Preparo'!$D7)</f>
        <v>150</v>
      </c>
      <c r="H7" s="7">
        <f>SUMIFS(Qtde_Oper_Plantio_Tratos!R:R,Qtde_Oper_Plantio_Tratos!$F:$F,'Dimensionamento Preparo'!$C7,Qtde_Oper_Plantio_Tratos!$I:$I,'Dimensionamento Preparo'!$D7)</f>
        <v>382</v>
      </c>
      <c r="I7" s="7">
        <f>SUMIFS(Qtde_Oper_Plantio_Tratos!S:S,Qtde_Oper_Plantio_Tratos!$F:$F,'Dimensionamento Preparo'!$C7,Qtde_Oper_Plantio_Tratos!$I:$I,'Dimensionamento Preparo'!$D7)</f>
        <v>518.19000000000005</v>
      </c>
      <c r="J7" s="7">
        <f>SUMIFS(Qtde_Oper_Plantio_Tratos!T:T,Qtde_Oper_Plantio_Tratos!$F:$F,'Dimensionamento Preparo'!$C7,Qtde_Oper_Plantio_Tratos!$I:$I,'Dimensionamento Preparo'!$D7)</f>
        <v>518.19000000000005</v>
      </c>
      <c r="K7" s="7">
        <f>SUMIFS(Qtde_Oper_Plantio_Tratos!U:U,Qtde_Oper_Plantio_Tratos!$F:$F,'Dimensionamento Preparo'!$C7,Qtde_Oper_Plantio_Tratos!$I:$I,'Dimensionamento Preparo'!$D7)</f>
        <v>600</v>
      </c>
      <c r="L7" s="7">
        <f>SUMIFS(Qtde_Oper_Plantio_Tratos!V:V,Qtde_Oper_Plantio_Tratos!$F:$F,'Dimensionamento Preparo'!$C7,Qtde_Oper_Plantio_Tratos!$I:$I,'Dimensionamento Preparo'!$D7)</f>
        <v>297.23</v>
      </c>
      <c r="M7" s="7">
        <f>SUMIFS(Qtde_Oper_Plantio_Tratos!W:W,Qtde_Oper_Plantio_Tratos!$F:$F,'Dimensionamento Preparo'!$C7,Qtde_Oper_Plantio_Tratos!$I:$I,'Dimensionamento Preparo'!$D7)</f>
        <v>0</v>
      </c>
      <c r="N7" s="7">
        <f>SUMIFS(Qtde_Oper_Plantio_Tratos!X:X,Qtde_Oper_Plantio_Tratos!$F:$F,'Dimensionamento Preparo'!$C7,Qtde_Oper_Plantio_Tratos!$I:$I,'Dimensionamento Preparo'!$D7)</f>
        <v>0</v>
      </c>
      <c r="O7" s="7">
        <f>SUMIFS(Qtde_Oper_Plantio_Tratos!Y:Y,Qtde_Oper_Plantio_Tratos!$F:$F,'Dimensionamento Preparo'!$C7,Qtde_Oper_Plantio_Tratos!$I:$I,'Dimensionamento Preparo'!$D7)</f>
        <v>0</v>
      </c>
      <c r="P7" s="7">
        <f>SUMIFS(Qtde_Oper_Plantio_Tratos!Z:Z,Qtde_Oper_Plantio_Tratos!$F:$F,'Dimensionamento Preparo'!$C7,Qtde_Oper_Plantio_Tratos!$I:$I,'Dimensionamento Preparo'!$D7)</f>
        <v>200</v>
      </c>
      <c r="Q7" s="7">
        <f>SUMIFS(Qtde_Oper_Plantio_Tratos!AA:AA,Qtde_Oper_Plantio_Tratos!$F:$F,'Dimensionamento Preparo'!$C7,Qtde_Oper_Plantio_Tratos!$I:$I,'Dimensionamento Preparo'!$D7)</f>
        <v>650</v>
      </c>
      <c r="R7" s="7">
        <f>SUM(F7:Q7)</f>
        <v>3915.61</v>
      </c>
    </row>
    <row r="8" spans="1:22" outlineLevel="1" x14ac:dyDescent="0.25">
      <c r="A8" s="1"/>
      <c r="B8" s="275"/>
      <c r="C8" s="262"/>
      <c r="D8" s="262" t="s">
        <v>607</v>
      </c>
      <c r="E8" s="263" t="s">
        <v>760</v>
      </c>
      <c r="F8" s="7">
        <f t="shared" ref="F8:Q8" si="0">IF($D8="Proprio",IFERROR(F7/(_xlfn.XLOOKUP(F$6,$F$102:$R$102,$F$103:$R$103)*_xlfn.XLOOKUP($C7,$D$78:$D$98,$F$78:$F$98)),0),0)</f>
        <v>5.9718202825150879</v>
      </c>
      <c r="G8" s="7">
        <f t="shared" si="0"/>
        <v>1.3505807497223805</v>
      </c>
      <c r="H8" s="7">
        <f t="shared" si="0"/>
        <v>3.1938019062482579</v>
      </c>
      <c r="I8" s="7">
        <f t="shared" si="0"/>
        <v>4.0436207569254776</v>
      </c>
      <c r="J8" s="7">
        <f t="shared" si="0"/>
        <v>4.1830559554401496</v>
      </c>
      <c r="K8" s="7">
        <f t="shared" si="0"/>
        <v>5.2022369618936128</v>
      </c>
      <c r="L8" s="7">
        <f t="shared" si="0"/>
        <v>2.9953004529599081</v>
      </c>
      <c r="M8" s="7">
        <f t="shared" si="0"/>
        <v>0</v>
      </c>
      <c r="N8" s="7">
        <f t="shared" si="0"/>
        <v>0</v>
      </c>
      <c r="O8" s="7">
        <f t="shared" si="0"/>
        <v>0</v>
      </c>
      <c r="P8" s="7">
        <f t="shared" si="0"/>
        <v>4.1803689872359397</v>
      </c>
      <c r="Q8" s="7">
        <f t="shared" si="0"/>
        <v>8.4536350630771224</v>
      </c>
      <c r="R8" s="7">
        <f>IFERROR(R7/(_xlfn.XLOOKUP(R$6,$F$102:$R$102,$F$103:$R$103)*_xlfn.XLOOKUP($C7,$D$78:$D$98,$F$78:$F$98)),0)</f>
        <v>3.5237998322772146</v>
      </c>
      <c r="T8" t="s">
        <v>753</v>
      </c>
    </row>
    <row r="9" spans="1:22" x14ac:dyDescent="0.25">
      <c r="A9" s="1"/>
      <c r="B9" s="275"/>
      <c r="C9" s="265">
        <v>1014</v>
      </c>
      <c r="D9" s="265" t="s">
        <v>227</v>
      </c>
      <c r="E9" s="2" t="str">
        <f>_xlfn.XLOOKUP(C9,Apoio!A:A,Apoio!B:B)</f>
        <v xml:space="preserve">Gradagem Intermediária        </v>
      </c>
      <c r="F9" s="3">
        <f>SUMIFS(Qtde_Oper_Plantio_Tratos!P:P,Qtde_Oper_Plantio_Tratos!$F:$F,'Dimensionamento Preparo'!$C9,Qtde_Oper_Plantio_Tratos!$I:$I,'Dimensionamento Preparo'!$D9)</f>
        <v>1080</v>
      </c>
      <c r="G9" s="3">
        <f>SUMIFS(Qtde_Oper_Plantio_Tratos!Q:Q,Qtde_Oper_Plantio_Tratos!$F:$F,'Dimensionamento Preparo'!$C9,Qtde_Oper_Plantio_Tratos!$I:$I,'Dimensionamento Preparo'!$D9)</f>
        <v>270</v>
      </c>
      <c r="H9" s="3">
        <f>SUMIFS(Qtde_Oper_Plantio_Tratos!R:R,Qtde_Oper_Plantio_Tratos!$F:$F,'Dimensionamento Preparo'!$C9,Qtde_Oper_Plantio_Tratos!$I:$I,'Dimensionamento Preparo'!$D9)</f>
        <v>687.6</v>
      </c>
      <c r="I9" s="3">
        <f>SUMIFS(Qtde_Oper_Plantio_Tratos!S:S,Qtde_Oper_Plantio_Tratos!$F:$F,'Dimensionamento Preparo'!$C9,Qtde_Oper_Plantio_Tratos!$I:$I,'Dimensionamento Preparo'!$D9)</f>
        <v>932.74200000000008</v>
      </c>
      <c r="J9" s="3">
        <f>SUMIFS(Qtde_Oper_Plantio_Tratos!T:T,Qtde_Oper_Plantio_Tratos!$F:$F,'Dimensionamento Preparo'!$C9,Qtde_Oper_Plantio_Tratos!$I:$I,'Dimensionamento Preparo'!$D9)</f>
        <v>932.74200000000008</v>
      </c>
      <c r="K9" s="3">
        <f>SUMIFS(Qtde_Oper_Plantio_Tratos!U:U,Qtde_Oper_Plantio_Tratos!$F:$F,'Dimensionamento Preparo'!$C9,Qtde_Oper_Plantio_Tratos!$I:$I,'Dimensionamento Preparo'!$D9)</f>
        <v>1080</v>
      </c>
      <c r="L9" s="3">
        <f>SUMIFS(Qtde_Oper_Plantio_Tratos!V:V,Qtde_Oper_Plantio_Tratos!$F:$F,'Dimensionamento Preparo'!$C9,Qtde_Oper_Plantio_Tratos!$I:$I,'Dimensionamento Preparo'!$D9)</f>
        <v>535.01400000000001</v>
      </c>
      <c r="M9" s="3">
        <f>SUMIFS(Qtde_Oper_Plantio_Tratos!W:W,Qtde_Oper_Plantio_Tratos!$F:$F,'Dimensionamento Preparo'!$C9,Qtde_Oper_Plantio_Tratos!$I:$I,'Dimensionamento Preparo'!$D9)</f>
        <v>0</v>
      </c>
      <c r="N9" s="3">
        <f>SUMIFS(Qtde_Oper_Plantio_Tratos!X:X,Qtde_Oper_Plantio_Tratos!$F:$F,'Dimensionamento Preparo'!$C9,Qtde_Oper_Plantio_Tratos!$I:$I,'Dimensionamento Preparo'!$D9)</f>
        <v>0</v>
      </c>
      <c r="O9" s="3">
        <f>SUMIFS(Qtde_Oper_Plantio_Tratos!Y:Y,Qtde_Oper_Plantio_Tratos!$F:$F,'Dimensionamento Preparo'!$C9,Qtde_Oper_Plantio_Tratos!$I:$I,'Dimensionamento Preparo'!$D9)</f>
        <v>0</v>
      </c>
      <c r="P9" s="3">
        <f>SUMIFS(Qtde_Oper_Plantio_Tratos!Z:Z,Qtde_Oper_Plantio_Tratos!$F:$F,'Dimensionamento Preparo'!$C9,Qtde_Oper_Plantio_Tratos!$I:$I,'Dimensionamento Preparo'!$D9)</f>
        <v>360</v>
      </c>
      <c r="Q9" s="3">
        <f>SUMIFS(Qtde_Oper_Plantio_Tratos!AA:AA,Qtde_Oper_Plantio_Tratos!$F:$F,'Dimensionamento Preparo'!$C9,Qtde_Oper_Plantio_Tratos!$I:$I,'Dimensionamento Preparo'!$D9)</f>
        <v>1170</v>
      </c>
      <c r="R9" s="3">
        <f>SUMIFS(Qtde_Oper_Plantio_Tratos!AB:AB,Qtde_Oper_Plantio_Tratos!$F:$F,'Dimensionamento Preparo'!$C9,Qtde_Oper_Plantio_Tratos!$I:$I,'Dimensionamento Preparo'!$D9)</f>
        <v>7048.0980000000009</v>
      </c>
      <c r="V9" s="273"/>
    </row>
    <row r="10" spans="1:22" outlineLevel="1" x14ac:dyDescent="0.25">
      <c r="A10" s="1"/>
      <c r="B10" s="275"/>
      <c r="C10" s="265"/>
      <c r="D10" s="265" t="s">
        <v>607</v>
      </c>
      <c r="E10" s="2" t="s">
        <v>760</v>
      </c>
      <c r="F10" s="3">
        <f t="shared" ref="F10:Q10" si="1">IF($D10="Proprio",IFERROR(F9/(_xlfn.XLOOKUP(F$6,$F$102:$R$102,$F$103:$R$103)*_xlfn.XLOOKUP($C9,$D$78:$D$98,$F$78:$F$98)),0),0)</f>
        <v>7.8828027729199155</v>
      </c>
      <c r="G10" s="3">
        <f t="shared" si="1"/>
        <v>1.7827665896335423</v>
      </c>
      <c r="H10" s="3">
        <f t="shared" si="1"/>
        <v>4.2158185162477011</v>
      </c>
      <c r="I10" s="3">
        <f t="shared" si="1"/>
        <v>5.3375793991416316</v>
      </c>
      <c r="J10" s="3">
        <f t="shared" si="1"/>
        <v>5.5216338611809972</v>
      </c>
      <c r="K10" s="3">
        <f t="shared" si="1"/>
        <v>6.8669527896995701</v>
      </c>
      <c r="L10" s="3">
        <f t="shared" si="1"/>
        <v>3.953796597907079</v>
      </c>
      <c r="M10" s="3">
        <f t="shared" si="1"/>
        <v>0</v>
      </c>
      <c r="N10" s="3">
        <f t="shared" si="1"/>
        <v>0</v>
      </c>
      <c r="O10" s="3">
        <f t="shared" si="1"/>
        <v>0</v>
      </c>
      <c r="P10" s="3">
        <f t="shared" si="1"/>
        <v>5.5180870631514409</v>
      </c>
      <c r="Q10" s="3">
        <f t="shared" si="1"/>
        <v>11.158798283261802</v>
      </c>
      <c r="R10" s="3">
        <f>IFERROR(R9/(_xlfn.XLOOKUP(R$6,$F$102:$R$102,$F$103:$R$103)*_xlfn.XLOOKUP($C9,$D$78:$D$98,$F$78:$F$98)),0)</f>
        <v>4.6514157786059247</v>
      </c>
    </row>
    <row r="11" spans="1:22" collapsed="1" x14ac:dyDescent="0.25">
      <c r="A11" s="1"/>
      <c r="B11" s="275"/>
      <c r="C11" s="264">
        <v>1015</v>
      </c>
      <c r="D11" s="262" t="s">
        <v>227</v>
      </c>
      <c r="E11" s="263" t="str">
        <f>_xlfn.XLOOKUP(C11,Apoio!A:A,Apoio!B:B)</f>
        <v xml:space="preserve">Gradagem Niveladora           </v>
      </c>
      <c r="F11" s="7">
        <f>SUMIFS(Qtde_Oper_Plantio_Tratos!P:P,Qtde_Oper_Plantio_Tratos!$F:$F,'Dimensionamento Preparo'!$C11,Qtde_Oper_Plantio_Tratos!$I:$I,'Dimensionamento Preparo'!$D11)</f>
        <v>600</v>
      </c>
      <c r="G11" s="7">
        <f>SUMIFS(Qtde_Oper_Plantio_Tratos!Q:Q,Qtde_Oper_Plantio_Tratos!$F:$F,'Dimensionamento Preparo'!$C11,Qtde_Oper_Plantio_Tratos!$I:$I,'Dimensionamento Preparo'!$D11)</f>
        <v>150</v>
      </c>
      <c r="H11" s="7">
        <f>SUMIFS(Qtde_Oper_Plantio_Tratos!R:R,Qtde_Oper_Plantio_Tratos!$F:$F,'Dimensionamento Preparo'!$C11,Qtde_Oper_Plantio_Tratos!$I:$I,'Dimensionamento Preparo'!$D11)</f>
        <v>382</v>
      </c>
      <c r="I11" s="7">
        <f>SUMIFS(Qtde_Oper_Plantio_Tratos!S:S,Qtde_Oper_Plantio_Tratos!$F:$F,'Dimensionamento Preparo'!$C11,Qtde_Oper_Plantio_Tratos!$I:$I,'Dimensionamento Preparo'!$D11)</f>
        <v>518.19000000000005</v>
      </c>
      <c r="J11" s="7">
        <f>SUMIFS(Qtde_Oper_Plantio_Tratos!T:T,Qtde_Oper_Plantio_Tratos!$F:$F,'Dimensionamento Preparo'!$C11,Qtde_Oper_Plantio_Tratos!$I:$I,'Dimensionamento Preparo'!$D11)</f>
        <v>518.19000000000005</v>
      </c>
      <c r="K11" s="7">
        <f>SUMIFS(Qtde_Oper_Plantio_Tratos!U:U,Qtde_Oper_Plantio_Tratos!$F:$F,'Dimensionamento Preparo'!$C11,Qtde_Oper_Plantio_Tratos!$I:$I,'Dimensionamento Preparo'!$D11)</f>
        <v>600</v>
      </c>
      <c r="L11" s="7">
        <f>SUMIFS(Qtde_Oper_Plantio_Tratos!V:V,Qtde_Oper_Plantio_Tratos!$F:$F,'Dimensionamento Preparo'!$C11,Qtde_Oper_Plantio_Tratos!$I:$I,'Dimensionamento Preparo'!$D11)</f>
        <v>297.23</v>
      </c>
      <c r="M11" s="7">
        <f>SUMIFS(Qtde_Oper_Plantio_Tratos!W:W,Qtde_Oper_Plantio_Tratos!$F:$F,'Dimensionamento Preparo'!$C11,Qtde_Oper_Plantio_Tratos!$I:$I,'Dimensionamento Preparo'!$D11)</f>
        <v>0</v>
      </c>
      <c r="N11" s="7">
        <f>SUMIFS(Qtde_Oper_Plantio_Tratos!X:X,Qtde_Oper_Plantio_Tratos!$F:$F,'Dimensionamento Preparo'!$C11,Qtde_Oper_Plantio_Tratos!$I:$I,'Dimensionamento Preparo'!$D11)</f>
        <v>0</v>
      </c>
      <c r="O11" s="7">
        <f>SUMIFS(Qtde_Oper_Plantio_Tratos!Y:Y,Qtde_Oper_Plantio_Tratos!$F:$F,'Dimensionamento Preparo'!$C11,Qtde_Oper_Plantio_Tratos!$I:$I,'Dimensionamento Preparo'!$D11)</f>
        <v>0</v>
      </c>
      <c r="P11" s="7">
        <f>SUMIFS(Qtde_Oper_Plantio_Tratos!Z:Z,Qtde_Oper_Plantio_Tratos!$F:$F,'Dimensionamento Preparo'!$C11,Qtde_Oper_Plantio_Tratos!$I:$I,'Dimensionamento Preparo'!$D11)</f>
        <v>200</v>
      </c>
      <c r="Q11" s="7">
        <f>SUMIFS(Qtde_Oper_Plantio_Tratos!AA:AA,Qtde_Oper_Plantio_Tratos!$F:$F,'Dimensionamento Preparo'!$C11,Qtde_Oper_Plantio_Tratos!$I:$I,'Dimensionamento Preparo'!$D11)</f>
        <v>650</v>
      </c>
      <c r="R11" s="7">
        <f>SUM(F11:Q11)</f>
        <v>3915.61</v>
      </c>
    </row>
    <row r="12" spans="1:22" hidden="1" outlineLevel="1" x14ac:dyDescent="0.25">
      <c r="A12" s="1"/>
      <c r="B12" s="275"/>
      <c r="C12" s="262"/>
      <c r="D12" s="262" t="s">
        <v>607</v>
      </c>
      <c r="E12" s="263" t="s">
        <v>86</v>
      </c>
      <c r="F12" s="7">
        <f t="shared" ref="F12:Q12" si="2">IF($D12="Proprio",IFERROR(F11/(_xlfn.XLOOKUP(F$6,$F$102:$R$102,$F$103:$R$103)*_xlfn.XLOOKUP($C11,$D$78:$D$98,$F$78:$F$98)),0),0)</f>
        <v>2.9859101412575439</v>
      </c>
      <c r="G12" s="7">
        <f t="shared" si="2"/>
        <v>0.67529037486119026</v>
      </c>
      <c r="H12" s="7">
        <f t="shared" si="2"/>
        <v>1.5969009531241289</v>
      </c>
      <c r="I12" s="7">
        <f t="shared" si="2"/>
        <v>2.0218103784627388</v>
      </c>
      <c r="J12" s="7">
        <f t="shared" si="2"/>
        <v>2.0915279777200748</v>
      </c>
      <c r="K12" s="7">
        <f t="shared" si="2"/>
        <v>2.6011184809468064</v>
      </c>
      <c r="L12" s="7">
        <f t="shared" si="2"/>
        <v>1.497650226479954</v>
      </c>
      <c r="M12" s="7">
        <f t="shared" si="2"/>
        <v>0</v>
      </c>
      <c r="N12" s="7">
        <f t="shared" si="2"/>
        <v>0</v>
      </c>
      <c r="O12" s="7">
        <f t="shared" si="2"/>
        <v>0</v>
      </c>
      <c r="P12" s="7">
        <f t="shared" si="2"/>
        <v>2.0901844936179699</v>
      </c>
      <c r="Q12" s="7">
        <f t="shared" si="2"/>
        <v>4.2268175315385612</v>
      </c>
      <c r="R12" s="7">
        <f>IFERROR(R11/(_xlfn.XLOOKUP(R$6,$F$102:$R$102,$F$103:$R$103)*_xlfn.XLOOKUP($C11,$D$78:$D$98,$F$78:$F$98)),0)</f>
        <v>1.7618999161386073</v>
      </c>
    </row>
    <row r="13" spans="1:22" collapsed="1" x14ac:dyDescent="0.25">
      <c r="A13" s="1"/>
      <c r="B13" s="275"/>
      <c r="C13" s="265">
        <v>1016</v>
      </c>
      <c r="D13" s="265" t="s">
        <v>227</v>
      </c>
      <c r="E13" s="2" t="str">
        <f>_xlfn.XLOOKUP(C13,Apoio!A:A,Apoio!B:B)</f>
        <v xml:space="preserve">Subsolagem                    </v>
      </c>
      <c r="F13" s="3">
        <f>SUMIFS(Qtde_Oper_Plantio_Tratos!P:P,Qtde_Oper_Plantio_Tratos!$F:$F,'Dimensionamento Preparo'!$C13,Qtde_Oper_Plantio_Tratos!$I:$I,'Dimensionamento Preparo'!$D13)</f>
        <v>600</v>
      </c>
      <c r="G13" s="3">
        <f>SUMIFS(Qtde_Oper_Plantio_Tratos!Q:Q,Qtde_Oper_Plantio_Tratos!$F:$F,'Dimensionamento Preparo'!$C13,Qtde_Oper_Plantio_Tratos!$I:$I,'Dimensionamento Preparo'!$D13)</f>
        <v>150</v>
      </c>
      <c r="H13" s="3">
        <f>SUMIFS(Qtde_Oper_Plantio_Tratos!R:R,Qtde_Oper_Plantio_Tratos!$F:$F,'Dimensionamento Preparo'!$C13,Qtde_Oper_Plantio_Tratos!$I:$I,'Dimensionamento Preparo'!$D13)</f>
        <v>382</v>
      </c>
      <c r="I13" s="3">
        <f>SUMIFS(Qtde_Oper_Plantio_Tratos!S:S,Qtde_Oper_Plantio_Tratos!$F:$F,'Dimensionamento Preparo'!$C13,Qtde_Oper_Plantio_Tratos!$I:$I,'Dimensionamento Preparo'!$D13)</f>
        <v>518.19000000000005</v>
      </c>
      <c r="J13" s="3">
        <f>SUMIFS(Qtde_Oper_Plantio_Tratos!T:T,Qtde_Oper_Plantio_Tratos!$F:$F,'Dimensionamento Preparo'!$C13,Qtde_Oper_Plantio_Tratos!$I:$I,'Dimensionamento Preparo'!$D13)</f>
        <v>518.19000000000005</v>
      </c>
      <c r="K13" s="3">
        <f>SUMIFS(Qtde_Oper_Plantio_Tratos!U:U,Qtde_Oper_Plantio_Tratos!$F:$F,'Dimensionamento Preparo'!$C13,Qtde_Oper_Plantio_Tratos!$I:$I,'Dimensionamento Preparo'!$D13)</f>
        <v>600</v>
      </c>
      <c r="L13" s="3">
        <f>SUMIFS(Qtde_Oper_Plantio_Tratos!V:V,Qtde_Oper_Plantio_Tratos!$F:$F,'Dimensionamento Preparo'!$C13,Qtde_Oper_Plantio_Tratos!$I:$I,'Dimensionamento Preparo'!$D13)</f>
        <v>297.23</v>
      </c>
      <c r="M13" s="3">
        <f>SUMIFS(Qtde_Oper_Plantio_Tratos!W:W,Qtde_Oper_Plantio_Tratos!$F:$F,'Dimensionamento Preparo'!$C13,Qtde_Oper_Plantio_Tratos!$I:$I,'Dimensionamento Preparo'!$D13)</f>
        <v>0</v>
      </c>
      <c r="N13" s="3">
        <f>SUMIFS(Qtde_Oper_Plantio_Tratos!X:X,Qtde_Oper_Plantio_Tratos!$F:$F,'Dimensionamento Preparo'!$C13,Qtde_Oper_Plantio_Tratos!$I:$I,'Dimensionamento Preparo'!$D13)</f>
        <v>0</v>
      </c>
      <c r="O13" s="3">
        <f>SUMIFS(Qtde_Oper_Plantio_Tratos!Y:Y,Qtde_Oper_Plantio_Tratos!$F:$F,'Dimensionamento Preparo'!$C13,Qtde_Oper_Plantio_Tratos!$I:$I,'Dimensionamento Preparo'!$D13)</f>
        <v>0</v>
      </c>
      <c r="P13" s="3">
        <f>SUMIFS(Qtde_Oper_Plantio_Tratos!Z:Z,Qtde_Oper_Plantio_Tratos!$F:$F,'Dimensionamento Preparo'!$C13,Qtde_Oper_Plantio_Tratos!$I:$I,'Dimensionamento Preparo'!$D13)</f>
        <v>200</v>
      </c>
      <c r="Q13" s="3">
        <f>SUMIFS(Qtde_Oper_Plantio_Tratos!AA:AA,Qtde_Oper_Plantio_Tratos!$F:$F,'Dimensionamento Preparo'!$C13,Qtde_Oper_Plantio_Tratos!$I:$I,'Dimensionamento Preparo'!$D13)</f>
        <v>650</v>
      </c>
      <c r="R13" s="3">
        <f>SUMIFS(Qtde_Oper_Plantio_Tratos!AB:AB,Qtde_Oper_Plantio_Tratos!$F:$F,'Dimensionamento Preparo'!$C13,Qtde_Oper_Plantio_Tratos!$I:$I,'Dimensionamento Preparo'!$D13)</f>
        <v>3915.61</v>
      </c>
    </row>
    <row r="14" spans="1:22" hidden="1" outlineLevel="1" x14ac:dyDescent="0.25">
      <c r="A14" s="1"/>
      <c r="B14" s="275"/>
      <c r="C14" s="265"/>
      <c r="D14" s="265" t="s">
        <v>607</v>
      </c>
      <c r="E14" s="2" t="s">
        <v>760</v>
      </c>
      <c r="F14" s="3">
        <f t="shared" ref="F14:Q14" si="3">IF($D14="Proprio",IFERROR(F13/(_xlfn.XLOOKUP(F$6,$F$102:$R$102,$F$103:$R$103)*_xlfn.XLOOKUP($C13,$D$78:$D$98,$F$78:$F$98)),0),0)</f>
        <v>7.2988914564073291</v>
      </c>
      <c r="G14" s="3">
        <f t="shared" si="3"/>
        <v>1.650709805216243</v>
      </c>
      <c r="H14" s="3">
        <f t="shared" si="3"/>
        <v>3.9035356631923155</v>
      </c>
      <c r="I14" s="3">
        <f t="shared" si="3"/>
        <v>4.9422031473533616</v>
      </c>
      <c r="J14" s="3">
        <f t="shared" si="3"/>
        <v>5.112623945537961</v>
      </c>
      <c r="K14" s="3">
        <f t="shared" si="3"/>
        <v>6.3582896200921946</v>
      </c>
      <c r="L14" s="3">
        <f t="shared" si="3"/>
        <v>3.6609227758398881</v>
      </c>
      <c r="M14" s="3">
        <f t="shared" si="3"/>
        <v>0</v>
      </c>
      <c r="N14" s="3">
        <f t="shared" si="3"/>
        <v>0</v>
      </c>
      <c r="O14" s="3">
        <f t="shared" si="3"/>
        <v>0</v>
      </c>
      <c r="P14" s="3">
        <f t="shared" si="3"/>
        <v>5.1093398732883717</v>
      </c>
      <c r="Q14" s="3">
        <f t="shared" si="3"/>
        <v>10.332220632649816</v>
      </c>
      <c r="R14" s="3">
        <f>IFERROR(R13/(_xlfn.XLOOKUP(R$6,$F$102:$R$102,$F$103:$R$103)*_xlfn.XLOOKUP($C13,$D$78:$D$98,$F$78:$F$98)),0)</f>
        <v>4.3068664616721524</v>
      </c>
    </row>
    <row r="15" spans="1:22" collapsed="1" x14ac:dyDescent="0.25">
      <c r="A15" s="1"/>
      <c r="B15" s="275"/>
      <c r="C15" s="264">
        <v>1019</v>
      </c>
      <c r="D15" s="262" t="s">
        <v>227</v>
      </c>
      <c r="E15" s="263" t="str">
        <f>_xlfn.XLOOKUP(C15,Apoio!A:A,Apoio!B:B)</f>
        <v xml:space="preserve">Destruição De Soqueira / Sph  </v>
      </c>
      <c r="F15" s="7">
        <f>SUMIFS(Qtde_Oper_Plantio_Tratos!P:P,Qtde_Oper_Plantio_Tratos!$F:$F,'Dimensionamento Preparo'!$C15,Qtde_Oper_Plantio_Tratos!$I:$I,'Dimensionamento Preparo'!$D15)</f>
        <v>360</v>
      </c>
      <c r="G15" s="7">
        <f>SUMIFS(Qtde_Oper_Plantio_Tratos!Q:Q,Qtde_Oper_Plantio_Tratos!$F:$F,'Dimensionamento Preparo'!$C15,Qtde_Oper_Plantio_Tratos!$I:$I,'Dimensionamento Preparo'!$D15)</f>
        <v>90</v>
      </c>
      <c r="H15" s="7">
        <f>SUMIFS(Qtde_Oper_Plantio_Tratos!R:R,Qtde_Oper_Plantio_Tratos!$F:$F,'Dimensionamento Preparo'!$C15,Qtde_Oper_Plantio_Tratos!$I:$I,'Dimensionamento Preparo'!$D15)</f>
        <v>229.2</v>
      </c>
      <c r="I15" s="7">
        <f>SUMIFS(Qtde_Oper_Plantio_Tratos!S:S,Qtde_Oper_Plantio_Tratos!$F:$F,'Dimensionamento Preparo'!$C15,Qtde_Oper_Plantio_Tratos!$I:$I,'Dimensionamento Preparo'!$D15)</f>
        <v>310.91400000000004</v>
      </c>
      <c r="J15" s="7">
        <f>SUMIFS(Qtde_Oper_Plantio_Tratos!T:T,Qtde_Oper_Plantio_Tratos!$F:$F,'Dimensionamento Preparo'!$C15,Qtde_Oper_Plantio_Tratos!$I:$I,'Dimensionamento Preparo'!$D15)</f>
        <v>310.91400000000004</v>
      </c>
      <c r="K15" s="7">
        <f>SUMIFS(Qtde_Oper_Plantio_Tratos!U:U,Qtde_Oper_Plantio_Tratos!$F:$F,'Dimensionamento Preparo'!$C15,Qtde_Oper_Plantio_Tratos!$I:$I,'Dimensionamento Preparo'!$D15)</f>
        <v>360</v>
      </c>
      <c r="L15" s="7">
        <f>SUMIFS(Qtde_Oper_Plantio_Tratos!V:V,Qtde_Oper_Plantio_Tratos!$F:$F,'Dimensionamento Preparo'!$C15,Qtde_Oper_Plantio_Tratos!$I:$I,'Dimensionamento Preparo'!$D15)</f>
        <v>178.33799999999999</v>
      </c>
      <c r="M15" s="7">
        <f>SUMIFS(Qtde_Oper_Plantio_Tratos!W:W,Qtde_Oper_Plantio_Tratos!$F:$F,'Dimensionamento Preparo'!$C15,Qtde_Oper_Plantio_Tratos!$I:$I,'Dimensionamento Preparo'!$D15)</f>
        <v>0</v>
      </c>
      <c r="N15" s="7">
        <f>SUMIFS(Qtde_Oper_Plantio_Tratos!X:X,Qtde_Oper_Plantio_Tratos!$F:$F,'Dimensionamento Preparo'!$C15,Qtde_Oper_Plantio_Tratos!$I:$I,'Dimensionamento Preparo'!$D15)</f>
        <v>0</v>
      </c>
      <c r="O15" s="7">
        <f>SUMIFS(Qtde_Oper_Plantio_Tratos!Y:Y,Qtde_Oper_Plantio_Tratos!$F:$F,'Dimensionamento Preparo'!$C15,Qtde_Oper_Plantio_Tratos!$I:$I,'Dimensionamento Preparo'!$D15)</f>
        <v>0</v>
      </c>
      <c r="P15" s="7">
        <f>SUMIFS(Qtde_Oper_Plantio_Tratos!Z:Z,Qtde_Oper_Plantio_Tratos!$F:$F,'Dimensionamento Preparo'!$C15,Qtde_Oper_Plantio_Tratos!$I:$I,'Dimensionamento Preparo'!$D15)</f>
        <v>120</v>
      </c>
      <c r="Q15" s="7">
        <f>SUMIFS(Qtde_Oper_Plantio_Tratos!AA:AA,Qtde_Oper_Plantio_Tratos!$F:$F,'Dimensionamento Preparo'!$C15,Qtde_Oper_Plantio_Tratos!$I:$I,'Dimensionamento Preparo'!$D15)</f>
        <v>390</v>
      </c>
      <c r="R15" s="7">
        <f>SUM(F15:Q15)</f>
        <v>2349.366</v>
      </c>
    </row>
    <row r="16" spans="1:22" hidden="1" outlineLevel="1" x14ac:dyDescent="0.25">
      <c r="A16" s="1"/>
      <c r="B16" s="275"/>
      <c r="C16" s="262"/>
      <c r="D16" s="262" t="s">
        <v>607</v>
      </c>
      <c r="E16" s="263" t="s">
        <v>86</v>
      </c>
      <c r="F16" s="7">
        <f t="shared" ref="F16:Q16" si="4">IF($D16="Proprio",IFERROR(F15/(_xlfn.XLOOKUP(F$6,$F$102:$R$102,$F$103:$R$103)*_xlfn.XLOOKUP($C15,$D$78:$D$98,$F$78:$F$98)),0),0)</f>
        <v>3.5733327744948258</v>
      </c>
      <c r="G16" s="7">
        <f t="shared" si="4"/>
        <v>0.80814127506734512</v>
      </c>
      <c r="H16" s="7">
        <f t="shared" si="4"/>
        <v>1.9110617009449693</v>
      </c>
      <c r="I16" s="7">
        <f t="shared" si="4"/>
        <v>2.4195642023346307</v>
      </c>
      <c r="J16" s="7">
        <f t="shared" si="4"/>
        <v>2.5029974506909971</v>
      </c>
      <c r="K16" s="7">
        <f t="shared" si="4"/>
        <v>3.1128404669260701</v>
      </c>
      <c r="L16" s="7">
        <f t="shared" si="4"/>
        <v>1.7922852282341428</v>
      </c>
      <c r="M16" s="7">
        <f t="shared" si="4"/>
        <v>0</v>
      </c>
      <c r="N16" s="7">
        <f t="shared" si="4"/>
        <v>0</v>
      </c>
      <c r="O16" s="7">
        <f t="shared" si="4"/>
        <v>0</v>
      </c>
      <c r="P16" s="7">
        <f t="shared" si="4"/>
        <v>2.5013896609227353</v>
      </c>
      <c r="Q16" s="7">
        <f t="shared" si="4"/>
        <v>5.0583657587548645</v>
      </c>
      <c r="R16" s="7">
        <f>IFERROR(R15/(_xlfn.XLOOKUP(R$6,$F$102:$R$102,$F$103:$R$103)*_xlfn.XLOOKUP($C15,$D$78:$D$98,$F$78:$F$98)),0)</f>
        <v>2.108521160340818</v>
      </c>
    </row>
    <row r="17" spans="1:18" collapsed="1" x14ac:dyDescent="0.25">
      <c r="A17" s="1"/>
      <c r="B17" s="275"/>
      <c r="C17" s="265">
        <v>1011</v>
      </c>
      <c r="D17" s="265" t="s">
        <v>227</v>
      </c>
      <c r="E17" s="2" t="str">
        <f>_xlfn.XLOOKUP(C17,Apoio!A:A,Apoio!B:B)</f>
        <v xml:space="preserve">Aração                        </v>
      </c>
      <c r="F17" s="3">
        <f>SUMIFS(Qtde_Oper_Plantio_Tratos!P:P,Qtde_Oper_Plantio_Tratos!$F:$F,'Dimensionamento Preparo'!$C17,Qtde_Oper_Plantio_Tratos!$I:$I,'Dimensionamento Preparo'!$D17)</f>
        <v>0</v>
      </c>
      <c r="G17" s="3">
        <f>SUMIFS(Qtde_Oper_Plantio_Tratos!Q:Q,Qtde_Oper_Plantio_Tratos!$F:$F,'Dimensionamento Preparo'!$C17,Qtde_Oper_Plantio_Tratos!$I:$I,'Dimensionamento Preparo'!$D17)</f>
        <v>0</v>
      </c>
      <c r="H17" s="3">
        <f>SUMIFS(Qtde_Oper_Plantio_Tratos!R:R,Qtde_Oper_Plantio_Tratos!$F:$F,'Dimensionamento Preparo'!$C17,Qtde_Oper_Plantio_Tratos!$I:$I,'Dimensionamento Preparo'!$D17)</f>
        <v>0</v>
      </c>
      <c r="I17" s="3">
        <f>SUMIFS(Qtde_Oper_Plantio_Tratos!S:S,Qtde_Oper_Plantio_Tratos!$F:$F,'Dimensionamento Preparo'!$C17,Qtde_Oper_Plantio_Tratos!$I:$I,'Dimensionamento Preparo'!$D17)</f>
        <v>0</v>
      </c>
      <c r="J17" s="3">
        <f>SUMIFS(Qtde_Oper_Plantio_Tratos!T:T,Qtde_Oper_Plantio_Tratos!$F:$F,'Dimensionamento Preparo'!$C17,Qtde_Oper_Plantio_Tratos!$I:$I,'Dimensionamento Preparo'!$D17)</f>
        <v>0</v>
      </c>
      <c r="K17" s="3">
        <f>SUMIFS(Qtde_Oper_Plantio_Tratos!U:U,Qtde_Oper_Plantio_Tratos!$F:$F,'Dimensionamento Preparo'!$C17,Qtde_Oper_Plantio_Tratos!$I:$I,'Dimensionamento Preparo'!$D17)</f>
        <v>0</v>
      </c>
      <c r="L17" s="3">
        <f>SUMIFS(Qtde_Oper_Plantio_Tratos!V:V,Qtde_Oper_Plantio_Tratos!$F:$F,'Dimensionamento Preparo'!$C17,Qtde_Oper_Plantio_Tratos!$I:$I,'Dimensionamento Preparo'!$D17)</f>
        <v>0</v>
      </c>
      <c r="M17" s="3">
        <f>SUMIFS(Qtde_Oper_Plantio_Tratos!W:W,Qtde_Oper_Plantio_Tratos!$F:$F,'Dimensionamento Preparo'!$C17,Qtde_Oper_Plantio_Tratos!$I:$I,'Dimensionamento Preparo'!$D17)</f>
        <v>0</v>
      </c>
      <c r="N17" s="3">
        <f>SUMIFS(Qtde_Oper_Plantio_Tratos!X:X,Qtde_Oper_Plantio_Tratos!$F:$F,'Dimensionamento Preparo'!$C17,Qtde_Oper_Plantio_Tratos!$I:$I,'Dimensionamento Preparo'!$D17)</f>
        <v>0</v>
      </c>
      <c r="O17" s="3">
        <f>SUMIFS(Qtde_Oper_Plantio_Tratos!Y:Y,Qtde_Oper_Plantio_Tratos!$F:$F,'Dimensionamento Preparo'!$C17,Qtde_Oper_Plantio_Tratos!$I:$I,'Dimensionamento Preparo'!$D17)</f>
        <v>0</v>
      </c>
      <c r="P17" s="3">
        <f>SUMIFS(Qtde_Oper_Plantio_Tratos!Z:Z,Qtde_Oper_Plantio_Tratos!$F:$F,'Dimensionamento Preparo'!$C17,Qtde_Oper_Plantio_Tratos!$I:$I,'Dimensionamento Preparo'!$D17)</f>
        <v>0</v>
      </c>
      <c r="Q17" s="3">
        <f>SUMIFS(Qtde_Oper_Plantio_Tratos!AA:AA,Qtde_Oper_Plantio_Tratos!$F:$F,'Dimensionamento Preparo'!$C17,Qtde_Oper_Plantio_Tratos!$I:$I,'Dimensionamento Preparo'!$D17)</f>
        <v>0</v>
      </c>
      <c r="R17" s="3">
        <f>SUMIFS(Qtde_Oper_Plantio_Tratos!AB:AB,Qtde_Oper_Plantio_Tratos!$F:$F,'Dimensionamento Preparo'!$C17,Qtde_Oper_Plantio_Tratos!$I:$I,'Dimensionamento Preparo'!$D17)</f>
        <v>0</v>
      </c>
    </row>
    <row r="18" spans="1:18" hidden="1" outlineLevel="1" x14ac:dyDescent="0.25">
      <c r="A18" s="1"/>
      <c r="B18" s="275"/>
      <c r="C18" s="265"/>
      <c r="D18" s="265" t="s">
        <v>607</v>
      </c>
      <c r="E18" s="2" t="s">
        <v>760</v>
      </c>
      <c r="F18" s="3">
        <f t="shared" ref="F18:Q18" si="5">IF($D18="Proprio",IFERROR(F17/(_xlfn.XLOOKUP(F$6,$F$102:$R$102,$F$103:$R$103)*_xlfn.XLOOKUP($C17,$D$78:$D$98,$F$78:$F$98)),0),0)</f>
        <v>0</v>
      </c>
      <c r="G18" s="3">
        <f t="shared" si="5"/>
        <v>0</v>
      </c>
      <c r="H18" s="3">
        <f t="shared" si="5"/>
        <v>0</v>
      </c>
      <c r="I18" s="3">
        <f t="shared" si="5"/>
        <v>0</v>
      </c>
      <c r="J18" s="3">
        <f t="shared" si="5"/>
        <v>0</v>
      </c>
      <c r="K18" s="3">
        <f t="shared" si="5"/>
        <v>0</v>
      </c>
      <c r="L18" s="3">
        <f t="shared" si="5"/>
        <v>0</v>
      </c>
      <c r="M18" s="3">
        <f t="shared" si="5"/>
        <v>0</v>
      </c>
      <c r="N18" s="3">
        <f t="shared" si="5"/>
        <v>0</v>
      </c>
      <c r="O18" s="3">
        <f t="shared" si="5"/>
        <v>0</v>
      </c>
      <c r="P18" s="3">
        <f t="shared" si="5"/>
        <v>0</v>
      </c>
      <c r="Q18" s="3">
        <f t="shared" si="5"/>
        <v>0</v>
      </c>
      <c r="R18" s="3">
        <f>IFERROR(R17/(_xlfn.XLOOKUP(R$6,$F$102:$R$102,$F$103:$R$103)*_xlfn.XLOOKUP($C17,$D$78:$D$98,$F$78:$F$98)),0)</f>
        <v>0</v>
      </c>
    </row>
    <row r="19" spans="1:18" collapsed="1" x14ac:dyDescent="0.25">
      <c r="A19" s="1"/>
      <c r="B19" s="275"/>
      <c r="C19" s="264">
        <v>1033</v>
      </c>
      <c r="D19" s="262" t="s">
        <v>312</v>
      </c>
      <c r="E19" s="263" t="str">
        <f>_xlfn.XLOOKUP(C19,Apoio!A:A,Apoio!B:B)</f>
        <v xml:space="preserve">Aplicação De Torta De Filtro  </v>
      </c>
      <c r="F19" s="7">
        <f>SUMIFS(Qtde_Oper_Plantio_Tratos!P:P,Qtde_Oper_Plantio_Tratos!$F:$F,'Dimensionamento Preparo'!$C19,Qtde_Oper_Plantio_Tratos!$I:$I,'Dimensionamento Preparo'!$D19)</f>
        <v>322.16000000000003</v>
      </c>
      <c r="G19" s="7">
        <f>SUMIFS(Qtde_Oper_Plantio_Tratos!Q:Q,Qtde_Oper_Plantio_Tratos!$F:$F,'Dimensionamento Preparo'!$C19,Qtde_Oper_Plantio_Tratos!$I:$I,'Dimensionamento Preparo'!$D19)</f>
        <v>543.24</v>
      </c>
      <c r="H19" s="7">
        <f>SUMIFS(Qtde_Oper_Plantio_Tratos!R:R,Qtde_Oper_Plantio_Tratos!$F:$F,'Dimensionamento Preparo'!$C19,Qtde_Oper_Plantio_Tratos!$I:$I,'Dimensionamento Preparo'!$D19)</f>
        <v>291.06</v>
      </c>
      <c r="I19" s="7">
        <f>SUMIFS(Qtde_Oper_Plantio_Tratos!S:S,Qtde_Oper_Plantio_Tratos!$F:$F,'Dimensionamento Preparo'!$C19,Qtde_Oper_Plantio_Tratos!$I:$I,'Dimensionamento Preparo'!$D19)</f>
        <v>120.53</v>
      </c>
      <c r="J19" s="7">
        <f>SUMIFS(Qtde_Oper_Plantio_Tratos!T:T,Qtde_Oper_Plantio_Tratos!$F:$F,'Dimensionamento Preparo'!$C19,Qtde_Oper_Plantio_Tratos!$I:$I,'Dimensionamento Preparo'!$D19)</f>
        <v>106.19</v>
      </c>
      <c r="K19" s="7">
        <f>SUMIFS(Qtde_Oper_Plantio_Tratos!U:U,Qtde_Oper_Plantio_Tratos!$F:$F,'Dimensionamento Preparo'!$C19,Qtde_Oper_Plantio_Tratos!$I:$I,'Dimensionamento Preparo'!$D19)</f>
        <v>262.37</v>
      </c>
      <c r="L19" s="7">
        <f>SUMIFS(Qtde_Oper_Plantio_Tratos!V:V,Qtde_Oper_Plantio_Tratos!$F:$F,'Dimensionamento Preparo'!$C19,Qtde_Oper_Plantio_Tratos!$I:$I,'Dimensionamento Preparo'!$D19)</f>
        <v>593.80999999999995</v>
      </c>
      <c r="M19" s="7">
        <f>SUMIFS(Qtde_Oper_Plantio_Tratos!W:W,Qtde_Oper_Plantio_Tratos!$F:$F,'Dimensionamento Preparo'!$C19,Qtde_Oper_Plantio_Tratos!$I:$I,'Dimensionamento Preparo'!$D19)</f>
        <v>337.88</v>
      </c>
      <c r="N19" s="7">
        <f>SUMIFS(Qtde_Oper_Plantio_Tratos!X:X,Qtde_Oper_Plantio_Tratos!$F:$F,'Dimensionamento Preparo'!$C19,Qtde_Oper_Plantio_Tratos!$I:$I,'Dimensionamento Preparo'!$D19)</f>
        <v>0</v>
      </c>
      <c r="O19" s="7">
        <f>SUMIFS(Qtde_Oper_Plantio_Tratos!Y:Y,Qtde_Oper_Plantio_Tratos!$F:$F,'Dimensionamento Preparo'!$C19,Qtde_Oper_Plantio_Tratos!$I:$I,'Dimensionamento Preparo'!$D19)</f>
        <v>0</v>
      </c>
      <c r="P19" s="7">
        <f>SUMIFS(Qtde_Oper_Plantio_Tratos!Z:Z,Qtde_Oper_Plantio_Tratos!$F:$F,'Dimensionamento Preparo'!$C19,Qtde_Oper_Plantio_Tratos!$I:$I,'Dimensionamento Preparo'!$D19)</f>
        <v>0</v>
      </c>
      <c r="Q19" s="7">
        <f>SUMIFS(Qtde_Oper_Plantio_Tratos!AA:AA,Qtde_Oper_Plantio_Tratos!$F:$F,'Dimensionamento Preparo'!$C19,Qtde_Oper_Plantio_Tratos!$I:$I,'Dimensionamento Preparo'!$D19)</f>
        <v>0</v>
      </c>
      <c r="R19" s="7">
        <f>SUM(F19:Q19)</f>
        <v>2577.2400000000002</v>
      </c>
    </row>
    <row r="20" spans="1:18" hidden="1" outlineLevel="1" x14ac:dyDescent="0.25">
      <c r="A20" s="1"/>
      <c r="B20" s="275"/>
      <c r="C20" s="262"/>
      <c r="D20" s="262" t="s">
        <v>607</v>
      </c>
      <c r="E20" s="263" t="s">
        <v>760</v>
      </c>
      <c r="F20" s="7">
        <f t="shared" ref="F20:Q20" si="6">IF($D20="Proprio",IFERROR(F19/(_xlfn.XLOOKUP(F$6,$F$102:$R$102,$F$103:$R$103)*_xlfn.XLOOKUP($C19,$D$78:$D$98,$F$78:$F$98)),0),0)</f>
        <v>4.6066036974375937</v>
      </c>
      <c r="G20" s="7">
        <f t="shared" si="6"/>
        <v>7.0270783028630559</v>
      </c>
      <c r="H20" s="7">
        <f t="shared" si="6"/>
        <v>3.4960762331838562</v>
      </c>
      <c r="I20" s="7">
        <f t="shared" si="6"/>
        <v>1.3512331838565022</v>
      </c>
      <c r="J20" s="7">
        <f t="shared" si="6"/>
        <v>1.2315215710530383</v>
      </c>
      <c r="K20" s="7">
        <f t="shared" si="6"/>
        <v>3.2681863477827604</v>
      </c>
      <c r="L20" s="7">
        <f t="shared" si="6"/>
        <v>8.5970413151358969</v>
      </c>
      <c r="M20" s="7">
        <f t="shared" si="6"/>
        <v>5.4687215964893738</v>
      </c>
      <c r="N20" s="7">
        <f t="shared" si="6"/>
        <v>0</v>
      </c>
      <c r="O20" s="7">
        <f t="shared" si="6"/>
        <v>0</v>
      </c>
      <c r="P20" s="7">
        <f t="shared" si="6"/>
        <v>0</v>
      </c>
      <c r="Q20" s="7">
        <f t="shared" si="6"/>
        <v>0</v>
      </c>
      <c r="R20" s="7">
        <f>IFERROR(R19/(_xlfn.XLOOKUP(R$6,$F$102:$R$102,$F$103:$R$103)*_xlfn.XLOOKUP($C19,$D$78:$D$98,$F$78:$F$98)),0)</f>
        <v>3.3321183703694337</v>
      </c>
    </row>
    <row r="21" spans="1:18" collapsed="1" x14ac:dyDescent="0.25">
      <c r="A21" s="1"/>
      <c r="B21" s="275"/>
      <c r="C21" s="265">
        <v>1081</v>
      </c>
      <c r="D21" s="265" t="s">
        <v>227</v>
      </c>
      <c r="E21" s="2" t="str">
        <f>_xlfn.XLOOKUP(C21,Apoio!A:A,Apoio!B:B)</f>
        <v xml:space="preserve">Canterizador De Cana          </v>
      </c>
      <c r="F21" s="3">
        <f>SUMIFS(Qtde_Oper_Plantio_Tratos!P:P,Qtde_Oper_Plantio_Tratos!$F:$F,'Dimensionamento Preparo'!$C21,Qtde_Oper_Plantio_Tratos!$I:$I,'Dimensionamento Preparo'!$D21)</f>
        <v>180</v>
      </c>
      <c r="G21" s="3">
        <f>SUMIFS(Qtde_Oper_Plantio_Tratos!Q:Q,Qtde_Oper_Plantio_Tratos!$F:$F,'Dimensionamento Preparo'!$C21,Qtde_Oper_Plantio_Tratos!$I:$I,'Dimensionamento Preparo'!$D21)</f>
        <v>45</v>
      </c>
      <c r="H21" s="3">
        <f>SUMIFS(Qtde_Oper_Plantio_Tratos!R:R,Qtde_Oper_Plantio_Tratos!$F:$F,'Dimensionamento Preparo'!$C21,Qtde_Oper_Plantio_Tratos!$I:$I,'Dimensionamento Preparo'!$D21)</f>
        <v>114.6</v>
      </c>
      <c r="I21" s="3">
        <f>SUMIFS(Qtde_Oper_Plantio_Tratos!S:S,Qtde_Oper_Plantio_Tratos!$F:$F,'Dimensionamento Preparo'!$C21,Qtde_Oper_Plantio_Tratos!$I:$I,'Dimensionamento Preparo'!$D21)</f>
        <v>155.45700000000002</v>
      </c>
      <c r="J21" s="3">
        <f>SUMIFS(Qtde_Oper_Plantio_Tratos!T:T,Qtde_Oper_Plantio_Tratos!$F:$F,'Dimensionamento Preparo'!$C21,Qtde_Oper_Plantio_Tratos!$I:$I,'Dimensionamento Preparo'!$D21)</f>
        <v>155.45700000000002</v>
      </c>
      <c r="K21" s="3">
        <f>SUMIFS(Qtde_Oper_Plantio_Tratos!U:U,Qtde_Oper_Plantio_Tratos!$F:$F,'Dimensionamento Preparo'!$C21,Qtde_Oper_Plantio_Tratos!$I:$I,'Dimensionamento Preparo'!$D21)</f>
        <v>180</v>
      </c>
      <c r="L21" s="3">
        <f>SUMIFS(Qtde_Oper_Plantio_Tratos!V:V,Qtde_Oper_Plantio_Tratos!$F:$F,'Dimensionamento Preparo'!$C21,Qtde_Oper_Plantio_Tratos!$I:$I,'Dimensionamento Preparo'!$D21)</f>
        <v>89.168999999999997</v>
      </c>
      <c r="M21" s="3">
        <f>SUMIFS(Qtde_Oper_Plantio_Tratos!W:W,Qtde_Oper_Plantio_Tratos!$F:$F,'Dimensionamento Preparo'!$C21,Qtde_Oper_Plantio_Tratos!$I:$I,'Dimensionamento Preparo'!$D21)</f>
        <v>0</v>
      </c>
      <c r="N21" s="3">
        <f>SUMIFS(Qtde_Oper_Plantio_Tratos!X:X,Qtde_Oper_Plantio_Tratos!$F:$F,'Dimensionamento Preparo'!$C21,Qtde_Oper_Plantio_Tratos!$I:$I,'Dimensionamento Preparo'!$D21)</f>
        <v>0</v>
      </c>
      <c r="O21" s="3">
        <f>SUMIFS(Qtde_Oper_Plantio_Tratos!Y:Y,Qtde_Oper_Plantio_Tratos!$F:$F,'Dimensionamento Preparo'!$C21,Qtde_Oper_Plantio_Tratos!$I:$I,'Dimensionamento Preparo'!$D21)</f>
        <v>0</v>
      </c>
      <c r="P21" s="3">
        <f>SUMIFS(Qtde_Oper_Plantio_Tratos!Z:Z,Qtde_Oper_Plantio_Tratos!$F:$F,'Dimensionamento Preparo'!$C21,Qtde_Oper_Plantio_Tratos!$I:$I,'Dimensionamento Preparo'!$D21)</f>
        <v>60</v>
      </c>
      <c r="Q21" s="3">
        <f>SUMIFS(Qtde_Oper_Plantio_Tratos!AA:AA,Qtde_Oper_Plantio_Tratos!$F:$F,'Dimensionamento Preparo'!$C21,Qtde_Oper_Plantio_Tratos!$I:$I,'Dimensionamento Preparo'!$D21)</f>
        <v>195</v>
      </c>
      <c r="R21" s="3">
        <f>SUMIFS(Qtde_Oper_Plantio_Tratos!AB:AB,Qtde_Oper_Plantio_Tratos!$F:$F,'Dimensionamento Preparo'!$C21,Qtde_Oper_Plantio_Tratos!$I:$I,'Dimensionamento Preparo'!$D21)</f>
        <v>1174.683</v>
      </c>
    </row>
    <row r="22" spans="1:18" hidden="1" outlineLevel="1" x14ac:dyDescent="0.25">
      <c r="A22" s="1"/>
      <c r="B22" s="275"/>
      <c r="C22" s="265"/>
      <c r="D22" s="265" t="s">
        <v>607</v>
      </c>
      <c r="E22" s="2" t="s">
        <v>760</v>
      </c>
      <c r="F22" s="3">
        <f t="shared" ref="F22:Q22" si="7">IF($D22="Proprio",IFERROR(F21/(_xlfn.XLOOKUP(F$6,$F$102:$R$102,$F$103:$R$103)*_xlfn.XLOOKUP($C21,$D$78:$D$98,$F$78:$F$98)),0),0)</f>
        <v>1.7866663872474129</v>
      </c>
      <c r="G22" s="3">
        <f t="shared" si="7"/>
        <v>0.40407063753367256</v>
      </c>
      <c r="H22" s="3">
        <f t="shared" si="7"/>
        <v>0.95553085047248465</v>
      </c>
      <c r="I22" s="3">
        <f t="shared" si="7"/>
        <v>1.2097821011673153</v>
      </c>
      <c r="J22" s="3">
        <f t="shared" si="7"/>
        <v>1.2514987253454986</v>
      </c>
      <c r="K22" s="3">
        <f t="shared" si="7"/>
        <v>1.556420233463035</v>
      </c>
      <c r="L22" s="3">
        <f t="shared" si="7"/>
        <v>0.89614261411707141</v>
      </c>
      <c r="M22" s="3">
        <f t="shared" si="7"/>
        <v>0</v>
      </c>
      <c r="N22" s="3">
        <f t="shared" si="7"/>
        <v>0</v>
      </c>
      <c r="O22" s="3">
        <f t="shared" si="7"/>
        <v>0</v>
      </c>
      <c r="P22" s="3">
        <f t="shared" si="7"/>
        <v>1.2506948304613676</v>
      </c>
      <c r="Q22" s="3">
        <f t="shared" si="7"/>
        <v>2.5291828793774322</v>
      </c>
      <c r="R22" s="3">
        <f>IFERROR(R21/(_xlfn.XLOOKUP(R$6,$F$102:$R$102,$F$103:$R$103)*_xlfn.XLOOKUP($C21,$D$78:$D$98,$F$78:$F$98)),0)</f>
        <v>1.054260580170409</v>
      </c>
    </row>
    <row r="23" spans="1:18" collapsed="1" x14ac:dyDescent="0.25">
      <c r="A23" s="1"/>
      <c r="B23" s="275"/>
      <c r="C23" s="264">
        <v>1071</v>
      </c>
      <c r="D23" s="262" t="s">
        <v>227</v>
      </c>
      <c r="E23" s="263" t="str">
        <f>_xlfn.XLOOKUP(C23,Apoio!A:A,Apoio!B:B)</f>
        <v xml:space="preserve">Aplicação Mista Correção Solo </v>
      </c>
      <c r="F23" s="7">
        <f>SUMIFS(Qtde_Oper_Plantio_Tratos!P:P,Qtde_Oper_Plantio_Tratos!$F:$F,'Dimensionamento Preparo'!$C23,Qtde_Oper_Plantio_Tratos!$I:$I,'Dimensionamento Preparo'!$D23)</f>
        <v>180</v>
      </c>
      <c r="G23" s="7">
        <f>SUMIFS(Qtde_Oper_Plantio_Tratos!Q:Q,Qtde_Oper_Plantio_Tratos!$F:$F,'Dimensionamento Preparo'!$C23,Qtde_Oper_Plantio_Tratos!$I:$I,'Dimensionamento Preparo'!$D23)</f>
        <v>45</v>
      </c>
      <c r="H23" s="7">
        <f>SUMIFS(Qtde_Oper_Plantio_Tratos!R:R,Qtde_Oper_Plantio_Tratos!$F:$F,'Dimensionamento Preparo'!$C23,Qtde_Oper_Plantio_Tratos!$I:$I,'Dimensionamento Preparo'!$D23)</f>
        <v>114.6</v>
      </c>
      <c r="I23" s="7">
        <f>SUMIFS(Qtde_Oper_Plantio_Tratos!S:S,Qtde_Oper_Plantio_Tratos!$F:$F,'Dimensionamento Preparo'!$C23,Qtde_Oper_Plantio_Tratos!$I:$I,'Dimensionamento Preparo'!$D23)</f>
        <v>155.45700000000002</v>
      </c>
      <c r="J23" s="7">
        <f>SUMIFS(Qtde_Oper_Plantio_Tratos!T:T,Qtde_Oper_Plantio_Tratos!$F:$F,'Dimensionamento Preparo'!$C23,Qtde_Oper_Plantio_Tratos!$I:$I,'Dimensionamento Preparo'!$D23)</f>
        <v>155.45700000000002</v>
      </c>
      <c r="K23" s="7">
        <f>SUMIFS(Qtde_Oper_Plantio_Tratos!U:U,Qtde_Oper_Plantio_Tratos!$F:$F,'Dimensionamento Preparo'!$C23,Qtde_Oper_Plantio_Tratos!$I:$I,'Dimensionamento Preparo'!$D23)</f>
        <v>180</v>
      </c>
      <c r="L23" s="7">
        <f>SUMIFS(Qtde_Oper_Plantio_Tratos!V:V,Qtde_Oper_Plantio_Tratos!$F:$F,'Dimensionamento Preparo'!$C23,Qtde_Oper_Plantio_Tratos!$I:$I,'Dimensionamento Preparo'!$D23)</f>
        <v>89.168999999999997</v>
      </c>
      <c r="M23" s="7">
        <f>SUMIFS(Qtde_Oper_Plantio_Tratos!W:W,Qtde_Oper_Plantio_Tratos!$F:$F,'Dimensionamento Preparo'!$C23,Qtde_Oper_Plantio_Tratos!$I:$I,'Dimensionamento Preparo'!$D23)</f>
        <v>0</v>
      </c>
      <c r="N23" s="7">
        <f>SUMIFS(Qtde_Oper_Plantio_Tratos!X:X,Qtde_Oper_Plantio_Tratos!$F:$F,'Dimensionamento Preparo'!$C23,Qtde_Oper_Plantio_Tratos!$I:$I,'Dimensionamento Preparo'!$D23)</f>
        <v>0</v>
      </c>
      <c r="O23" s="7">
        <f>SUMIFS(Qtde_Oper_Plantio_Tratos!Y:Y,Qtde_Oper_Plantio_Tratos!$F:$F,'Dimensionamento Preparo'!$C23,Qtde_Oper_Plantio_Tratos!$I:$I,'Dimensionamento Preparo'!$D23)</f>
        <v>0</v>
      </c>
      <c r="P23" s="7">
        <f>SUMIFS(Qtde_Oper_Plantio_Tratos!Z:Z,Qtde_Oper_Plantio_Tratos!$F:$F,'Dimensionamento Preparo'!$C23,Qtde_Oper_Plantio_Tratos!$I:$I,'Dimensionamento Preparo'!$D23)</f>
        <v>60</v>
      </c>
      <c r="Q23" s="7">
        <f>SUMIFS(Qtde_Oper_Plantio_Tratos!AA:AA,Qtde_Oper_Plantio_Tratos!$F:$F,'Dimensionamento Preparo'!$C23,Qtde_Oper_Plantio_Tratos!$I:$I,'Dimensionamento Preparo'!$D23)</f>
        <v>195</v>
      </c>
      <c r="R23" s="7">
        <f>SUM(F23:Q23)</f>
        <v>1174.683</v>
      </c>
    </row>
    <row r="24" spans="1:18" hidden="1" outlineLevel="1" x14ac:dyDescent="0.25">
      <c r="A24" s="1"/>
      <c r="B24" s="275"/>
      <c r="C24" s="262"/>
      <c r="D24" s="262" t="s">
        <v>607</v>
      </c>
      <c r="E24" s="263" t="s">
        <v>760</v>
      </c>
      <c r="F24" s="7">
        <f t="shared" ref="F24:Q24" si="8">IF($D24="Proprio",IFERROR(F23/(_xlfn.XLOOKUP(F$6,$F$102:$R$102,$F$103:$R$103)*_xlfn.XLOOKUP($C23,$D$78:$D$98,$F$78:$F$98)),0),0)</f>
        <v>0.52657484119562525</v>
      </c>
      <c r="G24" s="7">
        <f t="shared" si="8"/>
        <v>0.11908962597035994</v>
      </c>
      <c r="H24" s="7">
        <f t="shared" si="8"/>
        <v>0.28161861074705113</v>
      </c>
      <c r="I24" s="7">
        <f t="shared" si="8"/>
        <v>0.35655275229357808</v>
      </c>
      <c r="J24" s="7">
        <f t="shared" si="8"/>
        <v>0.36884767478646013</v>
      </c>
      <c r="K24" s="7">
        <f t="shared" si="8"/>
        <v>0.45871559633027525</v>
      </c>
      <c r="L24" s="7">
        <f t="shared" si="8"/>
        <v>0.26411542640835711</v>
      </c>
      <c r="M24" s="7">
        <f t="shared" si="8"/>
        <v>0</v>
      </c>
      <c r="N24" s="7">
        <f t="shared" si="8"/>
        <v>0</v>
      </c>
      <c r="O24" s="7">
        <f t="shared" si="8"/>
        <v>0</v>
      </c>
      <c r="P24" s="7">
        <f t="shared" si="8"/>
        <v>0.36861074705111407</v>
      </c>
      <c r="Q24" s="7">
        <f t="shared" si="8"/>
        <v>0.74541284403669739</v>
      </c>
      <c r="R24" s="7">
        <f>IFERROR(R23/(_xlfn.XLOOKUP(R$6,$F$102:$R$102,$F$103:$R$103)*_xlfn.XLOOKUP($C23,$D$78:$D$98,$F$78:$F$98)),0)</f>
        <v>0.31071670768783843</v>
      </c>
    </row>
    <row r="25" spans="1:18" collapsed="1" x14ac:dyDescent="0.25">
      <c r="A25" s="1"/>
      <c r="B25" s="275"/>
      <c r="C25" s="265"/>
      <c r="D25" s="265"/>
      <c r="E25" s="2">
        <f>_xlfn.XLOOKUP(C25,Apoio!A:A,Apoio!B:B)</f>
        <v>0</v>
      </c>
      <c r="F25" s="3">
        <f>SUMIFS(Qtde_Oper_Plantio_Tratos!P:P,Qtde_Oper_Plantio_Tratos!$F:$F,'Dimensionamento Preparo'!$C25,Qtde_Oper_Plantio_Tratos!$I:$I,'Dimensionamento Preparo'!$D25)</f>
        <v>0</v>
      </c>
      <c r="G25" s="3">
        <f>SUMIFS(Qtde_Oper_Plantio_Tratos!Q:Q,Qtde_Oper_Plantio_Tratos!$F:$F,'Dimensionamento Preparo'!$C25,Qtde_Oper_Plantio_Tratos!$I:$I,'Dimensionamento Preparo'!$D25)</f>
        <v>0</v>
      </c>
      <c r="H25" s="3">
        <f>SUMIFS(Qtde_Oper_Plantio_Tratos!R:R,Qtde_Oper_Plantio_Tratos!$F:$F,'Dimensionamento Preparo'!$C25,Qtde_Oper_Plantio_Tratos!$I:$I,'Dimensionamento Preparo'!$D25)</f>
        <v>0</v>
      </c>
      <c r="I25" s="3">
        <f>SUMIFS(Qtde_Oper_Plantio_Tratos!S:S,Qtde_Oper_Plantio_Tratos!$F:$F,'Dimensionamento Preparo'!$C25,Qtde_Oper_Plantio_Tratos!$I:$I,'Dimensionamento Preparo'!$D25)</f>
        <v>0</v>
      </c>
      <c r="J25" s="3">
        <f>SUMIFS(Qtde_Oper_Plantio_Tratos!T:T,Qtde_Oper_Plantio_Tratos!$F:$F,'Dimensionamento Preparo'!$C25,Qtde_Oper_Plantio_Tratos!$I:$I,'Dimensionamento Preparo'!$D25)</f>
        <v>0</v>
      </c>
      <c r="K25" s="3">
        <f>SUMIFS(Qtde_Oper_Plantio_Tratos!U:U,Qtde_Oper_Plantio_Tratos!$F:$F,'Dimensionamento Preparo'!$C25,Qtde_Oper_Plantio_Tratos!$I:$I,'Dimensionamento Preparo'!$D25)</f>
        <v>0</v>
      </c>
      <c r="L25" s="3">
        <f>SUMIFS(Qtde_Oper_Plantio_Tratos!V:V,Qtde_Oper_Plantio_Tratos!$F:$F,'Dimensionamento Preparo'!$C25,Qtde_Oper_Plantio_Tratos!$I:$I,'Dimensionamento Preparo'!$D25)</f>
        <v>0</v>
      </c>
      <c r="M25" s="3">
        <f>SUMIFS(Qtde_Oper_Plantio_Tratos!W:W,Qtde_Oper_Plantio_Tratos!$F:$F,'Dimensionamento Preparo'!$C25,Qtde_Oper_Plantio_Tratos!$I:$I,'Dimensionamento Preparo'!$D25)</f>
        <v>0</v>
      </c>
      <c r="N25" s="3">
        <f>SUMIFS(Qtde_Oper_Plantio_Tratos!X:X,Qtde_Oper_Plantio_Tratos!$F:$F,'Dimensionamento Preparo'!$C25,Qtde_Oper_Plantio_Tratos!$I:$I,'Dimensionamento Preparo'!$D25)</f>
        <v>0</v>
      </c>
      <c r="O25" s="3">
        <f>SUMIFS(Qtde_Oper_Plantio_Tratos!Y:Y,Qtde_Oper_Plantio_Tratos!$F:$F,'Dimensionamento Preparo'!$C25,Qtde_Oper_Plantio_Tratos!$I:$I,'Dimensionamento Preparo'!$D25)</f>
        <v>0</v>
      </c>
      <c r="P25" s="3">
        <f>SUMIFS(Qtde_Oper_Plantio_Tratos!Z:Z,Qtde_Oper_Plantio_Tratos!$F:$F,'Dimensionamento Preparo'!$C25,Qtde_Oper_Plantio_Tratos!$I:$I,'Dimensionamento Preparo'!$D25)</f>
        <v>0</v>
      </c>
      <c r="Q25" s="3">
        <f>SUMIFS(Qtde_Oper_Plantio_Tratos!AA:AA,Qtde_Oper_Plantio_Tratos!$F:$F,'Dimensionamento Preparo'!$C25,Qtde_Oper_Plantio_Tratos!$I:$I,'Dimensionamento Preparo'!$D25)</f>
        <v>0</v>
      </c>
      <c r="R25" s="3">
        <f>SUMIFS(Qtde_Oper_Plantio_Tratos!AB:AB,Qtde_Oper_Plantio_Tratos!$F:$F,'Dimensionamento Preparo'!$C25,Qtde_Oper_Plantio_Tratos!$I:$I,'Dimensionamento Preparo'!$D25)</f>
        <v>0</v>
      </c>
    </row>
    <row r="26" spans="1:18" hidden="1" outlineLevel="1" x14ac:dyDescent="0.25">
      <c r="A26" s="1"/>
      <c r="B26" s="276"/>
      <c r="C26" s="265"/>
      <c r="D26" s="265" t="s">
        <v>607</v>
      </c>
      <c r="E26" s="2" t="s">
        <v>760</v>
      </c>
      <c r="F26" s="3">
        <f t="shared" ref="F26:Q26" si="9">IF($D26="Proprio",IFERROR(F25/(_xlfn.XLOOKUP(F$6,$F$102:$R$102,$F$103:$R$103)*_xlfn.XLOOKUP($C25,$D$78:$D$98,$F$78:$F$98)),0),0)</f>
        <v>0</v>
      </c>
      <c r="G26" s="3">
        <f t="shared" si="9"/>
        <v>0</v>
      </c>
      <c r="H26" s="3">
        <f t="shared" si="9"/>
        <v>0</v>
      </c>
      <c r="I26" s="3">
        <f t="shared" si="9"/>
        <v>0</v>
      </c>
      <c r="J26" s="3">
        <f t="shared" si="9"/>
        <v>0</v>
      </c>
      <c r="K26" s="3">
        <f t="shared" si="9"/>
        <v>0</v>
      </c>
      <c r="L26" s="3">
        <f t="shared" si="9"/>
        <v>0</v>
      </c>
      <c r="M26" s="3">
        <f t="shared" si="9"/>
        <v>0</v>
      </c>
      <c r="N26" s="3">
        <f t="shared" si="9"/>
        <v>0</v>
      </c>
      <c r="O26" s="3">
        <f t="shared" si="9"/>
        <v>0</v>
      </c>
      <c r="P26" s="3">
        <f t="shared" si="9"/>
        <v>0</v>
      </c>
      <c r="Q26" s="3">
        <f t="shared" si="9"/>
        <v>0</v>
      </c>
      <c r="R26" s="3">
        <f>IFERROR(R25/(_xlfn.XLOOKUP(R$6,$F$102:$R$102,$F$103:$R$103)*_xlfn.XLOOKUP($C25,$D$78:$D$98,$F$78:$F$98)),0)</f>
        <v>0</v>
      </c>
    </row>
    <row r="27" spans="1:18" x14ac:dyDescent="0.25">
      <c r="A27" s="1"/>
      <c r="B27" s="4"/>
      <c r="C27" s="4"/>
      <c r="D27" s="4"/>
      <c r="E27" s="4" t="s">
        <v>76</v>
      </c>
      <c r="F27" s="5">
        <f>ROUNDUP(SUM(F26,F24,F22,F18,F16,F14,F12,F10,F8),0)</f>
        <v>31</v>
      </c>
      <c r="G27" s="5">
        <f t="shared" ref="G27:R27" si="10">ROUNDUP(SUM(G26,G24,G22,G18,G16,G14,G12,G10,G8),0)</f>
        <v>7</v>
      </c>
      <c r="H27" s="5">
        <f t="shared" si="10"/>
        <v>17</v>
      </c>
      <c r="I27" s="5">
        <f t="shared" si="10"/>
        <v>21</v>
      </c>
      <c r="J27" s="5">
        <f t="shared" si="10"/>
        <v>22</v>
      </c>
      <c r="K27" s="5">
        <f t="shared" si="10"/>
        <v>27</v>
      </c>
      <c r="L27" s="5">
        <f t="shared" si="10"/>
        <v>16</v>
      </c>
      <c r="M27" s="5">
        <f t="shared" si="10"/>
        <v>0</v>
      </c>
      <c r="N27" s="5">
        <f t="shared" si="10"/>
        <v>0</v>
      </c>
      <c r="O27" s="5">
        <f t="shared" si="10"/>
        <v>0</v>
      </c>
      <c r="P27" s="5">
        <f t="shared" si="10"/>
        <v>22</v>
      </c>
      <c r="Q27" s="5">
        <f t="shared" si="10"/>
        <v>43</v>
      </c>
      <c r="R27" s="5">
        <f t="shared" si="10"/>
        <v>18</v>
      </c>
    </row>
    <row r="28" spans="1:18" x14ac:dyDescent="0.25">
      <c r="A28" s="1"/>
      <c r="B28" s="4"/>
      <c r="C28" s="4"/>
      <c r="D28" s="4"/>
      <c r="E28" s="4" t="s">
        <v>77</v>
      </c>
      <c r="F28" s="5">
        <f t="shared" ref="F28:R28" si="11">SUMIFS($F65:$F73,$E$65:$E$73,$E26)</f>
        <v>12</v>
      </c>
      <c r="G28" s="5">
        <f t="shared" si="11"/>
        <v>12</v>
      </c>
      <c r="H28" s="5">
        <f t="shared" si="11"/>
        <v>12</v>
      </c>
      <c r="I28" s="5">
        <f t="shared" si="11"/>
        <v>12</v>
      </c>
      <c r="J28" s="5">
        <f t="shared" si="11"/>
        <v>12</v>
      </c>
      <c r="K28" s="5">
        <f t="shared" si="11"/>
        <v>12</v>
      </c>
      <c r="L28" s="5">
        <f t="shared" si="11"/>
        <v>12</v>
      </c>
      <c r="M28" s="5">
        <f t="shared" si="11"/>
        <v>12</v>
      </c>
      <c r="N28" s="5">
        <f t="shared" si="11"/>
        <v>12</v>
      </c>
      <c r="O28" s="5">
        <f t="shared" si="11"/>
        <v>12</v>
      </c>
      <c r="P28" s="5">
        <f t="shared" si="11"/>
        <v>12</v>
      </c>
      <c r="Q28" s="5">
        <f t="shared" si="11"/>
        <v>12</v>
      </c>
      <c r="R28" s="5">
        <f t="shared" si="11"/>
        <v>12</v>
      </c>
    </row>
    <row r="29" spans="1:18" x14ac:dyDescent="0.25">
      <c r="A29" s="1"/>
    </row>
    <row r="30" spans="1:18" ht="14.45" customHeight="1" collapsed="1" x14ac:dyDescent="0.25">
      <c r="A30" s="1"/>
      <c r="B30" s="275" t="s">
        <v>761</v>
      </c>
      <c r="C30" s="264">
        <v>1001</v>
      </c>
      <c r="D30" s="262" t="s">
        <v>227</v>
      </c>
      <c r="E30" s="263" t="str">
        <f>_xlfn.XLOOKUP(C30,Apoio!A:A,Apoio!B:B)</f>
        <v xml:space="preserve">Terraceamento                 </v>
      </c>
      <c r="F30" s="7">
        <f>SUMIFS(Qtde_Oper_Plantio_Tratos!P:P,Qtde_Oper_Plantio_Tratos!$F:$F,'Dimensionamento Preparo'!$C30,Qtde_Oper_Plantio_Tratos!$I:$I,'Dimensionamento Preparo'!$D30)</f>
        <v>48</v>
      </c>
      <c r="G30" s="7">
        <f>SUMIFS(Qtde_Oper_Plantio_Tratos!Q:Q,Qtde_Oper_Plantio_Tratos!$F:$F,'Dimensionamento Preparo'!$C30,Qtde_Oper_Plantio_Tratos!$I:$I,'Dimensionamento Preparo'!$D30)</f>
        <v>12</v>
      </c>
      <c r="H30" s="7">
        <f>SUMIFS(Qtde_Oper_Plantio_Tratos!R:R,Qtde_Oper_Plantio_Tratos!$F:$F,'Dimensionamento Preparo'!$C30,Qtde_Oper_Plantio_Tratos!$I:$I,'Dimensionamento Preparo'!$D30)</f>
        <v>30.560000000000002</v>
      </c>
      <c r="I30" s="7">
        <f>SUMIFS(Qtde_Oper_Plantio_Tratos!S:S,Qtde_Oper_Plantio_Tratos!$F:$F,'Dimensionamento Preparo'!$C30,Qtde_Oper_Plantio_Tratos!$I:$I,'Dimensionamento Preparo'!$D30)</f>
        <v>41.455200000000005</v>
      </c>
      <c r="J30" s="7">
        <f>SUMIFS(Qtde_Oper_Plantio_Tratos!T:T,Qtde_Oper_Plantio_Tratos!$F:$F,'Dimensionamento Preparo'!$C30,Qtde_Oper_Plantio_Tratos!$I:$I,'Dimensionamento Preparo'!$D30)</f>
        <v>41.455200000000005</v>
      </c>
      <c r="K30" s="7">
        <f>SUMIFS(Qtde_Oper_Plantio_Tratos!U:U,Qtde_Oper_Plantio_Tratos!$F:$F,'Dimensionamento Preparo'!$C30,Qtde_Oper_Plantio_Tratos!$I:$I,'Dimensionamento Preparo'!$D30)</f>
        <v>48</v>
      </c>
      <c r="L30" s="7">
        <f>SUMIFS(Qtde_Oper_Plantio_Tratos!V:V,Qtde_Oper_Plantio_Tratos!$F:$F,'Dimensionamento Preparo'!$C30,Qtde_Oper_Plantio_Tratos!$I:$I,'Dimensionamento Preparo'!$D30)</f>
        <v>23.778400000000001</v>
      </c>
      <c r="M30" s="7">
        <f>SUMIFS(Qtde_Oper_Plantio_Tratos!W:W,Qtde_Oper_Plantio_Tratos!$F:$F,'Dimensionamento Preparo'!$C30,Qtde_Oper_Plantio_Tratos!$I:$I,'Dimensionamento Preparo'!$D30)</f>
        <v>0</v>
      </c>
      <c r="N30" s="7">
        <f>SUMIFS(Qtde_Oper_Plantio_Tratos!X:X,Qtde_Oper_Plantio_Tratos!$F:$F,'Dimensionamento Preparo'!$C30,Qtde_Oper_Plantio_Tratos!$I:$I,'Dimensionamento Preparo'!$D30)</f>
        <v>0</v>
      </c>
      <c r="O30" s="7">
        <f>SUMIFS(Qtde_Oper_Plantio_Tratos!Y:Y,Qtde_Oper_Plantio_Tratos!$F:$F,'Dimensionamento Preparo'!$C30,Qtde_Oper_Plantio_Tratos!$I:$I,'Dimensionamento Preparo'!$D30)</f>
        <v>0</v>
      </c>
      <c r="P30" s="7">
        <f>SUMIFS(Qtde_Oper_Plantio_Tratos!Z:Z,Qtde_Oper_Plantio_Tratos!$F:$F,'Dimensionamento Preparo'!$C30,Qtde_Oper_Plantio_Tratos!$I:$I,'Dimensionamento Preparo'!$D30)</f>
        <v>16</v>
      </c>
      <c r="Q30" s="7">
        <f>SUMIFS(Qtde_Oper_Plantio_Tratos!AA:AA,Qtde_Oper_Plantio_Tratos!$F:$F,'Dimensionamento Preparo'!$C30,Qtde_Oper_Plantio_Tratos!$I:$I,'Dimensionamento Preparo'!$D30)</f>
        <v>52</v>
      </c>
      <c r="R30" s="7">
        <f>SUM(F30:Q30)</f>
        <v>313.24879999999996</v>
      </c>
    </row>
    <row r="31" spans="1:18" hidden="1" outlineLevel="1" x14ac:dyDescent="0.25">
      <c r="A31" s="1"/>
      <c r="B31" s="275"/>
      <c r="C31" s="262"/>
      <c r="D31" s="262" t="s">
        <v>607</v>
      </c>
      <c r="E31" s="263" t="s">
        <v>761</v>
      </c>
      <c r="F31" s="7">
        <f t="shared" ref="F31:Q31" si="12">IF($D31="Proprio",IFERROR(F30/(_xlfn.XLOOKUP(F$6,$F$102:$R$102,$F$103:$R$103)*_xlfn.XLOOKUP($C30,$D$78:$D$98,$F$78:$F$98)),0),0)</f>
        <v>0.19851848747193479</v>
      </c>
      <c r="G31" s="7">
        <f t="shared" si="12"/>
        <v>4.4896737503741402E-2</v>
      </c>
      <c r="H31" s="7">
        <f t="shared" si="12"/>
        <v>0.10617009449694276</v>
      </c>
      <c r="I31" s="7">
        <f t="shared" si="12"/>
        <v>0.13442023346303505</v>
      </c>
      <c r="J31" s="7">
        <f t="shared" si="12"/>
        <v>0.13905541392727763</v>
      </c>
      <c r="K31" s="7">
        <f t="shared" si="12"/>
        <v>0.17293558149589278</v>
      </c>
      <c r="L31" s="7">
        <f t="shared" si="12"/>
        <v>9.9571401568563506E-2</v>
      </c>
      <c r="M31" s="7">
        <f t="shared" si="12"/>
        <v>0</v>
      </c>
      <c r="N31" s="7">
        <f t="shared" si="12"/>
        <v>0</v>
      </c>
      <c r="O31" s="7">
        <f t="shared" si="12"/>
        <v>0</v>
      </c>
      <c r="P31" s="7">
        <f t="shared" si="12"/>
        <v>0.1389660922734853</v>
      </c>
      <c r="Q31" s="7">
        <f t="shared" si="12"/>
        <v>0.28102031993082577</v>
      </c>
      <c r="R31" s="7">
        <f>IFERROR(R30/(_xlfn.XLOOKUP(R$6,$F$102:$R$102,$F$103:$R$103)*_xlfn.XLOOKUP($C30,$D$78:$D$98,$F$78:$F$98)),0)</f>
        <v>0.11714006446337875</v>
      </c>
    </row>
    <row r="32" spans="1:18" collapsed="1" x14ac:dyDescent="0.25">
      <c r="A32" s="1"/>
      <c r="B32" s="275"/>
      <c r="C32" s="265">
        <v>1002</v>
      </c>
      <c r="D32" s="265" t="s">
        <v>227</v>
      </c>
      <c r="E32" s="2" t="str">
        <f>_xlfn.XLOOKUP(C32,Apoio!A:A,Apoio!B:B)</f>
        <v xml:space="preserve">Terraplanagem                 </v>
      </c>
      <c r="F32" s="3">
        <f>SUMIFS(Qtde_Oper_Plantio_Tratos!P:P,Qtde_Oper_Plantio_Tratos!$F:$F,'Dimensionamento Preparo'!$C32,Qtde_Oper_Plantio_Tratos!$I:$I,'Dimensionamento Preparo'!$D32)</f>
        <v>48</v>
      </c>
      <c r="G32" s="3">
        <f>SUMIFS(Qtde_Oper_Plantio_Tratos!Q:Q,Qtde_Oper_Plantio_Tratos!$F:$F,'Dimensionamento Preparo'!$C32,Qtde_Oper_Plantio_Tratos!$I:$I,'Dimensionamento Preparo'!$D32)</f>
        <v>12</v>
      </c>
      <c r="H32" s="3">
        <f>SUMIFS(Qtde_Oper_Plantio_Tratos!R:R,Qtde_Oper_Plantio_Tratos!$F:$F,'Dimensionamento Preparo'!$C32,Qtde_Oper_Plantio_Tratos!$I:$I,'Dimensionamento Preparo'!$D32)</f>
        <v>30.560000000000002</v>
      </c>
      <c r="I32" s="3">
        <f>SUMIFS(Qtde_Oper_Plantio_Tratos!S:S,Qtde_Oper_Plantio_Tratos!$F:$F,'Dimensionamento Preparo'!$C32,Qtde_Oper_Plantio_Tratos!$I:$I,'Dimensionamento Preparo'!$D32)</f>
        <v>41.455200000000005</v>
      </c>
      <c r="J32" s="3">
        <f>SUMIFS(Qtde_Oper_Plantio_Tratos!T:T,Qtde_Oper_Plantio_Tratos!$F:$F,'Dimensionamento Preparo'!$C32,Qtde_Oper_Plantio_Tratos!$I:$I,'Dimensionamento Preparo'!$D32)</f>
        <v>41.455200000000005</v>
      </c>
      <c r="K32" s="3">
        <f>SUMIFS(Qtde_Oper_Plantio_Tratos!U:U,Qtde_Oper_Plantio_Tratos!$F:$F,'Dimensionamento Preparo'!$C32,Qtde_Oper_Plantio_Tratos!$I:$I,'Dimensionamento Preparo'!$D32)</f>
        <v>48</v>
      </c>
      <c r="L32" s="3">
        <f>SUMIFS(Qtde_Oper_Plantio_Tratos!V:V,Qtde_Oper_Plantio_Tratos!$F:$F,'Dimensionamento Preparo'!$C32,Qtde_Oper_Plantio_Tratos!$I:$I,'Dimensionamento Preparo'!$D32)</f>
        <v>23.778400000000001</v>
      </c>
      <c r="M32" s="3">
        <f>SUMIFS(Qtde_Oper_Plantio_Tratos!W:W,Qtde_Oper_Plantio_Tratos!$F:$F,'Dimensionamento Preparo'!$C32,Qtde_Oper_Plantio_Tratos!$I:$I,'Dimensionamento Preparo'!$D32)</f>
        <v>0</v>
      </c>
      <c r="N32" s="3">
        <f>SUMIFS(Qtde_Oper_Plantio_Tratos!X:X,Qtde_Oper_Plantio_Tratos!$F:$F,'Dimensionamento Preparo'!$C32,Qtde_Oper_Plantio_Tratos!$I:$I,'Dimensionamento Preparo'!$D32)</f>
        <v>0</v>
      </c>
      <c r="O32" s="3">
        <f>SUMIFS(Qtde_Oper_Plantio_Tratos!Y:Y,Qtde_Oper_Plantio_Tratos!$F:$F,'Dimensionamento Preparo'!$C32,Qtde_Oper_Plantio_Tratos!$I:$I,'Dimensionamento Preparo'!$D32)</f>
        <v>0</v>
      </c>
      <c r="P32" s="3">
        <f>SUMIFS(Qtde_Oper_Plantio_Tratos!Z:Z,Qtde_Oper_Plantio_Tratos!$F:$F,'Dimensionamento Preparo'!$C32,Qtde_Oper_Plantio_Tratos!$I:$I,'Dimensionamento Preparo'!$D32)</f>
        <v>16</v>
      </c>
      <c r="Q32" s="3">
        <f>SUMIFS(Qtde_Oper_Plantio_Tratos!AA:AA,Qtde_Oper_Plantio_Tratos!$F:$F,'Dimensionamento Preparo'!$C32,Qtde_Oper_Plantio_Tratos!$I:$I,'Dimensionamento Preparo'!$D32)</f>
        <v>52</v>
      </c>
      <c r="R32" s="3">
        <f>SUMIFS(Qtde_Oper_Plantio_Tratos!AB:AB,Qtde_Oper_Plantio_Tratos!$F:$F,'Dimensionamento Preparo'!$C32,Qtde_Oper_Plantio_Tratos!$I:$I,'Dimensionamento Preparo'!$D32)</f>
        <v>313.24879999999996</v>
      </c>
    </row>
    <row r="33" spans="1:18" hidden="1" outlineLevel="1" x14ac:dyDescent="0.25">
      <c r="A33" s="1"/>
      <c r="B33" s="275"/>
      <c r="C33" s="265"/>
      <c r="D33" s="265" t="s">
        <v>607</v>
      </c>
      <c r="E33" s="2" t="s">
        <v>761</v>
      </c>
      <c r="F33" s="3">
        <f t="shared" ref="F33:Q33" si="13">IF($D33="Proprio",IFERROR(F32/(_xlfn.XLOOKUP(F$6,$F$102:$R$102,$F$103:$R$103)*_xlfn.XLOOKUP($C32,$D$78:$D$98,$F$78:$F$98)),0),0)</f>
        <v>0.37898983971914807</v>
      </c>
      <c r="G33" s="3">
        <f t="shared" si="13"/>
        <v>8.5711953416233541E-2</v>
      </c>
      <c r="H33" s="3">
        <f t="shared" si="13"/>
        <v>0.20268836222143613</v>
      </c>
      <c r="I33" s="3">
        <f t="shared" si="13"/>
        <v>0.2566204457021577</v>
      </c>
      <c r="J33" s="3">
        <f t="shared" si="13"/>
        <v>0.26546942658843903</v>
      </c>
      <c r="K33" s="3">
        <f t="shared" si="13"/>
        <v>0.33014974649215884</v>
      </c>
      <c r="L33" s="3">
        <f t="shared" si="13"/>
        <v>0.19009085753998481</v>
      </c>
      <c r="M33" s="3">
        <f t="shared" si="13"/>
        <v>0</v>
      </c>
      <c r="N33" s="3">
        <f t="shared" si="13"/>
        <v>0</v>
      </c>
      <c r="O33" s="3">
        <f t="shared" si="13"/>
        <v>0</v>
      </c>
      <c r="P33" s="3">
        <f t="shared" si="13"/>
        <v>0.26529890343119911</v>
      </c>
      <c r="Q33" s="3">
        <f t="shared" si="13"/>
        <v>0.53649333804975807</v>
      </c>
      <c r="R33" s="3">
        <f>IFERROR(R32/(_xlfn.XLOOKUP(R$6,$F$102:$R$102,$F$103:$R$103)*_xlfn.XLOOKUP($C32,$D$78:$D$98,$F$78:$F$98)),0)</f>
        <v>0.22363103215735936</v>
      </c>
    </row>
    <row r="34" spans="1:18" collapsed="1" x14ac:dyDescent="0.25">
      <c r="A34" s="1"/>
      <c r="B34" s="275"/>
      <c r="C34" s="264">
        <v>1003</v>
      </c>
      <c r="D34" s="262" t="s">
        <v>227</v>
      </c>
      <c r="E34" s="263" t="str">
        <f>_xlfn.XLOOKUP(C34,Apoio!A:A,Apoio!B:B)</f>
        <v xml:space="preserve">Conservação De Estradas       </v>
      </c>
      <c r="F34" s="7">
        <f>SUMIFS(Qtde_Oper_Plantio_Tratos!P:P,Qtde_Oper_Plantio_Tratos!$F:$F,'Dimensionamento Preparo'!$C34,Qtde_Oper_Plantio_Tratos!$I:$I,'Dimensionamento Preparo'!$D34)</f>
        <v>48</v>
      </c>
      <c r="G34" s="7">
        <f>SUMIFS(Qtde_Oper_Plantio_Tratos!Q:Q,Qtde_Oper_Plantio_Tratos!$F:$F,'Dimensionamento Preparo'!$C34,Qtde_Oper_Plantio_Tratos!$I:$I,'Dimensionamento Preparo'!$D34)</f>
        <v>12</v>
      </c>
      <c r="H34" s="7">
        <f>SUMIFS(Qtde_Oper_Plantio_Tratos!R:R,Qtde_Oper_Plantio_Tratos!$F:$F,'Dimensionamento Preparo'!$C34,Qtde_Oper_Plantio_Tratos!$I:$I,'Dimensionamento Preparo'!$D34)</f>
        <v>30.560000000000002</v>
      </c>
      <c r="I34" s="7">
        <f>SUMIFS(Qtde_Oper_Plantio_Tratos!S:S,Qtde_Oper_Plantio_Tratos!$F:$F,'Dimensionamento Preparo'!$C34,Qtde_Oper_Plantio_Tratos!$I:$I,'Dimensionamento Preparo'!$D34)</f>
        <v>41.455200000000005</v>
      </c>
      <c r="J34" s="7">
        <f>SUMIFS(Qtde_Oper_Plantio_Tratos!T:T,Qtde_Oper_Plantio_Tratos!$F:$F,'Dimensionamento Preparo'!$C34,Qtde_Oper_Plantio_Tratos!$I:$I,'Dimensionamento Preparo'!$D34)</f>
        <v>41.455200000000005</v>
      </c>
      <c r="K34" s="7">
        <f>SUMIFS(Qtde_Oper_Plantio_Tratos!U:U,Qtde_Oper_Plantio_Tratos!$F:$F,'Dimensionamento Preparo'!$C34,Qtde_Oper_Plantio_Tratos!$I:$I,'Dimensionamento Preparo'!$D34)</f>
        <v>48</v>
      </c>
      <c r="L34" s="7">
        <f>SUMIFS(Qtde_Oper_Plantio_Tratos!V:V,Qtde_Oper_Plantio_Tratos!$F:$F,'Dimensionamento Preparo'!$C34,Qtde_Oper_Plantio_Tratos!$I:$I,'Dimensionamento Preparo'!$D34)</f>
        <v>23.778400000000001</v>
      </c>
      <c r="M34" s="7">
        <f>SUMIFS(Qtde_Oper_Plantio_Tratos!W:W,Qtde_Oper_Plantio_Tratos!$F:$F,'Dimensionamento Preparo'!$C34,Qtde_Oper_Plantio_Tratos!$I:$I,'Dimensionamento Preparo'!$D34)</f>
        <v>0</v>
      </c>
      <c r="N34" s="7">
        <f>SUMIFS(Qtde_Oper_Plantio_Tratos!X:X,Qtde_Oper_Plantio_Tratos!$F:$F,'Dimensionamento Preparo'!$C34,Qtde_Oper_Plantio_Tratos!$I:$I,'Dimensionamento Preparo'!$D34)</f>
        <v>0</v>
      </c>
      <c r="O34" s="7">
        <f>SUMIFS(Qtde_Oper_Plantio_Tratos!Y:Y,Qtde_Oper_Plantio_Tratos!$F:$F,'Dimensionamento Preparo'!$C34,Qtde_Oper_Plantio_Tratos!$I:$I,'Dimensionamento Preparo'!$D34)</f>
        <v>0</v>
      </c>
      <c r="P34" s="7">
        <f>SUMIFS(Qtde_Oper_Plantio_Tratos!Z:Z,Qtde_Oper_Plantio_Tratos!$F:$F,'Dimensionamento Preparo'!$C34,Qtde_Oper_Plantio_Tratos!$I:$I,'Dimensionamento Preparo'!$D34)</f>
        <v>16</v>
      </c>
      <c r="Q34" s="7">
        <f>SUMIFS(Qtde_Oper_Plantio_Tratos!AA:AA,Qtde_Oper_Plantio_Tratos!$F:$F,'Dimensionamento Preparo'!$C34,Qtde_Oper_Plantio_Tratos!$I:$I,'Dimensionamento Preparo'!$D34)</f>
        <v>52</v>
      </c>
      <c r="R34" s="7">
        <f>SUM(F34:Q34)</f>
        <v>313.24879999999996</v>
      </c>
    </row>
    <row r="35" spans="1:18" hidden="1" outlineLevel="1" x14ac:dyDescent="0.25">
      <c r="A35" s="1"/>
      <c r="B35" s="275"/>
      <c r="C35" s="262"/>
      <c r="D35" s="262" t="s">
        <v>607</v>
      </c>
      <c r="E35" s="263" t="s">
        <v>761</v>
      </c>
      <c r="F35" s="7">
        <f t="shared" ref="F35:Q35" si="14">IF($D35="Proprio",IFERROR(F34/(_xlfn.XLOOKUP(F$6,$F$102:$R$102,$F$103:$R$103)*_xlfn.XLOOKUP($C34,$D$78:$D$98,$F$78:$F$98)),0),0)</f>
        <v>0.39236595170923566</v>
      </c>
      <c r="G35" s="7">
        <f t="shared" si="14"/>
        <v>8.8737081183865307E-2</v>
      </c>
      <c r="H35" s="7">
        <f t="shared" si="14"/>
        <v>0.20984206912336914</v>
      </c>
      <c r="I35" s="7">
        <f t="shared" si="14"/>
        <v>0.26567763790341031</v>
      </c>
      <c r="J35" s="7">
        <f t="shared" si="14"/>
        <v>0.27483893576214863</v>
      </c>
      <c r="K35" s="7">
        <f t="shared" si="14"/>
        <v>0.34180209048599974</v>
      </c>
      <c r="L35" s="7">
        <f t="shared" si="14"/>
        <v>0.19679994662963132</v>
      </c>
      <c r="M35" s="7">
        <f t="shared" si="14"/>
        <v>0</v>
      </c>
      <c r="N35" s="7">
        <f t="shared" si="14"/>
        <v>0</v>
      </c>
      <c r="O35" s="7">
        <f t="shared" si="14"/>
        <v>0</v>
      </c>
      <c r="P35" s="7">
        <f t="shared" si="14"/>
        <v>0.27466239414053556</v>
      </c>
      <c r="Q35" s="7">
        <f t="shared" si="14"/>
        <v>0.55542839703974967</v>
      </c>
      <c r="R35" s="7">
        <f>IFERROR(R34/(_xlfn.XLOOKUP(R$6,$F$102:$R$102,$F$103:$R$103)*_xlfn.XLOOKUP($C34,$D$78:$D$98,$F$78:$F$98)),0)</f>
        <v>0.23152389211585439</v>
      </c>
    </row>
    <row r="36" spans="1:18" collapsed="1" x14ac:dyDescent="0.25">
      <c r="A36" s="1"/>
      <c r="B36" s="275"/>
      <c r="C36" s="265">
        <v>1004</v>
      </c>
      <c r="D36" s="265" t="s">
        <v>227</v>
      </c>
      <c r="E36" s="2" t="str">
        <f>_xlfn.XLOOKUP(C36,Apoio!A:A,Apoio!B:B)</f>
        <v xml:space="preserve">Curva Em Nível                </v>
      </c>
      <c r="F36" s="3">
        <f>SUMIFS(Qtde_Oper_Plantio_Tratos!P:P,Qtde_Oper_Plantio_Tratos!$F:$F,'Dimensionamento Preparo'!$C36,Qtde_Oper_Plantio_Tratos!$I:$I,'Dimensionamento Preparo'!$D36)</f>
        <v>48</v>
      </c>
      <c r="G36" s="3">
        <f>SUMIFS(Qtde_Oper_Plantio_Tratos!Q:Q,Qtde_Oper_Plantio_Tratos!$F:$F,'Dimensionamento Preparo'!$C36,Qtde_Oper_Plantio_Tratos!$I:$I,'Dimensionamento Preparo'!$D36)</f>
        <v>12</v>
      </c>
      <c r="H36" s="3">
        <f>SUMIFS(Qtde_Oper_Plantio_Tratos!R:R,Qtde_Oper_Plantio_Tratos!$F:$F,'Dimensionamento Preparo'!$C36,Qtde_Oper_Plantio_Tratos!$I:$I,'Dimensionamento Preparo'!$D36)</f>
        <v>30.560000000000002</v>
      </c>
      <c r="I36" s="3">
        <f>SUMIFS(Qtde_Oper_Plantio_Tratos!S:S,Qtde_Oper_Plantio_Tratos!$F:$F,'Dimensionamento Preparo'!$C36,Qtde_Oper_Plantio_Tratos!$I:$I,'Dimensionamento Preparo'!$D36)</f>
        <v>41.455200000000005</v>
      </c>
      <c r="J36" s="3">
        <f>SUMIFS(Qtde_Oper_Plantio_Tratos!T:T,Qtde_Oper_Plantio_Tratos!$F:$F,'Dimensionamento Preparo'!$C36,Qtde_Oper_Plantio_Tratos!$I:$I,'Dimensionamento Preparo'!$D36)</f>
        <v>41.455200000000005</v>
      </c>
      <c r="K36" s="3">
        <f>SUMIFS(Qtde_Oper_Plantio_Tratos!U:U,Qtde_Oper_Plantio_Tratos!$F:$F,'Dimensionamento Preparo'!$C36,Qtde_Oper_Plantio_Tratos!$I:$I,'Dimensionamento Preparo'!$D36)</f>
        <v>48</v>
      </c>
      <c r="L36" s="3">
        <f>SUMIFS(Qtde_Oper_Plantio_Tratos!V:V,Qtde_Oper_Plantio_Tratos!$F:$F,'Dimensionamento Preparo'!$C36,Qtde_Oper_Plantio_Tratos!$I:$I,'Dimensionamento Preparo'!$D36)</f>
        <v>23.778400000000001</v>
      </c>
      <c r="M36" s="3">
        <f>SUMIFS(Qtde_Oper_Plantio_Tratos!W:W,Qtde_Oper_Plantio_Tratos!$F:$F,'Dimensionamento Preparo'!$C36,Qtde_Oper_Plantio_Tratos!$I:$I,'Dimensionamento Preparo'!$D36)</f>
        <v>0</v>
      </c>
      <c r="N36" s="3">
        <f>SUMIFS(Qtde_Oper_Plantio_Tratos!X:X,Qtde_Oper_Plantio_Tratos!$F:$F,'Dimensionamento Preparo'!$C36,Qtde_Oper_Plantio_Tratos!$I:$I,'Dimensionamento Preparo'!$D36)</f>
        <v>0</v>
      </c>
      <c r="O36" s="3">
        <f>SUMIFS(Qtde_Oper_Plantio_Tratos!Y:Y,Qtde_Oper_Plantio_Tratos!$F:$F,'Dimensionamento Preparo'!$C36,Qtde_Oper_Plantio_Tratos!$I:$I,'Dimensionamento Preparo'!$D36)</f>
        <v>0</v>
      </c>
      <c r="P36" s="3">
        <f>SUMIFS(Qtde_Oper_Plantio_Tratos!Z:Z,Qtde_Oper_Plantio_Tratos!$F:$F,'Dimensionamento Preparo'!$C36,Qtde_Oper_Plantio_Tratos!$I:$I,'Dimensionamento Preparo'!$D36)</f>
        <v>16</v>
      </c>
      <c r="Q36" s="3">
        <f>SUMIFS(Qtde_Oper_Plantio_Tratos!AA:AA,Qtde_Oper_Plantio_Tratos!$F:$F,'Dimensionamento Preparo'!$C36,Qtde_Oper_Plantio_Tratos!$I:$I,'Dimensionamento Preparo'!$D36)</f>
        <v>52</v>
      </c>
      <c r="R36" s="3">
        <f>SUMIFS(Qtde_Oper_Plantio_Tratos!AB:AB,Qtde_Oper_Plantio_Tratos!$F:$F,'Dimensionamento Preparo'!$C36,Qtde_Oper_Plantio_Tratos!$I:$I,'Dimensionamento Preparo'!$D36)</f>
        <v>313.24879999999996</v>
      </c>
    </row>
    <row r="37" spans="1:18" hidden="1" outlineLevel="1" x14ac:dyDescent="0.25">
      <c r="A37" s="1"/>
      <c r="B37" s="275"/>
      <c r="C37" s="265"/>
      <c r="D37" s="265" t="s">
        <v>607</v>
      </c>
      <c r="E37" s="2" t="s">
        <v>761</v>
      </c>
      <c r="F37" s="3">
        <f t="shared" ref="F37:Q37" si="15">IF($D37="Proprio",IFERROR(F36/(_xlfn.XLOOKUP(F$6,$F$102:$R$102,$F$103:$R$103)*_xlfn.XLOOKUP($C36,$D$78:$D$98,$F$78:$F$98)),0),0)</f>
        <v>0.1588147899775478</v>
      </c>
      <c r="G37" s="3">
        <f t="shared" si="15"/>
        <v>3.591739000299312E-2</v>
      </c>
      <c r="H37" s="3">
        <f t="shared" si="15"/>
        <v>8.49360755975542E-2</v>
      </c>
      <c r="I37" s="3">
        <f t="shared" si="15"/>
        <v>0.10753618677042803</v>
      </c>
      <c r="J37" s="3">
        <f t="shared" si="15"/>
        <v>0.11124433114182211</v>
      </c>
      <c r="K37" s="3">
        <f t="shared" si="15"/>
        <v>0.13834846519671423</v>
      </c>
      <c r="L37" s="3">
        <f t="shared" si="15"/>
        <v>7.9657121254850805E-2</v>
      </c>
      <c r="M37" s="3">
        <f t="shared" si="15"/>
        <v>0</v>
      </c>
      <c r="N37" s="3">
        <f t="shared" si="15"/>
        <v>0</v>
      </c>
      <c r="O37" s="3">
        <f t="shared" si="15"/>
        <v>0</v>
      </c>
      <c r="P37" s="3">
        <f t="shared" si="15"/>
        <v>0.11117287381878822</v>
      </c>
      <c r="Q37" s="3">
        <f t="shared" si="15"/>
        <v>0.22481625594466062</v>
      </c>
      <c r="R37" s="3">
        <f>IFERROR(R36/(_xlfn.XLOOKUP(R$6,$F$102:$R$102,$F$103:$R$103)*_xlfn.XLOOKUP($C36,$D$78:$D$98,$F$78:$F$98)),0)</f>
        <v>9.3712051570703003E-2</v>
      </c>
    </row>
    <row r="38" spans="1:18" collapsed="1" x14ac:dyDescent="0.25">
      <c r="A38" s="1"/>
      <c r="B38" s="275"/>
      <c r="C38" s="264">
        <v>1005</v>
      </c>
      <c r="D38" s="262" t="s">
        <v>227</v>
      </c>
      <c r="E38" s="263" t="str">
        <f>_xlfn.XLOOKUP(C38,Apoio!A:A,Apoio!B:B)</f>
        <v xml:space="preserve">Sistematização                </v>
      </c>
      <c r="F38" s="7">
        <f>SUMIFS(Qtde_Oper_Plantio_Tratos!P:P,Qtde_Oper_Plantio_Tratos!$F:$F,'Dimensionamento Preparo'!$C38,Qtde_Oper_Plantio_Tratos!$I:$I,'Dimensionamento Preparo'!$D38)</f>
        <v>600</v>
      </c>
      <c r="G38" s="7">
        <f>SUMIFS(Qtde_Oper_Plantio_Tratos!Q:Q,Qtde_Oper_Plantio_Tratos!$F:$F,'Dimensionamento Preparo'!$C38,Qtde_Oper_Plantio_Tratos!$I:$I,'Dimensionamento Preparo'!$D38)</f>
        <v>150</v>
      </c>
      <c r="H38" s="7">
        <f>SUMIFS(Qtde_Oper_Plantio_Tratos!R:R,Qtde_Oper_Plantio_Tratos!$F:$F,'Dimensionamento Preparo'!$C38,Qtde_Oper_Plantio_Tratos!$I:$I,'Dimensionamento Preparo'!$D38)</f>
        <v>382</v>
      </c>
      <c r="I38" s="7">
        <f>SUMIFS(Qtde_Oper_Plantio_Tratos!S:S,Qtde_Oper_Plantio_Tratos!$F:$F,'Dimensionamento Preparo'!$C38,Qtde_Oper_Plantio_Tratos!$I:$I,'Dimensionamento Preparo'!$D38)</f>
        <v>518.19000000000005</v>
      </c>
      <c r="J38" s="7">
        <f>SUMIFS(Qtde_Oper_Plantio_Tratos!T:T,Qtde_Oper_Plantio_Tratos!$F:$F,'Dimensionamento Preparo'!$C38,Qtde_Oper_Plantio_Tratos!$I:$I,'Dimensionamento Preparo'!$D38)</f>
        <v>518.19000000000005</v>
      </c>
      <c r="K38" s="7">
        <f>SUMIFS(Qtde_Oper_Plantio_Tratos!U:U,Qtde_Oper_Plantio_Tratos!$F:$F,'Dimensionamento Preparo'!$C38,Qtde_Oper_Plantio_Tratos!$I:$I,'Dimensionamento Preparo'!$D38)</f>
        <v>600</v>
      </c>
      <c r="L38" s="7">
        <f>SUMIFS(Qtde_Oper_Plantio_Tratos!V:V,Qtde_Oper_Plantio_Tratos!$F:$F,'Dimensionamento Preparo'!$C38,Qtde_Oper_Plantio_Tratos!$I:$I,'Dimensionamento Preparo'!$D38)</f>
        <v>297.23</v>
      </c>
      <c r="M38" s="7">
        <f>SUMIFS(Qtde_Oper_Plantio_Tratos!W:W,Qtde_Oper_Plantio_Tratos!$F:$F,'Dimensionamento Preparo'!$C38,Qtde_Oper_Plantio_Tratos!$I:$I,'Dimensionamento Preparo'!$D38)</f>
        <v>0</v>
      </c>
      <c r="N38" s="7">
        <f>SUMIFS(Qtde_Oper_Plantio_Tratos!X:X,Qtde_Oper_Plantio_Tratos!$F:$F,'Dimensionamento Preparo'!$C38,Qtde_Oper_Plantio_Tratos!$I:$I,'Dimensionamento Preparo'!$D38)</f>
        <v>0</v>
      </c>
      <c r="O38" s="7">
        <f>SUMIFS(Qtde_Oper_Plantio_Tratos!Y:Y,Qtde_Oper_Plantio_Tratos!$F:$F,'Dimensionamento Preparo'!$C38,Qtde_Oper_Plantio_Tratos!$I:$I,'Dimensionamento Preparo'!$D38)</f>
        <v>0</v>
      </c>
      <c r="P38" s="7">
        <f>SUMIFS(Qtde_Oper_Plantio_Tratos!Z:Z,Qtde_Oper_Plantio_Tratos!$F:$F,'Dimensionamento Preparo'!$C38,Qtde_Oper_Plantio_Tratos!$I:$I,'Dimensionamento Preparo'!$D38)</f>
        <v>200</v>
      </c>
      <c r="Q38" s="7">
        <f>SUMIFS(Qtde_Oper_Plantio_Tratos!AA:AA,Qtde_Oper_Plantio_Tratos!$F:$F,'Dimensionamento Preparo'!$C38,Qtde_Oper_Plantio_Tratos!$I:$I,'Dimensionamento Preparo'!$D38)</f>
        <v>650</v>
      </c>
      <c r="R38" s="7">
        <f>SUM(F38:Q38)</f>
        <v>3915.61</v>
      </c>
    </row>
    <row r="39" spans="1:18" hidden="1" outlineLevel="1" x14ac:dyDescent="0.25">
      <c r="A39" s="1"/>
      <c r="B39" s="275"/>
      <c r="C39" s="262"/>
      <c r="D39" s="262" t="s">
        <v>607</v>
      </c>
      <c r="E39" s="263" t="s">
        <v>761</v>
      </c>
      <c r="F39" s="7">
        <f t="shared" ref="F39:Q39" si="16">IF($D39="Proprio",IFERROR(F38/(_xlfn.XLOOKUP(F$6,$F$102:$R$102,$F$103:$R$103)*_xlfn.XLOOKUP($C38,$D$78:$D$98,$F$78:$F$98)),0),0)</f>
        <v>1.804713522472134</v>
      </c>
      <c r="G39" s="7">
        <f t="shared" si="16"/>
        <v>0.4081521591249217</v>
      </c>
      <c r="H39" s="7">
        <f t="shared" si="16"/>
        <v>0.96518267724493401</v>
      </c>
      <c r="I39" s="7">
        <f t="shared" si="16"/>
        <v>1.2220021223912274</v>
      </c>
      <c r="J39" s="7">
        <f t="shared" si="16"/>
        <v>1.2641401266116146</v>
      </c>
      <c r="K39" s="7">
        <f t="shared" si="16"/>
        <v>1.5721416499626615</v>
      </c>
      <c r="L39" s="7">
        <f t="shared" si="16"/>
        <v>0.90519455971421348</v>
      </c>
      <c r="M39" s="7">
        <f t="shared" si="16"/>
        <v>0</v>
      </c>
      <c r="N39" s="7">
        <f t="shared" si="16"/>
        <v>0</v>
      </c>
      <c r="O39" s="7">
        <f t="shared" si="16"/>
        <v>0</v>
      </c>
      <c r="P39" s="7">
        <f t="shared" si="16"/>
        <v>1.2633281115771386</v>
      </c>
      <c r="Q39" s="7">
        <f t="shared" si="16"/>
        <v>2.5547301811893246</v>
      </c>
      <c r="R39" s="7">
        <f>IFERROR(R38/(_xlfn.XLOOKUP(R$6,$F$102:$R$102,$F$103:$R$103)*_xlfn.XLOOKUP($C38,$D$78:$D$98,$F$78:$F$98)),0)</f>
        <v>1.064909676939807</v>
      </c>
    </row>
    <row r="40" spans="1:18" collapsed="1" x14ac:dyDescent="0.25">
      <c r="A40" s="1"/>
      <c r="B40" s="275"/>
      <c r="C40" s="265">
        <v>1055</v>
      </c>
      <c r="D40" s="265" t="s">
        <v>227</v>
      </c>
      <c r="E40" s="2" t="str">
        <f>_xlfn.XLOOKUP(C40,Apoio!A:A,Apoio!B:B)</f>
        <v>(Pá) Carregamento Terra-Outros</v>
      </c>
      <c r="F40" s="3">
        <f>SUMIFS(Qtde_Oper_Plantio_Tratos!P:P,Qtde_Oper_Plantio_Tratos!$F:$F,'Dimensionamento Preparo'!$C40,Qtde_Oper_Plantio_Tratos!$I:$I,'Dimensionamento Preparo'!$D40)</f>
        <v>0</v>
      </c>
      <c r="G40" s="3">
        <f>SUMIFS(Qtde_Oper_Plantio_Tratos!Q:Q,Qtde_Oper_Plantio_Tratos!$F:$F,'Dimensionamento Preparo'!$C40,Qtde_Oper_Plantio_Tratos!$I:$I,'Dimensionamento Preparo'!$D40)</f>
        <v>0</v>
      </c>
      <c r="H40" s="3">
        <f>SUMIFS(Qtde_Oper_Plantio_Tratos!R:R,Qtde_Oper_Plantio_Tratos!$F:$F,'Dimensionamento Preparo'!$C40,Qtde_Oper_Plantio_Tratos!$I:$I,'Dimensionamento Preparo'!$D40)</f>
        <v>0</v>
      </c>
      <c r="I40" s="3">
        <f>SUMIFS(Qtde_Oper_Plantio_Tratos!S:S,Qtde_Oper_Plantio_Tratos!$F:$F,'Dimensionamento Preparo'!$C40,Qtde_Oper_Plantio_Tratos!$I:$I,'Dimensionamento Preparo'!$D40)</f>
        <v>0</v>
      </c>
      <c r="J40" s="3">
        <f>SUMIFS(Qtde_Oper_Plantio_Tratos!T:T,Qtde_Oper_Plantio_Tratos!$F:$F,'Dimensionamento Preparo'!$C40,Qtde_Oper_Plantio_Tratos!$I:$I,'Dimensionamento Preparo'!$D40)</f>
        <v>0</v>
      </c>
      <c r="K40" s="3">
        <f>SUMIFS(Qtde_Oper_Plantio_Tratos!U:U,Qtde_Oper_Plantio_Tratos!$F:$F,'Dimensionamento Preparo'!$C40,Qtde_Oper_Plantio_Tratos!$I:$I,'Dimensionamento Preparo'!$D40)</f>
        <v>0</v>
      </c>
      <c r="L40" s="3">
        <f>SUMIFS(Qtde_Oper_Plantio_Tratos!V:V,Qtde_Oper_Plantio_Tratos!$F:$F,'Dimensionamento Preparo'!$C40,Qtde_Oper_Plantio_Tratos!$I:$I,'Dimensionamento Preparo'!$D40)</f>
        <v>0</v>
      </c>
      <c r="M40" s="3">
        <f>SUMIFS(Qtde_Oper_Plantio_Tratos!W:W,Qtde_Oper_Plantio_Tratos!$F:$F,'Dimensionamento Preparo'!$C40,Qtde_Oper_Plantio_Tratos!$I:$I,'Dimensionamento Preparo'!$D40)</f>
        <v>0</v>
      </c>
      <c r="N40" s="3">
        <f>SUMIFS(Qtde_Oper_Plantio_Tratos!X:X,Qtde_Oper_Plantio_Tratos!$F:$F,'Dimensionamento Preparo'!$C40,Qtde_Oper_Plantio_Tratos!$I:$I,'Dimensionamento Preparo'!$D40)</f>
        <v>0</v>
      </c>
      <c r="O40" s="3">
        <f>SUMIFS(Qtde_Oper_Plantio_Tratos!Y:Y,Qtde_Oper_Plantio_Tratos!$F:$F,'Dimensionamento Preparo'!$C40,Qtde_Oper_Plantio_Tratos!$I:$I,'Dimensionamento Preparo'!$D40)</f>
        <v>0</v>
      </c>
      <c r="P40" s="3">
        <f>SUMIFS(Qtde_Oper_Plantio_Tratos!Z:Z,Qtde_Oper_Plantio_Tratos!$F:$F,'Dimensionamento Preparo'!$C40,Qtde_Oper_Plantio_Tratos!$I:$I,'Dimensionamento Preparo'!$D40)</f>
        <v>0</v>
      </c>
      <c r="Q40" s="3">
        <f>SUMIFS(Qtde_Oper_Plantio_Tratos!AA:AA,Qtde_Oper_Plantio_Tratos!$F:$F,'Dimensionamento Preparo'!$C40,Qtde_Oper_Plantio_Tratos!$I:$I,'Dimensionamento Preparo'!$D40)</f>
        <v>0</v>
      </c>
      <c r="R40" s="3">
        <f>SUMIFS(Qtde_Oper_Plantio_Tratos!AB:AB,Qtde_Oper_Plantio_Tratos!$F:$F,'Dimensionamento Preparo'!$C40,Qtde_Oper_Plantio_Tratos!$I:$I,'Dimensionamento Preparo'!$D40)</f>
        <v>0</v>
      </c>
    </row>
    <row r="41" spans="1:18" hidden="1" outlineLevel="1" x14ac:dyDescent="0.25">
      <c r="A41" s="1"/>
      <c r="B41" s="275"/>
      <c r="C41" s="265"/>
      <c r="D41" s="265" t="s">
        <v>607</v>
      </c>
      <c r="E41" s="2" t="s">
        <v>761</v>
      </c>
      <c r="F41" s="3">
        <f t="shared" ref="F41:Q41" si="17">IF($D41="Proprio",IFERROR(F40/(_xlfn.XLOOKUP(F$6,$F$102:$R$102,$F$103:$R$103)*_xlfn.XLOOKUP($C40,$D$78:$D$98,$F$78:$F$98)),0),0)</f>
        <v>0</v>
      </c>
      <c r="G41" s="3">
        <f t="shared" si="17"/>
        <v>0</v>
      </c>
      <c r="H41" s="3">
        <f t="shared" si="17"/>
        <v>0</v>
      </c>
      <c r="I41" s="3">
        <f t="shared" si="17"/>
        <v>0</v>
      </c>
      <c r="J41" s="3">
        <f t="shared" si="17"/>
        <v>0</v>
      </c>
      <c r="K41" s="3">
        <f t="shared" si="17"/>
        <v>0</v>
      </c>
      <c r="L41" s="3">
        <f t="shared" si="17"/>
        <v>0</v>
      </c>
      <c r="M41" s="3">
        <f t="shared" si="17"/>
        <v>0</v>
      </c>
      <c r="N41" s="3">
        <f t="shared" si="17"/>
        <v>0</v>
      </c>
      <c r="O41" s="3">
        <f t="shared" si="17"/>
        <v>0</v>
      </c>
      <c r="P41" s="3">
        <f t="shared" si="17"/>
        <v>0</v>
      </c>
      <c r="Q41" s="3">
        <f t="shared" si="17"/>
        <v>0</v>
      </c>
      <c r="R41" s="3">
        <f>IFERROR(R40/(_xlfn.XLOOKUP(R$6,$F$102:$R$102,$F$103:$R$103)*_xlfn.XLOOKUP($C40,$D$78:$D$98,$F$78:$F$98)),0)</f>
        <v>0</v>
      </c>
    </row>
    <row r="42" spans="1:18" collapsed="1" x14ac:dyDescent="0.25">
      <c r="A42" s="1"/>
      <c r="B42" s="275"/>
      <c r="C42" s="264"/>
      <c r="D42" s="262"/>
      <c r="E42" s="263">
        <f>_xlfn.XLOOKUP(C42,Apoio!A:A,Apoio!B:B)</f>
        <v>0</v>
      </c>
      <c r="F42" s="7">
        <f>SUMIFS(Qtde_Oper_Plantio_Tratos!P:P,Qtde_Oper_Plantio_Tratos!$F:$F,'Dimensionamento Preparo'!$C42,Qtde_Oper_Plantio_Tratos!$I:$I,'Dimensionamento Preparo'!$D42)</f>
        <v>0</v>
      </c>
      <c r="G42" s="7">
        <f>SUMIFS(Qtde_Oper_Plantio_Tratos!Q:Q,Qtde_Oper_Plantio_Tratos!$F:$F,'Dimensionamento Preparo'!$C42,Qtde_Oper_Plantio_Tratos!$I:$I,'Dimensionamento Preparo'!$D42)</f>
        <v>0</v>
      </c>
      <c r="H42" s="7">
        <f>SUMIFS(Qtde_Oper_Plantio_Tratos!R:R,Qtde_Oper_Plantio_Tratos!$F:$F,'Dimensionamento Preparo'!$C42,Qtde_Oper_Plantio_Tratos!$I:$I,'Dimensionamento Preparo'!$D42)</f>
        <v>0</v>
      </c>
      <c r="I42" s="7">
        <f>SUMIFS(Qtde_Oper_Plantio_Tratos!S:S,Qtde_Oper_Plantio_Tratos!$F:$F,'Dimensionamento Preparo'!$C42,Qtde_Oper_Plantio_Tratos!$I:$I,'Dimensionamento Preparo'!$D42)</f>
        <v>0</v>
      </c>
      <c r="J42" s="7">
        <f>SUMIFS(Qtde_Oper_Plantio_Tratos!T:T,Qtde_Oper_Plantio_Tratos!$F:$F,'Dimensionamento Preparo'!$C42,Qtde_Oper_Plantio_Tratos!$I:$I,'Dimensionamento Preparo'!$D42)</f>
        <v>0</v>
      </c>
      <c r="K42" s="7">
        <f>SUMIFS(Qtde_Oper_Plantio_Tratos!U:U,Qtde_Oper_Plantio_Tratos!$F:$F,'Dimensionamento Preparo'!$C42,Qtde_Oper_Plantio_Tratos!$I:$I,'Dimensionamento Preparo'!$D42)</f>
        <v>0</v>
      </c>
      <c r="L42" s="7">
        <f>SUMIFS(Qtde_Oper_Plantio_Tratos!V:V,Qtde_Oper_Plantio_Tratos!$F:$F,'Dimensionamento Preparo'!$C42,Qtde_Oper_Plantio_Tratos!$I:$I,'Dimensionamento Preparo'!$D42)</f>
        <v>0</v>
      </c>
      <c r="M42" s="7">
        <f>SUMIFS(Qtde_Oper_Plantio_Tratos!W:W,Qtde_Oper_Plantio_Tratos!$F:$F,'Dimensionamento Preparo'!$C42,Qtde_Oper_Plantio_Tratos!$I:$I,'Dimensionamento Preparo'!$D42)</f>
        <v>0</v>
      </c>
      <c r="N42" s="7">
        <f>SUMIFS(Qtde_Oper_Plantio_Tratos!X:X,Qtde_Oper_Plantio_Tratos!$F:$F,'Dimensionamento Preparo'!$C42,Qtde_Oper_Plantio_Tratos!$I:$I,'Dimensionamento Preparo'!$D42)</f>
        <v>0</v>
      </c>
      <c r="O42" s="7">
        <f>SUMIFS(Qtde_Oper_Plantio_Tratos!Y:Y,Qtde_Oper_Plantio_Tratos!$F:$F,'Dimensionamento Preparo'!$C42,Qtde_Oper_Plantio_Tratos!$I:$I,'Dimensionamento Preparo'!$D42)</f>
        <v>0</v>
      </c>
      <c r="P42" s="7">
        <f>SUMIFS(Qtde_Oper_Plantio_Tratos!Z:Z,Qtde_Oper_Plantio_Tratos!$F:$F,'Dimensionamento Preparo'!$C42,Qtde_Oper_Plantio_Tratos!$I:$I,'Dimensionamento Preparo'!$D42)</f>
        <v>0</v>
      </c>
      <c r="Q42" s="7">
        <f>SUMIFS(Qtde_Oper_Plantio_Tratos!AA:AA,Qtde_Oper_Plantio_Tratos!$F:$F,'Dimensionamento Preparo'!$C42,Qtde_Oper_Plantio_Tratos!$I:$I,'Dimensionamento Preparo'!$D42)</f>
        <v>0</v>
      </c>
      <c r="R42" s="7">
        <f>SUM(F42:Q42)</f>
        <v>0</v>
      </c>
    </row>
    <row r="43" spans="1:18" hidden="1" outlineLevel="1" x14ac:dyDescent="0.25">
      <c r="A43" s="1"/>
      <c r="B43" s="276"/>
      <c r="C43" s="262"/>
      <c r="D43" s="262" t="s">
        <v>607</v>
      </c>
      <c r="E43" s="263" t="s">
        <v>761</v>
      </c>
      <c r="F43" s="7">
        <f t="shared" ref="F43:Q43" si="18">IF($D43="Proprio",IFERROR(F42/(_xlfn.XLOOKUP(F$6,$F$102:$R$102,$F$103:$R$103)*_xlfn.XLOOKUP($C42,$D$78:$D$98,$F$78:$F$98)),0),0)</f>
        <v>0</v>
      </c>
      <c r="G43" s="7">
        <f t="shared" si="18"/>
        <v>0</v>
      </c>
      <c r="H43" s="7">
        <f t="shared" si="18"/>
        <v>0</v>
      </c>
      <c r="I43" s="7">
        <f t="shared" si="18"/>
        <v>0</v>
      </c>
      <c r="J43" s="7">
        <f t="shared" si="18"/>
        <v>0</v>
      </c>
      <c r="K43" s="7">
        <f t="shared" si="18"/>
        <v>0</v>
      </c>
      <c r="L43" s="7">
        <f t="shared" si="18"/>
        <v>0</v>
      </c>
      <c r="M43" s="7">
        <f t="shared" si="18"/>
        <v>0</v>
      </c>
      <c r="N43" s="7">
        <f t="shared" si="18"/>
        <v>0</v>
      </c>
      <c r="O43" s="7">
        <f t="shared" si="18"/>
        <v>0</v>
      </c>
      <c r="P43" s="7">
        <f t="shared" si="18"/>
        <v>0</v>
      </c>
      <c r="Q43" s="7">
        <f t="shared" si="18"/>
        <v>0</v>
      </c>
      <c r="R43" s="7">
        <f>IFERROR(R42/(_xlfn.XLOOKUP(R$6,$F$102:$R$102,$F$103:$R$103)*_xlfn.XLOOKUP($C42,$D$78:$D$98,$F$78:$F$98)),0)</f>
        <v>0</v>
      </c>
    </row>
    <row r="44" spans="1:18" x14ac:dyDescent="0.25">
      <c r="A44" s="1"/>
      <c r="B44" s="4"/>
      <c r="C44" s="4"/>
      <c r="D44" s="4"/>
      <c r="E44" s="4" t="s">
        <v>76</v>
      </c>
      <c r="F44" s="5">
        <f>ROUNDUP(SUM(F43,F35,F33,F31),0)</f>
        <v>1</v>
      </c>
      <c r="G44" s="5">
        <f t="shared" ref="G44:R44" si="19">ROUNDUP(SUM(G43,G35,G33,G31),0)</f>
        <v>1</v>
      </c>
      <c r="H44" s="5">
        <f t="shared" si="19"/>
        <v>1</v>
      </c>
      <c r="I44" s="5">
        <f t="shared" si="19"/>
        <v>1</v>
      </c>
      <c r="J44" s="5">
        <f t="shared" si="19"/>
        <v>1</v>
      </c>
      <c r="K44" s="5">
        <f t="shared" si="19"/>
        <v>1</v>
      </c>
      <c r="L44" s="5">
        <f t="shared" si="19"/>
        <v>1</v>
      </c>
      <c r="M44" s="5">
        <f t="shared" si="19"/>
        <v>0</v>
      </c>
      <c r="N44" s="5">
        <f t="shared" si="19"/>
        <v>0</v>
      </c>
      <c r="O44" s="5">
        <f t="shared" si="19"/>
        <v>0</v>
      </c>
      <c r="P44" s="5">
        <f t="shared" si="19"/>
        <v>1</v>
      </c>
      <c r="Q44" s="5">
        <f t="shared" si="19"/>
        <v>2</v>
      </c>
      <c r="R44" s="5">
        <f t="shared" si="19"/>
        <v>1</v>
      </c>
    </row>
    <row r="45" spans="1:18" x14ac:dyDescent="0.25">
      <c r="A45" s="1"/>
      <c r="B45" s="4"/>
      <c r="C45" s="4"/>
      <c r="D45" s="4"/>
      <c r="E45" s="4" t="s">
        <v>77</v>
      </c>
      <c r="F45" s="5">
        <f t="shared" ref="F45:R45" si="20">SUMIFS($F65:$F73,$E$65:$E$73,$E43)</f>
        <v>3</v>
      </c>
      <c r="G45" s="5">
        <f t="shared" si="20"/>
        <v>3</v>
      </c>
      <c r="H45" s="5">
        <f t="shared" si="20"/>
        <v>3</v>
      </c>
      <c r="I45" s="5">
        <f t="shared" si="20"/>
        <v>3</v>
      </c>
      <c r="J45" s="5">
        <f t="shared" si="20"/>
        <v>3</v>
      </c>
      <c r="K45" s="5">
        <f t="shared" si="20"/>
        <v>3</v>
      </c>
      <c r="L45" s="5">
        <f t="shared" si="20"/>
        <v>3</v>
      </c>
      <c r="M45" s="5">
        <f t="shared" si="20"/>
        <v>3</v>
      </c>
      <c r="N45" s="5">
        <f t="shared" si="20"/>
        <v>3</v>
      </c>
      <c r="O45" s="5">
        <f t="shared" si="20"/>
        <v>3</v>
      </c>
      <c r="P45" s="5">
        <f t="shared" si="20"/>
        <v>3</v>
      </c>
      <c r="Q45" s="5">
        <f t="shared" si="20"/>
        <v>3</v>
      </c>
      <c r="R45" s="5">
        <f t="shared" si="20"/>
        <v>3</v>
      </c>
    </row>
    <row r="46" spans="1:18" x14ac:dyDescent="0.25">
      <c r="A46" s="1"/>
    </row>
    <row r="47" spans="1:18" collapsed="1" x14ac:dyDescent="0.25">
      <c r="A47" s="1"/>
      <c r="B47" s="275" t="s">
        <v>762</v>
      </c>
      <c r="C47" s="264">
        <v>1061</v>
      </c>
      <c r="D47" s="262" t="s">
        <v>295</v>
      </c>
      <c r="E47" s="263" t="str">
        <f>_xlfn.XLOOKUP(C47,Apoio!A:A,Apoio!B:B)</f>
        <v xml:space="preserve">Enfardamento De Palha         </v>
      </c>
      <c r="F47" s="7">
        <f>SUMIFS(Qtde_Oper_Plantio_Tratos!P:P,Qtde_Oper_Plantio_Tratos!$F:$F,'Dimensionamento Preparo'!$C47,Qtde_Oper_Plantio_Tratos!$I:$I,'Dimensionamento Preparo'!$D47)</f>
        <v>0</v>
      </c>
      <c r="G47" s="7">
        <f>SUMIFS(Qtde_Oper_Plantio_Tratos!Q:Q,Qtde_Oper_Plantio_Tratos!$F:$F,'Dimensionamento Preparo'!$C47,Qtde_Oper_Plantio_Tratos!$I:$I,'Dimensionamento Preparo'!$D47)</f>
        <v>0</v>
      </c>
      <c r="H47" s="7">
        <f>SUMIFS(Qtde_Oper_Plantio_Tratos!R:R,Qtde_Oper_Plantio_Tratos!$F:$F,'Dimensionamento Preparo'!$C47,Qtde_Oper_Plantio_Tratos!$I:$I,'Dimensionamento Preparo'!$D47)</f>
        <v>0</v>
      </c>
      <c r="I47" s="7">
        <f>SUMIFS(Qtde_Oper_Plantio_Tratos!S:S,Qtde_Oper_Plantio_Tratos!$F:$F,'Dimensionamento Preparo'!$C47,Qtde_Oper_Plantio_Tratos!$I:$I,'Dimensionamento Preparo'!$D47)</f>
        <v>0</v>
      </c>
      <c r="J47" s="7">
        <f>SUMIFS(Qtde_Oper_Plantio_Tratos!T:T,Qtde_Oper_Plantio_Tratos!$F:$F,'Dimensionamento Preparo'!$C47,Qtde_Oper_Plantio_Tratos!$I:$I,'Dimensionamento Preparo'!$D47)</f>
        <v>0</v>
      </c>
      <c r="K47" s="7">
        <f>SUMIFS(Qtde_Oper_Plantio_Tratos!U:U,Qtde_Oper_Plantio_Tratos!$F:$F,'Dimensionamento Preparo'!$C47,Qtde_Oper_Plantio_Tratos!$I:$I,'Dimensionamento Preparo'!$D47)</f>
        <v>0</v>
      </c>
      <c r="L47" s="7">
        <f>SUMIFS(Qtde_Oper_Plantio_Tratos!V:V,Qtde_Oper_Plantio_Tratos!$F:$F,'Dimensionamento Preparo'!$C47,Qtde_Oper_Plantio_Tratos!$I:$I,'Dimensionamento Preparo'!$D47)</f>
        <v>0</v>
      </c>
      <c r="M47" s="7">
        <f>SUMIFS(Qtde_Oper_Plantio_Tratos!W:W,Qtde_Oper_Plantio_Tratos!$F:$F,'Dimensionamento Preparo'!$C47,Qtde_Oper_Plantio_Tratos!$I:$I,'Dimensionamento Preparo'!$D47)</f>
        <v>0</v>
      </c>
      <c r="N47" s="7">
        <f>SUMIFS(Qtde_Oper_Plantio_Tratos!X:X,Qtde_Oper_Plantio_Tratos!$F:$F,'Dimensionamento Preparo'!$C47,Qtde_Oper_Plantio_Tratos!$I:$I,'Dimensionamento Preparo'!$D47)</f>
        <v>0</v>
      </c>
      <c r="O47" s="7">
        <f>SUMIFS(Qtde_Oper_Plantio_Tratos!Y:Y,Qtde_Oper_Plantio_Tratos!$F:$F,'Dimensionamento Preparo'!$C47,Qtde_Oper_Plantio_Tratos!$I:$I,'Dimensionamento Preparo'!$D47)</f>
        <v>0</v>
      </c>
      <c r="P47" s="7">
        <f>SUMIFS(Qtde_Oper_Plantio_Tratos!Z:Z,Qtde_Oper_Plantio_Tratos!$F:$F,'Dimensionamento Preparo'!$C47,Qtde_Oper_Plantio_Tratos!$I:$I,'Dimensionamento Preparo'!$D47)</f>
        <v>0</v>
      </c>
      <c r="Q47" s="7">
        <f>SUMIFS(Qtde_Oper_Plantio_Tratos!AA:AA,Qtde_Oper_Plantio_Tratos!$F:$F,'Dimensionamento Preparo'!$C47,Qtde_Oper_Plantio_Tratos!$I:$I,'Dimensionamento Preparo'!$D47)</f>
        <v>0</v>
      </c>
      <c r="R47" s="7">
        <f>SUM(F47:Q47)</f>
        <v>0</v>
      </c>
    </row>
    <row r="48" spans="1:18" hidden="1" outlineLevel="1" x14ac:dyDescent="0.25">
      <c r="A48" s="1"/>
      <c r="B48" s="275"/>
      <c r="C48" s="262"/>
      <c r="D48" s="262" t="s">
        <v>607</v>
      </c>
      <c r="E48" s="263" t="s">
        <v>762</v>
      </c>
      <c r="F48" s="7">
        <f t="shared" ref="F48:Q48" si="21">IF($D48="Proprio",IFERROR(F47/(_xlfn.XLOOKUP(F$6,$F$102:$R$102,$F$103:$R$103)*_xlfn.XLOOKUP($C47,$D$78:$D$98,$F$78:$F$98)),0),0)</f>
        <v>0</v>
      </c>
      <c r="G48" s="7">
        <f t="shared" si="21"/>
        <v>0</v>
      </c>
      <c r="H48" s="7">
        <f t="shared" si="21"/>
        <v>0</v>
      </c>
      <c r="I48" s="7">
        <f t="shared" si="21"/>
        <v>0</v>
      </c>
      <c r="J48" s="7">
        <f t="shared" si="21"/>
        <v>0</v>
      </c>
      <c r="K48" s="7">
        <f t="shared" si="21"/>
        <v>0</v>
      </c>
      <c r="L48" s="7">
        <f t="shared" si="21"/>
        <v>0</v>
      </c>
      <c r="M48" s="7">
        <f t="shared" si="21"/>
        <v>0</v>
      </c>
      <c r="N48" s="7">
        <f t="shared" si="21"/>
        <v>0</v>
      </c>
      <c r="O48" s="7">
        <f t="shared" si="21"/>
        <v>0</v>
      </c>
      <c r="P48" s="7">
        <f t="shared" si="21"/>
        <v>0</v>
      </c>
      <c r="Q48" s="7">
        <f t="shared" si="21"/>
        <v>0</v>
      </c>
      <c r="R48" s="7">
        <f>IFERROR(R47/(_xlfn.XLOOKUP(R$6,$F$102:$R$102,$F$103:$R$103)*_xlfn.XLOOKUP($C47,$D$78:$D$98,$F$78:$F$98)),0)</f>
        <v>0</v>
      </c>
    </row>
    <row r="49" spans="1:18" collapsed="1" x14ac:dyDescent="0.25">
      <c r="A49" s="1"/>
      <c r="B49" s="275"/>
      <c r="C49" s="265">
        <v>1061</v>
      </c>
      <c r="D49" s="265" t="s">
        <v>312</v>
      </c>
      <c r="E49" s="2" t="str">
        <f>_xlfn.XLOOKUP(C49,Apoio!A:A,Apoio!B:B)</f>
        <v xml:space="preserve">Enfardamento De Palha         </v>
      </c>
      <c r="F49" s="3">
        <f>SUMIFS(Qtde_Oper_Plantio_Tratos!P:P,Qtde_Oper_Plantio_Tratos!$F:$F,'Dimensionamento Preparo'!$C49,Qtde_Oper_Plantio_Tratos!$I:$I,'Dimensionamento Preparo'!$D49)</f>
        <v>775.55449999999996</v>
      </c>
      <c r="G49" s="3">
        <f>SUMIFS(Qtde_Oper_Plantio_Tratos!Q:Q,Qtde_Oper_Plantio_Tratos!$F:$F,'Dimensionamento Preparo'!$C49,Qtde_Oper_Plantio_Tratos!$I:$I,'Dimensionamento Preparo'!$D49)</f>
        <v>1348.4904999999999</v>
      </c>
      <c r="H49" s="3">
        <f>SUMIFS(Qtde_Oper_Plantio_Tratos!R:R,Qtde_Oper_Plantio_Tratos!$F:$F,'Dimensionamento Preparo'!$C49,Qtde_Oper_Plantio_Tratos!$I:$I,'Dimensionamento Preparo'!$D49)</f>
        <v>579.13800000000003</v>
      </c>
      <c r="I49" s="3">
        <f>SUMIFS(Qtde_Oper_Plantio_Tratos!S:S,Qtde_Oper_Plantio_Tratos!$F:$F,'Dimensionamento Preparo'!$C49,Qtde_Oper_Plantio_Tratos!$I:$I,'Dimensionamento Preparo'!$D49)</f>
        <v>0</v>
      </c>
      <c r="J49" s="3">
        <f>SUMIFS(Qtde_Oper_Plantio_Tratos!T:T,Qtde_Oper_Plantio_Tratos!$F:$F,'Dimensionamento Preparo'!$C49,Qtde_Oper_Plantio_Tratos!$I:$I,'Dimensionamento Preparo'!$D49)</f>
        <v>548.149</v>
      </c>
      <c r="K49" s="3">
        <f>SUMIFS(Qtde_Oper_Plantio_Tratos!U:U,Qtde_Oper_Plantio_Tratos!$F:$F,'Dimensionamento Preparo'!$C49,Qtde_Oper_Plantio_Tratos!$I:$I,'Dimensionamento Preparo'!$D49)</f>
        <v>605.4369999999999</v>
      </c>
      <c r="L49" s="3">
        <f>SUMIFS(Qtde_Oper_Plantio_Tratos!V:V,Qtde_Oper_Plantio_Tratos!$F:$F,'Dimensionamento Preparo'!$C49,Qtde_Oper_Plantio_Tratos!$I:$I,'Dimensionamento Preparo'!$D49)</f>
        <v>678.524</v>
      </c>
      <c r="M49" s="3">
        <f>SUMIFS(Qtde_Oper_Plantio_Tratos!W:W,Qtde_Oper_Plantio_Tratos!$F:$F,'Dimensionamento Preparo'!$C49,Qtde_Oper_Plantio_Tratos!$I:$I,'Dimensionamento Preparo'!$D49)</f>
        <v>352.01949999999999</v>
      </c>
      <c r="N49" s="3">
        <f>SUMIFS(Qtde_Oper_Plantio_Tratos!X:X,Qtde_Oper_Plantio_Tratos!$F:$F,'Dimensionamento Preparo'!$C49,Qtde_Oper_Plantio_Tratos!$I:$I,'Dimensionamento Preparo'!$D49)</f>
        <v>0</v>
      </c>
      <c r="O49" s="3">
        <f>SUMIFS(Qtde_Oper_Plantio_Tratos!Y:Y,Qtde_Oper_Plantio_Tratos!$F:$F,'Dimensionamento Preparo'!$C49,Qtde_Oper_Plantio_Tratos!$I:$I,'Dimensionamento Preparo'!$D49)</f>
        <v>0</v>
      </c>
      <c r="P49" s="3">
        <f>SUMIFS(Qtde_Oper_Plantio_Tratos!Z:Z,Qtde_Oper_Plantio_Tratos!$F:$F,'Dimensionamento Preparo'!$C49,Qtde_Oper_Plantio_Tratos!$I:$I,'Dimensionamento Preparo'!$D49)</f>
        <v>35</v>
      </c>
      <c r="Q49" s="3">
        <f>SUMIFS(Qtde_Oper_Plantio_Tratos!AA:AA,Qtde_Oper_Plantio_Tratos!$F:$F,'Dimensionamento Preparo'!$C49,Qtde_Oper_Plantio_Tratos!$I:$I,'Dimensionamento Preparo'!$D49)</f>
        <v>35</v>
      </c>
      <c r="R49" s="3">
        <f>SUMIFS(Qtde_Oper_Plantio_Tratos!AB:AB,Qtde_Oper_Plantio_Tratos!$F:$F,'Dimensionamento Preparo'!$C49,Qtde_Oper_Plantio_Tratos!$I:$I,'Dimensionamento Preparo'!$D49)</f>
        <v>4957.3125</v>
      </c>
    </row>
    <row r="50" spans="1:18" hidden="1" outlineLevel="1" x14ac:dyDescent="0.25">
      <c r="A50" s="1"/>
      <c r="B50" s="275"/>
      <c r="C50" s="265"/>
      <c r="D50" s="265" t="s">
        <v>607</v>
      </c>
      <c r="E50" s="2" t="s">
        <v>762</v>
      </c>
      <c r="F50" s="3">
        <f t="shared" ref="F50:Q50" si="22">IF($D50="Proprio",IFERROR(F49/(_xlfn.XLOOKUP(F$6,$F$102:$R$102,$F$103:$R$103)*_xlfn.XLOOKUP($C49,$D$78:$D$98,$F$78:$F$98)),0),0)</f>
        <v>3.8595600777465391</v>
      </c>
      <c r="G50" s="3">
        <f t="shared" si="22"/>
        <v>6.0708177016116922</v>
      </c>
      <c r="H50" s="3">
        <f t="shared" si="22"/>
        <v>2.4210105345298478</v>
      </c>
      <c r="I50" s="3">
        <f t="shared" si="22"/>
        <v>0</v>
      </c>
      <c r="J50" s="3">
        <f t="shared" si="22"/>
        <v>2.2124490427435517</v>
      </c>
      <c r="K50" s="3">
        <f t="shared" si="22"/>
        <v>2.6246889495816523</v>
      </c>
      <c r="L50" s="3">
        <f t="shared" si="22"/>
        <v>3.4188730016219231</v>
      </c>
      <c r="M50" s="3">
        <f t="shared" si="22"/>
        <v>1.9829250498374649</v>
      </c>
      <c r="N50" s="3">
        <f t="shared" si="22"/>
        <v>0</v>
      </c>
      <c r="O50" s="3">
        <f t="shared" si="22"/>
        <v>0</v>
      </c>
      <c r="P50" s="3">
        <f t="shared" si="22"/>
        <v>0.36578228638314469</v>
      </c>
      <c r="Q50" s="3">
        <f t="shared" si="22"/>
        <v>0.22759786708284557</v>
      </c>
      <c r="R50" s="3">
        <f>IFERROR(R49/(_xlfn.XLOOKUP(R$6,$F$102:$R$102,$F$103:$R$103)*_xlfn.XLOOKUP($C49,$D$78:$D$98,$F$78:$F$98)),0)</f>
        <v>2.2306328970512563</v>
      </c>
    </row>
    <row r="51" spans="1:18" collapsed="1" x14ac:dyDescent="0.25">
      <c r="A51" s="1"/>
      <c r="B51" s="275"/>
      <c r="C51" s="264">
        <v>1061</v>
      </c>
      <c r="D51" s="262" t="s">
        <v>315</v>
      </c>
      <c r="E51" s="263" t="str">
        <f>_xlfn.XLOOKUP(C51,Apoio!A:A,Apoio!B:B)</f>
        <v xml:space="preserve">Enfardamento De Palha         </v>
      </c>
      <c r="F51" s="7">
        <f>SUMIFS(Qtde_Oper_Plantio_Tratos!P:P,Qtde_Oper_Plantio_Tratos!$F:$F,'Dimensionamento Preparo'!$C51,Qtde_Oper_Plantio_Tratos!$I:$I,'Dimensionamento Preparo'!$D51)</f>
        <v>0</v>
      </c>
      <c r="G51" s="7">
        <f>SUMIFS(Qtde_Oper_Plantio_Tratos!Q:Q,Qtde_Oper_Plantio_Tratos!$F:$F,'Dimensionamento Preparo'!$C51,Qtde_Oper_Plantio_Tratos!$I:$I,'Dimensionamento Preparo'!$D51)</f>
        <v>0</v>
      </c>
      <c r="H51" s="7">
        <f>SUMIFS(Qtde_Oper_Plantio_Tratos!R:R,Qtde_Oper_Plantio_Tratos!$F:$F,'Dimensionamento Preparo'!$C51,Qtde_Oper_Plantio_Tratos!$I:$I,'Dimensionamento Preparo'!$D51)</f>
        <v>0</v>
      </c>
      <c r="I51" s="7">
        <f>SUMIFS(Qtde_Oper_Plantio_Tratos!S:S,Qtde_Oper_Plantio_Tratos!$F:$F,'Dimensionamento Preparo'!$C51,Qtde_Oper_Plantio_Tratos!$I:$I,'Dimensionamento Preparo'!$D51)</f>
        <v>0</v>
      </c>
      <c r="J51" s="7">
        <f>SUMIFS(Qtde_Oper_Plantio_Tratos!T:T,Qtde_Oper_Plantio_Tratos!$F:$F,'Dimensionamento Preparo'!$C51,Qtde_Oper_Plantio_Tratos!$I:$I,'Dimensionamento Preparo'!$D51)</f>
        <v>0</v>
      </c>
      <c r="K51" s="7">
        <f>SUMIFS(Qtde_Oper_Plantio_Tratos!U:U,Qtde_Oper_Plantio_Tratos!$F:$F,'Dimensionamento Preparo'!$C51,Qtde_Oper_Plantio_Tratos!$I:$I,'Dimensionamento Preparo'!$D51)</f>
        <v>0</v>
      </c>
      <c r="L51" s="7">
        <f>SUMIFS(Qtde_Oper_Plantio_Tratos!V:V,Qtde_Oper_Plantio_Tratos!$F:$F,'Dimensionamento Preparo'!$C51,Qtde_Oper_Plantio_Tratos!$I:$I,'Dimensionamento Preparo'!$D51)</f>
        <v>0</v>
      </c>
      <c r="M51" s="7">
        <f>SUMIFS(Qtde_Oper_Plantio_Tratos!W:W,Qtde_Oper_Plantio_Tratos!$F:$F,'Dimensionamento Preparo'!$C51,Qtde_Oper_Plantio_Tratos!$I:$I,'Dimensionamento Preparo'!$D51)</f>
        <v>0</v>
      </c>
      <c r="N51" s="7">
        <f>SUMIFS(Qtde_Oper_Plantio_Tratos!X:X,Qtde_Oper_Plantio_Tratos!$F:$F,'Dimensionamento Preparo'!$C51,Qtde_Oper_Plantio_Tratos!$I:$I,'Dimensionamento Preparo'!$D51)</f>
        <v>0</v>
      </c>
      <c r="O51" s="7">
        <f>SUMIFS(Qtde_Oper_Plantio_Tratos!Y:Y,Qtde_Oper_Plantio_Tratos!$F:$F,'Dimensionamento Preparo'!$C51,Qtde_Oper_Plantio_Tratos!$I:$I,'Dimensionamento Preparo'!$D51)</f>
        <v>0</v>
      </c>
      <c r="P51" s="7">
        <f>SUMIFS(Qtde_Oper_Plantio_Tratos!Z:Z,Qtde_Oper_Plantio_Tratos!$F:$F,'Dimensionamento Preparo'!$C51,Qtde_Oper_Plantio_Tratos!$I:$I,'Dimensionamento Preparo'!$D51)</f>
        <v>0</v>
      </c>
      <c r="Q51" s="7">
        <f>SUMIFS(Qtde_Oper_Plantio_Tratos!AA:AA,Qtde_Oper_Plantio_Tratos!$F:$F,'Dimensionamento Preparo'!$C51,Qtde_Oper_Plantio_Tratos!$I:$I,'Dimensionamento Preparo'!$D51)</f>
        <v>0</v>
      </c>
      <c r="R51" s="7">
        <f>SUM(F51:Q51)</f>
        <v>0</v>
      </c>
    </row>
    <row r="52" spans="1:18" hidden="1" outlineLevel="1" x14ac:dyDescent="0.25">
      <c r="A52" s="1"/>
      <c r="B52" s="275"/>
      <c r="C52" s="262"/>
      <c r="D52" s="262" t="s">
        <v>607</v>
      </c>
      <c r="E52" s="263" t="s">
        <v>762</v>
      </c>
      <c r="F52" s="7">
        <f t="shared" ref="F52:Q52" si="23">IF($D52="Proprio",IFERROR(F51/(_xlfn.XLOOKUP(F$6,$F$102:$R$102,$F$103:$R$103)*_xlfn.XLOOKUP($C51,$D$78:$D$98,$F$78:$F$98)),0),0)</f>
        <v>0</v>
      </c>
      <c r="G52" s="7">
        <f t="shared" si="23"/>
        <v>0</v>
      </c>
      <c r="H52" s="7">
        <f t="shared" si="23"/>
        <v>0</v>
      </c>
      <c r="I52" s="7">
        <f t="shared" si="23"/>
        <v>0</v>
      </c>
      <c r="J52" s="7">
        <f t="shared" si="23"/>
        <v>0</v>
      </c>
      <c r="K52" s="7">
        <f t="shared" si="23"/>
        <v>0</v>
      </c>
      <c r="L52" s="7">
        <f t="shared" si="23"/>
        <v>0</v>
      </c>
      <c r="M52" s="7">
        <f t="shared" si="23"/>
        <v>0</v>
      </c>
      <c r="N52" s="7">
        <f t="shared" si="23"/>
        <v>0</v>
      </c>
      <c r="O52" s="7">
        <f t="shared" si="23"/>
        <v>0</v>
      </c>
      <c r="P52" s="7">
        <f t="shared" si="23"/>
        <v>0</v>
      </c>
      <c r="Q52" s="7">
        <f t="shared" si="23"/>
        <v>0</v>
      </c>
      <c r="R52" s="7">
        <f>IFERROR(R51/(_xlfn.XLOOKUP(R$6,$F$102:$R$102,$F$103:$R$103)*_xlfn.XLOOKUP($C51,$D$78:$D$98,$F$78:$F$98)),0)</f>
        <v>0</v>
      </c>
    </row>
    <row r="53" spans="1:18" collapsed="1" x14ac:dyDescent="0.25">
      <c r="A53" s="1"/>
      <c r="B53" s="275"/>
      <c r="C53" s="265">
        <v>1024</v>
      </c>
      <c r="D53" s="265" t="s">
        <v>312</v>
      </c>
      <c r="E53" s="2" t="str">
        <f>_xlfn.XLOOKUP(C53,Apoio!A:A,Apoio!B:B)</f>
        <v xml:space="preserve">Enleiramento De Palha         </v>
      </c>
      <c r="F53" s="3">
        <f>SUMIFS(Qtde_Oper_Plantio_Tratos!P:P,Qtde_Oper_Plantio_Tratos!$F:$F,'Dimensionamento Preparo'!$C53,Qtde_Oper_Plantio_Tratos!$I:$I,'Dimensionamento Preparo'!$D53)</f>
        <v>221.58699999999999</v>
      </c>
      <c r="G53" s="3">
        <f>SUMIFS(Qtde_Oper_Plantio_Tratos!Q:Q,Qtde_Oper_Plantio_Tratos!$F:$F,'Dimensionamento Preparo'!$C53,Qtde_Oper_Plantio_Tratos!$I:$I,'Dimensionamento Preparo'!$D53)</f>
        <v>385.28300000000002</v>
      </c>
      <c r="H53" s="3">
        <f>SUMIFS(Qtde_Oper_Plantio_Tratos!R:R,Qtde_Oper_Plantio_Tratos!$F:$F,'Dimensionamento Preparo'!$C53,Qtde_Oper_Plantio_Tratos!$I:$I,'Dimensionamento Preparo'!$D53)</f>
        <v>165.46800000000002</v>
      </c>
      <c r="I53" s="3">
        <f>SUMIFS(Qtde_Oper_Plantio_Tratos!S:S,Qtde_Oper_Plantio_Tratos!$F:$F,'Dimensionamento Preparo'!$C53,Qtde_Oper_Plantio_Tratos!$I:$I,'Dimensionamento Preparo'!$D53)</f>
        <v>0</v>
      </c>
      <c r="J53" s="3">
        <f>SUMIFS(Qtde_Oper_Plantio_Tratos!T:T,Qtde_Oper_Plantio_Tratos!$F:$F,'Dimensionamento Preparo'!$C53,Qtde_Oper_Plantio_Tratos!$I:$I,'Dimensionamento Preparo'!$D53)</f>
        <v>156.61400000000003</v>
      </c>
      <c r="K53" s="3">
        <f>SUMIFS(Qtde_Oper_Plantio_Tratos!U:U,Qtde_Oper_Plantio_Tratos!$F:$F,'Dimensionamento Preparo'!$C53,Qtde_Oper_Plantio_Tratos!$I:$I,'Dimensionamento Preparo'!$D53)</f>
        <v>172.982</v>
      </c>
      <c r="L53" s="3">
        <f>SUMIFS(Qtde_Oper_Plantio_Tratos!V:V,Qtde_Oper_Plantio_Tratos!$F:$F,'Dimensionamento Preparo'!$C53,Qtde_Oper_Plantio_Tratos!$I:$I,'Dimensionamento Preparo'!$D53)</f>
        <v>193.86400000000003</v>
      </c>
      <c r="M53" s="3">
        <f>SUMIFS(Qtde_Oper_Plantio_Tratos!W:W,Qtde_Oper_Plantio_Tratos!$F:$F,'Dimensionamento Preparo'!$C53,Qtde_Oper_Plantio_Tratos!$I:$I,'Dimensionamento Preparo'!$D53)</f>
        <v>100.577</v>
      </c>
      <c r="N53" s="3">
        <f>SUMIFS(Qtde_Oper_Plantio_Tratos!X:X,Qtde_Oper_Plantio_Tratos!$F:$F,'Dimensionamento Preparo'!$C53,Qtde_Oper_Plantio_Tratos!$I:$I,'Dimensionamento Preparo'!$D53)</f>
        <v>0</v>
      </c>
      <c r="O53" s="3">
        <f>SUMIFS(Qtde_Oper_Plantio_Tratos!Y:Y,Qtde_Oper_Plantio_Tratos!$F:$F,'Dimensionamento Preparo'!$C53,Qtde_Oper_Plantio_Tratos!$I:$I,'Dimensionamento Preparo'!$D53)</f>
        <v>0</v>
      </c>
      <c r="P53" s="3">
        <f>SUMIFS(Qtde_Oper_Plantio_Tratos!Z:Z,Qtde_Oper_Plantio_Tratos!$F:$F,'Dimensionamento Preparo'!$C53,Qtde_Oper_Plantio_Tratos!$I:$I,'Dimensionamento Preparo'!$D53)</f>
        <v>10</v>
      </c>
      <c r="Q53" s="3">
        <f>SUMIFS(Qtde_Oper_Plantio_Tratos!AA:AA,Qtde_Oper_Plantio_Tratos!$F:$F,'Dimensionamento Preparo'!$C53,Qtde_Oper_Plantio_Tratos!$I:$I,'Dimensionamento Preparo'!$D53)</f>
        <v>10</v>
      </c>
      <c r="R53" s="3">
        <f>SUMIFS(Qtde_Oper_Plantio_Tratos!AB:AB,Qtde_Oper_Plantio_Tratos!$F:$F,'Dimensionamento Preparo'!$C53,Qtde_Oper_Plantio_Tratos!$I:$I,'Dimensionamento Preparo'!$D53)</f>
        <v>1416.375</v>
      </c>
    </row>
    <row r="54" spans="1:18" hidden="1" outlineLevel="1" x14ac:dyDescent="0.25">
      <c r="A54" s="1"/>
      <c r="B54" s="276"/>
      <c r="C54" s="265"/>
      <c r="D54" s="265" t="s">
        <v>607</v>
      </c>
      <c r="E54" s="2" t="s">
        <v>762</v>
      </c>
      <c r="F54" s="3">
        <f t="shared" ref="F54:Q54" si="24">IF($D54="Proprio",IFERROR(F53/(_xlfn.XLOOKUP(F$6,$F$102:$R$102,$F$103:$R$103)*_xlfn.XLOOKUP($C53,$D$78:$D$98,$F$78:$F$98)),0),0)</f>
        <v>0</v>
      </c>
      <c r="G54" s="3">
        <f t="shared" si="24"/>
        <v>0</v>
      </c>
      <c r="H54" s="3">
        <f t="shared" si="24"/>
        <v>0</v>
      </c>
      <c r="I54" s="3">
        <f t="shared" si="24"/>
        <v>0</v>
      </c>
      <c r="J54" s="3">
        <f t="shared" si="24"/>
        <v>0</v>
      </c>
      <c r="K54" s="3">
        <f t="shared" si="24"/>
        <v>0</v>
      </c>
      <c r="L54" s="3">
        <f t="shared" si="24"/>
        <v>0</v>
      </c>
      <c r="M54" s="3">
        <f t="shared" si="24"/>
        <v>0</v>
      </c>
      <c r="N54" s="3">
        <f t="shared" si="24"/>
        <v>0</v>
      </c>
      <c r="O54" s="3">
        <f t="shared" si="24"/>
        <v>0</v>
      </c>
      <c r="P54" s="3">
        <f t="shared" si="24"/>
        <v>0</v>
      </c>
      <c r="Q54" s="3">
        <f t="shared" si="24"/>
        <v>0</v>
      </c>
      <c r="R54" s="3">
        <f>IFERROR(R53/(_xlfn.XLOOKUP(R$6,$F$102:$R$102,$F$103:$R$103)*_xlfn.XLOOKUP($C53,$D$78:$D$98,$F$78:$F$98)),0)</f>
        <v>0</v>
      </c>
    </row>
    <row r="55" spans="1:18" x14ac:dyDescent="0.25">
      <c r="A55" s="1"/>
      <c r="B55" s="4"/>
      <c r="C55" s="4"/>
      <c r="D55" s="4"/>
      <c r="E55" s="4" t="s">
        <v>76</v>
      </c>
      <c r="F55" s="5">
        <f>ROUNDUP(SUM(F54,F52,F50,F48),0)</f>
        <v>4</v>
      </c>
      <c r="G55" s="5">
        <f t="shared" ref="G55:R55" si="25">ROUNDUP(SUM(G54,G52,G50,G48),0)</f>
        <v>7</v>
      </c>
      <c r="H55" s="5">
        <f t="shared" si="25"/>
        <v>3</v>
      </c>
      <c r="I55" s="5">
        <f t="shared" si="25"/>
        <v>0</v>
      </c>
      <c r="J55" s="5">
        <f t="shared" si="25"/>
        <v>3</v>
      </c>
      <c r="K55" s="5">
        <f t="shared" si="25"/>
        <v>3</v>
      </c>
      <c r="L55" s="5">
        <f t="shared" si="25"/>
        <v>4</v>
      </c>
      <c r="M55" s="5">
        <f t="shared" si="25"/>
        <v>2</v>
      </c>
      <c r="N55" s="5">
        <f t="shared" si="25"/>
        <v>0</v>
      </c>
      <c r="O55" s="5">
        <f t="shared" si="25"/>
        <v>0</v>
      </c>
      <c r="P55" s="5">
        <f t="shared" si="25"/>
        <v>1</v>
      </c>
      <c r="Q55" s="5">
        <f t="shared" si="25"/>
        <v>1</v>
      </c>
      <c r="R55" s="5">
        <f t="shared" si="25"/>
        <v>3</v>
      </c>
    </row>
    <row r="56" spans="1:18" x14ac:dyDescent="0.25">
      <c r="A56" s="1"/>
      <c r="B56" s="4"/>
      <c r="C56" s="4"/>
      <c r="D56" s="4"/>
      <c r="E56" s="4" t="s">
        <v>77</v>
      </c>
      <c r="F56" s="5">
        <f t="shared" ref="F56:R56" si="26">SUMIFS($F65:$F73,$E$65:$E$73,$E54)</f>
        <v>5</v>
      </c>
      <c r="G56" s="5">
        <f t="shared" si="26"/>
        <v>5</v>
      </c>
      <c r="H56" s="5">
        <f t="shared" si="26"/>
        <v>5</v>
      </c>
      <c r="I56" s="5">
        <f t="shared" si="26"/>
        <v>5</v>
      </c>
      <c r="J56" s="5">
        <f t="shared" si="26"/>
        <v>5</v>
      </c>
      <c r="K56" s="5">
        <f t="shared" si="26"/>
        <v>5</v>
      </c>
      <c r="L56" s="5">
        <f t="shared" si="26"/>
        <v>5</v>
      </c>
      <c r="M56" s="5">
        <f t="shared" si="26"/>
        <v>5</v>
      </c>
      <c r="N56" s="5">
        <f t="shared" si="26"/>
        <v>5</v>
      </c>
      <c r="O56" s="5">
        <f t="shared" si="26"/>
        <v>5</v>
      </c>
      <c r="P56" s="5">
        <f t="shared" si="26"/>
        <v>5</v>
      </c>
      <c r="Q56" s="5">
        <f t="shared" si="26"/>
        <v>5</v>
      </c>
      <c r="R56" s="5">
        <f t="shared" si="26"/>
        <v>5</v>
      </c>
    </row>
    <row r="57" spans="1:18" x14ac:dyDescent="0.25">
      <c r="A57" s="1"/>
    </row>
    <row r="58" spans="1:18" x14ac:dyDescent="0.25">
      <c r="A58" s="1"/>
    </row>
    <row r="59" spans="1:18" x14ac:dyDescent="0.25">
      <c r="A59" s="1"/>
      <c r="B59" s="270"/>
      <c r="C59" s="270"/>
      <c r="D59" s="270"/>
      <c r="E59" s="270" t="s">
        <v>757</v>
      </c>
      <c r="F59" s="271">
        <f>ROUNDUP(SUM(F27,F44,F55),0)</f>
        <v>36</v>
      </c>
      <c r="G59" s="271">
        <f t="shared" ref="G59:R59" si="27">ROUNDUP(SUM(G27,G44,G55),0)</f>
        <v>15</v>
      </c>
      <c r="H59" s="271">
        <f t="shared" si="27"/>
        <v>21</v>
      </c>
      <c r="I59" s="271">
        <f t="shared" si="27"/>
        <v>22</v>
      </c>
      <c r="J59" s="271">
        <f t="shared" si="27"/>
        <v>26</v>
      </c>
      <c r="K59" s="271">
        <f t="shared" si="27"/>
        <v>31</v>
      </c>
      <c r="L59" s="271">
        <f t="shared" si="27"/>
        <v>21</v>
      </c>
      <c r="M59" s="271">
        <f t="shared" si="27"/>
        <v>2</v>
      </c>
      <c r="N59" s="271">
        <f t="shared" si="27"/>
        <v>0</v>
      </c>
      <c r="O59" s="271">
        <f t="shared" si="27"/>
        <v>0</v>
      </c>
      <c r="P59" s="271">
        <f t="shared" si="27"/>
        <v>24</v>
      </c>
      <c r="Q59" s="271">
        <f t="shared" si="27"/>
        <v>46</v>
      </c>
      <c r="R59" s="271">
        <f t="shared" si="27"/>
        <v>22</v>
      </c>
    </row>
    <row r="60" spans="1:18" x14ac:dyDescent="0.25">
      <c r="A60" s="1"/>
      <c r="B60" s="270"/>
      <c r="C60" s="270"/>
      <c r="D60" s="270"/>
      <c r="E60" s="270" t="s">
        <v>758</v>
      </c>
      <c r="F60" s="271">
        <f>F74</f>
        <v>22</v>
      </c>
      <c r="G60" s="271">
        <f t="shared" ref="G60:R60" si="28">G74</f>
        <v>22</v>
      </c>
      <c r="H60" s="271">
        <f t="shared" si="28"/>
        <v>22</v>
      </c>
      <c r="I60" s="271">
        <f t="shared" si="28"/>
        <v>22</v>
      </c>
      <c r="J60" s="271">
        <f t="shared" si="28"/>
        <v>22</v>
      </c>
      <c r="K60" s="271">
        <f t="shared" si="28"/>
        <v>22</v>
      </c>
      <c r="L60" s="271">
        <f t="shared" si="28"/>
        <v>22</v>
      </c>
      <c r="M60" s="271">
        <f t="shared" si="28"/>
        <v>22</v>
      </c>
      <c r="N60" s="271">
        <f t="shared" si="28"/>
        <v>22</v>
      </c>
      <c r="O60" s="271">
        <f t="shared" si="28"/>
        <v>22</v>
      </c>
      <c r="P60" s="271">
        <f t="shared" si="28"/>
        <v>22</v>
      </c>
      <c r="Q60" s="271">
        <f t="shared" si="28"/>
        <v>21</v>
      </c>
      <c r="R60" s="271">
        <f t="shared" si="28"/>
        <v>17</v>
      </c>
    </row>
    <row r="61" spans="1:18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spans="1:18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spans="1:18" x14ac:dyDescent="0.25">
      <c r="A63" s="1"/>
      <c r="B63" s="267"/>
      <c r="C63" s="267"/>
      <c r="D63" s="10"/>
      <c r="E63" s="10" t="s">
        <v>79</v>
      </c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 spans="1:18" x14ac:dyDescent="0.25">
      <c r="A64" s="1"/>
      <c r="B64" s="268"/>
      <c r="C64" s="268"/>
      <c r="D64" s="251"/>
      <c r="E64" s="251" t="s">
        <v>75</v>
      </c>
      <c r="F64" s="252">
        <v>45748</v>
      </c>
      <c r="G64" s="252">
        <v>45778</v>
      </c>
      <c r="H64" s="252">
        <v>45809</v>
      </c>
      <c r="I64" s="252">
        <v>45839</v>
      </c>
      <c r="J64" s="252">
        <v>45870</v>
      </c>
      <c r="K64" s="252">
        <v>45901</v>
      </c>
      <c r="L64" s="252">
        <v>45931</v>
      </c>
      <c r="M64" s="252">
        <v>45962</v>
      </c>
      <c r="N64" s="252">
        <v>45992</v>
      </c>
      <c r="O64" s="252">
        <v>46023</v>
      </c>
      <c r="P64" s="252">
        <v>46054</v>
      </c>
      <c r="Q64" s="252">
        <v>46082</v>
      </c>
      <c r="R64" s="253" t="s">
        <v>85</v>
      </c>
    </row>
    <row r="65" spans="1:18" x14ac:dyDescent="0.25">
      <c r="A65" s="1"/>
      <c r="B65" s="6"/>
      <c r="C65" s="6"/>
      <c r="D65" s="6"/>
      <c r="E65" s="6" t="s">
        <v>760</v>
      </c>
      <c r="F65" s="7">
        <v>12</v>
      </c>
      <c r="G65" s="7">
        <v>12</v>
      </c>
      <c r="H65" s="7">
        <v>12</v>
      </c>
      <c r="I65" s="7">
        <v>12</v>
      </c>
      <c r="J65" s="7">
        <v>12</v>
      </c>
      <c r="K65" s="7">
        <v>12</v>
      </c>
      <c r="L65" s="7">
        <v>12</v>
      </c>
      <c r="M65" s="7">
        <v>12</v>
      </c>
      <c r="N65" s="7">
        <v>12</v>
      </c>
      <c r="O65" s="7">
        <v>12</v>
      </c>
      <c r="P65" s="7">
        <v>12</v>
      </c>
      <c r="Q65" s="7">
        <v>12</v>
      </c>
      <c r="R65" s="7">
        <v>3</v>
      </c>
    </row>
    <row r="66" spans="1:18" x14ac:dyDescent="0.25">
      <c r="A66" s="1"/>
      <c r="B66" s="2"/>
      <c r="C66" s="2"/>
      <c r="D66" s="2"/>
      <c r="E66" s="2" t="s">
        <v>608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</row>
    <row r="67" spans="1:18" x14ac:dyDescent="0.25">
      <c r="A67" s="1"/>
      <c r="B67" s="6"/>
      <c r="C67" s="6"/>
      <c r="D67" s="6"/>
      <c r="E67" s="6" t="s">
        <v>761</v>
      </c>
      <c r="F67" s="7">
        <v>3</v>
      </c>
      <c r="G67" s="7">
        <v>3</v>
      </c>
      <c r="H67" s="7">
        <v>3</v>
      </c>
      <c r="I67" s="7">
        <v>3</v>
      </c>
      <c r="J67" s="7">
        <v>3</v>
      </c>
      <c r="K67" s="7">
        <v>3</v>
      </c>
      <c r="L67" s="7">
        <v>3</v>
      </c>
      <c r="M67" s="7">
        <v>3</v>
      </c>
      <c r="N67" s="7">
        <v>3</v>
      </c>
      <c r="O67" s="7">
        <v>3</v>
      </c>
      <c r="P67" s="7">
        <v>3</v>
      </c>
      <c r="Q67" s="7">
        <v>5</v>
      </c>
      <c r="R67" s="7">
        <v>3</v>
      </c>
    </row>
    <row r="68" spans="1:18" x14ac:dyDescent="0.25">
      <c r="A68" s="1"/>
      <c r="B68" s="2"/>
      <c r="C68" s="2"/>
      <c r="D68" s="2"/>
      <c r="E68" s="2" t="s">
        <v>762</v>
      </c>
      <c r="F68" s="3">
        <v>5</v>
      </c>
      <c r="G68" s="3">
        <v>5</v>
      </c>
      <c r="H68" s="3">
        <v>5</v>
      </c>
      <c r="I68" s="3">
        <v>5</v>
      </c>
      <c r="J68" s="3">
        <v>5</v>
      </c>
      <c r="K68" s="3">
        <v>5</v>
      </c>
      <c r="L68" s="3">
        <v>5</v>
      </c>
      <c r="M68" s="3">
        <v>5</v>
      </c>
      <c r="N68" s="3">
        <v>5</v>
      </c>
      <c r="O68" s="3">
        <v>5</v>
      </c>
      <c r="P68" s="3">
        <v>5</v>
      </c>
      <c r="Q68" s="3">
        <v>2</v>
      </c>
      <c r="R68" s="3">
        <v>3</v>
      </c>
    </row>
    <row r="69" spans="1:18" x14ac:dyDescent="0.25">
      <c r="A69" s="1"/>
      <c r="B69" s="6"/>
      <c r="C69" s="6"/>
      <c r="D69" s="6"/>
      <c r="E69" s="6" t="s">
        <v>768</v>
      </c>
      <c r="F69" s="7">
        <v>2</v>
      </c>
      <c r="G69" s="7">
        <v>2</v>
      </c>
      <c r="H69" s="7">
        <v>2</v>
      </c>
      <c r="I69" s="7">
        <v>2</v>
      </c>
      <c r="J69" s="7">
        <v>2</v>
      </c>
      <c r="K69" s="7">
        <v>2</v>
      </c>
      <c r="L69" s="7">
        <v>2</v>
      </c>
      <c r="M69" s="7">
        <v>2</v>
      </c>
      <c r="N69" s="7">
        <v>2</v>
      </c>
      <c r="O69" s="7">
        <v>2</v>
      </c>
      <c r="P69" s="7">
        <v>2</v>
      </c>
      <c r="Q69" s="7">
        <v>2</v>
      </c>
      <c r="R69" s="7">
        <v>4</v>
      </c>
    </row>
    <row r="70" spans="1:18" x14ac:dyDescent="0.25">
      <c r="A70" s="1"/>
      <c r="B70" s="2"/>
      <c r="C70" s="2"/>
      <c r="D70" s="2"/>
      <c r="E70" s="2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>
        <v>2</v>
      </c>
    </row>
    <row r="71" spans="1:18" x14ac:dyDescent="0.25">
      <c r="A71" s="1"/>
      <c r="B71" s="6"/>
      <c r="C71" s="6"/>
      <c r="D71" s="6"/>
      <c r="E71" s="6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>
        <v>2</v>
      </c>
    </row>
    <row r="72" spans="1:18" x14ac:dyDescent="0.25">
      <c r="A72" s="1"/>
      <c r="B72" s="2"/>
      <c r="C72" s="2"/>
      <c r="D72" s="2"/>
      <c r="E72" s="2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</row>
    <row r="73" spans="1:18" x14ac:dyDescent="0.25">
      <c r="A73" s="1"/>
      <c r="B73" s="6"/>
      <c r="C73" s="6"/>
      <c r="D73" s="6"/>
      <c r="E73" s="6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</row>
    <row r="74" spans="1:18" x14ac:dyDescent="0.25">
      <c r="A74" s="1"/>
      <c r="B74" s="269"/>
      <c r="C74" s="269"/>
      <c r="D74" s="256"/>
      <c r="E74" s="256" t="s">
        <v>85</v>
      </c>
      <c r="F74" s="257">
        <f>SUM(F65:F73)</f>
        <v>22</v>
      </c>
      <c r="G74" s="257">
        <f t="shared" ref="G74:R74" si="29">SUM(G65:G73)</f>
        <v>22</v>
      </c>
      <c r="H74" s="257">
        <f t="shared" si="29"/>
        <v>22</v>
      </c>
      <c r="I74" s="257">
        <f t="shared" si="29"/>
        <v>22</v>
      </c>
      <c r="J74" s="257">
        <f t="shared" si="29"/>
        <v>22</v>
      </c>
      <c r="K74" s="257">
        <f t="shared" si="29"/>
        <v>22</v>
      </c>
      <c r="L74" s="257">
        <f t="shared" si="29"/>
        <v>22</v>
      </c>
      <c r="M74" s="257">
        <f t="shared" si="29"/>
        <v>22</v>
      </c>
      <c r="N74" s="257">
        <f t="shared" si="29"/>
        <v>22</v>
      </c>
      <c r="O74" s="257">
        <f t="shared" si="29"/>
        <v>22</v>
      </c>
      <c r="P74" s="257">
        <f t="shared" si="29"/>
        <v>22</v>
      </c>
      <c r="Q74" s="257">
        <f t="shared" si="29"/>
        <v>21</v>
      </c>
      <c r="R74" s="257">
        <f t="shared" si="29"/>
        <v>17</v>
      </c>
    </row>
    <row r="75" spans="1:18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spans="1:18" x14ac:dyDescent="0.25">
      <c r="A76" s="1"/>
      <c r="B76" s="267"/>
      <c r="C76" s="267"/>
      <c r="D76" s="10"/>
      <c r="E76" s="10" t="s">
        <v>80</v>
      </c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 spans="1:18" x14ac:dyDescent="0.25">
      <c r="A77" s="1"/>
      <c r="B77" s="268"/>
      <c r="C77" s="268"/>
      <c r="D77" s="251"/>
      <c r="E77" s="251" t="s">
        <v>27</v>
      </c>
      <c r="F77" s="251" t="s">
        <v>81</v>
      </c>
      <c r="G77" s="251" t="s">
        <v>604</v>
      </c>
      <c r="H77" s="251" t="s">
        <v>605</v>
      </c>
      <c r="I77" s="1"/>
      <c r="J77" s="1"/>
      <c r="K77" s="1"/>
      <c r="L77" s="1"/>
      <c r="M77" s="1"/>
      <c r="N77" s="1"/>
      <c r="O77" s="1"/>
      <c r="P77" s="1"/>
      <c r="Q77" s="1"/>
      <c r="R77" s="1"/>
    </row>
    <row r="78" spans="1:18" x14ac:dyDescent="0.25">
      <c r="A78" s="1"/>
      <c r="B78" s="6"/>
      <c r="C78" s="6">
        <v>3</v>
      </c>
      <c r="D78" s="6">
        <v>1001</v>
      </c>
      <c r="E78" s="6" t="str">
        <f>IFERROR(_xlfn.XLOOKUP(D78,Apoio!A:A,Apoio!B:B),"")</f>
        <v xml:space="preserve">Terraceamento                 </v>
      </c>
      <c r="F78" s="7">
        <f>IFERROR(G78*H78,0)</f>
        <v>10.28</v>
      </c>
      <c r="G78" s="7">
        <f>IFERROR(_xlfn.XLOOKUP($D78,'Rendimentos '!$B:$B,'Rendimentos '!$H:$H),"")</f>
        <v>2.4</v>
      </c>
      <c r="H78" s="7">
        <f>IFERROR(_xlfn.XLOOKUP(D78,'Plano Horas'!C:C,'Plano Horas'!P:P),"")</f>
        <v>4.2833333333333332</v>
      </c>
      <c r="I78" s="1"/>
      <c r="J78" s="1"/>
      <c r="K78" s="1"/>
      <c r="L78" s="1"/>
      <c r="M78" s="1"/>
      <c r="N78" s="1"/>
      <c r="O78" s="1"/>
      <c r="P78" s="1"/>
      <c r="Q78" s="1"/>
      <c r="R78" s="1"/>
    </row>
    <row r="79" spans="1:18" x14ac:dyDescent="0.25">
      <c r="A79" s="1"/>
      <c r="B79" s="2"/>
      <c r="C79" s="2"/>
      <c r="D79" s="2">
        <v>1002</v>
      </c>
      <c r="E79" s="2" t="str">
        <f>IFERROR(_xlfn.XLOOKUP(D79,Apoio!A:A,Apoio!B:B),"")</f>
        <v xml:space="preserve">Terraplanagem                 </v>
      </c>
      <c r="F79" s="3">
        <f t="shared" ref="F79:F98" si="30">IFERROR(G79*H79,0)</f>
        <v>5.3847619047619064</v>
      </c>
      <c r="G79" s="3">
        <f>IFERROR(_xlfn.XLOOKUP($D79,'Rendimentos '!$B:$B,'Rendimentos '!$H:$H),"")</f>
        <v>1.2571428571428576</v>
      </c>
      <c r="H79" s="3">
        <f>IFERROR(_xlfn.XLOOKUP(D79,'Plano Horas'!C:C,'Plano Horas'!P:P),"")</f>
        <v>4.2833333333333332</v>
      </c>
      <c r="I79" s="1"/>
      <c r="J79" s="1"/>
      <c r="K79" s="1"/>
      <c r="L79" s="1"/>
      <c r="M79" s="1"/>
      <c r="N79" s="1"/>
      <c r="O79" s="1"/>
      <c r="P79" s="1"/>
      <c r="Q79" s="1"/>
      <c r="R79" s="1"/>
    </row>
    <row r="80" spans="1:18" x14ac:dyDescent="0.25">
      <c r="A80" s="1"/>
      <c r="B80" s="6"/>
      <c r="C80" s="6"/>
      <c r="D80" s="6">
        <v>1003</v>
      </c>
      <c r="E80" s="6" t="str">
        <f>IFERROR(_xlfn.XLOOKUP(D80,Apoio!A:A,Apoio!B:B),"")</f>
        <v xml:space="preserve">Conservação De Estradas       </v>
      </c>
      <c r="F80" s="7">
        <f t="shared" si="30"/>
        <v>5.2011904761904777</v>
      </c>
      <c r="G80" s="7">
        <f>IFERROR(_xlfn.XLOOKUP($D80,'Rendimentos '!$B:$B,'Rendimentos '!$H:$H),"")</f>
        <v>1.2142857142857146</v>
      </c>
      <c r="H80" s="7">
        <f>IFERROR(_xlfn.XLOOKUP(D80,'Plano Horas'!C:C,'Plano Horas'!P:P),"")</f>
        <v>4.2833333333333332</v>
      </c>
      <c r="I80" s="1"/>
      <c r="J80" s="1"/>
      <c r="K80" s="1"/>
      <c r="L80" s="1"/>
      <c r="M80" s="1"/>
      <c r="N80" s="1"/>
      <c r="O80" s="1"/>
      <c r="P80" s="1"/>
      <c r="Q80" s="1"/>
      <c r="R80" s="1"/>
    </row>
    <row r="81" spans="1:18" x14ac:dyDescent="0.25">
      <c r="A81" s="1"/>
      <c r="B81" s="2"/>
      <c r="C81" s="2"/>
      <c r="D81" s="2">
        <v>1004</v>
      </c>
      <c r="E81" s="2" t="str">
        <f>IFERROR(_xlfn.XLOOKUP(D81,Apoio!A:A,Apoio!B:B),"")</f>
        <v xml:space="preserve">Curva Em Nível                </v>
      </c>
      <c r="F81" s="3">
        <f t="shared" si="30"/>
        <v>12.85</v>
      </c>
      <c r="G81" s="3">
        <f>IFERROR(_xlfn.XLOOKUP($D81,'Rendimentos '!$B:$B,'Rendimentos '!$H:$H),"")</f>
        <v>3</v>
      </c>
      <c r="H81" s="3">
        <f>IFERROR(_xlfn.XLOOKUP(D81,'Plano Horas'!C:C,'Plano Horas'!P:P),"")</f>
        <v>4.2833333333333332</v>
      </c>
      <c r="I81" s="1"/>
      <c r="J81" s="1"/>
      <c r="K81" s="1"/>
      <c r="L81" s="1"/>
      <c r="M81" s="1"/>
      <c r="N81" s="1"/>
      <c r="O81" s="1"/>
      <c r="P81" s="1"/>
      <c r="Q81" s="1"/>
      <c r="R81" s="1"/>
    </row>
    <row r="82" spans="1:18" x14ac:dyDescent="0.25">
      <c r="A82" s="1"/>
      <c r="B82" s="6"/>
      <c r="C82" s="6"/>
      <c r="D82" s="6">
        <v>1005</v>
      </c>
      <c r="E82" s="6" t="str">
        <f>IFERROR(_xlfn.XLOOKUP(D82,Apoio!A:A,Apoio!B:B),"")</f>
        <v xml:space="preserve">Sistematização                </v>
      </c>
      <c r="F82" s="7">
        <f t="shared" si="30"/>
        <v>14.135000000000002</v>
      </c>
      <c r="G82" s="7">
        <f>IFERROR(_xlfn.XLOOKUP($D82,'Rendimentos '!$B:$B,'Rendimentos '!$H:$H),"")</f>
        <v>3.3000000000000003</v>
      </c>
      <c r="H82" s="7">
        <f>IFERROR(_xlfn.XLOOKUP(D82,'Plano Horas'!C:C,'Plano Horas'!P:P),"")</f>
        <v>4.2833333333333332</v>
      </c>
      <c r="I82" s="1"/>
      <c r="J82" s="1"/>
      <c r="K82" s="1"/>
      <c r="L82" s="1"/>
      <c r="M82" s="1"/>
      <c r="N82" s="1"/>
      <c r="O82" s="1"/>
      <c r="P82" s="1"/>
      <c r="Q82" s="1"/>
      <c r="R82" s="1"/>
    </row>
    <row r="83" spans="1:18" x14ac:dyDescent="0.25">
      <c r="A83" s="1"/>
      <c r="B83" s="2"/>
      <c r="C83" s="2"/>
      <c r="D83" s="2">
        <v>1011</v>
      </c>
      <c r="E83" s="2" t="str">
        <f>IFERROR(_xlfn.XLOOKUP(D83,Apoio!A:A,Apoio!B:B),"")</f>
        <v xml:space="preserve">Aração                        </v>
      </c>
      <c r="F83" s="3">
        <f t="shared" si="30"/>
        <v>2.1416666666666666</v>
      </c>
      <c r="G83" s="3">
        <f>IFERROR(_xlfn.XLOOKUP($D83,'Rendimentos '!$B:$B,'Rendimentos '!$H:$H),"")</f>
        <v>0.5</v>
      </c>
      <c r="H83" s="3">
        <f>IFERROR(_xlfn.XLOOKUP(D83,'Plano Horas'!C:C,'Plano Horas'!P:P),"")</f>
        <v>4.2833333333333332</v>
      </c>
      <c r="I83" s="1"/>
      <c r="J83" s="1"/>
      <c r="K83" s="1"/>
      <c r="L83" s="1"/>
      <c r="M83" s="1"/>
      <c r="N83" s="1"/>
      <c r="O83" s="1"/>
      <c r="P83" s="1"/>
      <c r="Q83" s="1"/>
      <c r="R83" s="1"/>
    </row>
    <row r="84" spans="1:18" x14ac:dyDescent="0.25">
      <c r="A84" s="1"/>
      <c r="B84" s="6"/>
      <c r="C84" s="6"/>
      <c r="D84" s="6">
        <v>1013</v>
      </c>
      <c r="E84" s="6" t="str">
        <f>IFERROR(_xlfn.XLOOKUP(D84,Apoio!A:A,Apoio!B:B),"")</f>
        <v xml:space="preserve">Gradagem Aradora              </v>
      </c>
      <c r="F84" s="7">
        <f t="shared" si="30"/>
        <v>4.2716666666666674</v>
      </c>
      <c r="G84" s="7">
        <f>IFERROR(_xlfn.XLOOKUP($D84,'Rendimentos '!$B:$B,'Rendimentos '!$H:$H),"")</f>
        <v>1.1000000000000001</v>
      </c>
      <c r="H84" s="7">
        <f>IFERROR(_xlfn.XLOOKUP(D84,'Plano Horas'!C:C,'Plano Horas'!P:P),"")</f>
        <v>3.8833333333333333</v>
      </c>
      <c r="I84" s="1"/>
      <c r="J84" s="1"/>
      <c r="K84" s="1"/>
      <c r="L84" s="1"/>
      <c r="M84" s="1"/>
      <c r="N84" s="1"/>
      <c r="O84" s="1"/>
      <c r="P84" s="1"/>
      <c r="Q84" s="1"/>
      <c r="R84" s="1"/>
    </row>
    <row r="85" spans="1:18" x14ac:dyDescent="0.25">
      <c r="A85" s="1"/>
      <c r="B85" s="2"/>
      <c r="C85" s="2"/>
      <c r="D85" s="2">
        <v>1014</v>
      </c>
      <c r="E85" s="2" t="str">
        <f>IFERROR(_xlfn.XLOOKUP(D85,Apoio!A:A,Apoio!B:B),"")</f>
        <v xml:space="preserve">Gradagem Intermediária        </v>
      </c>
      <c r="F85" s="3">
        <f t="shared" si="30"/>
        <v>5.8250000000000002</v>
      </c>
      <c r="G85" s="3">
        <f>IFERROR(_xlfn.XLOOKUP($D85,'Rendimentos '!$B:$B,'Rendimentos '!$H:$H),"")</f>
        <v>1.5</v>
      </c>
      <c r="H85" s="3">
        <f>IFERROR(_xlfn.XLOOKUP(D85,'Plano Horas'!C:C,'Plano Horas'!P:P),"")</f>
        <v>3.8833333333333333</v>
      </c>
      <c r="I85" s="1"/>
      <c r="J85" s="1"/>
      <c r="K85" s="1"/>
      <c r="L85" s="1"/>
      <c r="M85" s="1"/>
      <c r="N85" s="1"/>
      <c r="O85" s="1"/>
      <c r="P85" s="1"/>
      <c r="Q85" s="1"/>
      <c r="R85" s="1"/>
    </row>
    <row r="86" spans="1:18" x14ac:dyDescent="0.25">
      <c r="A86" s="1"/>
      <c r="B86" s="6"/>
      <c r="C86" s="6"/>
      <c r="D86" s="6">
        <v>1015</v>
      </c>
      <c r="E86" s="6" t="str">
        <f>IFERROR(_xlfn.XLOOKUP(D86,Apoio!A:A,Apoio!B:B),"")</f>
        <v xml:space="preserve">Gradagem Niveladora           </v>
      </c>
      <c r="F86" s="7">
        <f t="shared" si="30"/>
        <v>8.5433333333333348</v>
      </c>
      <c r="G86" s="7">
        <f>IFERROR(_xlfn.XLOOKUP($D86,'Rendimentos '!$B:$B,'Rendimentos '!$H:$H),"")</f>
        <v>2.2000000000000002</v>
      </c>
      <c r="H86" s="7">
        <f>IFERROR(_xlfn.XLOOKUP(D86,'Plano Horas'!C:C,'Plano Horas'!P:P),"")</f>
        <v>3.8833333333333333</v>
      </c>
      <c r="I86" s="1"/>
      <c r="J86" s="1"/>
      <c r="K86" s="1"/>
      <c r="L86" s="1"/>
      <c r="M86" s="1"/>
      <c r="N86" s="1"/>
      <c r="O86" s="1"/>
      <c r="P86" s="1"/>
      <c r="Q86" s="1"/>
      <c r="R86" s="1"/>
    </row>
    <row r="87" spans="1:18" x14ac:dyDescent="0.25">
      <c r="A87" s="1"/>
      <c r="B87" s="2"/>
      <c r="C87" s="2"/>
      <c r="D87" s="2">
        <v>1016</v>
      </c>
      <c r="E87" s="2" t="str">
        <f>IFERROR(_xlfn.XLOOKUP(D87,Apoio!A:A,Apoio!B:B),"")</f>
        <v xml:space="preserve">Subsolagem                    </v>
      </c>
      <c r="F87" s="3">
        <f t="shared" si="30"/>
        <v>3.4950000000000001</v>
      </c>
      <c r="G87" s="3">
        <f>IFERROR(_xlfn.XLOOKUP($D87,'Rendimentos '!$B:$B,'Rendimentos '!$H:$H),"")</f>
        <v>0.9</v>
      </c>
      <c r="H87" s="3">
        <f>IFERROR(_xlfn.XLOOKUP(D87,'Plano Horas'!C:C,'Plano Horas'!P:P),"")</f>
        <v>3.8833333333333333</v>
      </c>
      <c r="I87" s="1"/>
      <c r="J87" s="1"/>
      <c r="K87" s="1"/>
      <c r="L87" s="1"/>
      <c r="M87" s="1"/>
      <c r="N87" s="1"/>
      <c r="O87" s="1"/>
      <c r="P87" s="1"/>
      <c r="Q87" s="1"/>
      <c r="R87" s="1"/>
    </row>
    <row r="88" spans="1:18" x14ac:dyDescent="0.25">
      <c r="A88" s="1"/>
      <c r="B88" s="6"/>
      <c r="C88" s="6"/>
      <c r="D88" s="6">
        <v>1019</v>
      </c>
      <c r="E88" s="6" t="str">
        <f>IFERROR(_xlfn.XLOOKUP(D88,Apoio!A:A,Apoio!B:B),"")</f>
        <v xml:space="preserve">Destruição De Soqueira / Sph  </v>
      </c>
      <c r="F88" s="7">
        <f t="shared" si="30"/>
        <v>4.2833333333333332</v>
      </c>
      <c r="G88" s="7">
        <f>IFERROR(_xlfn.XLOOKUP($D88,'Rendimentos '!$B:$B,'Rendimentos '!$H:$H),"")</f>
        <v>1</v>
      </c>
      <c r="H88" s="7">
        <f>IFERROR(_xlfn.XLOOKUP(D88,'Plano Horas'!C:C,'Plano Horas'!P:P),"")</f>
        <v>4.2833333333333332</v>
      </c>
      <c r="I88" s="1"/>
      <c r="J88" s="1"/>
      <c r="K88" s="1"/>
      <c r="L88" s="1"/>
      <c r="M88" s="1"/>
      <c r="N88" s="1"/>
      <c r="O88" s="1"/>
      <c r="P88" s="1"/>
      <c r="Q88" s="1"/>
      <c r="R88" s="1"/>
    </row>
    <row r="89" spans="1:18" x14ac:dyDescent="0.25">
      <c r="A89" s="1"/>
      <c r="B89" s="2"/>
      <c r="C89" s="2"/>
      <c r="D89" s="2">
        <v>1081</v>
      </c>
      <c r="E89" s="2" t="str">
        <f>IFERROR(_xlfn.XLOOKUP(D89,Apoio!A:A,Apoio!B:B),"")</f>
        <v xml:space="preserve">Canterizador De Cana          </v>
      </c>
      <c r="F89" s="3">
        <f t="shared" si="30"/>
        <v>4.2833333333333332</v>
      </c>
      <c r="G89" s="3">
        <f>IFERROR(_xlfn.XLOOKUP($D89,'Rendimentos '!$B:$B,'Rendimentos '!$H:$H),"")</f>
        <v>1</v>
      </c>
      <c r="H89" s="3">
        <f>IFERROR(_xlfn.XLOOKUP(D89,'Plano Horas'!C:C,'Plano Horas'!P:P),"")</f>
        <v>4.2833333333333332</v>
      </c>
      <c r="I89" s="1"/>
      <c r="J89" s="1"/>
      <c r="K89" s="1"/>
      <c r="L89" s="1"/>
      <c r="M89" s="1"/>
      <c r="N89" s="1"/>
      <c r="O89" s="1"/>
      <c r="P89" s="1"/>
      <c r="Q89" s="1"/>
      <c r="R89" s="1"/>
    </row>
    <row r="90" spans="1:18" x14ac:dyDescent="0.25">
      <c r="A90" s="1"/>
      <c r="B90" s="6"/>
      <c r="C90" s="6"/>
      <c r="D90" s="6">
        <v>1001</v>
      </c>
      <c r="E90" s="6" t="str">
        <f>IFERROR(_xlfn.XLOOKUP(D90,Apoio!A:A,Apoio!B:B),"")</f>
        <v xml:space="preserve">Terraceamento                 </v>
      </c>
      <c r="F90" s="7">
        <f t="shared" ref="F90:F97" si="31">IFERROR(G90*H90,0)</f>
        <v>10.28</v>
      </c>
      <c r="G90" s="7">
        <f>IFERROR(_xlfn.XLOOKUP($D90,'Rendimentos '!$B:$B,'Rendimentos '!$H:$H),"")</f>
        <v>2.4</v>
      </c>
      <c r="H90" s="7">
        <f>IFERROR(_xlfn.XLOOKUP(D90,'Plano Horas'!C:C,'Plano Horas'!P:P),"")</f>
        <v>4.2833333333333332</v>
      </c>
      <c r="I90" s="1"/>
      <c r="J90" s="1"/>
      <c r="K90" s="1"/>
      <c r="L90" s="1"/>
      <c r="M90" s="1"/>
      <c r="N90" s="1"/>
      <c r="O90" s="1"/>
      <c r="P90" s="1"/>
      <c r="Q90" s="1"/>
      <c r="R90" s="1"/>
    </row>
    <row r="91" spans="1:18" x14ac:dyDescent="0.25">
      <c r="A91" s="1"/>
      <c r="B91" s="2"/>
      <c r="C91" s="2"/>
      <c r="D91" s="2">
        <v>1055</v>
      </c>
      <c r="E91" s="2" t="str">
        <f>IFERROR(_xlfn.XLOOKUP(D91,Apoio!A:A,Apoio!B:B),"")</f>
        <v>(Pá) Carregamento Terra-Outros</v>
      </c>
      <c r="F91" s="3">
        <f t="shared" si="31"/>
        <v>0</v>
      </c>
      <c r="G91" s="3" t="str">
        <f>IFERROR(_xlfn.XLOOKUP($D91,'Rendimentos '!$B:$B,'Rendimentos '!$H:$H),"")</f>
        <v/>
      </c>
      <c r="H91" s="3" t="str">
        <f>IFERROR(_xlfn.XLOOKUP(D91,'Plano Horas'!C:C,'Plano Horas'!P:P),"")</f>
        <v/>
      </c>
      <c r="I91" s="1"/>
      <c r="J91" s="1"/>
      <c r="K91" s="1"/>
      <c r="L91" s="1"/>
      <c r="M91" s="1"/>
      <c r="N91" s="1"/>
      <c r="O91" s="1"/>
      <c r="P91" s="1"/>
      <c r="Q91" s="1"/>
      <c r="R91" s="1"/>
    </row>
    <row r="92" spans="1:18" x14ac:dyDescent="0.25">
      <c r="A92" s="1"/>
      <c r="B92" s="6"/>
      <c r="C92" s="6"/>
      <c r="D92" s="6">
        <v>1071</v>
      </c>
      <c r="E92" s="6" t="str">
        <f>IFERROR(_xlfn.XLOOKUP(D92,Apoio!A:A,Apoio!B:B),"")</f>
        <v xml:space="preserve">Aplicação Mista Correção Solo </v>
      </c>
      <c r="F92" s="7">
        <f t="shared" si="31"/>
        <v>14.533333333333331</v>
      </c>
      <c r="G92" s="7">
        <f>IFERROR(_xlfn.XLOOKUP($D92,'Rendimentos '!$B:$B,'Rendimentos '!$H:$H),"")</f>
        <v>4</v>
      </c>
      <c r="H92" s="7">
        <f>IFERROR(_xlfn.XLOOKUP(D92,'Plano Horas'!C:C,'Plano Horas'!P:P),"")</f>
        <v>3.6333333333333329</v>
      </c>
      <c r="I92" s="1"/>
      <c r="J92" s="1"/>
      <c r="K92" s="1"/>
      <c r="L92" s="1"/>
      <c r="M92" s="1"/>
      <c r="N92" s="1"/>
      <c r="O92" s="1"/>
      <c r="P92" s="1"/>
      <c r="Q92" s="1"/>
      <c r="R92" s="1"/>
    </row>
    <row r="93" spans="1:18" x14ac:dyDescent="0.25">
      <c r="A93" s="1"/>
      <c r="B93" s="2"/>
      <c r="C93" s="2"/>
      <c r="D93" s="2">
        <v>1004</v>
      </c>
      <c r="E93" s="2" t="str">
        <f>IFERROR(_xlfn.XLOOKUP(D93,Apoio!A:A,Apoio!B:B),"")</f>
        <v xml:space="preserve">Curva Em Nível                </v>
      </c>
      <c r="F93" s="3">
        <f t="shared" si="31"/>
        <v>12.85</v>
      </c>
      <c r="G93" s="3">
        <f>IFERROR(_xlfn.XLOOKUP($D93,'Rendimentos '!$B:$B,'Rendimentos '!$H:$H),"")</f>
        <v>3</v>
      </c>
      <c r="H93" s="3">
        <f>IFERROR(_xlfn.XLOOKUP(D93,'Plano Horas'!C:C,'Plano Horas'!P:P),"")</f>
        <v>4.2833333333333332</v>
      </c>
      <c r="I93" s="1"/>
      <c r="J93" s="1"/>
      <c r="K93" s="1"/>
      <c r="L93" s="1"/>
      <c r="M93" s="1"/>
      <c r="N93" s="1"/>
      <c r="O93" s="1"/>
      <c r="P93" s="1"/>
      <c r="Q93" s="1"/>
      <c r="R93" s="1"/>
    </row>
    <row r="94" spans="1:18" x14ac:dyDescent="0.25">
      <c r="A94" s="1"/>
      <c r="B94" s="6"/>
      <c r="C94" s="6"/>
      <c r="D94" s="6">
        <v>1005</v>
      </c>
      <c r="E94" s="6" t="str">
        <f>IFERROR(_xlfn.XLOOKUP(D94,Apoio!A:A,Apoio!B:B),"")</f>
        <v xml:space="preserve">Sistematização                </v>
      </c>
      <c r="F94" s="7">
        <f t="shared" si="31"/>
        <v>14.135000000000002</v>
      </c>
      <c r="G94" s="7">
        <f>IFERROR(_xlfn.XLOOKUP($D94,'Rendimentos '!$B:$B,'Rendimentos '!$H:$H),"")</f>
        <v>3.3000000000000003</v>
      </c>
      <c r="H94" s="7">
        <f>IFERROR(_xlfn.XLOOKUP(D94,'Plano Horas'!C:C,'Plano Horas'!P:P),"")</f>
        <v>4.2833333333333332</v>
      </c>
      <c r="I94" s="1"/>
      <c r="J94" s="1"/>
      <c r="K94" s="1"/>
      <c r="L94" s="1"/>
      <c r="M94" s="1"/>
      <c r="N94" s="1"/>
      <c r="O94" s="1"/>
      <c r="P94" s="1"/>
      <c r="Q94" s="1"/>
      <c r="R94" s="1"/>
    </row>
    <row r="95" spans="1:18" x14ac:dyDescent="0.25">
      <c r="A95" s="1"/>
      <c r="B95" s="2"/>
      <c r="C95" s="2"/>
      <c r="D95" s="2">
        <v>1033</v>
      </c>
      <c r="E95" s="2" t="str">
        <f>IFERROR(_xlfn.XLOOKUP(D95,Apoio!A:A,Apoio!B:B),"")</f>
        <v xml:space="preserve">Aplicação De Torta De Filtro  </v>
      </c>
      <c r="F95" s="3">
        <f t="shared" ref="F95:F96" si="32">IFERROR(G95*H95,0)</f>
        <v>2.9733333333333336</v>
      </c>
      <c r="G95" s="3">
        <f>IFERROR(_xlfn.XLOOKUP($D95,'Rendimentos '!$B:$B,'Rendimentos '!$H:$H),"")</f>
        <v>0.8</v>
      </c>
      <c r="H95" s="3">
        <f>IFERROR(_xlfn.XLOOKUP(D95,'Plano Horas'!C:C,'Plano Horas'!P:P),"")</f>
        <v>3.7166666666666668</v>
      </c>
      <c r="I95" s="1"/>
      <c r="J95" s="1"/>
      <c r="K95" s="1"/>
      <c r="L95" s="1"/>
      <c r="M95" s="1"/>
      <c r="N95" s="1"/>
      <c r="O95" s="1"/>
      <c r="P95" s="1"/>
      <c r="Q95" s="1"/>
      <c r="R95" s="1"/>
    </row>
    <row r="96" spans="1:18" x14ac:dyDescent="0.25">
      <c r="A96" s="1"/>
      <c r="B96" s="6"/>
      <c r="C96" s="6"/>
      <c r="D96" s="6">
        <v>1061</v>
      </c>
      <c r="E96" s="6" t="str">
        <f>IFERROR(_xlfn.XLOOKUP(D96,Apoio!A:A,Apoio!B:B),"")</f>
        <v xml:space="preserve">Enfardamento De Palha         </v>
      </c>
      <c r="F96" s="7">
        <f t="shared" si="32"/>
        <v>8.5433333333333348</v>
      </c>
      <c r="G96" s="7">
        <f>IFERROR(_xlfn.XLOOKUP($D96,'Rendimentos '!$B:$B,'Rendimentos '!$H:$H),"")</f>
        <v>2.2000000000000002</v>
      </c>
      <c r="H96" s="7">
        <f>IFERROR(_xlfn.XLOOKUP(D96,'Plano Horas'!C:C,'Plano Horas'!P:P),"")</f>
        <v>3.8833333333333333</v>
      </c>
      <c r="I96" s="1"/>
      <c r="J96" s="1"/>
      <c r="K96" s="1"/>
      <c r="L96" s="1"/>
      <c r="M96" s="1"/>
      <c r="N96" s="1"/>
      <c r="O96" s="1"/>
      <c r="P96" s="1"/>
      <c r="Q96" s="1"/>
      <c r="R96" s="1"/>
    </row>
    <row r="97" spans="1:18" x14ac:dyDescent="0.25">
      <c r="A97" s="1"/>
      <c r="B97" s="2"/>
      <c r="C97" s="2"/>
      <c r="D97" s="2">
        <v>1011</v>
      </c>
      <c r="E97" s="2" t="str">
        <f>IFERROR(_xlfn.XLOOKUP(D97,Apoio!A:A,Apoio!B:B),"")</f>
        <v xml:space="preserve">Aração                        </v>
      </c>
      <c r="F97" s="3">
        <f t="shared" si="31"/>
        <v>2.1416666666666666</v>
      </c>
      <c r="G97" s="3">
        <f>IFERROR(_xlfn.XLOOKUP($D97,'Rendimentos '!$B:$B,'Rendimentos '!$H:$H),"")</f>
        <v>0.5</v>
      </c>
      <c r="H97" s="3">
        <f>IFERROR(_xlfn.XLOOKUP(D97,'Plano Horas'!C:C,'Plano Horas'!P:P),"")</f>
        <v>4.2833333333333332</v>
      </c>
      <c r="I97" s="1"/>
      <c r="J97" s="1"/>
      <c r="K97" s="1"/>
      <c r="L97" s="1"/>
      <c r="M97" s="1"/>
      <c r="N97" s="1"/>
      <c r="O97" s="1"/>
      <c r="P97" s="1"/>
      <c r="Q97" s="1"/>
      <c r="R97" s="1"/>
    </row>
    <row r="98" spans="1:18" x14ac:dyDescent="0.25">
      <c r="A98" s="1"/>
      <c r="B98" s="6"/>
      <c r="C98" s="6"/>
      <c r="D98" s="6">
        <v>1106</v>
      </c>
      <c r="E98" s="6" t="str">
        <f>IFERROR(_xlfn.XLOOKUP(D98,Apoio!A:A,Apoio!B:B),"")</f>
        <v xml:space="preserve">Enxada Rotativa               </v>
      </c>
      <c r="F98" s="7">
        <f t="shared" si="30"/>
        <v>0</v>
      </c>
      <c r="G98" s="7">
        <f>IFERROR(_xlfn.XLOOKUP($D98,'Rendimentos '!$B:$B,'Rendimentos '!$H:$H),"")</f>
        <v>0</v>
      </c>
      <c r="H98" s="7" t="str">
        <f>IFERROR(_xlfn.XLOOKUP(D98,'Plano Horas'!C:C,'Plano Horas'!P:P),"")</f>
        <v/>
      </c>
      <c r="I98" s="1"/>
      <c r="J98" s="1"/>
      <c r="K98" s="1"/>
      <c r="L98" s="1"/>
      <c r="M98" s="1"/>
      <c r="N98" s="1"/>
      <c r="O98" s="1"/>
      <c r="P98" s="1"/>
      <c r="Q98" s="1"/>
      <c r="R98" s="1"/>
    </row>
    <row r="99" spans="1:18" x14ac:dyDescent="0.25">
      <c r="A99" s="1"/>
      <c r="B99" s="1"/>
      <c r="C99" s="1"/>
      <c r="D99" s="1"/>
      <c r="E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</row>
    <row r="100" spans="1:18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</row>
    <row r="101" spans="1:18" x14ac:dyDescent="0.25">
      <c r="A101" s="1"/>
      <c r="B101" s="267"/>
      <c r="C101" s="267"/>
      <c r="D101" s="10"/>
      <c r="E101" s="10" t="s">
        <v>82</v>
      </c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</row>
    <row r="102" spans="1:18" x14ac:dyDescent="0.25">
      <c r="A102" s="1"/>
      <c r="B102" s="268"/>
      <c r="C102" s="268"/>
      <c r="D102" s="251"/>
      <c r="E102" s="251" t="s">
        <v>75</v>
      </c>
      <c r="F102" s="252">
        <v>45748</v>
      </c>
      <c r="G102" s="252">
        <v>45778</v>
      </c>
      <c r="H102" s="252">
        <v>45809</v>
      </c>
      <c r="I102" s="252">
        <v>45839</v>
      </c>
      <c r="J102" s="252">
        <v>45870</v>
      </c>
      <c r="K102" s="252">
        <v>45901</v>
      </c>
      <c r="L102" s="252">
        <v>45931</v>
      </c>
      <c r="M102" s="252">
        <v>45962</v>
      </c>
      <c r="N102" s="252">
        <v>45992</v>
      </c>
      <c r="O102" s="252">
        <v>46023</v>
      </c>
      <c r="P102" s="252">
        <v>46054</v>
      </c>
      <c r="Q102" s="252">
        <v>46082</v>
      </c>
      <c r="R102" s="253" t="s">
        <v>85</v>
      </c>
    </row>
    <row r="103" spans="1:18" x14ac:dyDescent="0.25">
      <c r="A103" s="1"/>
      <c r="B103" s="6"/>
      <c r="C103" s="6"/>
      <c r="D103" s="6"/>
      <c r="E103" s="6" t="s">
        <v>82</v>
      </c>
      <c r="F103" s="7">
        <v>23.520533325890941</v>
      </c>
      <c r="G103" s="7">
        <v>26</v>
      </c>
      <c r="H103" s="7">
        <v>28</v>
      </c>
      <c r="I103" s="7">
        <v>30</v>
      </c>
      <c r="J103" s="7">
        <v>29</v>
      </c>
      <c r="K103" s="7">
        <v>27</v>
      </c>
      <c r="L103" s="7">
        <v>23.230304018251051</v>
      </c>
      <c r="M103" s="7">
        <v>20.77940324725931</v>
      </c>
      <c r="N103" s="7">
        <v>14.2</v>
      </c>
      <c r="O103" s="7">
        <v>9.1999999999999993</v>
      </c>
      <c r="P103" s="7">
        <v>11.2</v>
      </c>
      <c r="Q103" s="7">
        <v>18</v>
      </c>
      <c r="R103" s="7">
        <f>SUM(F103:Q103)</f>
        <v>260.13024059140128</v>
      </c>
    </row>
    <row r="104" spans="1:18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</row>
    <row r="105" spans="1:18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</row>
  </sheetData>
  <mergeCells count="3">
    <mergeCell ref="B7:B26"/>
    <mergeCell ref="B30:B43"/>
    <mergeCell ref="B47:B54"/>
  </mergeCells>
  <conditionalFormatting sqref="F27:R27">
    <cfRule type="expression" dxfId="9" priority="5">
      <formula>F27&gt;F28</formula>
    </cfRule>
  </conditionalFormatting>
  <conditionalFormatting sqref="F44:R44">
    <cfRule type="expression" dxfId="8" priority="3">
      <formula>F44&gt;F45</formula>
    </cfRule>
  </conditionalFormatting>
  <conditionalFormatting sqref="F55:R55">
    <cfRule type="expression" dxfId="7" priority="2">
      <formula>F55&gt;F56</formula>
    </cfRule>
  </conditionalFormatting>
  <conditionalFormatting sqref="F59:R59">
    <cfRule type="expression" dxfId="6" priority="6">
      <formula>F59&gt;F60</formula>
    </cfRule>
  </conditionalFormatting>
  <pageMargins left="0.7" right="0.7" top="0.75" bottom="0.75" header="0.3" footer="0.3"/>
  <pageSetup paperSize="9" orientation="portrait" r:id="rId1"/>
  <ignoredErrors>
    <ignoredError sqref="F9:R28 F49:R56 F32:R35 F44:R45 F36:R43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7DB86-274B-46CA-A086-7F0D8EA40221}">
  <sheetPr>
    <outlinePr summaryBelow="0"/>
  </sheetPr>
  <dimension ref="A1:T115"/>
  <sheetViews>
    <sheetView showGridLines="0" topLeftCell="A21" zoomScale="80" zoomScaleNormal="80" workbookViewId="0">
      <selection activeCell="D10" sqref="D10"/>
    </sheetView>
  </sheetViews>
  <sheetFormatPr defaultRowHeight="15" outlineLevelRow="1" x14ac:dyDescent="0.25"/>
  <cols>
    <col min="1" max="1" width="1.85546875" customWidth="1"/>
    <col min="2" max="3" width="7.42578125" customWidth="1"/>
    <col min="4" max="4" width="9.140625" bestFit="1" customWidth="1"/>
    <col min="5" max="5" width="29" customWidth="1"/>
    <col min="6" max="6" width="16.42578125" customWidth="1"/>
    <col min="7" max="7" width="13.28515625" bestFit="1" customWidth="1"/>
    <col min="8" max="8" width="14.5703125" bestFit="1" customWidth="1"/>
    <col min="9" max="17" width="12.5703125" customWidth="1"/>
    <col min="18" max="18" width="12.5703125" hidden="1" customWidth="1"/>
  </cols>
  <sheetData>
    <row r="1" spans="1:20" x14ac:dyDescent="0.25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</row>
    <row r="2" spans="1:20" ht="21" x14ac:dyDescent="0.25">
      <c r="A2" s="8"/>
      <c r="B2" s="266"/>
      <c r="C2" s="266"/>
      <c r="D2" s="9"/>
      <c r="E2" s="254" t="s">
        <v>83</v>
      </c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</row>
    <row r="3" spans="1:20" x14ac:dyDescent="0.2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</row>
    <row r="4" spans="1:20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20" x14ac:dyDescent="0.25">
      <c r="A5" s="1"/>
      <c r="B5" s="267"/>
      <c r="C5" s="267"/>
      <c r="D5" s="10"/>
      <c r="E5" s="10" t="s">
        <v>84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20" x14ac:dyDescent="0.25">
      <c r="A6" s="1"/>
      <c r="B6" s="268"/>
      <c r="C6" s="251" t="s">
        <v>320</v>
      </c>
      <c r="D6" s="251" t="s">
        <v>218</v>
      </c>
      <c r="E6" s="251" t="s">
        <v>75</v>
      </c>
      <c r="F6" s="252">
        <v>45748</v>
      </c>
      <c r="G6" s="252">
        <v>45778</v>
      </c>
      <c r="H6" s="252">
        <v>45809</v>
      </c>
      <c r="I6" s="252">
        <v>45839</v>
      </c>
      <c r="J6" s="252">
        <v>45870</v>
      </c>
      <c r="K6" s="252">
        <v>45901</v>
      </c>
      <c r="L6" s="252">
        <v>45931</v>
      </c>
      <c r="M6" s="252">
        <v>45962</v>
      </c>
      <c r="N6" s="252">
        <v>45992</v>
      </c>
      <c r="O6" s="252">
        <v>46023</v>
      </c>
      <c r="P6" s="252">
        <v>46054</v>
      </c>
      <c r="Q6" s="252">
        <v>46082</v>
      </c>
      <c r="R6" s="253" t="s">
        <v>85</v>
      </c>
    </row>
    <row r="7" spans="1:20" collapsed="1" x14ac:dyDescent="0.25">
      <c r="A7" s="1"/>
      <c r="B7" s="274" t="s">
        <v>86</v>
      </c>
      <c r="C7" s="264">
        <v>1031</v>
      </c>
      <c r="D7" s="262" t="s">
        <v>312</v>
      </c>
      <c r="E7" s="263" t="str">
        <f>_xlfn.XLOOKUP(C7,Apoio!A:A,Apoio!B:B)</f>
        <v xml:space="preserve">1ª Aplicação De Herbicida     </v>
      </c>
      <c r="F7" s="7">
        <f>SUMIFS(Qtde_Oper_Plantio_Tratos!P:P,Qtde_Oper_Plantio_Tratos!$F:$F,'Dimensionamento Tratos'!$C7,Qtde_Oper_Plantio_Tratos!$I:$I,'Dimensionamento Tratos'!$D7)</f>
        <v>1329.5219999999999</v>
      </c>
      <c r="G7" s="7">
        <f>SUMIFS(Qtde_Oper_Plantio_Tratos!Q:Q,Qtde_Oper_Plantio_Tratos!$F:$F,'Dimensionamento Tratos'!$C7,Qtde_Oper_Plantio_Tratos!$I:$I,'Dimensionamento Tratos'!$D7)</f>
        <v>2090.75</v>
      </c>
      <c r="H7" s="7">
        <f>SUMIFS(Qtde_Oper_Plantio_Tratos!R:R,Qtde_Oper_Plantio_Tratos!$F:$F,'Dimensionamento Tratos'!$C7,Qtde_Oper_Plantio_Tratos!$I:$I,'Dimensionamento Tratos'!$D7)</f>
        <v>2335.4899999999998</v>
      </c>
      <c r="I7" s="7">
        <f>SUMIFS(Qtde_Oper_Plantio_Tratos!S:S,Qtde_Oper_Plantio_Tratos!$F:$F,'Dimensionamento Tratos'!$C7,Qtde_Oper_Plantio_Tratos!$I:$I,'Dimensionamento Tratos'!$D7)</f>
        <v>1476.67</v>
      </c>
      <c r="J7" s="7">
        <f>SUMIFS(Qtde_Oper_Plantio_Tratos!T:T,Qtde_Oper_Plantio_Tratos!$F:$F,'Dimensionamento Tratos'!$C7,Qtde_Oper_Plantio_Tratos!$I:$I,'Dimensionamento Tratos'!$D7)</f>
        <v>1496.14</v>
      </c>
      <c r="K7" s="7">
        <f>SUMIFS(Qtde_Oper_Plantio_Tratos!U:U,Qtde_Oper_Plantio_Tratos!$F:$F,'Dimensionamento Tratos'!$C7,Qtde_Oper_Plantio_Tratos!$I:$I,'Dimensionamento Tratos'!$D7)</f>
        <v>1659.82</v>
      </c>
      <c r="L7" s="7">
        <f>SUMIFS(Qtde_Oper_Plantio_Tratos!V:V,Qtde_Oper_Plantio_Tratos!$F:$F,'Dimensionamento Tratos'!$C7,Qtde_Oper_Plantio_Tratos!$I:$I,'Dimensionamento Tratos'!$D7)</f>
        <v>1868.84</v>
      </c>
      <c r="M7" s="7">
        <f>SUMIFS(Qtde_Oper_Plantio_Tratos!W:W,Qtde_Oper_Plantio_Tratos!$F:$F,'Dimensionamento Tratos'!$C7,Qtde_Oper_Plantio_Tratos!$I:$I,'Dimensionamento Tratos'!$D7)</f>
        <v>1005.77</v>
      </c>
      <c r="N7" s="7">
        <f>SUMIFS(Qtde_Oper_Plantio_Tratos!X:X,Qtde_Oper_Plantio_Tratos!$F:$F,'Dimensionamento Tratos'!$C7,Qtde_Oper_Plantio_Tratos!$I:$I,'Dimensionamento Tratos'!$D7)</f>
        <v>0</v>
      </c>
      <c r="O7" s="7">
        <f>SUMIFS(Qtde_Oper_Plantio_Tratos!Y:Y,Qtde_Oper_Plantio_Tratos!$F:$F,'Dimensionamento Tratos'!$C7,Qtde_Oper_Plantio_Tratos!$I:$I,'Dimensionamento Tratos'!$D7)</f>
        <v>0</v>
      </c>
      <c r="P7" s="7">
        <f>SUMIFS(Qtde_Oper_Plantio_Tratos!Z:Z,Qtde_Oper_Plantio_Tratos!$F:$F,'Dimensionamento Tratos'!$C7,Qtde_Oper_Plantio_Tratos!$I:$I,'Dimensionamento Tratos'!$D7)</f>
        <v>100</v>
      </c>
      <c r="Q7" s="7">
        <f>SUMIFS(Qtde_Oper_Plantio_Tratos!AA:AA,Qtde_Oper_Plantio_Tratos!$F:$F,'Dimensionamento Tratos'!$C7,Qtde_Oper_Plantio_Tratos!$I:$I,'Dimensionamento Tratos'!$D7)</f>
        <v>100</v>
      </c>
      <c r="R7" s="7">
        <f>SUM(F7:Q7)</f>
        <v>13463.002</v>
      </c>
    </row>
    <row r="8" spans="1:20" hidden="1" outlineLevel="1" x14ac:dyDescent="0.25">
      <c r="A8" s="1"/>
      <c r="B8" s="275"/>
      <c r="C8" s="262"/>
      <c r="D8" s="262" t="s">
        <v>607</v>
      </c>
      <c r="E8" s="263" t="s">
        <v>86</v>
      </c>
      <c r="F8" s="7">
        <f t="shared" ref="F8:Q8" si="0">IF($D8="Proprio",IFERROR(F7/(_xlfn.XLOOKUP(F$6,$F$112:$R$112,$F$113:$R$113)*_xlfn.XLOOKUP($C7,$D$94:$D$108,$F$94:$F$108)),0),0)</f>
        <v>0.71551916667373461</v>
      </c>
      <c r="G8" s="7">
        <f t="shared" si="0"/>
        <v>1.0178919182083739</v>
      </c>
      <c r="H8" s="7">
        <f t="shared" si="0"/>
        <v>1.0558273056057865</v>
      </c>
      <c r="I8" s="7">
        <f t="shared" si="0"/>
        <v>0.62306751054852327</v>
      </c>
      <c r="J8" s="7">
        <f t="shared" si="0"/>
        <v>0.65305106940200786</v>
      </c>
      <c r="K8" s="7">
        <f t="shared" si="0"/>
        <v>0.77816221284575715</v>
      </c>
      <c r="L8" s="7">
        <f t="shared" si="0"/>
        <v>1.0183337468618536</v>
      </c>
      <c r="M8" s="7">
        <f t="shared" si="0"/>
        <v>0.61268678755074424</v>
      </c>
      <c r="N8" s="7">
        <f t="shared" si="0"/>
        <v>0</v>
      </c>
      <c r="O8" s="7">
        <f t="shared" si="0"/>
        <v>0</v>
      </c>
      <c r="P8" s="7">
        <f t="shared" si="0"/>
        <v>0.11301989150090416</v>
      </c>
      <c r="Q8" s="7">
        <f t="shared" si="0"/>
        <v>7.0323488045007029E-2</v>
      </c>
      <c r="R8" s="7">
        <f>IFERROR(R7/(_xlfn.XLOOKUP(R$6,$F$112:$R$112,$F$113:$R$113)*_xlfn.XLOOKUP($C7,$D$94:$D$108,$F$94:$F$108)),0)</f>
        <v>0.65512470387142019</v>
      </c>
      <c r="T8" t="s">
        <v>753</v>
      </c>
    </row>
    <row r="9" spans="1:20" collapsed="1" x14ac:dyDescent="0.25">
      <c r="A9" s="1"/>
      <c r="B9" s="275"/>
      <c r="C9" s="265">
        <v>1031</v>
      </c>
      <c r="D9" s="265" t="s">
        <v>295</v>
      </c>
      <c r="E9" s="2" t="str">
        <f>_xlfn.XLOOKUP(C9,Apoio!A:A,Apoio!B:B)</f>
        <v xml:space="preserve">1ª Aplicação De Herbicida     </v>
      </c>
      <c r="F9" s="3">
        <f>SUMIFS(Qtde_Oper_Plantio_Tratos!P:P,Qtde_Oper_Plantio_Tratos!$F:$F,'Dimensionamento Tratos'!$C9,Qtde_Oper_Plantio_Tratos!$I:$I,'Dimensionamento Tratos'!$D9)</f>
        <v>600</v>
      </c>
      <c r="G9" s="3">
        <f>SUMIFS(Qtde_Oper_Plantio_Tratos!Q:Q,Qtde_Oper_Plantio_Tratos!$F:$F,'Dimensionamento Tratos'!$C9,Qtde_Oper_Plantio_Tratos!$I:$I,'Dimensionamento Tratos'!$D9)</f>
        <v>110</v>
      </c>
      <c r="H9" s="3">
        <f>SUMIFS(Qtde_Oper_Plantio_Tratos!R:R,Qtde_Oper_Plantio_Tratos!$F:$F,'Dimensionamento Tratos'!$C9,Qtde_Oper_Plantio_Tratos!$I:$I,'Dimensionamento Tratos'!$D9)</f>
        <v>0</v>
      </c>
      <c r="I9" s="3">
        <f>SUMIFS(Qtde_Oper_Plantio_Tratos!S:S,Qtde_Oper_Plantio_Tratos!$F:$F,'Dimensionamento Tratos'!$C9,Qtde_Oper_Plantio_Tratos!$I:$I,'Dimensionamento Tratos'!$D9)</f>
        <v>0</v>
      </c>
      <c r="J9" s="3">
        <f>SUMIFS(Qtde_Oper_Plantio_Tratos!T:T,Qtde_Oper_Plantio_Tratos!$F:$F,'Dimensionamento Tratos'!$C9,Qtde_Oper_Plantio_Tratos!$I:$I,'Dimensionamento Tratos'!$D9)</f>
        <v>0</v>
      </c>
      <c r="K9" s="3">
        <f>SUMIFS(Qtde_Oper_Plantio_Tratos!U:U,Qtde_Oper_Plantio_Tratos!$F:$F,'Dimensionamento Tratos'!$C9,Qtde_Oper_Plantio_Tratos!$I:$I,'Dimensionamento Tratos'!$D9)</f>
        <v>250</v>
      </c>
      <c r="L9" s="3">
        <f>SUMIFS(Qtde_Oper_Plantio_Tratos!V:V,Qtde_Oper_Plantio_Tratos!$F:$F,'Dimensionamento Tratos'!$C9,Qtde_Oper_Plantio_Tratos!$I:$I,'Dimensionamento Tratos'!$D9)</f>
        <v>250</v>
      </c>
      <c r="M9" s="3">
        <f>SUMIFS(Qtde_Oper_Plantio_Tratos!W:W,Qtde_Oper_Plantio_Tratos!$F:$F,'Dimensionamento Tratos'!$C9,Qtde_Oper_Plantio_Tratos!$I:$I,'Dimensionamento Tratos'!$D9)</f>
        <v>0</v>
      </c>
      <c r="N9" s="3">
        <f>SUMIFS(Qtde_Oper_Plantio_Tratos!X:X,Qtde_Oper_Plantio_Tratos!$F:$F,'Dimensionamento Tratos'!$C9,Qtde_Oper_Plantio_Tratos!$I:$I,'Dimensionamento Tratos'!$D9)</f>
        <v>0</v>
      </c>
      <c r="O9" s="3">
        <f>SUMIFS(Qtde_Oper_Plantio_Tratos!Y:Y,Qtde_Oper_Plantio_Tratos!$F:$F,'Dimensionamento Tratos'!$C9,Qtde_Oper_Plantio_Tratos!$I:$I,'Dimensionamento Tratos'!$D9)</f>
        <v>0</v>
      </c>
      <c r="P9" s="3">
        <f>SUMIFS(Qtde_Oper_Plantio_Tratos!Z:Z,Qtde_Oper_Plantio_Tratos!$F:$F,'Dimensionamento Tratos'!$C9,Qtde_Oper_Plantio_Tratos!$I:$I,'Dimensionamento Tratos'!$D9)</f>
        <v>400</v>
      </c>
      <c r="Q9" s="3">
        <f>SUMIFS(Qtde_Oper_Plantio_Tratos!AA:AA,Qtde_Oper_Plantio_Tratos!$F:$F,'Dimensionamento Tratos'!$C9,Qtde_Oper_Plantio_Tratos!$I:$I,'Dimensionamento Tratos'!$D9)</f>
        <v>650</v>
      </c>
      <c r="R9" s="3">
        <f>SUMIFS(Qtde_Oper_Plantio_Tratos!AB:AB,Qtde_Oper_Plantio_Tratos!$F:$F,'Dimensionamento Tratos'!$C9,Qtde_Oper_Plantio_Tratos!$I:$I,'Dimensionamento Tratos'!$D9)</f>
        <v>2260</v>
      </c>
    </row>
    <row r="10" spans="1:20" hidden="1" outlineLevel="1" x14ac:dyDescent="0.25">
      <c r="A10" s="1"/>
      <c r="B10" s="275"/>
      <c r="C10" s="265"/>
      <c r="D10" s="265" t="s">
        <v>607</v>
      </c>
      <c r="E10" s="2" t="s">
        <v>86</v>
      </c>
      <c r="F10" s="3">
        <f t="shared" ref="F10:Q10" si="1">IF($D10="Proprio",IFERROR(F9/(_xlfn.XLOOKUP(F$6,$F$112:$R$112,$F$113:$R$113)*_xlfn.XLOOKUP($C9,$D$94:$D$108,$F$94:$F$108)),0),0)</f>
        <v>0.32290665367270405</v>
      </c>
      <c r="G10" s="3">
        <f t="shared" si="1"/>
        <v>5.3554040895813046E-2</v>
      </c>
      <c r="H10" s="3">
        <f t="shared" si="1"/>
        <v>0</v>
      </c>
      <c r="I10" s="3">
        <f t="shared" si="1"/>
        <v>0</v>
      </c>
      <c r="J10" s="3">
        <f t="shared" si="1"/>
        <v>0</v>
      </c>
      <c r="K10" s="3">
        <f t="shared" si="1"/>
        <v>0.11720581340834506</v>
      </c>
      <c r="L10" s="3">
        <f t="shared" si="1"/>
        <v>0.13622537869237786</v>
      </c>
      <c r="M10" s="3">
        <f t="shared" si="1"/>
        <v>0</v>
      </c>
      <c r="N10" s="3">
        <f t="shared" si="1"/>
        <v>0</v>
      </c>
      <c r="O10" s="3">
        <f t="shared" si="1"/>
        <v>0</v>
      </c>
      <c r="P10" s="3">
        <f t="shared" si="1"/>
        <v>0.45207956600361665</v>
      </c>
      <c r="Q10" s="3">
        <f t="shared" si="1"/>
        <v>0.4571026722925457</v>
      </c>
      <c r="R10" s="3">
        <f>IFERROR(R9/(_xlfn.XLOOKUP(R$6,$F$112:$R$112,$F$113:$R$113)*_xlfn.XLOOKUP($C9,$D$94:$D$108,$F$94:$F$108)),0)</f>
        <v>0.10997412246907558</v>
      </c>
    </row>
    <row r="11" spans="1:20" collapsed="1" x14ac:dyDescent="0.25">
      <c r="A11" s="1"/>
      <c r="B11" s="275"/>
      <c r="C11" s="264">
        <v>1031</v>
      </c>
      <c r="D11" s="262" t="s">
        <v>315</v>
      </c>
      <c r="E11" s="263" t="str">
        <f>_xlfn.XLOOKUP(C11,Apoio!A:A,Apoio!B:B)</f>
        <v xml:space="preserve">1ª Aplicação De Herbicida     </v>
      </c>
      <c r="F11" s="7">
        <f>SUMIFS(Qtde_Oper_Plantio_Tratos!P:P,Qtde_Oper_Plantio_Tratos!$F:$F,'Dimensionamento Tratos'!$C11,Qtde_Oper_Plantio_Tratos!$I:$I,'Dimensionamento Tratos'!$D11)</f>
        <v>0</v>
      </c>
      <c r="G11" s="7">
        <f>SUMIFS(Qtde_Oper_Plantio_Tratos!Q:Q,Qtde_Oper_Plantio_Tratos!$F:$F,'Dimensionamento Tratos'!$C11,Qtde_Oper_Plantio_Tratos!$I:$I,'Dimensionamento Tratos'!$D11)</f>
        <v>0</v>
      </c>
      <c r="H11" s="7">
        <f>SUMIFS(Qtde_Oper_Plantio_Tratos!R:R,Qtde_Oper_Plantio_Tratos!$F:$F,'Dimensionamento Tratos'!$C11,Qtde_Oper_Plantio_Tratos!$I:$I,'Dimensionamento Tratos'!$D11)</f>
        <v>100</v>
      </c>
      <c r="I11" s="7">
        <f>SUMIFS(Qtde_Oper_Plantio_Tratos!S:S,Qtde_Oper_Plantio_Tratos!$F:$F,'Dimensionamento Tratos'!$C11,Qtde_Oper_Plantio_Tratos!$I:$I,'Dimensionamento Tratos'!$D11)</f>
        <v>0</v>
      </c>
      <c r="J11" s="7">
        <f>SUMIFS(Qtde_Oper_Plantio_Tratos!T:T,Qtde_Oper_Plantio_Tratos!$F:$F,'Dimensionamento Tratos'!$C11,Qtde_Oper_Plantio_Tratos!$I:$I,'Dimensionamento Tratos'!$D11)</f>
        <v>100</v>
      </c>
      <c r="K11" s="7">
        <f>SUMIFS(Qtde_Oper_Plantio_Tratos!U:U,Qtde_Oper_Plantio_Tratos!$F:$F,'Dimensionamento Tratos'!$C11,Qtde_Oper_Plantio_Tratos!$I:$I,'Dimensionamento Tratos'!$D11)</f>
        <v>100</v>
      </c>
      <c r="L11" s="7">
        <f>SUMIFS(Qtde_Oper_Plantio_Tratos!V:V,Qtde_Oper_Plantio_Tratos!$F:$F,'Dimensionamento Tratos'!$C11,Qtde_Oper_Plantio_Tratos!$I:$I,'Dimensionamento Tratos'!$D11)</f>
        <v>100</v>
      </c>
      <c r="M11" s="7">
        <f>SUMIFS(Qtde_Oper_Plantio_Tratos!W:W,Qtde_Oper_Plantio_Tratos!$F:$F,'Dimensionamento Tratos'!$C11,Qtde_Oper_Plantio_Tratos!$I:$I,'Dimensionamento Tratos'!$D11)</f>
        <v>0</v>
      </c>
      <c r="N11" s="7">
        <f>SUMIFS(Qtde_Oper_Plantio_Tratos!X:X,Qtde_Oper_Plantio_Tratos!$F:$F,'Dimensionamento Tratos'!$C11,Qtde_Oper_Plantio_Tratos!$I:$I,'Dimensionamento Tratos'!$D11)</f>
        <v>0</v>
      </c>
      <c r="O11" s="7">
        <f>SUMIFS(Qtde_Oper_Plantio_Tratos!Y:Y,Qtde_Oper_Plantio_Tratos!$F:$F,'Dimensionamento Tratos'!$C11,Qtde_Oper_Plantio_Tratos!$I:$I,'Dimensionamento Tratos'!$D11)</f>
        <v>0</v>
      </c>
      <c r="P11" s="7">
        <f>SUMIFS(Qtde_Oper_Plantio_Tratos!Z:Z,Qtde_Oper_Plantio_Tratos!$F:$F,'Dimensionamento Tratos'!$C11,Qtde_Oper_Plantio_Tratos!$I:$I,'Dimensionamento Tratos'!$D11)</f>
        <v>0</v>
      </c>
      <c r="Q11" s="7">
        <f>SUMIFS(Qtde_Oper_Plantio_Tratos!AA:AA,Qtde_Oper_Plantio_Tratos!$F:$F,'Dimensionamento Tratos'!$C11,Qtde_Oper_Plantio_Tratos!$I:$I,'Dimensionamento Tratos'!$D11)</f>
        <v>0</v>
      </c>
      <c r="R11" s="7">
        <f>SUM(F11:Q11)</f>
        <v>400</v>
      </c>
    </row>
    <row r="12" spans="1:20" hidden="1" outlineLevel="1" x14ac:dyDescent="0.25">
      <c r="A12" s="1"/>
      <c r="B12" s="275"/>
      <c r="C12" s="262"/>
      <c r="D12" s="262" t="s">
        <v>607</v>
      </c>
      <c r="E12" s="263" t="s">
        <v>86</v>
      </c>
      <c r="F12" s="7">
        <f t="shared" ref="F12:Q12" si="2">IF($D12="Proprio",IFERROR(F11/(_xlfn.XLOOKUP(F$6,$F$112:$R$112,$F$113:$R$113)*_xlfn.XLOOKUP($C11,$D$94:$D$108,$F$94:$F$108)),0),0)</f>
        <v>0</v>
      </c>
      <c r="G12" s="7">
        <f t="shared" si="2"/>
        <v>0</v>
      </c>
      <c r="H12" s="7">
        <f t="shared" si="2"/>
        <v>4.5207956600361664E-2</v>
      </c>
      <c r="I12" s="7">
        <f t="shared" si="2"/>
        <v>0</v>
      </c>
      <c r="J12" s="7">
        <f t="shared" si="2"/>
        <v>4.3649061545176782E-2</v>
      </c>
      <c r="K12" s="7">
        <f t="shared" si="2"/>
        <v>4.6882325363338022E-2</v>
      </c>
      <c r="L12" s="7">
        <f t="shared" si="2"/>
        <v>5.4490151476951146E-2</v>
      </c>
      <c r="M12" s="7">
        <f t="shared" si="2"/>
        <v>0</v>
      </c>
      <c r="N12" s="7">
        <f t="shared" si="2"/>
        <v>0</v>
      </c>
      <c r="O12" s="7">
        <f t="shared" si="2"/>
        <v>0</v>
      </c>
      <c r="P12" s="7">
        <f t="shared" si="2"/>
        <v>0</v>
      </c>
      <c r="Q12" s="7">
        <f t="shared" si="2"/>
        <v>0</v>
      </c>
      <c r="R12" s="7">
        <f>IFERROR(R11/(_xlfn.XLOOKUP(R$6,$F$112:$R$112,$F$113:$R$113)*_xlfn.XLOOKUP($C11,$D$94:$D$108,$F$94:$F$108)),0)</f>
        <v>1.9464446454703643E-2</v>
      </c>
    </row>
    <row r="13" spans="1:20" collapsed="1" x14ac:dyDescent="0.25">
      <c r="A13" s="1"/>
      <c r="B13" s="275"/>
      <c r="C13" s="265">
        <v>1079</v>
      </c>
      <c r="D13" s="265" t="s">
        <v>227</v>
      </c>
      <c r="E13" s="2" t="str">
        <f>_xlfn.XLOOKUP(C13,Apoio!A:A,Apoio!B:B)</f>
        <v xml:space="preserve">Aplicação Dessecação          </v>
      </c>
      <c r="F13" s="3">
        <f>SUMIFS(Qtde_Oper_Plantio_Tratos!P:P,Qtde_Oper_Plantio_Tratos!$F:$F,'Dimensionamento Tratos'!$C13,Qtde_Oper_Plantio_Tratos!$I:$I,'Dimensionamento Tratos'!$D13)</f>
        <v>0</v>
      </c>
      <c r="G13" s="3">
        <f>SUMIFS(Qtde_Oper_Plantio_Tratos!Q:Q,Qtde_Oper_Plantio_Tratos!$F:$F,'Dimensionamento Tratos'!$C13,Qtde_Oper_Plantio_Tratos!$I:$I,'Dimensionamento Tratos'!$D13)</f>
        <v>0</v>
      </c>
      <c r="H13" s="3">
        <f>SUMIFS(Qtde_Oper_Plantio_Tratos!R:R,Qtde_Oper_Plantio_Tratos!$F:$F,'Dimensionamento Tratos'!$C13,Qtde_Oper_Plantio_Tratos!$I:$I,'Dimensionamento Tratos'!$D13)</f>
        <v>152.80000000000001</v>
      </c>
      <c r="I13" s="3">
        <f>SUMIFS(Qtde_Oper_Plantio_Tratos!S:S,Qtde_Oper_Plantio_Tratos!$F:$F,'Dimensionamento Tratos'!$C13,Qtde_Oper_Plantio_Tratos!$I:$I,'Dimensionamento Tratos'!$D13)</f>
        <v>207.27600000000004</v>
      </c>
      <c r="J13" s="3">
        <f>SUMIFS(Qtde_Oper_Plantio_Tratos!T:T,Qtde_Oper_Plantio_Tratos!$F:$F,'Dimensionamento Tratos'!$C13,Qtde_Oper_Plantio_Tratos!$I:$I,'Dimensionamento Tratos'!$D13)</f>
        <v>518.19000000000005</v>
      </c>
      <c r="K13" s="3">
        <f>SUMIFS(Qtde_Oper_Plantio_Tratos!U:U,Qtde_Oper_Plantio_Tratos!$F:$F,'Dimensionamento Tratos'!$C13,Qtde_Oper_Plantio_Tratos!$I:$I,'Dimensionamento Tratos'!$D13)</f>
        <v>136.87</v>
      </c>
      <c r="L13" s="3">
        <f>SUMIFS(Qtde_Oper_Plantio_Tratos!V:V,Qtde_Oper_Plantio_Tratos!$F:$F,'Dimensionamento Tratos'!$C13,Qtde_Oper_Plantio_Tratos!$I:$I,'Dimensionamento Tratos'!$D13)</f>
        <v>0</v>
      </c>
      <c r="M13" s="3">
        <f>SUMIFS(Qtde_Oper_Plantio_Tratos!W:W,Qtde_Oper_Plantio_Tratos!$F:$F,'Dimensionamento Tratos'!$C13,Qtde_Oper_Plantio_Tratos!$I:$I,'Dimensionamento Tratos'!$D13)</f>
        <v>0</v>
      </c>
      <c r="N13" s="3">
        <f>SUMIFS(Qtde_Oper_Plantio_Tratos!X:X,Qtde_Oper_Plantio_Tratos!$F:$F,'Dimensionamento Tratos'!$C13,Qtde_Oper_Plantio_Tratos!$I:$I,'Dimensionamento Tratos'!$D13)</f>
        <v>0</v>
      </c>
      <c r="O13" s="3">
        <f>SUMIFS(Qtde_Oper_Plantio_Tratos!Y:Y,Qtde_Oper_Plantio_Tratos!$F:$F,'Dimensionamento Tratos'!$C13,Qtde_Oper_Plantio_Tratos!$I:$I,'Dimensionamento Tratos'!$D13)</f>
        <v>0</v>
      </c>
      <c r="P13" s="3">
        <f>SUMIFS(Qtde_Oper_Plantio_Tratos!Z:Z,Qtde_Oper_Plantio_Tratos!$F:$F,'Dimensionamento Tratos'!$C13,Qtde_Oper_Plantio_Tratos!$I:$I,'Dimensionamento Tratos'!$D13)</f>
        <v>0</v>
      </c>
      <c r="Q13" s="3">
        <f>SUMIFS(Qtde_Oper_Plantio_Tratos!AA:AA,Qtde_Oper_Plantio_Tratos!$F:$F,'Dimensionamento Tratos'!$C13,Qtde_Oper_Plantio_Tratos!$I:$I,'Dimensionamento Tratos'!$D13)</f>
        <v>0</v>
      </c>
      <c r="R13" s="3">
        <f>SUMIFS(Qtde_Oper_Plantio_Tratos!AB:AB,Qtde_Oper_Plantio_Tratos!$F:$F,'Dimensionamento Tratos'!$C13,Qtde_Oper_Plantio_Tratos!$I:$I,'Dimensionamento Tratos'!$D13)</f>
        <v>1016.1360000000001</v>
      </c>
    </row>
    <row r="14" spans="1:20" hidden="1" outlineLevel="1" x14ac:dyDescent="0.25">
      <c r="A14" s="1"/>
      <c r="B14" s="275"/>
      <c r="C14" s="265"/>
      <c r="D14" s="265" t="s">
        <v>607</v>
      </c>
      <c r="E14" s="2" t="s">
        <v>86</v>
      </c>
      <c r="F14" s="3">
        <f t="shared" ref="F14:Q14" si="3">IF($D14="Proprio",IFERROR(F13/(_xlfn.XLOOKUP(F$6,$F$112:$R$112,$F$113:$R$113)*_xlfn.XLOOKUP($C13,$D$94:$D$108,$F$94:$F$108)),0),0)</f>
        <v>0</v>
      </c>
      <c r="G14" s="3">
        <f t="shared" si="3"/>
        <v>0</v>
      </c>
      <c r="H14" s="3">
        <f>IF($D14="Proprio",IFERROR(H13/(_xlfn.XLOOKUP(H$6,$F$112:$R$112,$F$113:$R$113)*_xlfn.XLOOKUP($C13,$D$94:$D$108,$F$94:$F$108)),0),0)</f>
        <v>8.6621315192743756E-2</v>
      </c>
      <c r="I14" s="3">
        <f t="shared" si="3"/>
        <v>0.10966984126984128</v>
      </c>
      <c r="J14" s="3">
        <f t="shared" si="3"/>
        <v>0.28362889983579637</v>
      </c>
      <c r="K14" s="3">
        <f t="shared" si="3"/>
        <v>8.0464432686654902E-2</v>
      </c>
      <c r="L14" s="3">
        <f t="shared" si="3"/>
        <v>0</v>
      </c>
      <c r="M14" s="3">
        <f t="shared" si="3"/>
        <v>0</v>
      </c>
      <c r="N14" s="3">
        <f t="shared" si="3"/>
        <v>0</v>
      </c>
      <c r="O14" s="3">
        <f t="shared" si="3"/>
        <v>0</v>
      </c>
      <c r="P14" s="3">
        <f t="shared" si="3"/>
        <v>0</v>
      </c>
      <c r="Q14" s="3">
        <f t="shared" si="3"/>
        <v>0</v>
      </c>
      <c r="R14" s="3">
        <f>IFERROR(R13/(_xlfn.XLOOKUP(R$6,$F$112:$R$112,$F$113:$R$113)*_xlfn.XLOOKUP($C13,$D$94:$D$108,$F$94:$F$108)),0)</f>
        <v>6.2004105406866766E-2</v>
      </c>
    </row>
    <row r="15" spans="1:20" collapsed="1" x14ac:dyDescent="0.25">
      <c r="A15" s="1"/>
      <c r="B15" s="275"/>
      <c r="C15" s="264">
        <v>1078</v>
      </c>
      <c r="D15" s="262" t="s">
        <v>312</v>
      </c>
      <c r="E15" s="263" t="str">
        <f>_xlfn.XLOOKUP(C15,Apoio!A:A,Apoio!B:B)</f>
        <v xml:space="preserve">2ª Aplicação De Herbicida     </v>
      </c>
      <c r="F15" s="7">
        <f>SUMIFS(Qtde_Oper_Plantio_Tratos!P:P,Qtde_Oper_Plantio_Tratos!$F:$F,'Dimensionamento Tratos'!$C15,Qtde_Oper_Plantio_Tratos!$I:$I,'Dimensionamento Tratos'!$D15)</f>
        <v>0</v>
      </c>
      <c r="G15" s="7">
        <f>SUMIFS(Qtde_Oper_Plantio_Tratos!Q:Q,Qtde_Oper_Plantio_Tratos!$F:$F,'Dimensionamento Tratos'!$C15,Qtde_Oper_Plantio_Tratos!$I:$I,'Dimensionamento Tratos'!$D15)</f>
        <v>0</v>
      </c>
      <c r="H15" s="7">
        <f>SUMIFS(Qtde_Oper_Plantio_Tratos!R:R,Qtde_Oper_Plantio_Tratos!$F:$F,'Dimensionamento Tratos'!$C15,Qtde_Oper_Plantio_Tratos!$I:$I,'Dimensionamento Tratos'!$D15)</f>
        <v>554.63800000000003</v>
      </c>
      <c r="I15" s="7">
        <f>SUMIFS(Qtde_Oper_Plantio_Tratos!S:S,Qtde_Oper_Plantio_Tratos!$F:$F,'Dimensionamento Tratos'!$C15,Qtde_Oper_Plantio_Tratos!$I:$I,'Dimensionamento Tratos'!$D15)</f>
        <v>0</v>
      </c>
      <c r="J15" s="7">
        <f>SUMIFS(Qtde_Oper_Plantio_Tratos!T:T,Qtde_Oper_Plantio_Tratos!$F:$F,'Dimensionamento Tratos'!$C15,Qtde_Oper_Plantio_Tratos!$I:$I,'Dimensionamento Tratos'!$D15)</f>
        <v>523.649</v>
      </c>
      <c r="K15" s="7">
        <f>SUMIFS(Qtde_Oper_Plantio_Tratos!U:U,Qtde_Oper_Plantio_Tratos!$F:$F,'Dimensionamento Tratos'!$C15,Qtde_Oper_Plantio_Tratos!$I:$I,'Dimensionamento Tratos'!$D15)</f>
        <v>580.9369999999999</v>
      </c>
      <c r="L15" s="7">
        <f>SUMIFS(Qtde_Oper_Plantio_Tratos!V:V,Qtde_Oper_Plantio_Tratos!$F:$F,'Dimensionamento Tratos'!$C15,Qtde_Oper_Plantio_Tratos!$I:$I,'Dimensionamento Tratos'!$D15)</f>
        <v>600</v>
      </c>
      <c r="M15" s="7">
        <f>SUMIFS(Qtde_Oper_Plantio_Tratos!W:W,Qtde_Oper_Plantio_Tratos!$F:$F,'Dimensionamento Tratos'!$C15,Qtde_Oper_Plantio_Tratos!$I:$I,'Dimensionamento Tratos'!$D15)</f>
        <v>310</v>
      </c>
      <c r="N15" s="7">
        <f>SUMIFS(Qtde_Oper_Plantio_Tratos!X:X,Qtde_Oper_Plantio_Tratos!$F:$F,'Dimensionamento Tratos'!$C15,Qtde_Oper_Plantio_Tratos!$I:$I,'Dimensionamento Tratos'!$D15)</f>
        <v>250</v>
      </c>
      <c r="O15" s="7">
        <f>SUMIFS(Qtde_Oper_Plantio_Tratos!Y:Y,Qtde_Oper_Plantio_Tratos!$F:$F,'Dimensionamento Tratos'!$C15,Qtde_Oper_Plantio_Tratos!$I:$I,'Dimensionamento Tratos'!$D15)</f>
        <v>250</v>
      </c>
      <c r="P15" s="7">
        <f>SUMIFS(Qtde_Oper_Plantio_Tratos!Z:Z,Qtde_Oper_Plantio_Tratos!$F:$F,'Dimensionamento Tratos'!$C15,Qtde_Oper_Plantio_Tratos!$I:$I,'Dimensionamento Tratos'!$D15)</f>
        <v>250</v>
      </c>
      <c r="Q15" s="7">
        <f>SUMIFS(Qtde_Oper_Plantio_Tratos!AA:AA,Qtde_Oper_Plantio_Tratos!$F:$F,'Dimensionamento Tratos'!$C15,Qtde_Oper_Plantio_Tratos!$I:$I,'Dimensionamento Tratos'!$D15)</f>
        <v>250</v>
      </c>
      <c r="R15" s="7">
        <f>SUM(F15:Q15)</f>
        <v>3569.2240000000002</v>
      </c>
    </row>
    <row r="16" spans="1:20" hidden="1" outlineLevel="1" x14ac:dyDescent="0.25">
      <c r="A16" s="1"/>
      <c r="B16" s="275"/>
      <c r="C16" s="262"/>
      <c r="D16" s="262" t="s">
        <v>607</v>
      </c>
      <c r="E16" s="263" t="s">
        <v>86</v>
      </c>
      <c r="F16" s="7">
        <f t="shared" ref="F16:Q16" si="4">IF($D16="Proprio",IFERROR(F15/(_xlfn.XLOOKUP(F$6,$F$112:$R$112,$F$113:$R$113)*_xlfn.XLOOKUP($C15,$D$94:$D$108,$F$94:$F$108)),0),0)</f>
        <v>0</v>
      </c>
      <c r="G16" s="7">
        <f t="shared" si="4"/>
        <v>0</v>
      </c>
      <c r="H16" s="7">
        <f t="shared" si="4"/>
        <v>0.322438958220293</v>
      </c>
      <c r="I16" s="7">
        <f t="shared" si="4"/>
        <v>0</v>
      </c>
      <c r="J16" s="7">
        <f t="shared" si="4"/>
        <v>0.293926132430258</v>
      </c>
      <c r="K16" s="7">
        <f t="shared" si="4"/>
        <v>0.35023632965575441</v>
      </c>
      <c r="L16" s="7">
        <f t="shared" si="4"/>
        <v>0.42042862398385528</v>
      </c>
      <c r="M16" s="7">
        <f t="shared" si="4"/>
        <v>0.24284241446847984</v>
      </c>
      <c r="N16" s="7">
        <f t="shared" si="4"/>
        <v>0.28658112538497399</v>
      </c>
      <c r="O16" s="7">
        <f t="shared" si="4"/>
        <v>0.44233173700724249</v>
      </c>
      <c r="P16" s="7">
        <f t="shared" si="4"/>
        <v>0.36334392682737776</v>
      </c>
      <c r="Q16" s="7">
        <f t="shared" si="4"/>
        <v>0.22608066558147943</v>
      </c>
      <c r="R16" s="7">
        <f>IFERROR(R15/(_xlfn.XLOOKUP(R$6,$F$112:$R$112,$F$113:$R$113)*_xlfn.XLOOKUP($C15,$D$94:$D$108,$F$94:$F$108)),0)</f>
        <v>0.22334636130743121</v>
      </c>
    </row>
    <row r="17" spans="1:18" collapsed="1" x14ac:dyDescent="0.25">
      <c r="A17" s="1"/>
      <c r="B17" s="275"/>
      <c r="C17" s="265">
        <v>1078</v>
      </c>
      <c r="D17" s="265" t="s">
        <v>295</v>
      </c>
      <c r="E17" s="2" t="str">
        <f>_xlfn.XLOOKUP(C17,Apoio!A:A,Apoio!B:B)</f>
        <v xml:space="preserve">2ª Aplicação De Herbicida     </v>
      </c>
      <c r="F17" s="3">
        <f>SUMIFS(Qtde_Oper_Plantio_Tratos!P:P,Qtde_Oper_Plantio_Tratos!$F:$F,'Dimensionamento Tratos'!$C17,Qtde_Oper_Plantio_Tratos!$I:$I,'Dimensionamento Tratos'!$D17)</f>
        <v>400</v>
      </c>
      <c r="G17" s="3">
        <f>SUMIFS(Qtde_Oper_Plantio_Tratos!Q:Q,Qtde_Oper_Plantio_Tratos!$F:$F,'Dimensionamento Tratos'!$C17,Qtde_Oper_Plantio_Tratos!$I:$I,'Dimensionamento Tratos'!$D17)</f>
        <v>800</v>
      </c>
      <c r="H17" s="3">
        <f>SUMIFS(Qtde_Oper_Plantio_Tratos!R:R,Qtde_Oper_Plantio_Tratos!$F:$F,'Dimensionamento Tratos'!$C17,Qtde_Oper_Plantio_Tratos!$I:$I,'Dimensionamento Tratos'!$D17)</f>
        <v>1100</v>
      </c>
      <c r="I17" s="3">
        <f>SUMIFS(Qtde_Oper_Plantio_Tratos!S:S,Qtde_Oper_Plantio_Tratos!$F:$F,'Dimensionamento Tratos'!$C17,Qtde_Oper_Plantio_Tratos!$I:$I,'Dimensionamento Tratos'!$D17)</f>
        <v>600</v>
      </c>
      <c r="J17" s="3">
        <f>SUMIFS(Qtde_Oper_Plantio_Tratos!T:T,Qtde_Oper_Plantio_Tratos!$F:$F,'Dimensionamento Tratos'!$C17,Qtde_Oper_Plantio_Tratos!$I:$I,'Dimensionamento Tratos'!$D17)</f>
        <v>0</v>
      </c>
      <c r="K17" s="3">
        <f>SUMIFS(Qtde_Oper_Plantio_Tratos!U:U,Qtde_Oper_Plantio_Tratos!$F:$F,'Dimensionamento Tratos'!$C17,Qtde_Oper_Plantio_Tratos!$I:$I,'Dimensionamento Tratos'!$D17)</f>
        <v>0</v>
      </c>
      <c r="L17" s="3">
        <f>SUMIFS(Qtde_Oper_Plantio_Tratos!V:V,Qtde_Oper_Plantio_Tratos!$F:$F,'Dimensionamento Tratos'!$C17,Qtde_Oper_Plantio_Tratos!$I:$I,'Dimensionamento Tratos'!$D17)</f>
        <v>370</v>
      </c>
      <c r="M17" s="3">
        <f>SUMIFS(Qtde_Oper_Plantio_Tratos!W:W,Qtde_Oper_Plantio_Tratos!$F:$F,'Dimensionamento Tratos'!$C17,Qtde_Oper_Plantio_Tratos!$I:$I,'Dimensionamento Tratos'!$D17)</f>
        <v>370</v>
      </c>
      <c r="N17" s="3">
        <f>SUMIFS(Qtde_Oper_Plantio_Tratos!X:X,Qtde_Oper_Plantio_Tratos!$F:$F,'Dimensionamento Tratos'!$C17,Qtde_Oper_Plantio_Tratos!$I:$I,'Dimensionamento Tratos'!$D17)</f>
        <v>0</v>
      </c>
      <c r="O17" s="3">
        <f>SUMIFS(Qtde_Oper_Plantio_Tratos!Y:Y,Qtde_Oper_Plantio_Tratos!$F:$F,'Dimensionamento Tratos'!$C17,Qtde_Oper_Plantio_Tratos!$I:$I,'Dimensionamento Tratos'!$D17)</f>
        <v>50</v>
      </c>
      <c r="P17" s="3">
        <f>SUMIFS(Qtde_Oper_Plantio_Tratos!Z:Z,Qtde_Oper_Plantio_Tratos!$F:$F,'Dimensionamento Tratos'!$C17,Qtde_Oper_Plantio_Tratos!$I:$I,'Dimensionamento Tratos'!$D17)</f>
        <v>0</v>
      </c>
      <c r="Q17" s="3">
        <f>SUMIFS(Qtde_Oper_Plantio_Tratos!AA:AA,Qtde_Oper_Plantio_Tratos!$F:$F,'Dimensionamento Tratos'!$C17,Qtde_Oper_Plantio_Tratos!$I:$I,'Dimensionamento Tratos'!$D17)</f>
        <v>0</v>
      </c>
      <c r="R17" s="3">
        <f>SUMIFS(Qtde_Oper_Plantio_Tratos!AB:AB,Qtde_Oper_Plantio_Tratos!$F:$F,'Dimensionamento Tratos'!$C17,Qtde_Oper_Plantio_Tratos!$I:$I,'Dimensionamento Tratos'!$D17)</f>
        <v>3690</v>
      </c>
    </row>
    <row r="18" spans="1:18" hidden="1" outlineLevel="1" x14ac:dyDescent="0.25">
      <c r="A18" s="1"/>
      <c r="B18" s="275"/>
      <c r="C18" s="265"/>
      <c r="D18" s="265" t="s">
        <v>607</v>
      </c>
      <c r="E18" s="2" t="s">
        <v>86</v>
      </c>
      <c r="F18" s="3">
        <f t="shared" ref="F18:Q18" si="5">IF($D18="Proprio",IFERROR(F17/(_xlfn.XLOOKUP(F$6,$F$112:$R$112,$F$113:$R$113)*_xlfn.XLOOKUP($C17,$D$94:$D$108,$F$94:$F$108)),0),0)</f>
        <v>0.27682719088598606</v>
      </c>
      <c r="G18" s="3">
        <f t="shared" si="5"/>
        <v>0.50085562836512365</v>
      </c>
      <c r="H18" s="3">
        <f t="shared" si="5"/>
        <v>0.63948531121618479</v>
      </c>
      <c r="I18" s="3">
        <f t="shared" si="5"/>
        <v>0.32555615843733043</v>
      </c>
      <c r="J18" s="3">
        <f t="shared" si="5"/>
        <v>0</v>
      </c>
      <c r="K18" s="3">
        <f t="shared" si="5"/>
        <v>0</v>
      </c>
      <c r="L18" s="3">
        <f t="shared" si="5"/>
        <v>0.25926431812337741</v>
      </c>
      <c r="M18" s="3">
        <f t="shared" si="5"/>
        <v>0.28984417210754043</v>
      </c>
      <c r="N18" s="3">
        <f t="shared" si="5"/>
        <v>0</v>
      </c>
      <c r="O18" s="3">
        <f t="shared" si="5"/>
        <v>8.84663474014485E-2</v>
      </c>
      <c r="P18" s="3">
        <f t="shared" si="5"/>
        <v>0</v>
      </c>
      <c r="Q18" s="3">
        <f t="shared" si="5"/>
        <v>0</v>
      </c>
      <c r="R18" s="3">
        <f>IFERROR(R17/(_xlfn.XLOOKUP(R$6,$F$112:$R$112,$F$113:$R$113)*_xlfn.XLOOKUP($C17,$D$94:$D$108,$F$94:$F$108)),0)</f>
        <v>0.2309039929195873</v>
      </c>
    </row>
    <row r="19" spans="1:18" collapsed="1" x14ac:dyDescent="0.25">
      <c r="A19" s="1"/>
      <c r="B19" s="275"/>
      <c r="C19" s="264">
        <v>1032</v>
      </c>
      <c r="D19" s="262" t="s">
        <v>295</v>
      </c>
      <c r="E19" s="263" t="str">
        <f>_xlfn.XLOOKUP(C19,Apoio!A:A,Apoio!B:B)</f>
        <v xml:space="preserve">Aplicação De Inseticida       </v>
      </c>
      <c r="F19" s="7">
        <f>SUMIFS(Qtde_Oper_Plantio_Tratos!P:P,Qtde_Oper_Plantio_Tratos!$F:$F,'Dimensionamento Tratos'!$C19,Qtde_Oper_Plantio_Tratos!$I:$I,'Dimensionamento Tratos'!$D19)</f>
        <v>400</v>
      </c>
      <c r="G19" s="7">
        <f>SUMIFS(Qtde_Oper_Plantio_Tratos!Q:Q,Qtde_Oper_Plantio_Tratos!$F:$F,'Dimensionamento Tratos'!$C19,Qtde_Oper_Plantio_Tratos!$I:$I,'Dimensionamento Tratos'!$D19)</f>
        <v>800</v>
      </c>
      <c r="H19" s="7">
        <f>SUMIFS(Qtde_Oper_Plantio_Tratos!R:R,Qtde_Oper_Plantio_Tratos!$F:$F,'Dimensionamento Tratos'!$C19,Qtde_Oper_Plantio_Tratos!$I:$I,'Dimensionamento Tratos'!$D19)</f>
        <v>1100</v>
      </c>
      <c r="I19" s="7">
        <f>SUMIFS(Qtde_Oper_Plantio_Tratos!S:S,Qtde_Oper_Plantio_Tratos!$F:$F,'Dimensionamento Tratos'!$C19,Qtde_Oper_Plantio_Tratos!$I:$I,'Dimensionamento Tratos'!$D19)</f>
        <v>600</v>
      </c>
      <c r="J19" s="7">
        <f>SUMIFS(Qtde_Oper_Plantio_Tratos!T:T,Qtde_Oper_Plantio_Tratos!$F:$F,'Dimensionamento Tratos'!$C19,Qtde_Oper_Plantio_Tratos!$I:$I,'Dimensionamento Tratos'!$D19)</f>
        <v>0</v>
      </c>
      <c r="K19" s="7">
        <f>SUMIFS(Qtde_Oper_Plantio_Tratos!U:U,Qtde_Oper_Plantio_Tratos!$F:$F,'Dimensionamento Tratos'!$C19,Qtde_Oper_Plantio_Tratos!$I:$I,'Dimensionamento Tratos'!$D19)</f>
        <v>0</v>
      </c>
      <c r="L19" s="7">
        <f>SUMIFS(Qtde_Oper_Plantio_Tratos!V:V,Qtde_Oper_Plantio_Tratos!$F:$F,'Dimensionamento Tratos'!$C19,Qtde_Oper_Plantio_Tratos!$I:$I,'Dimensionamento Tratos'!$D19)</f>
        <v>370</v>
      </c>
      <c r="M19" s="7">
        <f>SUMIFS(Qtde_Oper_Plantio_Tratos!W:W,Qtde_Oper_Plantio_Tratos!$F:$F,'Dimensionamento Tratos'!$C19,Qtde_Oper_Plantio_Tratos!$I:$I,'Dimensionamento Tratos'!$D19)</f>
        <v>370</v>
      </c>
      <c r="N19" s="7">
        <f>SUMIFS(Qtde_Oper_Plantio_Tratos!X:X,Qtde_Oper_Plantio_Tratos!$F:$F,'Dimensionamento Tratos'!$C19,Qtde_Oper_Plantio_Tratos!$I:$I,'Dimensionamento Tratos'!$D19)</f>
        <v>0</v>
      </c>
      <c r="O19" s="7">
        <f>SUMIFS(Qtde_Oper_Plantio_Tratos!Y:Y,Qtde_Oper_Plantio_Tratos!$F:$F,'Dimensionamento Tratos'!$C19,Qtde_Oper_Plantio_Tratos!$I:$I,'Dimensionamento Tratos'!$D19)</f>
        <v>50</v>
      </c>
      <c r="P19" s="7">
        <f>SUMIFS(Qtde_Oper_Plantio_Tratos!Z:Z,Qtde_Oper_Plantio_Tratos!$F:$F,'Dimensionamento Tratos'!$C19,Qtde_Oper_Plantio_Tratos!$I:$I,'Dimensionamento Tratos'!$D19)</f>
        <v>0</v>
      </c>
      <c r="Q19" s="7">
        <f>SUMIFS(Qtde_Oper_Plantio_Tratos!AA:AA,Qtde_Oper_Plantio_Tratos!$F:$F,'Dimensionamento Tratos'!$C19,Qtde_Oper_Plantio_Tratos!$I:$I,'Dimensionamento Tratos'!$D19)</f>
        <v>0</v>
      </c>
      <c r="R19" s="7">
        <f>SUM(F19:Q19)</f>
        <v>3690</v>
      </c>
    </row>
    <row r="20" spans="1:18" hidden="1" outlineLevel="1" x14ac:dyDescent="0.25">
      <c r="A20" s="1"/>
      <c r="B20" s="275"/>
      <c r="C20" s="262"/>
      <c r="D20" s="262" t="s">
        <v>607</v>
      </c>
      <c r="E20" s="263" t="s">
        <v>86</v>
      </c>
      <c r="F20" s="7">
        <f t="shared" ref="F20:Q20" si="6">IF($D20="Proprio",IFERROR(F19/(_xlfn.XLOOKUP(F$6,$F$112:$R$112,$F$113:$R$113)*_xlfn.XLOOKUP($C19,$D$94:$D$108,$F$94:$F$108)),0),0)</f>
        <v>0.21082335239788116</v>
      </c>
      <c r="G20" s="7">
        <f t="shared" si="6"/>
        <v>0.38143674507310876</v>
      </c>
      <c r="H20" s="7">
        <f t="shared" si="6"/>
        <v>0.48701298701298706</v>
      </c>
      <c r="I20" s="7">
        <f t="shared" si="6"/>
        <v>0.2479338842975207</v>
      </c>
      <c r="J20" s="7">
        <f t="shared" si="6"/>
        <v>0</v>
      </c>
      <c r="K20" s="7">
        <f t="shared" si="6"/>
        <v>0</v>
      </c>
      <c r="L20" s="7">
        <f t="shared" si="6"/>
        <v>0.19744799103363</v>
      </c>
      <c r="M20" s="7">
        <f t="shared" si="6"/>
        <v>0.22073669801413107</v>
      </c>
      <c r="N20" s="7">
        <f t="shared" si="6"/>
        <v>0</v>
      </c>
      <c r="O20" s="7">
        <f t="shared" si="6"/>
        <v>6.7373338124326276E-2</v>
      </c>
      <c r="P20" s="7">
        <f t="shared" si="6"/>
        <v>0</v>
      </c>
      <c r="Q20" s="7">
        <f t="shared" si="6"/>
        <v>0</v>
      </c>
      <c r="R20" s="7">
        <f>IFERROR(R19/(_xlfn.XLOOKUP(R$6,$F$112:$R$112,$F$113:$R$113)*_xlfn.XLOOKUP($C19,$D$94:$D$108,$F$94:$F$108)),0)</f>
        <v>0.17584961113669401</v>
      </c>
    </row>
    <row r="21" spans="1:18" collapsed="1" x14ac:dyDescent="0.25">
      <c r="A21" s="1"/>
      <c r="B21" s="275"/>
      <c r="C21" s="265">
        <v>1032</v>
      </c>
      <c r="D21" s="265" t="s">
        <v>312</v>
      </c>
      <c r="E21" s="2" t="str">
        <f>_xlfn.XLOOKUP(C21,Apoio!A:A,Apoio!B:B)</f>
        <v xml:space="preserve">Aplicação De Inseticida       </v>
      </c>
      <c r="F21" s="3">
        <f>SUMIFS(Qtde_Oper_Plantio_Tratos!P:P,Qtde_Oper_Plantio_Tratos!$F:$F,'Dimensionamento Tratos'!$C21,Qtde_Oper_Plantio_Tratos!$I:$I,'Dimensionamento Tratos'!$D21)</f>
        <v>149.03000000000003</v>
      </c>
      <c r="G21" s="3">
        <f>SUMIFS(Qtde_Oper_Plantio_Tratos!Q:Q,Qtde_Oper_Plantio_Tratos!$F:$F,'Dimensionamento Tratos'!$C21,Qtde_Oper_Plantio_Tratos!$I:$I,'Dimensionamento Tratos'!$D21)</f>
        <v>411.47999999999996</v>
      </c>
      <c r="H21" s="3">
        <f>SUMIFS(Qtde_Oper_Plantio_Tratos!R:R,Qtde_Oper_Plantio_Tratos!$F:$F,'Dimensionamento Tratos'!$C21,Qtde_Oper_Plantio_Tratos!$I:$I,'Dimensionamento Tratos'!$D21)</f>
        <v>211.60999999999993</v>
      </c>
      <c r="I21" s="3">
        <f>SUMIFS(Qtde_Oper_Plantio_Tratos!S:S,Qtde_Oper_Plantio_Tratos!$F:$F,'Dimensionamento Tratos'!$C21,Qtde_Oper_Plantio_Tratos!$I:$I,'Dimensionamento Tratos'!$D21)</f>
        <v>9.9599999999999991</v>
      </c>
      <c r="J21" s="3">
        <f>SUMIFS(Qtde_Oper_Plantio_Tratos!T:T,Qtde_Oper_Plantio_Tratos!$F:$F,'Dimensionamento Tratos'!$C21,Qtde_Oper_Plantio_Tratos!$I:$I,'Dimensionamento Tratos'!$D21)</f>
        <v>106.18999999999998</v>
      </c>
      <c r="K21" s="3">
        <f>SUMIFS(Qtde_Oper_Plantio_Tratos!U:U,Qtde_Oper_Plantio_Tratos!$F:$F,'Dimensionamento Tratos'!$C21,Qtde_Oper_Plantio_Tratos!$I:$I,'Dimensionamento Tratos'!$D21)</f>
        <v>65.319999999999993</v>
      </c>
      <c r="L21" s="3">
        <f>SUMIFS(Qtde_Oper_Plantio_Tratos!V:V,Qtde_Oper_Plantio_Tratos!$F:$F,'Dimensionamento Tratos'!$C21,Qtde_Oper_Plantio_Tratos!$I:$I,'Dimensionamento Tratos'!$D21)</f>
        <v>511.7600000000001</v>
      </c>
      <c r="M21" s="3">
        <f>SUMIFS(Qtde_Oper_Plantio_Tratos!W:W,Qtde_Oper_Plantio_Tratos!$F:$F,'Dimensionamento Tratos'!$C21,Qtde_Oper_Plantio_Tratos!$I:$I,'Dimensionamento Tratos'!$D21)</f>
        <v>10.95</v>
      </c>
      <c r="N21" s="3">
        <f>SUMIFS(Qtde_Oper_Plantio_Tratos!X:X,Qtde_Oper_Plantio_Tratos!$F:$F,'Dimensionamento Tratos'!$C21,Qtde_Oper_Plantio_Tratos!$I:$I,'Dimensionamento Tratos'!$D21)</f>
        <v>0</v>
      </c>
      <c r="O21" s="3">
        <f>SUMIFS(Qtde_Oper_Plantio_Tratos!Y:Y,Qtde_Oper_Plantio_Tratos!$F:$F,'Dimensionamento Tratos'!$C21,Qtde_Oper_Plantio_Tratos!$I:$I,'Dimensionamento Tratos'!$D21)</f>
        <v>0</v>
      </c>
      <c r="P21" s="3">
        <f>SUMIFS(Qtde_Oper_Plantio_Tratos!Z:Z,Qtde_Oper_Plantio_Tratos!$F:$F,'Dimensionamento Tratos'!$C21,Qtde_Oper_Plantio_Tratos!$I:$I,'Dimensionamento Tratos'!$D21)</f>
        <v>0</v>
      </c>
      <c r="Q21" s="3">
        <f>SUMIFS(Qtde_Oper_Plantio_Tratos!AA:AA,Qtde_Oper_Plantio_Tratos!$F:$F,'Dimensionamento Tratos'!$C21,Qtde_Oper_Plantio_Tratos!$I:$I,'Dimensionamento Tratos'!$D21)</f>
        <v>0</v>
      </c>
      <c r="R21" s="3">
        <f>SUMIFS(Qtde_Oper_Plantio_Tratos!AB:AB,Qtde_Oper_Plantio_Tratos!$F:$F,'Dimensionamento Tratos'!$C21,Qtde_Oper_Plantio_Tratos!$I:$I,'Dimensionamento Tratos'!$D21)</f>
        <v>1476.3</v>
      </c>
    </row>
    <row r="22" spans="1:18" hidden="1" outlineLevel="1" x14ac:dyDescent="0.25">
      <c r="A22" s="1"/>
      <c r="B22" s="275"/>
      <c r="C22" s="265"/>
      <c r="D22" s="265" t="s">
        <v>607</v>
      </c>
      <c r="E22" s="2" t="s">
        <v>86</v>
      </c>
      <c r="F22" s="3">
        <f t="shared" ref="F22:Q22" si="7">IF($D22="Proprio",IFERROR(F21/(_xlfn.XLOOKUP(F$6,$F$112:$R$112,$F$113:$R$113)*_xlfn.XLOOKUP($C21,$D$94:$D$108,$F$94:$F$108)),0),0)</f>
        <v>7.8547510519640595E-2</v>
      </c>
      <c r="G22" s="3">
        <f t="shared" si="7"/>
        <v>0.19619198982835348</v>
      </c>
      <c r="H22" s="3">
        <f t="shared" si="7"/>
        <v>9.3688016528925597E-2</v>
      </c>
      <c r="I22" s="3">
        <f t="shared" si="7"/>
        <v>4.1157024793388435E-3</v>
      </c>
      <c r="J22" s="3">
        <f t="shared" si="7"/>
        <v>4.5393274437161582E-2</v>
      </c>
      <c r="K22" s="3">
        <f t="shared" si="7"/>
        <v>2.999081726354454E-2</v>
      </c>
      <c r="L22" s="3">
        <f t="shared" si="7"/>
        <v>0.27309725376046085</v>
      </c>
      <c r="M22" s="3">
        <f t="shared" si="7"/>
        <v>6.5326130898776622E-3</v>
      </c>
      <c r="N22" s="3">
        <f t="shared" si="7"/>
        <v>0</v>
      </c>
      <c r="O22" s="3">
        <f t="shared" si="7"/>
        <v>0</v>
      </c>
      <c r="P22" s="3">
        <f t="shared" si="7"/>
        <v>0</v>
      </c>
      <c r="Q22" s="3">
        <f t="shared" si="7"/>
        <v>0</v>
      </c>
      <c r="R22" s="3">
        <f>IFERROR(R21/(_xlfn.XLOOKUP(R$6,$F$112:$R$112,$F$113:$R$113)*_xlfn.XLOOKUP($C21,$D$94:$D$108,$F$94:$F$108)),0)</f>
        <v>7.0354141171030171E-2</v>
      </c>
    </row>
    <row r="23" spans="1:18" collapsed="1" x14ac:dyDescent="0.25">
      <c r="A23" s="1"/>
      <c r="B23" s="275"/>
      <c r="C23" s="264">
        <v>1090</v>
      </c>
      <c r="D23" s="262" t="s">
        <v>312</v>
      </c>
      <c r="E23" s="263" t="str">
        <f>_xlfn.XLOOKUP(C23,Apoio!A:A,Apoio!B:B)</f>
        <v xml:space="preserve">Repasse Aplicação Herbicida   </v>
      </c>
      <c r="F23" s="7">
        <f>SUMIFS(Qtde_Oper_Plantio_Tratos!P:P,Qtde_Oper_Plantio_Tratos!$F:$F,'Dimensionamento Tratos'!$C23,Qtde_Oper_Plantio_Tratos!$I:$I,'Dimensionamento Tratos'!$D23)</f>
        <v>105</v>
      </c>
      <c r="G23" s="7">
        <f>SUMIFS(Qtde_Oper_Plantio_Tratos!Q:Q,Qtde_Oper_Plantio_Tratos!$F:$F,'Dimensionamento Tratos'!$C23,Qtde_Oper_Plantio_Tratos!$I:$I,'Dimensionamento Tratos'!$D23)</f>
        <v>98</v>
      </c>
      <c r="H23" s="7">
        <f>SUMIFS(Qtde_Oper_Plantio_Tratos!R:R,Qtde_Oper_Plantio_Tratos!$F:$F,'Dimensionamento Tratos'!$C23,Qtde_Oper_Plantio_Tratos!$I:$I,'Dimensionamento Tratos'!$D23)</f>
        <v>63</v>
      </c>
      <c r="I23" s="7">
        <f>SUMIFS(Qtde_Oper_Plantio_Tratos!S:S,Qtde_Oper_Plantio_Tratos!$F:$F,'Dimensionamento Tratos'!$C23,Qtde_Oper_Plantio_Tratos!$I:$I,'Dimensionamento Tratos'!$D23)</f>
        <v>100</v>
      </c>
      <c r="J23" s="7">
        <f>SUMIFS(Qtde_Oper_Plantio_Tratos!T:T,Qtde_Oper_Plantio_Tratos!$F:$F,'Dimensionamento Tratos'!$C23,Qtde_Oper_Plantio_Tratos!$I:$I,'Dimensionamento Tratos'!$D23)</f>
        <v>100</v>
      </c>
      <c r="K23" s="7">
        <f>SUMIFS(Qtde_Oper_Plantio_Tratos!U:U,Qtde_Oper_Plantio_Tratos!$F:$F,'Dimensionamento Tratos'!$C23,Qtde_Oper_Plantio_Tratos!$I:$I,'Dimensionamento Tratos'!$D23)</f>
        <v>84</v>
      </c>
      <c r="L23" s="7">
        <f>SUMIFS(Qtde_Oper_Plantio_Tratos!V:V,Qtde_Oper_Plantio_Tratos!$F:$F,'Dimensionamento Tratos'!$C23,Qtde_Oper_Plantio_Tratos!$I:$I,'Dimensionamento Tratos'!$D23)</f>
        <v>196</v>
      </c>
      <c r="M23" s="7">
        <f>SUMIFS(Qtde_Oper_Plantio_Tratos!W:W,Qtde_Oper_Plantio_Tratos!$F:$F,'Dimensionamento Tratos'!$C23,Qtde_Oper_Plantio_Tratos!$I:$I,'Dimensionamento Tratos'!$D23)</f>
        <v>0</v>
      </c>
      <c r="N23" s="7">
        <f>SUMIFS(Qtde_Oper_Plantio_Tratos!X:X,Qtde_Oper_Plantio_Tratos!$F:$F,'Dimensionamento Tratos'!$C23,Qtde_Oper_Plantio_Tratos!$I:$I,'Dimensionamento Tratos'!$D23)</f>
        <v>100</v>
      </c>
      <c r="O23" s="7">
        <f>SUMIFS(Qtde_Oper_Plantio_Tratos!Y:Y,Qtde_Oper_Plantio_Tratos!$F:$F,'Dimensionamento Tratos'!$C23,Qtde_Oper_Plantio_Tratos!$I:$I,'Dimensionamento Tratos'!$D23)</f>
        <v>100</v>
      </c>
      <c r="P23" s="7">
        <f>SUMIFS(Qtde_Oper_Plantio_Tratos!Z:Z,Qtde_Oper_Plantio_Tratos!$F:$F,'Dimensionamento Tratos'!$C23,Qtde_Oper_Plantio_Tratos!$I:$I,'Dimensionamento Tratos'!$D23)</f>
        <v>100</v>
      </c>
      <c r="Q23" s="7">
        <f>SUMIFS(Qtde_Oper_Plantio_Tratos!AA:AA,Qtde_Oper_Plantio_Tratos!$F:$F,'Dimensionamento Tratos'!$C23,Qtde_Oper_Plantio_Tratos!$I:$I,'Dimensionamento Tratos'!$D23)</f>
        <v>100</v>
      </c>
      <c r="R23" s="7">
        <f>SUM(F23:Q23)</f>
        <v>1146</v>
      </c>
    </row>
    <row r="24" spans="1:18" hidden="1" outlineLevel="1" x14ac:dyDescent="0.25">
      <c r="A24" s="1"/>
      <c r="B24" s="275"/>
      <c r="C24" s="262"/>
      <c r="D24" s="262" t="s">
        <v>607</v>
      </c>
      <c r="E24" s="263" t="s">
        <v>86</v>
      </c>
      <c r="F24" s="7">
        <f t="shared" ref="F24:Q24" si="8">IF($D24="Proprio",IFERROR(F23/(_xlfn.XLOOKUP(F$6,$F$112:$R$112,$F$113:$R$113)*_xlfn.XLOOKUP($C23,$D$94:$D$108,$F$94:$F$108)),0),0)</f>
        <v>0.24573492589129176</v>
      </c>
      <c r="G24" s="7">
        <f t="shared" si="8"/>
        <v>0.20748059280169376</v>
      </c>
      <c r="H24" s="7">
        <f t="shared" si="8"/>
        <v>0.12385321100917432</v>
      </c>
      <c r="I24" s="7">
        <f t="shared" si="8"/>
        <v>0.18348623853211013</v>
      </c>
      <c r="J24" s="7">
        <f t="shared" si="8"/>
        <v>0.18981335020563117</v>
      </c>
      <c r="K24" s="7">
        <f t="shared" si="8"/>
        <v>0.17125382262996944</v>
      </c>
      <c r="L24" s="7">
        <f t="shared" si="8"/>
        <v>0.46443605805639171</v>
      </c>
      <c r="M24" s="7">
        <f t="shared" si="8"/>
        <v>0</v>
      </c>
      <c r="N24" s="7">
        <f t="shared" si="8"/>
        <v>0.38764698281431714</v>
      </c>
      <c r="O24" s="7">
        <f t="shared" si="8"/>
        <v>0.59832469086557649</v>
      </c>
      <c r="P24" s="7">
        <f t="shared" si="8"/>
        <v>0.4914809960681521</v>
      </c>
      <c r="Q24" s="7">
        <f t="shared" si="8"/>
        <v>0.30581039755351686</v>
      </c>
      <c r="R24" s="7">
        <f>IFERROR(R23/(_xlfn.XLOOKUP(R$6,$F$112:$R$112,$F$113:$R$113)*_xlfn.XLOOKUP($C23,$D$94:$D$108,$F$94:$F$108)),0)</f>
        <v>0.24250378834818437</v>
      </c>
    </row>
    <row r="25" spans="1:18" collapsed="1" x14ac:dyDescent="0.25">
      <c r="A25" s="1"/>
      <c r="B25" s="275"/>
      <c r="C25" s="265">
        <v>1096</v>
      </c>
      <c r="D25" s="265" t="s">
        <v>227</v>
      </c>
      <c r="E25" s="2" t="str">
        <f>_xlfn.XLOOKUP(C25,Apoio!A:A,Apoio!B:B)</f>
        <v xml:space="preserve">Pré Plantio Incorporado (Ppi) </v>
      </c>
      <c r="F25" s="3">
        <f>SUMIFS(Qtde_Oper_Plantio_Tratos!P:P,Qtde_Oper_Plantio_Tratos!$F:$F,'Dimensionamento Tratos'!$C25,Qtde_Oper_Plantio_Tratos!$I:$I,'Dimensionamento Tratos'!$D25)</f>
        <v>0</v>
      </c>
      <c r="G25" s="3">
        <f>SUMIFS(Qtde_Oper_Plantio_Tratos!Q:Q,Qtde_Oper_Plantio_Tratos!$F:$F,'Dimensionamento Tratos'!$C25,Qtde_Oper_Plantio_Tratos!$I:$I,'Dimensionamento Tratos'!$D25)</f>
        <v>0</v>
      </c>
      <c r="H25" s="3">
        <f>SUMIFS(Qtde_Oper_Plantio_Tratos!R:R,Qtde_Oper_Plantio_Tratos!$F:$F,'Dimensionamento Tratos'!$C25,Qtde_Oper_Plantio_Tratos!$I:$I,'Dimensionamento Tratos'!$D25)</f>
        <v>229.2</v>
      </c>
      <c r="I25" s="3">
        <f>SUMIFS(Qtde_Oper_Plantio_Tratos!S:S,Qtde_Oper_Plantio_Tratos!$F:$F,'Dimensionamento Tratos'!$C25,Qtde_Oper_Plantio_Tratos!$I:$I,'Dimensionamento Tratos'!$D25)</f>
        <v>310.91400000000004</v>
      </c>
      <c r="J25" s="3">
        <f>SUMIFS(Qtde_Oper_Plantio_Tratos!T:T,Qtde_Oper_Plantio_Tratos!$F:$F,'Dimensionamento Tratos'!$C25,Qtde_Oper_Plantio_Tratos!$I:$I,'Dimensionamento Tratos'!$D25)</f>
        <v>0</v>
      </c>
      <c r="K25" s="3">
        <f>SUMIFS(Qtde_Oper_Plantio_Tratos!U:U,Qtde_Oper_Plantio_Tratos!$F:$F,'Dimensionamento Tratos'!$C25,Qtde_Oper_Plantio_Tratos!$I:$I,'Dimensionamento Tratos'!$D25)</f>
        <v>0</v>
      </c>
      <c r="L25" s="3">
        <f>SUMIFS(Qtde_Oper_Plantio_Tratos!V:V,Qtde_Oper_Plantio_Tratos!$F:$F,'Dimensionamento Tratos'!$C25,Qtde_Oper_Plantio_Tratos!$I:$I,'Dimensionamento Tratos'!$D25)</f>
        <v>0</v>
      </c>
      <c r="M25" s="3">
        <f>SUMIFS(Qtde_Oper_Plantio_Tratos!W:W,Qtde_Oper_Plantio_Tratos!$F:$F,'Dimensionamento Tratos'!$C25,Qtde_Oper_Plantio_Tratos!$I:$I,'Dimensionamento Tratos'!$D25)</f>
        <v>0</v>
      </c>
      <c r="N25" s="3">
        <f>SUMIFS(Qtde_Oper_Plantio_Tratos!X:X,Qtde_Oper_Plantio_Tratos!$F:$F,'Dimensionamento Tratos'!$C25,Qtde_Oper_Plantio_Tratos!$I:$I,'Dimensionamento Tratos'!$D25)</f>
        <v>0</v>
      </c>
      <c r="O25" s="3">
        <f>SUMIFS(Qtde_Oper_Plantio_Tratos!Y:Y,Qtde_Oper_Plantio_Tratos!$F:$F,'Dimensionamento Tratos'!$C25,Qtde_Oper_Plantio_Tratos!$I:$I,'Dimensionamento Tratos'!$D25)</f>
        <v>0</v>
      </c>
      <c r="P25" s="3">
        <f>SUMIFS(Qtde_Oper_Plantio_Tratos!Z:Z,Qtde_Oper_Plantio_Tratos!$F:$F,'Dimensionamento Tratos'!$C25,Qtde_Oper_Plantio_Tratos!$I:$I,'Dimensionamento Tratos'!$D25)</f>
        <v>0</v>
      </c>
      <c r="Q25" s="3">
        <f>SUMIFS(Qtde_Oper_Plantio_Tratos!AA:AA,Qtde_Oper_Plantio_Tratos!$F:$F,'Dimensionamento Tratos'!$C25,Qtde_Oper_Plantio_Tratos!$I:$I,'Dimensionamento Tratos'!$D25)</f>
        <v>0</v>
      </c>
      <c r="R25" s="3">
        <f>SUMIFS(Qtde_Oper_Plantio_Tratos!AB:AB,Qtde_Oper_Plantio_Tratos!$F:$F,'Dimensionamento Tratos'!$C25,Qtde_Oper_Plantio_Tratos!$I:$I,'Dimensionamento Tratos'!$D25)</f>
        <v>541.11400000000003</v>
      </c>
    </row>
    <row r="26" spans="1:18" hidden="1" outlineLevel="1" x14ac:dyDescent="0.25">
      <c r="A26" s="1"/>
      <c r="B26" s="276"/>
      <c r="C26" s="265"/>
      <c r="D26" s="265" t="s">
        <v>607</v>
      </c>
      <c r="E26" s="2" t="s">
        <v>86</v>
      </c>
      <c r="F26" s="3">
        <f t="shared" ref="F26:Q26" si="9">IF($D26="Proprio",IFERROR(F25/(_xlfn.XLOOKUP(F$6,$F$112:$R$112,$F$113:$R$113)*_xlfn.XLOOKUP($C25,$D$94:$D$108,$F$94:$F$108)),0),0)</f>
        <v>0</v>
      </c>
      <c r="G26" s="3">
        <f t="shared" si="9"/>
        <v>0</v>
      </c>
      <c r="H26" s="3">
        <f t="shared" si="9"/>
        <v>9.322252199731558E-2</v>
      </c>
      <c r="I26" s="3">
        <f t="shared" si="9"/>
        <v>0.11802752206510393</v>
      </c>
      <c r="J26" s="3">
        <f t="shared" si="9"/>
        <v>0</v>
      </c>
      <c r="K26" s="3">
        <f t="shared" si="9"/>
        <v>0</v>
      </c>
      <c r="L26" s="3">
        <f t="shared" si="9"/>
        <v>0</v>
      </c>
      <c r="M26" s="3">
        <f t="shared" si="9"/>
        <v>0</v>
      </c>
      <c r="N26" s="3">
        <f t="shared" si="9"/>
        <v>0</v>
      </c>
      <c r="O26" s="3">
        <f t="shared" si="9"/>
        <v>0</v>
      </c>
      <c r="P26" s="3">
        <f t="shared" si="9"/>
        <v>0</v>
      </c>
      <c r="Q26" s="3">
        <f t="shared" si="9"/>
        <v>0</v>
      </c>
      <c r="R26" s="3">
        <f>IFERROR(R25/(_xlfn.XLOOKUP(R$6,$F$112:$R$112,$F$113:$R$113)*_xlfn.XLOOKUP($C25,$D$94:$D$108,$F$94:$F$108)),0)</f>
        <v>2.3689843612954828E-2</v>
      </c>
    </row>
    <row r="27" spans="1:18" x14ac:dyDescent="0.25">
      <c r="A27" s="1"/>
      <c r="B27" s="4"/>
      <c r="C27" s="4"/>
      <c r="D27" s="4"/>
      <c r="E27" s="4" t="s">
        <v>76</v>
      </c>
      <c r="F27" s="5">
        <f>ROUNDUP(SUM(F26,F24,F22,F18,F16,F14,F12,F10,F8),0)</f>
        <v>2</v>
      </c>
      <c r="G27" s="5">
        <f t="shared" ref="G27:R27" si="10">ROUNDUP(SUM(G26,G24,G22,G18,G16,G14,G12,G10,G8),0)</f>
        <v>2</v>
      </c>
      <c r="H27" s="5">
        <f t="shared" si="10"/>
        <v>3</v>
      </c>
      <c r="I27" s="5">
        <f t="shared" si="10"/>
        <v>2</v>
      </c>
      <c r="J27" s="5">
        <f t="shared" si="10"/>
        <v>2</v>
      </c>
      <c r="K27" s="5">
        <f t="shared" si="10"/>
        <v>2</v>
      </c>
      <c r="L27" s="5">
        <f t="shared" si="10"/>
        <v>3</v>
      </c>
      <c r="M27" s="5">
        <f t="shared" si="10"/>
        <v>2</v>
      </c>
      <c r="N27" s="5">
        <f t="shared" si="10"/>
        <v>1</v>
      </c>
      <c r="O27" s="5">
        <f t="shared" si="10"/>
        <v>2</v>
      </c>
      <c r="P27" s="5">
        <f t="shared" si="10"/>
        <v>2</v>
      </c>
      <c r="Q27" s="5">
        <f t="shared" si="10"/>
        <v>2</v>
      </c>
      <c r="R27" s="5">
        <f t="shared" si="10"/>
        <v>2</v>
      </c>
    </row>
    <row r="28" spans="1:18" x14ac:dyDescent="0.25">
      <c r="A28" s="1"/>
      <c r="B28" s="4"/>
      <c r="C28" s="4"/>
      <c r="D28" s="4"/>
      <c r="E28" s="4" t="s">
        <v>77</v>
      </c>
      <c r="F28" s="5">
        <f t="shared" ref="F28:R28" si="11">SUMIFS($F81:$F89,$E$81:$E$89,$E26)</f>
        <v>3</v>
      </c>
      <c r="G28" s="5">
        <f t="shared" si="11"/>
        <v>3</v>
      </c>
      <c r="H28" s="5">
        <f t="shared" si="11"/>
        <v>3</v>
      </c>
      <c r="I28" s="5">
        <f t="shared" si="11"/>
        <v>3</v>
      </c>
      <c r="J28" s="5">
        <f t="shared" si="11"/>
        <v>3</v>
      </c>
      <c r="K28" s="5">
        <f t="shared" si="11"/>
        <v>3</v>
      </c>
      <c r="L28" s="5">
        <f t="shared" si="11"/>
        <v>3</v>
      </c>
      <c r="M28" s="5">
        <f t="shared" si="11"/>
        <v>3</v>
      </c>
      <c r="N28" s="5">
        <f t="shared" si="11"/>
        <v>3</v>
      </c>
      <c r="O28" s="5">
        <f t="shared" si="11"/>
        <v>3</v>
      </c>
      <c r="P28" s="5">
        <f t="shared" si="11"/>
        <v>3</v>
      </c>
      <c r="Q28" s="5">
        <f t="shared" si="11"/>
        <v>3</v>
      </c>
      <c r="R28" s="5">
        <f t="shared" si="11"/>
        <v>3</v>
      </c>
    </row>
    <row r="29" spans="1:18" x14ac:dyDescent="0.25">
      <c r="A29" s="1"/>
    </row>
    <row r="30" spans="1:18" collapsed="1" x14ac:dyDescent="0.25">
      <c r="A30" s="1"/>
      <c r="B30" s="275" t="s">
        <v>754</v>
      </c>
      <c r="C30" s="264">
        <v>1020</v>
      </c>
      <c r="D30" s="262" t="s">
        <v>295</v>
      </c>
      <c r="E30" s="263" t="str">
        <f>_xlfn.XLOOKUP(C30,Apoio!A:A,Apoio!B:B)</f>
        <v xml:space="preserve">Quebra De Lombo               </v>
      </c>
      <c r="F30" s="7">
        <f>SUMIFS(Qtde_Oper_Plantio_Tratos!P:P,Qtde_Oper_Plantio_Tratos!$F:$F,'Dimensionamento Tratos'!$C30,Qtde_Oper_Plantio_Tratos!$I:$I,'Dimensionamento Tratos'!$D30)</f>
        <v>400</v>
      </c>
      <c r="G30" s="7">
        <f>SUMIFS(Qtde_Oper_Plantio_Tratos!Q:Q,Qtde_Oper_Plantio_Tratos!$F:$F,'Dimensionamento Tratos'!$C30,Qtde_Oper_Plantio_Tratos!$I:$I,'Dimensionamento Tratos'!$D30)</f>
        <v>800</v>
      </c>
      <c r="H30" s="7">
        <f>SUMIFS(Qtde_Oper_Plantio_Tratos!R:R,Qtde_Oper_Plantio_Tratos!$F:$F,'Dimensionamento Tratos'!$C30,Qtde_Oper_Plantio_Tratos!$I:$I,'Dimensionamento Tratos'!$D30)</f>
        <v>1100</v>
      </c>
      <c r="I30" s="7">
        <f>SUMIFS(Qtde_Oper_Plantio_Tratos!S:S,Qtde_Oper_Plantio_Tratos!$F:$F,'Dimensionamento Tratos'!$C30,Qtde_Oper_Plantio_Tratos!$I:$I,'Dimensionamento Tratos'!$D30)</f>
        <v>600</v>
      </c>
      <c r="J30" s="7">
        <f>SUMIFS(Qtde_Oper_Plantio_Tratos!T:T,Qtde_Oper_Plantio_Tratos!$F:$F,'Dimensionamento Tratos'!$C30,Qtde_Oper_Plantio_Tratos!$I:$I,'Dimensionamento Tratos'!$D30)</f>
        <v>0</v>
      </c>
      <c r="K30" s="7">
        <f>SUMIFS(Qtde_Oper_Plantio_Tratos!U:U,Qtde_Oper_Plantio_Tratos!$F:$F,'Dimensionamento Tratos'!$C30,Qtde_Oper_Plantio_Tratos!$I:$I,'Dimensionamento Tratos'!$D30)</f>
        <v>0</v>
      </c>
      <c r="L30" s="7">
        <f>SUMIFS(Qtde_Oper_Plantio_Tratos!V:V,Qtde_Oper_Plantio_Tratos!$F:$F,'Dimensionamento Tratos'!$C30,Qtde_Oper_Plantio_Tratos!$I:$I,'Dimensionamento Tratos'!$D30)</f>
        <v>370</v>
      </c>
      <c r="M30" s="7">
        <f>SUMIFS(Qtde_Oper_Plantio_Tratos!W:W,Qtde_Oper_Plantio_Tratos!$F:$F,'Dimensionamento Tratos'!$C30,Qtde_Oper_Plantio_Tratos!$I:$I,'Dimensionamento Tratos'!$D30)</f>
        <v>370</v>
      </c>
      <c r="N30" s="7">
        <f>SUMIFS(Qtde_Oper_Plantio_Tratos!X:X,Qtde_Oper_Plantio_Tratos!$F:$F,'Dimensionamento Tratos'!$C30,Qtde_Oper_Plantio_Tratos!$I:$I,'Dimensionamento Tratos'!$D30)</f>
        <v>0</v>
      </c>
      <c r="O30" s="7">
        <f>SUMIFS(Qtde_Oper_Plantio_Tratos!Y:Y,Qtde_Oper_Plantio_Tratos!$F:$F,'Dimensionamento Tratos'!$C30,Qtde_Oper_Plantio_Tratos!$I:$I,'Dimensionamento Tratos'!$D30)</f>
        <v>50</v>
      </c>
      <c r="P30" s="7">
        <f>SUMIFS(Qtde_Oper_Plantio_Tratos!Z:Z,Qtde_Oper_Plantio_Tratos!$F:$F,'Dimensionamento Tratos'!$C30,Qtde_Oper_Plantio_Tratos!$I:$I,'Dimensionamento Tratos'!$D30)</f>
        <v>0</v>
      </c>
      <c r="Q30" s="7">
        <f>SUMIFS(Qtde_Oper_Plantio_Tratos!AA:AA,Qtde_Oper_Plantio_Tratos!$F:$F,'Dimensionamento Tratos'!$C30,Qtde_Oper_Plantio_Tratos!$I:$I,'Dimensionamento Tratos'!$D30)</f>
        <v>0</v>
      </c>
      <c r="R30" s="7">
        <f>SUM(F30:Q30)</f>
        <v>3690</v>
      </c>
    </row>
    <row r="31" spans="1:18" hidden="1" outlineLevel="1" x14ac:dyDescent="0.25">
      <c r="A31" s="1"/>
      <c r="B31" s="275"/>
      <c r="C31" s="262"/>
      <c r="D31" s="262" t="s">
        <v>607</v>
      </c>
      <c r="E31" s="263" t="s">
        <v>754</v>
      </c>
      <c r="F31" s="7">
        <f t="shared" ref="F31:Q31" si="12">IF($D31="Proprio",IFERROR(F30/(_xlfn.XLOOKUP(F$6,$F$112:$R$112,$F$113:$R$113)*_xlfn.XLOOKUP($C30,$D$94:$D$108,$F$94:$F$108)),0),0)</f>
        <v>2.9507953314220492</v>
      </c>
      <c r="G31" s="7">
        <f t="shared" si="12"/>
        <v>5.3387907638919776</v>
      </c>
      <c r="H31" s="7">
        <f t="shared" si="12"/>
        <v>6.8164917788977926</v>
      </c>
      <c r="I31" s="7">
        <f t="shared" si="12"/>
        <v>3.4702139965297851</v>
      </c>
      <c r="J31" s="7">
        <f t="shared" si="12"/>
        <v>0</v>
      </c>
      <c r="K31" s="7">
        <f t="shared" si="12"/>
        <v>0</v>
      </c>
      <c r="L31" s="7">
        <f t="shared" si="12"/>
        <v>2.7635866876887474</v>
      </c>
      <c r="M31" s="7">
        <f t="shared" si="12"/>
        <v>3.0895477686188375</v>
      </c>
      <c r="N31" s="7">
        <f t="shared" si="12"/>
        <v>0</v>
      </c>
      <c r="O31" s="7">
        <f t="shared" si="12"/>
        <v>0.94299293383961569</v>
      </c>
      <c r="P31" s="7">
        <f t="shared" si="12"/>
        <v>0</v>
      </c>
      <c r="Q31" s="7">
        <f t="shared" si="12"/>
        <v>0</v>
      </c>
      <c r="R31" s="7">
        <f>IFERROR(R30/(_xlfn.XLOOKUP(R$6,$F$112:$R$112,$F$113:$R$113)*_xlfn.XLOOKUP($C30,$D$94:$D$108,$F$94:$F$108)),0)</f>
        <v>2.4612843201318646</v>
      </c>
    </row>
    <row r="32" spans="1:18" collapsed="1" x14ac:dyDescent="0.25">
      <c r="A32" s="1"/>
      <c r="B32" s="275"/>
      <c r="C32" s="265">
        <v>1022</v>
      </c>
      <c r="D32" s="265" t="s">
        <v>312</v>
      </c>
      <c r="E32" s="2" t="str">
        <f>_xlfn.XLOOKUP(C32,Apoio!A:A,Apoio!B:B)</f>
        <v xml:space="preserve">Cultivo                       </v>
      </c>
      <c r="F32" s="3">
        <f>SUMIFS(Qtde_Oper_Plantio_Tratos!P:P,Qtde_Oper_Plantio_Tratos!$F:$F,'Dimensionamento Tratos'!$C32,Qtde_Oper_Plantio_Tratos!$I:$I,'Dimensionamento Tratos'!$D32)</f>
        <v>57.050000000000004</v>
      </c>
      <c r="G32" s="3">
        <f>SUMIFS(Qtde_Oper_Plantio_Tratos!Q:Q,Qtde_Oper_Plantio_Tratos!$F:$F,'Dimensionamento Tratos'!$C32,Qtde_Oper_Plantio_Tratos!$I:$I,'Dimensionamento Tratos'!$D32)</f>
        <v>70.150000000000006</v>
      </c>
      <c r="H32" s="3">
        <f>SUMIFS(Qtde_Oper_Plantio_Tratos!R:R,Qtde_Oper_Plantio_Tratos!$F:$F,'Dimensionamento Tratos'!$C32,Qtde_Oper_Plantio_Tratos!$I:$I,'Dimensionamento Tratos'!$D32)</f>
        <v>0</v>
      </c>
      <c r="I32" s="3">
        <f>SUMIFS(Qtde_Oper_Plantio_Tratos!S:S,Qtde_Oper_Plantio_Tratos!$F:$F,'Dimensionamento Tratos'!$C32,Qtde_Oper_Plantio_Tratos!$I:$I,'Dimensionamento Tratos'!$D32)</f>
        <v>103.64</v>
      </c>
      <c r="J32" s="3">
        <f>SUMIFS(Qtde_Oper_Plantio_Tratos!T:T,Qtde_Oper_Plantio_Tratos!$F:$F,'Dimensionamento Tratos'!$C32,Qtde_Oper_Plantio_Tratos!$I:$I,'Dimensionamento Tratos'!$D32)</f>
        <v>57</v>
      </c>
      <c r="K32" s="3">
        <f>SUMIFS(Qtde_Oper_Plantio_Tratos!U:U,Qtde_Oper_Plantio_Tratos!$F:$F,'Dimensionamento Tratos'!$C32,Qtde_Oper_Plantio_Tratos!$I:$I,'Dimensionamento Tratos'!$D32)</f>
        <v>16.439999999999998</v>
      </c>
      <c r="L32" s="3">
        <f>SUMIFS(Qtde_Oper_Plantio_Tratos!V:V,Qtde_Oper_Plantio_Tratos!$F:$F,'Dimensionamento Tratos'!$C32,Qtde_Oper_Plantio_Tratos!$I:$I,'Dimensionamento Tratos'!$D32)</f>
        <v>0.19999999999999998</v>
      </c>
      <c r="M32" s="3">
        <f>SUMIFS(Qtde_Oper_Plantio_Tratos!W:W,Qtde_Oper_Plantio_Tratos!$F:$F,'Dimensionamento Tratos'!$C32,Qtde_Oper_Plantio_Tratos!$I:$I,'Dimensionamento Tratos'!$D32)</f>
        <v>368.65000000000003</v>
      </c>
      <c r="N32" s="3">
        <f>SUMIFS(Qtde_Oper_Plantio_Tratos!X:X,Qtde_Oper_Plantio_Tratos!$F:$F,'Dimensionamento Tratos'!$C32,Qtde_Oper_Plantio_Tratos!$I:$I,'Dimensionamento Tratos'!$D32)</f>
        <v>0</v>
      </c>
      <c r="O32" s="3">
        <f>SUMIFS(Qtde_Oper_Plantio_Tratos!Y:Y,Qtde_Oper_Plantio_Tratos!$F:$F,'Dimensionamento Tratos'!$C32,Qtde_Oper_Plantio_Tratos!$I:$I,'Dimensionamento Tratos'!$D32)</f>
        <v>0</v>
      </c>
      <c r="P32" s="3">
        <f>SUMIFS(Qtde_Oper_Plantio_Tratos!Z:Z,Qtde_Oper_Plantio_Tratos!$F:$F,'Dimensionamento Tratos'!$C32,Qtde_Oper_Plantio_Tratos!$I:$I,'Dimensionamento Tratos'!$D32)</f>
        <v>100</v>
      </c>
      <c r="Q32" s="3">
        <f>SUMIFS(Qtde_Oper_Plantio_Tratos!AA:AA,Qtde_Oper_Plantio_Tratos!$F:$F,'Dimensionamento Tratos'!$C32,Qtde_Oper_Plantio_Tratos!$I:$I,'Dimensionamento Tratos'!$D32)</f>
        <v>100</v>
      </c>
      <c r="R32" s="3">
        <f>SUMIFS(Qtde_Oper_Plantio_Tratos!AB:AB,Qtde_Oper_Plantio_Tratos!$F:$F,'Dimensionamento Tratos'!$C32,Qtde_Oper_Plantio_Tratos!$I:$I,'Dimensionamento Tratos'!$D32)</f>
        <v>873.13000000000011</v>
      </c>
    </row>
    <row r="33" spans="1:18" hidden="1" outlineLevel="1" x14ac:dyDescent="0.25">
      <c r="A33" s="1"/>
      <c r="B33" s="275"/>
      <c r="C33" s="265"/>
      <c r="D33" s="265" t="s">
        <v>607</v>
      </c>
      <c r="E33" s="2" t="s">
        <v>754</v>
      </c>
      <c r="F33" s="3">
        <f t="shared" ref="F33:Q33" si="13">IF($D33="Proprio",IFERROR(F32/(_xlfn.XLOOKUP(F$6,$F$112:$R$112,$F$113:$R$113)*_xlfn.XLOOKUP($C32,$D$94:$D$108,$F$94:$F$108)),0),0)</f>
        <v>0.40091574180997064</v>
      </c>
      <c r="G33" s="3">
        <f t="shared" si="13"/>
        <v>0.4459631277813097</v>
      </c>
      <c r="H33" s="3">
        <f t="shared" si="13"/>
        <v>0</v>
      </c>
      <c r="I33" s="3">
        <f t="shared" si="13"/>
        <v>0.57101928374655653</v>
      </c>
      <c r="J33" s="3">
        <f t="shared" si="13"/>
        <v>0.32487888287261329</v>
      </c>
      <c r="K33" s="3">
        <f t="shared" si="13"/>
        <v>0.10064279155188245</v>
      </c>
      <c r="L33" s="3">
        <f t="shared" si="13"/>
        <v>1.4230485840261622E-3</v>
      </c>
      <c r="M33" s="3">
        <f t="shared" si="13"/>
        <v>2.9324174314561953</v>
      </c>
      <c r="N33" s="3">
        <f t="shared" si="13"/>
        <v>0</v>
      </c>
      <c r="O33" s="3">
        <f t="shared" si="13"/>
        <v>0</v>
      </c>
      <c r="P33" s="3">
        <f t="shared" si="13"/>
        <v>1.475796930342385</v>
      </c>
      <c r="Q33" s="3">
        <f t="shared" si="13"/>
        <v>0.91827364554637292</v>
      </c>
      <c r="R33" s="3">
        <f>IFERROR(R32/(_xlfn.XLOOKUP(R$6,$F$112:$R$112,$F$113:$R$113)*_xlfn.XLOOKUP($C32,$D$94:$D$108,$F$94:$F$108)),0)</f>
        <v>0.55479519773001496</v>
      </c>
    </row>
    <row r="34" spans="1:18" collapsed="1" x14ac:dyDescent="0.25">
      <c r="A34" s="1"/>
      <c r="B34" s="275"/>
      <c r="C34" s="264">
        <v>1022</v>
      </c>
      <c r="D34" s="262" t="s">
        <v>315</v>
      </c>
      <c r="E34" s="263" t="str">
        <f>_xlfn.XLOOKUP(C34,Apoio!A:A,Apoio!B:B)</f>
        <v xml:space="preserve">Cultivo                       </v>
      </c>
      <c r="F34" s="7">
        <f>SUMIFS(Qtde_Oper_Plantio_Tratos!P:P,Qtde_Oper_Plantio_Tratos!$F:$F,'Dimensionamento Tratos'!$C34,Qtde_Oper_Plantio_Tratos!$I:$I,'Dimensionamento Tratos'!$D34)</f>
        <v>0</v>
      </c>
      <c r="G34" s="7">
        <f>SUMIFS(Qtde_Oper_Plantio_Tratos!Q:Q,Qtde_Oper_Plantio_Tratos!$F:$F,'Dimensionamento Tratos'!$C34,Qtde_Oper_Plantio_Tratos!$I:$I,'Dimensionamento Tratos'!$D34)</f>
        <v>0</v>
      </c>
      <c r="H34" s="7">
        <f>SUMIFS(Qtde_Oper_Plantio_Tratos!R:R,Qtde_Oper_Plantio_Tratos!$F:$F,'Dimensionamento Tratos'!$C34,Qtde_Oper_Plantio_Tratos!$I:$I,'Dimensionamento Tratos'!$D34)</f>
        <v>100</v>
      </c>
      <c r="I34" s="7">
        <f>SUMIFS(Qtde_Oper_Plantio_Tratos!S:S,Qtde_Oper_Plantio_Tratos!$F:$F,'Dimensionamento Tratos'!$C34,Qtde_Oper_Plantio_Tratos!$I:$I,'Dimensionamento Tratos'!$D34)</f>
        <v>0</v>
      </c>
      <c r="J34" s="7">
        <f>SUMIFS(Qtde_Oper_Plantio_Tratos!T:T,Qtde_Oper_Plantio_Tratos!$F:$F,'Dimensionamento Tratos'!$C34,Qtde_Oper_Plantio_Tratos!$I:$I,'Dimensionamento Tratos'!$D34)</f>
        <v>100</v>
      </c>
      <c r="K34" s="7">
        <f>SUMIFS(Qtde_Oper_Plantio_Tratos!U:U,Qtde_Oper_Plantio_Tratos!$F:$F,'Dimensionamento Tratos'!$C34,Qtde_Oper_Plantio_Tratos!$I:$I,'Dimensionamento Tratos'!$D34)</f>
        <v>100</v>
      </c>
      <c r="L34" s="7">
        <f>SUMIFS(Qtde_Oper_Plantio_Tratos!V:V,Qtde_Oper_Plantio_Tratos!$F:$F,'Dimensionamento Tratos'!$C34,Qtde_Oper_Plantio_Tratos!$I:$I,'Dimensionamento Tratos'!$D34)</f>
        <v>100</v>
      </c>
      <c r="M34" s="7">
        <f>SUMIFS(Qtde_Oper_Plantio_Tratos!W:W,Qtde_Oper_Plantio_Tratos!$F:$F,'Dimensionamento Tratos'!$C34,Qtde_Oper_Plantio_Tratos!$I:$I,'Dimensionamento Tratos'!$D34)</f>
        <v>0</v>
      </c>
      <c r="N34" s="7">
        <f>SUMIFS(Qtde_Oper_Plantio_Tratos!X:X,Qtde_Oper_Plantio_Tratos!$F:$F,'Dimensionamento Tratos'!$C34,Qtde_Oper_Plantio_Tratos!$I:$I,'Dimensionamento Tratos'!$D34)</f>
        <v>0</v>
      </c>
      <c r="O34" s="7">
        <f>SUMIFS(Qtde_Oper_Plantio_Tratos!Y:Y,Qtde_Oper_Plantio_Tratos!$F:$F,'Dimensionamento Tratos'!$C34,Qtde_Oper_Plantio_Tratos!$I:$I,'Dimensionamento Tratos'!$D34)</f>
        <v>0</v>
      </c>
      <c r="P34" s="7">
        <f>SUMIFS(Qtde_Oper_Plantio_Tratos!Z:Z,Qtde_Oper_Plantio_Tratos!$F:$F,'Dimensionamento Tratos'!$C34,Qtde_Oper_Plantio_Tratos!$I:$I,'Dimensionamento Tratos'!$D34)</f>
        <v>0</v>
      </c>
      <c r="Q34" s="7">
        <f>SUMIFS(Qtde_Oper_Plantio_Tratos!AA:AA,Qtde_Oper_Plantio_Tratos!$F:$F,'Dimensionamento Tratos'!$C34,Qtde_Oper_Plantio_Tratos!$I:$I,'Dimensionamento Tratos'!$D34)</f>
        <v>0</v>
      </c>
      <c r="R34" s="7">
        <f>SUM(F34:Q34)</f>
        <v>400</v>
      </c>
    </row>
    <row r="35" spans="1:18" hidden="1" outlineLevel="1" x14ac:dyDescent="0.25">
      <c r="A35" s="1"/>
      <c r="B35" s="275"/>
      <c r="C35" s="262"/>
      <c r="D35" s="262" t="s">
        <v>607</v>
      </c>
      <c r="E35" s="263" t="s">
        <v>754</v>
      </c>
      <c r="F35" s="7">
        <f t="shared" ref="F35:Q35" si="14">IF($D35="Proprio",IFERROR(F34/(_xlfn.XLOOKUP(F$6,$F$112:$R$112,$F$113:$R$113)*_xlfn.XLOOKUP($C34,$D$94:$D$108,$F$94:$F$108)),0),0)</f>
        <v>0</v>
      </c>
      <c r="G35" s="7">
        <f t="shared" si="14"/>
        <v>0</v>
      </c>
      <c r="H35" s="7">
        <f t="shared" si="14"/>
        <v>0.59031877213695394</v>
      </c>
      <c r="I35" s="7">
        <f t="shared" si="14"/>
        <v>0</v>
      </c>
      <c r="J35" s="7">
        <f t="shared" si="14"/>
        <v>0.56996295240809347</v>
      </c>
      <c r="K35" s="7">
        <f t="shared" si="14"/>
        <v>0.61218243036424858</v>
      </c>
      <c r="L35" s="7">
        <f t="shared" si="14"/>
        <v>0.71152429201308109</v>
      </c>
      <c r="M35" s="7">
        <f t="shared" si="14"/>
        <v>0</v>
      </c>
      <c r="N35" s="7">
        <f t="shared" si="14"/>
        <v>0</v>
      </c>
      <c r="O35" s="7">
        <f t="shared" si="14"/>
        <v>0</v>
      </c>
      <c r="P35" s="7">
        <f t="shared" si="14"/>
        <v>0</v>
      </c>
      <c r="Q35" s="7">
        <f t="shared" si="14"/>
        <v>0</v>
      </c>
      <c r="R35" s="7">
        <f>IFERROR(R34/(_xlfn.XLOOKUP(R$6,$F$112:$R$112,$F$113:$R$113)*_xlfn.XLOOKUP($C34,$D$94:$D$108,$F$94:$F$108)),0)</f>
        <v>0.25416384626803101</v>
      </c>
    </row>
    <row r="36" spans="1:18" collapsed="1" x14ac:dyDescent="0.25">
      <c r="A36" s="1"/>
      <c r="B36" s="275"/>
      <c r="C36" s="265"/>
      <c r="D36" s="265"/>
      <c r="E36" s="2">
        <f>_xlfn.XLOOKUP(C36,Apoio!A:A,Apoio!B:B)</f>
        <v>0</v>
      </c>
      <c r="F36" s="3">
        <f>SUMIFS(Qtde_Oper_Plantio_Tratos!P:P,Qtde_Oper_Plantio_Tratos!$F:$F,'Dimensionamento Tratos'!$C36,Qtde_Oper_Plantio_Tratos!$I:$I,'Dimensionamento Tratos'!$D36)</f>
        <v>0</v>
      </c>
      <c r="G36" s="3">
        <f>SUMIFS(Qtde_Oper_Plantio_Tratos!Q:Q,Qtde_Oper_Plantio_Tratos!$F:$F,'Dimensionamento Tratos'!$C36,Qtde_Oper_Plantio_Tratos!$I:$I,'Dimensionamento Tratos'!$D36)</f>
        <v>0</v>
      </c>
      <c r="H36" s="3">
        <f>SUMIFS(Qtde_Oper_Plantio_Tratos!R:R,Qtde_Oper_Plantio_Tratos!$F:$F,'Dimensionamento Tratos'!$C36,Qtde_Oper_Plantio_Tratos!$I:$I,'Dimensionamento Tratos'!$D36)</f>
        <v>0</v>
      </c>
      <c r="I36" s="3">
        <f>SUMIFS(Qtde_Oper_Plantio_Tratos!S:S,Qtde_Oper_Plantio_Tratos!$F:$F,'Dimensionamento Tratos'!$C36,Qtde_Oper_Plantio_Tratos!$I:$I,'Dimensionamento Tratos'!$D36)</f>
        <v>0</v>
      </c>
      <c r="J36" s="3">
        <f>SUMIFS(Qtde_Oper_Plantio_Tratos!T:T,Qtde_Oper_Plantio_Tratos!$F:$F,'Dimensionamento Tratos'!$C36,Qtde_Oper_Plantio_Tratos!$I:$I,'Dimensionamento Tratos'!$D36)</f>
        <v>0</v>
      </c>
      <c r="K36" s="3">
        <f>SUMIFS(Qtde_Oper_Plantio_Tratos!U:U,Qtde_Oper_Plantio_Tratos!$F:$F,'Dimensionamento Tratos'!$C36,Qtde_Oper_Plantio_Tratos!$I:$I,'Dimensionamento Tratos'!$D36)</f>
        <v>0</v>
      </c>
      <c r="L36" s="3">
        <f>SUMIFS(Qtde_Oper_Plantio_Tratos!V:V,Qtde_Oper_Plantio_Tratos!$F:$F,'Dimensionamento Tratos'!$C36,Qtde_Oper_Plantio_Tratos!$I:$I,'Dimensionamento Tratos'!$D36)</f>
        <v>0</v>
      </c>
      <c r="M36" s="3">
        <f>SUMIFS(Qtde_Oper_Plantio_Tratos!W:W,Qtde_Oper_Plantio_Tratos!$F:$F,'Dimensionamento Tratos'!$C36,Qtde_Oper_Plantio_Tratos!$I:$I,'Dimensionamento Tratos'!$D36)</f>
        <v>0</v>
      </c>
      <c r="N36" s="3">
        <f>SUMIFS(Qtde_Oper_Plantio_Tratos!X:X,Qtde_Oper_Plantio_Tratos!$F:$F,'Dimensionamento Tratos'!$C36,Qtde_Oper_Plantio_Tratos!$I:$I,'Dimensionamento Tratos'!$D36)</f>
        <v>0</v>
      </c>
      <c r="O36" s="3">
        <f>SUMIFS(Qtde_Oper_Plantio_Tratos!Y:Y,Qtde_Oper_Plantio_Tratos!$F:$F,'Dimensionamento Tratos'!$C36,Qtde_Oper_Plantio_Tratos!$I:$I,'Dimensionamento Tratos'!$D36)</f>
        <v>0</v>
      </c>
      <c r="P36" s="3">
        <f>SUMIFS(Qtde_Oper_Plantio_Tratos!Z:Z,Qtde_Oper_Plantio_Tratos!$F:$F,'Dimensionamento Tratos'!$C36,Qtde_Oper_Plantio_Tratos!$I:$I,'Dimensionamento Tratos'!$D36)</f>
        <v>0</v>
      </c>
      <c r="Q36" s="3">
        <f>SUMIFS(Qtde_Oper_Plantio_Tratos!AA:AA,Qtde_Oper_Plantio_Tratos!$F:$F,'Dimensionamento Tratos'!$C36,Qtde_Oper_Plantio_Tratos!$I:$I,'Dimensionamento Tratos'!$D36)</f>
        <v>0</v>
      </c>
      <c r="R36" s="3">
        <f>SUMIFS(Qtde_Oper_Plantio_Tratos!AB:AB,Qtde_Oper_Plantio_Tratos!$F:$F,'Dimensionamento Tratos'!$C36,Qtde_Oper_Plantio_Tratos!$I:$I,'Dimensionamento Tratos'!$D36)</f>
        <v>0</v>
      </c>
    </row>
    <row r="37" spans="1:18" hidden="1" outlineLevel="1" x14ac:dyDescent="0.25">
      <c r="A37" s="1"/>
      <c r="B37" s="276"/>
      <c r="C37" s="265"/>
      <c r="D37" s="265" t="s">
        <v>607</v>
      </c>
      <c r="E37" s="2" t="s">
        <v>754</v>
      </c>
      <c r="F37" s="3">
        <f t="shared" ref="F37:Q37" si="15">IF($D37="Proprio",IFERROR(F36/(_xlfn.XLOOKUP(F$6,$F$112:$R$112,$F$113:$R$113)*_xlfn.XLOOKUP($C36,$D$94:$D$108,$F$94:$F$108)),0),0)</f>
        <v>0</v>
      </c>
      <c r="G37" s="3">
        <f t="shared" si="15"/>
        <v>0</v>
      </c>
      <c r="H37" s="3">
        <f t="shared" si="15"/>
        <v>0</v>
      </c>
      <c r="I37" s="3">
        <f t="shared" si="15"/>
        <v>0</v>
      </c>
      <c r="J37" s="3">
        <f t="shared" si="15"/>
        <v>0</v>
      </c>
      <c r="K37" s="3">
        <f t="shared" si="15"/>
        <v>0</v>
      </c>
      <c r="L37" s="3">
        <f t="shared" si="15"/>
        <v>0</v>
      </c>
      <c r="M37" s="3">
        <f t="shared" si="15"/>
        <v>0</v>
      </c>
      <c r="N37" s="3">
        <f t="shared" si="15"/>
        <v>0</v>
      </c>
      <c r="O37" s="3">
        <f t="shared" si="15"/>
        <v>0</v>
      </c>
      <c r="P37" s="3">
        <f t="shared" si="15"/>
        <v>0</v>
      </c>
      <c r="Q37" s="3">
        <f t="shared" si="15"/>
        <v>0</v>
      </c>
      <c r="R37" s="3">
        <f>IFERROR(R36/(_xlfn.XLOOKUP(R$6,$F$112:$R$112,$F$113:$R$113)*_xlfn.XLOOKUP($C36,$D$94:$D$108,$F$94:$F$108)),0)</f>
        <v>0</v>
      </c>
    </row>
    <row r="38" spans="1:18" x14ac:dyDescent="0.25">
      <c r="A38" s="1"/>
      <c r="B38" s="4"/>
      <c r="C38" s="4"/>
      <c r="D38" s="4"/>
      <c r="E38" s="4" t="s">
        <v>76</v>
      </c>
      <c r="F38" s="5">
        <f>ROUNDUP(SUM(F37,F35,F33,F31),0)</f>
        <v>4</v>
      </c>
      <c r="G38" s="5">
        <f t="shared" ref="G38:R38" si="16">ROUNDUP(SUM(G37,G35,G33,G31),0)</f>
        <v>6</v>
      </c>
      <c r="H38" s="5">
        <f t="shared" si="16"/>
        <v>8</v>
      </c>
      <c r="I38" s="5">
        <f t="shared" si="16"/>
        <v>5</v>
      </c>
      <c r="J38" s="5">
        <f t="shared" si="16"/>
        <v>1</v>
      </c>
      <c r="K38" s="5">
        <f t="shared" si="16"/>
        <v>1</v>
      </c>
      <c r="L38" s="5">
        <f t="shared" si="16"/>
        <v>4</v>
      </c>
      <c r="M38" s="5">
        <f t="shared" si="16"/>
        <v>7</v>
      </c>
      <c r="N38" s="5">
        <f t="shared" si="16"/>
        <v>0</v>
      </c>
      <c r="O38" s="5">
        <f t="shared" si="16"/>
        <v>1</v>
      </c>
      <c r="P38" s="5">
        <f t="shared" si="16"/>
        <v>2</v>
      </c>
      <c r="Q38" s="5">
        <f t="shared" si="16"/>
        <v>1</v>
      </c>
      <c r="R38" s="5">
        <f t="shared" si="16"/>
        <v>4</v>
      </c>
    </row>
    <row r="39" spans="1:18" x14ac:dyDescent="0.25">
      <c r="A39" s="1"/>
      <c r="B39" s="4"/>
      <c r="C39" s="4"/>
      <c r="D39" s="4"/>
      <c r="E39" s="4" t="s">
        <v>77</v>
      </c>
      <c r="F39" s="5">
        <f t="shared" ref="F39:R39" si="17">SUMIFS($F81:$F89,$E$81:$E$89,$E37)</f>
        <v>3</v>
      </c>
      <c r="G39" s="5">
        <f t="shared" si="17"/>
        <v>3</v>
      </c>
      <c r="H39" s="5">
        <f t="shared" si="17"/>
        <v>3</v>
      </c>
      <c r="I39" s="5">
        <f t="shared" si="17"/>
        <v>3</v>
      </c>
      <c r="J39" s="5">
        <f t="shared" si="17"/>
        <v>3</v>
      </c>
      <c r="K39" s="5">
        <f t="shared" si="17"/>
        <v>3</v>
      </c>
      <c r="L39" s="5">
        <f t="shared" si="17"/>
        <v>3</v>
      </c>
      <c r="M39" s="5">
        <f t="shared" si="17"/>
        <v>3</v>
      </c>
      <c r="N39" s="5">
        <f t="shared" si="17"/>
        <v>3</v>
      </c>
      <c r="O39" s="5">
        <f t="shared" si="17"/>
        <v>3</v>
      </c>
      <c r="P39" s="5">
        <f t="shared" si="17"/>
        <v>3</v>
      </c>
      <c r="Q39" s="5">
        <f t="shared" si="17"/>
        <v>3</v>
      </c>
      <c r="R39" s="5">
        <f t="shared" si="17"/>
        <v>3</v>
      </c>
    </row>
    <row r="40" spans="1:18" x14ac:dyDescent="0.25">
      <c r="A40" s="1"/>
    </row>
    <row r="41" spans="1:18" ht="14.45" customHeight="1" collapsed="1" x14ac:dyDescent="0.25">
      <c r="A41" s="1"/>
      <c r="B41" s="275" t="s">
        <v>755</v>
      </c>
      <c r="C41" s="264">
        <v>1073</v>
      </c>
      <c r="D41" s="262" t="s">
        <v>295</v>
      </c>
      <c r="E41" s="263" t="str">
        <f>_xlfn.XLOOKUP(C41,Apoio!A:A,Apoio!B:B)</f>
        <v>Apl Inseticida Em Profundidade</v>
      </c>
      <c r="F41" s="7">
        <f>SUMIFS(Qtde_Oper_Plantio_Tratos!P:P,Qtde_Oper_Plantio_Tratos!$F:$F,'Dimensionamento Tratos'!$C41,Qtde_Oper_Plantio_Tratos!$I:$I,'Dimensionamento Tratos'!$D41)</f>
        <v>0</v>
      </c>
      <c r="G41" s="7">
        <f>SUMIFS(Qtde_Oper_Plantio_Tratos!Q:Q,Qtde_Oper_Plantio_Tratos!$F:$F,'Dimensionamento Tratos'!$C41,Qtde_Oper_Plantio_Tratos!$I:$I,'Dimensionamento Tratos'!$D41)</f>
        <v>0</v>
      </c>
      <c r="H41" s="7">
        <f>SUMIFS(Qtde_Oper_Plantio_Tratos!R:R,Qtde_Oper_Plantio_Tratos!$F:$F,'Dimensionamento Tratos'!$C41,Qtde_Oper_Plantio_Tratos!$I:$I,'Dimensionamento Tratos'!$D41)</f>
        <v>0</v>
      </c>
      <c r="I41" s="7">
        <f>SUMIFS(Qtde_Oper_Plantio_Tratos!S:S,Qtde_Oper_Plantio_Tratos!$F:$F,'Dimensionamento Tratos'!$C41,Qtde_Oper_Plantio_Tratos!$I:$I,'Dimensionamento Tratos'!$D41)</f>
        <v>0</v>
      </c>
      <c r="J41" s="7">
        <f>SUMIFS(Qtde_Oper_Plantio_Tratos!T:T,Qtde_Oper_Plantio_Tratos!$F:$F,'Dimensionamento Tratos'!$C41,Qtde_Oper_Plantio_Tratos!$I:$I,'Dimensionamento Tratos'!$D41)</f>
        <v>0</v>
      </c>
      <c r="K41" s="7">
        <f>SUMIFS(Qtde_Oper_Plantio_Tratos!U:U,Qtde_Oper_Plantio_Tratos!$F:$F,'Dimensionamento Tratos'!$C41,Qtde_Oper_Plantio_Tratos!$I:$I,'Dimensionamento Tratos'!$D41)</f>
        <v>0</v>
      </c>
      <c r="L41" s="7">
        <f>SUMIFS(Qtde_Oper_Plantio_Tratos!V:V,Qtde_Oper_Plantio_Tratos!$F:$F,'Dimensionamento Tratos'!$C41,Qtde_Oper_Plantio_Tratos!$I:$I,'Dimensionamento Tratos'!$D41)</f>
        <v>0</v>
      </c>
      <c r="M41" s="7">
        <f>SUMIFS(Qtde_Oper_Plantio_Tratos!W:W,Qtde_Oper_Plantio_Tratos!$F:$F,'Dimensionamento Tratos'!$C41,Qtde_Oper_Plantio_Tratos!$I:$I,'Dimensionamento Tratos'!$D41)</f>
        <v>0</v>
      </c>
      <c r="N41" s="7">
        <f>SUMIFS(Qtde_Oper_Plantio_Tratos!X:X,Qtde_Oper_Plantio_Tratos!$F:$F,'Dimensionamento Tratos'!$C41,Qtde_Oper_Plantio_Tratos!$I:$I,'Dimensionamento Tratos'!$D41)</f>
        <v>0</v>
      </c>
      <c r="O41" s="7">
        <f>SUMIFS(Qtde_Oper_Plantio_Tratos!Y:Y,Qtde_Oper_Plantio_Tratos!$F:$F,'Dimensionamento Tratos'!$C41,Qtde_Oper_Plantio_Tratos!$I:$I,'Dimensionamento Tratos'!$D41)</f>
        <v>0</v>
      </c>
      <c r="P41" s="7">
        <f>SUMIFS(Qtde_Oper_Plantio_Tratos!Z:Z,Qtde_Oper_Plantio_Tratos!$F:$F,'Dimensionamento Tratos'!$C41,Qtde_Oper_Plantio_Tratos!$I:$I,'Dimensionamento Tratos'!$D41)</f>
        <v>0</v>
      </c>
      <c r="Q41" s="7">
        <f>SUMIFS(Qtde_Oper_Plantio_Tratos!AA:AA,Qtde_Oper_Plantio_Tratos!$F:$F,'Dimensionamento Tratos'!$C41,Qtde_Oper_Plantio_Tratos!$I:$I,'Dimensionamento Tratos'!$D41)</f>
        <v>0</v>
      </c>
      <c r="R41" s="7">
        <f>SUM(F41:Q41)</f>
        <v>0</v>
      </c>
    </row>
    <row r="42" spans="1:18" hidden="1" outlineLevel="1" x14ac:dyDescent="0.25">
      <c r="A42" s="1"/>
      <c r="B42" s="275"/>
      <c r="C42" s="262"/>
      <c r="D42" s="262" t="s">
        <v>607</v>
      </c>
      <c r="E42" s="263" t="s">
        <v>755</v>
      </c>
      <c r="F42" s="7">
        <f t="shared" ref="F42:Q42" si="18">IF($D42="Proprio",IFERROR(F41/(_xlfn.XLOOKUP(F$6,$F$112:$R$112,$F$113:$R$113)*_xlfn.XLOOKUP($C41,$D$94:$D$108,$F$94:$F$108)),0),0)</f>
        <v>0</v>
      </c>
      <c r="G42" s="7">
        <f t="shared" si="18"/>
        <v>0</v>
      </c>
      <c r="H42" s="7">
        <f t="shared" si="18"/>
        <v>0</v>
      </c>
      <c r="I42" s="7">
        <f t="shared" si="18"/>
        <v>0</v>
      </c>
      <c r="J42" s="7">
        <f t="shared" si="18"/>
        <v>0</v>
      </c>
      <c r="K42" s="7">
        <f t="shared" si="18"/>
        <v>0</v>
      </c>
      <c r="L42" s="7">
        <f t="shared" si="18"/>
        <v>0</v>
      </c>
      <c r="M42" s="7">
        <f t="shared" si="18"/>
        <v>0</v>
      </c>
      <c r="N42" s="7">
        <f t="shared" si="18"/>
        <v>0</v>
      </c>
      <c r="O42" s="7">
        <f t="shared" si="18"/>
        <v>0</v>
      </c>
      <c r="P42" s="7">
        <f t="shared" si="18"/>
        <v>0</v>
      </c>
      <c r="Q42" s="7">
        <f t="shared" si="18"/>
        <v>0</v>
      </c>
      <c r="R42" s="7">
        <f>IFERROR(R41/(_xlfn.XLOOKUP(R$6,$F$112:$R$112,$F$113:$R$113)*_xlfn.XLOOKUP($C41,$D$94:$D$108,$F$94:$F$108)),0)</f>
        <v>0</v>
      </c>
    </row>
    <row r="43" spans="1:18" collapsed="1" x14ac:dyDescent="0.25">
      <c r="A43" s="1"/>
      <c r="B43" s="275"/>
      <c r="C43" s="265">
        <v>1073</v>
      </c>
      <c r="D43" s="265" t="s">
        <v>312</v>
      </c>
      <c r="E43" s="2" t="str">
        <f>_xlfn.XLOOKUP(C43,Apoio!A:A,Apoio!B:B)</f>
        <v>Apl Inseticida Em Profundidade</v>
      </c>
      <c r="F43" s="3">
        <f>SUMIFS(Qtde_Oper_Plantio_Tratos!P:P,Qtde_Oper_Plantio_Tratos!$F:$F,'Dimensionamento Tratos'!$C43,Qtde_Oper_Plantio_Tratos!$I:$I,'Dimensionamento Tratos'!$D43)</f>
        <v>1500</v>
      </c>
      <c r="G43" s="3">
        <f>SUMIFS(Qtde_Oper_Plantio_Tratos!Q:Q,Qtde_Oper_Plantio_Tratos!$F:$F,'Dimensionamento Tratos'!$C43,Qtde_Oper_Plantio_Tratos!$I:$I,'Dimensionamento Tratos'!$D43)</f>
        <v>1800</v>
      </c>
      <c r="H43" s="3">
        <f>SUMIFS(Qtde_Oper_Plantio_Tratos!R:R,Qtde_Oper_Plantio_Tratos!$F:$F,'Dimensionamento Tratos'!$C43,Qtde_Oper_Plantio_Tratos!$I:$I,'Dimensionamento Tratos'!$D43)</f>
        <v>1800</v>
      </c>
      <c r="I43" s="3">
        <f>SUMIFS(Qtde_Oper_Plantio_Tratos!S:S,Qtde_Oper_Plantio_Tratos!$F:$F,'Dimensionamento Tratos'!$C43,Qtde_Oper_Plantio_Tratos!$I:$I,'Dimensionamento Tratos'!$D43)</f>
        <v>1932.63</v>
      </c>
      <c r="J43" s="3">
        <f>SUMIFS(Qtde_Oper_Plantio_Tratos!T:T,Qtde_Oper_Plantio_Tratos!$F:$F,'Dimensionamento Tratos'!$C43,Qtde_Oper_Plantio_Tratos!$I:$I,'Dimensionamento Tratos'!$D43)</f>
        <v>1496.14</v>
      </c>
      <c r="K43" s="3">
        <f>SUMIFS(Qtde_Oper_Plantio_Tratos!U:U,Qtde_Oper_Plantio_Tratos!$F:$F,'Dimensionamento Tratos'!$C43,Qtde_Oper_Plantio_Tratos!$I:$I,'Dimensionamento Tratos'!$D43)</f>
        <v>1659.82</v>
      </c>
      <c r="L43" s="3">
        <f>SUMIFS(Qtde_Oper_Plantio_Tratos!V:V,Qtde_Oper_Plantio_Tratos!$F:$F,'Dimensionamento Tratos'!$C43,Qtde_Oper_Plantio_Tratos!$I:$I,'Dimensionamento Tratos'!$D43)</f>
        <v>1868.64</v>
      </c>
      <c r="M43" s="3">
        <f>SUMIFS(Qtde_Oper_Plantio_Tratos!W:W,Qtde_Oper_Plantio_Tratos!$F:$F,'Dimensionamento Tratos'!$C43,Qtde_Oper_Plantio_Tratos!$I:$I,'Dimensionamento Tratos'!$D43)</f>
        <v>1005.77</v>
      </c>
      <c r="N43" s="3">
        <f>SUMIFS(Qtde_Oper_Plantio_Tratos!X:X,Qtde_Oper_Plantio_Tratos!$F:$F,'Dimensionamento Tratos'!$C43,Qtde_Oper_Plantio_Tratos!$I:$I,'Dimensionamento Tratos'!$D43)</f>
        <v>0</v>
      </c>
      <c r="O43" s="3">
        <f>SUMIFS(Qtde_Oper_Plantio_Tratos!Y:Y,Qtde_Oper_Plantio_Tratos!$F:$F,'Dimensionamento Tratos'!$C43,Qtde_Oper_Plantio_Tratos!$I:$I,'Dimensionamento Tratos'!$D43)</f>
        <v>0</v>
      </c>
      <c r="P43" s="3">
        <f>SUMIFS(Qtde_Oper_Plantio_Tratos!Z:Z,Qtde_Oper_Plantio_Tratos!$F:$F,'Dimensionamento Tratos'!$C43,Qtde_Oper_Plantio_Tratos!$I:$I,'Dimensionamento Tratos'!$D43)</f>
        <v>100</v>
      </c>
      <c r="Q43" s="3">
        <f>SUMIFS(Qtde_Oper_Plantio_Tratos!AA:AA,Qtde_Oper_Plantio_Tratos!$F:$F,'Dimensionamento Tratos'!$C43,Qtde_Oper_Plantio_Tratos!$I:$I,'Dimensionamento Tratos'!$D43)</f>
        <v>100</v>
      </c>
      <c r="R43" s="3">
        <f>SUMIFS(Qtde_Oper_Plantio_Tratos!AB:AB,Qtde_Oper_Plantio_Tratos!$F:$F,'Dimensionamento Tratos'!$C43,Qtde_Oper_Plantio_Tratos!$I:$I,'Dimensionamento Tratos'!$D43)</f>
        <v>13263</v>
      </c>
    </row>
    <row r="44" spans="1:18" hidden="1" outlineLevel="1" x14ac:dyDescent="0.25">
      <c r="A44" s="1"/>
      <c r="B44" s="275"/>
      <c r="C44" s="265"/>
      <c r="D44" s="265" t="s">
        <v>607</v>
      </c>
      <c r="E44" s="2" t="s">
        <v>755</v>
      </c>
      <c r="F44" s="3">
        <f t="shared" ref="F44:Q44" si="19">IF($D44="Proprio",IFERROR(F43/(_xlfn.XLOOKUP(F$6,$F$112:$R$112,$F$113:$R$113)*_xlfn.XLOOKUP($C43,$D$94:$D$108,$F$94:$F$108)),0),0)</f>
        <v>10.541167619894056</v>
      </c>
      <c r="G44" s="3">
        <f t="shared" si="19"/>
        <v>11.443102352193263</v>
      </c>
      <c r="H44" s="3">
        <f t="shared" si="19"/>
        <v>10.625737898465172</v>
      </c>
      <c r="I44" s="3">
        <f t="shared" si="19"/>
        <v>10.648099173553719</v>
      </c>
      <c r="J44" s="3">
        <f t="shared" si="19"/>
        <v>8.5274437161584515</v>
      </c>
      <c r="K44" s="3">
        <f t="shared" si="19"/>
        <v>10.16112641567187</v>
      </c>
      <c r="L44" s="3">
        <f t="shared" si="19"/>
        <v>13.29582753027324</v>
      </c>
      <c r="M44" s="3">
        <f t="shared" si="19"/>
        <v>8.0003729283485612</v>
      </c>
      <c r="N44" s="3">
        <f t="shared" si="19"/>
        <v>0</v>
      </c>
      <c r="O44" s="3">
        <f t="shared" si="19"/>
        <v>0</v>
      </c>
      <c r="P44" s="3">
        <f t="shared" si="19"/>
        <v>1.475796930342385</v>
      </c>
      <c r="Q44" s="3">
        <f t="shared" si="19"/>
        <v>0.91827364554637292</v>
      </c>
      <c r="R44" s="3">
        <f>IFERROR(R43/(_xlfn.XLOOKUP(R$6,$F$112:$R$112,$F$113:$R$113)*_xlfn.XLOOKUP($C43,$D$94:$D$108,$F$94:$F$108)),0)</f>
        <v>8.4274377326322387</v>
      </c>
    </row>
    <row r="45" spans="1:18" collapsed="1" x14ac:dyDescent="0.25">
      <c r="A45" s="1"/>
      <c r="B45" s="275"/>
      <c r="C45" s="264">
        <v>1073</v>
      </c>
      <c r="D45" s="262" t="s">
        <v>315</v>
      </c>
      <c r="E45" s="263" t="str">
        <f>_xlfn.XLOOKUP(C45,Apoio!A:A,Apoio!B:B)</f>
        <v>Apl Inseticida Em Profundidade</v>
      </c>
      <c r="F45" s="7">
        <f>SUMIFS(Qtde_Oper_Plantio_Tratos!P:P,Qtde_Oper_Plantio_Tratos!$F:$F,'Dimensionamento Tratos'!$C45,Qtde_Oper_Plantio_Tratos!$I:$I,'Dimensionamento Tratos'!$D45)</f>
        <v>0</v>
      </c>
      <c r="G45" s="7">
        <f>SUMIFS(Qtde_Oper_Plantio_Tratos!Q:Q,Qtde_Oper_Plantio_Tratos!$F:$F,'Dimensionamento Tratos'!$C45,Qtde_Oper_Plantio_Tratos!$I:$I,'Dimensionamento Tratos'!$D45)</f>
        <v>0</v>
      </c>
      <c r="H45" s="7">
        <f>SUMIFS(Qtde_Oper_Plantio_Tratos!R:R,Qtde_Oper_Plantio_Tratos!$F:$F,'Dimensionamento Tratos'!$C45,Qtde_Oper_Plantio_Tratos!$I:$I,'Dimensionamento Tratos'!$D45)</f>
        <v>0</v>
      </c>
      <c r="I45" s="7">
        <f>SUMIFS(Qtde_Oper_Plantio_Tratos!S:S,Qtde_Oper_Plantio_Tratos!$F:$F,'Dimensionamento Tratos'!$C45,Qtde_Oper_Plantio_Tratos!$I:$I,'Dimensionamento Tratos'!$D45)</f>
        <v>0</v>
      </c>
      <c r="J45" s="7">
        <f>SUMIFS(Qtde_Oper_Plantio_Tratos!T:T,Qtde_Oper_Plantio_Tratos!$F:$F,'Dimensionamento Tratos'!$C45,Qtde_Oper_Plantio_Tratos!$I:$I,'Dimensionamento Tratos'!$D45)</f>
        <v>0</v>
      </c>
      <c r="K45" s="7">
        <f>SUMIFS(Qtde_Oper_Plantio_Tratos!U:U,Qtde_Oper_Plantio_Tratos!$F:$F,'Dimensionamento Tratos'!$C45,Qtde_Oper_Plantio_Tratos!$I:$I,'Dimensionamento Tratos'!$D45)</f>
        <v>0</v>
      </c>
      <c r="L45" s="7">
        <f>SUMIFS(Qtde_Oper_Plantio_Tratos!V:V,Qtde_Oper_Plantio_Tratos!$F:$F,'Dimensionamento Tratos'!$C45,Qtde_Oper_Plantio_Tratos!$I:$I,'Dimensionamento Tratos'!$D45)</f>
        <v>0</v>
      </c>
      <c r="M45" s="7">
        <f>SUMIFS(Qtde_Oper_Plantio_Tratos!W:W,Qtde_Oper_Plantio_Tratos!$F:$F,'Dimensionamento Tratos'!$C45,Qtde_Oper_Plantio_Tratos!$I:$I,'Dimensionamento Tratos'!$D45)</f>
        <v>0</v>
      </c>
      <c r="N45" s="7">
        <f>SUMIFS(Qtde_Oper_Plantio_Tratos!X:X,Qtde_Oper_Plantio_Tratos!$F:$F,'Dimensionamento Tratos'!$C45,Qtde_Oper_Plantio_Tratos!$I:$I,'Dimensionamento Tratos'!$D45)</f>
        <v>0</v>
      </c>
      <c r="O45" s="7">
        <f>SUMIFS(Qtde_Oper_Plantio_Tratos!Y:Y,Qtde_Oper_Plantio_Tratos!$F:$F,'Dimensionamento Tratos'!$C45,Qtde_Oper_Plantio_Tratos!$I:$I,'Dimensionamento Tratos'!$D45)</f>
        <v>0</v>
      </c>
      <c r="P45" s="7">
        <f>SUMIFS(Qtde_Oper_Plantio_Tratos!Z:Z,Qtde_Oper_Plantio_Tratos!$F:$F,'Dimensionamento Tratos'!$C45,Qtde_Oper_Plantio_Tratos!$I:$I,'Dimensionamento Tratos'!$D45)</f>
        <v>0</v>
      </c>
      <c r="Q45" s="7">
        <f>SUMIFS(Qtde_Oper_Plantio_Tratos!AA:AA,Qtde_Oper_Plantio_Tratos!$F:$F,'Dimensionamento Tratos'!$C45,Qtde_Oper_Plantio_Tratos!$I:$I,'Dimensionamento Tratos'!$D45)</f>
        <v>0</v>
      </c>
      <c r="R45" s="7">
        <f>SUM(F45:Q45)</f>
        <v>0</v>
      </c>
    </row>
    <row r="46" spans="1:18" hidden="1" outlineLevel="1" x14ac:dyDescent="0.25">
      <c r="A46" s="1"/>
      <c r="B46" s="275"/>
      <c r="C46" s="262"/>
      <c r="D46" s="262" t="s">
        <v>607</v>
      </c>
      <c r="E46" s="263" t="s">
        <v>755</v>
      </c>
      <c r="F46" s="7">
        <f t="shared" ref="F46:Q46" si="20">IF($D46="Proprio",IFERROR(F45/(_xlfn.XLOOKUP(F$6,$F$112:$R$112,$F$113:$R$113)*_xlfn.XLOOKUP($C45,$D$94:$D$108,$F$94:$F$108)),0),0)</f>
        <v>0</v>
      </c>
      <c r="G46" s="7">
        <f t="shared" si="20"/>
        <v>0</v>
      </c>
      <c r="H46" s="7">
        <f t="shared" si="20"/>
        <v>0</v>
      </c>
      <c r="I46" s="7">
        <f t="shared" si="20"/>
        <v>0</v>
      </c>
      <c r="J46" s="7">
        <f t="shared" si="20"/>
        <v>0</v>
      </c>
      <c r="K46" s="7">
        <f t="shared" si="20"/>
        <v>0</v>
      </c>
      <c r="L46" s="7">
        <f t="shared" si="20"/>
        <v>0</v>
      </c>
      <c r="M46" s="7">
        <f t="shared" si="20"/>
        <v>0</v>
      </c>
      <c r="N46" s="7">
        <f t="shared" si="20"/>
        <v>0</v>
      </c>
      <c r="O46" s="7">
        <f t="shared" si="20"/>
        <v>0</v>
      </c>
      <c r="P46" s="7">
        <f t="shared" si="20"/>
        <v>0</v>
      </c>
      <c r="Q46" s="7">
        <f t="shared" si="20"/>
        <v>0</v>
      </c>
      <c r="R46" s="7">
        <f>IFERROR(R45/(_xlfn.XLOOKUP(R$6,$F$112:$R$112,$F$113:$R$113)*_xlfn.XLOOKUP($C45,$D$94:$D$108,$F$94:$F$108)),0)</f>
        <v>0</v>
      </c>
    </row>
    <row r="47" spans="1:18" collapsed="1" x14ac:dyDescent="0.25">
      <c r="A47" s="1"/>
      <c r="B47" s="275"/>
      <c r="C47" s="265"/>
      <c r="D47" s="265"/>
      <c r="E47" s="2">
        <f>_xlfn.XLOOKUP(C47,Apoio!A:A,Apoio!B:B)</f>
        <v>0</v>
      </c>
      <c r="F47" s="3">
        <f>SUMIFS(Qtde_Oper_Plantio_Tratos!P:P,Qtde_Oper_Plantio_Tratos!$F:$F,'Dimensionamento Tratos'!$C47,Qtde_Oper_Plantio_Tratos!$I:$I,'Dimensionamento Tratos'!$D47)</f>
        <v>0</v>
      </c>
      <c r="G47" s="3">
        <f>SUMIFS(Qtde_Oper_Plantio_Tratos!Q:Q,Qtde_Oper_Plantio_Tratos!$F:$F,'Dimensionamento Tratos'!$C47,Qtde_Oper_Plantio_Tratos!$I:$I,'Dimensionamento Tratos'!$D47)</f>
        <v>0</v>
      </c>
      <c r="H47" s="3">
        <f>SUMIFS(Qtde_Oper_Plantio_Tratos!R:R,Qtde_Oper_Plantio_Tratos!$F:$F,'Dimensionamento Tratos'!$C47,Qtde_Oper_Plantio_Tratos!$I:$I,'Dimensionamento Tratos'!$D47)</f>
        <v>0</v>
      </c>
      <c r="I47" s="3">
        <f>SUMIFS(Qtde_Oper_Plantio_Tratos!S:S,Qtde_Oper_Plantio_Tratos!$F:$F,'Dimensionamento Tratos'!$C47,Qtde_Oper_Plantio_Tratos!$I:$I,'Dimensionamento Tratos'!$D47)</f>
        <v>0</v>
      </c>
      <c r="J47" s="3">
        <f>SUMIFS(Qtde_Oper_Plantio_Tratos!T:T,Qtde_Oper_Plantio_Tratos!$F:$F,'Dimensionamento Tratos'!$C47,Qtde_Oper_Plantio_Tratos!$I:$I,'Dimensionamento Tratos'!$D47)</f>
        <v>0</v>
      </c>
      <c r="K47" s="3">
        <f>SUMIFS(Qtde_Oper_Plantio_Tratos!U:U,Qtde_Oper_Plantio_Tratos!$F:$F,'Dimensionamento Tratos'!$C47,Qtde_Oper_Plantio_Tratos!$I:$I,'Dimensionamento Tratos'!$D47)</f>
        <v>0</v>
      </c>
      <c r="L47" s="3">
        <f>SUMIFS(Qtde_Oper_Plantio_Tratos!V:V,Qtde_Oper_Plantio_Tratos!$F:$F,'Dimensionamento Tratos'!$C47,Qtde_Oper_Plantio_Tratos!$I:$I,'Dimensionamento Tratos'!$D47)</f>
        <v>0</v>
      </c>
      <c r="M47" s="3">
        <f>SUMIFS(Qtde_Oper_Plantio_Tratos!W:W,Qtde_Oper_Plantio_Tratos!$F:$F,'Dimensionamento Tratos'!$C47,Qtde_Oper_Plantio_Tratos!$I:$I,'Dimensionamento Tratos'!$D47)</f>
        <v>0</v>
      </c>
      <c r="N47" s="3">
        <f>SUMIFS(Qtde_Oper_Plantio_Tratos!X:X,Qtde_Oper_Plantio_Tratos!$F:$F,'Dimensionamento Tratos'!$C47,Qtde_Oper_Plantio_Tratos!$I:$I,'Dimensionamento Tratos'!$D47)</f>
        <v>0</v>
      </c>
      <c r="O47" s="3">
        <f>SUMIFS(Qtde_Oper_Plantio_Tratos!Y:Y,Qtde_Oper_Plantio_Tratos!$F:$F,'Dimensionamento Tratos'!$C47,Qtde_Oper_Plantio_Tratos!$I:$I,'Dimensionamento Tratos'!$D47)</f>
        <v>0</v>
      </c>
      <c r="P47" s="3">
        <f>SUMIFS(Qtde_Oper_Plantio_Tratos!Z:Z,Qtde_Oper_Plantio_Tratos!$F:$F,'Dimensionamento Tratos'!$C47,Qtde_Oper_Plantio_Tratos!$I:$I,'Dimensionamento Tratos'!$D47)</f>
        <v>0</v>
      </c>
      <c r="Q47" s="3">
        <f>SUMIFS(Qtde_Oper_Plantio_Tratos!AA:AA,Qtde_Oper_Plantio_Tratos!$F:$F,'Dimensionamento Tratos'!$C47,Qtde_Oper_Plantio_Tratos!$I:$I,'Dimensionamento Tratos'!$D47)</f>
        <v>0</v>
      </c>
      <c r="R47" s="3">
        <f>SUMIFS(Qtde_Oper_Plantio_Tratos!AB:AB,Qtde_Oper_Plantio_Tratos!$F:$F,'Dimensionamento Tratos'!$C47,Qtde_Oper_Plantio_Tratos!$I:$I,'Dimensionamento Tratos'!$D47)</f>
        <v>0</v>
      </c>
    </row>
    <row r="48" spans="1:18" hidden="1" outlineLevel="1" x14ac:dyDescent="0.25">
      <c r="A48" s="1"/>
      <c r="B48" s="276"/>
      <c r="C48" s="265"/>
      <c r="D48" s="265" t="s">
        <v>607</v>
      </c>
      <c r="E48" s="2" t="s">
        <v>755</v>
      </c>
      <c r="F48" s="3">
        <f t="shared" ref="F48:Q48" si="21">IF($D48="Proprio",IFERROR(F47/(_xlfn.XLOOKUP(F$6,$F$112:$R$112,$F$113:$R$113)*_xlfn.XLOOKUP($C47,$D$94:$D$108,$F$94:$F$108)),0),0)</f>
        <v>0</v>
      </c>
      <c r="G48" s="3">
        <f t="shared" si="21"/>
        <v>0</v>
      </c>
      <c r="H48" s="3">
        <f t="shared" si="21"/>
        <v>0</v>
      </c>
      <c r="I48" s="3">
        <f t="shared" si="21"/>
        <v>0</v>
      </c>
      <c r="J48" s="3">
        <f t="shared" si="21"/>
        <v>0</v>
      </c>
      <c r="K48" s="3">
        <f t="shared" si="21"/>
        <v>0</v>
      </c>
      <c r="L48" s="3">
        <f t="shared" si="21"/>
        <v>0</v>
      </c>
      <c r="M48" s="3">
        <f t="shared" si="21"/>
        <v>0</v>
      </c>
      <c r="N48" s="3">
        <f t="shared" si="21"/>
        <v>0</v>
      </c>
      <c r="O48" s="3">
        <f t="shared" si="21"/>
        <v>0</v>
      </c>
      <c r="P48" s="3">
        <f t="shared" si="21"/>
        <v>0</v>
      </c>
      <c r="Q48" s="3">
        <f t="shared" si="21"/>
        <v>0</v>
      </c>
      <c r="R48" s="3">
        <f>IFERROR(R47/(_xlfn.XLOOKUP(R$6,$F$112:$R$112,$F$113:$R$113)*_xlfn.XLOOKUP($C47,$D$94:$D$108,$F$94:$F$108)),0)</f>
        <v>0</v>
      </c>
    </row>
    <row r="49" spans="1:18" x14ac:dyDescent="0.25">
      <c r="A49" s="1"/>
      <c r="B49" s="4"/>
      <c r="C49" s="4"/>
      <c r="D49" s="4"/>
      <c r="E49" s="4" t="s">
        <v>76</v>
      </c>
      <c r="F49" s="5">
        <f>ROUNDUP(SUM(F48,F46,F44,F42),0)</f>
        <v>11</v>
      </c>
      <c r="G49" s="5">
        <f t="shared" ref="G49:R49" si="22">ROUNDUP(SUM(G48,G46,G44,G42),0)</f>
        <v>12</v>
      </c>
      <c r="H49" s="5">
        <f t="shared" si="22"/>
        <v>11</v>
      </c>
      <c r="I49" s="5">
        <f t="shared" si="22"/>
        <v>11</v>
      </c>
      <c r="J49" s="5">
        <f t="shared" si="22"/>
        <v>9</v>
      </c>
      <c r="K49" s="5">
        <f t="shared" si="22"/>
        <v>11</v>
      </c>
      <c r="L49" s="5">
        <f t="shared" si="22"/>
        <v>14</v>
      </c>
      <c r="M49" s="5">
        <f t="shared" si="22"/>
        <v>9</v>
      </c>
      <c r="N49" s="5">
        <f t="shared" si="22"/>
        <v>0</v>
      </c>
      <c r="O49" s="5">
        <f t="shared" si="22"/>
        <v>0</v>
      </c>
      <c r="P49" s="5">
        <f t="shared" si="22"/>
        <v>2</v>
      </c>
      <c r="Q49" s="5">
        <f t="shared" si="22"/>
        <v>1</v>
      </c>
      <c r="R49" s="5">
        <f t="shared" si="22"/>
        <v>9</v>
      </c>
    </row>
    <row r="50" spans="1:18" x14ac:dyDescent="0.25">
      <c r="A50" s="1"/>
      <c r="B50" s="4"/>
      <c r="C50" s="4"/>
      <c r="D50" s="4"/>
      <c r="E50" s="4" t="s">
        <v>77</v>
      </c>
      <c r="F50" s="5">
        <f>SUMIFS($F81:$F89,$E$81:$E$89,$E48)</f>
        <v>4</v>
      </c>
      <c r="G50" s="5">
        <f t="shared" ref="G50:R50" si="23">SUMIFS($F81:$F89,$E$81:$E$89,$E48)</f>
        <v>4</v>
      </c>
      <c r="H50" s="5">
        <f t="shared" si="23"/>
        <v>4</v>
      </c>
      <c r="I50" s="5">
        <f t="shared" si="23"/>
        <v>4</v>
      </c>
      <c r="J50" s="5">
        <f t="shared" si="23"/>
        <v>4</v>
      </c>
      <c r="K50" s="5">
        <f t="shared" si="23"/>
        <v>4</v>
      </c>
      <c r="L50" s="5">
        <f t="shared" si="23"/>
        <v>4</v>
      </c>
      <c r="M50" s="5">
        <f t="shared" si="23"/>
        <v>4</v>
      </c>
      <c r="N50" s="5">
        <f t="shared" si="23"/>
        <v>4</v>
      </c>
      <c r="O50" s="5">
        <f t="shared" si="23"/>
        <v>4</v>
      </c>
      <c r="P50" s="5">
        <f t="shared" si="23"/>
        <v>4</v>
      </c>
      <c r="Q50" s="5">
        <f t="shared" si="23"/>
        <v>4</v>
      </c>
      <c r="R50" s="5">
        <f t="shared" si="23"/>
        <v>4</v>
      </c>
    </row>
    <row r="51" spans="1:18" x14ac:dyDescent="0.25">
      <c r="A51" s="1"/>
    </row>
    <row r="52" spans="1:18" collapsed="1" x14ac:dyDescent="0.25">
      <c r="A52" s="1"/>
      <c r="B52" s="275" t="s">
        <v>756</v>
      </c>
      <c r="C52" s="264">
        <v>1091</v>
      </c>
      <c r="D52" s="262" t="s">
        <v>295</v>
      </c>
      <c r="E52" s="263" t="str">
        <f>_xlfn.XLOOKUP(C52,Apoio!A:A,Apoio!B:B)</f>
        <v>Aplic. Herb Man - Cat. Quimíca</v>
      </c>
      <c r="F52" s="7">
        <f>SUMIFS(Qtde_Oper_Plantio_Tratos!P:P,Qtde_Oper_Plantio_Tratos!$F:$F,'Dimensionamento Tratos'!$C52,Qtde_Oper_Plantio_Tratos!$I:$I,'Dimensionamento Tratos'!$D52)</f>
        <v>40</v>
      </c>
      <c r="G52" s="7">
        <f>SUMIFS(Qtde_Oper_Plantio_Tratos!Q:Q,Qtde_Oper_Plantio_Tratos!$F:$F,'Dimensionamento Tratos'!$C52,Qtde_Oper_Plantio_Tratos!$I:$I,'Dimensionamento Tratos'!$D52)</f>
        <v>40</v>
      </c>
      <c r="H52" s="7">
        <f>SUMIFS(Qtde_Oper_Plantio_Tratos!R:R,Qtde_Oper_Plantio_Tratos!$F:$F,'Dimensionamento Tratos'!$C52,Qtde_Oper_Plantio_Tratos!$I:$I,'Dimensionamento Tratos'!$D52)</f>
        <v>40</v>
      </c>
      <c r="I52" s="7">
        <f>SUMIFS(Qtde_Oper_Plantio_Tratos!S:S,Qtde_Oper_Plantio_Tratos!$F:$F,'Dimensionamento Tratos'!$C52,Qtde_Oper_Plantio_Tratos!$I:$I,'Dimensionamento Tratos'!$D52)</f>
        <v>40</v>
      </c>
      <c r="J52" s="7">
        <f>SUMIFS(Qtde_Oper_Plantio_Tratos!T:T,Qtde_Oper_Plantio_Tratos!$F:$F,'Dimensionamento Tratos'!$C52,Qtde_Oper_Plantio_Tratos!$I:$I,'Dimensionamento Tratos'!$D52)</f>
        <v>40</v>
      </c>
      <c r="K52" s="7">
        <f>SUMIFS(Qtde_Oper_Plantio_Tratos!U:U,Qtde_Oper_Plantio_Tratos!$F:$F,'Dimensionamento Tratos'!$C52,Qtde_Oper_Plantio_Tratos!$I:$I,'Dimensionamento Tratos'!$D52)</f>
        <v>40</v>
      </c>
      <c r="L52" s="7">
        <f>SUMIFS(Qtde_Oper_Plantio_Tratos!V:V,Qtde_Oper_Plantio_Tratos!$F:$F,'Dimensionamento Tratos'!$C52,Qtde_Oper_Plantio_Tratos!$I:$I,'Dimensionamento Tratos'!$D52)</f>
        <v>40</v>
      </c>
      <c r="M52" s="7">
        <f>SUMIFS(Qtde_Oper_Plantio_Tratos!W:W,Qtde_Oper_Plantio_Tratos!$F:$F,'Dimensionamento Tratos'!$C52,Qtde_Oper_Plantio_Tratos!$I:$I,'Dimensionamento Tratos'!$D52)</f>
        <v>40</v>
      </c>
      <c r="N52" s="7">
        <f>SUMIFS(Qtde_Oper_Plantio_Tratos!X:X,Qtde_Oper_Plantio_Tratos!$F:$F,'Dimensionamento Tratos'!$C52,Qtde_Oper_Plantio_Tratos!$I:$I,'Dimensionamento Tratos'!$D52)</f>
        <v>40</v>
      </c>
      <c r="O52" s="7">
        <f>SUMIFS(Qtde_Oper_Plantio_Tratos!Y:Y,Qtde_Oper_Plantio_Tratos!$F:$F,'Dimensionamento Tratos'!$C52,Qtde_Oper_Plantio_Tratos!$I:$I,'Dimensionamento Tratos'!$D52)</f>
        <v>40</v>
      </c>
      <c r="P52" s="7">
        <f>SUMIFS(Qtde_Oper_Plantio_Tratos!Z:Z,Qtde_Oper_Plantio_Tratos!$F:$F,'Dimensionamento Tratos'!$C52,Qtde_Oper_Plantio_Tratos!$I:$I,'Dimensionamento Tratos'!$D52)</f>
        <v>40</v>
      </c>
      <c r="Q52" s="7">
        <f>SUMIFS(Qtde_Oper_Plantio_Tratos!AA:AA,Qtde_Oper_Plantio_Tratos!$F:$F,'Dimensionamento Tratos'!$C52,Qtde_Oper_Plantio_Tratos!$I:$I,'Dimensionamento Tratos'!$D52)</f>
        <v>40</v>
      </c>
      <c r="R52" s="7">
        <f>SUM(F52:Q52)</f>
        <v>480</v>
      </c>
    </row>
    <row r="53" spans="1:18" hidden="1" outlineLevel="1" x14ac:dyDescent="0.25">
      <c r="A53" s="1"/>
      <c r="B53" s="275"/>
      <c r="C53" s="262"/>
      <c r="D53" s="262" t="s">
        <v>607</v>
      </c>
      <c r="E53" s="263" t="s">
        <v>756</v>
      </c>
      <c r="F53" s="7">
        <f t="shared" ref="F53:Q53" si="24">IF($D53="Proprio",IFERROR(F52/(_xlfn.XLOOKUP(F$6,$F$112:$R$112,$F$113:$R$113)*_xlfn.XLOOKUP($C52,$D$94:$D$108,$F$94:$F$108)),0),0)</f>
        <v>0.93613305101444488</v>
      </c>
      <c r="G53" s="7">
        <f t="shared" si="24"/>
        <v>0.84685956245589289</v>
      </c>
      <c r="H53" s="7">
        <f t="shared" si="24"/>
        <v>0.78636959370904336</v>
      </c>
      <c r="I53" s="7">
        <f t="shared" si="24"/>
        <v>0.73394495412844041</v>
      </c>
      <c r="J53" s="7">
        <f t="shared" si="24"/>
        <v>0.75925340082252468</v>
      </c>
      <c r="K53" s="7">
        <f t="shared" si="24"/>
        <v>0.81549439347604491</v>
      </c>
      <c r="L53" s="7">
        <f t="shared" si="24"/>
        <v>0.94782868991100355</v>
      </c>
      <c r="M53" s="7">
        <f t="shared" si="24"/>
        <v>1.0596237226763148</v>
      </c>
      <c r="N53" s="7">
        <f t="shared" si="24"/>
        <v>1.5505879312572686</v>
      </c>
      <c r="O53" s="7">
        <f t="shared" si="24"/>
        <v>2.393298763462306</v>
      </c>
      <c r="P53" s="7">
        <f t="shared" si="24"/>
        <v>1.9659239842726084</v>
      </c>
      <c r="Q53" s="7">
        <f t="shared" si="24"/>
        <v>1.2232415902140674</v>
      </c>
      <c r="R53" s="7">
        <f>IFERROR(R52/(_xlfn.XLOOKUP(R$6,$F$112:$R$112,$F$113:$R$113)*_xlfn.XLOOKUP($C52,$D$94:$D$108,$F$94:$F$108)),0)</f>
        <v>1.015722673709673</v>
      </c>
    </row>
    <row r="54" spans="1:18" collapsed="1" x14ac:dyDescent="0.25">
      <c r="A54" s="1"/>
      <c r="B54" s="275"/>
      <c r="C54" s="265">
        <v>1091</v>
      </c>
      <c r="D54" s="265" t="s">
        <v>312</v>
      </c>
      <c r="E54" s="2" t="str">
        <f>_xlfn.XLOOKUP(C54,Apoio!A:A,Apoio!B:B)</f>
        <v>Aplic. Herb Man - Cat. Quimíca</v>
      </c>
      <c r="F54" s="3">
        <f>SUMIFS(Qtde_Oper_Plantio_Tratos!P:P,Qtde_Oper_Plantio_Tratos!$F:$F,'Dimensionamento Tratos'!$C54,Qtde_Oper_Plantio_Tratos!$I:$I,'Dimensionamento Tratos'!$D54)</f>
        <v>177.2696</v>
      </c>
      <c r="G54" s="3">
        <f>SUMIFS(Qtde_Oper_Plantio_Tratos!Q:Q,Qtde_Oper_Plantio_Tratos!$F:$F,'Dimensionamento Tratos'!$C54,Qtde_Oper_Plantio_Tratos!$I:$I,'Dimensionamento Tratos'!$D54)</f>
        <v>308.22640000000001</v>
      </c>
      <c r="H54" s="3">
        <f>SUMIFS(Qtde_Oper_Plantio_Tratos!R:R,Qtde_Oper_Plantio_Tratos!$F:$F,'Dimensionamento Tratos'!$C54,Qtde_Oper_Plantio_Tratos!$I:$I,'Dimensionamento Tratos'!$D54)</f>
        <v>126.77440000000001</v>
      </c>
      <c r="I54" s="3">
        <f>SUMIFS(Qtde_Oper_Plantio_Tratos!S:S,Qtde_Oper_Plantio_Tratos!$F:$F,'Dimensionamento Tratos'!$C54,Qtde_Oper_Plantio_Tratos!$I:$I,'Dimensionamento Tratos'!$D54)</f>
        <v>0</v>
      </c>
      <c r="J54" s="3">
        <f>SUMIFS(Qtde_Oper_Plantio_Tratos!T:T,Qtde_Oper_Plantio_Tratos!$F:$F,'Dimensionamento Tratos'!$C54,Qtde_Oper_Plantio_Tratos!$I:$I,'Dimensionamento Tratos'!$D54)</f>
        <v>119.69120000000001</v>
      </c>
      <c r="K54" s="3">
        <f>SUMIFS(Qtde_Oper_Plantio_Tratos!U:U,Qtde_Oper_Plantio_Tratos!$F:$F,'Dimensionamento Tratos'!$C54,Qtde_Oper_Plantio_Tratos!$I:$I,'Dimensionamento Tratos'!$D54)</f>
        <v>132.78559999999999</v>
      </c>
      <c r="L54" s="3">
        <f>SUMIFS(Qtde_Oper_Plantio_Tratos!V:V,Qtde_Oper_Plantio_Tratos!$F:$F,'Dimensionamento Tratos'!$C54,Qtde_Oper_Plantio_Tratos!$I:$I,'Dimensionamento Tratos'!$D54)</f>
        <v>149.49120000000002</v>
      </c>
      <c r="M54" s="3">
        <f>SUMIFS(Qtde_Oper_Plantio_Tratos!W:W,Qtde_Oper_Plantio_Tratos!$F:$F,'Dimensionamento Tratos'!$C54,Qtde_Oper_Plantio_Tratos!$I:$I,'Dimensionamento Tratos'!$D54)</f>
        <v>40</v>
      </c>
      <c r="N54" s="3">
        <f>SUMIFS(Qtde_Oper_Plantio_Tratos!X:X,Qtde_Oper_Plantio_Tratos!$F:$F,'Dimensionamento Tratos'!$C54,Qtde_Oper_Plantio_Tratos!$I:$I,'Dimensionamento Tratos'!$D54)</f>
        <v>40</v>
      </c>
      <c r="O54" s="3">
        <f>SUMIFS(Qtde_Oper_Plantio_Tratos!Y:Y,Qtde_Oper_Plantio_Tratos!$F:$F,'Dimensionamento Tratos'!$C54,Qtde_Oper_Plantio_Tratos!$I:$I,'Dimensionamento Tratos'!$D54)</f>
        <v>40</v>
      </c>
      <c r="P54" s="3">
        <f>SUMIFS(Qtde_Oper_Plantio_Tratos!Z:Z,Qtde_Oper_Plantio_Tratos!$F:$F,'Dimensionamento Tratos'!$C54,Qtde_Oper_Plantio_Tratos!$I:$I,'Dimensionamento Tratos'!$D54)</f>
        <v>40</v>
      </c>
      <c r="Q54" s="3">
        <f>SUMIFS(Qtde_Oper_Plantio_Tratos!AA:AA,Qtde_Oper_Plantio_Tratos!$F:$F,'Dimensionamento Tratos'!$C54,Qtde_Oper_Plantio_Tratos!$I:$I,'Dimensionamento Tratos'!$D54)</f>
        <v>40</v>
      </c>
      <c r="R54" s="3">
        <f>SUMIFS(Qtde_Oper_Plantio_Tratos!AB:AB,Qtde_Oper_Plantio_Tratos!$F:$F,'Dimensionamento Tratos'!$C54,Qtde_Oper_Plantio_Tratos!$I:$I,'Dimensionamento Tratos'!$D54)</f>
        <v>1214.2384000000002</v>
      </c>
    </row>
    <row r="55" spans="1:18" hidden="1" outlineLevel="1" x14ac:dyDescent="0.25">
      <c r="A55" s="1"/>
      <c r="B55" s="275"/>
      <c r="C55" s="265"/>
      <c r="D55" s="265" t="s">
        <v>607</v>
      </c>
      <c r="E55" s="2" t="s">
        <v>756</v>
      </c>
      <c r="F55" s="3">
        <f t="shared" ref="F55:Q55" si="25">IF($D55="Proprio",IFERROR(F54/(_xlfn.XLOOKUP(F$6,$F$112:$R$112,$F$113:$R$113)*_xlfn.XLOOKUP($C54,$D$94:$D$108,$F$94:$F$108)),0),0)</f>
        <v>4.1486982875027554</v>
      </c>
      <c r="G55" s="3">
        <f t="shared" si="25"/>
        <v>6.5256118560338754</v>
      </c>
      <c r="H55" s="3">
        <f t="shared" si="25"/>
        <v>2.4922883355176939</v>
      </c>
      <c r="I55" s="3">
        <f t="shared" si="25"/>
        <v>0</v>
      </c>
      <c r="J55" s="3">
        <f t="shared" si="25"/>
        <v>2.2718987662132242</v>
      </c>
      <c r="K55" s="3">
        <f t="shared" si="25"/>
        <v>2.7071478083588176</v>
      </c>
      <c r="L55" s="3">
        <f t="shared" si="25"/>
        <v>3.5423012062305959</v>
      </c>
      <c r="M55" s="3">
        <f t="shared" si="25"/>
        <v>1.0596237226763148</v>
      </c>
      <c r="N55" s="3">
        <f t="shared" si="25"/>
        <v>1.5505879312572686</v>
      </c>
      <c r="O55" s="3">
        <f t="shared" si="25"/>
        <v>2.393298763462306</v>
      </c>
      <c r="P55" s="3">
        <f t="shared" si="25"/>
        <v>1.9659239842726084</v>
      </c>
      <c r="Q55" s="3">
        <f t="shared" si="25"/>
        <v>1.2232415902140674</v>
      </c>
      <c r="R55" s="3">
        <f>IFERROR(R54/(_xlfn.XLOOKUP(R$6,$F$112:$R$112,$F$113:$R$113)*_xlfn.XLOOKUP($C54,$D$94:$D$108,$F$94:$F$108)),0)</f>
        <v>2.5694364045186573</v>
      </c>
    </row>
    <row r="56" spans="1:18" collapsed="1" x14ac:dyDescent="0.25">
      <c r="A56" s="1"/>
      <c r="B56" s="275"/>
      <c r="C56" s="264">
        <v>1091</v>
      </c>
      <c r="D56" s="262" t="s">
        <v>315</v>
      </c>
      <c r="E56" s="263" t="str">
        <f>_xlfn.XLOOKUP(C56,Apoio!A:A,Apoio!B:B)</f>
        <v>Aplic. Herb Man - Cat. Quimíca</v>
      </c>
      <c r="F56" s="7">
        <f>SUMIFS(Qtde_Oper_Plantio_Tratos!P:P,Qtde_Oper_Plantio_Tratos!$F:$F,'Dimensionamento Tratos'!$C56,Qtde_Oper_Plantio_Tratos!$I:$I,'Dimensionamento Tratos'!$D56)</f>
        <v>0</v>
      </c>
      <c r="G56" s="7">
        <f>SUMIFS(Qtde_Oper_Plantio_Tratos!Q:Q,Qtde_Oper_Plantio_Tratos!$F:$F,'Dimensionamento Tratos'!$C56,Qtde_Oper_Plantio_Tratos!$I:$I,'Dimensionamento Tratos'!$D56)</f>
        <v>0</v>
      </c>
      <c r="H56" s="7">
        <f>SUMIFS(Qtde_Oper_Plantio_Tratos!R:R,Qtde_Oper_Plantio_Tratos!$F:$F,'Dimensionamento Tratos'!$C56,Qtde_Oper_Plantio_Tratos!$I:$I,'Dimensionamento Tratos'!$D56)</f>
        <v>0</v>
      </c>
      <c r="I56" s="7">
        <f>SUMIFS(Qtde_Oper_Plantio_Tratos!S:S,Qtde_Oper_Plantio_Tratos!$F:$F,'Dimensionamento Tratos'!$C56,Qtde_Oper_Plantio_Tratos!$I:$I,'Dimensionamento Tratos'!$D56)</f>
        <v>0</v>
      </c>
      <c r="J56" s="7">
        <f>SUMIFS(Qtde_Oper_Plantio_Tratos!T:T,Qtde_Oper_Plantio_Tratos!$F:$F,'Dimensionamento Tratos'!$C56,Qtde_Oper_Plantio_Tratos!$I:$I,'Dimensionamento Tratos'!$D56)</f>
        <v>0</v>
      </c>
      <c r="K56" s="7">
        <f>SUMIFS(Qtde_Oper_Plantio_Tratos!U:U,Qtde_Oper_Plantio_Tratos!$F:$F,'Dimensionamento Tratos'!$C56,Qtde_Oper_Plantio_Tratos!$I:$I,'Dimensionamento Tratos'!$D56)</f>
        <v>0</v>
      </c>
      <c r="L56" s="7">
        <f>SUMIFS(Qtde_Oper_Plantio_Tratos!V:V,Qtde_Oper_Plantio_Tratos!$F:$F,'Dimensionamento Tratos'!$C56,Qtde_Oper_Plantio_Tratos!$I:$I,'Dimensionamento Tratos'!$D56)</f>
        <v>0</v>
      </c>
      <c r="M56" s="7">
        <f>SUMIFS(Qtde_Oper_Plantio_Tratos!W:W,Qtde_Oper_Plantio_Tratos!$F:$F,'Dimensionamento Tratos'!$C56,Qtde_Oper_Plantio_Tratos!$I:$I,'Dimensionamento Tratos'!$D56)</f>
        <v>0</v>
      </c>
      <c r="N56" s="7">
        <f>SUMIFS(Qtde_Oper_Plantio_Tratos!X:X,Qtde_Oper_Plantio_Tratos!$F:$F,'Dimensionamento Tratos'!$C56,Qtde_Oper_Plantio_Tratos!$I:$I,'Dimensionamento Tratos'!$D56)</f>
        <v>0</v>
      </c>
      <c r="O56" s="7">
        <f>SUMIFS(Qtde_Oper_Plantio_Tratos!Y:Y,Qtde_Oper_Plantio_Tratos!$F:$F,'Dimensionamento Tratos'!$C56,Qtde_Oper_Plantio_Tratos!$I:$I,'Dimensionamento Tratos'!$D56)</f>
        <v>0</v>
      </c>
      <c r="P56" s="7">
        <f>SUMIFS(Qtde_Oper_Plantio_Tratos!Z:Z,Qtde_Oper_Plantio_Tratos!$F:$F,'Dimensionamento Tratos'!$C56,Qtde_Oper_Plantio_Tratos!$I:$I,'Dimensionamento Tratos'!$D56)</f>
        <v>0</v>
      </c>
      <c r="Q56" s="7">
        <f>SUMIFS(Qtde_Oper_Plantio_Tratos!AA:AA,Qtde_Oper_Plantio_Tratos!$F:$F,'Dimensionamento Tratos'!$C56,Qtde_Oper_Plantio_Tratos!$I:$I,'Dimensionamento Tratos'!$D56)</f>
        <v>0</v>
      </c>
      <c r="R56" s="7">
        <f>SUM(F56:Q56)</f>
        <v>0</v>
      </c>
    </row>
    <row r="57" spans="1:18" hidden="1" outlineLevel="1" x14ac:dyDescent="0.25">
      <c r="A57" s="1"/>
      <c r="B57" s="275"/>
      <c r="C57" s="262"/>
      <c r="D57" s="262" t="s">
        <v>607</v>
      </c>
      <c r="E57" s="263" t="s">
        <v>756</v>
      </c>
      <c r="F57" s="7">
        <f t="shared" ref="F57:Q57" si="26">IF($D57="Proprio",IFERROR(F56/(_xlfn.XLOOKUP(F$6,$F$112:$R$112,$F$113:$R$113)*_xlfn.XLOOKUP($C56,$D$94:$D$108,$F$94:$F$108)),0),0)</f>
        <v>0</v>
      </c>
      <c r="G57" s="7">
        <f t="shared" si="26"/>
        <v>0</v>
      </c>
      <c r="H57" s="7">
        <f t="shared" si="26"/>
        <v>0</v>
      </c>
      <c r="I57" s="7">
        <f t="shared" si="26"/>
        <v>0</v>
      </c>
      <c r="J57" s="7">
        <f t="shared" si="26"/>
        <v>0</v>
      </c>
      <c r="K57" s="7">
        <f t="shared" si="26"/>
        <v>0</v>
      </c>
      <c r="L57" s="7">
        <f t="shared" si="26"/>
        <v>0</v>
      </c>
      <c r="M57" s="7">
        <f t="shared" si="26"/>
        <v>0</v>
      </c>
      <c r="N57" s="7">
        <f t="shared" si="26"/>
        <v>0</v>
      </c>
      <c r="O57" s="7">
        <f t="shared" si="26"/>
        <v>0</v>
      </c>
      <c r="P57" s="7">
        <f t="shared" si="26"/>
        <v>0</v>
      </c>
      <c r="Q57" s="7">
        <f t="shared" si="26"/>
        <v>0</v>
      </c>
      <c r="R57" s="7">
        <f>IFERROR(R56/(_xlfn.XLOOKUP(R$6,$F$112:$R$112,$F$113:$R$113)*_xlfn.XLOOKUP($C56,$D$94:$D$108,$F$94:$F$108)),0)</f>
        <v>0</v>
      </c>
    </row>
    <row r="58" spans="1:18" collapsed="1" x14ac:dyDescent="0.25">
      <c r="A58" s="1"/>
      <c r="B58" s="275"/>
      <c r="C58" s="265"/>
      <c r="D58" s="265"/>
      <c r="E58" s="2">
        <f>_xlfn.XLOOKUP(C58,Apoio!A:A,Apoio!B:B)</f>
        <v>0</v>
      </c>
      <c r="F58" s="3">
        <f>SUMIFS(Qtde_Oper_Plantio_Tratos!P:P,Qtde_Oper_Plantio_Tratos!$F:$F,'Dimensionamento Tratos'!$C58,Qtde_Oper_Plantio_Tratos!$I:$I,'Dimensionamento Tratos'!$D58)</f>
        <v>0</v>
      </c>
      <c r="G58" s="3">
        <f>SUMIFS(Qtde_Oper_Plantio_Tratos!Q:Q,Qtde_Oper_Plantio_Tratos!$F:$F,'Dimensionamento Tratos'!$C58,Qtde_Oper_Plantio_Tratos!$I:$I,'Dimensionamento Tratos'!$D58)</f>
        <v>0</v>
      </c>
      <c r="H58" s="3">
        <f>SUMIFS(Qtde_Oper_Plantio_Tratos!R:R,Qtde_Oper_Plantio_Tratos!$F:$F,'Dimensionamento Tratos'!$C58,Qtde_Oper_Plantio_Tratos!$I:$I,'Dimensionamento Tratos'!$D58)</f>
        <v>0</v>
      </c>
      <c r="I58" s="3">
        <f>SUMIFS(Qtde_Oper_Plantio_Tratos!S:S,Qtde_Oper_Plantio_Tratos!$F:$F,'Dimensionamento Tratos'!$C58,Qtde_Oper_Plantio_Tratos!$I:$I,'Dimensionamento Tratos'!$D58)</f>
        <v>0</v>
      </c>
      <c r="J58" s="3">
        <f>SUMIFS(Qtde_Oper_Plantio_Tratos!T:T,Qtde_Oper_Plantio_Tratos!$F:$F,'Dimensionamento Tratos'!$C58,Qtde_Oper_Plantio_Tratos!$I:$I,'Dimensionamento Tratos'!$D58)</f>
        <v>0</v>
      </c>
      <c r="K58" s="3">
        <f>SUMIFS(Qtde_Oper_Plantio_Tratos!U:U,Qtde_Oper_Plantio_Tratos!$F:$F,'Dimensionamento Tratos'!$C58,Qtde_Oper_Plantio_Tratos!$I:$I,'Dimensionamento Tratos'!$D58)</f>
        <v>0</v>
      </c>
      <c r="L58" s="3">
        <f>SUMIFS(Qtde_Oper_Plantio_Tratos!V:V,Qtde_Oper_Plantio_Tratos!$F:$F,'Dimensionamento Tratos'!$C58,Qtde_Oper_Plantio_Tratos!$I:$I,'Dimensionamento Tratos'!$D58)</f>
        <v>0</v>
      </c>
      <c r="M58" s="3">
        <f>SUMIFS(Qtde_Oper_Plantio_Tratos!W:W,Qtde_Oper_Plantio_Tratos!$F:$F,'Dimensionamento Tratos'!$C58,Qtde_Oper_Plantio_Tratos!$I:$I,'Dimensionamento Tratos'!$D58)</f>
        <v>0</v>
      </c>
      <c r="N58" s="3">
        <f>SUMIFS(Qtde_Oper_Plantio_Tratos!X:X,Qtde_Oper_Plantio_Tratos!$F:$F,'Dimensionamento Tratos'!$C58,Qtde_Oper_Plantio_Tratos!$I:$I,'Dimensionamento Tratos'!$D58)</f>
        <v>0</v>
      </c>
      <c r="O58" s="3">
        <f>SUMIFS(Qtde_Oper_Plantio_Tratos!Y:Y,Qtde_Oper_Plantio_Tratos!$F:$F,'Dimensionamento Tratos'!$C58,Qtde_Oper_Plantio_Tratos!$I:$I,'Dimensionamento Tratos'!$D58)</f>
        <v>0</v>
      </c>
      <c r="P58" s="3">
        <f>SUMIFS(Qtde_Oper_Plantio_Tratos!Z:Z,Qtde_Oper_Plantio_Tratos!$F:$F,'Dimensionamento Tratos'!$C58,Qtde_Oper_Plantio_Tratos!$I:$I,'Dimensionamento Tratos'!$D58)</f>
        <v>0</v>
      </c>
      <c r="Q58" s="3">
        <f>SUMIFS(Qtde_Oper_Plantio_Tratos!AA:AA,Qtde_Oper_Plantio_Tratos!$F:$F,'Dimensionamento Tratos'!$C58,Qtde_Oper_Plantio_Tratos!$I:$I,'Dimensionamento Tratos'!$D58)</f>
        <v>0</v>
      </c>
      <c r="R58" s="3">
        <f>SUMIFS(Qtde_Oper_Plantio_Tratos!AB:AB,Qtde_Oper_Plantio_Tratos!$F:$F,'Dimensionamento Tratos'!$C58,Qtde_Oper_Plantio_Tratos!$I:$I,'Dimensionamento Tratos'!$D58)</f>
        <v>0</v>
      </c>
    </row>
    <row r="59" spans="1:18" hidden="1" outlineLevel="1" x14ac:dyDescent="0.25">
      <c r="A59" s="1"/>
      <c r="B59" s="276"/>
      <c r="C59" s="265"/>
      <c r="D59" s="265" t="s">
        <v>607</v>
      </c>
      <c r="E59" s="2" t="s">
        <v>754</v>
      </c>
      <c r="F59" s="3">
        <f t="shared" ref="F59:Q59" si="27">IF($D59="Proprio",IFERROR(F58/(_xlfn.XLOOKUP(F$6,$F$112:$R$112,$F$113:$R$113)*_xlfn.XLOOKUP($C58,$D$94:$D$108,$F$94:$F$108)),0),0)</f>
        <v>0</v>
      </c>
      <c r="G59" s="3">
        <f t="shared" si="27"/>
        <v>0</v>
      </c>
      <c r="H59" s="3">
        <f t="shared" si="27"/>
        <v>0</v>
      </c>
      <c r="I59" s="3">
        <f t="shared" si="27"/>
        <v>0</v>
      </c>
      <c r="J59" s="3">
        <f t="shared" si="27"/>
        <v>0</v>
      </c>
      <c r="K59" s="3">
        <f t="shared" si="27"/>
        <v>0</v>
      </c>
      <c r="L59" s="3">
        <f t="shared" si="27"/>
        <v>0</v>
      </c>
      <c r="M59" s="3">
        <f t="shared" si="27"/>
        <v>0</v>
      </c>
      <c r="N59" s="3">
        <f t="shared" si="27"/>
        <v>0</v>
      </c>
      <c r="O59" s="3">
        <f t="shared" si="27"/>
        <v>0</v>
      </c>
      <c r="P59" s="3">
        <f t="shared" si="27"/>
        <v>0</v>
      </c>
      <c r="Q59" s="3">
        <f t="shared" si="27"/>
        <v>0</v>
      </c>
      <c r="R59" s="3">
        <f>IFERROR(R58/(_xlfn.XLOOKUP(R$6,$F$112:$R$112,$F$113:$R$113)*_xlfn.XLOOKUP($C58,$D$94:$D$108,$F$94:$F$108)),0)</f>
        <v>0</v>
      </c>
    </row>
    <row r="60" spans="1:18" x14ac:dyDescent="0.25">
      <c r="A60" s="1"/>
      <c r="B60" s="4"/>
      <c r="C60" s="4"/>
      <c r="D60" s="4"/>
      <c r="E60" s="4" t="s">
        <v>76</v>
      </c>
      <c r="F60" s="5">
        <f>ROUNDUP(SUM(F59,F57,F55,F53),0)</f>
        <v>6</v>
      </c>
      <c r="G60" s="5">
        <f t="shared" ref="G60:R60" si="28">ROUNDUP(SUM(G59,G57,G55,G53),0)</f>
        <v>8</v>
      </c>
      <c r="H60" s="5">
        <f t="shared" si="28"/>
        <v>4</v>
      </c>
      <c r="I60" s="5">
        <f t="shared" si="28"/>
        <v>1</v>
      </c>
      <c r="J60" s="5">
        <f t="shared" si="28"/>
        <v>4</v>
      </c>
      <c r="K60" s="5">
        <f t="shared" si="28"/>
        <v>4</v>
      </c>
      <c r="L60" s="5">
        <f t="shared" si="28"/>
        <v>5</v>
      </c>
      <c r="M60" s="5">
        <f t="shared" si="28"/>
        <v>3</v>
      </c>
      <c r="N60" s="5">
        <f t="shared" si="28"/>
        <v>4</v>
      </c>
      <c r="O60" s="5">
        <f t="shared" si="28"/>
        <v>5</v>
      </c>
      <c r="P60" s="5">
        <f t="shared" si="28"/>
        <v>4</v>
      </c>
      <c r="Q60" s="5">
        <f t="shared" si="28"/>
        <v>3</v>
      </c>
      <c r="R60" s="5">
        <f t="shared" si="28"/>
        <v>4</v>
      </c>
    </row>
    <row r="61" spans="1:18" x14ac:dyDescent="0.25">
      <c r="A61" s="1"/>
      <c r="B61" s="4"/>
      <c r="C61" s="4"/>
      <c r="D61" s="4"/>
      <c r="E61" s="4" t="s">
        <v>77</v>
      </c>
      <c r="F61" s="5">
        <f>SUMIFS($F81:$F89,$E$81:$E$89,$E59)</f>
        <v>3</v>
      </c>
      <c r="G61" s="5">
        <f t="shared" ref="G61:R61" si="29">SUMIFS($F81:$F89,$E$81:$E$89,$E59)</f>
        <v>3</v>
      </c>
      <c r="H61" s="5">
        <f t="shared" si="29"/>
        <v>3</v>
      </c>
      <c r="I61" s="5">
        <f t="shared" si="29"/>
        <v>3</v>
      </c>
      <c r="J61" s="5">
        <f t="shared" si="29"/>
        <v>3</v>
      </c>
      <c r="K61" s="5">
        <f t="shared" si="29"/>
        <v>3</v>
      </c>
      <c r="L61" s="5">
        <f t="shared" si="29"/>
        <v>3</v>
      </c>
      <c r="M61" s="5">
        <f t="shared" si="29"/>
        <v>3</v>
      </c>
      <c r="N61" s="5">
        <f t="shared" si="29"/>
        <v>3</v>
      </c>
      <c r="O61" s="5">
        <f t="shared" si="29"/>
        <v>3</v>
      </c>
      <c r="P61" s="5">
        <f t="shared" si="29"/>
        <v>3</v>
      </c>
      <c r="Q61" s="5">
        <f t="shared" si="29"/>
        <v>3</v>
      </c>
      <c r="R61" s="5">
        <f t="shared" si="29"/>
        <v>3</v>
      </c>
    </row>
    <row r="62" spans="1:18" x14ac:dyDescent="0.25">
      <c r="A62" s="1"/>
    </row>
    <row r="63" spans="1:18" collapsed="1" x14ac:dyDescent="0.25">
      <c r="A63" s="1"/>
      <c r="B63" s="275" t="s">
        <v>766</v>
      </c>
      <c r="C63" s="264">
        <v>1090</v>
      </c>
      <c r="D63" s="262" t="s">
        <v>295</v>
      </c>
      <c r="E63" s="263" t="str">
        <f>_xlfn.XLOOKUP(C63,Apoio!A:A,Apoio!B:B)</f>
        <v xml:space="preserve">Repasse Aplicação Herbicida   </v>
      </c>
      <c r="F63" s="7">
        <f>SUMIFS(Qtde_Oper_Plantio_Tratos!P:P,Qtde_Oper_Plantio_Tratos!$F:$F,'Dimensionamento Tratos'!$C63,Qtde_Oper_Plantio_Tratos!$I:$I,'Dimensionamento Tratos'!$D63)</f>
        <v>0</v>
      </c>
      <c r="G63" s="7">
        <f>SUMIFS(Qtde_Oper_Plantio_Tratos!Q:Q,Qtde_Oper_Plantio_Tratos!$F:$F,'Dimensionamento Tratos'!$C63,Qtde_Oper_Plantio_Tratos!$I:$I,'Dimensionamento Tratos'!$D63)</f>
        <v>0</v>
      </c>
      <c r="H63" s="7">
        <f>SUMIFS(Qtde_Oper_Plantio_Tratos!R:R,Qtde_Oper_Plantio_Tratos!$F:$F,'Dimensionamento Tratos'!$C63,Qtde_Oper_Plantio_Tratos!$I:$I,'Dimensionamento Tratos'!$D63)</f>
        <v>0</v>
      </c>
      <c r="I63" s="7">
        <f>SUMIFS(Qtde_Oper_Plantio_Tratos!S:S,Qtde_Oper_Plantio_Tratos!$F:$F,'Dimensionamento Tratos'!$C63,Qtde_Oper_Plantio_Tratos!$I:$I,'Dimensionamento Tratos'!$D63)</f>
        <v>0</v>
      </c>
      <c r="J63" s="7">
        <f>SUMIFS(Qtde_Oper_Plantio_Tratos!T:T,Qtde_Oper_Plantio_Tratos!$F:$F,'Dimensionamento Tratos'!$C63,Qtde_Oper_Plantio_Tratos!$I:$I,'Dimensionamento Tratos'!$D63)</f>
        <v>0</v>
      </c>
      <c r="K63" s="7">
        <f>SUMIFS(Qtde_Oper_Plantio_Tratos!U:U,Qtde_Oper_Plantio_Tratos!$F:$F,'Dimensionamento Tratos'!$C63,Qtde_Oper_Plantio_Tratos!$I:$I,'Dimensionamento Tratos'!$D63)</f>
        <v>0</v>
      </c>
      <c r="L63" s="7">
        <f>SUMIFS(Qtde_Oper_Plantio_Tratos!V:V,Qtde_Oper_Plantio_Tratos!$F:$F,'Dimensionamento Tratos'!$C63,Qtde_Oper_Plantio_Tratos!$I:$I,'Dimensionamento Tratos'!$D63)</f>
        <v>0</v>
      </c>
      <c r="M63" s="7">
        <f>SUMIFS(Qtde_Oper_Plantio_Tratos!W:W,Qtde_Oper_Plantio_Tratos!$F:$F,'Dimensionamento Tratos'!$C63,Qtde_Oper_Plantio_Tratos!$I:$I,'Dimensionamento Tratos'!$D63)</f>
        <v>0</v>
      </c>
      <c r="N63" s="7">
        <f>SUMIFS(Qtde_Oper_Plantio_Tratos!X:X,Qtde_Oper_Plantio_Tratos!$F:$F,'Dimensionamento Tratos'!$C63,Qtde_Oper_Plantio_Tratos!$I:$I,'Dimensionamento Tratos'!$D63)</f>
        <v>0</v>
      </c>
      <c r="O63" s="7">
        <f>SUMIFS(Qtde_Oper_Plantio_Tratos!Y:Y,Qtde_Oper_Plantio_Tratos!$F:$F,'Dimensionamento Tratos'!$C63,Qtde_Oper_Plantio_Tratos!$I:$I,'Dimensionamento Tratos'!$D63)</f>
        <v>0</v>
      </c>
      <c r="P63" s="7">
        <f>SUMIFS(Qtde_Oper_Plantio_Tratos!Z:Z,Qtde_Oper_Plantio_Tratos!$F:$F,'Dimensionamento Tratos'!$C63,Qtde_Oper_Plantio_Tratos!$I:$I,'Dimensionamento Tratos'!$D63)</f>
        <v>0</v>
      </c>
      <c r="Q63" s="7">
        <f>SUMIFS(Qtde_Oper_Plantio_Tratos!AA:AA,Qtde_Oper_Plantio_Tratos!$F:$F,'Dimensionamento Tratos'!$C63,Qtde_Oper_Plantio_Tratos!$I:$I,'Dimensionamento Tratos'!$D63)</f>
        <v>0</v>
      </c>
      <c r="R63" s="7">
        <f>SUM(F63:Q63)</f>
        <v>0</v>
      </c>
    </row>
    <row r="64" spans="1:18" hidden="1" outlineLevel="1" x14ac:dyDescent="0.25">
      <c r="A64" s="1"/>
      <c r="B64" s="275"/>
      <c r="C64" s="262"/>
      <c r="D64" s="262" t="s">
        <v>607</v>
      </c>
      <c r="E64" s="263" t="s">
        <v>766</v>
      </c>
      <c r="F64" s="7">
        <f t="shared" ref="F64:Q64" si="30">IF($D64="Proprio",IFERROR(F63/(_xlfn.XLOOKUP(F$6,$F$112:$R$112,$F$113:$R$113)*_xlfn.XLOOKUP($C63,$D$94:$D$108,$F$94:$F$108)),0),0)</f>
        <v>0</v>
      </c>
      <c r="G64" s="7">
        <f t="shared" si="30"/>
        <v>0</v>
      </c>
      <c r="H64" s="7">
        <f t="shared" si="30"/>
        <v>0</v>
      </c>
      <c r="I64" s="7">
        <f t="shared" si="30"/>
        <v>0</v>
      </c>
      <c r="J64" s="7">
        <f t="shared" si="30"/>
        <v>0</v>
      </c>
      <c r="K64" s="7">
        <f t="shared" si="30"/>
        <v>0</v>
      </c>
      <c r="L64" s="7">
        <f t="shared" si="30"/>
        <v>0</v>
      </c>
      <c r="M64" s="7">
        <f t="shared" si="30"/>
        <v>0</v>
      </c>
      <c r="N64" s="7">
        <f t="shared" si="30"/>
        <v>0</v>
      </c>
      <c r="O64" s="7">
        <f t="shared" si="30"/>
        <v>0</v>
      </c>
      <c r="P64" s="7">
        <f t="shared" si="30"/>
        <v>0</v>
      </c>
      <c r="Q64" s="7">
        <f t="shared" si="30"/>
        <v>0</v>
      </c>
      <c r="R64" s="7">
        <f>IFERROR(R63/(_xlfn.XLOOKUP(R$6,$F$112:$R$112,$F$113:$R$113)*_xlfn.XLOOKUP($C63,$D$94:$D$108,$F$94:$F$108)),0)</f>
        <v>0</v>
      </c>
    </row>
    <row r="65" spans="1:18" collapsed="1" x14ac:dyDescent="0.25">
      <c r="A65" s="1"/>
      <c r="B65" s="275"/>
      <c r="C65" s="265">
        <v>1090</v>
      </c>
      <c r="D65" s="265" t="s">
        <v>312</v>
      </c>
      <c r="E65" s="2" t="str">
        <f>_xlfn.XLOOKUP(C65,Apoio!A:A,Apoio!B:B)</f>
        <v xml:space="preserve">Repasse Aplicação Herbicida   </v>
      </c>
      <c r="F65" s="3">
        <f>SUMIFS(Qtde_Oper_Plantio_Tratos!P:P,Qtde_Oper_Plantio_Tratos!$F:$F,'Dimensionamento Tratos'!$C65,Qtde_Oper_Plantio_Tratos!$I:$I,'Dimensionamento Tratos'!$D65)</f>
        <v>105</v>
      </c>
      <c r="G65" s="3">
        <f>SUMIFS(Qtde_Oper_Plantio_Tratos!Q:Q,Qtde_Oper_Plantio_Tratos!$F:$F,'Dimensionamento Tratos'!$C65,Qtde_Oper_Plantio_Tratos!$I:$I,'Dimensionamento Tratos'!$D65)</f>
        <v>98</v>
      </c>
      <c r="H65" s="3">
        <f>SUMIFS(Qtde_Oper_Plantio_Tratos!R:R,Qtde_Oper_Plantio_Tratos!$F:$F,'Dimensionamento Tratos'!$C65,Qtde_Oper_Plantio_Tratos!$I:$I,'Dimensionamento Tratos'!$D65)</f>
        <v>63</v>
      </c>
      <c r="I65" s="3">
        <f>SUMIFS(Qtde_Oper_Plantio_Tratos!S:S,Qtde_Oper_Plantio_Tratos!$F:$F,'Dimensionamento Tratos'!$C65,Qtde_Oper_Plantio_Tratos!$I:$I,'Dimensionamento Tratos'!$D65)</f>
        <v>100</v>
      </c>
      <c r="J65" s="3">
        <f>SUMIFS(Qtde_Oper_Plantio_Tratos!T:T,Qtde_Oper_Plantio_Tratos!$F:$F,'Dimensionamento Tratos'!$C65,Qtde_Oper_Plantio_Tratos!$I:$I,'Dimensionamento Tratos'!$D65)</f>
        <v>100</v>
      </c>
      <c r="K65" s="3">
        <f>SUMIFS(Qtde_Oper_Plantio_Tratos!U:U,Qtde_Oper_Plantio_Tratos!$F:$F,'Dimensionamento Tratos'!$C65,Qtde_Oper_Plantio_Tratos!$I:$I,'Dimensionamento Tratos'!$D65)</f>
        <v>84</v>
      </c>
      <c r="L65" s="3">
        <f>SUMIFS(Qtde_Oper_Plantio_Tratos!V:V,Qtde_Oper_Plantio_Tratos!$F:$F,'Dimensionamento Tratos'!$C65,Qtde_Oper_Plantio_Tratos!$I:$I,'Dimensionamento Tratos'!$D65)</f>
        <v>196</v>
      </c>
      <c r="M65" s="3">
        <f>SUMIFS(Qtde_Oper_Plantio_Tratos!W:W,Qtde_Oper_Plantio_Tratos!$F:$F,'Dimensionamento Tratos'!$C65,Qtde_Oper_Plantio_Tratos!$I:$I,'Dimensionamento Tratos'!$D65)</f>
        <v>0</v>
      </c>
      <c r="N65" s="3">
        <f>SUMIFS(Qtde_Oper_Plantio_Tratos!X:X,Qtde_Oper_Plantio_Tratos!$F:$F,'Dimensionamento Tratos'!$C65,Qtde_Oper_Plantio_Tratos!$I:$I,'Dimensionamento Tratos'!$D65)</f>
        <v>100</v>
      </c>
      <c r="O65" s="3">
        <f>SUMIFS(Qtde_Oper_Plantio_Tratos!Y:Y,Qtde_Oper_Plantio_Tratos!$F:$F,'Dimensionamento Tratos'!$C65,Qtde_Oper_Plantio_Tratos!$I:$I,'Dimensionamento Tratos'!$D65)</f>
        <v>100</v>
      </c>
      <c r="P65" s="3">
        <f>SUMIFS(Qtde_Oper_Plantio_Tratos!Z:Z,Qtde_Oper_Plantio_Tratos!$F:$F,'Dimensionamento Tratos'!$C65,Qtde_Oper_Plantio_Tratos!$I:$I,'Dimensionamento Tratos'!$D65)</f>
        <v>100</v>
      </c>
      <c r="Q65" s="3">
        <f>SUMIFS(Qtde_Oper_Plantio_Tratos!AA:AA,Qtde_Oper_Plantio_Tratos!$F:$F,'Dimensionamento Tratos'!$C65,Qtde_Oper_Plantio_Tratos!$I:$I,'Dimensionamento Tratos'!$D65)</f>
        <v>100</v>
      </c>
      <c r="R65" s="3">
        <f>SUMIFS(Qtde_Oper_Plantio_Tratos!AB:AB,Qtde_Oper_Plantio_Tratos!$F:$F,'Dimensionamento Tratos'!$C65,Qtde_Oper_Plantio_Tratos!$I:$I,'Dimensionamento Tratos'!$D65)</f>
        <v>1146</v>
      </c>
    </row>
    <row r="66" spans="1:18" hidden="1" outlineLevel="1" x14ac:dyDescent="0.25">
      <c r="A66" s="1"/>
      <c r="B66" s="275"/>
      <c r="C66" s="265"/>
      <c r="D66" s="265" t="s">
        <v>607</v>
      </c>
      <c r="E66" s="2" t="s">
        <v>766</v>
      </c>
      <c r="F66" s="3">
        <f t="shared" ref="F66:Q66" si="31">IF($D66="Proprio",IFERROR(F65/(_xlfn.XLOOKUP(F$6,$F$112:$R$112,$F$113:$R$113)*_xlfn.XLOOKUP($C65,$D$94:$D$108,$F$94:$F$108)),0),0)</f>
        <v>0.24573492589129176</v>
      </c>
      <c r="G66" s="3">
        <f t="shared" si="31"/>
        <v>0.20748059280169376</v>
      </c>
      <c r="H66" s="3">
        <f t="shared" si="31"/>
        <v>0.12385321100917432</v>
      </c>
      <c r="I66" s="3">
        <f t="shared" si="31"/>
        <v>0.18348623853211013</v>
      </c>
      <c r="J66" s="3">
        <f t="shared" si="31"/>
        <v>0.18981335020563117</v>
      </c>
      <c r="K66" s="3">
        <f t="shared" si="31"/>
        <v>0.17125382262996944</v>
      </c>
      <c r="L66" s="3">
        <f t="shared" si="31"/>
        <v>0.46443605805639171</v>
      </c>
      <c r="M66" s="3">
        <f t="shared" si="31"/>
        <v>0</v>
      </c>
      <c r="N66" s="3">
        <f t="shared" si="31"/>
        <v>0.38764698281431714</v>
      </c>
      <c r="O66" s="3">
        <f t="shared" si="31"/>
        <v>0.59832469086557649</v>
      </c>
      <c r="P66" s="3">
        <f t="shared" si="31"/>
        <v>0.4914809960681521</v>
      </c>
      <c r="Q66" s="3">
        <f t="shared" si="31"/>
        <v>0.30581039755351686</v>
      </c>
      <c r="R66" s="3">
        <f>IFERROR(R65/(_xlfn.XLOOKUP(R$6,$F$112:$R$112,$F$113:$R$113)*_xlfn.XLOOKUP($C65,$D$94:$D$108,$F$94:$F$108)),0)</f>
        <v>0.24250378834818437</v>
      </c>
    </row>
    <row r="67" spans="1:18" collapsed="1" x14ac:dyDescent="0.25">
      <c r="A67" s="1"/>
      <c r="B67" s="275"/>
      <c r="C67" s="264">
        <v>1090</v>
      </c>
      <c r="D67" s="262" t="s">
        <v>315</v>
      </c>
      <c r="E67" s="263" t="str">
        <f>_xlfn.XLOOKUP(C67,Apoio!A:A,Apoio!B:B)</f>
        <v xml:space="preserve">Repasse Aplicação Herbicida   </v>
      </c>
      <c r="F67" s="7">
        <f>SUMIFS(Qtde_Oper_Plantio_Tratos!P:P,Qtde_Oper_Plantio_Tratos!$F:$F,'Dimensionamento Tratos'!$C67,Qtde_Oper_Plantio_Tratos!$I:$I,'Dimensionamento Tratos'!$D67)</f>
        <v>0</v>
      </c>
      <c r="G67" s="7">
        <f>SUMIFS(Qtde_Oper_Plantio_Tratos!Q:Q,Qtde_Oper_Plantio_Tratos!$F:$F,'Dimensionamento Tratos'!$C67,Qtde_Oper_Plantio_Tratos!$I:$I,'Dimensionamento Tratos'!$D67)</f>
        <v>0</v>
      </c>
      <c r="H67" s="7">
        <f>SUMIFS(Qtde_Oper_Plantio_Tratos!R:R,Qtde_Oper_Plantio_Tratos!$F:$F,'Dimensionamento Tratos'!$C67,Qtde_Oper_Plantio_Tratos!$I:$I,'Dimensionamento Tratos'!$D67)</f>
        <v>0</v>
      </c>
      <c r="I67" s="7">
        <f>SUMIFS(Qtde_Oper_Plantio_Tratos!S:S,Qtde_Oper_Plantio_Tratos!$F:$F,'Dimensionamento Tratos'!$C67,Qtde_Oper_Plantio_Tratos!$I:$I,'Dimensionamento Tratos'!$D67)</f>
        <v>0</v>
      </c>
      <c r="J67" s="7">
        <f>SUMIFS(Qtde_Oper_Plantio_Tratos!T:T,Qtde_Oper_Plantio_Tratos!$F:$F,'Dimensionamento Tratos'!$C67,Qtde_Oper_Plantio_Tratos!$I:$I,'Dimensionamento Tratos'!$D67)</f>
        <v>0</v>
      </c>
      <c r="K67" s="7">
        <f>SUMIFS(Qtde_Oper_Plantio_Tratos!U:U,Qtde_Oper_Plantio_Tratos!$F:$F,'Dimensionamento Tratos'!$C67,Qtde_Oper_Plantio_Tratos!$I:$I,'Dimensionamento Tratos'!$D67)</f>
        <v>0</v>
      </c>
      <c r="L67" s="7">
        <f>SUMIFS(Qtde_Oper_Plantio_Tratos!V:V,Qtde_Oper_Plantio_Tratos!$F:$F,'Dimensionamento Tratos'!$C67,Qtde_Oper_Plantio_Tratos!$I:$I,'Dimensionamento Tratos'!$D67)</f>
        <v>0</v>
      </c>
      <c r="M67" s="7">
        <f>SUMIFS(Qtde_Oper_Plantio_Tratos!W:W,Qtde_Oper_Plantio_Tratos!$F:$F,'Dimensionamento Tratos'!$C67,Qtde_Oper_Plantio_Tratos!$I:$I,'Dimensionamento Tratos'!$D67)</f>
        <v>0</v>
      </c>
      <c r="N67" s="7">
        <f>SUMIFS(Qtde_Oper_Plantio_Tratos!X:X,Qtde_Oper_Plantio_Tratos!$F:$F,'Dimensionamento Tratos'!$C67,Qtde_Oper_Plantio_Tratos!$I:$I,'Dimensionamento Tratos'!$D67)</f>
        <v>0</v>
      </c>
      <c r="O67" s="7">
        <f>SUMIFS(Qtde_Oper_Plantio_Tratos!Y:Y,Qtde_Oper_Plantio_Tratos!$F:$F,'Dimensionamento Tratos'!$C67,Qtde_Oper_Plantio_Tratos!$I:$I,'Dimensionamento Tratos'!$D67)</f>
        <v>0</v>
      </c>
      <c r="P67" s="7">
        <f>SUMIFS(Qtde_Oper_Plantio_Tratos!Z:Z,Qtde_Oper_Plantio_Tratos!$F:$F,'Dimensionamento Tratos'!$C67,Qtde_Oper_Plantio_Tratos!$I:$I,'Dimensionamento Tratos'!$D67)</f>
        <v>0</v>
      </c>
      <c r="Q67" s="7">
        <f>SUMIFS(Qtde_Oper_Plantio_Tratos!AA:AA,Qtde_Oper_Plantio_Tratos!$F:$F,'Dimensionamento Tratos'!$C67,Qtde_Oper_Plantio_Tratos!$I:$I,'Dimensionamento Tratos'!$D67)</f>
        <v>0</v>
      </c>
      <c r="R67" s="7">
        <f>SUM(F67:Q67)</f>
        <v>0</v>
      </c>
    </row>
    <row r="68" spans="1:18" hidden="1" outlineLevel="1" x14ac:dyDescent="0.25">
      <c r="A68" s="1"/>
      <c r="B68" s="275"/>
      <c r="C68" s="262"/>
      <c r="D68" s="262" t="s">
        <v>607</v>
      </c>
      <c r="E68" s="263" t="s">
        <v>766</v>
      </c>
      <c r="F68" s="7">
        <f t="shared" ref="F68:Q68" si="32">IF($D68="Proprio",IFERROR(F67/(_xlfn.XLOOKUP(F$6,$F$112:$R$112,$F$113:$R$113)*_xlfn.XLOOKUP($C67,$D$94:$D$108,$F$94:$F$108)),0),0)</f>
        <v>0</v>
      </c>
      <c r="G68" s="7">
        <f t="shared" si="32"/>
        <v>0</v>
      </c>
      <c r="H68" s="7">
        <f t="shared" si="32"/>
        <v>0</v>
      </c>
      <c r="I68" s="7">
        <f t="shared" si="32"/>
        <v>0</v>
      </c>
      <c r="J68" s="7">
        <f t="shared" si="32"/>
        <v>0</v>
      </c>
      <c r="K68" s="7">
        <f t="shared" si="32"/>
        <v>0</v>
      </c>
      <c r="L68" s="7">
        <f t="shared" si="32"/>
        <v>0</v>
      </c>
      <c r="M68" s="7">
        <f t="shared" si="32"/>
        <v>0</v>
      </c>
      <c r="N68" s="7">
        <f t="shared" si="32"/>
        <v>0</v>
      </c>
      <c r="O68" s="7">
        <f t="shared" si="32"/>
        <v>0</v>
      </c>
      <c r="P68" s="7">
        <f t="shared" si="32"/>
        <v>0</v>
      </c>
      <c r="Q68" s="7">
        <f t="shared" si="32"/>
        <v>0</v>
      </c>
      <c r="R68" s="7">
        <f>IFERROR(R67/(_xlfn.XLOOKUP(R$6,$F$112:$R$112,$F$113:$R$113)*_xlfn.XLOOKUP($C67,$D$94:$D$108,$F$94:$F$108)),0)</f>
        <v>0</v>
      </c>
    </row>
    <row r="69" spans="1:18" collapsed="1" x14ac:dyDescent="0.25">
      <c r="A69" s="1"/>
      <c r="B69" s="275"/>
      <c r="C69" s="265"/>
      <c r="D69" s="265"/>
      <c r="E69" s="2">
        <f>_xlfn.XLOOKUP(C69,Apoio!A:A,Apoio!B:B)</f>
        <v>0</v>
      </c>
      <c r="F69" s="3">
        <f>SUMIFS(Qtde_Oper_Plantio_Tratos!P:P,Qtde_Oper_Plantio_Tratos!$F:$F,'Dimensionamento Tratos'!$C69,Qtde_Oper_Plantio_Tratos!$I:$I,'Dimensionamento Tratos'!$D69)</f>
        <v>0</v>
      </c>
      <c r="G69" s="3">
        <f>SUMIFS(Qtde_Oper_Plantio_Tratos!Q:Q,Qtde_Oper_Plantio_Tratos!$F:$F,'Dimensionamento Tratos'!$C69,Qtde_Oper_Plantio_Tratos!$I:$I,'Dimensionamento Tratos'!$D69)</f>
        <v>0</v>
      </c>
      <c r="H69" s="3">
        <f>SUMIFS(Qtde_Oper_Plantio_Tratos!R:R,Qtde_Oper_Plantio_Tratos!$F:$F,'Dimensionamento Tratos'!$C69,Qtde_Oper_Plantio_Tratos!$I:$I,'Dimensionamento Tratos'!$D69)</f>
        <v>0</v>
      </c>
      <c r="I69" s="3">
        <f>SUMIFS(Qtde_Oper_Plantio_Tratos!S:S,Qtde_Oper_Plantio_Tratos!$F:$F,'Dimensionamento Tratos'!$C69,Qtde_Oper_Plantio_Tratos!$I:$I,'Dimensionamento Tratos'!$D69)</f>
        <v>0</v>
      </c>
      <c r="J69" s="3">
        <f>SUMIFS(Qtde_Oper_Plantio_Tratos!T:T,Qtde_Oper_Plantio_Tratos!$F:$F,'Dimensionamento Tratos'!$C69,Qtde_Oper_Plantio_Tratos!$I:$I,'Dimensionamento Tratos'!$D69)</f>
        <v>0</v>
      </c>
      <c r="K69" s="3">
        <f>SUMIFS(Qtde_Oper_Plantio_Tratos!U:U,Qtde_Oper_Plantio_Tratos!$F:$F,'Dimensionamento Tratos'!$C69,Qtde_Oper_Plantio_Tratos!$I:$I,'Dimensionamento Tratos'!$D69)</f>
        <v>0</v>
      </c>
      <c r="L69" s="3">
        <f>SUMIFS(Qtde_Oper_Plantio_Tratos!V:V,Qtde_Oper_Plantio_Tratos!$F:$F,'Dimensionamento Tratos'!$C69,Qtde_Oper_Plantio_Tratos!$I:$I,'Dimensionamento Tratos'!$D69)</f>
        <v>0</v>
      </c>
      <c r="M69" s="3">
        <f>SUMIFS(Qtde_Oper_Plantio_Tratos!W:W,Qtde_Oper_Plantio_Tratos!$F:$F,'Dimensionamento Tratos'!$C69,Qtde_Oper_Plantio_Tratos!$I:$I,'Dimensionamento Tratos'!$D69)</f>
        <v>0</v>
      </c>
      <c r="N69" s="3">
        <f>SUMIFS(Qtde_Oper_Plantio_Tratos!X:X,Qtde_Oper_Plantio_Tratos!$F:$F,'Dimensionamento Tratos'!$C69,Qtde_Oper_Plantio_Tratos!$I:$I,'Dimensionamento Tratos'!$D69)</f>
        <v>0</v>
      </c>
      <c r="O69" s="3">
        <f>SUMIFS(Qtde_Oper_Plantio_Tratos!Y:Y,Qtde_Oper_Plantio_Tratos!$F:$F,'Dimensionamento Tratos'!$C69,Qtde_Oper_Plantio_Tratos!$I:$I,'Dimensionamento Tratos'!$D69)</f>
        <v>0</v>
      </c>
      <c r="P69" s="3">
        <f>SUMIFS(Qtde_Oper_Plantio_Tratos!Z:Z,Qtde_Oper_Plantio_Tratos!$F:$F,'Dimensionamento Tratos'!$C69,Qtde_Oper_Plantio_Tratos!$I:$I,'Dimensionamento Tratos'!$D69)</f>
        <v>0</v>
      </c>
      <c r="Q69" s="3">
        <f>SUMIFS(Qtde_Oper_Plantio_Tratos!AA:AA,Qtde_Oper_Plantio_Tratos!$F:$F,'Dimensionamento Tratos'!$C69,Qtde_Oper_Plantio_Tratos!$I:$I,'Dimensionamento Tratos'!$D69)</f>
        <v>0</v>
      </c>
      <c r="R69" s="3">
        <f>SUMIFS(Qtde_Oper_Plantio_Tratos!AB:AB,Qtde_Oper_Plantio_Tratos!$F:$F,'Dimensionamento Tratos'!$C69,Qtde_Oper_Plantio_Tratos!$I:$I,'Dimensionamento Tratos'!$D69)</f>
        <v>0</v>
      </c>
    </row>
    <row r="70" spans="1:18" hidden="1" outlineLevel="1" x14ac:dyDescent="0.25">
      <c r="A70" s="1"/>
      <c r="B70" s="276"/>
      <c r="C70" s="265"/>
      <c r="D70" s="265" t="s">
        <v>607</v>
      </c>
      <c r="E70" s="2" t="s">
        <v>766</v>
      </c>
      <c r="F70" s="3">
        <f t="shared" ref="F70:Q70" si="33">IF($D70="Proprio",IFERROR(F69/(_xlfn.XLOOKUP(F$6,$F$112:$R$112,$F$113:$R$113)*_xlfn.XLOOKUP($C69,$D$94:$D$108,$F$94:$F$108)),0),0)</f>
        <v>0</v>
      </c>
      <c r="G70" s="3">
        <f t="shared" si="33"/>
        <v>0</v>
      </c>
      <c r="H70" s="3">
        <f t="shared" si="33"/>
        <v>0</v>
      </c>
      <c r="I70" s="3">
        <f t="shared" si="33"/>
        <v>0</v>
      </c>
      <c r="J70" s="3">
        <f t="shared" si="33"/>
        <v>0</v>
      </c>
      <c r="K70" s="3">
        <f t="shared" si="33"/>
        <v>0</v>
      </c>
      <c r="L70" s="3">
        <f t="shared" si="33"/>
        <v>0</v>
      </c>
      <c r="M70" s="3">
        <f t="shared" si="33"/>
        <v>0</v>
      </c>
      <c r="N70" s="3">
        <f t="shared" si="33"/>
        <v>0</v>
      </c>
      <c r="O70" s="3">
        <f t="shared" si="33"/>
        <v>0</v>
      </c>
      <c r="P70" s="3">
        <f t="shared" si="33"/>
        <v>0</v>
      </c>
      <c r="Q70" s="3">
        <f t="shared" si="33"/>
        <v>0</v>
      </c>
      <c r="R70" s="3">
        <f>IFERROR(R69/(_xlfn.XLOOKUP(R$6,$F$112:$R$112,$F$113:$R$113)*_xlfn.XLOOKUP($C69,$D$94:$D$108,$F$94:$F$108)),0)</f>
        <v>0</v>
      </c>
    </row>
    <row r="71" spans="1:18" x14ac:dyDescent="0.25">
      <c r="A71" s="1"/>
      <c r="B71" s="4"/>
      <c r="C71" s="4"/>
      <c r="D71" s="4"/>
      <c r="E71" s="4" t="s">
        <v>76</v>
      </c>
      <c r="F71" s="5">
        <f>ROUNDUP(SUM(F70,F68,F66,F64),0)</f>
        <v>1</v>
      </c>
      <c r="G71" s="5">
        <f t="shared" ref="G71:R71" si="34">ROUNDUP(SUM(G70,G68,G66,G64),0)</f>
        <v>1</v>
      </c>
      <c r="H71" s="5">
        <f t="shared" si="34"/>
        <v>1</v>
      </c>
      <c r="I71" s="5">
        <f t="shared" si="34"/>
        <v>1</v>
      </c>
      <c r="J71" s="5">
        <f t="shared" si="34"/>
        <v>1</v>
      </c>
      <c r="K71" s="5">
        <f t="shared" si="34"/>
        <v>1</v>
      </c>
      <c r="L71" s="5">
        <f t="shared" si="34"/>
        <v>1</v>
      </c>
      <c r="M71" s="5">
        <f t="shared" si="34"/>
        <v>0</v>
      </c>
      <c r="N71" s="5">
        <f t="shared" si="34"/>
        <v>1</v>
      </c>
      <c r="O71" s="5">
        <f t="shared" si="34"/>
        <v>1</v>
      </c>
      <c r="P71" s="5">
        <f t="shared" si="34"/>
        <v>1</v>
      </c>
      <c r="Q71" s="5">
        <f t="shared" si="34"/>
        <v>1</v>
      </c>
      <c r="R71" s="5">
        <f t="shared" si="34"/>
        <v>1</v>
      </c>
    </row>
    <row r="72" spans="1:18" x14ac:dyDescent="0.25">
      <c r="A72" s="1"/>
      <c r="B72" s="4"/>
      <c r="C72" s="4"/>
      <c r="D72" s="4"/>
      <c r="E72" s="4" t="s">
        <v>77</v>
      </c>
      <c r="F72" s="5">
        <f>SUMIFS($F81:$F89,$E$81:$E$89,$E70)</f>
        <v>2</v>
      </c>
      <c r="G72" s="5">
        <f t="shared" ref="G72:Q72" si="35">SUMIFS($F81:$F89,$E$81:$E$89,$E70)</f>
        <v>2</v>
      </c>
      <c r="H72" s="5">
        <f t="shared" si="35"/>
        <v>2</v>
      </c>
      <c r="I72" s="5">
        <f t="shared" si="35"/>
        <v>2</v>
      </c>
      <c r="J72" s="5">
        <f t="shared" si="35"/>
        <v>2</v>
      </c>
      <c r="K72" s="5">
        <f t="shared" si="35"/>
        <v>2</v>
      </c>
      <c r="L72" s="5">
        <f t="shared" si="35"/>
        <v>2</v>
      </c>
      <c r="M72" s="5">
        <f t="shared" si="35"/>
        <v>2</v>
      </c>
      <c r="N72" s="5">
        <f t="shared" si="35"/>
        <v>2</v>
      </c>
      <c r="O72" s="5">
        <f t="shared" si="35"/>
        <v>2</v>
      </c>
      <c r="P72" s="5">
        <f t="shared" si="35"/>
        <v>2</v>
      </c>
      <c r="Q72" s="5">
        <f t="shared" si="35"/>
        <v>2</v>
      </c>
      <c r="R72" s="5">
        <f>SUMIFS($F127:$F135,$E$81:$E$89,$E70)</f>
        <v>0</v>
      </c>
    </row>
    <row r="73" spans="1:18" x14ac:dyDescent="0.25">
      <c r="A73" s="1"/>
    </row>
    <row r="74" spans="1:18" x14ac:dyDescent="0.25">
      <c r="A74" s="1"/>
    </row>
    <row r="75" spans="1:18" x14ac:dyDescent="0.25">
      <c r="A75" s="1"/>
      <c r="B75" s="270"/>
      <c r="C75" s="270"/>
      <c r="D75" s="270"/>
      <c r="E75" s="270" t="s">
        <v>757</v>
      </c>
      <c r="F75" s="271">
        <f>ROUNDUP(SUM(F27,F38,F49,F60,F71),0)</f>
        <v>24</v>
      </c>
      <c r="G75" s="271">
        <f t="shared" ref="G75:Q75" si="36">ROUNDUP(SUM(G27,G38,G49,G60,G71),0)</f>
        <v>29</v>
      </c>
      <c r="H75" s="271">
        <f t="shared" si="36"/>
        <v>27</v>
      </c>
      <c r="I75" s="271">
        <f t="shared" si="36"/>
        <v>20</v>
      </c>
      <c r="J75" s="271">
        <f t="shared" si="36"/>
        <v>17</v>
      </c>
      <c r="K75" s="271">
        <f t="shared" si="36"/>
        <v>19</v>
      </c>
      <c r="L75" s="271">
        <f t="shared" si="36"/>
        <v>27</v>
      </c>
      <c r="M75" s="271">
        <f t="shared" si="36"/>
        <v>21</v>
      </c>
      <c r="N75" s="271">
        <f t="shared" si="36"/>
        <v>6</v>
      </c>
      <c r="O75" s="271">
        <f t="shared" si="36"/>
        <v>9</v>
      </c>
      <c r="P75" s="271">
        <f t="shared" si="36"/>
        <v>11</v>
      </c>
      <c r="Q75" s="271">
        <f t="shared" si="36"/>
        <v>8</v>
      </c>
      <c r="R75" s="271">
        <f>ROUNDUP(SUM(R39,R33,R31,R26,R24,R22,R20,R18,R16,R14,R12,R10,R8),0)</f>
        <v>8</v>
      </c>
    </row>
    <row r="76" spans="1:18" x14ac:dyDescent="0.25">
      <c r="A76" s="1"/>
      <c r="B76" s="270"/>
      <c r="C76" s="270"/>
      <c r="D76" s="270"/>
      <c r="E76" s="270" t="s">
        <v>758</v>
      </c>
      <c r="F76" s="271">
        <f>F90</f>
        <v>14</v>
      </c>
      <c r="G76" s="271">
        <f t="shared" ref="G76:R76" si="37">G90</f>
        <v>14</v>
      </c>
      <c r="H76" s="271">
        <f t="shared" si="37"/>
        <v>14</v>
      </c>
      <c r="I76" s="271">
        <f t="shared" si="37"/>
        <v>14</v>
      </c>
      <c r="J76" s="271">
        <f t="shared" si="37"/>
        <v>14</v>
      </c>
      <c r="K76" s="271">
        <f t="shared" si="37"/>
        <v>14</v>
      </c>
      <c r="L76" s="271">
        <f t="shared" si="37"/>
        <v>14</v>
      </c>
      <c r="M76" s="271">
        <f t="shared" si="37"/>
        <v>14</v>
      </c>
      <c r="N76" s="271">
        <f t="shared" si="37"/>
        <v>14</v>
      </c>
      <c r="O76" s="271">
        <f t="shared" si="37"/>
        <v>14</v>
      </c>
      <c r="P76" s="271">
        <f t="shared" si="37"/>
        <v>14</v>
      </c>
      <c r="Q76" s="271">
        <f t="shared" si="37"/>
        <v>14</v>
      </c>
      <c r="R76" s="271">
        <f t="shared" si="37"/>
        <v>14</v>
      </c>
    </row>
    <row r="77" spans="1:18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 spans="1:18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 spans="1:18" x14ac:dyDescent="0.25">
      <c r="A79" s="1"/>
      <c r="B79" s="267"/>
      <c r="C79" s="267"/>
      <c r="D79" s="10"/>
      <c r="E79" s="10" t="s">
        <v>79</v>
      </c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 spans="1:18" x14ac:dyDescent="0.25">
      <c r="A80" s="1"/>
      <c r="B80" s="268"/>
      <c r="C80" s="268"/>
      <c r="D80" s="251"/>
      <c r="E80" s="251" t="s">
        <v>75</v>
      </c>
      <c r="F80" s="252">
        <v>45748</v>
      </c>
      <c r="G80" s="252">
        <v>45778</v>
      </c>
      <c r="H80" s="252">
        <v>45809</v>
      </c>
      <c r="I80" s="252">
        <v>45839</v>
      </c>
      <c r="J80" s="252">
        <v>45870</v>
      </c>
      <c r="K80" s="252">
        <v>45901</v>
      </c>
      <c r="L80" s="252">
        <v>45931</v>
      </c>
      <c r="M80" s="252">
        <v>45962</v>
      </c>
      <c r="N80" s="252">
        <v>45992</v>
      </c>
      <c r="O80" s="252">
        <v>46023</v>
      </c>
      <c r="P80" s="252">
        <v>46054</v>
      </c>
      <c r="Q80" s="252">
        <v>46082</v>
      </c>
      <c r="R80" s="253" t="s">
        <v>85</v>
      </c>
    </row>
    <row r="81" spans="1:18" x14ac:dyDescent="0.25">
      <c r="A81" s="1"/>
      <c r="B81" s="6"/>
      <c r="C81" s="6"/>
      <c r="D81" s="6"/>
      <c r="E81" s="6" t="s">
        <v>86</v>
      </c>
      <c r="F81" s="7">
        <v>3</v>
      </c>
      <c r="G81" s="7">
        <v>3</v>
      </c>
      <c r="H81" s="7">
        <v>3</v>
      </c>
      <c r="I81" s="7">
        <v>3</v>
      </c>
      <c r="J81" s="7">
        <v>3</v>
      </c>
      <c r="K81" s="7">
        <v>3</v>
      </c>
      <c r="L81" s="7">
        <v>3</v>
      </c>
      <c r="M81" s="7">
        <v>3</v>
      </c>
      <c r="N81" s="7">
        <v>3</v>
      </c>
      <c r="O81" s="7">
        <v>3</v>
      </c>
      <c r="P81" s="7">
        <v>3</v>
      </c>
      <c r="Q81" s="7">
        <v>3</v>
      </c>
      <c r="R81" s="7">
        <v>3</v>
      </c>
    </row>
    <row r="82" spans="1:18" x14ac:dyDescent="0.25">
      <c r="A82" s="1"/>
      <c r="B82" s="2"/>
      <c r="C82" s="2"/>
      <c r="D82" s="2"/>
      <c r="E82" s="2" t="s">
        <v>608</v>
      </c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1:18" x14ac:dyDescent="0.25">
      <c r="A83" s="1"/>
      <c r="B83" s="6"/>
      <c r="C83" s="6"/>
      <c r="D83" s="6"/>
      <c r="E83" s="6" t="s">
        <v>754</v>
      </c>
      <c r="F83" s="7">
        <v>3</v>
      </c>
      <c r="G83" s="7">
        <v>3</v>
      </c>
      <c r="H83" s="7">
        <v>3</v>
      </c>
      <c r="I83" s="7">
        <v>3</v>
      </c>
      <c r="J83" s="7">
        <v>3</v>
      </c>
      <c r="K83" s="7">
        <v>3</v>
      </c>
      <c r="L83" s="7">
        <v>3</v>
      </c>
      <c r="M83" s="7">
        <v>3</v>
      </c>
      <c r="N83" s="7">
        <v>3</v>
      </c>
      <c r="O83" s="7">
        <v>3</v>
      </c>
      <c r="P83" s="7">
        <v>3</v>
      </c>
      <c r="Q83" s="7">
        <v>3</v>
      </c>
      <c r="R83" s="7">
        <v>3</v>
      </c>
    </row>
    <row r="84" spans="1:18" x14ac:dyDescent="0.25">
      <c r="A84" s="1"/>
      <c r="B84" s="2"/>
      <c r="C84" s="2"/>
      <c r="D84" s="2"/>
      <c r="E84" s="2" t="s">
        <v>756</v>
      </c>
      <c r="F84" s="3">
        <v>2</v>
      </c>
      <c r="G84" s="3">
        <v>2</v>
      </c>
      <c r="H84" s="3">
        <v>2</v>
      </c>
      <c r="I84" s="3">
        <v>2</v>
      </c>
      <c r="J84" s="3">
        <v>2</v>
      </c>
      <c r="K84" s="3">
        <v>2</v>
      </c>
      <c r="L84" s="3">
        <v>2</v>
      </c>
      <c r="M84" s="3">
        <v>2</v>
      </c>
      <c r="N84" s="3">
        <v>2</v>
      </c>
      <c r="O84" s="3">
        <v>2</v>
      </c>
      <c r="P84" s="3">
        <v>2</v>
      </c>
      <c r="Q84" s="3">
        <v>2</v>
      </c>
      <c r="R84" s="3">
        <v>2</v>
      </c>
    </row>
    <row r="85" spans="1:18" x14ac:dyDescent="0.25">
      <c r="A85" s="1"/>
      <c r="B85" s="6"/>
      <c r="C85" s="6"/>
      <c r="D85" s="6"/>
      <c r="E85" s="6" t="s">
        <v>755</v>
      </c>
      <c r="F85" s="7">
        <v>4</v>
      </c>
      <c r="G85" s="7">
        <v>4</v>
      </c>
      <c r="H85" s="7">
        <v>4</v>
      </c>
      <c r="I85" s="7">
        <v>4</v>
      </c>
      <c r="J85" s="7">
        <v>4</v>
      </c>
      <c r="K85" s="7">
        <v>4</v>
      </c>
      <c r="L85" s="7">
        <v>4</v>
      </c>
      <c r="M85" s="7">
        <v>4</v>
      </c>
      <c r="N85" s="7">
        <v>4</v>
      </c>
      <c r="O85" s="7">
        <v>4</v>
      </c>
      <c r="P85" s="7">
        <v>4</v>
      </c>
      <c r="Q85" s="7">
        <v>4</v>
      </c>
      <c r="R85" s="7">
        <v>4</v>
      </c>
    </row>
    <row r="86" spans="1:18" x14ac:dyDescent="0.25">
      <c r="A86" s="1"/>
      <c r="B86" s="2"/>
      <c r="C86" s="2"/>
      <c r="D86" s="2"/>
      <c r="E86" s="2" t="s">
        <v>766</v>
      </c>
      <c r="F86" s="3">
        <v>2</v>
      </c>
      <c r="G86" s="3">
        <v>2</v>
      </c>
      <c r="H86" s="3">
        <v>2</v>
      </c>
      <c r="I86" s="3">
        <v>2</v>
      </c>
      <c r="J86" s="3">
        <v>2</v>
      </c>
      <c r="K86" s="3">
        <v>2</v>
      </c>
      <c r="L86" s="3">
        <v>2</v>
      </c>
      <c r="M86" s="3">
        <v>2</v>
      </c>
      <c r="N86" s="3">
        <v>2</v>
      </c>
      <c r="O86" s="3">
        <v>2</v>
      </c>
      <c r="P86" s="3">
        <v>2</v>
      </c>
      <c r="Q86" s="3">
        <v>2</v>
      </c>
      <c r="R86" s="3">
        <v>2</v>
      </c>
    </row>
    <row r="87" spans="1:18" x14ac:dyDescent="0.25">
      <c r="A87" s="1"/>
      <c r="B87" s="6"/>
      <c r="C87" s="6"/>
      <c r="D87" s="6"/>
      <c r="E87" s="6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</row>
    <row r="88" spans="1:18" x14ac:dyDescent="0.25">
      <c r="A88" s="1"/>
      <c r="B88" s="2"/>
      <c r="C88" s="2"/>
      <c r="D88" s="2"/>
      <c r="E88" s="2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</row>
    <row r="89" spans="1:18" x14ac:dyDescent="0.25">
      <c r="A89" s="1"/>
      <c r="B89" s="6"/>
      <c r="C89" s="6"/>
      <c r="D89" s="6"/>
      <c r="E89" s="6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</row>
    <row r="90" spans="1:18" x14ac:dyDescent="0.25">
      <c r="A90" s="1"/>
      <c r="B90" s="269"/>
      <c r="C90" s="269"/>
      <c r="D90" s="256"/>
      <c r="E90" s="256" t="s">
        <v>85</v>
      </c>
      <c r="F90" s="257">
        <f>SUM(F81:F89)</f>
        <v>14</v>
      </c>
      <c r="G90" s="257">
        <f t="shared" ref="G90:R90" si="38">SUM(G81:G89)</f>
        <v>14</v>
      </c>
      <c r="H90" s="257">
        <f t="shared" si="38"/>
        <v>14</v>
      </c>
      <c r="I90" s="257">
        <f t="shared" si="38"/>
        <v>14</v>
      </c>
      <c r="J90" s="257">
        <f t="shared" si="38"/>
        <v>14</v>
      </c>
      <c r="K90" s="257">
        <f t="shared" si="38"/>
        <v>14</v>
      </c>
      <c r="L90" s="257">
        <f t="shared" si="38"/>
        <v>14</v>
      </c>
      <c r="M90" s="257">
        <f t="shared" si="38"/>
        <v>14</v>
      </c>
      <c r="N90" s="257">
        <f t="shared" si="38"/>
        <v>14</v>
      </c>
      <c r="O90" s="257">
        <f t="shared" si="38"/>
        <v>14</v>
      </c>
      <c r="P90" s="257">
        <f t="shared" si="38"/>
        <v>14</v>
      </c>
      <c r="Q90" s="257">
        <f t="shared" si="38"/>
        <v>14</v>
      </c>
      <c r="R90" s="257">
        <f t="shared" si="38"/>
        <v>14</v>
      </c>
    </row>
    <row r="91" spans="1:18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</row>
    <row r="92" spans="1:18" x14ac:dyDescent="0.25">
      <c r="A92" s="1"/>
      <c r="B92" s="267"/>
      <c r="C92" s="267"/>
      <c r="D92" s="10"/>
      <c r="E92" s="10" t="s">
        <v>80</v>
      </c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 spans="1:18" x14ac:dyDescent="0.25">
      <c r="A93" s="1"/>
      <c r="B93" s="268"/>
      <c r="C93" s="268"/>
      <c r="D93" s="251"/>
      <c r="E93" s="251" t="s">
        <v>27</v>
      </c>
      <c r="F93" s="251" t="s">
        <v>81</v>
      </c>
      <c r="G93" s="251" t="s">
        <v>604</v>
      </c>
      <c r="H93" s="251" t="s">
        <v>605</v>
      </c>
      <c r="I93" s="1"/>
      <c r="J93" s="1"/>
      <c r="K93" s="1"/>
      <c r="L93" s="1"/>
      <c r="M93" s="1"/>
      <c r="N93" s="1"/>
      <c r="O93" s="1"/>
      <c r="P93" s="1"/>
      <c r="Q93" s="1"/>
      <c r="R93" s="1"/>
    </row>
    <row r="94" spans="1:18" x14ac:dyDescent="0.25">
      <c r="A94" s="1"/>
      <c r="B94" s="6"/>
      <c r="C94" s="6"/>
      <c r="D94" s="6">
        <v>1071</v>
      </c>
      <c r="E94" s="6" t="str">
        <f>IFERROR(_xlfn.XLOOKUP(D94,Apoio!A:A,Apoio!B:B),"")</f>
        <v xml:space="preserve">Aplicação Mista Correção Solo </v>
      </c>
      <c r="F94" s="7">
        <f>IFERROR(G94*H94,0)</f>
        <v>14.533333333333331</v>
      </c>
      <c r="G94" s="7">
        <f>IFERROR(_xlfn.XLOOKUP($D94,'Rendimentos '!$B:$B,'Rendimentos '!$H:$H),"")</f>
        <v>4</v>
      </c>
      <c r="H94" s="7">
        <f>IFERROR(_xlfn.XLOOKUP(D94,'Plano Horas'!C:C,'Plano Horas'!P:P),"")</f>
        <v>3.6333333333333329</v>
      </c>
      <c r="I94" s="1"/>
      <c r="J94" s="1"/>
      <c r="K94" s="1"/>
      <c r="L94" s="1"/>
      <c r="M94" s="1"/>
      <c r="N94" s="1"/>
      <c r="O94" s="1"/>
      <c r="P94" s="1"/>
      <c r="Q94" s="1"/>
      <c r="R94" s="1"/>
    </row>
    <row r="95" spans="1:18" x14ac:dyDescent="0.25">
      <c r="A95" s="1"/>
      <c r="B95" s="2"/>
      <c r="C95" s="2"/>
      <c r="D95" s="2">
        <v>1022</v>
      </c>
      <c r="E95" s="2" t="str">
        <f>IFERROR(_xlfn.XLOOKUP(D95,Apoio!A:A,Apoio!B:B),"")</f>
        <v xml:space="preserve">Cultivo                       </v>
      </c>
      <c r="F95" s="3">
        <f t="shared" ref="F95:F108" si="39">IFERROR(G95*H95,0)</f>
        <v>6.05</v>
      </c>
      <c r="G95" s="3">
        <f>IFERROR(_xlfn.XLOOKUP($D95,'Rendimentos '!$B:$B,'Rendimentos '!$H:$H),"")</f>
        <v>1.5</v>
      </c>
      <c r="H95" s="3">
        <f>IFERROR(_xlfn.XLOOKUP(D95,'Plano Horas'!C:C,'Plano Horas'!P:P),"")</f>
        <v>4.0333333333333332</v>
      </c>
      <c r="I95" s="1"/>
      <c r="J95" s="1"/>
      <c r="K95" s="1"/>
      <c r="L95" s="1"/>
      <c r="M95" s="1"/>
      <c r="N95" s="1"/>
      <c r="O95" s="1"/>
      <c r="P95" s="1"/>
      <c r="Q95" s="1"/>
      <c r="R95" s="1"/>
    </row>
    <row r="96" spans="1:18" x14ac:dyDescent="0.25">
      <c r="A96" s="1"/>
      <c r="B96" s="6"/>
      <c r="C96" s="6"/>
      <c r="D96" s="6">
        <v>1031</v>
      </c>
      <c r="E96" s="6" t="str">
        <f>IFERROR(_xlfn.XLOOKUP(D96,Apoio!A:A,Apoio!B:B),"")</f>
        <v xml:space="preserve">1ª Aplicação De Herbicida     </v>
      </c>
      <c r="F96" s="7">
        <f t="shared" si="39"/>
        <v>79</v>
      </c>
      <c r="G96" s="7">
        <f>IFERROR(_xlfn.XLOOKUP($D96,'Rendimentos '!$B:$B,'Rendimentos '!$H:$H),"")</f>
        <v>20</v>
      </c>
      <c r="H96" s="7">
        <f>IFERROR(_xlfn.XLOOKUP(D96,'Plano Horas'!C:C,'Plano Horas'!P:P),"")</f>
        <v>3.95</v>
      </c>
      <c r="I96" s="1"/>
      <c r="J96" s="1"/>
      <c r="K96" s="1"/>
      <c r="L96" s="1"/>
      <c r="M96" s="1"/>
      <c r="N96" s="1"/>
      <c r="O96" s="1"/>
      <c r="P96" s="1"/>
      <c r="Q96" s="1"/>
      <c r="R96" s="1"/>
    </row>
    <row r="97" spans="1:18" x14ac:dyDescent="0.25">
      <c r="A97" s="1"/>
      <c r="B97" s="2"/>
      <c r="C97" s="2"/>
      <c r="D97" s="2">
        <v>1073</v>
      </c>
      <c r="E97" s="2" t="str">
        <f>IFERROR(_xlfn.XLOOKUP(D97,Apoio!A:A,Apoio!B:B),"")</f>
        <v>Apl Inseticida Em Profundidade</v>
      </c>
      <c r="F97" s="3">
        <f t="shared" si="39"/>
        <v>6.05</v>
      </c>
      <c r="G97" s="3">
        <f>IFERROR(_xlfn.XLOOKUP($D97,'Rendimentos '!$B:$B,'Rendimentos '!$H:$H),"")</f>
        <v>1.5</v>
      </c>
      <c r="H97" s="3">
        <f>IFERROR(_xlfn.XLOOKUP(D97,'Plano Horas'!C:C,'Plano Horas'!P:P),"")</f>
        <v>4.0333333333333332</v>
      </c>
      <c r="I97" s="1"/>
      <c r="J97" s="1"/>
      <c r="K97" s="1"/>
      <c r="L97" s="1"/>
      <c r="M97" s="1"/>
      <c r="N97" s="1"/>
      <c r="O97" s="1"/>
      <c r="P97" s="1"/>
      <c r="Q97" s="1"/>
      <c r="R97" s="1"/>
    </row>
    <row r="98" spans="1:18" x14ac:dyDescent="0.25">
      <c r="A98" s="1"/>
      <c r="B98" s="6"/>
      <c r="C98" s="6"/>
      <c r="D98" s="6">
        <v>1096</v>
      </c>
      <c r="E98" s="6" t="str">
        <f>IFERROR(_xlfn.XLOOKUP(D98,Apoio!A:A,Apoio!B:B),"")</f>
        <v xml:space="preserve">Pré Plantio Incorporado (Ppi) </v>
      </c>
      <c r="F98" s="7">
        <f t="shared" ref="F98:F99" si="40">IFERROR(G98*H98,0)</f>
        <v>87.808333333333337</v>
      </c>
      <c r="G98" s="7">
        <f>IFERROR(_xlfn.XLOOKUP($D98,'Rendimentos '!$B:$B,'Rendimentos '!$H:$H),"")</f>
        <v>20.5</v>
      </c>
      <c r="H98" s="7">
        <f>IFERROR(_xlfn.XLOOKUP(D98,'Plano Horas'!C:C,'Plano Horas'!P:P),"")</f>
        <v>4.2833333333333332</v>
      </c>
      <c r="I98" s="1"/>
      <c r="J98" s="1"/>
      <c r="K98" s="1"/>
      <c r="L98" s="1"/>
      <c r="M98" s="1"/>
      <c r="N98" s="1"/>
      <c r="O98" s="1"/>
      <c r="P98" s="1"/>
      <c r="Q98" s="1"/>
      <c r="R98" s="1"/>
    </row>
    <row r="99" spans="1:18" x14ac:dyDescent="0.25">
      <c r="A99" s="1"/>
      <c r="B99" s="2"/>
      <c r="C99" s="2"/>
      <c r="D99" s="2">
        <v>1079</v>
      </c>
      <c r="E99" s="2" t="str">
        <f>IFERROR(_xlfn.XLOOKUP(D99,Apoio!A:A,Apoio!B:B),"")</f>
        <v xml:space="preserve">Aplicação Dessecação          </v>
      </c>
      <c r="F99" s="3">
        <f t="shared" si="40"/>
        <v>63.000000000000007</v>
      </c>
      <c r="G99" s="3">
        <f>IFERROR(_xlfn.XLOOKUP($D99,'Rendimentos '!$B:$B,'Rendimentos '!$H:$H),"")</f>
        <v>20</v>
      </c>
      <c r="H99" s="3">
        <f>IFERROR(_xlfn.XLOOKUP(D99,'Plano Horas'!C:C,'Plano Horas'!P:P),"")</f>
        <v>3.1500000000000004</v>
      </c>
      <c r="I99" s="1"/>
      <c r="J99" s="1"/>
      <c r="K99" s="1"/>
      <c r="L99" s="1"/>
      <c r="M99" s="1"/>
      <c r="N99" s="1"/>
      <c r="O99" s="1"/>
      <c r="P99" s="1"/>
      <c r="Q99" s="1"/>
      <c r="R99" s="1"/>
    </row>
    <row r="100" spans="1:18" x14ac:dyDescent="0.25">
      <c r="A100" s="1"/>
      <c r="B100" s="6"/>
      <c r="C100" s="6"/>
      <c r="D100" s="6">
        <v>910</v>
      </c>
      <c r="E100" s="6" t="str">
        <f>IFERROR(_xlfn.XLOOKUP(D100,Apoio!A:A,Apoio!B:B),"")</f>
        <v xml:space="preserve">Aplicação Avião Insumos       </v>
      </c>
      <c r="F100" s="7">
        <f t="shared" si="39"/>
        <v>0</v>
      </c>
      <c r="G100" s="7" t="str">
        <f>IFERROR(_xlfn.XLOOKUP($D100,'Rendimentos '!$B:$B,'Rendimentos '!$H:$H),"")</f>
        <v/>
      </c>
      <c r="H100" s="7" t="str">
        <f>IFERROR(_xlfn.XLOOKUP(D100,'Plano Horas'!C:C,'Plano Horas'!P:P),"")</f>
        <v/>
      </c>
      <c r="I100" s="1"/>
      <c r="J100" s="1"/>
      <c r="K100" s="1"/>
      <c r="L100" s="1"/>
      <c r="M100" s="1"/>
      <c r="N100" s="1"/>
      <c r="O100" s="1"/>
      <c r="P100" s="1"/>
      <c r="Q100" s="1"/>
      <c r="R100" s="1"/>
    </row>
    <row r="101" spans="1:18" x14ac:dyDescent="0.25">
      <c r="A101" s="1"/>
      <c r="B101" s="2"/>
      <c r="C101" s="2"/>
      <c r="D101" s="2">
        <v>911</v>
      </c>
      <c r="E101" s="2" t="str">
        <f>IFERROR(_xlfn.XLOOKUP(D101,Apoio!A:A,Apoio!B:B),"")</f>
        <v xml:space="preserve">Aplicação Drone Catação       </v>
      </c>
      <c r="F101" s="3">
        <f t="shared" si="39"/>
        <v>0</v>
      </c>
      <c r="G101" s="3" t="str">
        <f>IFERROR(_xlfn.XLOOKUP($D101,'Rendimentos '!$B:$B,'Rendimentos '!$H:$H),"")</f>
        <v/>
      </c>
      <c r="H101" s="3" t="str">
        <f>IFERROR(_xlfn.XLOOKUP(D101,'Plano Horas'!C:C,'Plano Horas'!P:P),"")</f>
        <v/>
      </c>
      <c r="I101" s="1"/>
      <c r="J101" s="1"/>
      <c r="K101" s="1"/>
      <c r="L101" s="1"/>
      <c r="M101" s="1"/>
      <c r="N101" s="1"/>
      <c r="O101" s="1"/>
      <c r="P101" s="1"/>
      <c r="Q101" s="1"/>
      <c r="R101" s="1"/>
    </row>
    <row r="102" spans="1:18" x14ac:dyDescent="0.25">
      <c r="A102" s="1"/>
      <c r="B102" s="6"/>
      <c r="C102" s="6"/>
      <c r="D102" s="6">
        <v>912</v>
      </c>
      <c r="E102" s="6" t="str">
        <f>IFERROR(_xlfn.XLOOKUP(D102,Apoio!A:A,Apoio!B:B),"")</f>
        <v xml:space="preserve">Aplicação Avião Maturador     </v>
      </c>
      <c r="F102" s="7">
        <f t="shared" si="39"/>
        <v>0</v>
      </c>
      <c r="G102" s="7" t="str">
        <f>IFERROR(_xlfn.XLOOKUP($D102,'Rendimentos '!$B:$B,'Rendimentos '!$H:$H),"")</f>
        <v/>
      </c>
      <c r="H102" s="7" t="str">
        <f>IFERROR(_xlfn.XLOOKUP(D102,'Plano Horas'!C:C,'Plano Horas'!P:P),"")</f>
        <v/>
      </c>
      <c r="I102" s="1"/>
      <c r="J102" s="1"/>
      <c r="K102" s="1"/>
      <c r="L102" s="1"/>
      <c r="M102" s="1"/>
      <c r="N102" s="1"/>
      <c r="O102" s="1"/>
      <c r="P102" s="1"/>
      <c r="Q102" s="1"/>
      <c r="R102" s="1"/>
    </row>
    <row r="103" spans="1:18" x14ac:dyDescent="0.25">
      <c r="A103" s="1"/>
      <c r="B103" s="2"/>
      <c r="C103" s="2"/>
      <c r="D103" s="2">
        <v>1033</v>
      </c>
      <c r="E103" s="2" t="str">
        <f>IFERROR(_xlfn.XLOOKUP(D103,Apoio!A:A,Apoio!B:B),"")</f>
        <v xml:space="preserve">Aplicação De Torta De Filtro  </v>
      </c>
      <c r="F103" s="3">
        <f t="shared" si="39"/>
        <v>2.9733333333333336</v>
      </c>
      <c r="G103" s="3">
        <f>IFERROR(_xlfn.XLOOKUP($D103,'Rendimentos '!$B:$B,'Rendimentos '!$H:$H),"")</f>
        <v>0.8</v>
      </c>
      <c r="H103" s="3">
        <f>IFERROR(_xlfn.XLOOKUP(D103,'Plano Horas'!C:C,'Plano Horas'!P:P),"")</f>
        <v>3.7166666666666668</v>
      </c>
      <c r="I103" s="1"/>
      <c r="J103" s="1"/>
      <c r="K103" s="1"/>
      <c r="L103" s="1"/>
      <c r="M103" s="1"/>
      <c r="N103" s="1"/>
      <c r="O103" s="1"/>
      <c r="P103" s="1"/>
      <c r="Q103" s="1"/>
      <c r="R103" s="1"/>
    </row>
    <row r="104" spans="1:18" x14ac:dyDescent="0.25">
      <c r="A104" s="1"/>
      <c r="B104" s="6"/>
      <c r="C104" s="6"/>
      <c r="D104" s="6">
        <v>1078</v>
      </c>
      <c r="E104" s="6" t="str">
        <f>IFERROR(_xlfn.XLOOKUP(D104,Apoio!A:A,Apoio!B:B),"")</f>
        <v xml:space="preserve">2ª Aplicação De Herbicida     </v>
      </c>
      <c r="F104" s="7">
        <f t="shared" si="39"/>
        <v>61.433333333333337</v>
      </c>
      <c r="G104" s="7">
        <f>IFERROR(_xlfn.XLOOKUP($D104,'Rendimentos '!$B:$B,'Rendimentos '!$H:$H),"")</f>
        <v>19</v>
      </c>
      <c r="H104" s="7">
        <f>IFERROR(_xlfn.XLOOKUP(D104,'Plano Horas'!C:C,'Plano Horas'!P:P),"")</f>
        <v>3.2333333333333334</v>
      </c>
      <c r="I104" s="1"/>
      <c r="J104" s="1"/>
      <c r="K104" s="1"/>
      <c r="L104" s="1"/>
      <c r="M104" s="1"/>
      <c r="N104" s="1"/>
      <c r="O104" s="1"/>
      <c r="P104" s="1"/>
      <c r="Q104" s="1"/>
      <c r="R104" s="1"/>
    </row>
    <row r="105" spans="1:18" x14ac:dyDescent="0.25">
      <c r="A105" s="1"/>
      <c r="B105" s="2"/>
      <c r="C105" s="2"/>
      <c r="D105" s="2">
        <v>1090</v>
      </c>
      <c r="E105" s="2" t="str">
        <f>IFERROR(_xlfn.XLOOKUP(D105,Apoio!A:A,Apoio!B:B),"")</f>
        <v xml:space="preserve">Repasse Aplicação Herbicida   </v>
      </c>
      <c r="F105" s="3">
        <f t="shared" si="39"/>
        <v>18.166666666666664</v>
      </c>
      <c r="G105" s="3">
        <f>IFERROR(_xlfn.XLOOKUP($D105,'Rendimentos '!$B:$B,'Rendimentos '!$H:$H),"")</f>
        <v>5</v>
      </c>
      <c r="H105" s="3">
        <f>IFERROR(_xlfn.XLOOKUP(D105,'Plano Horas'!C:C,'Plano Horas'!P:P),"")</f>
        <v>3.6333333333333329</v>
      </c>
      <c r="I105" s="1"/>
      <c r="J105" s="1"/>
      <c r="K105" s="1"/>
      <c r="L105" s="1"/>
      <c r="M105" s="1"/>
      <c r="N105" s="1"/>
      <c r="O105" s="1"/>
      <c r="P105" s="1"/>
      <c r="Q105" s="1"/>
      <c r="R105" s="1"/>
    </row>
    <row r="106" spans="1:18" x14ac:dyDescent="0.25">
      <c r="A106" s="1"/>
      <c r="B106" s="6"/>
      <c r="C106" s="6"/>
      <c r="D106" s="6">
        <v>1091</v>
      </c>
      <c r="E106" s="6" t="str">
        <f>IFERROR(_xlfn.XLOOKUP(D106,Apoio!A:A,Apoio!B:B),"")</f>
        <v>Aplic. Herb Man - Cat. Quimíca</v>
      </c>
      <c r="F106" s="7">
        <f t="shared" si="39"/>
        <v>1.8166666666666664</v>
      </c>
      <c r="G106" s="7">
        <f>IFERROR(_xlfn.XLOOKUP($D106,'Rendimentos '!$B:$B,'Rendimentos '!$H:$H),"")</f>
        <v>0.5</v>
      </c>
      <c r="H106" s="7">
        <f>IFERROR(_xlfn.XLOOKUP(D106,'Plano Horas'!C:C,'Plano Horas'!P:P),"")</f>
        <v>3.6333333333333329</v>
      </c>
      <c r="I106" s="1"/>
      <c r="J106" s="1"/>
      <c r="K106" s="1"/>
      <c r="L106" s="1"/>
      <c r="M106" s="1"/>
      <c r="N106" s="1"/>
      <c r="O106" s="1"/>
      <c r="P106" s="1"/>
      <c r="Q106" s="1"/>
      <c r="R106" s="1"/>
    </row>
    <row r="107" spans="1:18" x14ac:dyDescent="0.25">
      <c r="A107" s="1"/>
      <c r="B107" s="2"/>
      <c r="C107" s="2"/>
      <c r="D107" s="2">
        <v>1032</v>
      </c>
      <c r="E107" s="2" t="str">
        <f>IFERROR(_xlfn.XLOOKUP(D107,Apoio!A:A,Apoio!B:B),"")</f>
        <v xml:space="preserve">Aplicação De Inseticida       </v>
      </c>
      <c r="F107" s="3">
        <f t="shared" si="39"/>
        <v>80.666666666666657</v>
      </c>
      <c r="G107" s="3">
        <f>IFERROR(_xlfn.XLOOKUP($D107,'Rendimentos '!$B:$B,'Rendimentos '!$H:$H),"")</f>
        <v>20</v>
      </c>
      <c r="H107" s="3">
        <f>IFERROR(_xlfn.XLOOKUP(D107,'Plano Horas'!C:C,'Plano Horas'!P:P),"")</f>
        <v>4.0333333333333332</v>
      </c>
      <c r="I107" s="1"/>
      <c r="J107" s="1"/>
      <c r="K107" s="1"/>
      <c r="L107" s="1"/>
      <c r="M107" s="1"/>
      <c r="N107" s="1"/>
      <c r="O107" s="1"/>
      <c r="P107" s="1"/>
      <c r="Q107" s="1"/>
      <c r="R107" s="1"/>
    </row>
    <row r="108" spans="1:18" x14ac:dyDescent="0.25">
      <c r="A108" s="1"/>
      <c r="B108" s="6"/>
      <c r="C108" s="6"/>
      <c r="D108" s="6">
        <v>1020</v>
      </c>
      <c r="E108" s="6" t="str">
        <f>IFERROR(_xlfn.XLOOKUP(D108,Apoio!A:A,Apoio!B:B),"")</f>
        <v xml:space="preserve">Quebra De Lombo               </v>
      </c>
      <c r="F108" s="7">
        <f t="shared" si="39"/>
        <v>5.7633333333333345</v>
      </c>
      <c r="G108" s="7">
        <f>IFERROR(_xlfn.XLOOKUP($D108,'Rendimentos '!$B:$B,'Rendimentos '!$H:$H),"")</f>
        <v>1.4000000000000001</v>
      </c>
      <c r="H108" s="7">
        <f>IFERROR(_xlfn.XLOOKUP(D108,'Plano Horas'!C:C,'Plano Horas'!P:P),"")</f>
        <v>4.1166666666666671</v>
      </c>
      <c r="I108" s="1"/>
      <c r="J108" s="1"/>
      <c r="K108" s="1"/>
      <c r="L108" s="1"/>
      <c r="M108" s="1"/>
      <c r="N108" s="1"/>
      <c r="O108" s="1"/>
      <c r="P108" s="1"/>
      <c r="Q108" s="1"/>
      <c r="R108" s="1"/>
    </row>
    <row r="109" spans="1:18" x14ac:dyDescent="0.25">
      <c r="A109" s="1"/>
      <c r="B109" s="1"/>
      <c r="C109" s="1"/>
      <c r="D109" s="1"/>
      <c r="E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</row>
    <row r="110" spans="1:18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</row>
    <row r="111" spans="1:18" x14ac:dyDescent="0.25">
      <c r="A111" s="1"/>
      <c r="B111" s="267"/>
      <c r="C111" s="267"/>
      <c r="D111" s="10"/>
      <c r="E111" s="10" t="s">
        <v>82</v>
      </c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</row>
    <row r="112" spans="1:18" x14ac:dyDescent="0.25">
      <c r="A112" s="1"/>
      <c r="B112" s="268"/>
      <c r="C112" s="268"/>
      <c r="D112" s="251"/>
      <c r="E112" s="251" t="s">
        <v>75</v>
      </c>
      <c r="F112" s="252">
        <v>45748</v>
      </c>
      <c r="G112" s="252">
        <v>45778</v>
      </c>
      <c r="H112" s="252">
        <v>45809</v>
      </c>
      <c r="I112" s="252">
        <v>45839</v>
      </c>
      <c r="J112" s="252">
        <v>45870</v>
      </c>
      <c r="K112" s="252">
        <v>45901</v>
      </c>
      <c r="L112" s="252">
        <v>45931</v>
      </c>
      <c r="M112" s="252">
        <v>45962</v>
      </c>
      <c r="N112" s="252">
        <v>45992</v>
      </c>
      <c r="O112" s="252">
        <v>46023</v>
      </c>
      <c r="P112" s="252">
        <v>46054</v>
      </c>
      <c r="Q112" s="252">
        <v>46082</v>
      </c>
      <c r="R112" s="253" t="s">
        <v>85</v>
      </c>
    </row>
    <row r="113" spans="1:18" x14ac:dyDescent="0.25">
      <c r="A113" s="1"/>
      <c r="B113" s="6"/>
      <c r="C113" s="6"/>
      <c r="D113" s="6"/>
      <c r="E113" s="6" t="s">
        <v>82</v>
      </c>
      <c r="F113" s="7">
        <v>23.520533325890941</v>
      </c>
      <c r="G113" s="7">
        <v>26</v>
      </c>
      <c r="H113" s="7">
        <v>28</v>
      </c>
      <c r="I113" s="7">
        <v>30</v>
      </c>
      <c r="J113" s="7">
        <v>29</v>
      </c>
      <c r="K113" s="7">
        <v>27</v>
      </c>
      <c r="L113" s="7">
        <v>23.230304018251051</v>
      </c>
      <c r="M113" s="7">
        <v>20.77940324725931</v>
      </c>
      <c r="N113" s="7">
        <v>14.2</v>
      </c>
      <c r="O113" s="7">
        <v>9.1999999999999993</v>
      </c>
      <c r="P113" s="7">
        <v>11.2</v>
      </c>
      <c r="Q113" s="7">
        <v>18</v>
      </c>
      <c r="R113" s="7">
        <f>SUM(F113:Q113)</f>
        <v>260.13024059140128</v>
      </c>
    </row>
    <row r="114" spans="1:18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</row>
    <row r="115" spans="1:18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</row>
  </sheetData>
  <mergeCells count="5">
    <mergeCell ref="B7:B26"/>
    <mergeCell ref="B30:B37"/>
    <mergeCell ref="B41:B48"/>
    <mergeCell ref="B52:B59"/>
    <mergeCell ref="B63:B70"/>
  </mergeCells>
  <conditionalFormatting sqref="F27:R27">
    <cfRule type="expression" dxfId="5" priority="5">
      <formula>F27&gt;F28</formula>
    </cfRule>
  </conditionalFormatting>
  <conditionalFormatting sqref="F38:R38">
    <cfRule type="expression" dxfId="4" priority="4">
      <formula>F38&gt;F39</formula>
    </cfRule>
  </conditionalFormatting>
  <conditionalFormatting sqref="F49:R49">
    <cfRule type="expression" dxfId="3" priority="3">
      <formula>F49&gt;F50</formula>
    </cfRule>
  </conditionalFormatting>
  <conditionalFormatting sqref="F60:R60">
    <cfRule type="expression" dxfId="2" priority="2">
      <formula>F60&gt;F61</formula>
    </cfRule>
  </conditionalFormatting>
  <conditionalFormatting sqref="F71:R71">
    <cfRule type="expression" dxfId="1" priority="1">
      <formula>F71&gt;F72</formula>
    </cfRule>
  </conditionalFormatting>
  <conditionalFormatting sqref="F75:R75">
    <cfRule type="expression" dxfId="0" priority="6">
      <formula>F75&gt;F76</formula>
    </cfRule>
  </conditionalFormatting>
  <pageMargins left="0.7" right="0.7" top="0.75" bottom="0.75" header="0.3" footer="0.3"/>
  <pageSetup paperSize="9" orientation="portrait" r:id="rId1"/>
  <ignoredErrors>
    <ignoredError sqref="F9:R9 F19:R19 F21:R21 F23:R23 F25:R25 F11:R11 F13:R13 F15:R15 F17:R17 R75 F32:F36 G32:R36 F43:R48 F54:R59 F65:R70" formula="1"/>
    <ignoredError sqref="F28:R28 F39:Q39 F90:R90 F50:R50 F61:R61 F72:Q72" formulaRang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0BC2F-A623-48C5-85BC-1843CB0E4D1B}">
  <dimension ref="B1:U135"/>
  <sheetViews>
    <sheetView showGridLines="0" topLeftCell="A2" workbookViewId="0">
      <selection activeCell="D10" sqref="D10"/>
    </sheetView>
  </sheetViews>
  <sheetFormatPr defaultRowHeight="15" x14ac:dyDescent="0.25"/>
  <cols>
    <col min="1" max="1" width="3" customWidth="1"/>
    <col min="2" max="2" width="13.85546875" bestFit="1" customWidth="1"/>
    <col min="3" max="3" width="38.5703125" bestFit="1" customWidth="1"/>
    <col min="4" max="4" width="10.7109375" style="278" bestFit="1" customWidth="1"/>
    <col min="5" max="5" width="13.42578125" bestFit="1" customWidth="1"/>
    <col min="6" max="6" width="7.7109375" bestFit="1" customWidth="1"/>
    <col min="7" max="7" width="11.28515625" bestFit="1" customWidth="1"/>
    <col min="8" max="8" width="19.7109375" bestFit="1" customWidth="1"/>
    <col min="19" max="19" width="17.28515625" bestFit="1" customWidth="1"/>
    <col min="20" max="20" width="33.85546875" bestFit="1" customWidth="1"/>
    <col min="21" max="21" width="12" bestFit="1" customWidth="1"/>
  </cols>
  <sheetData>
    <row r="1" spans="2:21" x14ac:dyDescent="0.25">
      <c r="B1" s="251" t="s">
        <v>0</v>
      </c>
      <c r="C1" s="251" t="s">
        <v>1</v>
      </c>
      <c r="D1" s="277" t="s">
        <v>221</v>
      </c>
      <c r="E1" s="251" t="s">
        <v>2</v>
      </c>
      <c r="F1" s="251" t="s">
        <v>3</v>
      </c>
      <c r="G1" s="251" t="s">
        <v>606</v>
      </c>
      <c r="H1" s="251" t="s">
        <v>4</v>
      </c>
      <c r="I1" s="251" t="s">
        <v>751</v>
      </c>
      <c r="S1" t="s">
        <v>611</v>
      </c>
      <c r="T1" t="s">
        <v>321</v>
      </c>
      <c r="U1" t="s">
        <v>85</v>
      </c>
    </row>
    <row r="2" spans="2:21" x14ac:dyDescent="0.25">
      <c r="B2" s="258">
        <v>1001</v>
      </c>
      <c r="C2" t="s">
        <v>364</v>
      </c>
      <c r="D2" s="278">
        <v>1</v>
      </c>
      <c r="E2" t="s">
        <v>5</v>
      </c>
      <c r="F2" t="s">
        <v>6</v>
      </c>
      <c r="G2">
        <v>2.4</v>
      </c>
      <c r="H2">
        <v>2.4</v>
      </c>
      <c r="I2" s="255">
        <f t="shared" ref="I2:I39" si="0">VLOOKUP(B2,S:U,3,0)</f>
        <v>1</v>
      </c>
      <c r="S2">
        <v>13</v>
      </c>
      <c r="T2" t="s">
        <v>612</v>
      </c>
      <c r="U2">
        <v>1</v>
      </c>
    </row>
    <row r="3" spans="2:21" x14ac:dyDescent="0.25">
      <c r="B3" s="258">
        <v>1004</v>
      </c>
      <c r="C3" t="s">
        <v>367</v>
      </c>
      <c r="D3" s="278">
        <v>1</v>
      </c>
      <c r="E3" t="s">
        <v>5</v>
      </c>
      <c r="F3" t="s">
        <v>6</v>
      </c>
      <c r="G3">
        <v>1.7000000000000002</v>
      </c>
      <c r="H3">
        <v>3</v>
      </c>
      <c r="I3" s="255">
        <f t="shared" si="0"/>
        <v>2</v>
      </c>
      <c r="S3">
        <v>15</v>
      </c>
      <c r="T3" t="s">
        <v>613</v>
      </c>
      <c r="U3">
        <v>1</v>
      </c>
    </row>
    <row r="4" spans="2:21" x14ac:dyDescent="0.25">
      <c r="B4" s="258">
        <v>1005</v>
      </c>
      <c r="C4" t="s">
        <v>368</v>
      </c>
      <c r="D4" s="278">
        <v>1</v>
      </c>
      <c r="E4" t="s">
        <v>5</v>
      </c>
      <c r="F4" t="s">
        <v>6</v>
      </c>
      <c r="G4">
        <v>3.3000000000000003</v>
      </c>
      <c r="H4">
        <v>3.3000000000000003</v>
      </c>
      <c r="I4" s="255">
        <f t="shared" si="0"/>
        <v>1</v>
      </c>
      <c r="S4">
        <v>22</v>
      </c>
      <c r="T4" t="s">
        <v>614</v>
      </c>
      <c r="U4">
        <v>1</v>
      </c>
    </row>
    <row r="5" spans="2:21" x14ac:dyDescent="0.25">
      <c r="B5" s="258">
        <v>1011</v>
      </c>
      <c r="C5" t="s">
        <v>373</v>
      </c>
      <c r="D5" s="278">
        <v>1</v>
      </c>
      <c r="E5" t="s">
        <v>7</v>
      </c>
      <c r="F5" t="s">
        <v>6</v>
      </c>
      <c r="G5">
        <v>1.1000000000000001</v>
      </c>
      <c r="H5">
        <v>0.5</v>
      </c>
      <c r="I5" s="255">
        <f t="shared" si="0"/>
        <v>0.59375</v>
      </c>
      <c r="M5">
        <v>5424</v>
      </c>
      <c r="S5">
        <v>29</v>
      </c>
      <c r="T5" t="s">
        <v>615</v>
      </c>
      <c r="U5">
        <v>1</v>
      </c>
    </row>
    <row r="6" spans="2:21" x14ac:dyDescent="0.25">
      <c r="B6" s="258">
        <v>1013</v>
      </c>
      <c r="C6" t="s">
        <v>375</v>
      </c>
      <c r="D6" s="278">
        <v>1</v>
      </c>
      <c r="E6" t="s">
        <v>5</v>
      </c>
      <c r="F6" t="s">
        <v>6</v>
      </c>
      <c r="G6">
        <v>1.4000000000000001</v>
      </c>
      <c r="H6">
        <v>1.1000000000000001</v>
      </c>
      <c r="I6" s="255">
        <f t="shared" si="0"/>
        <v>1.1000000000000008</v>
      </c>
      <c r="M6">
        <v>5395</v>
      </c>
      <c r="S6">
        <v>1001</v>
      </c>
      <c r="T6" t="s">
        <v>616</v>
      </c>
      <c r="U6">
        <v>1</v>
      </c>
    </row>
    <row r="7" spans="2:21" x14ac:dyDescent="0.25">
      <c r="B7" s="258">
        <v>1014</v>
      </c>
      <c r="C7" t="s">
        <v>376</v>
      </c>
      <c r="D7" s="278">
        <v>1</v>
      </c>
      <c r="E7" t="s">
        <v>8</v>
      </c>
      <c r="F7" t="s">
        <v>6</v>
      </c>
      <c r="G7">
        <v>1.5</v>
      </c>
      <c r="H7">
        <v>1.5</v>
      </c>
      <c r="I7" s="255">
        <f t="shared" si="0"/>
        <v>1.5</v>
      </c>
      <c r="M7">
        <v>5335</v>
      </c>
      <c r="S7">
        <v>1002</v>
      </c>
      <c r="T7" t="s">
        <v>617</v>
      </c>
      <c r="U7">
        <v>1.2571428571428576</v>
      </c>
    </row>
    <row r="8" spans="2:21" x14ac:dyDescent="0.25">
      <c r="B8" s="258">
        <v>1015</v>
      </c>
      <c r="C8" t="s">
        <v>377</v>
      </c>
      <c r="D8" s="278">
        <v>1</v>
      </c>
      <c r="E8" t="s">
        <v>8</v>
      </c>
      <c r="F8" t="s">
        <v>6</v>
      </c>
      <c r="G8">
        <v>2.2000000000000002</v>
      </c>
      <c r="H8">
        <v>2.2000000000000002</v>
      </c>
      <c r="I8" s="255">
        <f t="shared" si="0"/>
        <v>1.9675675675675683</v>
      </c>
      <c r="S8">
        <v>1003</v>
      </c>
      <c r="T8" t="s">
        <v>618</v>
      </c>
      <c r="U8">
        <v>1.2142857142857146</v>
      </c>
    </row>
    <row r="9" spans="2:21" x14ac:dyDescent="0.25">
      <c r="B9" s="258">
        <v>1016</v>
      </c>
      <c r="C9" t="s">
        <v>378</v>
      </c>
      <c r="D9" s="278">
        <v>1</v>
      </c>
      <c r="E9" t="s">
        <v>5</v>
      </c>
      <c r="F9" t="s">
        <v>6</v>
      </c>
      <c r="G9">
        <v>1.5</v>
      </c>
      <c r="H9">
        <v>0.9</v>
      </c>
      <c r="I9" s="255">
        <f t="shared" si="0"/>
        <v>0.90322580645161243</v>
      </c>
      <c r="S9">
        <v>1004</v>
      </c>
      <c r="T9" t="s">
        <v>619</v>
      </c>
      <c r="U9">
        <v>2</v>
      </c>
    </row>
    <row r="10" spans="2:21" x14ac:dyDescent="0.25">
      <c r="B10" s="258">
        <v>1018</v>
      </c>
      <c r="C10" t="s">
        <v>379</v>
      </c>
      <c r="D10" s="278">
        <v>1</v>
      </c>
      <c r="E10" t="s">
        <v>7</v>
      </c>
      <c r="F10" t="s">
        <v>6</v>
      </c>
      <c r="G10">
        <v>2</v>
      </c>
      <c r="H10">
        <v>1.2</v>
      </c>
      <c r="I10" s="255">
        <f t="shared" si="0"/>
        <v>1.1333333333333333</v>
      </c>
      <c r="S10">
        <v>1005</v>
      </c>
      <c r="T10" t="s">
        <v>620</v>
      </c>
      <c r="U10">
        <v>1</v>
      </c>
    </row>
    <row r="11" spans="2:21" x14ac:dyDescent="0.25">
      <c r="B11" s="258">
        <v>1020</v>
      </c>
      <c r="C11" t="s">
        <v>380</v>
      </c>
      <c r="D11" s="278">
        <v>1</v>
      </c>
      <c r="E11" t="s">
        <v>7</v>
      </c>
      <c r="F11" t="s">
        <v>6</v>
      </c>
      <c r="G11">
        <v>1.4000000000000001</v>
      </c>
      <c r="H11">
        <v>1.4000000000000001</v>
      </c>
      <c r="I11" s="255">
        <f t="shared" si="0"/>
        <v>1</v>
      </c>
      <c r="S11">
        <v>1006</v>
      </c>
      <c r="T11" t="s">
        <v>621</v>
      </c>
      <c r="U11">
        <v>1</v>
      </c>
    </row>
    <row r="12" spans="2:21" x14ac:dyDescent="0.25">
      <c r="B12" s="258">
        <v>1022</v>
      </c>
      <c r="C12" t="s">
        <v>381</v>
      </c>
      <c r="D12" s="278">
        <v>1</v>
      </c>
      <c r="E12" t="s">
        <v>9</v>
      </c>
      <c r="F12" t="s">
        <v>6</v>
      </c>
      <c r="G12">
        <v>1.5</v>
      </c>
      <c r="H12">
        <v>1.5</v>
      </c>
      <c r="I12" s="255">
        <f t="shared" si="0"/>
        <v>1</v>
      </c>
      <c r="S12">
        <v>1007</v>
      </c>
      <c r="T12" t="s">
        <v>622</v>
      </c>
      <c r="U12">
        <v>1</v>
      </c>
    </row>
    <row r="13" spans="2:21" x14ac:dyDescent="0.25">
      <c r="B13" s="258">
        <v>1024</v>
      </c>
      <c r="C13" t="s">
        <v>494</v>
      </c>
      <c r="D13" s="278">
        <v>1</v>
      </c>
      <c r="E13" t="s">
        <v>10</v>
      </c>
      <c r="F13" t="s">
        <v>6</v>
      </c>
      <c r="G13">
        <v>5.1999999999999993</v>
      </c>
      <c r="H13">
        <v>5.1999999999999993</v>
      </c>
      <c r="I13" s="255">
        <f t="shared" si="0"/>
        <v>4.5777777777777793</v>
      </c>
      <c r="S13">
        <v>1008</v>
      </c>
      <c r="T13" t="s">
        <v>623</v>
      </c>
      <c r="U13">
        <v>1</v>
      </c>
    </row>
    <row r="14" spans="2:21" x14ac:dyDescent="0.25">
      <c r="B14" s="258">
        <v>1026</v>
      </c>
      <c r="C14" t="s">
        <v>384</v>
      </c>
      <c r="D14" s="278">
        <v>1</v>
      </c>
      <c r="E14" t="s">
        <v>10</v>
      </c>
      <c r="F14" t="s">
        <v>6</v>
      </c>
      <c r="G14">
        <v>3.3000000000000003</v>
      </c>
      <c r="H14">
        <v>4</v>
      </c>
      <c r="I14" s="255">
        <f t="shared" si="0"/>
        <v>4</v>
      </c>
      <c r="S14">
        <v>1009</v>
      </c>
      <c r="T14" t="s">
        <v>624</v>
      </c>
      <c r="U14">
        <v>1</v>
      </c>
    </row>
    <row r="15" spans="2:21" x14ac:dyDescent="0.25">
      <c r="B15" s="258">
        <v>1028</v>
      </c>
      <c r="C15" t="s">
        <v>386</v>
      </c>
      <c r="D15" s="278">
        <v>1</v>
      </c>
      <c r="E15" t="s">
        <v>10</v>
      </c>
      <c r="F15" t="s">
        <v>6</v>
      </c>
      <c r="G15">
        <v>3.9</v>
      </c>
      <c r="H15">
        <v>4</v>
      </c>
      <c r="I15" s="255">
        <f t="shared" si="0"/>
        <v>3.5555555555555554</v>
      </c>
      <c r="S15">
        <v>1010</v>
      </c>
      <c r="T15" t="s">
        <v>625</v>
      </c>
      <c r="U15">
        <v>1</v>
      </c>
    </row>
    <row r="16" spans="2:21" x14ac:dyDescent="0.25">
      <c r="B16" s="258">
        <v>1029</v>
      </c>
      <c r="C16" t="s">
        <v>387</v>
      </c>
      <c r="D16" s="278">
        <v>1</v>
      </c>
      <c r="E16" t="s">
        <v>10</v>
      </c>
      <c r="F16" t="s">
        <v>6</v>
      </c>
      <c r="G16">
        <v>4.5999999999999996</v>
      </c>
      <c r="H16">
        <v>4</v>
      </c>
      <c r="I16" s="255">
        <f t="shared" si="0"/>
        <v>3.9090909090909092</v>
      </c>
      <c r="S16">
        <v>1011</v>
      </c>
      <c r="T16" t="s">
        <v>626</v>
      </c>
      <c r="U16">
        <v>0.59375</v>
      </c>
    </row>
    <row r="17" spans="2:21" x14ac:dyDescent="0.25">
      <c r="B17" s="258">
        <v>1031</v>
      </c>
      <c r="C17" t="s">
        <v>389</v>
      </c>
      <c r="D17" s="278">
        <v>1</v>
      </c>
      <c r="E17" t="s">
        <v>10</v>
      </c>
      <c r="F17" t="s">
        <v>6</v>
      </c>
      <c r="G17">
        <v>4.5999999999999996</v>
      </c>
      <c r="H17">
        <v>20</v>
      </c>
      <c r="I17" s="255">
        <f t="shared" si="0"/>
        <v>20.642857142857142</v>
      </c>
      <c r="S17">
        <v>1012</v>
      </c>
      <c r="T17" t="s">
        <v>627</v>
      </c>
      <c r="U17">
        <v>1</v>
      </c>
    </row>
    <row r="18" spans="2:21" x14ac:dyDescent="0.25">
      <c r="B18" s="258">
        <v>1073</v>
      </c>
      <c r="C18" t="s">
        <v>580</v>
      </c>
      <c r="D18" s="278">
        <v>1</v>
      </c>
      <c r="E18" t="s">
        <v>10</v>
      </c>
      <c r="F18" t="s">
        <v>6</v>
      </c>
      <c r="G18">
        <v>8.6</v>
      </c>
      <c r="H18">
        <v>1.5</v>
      </c>
      <c r="I18" s="255">
        <f t="shared" si="0"/>
        <v>1.1666666666666667</v>
      </c>
      <c r="S18">
        <v>1013</v>
      </c>
      <c r="T18" t="s">
        <v>628</v>
      </c>
      <c r="U18">
        <v>1.1000000000000008</v>
      </c>
    </row>
    <row r="19" spans="2:21" x14ac:dyDescent="0.25">
      <c r="B19" s="258">
        <v>1032</v>
      </c>
      <c r="C19" t="s">
        <v>390</v>
      </c>
      <c r="D19" s="278">
        <v>1</v>
      </c>
      <c r="E19" t="s">
        <v>10</v>
      </c>
      <c r="F19" t="s">
        <v>6</v>
      </c>
      <c r="G19">
        <v>8.6</v>
      </c>
      <c r="H19">
        <v>20</v>
      </c>
      <c r="I19" s="255">
        <f t="shared" si="0"/>
        <v>22.025217391304349</v>
      </c>
      <c r="S19">
        <v>1014</v>
      </c>
      <c r="T19" t="s">
        <v>629</v>
      </c>
      <c r="U19">
        <v>1.5</v>
      </c>
    </row>
    <row r="20" spans="2:21" x14ac:dyDescent="0.25">
      <c r="B20" s="258">
        <v>1033</v>
      </c>
      <c r="C20" t="s">
        <v>391</v>
      </c>
      <c r="D20" s="278">
        <v>1</v>
      </c>
      <c r="E20" t="s">
        <v>7</v>
      </c>
      <c r="F20" t="s">
        <v>6</v>
      </c>
      <c r="G20">
        <v>0.4</v>
      </c>
      <c r="H20">
        <v>0.8</v>
      </c>
      <c r="I20" s="255">
        <f t="shared" si="0"/>
        <v>0.81000000000000028</v>
      </c>
      <c r="S20">
        <v>1015</v>
      </c>
      <c r="T20" t="s">
        <v>630</v>
      </c>
      <c r="U20">
        <v>1.9675675675675683</v>
      </c>
    </row>
    <row r="21" spans="2:21" x14ac:dyDescent="0.25">
      <c r="B21" s="258">
        <v>1035</v>
      </c>
      <c r="C21" t="s">
        <v>393</v>
      </c>
      <c r="D21" s="278">
        <v>1</v>
      </c>
      <c r="E21" t="s">
        <v>11</v>
      </c>
      <c r="F21" t="s">
        <v>6</v>
      </c>
      <c r="G21">
        <v>0.5</v>
      </c>
      <c r="H21">
        <v>0.5</v>
      </c>
      <c r="I21" s="255">
        <f t="shared" si="0"/>
        <v>0.92000000000000015</v>
      </c>
      <c r="S21">
        <v>1016</v>
      </c>
      <c r="T21" t="s">
        <v>631</v>
      </c>
      <c r="U21">
        <v>0.90322580645161243</v>
      </c>
    </row>
    <row r="22" spans="2:21" x14ac:dyDescent="0.25">
      <c r="B22" s="258">
        <v>1050</v>
      </c>
      <c r="C22" t="s">
        <v>407</v>
      </c>
      <c r="D22" s="278">
        <v>1</v>
      </c>
      <c r="E22" t="s">
        <v>7</v>
      </c>
      <c r="F22" t="s">
        <v>6</v>
      </c>
      <c r="G22">
        <v>0.5</v>
      </c>
      <c r="H22">
        <v>0.5</v>
      </c>
      <c r="I22" s="255">
        <f t="shared" si="0"/>
        <v>0.55882352941176472</v>
      </c>
      <c r="S22">
        <v>1017</v>
      </c>
      <c r="T22" t="s">
        <v>632</v>
      </c>
      <c r="U22">
        <v>1</v>
      </c>
    </row>
    <row r="23" spans="2:21" x14ac:dyDescent="0.25">
      <c r="B23" s="258">
        <v>1052</v>
      </c>
      <c r="C23" t="s">
        <v>500</v>
      </c>
      <c r="D23" s="278">
        <v>1</v>
      </c>
      <c r="E23" t="s">
        <v>7</v>
      </c>
      <c r="F23" t="s">
        <v>6</v>
      </c>
      <c r="G23">
        <v>3.8000000000000003</v>
      </c>
      <c r="H23">
        <v>6</v>
      </c>
      <c r="I23" s="255">
        <f t="shared" si="0"/>
        <v>3.1111111111111112</v>
      </c>
      <c r="S23">
        <v>1018</v>
      </c>
      <c r="T23" t="s">
        <v>633</v>
      </c>
      <c r="U23">
        <v>1.1333333333333333</v>
      </c>
    </row>
    <row r="24" spans="2:21" x14ac:dyDescent="0.25">
      <c r="B24" s="258">
        <v>1061</v>
      </c>
      <c r="C24" t="s">
        <v>416</v>
      </c>
      <c r="D24" s="278">
        <v>1</v>
      </c>
      <c r="E24" t="s">
        <v>13</v>
      </c>
      <c r="F24" t="s">
        <v>6</v>
      </c>
      <c r="G24">
        <v>2.2000000000000002</v>
      </c>
      <c r="H24">
        <v>2.2000000000000002</v>
      </c>
      <c r="I24" s="255">
        <f t="shared" si="0"/>
        <v>1.342857142857143</v>
      </c>
      <c r="S24">
        <v>1019</v>
      </c>
      <c r="T24" t="s">
        <v>634</v>
      </c>
      <c r="U24">
        <v>1</v>
      </c>
    </row>
    <row r="25" spans="2:21" x14ac:dyDescent="0.25">
      <c r="B25" s="258">
        <v>1071</v>
      </c>
      <c r="C25" t="s">
        <v>585</v>
      </c>
      <c r="D25" s="278">
        <v>1</v>
      </c>
      <c r="E25" t="s">
        <v>10</v>
      </c>
      <c r="F25" t="s">
        <v>6</v>
      </c>
      <c r="G25">
        <v>4.5999999999999996</v>
      </c>
      <c r="H25">
        <v>4</v>
      </c>
      <c r="I25" s="255">
        <f t="shared" si="0"/>
        <v>4</v>
      </c>
      <c r="S25">
        <v>1020</v>
      </c>
      <c r="T25" t="s">
        <v>635</v>
      </c>
      <c r="U25">
        <v>1</v>
      </c>
    </row>
    <row r="26" spans="2:21" x14ac:dyDescent="0.25">
      <c r="B26" s="258">
        <v>1078</v>
      </c>
      <c r="C26" t="s">
        <v>469</v>
      </c>
      <c r="D26" s="278">
        <v>1</v>
      </c>
      <c r="E26" t="s">
        <v>10</v>
      </c>
      <c r="F26" t="s">
        <v>6</v>
      </c>
      <c r="H26">
        <v>19</v>
      </c>
      <c r="I26" s="255">
        <f t="shared" si="0"/>
        <v>18.600000000000001</v>
      </c>
      <c r="S26">
        <v>1022</v>
      </c>
      <c r="T26" t="s">
        <v>636</v>
      </c>
      <c r="U26">
        <v>1</v>
      </c>
    </row>
    <row r="27" spans="2:21" x14ac:dyDescent="0.25">
      <c r="B27" s="258">
        <v>1090</v>
      </c>
      <c r="C27" t="s">
        <v>470</v>
      </c>
      <c r="D27" s="278">
        <v>1</v>
      </c>
      <c r="E27" t="s">
        <v>10</v>
      </c>
      <c r="F27" t="s">
        <v>6</v>
      </c>
      <c r="H27">
        <v>5</v>
      </c>
      <c r="I27" s="255">
        <f t="shared" si="0"/>
        <v>5.375</v>
      </c>
      <c r="S27">
        <v>1023</v>
      </c>
      <c r="T27" t="s">
        <v>637</v>
      </c>
      <c r="U27">
        <v>1</v>
      </c>
    </row>
    <row r="28" spans="2:21" x14ac:dyDescent="0.25">
      <c r="B28" s="258">
        <v>1091</v>
      </c>
      <c r="C28" t="s">
        <v>475</v>
      </c>
      <c r="D28" s="278">
        <v>1</v>
      </c>
      <c r="E28" t="s">
        <v>10</v>
      </c>
      <c r="F28" t="s">
        <v>6</v>
      </c>
      <c r="H28">
        <v>0.5</v>
      </c>
      <c r="I28" s="255">
        <f t="shared" si="0"/>
        <v>2.2000000000000002</v>
      </c>
      <c r="S28">
        <v>1024</v>
      </c>
      <c r="T28" t="s">
        <v>638</v>
      </c>
      <c r="U28">
        <v>4.5777777777777793</v>
      </c>
    </row>
    <row r="29" spans="2:21" x14ac:dyDescent="0.25">
      <c r="B29" s="258" t="s">
        <v>14</v>
      </c>
      <c r="C29" t="s">
        <v>15</v>
      </c>
      <c r="D29" s="278">
        <v>1</v>
      </c>
      <c r="E29" t="s">
        <v>16</v>
      </c>
      <c r="F29" t="s">
        <v>6</v>
      </c>
      <c r="G29">
        <v>0</v>
      </c>
      <c r="H29">
        <v>0.2</v>
      </c>
      <c r="I29" s="255" t="e">
        <f t="shared" si="0"/>
        <v>#N/A</v>
      </c>
      <c r="S29">
        <v>1025</v>
      </c>
      <c r="T29" t="s">
        <v>639</v>
      </c>
      <c r="U29">
        <v>1</v>
      </c>
    </row>
    <row r="30" spans="2:21" x14ac:dyDescent="0.25">
      <c r="B30" s="258" t="s">
        <v>17</v>
      </c>
      <c r="C30" t="s">
        <v>18</v>
      </c>
      <c r="D30" s="278">
        <v>1</v>
      </c>
      <c r="E30" t="s">
        <v>16</v>
      </c>
      <c r="F30" t="s">
        <v>6</v>
      </c>
      <c r="G30">
        <v>0</v>
      </c>
      <c r="H30">
        <v>0.4</v>
      </c>
      <c r="I30" s="255" t="e">
        <f t="shared" si="0"/>
        <v>#N/A</v>
      </c>
      <c r="S30">
        <v>1026</v>
      </c>
      <c r="T30" t="s">
        <v>640</v>
      </c>
      <c r="U30">
        <v>4</v>
      </c>
    </row>
    <row r="31" spans="2:21" x14ac:dyDescent="0.25">
      <c r="B31" s="258" t="s">
        <v>19</v>
      </c>
      <c r="C31" t="s">
        <v>20</v>
      </c>
      <c r="D31" s="278">
        <v>1</v>
      </c>
      <c r="E31" t="s">
        <v>16</v>
      </c>
      <c r="F31" t="s">
        <v>21</v>
      </c>
      <c r="G31">
        <v>0</v>
      </c>
      <c r="H31">
        <v>15</v>
      </c>
      <c r="I31" s="255" t="e">
        <f t="shared" si="0"/>
        <v>#N/A</v>
      </c>
      <c r="S31">
        <v>1027</v>
      </c>
      <c r="T31" t="s">
        <v>641</v>
      </c>
      <c r="U31">
        <v>1</v>
      </c>
    </row>
    <row r="32" spans="2:21" x14ac:dyDescent="0.25">
      <c r="B32" s="258" t="s">
        <v>22</v>
      </c>
      <c r="C32" t="s">
        <v>23</v>
      </c>
      <c r="D32" s="278">
        <v>1</v>
      </c>
      <c r="E32" t="s">
        <v>16</v>
      </c>
      <c r="F32" t="s">
        <v>6</v>
      </c>
      <c r="G32">
        <v>0</v>
      </c>
      <c r="H32">
        <v>0.1</v>
      </c>
      <c r="I32" s="255" t="e">
        <f t="shared" si="0"/>
        <v>#N/A</v>
      </c>
      <c r="S32">
        <v>1028</v>
      </c>
      <c r="T32" t="s">
        <v>642</v>
      </c>
      <c r="U32">
        <v>3.5555555555555554</v>
      </c>
    </row>
    <row r="33" spans="2:21" x14ac:dyDescent="0.25">
      <c r="B33" s="258" t="s">
        <v>24</v>
      </c>
      <c r="C33" t="s">
        <v>25</v>
      </c>
      <c r="D33" s="278">
        <v>1</v>
      </c>
      <c r="E33" t="s">
        <v>16</v>
      </c>
      <c r="F33" t="s">
        <v>26</v>
      </c>
      <c r="H33">
        <v>6</v>
      </c>
      <c r="I33" s="255" t="e">
        <f t="shared" si="0"/>
        <v>#N/A</v>
      </c>
      <c r="S33">
        <v>1029</v>
      </c>
      <c r="T33" t="s">
        <v>643</v>
      </c>
      <c r="U33">
        <v>3.9090909090909092</v>
      </c>
    </row>
    <row r="34" spans="2:21" x14ac:dyDescent="0.25">
      <c r="B34" s="258">
        <v>1096</v>
      </c>
      <c r="C34" t="s">
        <v>582</v>
      </c>
      <c r="D34" s="278">
        <v>1</v>
      </c>
      <c r="E34" t="s">
        <v>10</v>
      </c>
      <c r="F34" t="s">
        <v>6</v>
      </c>
      <c r="H34">
        <v>20.5</v>
      </c>
      <c r="I34" s="255">
        <f t="shared" si="0"/>
        <v>20.5</v>
      </c>
      <c r="S34">
        <v>1030</v>
      </c>
      <c r="T34" t="s">
        <v>644</v>
      </c>
      <c r="U34">
        <v>1</v>
      </c>
    </row>
    <row r="35" spans="2:21" x14ac:dyDescent="0.25">
      <c r="B35" s="258">
        <v>1002</v>
      </c>
      <c r="C35" t="s">
        <v>365</v>
      </c>
      <c r="D35" s="278">
        <v>1</v>
      </c>
      <c r="E35" t="s">
        <v>10</v>
      </c>
      <c r="F35" t="s">
        <v>6</v>
      </c>
      <c r="H35" s="255">
        <v>1.2571428571428576</v>
      </c>
      <c r="I35" s="255">
        <f t="shared" si="0"/>
        <v>1.2571428571428576</v>
      </c>
      <c r="S35">
        <v>1031</v>
      </c>
      <c r="T35" t="s">
        <v>645</v>
      </c>
      <c r="U35">
        <v>20.642857142857142</v>
      </c>
    </row>
    <row r="36" spans="2:21" x14ac:dyDescent="0.25">
      <c r="B36" s="258">
        <v>1003</v>
      </c>
      <c r="C36" t="s">
        <v>366</v>
      </c>
      <c r="D36" s="278">
        <v>1</v>
      </c>
      <c r="E36" t="s">
        <v>10</v>
      </c>
      <c r="F36" t="s">
        <v>6</v>
      </c>
      <c r="H36" s="255">
        <v>1.2142857142857146</v>
      </c>
      <c r="I36" s="255">
        <f t="shared" si="0"/>
        <v>1.2142857142857146</v>
      </c>
      <c r="S36">
        <v>1032</v>
      </c>
      <c r="T36" t="s">
        <v>646</v>
      </c>
      <c r="U36">
        <v>22.025217391304349</v>
      </c>
    </row>
    <row r="37" spans="2:21" x14ac:dyDescent="0.25">
      <c r="B37" s="258">
        <v>1019</v>
      </c>
      <c r="C37" t="s">
        <v>499</v>
      </c>
      <c r="D37" s="278">
        <v>1</v>
      </c>
      <c r="E37" t="s">
        <v>10</v>
      </c>
      <c r="F37" t="s">
        <v>6</v>
      </c>
      <c r="H37" s="255">
        <v>1</v>
      </c>
      <c r="I37" s="255">
        <f t="shared" si="0"/>
        <v>1</v>
      </c>
      <c r="S37">
        <v>1033</v>
      </c>
      <c r="T37" t="s">
        <v>647</v>
      </c>
      <c r="U37">
        <v>0.81000000000000028</v>
      </c>
    </row>
    <row r="38" spans="2:21" x14ac:dyDescent="0.25">
      <c r="B38" s="258">
        <v>1081</v>
      </c>
      <c r="C38" t="s">
        <v>586</v>
      </c>
      <c r="D38" s="278">
        <v>1</v>
      </c>
      <c r="E38" t="s">
        <v>10</v>
      </c>
      <c r="F38" t="s">
        <v>6</v>
      </c>
      <c r="H38" s="255">
        <v>1</v>
      </c>
      <c r="I38" s="255">
        <f t="shared" si="0"/>
        <v>1</v>
      </c>
      <c r="S38">
        <v>1034</v>
      </c>
      <c r="T38" t="s">
        <v>648</v>
      </c>
      <c r="U38">
        <v>1</v>
      </c>
    </row>
    <row r="39" spans="2:21" x14ac:dyDescent="0.25">
      <c r="B39" s="258">
        <v>1106</v>
      </c>
      <c r="C39" t="s">
        <v>520</v>
      </c>
      <c r="D39" s="278">
        <v>1</v>
      </c>
      <c r="E39" t="s">
        <v>10</v>
      </c>
      <c r="F39" t="s">
        <v>6</v>
      </c>
      <c r="I39" s="255" t="e">
        <f t="shared" si="0"/>
        <v>#N/A</v>
      </c>
      <c r="S39">
        <v>1035</v>
      </c>
      <c r="T39" t="s">
        <v>649</v>
      </c>
      <c r="U39">
        <v>0.92000000000000015</v>
      </c>
    </row>
    <row r="40" spans="2:21" x14ac:dyDescent="0.25">
      <c r="B40" s="258">
        <v>1079</v>
      </c>
      <c r="C40" t="s">
        <v>566</v>
      </c>
      <c r="D40" s="278">
        <v>1</v>
      </c>
      <c r="E40" t="s">
        <v>10</v>
      </c>
      <c r="F40" t="s">
        <v>6</v>
      </c>
      <c r="G40">
        <v>4.5999999999999996</v>
      </c>
      <c r="H40">
        <v>20</v>
      </c>
      <c r="I40" s="255">
        <f t="shared" ref="I40" si="1">VLOOKUP(B40,S:U,3,0)</f>
        <v>20.555555555555557</v>
      </c>
      <c r="S40">
        <v>1036</v>
      </c>
      <c r="T40" t="s">
        <v>650</v>
      </c>
      <c r="U40">
        <v>0.50434782608695661</v>
      </c>
    </row>
    <row r="41" spans="2:21" x14ac:dyDescent="0.25">
      <c r="S41">
        <v>1037</v>
      </c>
      <c r="T41" t="s">
        <v>651</v>
      </c>
      <c r="U41">
        <v>1</v>
      </c>
    </row>
    <row r="42" spans="2:21" x14ac:dyDescent="0.25">
      <c r="S42">
        <v>1038</v>
      </c>
      <c r="T42" t="s">
        <v>652</v>
      </c>
      <c r="U42">
        <v>1</v>
      </c>
    </row>
    <row r="43" spans="2:21" x14ac:dyDescent="0.25">
      <c r="S43">
        <v>1039</v>
      </c>
      <c r="T43" t="s">
        <v>653</v>
      </c>
      <c r="U43">
        <v>1</v>
      </c>
    </row>
    <row r="44" spans="2:21" x14ac:dyDescent="0.25">
      <c r="S44">
        <v>1040</v>
      </c>
      <c r="T44" t="s">
        <v>654</v>
      </c>
      <c r="U44">
        <v>1</v>
      </c>
    </row>
    <row r="45" spans="2:21" x14ac:dyDescent="0.25">
      <c r="S45">
        <v>1041</v>
      </c>
      <c r="T45" t="s">
        <v>655</v>
      </c>
      <c r="U45">
        <v>1</v>
      </c>
    </row>
    <row r="46" spans="2:21" x14ac:dyDescent="0.25">
      <c r="S46">
        <v>1042</v>
      </c>
      <c r="T46" t="s">
        <v>656</v>
      </c>
      <c r="U46">
        <v>1</v>
      </c>
    </row>
    <row r="47" spans="2:21" x14ac:dyDescent="0.25">
      <c r="S47">
        <v>1043</v>
      </c>
      <c r="T47" t="s">
        <v>657</v>
      </c>
      <c r="U47">
        <v>1</v>
      </c>
    </row>
    <row r="48" spans="2:21" x14ac:dyDescent="0.25">
      <c r="S48">
        <v>1044</v>
      </c>
      <c r="T48" t="s">
        <v>658</v>
      </c>
      <c r="U48">
        <v>0.9933333333333334</v>
      </c>
    </row>
    <row r="49" spans="19:21" x14ac:dyDescent="0.25">
      <c r="S49">
        <v>1045</v>
      </c>
      <c r="T49" t="s">
        <v>659</v>
      </c>
      <c r="U49">
        <v>1</v>
      </c>
    </row>
    <row r="50" spans="19:21" x14ac:dyDescent="0.25">
      <c r="S50">
        <v>1046</v>
      </c>
      <c r="T50" t="s">
        <v>660</v>
      </c>
      <c r="U50">
        <v>1</v>
      </c>
    </row>
    <row r="51" spans="19:21" x14ac:dyDescent="0.25">
      <c r="S51">
        <v>1047</v>
      </c>
      <c r="T51" t="s">
        <v>661</v>
      </c>
      <c r="U51">
        <v>1</v>
      </c>
    </row>
    <row r="52" spans="19:21" x14ac:dyDescent="0.25">
      <c r="S52">
        <v>1048</v>
      </c>
      <c r="T52" t="s">
        <v>662</v>
      </c>
      <c r="U52">
        <v>1</v>
      </c>
    </row>
    <row r="53" spans="19:21" x14ac:dyDescent="0.25">
      <c r="S53">
        <v>1049</v>
      </c>
      <c r="T53" t="s">
        <v>663</v>
      </c>
      <c r="U53">
        <v>1</v>
      </c>
    </row>
    <row r="54" spans="19:21" x14ac:dyDescent="0.25">
      <c r="S54">
        <v>1050</v>
      </c>
      <c r="T54" t="s">
        <v>664</v>
      </c>
      <c r="U54">
        <v>0.55882352941176472</v>
      </c>
    </row>
    <row r="55" spans="19:21" x14ac:dyDescent="0.25">
      <c r="S55">
        <v>1051</v>
      </c>
      <c r="T55" t="s">
        <v>665</v>
      </c>
      <c r="U55">
        <v>1</v>
      </c>
    </row>
    <row r="56" spans="19:21" x14ac:dyDescent="0.25">
      <c r="S56">
        <v>1052</v>
      </c>
      <c r="T56" t="s">
        <v>666</v>
      </c>
      <c r="U56">
        <v>3.1111111111111112</v>
      </c>
    </row>
    <row r="57" spans="19:21" x14ac:dyDescent="0.25">
      <c r="S57">
        <v>1053</v>
      </c>
      <c r="T57" t="s">
        <v>667</v>
      </c>
      <c r="U57">
        <v>1</v>
      </c>
    </row>
    <row r="58" spans="19:21" x14ac:dyDescent="0.25">
      <c r="S58">
        <v>1054</v>
      </c>
      <c r="T58" t="s">
        <v>668</v>
      </c>
      <c r="U58">
        <v>1</v>
      </c>
    </row>
    <row r="59" spans="19:21" x14ac:dyDescent="0.25">
      <c r="S59">
        <v>1055</v>
      </c>
      <c r="T59" t="s">
        <v>669</v>
      </c>
      <c r="U59">
        <v>1</v>
      </c>
    </row>
    <row r="60" spans="19:21" x14ac:dyDescent="0.25">
      <c r="S60">
        <v>1056</v>
      </c>
      <c r="T60" t="s">
        <v>670</v>
      </c>
      <c r="U60">
        <v>1.0587499999999999</v>
      </c>
    </row>
    <row r="61" spans="19:21" x14ac:dyDescent="0.25">
      <c r="S61">
        <v>1057</v>
      </c>
      <c r="T61" t="s">
        <v>671</v>
      </c>
      <c r="U61">
        <v>1</v>
      </c>
    </row>
    <row r="62" spans="19:21" x14ac:dyDescent="0.25">
      <c r="S62">
        <v>1058</v>
      </c>
      <c r="T62" t="s">
        <v>672</v>
      </c>
      <c r="U62">
        <v>1</v>
      </c>
    </row>
    <row r="63" spans="19:21" x14ac:dyDescent="0.25">
      <c r="S63">
        <v>1059</v>
      </c>
      <c r="T63" t="s">
        <v>673</v>
      </c>
      <c r="U63">
        <v>1</v>
      </c>
    </row>
    <row r="64" spans="19:21" x14ac:dyDescent="0.25">
      <c r="S64">
        <v>1060</v>
      </c>
      <c r="T64" t="s">
        <v>674</v>
      </c>
      <c r="U64">
        <v>1</v>
      </c>
    </row>
    <row r="65" spans="19:21" x14ac:dyDescent="0.25">
      <c r="S65">
        <v>1061</v>
      </c>
      <c r="T65" t="s">
        <v>675</v>
      </c>
      <c r="U65">
        <v>1.342857142857143</v>
      </c>
    </row>
    <row r="66" spans="19:21" x14ac:dyDescent="0.25">
      <c r="S66">
        <v>1062</v>
      </c>
      <c r="T66" t="s">
        <v>676</v>
      </c>
      <c r="U66">
        <v>1</v>
      </c>
    </row>
    <row r="67" spans="19:21" x14ac:dyDescent="0.25">
      <c r="S67">
        <v>1063</v>
      </c>
      <c r="T67" t="s">
        <v>677</v>
      </c>
      <c r="U67">
        <v>1</v>
      </c>
    </row>
    <row r="68" spans="19:21" x14ac:dyDescent="0.25">
      <c r="S68">
        <v>1064</v>
      </c>
      <c r="T68" t="s">
        <v>678</v>
      </c>
      <c r="U68">
        <v>15.526666666666666</v>
      </c>
    </row>
    <row r="69" spans="19:21" x14ac:dyDescent="0.25">
      <c r="S69">
        <v>1067</v>
      </c>
      <c r="T69" t="s">
        <v>679</v>
      </c>
      <c r="U69">
        <v>1</v>
      </c>
    </row>
    <row r="70" spans="19:21" x14ac:dyDescent="0.25">
      <c r="S70">
        <v>1068</v>
      </c>
      <c r="T70" t="s">
        <v>680</v>
      </c>
      <c r="U70">
        <v>0.9900000000000001</v>
      </c>
    </row>
    <row r="71" spans="19:21" x14ac:dyDescent="0.25">
      <c r="S71">
        <v>1070</v>
      </c>
      <c r="T71" t="s">
        <v>681</v>
      </c>
      <c r="U71">
        <v>6</v>
      </c>
    </row>
    <row r="72" spans="19:21" x14ac:dyDescent="0.25">
      <c r="S72">
        <v>1071</v>
      </c>
      <c r="T72" t="s">
        <v>682</v>
      </c>
      <c r="U72">
        <v>4</v>
      </c>
    </row>
    <row r="73" spans="19:21" x14ac:dyDescent="0.25">
      <c r="S73">
        <v>1072</v>
      </c>
      <c r="T73" t="s">
        <v>683</v>
      </c>
      <c r="U73">
        <v>1</v>
      </c>
    </row>
    <row r="74" spans="19:21" x14ac:dyDescent="0.25">
      <c r="S74">
        <v>1073</v>
      </c>
      <c r="T74" t="s">
        <v>684</v>
      </c>
      <c r="U74">
        <v>1.1666666666666667</v>
      </c>
    </row>
    <row r="75" spans="19:21" x14ac:dyDescent="0.25">
      <c r="S75">
        <v>1076</v>
      </c>
      <c r="T75" t="s">
        <v>685</v>
      </c>
      <c r="U75">
        <v>1</v>
      </c>
    </row>
    <row r="76" spans="19:21" x14ac:dyDescent="0.25">
      <c r="S76">
        <v>1078</v>
      </c>
      <c r="T76" t="s">
        <v>686</v>
      </c>
      <c r="U76">
        <v>18.600000000000001</v>
      </c>
    </row>
    <row r="77" spans="19:21" x14ac:dyDescent="0.25">
      <c r="S77">
        <v>1079</v>
      </c>
      <c r="T77" t="s">
        <v>687</v>
      </c>
      <c r="U77">
        <v>20.555555555555557</v>
      </c>
    </row>
    <row r="78" spans="19:21" x14ac:dyDescent="0.25">
      <c r="S78">
        <v>1080</v>
      </c>
      <c r="T78" t="s">
        <v>688</v>
      </c>
      <c r="U78">
        <v>1</v>
      </c>
    </row>
    <row r="79" spans="19:21" x14ac:dyDescent="0.25">
      <c r="S79">
        <v>1081</v>
      </c>
      <c r="T79" t="s">
        <v>689</v>
      </c>
      <c r="U79">
        <v>1</v>
      </c>
    </row>
    <row r="80" spans="19:21" x14ac:dyDescent="0.25">
      <c r="S80">
        <v>1082</v>
      </c>
      <c r="T80" t="s">
        <v>690</v>
      </c>
      <c r="U80">
        <v>1</v>
      </c>
    </row>
    <row r="81" spans="19:21" x14ac:dyDescent="0.25">
      <c r="S81">
        <v>1086</v>
      </c>
      <c r="T81" t="s">
        <v>691</v>
      </c>
      <c r="U81">
        <v>20.8</v>
      </c>
    </row>
    <row r="82" spans="19:21" x14ac:dyDescent="0.25">
      <c r="S82">
        <v>1090</v>
      </c>
      <c r="T82" t="s">
        <v>692</v>
      </c>
      <c r="U82">
        <v>5.375</v>
      </c>
    </row>
    <row r="83" spans="19:21" x14ac:dyDescent="0.25">
      <c r="S83">
        <v>1091</v>
      </c>
      <c r="T83" t="s">
        <v>693</v>
      </c>
      <c r="U83">
        <v>2.2000000000000002</v>
      </c>
    </row>
    <row r="84" spans="19:21" x14ac:dyDescent="0.25">
      <c r="S84">
        <v>1092</v>
      </c>
      <c r="T84" t="s">
        <v>694</v>
      </c>
      <c r="U84">
        <v>1</v>
      </c>
    </row>
    <row r="85" spans="19:21" x14ac:dyDescent="0.25">
      <c r="S85">
        <v>1093</v>
      </c>
      <c r="T85" t="s">
        <v>695</v>
      </c>
      <c r="U85">
        <v>0.5</v>
      </c>
    </row>
    <row r="86" spans="19:21" x14ac:dyDescent="0.25">
      <c r="S86">
        <v>1094</v>
      </c>
      <c r="T86" t="s">
        <v>696</v>
      </c>
      <c r="U86">
        <v>1.5</v>
      </c>
    </row>
    <row r="87" spans="19:21" x14ac:dyDescent="0.25">
      <c r="S87">
        <v>1095</v>
      </c>
      <c r="T87" t="s">
        <v>697</v>
      </c>
      <c r="U87">
        <v>0.82400000000000007</v>
      </c>
    </row>
    <row r="88" spans="19:21" x14ac:dyDescent="0.25">
      <c r="S88">
        <v>1096</v>
      </c>
      <c r="T88" t="s">
        <v>698</v>
      </c>
      <c r="U88">
        <v>20.5</v>
      </c>
    </row>
    <row r="89" spans="19:21" x14ac:dyDescent="0.25">
      <c r="S89">
        <v>1099</v>
      </c>
      <c r="T89" t="s">
        <v>699</v>
      </c>
      <c r="U89">
        <v>1</v>
      </c>
    </row>
    <row r="90" spans="19:21" x14ac:dyDescent="0.25">
      <c r="S90">
        <v>1100</v>
      </c>
      <c r="T90" t="s">
        <v>700</v>
      </c>
      <c r="U90">
        <v>0.87272727272727268</v>
      </c>
    </row>
    <row r="91" spans="19:21" x14ac:dyDescent="0.25">
      <c r="S91">
        <v>1101</v>
      </c>
      <c r="T91" t="s">
        <v>701</v>
      </c>
      <c r="U91">
        <v>0.95</v>
      </c>
    </row>
    <row r="92" spans="19:21" x14ac:dyDescent="0.25">
      <c r="S92">
        <v>1102</v>
      </c>
      <c r="T92" t="s">
        <v>702</v>
      </c>
      <c r="U92">
        <v>0.9745454545454546</v>
      </c>
    </row>
    <row r="93" spans="19:21" x14ac:dyDescent="0.25">
      <c r="S93">
        <v>2001</v>
      </c>
      <c r="T93" t="s">
        <v>703</v>
      </c>
      <c r="U93">
        <v>1</v>
      </c>
    </row>
    <row r="94" spans="19:21" x14ac:dyDescent="0.25">
      <c r="S94">
        <v>2002</v>
      </c>
      <c r="T94" t="s">
        <v>704</v>
      </c>
      <c r="U94">
        <v>1</v>
      </c>
    </row>
    <row r="95" spans="19:21" x14ac:dyDescent="0.25">
      <c r="S95">
        <v>2003</v>
      </c>
      <c r="T95" t="s">
        <v>705</v>
      </c>
      <c r="U95">
        <v>1</v>
      </c>
    </row>
    <row r="96" spans="19:21" x14ac:dyDescent="0.25">
      <c r="S96">
        <v>2004</v>
      </c>
      <c r="T96" t="s">
        <v>706</v>
      </c>
      <c r="U96">
        <v>1</v>
      </c>
    </row>
    <row r="97" spans="19:21" x14ac:dyDescent="0.25">
      <c r="S97">
        <v>2005</v>
      </c>
      <c r="T97" t="s">
        <v>707</v>
      </c>
      <c r="U97">
        <v>1</v>
      </c>
    </row>
    <row r="98" spans="19:21" x14ac:dyDescent="0.25">
      <c r="S98">
        <v>2006</v>
      </c>
      <c r="T98" t="s">
        <v>708</v>
      </c>
      <c r="U98">
        <v>1</v>
      </c>
    </row>
    <row r="99" spans="19:21" x14ac:dyDescent="0.25">
      <c r="S99">
        <v>2007</v>
      </c>
      <c r="T99" t="s">
        <v>709</v>
      </c>
      <c r="U99">
        <v>1.4754098360655739</v>
      </c>
    </row>
    <row r="100" spans="19:21" x14ac:dyDescent="0.25">
      <c r="S100">
        <v>2008</v>
      </c>
      <c r="T100" t="s">
        <v>710</v>
      </c>
      <c r="U100">
        <v>1</v>
      </c>
    </row>
    <row r="101" spans="19:21" x14ac:dyDescent="0.25">
      <c r="S101">
        <v>2009</v>
      </c>
      <c r="T101" t="s">
        <v>711</v>
      </c>
      <c r="U101">
        <v>1</v>
      </c>
    </row>
    <row r="102" spans="19:21" x14ac:dyDescent="0.25">
      <c r="S102">
        <v>2010</v>
      </c>
      <c r="T102" t="s">
        <v>712</v>
      </c>
      <c r="U102">
        <v>1</v>
      </c>
    </row>
    <row r="103" spans="19:21" x14ac:dyDescent="0.25">
      <c r="S103">
        <v>2011</v>
      </c>
      <c r="T103" t="s">
        <v>713</v>
      </c>
      <c r="U103">
        <v>1</v>
      </c>
    </row>
    <row r="104" spans="19:21" x14ac:dyDescent="0.25">
      <c r="S104">
        <v>2013</v>
      </c>
      <c r="T104" t="s">
        <v>714</v>
      </c>
      <c r="U104">
        <v>1</v>
      </c>
    </row>
    <row r="105" spans="19:21" x14ac:dyDescent="0.25">
      <c r="S105">
        <v>2014</v>
      </c>
      <c r="T105" t="s">
        <v>715</v>
      </c>
      <c r="U105">
        <v>1</v>
      </c>
    </row>
    <row r="106" spans="19:21" x14ac:dyDescent="0.25">
      <c r="S106">
        <v>2015</v>
      </c>
      <c r="T106" t="s">
        <v>716</v>
      </c>
      <c r="U106">
        <v>1</v>
      </c>
    </row>
    <row r="107" spans="19:21" x14ac:dyDescent="0.25">
      <c r="S107">
        <v>2016</v>
      </c>
      <c r="T107" t="s">
        <v>717</v>
      </c>
      <c r="U107">
        <v>1</v>
      </c>
    </row>
    <row r="108" spans="19:21" x14ac:dyDescent="0.25">
      <c r="S108">
        <v>2017</v>
      </c>
      <c r="T108" t="s">
        <v>718</v>
      </c>
      <c r="U108">
        <v>1</v>
      </c>
    </row>
    <row r="109" spans="19:21" x14ac:dyDescent="0.25">
      <c r="S109">
        <v>2018</v>
      </c>
      <c r="T109" t="s">
        <v>719</v>
      </c>
      <c r="U109">
        <v>1</v>
      </c>
    </row>
    <row r="110" spans="19:21" x14ac:dyDescent="0.25">
      <c r="S110">
        <v>2019</v>
      </c>
      <c r="T110" t="s">
        <v>720</v>
      </c>
      <c r="U110">
        <v>1</v>
      </c>
    </row>
    <row r="111" spans="19:21" x14ac:dyDescent="0.25">
      <c r="S111">
        <v>2020</v>
      </c>
      <c r="T111" t="s">
        <v>721</v>
      </c>
      <c r="U111">
        <v>1</v>
      </c>
    </row>
    <row r="112" spans="19:21" x14ac:dyDescent="0.25">
      <c r="S112">
        <v>2021</v>
      </c>
      <c r="T112" t="s">
        <v>722</v>
      </c>
      <c r="U112">
        <v>1</v>
      </c>
    </row>
    <row r="113" spans="19:21" x14ac:dyDescent="0.25">
      <c r="S113">
        <v>2022</v>
      </c>
      <c r="T113" t="s">
        <v>723</v>
      </c>
      <c r="U113">
        <v>1</v>
      </c>
    </row>
    <row r="114" spans="19:21" x14ac:dyDescent="0.25">
      <c r="S114">
        <v>2023</v>
      </c>
      <c r="T114" t="s">
        <v>724</v>
      </c>
      <c r="U114">
        <v>1</v>
      </c>
    </row>
    <row r="115" spans="19:21" x14ac:dyDescent="0.25">
      <c r="S115">
        <v>2025</v>
      </c>
      <c r="T115" t="s">
        <v>725</v>
      </c>
      <c r="U115">
        <v>1</v>
      </c>
    </row>
    <row r="116" spans="19:21" x14ac:dyDescent="0.25">
      <c r="S116">
        <v>2026</v>
      </c>
      <c r="T116" t="s">
        <v>726</v>
      </c>
      <c r="U116">
        <v>1</v>
      </c>
    </row>
    <row r="117" spans="19:21" x14ac:dyDescent="0.25">
      <c r="S117">
        <v>2027</v>
      </c>
      <c r="T117" t="s">
        <v>727</v>
      </c>
      <c r="U117">
        <v>1</v>
      </c>
    </row>
    <row r="118" spans="19:21" x14ac:dyDescent="0.25">
      <c r="S118">
        <v>2028</v>
      </c>
      <c r="T118" t="s">
        <v>728</v>
      </c>
      <c r="U118">
        <v>1</v>
      </c>
    </row>
    <row r="119" spans="19:21" x14ac:dyDescent="0.25">
      <c r="S119">
        <v>2029</v>
      </c>
      <c r="T119" t="s">
        <v>729</v>
      </c>
      <c r="U119">
        <v>1</v>
      </c>
    </row>
    <row r="120" spans="19:21" x14ac:dyDescent="0.25">
      <c r="S120">
        <v>2030</v>
      </c>
      <c r="T120" t="s">
        <v>730</v>
      </c>
      <c r="U120">
        <v>1</v>
      </c>
    </row>
    <row r="121" spans="19:21" x14ac:dyDescent="0.25">
      <c r="S121">
        <v>2031</v>
      </c>
      <c r="T121" t="s">
        <v>731</v>
      </c>
      <c r="U121">
        <v>1</v>
      </c>
    </row>
    <row r="122" spans="19:21" x14ac:dyDescent="0.25">
      <c r="S122">
        <v>2034</v>
      </c>
      <c r="T122" t="s">
        <v>732</v>
      </c>
      <c r="U122">
        <v>1</v>
      </c>
    </row>
    <row r="123" spans="19:21" x14ac:dyDescent="0.25">
      <c r="S123">
        <v>2037</v>
      </c>
      <c r="T123" t="s">
        <v>733</v>
      </c>
      <c r="U123">
        <v>1</v>
      </c>
    </row>
    <row r="124" spans="19:21" x14ac:dyDescent="0.25">
      <c r="S124">
        <v>2039</v>
      </c>
      <c r="T124" t="s">
        <v>734</v>
      </c>
      <c r="U124">
        <v>1</v>
      </c>
    </row>
    <row r="125" spans="19:21" x14ac:dyDescent="0.25">
      <c r="S125">
        <v>2042</v>
      </c>
      <c r="T125" t="s">
        <v>735</v>
      </c>
      <c r="U125">
        <v>1</v>
      </c>
    </row>
    <row r="126" spans="19:21" x14ac:dyDescent="0.25">
      <c r="S126">
        <v>3013</v>
      </c>
      <c r="T126" t="s">
        <v>736</v>
      </c>
      <c r="U126">
        <v>1</v>
      </c>
    </row>
    <row r="127" spans="19:21" x14ac:dyDescent="0.25">
      <c r="S127">
        <v>4000</v>
      </c>
      <c r="T127" t="s">
        <v>737</v>
      </c>
      <c r="U127">
        <v>1</v>
      </c>
    </row>
    <row r="128" spans="19:21" x14ac:dyDescent="0.25">
      <c r="S128">
        <v>4001</v>
      </c>
      <c r="T128" t="s">
        <v>738</v>
      </c>
      <c r="U128">
        <v>1</v>
      </c>
    </row>
    <row r="129" spans="19:21" x14ac:dyDescent="0.25">
      <c r="S129">
        <v>4002</v>
      </c>
      <c r="T129" t="s">
        <v>739</v>
      </c>
      <c r="U129">
        <v>1</v>
      </c>
    </row>
    <row r="130" spans="19:21" x14ac:dyDescent="0.25">
      <c r="S130">
        <v>4003</v>
      </c>
      <c r="T130" t="s">
        <v>740</v>
      </c>
      <c r="U130">
        <v>1</v>
      </c>
    </row>
    <row r="131" spans="19:21" x14ac:dyDescent="0.25">
      <c r="S131">
        <v>4004</v>
      </c>
      <c r="T131" t="s">
        <v>741</v>
      </c>
      <c r="U131">
        <v>1</v>
      </c>
    </row>
    <row r="132" spans="19:21" x14ac:dyDescent="0.25">
      <c r="S132">
        <v>4011</v>
      </c>
      <c r="T132" t="s">
        <v>742</v>
      </c>
      <c r="U132">
        <v>1</v>
      </c>
    </row>
    <row r="133" spans="19:21" x14ac:dyDescent="0.25">
      <c r="S133">
        <v>4012</v>
      </c>
      <c r="T133" t="s">
        <v>743</v>
      </c>
      <c r="U133">
        <v>1</v>
      </c>
    </row>
    <row r="134" spans="19:21" x14ac:dyDescent="0.25">
      <c r="S134">
        <v>9008</v>
      </c>
      <c r="T134" t="s">
        <v>744</v>
      </c>
      <c r="U134">
        <v>1</v>
      </c>
    </row>
    <row r="135" spans="19:21" x14ac:dyDescent="0.25">
      <c r="S135">
        <v>9019</v>
      </c>
      <c r="T135" t="s">
        <v>745</v>
      </c>
      <c r="U135">
        <v>1</v>
      </c>
    </row>
  </sheetData>
  <autoFilter ref="B1:I39" xr:uid="{4040BC2F-A623-48C5-85BC-1843CB0E4D1B}"/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BA54E-3763-4AD1-A4EB-8FD99E950480}">
  <dimension ref="D2:N21"/>
  <sheetViews>
    <sheetView workbookViewId="0">
      <selection activeCell="D10" sqref="D10"/>
    </sheetView>
  </sheetViews>
  <sheetFormatPr defaultRowHeight="15" x14ac:dyDescent="0.25"/>
  <cols>
    <col min="4" max="4" width="14.28515625" bestFit="1" customWidth="1"/>
    <col min="5" max="5" width="16.28515625" bestFit="1" customWidth="1"/>
    <col min="6" max="6" width="19.5703125" bestFit="1" customWidth="1"/>
    <col min="8" max="8" width="6.140625" bestFit="1" customWidth="1"/>
    <col min="9" max="9" width="5.28515625" bestFit="1" customWidth="1"/>
    <col min="10" max="10" width="16.7109375" style="288" bestFit="1" customWidth="1"/>
    <col min="11" max="11" width="10" style="278" customWidth="1"/>
    <col min="12" max="12" width="16.42578125" bestFit="1" customWidth="1"/>
  </cols>
  <sheetData>
    <row r="2" spans="4:14" x14ac:dyDescent="0.25">
      <c r="L2" s="291" t="s">
        <v>792</v>
      </c>
      <c r="M2" s="291"/>
      <c r="N2" s="278"/>
    </row>
    <row r="3" spans="4:14" x14ac:dyDescent="0.25">
      <c r="D3" s="290" t="s">
        <v>798</v>
      </c>
      <c r="E3" s="290" t="s">
        <v>27</v>
      </c>
      <c r="F3" s="290" t="s">
        <v>797</v>
      </c>
      <c r="G3" s="290" t="s">
        <v>796</v>
      </c>
      <c r="H3" s="290" t="s">
        <v>221</v>
      </c>
      <c r="I3" s="290" t="s">
        <v>793</v>
      </c>
      <c r="J3" s="289" t="s">
        <v>794</v>
      </c>
      <c r="K3" s="290" t="s">
        <v>795</v>
      </c>
      <c r="L3" s="289" t="s">
        <v>794</v>
      </c>
      <c r="M3" s="290" t="s">
        <v>795</v>
      </c>
    </row>
    <row r="4" spans="4:14" x14ac:dyDescent="0.25">
      <c r="D4" s="258">
        <v>1031</v>
      </c>
      <c r="E4" t="s">
        <v>787</v>
      </c>
      <c r="F4" t="s">
        <v>769</v>
      </c>
      <c r="G4">
        <v>70122</v>
      </c>
      <c r="H4">
        <f>_xlfn.XLOOKUP(D4,'Rendimentos '!B:B,'Rendimentos '!D:D)</f>
        <v>1</v>
      </c>
      <c r="I4">
        <f>_xlfn.XLOOKUP(D4,'Rendimentos '!B:B,'Rendimentos '!H:H)</f>
        <v>20</v>
      </c>
      <c r="J4" s="288">
        <f>_xlfn.XLOOKUP(D4,'Plano Horas'!C:C,'Plano Horas'!P:P)</f>
        <v>3.95</v>
      </c>
      <c r="K4" s="287">
        <f>I4*J4</f>
        <v>79</v>
      </c>
    </row>
    <row r="5" spans="4:14" x14ac:dyDescent="0.25">
      <c r="D5" s="258">
        <v>1031</v>
      </c>
      <c r="E5" t="s">
        <v>787</v>
      </c>
      <c r="F5" t="s">
        <v>770</v>
      </c>
      <c r="G5">
        <v>70121</v>
      </c>
      <c r="H5">
        <f>_xlfn.XLOOKUP(D5,'Rendimentos '!B:B,'Rendimentos '!D:D)</f>
        <v>1</v>
      </c>
      <c r="I5">
        <f>_xlfn.XLOOKUP(D5,'Rendimentos '!B:B,'Rendimentos '!H:H)</f>
        <v>20</v>
      </c>
      <c r="J5" s="288">
        <f>_xlfn.XLOOKUP(D5,'Plano Horas'!C:C,'Plano Horas'!P:P)</f>
        <v>3.95</v>
      </c>
      <c r="K5" s="287">
        <f t="shared" ref="K5:K21" si="0">I5*J5</f>
        <v>79</v>
      </c>
    </row>
    <row r="6" spans="4:14" x14ac:dyDescent="0.25">
      <c r="D6" s="258">
        <v>1031</v>
      </c>
      <c r="E6" t="s">
        <v>787</v>
      </c>
      <c r="F6" t="s">
        <v>771</v>
      </c>
      <c r="G6">
        <v>340</v>
      </c>
      <c r="H6">
        <f>_xlfn.XLOOKUP(D6,'Rendimentos '!B:B,'Rendimentos '!D:D)</f>
        <v>1</v>
      </c>
      <c r="I6">
        <f>_xlfn.XLOOKUP(D6,'Rendimentos '!B:B,'Rendimentos '!H:H)</f>
        <v>20</v>
      </c>
      <c r="J6" s="288">
        <f>_xlfn.XLOOKUP(D6,'Plano Horas'!C:C,'Plano Horas'!P:P)</f>
        <v>3.95</v>
      </c>
      <c r="K6" s="287">
        <f t="shared" si="0"/>
        <v>79</v>
      </c>
    </row>
    <row r="7" spans="4:14" x14ac:dyDescent="0.25">
      <c r="D7" s="258">
        <v>1091</v>
      </c>
      <c r="E7" t="s">
        <v>788</v>
      </c>
      <c r="F7" t="s">
        <v>772</v>
      </c>
      <c r="G7">
        <v>11125</v>
      </c>
      <c r="H7">
        <f>_xlfn.XLOOKUP(D7,'Rendimentos '!B:B,'Rendimentos '!D:D)</f>
        <v>1</v>
      </c>
      <c r="I7">
        <f>_xlfn.XLOOKUP(D7,'Rendimentos '!B:B,'Rendimentos '!H:H)</f>
        <v>0.5</v>
      </c>
      <c r="J7" s="288">
        <f>_xlfn.XLOOKUP(D7,'Plano Horas'!C:C,'Plano Horas'!P:P)</f>
        <v>3.6333333333333329</v>
      </c>
      <c r="K7" s="287">
        <f t="shared" si="0"/>
        <v>1.8166666666666664</v>
      </c>
    </row>
    <row r="8" spans="4:14" x14ac:dyDescent="0.25">
      <c r="D8" s="258">
        <v>1031</v>
      </c>
      <c r="E8" t="s">
        <v>787</v>
      </c>
      <c r="F8" t="s">
        <v>773</v>
      </c>
      <c r="G8">
        <v>11225</v>
      </c>
      <c r="H8">
        <f>_xlfn.XLOOKUP(D8,'Rendimentos '!B:B,'Rendimentos '!D:D)</f>
        <v>1</v>
      </c>
      <c r="I8">
        <f>_xlfn.XLOOKUP(D8,'Rendimentos '!B:B,'Rendimentos '!H:H)</f>
        <v>20</v>
      </c>
      <c r="J8" s="288">
        <f>_xlfn.XLOOKUP(D8,'Plano Horas'!C:C,'Plano Horas'!P:P)</f>
        <v>3.95</v>
      </c>
      <c r="K8" s="287">
        <f t="shared" si="0"/>
        <v>79</v>
      </c>
    </row>
    <row r="9" spans="4:14" x14ac:dyDescent="0.25">
      <c r="D9" s="258">
        <v>1091</v>
      </c>
      <c r="E9" t="s">
        <v>789</v>
      </c>
      <c r="F9" t="s">
        <v>774</v>
      </c>
      <c r="G9">
        <v>11124</v>
      </c>
      <c r="H9">
        <f>_xlfn.XLOOKUP(D9,'Rendimentos '!B:B,'Rendimentos '!D:D)</f>
        <v>1</v>
      </c>
      <c r="I9">
        <f>_xlfn.XLOOKUP(D9,'Rendimentos '!B:B,'Rendimentos '!H:H)</f>
        <v>0.5</v>
      </c>
      <c r="J9" s="288">
        <f>_xlfn.XLOOKUP(D9,'Plano Horas'!C:C,'Plano Horas'!P:P)</f>
        <v>3.6333333333333329</v>
      </c>
      <c r="K9" s="287">
        <f t="shared" si="0"/>
        <v>1.8166666666666664</v>
      </c>
    </row>
    <row r="10" spans="4:14" x14ac:dyDescent="0.25">
      <c r="D10" s="258">
        <v>1091</v>
      </c>
      <c r="E10" t="s">
        <v>789</v>
      </c>
      <c r="F10" t="s">
        <v>775</v>
      </c>
      <c r="G10">
        <v>11224</v>
      </c>
      <c r="H10">
        <f>_xlfn.XLOOKUP(D10,'Rendimentos '!B:B,'Rendimentos '!D:D)</f>
        <v>1</v>
      </c>
      <c r="I10">
        <f>_xlfn.XLOOKUP(D10,'Rendimentos '!B:B,'Rendimentos '!H:H)</f>
        <v>0.5</v>
      </c>
      <c r="J10" s="288">
        <f>_xlfn.XLOOKUP(D10,'Plano Horas'!C:C,'Plano Horas'!P:P)</f>
        <v>3.6333333333333329</v>
      </c>
      <c r="K10" s="287">
        <f t="shared" si="0"/>
        <v>1.8166666666666664</v>
      </c>
    </row>
    <row r="11" spans="4:14" x14ac:dyDescent="0.25">
      <c r="D11" s="258">
        <v>1073</v>
      </c>
      <c r="E11" t="s">
        <v>790</v>
      </c>
      <c r="F11" t="s">
        <v>776</v>
      </c>
      <c r="G11">
        <v>11418</v>
      </c>
      <c r="H11">
        <f>_xlfn.XLOOKUP(D11,'Rendimentos '!B:B,'Rendimentos '!D:D)</f>
        <v>1</v>
      </c>
      <c r="I11">
        <f>_xlfn.XLOOKUP(D11,'Rendimentos '!B:B,'Rendimentos '!H:H)</f>
        <v>1.5</v>
      </c>
      <c r="J11" s="288">
        <f>_xlfn.XLOOKUP(D11,'Plano Horas'!C:C,'Plano Horas'!P:P)</f>
        <v>4.0333333333333332</v>
      </c>
      <c r="K11" s="287">
        <f t="shared" si="0"/>
        <v>6.05</v>
      </c>
    </row>
    <row r="12" spans="4:14" x14ac:dyDescent="0.25">
      <c r="D12" s="258">
        <v>1073</v>
      </c>
      <c r="E12" t="s">
        <v>790</v>
      </c>
      <c r="F12" t="s">
        <v>777</v>
      </c>
      <c r="G12">
        <v>11518</v>
      </c>
      <c r="H12">
        <f>_xlfn.XLOOKUP(D12,'Rendimentos '!B:B,'Rendimentos '!D:D)</f>
        <v>1</v>
      </c>
      <c r="I12">
        <f>_xlfn.XLOOKUP(D12,'Rendimentos '!B:B,'Rendimentos '!H:H)</f>
        <v>1.5</v>
      </c>
      <c r="J12" s="288">
        <f>_xlfn.XLOOKUP(D12,'Plano Horas'!C:C,'Plano Horas'!P:P)</f>
        <v>4.0333333333333332</v>
      </c>
      <c r="K12" s="287">
        <f t="shared" si="0"/>
        <v>6.05</v>
      </c>
    </row>
    <row r="13" spans="4:14" x14ac:dyDescent="0.25">
      <c r="D13" s="258">
        <v>1073</v>
      </c>
      <c r="E13" t="s">
        <v>790</v>
      </c>
      <c r="F13" t="s">
        <v>778</v>
      </c>
      <c r="G13">
        <v>11618</v>
      </c>
      <c r="H13">
        <f>_xlfn.XLOOKUP(D13,'Rendimentos '!B:B,'Rendimentos '!D:D)</f>
        <v>1</v>
      </c>
      <c r="I13">
        <f>_xlfn.XLOOKUP(D13,'Rendimentos '!B:B,'Rendimentos '!H:H)</f>
        <v>1.5</v>
      </c>
      <c r="J13" s="288">
        <f>_xlfn.XLOOKUP(D13,'Plano Horas'!C:C,'Plano Horas'!P:P)</f>
        <v>4.0333333333333332</v>
      </c>
      <c r="K13" s="287">
        <f t="shared" si="0"/>
        <v>6.05</v>
      </c>
    </row>
    <row r="14" spans="4:14" x14ac:dyDescent="0.25">
      <c r="D14" s="258">
        <v>1073</v>
      </c>
      <c r="E14" t="s">
        <v>790</v>
      </c>
      <c r="F14" t="s">
        <v>779</v>
      </c>
      <c r="G14">
        <v>11718</v>
      </c>
      <c r="H14">
        <f>_xlfn.XLOOKUP(D14,'Rendimentos '!B:B,'Rendimentos '!D:D)</f>
        <v>1</v>
      </c>
      <c r="I14">
        <f>_xlfn.XLOOKUP(D14,'Rendimentos '!B:B,'Rendimentos '!H:H)</f>
        <v>1.5</v>
      </c>
      <c r="J14" s="288">
        <f>_xlfn.XLOOKUP(D14,'Plano Horas'!C:C,'Plano Horas'!P:P)</f>
        <v>4.0333333333333332</v>
      </c>
      <c r="K14" s="287">
        <f t="shared" si="0"/>
        <v>6.05</v>
      </c>
    </row>
    <row r="15" spans="4:14" x14ac:dyDescent="0.25">
      <c r="D15" s="258">
        <v>1020</v>
      </c>
      <c r="E15" t="s">
        <v>791</v>
      </c>
      <c r="F15" t="s">
        <v>780</v>
      </c>
      <c r="G15">
        <v>11324</v>
      </c>
      <c r="H15">
        <f>_xlfn.XLOOKUP(D15,'Rendimentos '!B:B,'Rendimentos '!D:D)</f>
        <v>1</v>
      </c>
      <c r="I15">
        <f>_xlfn.XLOOKUP(D15,'Rendimentos '!B:B,'Rendimentos '!H:H)</f>
        <v>1.4000000000000001</v>
      </c>
      <c r="J15" s="288">
        <f>_xlfn.XLOOKUP(D15,'Plano Horas'!C:C,'Plano Horas'!P:P)</f>
        <v>4.1166666666666671</v>
      </c>
      <c r="K15" s="287">
        <f t="shared" si="0"/>
        <v>5.7633333333333345</v>
      </c>
    </row>
    <row r="16" spans="4:14" x14ac:dyDescent="0.25">
      <c r="D16" s="258">
        <v>1020</v>
      </c>
      <c r="E16" t="s">
        <v>791</v>
      </c>
      <c r="F16" t="s">
        <v>781</v>
      </c>
      <c r="G16">
        <v>11424</v>
      </c>
      <c r="H16">
        <f>_xlfn.XLOOKUP(D16,'Rendimentos '!B:B,'Rendimentos '!D:D)</f>
        <v>1</v>
      </c>
      <c r="I16">
        <f>_xlfn.XLOOKUP(D16,'Rendimentos '!B:B,'Rendimentos '!H:H)</f>
        <v>1.4000000000000001</v>
      </c>
      <c r="J16" s="288">
        <f>_xlfn.XLOOKUP(D16,'Plano Horas'!C:C,'Plano Horas'!P:P)</f>
        <v>4.1166666666666671</v>
      </c>
      <c r="K16" s="287">
        <f t="shared" si="0"/>
        <v>5.7633333333333345</v>
      </c>
    </row>
    <row r="17" spans="4:11" x14ac:dyDescent="0.25">
      <c r="D17" s="258">
        <v>1020</v>
      </c>
      <c r="E17" t="s">
        <v>791</v>
      </c>
      <c r="F17" t="s">
        <v>782</v>
      </c>
      <c r="G17">
        <v>11524</v>
      </c>
      <c r="H17">
        <f>_xlfn.XLOOKUP(D17,'Rendimentos '!B:B,'Rendimentos '!D:D)</f>
        <v>1</v>
      </c>
      <c r="I17">
        <f>_xlfn.XLOOKUP(D17,'Rendimentos '!B:B,'Rendimentos '!H:H)</f>
        <v>1.4000000000000001</v>
      </c>
      <c r="J17" s="288">
        <f>_xlfn.XLOOKUP(D17,'Plano Horas'!C:C,'Plano Horas'!P:P)</f>
        <v>4.1166666666666671</v>
      </c>
      <c r="K17" s="287">
        <f t="shared" si="0"/>
        <v>5.7633333333333345</v>
      </c>
    </row>
    <row r="18" spans="4:11" x14ac:dyDescent="0.25">
      <c r="D18" s="258">
        <v>1091</v>
      </c>
      <c r="E18" t="s">
        <v>789</v>
      </c>
      <c r="F18" t="s">
        <v>783</v>
      </c>
      <c r="G18">
        <v>2120</v>
      </c>
      <c r="H18">
        <f>_xlfn.XLOOKUP(D18,'Rendimentos '!B:B,'Rendimentos '!D:D)</f>
        <v>1</v>
      </c>
      <c r="I18">
        <f>_xlfn.XLOOKUP(D18,'Rendimentos '!B:B,'Rendimentos '!H:H)</f>
        <v>0.5</v>
      </c>
      <c r="J18" s="288">
        <f>_xlfn.XLOOKUP(D18,'Plano Horas'!C:C,'Plano Horas'!P:P)</f>
        <v>3.6333333333333329</v>
      </c>
      <c r="K18" s="287">
        <f t="shared" si="0"/>
        <v>1.8166666666666664</v>
      </c>
    </row>
    <row r="19" spans="4:11" x14ac:dyDescent="0.25">
      <c r="D19" s="258">
        <v>1091</v>
      </c>
      <c r="E19" t="s">
        <v>789</v>
      </c>
      <c r="F19" t="s">
        <v>784</v>
      </c>
      <c r="G19">
        <v>2220</v>
      </c>
      <c r="H19">
        <f>_xlfn.XLOOKUP(D19,'Rendimentos '!B:B,'Rendimentos '!D:D)</f>
        <v>1</v>
      </c>
      <c r="I19">
        <f>_xlfn.XLOOKUP(D19,'Rendimentos '!B:B,'Rendimentos '!H:H)</f>
        <v>0.5</v>
      </c>
      <c r="J19" s="288">
        <f>_xlfn.XLOOKUP(D19,'Plano Horas'!C:C,'Plano Horas'!P:P)</f>
        <v>3.6333333333333329</v>
      </c>
      <c r="K19" s="287">
        <f t="shared" si="0"/>
        <v>1.8166666666666664</v>
      </c>
    </row>
    <row r="20" spans="4:11" x14ac:dyDescent="0.25">
      <c r="D20" s="258">
        <v>1091</v>
      </c>
      <c r="E20" t="s">
        <v>789</v>
      </c>
      <c r="F20" t="s">
        <v>785</v>
      </c>
      <c r="G20">
        <v>2320</v>
      </c>
      <c r="H20">
        <f>_xlfn.XLOOKUP(D20,'Rendimentos '!B:B,'Rendimentos '!D:D)</f>
        <v>1</v>
      </c>
      <c r="I20">
        <f>_xlfn.XLOOKUP(D20,'Rendimentos '!B:B,'Rendimentos '!H:H)</f>
        <v>0.5</v>
      </c>
      <c r="J20" s="288">
        <f>_xlfn.XLOOKUP(D20,'Plano Horas'!C:C,'Plano Horas'!P:P)</f>
        <v>3.6333333333333329</v>
      </c>
      <c r="K20" s="287">
        <f t="shared" si="0"/>
        <v>1.8166666666666664</v>
      </c>
    </row>
    <row r="21" spans="4:11" x14ac:dyDescent="0.25">
      <c r="D21" s="258">
        <v>1091</v>
      </c>
      <c r="E21" t="s">
        <v>789</v>
      </c>
      <c r="F21" t="s">
        <v>786</v>
      </c>
      <c r="G21" t="s">
        <v>786</v>
      </c>
      <c r="H21">
        <f>_xlfn.XLOOKUP(D21,'Rendimentos '!B:B,'Rendimentos '!D:D)</f>
        <v>1</v>
      </c>
      <c r="I21">
        <f>_xlfn.XLOOKUP(D21,'Rendimentos '!B:B,'Rendimentos '!H:H)</f>
        <v>0.5</v>
      </c>
      <c r="J21" s="288">
        <f>_xlfn.XLOOKUP(D21,'Plano Horas'!C:C,'Plano Horas'!P:P)</f>
        <v>3.6333333333333329</v>
      </c>
      <c r="K21" s="287">
        <f t="shared" si="0"/>
        <v>1.8166666666666664</v>
      </c>
    </row>
  </sheetData>
  <mergeCells count="1">
    <mergeCell ref="L2:M2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26BC9-694D-46E8-B4EA-7C867233D365}">
  <sheetPr>
    <tabColor rgb="FFFF0000"/>
    <pageSetUpPr fitToPage="1"/>
  </sheetPr>
  <dimension ref="A1:CV2265"/>
  <sheetViews>
    <sheetView showGridLines="0" topLeftCell="J2" zoomScale="80" zoomScaleNormal="80" workbookViewId="0">
      <selection activeCell="D10" sqref="D10"/>
    </sheetView>
  </sheetViews>
  <sheetFormatPr defaultColWidth="9.140625" defaultRowHeight="13.5" outlineLevelRow="1" outlineLevelCol="1" x14ac:dyDescent="0.25"/>
  <cols>
    <col min="1" max="1" width="20.7109375" style="15" hidden="1" customWidth="1" outlineLevel="1"/>
    <col min="2" max="2" width="39.140625" style="15" hidden="1" customWidth="1" outlineLevel="1"/>
    <col min="3" max="3" width="9.42578125" style="15" hidden="1" customWidth="1" outlineLevel="1"/>
    <col min="4" max="4" width="41.85546875" style="15" hidden="1" customWidth="1" outlineLevel="1"/>
    <col min="5" max="5" width="3" style="15" bestFit="1" customWidth="1" collapsed="1"/>
    <col min="6" max="6" width="5.140625" style="15" customWidth="1"/>
    <col min="7" max="7" width="34.140625" style="15" customWidth="1"/>
    <col min="8" max="8" width="10.7109375" style="17" bestFit="1" customWidth="1"/>
    <col min="9" max="9" width="21.85546875" style="17" bestFit="1" customWidth="1"/>
    <col min="10" max="10" width="21.140625" style="17" customWidth="1"/>
    <col min="11" max="11" width="22.28515625" style="17" bestFit="1" customWidth="1"/>
    <col min="12" max="12" width="11.85546875" style="17" customWidth="1"/>
    <col min="13" max="13" width="17.5703125" style="18" customWidth="1"/>
    <col min="14" max="14" width="13.7109375" style="17" customWidth="1"/>
    <col min="15" max="15" width="12.85546875" style="17" customWidth="1"/>
    <col min="16" max="21" width="12.85546875" style="18" customWidth="1"/>
    <col min="22" max="22" width="12.85546875" style="19" customWidth="1"/>
    <col min="23" max="27" width="12.85546875" style="18" customWidth="1"/>
    <col min="28" max="28" width="13.85546875" style="18" bestFit="1" customWidth="1"/>
    <col min="29" max="29" width="75" style="15" customWidth="1"/>
    <col min="30" max="30" width="2.7109375" style="14" customWidth="1"/>
    <col min="31" max="31" width="49.140625" style="14" customWidth="1"/>
    <col min="32" max="44" width="11.85546875" style="14" customWidth="1"/>
    <col min="45" max="45" width="2.7109375" style="14" customWidth="1"/>
    <col min="46" max="46" width="11.85546875" style="14" bestFit="1" customWidth="1"/>
    <col min="47" max="47" width="12" style="14" bestFit="1" customWidth="1"/>
    <col min="48" max="16384" width="9.140625" style="14"/>
  </cols>
  <sheetData>
    <row r="1" spans="1:100" ht="15" hidden="1" x14ac:dyDescent="0.25">
      <c r="A1" s="11" t="s">
        <v>87</v>
      </c>
      <c r="B1" s="11" t="s">
        <v>88</v>
      </c>
      <c r="C1" s="11" t="s">
        <v>89</v>
      </c>
      <c r="D1" s="11" t="s">
        <v>90</v>
      </c>
      <c r="E1" s="11" t="s">
        <v>91</v>
      </c>
      <c r="F1" s="11" t="s">
        <v>92</v>
      </c>
      <c r="G1" s="11" t="s">
        <v>93</v>
      </c>
      <c r="H1" s="11" t="s">
        <v>94</v>
      </c>
      <c r="I1" s="11" t="s">
        <v>95</v>
      </c>
      <c r="J1" s="11" t="s">
        <v>96</v>
      </c>
      <c r="K1" s="11" t="s">
        <v>97</v>
      </c>
      <c r="L1" s="11" t="s">
        <v>98</v>
      </c>
      <c r="M1" s="12" t="s">
        <v>99</v>
      </c>
      <c r="N1" s="13" t="s">
        <v>100</v>
      </c>
      <c r="O1" s="13" t="s">
        <v>101</v>
      </c>
      <c r="P1" s="12" t="s">
        <v>102</v>
      </c>
      <c r="Q1" s="12" t="s">
        <v>103</v>
      </c>
      <c r="R1" s="12" t="s">
        <v>104</v>
      </c>
      <c r="S1" s="12" t="s">
        <v>105</v>
      </c>
      <c r="T1" s="12" t="s">
        <v>106</v>
      </c>
      <c r="U1" s="12" t="s">
        <v>107</v>
      </c>
      <c r="V1" s="12" t="s">
        <v>108</v>
      </c>
      <c r="W1" s="12" t="s">
        <v>109</v>
      </c>
      <c r="X1" s="12" t="s">
        <v>110</v>
      </c>
      <c r="Y1" s="12" t="s">
        <v>111</v>
      </c>
      <c r="Z1" s="12" t="s">
        <v>112</v>
      </c>
      <c r="AA1" s="12" t="s">
        <v>113</v>
      </c>
      <c r="AB1" s="12" t="s">
        <v>114</v>
      </c>
      <c r="AC1" s="13" t="s">
        <v>115</v>
      </c>
      <c r="AD1" s="13" t="s">
        <v>116</v>
      </c>
      <c r="AE1" s="13" t="s">
        <v>117</v>
      </c>
      <c r="AF1" s="12" t="s">
        <v>118</v>
      </c>
      <c r="AG1" s="12" t="s">
        <v>119</v>
      </c>
      <c r="AH1" s="12" t="s">
        <v>120</v>
      </c>
      <c r="AI1" s="12" t="s">
        <v>121</v>
      </c>
      <c r="AJ1" s="12" t="s">
        <v>122</v>
      </c>
      <c r="AK1" s="12" t="s">
        <v>123</v>
      </c>
      <c r="AL1" s="12" t="s">
        <v>124</v>
      </c>
      <c r="AM1" s="12" t="s">
        <v>125</v>
      </c>
      <c r="AN1" s="12" t="s">
        <v>126</v>
      </c>
      <c r="AO1" s="12" t="s">
        <v>127</v>
      </c>
      <c r="AP1" s="12" t="s">
        <v>128</v>
      </c>
      <c r="AQ1" s="12" t="s">
        <v>129</v>
      </c>
      <c r="AR1" s="12" t="s">
        <v>130</v>
      </c>
      <c r="AS1" s="13" t="s">
        <v>131</v>
      </c>
      <c r="AT1" s="13" t="s">
        <v>132</v>
      </c>
      <c r="AU1" s="12" t="s">
        <v>133</v>
      </c>
      <c r="AV1" s="12" t="s">
        <v>134</v>
      </c>
      <c r="AW1" s="12" t="s">
        <v>135</v>
      </c>
      <c r="AX1" s="11" t="s">
        <v>136</v>
      </c>
      <c r="AY1" s="11" t="s">
        <v>137</v>
      </c>
      <c r="AZ1" s="11" t="s">
        <v>138</v>
      </c>
      <c r="BA1" s="11" t="s">
        <v>139</v>
      </c>
      <c r="BB1" s="11" t="s">
        <v>140</v>
      </c>
      <c r="BC1" s="11" t="s">
        <v>141</v>
      </c>
      <c r="BD1" s="11" t="s">
        <v>142</v>
      </c>
      <c r="BE1" s="11" t="s">
        <v>143</v>
      </c>
      <c r="BF1" s="11" t="s">
        <v>144</v>
      </c>
      <c r="BG1" s="11" t="s">
        <v>145</v>
      </c>
      <c r="BH1" s="11" t="s">
        <v>146</v>
      </c>
      <c r="BI1" s="11" t="s">
        <v>147</v>
      </c>
      <c r="BJ1" s="11" t="s">
        <v>148</v>
      </c>
      <c r="BK1" s="11" t="s">
        <v>149</v>
      </c>
      <c r="BL1" s="11" t="s">
        <v>150</v>
      </c>
      <c r="BM1" s="11" t="s">
        <v>151</v>
      </c>
      <c r="BN1" s="11" t="s">
        <v>152</v>
      </c>
      <c r="BO1" s="11" t="s">
        <v>153</v>
      </c>
      <c r="BP1" s="11" t="s">
        <v>154</v>
      </c>
      <c r="BQ1" s="11" t="s">
        <v>155</v>
      </c>
      <c r="BR1" s="11" t="s">
        <v>156</v>
      </c>
      <c r="BS1" s="11" t="s">
        <v>157</v>
      </c>
      <c r="BT1" s="11" t="s">
        <v>158</v>
      </c>
      <c r="BU1" s="11" t="s">
        <v>159</v>
      </c>
      <c r="BV1" s="11" t="s">
        <v>160</v>
      </c>
      <c r="BW1" s="11" t="s">
        <v>161</v>
      </c>
      <c r="BX1" s="11" t="s">
        <v>162</v>
      </c>
      <c r="BY1" s="11" t="s">
        <v>163</v>
      </c>
      <c r="BZ1" s="11" t="s">
        <v>164</v>
      </c>
      <c r="CA1" s="11" t="s">
        <v>165</v>
      </c>
      <c r="CB1" s="11" t="s">
        <v>166</v>
      </c>
      <c r="CC1" s="11" t="s">
        <v>167</v>
      </c>
      <c r="CD1" s="11" t="s">
        <v>168</v>
      </c>
      <c r="CE1" s="11" t="s">
        <v>169</v>
      </c>
      <c r="CF1" s="11" t="s">
        <v>170</v>
      </c>
      <c r="CG1" s="11" t="s">
        <v>171</v>
      </c>
      <c r="CH1" s="11" t="s">
        <v>172</v>
      </c>
      <c r="CI1" s="11" t="s">
        <v>173</v>
      </c>
      <c r="CJ1" s="11" t="s">
        <v>174</v>
      </c>
      <c r="CK1" s="11" t="s">
        <v>175</v>
      </c>
      <c r="CL1" s="11" t="s">
        <v>176</v>
      </c>
      <c r="CM1" s="11" t="s">
        <v>177</v>
      </c>
      <c r="CN1" s="11" t="s">
        <v>178</v>
      </c>
      <c r="CO1" s="11" t="s">
        <v>179</v>
      </c>
      <c r="CP1" s="11" t="s">
        <v>180</v>
      </c>
      <c r="CQ1" s="11" t="s">
        <v>181</v>
      </c>
      <c r="CR1" s="11" t="s">
        <v>182</v>
      </c>
      <c r="CS1" s="11" t="s">
        <v>183</v>
      </c>
      <c r="CT1" s="11" t="s">
        <v>184</v>
      </c>
      <c r="CU1" s="11" t="s">
        <v>185</v>
      </c>
      <c r="CV1" s="11" t="s">
        <v>186</v>
      </c>
    </row>
    <row r="3" spans="1:100" x14ac:dyDescent="0.25">
      <c r="F3" s="16" t="s">
        <v>187</v>
      </c>
    </row>
    <row r="5" spans="1:100" x14ac:dyDescent="0.25">
      <c r="F5" s="20" t="s">
        <v>188</v>
      </c>
      <c r="G5" s="21"/>
      <c r="H5" s="22"/>
      <c r="I5" s="22"/>
      <c r="J5" s="22"/>
      <c r="K5" s="22"/>
      <c r="L5" s="22"/>
      <c r="M5" s="23"/>
      <c r="N5" s="22"/>
      <c r="O5" s="22"/>
      <c r="P5" s="23"/>
      <c r="Q5" s="23"/>
      <c r="R5" s="23"/>
      <c r="S5" s="23"/>
      <c r="T5" s="23"/>
      <c r="U5" s="23"/>
      <c r="V5" s="24"/>
      <c r="W5" s="23"/>
      <c r="X5" s="23"/>
      <c r="Y5" s="23"/>
      <c r="Z5" s="23"/>
      <c r="AA5" s="23"/>
      <c r="AB5" s="23"/>
      <c r="AC5" s="25"/>
    </row>
    <row r="7" spans="1:100" x14ac:dyDescent="0.25">
      <c r="F7" s="26" t="s">
        <v>189</v>
      </c>
      <c r="G7" s="27"/>
    </row>
    <row r="9" spans="1:100" x14ac:dyDescent="0.25">
      <c r="A9" s="28"/>
      <c r="B9" s="28"/>
      <c r="C9" s="28"/>
      <c r="D9" s="28"/>
      <c r="E9" s="28"/>
      <c r="F9" s="29" t="s">
        <v>190</v>
      </c>
      <c r="G9" s="30"/>
      <c r="H9" s="31" t="s">
        <v>191</v>
      </c>
      <c r="I9" s="32"/>
      <c r="J9" s="33"/>
      <c r="K9" s="33"/>
      <c r="L9" s="33"/>
      <c r="M9" s="34"/>
      <c r="N9" s="33"/>
      <c r="O9" s="30"/>
      <c r="P9" s="35">
        <v>46113</v>
      </c>
      <c r="Q9" s="35">
        <v>46143</v>
      </c>
      <c r="R9" s="35">
        <v>46174</v>
      </c>
      <c r="S9" s="35">
        <v>46204</v>
      </c>
      <c r="T9" s="35">
        <v>46235</v>
      </c>
      <c r="U9" s="35">
        <v>46266</v>
      </c>
      <c r="V9" s="35">
        <v>46296</v>
      </c>
      <c r="W9" s="35">
        <v>46327</v>
      </c>
      <c r="X9" s="35">
        <v>46357</v>
      </c>
      <c r="Y9" s="35">
        <v>46388</v>
      </c>
      <c r="Z9" s="35">
        <v>46419</v>
      </c>
      <c r="AA9" s="35">
        <v>46447</v>
      </c>
      <c r="AB9" s="36" t="s">
        <v>85</v>
      </c>
      <c r="AC9" s="37" t="s">
        <v>192</v>
      </c>
    </row>
    <row r="10" spans="1:100" x14ac:dyDescent="0.25">
      <c r="A10" s="28"/>
      <c r="B10" s="28"/>
      <c r="C10" s="28"/>
      <c r="D10" s="28"/>
      <c r="E10" s="38"/>
      <c r="F10" s="39" t="s">
        <v>193</v>
      </c>
      <c r="G10" s="40"/>
      <c r="H10" s="41" t="s">
        <v>194</v>
      </c>
      <c r="I10" s="42"/>
      <c r="J10" s="43"/>
      <c r="K10" s="43"/>
      <c r="L10" s="43"/>
      <c r="M10" s="44"/>
      <c r="N10" s="43"/>
      <c r="O10" s="40"/>
      <c r="P10" s="45">
        <v>30</v>
      </c>
      <c r="Q10" s="45">
        <v>31</v>
      </c>
      <c r="R10" s="45">
        <v>30</v>
      </c>
      <c r="S10" s="45">
        <v>31</v>
      </c>
      <c r="T10" s="45">
        <v>31</v>
      </c>
      <c r="U10" s="45">
        <v>30</v>
      </c>
      <c r="V10" s="45">
        <v>31</v>
      </c>
      <c r="W10" s="45">
        <v>30</v>
      </c>
      <c r="X10" s="45">
        <v>31</v>
      </c>
      <c r="Y10" s="45">
        <v>31</v>
      </c>
      <c r="Z10" s="45">
        <v>28</v>
      </c>
      <c r="AA10" s="45">
        <v>31</v>
      </c>
      <c r="AB10" s="46">
        <f>SUM(P10:AA10)</f>
        <v>365</v>
      </c>
      <c r="AC10" s="47"/>
    </row>
    <row r="11" spans="1:100" x14ac:dyDescent="0.25">
      <c r="A11" s="28"/>
      <c r="B11" s="28"/>
      <c r="C11" s="28"/>
      <c r="D11" s="28"/>
      <c r="E11" s="38"/>
      <c r="F11" s="39" t="s">
        <v>195</v>
      </c>
      <c r="G11" s="40"/>
      <c r="H11" s="41" t="s">
        <v>194</v>
      </c>
      <c r="I11" s="42"/>
      <c r="J11" s="43"/>
      <c r="K11" s="43"/>
      <c r="L11" s="43"/>
      <c r="M11" s="44"/>
      <c r="N11" s="43"/>
      <c r="O11" s="40"/>
      <c r="P11" s="48">
        <v>16</v>
      </c>
      <c r="Q11" s="48">
        <v>28</v>
      </c>
      <c r="R11" s="48">
        <v>28</v>
      </c>
      <c r="S11" s="48">
        <v>30</v>
      </c>
      <c r="T11" s="48">
        <v>29</v>
      </c>
      <c r="U11" s="48">
        <v>27</v>
      </c>
      <c r="V11" s="48">
        <v>14</v>
      </c>
      <c r="W11" s="48"/>
      <c r="X11" s="48"/>
      <c r="Y11" s="48"/>
      <c r="Z11" s="48"/>
      <c r="AA11" s="48"/>
      <c r="AB11" s="46">
        <f>SUM(P11:AA11)</f>
        <v>172</v>
      </c>
      <c r="AC11" s="47"/>
    </row>
    <row r="12" spans="1:100" x14ac:dyDescent="0.25">
      <c r="A12" s="28"/>
      <c r="B12" s="28"/>
      <c r="C12" s="28"/>
      <c r="D12" s="28"/>
      <c r="E12" s="38"/>
      <c r="F12" s="49" t="s">
        <v>196</v>
      </c>
      <c r="G12" s="50"/>
      <c r="H12" s="51" t="s">
        <v>41</v>
      </c>
      <c r="I12" s="52"/>
      <c r="J12" s="53"/>
      <c r="K12" s="53"/>
      <c r="L12" s="53"/>
      <c r="M12" s="54"/>
      <c r="N12" s="53"/>
      <c r="O12" s="55"/>
      <c r="P12" s="56">
        <f t="shared" ref="P12:AB12" si="0">IFERROR(P11/P10,0)</f>
        <v>0.53333333333333333</v>
      </c>
      <c r="Q12" s="56">
        <f t="shared" si="0"/>
        <v>0.90322580645161288</v>
      </c>
      <c r="R12" s="56">
        <f t="shared" si="0"/>
        <v>0.93333333333333335</v>
      </c>
      <c r="S12" s="56">
        <f t="shared" si="0"/>
        <v>0.967741935483871</v>
      </c>
      <c r="T12" s="56">
        <f t="shared" si="0"/>
        <v>0.93548387096774188</v>
      </c>
      <c r="U12" s="56">
        <f t="shared" si="0"/>
        <v>0.9</v>
      </c>
      <c r="V12" s="56">
        <f t="shared" si="0"/>
        <v>0.45161290322580644</v>
      </c>
      <c r="W12" s="56">
        <f t="shared" si="0"/>
        <v>0</v>
      </c>
      <c r="X12" s="56">
        <f t="shared" si="0"/>
        <v>0</v>
      </c>
      <c r="Y12" s="56">
        <f t="shared" si="0"/>
        <v>0</v>
      </c>
      <c r="Z12" s="56">
        <f t="shared" si="0"/>
        <v>0</v>
      </c>
      <c r="AA12" s="56">
        <f t="shared" si="0"/>
        <v>0</v>
      </c>
      <c r="AB12" s="57">
        <f t="shared" si="0"/>
        <v>0.47123287671232877</v>
      </c>
      <c r="AC12" s="58"/>
    </row>
    <row r="13" spans="1:100" x14ac:dyDescent="0.25">
      <c r="A13" s="28"/>
      <c r="B13" s="28"/>
      <c r="C13" s="28"/>
      <c r="D13" s="28"/>
      <c r="E13" s="38"/>
      <c r="F13" s="59"/>
      <c r="G13" s="60"/>
      <c r="H13" s="60"/>
      <c r="I13" s="60"/>
      <c r="J13" s="60"/>
      <c r="K13" s="60"/>
      <c r="L13" s="60"/>
      <c r="M13" s="61"/>
      <c r="N13" s="60"/>
      <c r="O13" s="60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  <c r="AB13" s="62"/>
      <c r="AC13" s="63"/>
    </row>
    <row r="14" spans="1:100" x14ac:dyDescent="0.25">
      <c r="F14" s="26" t="s">
        <v>197</v>
      </c>
      <c r="G14" s="27"/>
      <c r="H14" s="27"/>
      <c r="I14" s="27"/>
      <c r="J14" s="64"/>
      <c r="K14" s="64"/>
      <c r="L14" s="64"/>
      <c r="M14" s="65"/>
      <c r="N14" s="64"/>
      <c r="O14" s="64"/>
      <c r="P14" s="65"/>
      <c r="Q14" s="65"/>
      <c r="R14" s="65"/>
      <c r="S14" s="65"/>
      <c r="T14" s="65"/>
      <c r="U14" s="65"/>
      <c r="V14" s="65"/>
      <c r="W14" s="66"/>
      <c r="X14" s="66"/>
      <c r="Y14" s="66"/>
      <c r="Z14" s="66"/>
      <c r="AA14" s="66"/>
      <c r="AB14" s="66"/>
      <c r="AC14" s="67"/>
    </row>
    <row r="15" spans="1:100" x14ac:dyDescent="0.25">
      <c r="A15" s="68"/>
      <c r="B15" s="68"/>
      <c r="C15" s="68"/>
      <c r="D15" s="68"/>
      <c r="E15" s="68"/>
      <c r="F15" s="69"/>
      <c r="G15" s="70"/>
      <c r="H15" s="70"/>
      <c r="I15" s="70"/>
      <c r="J15" s="71"/>
      <c r="K15" s="71"/>
      <c r="L15" s="71"/>
      <c r="M15" s="72"/>
      <c r="N15" s="71"/>
      <c r="O15" s="71"/>
      <c r="P15" s="72"/>
      <c r="Q15" s="72"/>
      <c r="R15" s="72"/>
      <c r="S15" s="72"/>
      <c r="T15" s="72"/>
      <c r="U15" s="72"/>
      <c r="V15" s="72"/>
      <c r="W15" s="73"/>
      <c r="X15" s="73"/>
      <c r="Y15" s="73"/>
      <c r="Z15" s="73"/>
      <c r="AA15" s="73"/>
      <c r="AB15" s="73"/>
      <c r="AC15" s="70"/>
    </row>
    <row r="16" spans="1:100" x14ac:dyDescent="0.25">
      <c r="A16" s="74"/>
      <c r="B16" s="74"/>
      <c r="C16" s="74"/>
      <c r="D16" s="74"/>
      <c r="E16" s="74"/>
      <c r="F16" s="75" t="s">
        <v>198</v>
      </c>
      <c r="G16" s="76"/>
      <c r="H16" s="77" t="s">
        <v>199</v>
      </c>
      <c r="I16" s="78"/>
      <c r="J16" s="79"/>
      <c r="K16" s="79"/>
      <c r="L16" s="79"/>
      <c r="M16" s="80"/>
      <c r="N16" s="79"/>
      <c r="O16" s="79"/>
      <c r="P16" s="35">
        <f t="shared" ref="P16:AA16" si="1">P$9</f>
        <v>46113</v>
      </c>
      <c r="Q16" s="35">
        <f t="shared" si="1"/>
        <v>46143</v>
      </c>
      <c r="R16" s="35">
        <f t="shared" si="1"/>
        <v>46174</v>
      </c>
      <c r="S16" s="35">
        <f t="shared" si="1"/>
        <v>46204</v>
      </c>
      <c r="T16" s="35">
        <f t="shared" si="1"/>
        <v>46235</v>
      </c>
      <c r="U16" s="35">
        <f t="shared" si="1"/>
        <v>46266</v>
      </c>
      <c r="V16" s="35">
        <f t="shared" si="1"/>
        <v>46296</v>
      </c>
      <c r="W16" s="35">
        <f t="shared" si="1"/>
        <v>46327</v>
      </c>
      <c r="X16" s="35">
        <f t="shared" si="1"/>
        <v>46357</v>
      </c>
      <c r="Y16" s="35">
        <f t="shared" si="1"/>
        <v>46388</v>
      </c>
      <c r="Z16" s="35">
        <f t="shared" si="1"/>
        <v>46419</v>
      </c>
      <c r="AA16" s="35">
        <f t="shared" si="1"/>
        <v>46447</v>
      </c>
      <c r="AB16" s="81" t="s">
        <v>85</v>
      </c>
      <c r="AC16" s="82" t="s">
        <v>192</v>
      </c>
    </row>
    <row r="17" spans="1:29" x14ac:dyDescent="0.25">
      <c r="A17" s="83"/>
      <c r="B17" s="83"/>
      <c r="C17" s="83"/>
      <c r="D17" s="83"/>
      <c r="E17" s="83"/>
      <c r="F17" s="84" t="s">
        <v>200</v>
      </c>
      <c r="G17" s="85"/>
      <c r="H17" s="86" t="s">
        <v>201</v>
      </c>
      <c r="I17" s="87"/>
      <c r="J17" s="88"/>
      <c r="K17" s="88"/>
      <c r="L17" s="88"/>
      <c r="M17" s="89"/>
      <c r="N17" s="88"/>
      <c r="O17" s="88"/>
      <c r="P17" s="90">
        <v>0</v>
      </c>
      <c r="Q17" s="90">
        <v>0</v>
      </c>
      <c r="R17" s="90">
        <v>0</v>
      </c>
      <c r="S17" s="90">
        <v>0</v>
      </c>
      <c r="T17" s="90">
        <v>0</v>
      </c>
      <c r="U17" s="90">
        <v>0</v>
      </c>
      <c r="V17" s="90">
        <v>0</v>
      </c>
      <c r="W17" s="90">
        <v>0</v>
      </c>
      <c r="X17" s="90">
        <v>0</v>
      </c>
      <c r="Y17" s="90">
        <v>0</v>
      </c>
      <c r="Z17" s="90">
        <v>0</v>
      </c>
      <c r="AA17" s="90">
        <v>0</v>
      </c>
      <c r="AB17" s="91">
        <f>SUM(P17:AA17)</f>
        <v>0</v>
      </c>
      <c r="AC17" s="92"/>
    </row>
    <row r="18" spans="1:29" x14ac:dyDescent="0.25">
      <c r="A18" s="83"/>
      <c r="B18" s="83"/>
      <c r="C18" s="83"/>
      <c r="D18" s="83"/>
      <c r="E18" s="83"/>
      <c r="F18" s="84" t="s">
        <v>202</v>
      </c>
      <c r="G18" s="85"/>
      <c r="H18" s="86" t="s">
        <v>201</v>
      </c>
      <c r="I18" s="87"/>
      <c r="J18" s="88"/>
      <c r="K18" s="88"/>
      <c r="L18" s="88"/>
      <c r="M18" s="89"/>
      <c r="N18" s="88"/>
      <c r="O18" s="88"/>
      <c r="P18" s="90">
        <v>600</v>
      </c>
      <c r="Q18" s="90">
        <v>150</v>
      </c>
      <c r="R18" s="90">
        <v>382</v>
      </c>
      <c r="S18" s="90">
        <v>518.19000000000005</v>
      </c>
      <c r="T18" s="90">
        <v>518.19000000000005</v>
      </c>
      <c r="U18" s="90">
        <v>600</v>
      </c>
      <c r="V18" s="90">
        <v>297.23</v>
      </c>
      <c r="W18" s="90">
        <v>0</v>
      </c>
      <c r="X18" s="90">
        <v>0</v>
      </c>
      <c r="Y18" s="90">
        <v>0</v>
      </c>
      <c r="Z18" s="90">
        <v>200</v>
      </c>
      <c r="AA18" s="90">
        <v>650</v>
      </c>
      <c r="AB18" s="93">
        <f>SUM(P18:AA18)</f>
        <v>3915.61</v>
      </c>
      <c r="AC18" s="94"/>
    </row>
    <row r="19" spans="1:29" x14ac:dyDescent="0.25">
      <c r="A19" s="83"/>
      <c r="B19" s="83"/>
      <c r="C19" s="83"/>
      <c r="D19" s="83"/>
      <c r="E19" s="83"/>
      <c r="F19" s="95" t="s">
        <v>203</v>
      </c>
      <c r="G19" s="85"/>
      <c r="H19" s="86" t="s">
        <v>201</v>
      </c>
      <c r="I19" s="87"/>
      <c r="J19" s="88"/>
      <c r="K19" s="88"/>
      <c r="L19" s="88"/>
      <c r="M19" s="89"/>
      <c r="N19" s="88"/>
      <c r="O19" s="88"/>
      <c r="P19" s="90">
        <v>0</v>
      </c>
      <c r="Q19" s="90">
        <v>0</v>
      </c>
      <c r="R19" s="90">
        <v>0</v>
      </c>
      <c r="S19" s="90">
        <v>0</v>
      </c>
      <c r="T19" s="90">
        <v>0</v>
      </c>
      <c r="U19" s="90">
        <v>0</v>
      </c>
      <c r="V19" s="90">
        <v>0</v>
      </c>
      <c r="W19" s="90">
        <v>0</v>
      </c>
      <c r="X19" s="90">
        <v>0</v>
      </c>
      <c r="Y19" s="90">
        <v>0</v>
      </c>
      <c r="Z19" s="90">
        <v>0</v>
      </c>
      <c r="AA19" s="90">
        <v>0</v>
      </c>
      <c r="AB19" s="93">
        <f>SUM(P19:AA19)</f>
        <v>0</v>
      </c>
      <c r="AC19" s="94"/>
    </row>
    <row r="20" spans="1:29" x14ac:dyDescent="0.25">
      <c r="A20" s="83"/>
      <c r="B20" s="83"/>
      <c r="C20" s="83"/>
      <c r="D20" s="83"/>
      <c r="E20" s="83"/>
      <c r="F20" s="95" t="s">
        <v>204</v>
      </c>
      <c r="G20" s="85"/>
      <c r="H20" s="86" t="s">
        <v>201</v>
      </c>
      <c r="I20" s="87"/>
      <c r="J20" s="88"/>
      <c r="K20" s="88"/>
      <c r="L20" s="88"/>
      <c r="M20" s="89"/>
      <c r="N20" s="88"/>
      <c r="O20" s="88"/>
      <c r="P20" s="90">
        <v>0</v>
      </c>
      <c r="Q20" s="90">
        <v>0</v>
      </c>
      <c r="R20" s="90">
        <v>0</v>
      </c>
      <c r="S20" s="90">
        <v>0</v>
      </c>
      <c r="T20" s="90">
        <v>0</v>
      </c>
      <c r="U20" s="90">
        <v>0</v>
      </c>
      <c r="V20" s="90">
        <v>0</v>
      </c>
      <c r="W20" s="90">
        <v>0</v>
      </c>
      <c r="X20" s="90">
        <v>0</v>
      </c>
      <c r="Y20" s="90">
        <v>0</v>
      </c>
      <c r="Z20" s="90">
        <v>0</v>
      </c>
      <c r="AA20" s="90">
        <v>0</v>
      </c>
      <c r="AB20" s="93">
        <f>SUM(P20:AA20)</f>
        <v>0</v>
      </c>
      <c r="AC20" s="94"/>
    </row>
    <row r="21" spans="1:29" x14ac:dyDescent="0.25">
      <c r="A21" s="83"/>
      <c r="B21" s="83"/>
      <c r="C21" s="83"/>
      <c r="D21" s="83"/>
      <c r="E21" s="83"/>
      <c r="F21" s="96" t="s">
        <v>85</v>
      </c>
      <c r="G21" s="97"/>
      <c r="H21" s="98" t="s">
        <v>201</v>
      </c>
      <c r="I21" s="99"/>
      <c r="J21" s="100"/>
      <c r="K21" s="100"/>
      <c r="L21" s="100"/>
      <c r="M21" s="101"/>
      <c r="N21" s="100"/>
      <c r="O21" s="100"/>
      <c r="P21" s="102">
        <f>SUM(P17:P20)</f>
        <v>600</v>
      </c>
      <c r="Q21" s="102">
        <f t="shared" ref="Q21:AB21" si="2">SUM(Q17:Q20)</f>
        <v>150</v>
      </c>
      <c r="R21" s="102">
        <f t="shared" si="2"/>
        <v>382</v>
      </c>
      <c r="S21" s="102">
        <f t="shared" si="2"/>
        <v>518.19000000000005</v>
      </c>
      <c r="T21" s="102">
        <f t="shared" si="2"/>
        <v>518.19000000000005</v>
      </c>
      <c r="U21" s="102">
        <f t="shared" si="2"/>
        <v>600</v>
      </c>
      <c r="V21" s="102">
        <f t="shared" si="2"/>
        <v>297.23</v>
      </c>
      <c r="W21" s="102">
        <f t="shared" si="2"/>
        <v>0</v>
      </c>
      <c r="X21" s="102">
        <f t="shared" si="2"/>
        <v>0</v>
      </c>
      <c r="Y21" s="102">
        <f t="shared" si="2"/>
        <v>0</v>
      </c>
      <c r="Z21" s="102">
        <f t="shared" si="2"/>
        <v>200</v>
      </c>
      <c r="AA21" s="102">
        <f t="shared" si="2"/>
        <v>650</v>
      </c>
      <c r="AB21" s="103">
        <f t="shared" si="2"/>
        <v>3915.61</v>
      </c>
      <c r="AC21" s="104"/>
    </row>
    <row r="22" spans="1:29" x14ac:dyDescent="0.25">
      <c r="A22" s="83"/>
      <c r="B22" s="83"/>
      <c r="C22" s="83"/>
      <c r="D22" s="83"/>
      <c r="E22" s="83"/>
      <c r="F22" s="105"/>
      <c r="G22" s="106"/>
      <c r="H22" s="106"/>
      <c r="I22" s="106"/>
      <c r="J22" s="106"/>
      <c r="K22" s="106"/>
      <c r="L22" s="106"/>
      <c r="M22" s="107"/>
      <c r="N22" s="106"/>
      <c r="O22" s="106"/>
      <c r="P22" s="107"/>
      <c r="Q22" s="107"/>
      <c r="R22" s="107"/>
      <c r="S22" s="107"/>
      <c r="T22" s="107"/>
      <c r="U22" s="107"/>
      <c r="V22" s="107"/>
      <c r="W22" s="107"/>
      <c r="X22" s="107"/>
      <c r="Y22" s="107"/>
      <c r="Z22" s="107"/>
      <c r="AA22" s="107"/>
      <c r="AB22" s="108"/>
      <c r="AC22" s="109"/>
    </row>
    <row r="23" spans="1:29" x14ac:dyDescent="0.25">
      <c r="A23" s="83"/>
      <c r="B23" s="83"/>
      <c r="C23" s="83"/>
      <c r="D23" s="83"/>
      <c r="E23" s="83"/>
      <c r="F23" s="69" t="s">
        <v>205</v>
      </c>
      <c r="G23" s="106"/>
      <c r="H23" s="106"/>
      <c r="I23" s="106"/>
      <c r="J23" s="106"/>
      <c r="K23" s="106"/>
      <c r="L23" s="106"/>
      <c r="M23" s="110"/>
      <c r="N23" s="106"/>
      <c r="O23" s="106"/>
      <c r="P23" s="110"/>
      <c r="Q23" s="110"/>
      <c r="R23" s="110"/>
      <c r="S23" s="110"/>
      <c r="T23" s="110"/>
      <c r="U23" s="110"/>
      <c r="V23" s="110"/>
      <c r="W23" s="110"/>
      <c r="X23" s="110"/>
      <c r="Y23" s="110"/>
      <c r="Z23" s="110"/>
      <c r="AA23" s="110"/>
      <c r="AB23" s="109"/>
      <c r="AC23" s="109"/>
    </row>
    <row r="24" spans="1:29" x14ac:dyDescent="0.25">
      <c r="A24" s="74"/>
      <c r="B24" s="74" t="s">
        <v>206</v>
      </c>
      <c r="C24" s="74" t="s">
        <v>207</v>
      </c>
      <c r="D24" s="74" t="s">
        <v>208</v>
      </c>
      <c r="E24" s="74"/>
      <c r="F24" s="75" t="s">
        <v>209</v>
      </c>
      <c r="G24" s="76"/>
      <c r="H24" s="77" t="s">
        <v>199</v>
      </c>
      <c r="I24" s="78"/>
      <c r="J24" s="79"/>
      <c r="K24" s="79"/>
      <c r="L24" s="79"/>
      <c r="M24" s="80"/>
      <c r="N24" s="79"/>
      <c r="O24" s="111"/>
      <c r="P24" s="35">
        <f t="shared" ref="P24:AA24" si="3">P$9</f>
        <v>46113</v>
      </c>
      <c r="Q24" s="35">
        <f t="shared" si="3"/>
        <v>46143</v>
      </c>
      <c r="R24" s="35">
        <f t="shared" si="3"/>
        <v>46174</v>
      </c>
      <c r="S24" s="35">
        <f t="shared" si="3"/>
        <v>46204</v>
      </c>
      <c r="T24" s="35">
        <f t="shared" si="3"/>
        <v>46235</v>
      </c>
      <c r="U24" s="35">
        <f t="shared" si="3"/>
        <v>46266</v>
      </c>
      <c r="V24" s="35">
        <f t="shared" si="3"/>
        <v>46296</v>
      </c>
      <c r="W24" s="35">
        <f t="shared" si="3"/>
        <v>46327</v>
      </c>
      <c r="X24" s="35">
        <f t="shared" si="3"/>
        <v>46357</v>
      </c>
      <c r="Y24" s="35">
        <f t="shared" si="3"/>
        <v>46388</v>
      </c>
      <c r="Z24" s="35">
        <f t="shared" si="3"/>
        <v>46419</v>
      </c>
      <c r="AA24" s="35">
        <f t="shared" si="3"/>
        <v>46447</v>
      </c>
      <c r="AB24" s="112" t="s">
        <v>85</v>
      </c>
      <c r="AC24" s="113" t="s">
        <v>192</v>
      </c>
    </row>
    <row r="25" spans="1:29" x14ac:dyDescent="0.25">
      <c r="A25" s="83"/>
      <c r="B25" s="83" t="str">
        <f>C25&amp;D25</f>
        <v>1000PREP</v>
      </c>
      <c r="C25" s="83">
        <v>1000</v>
      </c>
      <c r="D25" s="83" t="s">
        <v>210</v>
      </c>
      <c r="E25" s="83"/>
      <c r="F25" s="114" t="s">
        <v>200</v>
      </c>
      <c r="G25" s="115"/>
      <c r="H25" s="116" t="s">
        <v>41</v>
      </c>
      <c r="I25" s="117"/>
      <c r="J25" s="118"/>
      <c r="K25" s="118"/>
      <c r="L25" s="118"/>
      <c r="M25" s="119"/>
      <c r="N25" s="118"/>
      <c r="O25" s="120"/>
      <c r="P25" s="121">
        <v>1</v>
      </c>
      <c r="Q25" s="121">
        <v>1</v>
      </c>
      <c r="R25" s="121">
        <v>1</v>
      </c>
      <c r="S25" s="121">
        <v>1</v>
      </c>
      <c r="T25" s="121">
        <v>1</v>
      </c>
      <c r="U25" s="121">
        <v>1</v>
      </c>
      <c r="V25" s="121">
        <v>1</v>
      </c>
      <c r="W25" s="121">
        <v>1</v>
      </c>
      <c r="X25" s="121">
        <v>1</v>
      </c>
      <c r="Y25" s="121">
        <v>1</v>
      </c>
      <c r="Z25" s="121">
        <v>1</v>
      </c>
      <c r="AA25" s="121">
        <v>1</v>
      </c>
      <c r="AB25" s="122">
        <v>1</v>
      </c>
      <c r="AC25" s="123"/>
    </row>
    <row r="26" spans="1:29" x14ac:dyDescent="0.25">
      <c r="A26" s="83"/>
      <c r="B26" s="83" t="str">
        <f>C26&amp;D26</f>
        <v/>
      </c>
      <c r="C26" s="83"/>
      <c r="D26" s="83"/>
      <c r="E26" s="83"/>
      <c r="F26" s="114" t="s">
        <v>202</v>
      </c>
      <c r="G26" s="115"/>
      <c r="H26" s="116" t="s">
        <v>41</v>
      </c>
      <c r="I26" s="117"/>
      <c r="J26" s="118"/>
      <c r="K26" s="118"/>
      <c r="L26" s="118"/>
      <c r="M26" s="119"/>
      <c r="N26" s="118"/>
      <c r="O26" s="120"/>
      <c r="P26" s="121">
        <v>1</v>
      </c>
      <c r="Q26" s="121">
        <v>1</v>
      </c>
      <c r="R26" s="121">
        <v>1</v>
      </c>
      <c r="S26" s="121">
        <v>1</v>
      </c>
      <c r="T26" s="121">
        <v>1</v>
      </c>
      <c r="U26" s="121">
        <v>1</v>
      </c>
      <c r="V26" s="121">
        <v>1</v>
      </c>
      <c r="W26" s="121">
        <v>1</v>
      </c>
      <c r="X26" s="121">
        <v>1</v>
      </c>
      <c r="Y26" s="121">
        <v>1</v>
      </c>
      <c r="Z26" s="121">
        <v>1</v>
      </c>
      <c r="AA26" s="121">
        <v>1</v>
      </c>
      <c r="AB26" s="122">
        <v>1</v>
      </c>
      <c r="AC26" s="123"/>
    </row>
    <row r="27" spans="1:29" x14ac:dyDescent="0.25">
      <c r="A27" s="83"/>
      <c r="B27" s="83" t="str">
        <f>C27&amp;D27</f>
        <v/>
      </c>
      <c r="C27" s="83"/>
      <c r="D27" s="83"/>
      <c r="E27" s="83"/>
      <c r="F27" s="114" t="s">
        <v>202</v>
      </c>
      <c r="G27" s="115"/>
      <c r="H27" s="116" t="s">
        <v>41</v>
      </c>
      <c r="I27" s="117"/>
      <c r="J27" s="118"/>
      <c r="K27" s="118"/>
      <c r="L27" s="118"/>
      <c r="M27" s="119"/>
      <c r="N27" s="118"/>
      <c r="O27" s="120"/>
      <c r="P27" s="121">
        <v>1</v>
      </c>
      <c r="Q27" s="121">
        <v>1</v>
      </c>
      <c r="R27" s="121">
        <v>1</v>
      </c>
      <c r="S27" s="121">
        <v>1</v>
      </c>
      <c r="T27" s="121">
        <v>1</v>
      </c>
      <c r="U27" s="121">
        <v>1</v>
      </c>
      <c r="V27" s="121">
        <v>1</v>
      </c>
      <c r="W27" s="121">
        <v>1</v>
      </c>
      <c r="X27" s="121">
        <v>1</v>
      </c>
      <c r="Y27" s="121">
        <v>1</v>
      </c>
      <c r="Z27" s="121">
        <v>1</v>
      </c>
      <c r="AA27" s="121">
        <v>1</v>
      </c>
      <c r="AB27" s="122">
        <v>1</v>
      </c>
      <c r="AC27" s="123"/>
    </row>
    <row r="28" spans="1:29" x14ac:dyDescent="0.25">
      <c r="A28" s="83"/>
      <c r="B28" s="83" t="str">
        <f>C28&amp;D28</f>
        <v/>
      </c>
      <c r="C28" s="83"/>
      <c r="D28" s="83"/>
      <c r="E28" s="83"/>
      <c r="F28" s="114" t="s">
        <v>211</v>
      </c>
      <c r="G28" s="115"/>
      <c r="H28" s="116" t="s">
        <v>41</v>
      </c>
      <c r="I28" s="117"/>
      <c r="J28" s="118"/>
      <c r="K28" s="118"/>
      <c r="L28" s="118"/>
      <c r="M28" s="119"/>
      <c r="N28" s="118"/>
      <c r="O28" s="120"/>
      <c r="P28" s="121">
        <v>1</v>
      </c>
      <c r="Q28" s="121">
        <v>1</v>
      </c>
      <c r="R28" s="121">
        <v>1</v>
      </c>
      <c r="S28" s="121">
        <v>1</v>
      </c>
      <c r="T28" s="121">
        <v>1</v>
      </c>
      <c r="U28" s="121">
        <v>1</v>
      </c>
      <c r="V28" s="121">
        <v>1</v>
      </c>
      <c r="W28" s="121">
        <v>1</v>
      </c>
      <c r="X28" s="121">
        <v>1</v>
      </c>
      <c r="Y28" s="121">
        <v>1</v>
      </c>
      <c r="Z28" s="121">
        <v>1</v>
      </c>
      <c r="AA28" s="121">
        <v>1</v>
      </c>
      <c r="AB28" s="122">
        <v>1</v>
      </c>
      <c r="AC28" s="123"/>
    </row>
    <row r="29" spans="1:29" x14ac:dyDescent="0.25">
      <c r="A29" s="83"/>
      <c r="B29" s="83"/>
      <c r="C29" s="83"/>
      <c r="D29" s="83"/>
      <c r="E29" s="83"/>
      <c r="F29" s="124" t="s">
        <v>85</v>
      </c>
      <c r="G29" s="125"/>
      <c r="H29" s="126" t="s">
        <v>41</v>
      </c>
      <c r="I29" s="127"/>
      <c r="J29" s="128"/>
      <c r="K29" s="128"/>
      <c r="L29" s="128"/>
      <c r="M29" s="129"/>
      <c r="N29" s="128"/>
      <c r="O29" s="130"/>
      <c r="P29" s="131">
        <v>1</v>
      </c>
      <c r="Q29" s="131">
        <v>1</v>
      </c>
      <c r="R29" s="131">
        <v>1</v>
      </c>
      <c r="S29" s="131">
        <v>1</v>
      </c>
      <c r="T29" s="131">
        <v>1</v>
      </c>
      <c r="U29" s="131">
        <v>1</v>
      </c>
      <c r="V29" s="131">
        <v>1</v>
      </c>
      <c r="W29" s="131">
        <v>1</v>
      </c>
      <c r="X29" s="131">
        <v>1</v>
      </c>
      <c r="Y29" s="131">
        <v>1</v>
      </c>
      <c r="Z29" s="131">
        <v>1</v>
      </c>
      <c r="AA29" s="131">
        <v>1</v>
      </c>
      <c r="AB29" s="132">
        <v>1</v>
      </c>
      <c r="AC29" s="133"/>
    </row>
    <row r="30" spans="1:29" x14ac:dyDescent="0.25">
      <c r="A30" s="68"/>
      <c r="B30" s="68"/>
      <c r="C30" s="68"/>
      <c r="D30" s="68"/>
      <c r="E30" s="68"/>
      <c r="F30" s="134"/>
      <c r="G30" s="106"/>
      <c r="H30" s="106"/>
      <c r="I30" s="106"/>
      <c r="J30" s="106"/>
      <c r="K30" s="106"/>
      <c r="L30" s="106"/>
      <c r="M30" s="110"/>
      <c r="N30" s="106"/>
      <c r="O30" s="106"/>
      <c r="P30" s="110"/>
      <c r="Q30" s="110"/>
      <c r="R30" s="110"/>
      <c r="S30" s="110"/>
      <c r="T30" s="110"/>
      <c r="U30" s="110"/>
      <c r="V30" s="110"/>
      <c r="W30" s="110"/>
      <c r="X30" s="110"/>
      <c r="Y30" s="110"/>
      <c r="Z30" s="110"/>
      <c r="AA30" s="110"/>
      <c r="AB30" s="110"/>
      <c r="AC30" s="106"/>
    </row>
    <row r="31" spans="1:29" x14ac:dyDescent="0.25">
      <c r="A31" s="83"/>
      <c r="B31" s="83"/>
      <c r="C31" s="83"/>
      <c r="D31" s="83"/>
      <c r="E31" s="83"/>
      <c r="F31" s="69" t="s">
        <v>212</v>
      </c>
      <c r="G31" s="106"/>
      <c r="H31" s="106"/>
      <c r="I31" s="106"/>
      <c r="J31" s="106"/>
      <c r="K31" s="106"/>
      <c r="L31" s="106"/>
      <c r="M31" s="110"/>
      <c r="N31" s="106"/>
      <c r="O31" s="106"/>
      <c r="P31" s="110"/>
      <c r="Q31" s="110"/>
      <c r="R31" s="110"/>
      <c r="S31" s="110"/>
      <c r="T31" s="110"/>
      <c r="U31" s="110"/>
      <c r="V31" s="110"/>
      <c r="W31" s="110"/>
      <c r="X31" s="110"/>
      <c r="Y31" s="110"/>
      <c r="Z31" s="110"/>
      <c r="AA31" s="110"/>
      <c r="AB31" s="109"/>
      <c r="AC31" s="109"/>
    </row>
    <row r="32" spans="1:29" x14ac:dyDescent="0.25">
      <c r="A32" s="74"/>
      <c r="B32" s="74" t="s">
        <v>206</v>
      </c>
      <c r="C32" s="74" t="s">
        <v>207</v>
      </c>
      <c r="D32" s="74" t="s">
        <v>208</v>
      </c>
      <c r="E32" s="74"/>
      <c r="F32" s="75" t="s">
        <v>209</v>
      </c>
      <c r="G32" s="76"/>
      <c r="H32" s="77" t="s">
        <v>199</v>
      </c>
      <c r="I32" s="78"/>
      <c r="J32" s="79"/>
      <c r="K32" s="79"/>
      <c r="L32" s="79"/>
      <c r="M32" s="80"/>
      <c r="N32" s="79"/>
      <c r="O32" s="111"/>
      <c r="P32" s="35">
        <f t="shared" ref="P32:AA32" si="4">P$9</f>
        <v>46113</v>
      </c>
      <c r="Q32" s="35">
        <f t="shared" si="4"/>
        <v>46143</v>
      </c>
      <c r="R32" s="35">
        <f t="shared" si="4"/>
        <v>46174</v>
      </c>
      <c r="S32" s="35">
        <f t="shared" si="4"/>
        <v>46204</v>
      </c>
      <c r="T32" s="35">
        <f t="shared" si="4"/>
        <v>46235</v>
      </c>
      <c r="U32" s="35">
        <f t="shared" si="4"/>
        <v>46266</v>
      </c>
      <c r="V32" s="35">
        <f t="shared" si="4"/>
        <v>46296</v>
      </c>
      <c r="W32" s="35">
        <f t="shared" si="4"/>
        <v>46327</v>
      </c>
      <c r="X32" s="35">
        <f t="shared" si="4"/>
        <v>46357</v>
      </c>
      <c r="Y32" s="35">
        <f t="shared" si="4"/>
        <v>46388</v>
      </c>
      <c r="Z32" s="35">
        <f t="shared" si="4"/>
        <v>46419</v>
      </c>
      <c r="AA32" s="35">
        <f t="shared" si="4"/>
        <v>46447</v>
      </c>
      <c r="AB32" s="112" t="s">
        <v>85</v>
      </c>
      <c r="AC32" s="113" t="s">
        <v>192</v>
      </c>
    </row>
    <row r="33" spans="1:44" x14ac:dyDescent="0.25">
      <c r="A33" s="83"/>
      <c r="B33" s="83" t="str">
        <f>C33&amp;D33</f>
        <v>1000PREP</v>
      </c>
      <c r="C33" s="83">
        <v>1000</v>
      </c>
      <c r="D33" s="83" t="s">
        <v>210</v>
      </c>
      <c r="E33" s="83"/>
      <c r="F33" s="114" t="s">
        <v>200</v>
      </c>
      <c r="G33" s="115"/>
      <c r="H33" s="116" t="s">
        <v>41</v>
      </c>
      <c r="I33" s="117"/>
      <c r="J33" s="118"/>
      <c r="K33" s="118"/>
      <c r="L33" s="118"/>
      <c r="M33" s="119"/>
      <c r="N33" s="118"/>
      <c r="O33" s="120"/>
      <c r="P33" s="121">
        <f t="shared" ref="P33:AA33" si="5">IFERROR(IF(SUM(P$17:P$18)=0,$AB33,P17/SUM(P$17:P$18)),0)</f>
        <v>0</v>
      </c>
      <c r="Q33" s="121">
        <f t="shared" si="5"/>
        <v>0</v>
      </c>
      <c r="R33" s="121">
        <f t="shared" si="5"/>
        <v>0</v>
      </c>
      <c r="S33" s="121">
        <f t="shared" si="5"/>
        <v>0</v>
      </c>
      <c r="T33" s="121">
        <f t="shared" si="5"/>
        <v>0</v>
      </c>
      <c r="U33" s="121">
        <f t="shared" si="5"/>
        <v>0</v>
      </c>
      <c r="V33" s="121">
        <f t="shared" si="5"/>
        <v>0</v>
      </c>
      <c r="W33" s="121">
        <f t="shared" si="5"/>
        <v>0</v>
      </c>
      <c r="X33" s="121">
        <f t="shared" si="5"/>
        <v>0</v>
      </c>
      <c r="Y33" s="121">
        <f t="shared" si="5"/>
        <v>0</v>
      </c>
      <c r="Z33" s="121">
        <f t="shared" si="5"/>
        <v>0</v>
      </c>
      <c r="AA33" s="121">
        <f t="shared" si="5"/>
        <v>0</v>
      </c>
      <c r="AB33" s="122">
        <f>IFERROR(IF(SUM(AB$17:AB$18)=0,0,AB17/SUM(AB$17:AB$18)),0)</f>
        <v>0</v>
      </c>
      <c r="AC33" s="123"/>
    </row>
    <row r="34" spans="1:44" x14ac:dyDescent="0.25">
      <c r="A34" s="83"/>
      <c r="B34" s="83" t="str">
        <f>C34&amp;D34</f>
        <v/>
      </c>
      <c r="C34" s="83"/>
      <c r="D34" s="83"/>
      <c r="E34" s="83"/>
      <c r="F34" s="114" t="s">
        <v>202</v>
      </c>
      <c r="G34" s="115"/>
      <c r="H34" s="116" t="s">
        <v>41</v>
      </c>
      <c r="I34" s="117"/>
      <c r="J34" s="118"/>
      <c r="K34" s="118"/>
      <c r="L34" s="118"/>
      <c r="M34" s="119"/>
      <c r="N34" s="118"/>
      <c r="O34" s="120"/>
      <c r="P34" s="121">
        <f t="shared" ref="P34:AA34" si="6">IFERROR(IF(SUM(P$17:P$18)=0,$AB34,P18/SUM(P$17:P$18)),0)</f>
        <v>1</v>
      </c>
      <c r="Q34" s="121">
        <f t="shared" si="6"/>
        <v>1</v>
      </c>
      <c r="R34" s="121">
        <f t="shared" si="6"/>
        <v>1</v>
      </c>
      <c r="S34" s="121">
        <f t="shared" si="6"/>
        <v>1</v>
      </c>
      <c r="T34" s="121">
        <f t="shared" si="6"/>
        <v>1</v>
      </c>
      <c r="U34" s="121">
        <f t="shared" si="6"/>
        <v>1</v>
      </c>
      <c r="V34" s="121">
        <f t="shared" si="6"/>
        <v>1</v>
      </c>
      <c r="W34" s="121">
        <f t="shared" si="6"/>
        <v>1</v>
      </c>
      <c r="X34" s="121">
        <f t="shared" si="6"/>
        <v>1</v>
      </c>
      <c r="Y34" s="121">
        <f t="shared" si="6"/>
        <v>1</v>
      </c>
      <c r="Z34" s="121">
        <f t="shared" si="6"/>
        <v>1</v>
      </c>
      <c r="AA34" s="121">
        <f t="shared" si="6"/>
        <v>1</v>
      </c>
      <c r="AB34" s="122">
        <f>IFERROR(IF(SUM(AB$17:AB$18)=0,0,AB18/SUM(AB$17:AB$18)),0)</f>
        <v>1</v>
      </c>
      <c r="AC34" s="123"/>
    </row>
    <row r="35" spans="1:44" x14ac:dyDescent="0.25">
      <c r="A35" s="83"/>
      <c r="B35" s="83"/>
      <c r="C35" s="83"/>
      <c r="D35" s="83"/>
      <c r="E35" s="83"/>
      <c r="F35" s="124" t="s">
        <v>85</v>
      </c>
      <c r="G35" s="125"/>
      <c r="H35" s="126" t="s">
        <v>41</v>
      </c>
      <c r="I35" s="127"/>
      <c r="J35" s="128"/>
      <c r="K35" s="128"/>
      <c r="L35" s="128"/>
      <c r="M35" s="129"/>
      <c r="N35" s="128"/>
      <c r="O35" s="130"/>
      <c r="P35" s="131">
        <f t="shared" ref="P35:AB35" si="7">SUM(P33:P34)</f>
        <v>1</v>
      </c>
      <c r="Q35" s="131">
        <f t="shared" si="7"/>
        <v>1</v>
      </c>
      <c r="R35" s="131">
        <f t="shared" si="7"/>
        <v>1</v>
      </c>
      <c r="S35" s="131">
        <f t="shared" si="7"/>
        <v>1</v>
      </c>
      <c r="T35" s="131">
        <f t="shared" si="7"/>
        <v>1</v>
      </c>
      <c r="U35" s="131">
        <f t="shared" si="7"/>
        <v>1</v>
      </c>
      <c r="V35" s="131">
        <f t="shared" si="7"/>
        <v>1</v>
      </c>
      <c r="W35" s="131">
        <f t="shared" si="7"/>
        <v>1</v>
      </c>
      <c r="X35" s="131">
        <f t="shared" si="7"/>
        <v>1</v>
      </c>
      <c r="Y35" s="131">
        <f t="shared" si="7"/>
        <v>1</v>
      </c>
      <c r="Z35" s="131">
        <f t="shared" si="7"/>
        <v>1</v>
      </c>
      <c r="AA35" s="131">
        <f t="shared" si="7"/>
        <v>1</v>
      </c>
      <c r="AB35" s="132">
        <f t="shared" si="7"/>
        <v>1</v>
      </c>
      <c r="AC35" s="133"/>
    </row>
    <row r="36" spans="1:44" x14ac:dyDescent="0.25">
      <c r="A36" s="68"/>
      <c r="B36" s="68"/>
      <c r="C36" s="68"/>
      <c r="D36" s="68"/>
      <c r="E36" s="68"/>
      <c r="F36" s="134"/>
      <c r="G36" s="106"/>
      <c r="H36" s="106"/>
      <c r="I36" s="106"/>
      <c r="J36" s="106"/>
      <c r="K36" s="106"/>
      <c r="L36" s="106"/>
      <c r="M36" s="110"/>
      <c r="N36" s="106"/>
      <c r="O36" s="106"/>
      <c r="P36" s="110"/>
      <c r="Q36" s="110"/>
      <c r="R36" s="110"/>
      <c r="S36" s="110"/>
      <c r="T36" s="110"/>
      <c r="U36" s="110"/>
      <c r="V36" s="110"/>
      <c r="W36" s="110"/>
      <c r="X36" s="110"/>
      <c r="Y36" s="110"/>
      <c r="Z36" s="110"/>
      <c r="AA36" s="110"/>
      <c r="AB36" s="110"/>
      <c r="AC36" s="106"/>
    </row>
    <row r="37" spans="1:44" x14ac:dyDescent="0.25">
      <c r="A37" s="83"/>
      <c r="B37" s="83"/>
      <c r="C37" s="83"/>
      <c r="D37" s="83"/>
      <c r="E37" s="83"/>
      <c r="F37" s="69" t="s">
        <v>213</v>
      </c>
      <c r="G37" s="106"/>
      <c r="H37" s="106"/>
      <c r="I37" s="106"/>
      <c r="J37" s="106"/>
      <c r="K37" s="106"/>
      <c r="L37" s="106"/>
      <c r="M37" s="110"/>
      <c r="N37" s="106"/>
      <c r="O37" s="106"/>
      <c r="P37" s="110"/>
      <c r="Q37" s="110"/>
      <c r="R37" s="110"/>
      <c r="S37" s="110"/>
      <c r="T37" s="110"/>
      <c r="U37" s="110"/>
      <c r="V37" s="110"/>
      <c r="W37" s="110"/>
      <c r="X37" s="110"/>
      <c r="Y37" s="110"/>
      <c r="Z37" s="110"/>
      <c r="AA37" s="110"/>
      <c r="AB37" s="109"/>
      <c r="AC37" s="109"/>
    </row>
    <row r="38" spans="1:44" x14ac:dyDescent="0.25">
      <c r="A38" s="74"/>
      <c r="B38" s="74" t="s">
        <v>206</v>
      </c>
      <c r="C38" s="74" t="s">
        <v>207</v>
      </c>
      <c r="D38" s="74" t="s">
        <v>208</v>
      </c>
      <c r="E38" s="74"/>
      <c r="F38" s="75" t="s">
        <v>209</v>
      </c>
      <c r="G38" s="76"/>
      <c r="H38" s="77" t="s">
        <v>199</v>
      </c>
      <c r="I38" s="78"/>
      <c r="J38" s="79"/>
      <c r="K38" s="79"/>
      <c r="L38" s="79"/>
      <c r="M38" s="80"/>
      <c r="N38" s="79"/>
      <c r="O38" s="111"/>
      <c r="P38" s="35">
        <f t="shared" ref="P38:AA38" si="8">P$9</f>
        <v>46113</v>
      </c>
      <c r="Q38" s="35">
        <f t="shared" si="8"/>
        <v>46143</v>
      </c>
      <c r="R38" s="35">
        <f t="shared" si="8"/>
        <v>46174</v>
      </c>
      <c r="S38" s="35">
        <f t="shared" si="8"/>
        <v>46204</v>
      </c>
      <c r="T38" s="35">
        <f t="shared" si="8"/>
        <v>46235</v>
      </c>
      <c r="U38" s="35">
        <f t="shared" si="8"/>
        <v>46266</v>
      </c>
      <c r="V38" s="35">
        <f t="shared" si="8"/>
        <v>46296</v>
      </c>
      <c r="W38" s="35">
        <f t="shared" si="8"/>
        <v>46327</v>
      </c>
      <c r="X38" s="35">
        <f t="shared" si="8"/>
        <v>46357</v>
      </c>
      <c r="Y38" s="35">
        <f t="shared" si="8"/>
        <v>46388</v>
      </c>
      <c r="Z38" s="35">
        <f t="shared" si="8"/>
        <v>46419</v>
      </c>
      <c r="AA38" s="35">
        <f t="shared" si="8"/>
        <v>46447</v>
      </c>
      <c r="AB38" s="112" t="s">
        <v>85</v>
      </c>
      <c r="AC38" s="113" t="s">
        <v>192</v>
      </c>
    </row>
    <row r="39" spans="1:44" x14ac:dyDescent="0.25">
      <c r="A39" s="83"/>
      <c r="B39" s="83" t="str">
        <f>C39&amp;D39</f>
        <v>1000PREP</v>
      </c>
      <c r="C39" s="83">
        <v>1000</v>
      </c>
      <c r="D39" s="83" t="s">
        <v>210</v>
      </c>
      <c r="E39" s="83"/>
      <c r="F39" s="114" t="s">
        <v>200</v>
      </c>
      <c r="G39" s="115"/>
      <c r="H39" s="116" t="s">
        <v>41</v>
      </c>
      <c r="I39" s="117"/>
      <c r="J39" s="118"/>
      <c r="K39" s="118"/>
      <c r="L39" s="118"/>
      <c r="M39" s="119"/>
      <c r="N39" s="118"/>
      <c r="O39" s="120"/>
      <c r="P39" s="121">
        <f t="shared" ref="P39:AA42" si="9">IFERROR(IF(P$21=0,$AB39,P17/P$21),0)</f>
        <v>0</v>
      </c>
      <c r="Q39" s="121">
        <f t="shared" si="9"/>
        <v>0</v>
      </c>
      <c r="R39" s="121">
        <f t="shared" si="9"/>
        <v>0</v>
      </c>
      <c r="S39" s="121">
        <f t="shared" si="9"/>
        <v>0</v>
      </c>
      <c r="T39" s="121">
        <f t="shared" si="9"/>
        <v>0</v>
      </c>
      <c r="U39" s="121">
        <f t="shared" si="9"/>
        <v>0</v>
      </c>
      <c r="V39" s="121">
        <f t="shared" si="9"/>
        <v>0</v>
      </c>
      <c r="W39" s="121">
        <f t="shared" si="9"/>
        <v>0</v>
      </c>
      <c r="X39" s="121">
        <f t="shared" si="9"/>
        <v>0</v>
      </c>
      <c r="Y39" s="121">
        <f t="shared" si="9"/>
        <v>0</v>
      </c>
      <c r="Z39" s="121">
        <f t="shared" si="9"/>
        <v>0</v>
      </c>
      <c r="AA39" s="121">
        <f t="shared" si="9"/>
        <v>0</v>
      </c>
      <c r="AB39" s="122">
        <f>IFERROR(AB17/AB$21,0)</f>
        <v>0</v>
      </c>
      <c r="AC39" s="123"/>
    </row>
    <row r="40" spans="1:44" x14ac:dyDescent="0.25">
      <c r="A40" s="83"/>
      <c r="B40" s="83" t="str">
        <f>C40&amp;D40</f>
        <v/>
      </c>
      <c r="C40" s="83"/>
      <c r="D40" s="83"/>
      <c r="E40" s="83"/>
      <c r="F40" s="114" t="s">
        <v>202</v>
      </c>
      <c r="G40" s="115"/>
      <c r="H40" s="116" t="s">
        <v>41</v>
      </c>
      <c r="I40" s="117"/>
      <c r="J40" s="118"/>
      <c r="K40" s="118"/>
      <c r="L40" s="118"/>
      <c r="M40" s="119"/>
      <c r="N40" s="118"/>
      <c r="O40" s="120"/>
      <c r="P40" s="121">
        <f t="shared" si="9"/>
        <v>1</v>
      </c>
      <c r="Q40" s="121">
        <f t="shared" si="9"/>
        <v>1</v>
      </c>
      <c r="R40" s="121">
        <f t="shared" si="9"/>
        <v>1</v>
      </c>
      <c r="S40" s="121">
        <f t="shared" si="9"/>
        <v>1</v>
      </c>
      <c r="T40" s="121">
        <f t="shared" si="9"/>
        <v>1</v>
      </c>
      <c r="U40" s="121">
        <f t="shared" si="9"/>
        <v>1</v>
      </c>
      <c r="V40" s="121">
        <f t="shared" si="9"/>
        <v>1</v>
      </c>
      <c r="W40" s="121">
        <f t="shared" si="9"/>
        <v>1</v>
      </c>
      <c r="X40" s="121">
        <f t="shared" si="9"/>
        <v>1</v>
      </c>
      <c r="Y40" s="121">
        <f t="shared" si="9"/>
        <v>1</v>
      </c>
      <c r="Z40" s="121">
        <f t="shared" si="9"/>
        <v>1</v>
      </c>
      <c r="AA40" s="121">
        <f t="shared" si="9"/>
        <v>1</v>
      </c>
      <c r="AB40" s="122">
        <f>IFERROR(AB18/AB$21,0)</f>
        <v>1</v>
      </c>
      <c r="AC40" s="123"/>
    </row>
    <row r="41" spans="1:44" x14ac:dyDescent="0.25">
      <c r="A41" s="83"/>
      <c r="B41" s="83" t="str">
        <f>C41&amp;D41</f>
        <v/>
      </c>
      <c r="C41" s="83"/>
      <c r="D41" s="83"/>
      <c r="E41" s="83"/>
      <c r="F41" s="135" t="s">
        <v>203</v>
      </c>
      <c r="G41" s="115"/>
      <c r="H41" s="116" t="s">
        <v>41</v>
      </c>
      <c r="I41" s="117"/>
      <c r="J41" s="118"/>
      <c r="K41" s="118"/>
      <c r="L41" s="118"/>
      <c r="M41" s="119"/>
      <c r="N41" s="118"/>
      <c r="O41" s="120"/>
      <c r="P41" s="121">
        <f t="shared" si="9"/>
        <v>0</v>
      </c>
      <c r="Q41" s="121">
        <f t="shared" si="9"/>
        <v>0</v>
      </c>
      <c r="R41" s="121">
        <f t="shared" si="9"/>
        <v>0</v>
      </c>
      <c r="S41" s="121">
        <f t="shared" si="9"/>
        <v>0</v>
      </c>
      <c r="T41" s="121">
        <f t="shared" si="9"/>
        <v>0</v>
      </c>
      <c r="U41" s="121">
        <f t="shared" si="9"/>
        <v>0</v>
      </c>
      <c r="V41" s="121">
        <f t="shared" si="9"/>
        <v>0</v>
      </c>
      <c r="W41" s="121">
        <f t="shared" si="9"/>
        <v>0</v>
      </c>
      <c r="X41" s="121">
        <f t="shared" si="9"/>
        <v>0</v>
      </c>
      <c r="Y41" s="121">
        <f t="shared" si="9"/>
        <v>0</v>
      </c>
      <c r="Z41" s="121">
        <f t="shared" si="9"/>
        <v>0</v>
      </c>
      <c r="AA41" s="121">
        <f t="shared" si="9"/>
        <v>0</v>
      </c>
      <c r="AB41" s="122">
        <f>IFERROR(AB19/AB$21,0)</f>
        <v>0</v>
      </c>
      <c r="AC41" s="123"/>
    </row>
    <row r="42" spans="1:44" x14ac:dyDescent="0.25">
      <c r="A42" s="83"/>
      <c r="B42" s="83" t="str">
        <f>C42&amp;D42</f>
        <v/>
      </c>
      <c r="C42" s="83"/>
      <c r="D42" s="83"/>
      <c r="E42" s="83"/>
      <c r="F42" s="135" t="s">
        <v>204</v>
      </c>
      <c r="G42" s="115"/>
      <c r="H42" s="116" t="s">
        <v>41</v>
      </c>
      <c r="I42" s="117"/>
      <c r="J42" s="118"/>
      <c r="K42" s="118"/>
      <c r="L42" s="118"/>
      <c r="M42" s="119"/>
      <c r="N42" s="118"/>
      <c r="O42" s="120"/>
      <c r="P42" s="121">
        <f t="shared" si="9"/>
        <v>0</v>
      </c>
      <c r="Q42" s="121">
        <f t="shared" si="9"/>
        <v>0</v>
      </c>
      <c r="R42" s="121">
        <f t="shared" si="9"/>
        <v>0</v>
      </c>
      <c r="S42" s="121">
        <f t="shared" si="9"/>
        <v>0</v>
      </c>
      <c r="T42" s="121">
        <f t="shared" si="9"/>
        <v>0</v>
      </c>
      <c r="U42" s="121">
        <f t="shared" si="9"/>
        <v>0</v>
      </c>
      <c r="V42" s="121">
        <f t="shared" si="9"/>
        <v>0</v>
      </c>
      <c r="W42" s="121">
        <f t="shared" si="9"/>
        <v>0</v>
      </c>
      <c r="X42" s="121">
        <f t="shared" si="9"/>
        <v>0</v>
      </c>
      <c r="Y42" s="121">
        <f t="shared" si="9"/>
        <v>0</v>
      </c>
      <c r="Z42" s="121">
        <f t="shared" si="9"/>
        <v>0</v>
      </c>
      <c r="AA42" s="121">
        <f t="shared" si="9"/>
        <v>0</v>
      </c>
      <c r="AB42" s="122">
        <f>IFERROR(AB20/AB$21,0)</f>
        <v>0</v>
      </c>
      <c r="AC42" s="123"/>
    </row>
    <row r="43" spans="1:44" x14ac:dyDescent="0.25">
      <c r="A43" s="83"/>
      <c r="B43" s="83"/>
      <c r="C43" s="83"/>
      <c r="D43" s="83"/>
      <c r="E43" s="83"/>
      <c r="F43" s="124" t="s">
        <v>85</v>
      </c>
      <c r="G43" s="125"/>
      <c r="H43" s="126" t="s">
        <v>41</v>
      </c>
      <c r="I43" s="127"/>
      <c r="J43" s="128"/>
      <c r="K43" s="128"/>
      <c r="L43" s="128"/>
      <c r="M43" s="129"/>
      <c r="N43" s="128"/>
      <c r="O43" s="130"/>
      <c r="P43" s="131">
        <f t="shared" ref="P43:AB43" si="10">SUM(P39:P42)</f>
        <v>1</v>
      </c>
      <c r="Q43" s="131">
        <f t="shared" si="10"/>
        <v>1</v>
      </c>
      <c r="R43" s="131">
        <f t="shared" si="10"/>
        <v>1</v>
      </c>
      <c r="S43" s="131">
        <f t="shared" si="10"/>
        <v>1</v>
      </c>
      <c r="T43" s="131">
        <f t="shared" si="10"/>
        <v>1</v>
      </c>
      <c r="U43" s="131">
        <f t="shared" si="10"/>
        <v>1</v>
      </c>
      <c r="V43" s="131">
        <f t="shared" si="10"/>
        <v>1</v>
      </c>
      <c r="W43" s="131">
        <f t="shared" si="10"/>
        <v>1</v>
      </c>
      <c r="X43" s="131">
        <f t="shared" si="10"/>
        <v>1</v>
      </c>
      <c r="Y43" s="131">
        <f t="shared" si="10"/>
        <v>1</v>
      </c>
      <c r="Z43" s="131">
        <f t="shared" si="10"/>
        <v>1</v>
      </c>
      <c r="AA43" s="131">
        <f t="shared" si="10"/>
        <v>1</v>
      </c>
      <c r="AB43" s="132">
        <f t="shared" si="10"/>
        <v>1</v>
      </c>
      <c r="AC43" s="133"/>
    </row>
    <row r="44" spans="1:44" x14ac:dyDescent="0.25">
      <c r="A44" s="68"/>
      <c r="B44" s="68"/>
      <c r="C44" s="68"/>
      <c r="D44" s="68"/>
      <c r="E44" s="68"/>
      <c r="F44" s="134"/>
      <c r="G44" s="106"/>
      <c r="H44" s="106"/>
      <c r="I44" s="106"/>
      <c r="J44" s="106"/>
      <c r="K44" s="106"/>
      <c r="L44" s="106"/>
      <c r="M44" s="110"/>
      <c r="N44" s="106"/>
      <c r="O44" s="106"/>
      <c r="P44" s="110"/>
      <c r="Q44" s="110"/>
      <c r="R44" s="110"/>
      <c r="S44" s="110"/>
      <c r="T44" s="110"/>
      <c r="U44" s="110"/>
      <c r="V44" s="110"/>
      <c r="W44" s="110"/>
      <c r="X44" s="110"/>
      <c r="Y44" s="110"/>
      <c r="Z44" s="110"/>
      <c r="AA44" s="110"/>
      <c r="AB44" s="110"/>
      <c r="AC44" s="106"/>
    </row>
    <row r="45" spans="1:44" x14ac:dyDescent="0.25">
      <c r="F45" s="136" t="s">
        <v>214</v>
      </c>
      <c r="G45" s="70"/>
      <c r="H45" s="106"/>
      <c r="I45" s="106"/>
      <c r="J45" s="106"/>
      <c r="K45" s="106"/>
      <c r="L45" s="106"/>
      <c r="M45" s="107"/>
      <c r="N45" s="106"/>
    </row>
    <row r="46" spans="1:44" x14ac:dyDescent="0.25">
      <c r="F46" s="134"/>
      <c r="G46" s="70"/>
      <c r="V46" s="18"/>
      <c r="AC46" s="18"/>
    </row>
    <row r="47" spans="1:44" x14ac:dyDescent="0.25">
      <c r="F47" s="68" t="s">
        <v>215</v>
      </c>
      <c r="G47" s="68"/>
    </row>
    <row r="48" spans="1:44" x14ac:dyDescent="0.25">
      <c r="F48" s="137" t="s">
        <v>216</v>
      </c>
      <c r="G48" s="138"/>
      <c r="H48" s="139" t="s">
        <v>217</v>
      </c>
      <c r="I48" s="139" t="s">
        <v>218</v>
      </c>
      <c r="J48" s="139" t="s">
        <v>219</v>
      </c>
      <c r="K48" s="140"/>
      <c r="L48" s="141"/>
      <c r="M48" s="142" t="s">
        <v>220</v>
      </c>
      <c r="N48" s="139" t="s">
        <v>221</v>
      </c>
      <c r="O48" s="143" t="s">
        <v>222</v>
      </c>
      <c r="P48" s="35">
        <f t="shared" ref="P48:AA48" si="11">P$9</f>
        <v>46113</v>
      </c>
      <c r="Q48" s="35">
        <f t="shared" si="11"/>
        <v>46143</v>
      </c>
      <c r="R48" s="35">
        <f t="shared" si="11"/>
        <v>46174</v>
      </c>
      <c r="S48" s="35">
        <f t="shared" si="11"/>
        <v>46204</v>
      </c>
      <c r="T48" s="35">
        <f t="shared" si="11"/>
        <v>46235</v>
      </c>
      <c r="U48" s="35">
        <f t="shared" si="11"/>
        <v>46266</v>
      </c>
      <c r="V48" s="35">
        <f t="shared" si="11"/>
        <v>46296</v>
      </c>
      <c r="W48" s="35">
        <f t="shared" si="11"/>
        <v>46327</v>
      </c>
      <c r="X48" s="35">
        <f t="shared" si="11"/>
        <v>46357</v>
      </c>
      <c r="Y48" s="35">
        <f t="shared" si="11"/>
        <v>46388</v>
      </c>
      <c r="Z48" s="35">
        <f t="shared" si="11"/>
        <v>46419</v>
      </c>
      <c r="AA48" s="35">
        <f t="shared" si="11"/>
        <v>46447</v>
      </c>
      <c r="AB48" s="144" t="s">
        <v>223</v>
      </c>
      <c r="AC48" s="145" t="s">
        <v>192</v>
      </c>
      <c r="AE48" s="146" t="s">
        <v>224</v>
      </c>
      <c r="AF48" s="147">
        <f>P48</f>
        <v>46113</v>
      </c>
      <c r="AG48" s="35">
        <f t="shared" ref="AG48:AQ48" si="12">Q48</f>
        <v>46143</v>
      </c>
      <c r="AH48" s="35">
        <f t="shared" si="12"/>
        <v>46174</v>
      </c>
      <c r="AI48" s="35">
        <f t="shared" si="12"/>
        <v>46204</v>
      </c>
      <c r="AJ48" s="35">
        <f t="shared" si="12"/>
        <v>46235</v>
      </c>
      <c r="AK48" s="35">
        <f t="shared" si="12"/>
        <v>46266</v>
      </c>
      <c r="AL48" s="35">
        <f t="shared" si="12"/>
        <v>46296</v>
      </c>
      <c r="AM48" s="35">
        <f t="shared" si="12"/>
        <v>46327</v>
      </c>
      <c r="AN48" s="35">
        <f t="shared" si="12"/>
        <v>46357</v>
      </c>
      <c r="AO48" s="35">
        <f t="shared" si="12"/>
        <v>46388</v>
      </c>
      <c r="AP48" s="35">
        <f t="shared" si="12"/>
        <v>46419</v>
      </c>
      <c r="AQ48" s="35">
        <f t="shared" si="12"/>
        <v>46447</v>
      </c>
      <c r="AR48" s="144" t="s">
        <v>225</v>
      </c>
    </row>
    <row r="49" spans="2:44" x14ac:dyDescent="0.25">
      <c r="B49" s="15" t="s">
        <v>226</v>
      </c>
      <c r="C49" s="83" t="str">
        <f t="shared" ref="C49:C92" si="13">I49</f>
        <v>PREPSP</v>
      </c>
      <c r="F49" s="148">
        <v>1096</v>
      </c>
      <c r="G49" s="149" t="str">
        <f>IFERROR(VLOOKUP(F49,#REF!,2,0),"")</f>
        <v/>
      </c>
      <c r="H49" s="150" t="str">
        <f>IFERROR(VLOOKUP(F49,#REF!,3,0),"")</f>
        <v/>
      </c>
      <c r="I49" s="151" t="s">
        <v>227</v>
      </c>
      <c r="J49" s="151">
        <v>1</v>
      </c>
      <c r="K49" s="152"/>
      <c r="L49" s="153"/>
      <c r="M49" s="154"/>
      <c r="N49" s="151"/>
      <c r="O49" s="155">
        <v>1</v>
      </c>
      <c r="P49" s="156">
        <v>0</v>
      </c>
      <c r="Q49" s="156">
        <v>0</v>
      </c>
      <c r="R49" s="157">
        <v>0</v>
      </c>
      <c r="S49" s="157">
        <v>0</v>
      </c>
      <c r="T49" s="156">
        <v>0</v>
      </c>
      <c r="U49" s="156">
        <v>0</v>
      </c>
      <c r="V49" s="156">
        <v>0</v>
      </c>
      <c r="W49" s="157">
        <f>W18*0.6</f>
        <v>0</v>
      </c>
      <c r="X49" s="157">
        <f>X18*0.6</f>
        <v>0</v>
      </c>
      <c r="Y49" s="157">
        <f>Y18*0.6</f>
        <v>0</v>
      </c>
      <c r="Z49" s="156">
        <v>0</v>
      </c>
      <c r="AA49" s="156">
        <v>0</v>
      </c>
      <c r="AB49" s="158">
        <f>SUM(P49:AA49)</f>
        <v>0</v>
      </c>
      <c r="AC49" s="159"/>
      <c r="AE49" s="160" t="str">
        <f t="shared" ref="AE49:AE92" si="14">IF(F49="","",F49&amp;" - "&amp;G49&amp;" - "&amp;H49&amp;" - "&amp;J49&amp;" - (R$/"&amp;H49&amp;")")</f>
        <v>1096 -  -  - 1 - (R$/)</v>
      </c>
      <c r="AF49" s="161">
        <f>IFERROR(VLOOKUP($F49&amp;"-"&amp;$J49,#REF!,#REF!+6,0),0)</f>
        <v>0</v>
      </c>
      <c r="AG49" s="162">
        <f>IFERROR(VLOOKUP($F49&amp;"-"&amp;$J49,#REF!,#REF!+6,0),0)</f>
        <v>0</v>
      </c>
      <c r="AH49" s="162">
        <f>IFERROR(VLOOKUP($F49&amp;"-"&amp;$J49,#REF!,#REF!+6,0),0)</f>
        <v>0</v>
      </c>
      <c r="AI49" s="162">
        <f>IFERROR(VLOOKUP($F49&amp;"-"&amp;$J49,#REF!,#REF!+6,0),0)</f>
        <v>0</v>
      </c>
      <c r="AJ49" s="162">
        <f>IFERROR(VLOOKUP($F49&amp;"-"&amp;$J49,#REF!,#REF!+6,0),0)</f>
        <v>0</v>
      </c>
      <c r="AK49" s="162">
        <f>IFERROR(VLOOKUP($F49&amp;"-"&amp;$J49,#REF!,#REF!+6,0),0)</f>
        <v>0</v>
      </c>
      <c r="AL49" s="162">
        <f>IFERROR(VLOOKUP($F49&amp;"-"&amp;$J49,#REF!,#REF!+6,0),0)</f>
        <v>0</v>
      </c>
      <c r="AM49" s="162">
        <f>IFERROR(VLOOKUP($F49&amp;"-"&amp;$J49,#REF!,#REF!+6,0),0)</f>
        <v>0</v>
      </c>
      <c r="AN49" s="162">
        <f>IFERROR(VLOOKUP($F49&amp;"-"&amp;$J49,#REF!,#REF!+6,0),0)</f>
        <v>0</v>
      </c>
      <c r="AO49" s="162">
        <f>IFERROR(VLOOKUP($F49&amp;"-"&amp;$J49,#REF!,#REF!+6,0),0)</f>
        <v>0</v>
      </c>
      <c r="AP49" s="162">
        <f>IFERROR(VLOOKUP($F49&amp;"-"&amp;$J49,#REF!,#REF!+6,0),0)</f>
        <v>0</v>
      </c>
      <c r="AQ49" s="162">
        <f>IFERROR(VLOOKUP($F49&amp;"-"&amp;$J49,#REF!,#REF!+6,0),0)</f>
        <v>0</v>
      </c>
      <c r="AR49" s="163">
        <f t="shared" ref="AR49:AR92" si="15">IFERROR(AVERAGE(AF49:AQ49),0)</f>
        <v>0</v>
      </c>
    </row>
    <row r="50" spans="2:44" x14ac:dyDescent="0.25">
      <c r="B50" s="15" t="s">
        <v>226</v>
      </c>
      <c r="C50" s="83" t="str">
        <f t="shared" si="13"/>
        <v>PREPSP</v>
      </c>
      <c r="F50" s="148">
        <v>1079</v>
      </c>
      <c r="G50" s="149" t="str">
        <f>IFERROR(VLOOKUP(F50,#REF!,2,0),"")</f>
        <v/>
      </c>
      <c r="H50" s="150" t="str">
        <f>IFERROR(VLOOKUP(F50,#REF!,3,0),"")</f>
        <v/>
      </c>
      <c r="I50" s="151" t="s">
        <v>227</v>
      </c>
      <c r="J50" s="151">
        <v>1</v>
      </c>
      <c r="K50" s="152"/>
      <c r="L50" s="153"/>
      <c r="M50" s="154"/>
      <c r="N50" s="151"/>
      <c r="O50" s="155">
        <v>1</v>
      </c>
      <c r="P50" s="156">
        <v>0</v>
      </c>
      <c r="Q50" s="156">
        <v>0</v>
      </c>
      <c r="R50" s="156">
        <v>0</v>
      </c>
      <c r="S50" s="156">
        <v>0</v>
      </c>
      <c r="T50" s="156">
        <v>0</v>
      </c>
      <c r="U50" s="156">
        <v>0</v>
      </c>
      <c r="V50" s="156">
        <v>0</v>
      </c>
      <c r="W50" s="156">
        <v>0</v>
      </c>
      <c r="X50" s="156">
        <v>0</v>
      </c>
      <c r="Y50" s="156">
        <v>0</v>
      </c>
      <c r="Z50" s="156">
        <v>0</v>
      </c>
      <c r="AA50" s="156">
        <v>0</v>
      </c>
      <c r="AB50" s="158">
        <f>SUM(P50:AA50)</f>
        <v>0</v>
      </c>
      <c r="AC50" s="159"/>
      <c r="AE50" s="160" t="str">
        <f t="shared" si="14"/>
        <v>1079 -  -  - 1 - (R$/)</v>
      </c>
      <c r="AF50" s="161">
        <f>IFERROR(VLOOKUP($F50&amp;"-"&amp;$J50,#REF!,#REF!+6,0),0)</f>
        <v>0</v>
      </c>
      <c r="AG50" s="162">
        <f>IFERROR(VLOOKUP($F50&amp;"-"&amp;$J50,#REF!,#REF!+6,0),0)</f>
        <v>0</v>
      </c>
      <c r="AH50" s="162">
        <f>IFERROR(VLOOKUP($F50&amp;"-"&amp;$J50,#REF!,#REF!+6,0),0)</f>
        <v>0</v>
      </c>
      <c r="AI50" s="162">
        <f>IFERROR(VLOOKUP($F50&amp;"-"&amp;$J50,#REF!,#REF!+6,0),0)</f>
        <v>0</v>
      </c>
      <c r="AJ50" s="162">
        <f>IFERROR(VLOOKUP($F50&amp;"-"&amp;$J50,#REF!,#REF!+6,0),0)</f>
        <v>0</v>
      </c>
      <c r="AK50" s="162">
        <f>IFERROR(VLOOKUP($F50&amp;"-"&amp;$J50,#REF!,#REF!+6,0),0)</f>
        <v>0</v>
      </c>
      <c r="AL50" s="162">
        <f>IFERROR(VLOOKUP($F50&amp;"-"&amp;$J50,#REF!,#REF!+6,0),0)</f>
        <v>0</v>
      </c>
      <c r="AM50" s="162">
        <f>IFERROR(VLOOKUP($F50&amp;"-"&amp;$J50,#REF!,#REF!+6,0),0)</f>
        <v>0</v>
      </c>
      <c r="AN50" s="162">
        <f>IFERROR(VLOOKUP($F50&amp;"-"&amp;$J50,#REF!,#REF!+6,0),0)</f>
        <v>0</v>
      </c>
      <c r="AO50" s="162">
        <f>IFERROR(VLOOKUP($F50&amp;"-"&amp;$J50,#REF!,#REF!+6,0),0)</f>
        <v>0</v>
      </c>
      <c r="AP50" s="162">
        <f>IFERROR(VLOOKUP($F50&amp;"-"&amp;$J50,#REF!,#REF!+6,0),0)</f>
        <v>0</v>
      </c>
      <c r="AQ50" s="162">
        <f>IFERROR(VLOOKUP($F50&amp;"-"&amp;$J50,#REF!,#REF!+6,0),0)</f>
        <v>0</v>
      </c>
      <c r="AR50" s="163">
        <f t="shared" si="15"/>
        <v>0</v>
      </c>
    </row>
    <row r="51" spans="2:44" x14ac:dyDescent="0.25">
      <c r="B51" s="15" t="s">
        <v>226</v>
      </c>
      <c r="C51" s="83" t="str">
        <f t="shared" si="13"/>
        <v>PREPSP</v>
      </c>
      <c r="F51" s="148">
        <v>1028</v>
      </c>
      <c r="G51" s="149" t="str">
        <f>IFERROR(VLOOKUP(F51,#REF!,2,0),"")</f>
        <v/>
      </c>
      <c r="H51" s="150" t="str">
        <f>IFERROR(VLOOKUP(F51,#REF!,3,0),"")</f>
        <v/>
      </c>
      <c r="I51" s="151" t="s">
        <v>227</v>
      </c>
      <c r="J51" s="151">
        <v>1</v>
      </c>
      <c r="K51" s="152"/>
      <c r="L51" s="153"/>
      <c r="M51" s="154"/>
      <c r="N51" s="151"/>
      <c r="O51" s="155">
        <v>1</v>
      </c>
      <c r="P51" s="156">
        <v>0</v>
      </c>
      <c r="Q51" s="156">
        <v>0</v>
      </c>
      <c r="R51" s="156">
        <v>200</v>
      </c>
      <c r="S51" s="156">
        <v>300</v>
      </c>
      <c r="T51" s="156">
        <v>518.19000000000005</v>
      </c>
      <c r="U51" s="156">
        <v>600</v>
      </c>
      <c r="V51" s="156">
        <v>297.23</v>
      </c>
      <c r="W51" s="156">
        <v>0</v>
      </c>
      <c r="X51" s="156">
        <v>0</v>
      </c>
      <c r="Y51" s="156">
        <v>0</v>
      </c>
      <c r="Z51" s="156">
        <v>0</v>
      </c>
      <c r="AA51" s="156">
        <v>0</v>
      </c>
      <c r="AB51" s="158">
        <f>SUM(O51:AA51)</f>
        <v>1916.42</v>
      </c>
      <c r="AC51" s="159"/>
      <c r="AE51" s="160" t="str">
        <f t="shared" si="14"/>
        <v>1028 -  -  - 1 - (R$/)</v>
      </c>
      <c r="AF51" s="161">
        <f>IFERROR(VLOOKUP($F51&amp;"-"&amp;$J51,#REF!,#REF!+6,0),0)</f>
        <v>0</v>
      </c>
      <c r="AG51" s="162">
        <f>IFERROR(VLOOKUP($F51&amp;"-"&amp;$J51,#REF!,#REF!+6,0),0)</f>
        <v>0</v>
      </c>
      <c r="AH51" s="162">
        <f>IFERROR(VLOOKUP($F51&amp;"-"&amp;$J51,#REF!,#REF!+6,0),0)</f>
        <v>0</v>
      </c>
      <c r="AI51" s="162">
        <f>IFERROR(VLOOKUP($F51&amp;"-"&amp;$J51,#REF!,#REF!+6,0),0)</f>
        <v>0</v>
      </c>
      <c r="AJ51" s="162">
        <f>IFERROR(VLOOKUP($F51&amp;"-"&amp;$J51,#REF!,#REF!+6,0),0)</f>
        <v>0</v>
      </c>
      <c r="AK51" s="162">
        <f>IFERROR(VLOOKUP($F51&amp;"-"&amp;$J51,#REF!,#REF!+6,0),0)</f>
        <v>0</v>
      </c>
      <c r="AL51" s="162">
        <f>IFERROR(VLOOKUP($F51&amp;"-"&amp;$J51,#REF!,#REF!+6,0),0)</f>
        <v>0</v>
      </c>
      <c r="AM51" s="162">
        <f>IFERROR(VLOOKUP($F51&amp;"-"&amp;$J51,#REF!,#REF!+6,0),0)</f>
        <v>0</v>
      </c>
      <c r="AN51" s="162">
        <f>IFERROR(VLOOKUP($F51&amp;"-"&amp;$J51,#REF!,#REF!+6,0),0)</f>
        <v>0</v>
      </c>
      <c r="AO51" s="162">
        <f>IFERROR(VLOOKUP($F51&amp;"-"&amp;$J51,#REF!,#REF!+6,0),0)</f>
        <v>0</v>
      </c>
      <c r="AP51" s="162">
        <f>IFERROR(VLOOKUP($F51&amp;"-"&amp;$J51,#REF!,#REF!+6,0),0)</f>
        <v>0</v>
      </c>
      <c r="AQ51" s="162">
        <f>IFERROR(VLOOKUP($F51&amp;"-"&amp;$J51,#REF!,#REF!+6,0),0)</f>
        <v>0</v>
      </c>
      <c r="AR51" s="163">
        <f t="shared" si="15"/>
        <v>0</v>
      </c>
    </row>
    <row r="52" spans="2:44" x14ac:dyDescent="0.25">
      <c r="B52" s="15" t="s">
        <v>226</v>
      </c>
      <c r="C52" s="83" t="str">
        <f t="shared" si="13"/>
        <v>PREPSP</v>
      </c>
      <c r="F52" s="148">
        <v>1029</v>
      </c>
      <c r="G52" s="149" t="str">
        <f>IFERROR(VLOOKUP(F52,#REF!,2,0),"")</f>
        <v/>
      </c>
      <c r="H52" s="150" t="str">
        <f>IFERROR(VLOOKUP(F52,#REF!,3,0),"")</f>
        <v/>
      </c>
      <c r="I52" s="151" t="s">
        <v>227</v>
      </c>
      <c r="J52" s="151">
        <v>1</v>
      </c>
      <c r="K52" s="152"/>
      <c r="L52" s="153"/>
      <c r="M52" s="154"/>
      <c r="N52" s="151"/>
      <c r="O52" s="155">
        <v>1</v>
      </c>
      <c r="P52" s="156">
        <v>0</v>
      </c>
      <c r="Q52" s="156">
        <v>0</v>
      </c>
      <c r="R52" s="156">
        <v>200</v>
      </c>
      <c r="S52" s="156">
        <v>300</v>
      </c>
      <c r="T52" s="156">
        <v>518.19000000000005</v>
      </c>
      <c r="U52" s="156">
        <v>600</v>
      </c>
      <c r="V52" s="156">
        <v>297.23</v>
      </c>
      <c r="W52" s="156">
        <v>0</v>
      </c>
      <c r="X52" s="156">
        <v>0</v>
      </c>
      <c r="Y52" s="156">
        <v>0</v>
      </c>
      <c r="Z52" s="156">
        <v>0</v>
      </c>
      <c r="AA52" s="156">
        <v>0</v>
      </c>
      <c r="AB52" s="158">
        <f>SUM(O52:AA52)</f>
        <v>1916.42</v>
      </c>
      <c r="AC52" s="159"/>
      <c r="AE52" s="160" t="str">
        <f t="shared" si="14"/>
        <v>1029 -  -  - 1 - (R$/)</v>
      </c>
      <c r="AF52" s="161">
        <f>IFERROR(VLOOKUP($F52&amp;"-"&amp;$J52,#REF!,#REF!+6,0),0)</f>
        <v>0</v>
      </c>
      <c r="AG52" s="162">
        <f>IFERROR(VLOOKUP($F52&amp;"-"&amp;$J52,#REF!,#REF!+6,0),0)</f>
        <v>0</v>
      </c>
      <c r="AH52" s="162">
        <f>IFERROR(VLOOKUP($F52&amp;"-"&amp;$J52,#REF!,#REF!+6,0),0)</f>
        <v>0</v>
      </c>
      <c r="AI52" s="162">
        <f>IFERROR(VLOOKUP($F52&amp;"-"&amp;$J52,#REF!,#REF!+6,0),0)</f>
        <v>0</v>
      </c>
      <c r="AJ52" s="162">
        <f>IFERROR(VLOOKUP($F52&amp;"-"&amp;$J52,#REF!,#REF!+6,0),0)</f>
        <v>0</v>
      </c>
      <c r="AK52" s="162">
        <f>IFERROR(VLOOKUP($F52&amp;"-"&amp;$J52,#REF!,#REF!+6,0),0)</f>
        <v>0</v>
      </c>
      <c r="AL52" s="162">
        <f>IFERROR(VLOOKUP($F52&amp;"-"&amp;$J52,#REF!,#REF!+6,0),0)</f>
        <v>0</v>
      </c>
      <c r="AM52" s="162">
        <f>IFERROR(VLOOKUP($F52&amp;"-"&amp;$J52,#REF!,#REF!+6,0),0)</f>
        <v>0</v>
      </c>
      <c r="AN52" s="162">
        <f>IFERROR(VLOOKUP($F52&amp;"-"&amp;$J52,#REF!,#REF!+6,0),0)</f>
        <v>0</v>
      </c>
      <c r="AO52" s="162">
        <f>IFERROR(VLOOKUP($F52&amp;"-"&amp;$J52,#REF!,#REF!+6,0),0)</f>
        <v>0</v>
      </c>
      <c r="AP52" s="162">
        <f>IFERROR(VLOOKUP($F52&amp;"-"&amp;$J52,#REF!,#REF!+6,0),0)</f>
        <v>0</v>
      </c>
      <c r="AQ52" s="162">
        <f>IFERROR(VLOOKUP($F52&amp;"-"&amp;$J52,#REF!,#REF!+6,0),0)</f>
        <v>0</v>
      </c>
      <c r="AR52" s="163">
        <f t="shared" si="15"/>
        <v>0</v>
      </c>
    </row>
    <row r="53" spans="2:44" x14ac:dyDescent="0.25">
      <c r="B53" s="15" t="s">
        <v>226</v>
      </c>
      <c r="C53" s="83">
        <f t="shared" si="13"/>
        <v>0</v>
      </c>
      <c r="F53" s="148"/>
      <c r="G53" s="149" t="str">
        <f>IFERROR(VLOOKUP(F53,#REF!,2,0),"")</f>
        <v/>
      </c>
      <c r="H53" s="150" t="str">
        <f>IFERROR(VLOOKUP(F53,#REF!,3,0),"")</f>
        <v/>
      </c>
      <c r="I53" s="151"/>
      <c r="J53" s="151"/>
      <c r="K53" s="152"/>
      <c r="L53" s="153"/>
      <c r="M53" s="154"/>
      <c r="N53" s="151"/>
      <c r="O53" s="155"/>
      <c r="P53" s="156"/>
      <c r="Q53" s="156"/>
      <c r="R53" s="156"/>
      <c r="S53" s="156"/>
      <c r="T53" s="156"/>
      <c r="U53" s="156"/>
      <c r="V53" s="156"/>
      <c r="W53" s="156"/>
      <c r="X53" s="156"/>
      <c r="Y53" s="156"/>
      <c r="Z53" s="156"/>
      <c r="AA53" s="156"/>
      <c r="AB53" s="158">
        <f t="shared" ref="AB53:AB104" si="16">SUM(P53:AA53)</f>
        <v>0</v>
      </c>
      <c r="AC53" s="159"/>
      <c r="AE53" s="160" t="str">
        <f t="shared" si="14"/>
        <v/>
      </c>
      <c r="AF53" s="161">
        <f>IFERROR(VLOOKUP($F53&amp;"-"&amp;$J53,#REF!,#REF!+6,0),0)</f>
        <v>0</v>
      </c>
      <c r="AG53" s="162">
        <f>IFERROR(VLOOKUP($F53&amp;"-"&amp;$J53,#REF!,#REF!+6,0),0)</f>
        <v>0</v>
      </c>
      <c r="AH53" s="162">
        <f>IFERROR(VLOOKUP($F53&amp;"-"&amp;$J53,#REF!,#REF!+6,0),0)</f>
        <v>0</v>
      </c>
      <c r="AI53" s="162">
        <f>IFERROR(VLOOKUP($F53&amp;"-"&amp;$J53,#REF!,#REF!+6,0),0)</f>
        <v>0</v>
      </c>
      <c r="AJ53" s="162">
        <f>IFERROR(VLOOKUP($F53&amp;"-"&amp;$J53,#REF!,#REF!+6,0),0)</f>
        <v>0</v>
      </c>
      <c r="AK53" s="162">
        <f>IFERROR(VLOOKUP($F53&amp;"-"&amp;$J53,#REF!,#REF!+6,0),0)</f>
        <v>0</v>
      </c>
      <c r="AL53" s="162">
        <f>IFERROR(VLOOKUP($F53&amp;"-"&amp;$J53,#REF!,#REF!+6,0),0)</f>
        <v>0</v>
      </c>
      <c r="AM53" s="162">
        <f>IFERROR(VLOOKUP($F53&amp;"-"&amp;$J53,#REF!,#REF!+6,0),0)</f>
        <v>0</v>
      </c>
      <c r="AN53" s="162">
        <f>IFERROR(VLOOKUP($F53&amp;"-"&amp;$J53,#REF!,#REF!+6,0),0)</f>
        <v>0</v>
      </c>
      <c r="AO53" s="162">
        <f>IFERROR(VLOOKUP($F53&amp;"-"&amp;$J53,#REF!,#REF!+6,0),0)</f>
        <v>0</v>
      </c>
      <c r="AP53" s="162">
        <f>IFERROR(VLOOKUP($F53&amp;"-"&amp;$J53,#REF!,#REF!+6,0),0)</f>
        <v>0</v>
      </c>
      <c r="AQ53" s="162">
        <f>IFERROR(VLOOKUP($F53&amp;"-"&amp;$J53,#REF!,#REF!+6,0),0)</f>
        <v>0</v>
      </c>
      <c r="AR53" s="163">
        <f t="shared" si="15"/>
        <v>0</v>
      </c>
    </row>
    <row r="54" spans="2:44" x14ac:dyDescent="0.25">
      <c r="B54" s="15" t="s">
        <v>226</v>
      </c>
      <c r="C54" s="83">
        <f t="shared" si="13"/>
        <v>0</v>
      </c>
      <c r="F54" s="148"/>
      <c r="G54" s="149" t="str">
        <f>IFERROR(VLOOKUP(F54,#REF!,2,0),"")</f>
        <v/>
      </c>
      <c r="H54" s="150" t="str">
        <f>IFERROR(VLOOKUP(F54,#REF!,3,0),"")</f>
        <v/>
      </c>
      <c r="I54" s="151"/>
      <c r="J54" s="151"/>
      <c r="K54" s="152"/>
      <c r="L54" s="153"/>
      <c r="M54" s="154"/>
      <c r="N54" s="151"/>
      <c r="O54" s="155"/>
      <c r="P54" s="156"/>
      <c r="Q54" s="156"/>
      <c r="R54" s="156"/>
      <c r="S54" s="156"/>
      <c r="T54" s="156"/>
      <c r="U54" s="156"/>
      <c r="V54" s="156"/>
      <c r="W54" s="156"/>
      <c r="X54" s="156"/>
      <c r="Y54" s="156"/>
      <c r="Z54" s="156"/>
      <c r="AA54" s="156"/>
      <c r="AB54" s="158">
        <f t="shared" si="16"/>
        <v>0</v>
      </c>
      <c r="AC54" s="159"/>
      <c r="AE54" s="160" t="str">
        <f t="shared" si="14"/>
        <v/>
      </c>
      <c r="AF54" s="161">
        <f>IFERROR(VLOOKUP($F54&amp;"-"&amp;$J54,#REF!,#REF!+6,0),0)</f>
        <v>0</v>
      </c>
      <c r="AG54" s="162">
        <f>IFERROR(VLOOKUP($F54&amp;"-"&amp;$J54,#REF!,#REF!+6,0),0)</f>
        <v>0</v>
      </c>
      <c r="AH54" s="162">
        <f>IFERROR(VLOOKUP($F54&amp;"-"&amp;$J54,#REF!,#REF!+6,0),0)</f>
        <v>0</v>
      </c>
      <c r="AI54" s="162">
        <f>IFERROR(VLOOKUP($F54&amp;"-"&amp;$J54,#REF!,#REF!+6,0),0)</f>
        <v>0</v>
      </c>
      <c r="AJ54" s="162">
        <f>IFERROR(VLOOKUP($F54&amp;"-"&amp;$J54,#REF!,#REF!+6,0),0)</f>
        <v>0</v>
      </c>
      <c r="AK54" s="162">
        <f>IFERROR(VLOOKUP($F54&amp;"-"&amp;$J54,#REF!,#REF!+6,0),0)</f>
        <v>0</v>
      </c>
      <c r="AL54" s="162">
        <f>IFERROR(VLOOKUP($F54&amp;"-"&amp;$J54,#REF!,#REF!+6,0),0)</f>
        <v>0</v>
      </c>
      <c r="AM54" s="162">
        <f>IFERROR(VLOOKUP($F54&amp;"-"&amp;$J54,#REF!,#REF!+6,0),0)</f>
        <v>0</v>
      </c>
      <c r="AN54" s="162">
        <f>IFERROR(VLOOKUP($F54&amp;"-"&amp;$J54,#REF!,#REF!+6,0),0)</f>
        <v>0</v>
      </c>
      <c r="AO54" s="162">
        <f>IFERROR(VLOOKUP($F54&amp;"-"&amp;$J54,#REF!,#REF!+6,0),0)</f>
        <v>0</v>
      </c>
      <c r="AP54" s="162">
        <f>IFERROR(VLOOKUP($F54&amp;"-"&amp;$J54,#REF!,#REF!+6,0),0)</f>
        <v>0</v>
      </c>
      <c r="AQ54" s="162">
        <f>IFERROR(VLOOKUP($F54&amp;"-"&amp;$J54,#REF!,#REF!+6,0),0)</f>
        <v>0</v>
      </c>
      <c r="AR54" s="163">
        <f t="shared" si="15"/>
        <v>0</v>
      </c>
    </row>
    <row r="55" spans="2:44" x14ac:dyDescent="0.25">
      <c r="B55" s="15" t="s">
        <v>226</v>
      </c>
      <c r="C55" s="83">
        <f t="shared" si="13"/>
        <v>0</v>
      </c>
      <c r="F55" s="148"/>
      <c r="G55" s="149" t="str">
        <f>IFERROR(VLOOKUP(F55,#REF!,2,0),"")</f>
        <v/>
      </c>
      <c r="H55" s="150" t="str">
        <f>IFERROR(VLOOKUP(F55,#REF!,3,0),"")</f>
        <v/>
      </c>
      <c r="I55" s="151"/>
      <c r="J55" s="151"/>
      <c r="K55" s="152"/>
      <c r="L55" s="153"/>
      <c r="M55" s="154"/>
      <c r="N55" s="151"/>
      <c r="O55" s="155"/>
      <c r="P55" s="156"/>
      <c r="Q55" s="156"/>
      <c r="R55" s="156"/>
      <c r="S55" s="156"/>
      <c r="T55" s="156"/>
      <c r="U55" s="156"/>
      <c r="V55" s="156"/>
      <c r="W55" s="156"/>
      <c r="X55" s="156"/>
      <c r="Y55" s="156"/>
      <c r="Z55" s="156"/>
      <c r="AA55" s="156"/>
      <c r="AB55" s="158">
        <f>SUM(P55:AA55)</f>
        <v>0</v>
      </c>
      <c r="AC55" s="159"/>
      <c r="AE55" s="160" t="str">
        <f t="shared" si="14"/>
        <v/>
      </c>
      <c r="AF55" s="161">
        <f>IFERROR(VLOOKUP($F55&amp;"-"&amp;$J55,#REF!,#REF!+6,0),0)</f>
        <v>0</v>
      </c>
      <c r="AG55" s="162">
        <f>IFERROR(VLOOKUP($F55&amp;"-"&amp;$J55,#REF!,#REF!+6,0),0)</f>
        <v>0</v>
      </c>
      <c r="AH55" s="162">
        <f>IFERROR(VLOOKUP($F55&amp;"-"&amp;$J55,#REF!,#REF!+6,0),0)</f>
        <v>0</v>
      </c>
      <c r="AI55" s="162">
        <f>IFERROR(VLOOKUP($F55&amp;"-"&amp;$J55,#REF!,#REF!+6,0),0)</f>
        <v>0</v>
      </c>
      <c r="AJ55" s="162">
        <f>IFERROR(VLOOKUP($F55&amp;"-"&amp;$J55,#REF!,#REF!+6,0),0)</f>
        <v>0</v>
      </c>
      <c r="AK55" s="162">
        <f>IFERROR(VLOOKUP($F55&amp;"-"&amp;$J55,#REF!,#REF!+6,0),0)</f>
        <v>0</v>
      </c>
      <c r="AL55" s="162">
        <f>IFERROR(VLOOKUP($F55&amp;"-"&amp;$J55,#REF!,#REF!+6,0),0)</f>
        <v>0</v>
      </c>
      <c r="AM55" s="162">
        <f>IFERROR(VLOOKUP($F55&amp;"-"&amp;$J55,#REF!,#REF!+6,0),0)</f>
        <v>0</v>
      </c>
      <c r="AN55" s="162">
        <f>IFERROR(VLOOKUP($F55&amp;"-"&amp;$J55,#REF!,#REF!+6,0),0)</f>
        <v>0</v>
      </c>
      <c r="AO55" s="162">
        <f>IFERROR(VLOOKUP($F55&amp;"-"&amp;$J55,#REF!,#REF!+6,0),0)</f>
        <v>0</v>
      </c>
      <c r="AP55" s="162">
        <f>IFERROR(VLOOKUP($F55&amp;"-"&amp;$J55,#REF!,#REF!+6,0),0)</f>
        <v>0</v>
      </c>
      <c r="AQ55" s="162">
        <f>IFERROR(VLOOKUP($F55&amp;"-"&amp;$J55,#REF!,#REF!+6,0),0)</f>
        <v>0</v>
      </c>
      <c r="AR55" s="163">
        <f t="shared" si="15"/>
        <v>0</v>
      </c>
    </row>
    <row r="56" spans="2:44" x14ac:dyDescent="0.25">
      <c r="B56" s="15" t="s">
        <v>226</v>
      </c>
      <c r="C56" s="83">
        <f t="shared" si="13"/>
        <v>0</v>
      </c>
      <c r="F56" s="148"/>
      <c r="G56" s="149" t="str">
        <f>IFERROR(VLOOKUP(F56,#REF!,2,0),"")</f>
        <v/>
      </c>
      <c r="H56" s="150" t="str">
        <f>IFERROR(VLOOKUP(F56,#REF!,3,0),"")</f>
        <v/>
      </c>
      <c r="I56" s="151"/>
      <c r="J56" s="151"/>
      <c r="K56" s="152"/>
      <c r="L56" s="153"/>
      <c r="M56" s="154"/>
      <c r="N56" s="151"/>
      <c r="O56" s="155"/>
      <c r="P56" s="156"/>
      <c r="Q56" s="156"/>
      <c r="R56" s="156"/>
      <c r="S56" s="156"/>
      <c r="T56" s="156"/>
      <c r="U56" s="156"/>
      <c r="V56" s="156"/>
      <c r="W56" s="156"/>
      <c r="X56" s="156"/>
      <c r="Y56" s="156"/>
      <c r="Z56" s="156"/>
      <c r="AA56" s="156"/>
      <c r="AB56" s="158">
        <f t="shared" si="16"/>
        <v>0</v>
      </c>
      <c r="AC56" s="159"/>
      <c r="AE56" s="160" t="str">
        <f t="shared" si="14"/>
        <v/>
      </c>
      <c r="AF56" s="161">
        <f>IFERROR(VLOOKUP($F56&amp;"-"&amp;$J56,#REF!,#REF!+6,0),0)</f>
        <v>0</v>
      </c>
      <c r="AG56" s="162">
        <f>IFERROR(VLOOKUP($F56&amp;"-"&amp;$J56,#REF!,#REF!+6,0),0)</f>
        <v>0</v>
      </c>
      <c r="AH56" s="162">
        <f>IFERROR(VLOOKUP($F56&amp;"-"&amp;$J56,#REF!,#REF!+6,0),0)</f>
        <v>0</v>
      </c>
      <c r="AI56" s="162">
        <f>IFERROR(VLOOKUP($F56&amp;"-"&amp;$J56,#REF!,#REF!+6,0),0)</f>
        <v>0</v>
      </c>
      <c r="AJ56" s="162">
        <f>IFERROR(VLOOKUP($F56&amp;"-"&amp;$J56,#REF!,#REF!+6,0),0)</f>
        <v>0</v>
      </c>
      <c r="AK56" s="162">
        <f>IFERROR(VLOOKUP($F56&amp;"-"&amp;$J56,#REF!,#REF!+6,0),0)</f>
        <v>0</v>
      </c>
      <c r="AL56" s="162">
        <f>IFERROR(VLOOKUP($F56&amp;"-"&amp;$J56,#REF!,#REF!+6,0),0)</f>
        <v>0</v>
      </c>
      <c r="AM56" s="162">
        <f>IFERROR(VLOOKUP($F56&amp;"-"&amp;$J56,#REF!,#REF!+6,0),0)</f>
        <v>0</v>
      </c>
      <c r="AN56" s="162">
        <f>IFERROR(VLOOKUP($F56&amp;"-"&amp;$J56,#REF!,#REF!+6,0),0)</f>
        <v>0</v>
      </c>
      <c r="AO56" s="162">
        <f>IFERROR(VLOOKUP($F56&amp;"-"&amp;$J56,#REF!,#REF!+6,0),0)</f>
        <v>0</v>
      </c>
      <c r="AP56" s="162">
        <f>IFERROR(VLOOKUP($F56&amp;"-"&amp;$J56,#REF!,#REF!+6,0),0)</f>
        <v>0</v>
      </c>
      <c r="AQ56" s="162">
        <f>IFERROR(VLOOKUP($F56&amp;"-"&amp;$J56,#REF!,#REF!+6,0),0)</f>
        <v>0</v>
      </c>
      <c r="AR56" s="163">
        <f t="shared" si="15"/>
        <v>0</v>
      </c>
    </row>
    <row r="57" spans="2:44" x14ac:dyDescent="0.25">
      <c r="B57" s="15" t="s">
        <v>226</v>
      </c>
      <c r="C57" s="83">
        <f t="shared" si="13"/>
        <v>0</v>
      </c>
      <c r="F57" s="148"/>
      <c r="G57" s="149" t="str">
        <f>IFERROR(VLOOKUP(F57,#REF!,2,0),"")</f>
        <v/>
      </c>
      <c r="H57" s="150" t="str">
        <f>IFERROR(VLOOKUP(F57,#REF!,3,0),"")</f>
        <v/>
      </c>
      <c r="I57" s="151"/>
      <c r="J57" s="151"/>
      <c r="K57" s="152"/>
      <c r="L57" s="153"/>
      <c r="M57" s="154"/>
      <c r="N57" s="151"/>
      <c r="O57" s="155"/>
      <c r="P57" s="156"/>
      <c r="Q57" s="156"/>
      <c r="R57" s="156"/>
      <c r="S57" s="156"/>
      <c r="T57" s="156"/>
      <c r="U57" s="156"/>
      <c r="V57" s="156"/>
      <c r="W57" s="156"/>
      <c r="X57" s="156"/>
      <c r="Y57" s="156"/>
      <c r="Z57" s="156"/>
      <c r="AA57" s="156"/>
      <c r="AB57" s="158">
        <f t="shared" si="16"/>
        <v>0</v>
      </c>
      <c r="AC57" s="159"/>
      <c r="AE57" s="160" t="str">
        <f t="shared" si="14"/>
        <v/>
      </c>
      <c r="AF57" s="161">
        <f>IFERROR(VLOOKUP($F57&amp;"-"&amp;$J57,#REF!,#REF!+6,0),0)</f>
        <v>0</v>
      </c>
      <c r="AG57" s="162">
        <f>IFERROR(VLOOKUP($F57&amp;"-"&amp;$J57,#REF!,#REF!+6,0),0)</f>
        <v>0</v>
      </c>
      <c r="AH57" s="162">
        <f>IFERROR(VLOOKUP($F57&amp;"-"&amp;$J57,#REF!,#REF!+6,0),0)</f>
        <v>0</v>
      </c>
      <c r="AI57" s="162">
        <f>IFERROR(VLOOKUP($F57&amp;"-"&amp;$J57,#REF!,#REF!+6,0),0)</f>
        <v>0</v>
      </c>
      <c r="AJ57" s="162">
        <f>IFERROR(VLOOKUP($F57&amp;"-"&amp;$J57,#REF!,#REF!+6,0),0)</f>
        <v>0</v>
      </c>
      <c r="AK57" s="162">
        <f>IFERROR(VLOOKUP($F57&amp;"-"&amp;$J57,#REF!,#REF!+6,0),0)</f>
        <v>0</v>
      </c>
      <c r="AL57" s="162">
        <f>IFERROR(VLOOKUP($F57&amp;"-"&amp;$J57,#REF!,#REF!+6,0),0)</f>
        <v>0</v>
      </c>
      <c r="AM57" s="162">
        <f>IFERROR(VLOOKUP($F57&amp;"-"&amp;$J57,#REF!,#REF!+6,0),0)</f>
        <v>0</v>
      </c>
      <c r="AN57" s="162">
        <f>IFERROR(VLOOKUP($F57&amp;"-"&amp;$J57,#REF!,#REF!+6,0),0)</f>
        <v>0</v>
      </c>
      <c r="AO57" s="162">
        <f>IFERROR(VLOOKUP($F57&amp;"-"&amp;$J57,#REF!,#REF!+6,0),0)</f>
        <v>0</v>
      </c>
      <c r="AP57" s="162">
        <f>IFERROR(VLOOKUP($F57&amp;"-"&amp;$J57,#REF!,#REF!+6,0),0)</f>
        <v>0</v>
      </c>
      <c r="AQ57" s="162">
        <f>IFERROR(VLOOKUP($F57&amp;"-"&amp;$J57,#REF!,#REF!+6,0),0)</f>
        <v>0</v>
      </c>
      <c r="AR57" s="163">
        <f t="shared" si="15"/>
        <v>0</v>
      </c>
    </row>
    <row r="58" spans="2:44" x14ac:dyDescent="0.25">
      <c r="B58" s="15" t="s">
        <v>226</v>
      </c>
      <c r="C58" s="83">
        <f t="shared" si="13"/>
        <v>0</v>
      </c>
      <c r="F58" s="148"/>
      <c r="G58" s="149" t="str">
        <f>IFERROR(VLOOKUP(F58,#REF!,2,0),"")</f>
        <v/>
      </c>
      <c r="H58" s="150" t="str">
        <f>IFERROR(VLOOKUP(F58,#REF!,3,0),"")</f>
        <v/>
      </c>
      <c r="I58" s="151"/>
      <c r="J58" s="151"/>
      <c r="K58" s="152"/>
      <c r="L58" s="153"/>
      <c r="M58" s="154"/>
      <c r="N58" s="151"/>
      <c r="O58" s="155"/>
      <c r="P58" s="156"/>
      <c r="Q58" s="156"/>
      <c r="R58" s="156"/>
      <c r="S58" s="156"/>
      <c r="T58" s="156"/>
      <c r="U58" s="156"/>
      <c r="V58" s="156"/>
      <c r="W58" s="156"/>
      <c r="X58" s="156"/>
      <c r="Y58" s="156"/>
      <c r="Z58" s="156"/>
      <c r="AA58" s="156"/>
      <c r="AB58" s="158">
        <f t="shared" si="16"/>
        <v>0</v>
      </c>
      <c r="AC58" s="159"/>
      <c r="AE58" s="160" t="str">
        <f t="shared" si="14"/>
        <v/>
      </c>
      <c r="AF58" s="161">
        <f>IFERROR(VLOOKUP($F58&amp;"-"&amp;$J58,#REF!,#REF!+6,0),0)</f>
        <v>0</v>
      </c>
      <c r="AG58" s="162">
        <f>IFERROR(VLOOKUP($F58&amp;"-"&amp;$J58,#REF!,#REF!+6,0),0)</f>
        <v>0</v>
      </c>
      <c r="AH58" s="162">
        <f>IFERROR(VLOOKUP($F58&amp;"-"&amp;$J58,#REF!,#REF!+6,0),0)</f>
        <v>0</v>
      </c>
      <c r="AI58" s="162">
        <f>IFERROR(VLOOKUP($F58&amp;"-"&amp;$J58,#REF!,#REF!+6,0),0)</f>
        <v>0</v>
      </c>
      <c r="AJ58" s="162">
        <f>IFERROR(VLOOKUP($F58&amp;"-"&amp;$J58,#REF!,#REF!+6,0),0)</f>
        <v>0</v>
      </c>
      <c r="AK58" s="162">
        <f>IFERROR(VLOOKUP($F58&amp;"-"&amp;$J58,#REF!,#REF!+6,0),0)</f>
        <v>0</v>
      </c>
      <c r="AL58" s="162">
        <f>IFERROR(VLOOKUP($F58&amp;"-"&amp;$J58,#REF!,#REF!+6,0),0)</f>
        <v>0</v>
      </c>
      <c r="AM58" s="162">
        <f>IFERROR(VLOOKUP($F58&amp;"-"&amp;$J58,#REF!,#REF!+6,0),0)</f>
        <v>0</v>
      </c>
      <c r="AN58" s="162">
        <f>IFERROR(VLOOKUP($F58&amp;"-"&amp;$J58,#REF!,#REF!+6,0),0)</f>
        <v>0</v>
      </c>
      <c r="AO58" s="162">
        <f>IFERROR(VLOOKUP($F58&amp;"-"&amp;$J58,#REF!,#REF!+6,0),0)</f>
        <v>0</v>
      </c>
      <c r="AP58" s="162">
        <f>IFERROR(VLOOKUP($F58&amp;"-"&amp;$J58,#REF!,#REF!+6,0),0)</f>
        <v>0</v>
      </c>
      <c r="AQ58" s="162">
        <f>IFERROR(VLOOKUP($F58&amp;"-"&amp;$J58,#REF!,#REF!+6,0),0)</f>
        <v>0</v>
      </c>
      <c r="AR58" s="163">
        <f t="shared" si="15"/>
        <v>0</v>
      </c>
    </row>
    <row r="59" spans="2:44" x14ac:dyDescent="0.25">
      <c r="B59" s="15" t="s">
        <v>226</v>
      </c>
      <c r="C59" s="83">
        <f t="shared" si="13"/>
        <v>0</v>
      </c>
      <c r="F59" s="148"/>
      <c r="G59" s="149" t="str">
        <f>IFERROR(VLOOKUP(F59,#REF!,2,0),"")</f>
        <v/>
      </c>
      <c r="H59" s="150" t="str">
        <f>IFERROR(VLOOKUP(F59,#REF!,3,0),"")</f>
        <v/>
      </c>
      <c r="I59" s="151"/>
      <c r="J59" s="151"/>
      <c r="K59" s="152"/>
      <c r="L59" s="153"/>
      <c r="M59" s="154"/>
      <c r="N59" s="151"/>
      <c r="O59" s="155"/>
      <c r="P59" s="156"/>
      <c r="Q59" s="156"/>
      <c r="R59" s="156"/>
      <c r="S59" s="156"/>
      <c r="T59" s="156"/>
      <c r="U59" s="156"/>
      <c r="V59" s="156"/>
      <c r="W59" s="156"/>
      <c r="X59" s="156"/>
      <c r="Y59" s="156"/>
      <c r="Z59" s="156"/>
      <c r="AA59" s="156"/>
      <c r="AB59" s="158">
        <f t="shared" si="16"/>
        <v>0</v>
      </c>
      <c r="AC59" s="159"/>
      <c r="AE59" s="160" t="str">
        <f t="shared" si="14"/>
        <v/>
      </c>
      <c r="AF59" s="161">
        <f>IFERROR(VLOOKUP($F59&amp;"-"&amp;$J59,#REF!,#REF!+6,0),0)</f>
        <v>0</v>
      </c>
      <c r="AG59" s="162">
        <f>IFERROR(VLOOKUP($F59&amp;"-"&amp;$J59,#REF!,#REF!+6,0),0)</f>
        <v>0</v>
      </c>
      <c r="AH59" s="162">
        <f>IFERROR(VLOOKUP($F59&amp;"-"&amp;$J59,#REF!,#REF!+6,0),0)</f>
        <v>0</v>
      </c>
      <c r="AI59" s="162">
        <f>IFERROR(VLOOKUP($F59&amp;"-"&amp;$J59,#REF!,#REF!+6,0),0)</f>
        <v>0</v>
      </c>
      <c r="AJ59" s="162">
        <f>IFERROR(VLOOKUP($F59&amp;"-"&amp;$J59,#REF!,#REF!+6,0),0)</f>
        <v>0</v>
      </c>
      <c r="AK59" s="162">
        <f>IFERROR(VLOOKUP($F59&amp;"-"&amp;$J59,#REF!,#REF!+6,0),0)</f>
        <v>0</v>
      </c>
      <c r="AL59" s="162">
        <f>IFERROR(VLOOKUP($F59&amp;"-"&amp;$J59,#REF!,#REF!+6,0),0)</f>
        <v>0</v>
      </c>
      <c r="AM59" s="162">
        <f>IFERROR(VLOOKUP($F59&amp;"-"&amp;$J59,#REF!,#REF!+6,0),0)</f>
        <v>0</v>
      </c>
      <c r="AN59" s="162">
        <f>IFERROR(VLOOKUP($F59&amp;"-"&amp;$J59,#REF!,#REF!+6,0),0)</f>
        <v>0</v>
      </c>
      <c r="AO59" s="162">
        <f>IFERROR(VLOOKUP($F59&amp;"-"&amp;$J59,#REF!,#REF!+6,0),0)</f>
        <v>0</v>
      </c>
      <c r="AP59" s="162">
        <f>IFERROR(VLOOKUP($F59&amp;"-"&amp;$J59,#REF!,#REF!+6,0),0)</f>
        <v>0</v>
      </c>
      <c r="AQ59" s="162">
        <f>IFERROR(VLOOKUP($F59&amp;"-"&amp;$J59,#REF!,#REF!+6,0),0)</f>
        <v>0</v>
      </c>
      <c r="AR59" s="163">
        <f t="shared" si="15"/>
        <v>0</v>
      </c>
    </row>
    <row r="60" spans="2:44" x14ac:dyDescent="0.25">
      <c r="B60" s="15" t="s">
        <v>226</v>
      </c>
      <c r="C60" s="83">
        <f t="shared" si="13"/>
        <v>0</v>
      </c>
      <c r="F60" s="148"/>
      <c r="G60" s="149" t="str">
        <f>IFERROR(VLOOKUP(F60,#REF!,2,0),"")</f>
        <v/>
      </c>
      <c r="H60" s="150" t="str">
        <f>IFERROR(VLOOKUP(F60,#REF!,3,0),"")</f>
        <v/>
      </c>
      <c r="I60" s="151"/>
      <c r="J60" s="151"/>
      <c r="K60" s="152"/>
      <c r="L60" s="153"/>
      <c r="M60" s="154"/>
      <c r="N60" s="151"/>
      <c r="O60" s="155"/>
      <c r="P60" s="156"/>
      <c r="Q60" s="156"/>
      <c r="R60" s="156"/>
      <c r="S60" s="156"/>
      <c r="T60" s="156"/>
      <c r="U60" s="156"/>
      <c r="V60" s="156"/>
      <c r="W60" s="156"/>
      <c r="X60" s="156"/>
      <c r="Y60" s="156"/>
      <c r="Z60" s="156"/>
      <c r="AA60" s="156"/>
      <c r="AB60" s="158">
        <f t="shared" si="16"/>
        <v>0</v>
      </c>
      <c r="AC60" s="159"/>
      <c r="AE60" s="160" t="str">
        <f t="shared" si="14"/>
        <v/>
      </c>
      <c r="AF60" s="161">
        <f>IFERROR(VLOOKUP($F60&amp;"-"&amp;$J60,#REF!,#REF!+6,0),0)</f>
        <v>0</v>
      </c>
      <c r="AG60" s="162">
        <f>IFERROR(VLOOKUP($F60&amp;"-"&amp;$J60,#REF!,#REF!+6,0),0)</f>
        <v>0</v>
      </c>
      <c r="AH60" s="162">
        <f>IFERROR(VLOOKUP($F60&amp;"-"&amp;$J60,#REF!,#REF!+6,0),0)</f>
        <v>0</v>
      </c>
      <c r="AI60" s="162">
        <f>IFERROR(VLOOKUP($F60&amp;"-"&amp;$J60,#REF!,#REF!+6,0),0)</f>
        <v>0</v>
      </c>
      <c r="AJ60" s="162">
        <f>IFERROR(VLOOKUP($F60&amp;"-"&amp;$J60,#REF!,#REF!+6,0),0)</f>
        <v>0</v>
      </c>
      <c r="AK60" s="162">
        <f>IFERROR(VLOOKUP($F60&amp;"-"&amp;$J60,#REF!,#REF!+6,0),0)</f>
        <v>0</v>
      </c>
      <c r="AL60" s="162">
        <f>IFERROR(VLOOKUP($F60&amp;"-"&amp;$J60,#REF!,#REF!+6,0),0)</f>
        <v>0</v>
      </c>
      <c r="AM60" s="162">
        <f>IFERROR(VLOOKUP($F60&amp;"-"&amp;$J60,#REF!,#REF!+6,0),0)</f>
        <v>0</v>
      </c>
      <c r="AN60" s="162">
        <f>IFERROR(VLOOKUP($F60&amp;"-"&amp;$J60,#REF!,#REF!+6,0),0)</f>
        <v>0</v>
      </c>
      <c r="AO60" s="162">
        <f>IFERROR(VLOOKUP($F60&amp;"-"&amp;$J60,#REF!,#REF!+6,0),0)</f>
        <v>0</v>
      </c>
      <c r="AP60" s="162">
        <f>IFERROR(VLOOKUP($F60&amp;"-"&amp;$J60,#REF!,#REF!+6,0),0)</f>
        <v>0</v>
      </c>
      <c r="AQ60" s="162">
        <f>IFERROR(VLOOKUP($F60&amp;"-"&amp;$J60,#REF!,#REF!+6,0),0)</f>
        <v>0</v>
      </c>
      <c r="AR60" s="163">
        <f t="shared" si="15"/>
        <v>0</v>
      </c>
    </row>
    <row r="61" spans="2:44" x14ac:dyDescent="0.25">
      <c r="B61" s="15" t="s">
        <v>226</v>
      </c>
      <c r="C61" s="83">
        <f t="shared" si="13"/>
        <v>0</v>
      </c>
      <c r="F61" s="148"/>
      <c r="G61" s="149" t="str">
        <f>IFERROR(VLOOKUP(F61,#REF!,2,0),"")</f>
        <v/>
      </c>
      <c r="H61" s="150" t="str">
        <f>IFERROR(VLOOKUP(F61,#REF!,3,0),"")</f>
        <v/>
      </c>
      <c r="I61" s="151"/>
      <c r="J61" s="151"/>
      <c r="K61" s="152"/>
      <c r="L61" s="153"/>
      <c r="M61" s="154"/>
      <c r="N61" s="151"/>
      <c r="O61" s="155"/>
      <c r="P61" s="156"/>
      <c r="Q61" s="156"/>
      <c r="R61" s="156"/>
      <c r="S61" s="156"/>
      <c r="T61" s="156"/>
      <c r="U61" s="156"/>
      <c r="V61" s="156"/>
      <c r="W61" s="156"/>
      <c r="X61" s="156"/>
      <c r="Y61" s="156"/>
      <c r="Z61" s="156"/>
      <c r="AA61" s="156"/>
      <c r="AB61" s="158">
        <f t="shared" si="16"/>
        <v>0</v>
      </c>
      <c r="AC61" s="159"/>
      <c r="AE61" s="160" t="str">
        <f t="shared" si="14"/>
        <v/>
      </c>
      <c r="AF61" s="161">
        <f>IFERROR(VLOOKUP($F61&amp;"-"&amp;$J61,#REF!,#REF!+6,0),0)</f>
        <v>0</v>
      </c>
      <c r="AG61" s="162">
        <f>IFERROR(VLOOKUP($F61&amp;"-"&amp;$J61,#REF!,#REF!+6,0),0)</f>
        <v>0</v>
      </c>
      <c r="AH61" s="162">
        <f>IFERROR(VLOOKUP($F61&amp;"-"&amp;$J61,#REF!,#REF!+6,0),0)</f>
        <v>0</v>
      </c>
      <c r="AI61" s="162">
        <f>IFERROR(VLOOKUP($F61&amp;"-"&amp;$J61,#REF!,#REF!+6,0),0)</f>
        <v>0</v>
      </c>
      <c r="AJ61" s="162">
        <f>IFERROR(VLOOKUP($F61&amp;"-"&amp;$J61,#REF!,#REF!+6,0),0)</f>
        <v>0</v>
      </c>
      <c r="AK61" s="162">
        <f>IFERROR(VLOOKUP($F61&amp;"-"&amp;$J61,#REF!,#REF!+6,0),0)</f>
        <v>0</v>
      </c>
      <c r="AL61" s="162">
        <f>IFERROR(VLOOKUP($F61&amp;"-"&amp;$J61,#REF!,#REF!+6,0),0)</f>
        <v>0</v>
      </c>
      <c r="AM61" s="162">
        <f>IFERROR(VLOOKUP($F61&amp;"-"&amp;$J61,#REF!,#REF!+6,0),0)</f>
        <v>0</v>
      </c>
      <c r="AN61" s="162">
        <f>IFERROR(VLOOKUP($F61&amp;"-"&amp;$J61,#REF!,#REF!+6,0),0)</f>
        <v>0</v>
      </c>
      <c r="AO61" s="162">
        <f>IFERROR(VLOOKUP($F61&amp;"-"&amp;$J61,#REF!,#REF!+6,0),0)</f>
        <v>0</v>
      </c>
      <c r="AP61" s="162">
        <f>IFERROR(VLOOKUP($F61&amp;"-"&amp;$J61,#REF!,#REF!+6,0),0)</f>
        <v>0</v>
      </c>
      <c r="AQ61" s="162">
        <f>IFERROR(VLOOKUP($F61&amp;"-"&amp;$J61,#REF!,#REF!+6,0),0)</f>
        <v>0</v>
      </c>
      <c r="AR61" s="163">
        <f t="shared" si="15"/>
        <v>0</v>
      </c>
    </row>
    <row r="62" spans="2:44" x14ac:dyDescent="0.25">
      <c r="B62" s="15" t="s">
        <v>226</v>
      </c>
      <c r="C62" s="83">
        <f t="shared" si="13"/>
        <v>0</v>
      </c>
      <c r="F62" s="148"/>
      <c r="G62" s="149" t="str">
        <f>IFERROR(VLOOKUP(F62,#REF!,2,0),"")</f>
        <v/>
      </c>
      <c r="H62" s="150" t="str">
        <f>IFERROR(VLOOKUP(F62,#REF!,3,0),"")</f>
        <v/>
      </c>
      <c r="I62" s="151"/>
      <c r="J62" s="151"/>
      <c r="K62" s="152"/>
      <c r="L62" s="153"/>
      <c r="M62" s="154"/>
      <c r="N62" s="151"/>
      <c r="O62" s="155"/>
      <c r="P62" s="156"/>
      <c r="Q62" s="156"/>
      <c r="R62" s="156"/>
      <c r="S62" s="156"/>
      <c r="T62" s="156"/>
      <c r="U62" s="156"/>
      <c r="V62" s="156"/>
      <c r="W62" s="156"/>
      <c r="X62" s="156"/>
      <c r="Y62" s="156"/>
      <c r="Z62" s="156"/>
      <c r="AA62" s="156"/>
      <c r="AB62" s="158">
        <f t="shared" si="16"/>
        <v>0</v>
      </c>
      <c r="AC62" s="159"/>
      <c r="AE62" s="160" t="str">
        <f t="shared" si="14"/>
        <v/>
      </c>
      <c r="AF62" s="161">
        <f>IFERROR(VLOOKUP($F62&amp;"-"&amp;$J62,#REF!,#REF!+6,0),0)</f>
        <v>0</v>
      </c>
      <c r="AG62" s="162">
        <f>IFERROR(VLOOKUP($F62&amp;"-"&amp;$J62,#REF!,#REF!+6,0),0)</f>
        <v>0</v>
      </c>
      <c r="AH62" s="162">
        <f>IFERROR(VLOOKUP($F62&amp;"-"&amp;$J62,#REF!,#REF!+6,0),0)</f>
        <v>0</v>
      </c>
      <c r="AI62" s="162">
        <f>IFERROR(VLOOKUP($F62&amp;"-"&amp;$J62,#REF!,#REF!+6,0),0)</f>
        <v>0</v>
      </c>
      <c r="AJ62" s="162">
        <f>IFERROR(VLOOKUP($F62&amp;"-"&amp;$J62,#REF!,#REF!+6,0),0)</f>
        <v>0</v>
      </c>
      <c r="AK62" s="162">
        <f>IFERROR(VLOOKUP($F62&amp;"-"&amp;$J62,#REF!,#REF!+6,0),0)</f>
        <v>0</v>
      </c>
      <c r="AL62" s="162">
        <f>IFERROR(VLOOKUP($F62&amp;"-"&amp;$J62,#REF!,#REF!+6,0),0)</f>
        <v>0</v>
      </c>
      <c r="AM62" s="162">
        <f>IFERROR(VLOOKUP($F62&amp;"-"&amp;$J62,#REF!,#REF!+6,0),0)</f>
        <v>0</v>
      </c>
      <c r="AN62" s="162">
        <f>IFERROR(VLOOKUP($F62&amp;"-"&amp;$J62,#REF!,#REF!+6,0),0)</f>
        <v>0</v>
      </c>
      <c r="AO62" s="162">
        <f>IFERROR(VLOOKUP($F62&amp;"-"&amp;$J62,#REF!,#REF!+6,0),0)</f>
        <v>0</v>
      </c>
      <c r="AP62" s="162">
        <f>IFERROR(VLOOKUP($F62&amp;"-"&amp;$J62,#REF!,#REF!+6,0),0)</f>
        <v>0</v>
      </c>
      <c r="AQ62" s="162">
        <f>IFERROR(VLOOKUP($F62&amp;"-"&amp;$J62,#REF!,#REF!+6,0),0)</f>
        <v>0</v>
      </c>
      <c r="AR62" s="163">
        <f t="shared" si="15"/>
        <v>0</v>
      </c>
    </row>
    <row r="63" spans="2:44" x14ac:dyDescent="0.25">
      <c r="B63" s="15" t="s">
        <v>226</v>
      </c>
      <c r="C63" s="83">
        <f t="shared" si="13"/>
        <v>0</v>
      </c>
      <c r="F63" s="148"/>
      <c r="G63" s="149" t="str">
        <f>IFERROR(VLOOKUP(F63,#REF!,2,0),"")</f>
        <v/>
      </c>
      <c r="H63" s="150" t="str">
        <f>IFERROR(VLOOKUP(F63,#REF!,3,0),"")</f>
        <v/>
      </c>
      <c r="I63" s="151"/>
      <c r="J63" s="151"/>
      <c r="K63" s="152"/>
      <c r="L63" s="153"/>
      <c r="M63" s="154"/>
      <c r="N63" s="151"/>
      <c r="O63" s="155"/>
      <c r="P63" s="156"/>
      <c r="Q63" s="156"/>
      <c r="R63" s="156"/>
      <c r="S63" s="156"/>
      <c r="T63" s="156"/>
      <c r="U63" s="156"/>
      <c r="V63" s="156"/>
      <c r="W63" s="156"/>
      <c r="X63" s="156"/>
      <c r="Y63" s="156"/>
      <c r="Z63" s="156"/>
      <c r="AA63" s="156"/>
      <c r="AB63" s="158">
        <f t="shared" si="16"/>
        <v>0</v>
      </c>
      <c r="AC63" s="159"/>
      <c r="AE63" s="160" t="str">
        <f t="shared" si="14"/>
        <v/>
      </c>
      <c r="AF63" s="161">
        <f>IFERROR(VLOOKUP($F63&amp;"-"&amp;$J63,#REF!,#REF!+6,0),0)</f>
        <v>0</v>
      </c>
      <c r="AG63" s="162">
        <f>IFERROR(VLOOKUP($F63&amp;"-"&amp;$J63,#REF!,#REF!+6,0),0)</f>
        <v>0</v>
      </c>
      <c r="AH63" s="162">
        <f>IFERROR(VLOOKUP($F63&amp;"-"&amp;$J63,#REF!,#REF!+6,0),0)</f>
        <v>0</v>
      </c>
      <c r="AI63" s="162">
        <f>IFERROR(VLOOKUP($F63&amp;"-"&amp;$J63,#REF!,#REF!+6,0),0)</f>
        <v>0</v>
      </c>
      <c r="AJ63" s="162">
        <f>IFERROR(VLOOKUP($F63&amp;"-"&amp;$J63,#REF!,#REF!+6,0),0)</f>
        <v>0</v>
      </c>
      <c r="AK63" s="162">
        <f>IFERROR(VLOOKUP($F63&amp;"-"&amp;$J63,#REF!,#REF!+6,0),0)</f>
        <v>0</v>
      </c>
      <c r="AL63" s="162">
        <f>IFERROR(VLOOKUP($F63&amp;"-"&amp;$J63,#REF!,#REF!+6,0),0)</f>
        <v>0</v>
      </c>
      <c r="AM63" s="162">
        <f>IFERROR(VLOOKUP($F63&amp;"-"&amp;$J63,#REF!,#REF!+6,0),0)</f>
        <v>0</v>
      </c>
      <c r="AN63" s="162">
        <f>IFERROR(VLOOKUP($F63&amp;"-"&amp;$J63,#REF!,#REF!+6,0),0)</f>
        <v>0</v>
      </c>
      <c r="AO63" s="162">
        <f>IFERROR(VLOOKUP($F63&amp;"-"&amp;$J63,#REF!,#REF!+6,0),0)</f>
        <v>0</v>
      </c>
      <c r="AP63" s="162">
        <f>IFERROR(VLOOKUP($F63&amp;"-"&amp;$J63,#REF!,#REF!+6,0),0)</f>
        <v>0</v>
      </c>
      <c r="AQ63" s="162">
        <f>IFERROR(VLOOKUP($F63&amp;"-"&amp;$J63,#REF!,#REF!+6,0),0)</f>
        <v>0</v>
      </c>
      <c r="AR63" s="163">
        <f t="shared" si="15"/>
        <v>0</v>
      </c>
    </row>
    <row r="64" spans="2:44" x14ac:dyDescent="0.25">
      <c r="B64" s="15" t="s">
        <v>226</v>
      </c>
      <c r="C64" s="83">
        <f t="shared" si="13"/>
        <v>0</v>
      </c>
      <c r="F64" s="148"/>
      <c r="G64" s="149" t="str">
        <f>IFERROR(VLOOKUP(F64,#REF!,2,0),"")</f>
        <v/>
      </c>
      <c r="H64" s="150" t="str">
        <f>IFERROR(VLOOKUP(F64,#REF!,3,0),"")</f>
        <v/>
      </c>
      <c r="I64" s="151"/>
      <c r="J64" s="151"/>
      <c r="K64" s="152"/>
      <c r="L64" s="153"/>
      <c r="M64" s="154"/>
      <c r="N64" s="151"/>
      <c r="O64" s="155"/>
      <c r="P64" s="156"/>
      <c r="Q64" s="156"/>
      <c r="R64" s="156"/>
      <c r="S64" s="156"/>
      <c r="T64" s="156"/>
      <c r="U64" s="156"/>
      <c r="V64" s="156"/>
      <c r="W64" s="156"/>
      <c r="X64" s="156"/>
      <c r="Y64" s="156"/>
      <c r="Z64" s="156"/>
      <c r="AA64" s="156"/>
      <c r="AB64" s="158">
        <f t="shared" si="16"/>
        <v>0</v>
      </c>
      <c r="AC64" s="159"/>
      <c r="AE64" s="160" t="str">
        <f t="shared" si="14"/>
        <v/>
      </c>
      <c r="AF64" s="161">
        <f>IFERROR(VLOOKUP($F64&amp;"-"&amp;$J64,#REF!,#REF!+6,0),0)</f>
        <v>0</v>
      </c>
      <c r="AG64" s="162">
        <f>IFERROR(VLOOKUP($F64&amp;"-"&amp;$J64,#REF!,#REF!+6,0),0)</f>
        <v>0</v>
      </c>
      <c r="AH64" s="162">
        <f>IFERROR(VLOOKUP($F64&amp;"-"&amp;$J64,#REF!,#REF!+6,0),0)</f>
        <v>0</v>
      </c>
      <c r="AI64" s="162">
        <f>IFERROR(VLOOKUP($F64&amp;"-"&amp;$J64,#REF!,#REF!+6,0),0)</f>
        <v>0</v>
      </c>
      <c r="AJ64" s="162">
        <f>IFERROR(VLOOKUP($F64&amp;"-"&amp;$J64,#REF!,#REF!+6,0),0)</f>
        <v>0</v>
      </c>
      <c r="AK64" s="162">
        <f>IFERROR(VLOOKUP($F64&amp;"-"&amp;$J64,#REF!,#REF!+6,0),0)</f>
        <v>0</v>
      </c>
      <c r="AL64" s="162">
        <f>IFERROR(VLOOKUP($F64&amp;"-"&amp;$J64,#REF!,#REF!+6,0),0)</f>
        <v>0</v>
      </c>
      <c r="AM64" s="162">
        <f>IFERROR(VLOOKUP($F64&amp;"-"&amp;$J64,#REF!,#REF!+6,0),0)</f>
        <v>0</v>
      </c>
      <c r="AN64" s="162">
        <f>IFERROR(VLOOKUP($F64&amp;"-"&amp;$J64,#REF!,#REF!+6,0),0)</f>
        <v>0</v>
      </c>
      <c r="AO64" s="162">
        <f>IFERROR(VLOOKUP($F64&amp;"-"&amp;$J64,#REF!,#REF!+6,0),0)</f>
        <v>0</v>
      </c>
      <c r="AP64" s="162">
        <f>IFERROR(VLOOKUP($F64&amp;"-"&amp;$J64,#REF!,#REF!+6,0),0)</f>
        <v>0</v>
      </c>
      <c r="AQ64" s="162">
        <f>IFERROR(VLOOKUP($F64&amp;"-"&amp;$J64,#REF!,#REF!+6,0),0)</f>
        <v>0</v>
      </c>
      <c r="AR64" s="163">
        <f t="shared" si="15"/>
        <v>0</v>
      </c>
    </row>
    <row r="65" spans="2:44" x14ac:dyDescent="0.25">
      <c r="B65" s="15" t="s">
        <v>226</v>
      </c>
      <c r="C65" s="83">
        <f t="shared" si="13"/>
        <v>0</v>
      </c>
      <c r="F65" s="148"/>
      <c r="G65" s="149" t="str">
        <f>IFERROR(VLOOKUP(F65,#REF!,2,0),"")</f>
        <v/>
      </c>
      <c r="H65" s="150" t="str">
        <f>IFERROR(VLOOKUP(F65,#REF!,3,0),"")</f>
        <v/>
      </c>
      <c r="I65" s="151"/>
      <c r="J65" s="151"/>
      <c r="K65" s="152"/>
      <c r="L65" s="153"/>
      <c r="M65" s="154"/>
      <c r="N65" s="151"/>
      <c r="O65" s="155"/>
      <c r="P65" s="156"/>
      <c r="Q65" s="156"/>
      <c r="R65" s="156"/>
      <c r="S65" s="156"/>
      <c r="T65" s="156"/>
      <c r="U65" s="156"/>
      <c r="V65" s="156"/>
      <c r="W65" s="156"/>
      <c r="X65" s="156"/>
      <c r="Y65" s="156"/>
      <c r="Z65" s="156"/>
      <c r="AA65" s="156"/>
      <c r="AB65" s="158">
        <f t="shared" si="16"/>
        <v>0</v>
      </c>
      <c r="AC65" s="159"/>
      <c r="AE65" s="160" t="str">
        <f t="shared" si="14"/>
        <v/>
      </c>
      <c r="AF65" s="161">
        <f>IFERROR(VLOOKUP($F65&amp;"-"&amp;$J65,#REF!,#REF!+6,0),0)</f>
        <v>0</v>
      </c>
      <c r="AG65" s="162">
        <f>IFERROR(VLOOKUP($F65&amp;"-"&amp;$J65,#REF!,#REF!+6,0),0)</f>
        <v>0</v>
      </c>
      <c r="AH65" s="162">
        <f>IFERROR(VLOOKUP($F65&amp;"-"&amp;$J65,#REF!,#REF!+6,0),0)</f>
        <v>0</v>
      </c>
      <c r="AI65" s="162">
        <f>IFERROR(VLOOKUP($F65&amp;"-"&amp;$J65,#REF!,#REF!+6,0),0)</f>
        <v>0</v>
      </c>
      <c r="AJ65" s="162">
        <f>IFERROR(VLOOKUP($F65&amp;"-"&amp;$J65,#REF!,#REF!+6,0),0)</f>
        <v>0</v>
      </c>
      <c r="AK65" s="162">
        <f>IFERROR(VLOOKUP($F65&amp;"-"&amp;$J65,#REF!,#REF!+6,0),0)</f>
        <v>0</v>
      </c>
      <c r="AL65" s="162">
        <f>IFERROR(VLOOKUP($F65&amp;"-"&amp;$J65,#REF!,#REF!+6,0),0)</f>
        <v>0</v>
      </c>
      <c r="AM65" s="162">
        <f>IFERROR(VLOOKUP($F65&amp;"-"&amp;$J65,#REF!,#REF!+6,0),0)</f>
        <v>0</v>
      </c>
      <c r="AN65" s="162">
        <f>IFERROR(VLOOKUP($F65&amp;"-"&amp;$J65,#REF!,#REF!+6,0),0)</f>
        <v>0</v>
      </c>
      <c r="AO65" s="162">
        <f>IFERROR(VLOOKUP($F65&amp;"-"&amp;$J65,#REF!,#REF!+6,0),0)</f>
        <v>0</v>
      </c>
      <c r="AP65" s="162">
        <f>IFERROR(VLOOKUP($F65&amp;"-"&amp;$J65,#REF!,#REF!+6,0),0)</f>
        <v>0</v>
      </c>
      <c r="AQ65" s="162">
        <f>IFERROR(VLOOKUP($F65&amp;"-"&amp;$J65,#REF!,#REF!+6,0),0)</f>
        <v>0</v>
      </c>
      <c r="AR65" s="163">
        <f t="shared" si="15"/>
        <v>0</v>
      </c>
    </row>
    <row r="66" spans="2:44" x14ac:dyDescent="0.25">
      <c r="B66" s="15" t="s">
        <v>226</v>
      </c>
      <c r="C66" s="83">
        <f t="shared" si="13"/>
        <v>0</v>
      </c>
      <c r="F66" s="148"/>
      <c r="G66" s="149" t="str">
        <f>IFERROR(VLOOKUP(F66,#REF!,2,0),"")</f>
        <v/>
      </c>
      <c r="H66" s="150" t="str">
        <f>IFERROR(VLOOKUP(F66,#REF!,3,0),"")</f>
        <v/>
      </c>
      <c r="I66" s="151"/>
      <c r="J66" s="151"/>
      <c r="K66" s="152"/>
      <c r="L66" s="153"/>
      <c r="M66" s="154"/>
      <c r="N66" s="151"/>
      <c r="O66" s="155"/>
      <c r="P66" s="156"/>
      <c r="Q66" s="156"/>
      <c r="R66" s="156"/>
      <c r="S66" s="156"/>
      <c r="T66" s="156"/>
      <c r="U66" s="156"/>
      <c r="V66" s="156"/>
      <c r="W66" s="156"/>
      <c r="X66" s="156"/>
      <c r="Y66" s="156"/>
      <c r="Z66" s="156"/>
      <c r="AA66" s="156"/>
      <c r="AB66" s="158">
        <f t="shared" si="16"/>
        <v>0</v>
      </c>
      <c r="AC66" s="159"/>
      <c r="AE66" s="160" t="str">
        <f t="shared" si="14"/>
        <v/>
      </c>
      <c r="AF66" s="161">
        <f>IFERROR(VLOOKUP($F66&amp;"-"&amp;$J66,#REF!,#REF!+6,0),0)</f>
        <v>0</v>
      </c>
      <c r="AG66" s="162">
        <f>IFERROR(VLOOKUP($F66&amp;"-"&amp;$J66,#REF!,#REF!+6,0),0)</f>
        <v>0</v>
      </c>
      <c r="AH66" s="162">
        <f>IFERROR(VLOOKUP($F66&amp;"-"&amp;$J66,#REF!,#REF!+6,0),0)</f>
        <v>0</v>
      </c>
      <c r="AI66" s="162">
        <f>IFERROR(VLOOKUP($F66&amp;"-"&amp;$J66,#REF!,#REF!+6,0),0)</f>
        <v>0</v>
      </c>
      <c r="AJ66" s="162">
        <f>IFERROR(VLOOKUP($F66&amp;"-"&amp;$J66,#REF!,#REF!+6,0),0)</f>
        <v>0</v>
      </c>
      <c r="AK66" s="162">
        <f>IFERROR(VLOOKUP($F66&amp;"-"&amp;$J66,#REF!,#REF!+6,0),0)</f>
        <v>0</v>
      </c>
      <c r="AL66" s="162">
        <f>IFERROR(VLOOKUP($F66&amp;"-"&amp;$J66,#REF!,#REF!+6,0),0)</f>
        <v>0</v>
      </c>
      <c r="AM66" s="162">
        <f>IFERROR(VLOOKUP($F66&amp;"-"&amp;$J66,#REF!,#REF!+6,0),0)</f>
        <v>0</v>
      </c>
      <c r="AN66" s="162">
        <f>IFERROR(VLOOKUP($F66&amp;"-"&amp;$J66,#REF!,#REF!+6,0),0)</f>
        <v>0</v>
      </c>
      <c r="AO66" s="162">
        <f>IFERROR(VLOOKUP($F66&amp;"-"&amp;$J66,#REF!,#REF!+6,0),0)</f>
        <v>0</v>
      </c>
      <c r="AP66" s="162">
        <f>IFERROR(VLOOKUP($F66&amp;"-"&amp;$J66,#REF!,#REF!+6,0),0)</f>
        <v>0</v>
      </c>
      <c r="AQ66" s="162">
        <f>IFERROR(VLOOKUP($F66&amp;"-"&amp;$J66,#REF!,#REF!+6,0),0)</f>
        <v>0</v>
      </c>
      <c r="AR66" s="163">
        <f t="shared" si="15"/>
        <v>0</v>
      </c>
    </row>
    <row r="67" spans="2:44" x14ac:dyDescent="0.25">
      <c r="B67" s="15" t="s">
        <v>226</v>
      </c>
      <c r="C67" s="83">
        <f t="shared" si="13"/>
        <v>0</v>
      </c>
      <c r="F67" s="148"/>
      <c r="G67" s="149" t="str">
        <f>IFERROR(VLOOKUP(F67,#REF!,2,0),"")</f>
        <v/>
      </c>
      <c r="H67" s="150" t="str">
        <f>IFERROR(VLOOKUP(F67,#REF!,3,0),"")</f>
        <v/>
      </c>
      <c r="I67" s="151"/>
      <c r="J67" s="151"/>
      <c r="K67" s="152"/>
      <c r="L67" s="153"/>
      <c r="M67" s="154"/>
      <c r="N67" s="151"/>
      <c r="O67" s="155"/>
      <c r="P67" s="156"/>
      <c r="Q67" s="156"/>
      <c r="R67" s="156"/>
      <c r="S67" s="156"/>
      <c r="T67" s="156"/>
      <c r="U67" s="156"/>
      <c r="V67" s="156"/>
      <c r="W67" s="156"/>
      <c r="X67" s="156"/>
      <c r="Y67" s="156"/>
      <c r="Z67" s="156"/>
      <c r="AA67" s="156"/>
      <c r="AB67" s="158">
        <f t="shared" si="16"/>
        <v>0</v>
      </c>
      <c r="AC67" s="159"/>
      <c r="AE67" s="160" t="str">
        <f t="shared" si="14"/>
        <v/>
      </c>
      <c r="AF67" s="161">
        <f>IFERROR(VLOOKUP($F67&amp;"-"&amp;$J67,#REF!,#REF!+6,0),0)</f>
        <v>0</v>
      </c>
      <c r="AG67" s="162">
        <f>IFERROR(VLOOKUP($F67&amp;"-"&amp;$J67,#REF!,#REF!+6,0),0)</f>
        <v>0</v>
      </c>
      <c r="AH67" s="162">
        <f>IFERROR(VLOOKUP($F67&amp;"-"&amp;$J67,#REF!,#REF!+6,0),0)</f>
        <v>0</v>
      </c>
      <c r="AI67" s="162">
        <f>IFERROR(VLOOKUP($F67&amp;"-"&amp;$J67,#REF!,#REF!+6,0),0)</f>
        <v>0</v>
      </c>
      <c r="AJ67" s="162">
        <f>IFERROR(VLOOKUP($F67&amp;"-"&amp;$J67,#REF!,#REF!+6,0),0)</f>
        <v>0</v>
      </c>
      <c r="AK67" s="162">
        <f>IFERROR(VLOOKUP($F67&amp;"-"&amp;$J67,#REF!,#REF!+6,0),0)</f>
        <v>0</v>
      </c>
      <c r="AL67" s="162">
        <f>IFERROR(VLOOKUP($F67&amp;"-"&amp;$J67,#REF!,#REF!+6,0),0)</f>
        <v>0</v>
      </c>
      <c r="AM67" s="162">
        <f>IFERROR(VLOOKUP($F67&amp;"-"&amp;$J67,#REF!,#REF!+6,0),0)</f>
        <v>0</v>
      </c>
      <c r="AN67" s="162">
        <f>IFERROR(VLOOKUP($F67&amp;"-"&amp;$J67,#REF!,#REF!+6,0),0)</f>
        <v>0</v>
      </c>
      <c r="AO67" s="162">
        <f>IFERROR(VLOOKUP($F67&amp;"-"&amp;$J67,#REF!,#REF!+6,0),0)</f>
        <v>0</v>
      </c>
      <c r="AP67" s="162">
        <f>IFERROR(VLOOKUP($F67&amp;"-"&amp;$J67,#REF!,#REF!+6,0),0)</f>
        <v>0</v>
      </c>
      <c r="AQ67" s="162">
        <f>IFERROR(VLOOKUP($F67&amp;"-"&amp;$J67,#REF!,#REF!+6,0),0)</f>
        <v>0</v>
      </c>
      <c r="AR67" s="163">
        <f t="shared" si="15"/>
        <v>0</v>
      </c>
    </row>
    <row r="68" spans="2:44" x14ac:dyDescent="0.25">
      <c r="B68" s="15" t="s">
        <v>226</v>
      </c>
      <c r="C68" s="83">
        <f t="shared" si="13"/>
        <v>0</v>
      </c>
      <c r="F68" s="148"/>
      <c r="G68" s="149" t="str">
        <f>IFERROR(VLOOKUP(F68,#REF!,2,0),"")</f>
        <v/>
      </c>
      <c r="H68" s="150" t="str">
        <f>IFERROR(VLOOKUP(F68,#REF!,3,0),"")</f>
        <v/>
      </c>
      <c r="I68" s="151"/>
      <c r="J68" s="151"/>
      <c r="K68" s="152"/>
      <c r="L68" s="153"/>
      <c r="M68" s="154"/>
      <c r="N68" s="151"/>
      <c r="O68" s="155"/>
      <c r="P68" s="156"/>
      <c r="Q68" s="156"/>
      <c r="R68" s="156"/>
      <c r="S68" s="156"/>
      <c r="T68" s="156"/>
      <c r="U68" s="156"/>
      <c r="V68" s="156"/>
      <c r="W68" s="156"/>
      <c r="X68" s="156"/>
      <c r="Y68" s="156"/>
      <c r="Z68" s="156"/>
      <c r="AA68" s="156"/>
      <c r="AB68" s="158">
        <f t="shared" si="16"/>
        <v>0</v>
      </c>
      <c r="AC68" s="159"/>
      <c r="AE68" s="160" t="str">
        <f t="shared" si="14"/>
        <v/>
      </c>
      <c r="AF68" s="161">
        <f>IFERROR(VLOOKUP($F68&amp;"-"&amp;$J68,#REF!,#REF!+6,0),0)</f>
        <v>0</v>
      </c>
      <c r="AG68" s="162">
        <f>IFERROR(VLOOKUP($F68&amp;"-"&amp;$J68,#REF!,#REF!+6,0),0)</f>
        <v>0</v>
      </c>
      <c r="AH68" s="162">
        <f>IFERROR(VLOOKUP($F68&amp;"-"&amp;$J68,#REF!,#REF!+6,0),0)</f>
        <v>0</v>
      </c>
      <c r="AI68" s="162">
        <f>IFERROR(VLOOKUP($F68&amp;"-"&amp;$J68,#REF!,#REF!+6,0),0)</f>
        <v>0</v>
      </c>
      <c r="AJ68" s="162">
        <f>IFERROR(VLOOKUP($F68&amp;"-"&amp;$J68,#REF!,#REF!+6,0),0)</f>
        <v>0</v>
      </c>
      <c r="AK68" s="162">
        <f>IFERROR(VLOOKUP($F68&amp;"-"&amp;$J68,#REF!,#REF!+6,0),0)</f>
        <v>0</v>
      </c>
      <c r="AL68" s="162">
        <f>IFERROR(VLOOKUP($F68&amp;"-"&amp;$J68,#REF!,#REF!+6,0),0)</f>
        <v>0</v>
      </c>
      <c r="AM68" s="162">
        <f>IFERROR(VLOOKUP($F68&amp;"-"&amp;$J68,#REF!,#REF!+6,0),0)</f>
        <v>0</v>
      </c>
      <c r="AN68" s="162">
        <f>IFERROR(VLOOKUP($F68&amp;"-"&amp;$J68,#REF!,#REF!+6,0),0)</f>
        <v>0</v>
      </c>
      <c r="AO68" s="162">
        <f>IFERROR(VLOOKUP($F68&amp;"-"&amp;$J68,#REF!,#REF!+6,0),0)</f>
        <v>0</v>
      </c>
      <c r="AP68" s="162">
        <f>IFERROR(VLOOKUP($F68&amp;"-"&amp;$J68,#REF!,#REF!+6,0),0)</f>
        <v>0</v>
      </c>
      <c r="AQ68" s="162">
        <f>IFERROR(VLOOKUP($F68&amp;"-"&amp;$J68,#REF!,#REF!+6,0),0)</f>
        <v>0</v>
      </c>
      <c r="AR68" s="163">
        <f t="shared" si="15"/>
        <v>0</v>
      </c>
    </row>
    <row r="69" spans="2:44" x14ac:dyDescent="0.25">
      <c r="B69" s="15" t="s">
        <v>226</v>
      </c>
      <c r="C69" s="83">
        <f t="shared" si="13"/>
        <v>0</v>
      </c>
      <c r="F69" s="148"/>
      <c r="G69" s="149" t="str">
        <f>IFERROR(VLOOKUP(F69,#REF!,2,0),"")</f>
        <v/>
      </c>
      <c r="H69" s="150" t="str">
        <f>IFERROR(VLOOKUP(F69,#REF!,3,0),"")</f>
        <v/>
      </c>
      <c r="I69" s="151"/>
      <c r="J69" s="151"/>
      <c r="K69" s="152"/>
      <c r="L69" s="153"/>
      <c r="M69" s="154"/>
      <c r="N69" s="151"/>
      <c r="O69" s="155"/>
      <c r="P69" s="156"/>
      <c r="Q69" s="156"/>
      <c r="R69" s="156"/>
      <c r="S69" s="156"/>
      <c r="T69" s="156"/>
      <c r="U69" s="156"/>
      <c r="V69" s="156"/>
      <c r="W69" s="156"/>
      <c r="X69" s="156"/>
      <c r="Y69" s="156"/>
      <c r="Z69" s="156"/>
      <c r="AA69" s="156"/>
      <c r="AB69" s="158">
        <f t="shared" si="16"/>
        <v>0</v>
      </c>
      <c r="AC69" s="159"/>
      <c r="AE69" s="160" t="str">
        <f t="shared" si="14"/>
        <v/>
      </c>
      <c r="AF69" s="161">
        <f>IFERROR(VLOOKUP($F69&amp;"-"&amp;$J69,#REF!,#REF!+6,0),0)</f>
        <v>0</v>
      </c>
      <c r="AG69" s="162">
        <f>IFERROR(VLOOKUP($F69&amp;"-"&amp;$J69,#REF!,#REF!+6,0),0)</f>
        <v>0</v>
      </c>
      <c r="AH69" s="162">
        <f>IFERROR(VLOOKUP($F69&amp;"-"&amp;$J69,#REF!,#REF!+6,0),0)</f>
        <v>0</v>
      </c>
      <c r="AI69" s="162">
        <f>IFERROR(VLOOKUP($F69&amp;"-"&amp;$J69,#REF!,#REF!+6,0),0)</f>
        <v>0</v>
      </c>
      <c r="AJ69" s="162">
        <f>IFERROR(VLOOKUP($F69&amp;"-"&amp;$J69,#REF!,#REF!+6,0),0)</f>
        <v>0</v>
      </c>
      <c r="AK69" s="162">
        <f>IFERROR(VLOOKUP($F69&amp;"-"&amp;$J69,#REF!,#REF!+6,0),0)</f>
        <v>0</v>
      </c>
      <c r="AL69" s="162">
        <f>IFERROR(VLOOKUP($F69&amp;"-"&amp;$J69,#REF!,#REF!+6,0),0)</f>
        <v>0</v>
      </c>
      <c r="AM69" s="162">
        <f>IFERROR(VLOOKUP($F69&amp;"-"&amp;$J69,#REF!,#REF!+6,0),0)</f>
        <v>0</v>
      </c>
      <c r="AN69" s="162">
        <f>IFERROR(VLOOKUP($F69&amp;"-"&amp;$J69,#REF!,#REF!+6,0),0)</f>
        <v>0</v>
      </c>
      <c r="AO69" s="162">
        <f>IFERROR(VLOOKUP($F69&amp;"-"&amp;$J69,#REF!,#REF!+6,0),0)</f>
        <v>0</v>
      </c>
      <c r="AP69" s="162">
        <f>IFERROR(VLOOKUP($F69&amp;"-"&amp;$J69,#REF!,#REF!+6,0),0)</f>
        <v>0</v>
      </c>
      <c r="AQ69" s="162">
        <f>IFERROR(VLOOKUP($F69&amp;"-"&amp;$J69,#REF!,#REF!+6,0),0)</f>
        <v>0</v>
      </c>
      <c r="AR69" s="163">
        <f t="shared" si="15"/>
        <v>0</v>
      </c>
    </row>
    <row r="70" spans="2:44" x14ac:dyDescent="0.25">
      <c r="B70" s="15" t="s">
        <v>226</v>
      </c>
      <c r="C70" s="83">
        <f t="shared" si="13"/>
        <v>0</v>
      </c>
      <c r="F70" s="148"/>
      <c r="G70" s="149" t="str">
        <f>IFERROR(VLOOKUP(F70,#REF!,2,0),"")</f>
        <v/>
      </c>
      <c r="H70" s="150" t="str">
        <f>IFERROR(VLOOKUP(F70,#REF!,3,0),"")</f>
        <v/>
      </c>
      <c r="I70" s="151"/>
      <c r="J70" s="151"/>
      <c r="K70" s="152"/>
      <c r="L70" s="153"/>
      <c r="M70" s="154"/>
      <c r="N70" s="151"/>
      <c r="O70" s="155"/>
      <c r="P70" s="156"/>
      <c r="Q70" s="156"/>
      <c r="R70" s="156"/>
      <c r="S70" s="156"/>
      <c r="T70" s="156"/>
      <c r="U70" s="156"/>
      <c r="V70" s="156"/>
      <c r="W70" s="156"/>
      <c r="X70" s="156"/>
      <c r="Y70" s="156"/>
      <c r="Z70" s="156"/>
      <c r="AA70" s="156"/>
      <c r="AB70" s="158">
        <f t="shared" si="16"/>
        <v>0</v>
      </c>
      <c r="AC70" s="159"/>
      <c r="AE70" s="160" t="str">
        <f t="shared" si="14"/>
        <v/>
      </c>
      <c r="AF70" s="161">
        <f>IFERROR(VLOOKUP($F70&amp;"-"&amp;$J70,#REF!,#REF!+6,0),0)</f>
        <v>0</v>
      </c>
      <c r="AG70" s="162">
        <f>IFERROR(VLOOKUP($F70&amp;"-"&amp;$J70,#REF!,#REF!+6,0),0)</f>
        <v>0</v>
      </c>
      <c r="AH70" s="162">
        <f>IFERROR(VLOOKUP($F70&amp;"-"&amp;$J70,#REF!,#REF!+6,0),0)</f>
        <v>0</v>
      </c>
      <c r="AI70" s="162">
        <f>IFERROR(VLOOKUP($F70&amp;"-"&amp;$J70,#REF!,#REF!+6,0),0)</f>
        <v>0</v>
      </c>
      <c r="AJ70" s="162">
        <f>IFERROR(VLOOKUP($F70&amp;"-"&amp;$J70,#REF!,#REF!+6,0),0)</f>
        <v>0</v>
      </c>
      <c r="AK70" s="162">
        <f>IFERROR(VLOOKUP($F70&amp;"-"&amp;$J70,#REF!,#REF!+6,0),0)</f>
        <v>0</v>
      </c>
      <c r="AL70" s="162">
        <f>IFERROR(VLOOKUP($F70&amp;"-"&amp;$J70,#REF!,#REF!+6,0),0)</f>
        <v>0</v>
      </c>
      <c r="AM70" s="162">
        <f>IFERROR(VLOOKUP($F70&amp;"-"&amp;$J70,#REF!,#REF!+6,0),0)</f>
        <v>0</v>
      </c>
      <c r="AN70" s="162">
        <f>IFERROR(VLOOKUP($F70&amp;"-"&amp;$J70,#REF!,#REF!+6,0),0)</f>
        <v>0</v>
      </c>
      <c r="AO70" s="162">
        <f>IFERROR(VLOOKUP($F70&amp;"-"&amp;$J70,#REF!,#REF!+6,0),0)</f>
        <v>0</v>
      </c>
      <c r="AP70" s="162">
        <f>IFERROR(VLOOKUP($F70&amp;"-"&amp;$J70,#REF!,#REF!+6,0),0)</f>
        <v>0</v>
      </c>
      <c r="AQ70" s="162">
        <f>IFERROR(VLOOKUP($F70&amp;"-"&amp;$J70,#REF!,#REF!+6,0),0)</f>
        <v>0</v>
      </c>
      <c r="AR70" s="163">
        <f t="shared" si="15"/>
        <v>0</v>
      </c>
    </row>
    <row r="71" spans="2:44" x14ac:dyDescent="0.25">
      <c r="B71" s="15" t="s">
        <v>226</v>
      </c>
      <c r="C71" s="83">
        <f t="shared" si="13"/>
        <v>0</v>
      </c>
      <c r="F71" s="148"/>
      <c r="G71" s="149" t="str">
        <f>IFERROR(VLOOKUP(F71,#REF!,2,0),"")</f>
        <v/>
      </c>
      <c r="H71" s="150" t="str">
        <f>IFERROR(VLOOKUP(F71,#REF!,3,0),"")</f>
        <v/>
      </c>
      <c r="I71" s="151"/>
      <c r="J71" s="151"/>
      <c r="K71" s="152"/>
      <c r="L71" s="153"/>
      <c r="M71" s="154"/>
      <c r="N71" s="151"/>
      <c r="O71" s="155"/>
      <c r="P71" s="156"/>
      <c r="Q71" s="156"/>
      <c r="R71" s="156"/>
      <c r="S71" s="156"/>
      <c r="T71" s="156"/>
      <c r="U71" s="156"/>
      <c r="V71" s="156"/>
      <c r="W71" s="156"/>
      <c r="X71" s="156"/>
      <c r="Y71" s="156"/>
      <c r="Z71" s="156"/>
      <c r="AA71" s="156"/>
      <c r="AB71" s="158">
        <f t="shared" si="16"/>
        <v>0</v>
      </c>
      <c r="AC71" s="159"/>
      <c r="AE71" s="160" t="str">
        <f t="shared" si="14"/>
        <v/>
      </c>
      <c r="AF71" s="161">
        <f>IFERROR(VLOOKUP($F71&amp;"-"&amp;$J71,#REF!,#REF!+6,0),0)</f>
        <v>0</v>
      </c>
      <c r="AG71" s="162">
        <f>IFERROR(VLOOKUP($F71&amp;"-"&amp;$J71,#REF!,#REF!+6,0),0)</f>
        <v>0</v>
      </c>
      <c r="AH71" s="162">
        <f>IFERROR(VLOOKUP($F71&amp;"-"&amp;$J71,#REF!,#REF!+6,0),0)</f>
        <v>0</v>
      </c>
      <c r="AI71" s="162">
        <f>IFERROR(VLOOKUP($F71&amp;"-"&amp;$J71,#REF!,#REF!+6,0),0)</f>
        <v>0</v>
      </c>
      <c r="AJ71" s="162">
        <f>IFERROR(VLOOKUP($F71&amp;"-"&amp;$J71,#REF!,#REF!+6,0),0)</f>
        <v>0</v>
      </c>
      <c r="AK71" s="162">
        <f>IFERROR(VLOOKUP($F71&amp;"-"&amp;$J71,#REF!,#REF!+6,0),0)</f>
        <v>0</v>
      </c>
      <c r="AL71" s="162">
        <f>IFERROR(VLOOKUP($F71&amp;"-"&amp;$J71,#REF!,#REF!+6,0),0)</f>
        <v>0</v>
      </c>
      <c r="AM71" s="162">
        <f>IFERROR(VLOOKUP($F71&amp;"-"&amp;$J71,#REF!,#REF!+6,0),0)</f>
        <v>0</v>
      </c>
      <c r="AN71" s="162">
        <f>IFERROR(VLOOKUP($F71&amp;"-"&amp;$J71,#REF!,#REF!+6,0),0)</f>
        <v>0</v>
      </c>
      <c r="AO71" s="162">
        <f>IFERROR(VLOOKUP($F71&amp;"-"&amp;$J71,#REF!,#REF!+6,0),0)</f>
        <v>0</v>
      </c>
      <c r="AP71" s="162">
        <f>IFERROR(VLOOKUP($F71&amp;"-"&amp;$J71,#REF!,#REF!+6,0),0)</f>
        <v>0</v>
      </c>
      <c r="AQ71" s="162">
        <f>IFERROR(VLOOKUP($F71&amp;"-"&amp;$J71,#REF!,#REF!+6,0),0)</f>
        <v>0</v>
      </c>
      <c r="AR71" s="163">
        <f t="shared" si="15"/>
        <v>0</v>
      </c>
    </row>
    <row r="72" spans="2:44" x14ac:dyDescent="0.25">
      <c r="B72" s="15" t="s">
        <v>226</v>
      </c>
      <c r="C72" s="83">
        <f t="shared" si="13"/>
        <v>0</v>
      </c>
      <c r="F72" s="148"/>
      <c r="G72" s="149" t="str">
        <f>IFERROR(VLOOKUP(F72,#REF!,2,0),"")</f>
        <v/>
      </c>
      <c r="H72" s="150" t="str">
        <f>IFERROR(VLOOKUP(F72,#REF!,3,0),"")</f>
        <v/>
      </c>
      <c r="I72" s="151"/>
      <c r="J72" s="151"/>
      <c r="K72" s="152"/>
      <c r="L72" s="153"/>
      <c r="M72" s="154"/>
      <c r="N72" s="151"/>
      <c r="O72" s="155"/>
      <c r="P72" s="156"/>
      <c r="Q72" s="156"/>
      <c r="R72" s="156"/>
      <c r="S72" s="156"/>
      <c r="T72" s="156"/>
      <c r="U72" s="156"/>
      <c r="V72" s="156"/>
      <c r="W72" s="156"/>
      <c r="X72" s="156"/>
      <c r="Y72" s="156"/>
      <c r="Z72" s="156"/>
      <c r="AA72" s="156"/>
      <c r="AB72" s="158">
        <f t="shared" si="16"/>
        <v>0</v>
      </c>
      <c r="AC72" s="159"/>
      <c r="AE72" s="160" t="str">
        <f t="shared" si="14"/>
        <v/>
      </c>
      <c r="AF72" s="161">
        <f>IFERROR(VLOOKUP($F72&amp;"-"&amp;$J72,#REF!,#REF!+6,0),0)</f>
        <v>0</v>
      </c>
      <c r="AG72" s="162">
        <f>IFERROR(VLOOKUP($F72&amp;"-"&amp;$J72,#REF!,#REF!+6,0),0)</f>
        <v>0</v>
      </c>
      <c r="AH72" s="162">
        <f>IFERROR(VLOOKUP($F72&amp;"-"&amp;$J72,#REF!,#REF!+6,0),0)</f>
        <v>0</v>
      </c>
      <c r="AI72" s="162">
        <f>IFERROR(VLOOKUP($F72&amp;"-"&amp;$J72,#REF!,#REF!+6,0),0)</f>
        <v>0</v>
      </c>
      <c r="AJ72" s="162">
        <f>IFERROR(VLOOKUP($F72&amp;"-"&amp;$J72,#REF!,#REF!+6,0),0)</f>
        <v>0</v>
      </c>
      <c r="AK72" s="162">
        <f>IFERROR(VLOOKUP($F72&amp;"-"&amp;$J72,#REF!,#REF!+6,0),0)</f>
        <v>0</v>
      </c>
      <c r="AL72" s="162">
        <f>IFERROR(VLOOKUP($F72&amp;"-"&amp;$J72,#REF!,#REF!+6,0),0)</f>
        <v>0</v>
      </c>
      <c r="AM72" s="162">
        <f>IFERROR(VLOOKUP($F72&amp;"-"&amp;$J72,#REF!,#REF!+6,0),0)</f>
        <v>0</v>
      </c>
      <c r="AN72" s="162">
        <f>IFERROR(VLOOKUP($F72&amp;"-"&amp;$J72,#REF!,#REF!+6,0),0)</f>
        <v>0</v>
      </c>
      <c r="AO72" s="162">
        <f>IFERROR(VLOOKUP($F72&amp;"-"&amp;$J72,#REF!,#REF!+6,0),0)</f>
        <v>0</v>
      </c>
      <c r="AP72" s="162">
        <f>IFERROR(VLOOKUP($F72&amp;"-"&amp;$J72,#REF!,#REF!+6,0),0)</f>
        <v>0</v>
      </c>
      <c r="AQ72" s="162">
        <f>IFERROR(VLOOKUP($F72&amp;"-"&amp;$J72,#REF!,#REF!+6,0),0)</f>
        <v>0</v>
      </c>
      <c r="AR72" s="163">
        <f t="shared" si="15"/>
        <v>0</v>
      </c>
    </row>
    <row r="73" spans="2:44" x14ac:dyDescent="0.25">
      <c r="B73" s="15" t="s">
        <v>226</v>
      </c>
      <c r="C73" s="83">
        <f t="shared" si="13"/>
        <v>0</v>
      </c>
      <c r="F73" s="148"/>
      <c r="G73" s="149" t="str">
        <f>IFERROR(VLOOKUP(F73,#REF!,2,0),"")</f>
        <v/>
      </c>
      <c r="H73" s="150" t="str">
        <f>IFERROR(VLOOKUP(F73,#REF!,3,0),"")</f>
        <v/>
      </c>
      <c r="I73" s="151"/>
      <c r="J73" s="151"/>
      <c r="K73" s="152"/>
      <c r="L73" s="153"/>
      <c r="M73" s="154"/>
      <c r="N73" s="151"/>
      <c r="O73" s="155"/>
      <c r="P73" s="156"/>
      <c r="Q73" s="156"/>
      <c r="R73" s="156"/>
      <c r="S73" s="156"/>
      <c r="T73" s="156"/>
      <c r="U73" s="156"/>
      <c r="V73" s="156"/>
      <c r="W73" s="156"/>
      <c r="X73" s="156"/>
      <c r="Y73" s="156"/>
      <c r="Z73" s="156"/>
      <c r="AA73" s="156"/>
      <c r="AB73" s="158">
        <f t="shared" si="16"/>
        <v>0</v>
      </c>
      <c r="AC73" s="159"/>
      <c r="AE73" s="160" t="str">
        <f t="shared" si="14"/>
        <v/>
      </c>
      <c r="AF73" s="161">
        <f>IFERROR(VLOOKUP($F73&amp;"-"&amp;$J73,#REF!,#REF!+6,0),0)</f>
        <v>0</v>
      </c>
      <c r="AG73" s="162">
        <f>IFERROR(VLOOKUP($F73&amp;"-"&amp;$J73,#REF!,#REF!+6,0),0)</f>
        <v>0</v>
      </c>
      <c r="AH73" s="162">
        <f>IFERROR(VLOOKUP($F73&amp;"-"&amp;$J73,#REF!,#REF!+6,0),0)</f>
        <v>0</v>
      </c>
      <c r="AI73" s="162">
        <f>IFERROR(VLOOKUP($F73&amp;"-"&amp;$J73,#REF!,#REF!+6,0),0)</f>
        <v>0</v>
      </c>
      <c r="AJ73" s="162">
        <f>IFERROR(VLOOKUP($F73&amp;"-"&amp;$J73,#REF!,#REF!+6,0),0)</f>
        <v>0</v>
      </c>
      <c r="AK73" s="162">
        <f>IFERROR(VLOOKUP($F73&amp;"-"&amp;$J73,#REF!,#REF!+6,0),0)</f>
        <v>0</v>
      </c>
      <c r="AL73" s="162">
        <f>IFERROR(VLOOKUP($F73&amp;"-"&amp;$J73,#REF!,#REF!+6,0),0)</f>
        <v>0</v>
      </c>
      <c r="AM73" s="162">
        <f>IFERROR(VLOOKUP($F73&amp;"-"&amp;$J73,#REF!,#REF!+6,0),0)</f>
        <v>0</v>
      </c>
      <c r="AN73" s="162">
        <f>IFERROR(VLOOKUP($F73&amp;"-"&amp;$J73,#REF!,#REF!+6,0),0)</f>
        <v>0</v>
      </c>
      <c r="AO73" s="162">
        <f>IFERROR(VLOOKUP($F73&amp;"-"&amp;$J73,#REF!,#REF!+6,0),0)</f>
        <v>0</v>
      </c>
      <c r="AP73" s="162">
        <f>IFERROR(VLOOKUP($F73&amp;"-"&amp;$J73,#REF!,#REF!+6,0),0)</f>
        <v>0</v>
      </c>
      <c r="AQ73" s="162">
        <f>IFERROR(VLOOKUP($F73&amp;"-"&amp;$J73,#REF!,#REF!+6,0),0)</f>
        <v>0</v>
      </c>
      <c r="AR73" s="163">
        <f t="shared" si="15"/>
        <v>0</v>
      </c>
    </row>
    <row r="74" spans="2:44" x14ac:dyDescent="0.25">
      <c r="B74" s="15" t="s">
        <v>226</v>
      </c>
      <c r="C74" s="83">
        <f t="shared" si="13"/>
        <v>0</v>
      </c>
      <c r="F74" s="148"/>
      <c r="G74" s="149" t="str">
        <f>IFERROR(VLOOKUP(F74,#REF!,2,0),"")</f>
        <v/>
      </c>
      <c r="H74" s="150" t="str">
        <f>IFERROR(VLOOKUP(F74,#REF!,3,0),"")</f>
        <v/>
      </c>
      <c r="I74" s="151"/>
      <c r="J74" s="151"/>
      <c r="K74" s="152"/>
      <c r="L74" s="153"/>
      <c r="M74" s="154"/>
      <c r="N74" s="151"/>
      <c r="O74" s="155"/>
      <c r="P74" s="156"/>
      <c r="Q74" s="156"/>
      <c r="R74" s="156"/>
      <c r="S74" s="156"/>
      <c r="T74" s="156"/>
      <c r="U74" s="156"/>
      <c r="V74" s="156"/>
      <c r="W74" s="156"/>
      <c r="X74" s="156"/>
      <c r="Y74" s="156"/>
      <c r="Z74" s="156"/>
      <c r="AA74" s="156"/>
      <c r="AB74" s="158">
        <f t="shared" si="16"/>
        <v>0</v>
      </c>
      <c r="AC74" s="159"/>
      <c r="AE74" s="160" t="str">
        <f t="shared" si="14"/>
        <v/>
      </c>
      <c r="AF74" s="161">
        <f>IFERROR(VLOOKUP($F74&amp;"-"&amp;$J74,#REF!,#REF!+6,0),0)</f>
        <v>0</v>
      </c>
      <c r="AG74" s="162">
        <f>IFERROR(VLOOKUP($F74&amp;"-"&amp;$J74,#REF!,#REF!+6,0),0)</f>
        <v>0</v>
      </c>
      <c r="AH74" s="162">
        <f>IFERROR(VLOOKUP($F74&amp;"-"&amp;$J74,#REF!,#REF!+6,0),0)</f>
        <v>0</v>
      </c>
      <c r="AI74" s="162">
        <f>IFERROR(VLOOKUP($F74&amp;"-"&amp;$J74,#REF!,#REF!+6,0),0)</f>
        <v>0</v>
      </c>
      <c r="AJ74" s="162">
        <f>IFERROR(VLOOKUP($F74&amp;"-"&amp;$J74,#REF!,#REF!+6,0),0)</f>
        <v>0</v>
      </c>
      <c r="AK74" s="162">
        <f>IFERROR(VLOOKUP($F74&amp;"-"&amp;$J74,#REF!,#REF!+6,0),0)</f>
        <v>0</v>
      </c>
      <c r="AL74" s="162">
        <f>IFERROR(VLOOKUP($F74&amp;"-"&amp;$J74,#REF!,#REF!+6,0),0)</f>
        <v>0</v>
      </c>
      <c r="AM74" s="162">
        <f>IFERROR(VLOOKUP($F74&amp;"-"&amp;$J74,#REF!,#REF!+6,0),0)</f>
        <v>0</v>
      </c>
      <c r="AN74" s="162">
        <f>IFERROR(VLOOKUP($F74&amp;"-"&amp;$J74,#REF!,#REF!+6,0),0)</f>
        <v>0</v>
      </c>
      <c r="AO74" s="162">
        <f>IFERROR(VLOOKUP($F74&amp;"-"&amp;$J74,#REF!,#REF!+6,0),0)</f>
        <v>0</v>
      </c>
      <c r="AP74" s="162">
        <f>IFERROR(VLOOKUP($F74&amp;"-"&amp;$J74,#REF!,#REF!+6,0),0)</f>
        <v>0</v>
      </c>
      <c r="AQ74" s="162">
        <f>IFERROR(VLOOKUP($F74&amp;"-"&amp;$J74,#REF!,#REF!+6,0),0)</f>
        <v>0</v>
      </c>
      <c r="AR74" s="163">
        <f t="shared" si="15"/>
        <v>0</v>
      </c>
    </row>
    <row r="75" spans="2:44" x14ac:dyDescent="0.25">
      <c r="B75" s="15" t="s">
        <v>226</v>
      </c>
      <c r="C75" s="83">
        <f t="shared" si="13"/>
        <v>0</v>
      </c>
      <c r="F75" s="148"/>
      <c r="G75" s="149" t="str">
        <f>IFERROR(VLOOKUP(F75,#REF!,2,0),"")</f>
        <v/>
      </c>
      <c r="H75" s="150" t="str">
        <f>IFERROR(VLOOKUP(F75,#REF!,3,0),"")</f>
        <v/>
      </c>
      <c r="I75" s="151"/>
      <c r="J75" s="151"/>
      <c r="K75" s="152"/>
      <c r="L75" s="153"/>
      <c r="M75" s="154"/>
      <c r="N75" s="151"/>
      <c r="O75" s="155"/>
      <c r="P75" s="156"/>
      <c r="Q75" s="156"/>
      <c r="R75" s="156"/>
      <c r="S75" s="156"/>
      <c r="T75" s="156"/>
      <c r="U75" s="156"/>
      <c r="V75" s="156"/>
      <c r="W75" s="156"/>
      <c r="X75" s="156"/>
      <c r="Y75" s="156"/>
      <c r="Z75" s="156"/>
      <c r="AA75" s="156"/>
      <c r="AB75" s="158">
        <f t="shared" si="16"/>
        <v>0</v>
      </c>
      <c r="AC75" s="159"/>
      <c r="AE75" s="160" t="str">
        <f t="shared" si="14"/>
        <v/>
      </c>
      <c r="AF75" s="161">
        <f>IFERROR(VLOOKUP($F75&amp;"-"&amp;$J75,#REF!,#REF!+6,0),0)</f>
        <v>0</v>
      </c>
      <c r="AG75" s="162">
        <f>IFERROR(VLOOKUP($F75&amp;"-"&amp;$J75,#REF!,#REF!+6,0),0)</f>
        <v>0</v>
      </c>
      <c r="AH75" s="162">
        <f>IFERROR(VLOOKUP($F75&amp;"-"&amp;$J75,#REF!,#REF!+6,0),0)</f>
        <v>0</v>
      </c>
      <c r="AI75" s="162">
        <f>IFERROR(VLOOKUP($F75&amp;"-"&amp;$J75,#REF!,#REF!+6,0),0)</f>
        <v>0</v>
      </c>
      <c r="AJ75" s="162">
        <f>IFERROR(VLOOKUP($F75&amp;"-"&amp;$J75,#REF!,#REF!+6,0),0)</f>
        <v>0</v>
      </c>
      <c r="AK75" s="162">
        <f>IFERROR(VLOOKUP($F75&amp;"-"&amp;$J75,#REF!,#REF!+6,0),0)</f>
        <v>0</v>
      </c>
      <c r="AL75" s="162">
        <f>IFERROR(VLOOKUP($F75&amp;"-"&amp;$J75,#REF!,#REF!+6,0),0)</f>
        <v>0</v>
      </c>
      <c r="AM75" s="162">
        <f>IFERROR(VLOOKUP($F75&amp;"-"&amp;$J75,#REF!,#REF!+6,0),0)</f>
        <v>0</v>
      </c>
      <c r="AN75" s="162">
        <f>IFERROR(VLOOKUP($F75&amp;"-"&amp;$J75,#REF!,#REF!+6,0),0)</f>
        <v>0</v>
      </c>
      <c r="AO75" s="162">
        <f>IFERROR(VLOOKUP($F75&amp;"-"&amp;$J75,#REF!,#REF!+6,0),0)</f>
        <v>0</v>
      </c>
      <c r="AP75" s="162">
        <f>IFERROR(VLOOKUP($F75&amp;"-"&amp;$J75,#REF!,#REF!+6,0),0)</f>
        <v>0</v>
      </c>
      <c r="AQ75" s="162">
        <f>IFERROR(VLOOKUP($F75&amp;"-"&amp;$J75,#REF!,#REF!+6,0),0)</f>
        <v>0</v>
      </c>
      <c r="AR75" s="163">
        <f t="shared" si="15"/>
        <v>0</v>
      </c>
    </row>
    <row r="76" spans="2:44" x14ac:dyDescent="0.25">
      <c r="B76" s="15" t="s">
        <v>226</v>
      </c>
      <c r="C76" s="83">
        <f t="shared" si="13"/>
        <v>0</v>
      </c>
      <c r="F76" s="148"/>
      <c r="G76" s="149" t="str">
        <f>IFERROR(VLOOKUP(F76,#REF!,2,0),"")</f>
        <v/>
      </c>
      <c r="H76" s="150" t="str">
        <f>IFERROR(VLOOKUP(F76,#REF!,3,0),"")</f>
        <v/>
      </c>
      <c r="I76" s="151"/>
      <c r="J76" s="151"/>
      <c r="K76" s="152"/>
      <c r="L76" s="153"/>
      <c r="M76" s="154"/>
      <c r="N76" s="151"/>
      <c r="O76" s="155"/>
      <c r="P76" s="156"/>
      <c r="Q76" s="156"/>
      <c r="R76" s="156"/>
      <c r="S76" s="156"/>
      <c r="T76" s="156"/>
      <c r="U76" s="156"/>
      <c r="V76" s="156"/>
      <c r="W76" s="156"/>
      <c r="X76" s="156"/>
      <c r="Y76" s="156"/>
      <c r="Z76" s="156"/>
      <c r="AA76" s="156"/>
      <c r="AB76" s="158">
        <f t="shared" si="16"/>
        <v>0</v>
      </c>
      <c r="AC76" s="159"/>
      <c r="AE76" s="160" t="str">
        <f t="shared" si="14"/>
        <v/>
      </c>
      <c r="AF76" s="161">
        <f>IFERROR(VLOOKUP($F76&amp;"-"&amp;$J76,#REF!,#REF!+6,0),0)</f>
        <v>0</v>
      </c>
      <c r="AG76" s="162">
        <f>IFERROR(VLOOKUP($F76&amp;"-"&amp;$J76,#REF!,#REF!+6,0),0)</f>
        <v>0</v>
      </c>
      <c r="AH76" s="162">
        <f>IFERROR(VLOOKUP($F76&amp;"-"&amp;$J76,#REF!,#REF!+6,0),0)</f>
        <v>0</v>
      </c>
      <c r="AI76" s="162">
        <f>IFERROR(VLOOKUP($F76&amp;"-"&amp;$J76,#REF!,#REF!+6,0),0)</f>
        <v>0</v>
      </c>
      <c r="AJ76" s="162">
        <f>IFERROR(VLOOKUP($F76&amp;"-"&amp;$J76,#REF!,#REF!+6,0),0)</f>
        <v>0</v>
      </c>
      <c r="AK76" s="162">
        <f>IFERROR(VLOOKUP($F76&amp;"-"&amp;$J76,#REF!,#REF!+6,0),0)</f>
        <v>0</v>
      </c>
      <c r="AL76" s="162">
        <f>IFERROR(VLOOKUP($F76&amp;"-"&amp;$J76,#REF!,#REF!+6,0),0)</f>
        <v>0</v>
      </c>
      <c r="AM76" s="162">
        <f>IFERROR(VLOOKUP($F76&amp;"-"&amp;$J76,#REF!,#REF!+6,0),0)</f>
        <v>0</v>
      </c>
      <c r="AN76" s="162">
        <f>IFERROR(VLOOKUP($F76&amp;"-"&amp;$J76,#REF!,#REF!+6,0),0)</f>
        <v>0</v>
      </c>
      <c r="AO76" s="162">
        <f>IFERROR(VLOOKUP($F76&amp;"-"&amp;$J76,#REF!,#REF!+6,0),0)</f>
        <v>0</v>
      </c>
      <c r="AP76" s="162">
        <f>IFERROR(VLOOKUP($F76&amp;"-"&amp;$J76,#REF!,#REF!+6,0),0)</f>
        <v>0</v>
      </c>
      <c r="AQ76" s="162">
        <f>IFERROR(VLOOKUP($F76&amp;"-"&amp;$J76,#REF!,#REF!+6,0),0)</f>
        <v>0</v>
      </c>
      <c r="AR76" s="163">
        <f t="shared" si="15"/>
        <v>0</v>
      </c>
    </row>
    <row r="77" spans="2:44" x14ac:dyDescent="0.25">
      <c r="B77" s="15" t="s">
        <v>226</v>
      </c>
      <c r="C77" s="83">
        <f t="shared" si="13"/>
        <v>0</v>
      </c>
      <c r="F77" s="148"/>
      <c r="G77" s="149" t="str">
        <f>IFERROR(VLOOKUP(F77,#REF!,2,0),"")</f>
        <v/>
      </c>
      <c r="H77" s="150" t="str">
        <f>IFERROR(VLOOKUP(F77,#REF!,3,0),"")</f>
        <v/>
      </c>
      <c r="I77" s="151"/>
      <c r="J77" s="151"/>
      <c r="K77" s="152"/>
      <c r="L77" s="153"/>
      <c r="M77" s="154"/>
      <c r="N77" s="151"/>
      <c r="O77" s="155"/>
      <c r="P77" s="156"/>
      <c r="Q77" s="156"/>
      <c r="R77" s="156"/>
      <c r="S77" s="156"/>
      <c r="T77" s="156"/>
      <c r="U77" s="156"/>
      <c r="V77" s="156"/>
      <c r="W77" s="156"/>
      <c r="X77" s="156"/>
      <c r="Y77" s="156"/>
      <c r="Z77" s="156"/>
      <c r="AA77" s="156"/>
      <c r="AB77" s="158">
        <f t="shared" si="16"/>
        <v>0</v>
      </c>
      <c r="AC77" s="159"/>
      <c r="AE77" s="160" t="str">
        <f t="shared" si="14"/>
        <v/>
      </c>
      <c r="AF77" s="161">
        <f>IFERROR(VLOOKUP($F77&amp;"-"&amp;$J77,#REF!,#REF!+6,0),0)</f>
        <v>0</v>
      </c>
      <c r="AG77" s="162">
        <f>IFERROR(VLOOKUP($F77&amp;"-"&amp;$J77,#REF!,#REF!+6,0),0)</f>
        <v>0</v>
      </c>
      <c r="AH77" s="162">
        <f>IFERROR(VLOOKUP($F77&amp;"-"&amp;$J77,#REF!,#REF!+6,0),0)</f>
        <v>0</v>
      </c>
      <c r="AI77" s="162">
        <f>IFERROR(VLOOKUP($F77&amp;"-"&amp;$J77,#REF!,#REF!+6,0),0)</f>
        <v>0</v>
      </c>
      <c r="AJ77" s="162">
        <f>IFERROR(VLOOKUP($F77&amp;"-"&amp;$J77,#REF!,#REF!+6,0),0)</f>
        <v>0</v>
      </c>
      <c r="AK77" s="162">
        <f>IFERROR(VLOOKUP($F77&amp;"-"&amp;$J77,#REF!,#REF!+6,0),0)</f>
        <v>0</v>
      </c>
      <c r="AL77" s="162">
        <f>IFERROR(VLOOKUP($F77&amp;"-"&amp;$J77,#REF!,#REF!+6,0),0)</f>
        <v>0</v>
      </c>
      <c r="AM77" s="162">
        <f>IFERROR(VLOOKUP($F77&amp;"-"&amp;$J77,#REF!,#REF!+6,0),0)</f>
        <v>0</v>
      </c>
      <c r="AN77" s="162">
        <f>IFERROR(VLOOKUP($F77&amp;"-"&amp;$J77,#REF!,#REF!+6,0),0)</f>
        <v>0</v>
      </c>
      <c r="AO77" s="162">
        <f>IFERROR(VLOOKUP($F77&amp;"-"&amp;$J77,#REF!,#REF!+6,0),0)</f>
        <v>0</v>
      </c>
      <c r="AP77" s="162">
        <f>IFERROR(VLOOKUP($F77&amp;"-"&amp;$J77,#REF!,#REF!+6,0),0)</f>
        <v>0</v>
      </c>
      <c r="AQ77" s="162">
        <f>IFERROR(VLOOKUP($F77&amp;"-"&amp;$J77,#REF!,#REF!+6,0),0)</f>
        <v>0</v>
      </c>
      <c r="AR77" s="163">
        <f t="shared" si="15"/>
        <v>0</v>
      </c>
    </row>
    <row r="78" spans="2:44" x14ac:dyDescent="0.25">
      <c r="B78" s="15" t="s">
        <v>226</v>
      </c>
      <c r="C78" s="83">
        <f t="shared" si="13"/>
        <v>0</v>
      </c>
      <c r="F78" s="148"/>
      <c r="G78" s="149" t="str">
        <f>IFERROR(VLOOKUP(F78,#REF!,2,0),"")</f>
        <v/>
      </c>
      <c r="H78" s="150" t="str">
        <f>IFERROR(VLOOKUP(F78,#REF!,3,0),"")</f>
        <v/>
      </c>
      <c r="I78" s="151"/>
      <c r="J78" s="151"/>
      <c r="K78" s="152"/>
      <c r="L78" s="153"/>
      <c r="M78" s="154"/>
      <c r="N78" s="151"/>
      <c r="O78" s="155"/>
      <c r="P78" s="156"/>
      <c r="Q78" s="156"/>
      <c r="R78" s="156"/>
      <c r="S78" s="156"/>
      <c r="T78" s="156"/>
      <c r="U78" s="156"/>
      <c r="V78" s="156"/>
      <c r="W78" s="156"/>
      <c r="X78" s="156"/>
      <c r="Y78" s="156"/>
      <c r="Z78" s="156"/>
      <c r="AA78" s="156"/>
      <c r="AB78" s="158">
        <f t="shared" si="16"/>
        <v>0</v>
      </c>
      <c r="AC78" s="159"/>
      <c r="AE78" s="160" t="str">
        <f t="shared" si="14"/>
        <v/>
      </c>
      <c r="AF78" s="161">
        <f>IFERROR(VLOOKUP($F78&amp;"-"&amp;$J78,#REF!,#REF!+6,0),0)</f>
        <v>0</v>
      </c>
      <c r="AG78" s="162">
        <f>IFERROR(VLOOKUP($F78&amp;"-"&amp;$J78,#REF!,#REF!+6,0),0)</f>
        <v>0</v>
      </c>
      <c r="AH78" s="162">
        <f>IFERROR(VLOOKUP($F78&amp;"-"&amp;$J78,#REF!,#REF!+6,0),0)</f>
        <v>0</v>
      </c>
      <c r="AI78" s="162">
        <f>IFERROR(VLOOKUP($F78&amp;"-"&amp;$J78,#REF!,#REF!+6,0),0)</f>
        <v>0</v>
      </c>
      <c r="AJ78" s="162">
        <f>IFERROR(VLOOKUP($F78&amp;"-"&amp;$J78,#REF!,#REF!+6,0),0)</f>
        <v>0</v>
      </c>
      <c r="AK78" s="162">
        <f>IFERROR(VLOOKUP($F78&amp;"-"&amp;$J78,#REF!,#REF!+6,0),0)</f>
        <v>0</v>
      </c>
      <c r="AL78" s="162">
        <f>IFERROR(VLOOKUP($F78&amp;"-"&amp;$J78,#REF!,#REF!+6,0),0)</f>
        <v>0</v>
      </c>
      <c r="AM78" s="162">
        <f>IFERROR(VLOOKUP($F78&amp;"-"&amp;$J78,#REF!,#REF!+6,0),0)</f>
        <v>0</v>
      </c>
      <c r="AN78" s="162">
        <f>IFERROR(VLOOKUP($F78&amp;"-"&amp;$J78,#REF!,#REF!+6,0),0)</f>
        <v>0</v>
      </c>
      <c r="AO78" s="162">
        <f>IFERROR(VLOOKUP($F78&amp;"-"&amp;$J78,#REF!,#REF!+6,0),0)</f>
        <v>0</v>
      </c>
      <c r="AP78" s="162">
        <f>IFERROR(VLOOKUP($F78&amp;"-"&amp;$J78,#REF!,#REF!+6,0),0)</f>
        <v>0</v>
      </c>
      <c r="AQ78" s="162">
        <f>IFERROR(VLOOKUP($F78&amp;"-"&amp;$J78,#REF!,#REF!+6,0),0)</f>
        <v>0</v>
      </c>
      <c r="AR78" s="163">
        <f t="shared" si="15"/>
        <v>0</v>
      </c>
    </row>
    <row r="79" spans="2:44" x14ac:dyDescent="0.25">
      <c r="B79" s="15" t="s">
        <v>226</v>
      </c>
      <c r="C79" s="83">
        <f t="shared" si="13"/>
        <v>0</v>
      </c>
      <c r="F79" s="148"/>
      <c r="G79" s="149" t="str">
        <f>IFERROR(VLOOKUP(F79,#REF!,2,0),"")</f>
        <v/>
      </c>
      <c r="H79" s="150" t="str">
        <f>IFERROR(VLOOKUP(F79,#REF!,3,0),"")</f>
        <v/>
      </c>
      <c r="I79" s="151"/>
      <c r="J79" s="151"/>
      <c r="K79" s="152"/>
      <c r="L79" s="153"/>
      <c r="M79" s="154"/>
      <c r="N79" s="151"/>
      <c r="O79" s="155"/>
      <c r="P79" s="156"/>
      <c r="Q79" s="156"/>
      <c r="R79" s="156"/>
      <c r="S79" s="156"/>
      <c r="T79" s="156"/>
      <c r="U79" s="156"/>
      <c r="V79" s="156"/>
      <c r="W79" s="156"/>
      <c r="X79" s="156"/>
      <c r="Y79" s="156"/>
      <c r="Z79" s="156"/>
      <c r="AA79" s="156"/>
      <c r="AB79" s="158">
        <f t="shared" si="16"/>
        <v>0</v>
      </c>
      <c r="AC79" s="159"/>
      <c r="AE79" s="160" t="str">
        <f t="shared" si="14"/>
        <v/>
      </c>
      <c r="AF79" s="161">
        <f>IFERROR(VLOOKUP($F79&amp;"-"&amp;$J79,#REF!,#REF!+6,0),0)</f>
        <v>0</v>
      </c>
      <c r="AG79" s="162">
        <f>IFERROR(VLOOKUP($F79&amp;"-"&amp;$J79,#REF!,#REF!+6,0),0)</f>
        <v>0</v>
      </c>
      <c r="AH79" s="162">
        <f>IFERROR(VLOOKUP($F79&amp;"-"&amp;$J79,#REF!,#REF!+6,0),0)</f>
        <v>0</v>
      </c>
      <c r="AI79" s="162">
        <f>IFERROR(VLOOKUP($F79&amp;"-"&amp;$J79,#REF!,#REF!+6,0),0)</f>
        <v>0</v>
      </c>
      <c r="AJ79" s="162">
        <f>IFERROR(VLOOKUP($F79&amp;"-"&amp;$J79,#REF!,#REF!+6,0),0)</f>
        <v>0</v>
      </c>
      <c r="AK79" s="162">
        <f>IFERROR(VLOOKUP($F79&amp;"-"&amp;$J79,#REF!,#REF!+6,0),0)</f>
        <v>0</v>
      </c>
      <c r="AL79" s="162">
        <f>IFERROR(VLOOKUP($F79&amp;"-"&amp;$J79,#REF!,#REF!+6,0),0)</f>
        <v>0</v>
      </c>
      <c r="AM79" s="162">
        <f>IFERROR(VLOOKUP($F79&amp;"-"&amp;$J79,#REF!,#REF!+6,0),0)</f>
        <v>0</v>
      </c>
      <c r="AN79" s="162">
        <f>IFERROR(VLOOKUP($F79&amp;"-"&amp;$J79,#REF!,#REF!+6,0),0)</f>
        <v>0</v>
      </c>
      <c r="AO79" s="162">
        <f>IFERROR(VLOOKUP($F79&amp;"-"&amp;$J79,#REF!,#REF!+6,0),0)</f>
        <v>0</v>
      </c>
      <c r="AP79" s="162">
        <f>IFERROR(VLOOKUP($F79&amp;"-"&amp;$J79,#REF!,#REF!+6,0),0)</f>
        <v>0</v>
      </c>
      <c r="AQ79" s="162">
        <f>IFERROR(VLOOKUP($F79&amp;"-"&amp;$J79,#REF!,#REF!+6,0),0)</f>
        <v>0</v>
      </c>
      <c r="AR79" s="163">
        <f t="shared" si="15"/>
        <v>0</v>
      </c>
    </row>
    <row r="80" spans="2:44" x14ac:dyDescent="0.25">
      <c r="B80" s="15" t="s">
        <v>226</v>
      </c>
      <c r="C80" s="83">
        <f t="shared" si="13"/>
        <v>0</v>
      </c>
      <c r="F80" s="148"/>
      <c r="G80" s="149" t="str">
        <f>IFERROR(VLOOKUP(F80,#REF!,2,0),"")</f>
        <v/>
      </c>
      <c r="H80" s="150" t="str">
        <f>IFERROR(VLOOKUP(F80,#REF!,3,0),"")</f>
        <v/>
      </c>
      <c r="I80" s="151"/>
      <c r="J80" s="151"/>
      <c r="K80" s="152"/>
      <c r="L80" s="153"/>
      <c r="M80" s="154"/>
      <c r="N80" s="151"/>
      <c r="O80" s="155"/>
      <c r="P80" s="156"/>
      <c r="Q80" s="156"/>
      <c r="R80" s="156"/>
      <c r="S80" s="156"/>
      <c r="T80" s="156"/>
      <c r="U80" s="156"/>
      <c r="V80" s="156"/>
      <c r="W80" s="156"/>
      <c r="X80" s="156"/>
      <c r="Y80" s="156"/>
      <c r="Z80" s="156"/>
      <c r="AA80" s="156"/>
      <c r="AB80" s="158">
        <f t="shared" si="16"/>
        <v>0</v>
      </c>
      <c r="AC80" s="159"/>
      <c r="AE80" s="160" t="str">
        <f t="shared" si="14"/>
        <v/>
      </c>
      <c r="AF80" s="161">
        <f>IFERROR(VLOOKUP($F80&amp;"-"&amp;$J80,#REF!,#REF!+6,0),0)</f>
        <v>0</v>
      </c>
      <c r="AG80" s="162">
        <f>IFERROR(VLOOKUP($F80&amp;"-"&amp;$J80,#REF!,#REF!+6,0),0)</f>
        <v>0</v>
      </c>
      <c r="AH80" s="162">
        <f>IFERROR(VLOOKUP($F80&amp;"-"&amp;$J80,#REF!,#REF!+6,0),0)</f>
        <v>0</v>
      </c>
      <c r="AI80" s="162">
        <f>IFERROR(VLOOKUP($F80&amp;"-"&amp;$J80,#REF!,#REF!+6,0),0)</f>
        <v>0</v>
      </c>
      <c r="AJ80" s="162">
        <f>IFERROR(VLOOKUP($F80&amp;"-"&amp;$J80,#REF!,#REF!+6,0),0)</f>
        <v>0</v>
      </c>
      <c r="AK80" s="162">
        <f>IFERROR(VLOOKUP($F80&amp;"-"&amp;$J80,#REF!,#REF!+6,0),0)</f>
        <v>0</v>
      </c>
      <c r="AL80" s="162">
        <f>IFERROR(VLOOKUP($F80&amp;"-"&amp;$J80,#REF!,#REF!+6,0),0)</f>
        <v>0</v>
      </c>
      <c r="AM80" s="162">
        <f>IFERROR(VLOOKUP($F80&amp;"-"&amp;$J80,#REF!,#REF!+6,0),0)</f>
        <v>0</v>
      </c>
      <c r="AN80" s="162">
        <f>IFERROR(VLOOKUP($F80&amp;"-"&amp;$J80,#REF!,#REF!+6,0),0)</f>
        <v>0</v>
      </c>
      <c r="AO80" s="162">
        <f>IFERROR(VLOOKUP($F80&amp;"-"&amp;$J80,#REF!,#REF!+6,0),0)</f>
        <v>0</v>
      </c>
      <c r="AP80" s="162">
        <f>IFERROR(VLOOKUP($F80&amp;"-"&amp;$J80,#REF!,#REF!+6,0),0)</f>
        <v>0</v>
      </c>
      <c r="AQ80" s="162">
        <f>IFERROR(VLOOKUP($F80&amp;"-"&amp;$J80,#REF!,#REF!+6,0),0)</f>
        <v>0</v>
      </c>
      <c r="AR80" s="163">
        <f t="shared" si="15"/>
        <v>0</v>
      </c>
    </row>
    <row r="81" spans="2:59" x14ac:dyDescent="0.25">
      <c r="B81" s="15" t="s">
        <v>226</v>
      </c>
      <c r="C81" s="83">
        <f t="shared" si="13"/>
        <v>0</v>
      </c>
      <c r="F81" s="148"/>
      <c r="G81" s="149" t="str">
        <f>IFERROR(VLOOKUP(F81,#REF!,2,0),"")</f>
        <v/>
      </c>
      <c r="H81" s="150" t="str">
        <f>IFERROR(VLOOKUP(F81,#REF!,3,0),"")</f>
        <v/>
      </c>
      <c r="I81" s="151"/>
      <c r="J81" s="151"/>
      <c r="K81" s="152"/>
      <c r="L81" s="153"/>
      <c r="M81" s="154"/>
      <c r="N81" s="151"/>
      <c r="O81" s="155"/>
      <c r="P81" s="156"/>
      <c r="Q81" s="156"/>
      <c r="R81" s="156"/>
      <c r="S81" s="156"/>
      <c r="T81" s="156"/>
      <c r="U81" s="156"/>
      <c r="V81" s="156"/>
      <c r="W81" s="156"/>
      <c r="X81" s="156"/>
      <c r="Y81" s="156"/>
      <c r="Z81" s="156"/>
      <c r="AA81" s="156"/>
      <c r="AB81" s="158">
        <f t="shared" si="16"/>
        <v>0</v>
      </c>
      <c r="AC81" s="159"/>
      <c r="AE81" s="160" t="str">
        <f t="shared" si="14"/>
        <v/>
      </c>
      <c r="AF81" s="161">
        <f>IFERROR(VLOOKUP($F81&amp;"-"&amp;$J81,#REF!,#REF!+6,0),0)</f>
        <v>0</v>
      </c>
      <c r="AG81" s="162">
        <f>IFERROR(VLOOKUP($F81&amp;"-"&amp;$J81,#REF!,#REF!+6,0),0)</f>
        <v>0</v>
      </c>
      <c r="AH81" s="162">
        <f>IFERROR(VLOOKUP($F81&amp;"-"&amp;$J81,#REF!,#REF!+6,0),0)</f>
        <v>0</v>
      </c>
      <c r="AI81" s="162">
        <f>IFERROR(VLOOKUP($F81&amp;"-"&amp;$J81,#REF!,#REF!+6,0),0)</f>
        <v>0</v>
      </c>
      <c r="AJ81" s="162">
        <f>IFERROR(VLOOKUP($F81&amp;"-"&amp;$J81,#REF!,#REF!+6,0),0)</f>
        <v>0</v>
      </c>
      <c r="AK81" s="162">
        <f>IFERROR(VLOOKUP($F81&amp;"-"&amp;$J81,#REF!,#REF!+6,0),0)</f>
        <v>0</v>
      </c>
      <c r="AL81" s="162">
        <f>IFERROR(VLOOKUP($F81&amp;"-"&amp;$J81,#REF!,#REF!+6,0),0)</f>
        <v>0</v>
      </c>
      <c r="AM81" s="162">
        <f>IFERROR(VLOOKUP($F81&amp;"-"&amp;$J81,#REF!,#REF!+6,0),0)</f>
        <v>0</v>
      </c>
      <c r="AN81" s="162">
        <f>IFERROR(VLOOKUP($F81&amp;"-"&amp;$J81,#REF!,#REF!+6,0),0)</f>
        <v>0</v>
      </c>
      <c r="AO81" s="162">
        <f>IFERROR(VLOOKUP($F81&amp;"-"&amp;$J81,#REF!,#REF!+6,0),0)</f>
        <v>0</v>
      </c>
      <c r="AP81" s="162">
        <f>IFERROR(VLOOKUP($F81&amp;"-"&amp;$J81,#REF!,#REF!+6,0),0)</f>
        <v>0</v>
      </c>
      <c r="AQ81" s="162">
        <f>IFERROR(VLOOKUP($F81&amp;"-"&amp;$J81,#REF!,#REF!+6,0),0)</f>
        <v>0</v>
      </c>
      <c r="AR81" s="163">
        <f t="shared" si="15"/>
        <v>0</v>
      </c>
    </row>
    <row r="82" spans="2:59" x14ac:dyDescent="0.25">
      <c r="B82" s="15" t="s">
        <v>226</v>
      </c>
      <c r="C82" s="83">
        <f t="shared" si="13"/>
        <v>0</v>
      </c>
      <c r="F82" s="148"/>
      <c r="G82" s="149" t="str">
        <f>IFERROR(VLOOKUP(F82,#REF!,2,0),"")</f>
        <v/>
      </c>
      <c r="H82" s="150" t="str">
        <f>IFERROR(VLOOKUP(F82,#REF!,3,0),"")</f>
        <v/>
      </c>
      <c r="I82" s="151"/>
      <c r="J82" s="151"/>
      <c r="K82" s="152"/>
      <c r="L82" s="153"/>
      <c r="M82" s="154"/>
      <c r="N82" s="151"/>
      <c r="O82" s="155"/>
      <c r="P82" s="156"/>
      <c r="Q82" s="156"/>
      <c r="R82" s="156"/>
      <c r="S82" s="156"/>
      <c r="T82" s="156"/>
      <c r="U82" s="156"/>
      <c r="V82" s="156"/>
      <c r="W82" s="156"/>
      <c r="X82" s="156"/>
      <c r="Y82" s="156"/>
      <c r="Z82" s="156"/>
      <c r="AA82" s="156"/>
      <c r="AB82" s="158">
        <f t="shared" si="16"/>
        <v>0</v>
      </c>
      <c r="AC82" s="159"/>
      <c r="AE82" s="160" t="str">
        <f t="shared" si="14"/>
        <v/>
      </c>
      <c r="AF82" s="161">
        <f>IFERROR(VLOOKUP($F82&amp;"-"&amp;$J82,#REF!,#REF!+6,0),0)</f>
        <v>0</v>
      </c>
      <c r="AG82" s="162">
        <f>IFERROR(VLOOKUP($F82&amp;"-"&amp;$J82,#REF!,#REF!+6,0),0)</f>
        <v>0</v>
      </c>
      <c r="AH82" s="162">
        <f>IFERROR(VLOOKUP($F82&amp;"-"&amp;$J82,#REF!,#REF!+6,0),0)</f>
        <v>0</v>
      </c>
      <c r="AI82" s="162">
        <f>IFERROR(VLOOKUP($F82&amp;"-"&amp;$J82,#REF!,#REF!+6,0),0)</f>
        <v>0</v>
      </c>
      <c r="AJ82" s="162">
        <f>IFERROR(VLOOKUP($F82&amp;"-"&amp;$J82,#REF!,#REF!+6,0),0)</f>
        <v>0</v>
      </c>
      <c r="AK82" s="162">
        <f>IFERROR(VLOOKUP($F82&amp;"-"&amp;$J82,#REF!,#REF!+6,0),0)</f>
        <v>0</v>
      </c>
      <c r="AL82" s="162">
        <f>IFERROR(VLOOKUP($F82&amp;"-"&amp;$J82,#REF!,#REF!+6,0),0)</f>
        <v>0</v>
      </c>
      <c r="AM82" s="162">
        <f>IFERROR(VLOOKUP($F82&amp;"-"&amp;$J82,#REF!,#REF!+6,0),0)</f>
        <v>0</v>
      </c>
      <c r="AN82" s="162">
        <f>IFERROR(VLOOKUP($F82&amp;"-"&amp;$J82,#REF!,#REF!+6,0),0)</f>
        <v>0</v>
      </c>
      <c r="AO82" s="162">
        <f>IFERROR(VLOOKUP($F82&amp;"-"&amp;$J82,#REF!,#REF!+6,0),0)</f>
        <v>0</v>
      </c>
      <c r="AP82" s="162">
        <f>IFERROR(VLOOKUP($F82&amp;"-"&amp;$J82,#REF!,#REF!+6,0),0)</f>
        <v>0</v>
      </c>
      <c r="AQ82" s="162">
        <f>IFERROR(VLOOKUP($F82&amp;"-"&amp;$J82,#REF!,#REF!+6,0),0)</f>
        <v>0</v>
      </c>
      <c r="AR82" s="163">
        <f t="shared" si="15"/>
        <v>0</v>
      </c>
    </row>
    <row r="83" spans="2:59" x14ac:dyDescent="0.25">
      <c r="B83" s="15" t="s">
        <v>226</v>
      </c>
      <c r="C83" s="83">
        <f t="shared" si="13"/>
        <v>0</v>
      </c>
      <c r="F83" s="148"/>
      <c r="G83" s="149" t="str">
        <f>IFERROR(VLOOKUP(F83,#REF!,2,0),"")</f>
        <v/>
      </c>
      <c r="H83" s="150" t="str">
        <f>IFERROR(VLOOKUP(F83,#REF!,3,0),"")</f>
        <v/>
      </c>
      <c r="I83" s="151"/>
      <c r="J83" s="151"/>
      <c r="K83" s="152"/>
      <c r="L83" s="153"/>
      <c r="M83" s="154"/>
      <c r="N83" s="151"/>
      <c r="O83" s="155"/>
      <c r="P83" s="156"/>
      <c r="Q83" s="156"/>
      <c r="R83" s="156"/>
      <c r="S83" s="156"/>
      <c r="T83" s="156"/>
      <c r="U83" s="156"/>
      <c r="V83" s="156"/>
      <c r="W83" s="156"/>
      <c r="X83" s="156"/>
      <c r="Y83" s="156"/>
      <c r="Z83" s="156"/>
      <c r="AA83" s="156"/>
      <c r="AB83" s="158">
        <f t="shared" si="16"/>
        <v>0</v>
      </c>
      <c r="AC83" s="159"/>
      <c r="AE83" s="160" t="str">
        <f t="shared" si="14"/>
        <v/>
      </c>
      <c r="AF83" s="161">
        <f>IFERROR(VLOOKUP($F83&amp;"-"&amp;$J83,#REF!,#REF!+6,0),0)</f>
        <v>0</v>
      </c>
      <c r="AG83" s="162">
        <f>IFERROR(VLOOKUP($F83&amp;"-"&amp;$J83,#REF!,#REF!+6,0),0)</f>
        <v>0</v>
      </c>
      <c r="AH83" s="162">
        <f>IFERROR(VLOOKUP($F83&amp;"-"&amp;$J83,#REF!,#REF!+6,0),0)</f>
        <v>0</v>
      </c>
      <c r="AI83" s="162">
        <f>IFERROR(VLOOKUP($F83&amp;"-"&amp;$J83,#REF!,#REF!+6,0),0)</f>
        <v>0</v>
      </c>
      <c r="AJ83" s="162">
        <f>IFERROR(VLOOKUP($F83&amp;"-"&amp;$J83,#REF!,#REF!+6,0),0)</f>
        <v>0</v>
      </c>
      <c r="AK83" s="162">
        <f>IFERROR(VLOOKUP($F83&amp;"-"&amp;$J83,#REF!,#REF!+6,0),0)</f>
        <v>0</v>
      </c>
      <c r="AL83" s="162">
        <f>IFERROR(VLOOKUP($F83&amp;"-"&amp;$J83,#REF!,#REF!+6,0),0)</f>
        <v>0</v>
      </c>
      <c r="AM83" s="162">
        <f>IFERROR(VLOOKUP($F83&amp;"-"&amp;$J83,#REF!,#REF!+6,0),0)</f>
        <v>0</v>
      </c>
      <c r="AN83" s="162">
        <f>IFERROR(VLOOKUP($F83&amp;"-"&amp;$J83,#REF!,#REF!+6,0),0)</f>
        <v>0</v>
      </c>
      <c r="AO83" s="162">
        <f>IFERROR(VLOOKUP($F83&amp;"-"&amp;$J83,#REF!,#REF!+6,0),0)</f>
        <v>0</v>
      </c>
      <c r="AP83" s="162">
        <f>IFERROR(VLOOKUP($F83&amp;"-"&amp;$J83,#REF!,#REF!+6,0),0)</f>
        <v>0</v>
      </c>
      <c r="AQ83" s="162">
        <f>IFERROR(VLOOKUP($F83&amp;"-"&amp;$J83,#REF!,#REF!+6,0),0)</f>
        <v>0</v>
      </c>
      <c r="AR83" s="163">
        <f t="shared" si="15"/>
        <v>0</v>
      </c>
    </row>
    <row r="84" spans="2:59" x14ac:dyDescent="0.25">
      <c r="B84" s="15" t="s">
        <v>226</v>
      </c>
      <c r="C84" s="83">
        <f t="shared" si="13"/>
        <v>0</v>
      </c>
      <c r="F84" s="148"/>
      <c r="G84" s="149" t="str">
        <f>IFERROR(VLOOKUP(F84,#REF!,2,0),"")</f>
        <v/>
      </c>
      <c r="H84" s="150" t="str">
        <f>IFERROR(VLOOKUP(F84,#REF!,3,0),"")</f>
        <v/>
      </c>
      <c r="I84" s="151"/>
      <c r="J84" s="151"/>
      <c r="K84" s="152"/>
      <c r="L84" s="153"/>
      <c r="M84" s="154"/>
      <c r="N84" s="151"/>
      <c r="O84" s="155"/>
      <c r="P84" s="156"/>
      <c r="Q84" s="156"/>
      <c r="R84" s="156"/>
      <c r="S84" s="156"/>
      <c r="T84" s="156"/>
      <c r="U84" s="156"/>
      <c r="V84" s="156"/>
      <c r="W84" s="156"/>
      <c r="X84" s="156"/>
      <c r="Y84" s="156"/>
      <c r="Z84" s="156"/>
      <c r="AA84" s="156"/>
      <c r="AB84" s="158">
        <f t="shared" si="16"/>
        <v>0</v>
      </c>
      <c r="AC84" s="159"/>
      <c r="AE84" s="160" t="str">
        <f t="shared" si="14"/>
        <v/>
      </c>
      <c r="AF84" s="161">
        <f>IFERROR(VLOOKUP($F84&amp;"-"&amp;$J84,#REF!,#REF!+6,0),0)</f>
        <v>0</v>
      </c>
      <c r="AG84" s="162">
        <f>IFERROR(VLOOKUP($F84&amp;"-"&amp;$J84,#REF!,#REF!+6,0),0)</f>
        <v>0</v>
      </c>
      <c r="AH84" s="162">
        <f>IFERROR(VLOOKUP($F84&amp;"-"&amp;$J84,#REF!,#REF!+6,0),0)</f>
        <v>0</v>
      </c>
      <c r="AI84" s="162">
        <f>IFERROR(VLOOKUP($F84&amp;"-"&amp;$J84,#REF!,#REF!+6,0),0)</f>
        <v>0</v>
      </c>
      <c r="AJ84" s="162">
        <f>IFERROR(VLOOKUP($F84&amp;"-"&amp;$J84,#REF!,#REF!+6,0),0)</f>
        <v>0</v>
      </c>
      <c r="AK84" s="162">
        <f>IFERROR(VLOOKUP($F84&amp;"-"&amp;$J84,#REF!,#REF!+6,0),0)</f>
        <v>0</v>
      </c>
      <c r="AL84" s="162">
        <f>IFERROR(VLOOKUP($F84&amp;"-"&amp;$J84,#REF!,#REF!+6,0),0)</f>
        <v>0</v>
      </c>
      <c r="AM84" s="162">
        <f>IFERROR(VLOOKUP($F84&amp;"-"&amp;$J84,#REF!,#REF!+6,0),0)</f>
        <v>0</v>
      </c>
      <c r="AN84" s="162">
        <f>IFERROR(VLOOKUP($F84&amp;"-"&amp;$J84,#REF!,#REF!+6,0),0)</f>
        <v>0</v>
      </c>
      <c r="AO84" s="162">
        <f>IFERROR(VLOOKUP($F84&amp;"-"&amp;$J84,#REF!,#REF!+6,0),0)</f>
        <v>0</v>
      </c>
      <c r="AP84" s="162">
        <f>IFERROR(VLOOKUP($F84&amp;"-"&amp;$J84,#REF!,#REF!+6,0),0)</f>
        <v>0</v>
      </c>
      <c r="AQ84" s="162">
        <f>IFERROR(VLOOKUP($F84&amp;"-"&amp;$J84,#REF!,#REF!+6,0),0)</f>
        <v>0</v>
      </c>
      <c r="AR84" s="163">
        <f t="shared" si="15"/>
        <v>0</v>
      </c>
    </row>
    <row r="85" spans="2:59" x14ac:dyDescent="0.25">
      <c r="B85" s="15" t="s">
        <v>226</v>
      </c>
      <c r="C85" s="83">
        <f t="shared" si="13"/>
        <v>0</v>
      </c>
      <c r="F85" s="148"/>
      <c r="G85" s="149" t="str">
        <f>IFERROR(VLOOKUP(F85,#REF!,2,0),"")</f>
        <v/>
      </c>
      <c r="H85" s="150" t="str">
        <f>IFERROR(VLOOKUP(F85,#REF!,3,0),"")</f>
        <v/>
      </c>
      <c r="I85" s="151"/>
      <c r="J85" s="151"/>
      <c r="K85" s="152"/>
      <c r="L85" s="153"/>
      <c r="M85" s="154"/>
      <c r="N85" s="151"/>
      <c r="O85" s="155"/>
      <c r="P85" s="156"/>
      <c r="Q85" s="156"/>
      <c r="R85" s="156"/>
      <c r="S85" s="156"/>
      <c r="T85" s="156"/>
      <c r="U85" s="156"/>
      <c r="V85" s="156"/>
      <c r="W85" s="156"/>
      <c r="X85" s="156"/>
      <c r="Y85" s="156"/>
      <c r="Z85" s="156"/>
      <c r="AA85" s="156"/>
      <c r="AB85" s="158">
        <f t="shared" si="16"/>
        <v>0</v>
      </c>
      <c r="AC85" s="159"/>
      <c r="AE85" s="160" t="str">
        <f t="shared" si="14"/>
        <v/>
      </c>
      <c r="AF85" s="161">
        <f>IFERROR(VLOOKUP($F85&amp;"-"&amp;$J85,#REF!,#REF!+6,0),0)</f>
        <v>0</v>
      </c>
      <c r="AG85" s="162">
        <f>IFERROR(VLOOKUP($F85&amp;"-"&amp;$J85,#REF!,#REF!+6,0),0)</f>
        <v>0</v>
      </c>
      <c r="AH85" s="162">
        <f>IFERROR(VLOOKUP($F85&amp;"-"&amp;$J85,#REF!,#REF!+6,0),0)</f>
        <v>0</v>
      </c>
      <c r="AI85" s="162">
        <f>IFERROR(VLOOKUP($F85&amp;"-"&amp;$J85,#REF!,#REF!+6,0),0)</f>
        <v>0</v>
      </c>
      <c r="AJ85" s="162">
        <f>IFERROR(VLOOKUP($F85&amp;"-"&amp;$J85,#REF!,#REF!+6,0),0)</f>
        <v>0</v>
      </c>
      <c r="AK85" s="162">
        <f>IFERROR(VLOOKUP($F85&amp;"-"&amp;$J85,#REF!,#REF!+6,0),0)</f>
        <v>0</v>
      </c>
      <c r="AL85" s="162">
        <f>IFERROR(VLOOKUP($F85&amp;"-"&amp;$J85,#REF!,#REF!+6,0),0)</f>
        <v>0</v>
      </c>
      <c r="AM85" s="162">
        <f>IFERROR(VLOOKUP($F85&amp;"-"&amp;$J85,#REF!,#REF!+6,0),0)</f>
        <v>0</v>
      </c>
      <c r="AN85" s="162">
        <f>IFERROR(VLOOKUP($F85&amp;"-"&amp;$J85,#REF!,#REF!+6,0),0)</f>
        <v>0</v>
      </c>
      <c r="AO85" s="162">
        <f>IFERROR(VLOOKUP($F85&amp;"-"&amp;$J85,#REF!,#REF!+6,0),0)</f>
        <v>0</v>
      </c>
      <c r="AP85" s="162">
        <f>IFERROR(VLOOKUP($F85&amp;"-"&amp;$J85,#REF!,#REF!+6,0),0)</f>
        <v>0</v>
      </c>
      <c r="AQ85" s="162">
        <f>IFERROR(VLOOKUP($F85&amp;"-"&amp;$J85,#REF!,#REF!+6,0),0)</f>
        <v>0</v>
      </c>
      <c r="AR85" s="163">
        <f t="shared" si="15"/>
        <v>0</v>
      </c>
    </row>
    <row r="86" spans="2:59" x14ac:dyDescent="0.25">
      <c r="B86" s="15" t="s">
        <v>226</v>
      </c>
      <c r="C86" s="83">
        <f t="shared" si="13"/>
        <v>0</v>
      </c>
      <c r="F86" s="148"/>
      <c r="G86" s="149" t="str">
        <f>IFERROR(VLOOKUP(F86,#REF!,2,0),"")</f>
        <v/>
      </c>
      <c r="H86" s="150" t="str">
        <f>IFERROR(VLOOKUP(F86,#REF!,3,0),"")</f>
        <v/>
      </c>
      <c r="I86" s="151"/>
      <c r="J86" s="151"/>
      <c r="K86" s="152"/>
      <c r="L86" s="153"/>
      <c r="M86" s="154"/>
      <c r="N86" s="151"/>
      <c r="O86" s="155"/>
      <c r="P86" s="156"/>
      <c r="Q86" s="156"/>
      <c r="R86" s="156"/>
      <c r="S86" s="156"/>
      <c r="T86" s="156"/>
      <c r="U86" s="156"/>
      <c r="V86" s="156"/>
      <c r="W86" s="156"/>
      <c r="X86" s="156"/>
      <c r="Y86" s="156"/>
      <c r="Z86" s="156"/>
      <c r="AA86" s="156"/>
      <c r="AB86" s="158">
        <f t="shared" si="16"/>
        <v>0</v>
      </c>
      <c r="AC86" s="159"/>
      <c r="AE86" s="160" t="str">
        <f t="shared" si="14"/>
        <v/>
      </c>
      <c r="AF86" s="161">
        <f>IFERROR(VLOOKUP($F86&amp;"-"&amp;$J86,#REF!,#REF!+6,0),0)</f>
        <v>0</v>
      </c>
      <c r="AG86" s="162">
        <f>IFERROR(VLOOKUP($F86&amp;"-"&amp;$J86,#REF!,#REF!+6,0),0)</f>
        <v>0</v>
      </c>
      <c r="AH86" s="162">
        <f>IFERROR(VLOOKUP($F86&amp;"-"&amp;$J86,#REF!,#REF!+6,0),0)</f>
        <v>0</v>
      </c>
      <c r="AI86" s="162">
        <f>IFERROR(VLOOKUP($F86&amp;"-"&amp;$J86,#REF!,#REF!+6,0),0)</f>
        <v>0</v>
      </c>
      <c r="AJ86" s="162">
        <f>IFERROR(VLOOKUP($F86&amp;"-"&amp;$J86,#REF!,#REF!+6,0),0)</f>
        <v>0</v>
      </c>
      <c r="AK86" s="162">
        <f>IFERROR(VLOOKUP($F86&amp;"-"&amp;$J86,#REF!,#REF!+6,0),0)</f>
        <v>0</v>
      </c>
      <c r="AL86" s="162">
        <f>IFERROR(VLOOKUP($F86&amp;"-"&amp;$J86,#REF!,#REF!+6,0),0)</f>
        <v>0</v>
      </c>
      <c r="AM86" s="162">
        <f>IFERROR(VLOOKUP($F86&amp;"-"&amp;$J86,#REF!,#REF!+6,0),0)</f>
        <v>0</v>
      </c>
      <c r="AN86" s="162">
        <f>IFERROR(VLOOKUP($F86&amp;"-"&amp;$J86,#REF!,#REF!+6,0),0)</f>
        <v>0</v>
      </c>
      <c r="AO86" s="162">
        <f>IFERROR(VLOOKUP($F86&amp;"-"&amp;$J86,#REF!,#REF!+6,0),0)</f>
        <v>0</v>
      </c>
      <c r="AP86" s="162">
        <f>IFERROR(VLOOKUP($F86&amp;"-"&amp;$J86,#REF!,#REF!+6,0),0)</f>
        <v>0</v>
      </c>
      <c r="AQ86" s="162">
        <f>IFERROR(VLOOKUP($F86&amp;"-"&amp;$J86,#REF!,#REF!+6,0),0)</f>
        <v>0</v>
      </c>
      <c r="AR86" s="163">
        <f t="shared" si="15"/>
        <v>0</v>
      </c>
    </row>
    <row r="87" spans="2:59" x14ac:dyDescent="0.25">
      <c r="B87" s="15" t="s">
        <v>226</v>
      </c>
      <c r="C87" s="83">
        <f t="shared" si="13"/>
        <v>0</v>
      </c>
      <c r="F87" s="148"/>
      <c r="G87" s="149" t="str">
        <f>IFERROR(VLOOKUP(F87,#REF!,2,0),"")</f>
        <v/>
      </c>
      <c r="H87" s="150" t="str">
        <f>IFERROR(VLOOKUP(F87,#REF!,3,0),"")</f>
        <v/>
      </c>
      <c r="I87" s="151"/>
      <c r="J87" s="151"/>
      <c r="K87" s="152"/>
      <c r="L87" s="153"/>
      <c r="M87" s="154"/>
      <c r="N87" s="151"/>
      <c r="O87" s="155"/>
      <c r="P87" s="156"/>
      <c r="Q87" s="156"/>
      <c r="R87" s="156"/>
      <c r="S87" s="156"/>
      <c r="T87" s="156"/>
      <c r="U87" s="156"/>
      <c r="V87" s="156"/>
      <c r="W87" s="156"/>
      <c r="X87" s="156"/>
      <c r="Y87" s="156"/>
      <c r="Z87" s="156"/>
      <c r="AA87" s="156"/>
      <c r="AB87" s="158">
        <f t="shared" si="16"/>
        <v>0</v>
      </c>
      <c r="AC87" s="159"/>
      <c r="AE87" s="160" t="str">
        <f t="shared" si="14"/>
        <v/>
      </c>
      <c r="AF87" s="161">
        <f>IFERROR(VLOOKUP($F87&amp;"-"&amp;$J87,#REF!,#REF!+6,0),0)</f>
        <v>0</v>
      </c>
      <c r="AG87" s="162">
        <f>IFERROR(VLOOKUP($F87&amp;"-"&amp;$J87,#REF!,#REF!+6,0),0)</f>
        <v>0</v>
      </c>
      <c r="AH87" s="162">
        <f>IFERROR(VLOOKUP($F87&amp;"-"&amp;$J87,#REF!,#REF!+6,0),0)</f>
        <v>0</v>
      </c>
      <c r="AI87" s="162">
        <f>IFERROR(VLOOKUP($F87&amp;"-"&amp;$J87,#REF!,#REF!+6,0),0)</f>
        <v>0</v>
      </c>
      <c r="AJ87" s="162">
        <f>IFERROR(VLOOKUP($F87&amp;"-"&amp;$J87,#REF!,#REF!+6,0),0)</f>
        <v>0</v>
      </c>
      <c r="AK87" s="162">
        <f>IFERROR(VLOOKUP($F87&amp;"-"&amp;$J87,#REF!,#REF!+6,0),0)</f>
        <v>0</v>
      </c>
      <c r="AL87" s="162">
        <f>IFERROR(VLOOKUP($F87&amp;"-"&amp;$J87,#REF!,#REF!+6,0),0)</f>
        <v>0</v>
      </c>
      <c r="AM87" s="162">
        <f>IFERROR(VLOOKUP($F87&amp;"-"&amp;$J87,#REF!,#REF!+6,0),0)</f>
        <v>0</v>
      </c>
      <c r="AN87" s="162">
        <f>IFERROR(VLOOKUP($F87&amp;"-"&amp;$J87,#REF!,#REF!+6,0),0)</f>
        <v>0</v>
      </c>
      <c r="AO87" s="162">
        <f>IFERROR(VLOOKUP($F87&amp;"-"&amp;$J87,#REF!,#REF!+6,0),0)</f>
        <v>0</v>
      </c>
      <c r="AP87" s="162">
        <f>IFERROR(VLOOKUP($F87&amp;"-"&amp;$J87,#REF!,#REF!+6,0),0)</f>
        <v>0</v>
      </c>
      <c r="AQ87" s="162">
        <f>IFERROR(VLOOKUP($F87&amp;"-"&amp;$J87,#REF!,#REF!+6,0),0)</f>
        <v>0</v>
      </c>
      <c r="AR87" s="163">
        <f t="shared" si="15"/>
        <v>0</v>
      </c>
    </row>
    <row r="88" spans="2:59" x14ac:dyDescent="0.25">
      <c r="B88" s="15" t="s">
        <v>226</v>
      </c>
      <c r="C88" s="83">
        <f t="shared" si="13"/>
        <v>0</v>
      </c>
      <c r="F88" s="148"/>
      <c r="G88" s="149" t="str">
        <f>IFERROR(VLOOKUP(F88,#REF!,2,0),"")</f>
        <v/>
      </c>
      <c r="H88" s="150" t="str">
        <f>IFERROR(VLOOKUP(F88,#REF!,3,0),"")</f>
        <v/>
      </c>
      <c r="I88" s="151"/>
      <c r="J88" s="151"/>
      <c r="K88" s="152"/>
      <c r="L88" s="153"/>
      <c r="M88" s="154"/>
      <c r="N88" s="151"/>
      <c r="O88" s="155"/>
      <c r="P88" s="156"/>
      <c r="Q88" s="156"/>
      <c r="R88" s="156"/>
      <c r="S88" s="156"/>
      <c r="T88" s="156"/>
      <c r="U88" s="156"/>
      <c r="V88" s="156"/>
      <c r="W88" s="156"/>
      <c r="X88" s="156"/>
      <c r="Y88" s="156"/>
      <c r="Z88" s="156"/>
      <c r="AA88" s="156"/>
      <c r="AB88" s="158">
        <f t="shared" si="16"/>
        <v>0</v>
      </c>
      <c r="AC88" s="159"/>
      <c r="AE88" s="160" t="str">
        <f t="shared" si="14"/>
        <v/>
      </c>
      <c r="AF88" s="161">
        <f>IFERROR(VLOOKUP($F88&amp;"-"&amp;$J88,#REF!,#REF!+6,0),0)</f>
        <v>0</v>
      </c>
      <c r="AG88" s="162">
        <f>IFERROR(VLOOKUP($F88&amp;"-"&amp;$J88,#REF!,#REF!+6,0),0)</f>
        <v>0</v>
      </c>
      <c r="AH88" s="162">
        <f>IFERROR(VLOOKUP($F88&amp;"-"&amp;$J88,#REF!,#REF!+6,0),0)</f>
        <v>0</v>
      </c>
      <c r="AI88" s="162">
        <f>IFERROR(VLOOKUP($F88&amp;"-"&amp;$J88,#REF!,#REF!+6,0),0)</f>
        <v>0</v>
      </c>
      <c r="AJ88" s="162">
        <f>IFERROR(VLOOKUP($F88&amp;"-"&amp;$J88,#REF!,#REF!+6,0),0)</f>
        <v>0</v>
      </c>
      <c r="AK88" s="162">
        <f>IFERROR(VLOOKUP($F88&amp;"-"&amp;$J88,#REF!,#REF!+6,0),0)</f>
        <v>0</v>
      </c>
      <c r="AL88" s="162">
        <f>IFERROR(VLOOKUP($F88&amp;"-"&amp;$J88,#REF!,#REF!+6,0),0)</f>
        <v>0</v>
      </c>
      <c r="AM88" s="162">
        <f>IFERROR(VLOOKUP($F88&amp;"-"&amp;$J88,#REF!,#REF!+6,0),0)</f>
        <v>0</v>
      </c>
      <c r="AN88" s="162">
        <f>IFERROR(VLOOKUP($F88&amp;"-"&amp;$J88,#REF!,#REF!+6,0),0)</f>
        <v>0</v>
      </c>
      <c r="AO88" s="162">
        <f>IFERROR(VLOOKUP($F88&amp;"-"&amp;$J88,#REF!,#REF!+6,0),0)</f>
        <v>0</v>
      </c>
      <c r="AP88" s="162">
        <f>IFERROR(VLOOKUP($F88&amp;"-"&amp;$J88,#REF!,#REF!+6,0),0)</f>
        <v>0</v>
      </c>
      <c r="AQ88" s="162">
        <f>IFERROR(VLOOKUP($F88&amp;"-"&amp;$J88,#REF!,#REF!+6,0),0)</f>
        <v>0</v>
      </c>
      <c r="AR88" s="163">
        <f t="shared" si="15"/>
        <v>0</v>
      </c>
    </row>
    <row r="89" spans="2:59" x14ac:dyDescent="0.25">
      <c r="B89" s="15" t="s">
        <v>226</v>
      </c>
      <c r="C89" s="83">
        <f t="shared" si="13"/>
        <v>0</v>
      </c>
      <c r="F89" s="148"/>
      <c r="G89" s="149" t="str">
        <f>IFERROR(VLOOKUP(F89,#REF!,2,0),"")</f>
        <v/>
      </c>
      <c r="H89" s="150" t="str">
        <f>IFERROR(VLOOKUP(F89,#REF!,3,0),"")</f>
        <v/>
      </c>
      <c r="I89" s="151"/>
      <c r="J89" s="151"/>
      <c r="K89" s="152"/>
      <c r="L89" s="153"/>
      <c r="M89" s="154"/>
      <c r="N89" s="151"/>
      <c r="O89" s="155"/>
      <c r="P89" s="156"/>
      <c r="Q89" s="156"/>
      <c r="R89" s="156"/>
      <c r="S89" s="156"/>
      <c r="T89" s="156"/>
      <c r="U89" s="156"/>
      <c r="V89" s="156"/>
      <c r="W89" s="156"/>
      <c r="X89" s="156"/>
      <c r="Y89" s="156"/>
      <c r="Z89" s="156"/>
      <c r="AA89" s="156"/>
      <c r="AB89" s="158">
        <f t="shared" si="16"/>
        <v>0</v>
      </c>
      <c r="AC89" s="159"/>
      <c r="AE89" s="160" t="str">
        <f t="shared" si="14"/>
        <v/>
      </c>
      <c r="AF89" s="161">
        <f>IFERROR(VLOOKUP($F89&amp;"-"&amp;$J89,#REF!,#REF!+6,0),0)</f>
        <v>0</v>
      </c>
      <c r="AG89" s="162">
        <f>IFERROR(VLOOKUP($F89&amp;"-"&amp;$J89,#REF!,#REF!+6,0),0)</f>
        <v>0</v>
      </c>
      <c r="AH89" s="162">
        <f>IFERROR(VLOOKUP($F89&amp;"-"&amp;$J89,#REF!,#REF!+6,0),0)</f>
        <v>0</v>
      </c>
      <c r="AI89" s="162">
        <f>IFERROR(VLOOKUP($F89&amp;"-"&amp;$J89,#REF!,#REF!+6,0),0)</f>
        <v>0</v>
      </c>
      <c r="AJ89" s="162">
        <f>IFERROR(VLOOKUP($F89&amp;"-"&amp;$J89,#REF!,#REF!+6,0),0)</f>
        <v>0</v>
      </c>
      <c r="AK89" s="162">
        <f>IFERROR(VLOOKUP($F89&amp;"-"&amp;$J89,#REF!,#REF!+6,0),0)</f>
        <v>0</v>
      </c>
      <c r="AL89" s="162">
        <f>IFERROR(VLOOKUP($F89&amp;"-"&amp;$J89,#REF!,#REF!+6,0),0)</f>
        <v>0</v>
      </c>
      <c r="AM89" s="162">
        <f>IFERROR(VLOOKUP($F89&amp;"-"&amp;$J89,#REF!,#REF!+6,0),0)</f>
        <v>0</v>
      </c>
      <c r="AN89" s="162">
        <f>IFERROR(VLOOKUP($F89&amp;"-"&amp;$J89,#REF!,#REF!+6,0),0)</f>
        <v>0</v>
      </c>
      <c r="AO89" s="162">
        <f>IFERROR(VLOOKUP($F89&amp;"-"&amp;$J89,#REF!,#REF!+6,0),0)</f>
        <v>0</v>
      </c>
      <c r="AP89" s="162">
        <f>IFERROR(VLOOKUP($F89&amp;"-"&amp;$J89,#REF!,#REF!+6,0),0)</f>
        <v>0</v>
      </c>
      <c r="AQ89" s="162">
        <f>IFERROR(VLOOKUP($F89&amp;"-"&amp;$J89,#REF!,#REF!+6,0),0)</f>
        <v>0</v>
      </c>
      <c r="AR89" s="163">
        <f t="shared" si="15"/>
        <v>0</v>
      </c>
    </row>
    <row r="90" spans="2:59" x14ac:dyDescent="0.25">
      <c r="B90" s="15" t="s">
        <v>226</v>
      </c>
      <c r="C90" s="83">
        <f t="shared" si="13"/>
        <v>0</v>
      </c>
      <c r="F90" s="148"/>
      <c r="G90" s="149" t="str">
        <f>IFERROR(VLOOKUP(F90,#REF!,2,0),"")</f>
        <v/>
      </c>
      <c r="H90" s="150" t="str">
        <f>IFERROR(VLOOKUP(F90,#REF!,3,0),"")</f>
        <v/>
      </c>
      <c r="I90" s="151"/>
      <c r="J90" s="151"/>
      <c r="K90" s="152"/>
      <c r="L90" s="153"/>
      <c r="M90" s="154"/>
      <c r="N90" s="151"/>
      <c r="O90" s="155"/>
      <c r="P90" s="156"/>
      <c r="Q90" s="156"/>
      <c r="R90" s="156"/>
      <c r="S90" s="156"/>
      <c r="T90" s="156"/>
      <c r="U90" s="156"/>
      <c r="V90" s="156"/>
      <c r="W90" s="156"/>
      <c r="X90" s="156"/>
      <c r="Y90" s="156"/>
      <c r="Z90" s="156"/>
      <c r="AA90" s="156"/>
      <c r="AB90" s="158">
        <f t="shared" si="16"/>
        <v>0</v>
      </c>
      <c r="AC90" s="159"/>
      <c r="AE90" s="160" t="str">
        <f t="shared" si="14"/>
        <v/>
      </c>
      <c r="AF90" s="161">
        <f>IFERROR(VLOOKUP($F90&amp;"-"&amp;$J90,#REF!,#REF!+6,0),0)</f>
        <v>0</v>
      </c>
      <c r="AG90" s="162">
        <f>IFERROR(VLOOKUP($F90&amp;"-"&amp;$J90,#REF!,#REF!+6,0),0)</f>
        <v>0</v>
      </c>
      <c r="AH90" s="162">
        <f>IFERROR(VLOOKUP($F90&amp;"-"&amp;$J90,#REF!,#REF!+6,0),0)</f>
        <v>0</v>
      </c>
      <c r="AI90" s="162">
        <f>IFERROR(VLOOKUP($F90&amp;"-"&amp;$J90,#REF!,#REF!+6,0),0)</f>
        <v>0</v>
      </c>
      <c r="AJ90" s="162">
        <f>IFERROR(VLOOKUP($F90&amp;"-"&amp;$J90,#REF!,#REF!+6,0),0)</f>
        <v>0</v>
      </c>
      <c r="AK90" s="162">
        <f>IFERROR(VLOOKUP($F90&amp;"-"&amp;$J90,#REF!,#REF!+6,0),0)</f>
        <v>0</v>
      </c>
      <c r="AL90" s="162">
        <f>IFERROR(VLOOKUP($F90&amp;"-"&amp;$J90,#REF!,#REF!+6,0),0)</f>
        <v>0</v>
      </c>
      <c r="AM90" s="162">
        <f>IFERROR(VLOOKUP($F90&amp;"-"&amp;$J90,#REF!,#REF!+6,0),0)</f>
        <v>0</v>
      </c>
      <c r="AN90" s="162">
        <f>IFERROR(VLOOKUP($F90&amp;"-"&amp;$J90,#REF!,#REF!+6,0),0)</f>
        <v>0</v>
      </c>
      <c r="AO90" s="162">
        <f>IFERROR(VLOOKUP($F90&amp;"-"&amp;$J90,#REF!,#REF!+6,0),0)</f>
        <v>0</v>
      </c>
      <c r="AP90" s="162">
        <f>IFERROR(VLOOKUP($F90&amp;"-"&amp;$J90,#REF!,#REF!+6,0),0)</f>
        <v>0</v>
      </c>
      <c r="AQ90" s="162">
        <f>IFERROR(VLOOKUP($F90&amp;"-"&amp;$J90,#REF!,#REF!+6,0),0)</f>
        <v>0</v>
      </c>
      <c r="AR90" s="163">
        <f t="shared" si="15"/>
        <v>0</v>
      </c>
    </row>
    <row r="91" spans="2:59" x14ac:dyDescent="0.25">
      <c r="B91" s="15" t="s">
        <v>226</v>
      </c>
      <c r="C91" s="83">
        <f t="shared" si="13"/>
        <v>0</v>
      </c>
      <c r="F91" s="148"/>
      <c r="G91" s="149" t="str">
        <f>IFERROR(VLOOKUP(F91,#REF!,2,0),"")</f>
        <v/>
      </c>
      <c r="H91" s="150" t="str">
        <f>IFERROR(VLOOKUP(F91,#REF!,3,0),"")</f>
        <v/>
      </c>
      <c r="I91" s="151"/>
      <c r="J91" s="151"/>
      <c r="K91" s="152"/>
      <c r="L91" s="153"/>
      <c r="M91" s="154"/>
      <c r="N91" s="151"/>
      <c r="O91" s="155"/>
      <c r="P91" s="156"/>
      <c r="Q91" s="156"/>
      <c r="R91" s="156"/>
      <c r="S91" s="156"/>
      <c r="T91" s="156"/>
      <c r="U91" s="156"/>
      <c r="V91" s="156"/>
      <c r="W91" s="156"/>
      <c r="X91" s="156"/>
      <c r="Y91" s="156"/>
      <c r="Z91" s="156"/>
      <c r="AA91" s="156"/>
      <c r="AB91" s="158">
        <f t="shared" si="16"/>
        <v>0</v>
      </c>
      <c r="AC91" s="159"/>
      <c r="AE91" s="160" t="str">
        <f t="shared" si="14"/>
        <v/>
      </c>
      <c r="AF91" s="161">
        <f>IFERROR(VLOOKUP($F91&amp;"-"&amp;$J91,#REF!,#REF!+6,0),0)</f>
        <v>0</v>
      </c>
      <c r="AG91" s="162">
        <f>IFERROR(VLOOKUP($F91&amp;"-"&amp;$J91,#REF!,#REF!+6,0),0)</f>
        <v>0</v>
      </c>
      <c r="AH91" s="162">
        <f>IFERROR(VLOOKUP($F91&amp;"-"&amp;$J91,#REF!,#REF!+6,0),0)</f>
        <v>0</v>
      </c>
      <c r="AI91" s="162">
        <f>IFERROR(VLOOKUP($F91&amp;"-"&amp;$J91,#REF!,#REF!+6,0),0)</f>
        <v>0</v>
      </c>
      <c r="AJ91" s="162">
        <f>IFERROR(VLOOKUP($F91&amp;"-"&amp;$J91,#REF!,#REF!+6,0),0)</f>
        <v>0</v>
      </c>
      <c r="AK91" s="162">
        <f>IFERROR(VLOOKUP($F91&amp;"-"&amp;$J91,#REF!,#REF!+6,0),0)</f>
        <v>0</v>
      </c>
      <c r="AL91" s="162">
        <f>IFERROR(VLOOKUP($F91&amp;"-"&amp;$J91,#REF!,#REF!+6,0),0)</f>
        <v>0</v>
      </c>
      <c r="AM91" s="162">
        <f>IFERROR(VLOOKUP($F91&amp;"-"&amp;$J91,#REF!,#REF!+6,0),0)</f>
        <v>0</v>
      </c>
      <c r="AN91" s="162">
        <f>IFERROR(VLOOKUP($F91&amp;"-"&amp;$J91,#REF!,#REF!+6,0),0)</f>
        <v>0</v>
      </c>
      <c r="AO91" s="162">
        <f>IFERROR(VLOOKUP($F91&amp;"-"&amp;$J91,#REF!,#REF!+6,0),0)</f>
        <v>0</v>
      </c>
      <c r="AP91" s="162">
        <f>IFERROR(VLOOKUP($F91&amp;"-"&amp;$J91,#REF!,#REF!+6,0),0)</f>
        <v>0</v>
      </c>
      <c r="AQ91" s="162">
        <f>IFERROR(VLOOKUP($F91&amp;"-"&amp;$J91,#REF!,#REF!+6,0),0)</f>
        <v>0</v>
      </c>
      <c r="AR91" s="163">
        <f t="shared" si="15"/>
        <v>0</v>
      </c>
    </row>
    <row r="92" spans="2:59" x14ac:dyDescent="0.25">
      <c r="B92" s="15" t="s">
        <v>226</v>
      </c>
      <c r="C92" s="83">
        <f t="shared" si="13"/>
        <v>0</v>
      </c>
      <c r="F92" s="164"/>
      <c r="G92" s="149" t="str">
        <f>IFERROR(VLOOKUP(F92,#REF!,2,0),"")</f>
        <v/>
      </c>
      <c r="H92" s="150" t="str">
        <f>IFERROR(VLOOKUP(F92,#REF!,3,0),"")</f>
        <v/>
      </c>
      <c r="I92" s="165"/>
      <c r="J92" s="165"/>
      <c r="K92" s="166"/>
      <c r="L92" s="167"/>
      <c r="M92" s="168"/>
      <c r="N92" s="165"/>
      <c r="O92" s="169"/>
      <c r="P92" s="170"/>
      <c r="Q92" s="170"/>
      <c r="R92" s="170"/>
      <c r="S92" s="170"/>
      <c r="T92" s="170"/>
      <c r="U92" s="170"/>
      <c r="V92" s="170"/>
      <c r="W92" s="170"/>
      <c r="X92" s="170"/>
      <c r="Y92" s="170"/>
      <c r="Z92" s="170"/>
      <c r="AA92" s="170"/>
      <c r="AB92" s="171">
        <f t="shared" si="16"/>
        <v>0</v>
      </c>
      <c r="AC92" s="172"/>
      <c r="AE92" s="173" t="str">
        <f t="shared" si="14"/>
        <v/>
      </c>
      <c r="AF92" s="174">
        <f>IFERROR(VLOOKUP($F92&amp;"-"&amp;$J92,#REF!,#REF!+6,0),0)</f>
        <v>0</v>
      </c>
      <c r="AG92" s="175">
        <f>IFERROR(VLOOKUP($F92&amp;"-"&amp;$J92,#REF!,#REF!+6,0),0)</f>
        <v>0</v>
      </c>
      <c r="AH92" s="175">
        <f>IFERROR(VLOOKUP($F92&amp;"-"&amp;$J92,#REF!,#REF!+6,0),0)</f>
        <v>0</v>
      </c>
      <c r="AI92" s="175">
        <f>IFERROR(VLOOKUP($F92&amp;"-"&amp;$J92,#REF!,#REF!+6,0),0)</f>
        <v>0</v>
      </c>
      <c r="AJ92" s="175">
        <f>IFERROR(VLOOKUP($F92&amp;"-"&amp;$J92,#REF!,#REF!+6,0),0)</f>
        <v>0</v>
      </c>
      <c r="AK92" s="175">
        <f>IFERROR(VLOOKUP($F92&amp;"-"&amp;$J92,#REF!,#REF!+6,0),0)</f>
        <v>0</v>
      </c>
      <c r="AL92" s="175">
        <f>IFERROR(VLOOKUP($F92&amp;"-"&amp;$J92,#REF!,#REF!+6,0),0)</f>
        <v>0</v>
      </c>
      <c r="AM92" s="175">
        <f>IFERROR(VLOOKUP($F92&amp;"-"&amp;$J92,#REF!,#REF!+6,0),0)</f>
        <v>0</v>
      </c>
      <c r="AN92" s="175">
        <f>IFERROR(VLOOKUP($F92&amp;"-"&amp;$J92,#REF!,#REF!+6,0),0)</f>
        <v>0</v>
      </c>
      <c r="AO92" s="175">
        <f>IFERROR(VLOOKUP($F92&amp;"-"&amp;$J92,#REF!,#REF!+6,0),0)</f>
        <v>0</v>
      </c>
      <c r="AP92" s="175">
        <f>IFERROR(VLOOKUP($F92&amp;"-"&amp;$J92,#REF!,#REF!+6,0),0)</f>
        <v>0</v>
      </c>
      <c r="AQ92" s="175">
        <f>IFERROR(VLOOKUP($F92&amp;"-"&amp;$J92,#REF!,#REF!+6,0),0)</f>
        <v>0</v>
      </c>
      <c r="AR92" s="176">
        <f t="shared" si="15"/>
        <v>0</v>
      </c>
    </row>
    <row r="93" spans="2:59" ht="25.5" customHeight="1" x14ac:dyDescent="0.25">
      <c r="F93" s="137" t="s">
        <v>228</v>
      </c>
      <c r="G93" s="138"/>
      <c r="H93" s="139" t="s">
        <v>217</v>
      </c>
      <c r="I93" s="139" t="s">
        <v>218</v>
      </c>
      <c r="J93" s="139" t="s">
        <v>229</v>
      </c>
      <c r="K93" s="139" t="s">
        <v>230</v>
      </c>
      <c r="L93" s="143" t="s">
        <v>231</v>
      </c>
      <c r="M93" s="142" t="s">
        <v>232</v>
      </c>
      <c r="N93" s="142" t="s">
        <v>233</v>
      </c>
      <c r="O93" s="143" t="s">
        <v>222</v>
      </c>
      <c r="P93" s="35">
        <v>46113</v>
      </c>
      <c r="Q93" s="35">
        <v>46143</v>
      </c>
      <c r="R93" s="35">
        <v>46174</v>
      </c>
      <c r="S93" s="35">
        <v>46204</v>
      </c>
      <c r="T93" s="35">
        <v>46235</v>
      </c>
      <c r="U93" s="35">
        <v>46266</v>
      </c>
      <c r="V93" s="35">
        <v>46296</v>
      </c>
      <c r="W93" s="35">
        <v>46327</v>
      </c>
      <c r="X93" s="35">
        <v>46357</v>
      </c>
      <c r="Y93" s="35">
        <v>46388</v>
      </c>
      <c r="Z93" s="35">
        <v>46419</v>
      </c>
      <c r="AA93" s="35">
        <v>46447</v>
      </c>
      <c r="AB93" s="177">
        <f t="shared" si="16"/>
        <v>555369</v>
      </c>
      <c r="AC93" s="82" t="s">
        <v>192</v>
      </c>
      <c r="AE93" s="146" t="s">
        <v>222</v>
      </c>
      <c r="AF93" s="147">
        <f t="shared" ref="AF93:AQ93" si="17">P93</f>
        <v>46113</v>
      </c>
      <c r="AG93" s="35">
        <f t="shared" si="17"/>
        <v>46143</v>
      </c>
      <c r="AH93" s="35">
        <f t="shared" si="17"/>
        <v>46174</v>
      </c>
      <c r="AI93" s="35">
        <f t="shared" si="17"/>
        <v>46204</v>
      </c>
      <c r="AJ93" s="35">
        <f t="shared" si="17"/>
        <v>46235</v>
      </c>
      <c r="AK93" s="35">
        <f t="shared" si="17"/>
        <v>46266</v>
      </c>
      <c r="AL93" s="35">
        <f t="shared" si="17"/>
        <v>46296</v>
      </c>
      <c r="AM93" s="35">
        <f t="shared" si="17"/>
        <v>46327</v>
      </c>
      <c r="AN93" s="35">
        <f t="shared" si="17"/>
        <v>46357</v>
      </c>
      <c r="AO93" s="35">
        <f t="shared" si="17"/>
        <v>46388</v>
      </c>
      <c r="AP93" s="35">
        <f t="shared" si="17"/>
        <v>46419</v>
      </c>
      <c r="AQ93" s="35">
        <f t="shared" si="17"/>
        <v>46447</v>
      </c>
      <c r="AR93" s="81" t="s">
        <v>223</v>
      </c>
      <c r="AT93" s="178" t="s">
        <v>231</v>
      </c>
      <c r="AU93" s="35">
        <v>46113</v>
      </c>
      <c r="AV93" s="35">
        <v>46143</v>
      </c>
      <c r="AW93" s="35">
        <v>46174</v>
      </c>
      <c r="AX93" s="35">
        <v>46204</v>
      </c>
      <c r="AY93" s="35">
        <v>46235</v>
      </c>
      <c r="AZ93" s="35">
        <v>46266</v>
      </c>
      <c r="BA93" s="35">
        <v>46296</v>
      </c>
      <c r="BB93" s="35">
        <v>46327</v>
      </c>
      <c r="BC93" s="35">
        <v>46357</v>
      </c>
      <c r="BD93" s="35">
        <v>46388</v>
      </c>
      <c r="BE93" s="35">
        <v>46419</v>
      </c>
      <c r="BF93" s="35">
        <v>46447</v>
      </c>
      <c r="BG93" s="179" t="s">
        <v>225</v>
      </c>
    </row>
    <row r="94" spans="2:59" x14ac:dyDescent="0.25">
      <c r="B94" s="15" t="str">
        <f t="shared" ref="B94:B138" si="18">"IND_OPER_"&amp;F94&amp;"_"&amp;J94</f>
        <v>IND_OPER_1096_1</v>
      </c>
      <c r="C94" s="83" t="str">
        <f>I94</f>
        <v>PREPSP</v>
      </c>
      <c r="D94" s="15" t="str">
        <f>IFERROR("QTD_REC_"&amp;VLOOKUP($J94,#REF!,7,0),"")</f>
        <v/>
      </c>
      <c r="F94" s="148">
        <v>1096</v>
      </c>
      <c r="G94" s="149" t="s">
        <v>234</v>
      </c>
      <c r="H94" s="150" t="s">
        <v>235</v>
      </c>
      <c r="I94" s="151" t="s">
        <v>227</v>
      </c>
      <c r="J94" s="151">
        <v>1</v>
      </c>
      <c r="K94" s="150"/>
      <c r="L94" s="150"/>
      <c r="M94" s="154"/>
      <c r="N94" s="180"/>
      <c r="O94" s="155">
        <v>1</v>
      </c>
      <c r="P94" s="156">
        <v>0</v>
      </c>
      <c r="Q94" s="156">
        <v>0</v>
      </c>
      <c r="R94" s="157">
        <f>R21*0.6</f>
        <v>229.2</v>
      </c>
      <c r="S94" s="157">
        <f>S21*0.6</f>
        <v>310.91400000000004</v>
      </c>
      <c r="T94" s="156">
        <v>0</v>
      </c>
      <c r="U94" s="156">
        <v>0</v>
      </c>
      <c r="V94" s="156">
        <v>0</v>
      </c>
      <c r="W94" s="156">
        <v>0</v>
      </c>
      <c r="X94" s="156">
        <v>0</v>
      </c>
      <c r="Y94" s="156">
        <v>0</v>
      </c>
      <c r="Z94" s="156">
        <v>0</v>
      </c>
      <c r="AA94" s="156">
        <v>0</v>
      </c>
      <c r="AB94" s="158">
        <f>SUM(O94:AA94)</f>
        <v>541.11400000000003</v>
      </c>
      <c r="AC94" s="159"/>
      <c r="AE94" s="160" t="str">
        <f>IF(J94="","",J94&amp;" - "&amp;K94&amp;" ("&amp;F94&amp;" - "&amp;G94&amp;")")</f>
        <v>1 -  (1096 - PRÉ PLANTIO INCORPORADO (PPI) )</v>
      </c>
      <c r="AF94" s="161">
        <f>IFERROR(P94/AU94,0)</f>
        <v>0</v>
      </c>
      <c r="AG94" s="162">
        <f t="shared" ref="AG94:AQ108" si="19">IFERROR(Q94/AV94,0)</f>
        <v>0</v>
      </c>
      <c r="AH94" s="162">
        <f t="shared" si="19"/>
        <v>0</v>
      </c>
      <c r="AI94" s="162">
        <f t="shared" si="19"/>
        <v>0</v>
      </c>
      <c r="AJ94" s="162">
        <f t="shared" si="19"/>
        <v>0</v>
      </c>
      <c r="AK94" s="162">
        <f t="shared" si="19"/>
        <v>0</v>
      </c>
      <c r="AL94" s="162">
        <f t="shared" si="19"/>
        <v>0</v>
      </c>
      <c r="AM94" s="162">
        <f t="shared" si="19"/>
        <v>0</v>
      </c>
      <c r="AN94" s="162">
        <f t="shared" si="19"/>
        <v>0</v>
      </c>
      <c r="AO94" s="162">
        <f t="shared" si="19"/>
        <v>0</v>
      </c>
      <c r="AP94" s="162">
        <f t="shared" si="19"/>
        <v>0</v>
      </c>
      <c r="AQ94" s="162">
        <f t="shared" si="19"/>
        <v>0</v>
      </c>
      <c r="AR94" s="163">
        <f>SUM(AF94:AQ94)</f>
        <v>0</v>
      </c>
      <c r="AT94" s="181">
        <f>L94</f>
        <v>0</v>
      </c>
      <c r="AU94" s="156">
        <f>M94</f>
        <v>0</v>
      </c>
      <c r="AV94" s="156">
        <f>AU94</f>
        <v>0</v>
      </c>
      <c r="AW94" s="156">
        <f t="shared" ref="AW94:BF94" si="20">AV94</f>
        <v>0</v>
      </c>
      <c r="AX94" s="156">
        <f t="shared" si="20"/>
        <v>0</v>
      </c>
      <c r="AY94" s="156">
        <f t="shared" si="20"/>
        <v>0</v>
      </c>
      <c r="AZ94" s="156">
        <f t="shared" si="20"/>
        <v>0</v>
      </c>
      <c r="BA94" s="156">
        <f t="shared" si="20"/>
        <v>0</v>
      </c>
      <c r="BB94" s="156">
        <f t="shared" si="20"/>
        <v>0</v>
      </c>
      <c r="BC94" s="156">
        <f t="shared" si="20"/>
        <v>0</v>
      </c>
      <c r="BD94" s="156">
        <f t="shared" si="20"/>
        <v>0</v>
      </c>
      <c r="BE94" s="156">
        <f t="shared" si="20"/>
        <v>0</v>
      </c>
      <c r="BF94" s="156">
        <f t="shared" si="20"/>
        <v>0</v>
      </c>
      <c r="BG94" s="158">
        <f>IFERROR(SUM(AU94:BF94)/COUNTIF(AU94:BF94,"&gt;0"),0)</f>
        <v>0</v>
      </c>
    </row>
    <row r="95" spans="2:59" x14ac:dyDescent="0.25">
      <c r="B95" s="15" t="str">
        <f t="shared" si="18"/>
        <v>IND_OPER_1079_1</v>
      </c>
      <c r="C95" s="83" t="str">
        <f t="shared" ref="C95:C138" si="21">I95</f>
        <v>PREPSP</v>
      </c>
      <c r="D95" s="15" t="str">
        <f>IFERROR("QTD_REC_"&amp;VLOOKUP($J95,#REF!,7,0),"")</f>
        <v/>
      </c>
      <c r="F95" s="148">
        <v>1079</v>
      </c>
      <c r="G95" s="149" t="s">
        <v>236</v>
      </c>
      <c r="H95" s="150" t="s">
        <v>235</v>
      </c>
      <c r="I95" s="151" t="s">
        <v>227</v>
      </c>
      <c r="J95" s="151">
        <v>1</v>
      </c>
      <c r="K95" s="150"/>
      <c r="L95" s="150"/>
      <c r="M95" s="154"/>
      <c r="N95" s="180"/>
      <c r="O95" s="155">
        <v>1</v>
      </c>
      <c r="P95" s="156">
        <v>0</v>
      </c>
      <c r="Q95" s="156">
        <v>0</v>
      </c>
      <c r="R95" s="156">
        <v>152.80000000000001</v>
      </c>
      <c r="S95" s="156">
        <v>207.27600000000004</v>
      </c>
      <c r="T95" s="156">
        <v>518.19000000000005</v>
      </c>
      <c r="U95" s="156">
        <v>136.87</v>
      </c>
      <c r="V95" s="156">
        <v>0</v>
      </c>
      <c r="W95" s="156">
        <v>0</v>
      </c>
      <c r="X95" s="156">
        <v>0</v>
      </c>
      <c r="Y95" s="156">
        <v>0</v>
      </c>
      <c r="Z95" s="156">
        <v>0</v>
      </c>
      <c r="AA95" s="156">
        <v>0</v>
      </c>
      <c r="AB95" s="158">
        <f>SUM(O95:AA95)</f>
        <v>1016.1360000000001</v>
      </c>
      <c r="AC95" s="159" t="s">
        <v>237</v>
      </c>
      <c r="AE95" s="160" t="str">
        <f t="shared" ref="AE95:AE138" si="22">IF(J95="","",J95&amp;" - "&amp;K95&amp;" ("&amp;F95&amp;" - "&amp;G95&amp;")")</f>
        <v>1 -  (1079 - APLICAÇÃO DESSECAÇÃO          )</v>
      </c>
      <c r="AF95" s="161">
        <f t="shared" ref="AF95:AQ123" si="23">IFERROR(P95/AU95,0)</f>
        <v>0</v>
      </c>
      <c r="AG95" s="162">
        <f t="shared" si="19"/>
        <v>0</v>
      </c>
      <c r="AH95" s="162">
        <f t="shared" si="19"/>
        <v>0</v>
      </c>
      <c r="AI95" s="162">
        <f t="shared" si="19"/>
        <v>0</v>
      </c>
      <c r="AJ95" s="162">
        <f t="shared" si="19"/>
        <v>0</v>
      </c>
      <c r="AK95" s="162">
        <f t="shared" si="19"/>
        <v>0</v>
      </c>
      <c r="AL95" s="162">
        <f t="shared" si="19"/>
        <v>0</v>
      </c>
      <c r="AM95" s="162">
        <f t="shared" si="19"/>
        <v>0</v>
      </c>
      <c r="AN95" s="162">
        <f t="shared" si="19"/>
        <v>0</v>
      </c>
      <c r="AO95" s="162">
        <f t="shared" si="19"/>
        <v>0</v>
      </c>
      <c r="AP95" s="162">
        <f t="shared" si="19"/>
        <v>0</v>
      </c>
      <c r="AQ95" s="162">
        <f t="shared" si="19"/>
        <v>0</v>
      </c>
      <c r="AR95" s="163">
        <f t="shared" ref="AR95:AR138" si="24">SUM(AF95:AQ95)</f>
        <v>0</v>
      </c>
      <c r="AT95" s="181">
        <f t="shared" ref="AT95:AU123" si="25">L95</f>
        <v>0</v>
      </c>
      <c r="AU95" s="156">
        <f t="shared" si="25"/>
        <v>0</v>
      </c>
      <c r="AV95" s="156">
        <f t="shared" ref="AV95:BF110" si="26">AU95</f>
        <v>0</v>
      </c>
      <c r="AW95" s="156">
        <f t="shared" si="26"/>
        <v>0</v>
      </c>
      <c r="AX95" s="156">
        <f t="shared" si="26"/>
        <v>0</v>
      </c>
      <c r="AY95" s="156">
        <f t="shared" si="26"/>
        <v>0</v>
      </c>
      <c r="AZ95" s="156">
        <f t="shared" si="26"/>
        <v>0</v>
      </c>
      <c r="BA95" s="156">
        <f t="shared" si="26"/>
        <v>0</v>
      </c>
      <c r="BB95" s="156">
        <f t="shared" si="26"/>
        <v>0</v>
      </c>
      <c r="BC95" s="156">
        <f t="shared" si="26"/>
        <v>0</v>
      </c>
      <c r="BD95" s="156">
        <f t="shared" si="26"/>
        <v>0</v>
      </c>
      <c r="BE95" s="156">
        <f t="shared" si="26"/>
        <v>0</v>
      </c>
      <c r="BF95" s="156">
        <f t="shared" si="26"/>
        <v>0</v>
      </c>
      <c r="BG95" s="158">
        <f t="shared" ref="BG95:BG138" si="27">IFERROR(SUM(AU95:BF95)/COUNTIF(AU95:BF95,"&gt;0"),0)</f>
        <v>0</v>
      </c>
    </row>
    <row r="96" spans="2:59" x14ac:dyDescent="0.25">
      <c r="B96" s="15" t="str">
        <f t="shared" si="18"/>
        <v>IND_OPER_1028_1</v>
      </c>
      <c r="C96" s="83" t="str">
        <f t="shared" si="21"/>
        <v>PREPSP</v>
      </c>
      <c r="D96" s="15" t="str">
        <f>IFERROR("QTD_REC_"&amp;VLOOKUP($J96,#REF!,7,0),"")</f>
        <v/>
      </c>
      <c r="F96" s="148">
        <v>1028</v>
      </c>
      <c r="G96" s="149" t="s">
        <v>238</v>
      </c>
      <c r="H96" s="150" t="s">
        <v>235</v>
      </c>
      <c r="I96" s="151" t="s">
        <v>227</v>
      </c>
      <c r="J96" s="151">
        <v>1</v>
      </c>
      <c r="K96" s="150"/>
      <c r="L96" s="150"/>
      <c r="M96" s="154"/>
      <c r="N96" s="180"/>
      <c r="O96" s="155">
        <v>1</v>
      </c>
      <c r="P96" s="156">
        <v>0</v>
      </c>
      <c r="Q96" s="156">
        <v>0</v>
      </c>
      <c r="R96" s="157">
        <f>R21-R51</f>
        <v>182</v>
      </c>
      <c r="S96" s="157">
        <f t="shared" ref="S96:V96" si="28">S21-S51</f>
        <v>218.19000000000005</v>
      </c>
      <c r="T96" s="157">
        <f t="shared" si="28"/>
        <v>0</v>
      </c>
      <c r="U96" s="157">
        <f t="shared" si="28"/>
        <v>0</v>
      </c>
      <c r="V96" s="157">
        <f t="shared" si="28"/>
        <v>0</v>
      </c>
      <c r="W96" s="156">
        <v>0</v>
      </c>
      <c r="X96" s="156">
        <v>0</v>
      </c>
      <c r="Y96" s="156">
        <v>0</v>
      </c>
      <c r="Z96" s="156">
        <v>0</v>
      </c>
      <c r="AA96" s="156">
        <v>0</v>
      </c>
      <c r="AB96" s="158">
        <f t="shared" si="16"/>
        <v>400.19000000000005</v>
      </c>
      <c r="AC96" s="159" t="s">
        <v>239</v>
      </c>
      <c r="AE96" s="160" t="str">
        <f t="shared" si="22"/>
        <v>1 -  (1028 - APLICAÇÃO MISTA CORREÇÃO SOLO )</v>
      </c>
      <c r="AF96" s="161">
        <f t="shared" si="23"/>
        <v>0</v>
      </c>
      <c r="AG96" s="162">
        <f t="shared" si="19"/>
        <v>0</v>
      </c>
      <c r="AH96" s="162">
        <f t="shared" si="19"/>
        <v>0</v>
      </c>
      <c r="AI96" s="162">
        <f t="shared" si="19"/>
        <v>0</v>
      </c>
      <c r="AJ96" s="162">
        <f t="shared" si="19"/>
        <v>0</v>
      </c>
      <c r="AK96" s="162">
        <f t="shared" si="19"/>
        <v>0</v>
      </c>
      <c r="AL96" s="162">
        <f t="shared" si="19"/>
        <v>0</v>
      </c>
      <c r="AM96" s="162">
        <f t="shared" si="19"/>
        <v>0</v>
      </c>
      <c r="AN96" s="162">
        <f t="shared" si="19"/>
        <v>0</v>
      </c>
      <c r="AO96" s="162">
        <f t="shared" si="19"/>
        <v>0</v>
      </c>
      <c r="AP96" s="162">
        <f t="shared" si="19"/>
        <v>0</v>
      </c>
      <c r="AQ96" s="162">
        <f t="shared" si="19"/>
        <v>0</v>
      </c>
      <c r="AR96" s="163">
        <f t="shared" si="24"/>
        <v>0</v>
      </c>
      <c r="AT96" s="181">
        <f t="shared" si="25"/>
        <v>0</v>
      </c>
      <c r="AU96" s="156">
        <f t="shared" si="25"/>
        <v>0</v>
      </c>
      <c r="AV96" s="156">
        <f t="shared" si="26"/>
        <v>0</v>
      </c>
      <c r="AW96" s="156">
        <f t="shared" si="26"/>
        <v>0</v>
      </c>
      <c r="AX96" s="156">
        <f t="shared" si="26"/>
        <v>0</v>
      </c>
      <c r="AY96" s="156">
        <f t="shared" si="26"/>
        <v>0</v>
      </c>
      <c r="AZ96" s="156">
        <f t="shared" si="26"/>
        <v>0</v>
      </c>
      <c r="BA96" s="156">
        <f t="shared" si="26"/>
        <v>0</v>
      </c>
      <c r="BB96" s="156">
        <f t="shared" si="26"/>
        <v>0</v>
      </c>
      <c r="BC96" s="156">
        <f t="shared" si="26"/>
        <v>0</v>
      </c>
      <c r="BD96" s="156">
        <f t="shared" si="26"/>
        <v>0</v>
      </c>
      <c r="BE96" s="156">
        <f t="shared" si="26"/>
        <v>0</v>
      </c>
      <c r="BF96" s="156">
        <f t="shared" si="26"/>
        <v>0</v>
      </c>
      <c r="BG96" s="158">
        <f t="shared" si="27"/>
        <v>0</v>
      </c>
    </row>
    <row r="97" spans="2:59" x14ac:dyDescent="0.25">
      <c r="B97" s="15" t="str">
        <f t="shared" si="18"/>
        <v>IND_OPER_1029_1</v>
      </c>
      <c r="C97" s="83" t="str">
        <f t="shared" si="21"/>
        <v>PREPSP</v>
      </c>
      <c r="D97" s="15" t="str">
        <f>IFERROR("QTD_REC_"&amp;VLOOKUP($J97,#REF!,7,0),"")</f>
        <v/>
      </c>
      <c r="F97" s="148">
        <v>1029</v>
      </c>
      <c r="G97" s="149" t="s">
        <v>238</v>
      </c>
      <c r="H97" s="150" t="s">
        <v>235</v>
      </c>
      <c r="I97" s="151" t="s">
        <v>227</v>
      </c>
      <c r="J97" s="151">
        <v>1</v>
      </c>
      <c r="K97" s="150"/>
      <c r="L97" s="150"/>
      <c r="M97" s="154"/>
      <c r="N97" s="180"/>
      <c r="O97" s="155">
        <v>1</v>
      </c>
      <c r="P97" s="156">
        <v>0</v>
      </c>
      <c r="Q97" s="156">
        <v>0</v>
      </c>
      <c r="R97" s="157">
        <f>R21-R52</f>
        <v>182</v>
      </c>
      <c r="S97" s="157">
        <f t="shared" ref="S97:W97" si="29">S21-S52</f>
        <v>218.19000000000005</v>
      </c>
      <c r="T97" s="157">
        <f t="shared" si="29"/>
        <v>0</v>
      </c>
      <c r="U97" s="157">
        <f t="shared" si="29"/>
        <v>0</v>
      </c>
      <c r="V97" s="157">
        <f t="shared" si="29"/>
        <v>0</v>
      </c>
      <c r="W97" s="157">
        <f t="shared" si="29"/>
        <v>0</v>
      </c>
      <c r="X97" s="156">
        <v>0</v>
      </c>
      <c r="Y97" s="156">
        <v>0</v>
      </c>
      <c r="Z97" s="156">
        <v>0</v>
      </c>
      <c r="AA97" s="156">
        <v>0</v>
      </c>
      <c r="AB97" s="158">
        <f t="shared" si="16"/>
        <v>400.19000000000005</v>
      </c>
      <c r="AC97" s="159" t="s">
        <v>239</v>
      </c>
      <c r="AE97" s="160" t="str">
        <f t="shared" si="22"/>
        <v>1 -  (1029 - APLICAÇÃO MISTA CORREÇÃO SOLO )</v>
      </c>
      <c r="AF97" s="161">
        <f t="shared" si="23"/>
        <v>0</v>
      </c>
      <c r="AG97" s="162">
        <f t="shared" si="19"/>
        <v>0</v>
      </c>
      <c r="AH97" s="162">
        <f t="shared" si="19"/>
        <v>0</v>
      </c>
      <c r="AI97" s="162">
        <f t="shared" si="19"/>
        <v>0</v>
      </c>
      <c r="AJ97" s="162">
        <f t="shared" si="19"/>
        <v>0</v>
      </c>
      <c r="AK97" s="162">
        <f t="shared" si="19"/>
        <v>0</v>
      </c>
      <c r="AL97" s="162">
        <f t="shared" si="19"/>
        <v>0</v>
      </c>
      <c r="AM97" s="162">
        <f t="shared" si="19"/>
        <v>0</v>
      </c>
      <c r="AN97" s="162">
        <f t="shared" si="19"/>
        <v>0</v>
      </c>
      <c r="AO97" s="162">
        <f t="shared" si="19"/>
        <v>0</v>
      </c>
      <c r="AP97" s="162">
        <f t="shared" si="19"/>
        <v>0</v>
      </c>
      <c r="AQ97" s="162">
        <f t="shared" si="19"/>
        <v>0</v>
      </c>
      <c r="AR97" s="163">
        <f t="shared" si="24"/>
        <v>0</v>
      </c>
      <c r="AT97" s="181">
        <f t="shared" si="25"/>
        <v>0</v>
      </c>
      <c r="AU97" s="156">
        <f t="shared" si="25"/>
        <v>0</v>
      </c>
      <c r="AV97" s="156">
        <f t="shared" si="26"/>
        <v>0</v>
      </c>
      <c r="AW97" s="156">
        <f t="shared" si="26"/>
        <v>0</v>
      </c>
      <c r="AX97" s="156">
        <f t="shared" si="26"/>
        <v>0</v>
      </c>
      <c r="AY97" s="156">
        <f t="shared" si="26"/>
        <v>0</v>
      </c>
      <c r="AZ97" s="156">
        <f t="shared" si="26"/>
        <v>0</v>
      </c>
      <c r="BA97" s="156">
        <f t="shared" si="26"/>
        <v>0</v>
      </c>
      <c r="BB97" s="156">
        <f t="shared" si="26"/>
        <v>0</v>
      </c>
      <c r="BC97" s="156">
        <f t="shared" si="26"/>
        <v>0</v>
      </c>
      <c r="BD97" s="156">
        <f t="shared" si="26"/>
        <v>0</v>
      </c>
      <c r="BE97" s="156">
        <f t="shared" si="26"/>
        <v>0</v>
      </c>
      <c r="BF97" s="156">
        <f t="shared" si="26"/>
        <v>0</v>
      </c>
      <c r="BG97" s="158">
        <f t="shared" si="27"/>
        <v>0</v>
      </c>
    </row>
    <row r="98" spans="2:59" x14ac:dyDescent="0.25">
      <c r="B98" s="15" t="str">
        <f t="shared" si="18"/>
        <v>IND_OPER__</v>
      </c>
      <c r="C98" s="83">
        <f t="shared" si="21"/>
        <v>0</v>
      </c>
      <c r="D98" s="15" t="str">
        <f>IFERROR("QTD_REC_"&amp;VLOOKUP($J98,#REF!,7,0),"")</f>
        <v/>
      </c>
      <c r="F98" s="148"/>
      <c r="G98" s="149" t="str">
        <f>IFERROR(VLOOKUP(F98,#REF!,2,0),"")</f>
        <v/>
      </c>
      <c r="H98" s="150" t="str">
        <f>IFERROR(VLOOKUP(F98,#REF!,3,0),"")</f>
        <v/>
      </c>
      <c r="I98" s="151"/>
      <c r="J98" s="151"/>
      <c r="K98" s="150" t="str">
        <f>IFERROR(VLOOKUP($J98,#REF!,2,0),"")</f>
        <v/>
      </c>
      <c r="L98" s="150" t="str">
        <f t="shared" ref="L98:L138" si="30">IF(K98="","",IF(H98=K98,K98,H98&amp;"/"&amp;K98))</f>
        <v/>
      </c>
      <c r="M98" s="154"/>
      <c r="N98" s="180"/>
      <c r="O98" s="155"/>
      <c r="P98" s="156"/>
      <c r="Q98" s="156"/>
      <c r="R98" s="156"/>
      <c r="S98" s="156"/>
      <c r="T98" s="156"/>
      <c r="U98" s="156"/>
      <c r="V98" s="156"/>
      <c r="W98" s="156"/>
      <c r="X98" s="156"/>
      <c r="Y98" s="156"/>
      <c r="Z98" s="156"/>
      <c r="AA98" s="156"/>
      <c r="AB98" s="158">
        <f t="shared" si="16"/>
        <v>0</v>
      </c>
      <c r="AC98" s="159" t="s">
        <v>237</v>
      </c>
      <c r="AE98" s="160" t="str">
        <f t="shared" si="22"/>
        <v/>
      </c>
      <c r="AF98" s="161">
        <f t="shared" si="23"/>
        <v>0</v>
      </c>
      <c r="AG98" s="162">
        <f t="shared" si="19"/>
        <v>0</v>
      </c>
      <c r="AH98" s="162">
        <f t="shared" si="19"/>
        <v>0</v>
      </c>
      <c r="AI98" s="162">
        <f t="shared" si="19"/>
        <v>0</v>
      </c>
      <c r="AJ98" s="162">
        <f t="shared" si="19"/>
        <v>0</v>
      </c>
      <c r="AK98" s="162">
        <f t="shared" si="19"/>
        <v>0</v>
      </c>
      <c r="AL98" s="162">
        <f t="shared" si="19"/>
        <v>0</v>
      </c>
      <c r="AM98" s="162">
        <f t="shared" si="19"/>
        <v>0</v>
      </c>
      <c r="AN98" s="162">
        <f t="shared" si="19"/>
        <v>0</v>
      </c>
      <c r="AO98" s="162">
        <f t="shared" si="19"/>
        <v>0</v>
      </c>
      <c r="AP98" s="162">
        <f t="shared" si="19"/>
        <v>0</v>
      </c>
      <c r="AQ98" s="162">
        <f t="shared" si="19"/>
        <v>0</v>
      </c>
      <c r="AR98" s="163">
        <f t="shared" si="24"/>
        <v>0</v>
      </c>
      <c r="AT98" s="181" t="str">
        <f t="shared" si="25"/>
        <v/>
      </c>
      <c r="AU98" s="156">
        <f t="shared" si="25"/>
        <v>0</v>
      </c>
      <c r="AV98" s="156">
        <f t="shared" si="26"/>
        <v>0</v>
      </c>
      <c r="AW98" s="156">
        <f t="shared" si="26"/>
        <v>0</v>
      </c>
      <c r="AX98" s="156">
        <f t="shared" si="26"/>
        <v>0</v>
      </c>
      <c r="AY98" s="156">
        <f t="shared" si="26"/>
        <v>0</v>
      </c>
      <c r="AZ98" s="156">
        <f t="shared" si="26"/>
        <v>0</v>
      </c>
      <c r="BA98" s="156">
        <f t="shared" si="26"/>
        <v>0</v>
      </c>
      <c r="BB98" s="156">
        <f t="shared" si="26"/>
        <v>0</v>
      </c>
      <c r="BC98" s="156">
        <f t="shared" si="26"/>
        <v>0</v>
      </c>
      <c r="BD98" s="156">
        <f t="shared" si="26"/>
        <v>0</v>
      </c>
      <c r="BE98" s="156">
        <f t="shared" si="26"/>
        <v>0</v>
      </c>
      <c r="BF98" s="156">
        <f t="shared" si="26"/>
        <v>0</v>
      </c>
      <c r="BG98" s="158">
        <f t="shared" si="27"/>
        <v>0</v>
      </c>
    </row>
    <row r="99" spans="2:59" x14ac:dyDescent="0.25">
      <c r="B99" s="15" t="str">
        <f t="shared" si="18"/>
        <v>IND_OPER__</v>
      </c>
      <c r="C99" s="83">
        <f t="shared" si="21"/>
        <v>0</v>
      </c>
      <c r="D99" s="15" t="str">
        <f>IFERROR("QTD_REC_"&amp;VLOOKUP($J99,#REF!,7,0),"")</f>
        <v/>
      </c>
      <c r="F99" s="148"/>
      <c r="G99" s="149" t="str">
        <f>IFERROR(VLOOKUP(F99,#REF!,2,0),"")</f>
        <v/>
      </c>
      <c r="H99" s="150" t="str">
        <f>IFERROR(VLOOKUP(F99,#REF!,3,0),"")</f>
        <v/>
      </c>
      <c r="I99" s="151"/>
      <c r="J99" s="151"/>
      <c r="K99" s="150" t="str">
        <f>IFERROR(VLOOKUP($J99,#REF!,2,0),"")</f>
        <v/>
      </c>
      <c r="L99" s="150" t="str">
        <f t="shared" si="30"/>
        <v/>
      </c>
      <c r="M99" s="154"/>
      <c r="N99" s="180"/>
      <c r="O99" s="155"/>
      <c r="P99" s="156"/>
      <c r="Q99" s="156"/>
      <c r="R99" s="156"/>
      <c r="S99" s="156"/>
      <c r="T99" s="156"/>
      <c r="U99" s="156"/>
      <c r="V99" s="156"/>
      <c r="W99" s="156"/>
      <c r="X99" s="156"/>
      <c r="Y99" s="156"/>
      <c r="Z99" s="156"/>
      <c r="AA99" s="156"/>
      <c r="AB99" s="158">
        <f>SUM(P99:AA99)</f>
        <v>0</v>
      </c>
      <c r="AC99" s="159" t="s">
        <v>237</v>
      </c>
      <c r="AE99" s="160" t="str">
        <f t="shared" si="22"/>
        <v/>
      </c>
      <c r="AF99" s="161">
        <f t="shared" si="23"/>
        <v>0</v>
      </c>
      <c r="AG99" s="162">
        <f t="shared" si="19"/>
        <v>0</v>
      </c>
      <c r="AH99" s="162">
        <f t="shared" si="19"/>
        <v>0</v>
      </c>
      <c r="AI99" s="162">
        <f t="shared" si="19"/>
        <v>0</v>
      </c>
      <c r="AJ99" s="162">
        <f t="shared" si="19"/>
        <v>0</v>
      </c>
      <c r="AK99" s="162">
        <f t="shared" si="19"/>
        <v>0</v>
      </c>
      <c r="AL99" s="162">
        <f t="shared" si="19"/>
        <v>0</v>
      </c>
      <c r="AM99" s="162">
        <f t="shared" si="19"/>
        <v>0</v>
      </c>
      <c r="AN99" s="162">
        <f t="shared" si="19"/>
        <v>0</v>
      </c>
      <c r="AO99" s="162">
        <f t="shared" si="19"/>
        <v>0</v>
      </c>
      <c r="AP99" s="162">
        <f t="shared" si="19"/>
        <v>0</v>
      </c>
      <c r="AQ99" s="162">
        <f t="shared" si="19"/>
        <v>0</v>
      </c>
      <c r="AR99" s="163">
        <f t="shared" si="24"/>
        <v>0</v>
      </c>
      <c r="AT99" s="181" t="str">
        <f t="shared" si="25"/>
        <v/>
      </c>
      <c r="AU99" s="156">
        <f t="shared" si="25"/>
        <v>0</v>
      </c>
      <c r="AV99" s="156">
        <f t="shared" si="26"/>
        <v>0</v>
      </c>
      <c r="AW99" s="156">
        <f t="shared" si="26"/>
        <v>0</v>
      </c>
      <c r="AX99" s="156">
        <f t="shared" si="26"/>
        <v>0</v>
      </c>
      <c r="AY99" s="156">
        <f t="shared" si="26"/>
        <v>0</v>
      </c>
      <c r="AZ99" s="156">
        <f t="shared" si="26"/>
        <v>0</v>
      </c>
      <c r="BA99" s="156">
        <f t="shared" si="26"/>
        <v>0</v>
      </c>
      <c r="BB99" s="156">
        <f t="shared" si="26"/>
        <v>0</v>
      </c>
      <c r="BC99" s="156">
        <f t="shared" si="26"/>
        <v>0</v>
      </c>
      <c r="BD99" s="156">
        <f t="shared" si="26"/>
        <v>0</v>
      </c>
      <c r="BE99" s="156">
        <f t="shared" si="26"/>
        <v>0</v>
      </c>
      <c r="BF99" s="156">
        <f t="shared" si="26"/>
        <v>0</v>
      </c>
      <c r="BG99" s="158">
        <f t="shared" si="27"/>
        <v>0</v>
      </c>
    </row>
    <row r="100" spans="2:59" x14ac:dyDescent="0.25">
      <c r="B100" s="15" t="str">
        <f t="shared" si="18"/>
        <v>IND_OPER_1013_1</v>
      </c>
      <c r="C100" s="83" t="str">
        <f t="shared" si="21"/>
        <v>PREPSP</v>
      </c>
      <c r="D100" s="15" t="str">
        <f>IFERROR("QTD_REC_"&amp;VLOOKUP($J100,#REF!,7,0),"")</f>
        <v/>
      </c>
      <c r="F100" s="148">
        <v>1013</v>
      </c>
      <c r="G100" s="149" t="s">
        <v>48</v>
      </c>
      <c r="H100" s="150" t="s">
        <v>235</v>
      </c>
      <c r="I100" s="151" t="s">
        <v>227</v>
      </c>
      <c r="J100" s="151">
        <v>1</v>
      </c>
      <c r="K100" s="150" t="str">
        <f>IFERROR(VLOOKUP($J100,#REF!,2,0),"")</f>
        <v/>
      </c>
      <c r="L100" s="150" t="str">
        <f t="shared" si="30"/>
        <v/>
      </c>
      <c r="M100" s="154"/>
      <c r="N100" s="180"/>
      <c r="O100" s="155">
        <v>1</v>
      </c>
      <c r="P100" s="156">
        <f>P$18*1</f>
        <v>600</v>
      </c>
      <c r="Q100" s="156">
        <f t="shared" ref="Q100:AA100" si="31">Q$18*1</f>
        <v>150</v>
      </c>
      <c r="R100" s="156">
        <f t="shared" si="31"/>
        <v>382</v>
      </c>
      <c r="S100" s="156">
        <f t="shared" si="31"/>
        <v>518.19000000000005</v>
      </c>
      <c r="T100" s="156">
        <f t="shared" si="31"/>
        <v>518.19000000000005</v>
      </c>
      <c r="U100" s="156">
        <f t="shared" si="31"/>
        <v>600</v>
      </c>
      <c r="V100" s="156">
        <f t="shared" si="31"/>
        <v>297.23</v>
      </c>
      <c r="W100" s="156">
        <f t="shared" si="31"/>
        <v>0</v>
      </c>
      <c r="X100" s="156">
        <f t="shared" si="31"/>
        <v>0</v>
      </c>
      <c r="Y100" s="156">
        <f t="shared" si="31"/>
        <v>0</v>
      </c>
      <c r="Z100" s="156">
        <f t="shared" si="31"/>
        <v>200</v>
      </c>
      <c r="AA100" s="156">
        <f t="shared" si="31"/>
        <v>650</v>
      </c>
      <c r="AB100" s="158">
        <f t="shared" si="16"/>
        <v>3915.61</v>
      </c>
      <c r="AC100" s="159" t="s">
        <v>239</v>
      </c>
      <c r="AE100" s="160" t="str">
        <f t="shared" si="22"/>
        <v>1 -  (1013 - GRADAGEM ARADORA)</v>
      </c>
      <c r="AF100" s="161">
        <f t="shared" si="23"/>
        <v>0</v>
      </c>
      <c r="AG100" s="162">
        <f t="shared" si="19"/>
        <v>0</v>
      </c>
      <c r="AH100" s="162">
        <f t="shared" si="19"/>
        <v>0</v>
      </c>
      <c r="AI100" s="162">
        <f t="shared" si="19"/>
        <v>0</v>
      </c>
      <c r="AJ100" s="162">
        <f t="shared" si="19"/>
        <v>0</v>
      </c>
      <c r="AK100" s="162">
        <f t="shared" si="19"/>
        <v>0</v>
      </c>
      <c r="AL100" s="162">
        <f t="shared" si="19"/>
        <v>0</v>
      </c>
      <c r="AM100" s="162">
        <f t="shared" si="19"/>
        <v>0</v>
      </c>
      <c r="AN100" s="162">
        <f t="shared" si="19"/>
        <v>0</v>
      </c>
      <c r="AO100" s="162">
        <f t="shared" si="19"/>
        <v>0</v>
      </c>
      <c r="AP100" s="162">
        <f t="shared" si="19"/>
        <v>0</v>
      </c>
      <c r="AQ100" s="162">
        <f t="shared" si="19"/>
        <v>0</v>
      </c>
      <c r="AR100" s="163">
        <f t="shared" si="24"/>
        <v>0</v>
      </c>
      <c r="AT100" s="181" t="str">
        <f t="shared" si="25"/>
        <v/>
      </c>
      <c r="AU100" s="156">
        <f t="shared" si="25"/>
        <v>0</v>
      </c>
      <c r="AV100" s="156">
        <f t="shared" si="26"/>
        <v>0</v>
      </c>
      <c r="AW100" s="156">
        <f t="shared" si="26"/>
        <v>0</v>
      </c>
      <c r="AX100" s="156">
        <f t="shared" si="26"/>
        <v>0</v>
      </c>
      <c r="AY100" s="156">
        <f t="shared" si="26"/>
        <v>0</v>
      </c>
      <c r="AZ100" s="156">
        <f t="shared" si="26"/>
        <v>0</v>
      </c>
      <c r="BA100" s="156">
        <f t="shared" si="26"/>
        <v>0</v>
      </c>
      <c r="BB100" s="156">
        <f t="shared" si="26"/>
        <v>0</v>
      </c>
      <c r="BC100" s="156">
        <f t="shared" si="26"/>
        <v>0</v>
      </c>
      <c r="BD100" s="156">
        <f t="shared" si="26"/>
        <v>0</v>
      </c>
      <c r="BE100" s="156">
        <f t="shared" si="26"/>
        <v>0</v>
      </c>
      <c r="BF100" s="156">
        <f t="shared" si="26"/>
        <v>0</v>
      </c>
      <c r="BG100" s="158">
        <f t="shared" si="27"/>
        <v>0</v>
      </c>
    </row>
    <row r="101" spans="2:59" x14ac:dyDescent="0.25">
      <c r="B101" s="15" t="str">
        <f t="shared" si="18"/>
        <v>IND_OPER_1014_1</v>
      </c>
      <c r="C101" s="83" t="str">
        <f t="shared" si="21"/>
        <v>PREPSP</v>
      </c>
      <c r="D101" s="15" t="str">
        <f>IFERROR("QTD_REC_"&amp;VLOOKUP($J101,#REF!,7,0),"")</f>
        <v/>
      </c>
      <c r="F101" s="148">
        <v>1014</v>
      </c>
      <c r="G101" s="149" t="s">
        <v>49</v>
      </c>
      <c r="H101" s="150" t="s">
        <v>235</v>
      </c>
      <c r="I101" s="151" t="s">
        <v>227</v>
      </c>
      <c r="J101" s="151">
        <v>1</v>
      </c>
      <c r="K101" s="150" t="str">
        <f>IFERROR(VLOOKUP($J101,#REF!,2,0),"")</f>
        <v/>
      </c>
      <c r="L101" s="150" t="str">
        <f t="shared" si="30"/>
        <v/>
      </c>
      <c r="M101" s="154"/>
      <c r="N101" s="180"/>
      <c r="O101" s="155">
        <v>1</v>
      </c>
      <c r="P101" s="156">
        <f>P$18*1.8</f>
        <v>1080</v>
      </c>
      <c r="Q101" s="156">
        <f t="shared" ref="Q101:AA101" si="32">Q$18*1.8</f>
        <v>270</v>
      </c>
      <c r="R101" s="156">
        <f t="shared" si="32"/>
        <v>687.6</v>
      </c>
      <c r="S101" s="156">
        <f t="shared" si="32"/>
        <v>932.74200000000008</v>
      </c>
      <c r="T101" s="156">
        <f t="shared" si="32"/>
        <v>932.74200000000008</v>
      </c>
      <c r="U101" s="156">
        <f t="shared" si="32"/>
        <v>1080</v>
      </c>
      <c r="V101" s="156">
        <f t="shared" si="32"/>
        <v>535.01400000000001</v>
      </c>
      <c r="W101" s="156">
        <f t="shared" si="32"/>
        <v>0</v>
      </c>
      <c r="X101" s="156">
        <f t="shared" si="32"/>
        <v>0</v>
      </c>
      <c r="Y101" s="156">
        <f t="shared" si="32"/>
        <v>0</v>
      </c>
      <c r="Z101" s="156">
        <f t="shared" si="32"/>
        <v>360</v>
      </c>
      <c r="AA101" s="156">
        <f t="shared" si="32"/>
        <v>1170</v>
      </c>
      <c r="AB101" s="158">
        <f t="shared" si="16"/>
        <v>7048.0980000000009</v>
      </c>
      <c r="AC101" s="159"/>
      <c r="AE101" s="160" t="str">
        <f t="shared" si="22"/>
        <v>1 -  (1014 - GRADAGEM INTERMEDIÁRIA)</v>
      </c>
      <c r="AF101" s="161">
        <f t="shared" si="23"/>
        <v>0</v>
      </c>
      <c r="AG101" s="162">
        <f t="shared" si="19"/>
        <v>0</v>
      </c>
      <c r="AH101" s="162">
        <f t="shared" si="19"/>
        <v>0</v>
      </c>
      <c r="AI101" s="162">
        <f t="shared" si="19"/>
        <v>0</v>
      </c>
      <c r="AJ101" s="162">
        <f t="shared" si="19"/>
        <v>0</v>
      </c>
      <c r="AK101" s="162">
        <f t="shared" si="19"/>
        <v>0</v>
      </c>
      <c r="AL101" s="162">
        <f t="shared" si="19"/>
        <v>0</v>
      </c>
      <c r="AM101" s="162">
        <f t="shared" si="19"/>
        <v>0</v>
      </c>
      <c r="AN101" s="162">
        <f t="shared" si="19"/>
        <v>0</v>
      </c>
      <c r="AO101" s="162">
        <f t="shared" si="19"/>
        <v>0</v>
      </c>
      <c r="AP101" s="162">
        <f t="shared" si="19"/>
        <v>0</v>
      </c>
      <c r="AQ101" s="162">
        <f t="shared" si="19"/>
        <v>0</v>
      </c>
      <c r="AR101" s="163">
        <f t="shared" si="24"/>
        <v>0</v>
      </c>
      <c r="AT101" s="181" t="str">
        <f t="shared" si="25"/>
        <v/>
      </c>
      <c r="AU101" s="156">
        <f t="shared" si="25"/>
        <v>0</v>
      </c>
      <c r="AV101" s="156">
        <f t="shared" si="26"/>
        <v>0</v>
      </c>
      <c r="AW101" s="156">
        <f t="shared" si="26"/>
        <v>0</v>
      </c>
      <c r="AX101" s="156">
        <f t="shared" si="26"/>
        <v>0</v>
      </c>
      <c r="AY101" s="156">
        <f t="shared" si="26"/>
        <v>0</v>
      </c>
      <c r="AZ101" s="156">
        <f t="shared" si="26"/>
        <v>0</v>
      </c>
      <c r="BA101" s="156">
        <f t="shared" si="26"/>
        <v>0</v>
      </c>
      <c r="BB101" s="156">
        <f t="shared" si="26"/>
        <v>0</v>
      </c>
      <c r="BC101" s="156">
        <f t="shared" si="26"/>
        <v>0</v>
      </c>
      <c r="BD101" s="156">
        <f t="shared" si="26"/>
        <v>0</v>
      </c>
      <c r="BE101" s="156">
        <f t="shared" si="26"/>
        <v>0</v>
      </c>
      <c r="BF101" s="156">
        <f t="shared" si="26"/>
        <v>0</v>
      </c>
      <c r="BG101" s="158">
        <f t="shared" si="27"/>
        <v>0</v>
      </c>
    </row>
    <row r="102" spans="2:59" x14ac:dyDescent="0.25">
      <c r="B102" s="15" t="str">
        <f t="shared" si="18"/>
        <v>IND_OPER_1015_1</v>
      </c>
      <c r="C102" s="83" t="str">
        <f t="shared" si="21"/>
        <v>PREPSP</v>
      </c>
      <c r="D102" s="15" t="str">
        <f>IFERROR("QTD_REC_"&amp;VLOOKUP($J102,#REF!,7,0),"")</f>
        <v/>
      </c>
      <c r="F102" s="148">
        <v>1015</v>
      </c>
      <c r="G102" s="149" t="s">
        <v>50</v>
      </c>
      <c r="H102" s="150" t="s">
        <v>235</v>
      </c>
      <c r="I102" s="151" t="s">
        <v>227</v>
      </c>
      <c r="J102" s="151">
        <v>1</v>
      </c>
      <c r="K102" s="150" t="str">
        <f>IFERROR(VLOOKUP($J102,#REF!,2,0),"")</f>
        <v/>
      </c>
      <c r="L102" s="150" t="str">
        <f t="shared" si="30"/>
        <v/>
      </c>
      <c r="M102" s="154"/>
      <c r="N102" s="180"/>
      <c r="O102" s="155">
        <v>1</v>
      </c>
      <c r="P102" s="156">
        <f t="shared" ref="P102:AA103" si="33">P$18*1</f>
        <v>600</v>
      </c>
      <c r="Q102" s="156">
        <f t="shared" si="33"/>
        <v>150</v>
      </c>
      <c r="R102" s="156">
        <f t="shared" si="33"/>
        <v>382</v>
      </c>
      <c r="S102" s="156">
        <f t="shared" si="33"/>
        <v>518.19000000000005</v>
      </c>
      <c r="T102" s="156">
        <f t="shared" si="33"/>
        <v>518.19000000000005</v>
      </c>
      <c r="U102" s="156">
        <f t="shared" si="33"/>
        <v>600</v>
      </c>
      <c r="V102" s="156">
        <f t="shared" si="33"/>
        <v>297.23</v>
      </c>
      <c r="W102" s="156">
        <f t="shared" si="33"/>
        <v>0</v>
      </c>
      <c r="X102" s="156">
        <f t="shared" si="33"/>
        <v>0</v>
      </c>
      <c r="Y102" s="156">
        <f t="shared" si="33"/>
        <v>0</v>
      </c>
      <c r="Z102" s="156">
        <f t="shared" si="33"/>
        <v>200</v>
      </c>
      <c r="AA102" s="156">
        <f t="shared" si="33"/>
        <v>650</v>
      </c>
      <c r="AB102" s="158">
        <f t="shared" si="16"/>
        <v>3915.61</v>
      </c>
      <c r="AC102" s="159" t="s">
        <v>240</v>
      </c>
      <c r="AE102" s="160" t="str">
        <f t="shared" si="22"/>
        <v>1 -  (1015 - GRADAGEM NIVELADORA)</v>
      </c>
      <c r="AF102" s="161">
        <f t="shared" si="23"/>
        <v>0</v>
      </c>
      <c r="AG102" s="162">
        <f t="shared" si="19"/>
        <v>0</v>
      </c>
      <c r="AH102" s="162">
        <f t="shared" si="19"/>
        <v>0</v>
      </c>
      <c r="AI102" s="162">
        <f t="shared" si="19"/>
        <v>0</v>
      </c>
      <c r="AJ102" s="162">
        <f t="shared" si="19"/>
        <v>0</v>
      </c>
      <c r="AK102" s="162">
        <f t="shared" si="19"/>
        <v>0</v>
      </c>
      <c r="AL102" s="162">
        <f t="shared" si="19"/>
        <v>0</v>
      </c>
      <c r="AM102" s="162">
        <f t="shared" si="19"/>
        <v>0</v>
      </c>
      <c r="AN102" s="162">
        <f t="shared" si="19"/>
        <v>0</v>
      </c>
      <c r="AO102" s="162">
        <f t="shared" si="19"/>
        <v>0</v>
      </c>
      <c r="AP102" s="162">
        <f t="shared" si="19"/>
        <v>0</v>
      </c>
      <c r="AQ102" s="162">
        <f t="shared" si="19"/>
        <v>0</v>
      </c>
      <c r="AR102" s="163">
        <f t="shared" si="24"/>
        <v>0</v>
      </c>
      <c r="AT102" s="181" t="str">
        <f t="shared" si="25"/>
        <v/>
      </c>
      <c r="AU102" s="156">
        <f t="shared" si="25"/>
        <v>0</v>
      </c>
      <c r="AV102" s="156">
        <f t="shared" si="26"/>
        <v>0</v>
      </c>
      <c r="AW102" s="156">
        <f t="shared" si="26"/>
        <v>0</v>
      </c>
      <c r="AX102" s="156">
        <f t="shared" si="26"/>
        <v>0</v>
      </c>
      <c r="AY102" s="156">
        <f t="shared" si="26"/>
        <v>0</v>
      </c>
      <c r="AZ102" s="156">
        <f t="shared" si="26"/>
        <v>0</v>
      </c>
      <c r="BA102" s="156">
        <f t="shared" si="26"/>
        <v>0</v>
      </c>
      <c r="BB102" s="156">
        <f t="shared" si="26"/>
        <v>0</v>
      </c>
      <c r="BC102" s="156">
        <f t="shared" si="26"/>
        <v>0</v>
      </c>
      <c r="BD102" s="156">
        <f t="shared" si="26"/>
        <v>0</v>
      </c>
      <c r="BE102" s="156">
        <f t="shared" si="26"/>
        <v>0</v>
      </c>
      <c r="BF102" s="156">
        <f t="shared" si="26"/>
        <v>0</v>
      </c>
      <c r="BG102" s="158">
        <f t="shared" si="27"/>
        <v>0</v>
      </c>
    </row>
    <row r="103" spans="2:59" x14ac:dyDescent="0.25">
      <c r="B103" s="15" t="str">
        <f t="shared" si="18"/>
        <v>IND_OPER_1016_1</v>
      </c>
      <c r="C103" s="83" t="str">
        <f t="shared" si="21"/>
        <v>PREPSP</v>
      </c>
      <c r="D103" s="15" t="str">
        <f>IFERROR("QTD_REC_"&amp;VLOOKUP($J103,#REF!,7,0),"")</f>
        <v/>
      </c>
      <c r="F103" s="148">
        <v>1016</v>
      </c>
      <c r="G103" s="149" t="s">
        <v>51</v>
      </c>
      <c r="H103" s="150" t="s">
        <v>235</v>
      </c>
      <c r="I103" s="151" t="s">
        <v>227</v>
      </c>
      <c r="J103" s="151">
        <v>1</v>
      </c>
      <c r="K103" s="150" t="str">
        <f>IFERROR(VLOOKUP($J103,#REF!,2,0),"")</f>
        <v/>
      </c>
      <c r="L103" s="150" t="str">
        <f t="shared" si="30"/>
        <v/>
      </c>
      <c r="M103" s="154"/>
      <c r="N103" s="180"/>
      <c r="O103" s="155">
        <v>1</v>
      </c>
      <c r="P103" s="156">
        <f t="shared" si="33"/>
        <v>600</v>
      </c>
      <c r="Q103" s="156">
        <f t="shared" si="33"/>
        <v>150</v>
      </c>
      <c r="R103" s="156">
        <f t="shared" si="33"/>
        <v>382</v>
      </c>
      <c r="S103" s="156">
        <f t="shared" si="33"/>
        <v>518.19000000000005</v>
      </c>
      <c r="T103" s="156">
        <f t="shared" si="33"/>
        <v>518.19000000000005</v>
      </c>
      <c r="U103" s="156">
        <f t="shared" si="33"/>
        <v>600</v>
      </c>
      <c r="V103" s="156">
        <f t="shared" si="33"/>
        <v>297.23</v>
      </c>
      <c r="W103" s="156">
        <f t="shared" si="33"/>
        <v>0</v>
      </c>
      <c r="X103" s="156">
        <f t="shared" si="33"/>
        <v>0</v>
      </c>
      <c r="Y103" s="156">
        <f t="shared" si="33"/>
        <v>0</v>
      </c>
      <c r="Z103" s="156">
        <f t="shared" si="33"/>
        <v>200</v>
      </c>
      <c r="AA103" s="156">
        <f t="shared" si="33"/>
        <v>650</v>
      </c>
      <c r="AB103" s="158">
        <f t="shared" si="16"/>
        <v>3915.61</v>
      </c>
      <c r="AC103" s="159"/>
      <c r="AE103" s="160" t="str">
        <f t="shared" si="22"/>
        <v>1 -  (1016 - SUBSOLAGEM)</v>
      </c>
      <c r="AF103" s="161">
        <f t="shared" si="23"/>
        <v>0</v>
      </c>
      <c r="AG103" s="162">
        <f t="shared" si="19"/>
        <v>0</v>
      </c>
      <c r="AH103" s="162">
        <f t="shared" si="19"/>
        <v>0</v>
      </c>
      <c r="AI103" s="162">
        <f t="shared" si="19"/>
        <v>0</v>
      </c>
      <c r="AJ103" s="162">
        <f t="shared" si="19"/>
        <v>0</v>
      </c>
      <c r="AK103" s="162">
        <f t="shared" si="19"/>
        <v>0</v>
      </c>
      <c r="AL103" s="162">
        <f t="shared" si="19"/>
        <v>0</v>
      </c>
      <c r="AM103" s="162">
        <f t="shared" si="19"/>
        <v>0</v>
      </c>
      <c r="AN103" s="162">
        <f t="shared" si="19"/>
        <v>0</v>
      </c>
      <c r="AO103" s="162">
        <f t="shared" si="19"/>
        <v>0</v>
      </c>
      <c r="AP103" s="162">
        <f t="shared" si="19"/>
        <v>0</v>
      </c>
      <c r="AQ103" s="162">
        <f t="shared" si="19"/>
        <v>0</v>
      </c>
      <c r="AR103" s="163">
        <f t="shared" si="24"/>
        <v>0</v>
      </c>
      <c r="AT103" s="181" t="str">
        <f t="shared" si="25"/>
        <v/>
      </c>
      <c r="AU103" s="156">
        <f t="shared" si="25"/>
        <v>0</v>
      </c>
      <c r="AV103" s="156">
        <f t="shared" si="26"/>
        <v>0</v>
      </c>
      <c r="AW103" s="156">
        <f t="shared" si="26"/>
        <v>0</v>
      </c>
      <c r="AX103" s="156">
        <f t="shared" si="26"/>
        <v>0</v>
      </c>
      <c r="AY103" s="156">
        <f t="shared" si="26"/>
        <v>0</v>
      </c>
      <c r="AZ103" s="156">
        <f t="shared" si="26"/>
        <v>0</v>
      </c>
      <c r="BA103" s="156">
        <f t="shared" si="26"/>
        <v>0</v>
      </c>
      <c r="BB103" s="156">
        <f t="shared" si="26"/>
        <v>0</v>
      </c>
      <c r="BC103" s="156">
        <f t="shared" si="26"/>
        <v>0</v>
      </c>
      <c r="BD103" s="156">
        <f t="shared" si="26"/>
        <v>0</v>
      </c>
      <c r="BE103" s="156">
        <f t="shared" si="26"/>
        <v>0</v>
      </c>
      <c r="BF103" s="156">
        <f t="shared" si="26"/>
        <v>0</v>
      </c>
      <c r="BG103" s="158">
        <f t="shared" si="27"/>
        <v>0</v>
      </c>
    </row>
    <row r="104" spans="2:59" x14ac:dyDescent="0.25">
      <c r="B104" s="15" t="str">
        <f t="shared" si="18"/>
        <v>IND_OPER_1019_1</v>
      </c>
      <c r="C104" s="83" t="str">
        <f t="shared" si="21"/>
        <v>PREPSP</v>
      </c>
      <c r="D104" s="15" t="str">
        <f>IFERROR("QTD_REC_"&amp;VLOOKUP($J104,#REF!,7,0),"")</f>
        <v/>
      </c>
      <c r="F104" s="148">
        <v>1019</v>
      </c>
      <c r="G104" s="149" t="s">
        <v>763</v>
      </c>
      <c r="H104" s="150" t="s">
        <v>235</v>
      </c>
      <c r="I104" s="151" t="s">
        <v>227</v>
      </c>
      <c r="J104" s="151">
        <v>1</v>
      </c>
      <c r="K104" s="150" t="str">
        <f>IFERROR(VLOOKUP($J104,#REF!,2,0),"")</f>
        <v/>
      </c>
      <c r="L104" s="150" t="str">
        <f t="shared" si="30"/>
        <v/>
      </c>
      <c r="M104" s="154"/>
      <c r="N104" s="180"/>
      <c r="O104" s="155">
        <v>1</v>
      </c>
      <c r="P104" s="156">
        <f>P$18*0.6</f>
        <v>360</v>
      </c>
      <c r="Q104" s="156">
        <f t="shared" ref="Q104:AA104" si="34">Q$18*0.6</f>
        <v>90</v>
      </c>
      <c r="R104" s="156">
        <f t="shared" si="34"/>
        <v>229.2</v>
      </c>
      <c r="S104" s="156">
        <f t="shared" si="34"/>
        <v>310.91400000000004</v>
      </c>
      <c r="T104" s="156">
        <f t="shared" si="34"/>
        <v>310.91400000000004</v>
      </c>
      <c r="U104" s="156">
        <f t="shared" si="34"/>
        <v>360</v>
      </c>
      <c r="V104" s="156">
        <f t="shared" si="34"/>
        <v>178.33799999999999</v>
      </c>
      <c r="W104" s="156">
        <f t="shared" si="34"/>
        <v>0</v>
      </c>
      <c r="X104" s="156">
        <f t="shared" si="34"/>
        <v>0</v>
      </c>
      <c r="Y104" s="156">
        <f t="shared" si="34"/>
        <v>0</v>
      </c>
      <c r="Z104" s="156">
        <f t="shared" si="34"/>
        <v>120</v>
      </c>
      <c r="AA104" s="156">
        <f t="shared" si="34"/>
        <v>390</v>
      </c>
      <c r="AB104" s="158">
        <f t="shared" si="16"/>
        <v>2349.366</v>
      </c>
      <c r="AC104" s="159" t="s">
        <v>241</v>
      </c>
      <c r="AE104" s="160" t="str">
        <f t="shared" si="22"/>
        <v>1 -  (1019 - DESTRUIÇÃO DE SOQUEIRA / SPH)</v>
      </c>
      <c r="AF104" s="161">
        <f t="shared" si="23"/>
        <v>0</v>
      </c>
      <c r="AG104" s="162">
        <f t="shared" si="19"/>
        <v>0</v>
      </c>
      <c r="AH104" s="162">
        <f t="shared" si="19"/>
        <v>0</v>
      </c>
      <c r="AI104" s="162">
        <f t="shared" si="19"/>
        <v>0</v>
      </c>
      <c r="AJ104" s="162">
        <f t="shared" si="19"/>
        <v>0</v>
      </c>
      <c r="AK104" s="162">
        <f t="shared" si="19"/>
        <v>0</v>
      </c>
      <c r="AL104" s="162">
        <f t="shared" si="19"/>
        <v>0</v>
      </c>
      <c r="AM104" s="162">
        <f t="shared" si="19"/>
        <v>0</v>
      </c>
      <c r="AN104" s="162">
        <f t="shared" si="19"/>
        <v>0</v>
      </c>
      <c r="AO104" s="162">
        <f t="shared" si="19"/>
        <v>0</v>
      </c>
      <c r="AP104" s="162">
        <f t="shared" si="19"/>
        <v>0</v>
      </c>
      <c r="AQ104" s="162">
        <f t="shared" si="19"/>
        <v>0</v>
      </c>
      <c r="AR104" s="163">
        <f t="shared" si="24"/>
        <v>0</v>
      </c>
      <c r="AT104" s="181" t="str">
        <f t="shared" si="25"/>
        <v/>
      </c>
      <c r="AU104" s="156">
        <f t="shared" si="25"/>
        <v>0</v>
      </c>
      <c r="AV104" s="156">
        <f t="shared" si="26"/>
        <v>0</v>
      </c>
      <c r="AW104" s="156">
        <f t="shared" si="26"/>
        <v>0</v>
      </c>
      <c r="AX104" s="156">
        <f t="shared" si="26"/>
        <v>0</v>
      </c>
      <c r="AY104" s="156">
        <f t="shared" si="26"/>
        <v>0</v>
      </c>
      <c r="AZ104" s="156">
        <f t="shared" si="26"/>
        <v>0</v>
      </c>
      <c r="BA104" s="156">
        <f t="shared" si="26"/>
        <v>0</v>
      </c>
      <c r="BB104" s="156">
        <f t="shared" si="26"/>
        <v>0</v>
      </c>
      <c r="BC104" s="156">
        <f t="shared" si="26"/>
        <v>0</v>
      </c>
      <c r="BD104" s="156">
        <f t="shared" si="26"/>
        <v>0</v>
      </c>
      <c r="BE104" s="156">
        <f t="shared" si="26"/>
        <v>0</v>
      </c>
      <c r="BF104" s="156">
        <f t="shared" si="26"/>
        <v>0</v>
      </c>
      <c r="BG104" s="158">
        <f t="shared" si="27"/>
        <v>0</v>
      </c>
    </row>
    <row r="105" spans="2:59" x14ac:dyDescent="0.25">
      <c r="B105" s="15" t="str">
        <f t="shared" si="18"/>
        <v>IND_OPER_1081_1</v>
      </c>
      <c r="C105" s="83" t="str">
        <f t="shared" si="21"/>
        <v>PREPSP</v>
      </c>
      <c r="D105" s="15" t="str">
        <f>IFERROR("QTD_REC_"&amp;VLOOKUP($J105,#REF!,7,0),"")</f>
        <v/>
      </c>
      <c r="F105" s="148">
        <v>1081</v>
      </c>
      <c r="G105" s="149" t="s">
        <v>586</v>
      </c>
      <c r="H105" s="150" t="s">
        <v>235</v>
      </c>
      <c r="I105" s="151" t="s">
        <v>227</v>
      </c>
      <c r="J105" s="151">
        <v>1</v>
      </c>
      <c r="K105" s="150" t="str">
        <f>IFERROR(VLOOKUP($J105,#REF!,2,0),"")</f>
        <v/>
      </c>
      <c r="L105" s="150" t="str">
        <f t="shared" si="30"/>
        <v/>
      </c>
      <c r="M105" s="154"/>
      <c r="N105" s="180"/>
      <c r="O105" s="155">
        <v>1</v>
      </c>
      <c r="P105" s="156">
        <f>P21*0.3</f>
        <v>180</v>
      </c>
      <c r="Q105" s="156">
        <f t="shared" ref="Q105:AA105" si="35">Q21*0.3</f>
        <v>45</v>
      </c>
      <c r="R105" s="156">
        <f t="shared" si="35"/>
        <v>114.6</v>
      </c>
      <c r="S105" s="156">
        <f t="shared" si="35"/>
        <v>155.45700000000002</v>
      </c>
      <c r="T105" s="156">
        <f t="shared" si="35"/>
        <v>155.45700000000002</v>
      </c>
      <c r="U105" s="156">
        <f t="shared" si="35"/>
        <v>180</v>
      </c>
      <c r="V105" s="156">
        <f t="shared" si="35"/>
        <v>89.168999999999997</v>
      </c>
      <c r="W105" s="156">
        <f t="shared" si="35"/>
        <v>0</v>
      </c>
      <c r="X105" s="156">
        <f t="shared" si="35"/>
        <v>0</v>
      </c>
      <c r="Y105" s="156">
        <f t="shared" si="35"/>
        <v>0</v>
      </c>
      <c r="Z105" s="156">
        <f t="shared" si="35"/>
        <v>60</v>
      </c>
      <c r="AA105" s="156">
        <f t="shared" si="35"/>
        <v>195</v>
      </c>
      <c r="AB105" s="158">
        <f>SUM(P105:AA105)</f>
        <v>1174.683</v>
      </c>
      <c r="AC105" s="159"/>
      <c r="AE105" s="160" t="str">
        <f t="shared" si="22"/>
        <v>1 -  (1081 - Canterizador De Cana          )</v>
      </c>
      <c r="AF105" s="161">
        <f t="shared" si="23"/>
        <v>0</v>
      </c>
      <c r="AG105" s="162">
        <f t="shared" si="19"/>
        <v>0</v>
      </c>
      <c r="AH105" s="162">
        <f t="shared" si="19"/>
        <v>0</v>
      </c>
      <c r="AI105" s="162">
        <f t="shared" si="19"/>
        <v>0</v>
      </c>
      <c r="AJ105" s="162">
        <f t="shared" si="19"/>
        <v>0</v>
      </c>
      <c r="AK105" s="162">
        <f t="shared" si="19"/>
        <v>0</v>
      </c>
      <c r="AL105" s="162">
        <f t="shared" si="19"/>
        <v>0</v>
      </c>
      <c r="AM105" s="162">
        <f t="shared" si="19"/>
        <v>0</v>
      </c>
      <c r="AN105" s="162">
        <f t="shared" si="19"/>
        <v>0</v>
      </c>
      <c r="AO105" s="162">
        <f t="shared" si="19"/>
        <v>0</v>
      </c>
      <c r="AP105" s="162">
        <f t="shared" si="19"/>
        <v>0</v>
      </c>
      <c r="AQ105" s="162">
        <f t="shared" si="19"/>
        <v>0</v>
      </c>
      <c r="AR105" s="163">
        <f t="shared" si="24"/>
        <v>0</v>
      </c>
      <c r="AT105" s="181" t="str">
        <f t="shared" si="25"/>
        <v/>
      </c>
      <c r="AU105" s="156">
        <f t="shared" si="25"/>
        <v>0</v>
      </c>
      <c r="AV105" s="156">
        <f t="shared" si="26"/>
        <v>0</v>
      </c>
      <c r="AW105" s="156">
        <f t="shared" si="26"/>
        <v>0</v>
      </c>
      <c r="AX105" s="156">
        <f t="shared" si="26"/>
        <v>0</v>
      </c>
      <c r="AY105" s="156">
        <f t="shared" si="26"/>
        <v>0</v>
      </c>
      <c r="AZ105" s="156">
        <f t="shared" si="26"/>
        <v>0</v>
      </c>
      <c r="BA105" s="156">
        <f t="shared" si="26"/>
        <v>0</v>
      </c>
      <c r="BB105" s="156">
        <f t="shared" si="26"/>
        <v>0</v>
      </c>
      <c r="BC105" s="156">
        <f t="shared" si="26"/>
        <v>0</v>
      </c>
      <c r="BD105" s="156">
        <f t="shared" si="26"/>
        <v>0</v>
      </c>
      <c r="BE105" s="156">
        <f t="shared" si="26"/>
        <v>0</v>
      </c>
      <c r="BF105" s="156">
        <f t="shared" si="26"/>
        <v>0</v>
      </c>
      <c r="BG105" s="158">
        <f t="shared" si="27"/>
        <v>0</v>
      </c>
    </row>
    <row r="106" spans="2:59" x14ac:dyDescent="0.25">
      <c r="B106" s="15" t="str">
        <f t="shared" si="18"/>
        <v>IND_OPER_1071_</v>
      </c>
      <c r="C106" s="83" t="str">
        <f t="shared" si="21"/>
        <v>PREPSP</v>
      </c>
      <c r="D106" s="15" t="str">
        <f>IFERROR("QTD_REC_"&amp;VLOOKUP($J106,#REF!,7,0),"")</f>
        <v/>
      </c>
      <c r="F106" s="148">
        <v>1071</v>
      </c>
      <c r="G106" s="149" t="str">
        <f>IFERROR(VLOOKUP(F106,#REF!,2,0),"")</f>
        <v/>
      </c>
      <c r="H106" s="150" t="str">
        <f>IFERROR(VLOOKUP(F106,#REF!,3,0),"")</f>
        <v/>
      </c>
      <c r="I106" s="151" t="s">
        <v>227</v>
      </c>
      <c r="J106" s="151"/>
      <c r="K106" s="150" t="str">
        <f>IFERROR(VLOOKUP($J106,#REF!,2,0),"")</f>
        <v/>
      </c>
      <c r="L106" s="150" t="str">
        <f t="shared" si="30"/>
        <v/>
      </c>
      <c r="M106" s="154"/>
      <c r="N106" s="182"/>
      <c r="O106" s="155">
        <v>1</v>
      </c>
      <c r="P106" s="156">
        <f>P$18*0.3</f>
        <v>180</v>
      </c>
      <c r="Q106" s="156">
        <f t="shared" ref="Q106:AA106" si="36">Q$18*0.3</f>
        <v>45</v>
      </c>
      <c r="R106" s="156">
        <f t="shared" si="36"/>
        <v>114.6</v>
      </c>
      <c r="S106" s="156">
        <f t="shared" si="36"/>
        <v>155.45700000000002</v>
      </c>
      <c r="T106" s="156">
        <f t="shared" si="36"/>
        <v>155.45700000000002</v>
      </c>
      <c r="U106" s="156">
        <f t="shared" si="36"/>
        <v>180</v>
      </c>
      <c r="V106" s="156">
        <f t="shared" si="36"/>
        <v>89.168999999999997</v>
      </c>
      <c r="W106" s="156">
        <f t="shared" si="36"/>
        <v>0</v>
      </c>
      <c r="X106" s="156">
        <f t="shared" si="36"/>
        <v>0</v>
      </c>
      <c r="Y106" s="156">
        <f t="shared" si="36"/>
        <v>0</v>
      </c>
      <c r="Z106" s="156">
        <f t="shared" si="36"/>
        <v>60</v>
      </c>
      <c r="AA106" s="156">
        <f t="shared" si="36"/>
        <v>195</v>
      </c>
      <c r="AB106" s="158">
        <f t="shared" ref="AB106:AB138" si="37">SUM(P106:AA106)</f>
        <v>1174.683</v>
      </c>
      <c r="AC106" s="159" t="s">
        <v>242</v>
      </c>
      <c r="AE106" s="160" t="str">
        <f t="shared" si="22"/>
        <v/>
      </c>
      <c r="AF106" s="161">
        <f t="shared" si="23"/>
        <v>0</v>
      </c>
      <c r="AG106" s="162">
        <f t="shared" si="19"/>
        <v>0</v>
      </c>
      <c r="AH106" s="162">
        <f t="shared" si="19"/>
        <v>0</v>
      </c>
      <c r="AI106" s="162">
        <f t="shared" si="19"/>
        <v>0</v>
      </c>
      <c r="AJ106" s="162">
        <f t="shared" si="19"/>
        <v>0</v>
      </c>
      <c r="AK106" s="162">
        <f t="shared" si="19"/>
        <v>0</v>
      </c>
      <c r="AL106" s="162">
        <f t="shared" si="19"/>
        <v>0</v>
      </c>
      <c r="AM106" s="162">
        <f t="shared" si="19"/>
        <v>0</v>
      </c>
      <c r="AN106" s="162">
        <f t="shared" si="19"/>
        <v>0</v>
      </c>
      <c r="AO106" s="162">
        <f t="shared" si="19"/>
        <v>0</v>
      </c>
      <c r="AP106" s="162">
        <f t="shared" si="19"/>
        <v>0</v>
      </c>
      <c r="AQ106" s="162">
        <f t="shared" si="19"/>
        <v>0</v>
      </c>
      <c r="AR106" s="163">
        <f t="shared" si="24"/>
        <v>0</v>
      </c>
      <c r="AT106" s="181" t="str">
        <f t="shared" si="25"/>
        <v/>
      </c>
      <c r="AU106" s="156">
        <f t="shared" si="25"/>
        <v>0</v>
      </c>
      <c r="AV106" s="156">
        <f t="shared" si="26"/>
        <v>0</v>
      </c>
      <c r="AW106" s="156">
        <f t="shared" si="26"/>
        <v>0</v>
      </c>
      <c r="AX106" s="156">
        <f t="shared" si="26"/>
        <v>0</v>
      </c>
      <c r="AY106" s="156">
        <f t="shared" si="26"/>
        <v>0</v>
      </c>
      <c r="AZ106" s="156">
        <f t="shared" si="26"/>
        <v>0</v>
      </c>
      <c r="BA106" s="156">
        <f t="shared" si="26"/>
        <v>0</v>
      </c>
      <c r="BB106" s="156">
        <f t="shared" si="26"/>
        <v>0</v>
      </c>
      <c r="BC106" s="156">
        <f t="shared" si="26"/>
        <v>0</v>
      </c>
      <c r="BD106" s="156">
        <f t="shared" si="26"/>
        <v>0</v>
      </c>
      <c r="BE106" s="156">
        <f t="shared" si="26"/>
        <v>0</v>
      </c>
      <c r="BF106" s="156">
        <f t="shared" si="26"/>
        <v>0</v>
      </c>
      <c r="BG106" s="158">
        <f t="shared" si="27"/>
        <v>0</v>
      </c>
    </row>
    <row r="107" spans="2:59" x14ac:dyDescent="0.25">
      <c r="B107" s="15" t="str">
        <f t="shared" si="18"/>
        <v>IND_OPER_1001_1</v>
      </c>
      <c r="C107" s="83" t="str">
        <f t="shared" si="21"/>
        <v>PREPSP</v>
      </c>
      <c r="D107" s="15" t="str">
        <f>IFERROR("QTD_REC_"&amp;VLOOKUP($J107,#REF!,7,0),"")</f>
        <v/>
      </c>
      <c r="F107" s="148">
        <v>1001</v>
      </c>
      <c r="G107" s="149" t="s">
        <v>44</v>
      </c>
      <c r="H107" s="150" t="str">
        <f>IFERROR(VLOOKUP(F107,#REF!,3,0),"")</f>
        <v/>
      </c>
      <c r="I107" s="151" t="s">
        <v>227</v>
      </c>
      <c r="J107" s="151">
        <v>1</v>
      </c>
      <c r="K107" s="150" t="str">
        <f>IFERROR(VLOOKUP($J107,#REF!,2,0),"")</f>
        <v/>
      </c>
      <c r="L107" s="150" t="str">
        <f t="shared" si="30"/>
        <v/>
      </c>
      <c r="M107" s="154"/>
      <c r="N107" s="182"/>
      <c r="O107" s="155">
        <v>1</v>
      </c>
      <c r="P107" s="156">
        <f>P$18*0.08</f>
        <v>48</v>
      </c>
      <c r="Q107" s="156">
        <f t="shared" ref="Q107:AA110" si="38">Q$18*0.08</f>
        <v>12</v>
      </c>
      <c r="R107" s="156">
        <f t="shared" si="38"/>
        <v>30.560000000000002</v>
      </c>
      <c r="S107" s="156">
        <f t="shared" si="38"/>
        <v>41.455200000000005</v>
      </c>
      <c r="T107" s="156">
        <f t="shared" si="38"/>
        <v>41.455200000000005</v>
      </c>
      <c r="U107" s="156">
        <f t="shared" si="38"/>
        <v>48</v>
      </c>
      <c r="V107" s="156">
        <f t="shared" si="38"/>
        <v>23.778400000000001</v>
      </c>
      <c r="W107" s="156">
        <f t="shared" si="38"/>
        <v>0</v>
      </c>
      <c r="X107" s="156">
        <f t="shared" si="38"/>
        <v>0</v>
      </c>
      <c r="Y107" s="156">
        <f t="shared" si="38"/>
        <v>0</v>
      </c>
      <c r="Z107" s="156">
        <f t="shared" si="38"/>
        <v>16</v>
      </c>
      <c r="AA107" s="156">
        <f t="shared" si="38"/>
        <v>52</v>
      </c>
      <c r="AB107" s="158">
        <f t="shared" si="37"/>
        <v>313.24879999999996</v>
      </c>
      <c r="AC107" s="159" t="s">
        <v>242</v>
      </c>
      <c r="AE107" s="160" t="str">
        <f t="shared" si="22"/>
        <v>1 -  (1001 - TERRACEAMENTO)</v>
      </c>
      <c r="AF107" s="161">
        <f t="shared" si="23"/>
        <v>0</v>
      </c>
      <c r="AG107" s="162">
        <f t="shared" si="19"/>
        <v>0</v>
      </c>
      <c r="AH107" s="162">
        <f t="shared" si="19"/>
        <v>0</v>
      </c>
      <c r="AI107" s="162">
        <f t="shared" si="19"/>
        <v>0</v>
      </c>
      <c r="AJ107" s="162">
        <f t="shared" si="19"/>
        <v>0</v>
      </c>
      <c r="AK107" s="162">
        <f t="shared" si="19"/>
        <v>0</v>
      </c>
      <c r="AL107" s="162">
        <f t="shared" si="19"/>
        <v>0</v>
      </c>
      <c r="AM107" s="162">
        <f t="shared" si="19"/>
        <v>0</v>
      </c>
      <c r="AN107" s="162">
        <f t="shared" si="19"/>
        <v>0</v>
      </c>
      <c r="AO107" s="162">
        <f t="shared" si="19"/>
        <v>0</v>
      </c>
      <c r="AP107" s="162">
        <f t="shared" si="19"/>
        <v>0</v>
      </c>
      <c r="AQ107" s="162">
        <f t="shared" si="19"/>
        <v>0</v>
      </c>
      <c r="AR107" s="163">
        <f t="shared" si="24"/>
        <v>0</v>
      </c>
      <c r="AT107" s="181" t="str">
        <f t="shared" si="25"/>
        <v/>
      </c>
      <c r="AU107" s="156">
        <f t="shared" si="25"/>
        <v>0</v>
      </c>
      <c r="AV107" s="156">
        <f t="shared" si="26"/>
        <v>0</v>
      </c>
      <c r="AW107" s="156">
        <f t="shared" si="26"/>
        <v>0</v>
      </c>
      <c r="AX107" s="156">
        <f t="shared" si="26"/>
        <v>0</v>
      </c>
      <c r="AY107" s="156">
        <f t="shared" si="26"/>
        <v>0</v>
      </c>
      <c r="AZ107" s="156">
        <f t="shared" si="26"/>
        <v>0</v>
      </c>
      <c r="BA107" s="156">
        <f t="shared" si="26"/>
        <v>0</v>
      </c>
      <c r="BB107" s="156">
        <f t="shared" si="26"/>
        <v>0</v>
      </c>
      <c r="BC107" s="156">
        <f t="shared" si="26"/>
        <v>0</v>
      </c>
      <c r="BD107" s="156">
        <f t="shared" si="26"/>
        <v>0</v>
      </c>
      <c r="BE107" s="156">
        <f t="shared" si="26"/>
        <v>0</v>
      </c>
      <c r="BF107" s="156">
        <f t="shared" si="26"/>
        <v>0</v>
      </c>
      <c r="BG107" s="158">
        <f t="shared" si="27"/>
        <v>0</v>
      </c>
    </row>
    <row r="108" spans="2:59" x14ac:dyDescent="0.25">
      <c r="B108" s="15" t="str">
        <f t="shared" si="18"/>
        <v>IND_OPER_1002_1</v>
      </c>
      <c r="C108" s="83" t="str">
        <f t="shared" si="21"/>
        <v>PREPSP</v>
      </c>
      <c r="D108" s="15" t="str">
        <f>IFERROR("QTD_REC_"&amp;VLOOKUP($J108,#REF!,7,0),"")</f>
        <v/>
      </c>
      <c r="F108" s="148">
        <v>1002</v>
      </c>
      <c r="G108" s="149" t="s">
        <v>764</v>
      </c>
      <c r="H108" s="150" t="str">
        <f>IFERROR(VLOOKUP(F108,#REF!,3,0),"")</f>
        <v/>
      </c>
      <c r="I108" s="151" t="s">
        <v>227</v>
      </c>
      <c r="J108" s="151">
        <v>1</v>
      </c>
      <c r="K108" s="150" t="str">
        <f>IFERROR(VLOOKUP($J108,#REF!,2,0),"")</f>
        <v/>
      </c>
      <c r="L108" s="150" t="str">
        <f t="shared" si="30"/>
        <v/>
      </c>
      <c r="M108" s="154"/>
      <c r="N108" s="182"/>
      <c r="O108" s="155">
        <v>1</v>
      </c>
      <c r="P108" s="156">
        <f>P$18*0.08</f>
        <v>48</v>
      </c>
      <c r="Q108" s="156">
        <f t="shared" si="38"/>
        <v>12</v>
      </c>
      <c r="R108" s="156">
        <f t="shared" si="38"/>
        <v>30.560000000000002</v>
      </c>
      <c r="S108" s="156">
        <f t="shared" si="38"/>
        <v>41.455200000000005</v>
      </c>
      <c r="T108" s="156">
        <f t="shared" si="38"/>
        <v>41.455200000000005</v>
      </c>
      <c r="U108" s="156">
        <f t="shared" si="38"/>
        <v>48</v>
      </c>
      <c r="V108" s="156">
        <f t="shared" si="38"/>
        <v>23.778400000000001</v>
      </c>
      <c r="W108" s="156">
        <f t="shared" si="38"/>
        <v>0</v>
      </c>
      <c r="X108" s="156">
        <f t="shared" si="38"/>
        <v>0</v>
      </c>
      <c r="Y108" s="156">
        <f t="shared" si="38"/>
        <v>0</v>
      </c>
      <c r="Z108" s="156">
        <f t="shared" si="38"/>
        <v>16</v>
      </c>
      <c r="AA108" s="156">
        <f t="shared" si="38"/>
        <v>52</v>
      </c>
      <c r="AB108" s="158">
        <f t="shared" si="37"/>
        <v>313.24879999999996</v>
      </c>
      <c r="AC108" s="159" t="s">
        <v>242</v>
      </c>
      <c r="AE108" s="160" t="str">
        <f t="shared" si="22"/>
        <v>1 -  (1002 - TERRAPLANAGEM)</v>
      </c>
      <c r="AF108" s="161">
        <f t="shared" si="23"/>
        <v>0</v>
      </c>
      <c r="AG108" s="162">
        <f t="shared" si="19"/>
        <v>0</v>
      </c>
      <c r="AH108" s="162">
        <f t="shared" si="19"/>
        <v>0</v>
      </c>
      <c r="AI108" s="162">
        <f t="shared" si="19"/>
        <v>0</v>
      </c>
      <c r="AJ108" s="162">
        <f t="shared" si="19"/>
        <v>0</v>
      </c>
      <c r="AK108" s="162">
        <f t="shared" si="19"/>
        <v>0</v>
      </c>
      <c r="AL108" s="162">
        <f t="shared" si="19"/>
        <v>0</v>
      </c>
      <c r="AM108" s="162">
        <f t="shared" si="19"/>
        <v>0</v>
      </c>
      <c r="AN108" s="162">
        <f t="shared" si="19"/>
        <v>0</v>
      </c>
      <c r="AO108" s="162">
        <f t="shared" si="19"/>
        <v>0</v>
      </c>
      <c r="AP108" s="162">
        <f t="shared" si="19"/>
        <v>0</v>
      </c>
      <c r="AQ108" s="162">
        <f t="shared" si="19"/>
        <v>0</v>
      </c>
      <c r="AR108" s="163">
        <f t="shared" si="24"/>
        <v>0</v>
      </c>
      <c r="AT108" s="181" t="str">
        <f t="shared" si="25"/>
        <v/>
      </c>
      <c r="AU108" s="156">
        <f t="shared" si="25"/>
        <v>0</v>
      </c>
      <c r="AV108" s="156">
        <f t="shared" si="26"/>
        <v>0</v>
      </c>
      <c r="AW108" s="156">
        <f t="shared" si="26"/>
        <v>0</v>
      </c>
      <c r="AX108" s="156">
        <f t="shared" si="26"/>
        <v>0</v>
      </c>
      <c r="AY108" s="156">
        <f t="shared" si="26"/>
        <v>0</v>
      </c>
      <c r="AZ108" s="156">
        <f t="shared" si="26"/>
        <v>0</v>
      </c>
      <c r="BA108" s="156">
        <f t="shared" si="26"/>
        <v>0</v>
      </c>
      <c r="BB108" s="156">
        <f t="shared" si="26"/>
        <v>0</v>
      </c>
      <c r="BC108" s="156">
        <f t="shared" si="26"/>
        <v>0</v>
      </c>
      <c r="BD108" s="156">
        <f t="shared" si="26"/>
        <v>0</v>
      </c>
      <c r="BE108" s="156">
        <f t="shared" si="26"/>
        <v>0</v>
      </c>
      <c r="BF108" s="156">
        <f t="shared" si="26"/>
        <v>0</v>
      </c>
      <c r="BG108" s="158">
        <f t="shared" si="27"/>
        <v>0</v>
      </c>
    </row>
    <row r="109" spans="2:59" x14ac:dyDescent="0.25">
      <c r="B109" s="15" t="str">
        <f t="shared" si="18"/>
        <v>IND_OPER_1003_1</v>
      </c>
      <c r="C109" s="83" t="str">
        <f t="shared" si="21"/>
        <v>PREPSP</v>
      </c>
      <c r="D109" s="15" t="str">
        <f>IFERROR("QTD_REC_"&amp;VLOOKUP($J109,#REF!,7,0),"")</f>
        <v/>
      </c>
      <c r="F109" s="148">
        <v>1003</v>
      </c>
      <c r="G109" s="149" t="s">
        <v>765</v>
      </c>
      <c r="H109" s="150" t="str">
        <f>IFERROR(VLOOKUP(F109,#REF!,3,0),"")</f>
        <v/>
      </c>
      <c r="I109" s="151" t="s">
        <v>227</v>
      </c>
      <c r="J109" s="151">
        <v>1</v>
      </c>
      <c r="K109" s="150" t="str">
        <f>IFERROR(VLOOKUP($J109,#REF!,2,0),"")</f>
        <v/>
      </c>
      <c r="L109" s="150" t="str">
        <f t="shared" si="30"/>
        <v/>
      </c>
      <c r="M109" s="154"/>
      <c r="N109" s="182"/>
      <c r="O109" s="155">
        <v>1</v>
      </c>
      <c r="P109" s="156">
        <f>P$18*0.08</f>
        <v>48</v>
      </c>
      <c r="Q109" s="156">
        <f t="shared" si="38"/>
        <v>12</v>
      </c>
      <c r="R109" s="156">
        <f t="shared" si="38"/>
        <v>30.560000000000002</v>
      </c>
      <c r="S109" s="156">
        <f t="shared" si="38"/>
        <v>41.455200000000005</v>
      </c>
      <c r="T109" s="156">
        <f t="shared" si="38"/>
        <v>41.455200000000005</v>
      </c>
      <c r="U109" s="156">
        <f t="shared" si="38"/>
        <v>48</v>
      </c>
      <c r="V109" s="156">
        <f t="shared" si="38"/>
        <v>23.778400000000001</v>
      </c>
      <c r="W109" s="156">
        <f t="shared" si="38"/>
        <v>0</v>
      </c>
      <c r="X109" s="156">
        <f t="shared" si="38"/>
        <v>0</v>
      </c>
      <c r="Y109" s="156">
        <f t="shared" si="38"/>
        <v>0</v>
      </c>
      <c r="Z109" s="156">
        <f t="shared" si="38"/>
        <v>16</v>
      </c>
      <c r="AA109" s="156">
        <f t="shared" si="38"/>
        <v>52</v>
      </c>
      <c r="AB109" s="158">
        <f t="shared" si="37"/>
        <v>313.24879999999996</v>
      </c>
      <c r="AC109" s="159" t="s">
        <v>242</v>
      </c>
      <c r="AE109" s="160" t="str">
        <f t="shared" si="22"/>
        <v>1 -  (1003 - CONSERVAÇÃO DE ESTRADAS)</v>
      </c>
      <c r="AF109" s="161">
        <f t="shared" si="23"/>
        <v>0</v>
      </c>
      <c r="AG109" s="162">
        <f t="shared" si="23"/>
        <v>0</v>
      </c>
      <c r="AH109" s="162">
        <f t="shared" si="23"/>
        <v>0</v>
      </c>
      <c r="AI109" s="162">
        <f t="shared" si="23"/>
        <v>0</v>
      </c>
      <c r="AJ109" s="162">
        <f t="shared" si="23"/>
        <v>0</v>
      </c>
      <c r="AK109" s="162">
        <f t="shared" si="23"/>
        <v>0</v>
      </c>
      <c r="AL109" s="162">
        <f t="shared" si="23"/>
        <v>0</v>
      </c>
      <c r="AM109" s="162">
        <f t="shared" si="23"/>
        <v>0</v>
      </c>
      <c r="AN109" s="162">
        <f t="shared" si="23"/>
        <v>0</v>
      </c>
      <c r="AO109" s="162">
        <f t="shared" si="23"/>
        <v>0</v>
      </c>
      <c r="AP109" s="162">
        <f t="shared" si="23"/>
        <v>0</v>
      </c>
      <c r="AQ109" s="162">
        <f t="shared" si="23"/>
        <v>0</v>
      </c>
      <c r="AR109" s="163">
        <f t="shared" si="24"/>
        <v>0</v>
      </c>
      <c r="AT109" s="181" t="str">
        <f t="shared" si="25"/>
        <v/>
      </c>
      <c r="AU109" s="156">
        <f t="shared" si="25"/>
        <v>0</v>
      </c>
      <c r="AV109" s="156">
        <f t="shared" si="26"/>
        <v>0</v>
      </c>
      <c r="AW109" s="156">
        <f t="shared" si="26"/>
        <v>0</v>
      </c>
      <c r="AX109" s="156">
        <f t="shared" si="26"/>
        <v>0</v>
      </c>
      <c r="AY109" s="156">
        <f t="shared" si="26"/>
        <v>0</v>
      </c>
      <c r="AZ109" s="156">
        <f t="shared" si="26"/>
        <v>0</v>
      </c>
      <c r="BA109" s="156">
        <f t="shared" si="26"/>
        <v>0</v>
      </c>
      <c r="BB109" s="156">
        <f t="shared" si="26"/>
        <v>0</v>
      </c>
      <c r="BC109" s="156">
        <f t="shared" si="26"/>
        <v>0</v>
      </c>
      <c r="BD109" s="156">
        <f t="shared" si="26"/>
        <v>0</v>
      </c>
      <c r="BE109" s="156">
        <f t="shared" si="26"/>
        <v>0</v>
      </c>
      <c r="BF109" s="156">
        <f t="shared" si="26"/>
        <v>0</v>
      </c>
      <c r="BG109" s="158">
        <f t="shared" si="27"/>
        <v>0</v>
      </c>
    </row>
    <row r="110" spans="2:59" x14ac:dyDescent="0.25">
      <c r="B110" s="15" t="str">
        <f t="shared" si="18"/>
        <v>IND_OPER_1004_1</v>
      </c>
      <c r="C110" s="83" t="str">
        <f t="shared" si="21"/>
        <v>PREPSP</v>
      </c>
      <c r="D110" s="15" t="str">
        <f>IFERROR("QTD_REC_"&amp;VLOOKUP($J110,#REF!,7,0),"")</f>
        <v/>
      </c>
      <c r="F110" s="148">
        <v>1004</v>
      </c>
      <c r="G110" s="149" t="s">
        <v>45</v>
      </c>
      <c r="H110" s="150" t="str">
        <f>IFERROR(VLOOKUP(F110,#REF!,3,0),"")</f>
        <v/>
      </c>
      <c r="I110" s="151" t="s">
        <v>227</v>
      </c>
      <c r="J110" s="151">
        <v>1</v>
      </c>
      <c r="K110" s="150" t="str">
        <f>IFERROR(VLOOKUP($J110,#REF!,2,0),"")</f>
        <v/>
      </c>
      <c r="L110" s="150" t="str">
        <f t="shared" si="30"/>
        <v/>
      </c>
      <c r="M110" s="154"/>
      <c r="N110" s="182"/>
      <c r="O110" s="155">
        <v>1</v>
      </c>
      <c r="P110" s="156">
        <f>P$18*0.08</f>
        <v>48</v>
      </c>
      <c r="Q110" s="156">
        <f t="shared" si="38"/>
        <v>12</v>
      </c>
      <c r="R110" s="156">
        <f t="shared" si="38"/>
        <v>30.560000000000002</v>
      </c>
      <c r="S110" s="156">
        <f t="shared" si="38"/>
        <v>41.455200000000005</v>
      </c>
      <c r="T110" s="156">
        <f t="shared" si="38"/>
        <v>41.455200000000005</v>
      </c>
      <c r="U110" s="156">
        <f t="shared" si="38"/>
        <v>48</v>
      </c>
      <c r="V110" s="156">
        <f t="shared" si="38"/>
        <v>23.778400000000001</v>
      </c>
      <c r="W110" s="156">
        <f t="shared" si="38"/>
        <v>0</v>
      </c>
      <c r="X110" s="156">
        <f t="shared" si="38"/>
        <v>0</v>
      </c>
      <c r="Y110" s="156">
        <f t="shared" si="38"/>
        <v>0</v>
      </c>
      <c r="Z110" s="156">
        <f t="shared" si="38"/>
        <v>16</v>
      </c>
      <c r="AA110" s="156">
        <f t="shared" si="38"/>
        <v>52</v>
      </c>
      <c r="AB110" s="158">
        <f t="shared" si="37"/>
        <v>313.24879999999996</v>
      </c>
      <c r="AC110" s="159" t="s">
        <v>242</v>
      </c>
      <c r="AE110" s="160" t="str">
        <f t="shared" si="22"/>
        <v>1 -  (1004 - CURVA EM NÍVEL)</v>
      </c>
      <c r="AF110" s="161">
        <f t="shared" si="23"/>
        <v>0</v>
      </c>
      <c r="AG110" s="162">
        <f t="shared" si="23"/>
        <v>0</v>
      </c>
      <c r="AH110" s="162">
        <f t="shared" si="23"/>
        <v>0</v>
      </c>
      <c r="AI110" s="162">
        <f t="shared" si="23"/>
        <v>0</v>
      </c>
      <c r="AJ110" s="162">
        <f t="shared" si="23"/>
        <v>0</v>
      </c>
      <c r="AK110" s="162">
        <f t="shared" si="23"/>
        <v>0</v>
      </c>
      <c r="AL110" s="162">
        <f t="shared" si="23"/>
        <v>0</v>
      </c>
      <c r="AM110" s="162">
        <f t="shared" si="23"/>
        <v>0</v>
      </c>
      <c r="AN110" s="162">
        <f t="shared" si="23"/>
        <v>0</v>
      </c>
      <c r="AO110" s="162">
        <f t="shared" si="23"/>
        <v>0</v>
      </c>
      <c r="AP110" s="162">
        <f t="shared" si="23"/>
        <v>0</v>
      </c>
      <c r="AQ110" s="162">
        <f t="shared" si="23"/>
        <v>0</v>
      </c>
      <c r="AR110" s="163">
        <f t="shared" si="24"/>
        <v>0</v>
      </c>
      <c r="AT110" s="181" t="str">
        <f t="shared" si="25"/>
        <v/>
      </c>
      <c r="AU110" s="156">
        <f t="shared" si="25"/>
        <v>0</v>
      </c>
      <c r="AV110" s="156">
        <f t="shared" si="26"/>
        <v>0</v>
      </c>
      <c r="AW110" s="156">
        <f t="shared" si="26"/>
        <v>0</v>
      </c>
      <c r="AX110" s="156">
        <f t="shared" si="26"/>
        <v>0</v>
      </c>
      <c r="AY110" s="156">
        <f t="shared" si="26"/>
        <v>0</v>
      </c>
      <c r="AZ110" s="156">
        <f t="shared" si="26"/>
        <v>0</v>
      </c>
      <c r="BA110" s="156">
        <f t="shared" si="26"/>
        <v>0</v>
      </c>
      <c r="BB110" s="156">
        <f t="shared" si="26"/>
        <v>0</v>
      </c>
      <c r="BC110" s="156">
        <f t="shared" si="26"/>
        <v>0</v>
      </c>
      <c r="BD110" s="156">
        <f t="shared" si="26"/>
        <v>0</v>
      </c>
      <c r="BE110" s="156">
        <f t="shared" si="26"/>
        <v>0</v>
      </c>
      <c r="BF110" s="156">
        <f t="shared" si="26"/>
        <v>0</v>
      </c>
      <c r="BG110" s="158">
        <f t="shared" si="27"/>
        <v>0</v>
      </c>
    </row>
    <row r="111" spans="2:59" x14ac:dyDescent="0.25">
      <c r="B111" s="15" t="str">
        <f t="shared" si="18"/>
        <v>IND_OPER_1005_1</v>
      </c>
      <c r="C111" s="83" t="str">
        <f t="shared" si="21"/>
        <v>PREPSP</v>
      </c>
      <c r="D111" s="15" t="str">
        <f>IFERROR("QTD_REC_"&amp;VLOOKUP($J111,#REF!,7,0),"")</f>
        <v/>
      </c>
      <c r="F111" s="148">
        <v>1005</v>
      </c>
      <c r="G111" s="149" t="s">
        <v>46</v>
      </c>
      <c r="H111" s="150" t="str">
        <f>IFERROR(VLOOKUP(F111,#REF!,3,0),"")</f>
        <v/>
      </c>
      <c r="I111" s="151" t="s">
        <v>227</v>
      </c>
      <c r="J111" s="151">
        <v>1</v>
      </c>
      <c r="K111" s="150" t="str">
        <f>IFERROR(VLOOKUP($J111,#REF!,2,0),"")</f>
        <v/>
      </c>
      <c r="L111" s="150" t="str">
        <f t="shared" si="30"/>
        <v/>
      </c>
      <c r="M111" s="154"/>
      <c r="N111" s="182"/>
      <c r="O111" s="155">
        <v>1</v>
      </c>
      <c r="P111" s="156">
        <f>P$18*1</f>
        <v>600</v>
      </c>
      <c r="Q111" s="156">
        <f t="shared" ref="Q111:AA111" si="39">Q$18*1</f>
        <v>150</v>
      </c>
      <c r="R111" s="156">
        <f t="shared" si="39"/>
        <v>382</v>
      </c>
      <c r="S111" s="156">
        <f t="shared" si="39"/>
        <v>518.19000000000005</v>
      </c>
      <c r="T111" s="156">
        <f t="shared" si="39"/>
        <v>518.19000000000005</v>
      </c>
      <c r="U111" s="156">
        <f t="shared" si="39"/>
        <v>600</v>
      </c>
      <c r="V111" s="156">
        <f t="shared" si="39"/>
        <v>297.23</v>
      </c>
      <c r="W111" s="156">
        <f t="shared" si="39"/>
        <v>0</v>
      </c>
      <c r="X111" s="156">
        <f t="shared" si="39"/>
        <v>0</v>
      </c>
      <c r="Y111" s="156">
        <f t="shared" si="39"/>
        <v>0</v>
      </c>
      <c r="Z111" s="156">
        <f t="shared" si="39"/>
        <v>200</v>
      </c>
      <c r="AA111" s="156">
        <f t="shared" si="39"/>
        <v>650</v>
      </c>
      <c r="AB111" s="158">
        <f t="shared" si="37"/>
        <v>3915.61</v>
      </c>
      <c r="AC111" s="159" t="s">
        <v>242</v>
      </c>
      <c r="AE111" s="160" t="str">
        <f t="shared" si="22"/>
        <v>1 -  (1005 - SISTEMATIZAÇÃO)</v>
      </c>
      <c r="AF111" s="161">
        <f t="shared" si="23"/>
        <v>0</v>
      </c>
      <c r="AG111" s="162">
        <f t="shared" si="23"/>
        <v>0</v>
      </c>
      <c r="AH111" s="162">
        <f t="shared" si="23"/>
        <v>0</v>
      </c>
      <c r="AI111" s="162">
        <f t="shared" si="23"/>
        <v>0</v>
      </c>
      <c r="AJ111" s="162">
        <f t="shared" si="23"/>
        <v>0</v>
      </c>
      <c r="AK111" s="162">
        <f t="shared" si="23"/>
        <v>0</v>
      </c>
      <c r="AL111" s="162">
        <f t="shared" si="23"/>
        <v>0</v>
      </c>
      <c r="AM111" s="162">
        <f t="shared" si="23"/>
        <v>0</v>
      </c>
      <c r="AN111" s="162">
        <f t="shared" si="23"/>
        <v>0</v>
      </c>
      <c r="AO111" s="162">
        <f t="shared" si="23"/>
        <v>0</v>
      </c>
      <c r="AP111" s="162">
        <f t="shared" si="23"/>
        <v>0</v>
      </c>
      <c r="AQ111" s="162">
        <f t="shared" si="23"/>
        <v>0</v>
      </c>
      <c r="AR111" s="163">
        <f t="shared" si="24"/>
        <v>0</v>
      </c>
      <c r="AT111" s="181" t="str">
        <f t="shared" si="25"/>
        <v/>
      </c>
      <c r="AU111" s="156">
        <f t="shared" si="25"/>
        <v>0</v>
      </c>
      <c r="AV111" s="156">
        <f t="shared" ref="AV111:BF126" si="40">AU111</f>
        <v>0</v>
      </c>
      <c r="AW111" s="156">
        <f t="shared" si="40"/>
        <v>0</v>
      </c>
      <c r="AX111" s="156">
        <f t="shared" si="40"/>
        <v>0</v>
      </c>
      <c r="AY111" s="156">
        <f t="shared" si="40"/>
        <v>0</v>
      </c>
      <c r="AZ111" s="156">
        <f t="shared" si="40"/>
        <v>0</v>
      </c>
      <c r="BA111" s="156">
        <f t="shared" si="40"/>
        <v>0</v>
      </c>
      <c r="BB111" s="156">
        <f t="shared" si="40"/>
        <v>0</v>
      </c>
      <c r="BC111" s="156">
        <f t="shared" si="40"/>
        <v>0</v>
      </c>
      <c r="BD111" s="156">
        <f t="shared" si="40"/>
        <v>0</v>
      </c>
      <c r="BE111" s="156">
        <f t="shared" si="40"/>
        <v>0</v>
      </c>
      <c r="BF111" s="156">
        <f t="shared" si="40"/>
        <v>0</v>
      </c>
      <c r="BG111" s="158">
        <f t="shared" si="27"/>
        <v>0</v>
      </c>
    </row>
    <row r="112" spans="2:59" x14ac:dyDescent="0.25">
      <c r="B112" s="15" t="str">
        <f t="shared" si="18"/>
        <v>IND_OPER_1011_1</v>
      </c>
      <c r="C112" s="83" t="str">
        <f t="shared" si="21"/>
        <v>PREPSP</v>
      </c>
      <c r="D112" s="15" t="str">
        <f>IFERROR("QTD_REC_"&amp;VLOOKUP($J112,#REF!,7,0),"")</f>
        <v/>
      </c>
      <c r="F112" s="148">
        <v>1011</v>
      </c>
      <c r="G112" s="149" t="s">
        <v>47</v>
      </c>
      <c r="H112" s="150" t="str">
        <f>IFERROR(VLOOKUP(F112,#REF!,3,0),"")</f>
        <v/>
      </c>
      <c r="I112" s="151" t="s">
        <v>227</v>
      </c>
      <c r="J112" s="151">
        <v>1</v>
      </c>
      <c r="K112" s="150" t="str">
        <f>IFERROR(VLOOKUP($J112,#REF!,2,0),"")</f>
        <v/>
      </c>
      <c r="L112" s="150" t="str">
        <f t="shared" si="30"/>
        <v/>
      </c>
      <c r="M112" s="154"/>
      <c r="N112" s="182"/>
      <c r="O112" s="155">
        <v>1</v>
      </c>
      <c r="P112" s="156"/>
      <c r="Q112" s="156"/>
      <c r="R112" s="156"/>
      <c r="S112" s="156"/>
      <c r="T112" s="156"/>
      <c r="U112" s="156"/>
      <c r="V112" s="156"/>
      <c r="W112" s="156"/>
      <c r="X112" s="156"/>
      <c r="Y112" s="156"/>
      <c r="Z112" s="156"/>
      <c r="AA112" s="156"/>
      <c r="AB112" s="158">
        <f t="shared" si="37"/>
        <v>0</v>
      </c>
      <c r="AC112" s="159" t="s">
        <v>242</v>
      </c>
      <c r="AE112" s="160" t="str">
        <f t="shared" si="22"/>
        <v>1 -  (1011 - ARAÇÃO)</v>
      </c>
      <c r="AF112" s="161">
        <f t="shared" si="23"/>
        <v>0</v>
      </c>
      <c r="AG112" s="162">
        <f t="shared" si="23"/>
        <v>0</v>
      </c>
      <c r="AH112" s="162">
        <f t="shared" si="23"/>
        <v>0</v>
      </c>
      <c r="AI112" s="162">
        <f t="shared" si="23"/>
        <v>0</v>
      </c>
      <c r="AJ112" s="162">
        <f t="shared" si="23"/>
        <v>0</v>
      </c>
      <c r="AK112" s="162">
        <f t="shared" si="23"/>
        <v>0</v>
      </c>
      <c r="AL112" s="162">
        <f t="shared" si="23"/>
        <v>0</v>
      </c>
      <c r="AM112" s="162">
        <f t="shared" si="23"/>
        <v>0</v>
      </c>
      <c r="AN112" s="162">
        <f t="shared" si="23"/>
        <v>0</v>
      </c>
      <c r="AO112" s="162">
        <f t="shared" si="23"/>
        <v>0</v>
      </c>
      <c r="AP112" s="162">
        <f t="shared" si="23"/>
        <v>0</v>
      </c>
      <c r="AQ112" s="162">
        <f t="shared" si="23"/>
        <v>0</v>
      </c>
      <c r="AR112" s="163">
        <f t="shared" si="24"/>
        <v>0</v>
      </c>
      <c r="AT112" s="181" t="str">
        <f t="shared" si="25"/>
        <v/>
      </c>
      <c r="AU112" s="156">
        <f t="shared" si="25"/>
        <v>0</v>
      </c>
      <c r="AV112" s="156">
        <f t="shared" si="40"/>
        <v>0</v>
      </c>
      <c r="AW112" s="156">
        <f t="shared" si="40"/>
        <v>0</v>
      </c>
      <c r="AX112" s="156">
        <f t="shared" si="40"/>
        <v>0</v>
      </c>
      <c r="AY112" s="156">
        <f t="shared" si="40"/>
        <v>0</v>
      </c>
      <c r="AZ112" s="156">
        <f t="shared" si="40"/>
        <v>0</v>
      </c>
      <c r="BA112" s="156">
        <f t="shared" si="40"/>
        <v>0</v>
      </c>
      <c r="BB112" s="156">
        <f t="shared" si="40"/>
        <v>0</v>
      </c>
      <c r="BC112" s="156">
        <f t="shared" si="40"/>
        <v>0</v>
      </c>
      <c r="BD112" s="156">
        <f t="shared" si="40"/>
        <v>0</v>
      </c>
      <c r="BE112" s="156">
        <f t="shared" si="40"/>
        <v>0</v>
      </c>
      <c r="BF112" s="156">
        <f t="shared" si="40"/>
        <v>0</v>
      </c>
      <c r="BG112" s="158">
        <f t="shared" si="27"/>
        <v>0</v>
      </c>
    </row>
    <row r="113" spans="1:59" x14ac:dyDescent="0.25">
      <c r="B113" s="15" t="str">
        <f t="shared" si="18"/>
        <v>IND_OPER__</v>
      </c>
      <c r="C113" s="83">
        <f t="shared" si="21"/>
        <v>0</v>
      </c>
      <c r="D113" s="15" t="str">
        <f>IFERROR("QTD_REC_"&amp;VLOOKUP($J113,#REF!,7,0),"")</f>
        <v/>
      </c>
      <c r="F113" s="148"/>
      <c r="G113" s="149" t="str">
        <f>IFERROR(VLOOKUP(F113,#REF!,2,0),"")</f>
        <v/>
      </c>
      <c r="H113" s="150" t="str">
        <f>IFERROR(VLOOKUP(F113,#REF!,3,0),"")</f>
        <v/>
      </c>
      <c r="I113" s="151"/>
      <c r="J113" s="151"/>
      <c r="K113" s="150" t="str">
        <f>IFERROR(VLOOKUP($J113,#REF!,2,0),"")</f>
        <v/>
      </c>
      <c r="L113" s="150" t="str">
        <f t="shared" si="30"/>
        <v/>
      </c>
      <c r="M113" s="154"/>
      <c r="N113" s="182"/>
      <c r="O113" s="155"/>
      <c r="P113" s="156"/>
      <c r="Q113" s="156"/>
      <c r="R113" s="156"/>
      <c r="S113" s="156"/>
      <c r="T113" s="156"/>
      <c r="U113" s="156"/>
      <c r="V113" s="156"/>
      <c r="W113" s="156"/>
      <c r="X113" s="156"/>
      <c r="Y113" s="156"/>
      <c r="Z113" s="156"/>
      <c r="AA113" s="156"/>
      <c r="AB113" s="158">
        <f t="shared" si="37"/>
        <v>0</v>
      </c>
      <c r="AC113" s="159" t="s">
        <v>242</v>
      </c>
      <c r="AE113" s="160" t="str">
        <f t="shared" si="22"/>
        <v/>
      </c>
      <c r="AF113" s="161">
        <f t="shared" si="23"/>
        <v>0</v>
      </c>
      <c r="AG113" s="162">
        <f t="shared" si="23"/>
        <v>0</v>
      </c>
      <c r="AH113" s="162">
        <f t="shared" si="23"/>
        <v>0</v>
      </c>
      <c r="AI113" s="162">
        <f t="shared" si="23"/>
        <v>0</v>
      </c>
      <c r="AJ113" s="162">
        <f t="shared" si="23"/>
        <v>0</v>
      </c>
      <c r="AK113" s="162">
        <f t="shared" si="23"/>
        <v>0</v>
      </c>
      <c r="AL113" s="162">
        <f t="shared" si="23"/>
        <v>0</v>
      </c>
      <c r="AM113" s="162">
        <f t="shared" si="23"/>
        <v>0</v>
      </c>
      <c r="AN113" s="162">
        <f t="shared" si="23"/>
        <v>0</v>
      </c>
      <c r="AO113" s="162">
        <f t="shared" si="23"/>
        <v>0</v>
      </c>
      <c r="AP113" s="162">
        <f t="shared" si="23"/>
        <v>0</v>
      </c>
      <c r="AQ113" s="162">
        <f t="shared" si="23"/>
        <v>0</v>
      </c>
      <c r="AR113" s="163">
        <f t="shared" si="24"/>
        <v>0</v>
      </c>
      <c r="AT113" s="181" t="str">
        <f t="shared" si="25"/>
        <v/>
      </c>
      <c r="AU113" s="156">
        <f t="shared" si="25"/>
        <v>0</v>
      </c>
      <c r="AV113" s="156">
        <f t="shared" si="40"/>
        <v>0</v>
      </c>
      <c r="AW113" s="156">
        <f t="shared" si="40"/>
        <v>0</v>
      </c>
      <c r="AX113" s="156">
        <f t="shared" si="40"/>
        <v>0</v>
      </c>
      <c r="AY113" s="156">
        <f t="shared" si="40"/>
        <v>0</v>
      </c>
      <c r="AZ113" s="156">
        <f t="shared" si="40"/>
        <v>0</v>
      </c>
      <c r="BA113" s="156">
        <f t="shared" si="40"/>
        <v>0</v>
      </c>
      <c r="BB113" s="156">
        <f t="shared" si="40"/>
        <v>0</v>
      </c>
      <c r="BC113" s="156">
        <f t="shared" si="40"/>
        <v>0</v>
      </c>
      <c r="BD113" s="156">
        <f t="shared" si="40"/>
        <v>0</v>
      </c>
      <c r="BE113" s="156">
        <f t="shared" si="40"/>
        <v>0</v>
      </c>
      <c r="BF113" s="156">
        <f t="shared" si="40"/>
        <v>0</v>
      </c>
      <c r="BG113" s="158">
        <f t="shared" si="27"/>
        <v>0</v>
      </c>
    </row>
    <row r="114" spans="1:59" x14ac:dyDescent="0.25">
      <c r="B114" s="15" t="str">
        <f t="shared" si="18"/>
        <v>IND_OPER__</v>
      </c>
      <c r="C114" s="83">
        <f t="shared" si="21"/>
        <v>0</v>
      </c>
      <c r="D114" s="15" t="str">
        <f>IFERROR("QTD_REC_"&amp;VLOOKUP($J114,#REF!,7,0),"")</f>
        <v/>
      </c>
      <c r="F114" s="148"/>
      <c r="G114" s="149" t="str">
        <f>IFERROR(VLOOKUP(F114,#REF!,2,0),"")</f>
        <v/>
      </c>
      <c r="H114" s="150" t="str">
        <f>IFERROR(VLOOKUP(F114,#REF!,3,0),"")</f>
        <v/>
      </c>
      <c r="I114" s="151"/>
      <c r="J114" s="151"/>
      <c r="K114" s="150" t="str">
        <f>IFERROR(VLOOKUP($J114,#REF!,2,0),"")</f>
        <v/>
      </c>
      <c r="L114" s="150" t="str">
        <f t="shared" si="30"/>
        <v/>
      </c>
      <c r="M114" s="154"/>
      <c r="N114" s="182"/>
      <c r="O114" s="155"/>
      <c r="P114" s="156"/>
      <c r="Q114" s="156"/>
      <c r="R114" s="156"/>
      <c r="S114" s="156"/>
      <c r="T114" s="156"/>
      <c r="U114" s="156"/>
      <c r="V114" s="156"/>
      <c r="W114" s="156"/>
      <c r="X114" s="156"/>
      <c r="Y114" s="156"/>
      <c r="Z114" s="156"/>
      <c r="AA114" s="156"/>
      <c r="AB114" s="158">
        <f t="shared" si="37"/>
        <v>0</v>
      </c>
      <c r="AC114" s="159" t="s">
        <v>242</v>
      </c>
      <c r="AE114" s="160" t="str">
        <f t="shared" si="22"/>
        <v/>
      </c>
      <c r="AF114" s="161">
        <f t="shared" si="23"/>
        <v>0</v>
      </c>
      <c r="AG114" s="162">
        <f t="shared" si="23"/>
        <v>0</v>
      </c>
      <c r="AH114" s="162">
        <f t="shared" si="23"/>
        <v>0</v>
      </c>
      <c r="AI114" s="162">
        <f t="shared" si="23"/>
        <v>0</v>
      </c>
      <c r="AJ114" s="162">
        <f t="shared" si="23"/>
        <v>0</v>
      </c>
      <c r="AK114" s="162">
        <f t="shared" si="23"/>
        <v>0</v>
      </c>
      <c r="AL114" s="162">
        <f t="shared" si="23"/>
        <v>0</v>
      </c>
      <c r="AM114" s="162">
        <f t="shared" si="23"/>
        <v>0</v>
      </c>
      <c r="AN114" s="162">
        <f t="shared" si="23"/>
        <v>0</v>
      </c>
      <c r="AO114" s="162">
        <f t="shared" si="23"/>
        <v>0</v>
      </c>
      <c r="AP114" s="162">
        <f t="shared" si="23"/>
        <v>0</v>
      </c>
      <c r="AQ114" s="162">
        <f t="shared" si="23"/>
        <v>0</v>
      </c>
      <c r="AR114" s="163">
        <f t="shared" si="24"/>
        <v>0</v>
      </c>
      <c r="AT114" s="181" t="str">
        <f t="shared" si="25"/>
        <v/>
      </c>
      <c r="AU114" s="156">
        <f t="shared" si="25"/>
        <v>0</v>
      </c>
      <c r="AV114" s="156">
        <f t="shared" si="40"/>
        <v>0</v>
      </c>
      <c r="AW114" s="156">
        <f t="shared" si="40"/>
        <v>0</v>
      </c>
      <c r="AX114" s="156">
        <f t="shared" si="40"/>
        <v>0</v>
      </c>
      <c r="AY114" s="156">
        <f t="shared" si="40"/>
        <v>0</v>
      </c>
      <c r="AZ114" s="156">
        <f t="shared" si="40"/>
        <v>0</v>
      </c>
      <c r="BA114" s="156">
        <f t="shared" si="40"/>
        <v>0</v>
      </c>
      <c r="BB114" s="156">
        <f t="shared" si="40"/>
        <v>0</v>
      </c>
      <c r="BC114" s="156">
        <f t="shared" si="40"/>
        <v>0</v>
      </c>
      <c r="BD114" s="156">
        <f t="shared" si="40"/>
        <v>0</v>
      </c>
      <c r="BE114" s="156">
        <f t="shared" si="40"/>
        <v>0</v>
      </c>
      <c r="BF114" s="156">
        <f t="shared" si="40"/>
        <v>0</v>
      </c>
      <c r="BG114" s="158">
        <f t="shared" si="27"/>
        <v>0</v>
      </c>
    </row>
    <row r="115" spans="1:59" x14ac:dyDescent="0.25">
      <c r="A115" s="14"/>
      <c r="B115" s="15" t="str">
        <f t="shared" si="18"/>
        <v>IND_OPER__</v>
      </c>
      <c r="C115" s="83">
        <f t="shared" si="21"/>
        <v>0</v>
      </c>
      <c r="D115" s="15" t="str">
        <f>IFERROR("QTD_REC_"&amp;VLOOKUP($J115,#REF!,7,0),"")</f>
        <v/>
      </c>
      <c r="E115" s="14"/>
      <c r="F115" s="148"/>
      <c r="G115" s="149" t="str">
        <f>IFERROR(VLOOKUP(F115,#REF!,2,0),"")</f>
        <v/>
      </c>
      <c r="H115" s="150" t="str">
        <f>IFERROR(VLOOKUP(F115,#REF!,3,0),"")</f>
        <v/>
      </c>
      <c r="I115" s="151"/>
      <c r="J115" s="151"/>
      <c r="K115" s="150" t="str">
        <f>IFERROR(VLOOKUP($J115,#REF!,2,0),"")</f>
        <v/>
      </c>
      <c r="L115" s="150" t="str">
        <f t="shared" si="30"/>
        <v/>
      </c>
      <c r="M115" s="154"/>
      <c r="N115" s="180"/>
      <c r="O115" s="155"/>
      <c r="P115" s="156"/>
      <c r="Q115" s="156"/>
      <c r="R115" s="156"/>
      <c r="S115" s="156"/>
      <c r="T115" s="156"/>
      <c r="U115" s="156"/>
      <c r="V115" s="156"/>
      <c r="W115" s="156"/>
      <c r="X115" s="156"/>
      <c r="Y115" s="156"/>
      <c r="Z115" s="156"/>
      <c r="AA115" s="156"/>
      <c r="AB115" s="158">
        <f t="shared" si="37"/>
        <v>0</v>
      </c>
      <c r="AC115" s="159"/>
      <c r="AE115" s="160" t="str">
        <f t="shared" si="22"/>
        <v/>
      </c>
      <c r="AF115" s="161">
        <f t="shared" si="23"/>
        <v>0</v>
      </c>
      <c r="AG115" s="162">
        <f t="shared" si="23"/>
        <v>0</v>
      </c>
      <c r="AH115" s="162">
        <f t="shared" si="23"/>
        <v>0</v>
      </c>
      <c r="AI115" s="162">
        <f t="shared" si="23"/>
        <v>0</v>
      </c>
      <c r="AJ115" s="162">
        <f t="shared" si="23"/>
        <v>0</v>
      </c>
      <c r="AK115" s="162">
        <f t="shared" si="23"/>
        <v>0</v>
      </c>
      <c r="AL115" s="162">
        <f t="shared" si="23"/>
        <v>0</v>
      </c>
      <c r="AM115" s="162">
        <f t="shared" si="23"/>
        <v>0</v>
      </c>
      <c r="AN115" s="162">
        <f t="shared" si="23"/>
        <v>0</v>
      </c>
      <c r="AO115" s="162">
        <f t="shared" si="23"/>
        <v>0</v>
      </c>
      <c r="AP115" s="162">
        <f t="shared" si="23"/>
        <v>0</v>
      </c>
      <c r="AQ115" s="162">
        <f t="shared" si="23"/>
        <v>0</v>
      </c>
      <c r="AR115" s="163">
        <f t="shared" si="24"/>
        <v>0</v>
      </c>
      <c r="AT115" s="181" t="str">
        <f t="shared" si="25"/>
        <v/>
      </c>
      <c r="AU115" s="156">
        <f t="shared" si="25"/>
        <v>0</v>
      </c>
      <c r="AV115" s="156">
        <f t="shared" si="40"/>
        <v>0</v>
      </c>
      <c r="AW115" s="156">
        <f t="shared" si="40"/>
        <v>0</v>
      </c>
      <c r="AX115" s="156">
        <f t="shared" si="40"/>
        <v>0</v>
      </c>
      <c r="AY115" s="156">
        <f t="shared" si="40"/>
        <v>0</v>
      </c>
      <c r="AZ115" s="156">
        <f t="shared" si="40"/>
        <v>0</v>
      </c>
      <c r="BA115" s="156">
        <f t="shared" si="40"/>
        <v>0</v>
      </c>
      <c r="BB115" s="156">
        <f t="shared" si="40"/>
        <v>0</v>
      </c>
      <c r="BC115" s="156">
        <f t="shared" si="40"/>
        <v>0</v>
      </c>
      <c r="BD115" s="156">
        <f t="shared" si="40"/>
        <v>0</v>
      </c>
      <c r="BE115" s="156">
        <f t="shared" si="40"/>
        <v>0</v>
      </c>
      <c r="BF115" s="156">
        <f t="shared" si="40"/>
        <v>0</v>
      </c>
      <c r="BG115" s="158">
        <f t="shared" si="27"/>
        <v>0</v>
      </c>
    </row>
    <row r="116" spans="1:59" x14ac:dyDescent="0.25">
      <c r="A116" s="14"/>
      <c r="B116" s="15" t="str">
        <f t="shared" si="18"/>
        <v>IND_OPER__</v>
      </c>
      <c r="C116" s="83">
        <f t="shared" si="21"/>
        <v>0</v>
      </c>
      <c r="D116" s="15" t="str">
        <f>IFERROR("QTD_REC_"&amp;VLOOKUP($J116,#REF!,7,0),"")</f>
        <v/>
      </c>
      <c r="E116" s="14"/>
      <c r="F116" s="148"/>
      <c r="G116" s="149" t="str">
        <f>IFERROR(VLOOKUP(F116,#REF!,2,0),"")</f>
        <v/>
      </c>
      <c r="H116" s="150" t="str">
        <f>IFERROR(VLOOKUP(F116,#REF!,3,0),"")</f>
        <v/>
      </c>
      <c r="I116" s="151"/>
      <c r="J116" s="151"/>
      <c r="K116" s="150" t="str">
        <f>IFERROR(VLOOKUP($J116,#REF!,2,0),"")</f>
        <v/>
      </c>
      <c r="L116" s="150" t="str">
        <f t="shared" si="30"/>
        <v/>
      </c>
      <c r="M116" s="154"/>
      <c r="N116" s="180"/>
      <c r="O116" s="155"/>
      <c r="P116" s="156"/>
      <c r="Q116" s="156"/>
      <c r="R116" s="156"/>
      <c r="S116" s="156"/>
      <c r="T116" s="156"/>
      <c r="U116" s="156"/>
      <c r="V116" s="156"/>
      <c r="W116" s="156"/>
      <c r="X116" s="156"/>
      <c r="Y116" s="156"/>
      <c r="Z116" s="156"/>
      <c r="AA116" s="156"/>
      <c r="AB116" s="158">
        <f t="shared" si="37"/>
        <v>0</v>
      </c>
      <c r="AC116" s="159" t="s">
        <v>243</v>
      </c>
      <c r="AE116" s="160" t="str">
        <f t="shared" si="22"/>
        <v/>
      </c>
      <c r="AF116" s="161">
        <f t="shared" si="23"/>
        <v>0</v>
      </c>
      <c r="AG116" s="162">
        <f t="shared" si="23"/>
        <v>0</v>
      </c>
      <c r="AH116" s="162">
        <f t="shared" si="23"/>
        <v>0</v>
      </c>
      <c r="AI116" s="162">
        <f t="shared" si="23"/>
        <v>0</v>
      </c>
      <c r="AJ116" s="162">
        <f t="shared" si="23"/>
        <v>0</v>
      </c>
      <c r="AK116" s="162">
        <f t="shared" si="23"/>
        <v>0</v>
      </c>
      <c r="AL116" s="162">
        <f t="shared" si="23"/>
        <v>0</v>
      </c>
      <c r="AM116" s="162">
        <f t="shared" si="23"/>
        <v>0</v>
      </c>
      <c r="AN116" s="162">
        <f t="shared" si="23"/>
        <v>0</v>
      </c>
      <c r="AO116" s="162">
        <f t="shared" si="23"/>
        <v>0</v>
      </c>
      <c r="AP116" s="162">
        <f t="shared" si="23"/>
        <v>0</v>
      </c>
      <c r="AQ116" s="162">
        <f t="shared" si="23"/>
        <v>0</v>
      </c>
      <c r="AR116" s="163">
        <f t="shared" si="24"/>
        <v>0</v>
      </c>
      <c r="AT116" s="181" t="str">
        <f t="shared" si="25"/>
        <v/>
      </c>
      <c r="AU116" s="156">
        <f t="shared" si="25"/>
        <v>0</v>
      </c>
      <c r="AV116" s="156">
        <f t="shared" si="40"/>
        <v>0</v>
      </c>
      <c r="AW116" s="156">
        <f t="shared" si="40"/>
        <v>0</v>
      </c>
      <c r="AX116" s="156">
        <f t="shared" si="40"/>
        <v>0</v>
      </c>
      <c r="AY116" s="156">
        <f t="shared" si="40"/>
        <v>0</v>
      </c>
      <c r="AZ116" s="156">
        <f t="shared" si="40"/>
        <v>0</v>
      </c>
      <c r="BA116" s="156">
        <f t="shared" si="40"/>
        <v>0</v>
      </c>
      <c r="BB116" s="156">
        <f t="shared" si="40"/>
        <v>0</v>
      </c>
      <c r="BC116" s="156">
        <f t="shared" si="40"/>
        <v>0</v>
      </c>
      <c r="BD116" s="156">
        <f t="shared" si="40"/>
        <v>0</v>
      </c>
      <c r="BE116" s="156">
        <f t="shared" si="40"/>
        <v>0</v>
      </c>
      <c r="BF116" s="156">
        <f t="shared" si="40"/>
        <v>0</v>
      </c>
      <c r="BG116" s="158">
        <f t="shared" si="27"/>
        <v>0</v>
      </c>
    </row>
    <row r="117" spans="1:59" x14ac:dyDescent="0.25">
      <c r="A117" s="14"/>
      <c r="B117" s="15" t="str">
        <f t="shared" si="18"/>
        <v>IND_OPER__</v>
      </c>
      <c r="C117" s="83">
        <f t="shared" si="21"/>
        <v>0</v>
      </c>
      <c r="D117" s="15" t="str">
        <f>IFERROR("QTD_REC_"&amp;VLOOKUP($J117,#REF!,7,0),"")</f>
        <v/>
      </c>
      <c r="E117" s="14"/>
      <c r="F117" s="148"/>
      <c r="G117" s="149"/>
      <c r="H117" s="150"/>
      <c r="I117" s="151"/>
      <c r="J117" s="151"/>
      <c r="K117" s="150"/>
      <c r="L117" s="150"/>
      <c r="M117" s="154"/>
      <c r="N117" s="180"/>
      <c r="O117" s="155"/>
      <c r="P117" s="156"/>
      <c r="Q117" s="156"/>
      <c r="R117" s="156"/>
      <c r="S117" s="156"/>
      <c r="T117" s="156"/>
      <c r="U117" s="156"/>
      <c r="V117" s="156"/>
      <c r="W117" s="156"/>
      <c r="X117" s="156"/>
      <c r="Y117" s="156"/>
      <c r="Z117" s="156"/>
      <c r="AA117" s="156"/>
      <c r="AB117" s="158">
        <f t="shared" si="37"/>
        <v>0</v>
      </c>
      <c r="AC117" s="159"/>
      <c r="AE117" s="160" t="str">
        <f t="shared" si="22"/>
        <v/>
      </c>
      <c r="AF117" s="161">
        <f t="shared" si="23"/>
        <v>0</v>
      </c>
      <c r="AG117" s="162">
        <f t="shared" si="23"/>
        <v>0</v>
      </c>
      <c r="AH117" s="162">
        <f t="shared" si="23"/>
        <v>0</v>
      </c>
      <c r="AI117" s="162">
        <f t="shared" si="23"/>
        <v>0</v>
      </c>
      <c r="AJ117" s="162">
        <f t="shared" si="23"/>
        <v>0</v>
      </c>
      <c r="AK117" s="162">
        <f t="shared" si="23"/>
        <v>0</v>
      </c>
      <c r="AL117" s="162">
        <f t="shared" si="23"/>
        <v>0</v>
      </c>
      <c r="AM117" s="162">
        <f t="shared" si="23"/>
        <v>0</v>
      </c>
      <c r="AN117" s="162">
        <f t="shared" si="23"/>
        <v>0</v>
      </c>
      <c r="AO117" s="162">
        <f t="shared" si="23"/>
        <v>0</v>
      </c>
      <c r="AP117" s="162">
        <f t="shared" si="23"/>
        <v>0</v>
      </c>
      <c r="AQ117" s="162">
        <f t="shared" si="23"/>
        <v>0</v>
      </c>
      <c r="AR117" s="163">
        <f t="shared" si="24"/>
        <v>0</v>
      </c>
      <c r="AT117" s="181">
        <f t="shared" si="25"/>
        <v>0</v>
      </c>
      <c r="AU117" s="156">
        <f t="shared" si="25"/>
        <v>0</v>
      </c>
      <c r="AV117" s="156">
        <f t="shared" si="40"/>
        <v>0</v>
      </c>
      <c r="AW117" s="156">
        <f t="shared" si="40"/>
        <v>0</v>
      </c>
      <c r="AX117" s="156">
        <f t="shared" si="40"/>
        <v>0</v>
      </c>
      <c r="AY117" s="156">
        <f t="shared" si="40"/>
        <v>0</v>
      </c>
      <c r="AZ117" s="156">
        <f t="shared" si="40"/>
        <v>0</v>
      </c>
      <c r="BA117" s="156">
        <f t="shared" si="40"/>
        <v>0</v>
      </c>
      <c r="BB117" s="156">
        <f t="shared" si="40"/>
        <v>0</v>
      </c>
      <c r="BC117" s="156">
        <f t="shared" si="40"/>
        <v>0</v>
      </c>
      <c r="BD117" s="156">
        <f t="shared" si="40"/>
        <v>0</v>
      </c>
      <c r="BE117" s="156">
        <f t="shared" si="40"/>
        <v>0</v>
      </c>
      <c r="BF117" s="156">
        <f t="shared" si="40"/>
        <v>0</v>
      </c>
      <c r="BG117" s="158">
        <f t="shared" si="27"/>
        <v>0</v>
      </c>
    </row>
    <row r="118" spans="1:59" x14ac:dyDescent="0.25">
      <c r="A118" s="14"/>
      <c r="B118" s="15" t="str">
        <f t="shared" si="18"/>
        <v>IND_OPER__</v>
      </c>
      <c r="C118" s="83">
        <f t="shared" si="21"/>
        <v>0</v>
      </c>
      <c r="D118" s="15" t="str">
        <f>IFERROR("QTD_REC_"&amp;VLOOKUP($J118,#REF!,7,0),"")</f>
        <v/>
      </c>
      <c r="E118" s="14"/>
      <c r="F118" s="148"/>
      <c r="G118" s="149"/>
      <c r="H118" s="150"/>
      <c r="I118" s="151"/>
      <c r="J118" s="151"/>
      <c r="K118" s="150"/>
      <c r="L118" s="150"/>
      <c r="M118" s="154"/>
      <c r="N118" s="180"/>
      <c r="O118" s="155"/>
      <c r="P118" s="156"/>
      <c r="Q118" s="156"/>
      <c r="R118" s="156"/>
      <c r="S118" s="156"/>
      <c r="T118" s="156"/>
      <c r="U118" s="156"/>
      <c r="V118" s="156"/>
      <c r="W118" s="156"/>
      <c r="X118" s="156"/>
      <c r="Y118" s="156"/>
      <c r="Z118" s="156"/>
      <c r="AA118" s="156"/>
      <c r="AB118" s="158">
        <f t="shared" si="37"/>
        <v>0</v>
      </c>
      <c r="AC118" s="159"/>
      <c r="AE118" s="160" t="str">
        <f t="shared" si="22"/>
        <v/>
      </c>
      <c r="AF118" s="161">
        <f t="shared" si="23"/>
        <v>0</v>
      </c>
      <c r="AG118" s="162">
        <f t="shared" si="23"/>
        <v>0</v>
      </c>
      <c r="AH118" s="162">
        <f t="shared" si="23"/>
        <v>0</v>
      </c>
      <c r="AI118" s="162">
        <f t="shared" si="23"/>
        <v>0</v>
      </c>
      <c r="AJ118" s="162">
        <f t="shared" si="23"/>
        <v>0</v>
      </c>
      <c r="AK118" s="162">
        <f t="shared" si="23"/>
        <v>0</v>
      </c>
      <c r="AL118" s="162">
        <f t="shared" si="23"/>
        <v>0</v>
      </c>
      <c r="AM118" s="162">
        <f t="shared" si="23"/>
        <v>0</v>
      </c>
      <c r="AN118" s="162">
        <f t="shared" si="23"/>
        <v>0</v>
      </c>
      <c r="AO118" s="162">
        <f t="shared" si="23"/>
        <v>0</v>
      </c>
      <c r="AP118" s="162">
        <f t="shared" si="23"/>
        <v>0</v>
      </c>
      <c r="AQ118" s="162">
        <f t="shared" si="23"/>
        <v>0</v>
      </c>
      <c r="AR118" s="163">
        <f t="shared" si="24"/>
        <v>0</v>
      </c>
      <c r="AT118" s="181">
        <f t="shared" si="25"/>
        <v>0</v>
      </c>
      <c r="AU118" s="156">
        <f t="shared" si="25"/>
        <v>0</v>
      </c>
      <c r="AV118" s="156">
        <f t="shared" si="40"/>
        <v>0</v>
      </c>
      <c r="AW118" s="156">
        <f t="shared" si="40"/>
        <v>0</v>
      </c>
      <c r="AX118" s="156">
        <f t="shared" si="40"/>
        <v>0</v>
      </c>
      <c r="AY118" s="156">
        <f t="shared" si="40"/>
        <v>0</v>
      </c>
      <c r="AZ118" s="156">
        <f t="shared" si="40"/>
        <v>0</v>
      </c>
      <c r="BA118" s="156">
        <f t="shared" si="40"/>
        <v>0</v>
      </c>
      <c r="BB118" s="156">
        <f t="shared" si="40"/>
        <v>0</v>
      </c>
      <c r="BC118" s="156">
        <f t="shared" si="40"/>
        <v>0</v>
      </c>
      <c r="BD118" s="156">
        <f t="shared" si="40"/>
        <v>0</v>
      </c>
      <c r="BE118" s="156">
        <f t="shared" si="40"/>
        <v>0</v>
      </c>
      <c r="BF118" s="156">
        <f t="shared" si="40"/>
        <v>0</v>
      </c>
      <c r="BG118" s="158">
        <f t="shared" si="27"/>
        <v>0</v>
      </c>
    </row>
    <row r="119" spans="1:59" x14ac:dyDescent="0.25">
      <c r="A119" s="14"/>
      <c r="B119" s="15" t="str">
        <f t="shared" si="18"/>
        <v>IND_OPER__</v>
      </c>
      <c r="C119" s="83">
        <f t="shared" si="21"/>
        <v>0</v>
      </c>
      <c r="D119" s="15" t="str">
        <f>IFERROR("QTD_REC_"&amp;VLOOKUP($J119,#REF!,7,0),"")</f>
        <v/>
      </c>
      <c r="E119" s="14"/>
      <c r="F119" s="148"/>
      <c r="G119" s="149" t="str">
        <f>IFERROR(VLOOKUP(F119,#REF!,2,0),"")</f>
        <v/>
      </c>
      <c r="H119" s="150" t="str">
        <f>IFERROR(VLOOKUP(F119,#REF!,3,0),"")</f>
        <v/>
      </c>
      <c r="I119" s="151"/>
      <c r="J119" s="151"/>
      <c r="K119" s="150" t="str">
        <f>IFERROR(VLOOKUP($J119,#REF!,2,0),"")</f>
        <v/>
      </c>
      <c r="L119" s="150" t="str">
        <f t="shared" si="30"/>
        <v/>
      </c>
      <c r="M119" s="154"/>
      <c r="N119" s="180"/>
      <c r="O119" s="155"/>
      <c r="P119" s="156"/>
      <c r="Q119" s="156"/>
      <c r="R119" s="156"/>
      <c r="S119" s="156"/>
      <c r="T119" s="156"/>
      <c r="U119" s="156"/>
      <c r="V119" s="156"/>
      <c r="W119" s="156"/>
      <c r="X119" s="156"/>
      <c r="Y119" s="156"/>
      <c r="Z119" s="156"/>
      <c r="AA119" s="156"/>
      <c r="AB119" s="158">
        <f t="shared" si="37"/>
        <v>0</v>
      </c>
      <c r="AC119" s="159"/>
      <c r="AE119" s="160" t="str">
        <f t="shared" si="22"/>
        <v/>
      </c>
      <c r="AF119" s="161">
        <f t="shared" si="23"/>
        <v>0</v>
      </c>
      <c r="AG119" s="162">
        <f t="shared" si="23"/>
        <v>0</v>
      </c>
      <c r="AH119" s="162">
        <f t="shared" si="23"/>
        <v>0</v>
      </c>
      <c r="AI119" s="162">
        <f t="shared" si="23"/>
        <v>0</v>
      </c>
      <c r="AJ119" s="162">
        <f t="shared" si="23"/>
        <v>0</v>
      </c>
      <c r="AK119" s="162">
        <f t="shared" si="23"/>
        <v>0</v>
      </c>
      <c r="AL119" s="162">
        <f t="shared" si="23"/>
        <v>0</v>
      </c>
      <c r="AM119" s="162">
        <f t="shared" si="23"/>
        <v>0</v>
      </c>
      <c r="AN119" s="162">
        <f t="shared" si="23"/>
        <v>0</v>
      </c>
      <c r="AO119" s="162">
        <f t="shared" si="23"/>
        <v>0</v>
      </c>
      <c r="AP119" s="162">
        <f t="shared" si="23"/>
        <v>0</v>
      </c>
      <c r="AQ119" s="162">
        <f t="shared" si="23"/>
        <v>0</v>
      </c>
      <c r="AR119" s="163">
        <f t="shared" si="24"/>
        <v>0</v>
      </c>
      <c r="AT119" s="181" t="str">
        <f t="shared" si="25"/>
        <v/>
      </c>
      <c r="AU119" s="156">
        <f t="shared" si="25"/>
        <v>0</v>
      </c>
      <c r="AV119" s="156">
        <f t="shared" si="40"/>
        <v>0</v>
      </c>
      <c r="AW119" s="156">
        <f t="shared" si="40"/>
        <v>0</v>
      </c>
      <c r="AX119" s="156">
        <f t="shared" si="40"/>
        <v>0</v>
      </c>
      <c r="AY119" s="156">
        <f t="shared" si="40"/>
        <v>0</v>
      </c>
      <c r="AZ119" s="156">
        <f t="shared" si="40"/>
        <v>0</v>
      </c>
      <c r="BA119" s="156">
        <f t="shared" si="40"/>
        <v>0</v>
      </c>
      <c r="BB119" s="156">
        <f t="shared" si="40"/>
        <v>0</v>
      </c>
      <c r="BC119" s="156">
        <f t="shared" si="40"/>
        <v>0</v>
      </c>
      <c r="BD119" s="156">
        <f t="shared" si="40"/>
        <v>0</v>
      </c>
      <c r="BE119" s="156">
        <f t="shared" si="40"/>
        <v>0</v>
      </c>
      <c r="BF119" s="156">
        <f t="shared" si="40"/>
        <v>0</v>
      </c>
      <c r="BG119" s="158">
        <f t="shared" si="27"/>
        <v>0</v>
      </c>
    </row>
    <row r="120" spans="1:59" x14ac:dyDescent="0.25">
      <c r="A120" s="14"/>
      <c r="B120" s="15" t="str">
        <f t="shared" si="18"/>
        <v>IND_OPER__</v>
      </c>
      <c r="C120" s="83">
        <f t="shared" si="21"/>
        <v>0</v>
      </c>
      <c r="D120" s="15" t="str">
        <f>IFERROR("QTD_REC_"&amp;VLOOKUP($J120,#REF!,7,0),"")</f>
        <v/>
      </c>
      <c r="E120" s="14"/>
      <c r="F120" s="148"/>
      <c r="G120" s="149" t="str">
        <f>IFERROR(VLOOKUP(F120,#REF!,2,0),"")</f>
        <v/>
      </c>
      <c r="H120" s="150" t="str">
        <f>IFERROR(VLOOKUP(F120,#REF!,3,0),"")</f>
        <v/>
      </c>
      <c r="I120" s="151"/>
      <c r="J120" s="151"/>
      <c r="K120" s="150" t="str">
        <f>IFERROR(VLOOKUP($J120,#REF!,2,0),"")</f>
        <v/>
      </c>
      <c r="L120" s="150" t="str">
        <f t="shared" si="30"/>
        <v/>
      </c>
      <c r="M120" s="154"/>
      <c r="N120" s="180"/>
      <c r="O120" s="155"/>
      <c r="P120" s="156"/>
      <c r="Q120" s="156"/>
      <c r="R120" s="156"/>
      <c r="S120" s="156"/>
      <c r="T120" s="156"/>
      <c r="U120" s="156"/>
      <c r="V120" s="156"/>
      <c r="W120" s="156"/>
      <c r="X120" s="156"/>
      <c r="Y120" s="156"/>
      <c r="Z120" s="156"/>
      <c r="AA120" s="156"/>
      <c r="AB120" s="158">
        <f t="shared" si="37"/>
        <v>0</v>
      </c>
      <c r="AC120" s="159"/>
      <c r="AE120" s="160" t="str">
        <f t="shared" si="22"/>
        <v/>
      </c>
      <c r="AF120" s="161">
        <f t="shared" si="23"/>
        <v>0</v>
      </c>
      <c r="AG120" s="162">
        <f t="shared" si="23"/>
        <v>0</v>
      </c>
      <c r="AH120" s="162">
        <f t="shared" si="23"/>
        <v>0</v>
      </c>
      <c r="AI120" s="162">
        <f t="shared" si="23"/>
        <v>0</v>
      </c>
      <c r="AJ120" s="162">
        <f t="shared" si="23"/>
        <v>0</v>
      </c>
      <c r="AK120" s="162">
        <f t="shared" si="23"/>
        <v>0</v>
      </c>
      <c r="AL120" s="162">
        <f t="shared" si="23"/>
        <v>0</v>
      </c>
      <c r="AM120" s="162">
        <f t="shared" si="23"/>
        <v>0</v>
      </c>
      <c r="AN120" s="162">
        <f t="shared" si="23"/>
        <v>0</v>
      </c>
      <c r="AO120" s="162">
        <f t="shared" si="23"/>
        <v>0</v>
      </c>
      <c r="AP120" s="162">
        <f t="shared" si="23"/>
        <v>0</v>
      </c>
      <c r="AQ120" s="162">
        <f t="shared" si="23"/>
        <v>0</v>
      </c>
      <c r="AR120" s="163">
        <f t="shared" si="24"/>
        <v>0</v>
      </c>
      <c r="AT120" s="181" t="str">
        <f t="shared" si="25"/>
        <v/>
      </c>
      <c r="AU120" s="156">
        <f t="shared" si="25"/>
        <v>0</v>
      </c>
      <c r="AV120" s="156">
        <f t="shared" si="40"/>
        <v>0</v>
      </c>
      <c r="AW120" s="156">
        <f t="shared" si="40"/>
        <v>0</v>
      </c>
      <c r="AX120" s="156">
        <f t="shared" si="40"/>
        <v>0</v>
      </c>
      <c r="AY120" s="156">
        <f t="shared" si="40"/>
        <v>0</v>
      </c>
      <c r="AZ120" s="156">
        <f t="shared" si="40"/>
        <v>0</v>
      </c>
      <c r="BA120" s="156">
        <f t="shared" si="40"/>
        <v>0</v>
      </c>
      <c r="BB120" s="156">
        <f t="shared" si="40"/>
        <v>0</v>
      </c>
      <c r="BC120" s="156">
        <f t="shared" si="40"/>
        <v>0</v>
      </c>
      <c r="BD120" s="156">
        <f t="shared" si="40"/>
        <v>0</v>
      </c>
      <c r="BE120" s="156">
        <f t="shared" si="40"/>
        <v>0</v>
      </c>
      <c r="BF120" s="156">
        <f t="shared" si="40"/>
        <v>0</v>
      </c>
      <c r="BG120" s="158">
        <f t="shared" si="27"/>
        <v>0</v>
      </c>
    </row>
    <row r="121" spans="1:59" x14ac:dyDescent="0.25">
      <c r="A121" s="14"/>
      <c r="B121" s="15" t="str">
        <f t="shared" si="18"/>
        <v>IND_OPER__</v>
      </c>
      <c r="C121" s="83">
        <f t="shared" si="21"/>
        <v>0</v>
      </c>
      <c r="D121" s="15" t="str">
        <f>IFERROR("QTD_REC_"&amp;VLOOKUP($J121,#REF!,7,0),"")</f>
        <v/>
      </c>
      <c r="E121" s="14"/>
      <c r="F121" s="148"/>
      <c r="G121" s="149" t="str">
        <f>IFERROR(VLOOKUP(F121,#REF!,2,0),"")</f>
        <v/>
      </c>
      <c r="H121" s="150" t="str">
        <f>IFERROR(VLOOKUP(F121,#REF!,3,0),"")</f>
        <v/>
      </c>
      <c r="I121" s="151"/>
      <c r="J121" s="151"/>
      <c r="K121" s="150" t="str">
        <f>IFERROR(VLOOKUP($J121,#REF!,2,0),"")</f>
        <v/>
      </c>
      <c r="L121" s="150" t="str">
        <f t="shared" si="30"/>
        <v/>
      </c>
      <c r="M121" s="154"/>
      <c r="N121" s="180"/>
      <c r="O121" s="155"/>
      <c r="P121" s="156"/>
      <c r="Q121" s="156"/>
      <c r="R121" s="156"/>
      <c r="S121" s="156"/>
      <c r="T121" s="156"/>
      <c r="U121" s="156"/>
      <c r="V121" s="156"/>
      <c r="W121" s="156"/>
      <c r="X121" s="156"/>
      <c r="Y121" s="156"/>
      <c r="Z121" s="156"/>
      <c r="AA121" s="156"/>
      <c r="AB121" s="158">
        <f t="shared" si="37"/>
        <v>0</v>
      </c>
      <c r="AC121" s="159"/>
      <c r="AE121" s="160" t="str">
        <f t="shared" si="22"/>
        <v/>
      </c>
      <c r="AF121" s="161">
        <f t="shared" si="23"/>
        <v>0</v>
      </c>
      <c r="AG121" s="162">
        <f t="shared" si="23"/>
        <v>0</v>
      </c>
      <c r="AH121" s="162">
        <f t="shared" si="23"/>
        <v>0</v>
      </c>
      <c r="AI121" s="162">
        <f t="shared" si="23"/>
        <v>0</v>
      </c>
      <c r="AJ121" s="162">
        <f t="shared" si="23"/>
        <v>0</v>
      </c>
      <c r="AK121" s="162">
        <f t="shared" si="23"/>
        <v>0</v>
      </c>
      <c r="AL121" s="162">
        <f t="shared" si="23"/>
        <v>0</v>
      </c>
      <c r="AM121" s="162">
        <f t="shared" si="23"/>
        <v>0</v>
      </c>
      <c r="AN121" s="162">
        <f t="shared" si="23"/>
        <v>0</v>
      </c>
      <c r="AO121" s="162">
        <f t="shared" si="23"/>
        <v>0</v>
      </c>
      <c r="AP121" s="162">
        <f t="shared" si="23"/>
        <v>0</v>
      </c>
      <c r="AQ121" s="162">
        <f t="shared" si="23"/>
        <v>0</v>
      </c>
      <c r="AR121" s="163">
        <f t="shared" si="24"/>
        <v>0</v>
      </c>
      <c r="AT121" s="181" t="str">
        <f t="shared" si="25"/>
        <v/>
      </c>
      <c r="AU121" s="156">
        <f t="shared" si="25"/>
        <v>0</v>
      </c>
      <c r="AV121" s="156">
        <f t="shared" si="40"/>
        <v>0</v>
      </c>
      <c r="AW121" s="156">
        <f t="shared" si="40"/>
        <v>0</v>
      </c>
      <c r="AX121" s="156">
        <f t="shared" si="40"/>
        <v>0</v>
      </c>
      <c r="AY121" s="156">
        <f t="shared" si="40"/>
        <v>0</v>
      </c>
      <c r="AZ121" s="156">
        <f t="shared" si="40"/>
        <v>0</v>
      </c>
      <c r="BA121" s="156">
        <f t="shared" si="40"/>
        <v>0</v>
      </c>
      <c r="BB121" s="156">
        <f t="shared" si="40"/>
        <v>0</v>
      </c>
      <c r="BC121" s="156">
        <f t="shared" si="40"/>
        <v>0</v>
      </c>
      <c r="BD121" s="156">
        <f t="shared" si="40"/>
        <v>0</v>
      </c>
      <c r="BE121" s="156">
        <f t="shared" si="40"/>
        <v>0</v>
      </c>
      <c r="BF121" s="156">
        <f t="shared" si="40"/>
        <v>0</v>
      </c>
      <c r="BG121" s="158">
        <f t="shared" si="27"/>
        <v>0</v>
      </c>
    </row>
    <row r="122" spans="1:59" x14ac:dyDescent="0.25">
      <c r="A122" s="14"/>
      <c r="B122" s="15" t="str">
        <f t="shared" si="18"/>
        <v>IND_OPER__</v>
      </c>
      <c r="C122" s="83">
        <f t="shared" si="21"/>
        <v>0</v>
      </c>
      <c r="D122" s="15" t="str">
        <f>IFERROR("QTD_REC_"&amp;VLOOKUP($J122,#REF!,7,0),"")</f>
        <v/>
      </c>
      <c r="E122" s="14"/>
      <c r="F122" s="148"/>
      <c r="G122" s="149" t="str">
        <f>IFERROR(VLOOKUP(F122,#REF!,2,0),"")</f>
        <v/>
      </c>
      <c r="H122" s="150" t="str">
        <f>IFERROR(VLOOKUP(F122,#REF!,3,0),"")</f>
        <v/>
      </c>
      <c r="I122" s="151"/>
      <c r="J122" s="151"/>
      <c r="K122" s="150" t="str">
        <f>IFERROR(VLOOKUP($J122,#REF!,2,0),"")</f>
        <v/>
      </c>
      <c r="L122" s="150" t="str">
        <f t="shared" si="30"/>
        <v/>
      </c>
      <c r="M122" s="154"/>
      <c r="N122" s="180"/>
      <c r="O122" s="155"/>
      <c r="P122" s="156"/>
      <c r="Q122" s="156"/>
      <c r="R122" s="156"/>
      <c r="S122" s="156"/>
      <c r="T122" s="156"/>
      <c r="U122" s="156"/>
      <c r="V122" s="156"/>
      <c r="W122" s="156"/>
      <c r="X122" s="156"/>
      <c r="Y122" s="156"/>
      <c r="Z122" s="156"/>
      <c r="AA122" s="156"/>
      <c r="AB122" s="158">
        <f t="shared" si="37"/>
        <v>0</v>
      </c>
      <c r="AC122" s="159"/>
      <c r="AE122" s="160" t="str">
        <f t="shared" si="22"/>
        <v/>
      </c>
      <c r="AF122" s="161">
        <f t="shared" si="23"/>
        <v>0</v>
      </c>
      <c r="AG122" s="162">
        <f t="shared" si="23"/>
        <v>0</v>
      </c>
      <c r="AH122" s="162">
        <f t="shared" si="23"/>
        <v>0</v>
      </c>
      <c r="AI122" s="162">
        <f t="shared" si="23"/>
        <v>0</v>
      </c>
      <c r="AJ122" s="162">
        <f t="shared" si="23"/>
        <v>0</v>
      </c>
      <c r="AK122" s="162">
        <f t="shared" si="23"/>
        <v>0</v>
      </c>
      <c r="AL122" s="162">
        <f t="shared" si="23"/>
        <v>0</v>
      </c>
      <c r="AM122" s="162">
        <f t="shared" si="23"/>
        <v>0</v>
      </c>
      <c r="AN122" s="162">
        <f t="shared" si="23"/>
        <v>0</v>
      </c>
      <c r="AO122" s="162">
        <f t="shared" si="23"/>
        <v>0</v>
      </c>
      <c r="AP122" s="162">
        <f t="shared" si="23"/>
        <v>0</v>
      </c>
      <c r="AQ122" s="162">
        <f t="shared" si="23"/>
        <v>0</v>
      </c>
      <c r="AR122" s="163">
        <f t="shared" si="24"/>
        <v>0</v>
      </c>
      <c r="AT122" s="181" t="str">
        <f t="shared" si="25"/>
        <v/>
      </c>
      <c r="AU122" s="156">
        <f t="shared" si="25"/>
        <v>0</v>
      </c>
      <c r="AV122" s="156">
        <f t="shared" si="40"/>
        <v>0</v>
      </c>
      <c r="AW122" s="156">
        <f t="shared" si="40"/>
        <v>0</v>
      </c>
      <c r="AX122" s="156">
        <f t="shared" si="40"/>
        <v>0</v>
      </c>
      <c r="AY122" s="156">
        <f t="shared" si="40"/>
        <v>0</v>
      </c>
      <c r="AZ122" s="156">
        <f t="shared" si="40"/>
        <v>0</v>
      </c>
      <c r="BA122" s="156">
        <f t="shared" si="40"/>
        <v>0</v>
      </c>
      <c r="BB122" s="156">
        <f t="shared" si="40"/>
        <v>0</v>
      </c>
      <c r="BC122" s="156">
        <f t="shared" si="40"/>
        <v>0</v>
      </c>
      <c r="BD122" s="156">
        <f t="shared" si="40"/>
        <v>0</v>
      </c>
      <c r="BE122" s="156">
        <f t="shared" si="40"/>
        <v>0</v>
      </c>
      <c r="BF122" s="156">
        <f t="shared" si="40"/>
        <v>0</v>
      </c>
      <c r="BG122" s="158">
        <f t="shared" si="27"/>
        <v>0</v>
      </c>
    </row>
    <row r="123" spans="1:59" x14ac:dyDescent="0.25">
      <c r="A123" s="14"/>
      <c r="B123" s="15" t="str">
        <f t="shared" si="18"/>
        <v>IND_OPER__</v>
      </c>
      <c r="C123" s="83">
        <f t="shared" si="21"/>
        <v>0</v>
      </c>
      <c r="D123" s="15" t="str">
        <f>IFERROR("QTD_REC_"&amp;VLOOKUP($J123,#REF!,7,0),"")</f>
        <v/>
      </c>
      <c r="E123" s="14"/>
      <c r="F123" s="148"/>
      <c r="G123" s="149" t="str">
        <f>IFERROR(VLOOKUP(F123,#REF!,2,0),"")</f>
        <v/>
      </c>
      <c r="H123" s="150" t="str">
        <f>IFERROR(VLOOKUP(F123,#REF!,3,0),"")</f>
        <v/>
      </c>
      <c r="I123" s="151"/>
      <c r="J123" s="151"/>
      <c r="K123" s="150" t="str">
        <f>IFERROR(VLOOKUP($J123,#REF!,2,0),"")</f>
        <v/>
      </c>
      <c r="L123" s="150" t="str">
        <f t="shared" si="30"/>
        <v/>
      </c>
      <c r="M123" s="154"/>
      <c r="N123" s="180"/>
      <c r="O123" s="155"/>
      <c r="P123" s="156"/>
      <c r="Q123" s="156"/>
      <c r="R123" s="156"/>
      <c r="S123" s="156"/>
      <c r="T123" s="156"/>
      <c r="U123" s="156"/>
      <c r="V123" s="156"/>
      <c r="W123" s="156"/>
      <c r="X123" s="156"/>
      <c r="Y123" s="156"/>
      <c r="Z123" s="156"/>
      <c r="AA123" s="156"/>
      <c r="AB123" s="158">
        <f t="shared" si="37"/>
        <v>0</v>
      </c>
      <c r="AC123" s="159"/>
      <c r="AE123" s="160" t="str">
        <f t="shared" si="22"/>
        <v/>
      </c>
      <c r="AF123" s="161">
        <f t="shared" si="23"/>
        <v>0</v>
      </c>
      <c r="AG123" s="162">
        <f t="shared" si="23"/>
        <v>0</v>
      </c>
      <c r="AH123" s="162">
        <f t="shared" si="23"/>
        <v>0</v>
      </c>
      <c r="AI123" s="162">
        <f t="shared" si="23"/>
        <v>0</v>
      </c>
      <c r="AJ123" s="162">
        <f t="shared" si="23"/>
        <v>0</v>
      </c>
      <c r="AK123" s="162">
        <f t="shared" si="23"/>
        <v>0</v>
      </c>
      <c r="AL123" s="162">
        <f t="shared" si="23"/>
        <v>0</v>
      </c>
      <c r="AM123" s="162">
        <f t="shared" si="23"/>
        <v>0</v>
      </c>
      <c r="AN123" s="162">
        <f t="shared" si="23"/>
        <v>0</v>
      </c>
      <c r="AO123" s="162">
        <f t="shared" si="23"/>
        <v>0</v>
      </c>
      <c r="AP123" s="162">
        <f t="shared" si="23"/>
        <v>0</v>
      </c>
      <c r="AQ123" s="162">
        <f t="shared" si="23"/>
        <v>0</v>
      </c>
      <c r="AR123" s="163">
        <f t="shared" si="24"/>
        <v>0</v>
      </c>
      <c r="AT123" s="181" t="str">
        <f t="shared" si="25"/>
        <v/>
      </c>
      <c r="AU123" s="156">
        <f t="shared" si="25"/>
        <v>0</v>
      </c>
      <c r="AV123" s="156">
        <f t="shared" si="40"/>
        <v>0</v>
      </c>
      <c r="AW123" s="156">
        <f t="shared" si="40"/>
        <v>0</v>
      </c>
      <c r="AX123" s="156">
        <f t="shared" si="40"/>
        <v>0</v>
      </c>
      <c r="AY123" s="156">
        <f t="shared" si="40"/>
        <v>0</v>
      </c>
      <c r="AZ123" s="156">
        <f t="shared" si="40"/>
        <v>0</v>
      </c>
      <c r="BA123" s="156">
        <f t="shared" si="40"/>
        <v>0</v>
      </c>
      <c r="BB123" s="156">
        <f t="shared" si="40"/>
        <v>0</v>
      </c>
      <c r="BC123" s="156">
        <f t="shared" si="40"/>
        <v>0</v>
      </c>
      <c r="BD123" s="156">
        <f t="shared" si="40"/>
        <v>0</v>
      </c>
      <c r="BE123" s="156">
        <f t="shared" si="40"/>
        <v>0</v>
      </c>
      <c r="BF123" s="156">
        <f t="shared" si="40"/>
        <v>0</v>
      </c>
      <c r="BG123" s="158">
        <f t="shared" si="27"/>
        <v>0</v>
      </c>
    </row>
    <row r="124" spans="1:59" x14ac:dyDescent="0.25">
      <c r="A124" s="14"/>
      <c r="B124" s="15" t="str">
        <f t="shared" si="18"/>
        <v>IND_OPER__</v>
      </c>
      <c r="C124" s="83">
        <f t="shared" si="21"/>
        <v>0</v>
      </c>
      <c r="D124" s="15" t="str">
        <f>IFERROR("QTD_REC_"&amp;VLOOKUP($J124,#REF!,7,0),"")</f>
        <v/>
      </c>
      <c r="E124" s="14"/>
      <c r="F124" s="148"/>
      <c r="G124" s="149" t="str">
        <f>IFERROR(VLOOKUP(F124,#REF!,2,0),"")</f>
        <v/>
      </c>
      <c r="H124" s="150" t="str">
        <f>IFERROR(VLOOKUP(F124,#REF!,3,0),"")</f>
        <v/>
      </c>
      <c r="I124" s="151"/>
      <c r="J124" s="151"/>
      <c r="K124" s="150" t="str">
        <f>IFERROR(VLOOKUP($J124,#REF!,2,0),"")</f>
        <v/>
      </c>
      <c r="L124" s="150" t="str">
        <f t="shared" si="30"/>
        <v/>
      </c>
      <c r="M124" s="154"/>
      <c r="N124" s="180"/>
      <c r="O124" s="155"/>
      <c r="P124" s="156"/>
      <c r="Q124" s="156"/>
      <c r="R124" s="156"/>
      <c r="S124" s="156"/>
      <c r="T124" s="156"/>
      <c r="U124" s="156"/>
      <c r="V124" s="156"/>
      <c r="W124" s="156"/>
      <c r="X124" s="156"/>
      <c r="Y124" s="156"/>
      <c r="Z124" s="156"/>
      <c r="AA124" s="156"/>
      <c r="AB124" s="158">
        <f t="shared" si="37"/>
        <v>0</v>
      </c>
      <c r="AC124" s="159"/>
      <c r="AE124" s="160" t="str">
        <f t="shared" si="22"/>
        <v/>
      </c>
      <c r="AF124" s="161">
        <f t="shared" ref="AF124:AQ138" si="41">IFERROR(P124/AU124,0)</f>
        <v>0</v>
      </c>
      <c r="AG124" s="162">
        <f t="shared" si="41"/>
        <v>0</v>
      </c>
      <c r="AH124" s="162">
        <f t="shared" si="41"/>
        <v>0</v>
      </c>
      <c r="AI124" s="162">
        <f t="shared" si="41"/>
        <v>0</v>
      </c>
      <c r="AJ124" s="162">
        <f t="shared" si="41"/>
        <v>0</v>
      </c>
      <c r="AK124" s="162">
        <f t="shared" si="41"/>
        <v>0</v>
      </c>
      <c r="AL124" s="162">
        <f t="shared" si="41"/>
        <v>0</v>
      </c>
      <c r="AM124" s="162">
        <f t="shared" si="41"/>
        <v>0</v>
      </c>
      <c r="AN124" s="162">
        <f t="shared" si="41"/>
        <v>0</v>
      </c>
      <c r="AO124" s="162">
        <f t="shared" si="41"/>
        <v>0</v>
      </c>
      <c r="AP124" s="162">
        <f t="shared" si="41"/>
        <v>0</v>
      </c>
      <c r="AQ124" s="162">
        <f t="shared" si="41"/>
        <v>0</v>
      </c>
      <c r="AR124" s="163">
        <f t="shared" si="24"/>
        <v>0</v>
      </c>
      <c r="AT124" s="181" t="str">
        <f t="shared" ref="AT124:AU138" si="42">L124</f>
        <v/>
      </c>
      <c r="AU124" s="156">
        <f t="shared" si="42"/>
        <v>0</v>
      </c>
      <c r="AV124" s="156">
        <f t="shared" si="40"/>
        <v>0</v>
      </c>
      <c r="AW124" s="156">
        <f t="shared" si="40"/>
        <v>0</v>
      </c>
      <c r="AX124" s="156">
        <f t="shared" si="40"/>
        <v>0</v>
      </c>
      <c r="AY124" s="156">
        <f t="shared" si="40"/>
        <v>0</v>
      </c>
      <c r="AZ124" s="156">
        <f t="shared" si="40"/>
        <v>0</v>
      </c>
      <c r="BA124" s="156">
        <f t="shared" si="40"/>
        <v>0</v>
      </c>
      <c r="BB124" s="156">
        <f t="shared" si="40"/>
        <v>0</v>
      </c>
      <c r="BC124" s="156">
        <f t="shared" si="40"/>
        <v>0</v>
      </c>
      <c r="BD124" s="156">
        <f t="shared" si="40"/>
        <v>0</v>
      </c>
      <c r="BE124" s="156">
        <f t="shared" si="40"/>
        <v>0</v>
      </c>
      <c r="BF124" s="156">
        <f t="shared" si="40"/>
        <v>0</v>
      </c>
      <c r="BG124" s="158">
        <f t="shared" si="27"/>
        <v>0</v>
      </c>
    </row>
    <row r="125" spans="1:59" x14ac:dyDescent="0.25">
      <c r="A125" s="14"/>
      <c r="B125" s="15" t="str">
        <f t="shared" si="18"/>
        <v>IND_OPER__</v>
      </c>
      <c r="C125" s="83">
        <f t="shared" si="21"/>
        <v>0</v>
      </c>
      <c r="D125" s="15" t="str">
        <f>IFERROR("QTD_REC_"&amp;VLOOKUP($J125,#REF!,7,0),"")</f>
        <v/>
      </c>
      <c r="E125" s="14"/>
      <c r="F125" s="148"/>
      <c r="G125" s="149" t="str">
        <f>IFERROR(VLOOKUP(F125,#REF!,2,0),"")</f>
        <v/>
      </c>
      <c r="H125" s="150" t="str">
        <f>IFERROR(VLOOKUP(F125,#REF!,3,0),"")</f>
        <v/>
      </c>
      <c r="I125" s="151"/>
      <c r="J125" s="151"/>
      <c r="K125" s="150" t="str">
        <f>IFERROR(VLOOKUP($J125,#REF!,2,0),"")</f>
        <v/>
      </c>
      <c r="L125" s="150" t="str">
        <f t="shared" si="30"/>
        <v/>
      </c>
      <c r="M125" s="154"/>
      <c r="N125" s="180"/>
      <c r="O125" s="155"/>
      <c r="P125" s="156"/>
      <c r="Q125" s="156"/>
      <c r="R125" s="156"/>
      <c r="S125" s="156"/>
      <c r="T125" s="156"/>
      <c r="U125" s="156"/>
      <c r="V125" s="156"/>
      <c r="W125" s="156"/>
      <c r="X125" s="156"/>
      <c r="Y125" s="156"/>
      <c r="Z125" s="156"/>
      <c r="AA125" s="156"/>
      <c r="AB125" s="158">
        <f t="shared" si="37"/>
        <v>0</v>
      </c>
      <c r="AC125" s="159"/>
      <c r="AE125" s="160" t="str">
        <f t="shared" si="22"/>
        <v/>
      </c>
      <c r="AF125" s="161">
        <f t="shared" si="41"/>
        <v>0</v>
      </c>
      <c r="AG125" s="162">
        <f t="shared" si="41"/>
        <v>0</v>
      </c>
      <c r="AH125" s="162">
        <f t="shared" si="41"/>
        <v>0</v>
      </c>
      <c r="AI125" s="162">
        <f t="shared" si="41"/>
        <v>0</v>
      </c>
      <c r="AJ125" s="162">
        <f t="shared" si="41"/>
        <v>0</v>
      </c>
      <c r="AK125" s="162">
        <f t="shared" si="41"/>
        <v>0</v>
      </c>
      <c r="AL125" s="162">
        <f t="shared" si="41"/>
        <v>0</v>
      </c>
      <c r="AM125" s="162">
        <f t="shared" si="41"/>
        <v>0</v>
      </c>
      <c r="AN125" s="162">
        <f t="shared" si="41"/>
        <v>0</v>
      </c>
      <c r="AO125" s="162">
        <f t="shared" si="41"/>
        <v>0</v>
      </c>
      <c r="AP125" s="162">
        <f t="shared" si="41"/>
        <v>0</v>
      </c>
      <c r="AQ125" s="162">
        <f t="shared" si="41"/>
        <v>0</v>
      </c>
      <c r="AR125" s="163">
        <f t="shared" si="24"/>
        <v>0</v>
      </c>
      <c r="AT125" s="181" t="str">
        <f t="shared" si="42"/>
        <v/>
      </c>
      <c r="AU125" s="156">
        <f t="shared" si="42"/>
        <v>0</v>
      </c>
      <c r="AV125" s="156">
        <f t="shared" si="40"/>
        <v>0</v>
      </c>
      <c r="AW125" s="156">
        <f t="shared" si="40"/>
        <v>0</v>
      </c>
      <c r="AX125" s="156">
        <f t="shared" si="40"/>
        <v>0</v>
      </c>
      <c r="AY125" s="156">
        <f t="shared" si="40"/>
        <v>0</v>
      </c>
      <c r="AZ125" s="156">
        <f t="shared" si="40"/>
        <v>0</v>
      </c>
      <c r="BA125" s="156">
        <f t="shared" si="40"/>
        <v>0</v>
      </c>
      <c r="BB125" s="156">
        <f t="shared" si="40"/>
        <v>0</v>
      </c>
      <c r="BC125" s="156">
        <f t="shared" si="40"/>
        <v>0</v>
      </c>
      <c r="BD125" s="156">
        <f t="shared" si="40"/>
        <v>0</v>
      </c>
      <c r="BE125" s="156">
        <f t="shared" si="40"/>
        <v>0</v>
      </c>
      <c r="BF125" s="156">
        <f t="shared" si="40"/>
        <v>0</v>
      </c>
      <c r="BG125" s="158">
        <f t="shared" si="27"/>
        <v>0</v>
      </c>
    </row>
    <row r="126" spans="1:59" x14ac:dyDescent="0.25">
      <c r="A126" s="14"/>
      <c r="B126" s="15" t="str">
        <f t="shared" si="18"/>
        <v>IND_OPER__</v>
      </c>
      <c r="C126" s="83">
        <f t="shared" si="21"/>
        <v>0</v>
      </c>
      <c r="D126" s="15" t="str">
        <f>IFERROR("QTD_REC_"&amp;VLOOKUP($J126,#REF!,7,0),"")</f>
        <v/>
      </c>
      <c r="E126" s="14"/>
      <c r="F126" s="148"/>
      <c r="G126" s="149" t="str">
        <f>IFERROR(VLOOKUP(F126,#REF!,2,0),"")</f>
        <v/>
      </c>
      <c r="H126" s="150" t="str">
        <f>IFERROR(VLOOKUP(F126,#REF!,3,0),"")</f>
        <v/>
      </c>
      <c r="I126" s="151"/>
      <c r="J126" s="151"/>
      <c r="K126" s="150" t="str">
        <f>IFERROR(VLOOKUP($J126,#REF!,2,0),"")</f>
        <v/>
      </c>
      <c r="L126" s="150" t="str">
        <f t="shared" si="30"/>
        <v/>
      </c>
      <c r="M126" s="154"/>
      <c r="N126" s="180"/>
      <c r="O126" s="155"/>
      <c r="P126" s="156"/>
      <c r="Q126" s="156"/>
      <c r="R126" s="156"/>
      <c r="S126" s="156"/>
      <c r="T126" s="156"/>
      <c r="U126" s="156"/>
      <c r="V126" s="156"/>
      <c r="W126" s="156"/>
      <c r="X126" s="156"/>
      <c r="Y126" s="156"/>
      <c r="Z126" s="156"/>
      <c r="AA126" s="156"/>
      <c r="AB126" s="158">
        <f t="shared" si="37"/>
        <v>0</v>
      </c>
      <c r="AC126" s="159"/>
      <c r="AE126" s="160" t="str">
        <f t="shared" si="22"/>
        <v/>
      </c>
      <c r="AF126" s="161">
        <f t="shared" si="41"/>
        <v>0</v>
      </c>
      <c r="AG126" s="162">
        <f t="shared" si="41"/>
        <v>0</v>
      </c>
      <c r="AH126" s="162">
        <f t="shared" si="41"/>
        <v>0</v>
      </c>
      <c r="AI126" s="162">
        <f t="shared" si="41"/>
        <v>0</v>
      </c>
      <c r="AJ126" s="162">
        <f t="shared" si="41"/>
        <v>0</v>
      </c>
      <c r="AK126" s="162">
        <f t="shared" si="41"/>
        <v>0</v>
      </c>
      <c r="AL126" s="162">
        <f t="shared" si="41"/>
        <v>0</v>
      </c>
      <c r="AM126" s="162">
        <f t="shared" si="41"/>
        <v>0</v>
      </c>
      <c r="AN126" s="162">
        <f t="shared" si="41"/>
        <v>0</v>
      </c>
      <c r="AO126" s="162">
        <f t="shared" si="41"/>
        <v>0</v>
      </c>
      <c r="AP126" s="162">
        <f t="shared" si="41"/>
        <v>0</v>
      </c>
      <c r="AQ126" s="162">
        <f t="shared" si="41"/>
        <v>0</v>
      </c>
      <c r="AR126" s="163">
        <f t="shared" si="24"/>
        <v>0</v>
      </c>
      <c r="AT126" s="181" t="str">
        <f t="shared" si="42"/>
        <v/>
      </c>
      <c r="AU126" s="156">
        <f t="shared" si="42"/>
        <v>0</v>
      </c>
      <c r="AV126" s="156">
        <f t="shared" si="40"/>
        <v>0</v>
      </c>
      <c r="AW126" s="156">
        <f t="shared" si="40"/>
        <v>0</v>
      </c>
      <c r="AX126" s="156">
        <f t="shared" si="40"/>
        <v>0</v>
      </c>
      <c r="AY126" s="156">
        <f t="shared" si="40"/>
        <v>0</v>
      </c>
      <c r="AZ126" s="156">
        <f t="shared" si="40"/>
        <v>0</v>
      </c>
      <c r="BA126" s="156">
        <f t="shared" si="40"/>
        <v>0</v>
      </c>
      <c r="BB126" s="156">
        <f t="shared" si="40"/>
        <v>0</v>
      </c>
      <c r="BC126" s="156">
        <f t="shared" si="40"/>
        <v>0</v>
      </c>
      <c r="BD126" s="156">
        <f t="shared" si="40"/>
        <v>0</v>
      </c>
      <c r="BE126" s="156">
        <f t="shared" si="40"/>
        <v>0</v>
      </c>
      <c r="BF126" s="156">
        <f t="shared" si="40"/>
        <v>0</v>
      </c>
      <c r="BG126" s="158">
        <f t="shared" si="27"/>
        <v>0</v>
      </c>
    </row>
    <row r="127" spans="1:59" x14ac:dyDescent="0.25">
      <c r="A127" s="14"/>
      <c r="B127" s="15" t="str">
        <f t="shared" si="18"/>
        <v>IND_OPER__</v>
      </c>
      <c r="C127" s="83">
        <f t="shared" si="21"/>
        <v>0</v>
      </c>
      <c r="D127" s="15" t="str">
        <f>IFERROR("QTD_REC_"&amp;VLOOKUP($J127,#REF!,7,0),"")</f>
        <v/>
      </c>
      <c r="E127" s="14"/>
      <c r="F127" s="148"/>
      <c r="G127" s="149" t="str">
        <f>IFERROR(VLOOKUP(F127,#REF!,2,0),"")</f>
        <v/>
      </c>
      <c r="H127" s="150" t="str">
        <f>IFERROR(VLOOKUP(F127,#REF!,3,0),"")</f>
        <v/>
      </c>
      <c r="I127" s="151"/>
      <c r="J127" s="151"/>
      <c r="K127" s="150" t="str">
        <f>IFERROR(VLOOKUP($J127,#REF!,2,0),"")</f>
        <v/>
      </c>
      <c r="L127" s="150" t="str">
        <f t="shared" si="30"/>
        <v/>
      </c>
      <c r="M127" s="154"/>
      <c r="N127" s="180"/>
      <c r="O127" s="155"/>
      <c r="P127" s="156"/>
      <c r="Q127" s="156"/>
      <c r="R127" s="156"/>
      <c r="S127" s="156"/>
      <c r="T127" s="156"/>
      <c r="U127" s="156"/>
      <c r="V127" s="156"/>
      <c r="W127" s="156"/>
      <c r="X127" s="156"/>
      <c r="Y127" s="156"/>
      <c r="Z127" s="156"/>
      <c r="AA127" s="156"/>
      <c r="AB127" s="158">
        <f t="shared" si="37"/>
        <v>0</v>
      </c>
      <c r="AC127" s="159"/>
      <c r="AE127" s="160" t="str">
        <f t="shared" si="22"/>
        <v/>
      </c>
      <c r="AF127" s="161">
        <f t="shared" si="41"/>
        <v>0</v>
      </c>
      <c r="AG127" s="162">
        <f t="shared" si="41"/>
        <v>0</v>
      </c>
      <c r="AH127" s="162">
        <f t="shared" si="41"/>
        <v>0</v>
      </c>
      <c r="AI127" s="162">
        <f t="shared" si="41"/>
        <v>0</v>
      </c>
      <c r="AJ127" s="162">
        <f t="shared" si="41"/>
        <v>0</v>
      </c>
      <c r="AK127" s="162">
        <f t="shared" si="41"/>
        <v>0</v>
      </c>
      <c r="AL127" s="162">
        <f t="shared" si="41"/>
        <v>0</v>
      </c>
      <c r="AM127" s="162">
        <f t="shared" si="41"/>
        <v>0</v>
      </c>
      <c r="AN127" s="162">
        <f t="shared" si="41"/>
        <v>0</v>
      </c>
      <c r="AO127" s="162">
        <f t="shared" si="41"/>
        <v>0</v>
      </c>
      <c r="AP127" s="162">
        <f t="shared" si="41"/>
        <v>0</v>
      </c>
      <c r="AQ127" s="162">
        <f t="shared" si="41"/>
        <v>0</v>
      </c>
      <c r="AR127" s="163">
        <f t="shared" si="24"/>
        <v>0</v>
      </c>
      <c r="AT127" s="181" t="str">
        <f t="shared" si="42"/>
        <v/>
      </c>
      <c r="AU127" s="156">
        <f t="shared" si="42"/>
        <v>0</v>
      </c>
      <c r="AV127" s="156">
        <f t="shared" ref="AV127:BF138" si="43">AU127</f>
        <v>0</v>
      </c>
      <c r="AW127" s="156">
        <f t="shared" si="43"/>
        <v>0</v>
      </c>
      <c r="AX127" s="156">
        <f t="shared" si="43"/>
        <v>0</v>
      </c>
      <c r="AY127" s="156">
        <f t="shared" si="43"/>
        <v>0</v>
      </c>
      <c r="AZ127" s="156">
        <f t="shared" si="43"/>
        <v>0</v>
      </c>
      <c r="BA127" s="156">
        <f t="shared" si="43"/>
        <v>0</v>
      </c>
      <c r="BB127" s="156">
        <f t="shared" si="43"/>
        <v>0</v>
      </c>
      <c r="BC127" s="156">
        <f t="shared" si="43"/>
        <v>0</v>
      </c>
      <c r="BD127" s="156">
        <f t="shared" si="43"/>
        <v>0</v>
      </c>
      <c r="BE127" s="156">
        <f t="shared" si="43"/>
        <v>0</v>
      </c>
      <c r="BF127" s="156">
        <f t="shared" si="43"/>
        <v>0</v>
      </c>
      <c r="BG127" s="158">
        <f t="shared" si="27"/>
        <v>0</v>
      </c>
    </row>
    <row r="128" spans="1:59" x14ac:dyDescent="0.25">
      <c r="A128" s="14"/>
      <c r="B128" s="15" t="str">
        <f t="shared" si="18"/>
        <v>IND_OPER__</v>
      </c>
      <c r="C128" s="83">
        <f t="shared" si="21"/>
        <v>0</v>
      </c>
      <c r="D128" s="15" t="str">
        <f>IFERROR("QTD_REC_"&amp;VLOOKUP($J128,#REF!,7,0),"")</f>
        <v/>
      </c>
      <c r="E128" s="14"/>
      <c r="F128" s="148"/>
      <c r="G128" s="149" t="str">
        <f>IFERROR(VLOOKUP(F128,#REF!,2,0),"")</f>
        <v/>
      </c>
      <c r="H128" s="150" t="str">
        <f>IFERROR(VLOOKUP(F128,#REF!,3,0),"")</f>
        <v/>
      </c>
      <c r="I128" s="151"/>
      <c r="J128" s="151"/>
      <c r="K128" s="150" t="str">
        <f>IFERROR(VLOOKUP($J128,#REF!,2,0),"")</f>
        <v/>
      </c>
      <c r="L128" s="150" t="str">
        <f t="shared" si="30"/>
        <v/>
      </c>
      <c r="M128" s="154"/>
      <c r="N128" s="180"/>
      <c r="O128" s="155"/>
      <c r="P128" s="156"/>
      <c r="Q128" s="156"/>
      <c r="R128" s="156"/>
      <c r="S128" s="156"/>
      <c r="T128" s="156"/>
      <c r="U128" s="156"/>
      <c r="V128" s="156"/>
      <c r="W128" s="156"/>
      <c r="X128" s="156"/>
      <c r="Y128" s="156"/>
      <c r="Z128" s="156"/>
      <c r="AA128" s="156"/>
      <c r="AB128" s="158">
        <f t="shared" si="37"/>
        <v>0</v>
      </c>
      <c r="AC128" s="159"/>
      <c r="AE128" s="160" t="str">
        <f t="shared" si="22"/>
        <v/>
      </c>
      <c r="AF128" s="161">
        <f t="shared" si="41"/>
        <v>0</v>
      </c>
      <c r="AG128" s="162">
        <f t="shared" si="41"/>
        <v>0</v>
      </c>
      <c r="AH128" s="162">
        <f t="shared" si="41"/>
        <v>0</v>
      </c>
      <c r="AI128" s="162">
        <f t="shared" si="41"/>
        <v>0</v>
      </c>
      <c r="AJ128" s="162">
        <f t="shared" si="41"/>
        <v>0</v>
      </c>
      <c r="AK128" s="162">
        <f t="shared" si="41"/>
        <v>0</v>
      </c>
      <c r="AL128" s="162">
        <f t="shared" si="41"/>
        <v>0</v>
      </c>
      <c r="AM128" s="162">
        <f t="shared" si="41"/>
        <v>0</v>
      </c>
      <c r="AN128" s="162">
        <f t="shared" si="41"/>
        <v>0</v>
      </c>
      <c r="AO128" s="162">
        <f t="shared" si="41"/>
        <v>0</v>
      </c>
      <c r="AP128" s="162">
        <f t="shared" si="41"/>
        <v>0</v>
      </c>
      <c r="AQ128" s="162">
        <f t="shared" si="41"/>
        <v>0</v>
      </c>
      <c r="AR128" s="163">
        <f t="shared" si="24"/>
        <v>0</v>
      </c>
      <c r="AT128" s="181" t="str">
        <f t="shared" si="42"/>
        <v/>
      </c>
      <c r="AU128" s="156">
        <f t="shared" si="42"/>
        <v>0</v>
      </c>
      <c r="AV128" s="156">
        <f t="shared" si="43"/>
        <v>0</v>
      </c>
      <c r="AW128" s="156">
        <f t="shared" si="43"/>
        <v>0</v>
      </c>
      <c r="AX128" s="156">
        <f t="shared" si="43"/>
        <v>0</v>
      </c>
      <c r="AY128" s="156">
        <f t="shared" si="43"/>
        <v>0</v>
      </c>
      <c r="AZ128" s="156">
        <f t="shared" si="43"/>
        <v>0</v>
      </c>
      <c r="BA128" s="156">
        <f t="shared" si="43"/>
        <v>0</v>
      </c>
      <c r="BB128" s="156">
        <f t="shared" si="43"/>
        <v>0</v>
      </c>
      <c r="BC128" s="156">
        <f t="shared" si="43"/>
        <v>0</v>
      </c>
      <c r="BD128" s="156">
        <f t="shared" si="43"/>
        <v>0</v>
      </c>
      <c r="BE128" s="156">
        <f t="shared" si="43"/>
        <v>0</v>
      </c>
      <c r="BF128" s="156">
        <f t="shared" si="43"/>
        <v>0</v>
      </c>
      <c r="BG128" s="158">
        <f t="shared" si="27"/>
        <v>0</v>
      </c>
    </row>
    <row r="129" spans="1:59" x14ac:dyDescent="0.25">
      <c r="A129" s="14"/>
      <c r="B129" s="15" t="str">
        <f t="shared" si="18"/>
        <v>IND_OPER__</v>
      </c>
      <c r="C129" s="83">
        <f t="shared" si="21"/>
        <v>0</v>
      </c>
      <c r="D129" s="15" t="str">
        <f>IFERROR("QTD_REC_"&amp;VLOOKUP($J129,#REF!,7,0),"")</f>
        <v/>
      </c>
      <c r="E129" s="14"/>
      <c r="F129" s="148"/>
      <c r="G129" s="149" t="str">
        <f>IFERROR(VLOOKUP(F129,#REF!,2,0),"")</f>
        <v/>
      </c>
      <c r="H129" s="150" t="str">
        <f>IFERROR(VLOOKUP(F129,#REF!,3,0),"")</f>
        <v/>
      </c>
      <c r="I129" s="151"/>
      <c r="J129" s="151"/>
      <c r="K129" s="150" t="str">
        <f>IFERROR(VLOOKUP($J129,#REF!,2,0),"")</f>
        <v/>
      </c>
      <c r="L129" s="150" t="str">
        <f t="shared" si="30"/>
        <v/>
      </c>
      <c r="M129" s="154"/>
      <c r="N129" s="180"/>
      <c r="O129" s="155"/>
      <c r="P129" s="156"/>
      <c r="Q129" s="156"/>
      <c r="R129" s="156"/>
      <c r="S129" s="156"/>
      <c r="T129" s="156"/>
      <c r="U129" s="156"/>
      <c r="V129" s="156"/>
      <c r="W129" s="156"/>
      <c r="X129" s="156"/>
      <c r="Y129" s="156"/>
      <c r="Z129" s="156"/>
      <c r="AA129" s="156"/>
      <c r="AB129" s="158">
        <f t="shared" si="37"/>
        <v>0</v>
      </c>
      <c r="AC129" s="159"/>
      <c r="AE129" s="160" t="str">
        <f t="shared" si="22"/>
        <v/>
      </c>
      <c r="AF129" s="161">
        <f t="shared" si="41"/>
        <v>0</v>
      </c>
      <c r="AG129" s="162">
        <f t="shared" si="41"/>
        <v>0</v>
      </c>
      <c r="AH129" s="162">
        <f t="shared" si="41"/>
        <v>0</v>
      </c>
      <c r="AI129" s="162">
        <f t="shared" si="41"/>
        <v>0</v>
      </c>
      <c r="AJ129" s="162">
        <f t="shared" si="41"/>
        <v>0</v>
      </c>
      <c r="AK129" s="162">
        <f t="shared" si="41"/>
        <v>0</v>
      </c>
      <c r="AL129" s="162">
        <f t="shared" si="41"/>
        <v>0</v>
      </c>
      <c r="AM129" s="162">
        <f t="shared" si="41"/>
        <v>0</v>
      </c>
      <c r="AN129" s="162">
        <f t="shared" si="41"/>
        <v>0</v>
      </c>
      <c r="AO129" s="162">
        <f t="shared" si="41"/>
        <v>0</v>
      </c>
      <c r="AP129" s="162">
        <f t="shared" si="41"/>
        <v>0</v>
      </c>
      <c r="AQ129" s="162">
        <f t="shared" si="41"/>
        <v>0</v>
      </c>
      <c r="AR129" s="163">
        <f t="shared" si="24"/>
        <v>0</v>
      </c>
      <c r="AT129" s="181" t="str">
        <f t="shared" si="42"/>
        <v/>
      </c>
      <c r="AU129" s="156">
        <f t="shared" si="42"/>
        <v>0</v>
      </c>
      <c r="AV129" s="156">
        <f t="shared" si="43"/>
        <v>0</v>
      </c>
      <c r="AW129" s="156">
        <f t="shared" si="43"/>
        <v>0</v>
      </c>
      <c r="AX129" s="156">
        <f t="shared" si="43"/>
        <v>0</v>
      </c>
      <c r="AY129" s="156">
        <f t="shared" si="43"/>
        <v>0</v>
      </c>
      <c r="AZ129" s="156">
        <f t="shared" si="43"/>
        <v>0</v>
      </c>
      <c r="BA129" s="156">
        <f t="shared" si="43"/>
        <v>0</v>
      </c>
      <c r="BB129" s="156">
        <f t="shared" si="43"/>
        <v>0</v>
      </c>
      <c r="BC129" s="156">
        <f t="shared" si="43"/>
        <v>0</v>
      </c>
      <c r="BD129" s="156">
        <f t="shared" si="43"/>
        <v>0</v>
      </c>
      <c r="BE129" s="156">
        <f t="shared" si="43"/>
        <v>0</v>
      </c>
      <c r="BF129" s="156">
        <f t="shared" si="43"/>
        <v>0</v>
      </c>
      <c r="BG129" s="158">
        <f t="shared" si="27"/>
        <v>0</v>
      </c>
    </row>
    <row r="130" spans="1:59" x14ac:dyDescent="0.25">
      <c r="A130" s="14"/>
      <c r="B130" s="15" t="str">
        <f t="shared" si="18"/>
        <v>IND_OPER__</v>
      </c>
      <c r="C130" s="83">
        <f t="shared" si="21"/>
        <v>0</v>
      </c>
      <c r="D130" s="15" t="str">
        <f>IFERROR("QTD_REC_"&amp;VLOOKUP($J130,#REF!,7,0),"")</f>
        <v/>
      </c>
      <c r="E130" s="14"/>
      <c r="F130" s="148"/>
      <c r="G130" s="149" t="str">
        <f>IFERROR(VLOOKUP(F130,#REF!,2,0),"")</f>
        <v/>
      </c>
      <c r="H130" s="150" t="str">
        <f>IFERROR(VLOOKUP(F130,#REF!,3,0),"")</f>
        <v/>
      </c>
      <c r="I130" s="151"/>
      <c r="J130" s="151"/>
      <c r="K130" s="150" t="str">
        <f>IFERROR(VLOOKUP($J130,#REF!,2,0),"")</f>
        <v/>
      </c>
      <c r="L130" s="150" t="str">
        <f t="shared" si="30"/>
        <v/>
      </c>
      <c r="M130" s="154"/>
      <c r="N130" s="180"/>
      <c r="O130" s="155"/>
      <c r="P130" s="156"/>
      <c r="Q130" s="156"/>
      <c r="R130" s="156"/>
      <c r="S130" s="156"/>
      <c r="T130" s="156"/>
      <c r="U130" s="156"/>
      <c r="V130" s="156"/>
      <c r="W130" s="156"/>
      <c r="X130" s="156"/>
      <c r="Y130" s="156"/>
      <c r="Z130" s="156"/>
      <c r="AA130" s="156"/>
      <c r="AB130" s="158">
        <f t="shared" si="37"/>
        <v>0</v>
      </c>
      <c r="AC130" s="159"/>
      <c r="AE130" s="160" t="str">
        <f t="shared" si="22"/>
        <v/>
      </c>
      <c r="AF130" s="161">
        <f t="shared" si="41"/>
        <v>0</v>
      </c>
      <c r="AG130" s="162">
        <f t="shared" si="41"/>
        <v>0</v>
      </c>
      <c r="AH130" s="162">
        <f t="shared" si="41"/>
        <v>0</v>
      </c>
      <c r="AI130" s="162">
        <f t="shared" si="41"/>
        <v>0</v>
      </c>
      <c r="AJ130" s="162">
        <f t="shared" si="41"/>
        <v>0</v>
      </c>
      <c r="AK130" s="162">
        <f t="shared" si="41"/>
        <v>0</v>
      </c>
      <c r="AL130" s="162">
        <f t="shared" si="41"/>
        <v>0</v>
      </c>
      <c r="AM130" s="162">
        <f t="shared" si="41"/>
        <v>0</v>
      </c>
      <c r="AN130" s="162">
        <f t="shared" si="41"/>
        <v>0</v>
      </c>
      <c r="AO130" s="162">
        <f t="shared" si="41"/>
        <v>0</v>
      </c>
      <c r="AP130" s="162">
        <f t="shared" si="41"/>
        <v>0</v>
      </c>
      <c r="AQ130" s="162">
        <f t="shared" si="41"/>
        <v>0</v>
      </c>
      <c r="AR130" s="163">
        <f t="shared" si="24"/>
        <v>0</v>
      </c>
      <c r="AT130" s="181" t="str">
        <f t="shared" si="42"/>
        <v/>
      </c>
      <c r="AU130" s="156">
        <f t="shared" si="42"/>
        <v>0</v>
      </c>
      <c r="AV130" s="156">
        <f t="shared" si="43"/>
        <v>0</v>
      </c>
      <c r="AW130" s="156">
        <f t="shared" si="43"/>
        <v>0</v>
      </c>
      <c r="AX130" s="156">
        <f t="shared" si="43"/>
        <v>0</v>
      </c>
      <c r="AY130" s="156">
        <f t="shared" si="43"/>
        <v>0</v>
      </c>
      <c r="AZ130" s="156">
        <f t="shared" si="43"/>
        <v>0</v>
      </c>
      <c r="BA130" s="156">
        <f t="shared" si="43"/>
        <v>0</v>
      </c>
      <c r="BB130" s="156">
        <f t="shared" si="43"/>
        <v>0</v>
      </c>
      <c r="BC130" s="156">
        <f t="shared" si="43"/>
        <v>0</v>
      </c>
      <c r="BD130" s="156">
        <f t="shared" si="43"/>
        <v>0</v>
      </c>
      <c r="BE130" s="156">
        <f t="shared" si="43"/>
        <v>0</v>
      </c>
      <c r="BF130" s="156">
        <f t="shared" si="43"/>
        <v>0</v>
      </c>
      <c r="BG130" s="158">
        <f t="shared" si="27"/>
        <v>0</v>
      </c>
    </row>
    <row r="131" spans="1:59" x14ac:dyDescent="0.25">
      <c r="A131" s="14"/>
      <c r="B131" s="15" t="str">
        <f t="shared" si="18"/>
        <v>IND_OPER__</v>
      </c>
      <c r="C131" s="83">
        <f t="shared" si="21"/>
        <v>0</v>
      </c>
      <c r="D131" s="15" t="str">
        <f>IFERROR("QTD_REC_"&amp;VLOOKUP($J131,#REF!,7,0),"")</f>
        <v/>
      </c>
      <c r="E131" s="14"/>
      <c r="F131" s="148"/>
      <c r="G131" s="149" t="str">
        <f>IFERROR(VLOOKUP(F131,#REF!,2,0),"")</f>
        <v/>
      </c>
      <c r="H131" s="150" t="str">
        <f>IFERROR(VLOOKUP(F131,#REF!,3,0),"")</f>
        <v/>
      </c>
      <c r="I131" s="151"/>
      <c r="J131" s="151"/>
      <c r="K131" s="150" t="str">
        <f>IFERROR(VLOOKUP($J131,#REF!,2,0),"")</f>
        <v/>
      </c>
      <c r="L131" s="150" t="str">
        <f t="shared" si="30"/>
        <v/>
      </c>
      <c r="M131" s="154"/>
      <c r="N131" s="180"/>
      <c r="O131" s="155"/>
      <c r="P131" s="156"/>
      <c r="Q131" s="156"/>
      <c r="R131" s="156"/>
      <c r="S131" s="156"/>
      <c r="T131" s="156"/>
      <c r="U131" s="156"/>
      <c r="V131" s="156"/>
      <c r="W131" s="156"/>
      <c r="X131" s="156"/>
      <c r="Y131" s="156"/>
      <c r="Z131" s="156"/>
      <c r="AA131" s="156"/>
      <c r="AB131" s="158">
        <f t="shared" si="37"/>
        <v>0</v>
      </c>
      <c r="AC131" s="159"/>
      <c r="AE131" s="160" t="str">
        <f t="shared" si="22"/>
        <v/>
      </c>
      <c r="AF131" s="161">
        <f t="shared" si="41"/>
        <v>0</v>
      </c>
      <c r="AG131" s="162">
        <f t="shared" si="41"/>
        <v>0</v>
      </c>
      <c r="AH131" s="162">
        <f t="shared" si="41"/>
        <v>0</v>
      </c>
      <c r="AI131" s="162">
        <f t="shared" si="41"/>
        <v>0</v>
      </c>
      <c r="AJ131" s="162">
        <f t="shared" si="41"/>
        <v>0</v>
      </c>
      <c r="AK131" s="162">
        <f t="shared" si="41"/>
        <v>0</v>
      </c>
      <c r="AL131" s="162">
        <f t="shared" si="41"/>
        <v>0</v>
      </c>
      <c r="AM131" s="162">
        <f t="shared" si="41"/>
        <v>0</v>
      </c>
      <c r="AN131" s="162">
        <f t="shared" si="41"/>
        <v>0</v>
      </c>
      <c r="AO131" s="162">
        <f t="shared" si="41"/>
        <v>0</v>
      </c>
      <c r="AP131" s="162">
        <f t="shared" si="41"/>
        <v>0</v>
      </c>
      <c r="AQ131" s="162">
        <f t="shared" si="41"/>
        <v>0</v>
      </c>
      <c r="AR131" s="163">
        <f t="shared" si="24"/>
        <v>0</v>
      </c>
      <c r="AT131" s="181" t="str">
        <f t="shared" si="42"/>
        <v/>
      </c>
      <c r="AU131" s="156">
        <f t="shared" si="42"/>
        <v>0</v>
      </c>
      <c r="AV131" s="156">
        <f t="shared" si="43"/>
        <v>0</v>
      </c>
      <c r="AW131" s="156">
        <f t="shared" si="43"/>
        <v>0</v>
      </c>
      <c r="AX131" s="156">
        <f t="shared" si="43"/>
        <v>0</v>
      </c>
      <c r="AY131" s="156">
        <f t="shared" si="43"/>
        <v>0</v>
      </c>
      <c r="AZ131" s="156">
        <f t="shared" si="43"/>
        <v>0</v>
      </c>
      <c r="BA131" s="156">
        <f t="shared" si="43"/>
        <v>0</v>
      </c>
      <c r="BB131" s="156">
        <f t="shared" si="43"/>
        <v>0</v>
      </c>
      <c r="BC131" s="156">
        <f t="shared" si="43"/>
        <v>0</v>
      </c>
      <c r="BD131" s="156">
        <f t="shared" si="43"/>
        <v>0</v>
      </c>
      <c r="BE131" s="156">
        <f t="shared" si="43"/>
        <v>0</v>
      </c>
      <c r="BF131" s="156">
        <f t="shared" si="43"/>
        <v>0</v>
      </c>
      <c r="BG131" s="158">
        <f t="shared" si="27"/>
        <v>0</v>
      </c>
    </row>
    <row r="132" spans="1:59" x14ac:dyDescent="0.25">
      <c r="A132" s="14"/>
      <c r="B132" s="15" t="str">
        <f t="shared" si="18"/>
        <v>IND_OPER__</v>
      </c>
      <c r="C132" s="83">
        <f t="shared" si="21"/>
        <v>0</v>
      </c>
      <c r="D132" s="15" t="str">
        <f>IFERROR("QTD_REC_"&amp;VLOOKUP($J132,#REF!,7,0),"")</f>
        <v/>
      </c>
      <c r="E132" s="14"/>
      <c r="F132" s="148"/>
      <c r="G132" s="149" t="str">
        <f>IFERROR(VLOOKUP(F132,#REF!,2,0),"")</f>
        <v/>
      </c>
      <c r="H132" s="150" t="str">
        <f>IFERROR(VLOOKUP(F132,#REF!,3,0),"")</f>
        <v/>
      </c>
      <c r="I132" s="151"/>
      <c r="J132" s="151"/>
      <c r="K132" s="150" t="str">
        <f>IFERROR(VLOOKUP($J132,#REF!,2,0),"")</f>
        <v/>
      </c>
      <c r="L132" s="150" t="str">
        <f t="shared" si="30"/>
        <v/>
      </c>
      <c r="M132" s="154"/>
      <c r="N132" s="180"/>
      <c r="O132" s="155"/>
      <c r="P132" s="156"/>
      <c r="Q132" s="156"/>
      <c r="R132" s="156"/>
      <c r="S132" s="156"/>
      <c r="T132" s="156"/>
      <c r="U132" s="156"/>
      <c r="V132" s="156"/>
      <c r="W132" s="156"/>
      <c r="X132" s="156"/>
      <c r="Y132" s="156"/>
      <c r="Z132" s="156"/>
      <c r="AA132" s="156"/>
      <c r="AB132" s="158">
        <f t="shared" si="37"/>
        <v>0</v>
      </c>
      <c r="AC132" s="159"/>
      <c r="AE132" s="160" t="str">
        <f t="shared" si="22"/>
        <v/>
      </c>
      <c r="AF132" s="161">
        <f t="shared" si="41"/>
        <v>0</v>
      </c>
      <c r="AG132" s="162">
        <f t="shared" si="41"/>
        <v>0</v>
      </c>
      <c r="AH132" s="162">
        <f t="shared" si="41"/>
        <v>0</v>
      </c>
      <c r="AI132" s="162">
        <f t="shared" si="41"/>
        <v>0</v>
      </c>
      <c r="AJ132" s="162">
        <f t="shared" si="41"/>
        <v>0</v>
      </c>
      <c r="AK132" s="162">
        <f t="shared" si="41"/>
        <v>0</v>
      </c>
      <c r="AL132" s="162">
        <f t="shared" si="41"/>
        <v>0</v>
      </c>
      <c r="AM132" s="162">
        <f t="shared" si="41"/>
        <v>0</v>
      </c>
      <c r="AN132" s="162">
        <f t="shared" si="41"/>
        <v>0</v>
      </c>
      <c r="AO132" s="162">
        <f t="shared" si="41"/>
        <v>0</v>
      </c>
      <c r="AP132" s="162">
        <f t="shared" si="41"/>
        <v>0</v>
      </c>
      <c r="AQ132" s="162">
        <f t="shared" si="41"/>
        <v>0</v>
      </c>
      <c r="AR132" s="163">
        <f t="shared" si="24"/>
        <v>0</v>
      </c>
      <c r="AT132" s="181" t="str">
        <f t="shared" si="42"/>
        <v/>
      </c>
      <c r="AU132" s="156">
        <f t="shared" si="42"/>
        <v>0</v>
      </c>
      <c r="AV132" s="156">
        <f t="shared" si="43"/>
        <v>0</v>
      </c>
      <c r="AW132" s="156">
        <f t="shared" si="43"/>
        <v>0</v>
      </c>
      <c r="AX132" s="156">
        <f t="shared" si="43"/>
        <v>0</v>
      </c>
      <c r="AY132" s="156">
        <f t="shared" si="43"/>
        <v>0</v>
      </c>
      <c r="AZ132" s="156">
        <f t="shared" si="43"/>
        <v>0</v>
      </c>
      <c r="BA132" s="156">
        <f t="shared" si="43"/>
        <v>0</v>
      </c>
      <c r="BB132" s="156">
        <f t="shared" si="43"/>
        <v>0</v>
      </c>
      <c r="BC132" s="156">
        <f t="shared" si="43"/>
        <v>0</v>
      </c>
      <c r="BD132" s="156">
        <f t="shared" si="43"/>
        <v>0</v>
      </c>
      <c r="BE132" s="156">
        <f t="shared" si="43"/>
        <v>0</v>
      </c>
      <c r="BF132" s="156">
        <f t="shared" si="43"/>
        <v>0</v>
      </c>
      <c r="BG132" s="158">
        <f t="shared" si="27"/>
        <v>0</v>
      </c>
    </row>
    <row r="133" spans="1:59" x14ac:dyDescent="0.25">
      <c r="A133" s="14"/>
      <c r="B133" s="15" t="str">
        <f t="shared" si="18"/>
        <v>IND_OPER__</v>
      </c>
      <c r="C133" s="83">
        <f t="shared" si="21"/>
        <v>0</v>
      </c>
      <c r="D133" s="15" t="str">
        <f>IFERROR("QTD_REC_"&amp;VLOOKUP($J133,#REF!,7,0),"")</f>
        <v/>
      </c>
      <c r="E133" s="14"/>
      <c r="F133" s="148"/>
      <c r="G133" s="149" t="str">
        <f>IFERROR(VLOOKUP(F133,#REF!,2,0),"")</f>
        <v/>
      </c>
      <c r="H133" s="150" t="str">
        <f>IFERROR(VLOOKUP(F133,#REF!,3,0),"")</f>
        <v/>
      </c>
      <c r="I133" s="151"/>
      <c r="J133" s="151"/>
      <c r="K133" s="150" t="str">
        <f>IFERROR(VLOOKUP($J133,#REF!,2,0),"")</f>
        <v/>
      </c>
      <c r="L133" s="150" t="str">
        <f t="shared" si="30"/>
        <v/>
      </c>
      <c r="M133" s="154"/>
      <c r="N133" s="180"/>
      <c r="O133" s="155"/>
      <c r="P133" s="156"/>
      <c r="Q133" s="156"/>
      <c r="R133" s="156"/>
      <c r="S133" s="156"/>
      <c r="T133" s="156"/>
      <c r="U133" s="156"/>
      <c r="V133" s="156"/>
      <c r="W133" s="156"/>
      <c r="X133" s="156"/>
      <c r="Y133" s="156"/>
      <c r="Z133" s="156"/>
      <c r="AA133" s="156"/>
      <c r="AB133" s="158">
        <f t="shared" si="37"/>
        <v>0</v>
      </c>
      <c r="AC133" s="159"/>
      <c r="AE133" s="160" t="str">
        <f t="shared" si="22"/>
        <v/>
      </c>
      <c r="AF133" s="161">
        <f t="shared" si="41"/>
        <v>0</v>
      </c>
      <c r="AG133" s="162">
        <f t="shared" si="41"/>
        <v>0</v>
      </c>
      <c r="AH133" s="162">
        <f t="shared" si="41"/>
        <v>0</v>
      </c>
      <c r="AI133" s="162">
        <f t="shared" si="41"/>
        <v>0</v>
      </c>
      <c r="AJ133" s="162">
        <f t="shared" si="41"/>
        <v>0</v>
      </c>
      <c r="AK133" s="162">
        <f t="shared" si="41"/>
        <v>0</v>
      </c>
      <c r="AL133" s="162">
        <f t="shared" si="41"/>
        <v>0</v>
      </c>
      <c r="AM133" s="162">
        <f t="shared" si="41"/>
        <v>0</v>
      </c>
      <c r="AN133" s="162">
        <f t="shared" si="41"/>
        <v>0</v>
      </c>
      <c r="AO133" s="162">
        <f t="shared" si="41"/>
        <v>0</v>
      </c>
      <c r="AP133" s="162">
        <f t="shared" si="41"/>
        <v>0</v>
      </c>
      <c r="AQ133" s="162">
        <f t="shared" si="41"/>
        <v>0</v>
      </c>
      <c r="AR133" s="163">
        <f t="shared" si="24"/>
        <v>0</v>
      </c>
      <c r="AT133" s="181" t="str">
        <f t="shared" si="42"/>
        <v/>
      </c>
      <c r="AU133" s="156">
        <f t="shared" si="42"/>
        <v>0</v>
      </c>
      <c r="AV133" s="156">
        <f t="shared" si="43"/>
        <v>0</v>
      </c>
      <c r="AW133" s="156">
        <f t="shared" si="43"/>
        <v>0</v>
      </c>
      <c r="AX133" s="156">
        <f t="shared" si="43"/>
        <v>0</v>
      </c>
      <c r="AY133" s="156">
        <f t="shared" si="43"/>
        <v>0</v>
      </c>
      <c r="AZ133" s="156">
        <f t="shared" si="43"/>
        <v>0</v>
      </c>
      <c r="BA133" s="156">
        <f t="shared" si="43"/>
        <v>0</v>
      </c>
      <c r="BB133" s="156">
        <f t="shared" si="43"/>
        <v>0</v>
      </c>
      <c r="BC133" s="156">
        <f t="shared" si="43"/>
        <v>0</v>
      </c>
      <c r="BD133" s="156">
        <f t="shared" si="43"/>
        <v>0</v>
      </c>
      <c r="BE133" s="156">
        <f t="shared" si="43"/>
        <v>0</v>
      </c>
      <c r="BF133" s="156">
        <f t="shared" si="43"/>
        <v>0</v>
      </c>
      <c r="BG133" s="158">
        <f t="shared" si="27"/>
        <v>0</v>
      </c>
    </row>
    <row r="134" spans="1:59" x14ac:dyDescent="0.25">
      <c r="A134" s="14"/>
      <c r="B134" s="15" t="str">
        <f t="shared" si="18"/>
        <v>IND_OPER__</v>
      </c>
      <c r="C134" s="83">
        <f t="shared" si="21"/>
        <v>0</v>
      </c>
      <c r="D134" s="15" t="str">
        <f>IFERROR("QTD_REC_"&amp;VLOOKUP($J134,#REF!,7,0),"")</f>
        <v/>
      </c>
      <c r="E134" s="14"/>
      <c r="F134" s="148"/>
      <c r="G134" s="149" t="str">
        <f>IFERROR(VLOOKUP(F134,#REF!,2,0),"")</f>
        <v/>
      </c>
      <c r="H134" s="150" t="str">
        <f>IFERROR(VLOOKUP(F134,#REF!,3,0),"")</f>
        <v/>
      </c>
      <c r="I134" s="151"/>
      <c r="J134" s="151"/>
      <c r="K134" s="150" t="str">
        <f>IFERROR(VLOOKUP($J134,#REF!,2,0),"")</f>
        <v/>
      </c>
      <c r="L134" s="150" t="str">
        <f t="shared" si="30"/>
        <v/>
      </c>
      <c r="M134" s="154"/>
      <c r="N134" s="180"/>
      <c r="O134" s="155"/>
      <c r="P134" s="156"/>
      <c r="Q134" s="156"/>
      <c r="R134" s="156"/>
      <c r="S134" s="156"/>
      <c r="T134" s="156"/>
      <c r="U134" s="156"/>
      <c r="V134" s="156"/>
      <c r="W134" s="156"/>
      <c r="X134" s="156"/>
      <c r="Y134" s="156"/>
      <c r="Z134" s="156"/>
      <c r="AA134" s="156"/>
      <c r="AB134" s="158">
        <f t="shared" si="37"/>
        <v>0</v>
      </c>
      <c r="AC134" s="159"/>
      <c r="AE134" s="160" t="str">
        <f t="shared" si="22"/>
        <v/>
      </c>
      <c r="AF134" s="161">
        <f t="shared" si="41"/>
        <v>0</v>
      </c>
      <c r="AG134" s="162">
        <f t="shared" si="41"/>
        <v>0</v>
      </c>
      <c r="AH134" s="162">
        <f t="shared" si="41"/>
        <v>0</v>
      </c>
      <c r="AI134" s="162">
        <f t="shared" si="41"/>
        <v>0</v>
      </c>
      <c r="AJ134" s="162">
        <f t="shared" si="41"/>
        <v>0</v>
      </c>
      <c r="AK134" s="162">
        <f t="shared" si="41"/>
        <v>0</v>
      </c>
      <c r="AL134" s="162">
        <f t="shared" si="41"/>
        <v>0</v>
      </c>
      <c r="AM134" s="162">
        <f t="shared" si="41"/>
        <v>0</v>
      </c>
      <c r="AN134" s="162">
        <f t="shared" si="41"/>
        <v>0</v>
      </c>
      <c r="AO134" s="162">
        <f t="shared" si="41"/>
        <v>0</v>
      </c>
      <c r="AP134" s="162">
        <f t="shared" si="41"/>
        <v>0</v>
      </c>
      <c r="AQ134" s="162">
        <f t="shared" si="41"/>
        <v>0</v>
      </c>
      <c r="AR134" s="163">
        <f t="shared" si="24"/>
        <v>0</v>
      </c>
      <c r="AT134" s="181" t="str">
        <f t="shared" si="42"/>
        <v/>
      </c>
      <c r="AU134" s="156">
        <f t="shared" si="42"/>
        <v>0</v>
      </c>
      <c r="AV134" s="156">
        <f t="shared" si="43"/>
        <v>0</v>
      </c>
      <c r="AW134" s="156">
        <f t="shared" si="43"/>
        <v>0</v>
      </c>
      <c r="AX134" s="156">
        <f t="shared" si="43"/>
        <v>0</v>
      </c>
      <c r="AY134" s="156">
        <f t="shared" si="43"/>
        <v>0</v>
      </c>
      <c r="AZ134" s="156">
        <f t="shared" si="43"/>
        <v>0</v>
      </c>
      <c r="BA134" s="156">
        <f t="shared" si="43"/>
        <v>0</v>
      </c>
      <c r="BB134" s="156">
        <f t="shared" si="43"/>
        <v>0</v>
      </c>
      <c r="BC134" s="156">
        <f t="shared" si="43"/>
        <v>0</v>
      </c>
      <c r="BD134" s="156">
        <f t="shared" si="43"/>
        <v>0</v>
      </c>
      <c r="BE134" s="156">
        <f t="shared" si="43"/>
        <v>0</v>
      </c>
      <c r="BF134" s="156">
        <f t="shared" si="43"/>
        <v>0</v>
      </c>
      <c r="BG134" s="158">
        <f t="shared" si="27"/>
        <v>0</v>
      </c>
    </row>
    <row r="135" spans="1:59" x14ac:dyDescent="0.25">
      <c r="A135" s="14"/>
      <c r="B135" s="15" t="str">
        <f t="shared" si="18"/>
        <v>IND_OPER__</v>
      </c>
      <c r="C135" s="83">
        <f t="shared" si="21"/>
        <v>0</v>
      </c>
      <c r="D135" s="15" t="str">
        <f>IFERROR("QTD_REC_"&amp;VLOOKUP($J135,#REF!,7,0),"")</f>
        <v/>
      </c>
      <c r="E135" s="14"/>
      <c r="F135" s="148"/>
      <c r="G135" s="149" t="str">
        <f>IFERROR(VLOOKUP(F135,#REF!,2,0),"")</f>
        <v/>
      </c>
      <c r="H135" s="150" t="str">
        <f>IFERROR(VLOOKUP(F135,#REF!,3,0),"")</f>
        <v/>
      </c>
      <c r="I135" s="151"/>
      <c r="J135" s="151"/>
      <c r="K135" s="150" t="str">
        <f>IFERROR(VLOOKUP($J135,#REF!,2,0),"")</f>
        <v/>
      </c>
      <c r="L135" s="150" t="str">
        <f t="shared" si="30"/>
        <v/>
      </c>
      <c r="M135" s="154"/>
      <c r="N135" s="180"/>
      <c r="O135" s="155"/>
      <c r="P135" s="156"/>
      <c r="Q135" s="156"/>
      <c r="R135" s="156"/>
      <c r="S135" s="156"/>
      <c r="T135" s="156"/>
      <c r="U135" s="156"/>
      <c r="V135" s="156"/>
      <c r="W135" s="156"/>
      <c r="X135" s="156"/>
      <c r="Y135" s="156"/>
      <c r="Z135" s="156"/>
      <c r="AA135" s="156"/>
      <c r="AB135" s="158">
        <f t="shared" si="37"/>
        <v>0</v>
      </c>
      <c r="AC135" s="159"/>
      <c r="AE135" s="160" t="str">
        <f t="shared" si="22"/>
        <v/>
      </c>
      <c r="AF135" s="161">
        <f t="shared" si="41"/>
        <v>0</v>
      </c>
      <c r="AG135" s="162">
        <f t="shared" si="41"/>
        <v>0</v>
      </c>
      <c r="AH135" s="162">
        <f t="shared" si="41"/>
        <v>0</v>
      </c>
      <c r="AI135" s="162">
        <f t="shared" si="41"/>
        <v>0</v>
      </c>
      <c r="AJ135" s="162">
        <f t="shared" si="41"/>
        <v>0</v>
      </c>
      <c r="AK135" s="162">
        <f t="shared" si="41"/>
        <v>0</v>
      </c>
      <c r="AL135" s="162">
        <f t="shared" si="41"/>
        <v>0</v>
      </c>
      <c r="AM135" s="162">
        <f t="shared" si="41"/>
        <v>0</v>
      </c>
      <c r="AN135" s="162">
        <f t="shared" si="41"/>
        <v>0</v>
      </c>
      <c r="AO135" s="162">
        <f t="shared" si="41"/>
        <v>0</v>
      </c>
      <c r="AP135" s="162">
        <f t="shared" si="41"/>
        <v>0</v>
      </c>
      <c r="AQ135" s="162">
        <f t="shared" si="41"/>
        <v>0</v>
      </c>
      <c r="AR135" s="163">
        <f t="shared" si="24"/>
        <v>0</v>
      </c>
      <c r="AT135" s="181" t="str">
        <f t="shared" si="42"/>
        <v/>
      </c>
      <c r="AU135" s="156">
        <f t="shared" si="42"/>
        <v>0</v>
      </c>
      <c r="AV135" s="156">
        <f t="shared" si="43"/>
        <v>0</v>
      </c>
      <c r="AW135" s="156">
        <f t="shared" si="43"/>
        <v>0</v>
      </c>
      <c r="AX135" s="156">
        <f t="shared" si="43"/>
        <v>0</v>
      </c>
      <c r="AY135" s="156">
        <f t="shared" si="43"/>
        <v>0</v>
      </c>
      <c r="AZ135" s="156">
        <f t="shared" si="43"/>
        <v>0</v>
      </c>
      <c r="BA135" s="156">
        <f t="shared" si="43"/>
        <v>0</v>
      </c>
      <c r="BB135" s="156">
        <f t="shared" si="43"/>
        <v>0</v>
      </c>
      <c r="BC135" s="156">
        <f t="shared" si="43"/>
        <v>0</v>
      </c>
      <c r="BD135" s="156">
        <f t="shared" si="43"/>
        <v>0</v>
      </c>
      <c r="BE135" s="156">
        <f t="shared" si="43"/>
        <v>0</v>
      </c>
      <c r="BF135" s="156">
        <f t="shared" si="43"/>
        <v>0</v>
      </c>
      <c r="BG135" s="158">
        <f t="shared" si="27"/>
        <v>0</v>
      </c>
    </row>
    <row r="136" spans="1:59" x14ac:dyDescent="0.25">
      <c r="A136" s="14"/>
      <c r="B136" s="15" t="str">
        <f t="shared" si="18"/>
        <v>IND_OPER__</v>
      </c>
      <c r="C136" s="83">
        <f t="shared" si="21"/>
        <v>0</v>
      </c>
      <c r="D136" s="15" t="str">
        <f>IFERROR("QTD_REC_"&amp;VLOOKUP($J136,#REF!,7,0),"")</f>
        <v/>
      </c>
      <c r="E136" s="14"/>
      <c r="F136" s="148"/>
      <c r="G136" s="149" t="str">
        <f>IFERROR(VLOOKUP(F136,#REF!,2,0),"")</f>
        <v/>
      </c>
      <c r="H136" s="150" t="str">
        <f>IFERROR(VLOOKUP(F136,#REF!,3,0),"")</f>
        <v/>
      </c>
      <c r="I136" s="151"/>
      <c r="J136" s="151"/>
      <c r="K136" s="150" t="str">
        <f>IFERROR(VLOOKUP($J136,#REF!,2,0),"")</f>
        <v/>
      </c>
      <c r="L136" s="150" t="str">
        <f t="shared" si="30"/>
        <v/>
      </c>
      <c r="M136" s="154"/>
      <c r="N136" s="180"/>
      <c r="O136" s="155"/>
      <c r="P136" s="156"/>
      <c r="Q136" s="156"/>
      <c r="R136" s="156"/>
      <c r="S136" s="156"/>
      <c r="T136" s="156"/>
      <c r="U136" s="156"/>
      <c r="V136" s="156"/>
      <c r="W136" s="156"/>
      <c r="X136" s="156"/>
      <c r="Y136" s="156"/>
      <c r="Z136" s="156"/>
      <c r="AA136" s="156"/>
      <c r="AB136" s="158">
        <f t="shared" si="37"/>
        <v>0</v>
      </c>
      <c r="AC136" s="159"/>
      <c r="AE136" s="160" t="str">
        <f t="shared" si="22"/>
        <v/>
      </c>
      <c r="AF136" s="161">
        <f t="shared" si="41"/>
        <v>0</v>
      </c>
      <c r="AG136" s="162">
        <f t="shared" si="41"/>
        <v>0</v>
      </c>
      <c r="AH136" s="162">
        <f t="shared" si="41"/>
        <v>0</v>
      </c>
      <c r="AI136" s="162">
        <f t="shared" si="41"/>
        <v>0</v>
      </c>
      <c r="AJ136" s="162">
        <f t="shared" si="41"/>
        <v>0</v>
      </c>
      <c r="AK136" s="162">
        <f t="shared" si="41"/>
        <v>0</v>
      </c>
      <c r="AL136" s="162">
        <f t="shared" si="41"/>
        <v>0</v>
      </c>
      <c r="AM136" s="162">
        <f t="shared" si="41"/>
        <v>0</v>
      </c>
      <c r="AN136" s="162">
        <f t="shared" si="41"/>
        <v>0</v>
      </c>
      <c r="AO136" s="162">
        <f t="shared" si="41"/>
        <v>0</v>
      </c>
      <c r="AP136" s="162">
        <f t="shared" si="41"/>
        <v>0</v>
      </c>
      <c r="AQ136" s="162">
        <f t="shared" si="41"/>
        <v>0</v>
      </c>
      <c r="AR136" s="163">
        <f t="shared" si="24"/>
        <v>0</v>
      </c>
      <c r="AT136" s="181" t="str">
        <f t="shared" si="42"/>
        <v/>
      </c>
      <c r="AU136" s="156">
        <f t="shared" si="42"/>
        <v>0</v>
      </c>
      <c r="AV136" s="156">
        <f t="shared" si="43"/>
        <v>0</v>
      </c>
      <c r="AW136" s="156">
        <f t="shared" si="43"/>
        <v>0</v>
      </c>
      <c r="AX136" s="156">
        <f t="shared" si="43"/>
        <v>0</v>
      </c>
      <c r="AY136" s="156">
        <f t="shared" si="43"/>
        <v>0</v>
      </c>
      <c r="AZ136" s="156">
        <f t="shared" si="43"/>
        <v>0</v>
      </c>
      <c r="BA136" s="156">
        <f t="shared" si="43"/>
        <v>0</v>
      </c>
      <c r="BB136" s="156">
        <f t="shared" si="43"/>
        <v>0</v>
      </c>
      <c r="BC136" s="156">
        <f t="shared" si="43"/>
        <v>0</v>
      </c>
      <c r="BD136" s="156">
        <f t="shared" si="43"/>
        <v>0</v>
      </c>
      <c r="BE136" s="156">
        <f t="shared" si="43"/>
        <v>0</v>
      </c>
      <c r="BF136" s="156">
        <f t="shared" si="43"/>
        <v>0</v>
      </c>
      <c r="BG136" s="158">
        <f t="shared" si="27"/>
        <v>0</v>
      </c>
    </row>
    <row r="137" spans="1:59" x14ac:dyDescent="0.25">
      <c r="A137" s="14"/>
      <c r="B137" s="15" t="str">
        <f t="shared" si="18"/>
        <v>IND_OPER__</v>
      </c>
      <c r="C137" s="83">
        <f t="shared" si="21"/>
        <v>0</v>
      </c>
      <c r="D137" s="15" t="str">
        <f>IFERROR("QTD_REC_"&amp;VLOOKUP($J137,#REF!,7,0),"")</f>
        <v/>
      </c>
      <c r="E137" s="14"/>
      <c r="F137" s="148"/>
      <c r="G137" s="149" t="str">
        <f>IFERROR(VLOOKUP(F137,#REF!,2,0),"")</f>
        <v/>
      </c>
      <c r="H137" s="150" t="str">
        <f>IFERROR(VLOOKUP(F137,#REF!,3,0),"")</f>
        <v/>
      </c>
      <c r="I137" s="151"/>
      <c r="J137" s="151"/>
      <c r="K137" s="150" t="str">
        <f>IFERROR(VLOOKUP($J137,#REF!,2,0),"")</f>
        <v/>
      </c>
      <c r="L137" s="150" t="str">
        <f t="shared" si="30"/>
        <v/>
      </c>
      <c r="M137" s="154"/>
      <c r="N137" s="180"/>
      <c r="O137" s="155"/>
      <c r="P137" s="156"/>
      <c r="Q137" s="156"/>
      <c r="R137" s="156"/>
      <c r="S137" s="156"/>
      <c r="T137" s="156"/>
      <c r="U137" s="156"/>
      <c r="V137" s="156"/>
      <c r="W137" s="156"/>
      <c r="X137" s="156"/>
      <c r="Y137" s="156"/>
      <c r="Z137" s="156"/>
      <c r="AA137" s="156"/>
      <c r="AB137" s="158">
        <f t="shared" si="37"/>
        <v>0</v>
      </c>
      <c r="AC137" s="159"/>
      <c r="AE137" s="160" t="str">
        <f t="shared" si="22"/>
        <v/>
      </c>
      <c r="AF137" s="161">
        <f t="shared" si="41"/>
        <v>0</v>
      </c>
      <c r="AG137" s="162">
        <f t="shared" si="41"/>
        <v>0</v>
      </c>
      <c r="AH137" s="162">
        <f t="shared" si="41"/>
        <v>0</v>
      </c>
      <c r="AI137" s="162">
        <f t="shared" si="41"/>
        <v>0</v>
      </c>
      <c r="AJ137" s="162">
        <f t="shared" si="41"/>
        <v>0</v>
      </c>
      <c r="AK137" s="162">
        <f t="shared" si="41"/>
        <v>0</v>
      </c>
      <c r="AL137" s="162">
        <f t="shared" si="41"/>
        <v>0</v>
      </c>
      <c r="AM137" s="162">
        <f t="shared" si="41"/>
        <v>0</v>
      </c>
      <c r="AN137" s="162">
        <f t="shared" si="41"/>
        <v>0</v>
      </c>
      <c r="AO137" s="162">
        <f t="shared" si="41"/>
        <v>0</v>
      </c>
      <c r="AP137" s="162">
        <f t="shared" si="41"/>
        <v>0</v>
      </c>
      <c r="AQ137" s="162">
        <f t="shared" si="41"/>
        <v>0</v>
      </c>
      <c r="AR137" s="163">
        <f t="shared" si="24"/>
        <v>0</v>
      </c>
      <c r="AT137" s="181" t="str">
        <f t="shared" si="42"/>
        <v/>
      </c>
      <c r="AU137" s="156">
        <f t="shared" si="42"/>
        <v>0</v>
      </c>
      <c r="AV137" s="156">
        <f t="shared" si="43"/>
        <v>0</v>
      </c>
      <c r="AW137" s="156">
        <f t="shared" si="43"/>
        <v>0</v>
      </c>
      <c r="AX137" s="156">
        <f t="shared" si="43"/>
        <v>0</v>
      </c>
      <c r="AY137" s="156">
        <f t="shared" si="43"/>
        <v>0</v>
      </c>
      <c r="AZ137" s="156">
        <f t="shared" si="43"/>
        <v>0</v>
      </c>
      <c r="BA137" s="156">
        <f t="shared" si="43"/>
        <v>0</v>
      </c>
      <c r="BB137" s="156">
        <f t="shared" si="43"/>
        <v>0</v>
      </c>
      <c r="BC137" s="156">
        <f t="shared" si="43"/>
        <v>0</v>
      </c>
      <c r="BD137" s="156">
        <f t="shared" si="43"/>
        <v>0</v>
      </c>
      <c r="BE137" s="156">
        <f t="shared" si="43"/>
        <v>0</v>
      </c>
      <c r="BF137" s="156">
        <f t="shared" si="43"/>
        <v>0</v>
      </c>
      <c r="BG137" s="158">
        <f t="shared" si="27"/>
        <v>0</v>
      </c>
    </row>
    <row r="138" spans="1:59" x14ac:dyDescent="0.25">
      <c r="A138" s="14"/>
      <c r="B138" s="15" t="str">
        <f t="shared" si="18"/>
        <v>IND_OPER__</v>
      </c>
      <c r="C138" s="83">
        <f t="shared" si="21"/>
        <v>0</v>
      </c>
      <c r="D138" s="15" t="str">
        <f>IFERROR("QTD_REC_"&amp;VLOOKUP($J138,#REF!,7,0),"")</f>
        <v/>
      </c>
      <c r="F138" s="164"/>
      <c r="G138" s="183" t="str">
        <f>IFERROR(VLOOKUP(F138,#REF!,2,0),"")</f>
        <v/>
      </c>
      <c r="H138" s="183" t="str">
        <f>IFERROR(VLOOKUP(F138,#REF!,3,0),"")</f>
        <v/>
      </c>
      <c r="I138" s="165"/>
      <c r="J138" s="165"/>
      <c r="K138" s="184" t="str">
        <f>IFERROR(VLOOKUP($J138,#REF!,2,0),"")</f>
        <v/>
      </c>
      <c r="L138" s="184" t="str">
        <f t="shared" si="30"/>
        <v/>
      </c>
      <c r="M138" s="168"/>
      <c r="N138" s="185"/>
      <c r="O138" s="169"/>
      <c r="P138" s="170"/>
      <c r="Q138" s="170"/>
      <c r="R138" s="170"/>
      <c r="S138" s="170"/>
      <c r="T138" s="170"/>
      <c r="U138" s="170"/>
      <c r="V138" s="170"/>
      <c r="W138" s="170"/>
      <c r="X138" s="170"/>
      <c r="Y138" s="170"/>
      <c r="Z138" s="170"/>
      <c r="AA138" s="170"/>
      <c r="AB138" s="171">
        <f t="shared" si="37"/>
        <v>0</v>
      </c>
      <c r="AC138" s="186"/>
      <c r="AE138" s="173" t="str">
        <f t="shared" si="22"/>
        <v/>
      </c>
      <c r="AF138" s="174">
        <f t="shared" si="41"/>
        <v>0</v>
      </c>
      <c r="AG138" s="175">
        <f t="shared" si="41"/>
        <v>0</v>
      </c>
      <c r="AH138" s="175">
        <f t="shared" si="41"/>
        <v>0</v>
      </c>
      <c r="AI138" s="175">
        <f t="shared" si="41"/>
        <v>0</v>
      </c>
      <c r="AJ138" s="175">
        <f t="shared" si="41"/>
        <v>0</v>
      </c>
      <c r="AK138" s="175">
        <f t="shared" si="41"/>
        <v>0</v>
      </c>
      <c r="AL138" s="175">
        <f t="shared" si="41"/>
        <v>0</v>
      </c>
      <c r="AM138" s="175">
        <f t="shared" si="41"/>
        <v>0</v>
      </c>
      <c r="AN138" s="175">
        <f t="shared" si="41"/>
        <v>0</v>
      </c>
      <c r="AO138" s="175">
        <f t="shared" si="41"/>
        <v>0</v>
      </c>
      <c r="AP138" s="175">
        <f t="shared" si="41"/>
        <v>0</v>
      </c>
      <c r="AQ138" s="175">
        <f t="shared" si="41"/>
        <v>0</v>
      </c>
      <c r="AR138" s="176">
        <f t="shared" si="24"/>
        <v>0</v>
      </c>
      <c r="AT138" s="187" t="str">
        <f t="shared" si="42"/>
        <v/>
      </c>
      <c r="AU138" s="170">
        <f t="shared" si="42"/>
        <v>0</v>
      </c>
      <c r="AV138" s="170">
        <f t="shared" si="43"/>
        <v>0</v>
      </c>
      <c r="AW138" s="170">
        <f t="shared" si="43"/>
        <v>0</v>
      </c>
      <c r="AX138" s="170">
        <f t="shared" si="43"/>
        <v>0</v>
      </c>
      <c r="AY138" s="170">
        <f t="shared" si="43"/>
        <v>0</v>
      </c>
      <c r="AZ138" s="170">
        <f t="shared" si="43"/>
        <v>0</v>
      </c>
      <c r="BA138" s="170">
        <f t="shared" si="43"/>
        <v>0</v>
      </c>
      <c r="BB138" s="170">
        <f t="shared" si="43"/>
        <v>0</v>
      </c>
      <c r="BC138" s="170">
        <f t="shared" si="43"/>
        <v>0</v>
      </c>
      <c r="BD138" s="170">
        <f t="shared" si="43"/>
        <v>0</v>
      </c>
      <c r="BE138" s="170">
        <f t="shared" si="43"/>
        <v>0</v>
      </c>
      <c r="BF138" s="170">
        <f t="shared" si="43"/>
        <v>0</v>
      </c>
      <c r="BG138" s="171">
        <f t="shared" si="27"/>
        <v>0</v>
      </c>
    </row>
    <row r="139" spans="1:59" x14ac:dyDescent="0.25">
      <c r="A139" s="14"/>
      <c r="F139" s="105"/>
      <c r="G139" s="188"/>
      <c r="AE139" s="15"/>
      <c r="AF139" s="18"/>
      <c r="AG139" s="18"/>
      <c r="AH139" s="18"/>
      <c r="AI139" s="18"/>
      <c r="AJ139" s="18"/>
      <c r="AK139" s="18"/>
      <c r="AL139" s="19"/>
      <c r="AM139" s="18"/>
      <c r="AN139" s="18"/>
      <c r="AO139" s="18"/>
      <c r="AP139" s="18"/>
      <c r="AQ139" s="18"/>
      <c r="AR139" s="18"/>
    </row>
    <row r="140" spans="1:59" ht="25.5" customHeight="1" x14ac:dyDescent="0.25">
      <c r="A140" s="14"/>
      <c r="F140" s="137" t="s">
        <v>244</v>
      </c>
      <c r="G140" s="138"/>
      <c r="H140" s="139" t="s">
        <v>217</v>
      </c>
      <c r="I140" s="139" t="s">
        <v>218</v>
      </c>
      <c r="J140" s="139" t="s">
        <v>229</v>
      </c>
      <c r="K140" s="139" t="s">
        <v>245</v>
      </c>
      <c r="L140" s="143" t="s">
        <v>246</v>
      </c>
      <c r="M140" s="142" t="s">
        <v>233</v>
      </c>
      <c r="N140" s="142" t="s">
        <v>233</v>
      </c>
      <c r="O140" s="143" t="s">
        <v>222</v>
      </c>
      <c r="P140" s="35">
        <f t="shared" ref="P140:AA140" si="44">P$9</f>
        <v>46113</v>
      </c>
      <c r="Q140" s="35">
        <f t="shared" si="44"/>
        <v>46143</v>
      </c>
      <c r="R140" s="35">
        <f t="shared" si="44"/>
        <v>46174</v>
      </c>
      <c r="S140" s="35">
        <f t="shared" si="44"/>
        <v>46204</v>
      </c>
      <c r="T140" s="35">
        <f t="shared" si="44"/>
        <v>46235</v>
      </c>
      <c r="U140" s="35">
        <f t="shared" si="44"/>
        <v>46266</v>
      </c>
      <c r="V140" s="35">
        <f t="shared" si="44"/>
        <v>46296</v>
      </c>
      <c r="W140" s="35">
        <f t="shared" si="44"/>
        <v>46327</v>
      </c>
      <c r="X140" s="35">
        <f t="shared" si="44"/>
        <v>46357</v>
      </c>
      <c r="Y140" s="35">
        <f t="shared" si="44"/>
        <v>46388</v>
      </c>
      <c r="Z140" s="35">
        <f t="shared" si="44"/>
        <v>46419</v>
      </c>
      <c r="AA140" s="35">
        <f t="shared" si="44"/>
        <v>46447</v>
      </c>
      <c r="AB140" s="81" t="s">
        <v>225</v>
      </c>
      <c r="AC140" s="82" t="s">
        <v>192</v>
      </c>
      <c r="AE140" s="189" t="s">
        <v>247</v>
      </c>
      <c r="AF140" s="35">
        <f t="shared" ref="AF140:AQ140" si="45">P140</f>
        <v>46113</v>
      </c>
      <c r="AG140" s="35">
        <f t="shared" si="45"/>
        <v>46143</v>
      </c>
      <c r="AH140" s="35">
        <f t="shared" si="45"/>
        <v>46174</v>
      </c>
      <c r="AI140" s="35">
        <f t="shared" si="45"/>
        <v>46204</v>
      </c>
      <c r="AJ140" s="35">
        <f t="shared" si="45"/>
        <v>46235</v>
      </c>
      <c r="AK140" s="35">
        <f t="shared" si="45"/>
        <v>46266</v>
      </c>
      <c r="AL140" s="35">
        <f t="shared" si="45"/>
        <v>46296</v>
      </c>
      <c r="AM140" s="35">
        <f t="shared" si="45"/>
        <v>46327</v>
      </c>
      <c r="AN140" s="35">
        <f t="shared" si="45"/>
        <v>46357</v>
      </c>
      <c r="AO140" s="35">
        <f t="shared" si="45"/>
        <v>46388</v>
      </c>
      <c r="AP140" s="35">
        <f t="shared" si="45"/>
        <v>46419</v>
      </c>
      <c r="AQ140" s="35">
        <f t="shared" si="45"/>
        <v>46447</v>
      </c>
      <c r="AR140" s="81" t="s">
        <v>85</v>
      </c>
    </row>
    <row r="141" spans="1:59" x14ac:dyDescent="0.25">
      <c r="A141" s="14"/>
      <c r="B141" s="15" t="str">
        <f t="shared" ref="B141:B185" si="46">"IND_COMB_"&amp;F141&amp;"_"&amp;J141</f>
        <v>IND_COMB_1096_1</v>
      </c>
      <c r="C141" s="83"/>
      <c r="F141" s="190">
        <f t="shared" ref="F141:J156" si="47">F94</f>
        <v>1096</v>
      </c>
      <c r="G141" s="149" t="str">
        <f t="shared" si="47"/>
        <v xml:space="preserve">PRÉ PLANTIO INCORPORADO (PPI) </v>
      </c>
      <c r="H141" s="150" t="s">
        <v>248</v>
      </c>
      <c r="I141" s="150" t="str">
        <f t="shared" si="47"/>
        <v>PREPSP</v>
      </c>
      <c r="J141" s="150">
        <f t="shared" si="47"/>
        <v>1</v>
      </c>
      <c r="K141" s="150" t="str">
        <f>IFERROR(VLOOKUP($J141,#REF!,3,0),"")</f>
        <v/>
      </c>
      <c r="L141" s="150" t="str">
        <f>IFERROR(VLOOKUP($J141,#REF!,5,0),"")</f>
        <v/>
      </c>
      <c r="M141" s="191">
        <f>N94</f>
        <v>0</v>
      </c>
      <c r="N141" s="192">
        <f t="shared" ref="N141:O156" si="48">N94</f>
        <v>0</v>
      </c>
      <c r="O141" s="193">
        <f t="shared" si="48"/>
        <v>1</v>
      </c>
      <c r="P141" s="162">
        <f t="shared" ref="P141:AA156" si="49">$M141</f>
        <v>0</v>
      </c>
      <c r="Q141" s="162">
        <f t="shared" si="49"/>
        <v>0</v>
      </c>
      <c r="R141" s="162">
        <f t="shared" si="49"/>
        <v>0</v>
      </c>
      <c r="S141" s="162">
        <f t="shared" si="49"/>
        <v>0</v>
      </c>
      <c r="T141" s="162">
        <f t="shared" si="49"/>
        <v>0</v>
      </c>
      <c r="U141" s="162">
        <f t="shared" si="49"/>
        <v>0</v>
      </c>
      <c r="V141" s="162">
        <f t="shared" si="49"/>
        <v>0</v>
      </c>
      <c r="W141" s="162">
        <f t="shared" si="49"/>
        <v>0</v>
      </c>
      <c r="X141" s="162">
        <f t="shared" si="49"/>
        <v>0</v>
      </c>
      <c r="Y141" s="162">
        <f t="shared" si="49"/>
        <v>0</v>
      </c>
      <c r="Z141" s="162">
        <f t="shared" si="49"/>
        <v>0</v>
      </c>
      <c r="AA141" s="162">
        <f t="shared" si="49"/>
        <v>0</v>
      </c>
      <c r="AB141" s="163">
        <f>AVERAGE(P141:AA141)</f>
        <v>0</v>
      </c>
      <c r="AC141" s="159"/>
      <c r="AE141" s="194" t="str">
        <f>IF(J141="","",J141&amp;" - "&amp;"LTS"&amp;" ("&amp;F141&amp;" - "&amp;G141&amp;")")</f>
        <v>1 - LTS (1096 - PRÉ PLANTIO INCORPORADO (PPI) )</v>
      </c>
      <c r="AF141" s="161">
        <f>IFERROR(IF($L141="LTS/HS",P141*AF94,IF($L141="KM/LTS",AF94/P141,0)),0)</f>
        <v>0</v>
      </c>
      <c r="AG141" s="162">
        <f t="shared" ref="AG141:AQ141" si="50">IFERROR(IF($L141="LTS/HS",Q141*AG94,IF($L141="KM/LTS",AG94/Q141,0)),0)</f>
        <v>0</v>
      </c>
      <c r="AH141" s="162">
        <f t="shared" si="50"/>
        <v>0</v>
      </c>
      <c r="AI141" s="162">
        <f t="shared" si="50"/>
        <v>0</v>
      </c>
      <c r="AJ141" s="162">
        <f t="shared" si="50"/>
        <v>0</v>
      </c>
      <c r="AK141" s="162">
        <f t="shared" si="50"/>
        <v>0</v>
      </c>
      <c r="AL141" s="162">
        <f t="shared" si="50"/>
        <v>0</v>
      </c>
      <c r="AM141" s="162">
        <f t="shared" si="50"/>
        <v>0</v>
      </c>
      <c r="AN141" s="162">
        <f t="shared" si="50"/>
        <v>0</v>
      </c>
      <c r="AO141" s="162">
        <f t="shared" si="50"/>
        <v>0</v>
      </c>
      <c r="AP141" s="162">
        <f t="shared" si="50"/>
        <v>0</v>
      </c>
      <c r="AQ141" s="162">
        <f t="shared" si="50"/>
        <v>0</v>
      </c>
      <c r="AR141" s="163">
        <f>SUM(AF141:AQ141)</f>
        <v>0</v>
      </c>
    </row>
    <row r="142" spans="1:59" x14ac:dyDescent="0.25">
      <c r="A142" s="14"/>
      <c r="B142" s="15" t="str">
        <f t="shared" si="46"/>
        <v>IND_COMB_1079_1</v>
      </c>
      <c r="F142" s="190">
        <f t="shared" si="47"/>
        <v>1079</v>
      </c>
      <c r="G142" s="149" t="str">
        <f t="shared" si="47"/>
        <v xml:space="preserve">APLICAÇÃO DESSECAÇÃO          </v>
      </c>
      <c r="H142" s="150" t="s">
        <v>248</v>
      </c>
      <c r="I142" s="150" t="str">
        <f t="shared" si="47"/>
        <v>PREPSP</v>
      </c>
      <c r="J142" s="150">
        <f t="shared" si="47"/>
        <v>1</v>
      </c>
      <c r="K142" s="150" t="str">
        <f>IFERROR(VLOOKUP($J142,#REF!,3,0),"")</f>
        <v/>
      </c>
      <c r="L142" s="150" t="str">
        <f>IFERROR(VLOOKUP($J142,#REF!,5,0),"")</f>
        <v/>
      </c>
      <c r="M142" s="191">
        <f t="shared" ref="M142:M185" si="51">N95</f>
        <v>0</v>
      </c>
      <c r="N142" s="192">
        <f t="shared" si="48"/>
        <v>0</v>
      </c>
      <c r="O142" s="193">
        <f t="shared" si="48"/>
        <v>1</v>
      </c>
      <c r="P142" s="162">
        <f t="shared" si="49"/>
        <v>0</v>
      </c>
      <c r="Q142" s="162">
        <f t="shared" si="49"/>
        <v>0</v>
      </c>
      <c r="R142" s="162">
        <f t="shared" si="49"/>
        <v>0</v>
      </c>
      <c r="S142" s="162">
        <f t="shared" si="49"/>
        <v>0</v>
      </c>
      <c r="T142" s="162">
        <f t="shared" si="49"/>
        <v>0</v>
      </c>
      <c r="U142" s="162">
        <f t="shared" si="49"/>
        <v>0</v>
      </c>
      <c r="V142" s="162">
        <f t="shared" si="49"/>
        <v>0</v>
      </c>
      <c r="W142" s="162">
        <f t="shared" si="49"/>
        <v>0</v>
      </c>
      <c r="X142" s="162">
        <f t="shared" si="49"/>
        <v>0</v>
      </c>
      <c r="Y142" s="162">
        <f t="shared" si="49"/>
        <v>0</v>
      </c>
      <c r="Z142" s="162">
        <f t="shared" si="49"/>
        <v>0</v>
      </c>
      <c r="AA142" s="162">
        <f t="shared" si="49"/>
        <v>0</v>
      </c>
      <c r="AB142" s="163">
        <f t="shared" ref="AB142:AB185" si="52">AVERAGE(P142:AA142)</f>
        <v>0</v>
      </c>
      <c r="AC142" s="159"/>
      <c r="AE142" s="194" t="str">
        <f t="shared" ref="AE142:AE185" si="53">IF(J142="","",J142&amp;" - "&amp;"LTS"&amp;" ("&amp;F142&amp;" - "&amp;G142&amp;")")</f>
        <v>1 - LTS (1079 - APLICAÇÃO DESSECAÇÃO          )</v>
      </c>
      <c r="AF142" s="161">
        <f t="shared" ref="AF142:AQ157" si="54">IFERROR(IF($L142="LTS/HS",P142*AF95,IF($L142="KM/LTS",AF95/P142,0)),0)</f>
        <v>0</v>
      </c>
      <c r="AG142" s="162">
        <f t="shared" si="54"/>
        <v>0</v>
      </c>
      <c r="AH142" s="162">
        <f t="shared" si="54"/>
        <v>0</v>
      </c>
      <c r="AI142" s="162">
        <f t="shared" si="54"/>
        <v>0</v>
      </c>
      <c r="AJ142" s="162">
        <f t="shared" si="54"/>
        <v>0</v>
      </c>
      <c r="AK142" s="162">
        <f t="shared" si="54"/>
        <v>0</v>
      </c>
      <c r="AL142" s="162">
        <f t="shared" si="54"/>
        <v>0</v>
      </c>
      <c r="AM142" s="162">
        <f t="shared" si="54"/>
        <v>0</v>
      </c>
      <c r="AN142" s="162">
        <f t="shared" si="54"/>
        <v>0</v>
      </c>
      <c r="AO142" s="162">
        <f t="shared" si="54"/>
        <v>0</v>
      </c>
      <c r="AP142" s="162">
        <f t="shared" si="54"/>
        <v>0</v>
      </c>
      <c r="AQ142" s="162">
        <f t="shared" si="54"/>
        <v>0</v>
      </c>
      <c r="AR142" s="163">
        <f t="shared" ref="AR142:AR185" si="55">SUM(AF142:AQ142)</f>
        <v>0</v>
      </c>
    </row>
    <row r="143" spans="1:59" x14ac:dyDescent="0.25">
      <c r="A143" s="14"/>
      <c r="B143" s="15" t="str">
        <f t="shared" si="46"/>
        <v>IND_COMB_1028_1</v>
      </c>
      <c r="F143" s="190">
        <f t="shared" si="47"/>
        <v>1028</v>
      </c>
      <c r="G143" s="149" t="str">
        <f t="shared" si="47"/>
        <v xml:space="preserve">APLICAÇÃO MISTA CORREÇÃO SOLO </v>
      </c>
      <c r="H143" s="150" t="str">
        <f t="shared" si="47"/>
        <v>HA</v>
      </c>
      <c r="I143" s="150" t="str">
        <f t="shared" si="47"/>
        <v>PREPSP</v>
      </c>
      <c r="J143" s="150">
        <f t="shared" si="47"/>
        <v>1</v>
      </c>
      <c r="K143" s="150" t="str">
        <f>IFERROR(VLOOKUP($J143,#REF!,3,0),"")</f>
        <v/>
      </c>
      <c r="L143" s="150" t="str">
        <f>IFERROR(VLOOKUP($J143,#REF!,5,0),"")</f>
        <v/>
      </c>
      <c r="M143" s="191">
        <f t="shared" si="51"/>
        <v>0</v>
      </c>
      <c r="N143" s="192">
        <f t="shared" si="48"/>
        <v>0</v>
      </c>
      <c r="O143" s="193">
        <f t="shared" si="48"/>
        <v>1</v>
      </c>
      <c r="P143" s="162">
        <f t="shared" si="49"/>
        <v>0</v>
      </c>
      <c r="Q143" s="162">
        <f t="shared" si="49"/>
        <v>0</v>
      </c>
      <c r="R143" s="162">
        <f t="shared" si="49"/>
        <v>0</v>
      </c>
      <c r="S143" s="162">
        <f t="shared" si="49"/>
        <v>0</v>
      </c>
      <c r="T143" s="162">
        <f t="shared" si="49"/>
        <v>0</v>
      </c>
      <c r="U143" s="162">
        <f t="shared" si="49"/>
        <v>0</v>
      </c>
      <c r="V143" s="162">
        <f t="shared" si="49"/>
        <v>0</v>
      </c>
      <c r="W143" s="162">
        <f t="shared" si="49"/>
        <v>0</v>
      </c>
      <c r="X143" s="162">
        <f t="shared" si="49"/>
        <v>0</v>
      </c>
      <c r="Y143" s="162">
        <f t="shared" si="49"/>
        <v>0</v>
      </c>
      <c r="Z143" s="162">
        <f t="shared" si="49"/>
        <v>0</v>
      </c>
      <c r="AA143" s="162">
        <f t="shared" si="49"/>
        <v>0</v>
      </c>
      <c r="AB143" s="163">
        <f t="shared" si="52"/>
        <v>0</v>
      </c>
      <c r="AC143" s="159"/>
      <c r="AE143" s="194" t="str">
        <f t="shared" si="53"/>
        <v>1 - LTS (1028 - APLICAÇÃO MISTA CORREÇÃO SOLO )</v>
      </c>
      <c r="AF143" s="161">
        <f t="shared" si="54"/>
        <v>0</v>
      </c>
      <c r="AG143" s="162">
        <f t="shared" si="54"/>
        <v>0</v>
      </c>
      <c r="AH143" s="162">
        <f t="shared" si="54"/>
        <v>0</v>
      </c>
      <c r="AI143" s="162">
        <f t="shared" si="54"/>
        <v>0</v>
      </c>
      <c r="AJ143" s="162">
        <f t="shared" si="54"/>
        <v>0</v>
      </c>
      <c r="AK143" s="162">
        <f t="shared" si="54"/>
        <v>0</v>
      </c>
      <c r="AL143" s="162">
        <f t="shared" si="54"/>
        <v>0</v>
      </c>
      <c r="AM143" s="162">
        <f t="shared" si="54"/>
        <v>0</v>
      </c>
      <c r="AN143" s="162">
        <f t="shared" si="54"/>
        <v>0</v>
      </c>
      <c r="AO143" s="162">
        <f t="shared" si="54"/>
        <v>0</v>
      </c>
      <c r="AP143" s="162">
        <f t="shared" si="54"/>
        <v>0</v>
      </c>
      <c r="AQ143" s="162">
        <f t="shared" si="54"/>
        <v>0</v>
      </c>
      <c r="AR143" s="163">
        <f t="shared" si="55"/>
        <v>0</v>
      </c>
    </row>
    <row r="144" spans="1:59" x14ac:dyDescent="0.25">
      <c r="A144" s="14"/>
      <c r="B144" s="15" t="str">
        <f t="shared" si="46"/>
        <v>IND_COMB_1029_1</v>
      </c>
      <c r="F144" s="190">
        <f t="shared" si="47"/>
        <v>1029</v>
      </c>
      <c r="G144" s="149" t="str">
        <f t="shared" si="47"/>
        <v xml:space="preserve">APLICAÇÃO MISTA CORREÇÃO SOLO </v>
      </c>
      <c r="H144" s="150" t="str">
        <f t="shared" si="47"/>
        <v>HA</v>
      </c>
      <c r="I144" s="150" t="str">
        <f t="shared" si="47"/>
        <v>PREPSP</v>
      </c>
      <c r="J144" s="150">
        <f t="shared" si="47"/>
        <v>1</v>
      </c>
      <c r="K144" s="150" t="str">
        <f>IFERROR(VLOOKUP($J144,#REF!,3,0),"")</f>
        <v/>
      </c>
      <c r="L144" s="150" t="str">
        <f>IFERROR(VLOOKUP($J144,#REF!,5,0),"")</f>
        <v/>
      </c>
      <c r="M144" s="191">
        <f t="shared" si="51"/>
        <v>0</v>
      </c>
      <c r="N144" s="192">
        <f t="shared" si="48"/>
        <v>0</v>
      </c>
      <c r="O144" s="193">
        <f t="shared" si="48"/>
        <v>1</v>
      </c>
      <c r="P144" s="162">
        <f t="shared" si="49"/>
        <v>0</v>
      </c>
      <c r="Q144" s="162">
        <f t="shared" si="49"/>
        <v>0</v>
      </c>
      <c r="R144" s="162">
        <f t="shared" si="49"/>
        <v>0</v>
      </c>
      <c r="S144" s="162">
        <f t="shared" si="49"/>
        <v>0</v>
      </c>
      <c r="T144" s="162">
        <f t="shared" si="49"/>
        <v>0</v>
      </c>
      <c r="U144" s="162">
        <f t="shared" si="49"/>
        <v>0</v>
      </c>
      <c r="V144" s="162">
        <f t="shared" si="49"/>
        <v>0</v>
      </c>
      <c r="W144" s="162">
        <f t="shared" si="49"/>
        <v>0</v>
      </c>
      <c r="X144" s="162">
        <f t="shared" si="49"/>
        <v>0</v>
      </c>
      <c r="Y144" s="162">
        <f t="shared" si="49"/>
        <v>0</v>
      </c>
      <c r="Z144" s="162">
        <f t="shared" si="49"/>
        <v>0</v>
      </c>
      <c r="AA144" s="162">
        <f t="shared" si="49"/>
        <v>0</v>
      </c>
      <c r="AB144" s="163">
        <f t="shared" si="52"/>
        <v>0</v>
      </c>
      <c r="AC144" s="159"/>
      <c r="AE144" s="194" t="str">
        <f t="shared" si="53"/>
        <v>1 - LTS (1029 - APLICAÇÃO MISTA CORREÇÃO SOLO )</v>
      </c>
      <c r="AF144" s="161">
        <f t="shared" si="54"/>
        <v>0</v>
      </c>
      <c r="AG144" s="162">
        <f t="shared" si="54"/>
        <v>0</v>
      </c>
      <c r="AH144" s="162">
        <f t="shared" si="54"/>
        <v>0</v>
      </c>
      <c r="AI144" s="162">
        <f t="shared" si="54"/>
        <v>0</v>
      </c>
      <c r="AJ144" s="162">
        <f t="shared" si="54"/>
        <v>0</v>
      </c>
      <c r="AK144" s="162">
        <f t="shared" si="54"/>
        <v>0</v>
      </c>
      <c r="AL144" s="162">
        <f t="shared" si="54"/>
        <v>0</v>
      </c>
      <c r="AM144" s="162">
        <f t="shared" si="54"/>
        <v>0</v>
      </c>
      <c r="AN144" s="162">
        <f t="shared" si="54"/>
        <v>0</v>
      </c>
      <c r="AO144" s="162">
        <f t="shared" si="54"/>
        <v>0</v>
      </c>
      <c r="AP144" s="162">
        <f t="shared" si="54"/>
        <v>0</v>
      </c>
      <c r="AQ144" s="162">
        <f t="shared" si="54"/>
        <v>0</v>
      </c>
      <c r="AR144" s="163">
        <f t="shared" si="55"/>
        <v>0</v>
      </c>
    </row>
    <row r="145" spans="1:44" x14ac:dyDescent="0.25">
      <c r="A145" s="14"/>
      <c r="B145" s="15" t="str">
        <f t="shared" si="46"/>
        <v>IND_COMB_0_0</v>
      </c>
      <c r="F145" s="190">
        <f t="shared" si="47"/>
        <v>0</v>
      </c>
      <c r="G145" s="149" t="str">
        <f t="shared" si="47"/>
        <v/>
      </c>
      <c r="H145" s="150" t="str">
        <f t="shared" si="47"/>
        <v/>
      </c>
      <c r="I145" s="150">
        <f t="shared" si="47"/>
        <v>0</v>
      </c>
      <c r="J145" s="150">
        <f t="shared" si="47"/>
        <v>0</v>
      </c>
      <c r="K145" s="150" t="str">
        <f>IFERROR(VLOOKUP($J145,#REF!,3,0),"")</f>
        <v/>
      </c>
      <c r="L145" s="150" t="str">
        <f>IFERROR(VLOOKUP($J145,#REF!,5,0),"")</f>
        <v/>
      </c>
      <c r="M145" s="191">
        <f t="shared" si="51"/>
        <v>0</v>
      </c>
      <c r="N145" s="192">
        <f t="shared" si="48"/>
        <v>0</v>
      </c>
      <c r="O145" s="193">
        <f t="shared" si="48"/>
        <v>0</v>
      </c>
      <c r="P145" s="162">
        <f t="shared" si="49"/>
        <v>0</v>
      </c>
      <c r="Q145" s="162">
        <f t="shared" si="49"/>
        <v>0</v>
      </c>
      <c r="R145" s="162">
        <f t="shared" si="49"/>
        <v>0</v>
      </c>
      <c r="S145" s="162">
        <f t="shared" si="49"/>
        <v>0</v>
      </c>
      <c r="T145" s="162">
        <f t="shared" si="49"/>
        <v>0</v>
      </c>
      <c r="U145" s="162">
        <f t="shared" si="49"/>
        <v>0</v>
      </c>
      <c r="V145" s="162">
        <f t="shared" si="49"/>
        <v>0</v>
      </c>
      <c r="W145" s="162">
        <f t="shared" si="49"/>
        <v>0</v>
      </c>
      <c r="X145" s="162">
        <f t="shared" si="49"/>
        <v>0</v>
      </c>
      <c r="Y145" s="162">
        <f t="shared" si="49"/>
        <v>0</v>
      </c>
      <c r="Z145" s="162">
        <f t="shared" si="49"/>
        <v>0</v>
      </c>
      <c r="AA145" s="162">
        <f t="shared" si="49"/>
        <v>0</v>
      </c>
      <c r="AB145" s="163">
        <f t="shared" si="52"/>
        <v>0</v>
      </c>
      <c r="AC145" s="159"/>
      <c r="AE145" s="194" t="str">
        <f t="shared" si="53"/>
        <v>0 - LTS (0 - )</v>
      </c>
      <c r="AF145" s="161">
        <f t="shared" si="54"/>
        <v>0</v>
      </c>
      <c r="AG145" s="162">
        <f t="shared" si="54"/>
        <v>0</v>
      </c>
      <c r="AH145" s="162">
        <f t="shared" si="54"/>
        <v>0</v>
      </c>
      <c r="AI145" s="162">
        <f t="shared" si="54"/>
        <v>0</v>
      </c>
      <c r="AJ145" s="162">
        <f t="shared" si="54"/>
        <v>0</v>
      </c>
      <c r="AK145" s="162">
        <f t="shared" si="54"/>
        <v>0</v>
      </c>
      <c r="AL145" s="162">
        <f t="shared" si="54"/>
        <v>0</v>
      </c>
      <c r="AM145" s="162">
        <f t="shared" si="54"/>
        <v>0</v>
      </c>
      <c r="AN145" s="162">
        <f t="shared" si="54"/>
        <v>0</v>
      </c>
      <c r="AO145" s="162">
        <f t="shared" si="54"/>
        <v>0</v>
      </c>
      <c r="AP145" s="162">
        <f t="shared" si="54"/>
        <v>0</v>
      </c>
      <c r="AQ145" s="162">
        <f t="shared" si="54"/>
        <v>0</v>
      </c>
      <c r="AR145" s="163">
        <f t="shared" si="55"/>
        <v>0</v>
      </c>
    </row>
    <row r="146" spans="1:44" x14ac:dyDescent="0.25">
      <c r="A146" s="14"/>
      <c r="B146" s="15" t="str">
        <f t="shared" si="46"/>
        <v>IND_COMB_0_0</v>
      </c>
      <c r="F146" s="190">
        <f t="shared" si="47"/>
        <v>0</v>
      </c>
      <c r="G146" s="149" t="str">
        <f t="shared" si="47"/>
        <v/>
      </c>
      <c r="H146" s="150" t="str">
        <f t="shared" si="47"/>
        <v/>
      </c>
      <c r="I146" s="150">
        <f t="shared" si="47"/>
        <v>0</v>
      </c>
      <c r="J146" s="150">
        <f t="shared" si="47"/>
        <v>0</v>
      </c>
      <c r="K146" s="150" t="str">
        <f>IFERROR(VLOOKUP($J146,#REF!,3,0),"")</f>
        <v/>
      </c>
      <c r="L146" s="150" t="str">
        <f>IFERROR(VLOOKUP($J146,#REF!,5,0),"")</f>
        <v/>
      </c>
      <c r="M146" s="191">
        <f t="shared" si="51"/>
        <v>0</v>
      </c>
      <c r="N146" s="192">
        <f t="shared" si="48"/>
        <v>0</v>
      </c>
      <c r="O146" s="193">
        <f t="shared" si="48"/>
        <v>0</v>
      </c>
      <c r="P146" s="162">
        <f t="shared" si="49"/>
        <v>0</v>
      </c>
      <c r="Q146" s="162">
        <f t="shared" si="49"/>
        <v>0</v>
      </c>
      <c r="R146" s="162">
        <f t="shared" si="49"/>
        <v>0</v>
      </c>
      <c r="S146" s="162">
        <f t="shared" si="49"/>
        <v>0</v>
      </c>
      <c r="T146" s="162">
        <f t="shared" si="49"/>
        <v>0</v>
      </c>
      <c r="U146" s="162">
        <f t="shared" si="49"/>
        <v>0</v>
      </c>
      <c r="V146" s="162">
        <f t="shared" si="49"/>
        <v>0</v>
      </c>
      <c r="W146" s="162">
        <f t="shared" si="49"/>
        <v>0</v>
      </c>
      <c r="X146" s="162">
        <f t="shared" si="49"/>
        <v>0</v>
      </c>
      <c r="Y146" s="162">
        <f t="shared" si="49"/>
        <v>0</v>
      </c>
      <c r="Z146" s="162">
        <f t="shared" si="49"/>
        <v>0</v>
      </c>
      <c r="AA146" s="162">
        <f t="shared" si="49"/>
        <v>0</v>
      </c>
      <c r="AB146" s="163">
        <f t="shared" si="52"/>
        <v>0</v>
      </c>
      <c r="AC146" s="159"/>
      <c r="AE146" s="194" t="str">
        <f t="shared" si="53"/>
        <v>0 - LTS (0 - )</v>
      </c>
      <c r="AF146" s="161">
        <f t="shared" si="54"/>
        <v>0</v>
      </c>
      <c r="AG146" s="162">
        <f t="shared" si="54"/>
        <v>0</v>
      </c>
      <c r="AH146" s="162">
        <f t="shared" si="54"/>
        <v>0</v>
      </c>
      <c r="AI146" s="162">
        <f t="shared" si="54"/>
        <v>0</v>
      </c>
      <c r="AJ146" s="162">
        <f t="shared" si="54"/>
        <v>0</v>
      </c>
      <c r="AK146" s="162">
        <f t="shared" si="54"/>
        <v>0</v>
      </c>
      <c r="AL146" s="162">
        <f t="shared" si="54"/>
        <v>0</v>
      </c>
      <c r="AM146" s="162">
        <f t="shared" si="54"/>
        <v>0</v>
      </c>
      <c r="AN146" s="162">
        <f t="shared" si="54"/>
        <v>0</v>
      </c>
      <c r="AO146" s="162">
        <f t="shared" si="54"/>
        <v>0</v>
      </c>
      <c r="AP146" s="162">
        <f t="shared" si="54"/>
        <v>0</v>
      </c>
      <c r="AQ146" s="162">
        <f t="shared" si="54"/>
        <v>0</v>
      </c>
      <c r="AR146" s="163">
        <f t="shared" si="55"/>
        <v>0</v>
      </c>
    </row>
    <row r="147" spans="1:44" x14ac:dyDescent="0.25">
      <c r="A147" s="14"/>
      <c r="B147" s="15" t="str">
        <f t="shared" si="46"/>
        <v>IND_COMB_1013_1</v>
      </c>
      <c r="F147" s="190">
        <f t="shared" si="47"/>
        <v>1013</v>
      </c>
      <c r="G147" s="149" t="str">
        <f t="shared" si="47"/>
        <v>GRADAGEM ARADORA</v>
      </c>
      <c r="H147" s="150" t="str">
        <f t="shared" si="47"/>
        <v>HA</v>
      </c>
      <c r="I147" s="150" t="str">
        <f t="shared" si="47"/>
        <v>PREPSP</v>
      </c>
      <c r="J147" s="150">
        <f t="shared" si="47"/>
        <v>1</v>
      </c>
      <c r="K147" s="150" t="str">
        <f>IFERROR(VLOOKUP($J147,#REF!,3,0),"")</f>
        <v/>
      </c>
      <c r="L147" s="150" t="str">
        <f>IFERROR(VLOOKUP($J147,#REF!,5,0),"")</f>
        <v/>
      </c>
      <c r="M147" s="191">
        <f t="shared" si="51"/>
        <v>0</v>
      </c>
      <c r="N147" s="192">
        <f t="shared" si="48"/>
        <v>0</v>
      </c>
      <c r="O147" s="193">
        <f t="shared" si="48"/>
        <v>1</v>
      </c>
      <c r="P147" s="162">
        <f t="shared" si="49"/>
        <v>0</v>
      </c>
      <c r="Q147" s="162">
        <f t="shared" si="49"/>
        <v>0</v>
      </c>
      <c r="R147" s="162">
        <f t="shared" si="49"/>
        <v>0</v>
      </c>
      <c r="S147" s="162">
        <f t="shared" si="49"/>
        <v>0</v>
      </c>
      <c r="T147" s="162">
        <f t="shared" si="49"/>
        <v>0</v>
      </c>
      <c r="U147" s="162">
        <f t="shared" si="49"/>
        <v>0</v>
      </c>
      <c r="V147" s="162">
        <f t="shared" si="49"/>
        <v>0</v>
      </c>
      <c r="W147" s="162">
        <f t="shared" si="49"/>
        <v>0</v>
      </c>
      <c r="X147" s="162">
        <f t="shared" si="49"/>
        <v>0</v>
      </c>
      <c r="Y147" s="162">
        <f t="shared" si="49"/>
        <v>0</v>
      </c>
      <c r="Z147" s="162">
        <f t="shared" si="49"/>
        <v>0</v>
      </c>
      <c r="AA147" s="162">
        <f t="shared" si="49"/>
        <v>0</v>
      </c>
      <c r="AB147" s="163">
        <f t="shared" si="52"/>
        <v>0</v>
      </c>
      <c r="AC147" s="159"/>
      <c r="AE147" s="194" t="str">
        <f t="shared" si="53"/>
        <v>1 - LTS (1013 - GRADAGEM ARADORA)</v>
      </c>
      <c r="AF147" s="161">
        <f t="shared" si="54"/>
        <v>0</v>
      </c>
      <c r="AG147" s="162">
        <f t="shared" si="54"/>
        <v>0</v>
      </c>
      <c r="AH147" s="162">
        <f t="shared" si="54"/>
        <v>0</v>
      </c>
      <c r="AI147" s="162">
        <f t="shared" si="54"/>
        <v>0</v>
      </c>
      <c r="AJ147" s="162">
        <f t="shared" si="54"/>
        <v>0</v>
      </c>
      <c r="AK147" s="162">
        <f t="shared" si="54"/>
        <v>0</v>
      </c>
      <c r="AL147" s="162">
        <f t="shared" si="54"/>
        <v>0</v>
      </c>
      <c r="AM147" s="162">
        <f t="shared" si="54"/>
        <v>0</v>
      </c>
      <c r="AN147" s="162">
        <f t="shared" si="54"/>
        <v>0</v>
      </c>
      <c r="AO147" s="162">
        <f t="shared" si="54"/>
        <v>0</v>
      </c>
      <c r="AP147" s="162">
        <f t="shared" si="54"/>
        <v>0</v>
      </c>
      <c r="AQ147" s="162">
        <f t="shared" si="54"/>
        <v>0</v>
      </c>
      <c r="AR147" s="163">
        <f t="shared" si="55"/>
        <v>0</v>
      </c>
    </row>
    <row r="148" spans="1:44" x14ac:dyDescent="0.25">
      <c r="A148" s="14"/>
      <c r="B148" s="15" t="str">
        <f t="shared" si="46"/>
        <v>IND_COMB_1014_1</v>
      </c>
      <c r="F148" s="190">
        <f t="shared" si="47"/>
        <v>1014</v>
      </c>
      <c r="G148" s="149" t="str">
        <f t="shared" si="47"/>
        <v>GRADAGEM INTERMEDIÁRIA</v>
      </c>
      <c r="H148" s="150" t="str">
        <f t="shared" si="47"/>
        <v>HA</v>
      </c>
      <c r="I148" s="150" t="str">
        <f t="shared" si="47"/>
        <v>PREPSP</v>
      </c>
      <c r="J148" s="150">
        <f t="shared" si="47"/>
        <v>1</v>
      </c>
      <c r="K148" s="150" t="str">
        <f>IFERROR(VLOOKUP($J148,#REF!,3,0),"")</f>
        <v/>
      </c>
      <c r="L148" s="150" t="str">
        <f>IFERROR(VLOOKUP($J148,#REF!,5,0),"")</f>
        <v/>
      </c>
      <c r="M148" s="191">
        <f t="shared" si="51"/>
        <v>0</v>
      </c>
      <c r="N148" s="192">
        <f t="shared" si="48"/>
        <v>0</v>
      </c>
      <c r="O148" s="193">
        <f t="shared" si="48"/>
        <v>1</v>
      </c>
      <c r="P148" s="162">
        <f t="shared" si="49"/>
        <v>0</v>
      </c>
      <c r="Q148" s="162">
        <f t="shared" si="49"/>
        <v>0</v>
      </c>
      <c r="R148" s="162">
        <f t="shared" si="49"/>
        <v>0</v>
      </c>
      <c r="S148" s="162">
        <f t="shared" si="49"/>
        <v>0</v>
      </c>
      <c r="T148" s="162">
        <f t="shared" si="49"/>
        <v>0</v>
      </c>
      <c r="U148" s="162">
        <f t="shared" si="49"/>
        <v>0</v>
      </c>
      <c r="V148" s="162">
        <f t="shared" si="49"/>
        <v>0</v>
      </c>
      <c r="W148" s="162">
        <f t="shared" si="49"/>
        <v>0</v>
      </c>
      <c r="X148" s="162">
        <f t="shared" si="49"/>
        <v>0</v>
      </c>
      <c r="Y148" s="162">
        <f t="shared" si="49"/>
        <v>0</v>
      </c>
      <c r="Z148" s="162">
        <f t="shared" si="49"/>
        <v>0</v>
      </c>
      <c r="AA148" s="162">
        <f t="shared" si="49"/>
        <v>0</v>
      </c>
      <c r="AB148" s="163">
        <f t="shared" si="52"/>
        <v>0</v>
      </c>
      <c r="AC148" s="159"/>
      <c r="AE148" s="194" t="str">
        <f t="shared" si="53"/>
        <v>1 - LTS (1014 - GRADAGEM INTERMEDIÁRIA)</v>
      </c>
      <c r="AF148" s="161">
        <f t="shared" si="54"/>
        <v>0</v>
      </c>
      <c r="AG148" s="162">
        <f t="shared" si="54"/>
        <v>0</v>
      </c>
      <c r="AH148" s="162">
        <f t="shared" si="54"/>
        <v>0</v>
      </c>
      <c r="AI148" s="162">
        <f t="shared" si="54"/>
        <v>0</v>
      </c>
      <c r="AJ148" s="162">
        <f t="shared" si="54"/>
        <v>0</v>
      </c>
      <c r="AK148" s="162">
        <f t="shared" si="54"/>
        <v>0</v>
      </c>
      <c r="AL148" s="162">
        <f t="shared" si="54"/>
        <v>0</v>
      </c>
      <c r="AM148" s="162">
        <f t="shared" si="54"/>
        <v>0</v>
      </c>
      <c r="AN148" s="162">
        <f t="shared" si="54"/>
        <v>0</v>
      </c>
      <c r="AO148" s="162">
        <f t="shared" si="54"/>
        <v>0</v>
      </c>
      <c r="AP148" s="162">
        <f t="shared" si="54"/>
        <v>0</v>
      </c>
      <c r="AQ148" s="162">
        <f t="shared" si="54"/>
        <v>0</v>
      </c>
      <c r="AR148" s="163">
        <f t="shared" si="55"/>
        <v>0</v>
      </c>
    </row>
    <row r="149" spans="1:44" x14ac:dyDescent="0.25">
      <c r="A149" s="14"/>
      <c r="B149" s="15" t="str">
        <f t="shared" si="46"/>
        <v>IND_COMB_1015_1</v>
      </c>
      <c r="F149" s="190">
        <f t="shared" si="47"/>
        <v>1015</v>
      </c>
      <c r="G149" s="149" t="str">
        <f t="shared" si="47"/>
        <v>GRADAGEM NIVELADORA</v>
      </c>
      <c r="H149" s="150" t="str">
        <f t="shared" si="47"/>
        <v>HA</v>
      </c>
      <c r="I149" s="150" t="str">
        <f t="shared" si="47"/>
        <v>PREPSP</v>
      </c>
      <c r="J149" s="150">
        <f t="shared" si="47"/>
        <v>1</v>
      </c>
      <c r="K149" s="150" t="str">
        <f>IFERROR(VLOOKUP($J149,#REF!,3,0),"")</f>
        <v/>
      </c>
      <c r="L149" s="150" t="str">
        <f>IFERROR(VLOOKUP($J149,#REF!,5,0),"")</f>
        <v/>
      </c>
      <c r="M149" s="191">
        <f t="shared" si="51"/>
        <v>0</v>
      </c>
      <c r="N149" s="192">
        <f t="shared" si="48"/>
        <v>0</v>
      </c>
      <c r="O149" s="193">
        <f t="shared" si="48"/>
        <v>1</v>
      </c>
      <c r="P149" s="162">
        <f t="shared" si="49"/>
        <v>0</v>
      </c>
      <c r="Q149" s="162">
        <f t="shared" si="49"/>
        <v>0</v>
      </c>
      <c r="R149" s="162">
        <f t="shared" si="49"/>
        <v>0</v>
      </c>
      <c r="S149" s="162">
        <f t="shared" si="49"/>
        <v>0</v>
      </c>
      <c r="T149" s="162">
        <f t="shared" si="49"/>
        <v>0</v>
      </c>
      <c r="U149" s="162">
        <f t="shared" si="49"/>
        <v>0</v>
      </c>
      <c r="V149" s="162">
        <f t="shared" si="49"/>
        <v>0</v>
      </c>
      <c r="W149" s="162">
        <f t="shared" si="49"/>
        <v>0</v>
      </c>
      <c r="X149" s="162">
        <f t="shared" si="49"/>
        <v>0</v>
      </c>
      <c r="Y149" s="162">
        <f t="shared" si="49"/>
        <v>0</v>
      </c>
      <c r="Z149" s="162">
        <f t="shared" si="49"/>
        <v>0</v>
      </c>
      <c r="AA149" s="162">
        <f t="shared" si="49"/>
        <v>0</v>
      </c>
      <c r="AB149" s="163">
        <f t="shared" si="52"/>
        <v>0</v>
      </c>
      <c r="AC149" s="159"/>
      <c r="AE149" s="194" t="str">
        <f t="shared" si="53"/>
        <v>1 - LTS (1015 - GRADAGEM NIVELADORA)</v>
      </c>
      <c r="AF149" s="161">
        <f t="shared" si="54"/>
        <v>0</v>
      </c>
      <c r="AG149" s="162">
        <f t="shared" si="54"/>
        <v>0</v>
      </c>
      <c r="AH149" s="162">
        <f t="shared" si="54"/>
        <v>0</v>
      </c>
      <c r="AI149" s="162">
        <f t="shared" si="54"/>
        <v>0</v>
      </c>
      <c r="AJ149" s="162">
        <f t="shared" si="54"/>
        <v>0</v>
      </c>
      <c r="AK149" s="162">
        <f t="shared" si="54"/>
        <v>0</v>
      </c>
      <c r="AL149" s="162">
        <f t="shared" si="54"/>
        <v>0</v>
      </c>
      <c r="AM149" s="162">
        <f t="shared" si="54"/>
        <v>0</v>
      </c>
      <c r="AN149" s="162">
        <f t="shared" si="54"/>
        <v>0</v>
      </c>
      <c r="AO149" s="162">
        <f t="shared" si="54"/>
        <v>0</v>
      </c>
      <c r="AP149" s="162">
        <f t="shared" si="54"/>
        <v>0</v>
      </c>
      <c r="AQ149" s="162">
        <f t="shared" si="54"/>
        <v>0</v>
      </c>
      <c r="AR149" s="163">
        <f t="shared" si="55"/>
        <v>0</v>
      </c>
    </row>
    <row r="150" spans="1:44" x14ac:dyDescent="0.25">
      <c r="A150" s="14"/>
      <c r="B150" s="15" t="str">
        <f t="shared" si="46"/>
        <v>IND_COMB_1016_1</v>
      </c>
      <c r="F150" s="190">
        <f t="shared" si="47"/>
        <v>1016</v>
      </c>
      <c r="G150" s="149" t="str">
        <f t="shared" si="47"/>
        <v>SUBSOLAGEM</v>
      </c>
      <c r="H150" s="150" t="str">
        <f t="shared" si="47"/>
        <v>HA</v>
      </c>
      <c r="I150" s="150" t="str">
        <f t="shared" si="47"/>
        <v>PREPSP</v>
      </c>
      <c r="J150" s="150">
        <f t="shared" si="47"/>
        <v>1</v>
      </c>
      <c r="K150" s="150" t="str">
        <f>IFERROR(VLOOKUP($J150,#REF!,3,0),"")</f>
        <v/>
      </c>
      <c r="L150" s="150" t="str">
        <f>IFERROR(VLOOKUP($J150,#REF!,5,0),"")</f>
        <v/>
      </c>
      <c r="M150" s="191">
        <f t="shared" si="51"/>
        <v>0</v>
      </c>
      <c r="N150" s="192">
        <f t="shared" si="48"/>
        <v>0</v>
      </c>
      <c r="O150" s="193">
        <f t="shared" si="48"/>
        <v>1</v>
      </c>
      <c r="P150" s="162">
        <f t="shared" si="49"/>
        <v>0</v>
      </c>
      <c r="Q150" s="162">
        <f t="shared" si="49"/>
        <v>0</v>
      </c>
      <c r="R150" s="162">
        <f t="shared" si="49"/>
        <v>0</v>
      </c>
      <c r="S150" s="162">
        <f t="shared" si="49"/>
        <v>0</v>
      </c>
      <c r="T150" s="162">
        <f t="shared" si="49"/>
        <v>0</v>
      </c>
      <c r="U150" s="162">
        <f t="shared" si="49"/>
        <v>0</v>
      </c>
      <c r="V150" s="162">
        <f t="shared" si="49"/>
        <v>0</v>
      </c>
      <c r="W150" s="162">
        <f t="shared" si="49"/>
        <v>0</v>
      </c>
      <c r="X150" s="162">
        <f t="shared" si="49"/>
        <v>0</v>
      </c>
      <c r="Y150" s="162">
        <f t="shared" si="49"/>
        <v>0</v>
      </c>
      <c r="Z150" s="162">
        <f t="shared" si="49"/>
        <v>0</v>
      </c>
      <c r="AA150" s="162">
        <f t="shared" si="49"/>
        <v>0</v>
      </c>
      <c r="AB150" s="163">
        <f t="shared" si="52"/>
        <v>0</v>
      </c>
      <c r="AC150" s="159"/>
      <c r="AE150" s="194" t="str">
        <f t="shared" si="53"/>
        <v>1 - LTS (1016 - SUBSOLAGEM)</v>
      </c>
      <c r="AF150" s="161">
        <f t="shared" si="54"/>
        <v>0</v>
      </c>
      <c r="AG150" s="162">
        <f t="shared" si="54"/>
        <v>0</v>
      </c>
      <c r="AH150" s="162">
        <f t="shared" si="54"/>
        <v>0</v>
      </c>
      <c r="AI150" s="162">
        <f t="shared" si="54"/>
        <v>0</v>
      </c>
      <c r="AJ150" s="162">
        <f t="shared" si="54"/>
        <v>0</v>
      </c>
      <c r="AK150" s="162">
        <f t="shared" si="54"/>
        <v>0</v>
      </c>
      <c r="AL150" s="162">
        <f t="shared" si="54"/>
        <v>0</v>
      </c>
      <c r="AM150" s="162">
        <f t="shared" si="54"/>
        <v>0</v>
      </c>
      <c r="AN150" s="162">
        <f t="shared" si="54"/>
        <v>0</v>
      </c>
      <c r="AO150" s="162">
        <f t="shared" si="54"/>
        <v>0</v>
      </c>
      <c r="AP150" s="162">
        <f t="shared" si="54"/>
        <v>0</v>
      </c>
      <c r="AQ150" s="162">
        <f t="shared" si="54"/>
        <v>0</v>
      </c>
      <c r="AR150" s="163">
        <f t="shared" si="55"/>
        <v>0</v>
      </c>
    </row>
    <row r="151" spans="1:44" x14ac:dyDescent="0.25">
      <c r="A151" s="14"/>
      <c r="B151" s="15" t="str">
        <f t="shared" si="46"/>
        <v>IND_COMB_1019_1</v>
      </c>
      <c r="F151" s="190">
        <f t="shared" si="47"/>
        <v>1019</v>
      </c>
      <c r="G151" s="149" t="str">
        <f t="shared" si="47"/>
        <v>DESTRUIÇÃO DE SOQUEIRA / SPH</v>
      </c>
      <c r="H151" s="150" t="str">
        <f t="shared" si="47"/>
        <v>HA</v>
      </c>
      <c r="I151" s="150" t="str">
        <f t="shared" si="47"/>
        <v>PREPSP</v>
      </c>
      <c r="J151" s="150">
        <f t="shared" si="47"/>
        <v>1</v>
      </c>
      <c r="K151" s="150" t="str">
        <f>IFERROR(VLOOKUP($J151,#REF!,3,0),"")</f>
        <v/>
      </c>
      <c r="L151" s="150" t="str">
        <f>IFERROR(VLOOKUP($J151,#REF!,5,0),"")</f>
        <v/>
      </c>
      <c r="M151" s="191">
        <f t="shared" si="51"/>
        <v>0</v>
      </c>
      <c r="N151" s="192">
        <f t="shared" si="48"/>
        <v>0</v>
      </c>
      <c r="O151" s="193">
        <f t="shared" si="48"/>
        <v>1</v>
      </c>
      <c r="P151" s="162">
        <f t="shared" si="49"/>
        <v>0</v>
      </c>
      <c r="Q151" s="162">
        <f t="shared" si="49"/>
        <v>0</v>
      </c>
      <c r="R151" s="162">
        <f t="shared" si="49"/>
        <v>0</v>
      </c>
      <c r="S151" s="162">
        <f t="shared" si="49"/>
        <v>0</v>
      </c>
      <c r="T151" s="162">
        <f t="shared" si="49"/>
        <v>0</v>
      </c>
      <c r="U151" s="162">
        <f t="shared" si="49"/>
        <v>0</v>
      </c>
      <c r="V151" s="162">
        <f t="shared" si="49"/>
        <v>0</v>
      </c>
      <c r="W151" s="162">
        <f t="shared" si="49"/>
        <v>0</v>
      </c>
      <c r="X151" s="162">
        <f t="shared" si="49"/>
        <v>0</v>
      </c>
      <c r="Y151" s="162">
        <f t="shared" si="49"/>
        <v>0</v>
      </c>
      <c r="Z151" s="162">
        <f t="shared" si="49"/>
        <v>0</v>
      </c>
      <c r="AA151" s="162">
        <f t="shared" si="49"/>
        <v>0</v>
      </c>
      <c r="AB151" s="163">
        <f t="shared" si="52"/>
        <v>0</v>
      </c>
      <c r="AC151" s="159"/>
      <c r="AE151" s="194" t="str">
        <f t="shared" si="53"/>
        <v>1 - LTS (1019 - DESTRUIÇÃO DE SOQUEIRA / SPH)</v>
      </c>
      <c r="AF151" s="161">
        <f t="shared" si="54"/>
        <v>0</v>
      </c>
      <c r="AG151" s="162">
        <f t="shared" si="54"/>
        <v>0</v>
      </c>
      <c r="AH151" s="162">
        <f t="shared" si="54"/>
        <v>0</v>
      </c>
      <c r="AI151" s="162">
        <f t="shared" si="54"/>
        <v>0</v>
      </c>
      <c r="AJ151" s="162">
        <f t="shared" si="54"/>
        <v>0</v>
      </c>
      <c r="AK151" s="162">
        <f t="shared" si="54"/>
        <v>0</v>
      </c>
      <c r="AL151" s="162">
        <f t="shared" si="54"/>
        <v>0</v>
      </c>
      <c r="AM151" s="162">
        <f t="shared" si="54"/>
        <v>0</v>
      </c>
      <c r="AN151" s="162">
        <f t="shared" si="54"/>
        <v>0</v>
      </c>
      <c r="AO151" s="162">
        <f t="shared" si="54"/>
        <v>0</v>
      </c>
      <c r="AP151" s="162">
        <f t="shared" si="54"/>
        <v>0</v>
      </c>
      <c r="AQ151" s="162">
        <f t="shared" si="54"/>
        <v>0</v>
      </c>
      <c r="AR151" s="163">
        <f t="shared" si="55"/>
        <v>0</v>
      </c>
    </row>
    <row r="152" spans="1:44" x14ac:dyDescent="0.25">
      <c r="A152" s="14"/>
      <c r="B152" s="15" t="str">
        <f t="shared" si="46"/>
        <v>IND_COMB_1081_1</v>
      </c>
      <c r="F152" s="190">
        <f t="shared" si="47"/>
        <v>1081</v>
      </c>
      <c r="G152" s="149" t="str">
        <f t="shared" si="47"/>
        <v xml:space="preserve">Canterizador De Cana          </v>
      </c>
      <c r="H152" s="150" t="str">
        <f t="shared" si="47"/>
        <v>HA</v>
      </c>
      <c r="I152" s="150" t="str">
        <f t="shared" si="47"/>
        <v>PREPSP</v>
      </c>
      <c r="J152" s="150">
        <f t="shared" si="47"/>
        <v>1</v>
      </c>
      <c r="K152" s="150" t="str">
        <f>IFERROR(VLOOKUP($J152,#REF!,3,0),"")</f>
        <v/>
      </c>
      <c r="L152" s="150" t="str">
        <f>IFERROR(VLOOKUP($J152,#REF!,5,0),"")</f>
        <v/>
      </c>
      <c r="M152" s="191">
        <f t="shared" si="51"/>
        <v>0</v>
      </c>
      <c r="N152" s="192">
        <f t="shared" si="48"/>
        <v>0</v>
      </c>
      <c r="O152" s="193">
        <f t="shared" si="48"/>
        <v>1</v>
      </c>
      <c r="P152" s="162">
        <f t="shared" si="49"/>
        <v>0</v>
      </c>
      <c r="Q152" s="162">
        <f t="shared" si="49"/>
        <v>0</v>
      </c>
      <c r="R152" s="162">
        <f t="shared" si="49"/>
        <v>0</v>
      </c>
      <c r="S152" s="162">
        <f t="shared" si="49"/>
        <v>0</v>
      </c>
      <c r="T152" s="162">
        <f t="shared" si="49"/>
        <v>0</v>
      </c>
      <c r="U152" s="162">
        <f t="shared" si="49"/>
        <v>0</v>
      </c>
      <c r="V152" s="162">
        <f t="shared" si="49"/>
        <v>0</v>
      </c>
      <c r="W152" s="162">
        <f t="shared" si="49"/>
        <v>0</v>
      </c>
      <c r="X152" s="162">
        <f t="shared" si="49"/>
        <v>0</v>
      </c>
      <c r="Y152" s="162">
        <f t="shared" si="49"/>
        <v>0</v>
      </c>
      <c r="Z152" s="162">
        <f t="shared" si="49"/>
        <v>0</v>
      </c>
      <c r="AA152" s="162">
        <f t="shared" si="49"/>
        <v>0</v>
      </c>
      <c r="AB152" s="163">
        <f t="shared" si="52"/>
        <v>0</v>
      </c>
      <c r="AC152" s="159"/>
      <c r="AE152" s="194" t="str">
        <f t="shared" si="53"/>
        <v>1 - LTS (1081 - Canterizador De Cana          )</v>
      </c>
      <c r="AF152" s="161">
        <f t="shared" si="54"/>
        <v>0</v>
      </c>
      <c r="AG152" s="162">
        <f t="shared" si="54"/>
        <v>0</v>
      </c>
      <c r="AH152" s="162">
        <f t="shared" si="54"/>
        <v>0</v>
      </c>
      <c r="AI152" s="162">
        <f t="shared" si="54"/>
        <v>0</v>
      </c>
      <c r="AJ152" s="162">
        <f t="shared" si="54"/>
        <v>0</v>
      </c>
      <c r="AK152" s="162">
        <f t="shared" si="54"/>
        <v>0</v>
      </c>
      <c r="AL152" s="162">
        <f t="shared" si="54"/>
        <v>0</v>
      </c>
      <c r="AM152" s="162">
        <f t="shared" si="54"/>
        <v>0</v>
      </c>
      <c r="AN152" s="162">
        <f t="shared" si="54"/>
        <v>0</v>
      </c>
      <c r="AO152" s="162">
        <f t="shared" si="54"/>
        <v>0</v>
      </c>
      <c r="AP152" s="162">
        <f t="shared" si="54"/>
        <v>0</v>
      </c>
      <c r="AQ152" s="162">
        <f t="shared" si="54"/>
        <v>0</v>
      </c>
      <c r="AR152" s="163">
        <f t="shared" si="55"/>
        <v>0</v>
      </c>
    </row>
    <row r="153" spans="1:44" x14ac:dyDescent="0.25">
      <c r="A153" s="14"/>
      <c r="B153" s="15" t="str">
        <f t="shared" si="46"/>
        <v>IND_COMB_1071_0</v>
      </c>
      <c r="F153" s="190">
        <f t="shared" si="47"/>
        <v>1071</v>
      </c>
      <c r="G153" s="149" t="str">
        <f t="shared" si="47"/>
        <v/>
      </c>
      <c r="H153" s="150" t="str">
        <f t="shared" si="47"/>
        <v/>
      </c>
      <c r="I153" s="150" t="str">
        <f t="shared" si="47"/>
        <v>PREPSP</v>
      </c>
      <c r="J153" s="150">
        <f t="shared" si="47"/>
        <v>0</v>
      </c>
      <c r="K153" s="150" t="str">
        <f>IFERROR(VLOOKUP($J153,#REF!,3,0),"")</f>
        <v/>
      </c>
      <c r="L153" s="150" t="str">
        <f>IFERROR(VLOOKUP($J153,#REF!,5,0),"")</f>
        <v/>
      </c>
      <c r="M153" s="191">
        <f t="shared" si="51"/>
        <v>0</v>
      </c>
      <c r="N153" s="192">
        <f t="shared" si="48"/>
        <v>0</v>
      </c>
      <c r="O153" s="193">
        <f t="shared" si="48"/>
        <v>1</v>
      </c>
      <c r="P153" s="162">
        <f t="shared" si="49"/>
        <v>0</v>
      </c>
      <c r="Q153" s="162">
        <f t="shared" si="49"/>
        <v>0</v>
      </c>
      <c r="R153" s="162">
        <f t="shared" si="49"/>
        <v>0</v>
      </c>
      <c r="S153" s="162">
        <f t="shared" si="49"/>
        <v>0</v>
      </c>
      <c r="T153" s="162">
        <f t="shared" si="49"/>
        <v>0</v>
      </c>
      <c r="U153" s="162">
        <f t="shared" si="49"/>
        <v>0</v>
      </c>
      <c r="V153" s="162">
        <f t="shared" si="49"/>
        <v>0</v>
      </c>
      <c r="W153" s="162">
        <f t="shared" si="49"/>
        <v>0</v>
      </c>
      <c r="X153" s="162">
        <f t="shared" si="49"/>
        <v>0</v>
      </c>
      <c r="Y153" s="162">
        <f t="shared" si="49"/>
        <v>0</v>
      </c>
      <c r="Z153" s="162">
        <f t="shared" si="49"/>
        <v>0</v>
      </c>
      <c r="AA153" s="162">
        <f t="shared" si="49"/>
        <v>0</v>
      </c>
      <c r="AB153" s="163">
        <f t="shared" si="52"/>
        <v>0</v>
      </c>
      <c r="AC153" s="159"/>
      <c r="AE153" s="194" t="str">
        <f t="shared" si="53"/>
        <v>0 - LTS (1071 - )</v>
      </c>
      <c r="AF153" s="161">
        <f t="shared" si="54"/>
        <v>0</v>
      </c>
      <c r="AG153" s="162">
        <f t="shared" si="54"/>
        <v>0</v>
      </c>
      <c r="AH153" s="162">
        <f t="shared" si="54"/>
        <v>0</v>
      </c>
      <c r="AI153" s="162">
        <f t="shared" si="54"/>
        <v>0</v>
      </c>
      <c r="AJ153" s="162">
        <f t="shared" si="54"/>
        <v>0</v>
      </c>
      <c r="AK153" s="162">
        <f t="shared" si="54"/>
        <v>0</v>
      </c>
      <c r="AL153" s="162">
        <f t="shared" si="54"/>
        <v>0</v>
      </c>
      <c r="AM153" s="162">
        <f t="shared" si="54"/>
        <v>0</v>
      </c>
      <c r="AN153" s="162">
        <f t="shared" si="54"/>
        <v>0</v>
      </c>
      <c r="AO153" s="162">
        <f t="shared" si="54"/>
        <v>0</v>
      </c>
      <c r="AP153" s="162">
        <f t="shared" si="54"/>
        <v>0</v>
      </c>
      <c r="AQ153" s="162">
        <f t="shared" si="54"/>
        <v>0</v>
      </c>
      <c r="AR153" s="163">
        <f t="shared" si="55"/>
        <v>0</v>
      </c>
    </row>
    <row r="154" spans="1:44" x14ac:dyDescent="0.25">
      <c r="A154" s="14"/>
      <c r="B154" s="15" t="str">
        <f t="shared" si="46"/>
        <v>IND_COMB_1001_1</v>
      </c>
      <c r="F154" s="190">
        <f t="shared" si="47"/>
        <v>1001</v>
      </c>
      <c r="G154" s="149" t="str">
        <f t="shared" si="47"/>
        <v>TERRACEAMENTO</v>
      </c>
      <c r="H154" s="150" t="str">
        <f t="shared" si="47"/>
        <v/>
      </c>
      <c r="I154" s="150" t="str">
        <f t="shared" si="47"/>
        <v>PREPSP</v>
      </c>
      <c r="J154" s="150">
        <f t="shared" si="47"/>
        <v>1</v>
      </c>
      <c r="K154" s="150" t="str">
        <f>IFERROR(VLOOKUP($J154,#REF!,3,0),"")</f>
        <v/>
      </c>
      <c r="L154" s="150" t="str">
        <f>IFERROR(VLOOKUP($J154,#REF!,5,0),"")</f>
        <v/>
      </c>
      <c r="M154" s="191">
        <f t="shared" si="51"/>
        <v>0</v>
      </c>
      <c r="N154" s="192">
        <f t="shared" si="48"/>
        <v>0</v>
      </c>
      <c r="O154" s="193">
        <f t="shared" si="48"/>
        <v>1</v>
      </c>
      <c r="P154" s="162">
        <f t="shared" si="49"/>
        <v>0</v>
      </c>
      <c r="Q154" s="162">
        <f t="shared" si="49"/>
        <v>0</v>
      </c>
      <c r="R154" s="162">
        <f t="shared" si="49"/>
        <v>0</v>
      </c>
      <c r="S154" s="162">
        <f t="shared" si="49"/>
        <v>0</v>
      </c>
      <c r="T154" s="162">
        <f t="shared" si="49"/>
        <v>0</v>
      </c>
      <c r="U154" s="162">
        <f t="shared" si="49"/>
        <v>0</v>
      </c>
      <c r="V154" s="162">
        <f t="shared" si="49"/>
        <v>0</v>
      </c>
      <c r="W154" s="162">
        <f t="shared" si="49"/>
        <v>0</v>
      </c>
      <c r="X154" s="162">
        <f t="shared" si="49"/>
        <v>0</v>
      </c>
      <c r="Y154" s="162">
        <f t="shared" si="49"/>
        <v>0</v>
      </c>
      <c r="Z154" s="162">
        <f t="shared" si="49"/>
        <v>0</v>
      </c>
      <c r="AA154" s="162">
        <f t="shared" si="49"/>
        <v>0</v>
      </c>
      <c r="AB154" s="163">
        <f t="shared" si="52"/>
        <v>0</v>
      </c>
      <c r="AC154" s="159"/>
      <c r="AE154" s="194" t="str">
        <f t="shared" si="53"/>
        <v>1 - LTS (1001 - TERRACEAMENTO)</v>
      </c>
      <c r="AF154" s="161">
        <f t="shared" si="54"/>
        <v>0</v>
      </c>
      <c r="AG154" s="162">
        <f t="shared" si="54"/>
        <v>0</v>
      </c>
      <c r="AH154" s="162">
        <f t="shared" si="54"/>
        <v>0</v>
      </c>
      <c r="AI154" s="162">
        <f t="shared" si="54"/>
        <v>0</v>
      </c>
      <c r="AJ154" s="162">
        <f t="shared" si="54"/>
        <v>0</v>
      </c>
      <c r="AK154" s="162">
        <f t="shared" si="54"/>
        <v>0</v>
      </c>
      <c r="AL154" s="162">
        <f t="shared" si="54"/>
        <v>0</v>
      </c>
      <c r="AM154" s="162">
        <f t="shared" si="54"/>
        <v>0</v>
      </c>
      <c r="AN154" s="162">
        <f t="shared" si="54"/>
        <v>0</v>
      </c>
      <c r="AO154" s="162">
        <f t="shared" si="54"/>
        <v>0</v>
      </c>
      <c r="AP154" s="162">
        <f t="shared" si="54"/>
        <v>0</v>
      </c>
      <c r="AQ154" s="162">
        <f t="shared" si="54"/>
        <v>0</v>
      </c>
      <c r="AR154" s="163">
        <f t="shared" si="55"/>
        <v>0</v>
      </c>
    </row>
    <row r="155" spans="1:44" x14ac:dyDescent="0.25">
      <c r="A155" s="14"/>
      <c r="B155" s="15" t="str">
        <f t="shared" si="46"/>
        <v>IND_COMB_1002_1</v>
      </c>
      <c r="F155" s="190">
        <f t="shared" si="47"/>
        <v>1002</v>
      </c>
      <c r="G155" s="149" t="str">
        <f t="shared" si="47"/>
        <v>TERRAPLANAGEM</v>
      </c>
      <c r="H155" s="150" t="str">
        <f t="shared" si="47"/>
        <v/>
      </c>
      <c r="I155" s="150" t="str">
        <f t="shared" si="47"/>
        <v>PREPSP</v>
      </c>
      <c r="J155" s="150">
        <f t="shared" si="47"/>
        <v>1</v>
      </c>
      <c r="K155" s="150" t="str">
        <f>IFERROR(VLOOKUP($J155,#REF!,3,0),"")</f>
        <v/>
      </c>
      <c r="L155" s="150" t="str">
        <f>IFERROR(VLOOKUP($J155,#REF!,5,0),"")</f>
        <v/>
      </c>
      <c r="M155" s="191">
        <f t="shared" si="51"/>
        <v>0</v>
      </c>
      <c r="N155" s="192">
        <f t="shared" si="48"/>
        <v>0</v>
      </c>
      <c r="O155" s="193">
        <f t="shared" si="48"/>
        <v>1</v>
      </c>
      <c r="P155" s="162">
        <f t="shared" si="49"/>
        <v>0</v>
      </c>
      <c r="Q155" s="162">
        <f t="shared" si="49"/>
        <v>0</v>
      </c>
      <c r="R155" s="162">
        <f t="shared" si="49"/>
        <v>0</v>
      </c>
      <c r="S155" s="162">
        <f t="shared" si="49"/>
        <v>0</v>
      </c>
      <c r="T155" s="162">
        <f t="shared" si="49"/>
        <v>0</v>
      </c>
      <c r="U155" s="162">
        <f t="shared" si="49"/>
        <v>0</v>
      </c>
      <c r="V155" s="162">
        <f t="shared" si="49"/>
        <v>0</v>
      </c>
      <c r="W155" s="162">
        <f t="shared" si="49"/>
        <v>0</v>
      </c>
      <c r="X155" s="162">
        <f t="shared" si="49"/>
        <v>0</v>
      </c>
      <c r="Y155" s="162">
        <f t="shared" si="49"/>
        <v>0</v>
      </c>
      <c r="Z155" s="162">
        <f t="shared" si="49"/>
        <v>0</v>
      </c>
      <c r="AA155" s="162">
        <f t="shared" si="49"/>
        <v>0</v>
      </c>
      <c r="AB155" s="163">
        <f t="shared" si="52"/>
        <v>0</v>
      </c>
      <c r="AC155" s="159"/>
      <c r="AE155" s="194" t="str">
        <f t="shared" si="53"/>
        <v>1 - LTS (1002 - TERRAPLANAGEM)</v>
      </c>
      <c r="AF155" s="161">
        <f t="shared" si="54"/>
        <v>0</v>
      </c>
      <c r="AG155" s="162">
        <f t="shared" si="54"/>
        <v>0</v>
      </c>
      <c r="AH155" s="162">
        <f t="shared" si="54"/>
        <v>0</v>
      </c>
      <c r="AI155" s="162">
        <f t="shared" si="54"/>
        <v>0</v>
      </c>
      <c r="AJ155" s="162">
        <f t="shared" si="54"/>
        <v>0</v>
      </c>
      <c r="AK155" s="162">
        <f t="shared" si="54"/>
        <v>0</v>
      </c>
      <c r="AL155" s="162">
        <f t="shared" si="54"/>
        <v>0</v>
      </c>
      <c r="AM155" s="162">
        <f t="shared" si="54"/>
        <v>0</v>
      </c>
      <c r="AN155" s="162">
        <f t="shared" si="54"/>
        <v>0</v>
      </c>
      <c r="AO155" s="162">
        <f t="shared" si="54"/>
        <v>0</v>
      </c>
      <c r="AP155" s="162">
        <f t="shared" si="54"/>
        <v>0</v>
      </c>
      <c r="AQ155" s="162">
        <f t="shared" si="54"/>
        <v>0</v>
      </c>
      <c r="AR155" s="163">
        <f t="shared" si="55"/>
        <v>0</v>
      </c>
    </row>
    <row r="156" spans="1:44" x14ac:dyDescent="0.25">
      <c r="A156" s="14"/>
      <c r="B156" s="15" t="str">
        <f t="shared" si="46"/>
        <v>IND_COMB_1003_1</v>
      </c>
      <c r="F156" s="190">
        <f t="shared" si="47"/>
        <v>1003</v>
      </c>
      <c r="G156" s="149" t="str">
        <f t="shared" si="47"/>
        <v>CONSERVAÇÃO DE ESTRADAS</v>
      </c>
      <c r="H156" s="150" t="str">
        <f t="shared" si="47"/>
        <v/>
      </c>
      <c r="I156" s="150" t="str">
        <f t="shared" si="47"/>
        <v>PREPSP</v>
      </c>
      <c r="J156" s="150">
        <f t="shared" si="47"/>
        <v>1</v>
      </c>
      <c r="K156" s="150" t="str">
        <f>IFERROR(VLOOKUP($J156,#REF!,3,0),"")</f>
        <v/>
      </c>
      <c r="L156" s="150" t="str">
        <f>IFERROR(VLOOKUP($J156,#REF!,5,0),"")</f>
        <v/>
      </c>
      <c r="M156" s="191">
        <f t="shared" si="51"/>
        <v>0</v>
      </c>
      <c r="N156" s="192">
        <f t="shared" si="48"/>
        <v>0</v>
      </c>
      <c r="O156" s="193">
        <f t="shared" si="48"/>
        <v>1</v>
      </c>
      <c r="P156" s="162">
        <f t="shared" si="49"/>
        <v>0</v>
      </c>
      <c r="Q156" s="162">
        <f t="shared" si="49"/>
        <v>0</v>
      </c>
      <c r="R156" s="162">
        <f t="shared" si="49"/>
        <v>0</v>
      </c>
      <c r="S156" s="162">
        <f t="shared" si="49"/>
        <v>0</v>
      </c>
      <c r="T156" s="162">
        <f t="shared" si="49"/>
        <v>0</v>
      </c>
      <c r="U156" s="162">
        <f t="shared" si="49"/>
        <v>0</v>
      </c>
      <c r="V156" s="162">
        <f t="shared" si="49"/>
        <v>0</v>
      </c>
      <c r="W156" s="162">
        <f t="shared" si="49"/>
        <v>0</v>
      </c>
      <c r="X156" s="162">
        <f t="shared" si="49"/>
        <v>0</v>
      </c>
      <c r="Y156" s="162">
        <f t="shared" si="49"/>
        <v>0</v>
      </c>
      <c r="Z156" s="162">
        <f t="shared" si="49"/>
        <v>0</v>
      </c>
      <c r="AA156" s="162">
        <f t="shared" si="49"/>
        <v>0</v>
      </c>
      <c r="AB156" s="163">
        <f t="shared" si="52"/>
        <v>0</v>
      </c>
      <c r="AC156" s="159"/>
      <c r="AE156" s="194" t="str">
        <f t="shared" si="53"/>
        <v>1 - LTS (1003 - CONSERVAÇÃO DE ESTRADAS)</v>
      </c>
      <c r="AF156" s="161">
        <f t="shared" si="54"/>
        <v>0</v>
      </c>
      <c r="AG156" s="162">
        <f t="shared" si="54"/>
        <v>0</v>
      </c>
      <c r="AH156" s="162">
        <f t="shared" si="54"/>
        <v>0</v>
      </c>
      <c r="AI156" s="162">
        <f t="shared" si="54"/>
        <v>0</v>
      </c>
      <c r="AJ156" s="162">
        <f t="shared" si="54"/>
        <v>0</v>
      </c>
      <c r="AK156" s="162">
        <f t="shared" si="54"/>
        <v>0</v>
      </c>
      <c r="AL156" s="162">
        <f t="shared" si="54"/>
        <v>0</v>
      </c>
      <c r="AM156" s="162">
        <f t="shared" si="54"/>
        <v>0</v>
      </c>
      <c r="AN156" s="162">
        <f t="shared" si="54"/>
        <v>0</v>
      </c>
      <c r="AO156" s="162">
        <f t="shared" si="54"/>
        <v>0</v>
      </c>
      <c r="AP156" s="162">
        <f t="shared" si="54"/>
        <v>0</v>
      </c>
      <c r="AQ156" s="162">
        <f t="shared" si="54"/>
        <v>0</v>
      </c>
      <c r="AR156" s="163">
        <f t="shared" si="55"/>
        <v>0</v>
      </c>
    </row>
    <row r="157" spans="1:44" x14ac:dyDescent="0.25">
      <c r="A157" s="14"/>
      <c r="B157" s="15" t="str">
        <f t="shared" si="46"/>
        <v>IND_COMB_1004_1</v>
      </c>
      <c r="F157" s="190">
        <f t="shared" ref="F157:J172" si="56">F110</f>
        <v>1004</v>
      </c>
      <c r="G157" s="149" t="str">
        <f t="shared" si="56"/>
        <v>CURVA EM NÍVEL</v>
      </c>
      <c r="H157" s="150" t="str">
        <f t="shared" si="56"/>
        <v/>
      </c>
      <c r="I157" s="150" t="str">
        <f t="shared" si="56"/>
        <v>PREPSP</v>
      </c>
      <c r="J157" s="150">
        <f t="shared" si="56"/>
        <v>1</v>
      </c>
      <c r="K157" s="150" t="str">
        <f>IFERROR(VLOOKUP($J157,#REF!,3,0),"")</f>
        <v/>
      </c>
      <c r="L157" s="150" t="str">
        <f>IFERROR(VLOOKUP($J157,#REF!,5,0),"")</f>
        <v/>
      </c>
      <c r="M157" s="191">
        <f t="shared" si="51"/>
        <v>0</v>
      </c>
      <c r="N157" s="192">
        <f t="shared" ref="N157:O172" si="57">N110</f>
        <v>0</v>
      </c>
      <c r="O157" s="193">
        <f t="shared" si="57"/>
        <v>1</v>
      </c>
      <c r="P157" s="162">
        <f t="shared" ref="P157:AA178" si="58">$M157</f>
        <v>0</v>
      </c>
      <c r="Q157" s="162">
        <f t="shared" si="58"/>
        <v>0</v>
      </c>
      <c r="R157" s="162">
        <f t="shared" si="58"/>
        <v>0</v>
      </c>
      <c r="S157" s="162">
        <f t="shared" si="58"/>
        <v>0</v>
      </c>
      <c r="T157" s="162">
        <f t="shared" si="58"/>
        <v>0</v>
      </c>
      <c r="U157" s="162">
        <f t="shared" si="58"/>
        <v>0</v>
      </c>
      <c r="V157" s="162">
        <f t="shared" si="58"/>
        <v>0</v>
      </c>
      <c r="W157" s="162">
        <f t="shared" si="58"/>
        <v>0</v>
      </c>
      <c r="X157" s="162">
        <f t="shared" si="58"/>
        <v>0</v>
      </c>
      <c r="Y157" s="162">
        <f t="shared" si="58"/>
        <v>0</v>
      </c>
      <c r="Z157" s="162">
        <f t="shared" si="58"/>
        <v>0</v>
      </c>
      <c r="AA157" s="162">
        <f t="shared" si="58"/>
        <v>0</v>
      </c>
      <c r="AB157" s="163">
        <f t="shared" si="52"/>
        <v>0</v>
      </c>
      <c r="AC157" s="159"/>
      <c r="AE157" s="194" t="str">
        <f t="shared" si="53"/>
        <v>1 - LTS (1004 - CURVA EM NÍVEL)</v>
      </c>
      <c r="AF157" s="161">
        <f t="shared" si="54"/>
        <v>0</v>
      </c>
      <c r="AG157" s="162">
        <f t="shared" si="54"/>
        <v>0</v>
      </c>
      <c r="AH157" s="162">
        <f t="shared" si="54"/>
        <v>0</v>
      </c>
      <c r="AI157" s="162">
        <f t="shared" si="54"/>
        <v>0</v>
      </c>
      <c r="AJ157" s="162">
        <f t="shared" si="54"/>
        <v>0</v>
      </c>
      <c r="AK157" s="162">
        <f t="shared" si="54"/>
        <v>0</v>
      </c>
      <c r="AL157" s="162">
        <f t="shared" si="54"/>
        <v>0</v>
      </c>
      <c r="AM157" s="162">
        <f t="shared" si="54"/>
        <v>0</v>
      </c>
      <c r="AN157" s="162">
        <f t="shared" si="54"/>
        <v>0</v>
      </c>
      <c r="AO157" s="162">
        <f t="shared" si="54"/>
        <v>0</v>
      </c>
      <c r="AP157" s="162">
        <f t="shared" si="54"/>
        <v>0</v>
      </c>
      <c r="AQ157" s="162">
        <f t="shared" si="54"/>
        <v>0</v>
      </c>
      <c r="AR157" s="163">
        <f t="shared" si="55"/>
        <v>0</v>
      </c>
    </row>
    <row r="158" spans="1:44" x14ac:dyDescent="0.25">
      <c r="A158" s="14"/>
      <c r="B158" s="15" t="str">
        <f t="shared" si="46"/>
        <v>IND_COMB_1005_1</v>
      </c>
      <c r="F158" s="190">
        <f t="shared" si="56"/>
        <v>1005</v>
      </c>
      <c r="G158" s="149" t="str">
        <f t="shared" si="56"/>
        <v>SISTEMATIZAÇÃO</v>
      </c>
      <c r="H158" s="150" t="str">
        <f t="shared" si="56"/>
        <v/>
      </c>
      <c r="I158" s="150" t="str">
        <f t="shared" si="56"/>
        <v>PREPSP</v>
      </c>
      <c r="J158" s="150">
        <f t="shared" si="56"/>
        <v>1</v>
      </c>
      <c r="K158" s="150" t="str">
        <f>IFERROR(VLOOKUP($J158,#REF!,3,0),"")</f>
        <v/>
      </c>
      <c r="L158" s="150" t="str">
        <f>IFERROR(VLOOKUP($J158,#REF!,5,0),"")</f>
        <v/>
      </c>
      <c r="M158" s="191">
        <f t="shared" si="51"/>
        <v>0</v>
      </c>
      <c r="N158" s="192">
        <f t="shared" si="57"/>
        <v>0</v>
      </c>
      <c r="O158" s="193">
        <f t="shared" si="57"/>
        <v>1</v>
      </c>
      <c r="P158" s="162">
        <f t="shared" si="58"/>
        <v>0</v>
      </c>
      <c r="Q158" s="162">
        <f t="shared" si="58"/>
        <v>0</v>
      </c>
      <c r="R158" s="162">
        <f t="shared" si="58"/>
        <v>0</v>
      </c>
      <c r="S158" s="162">
        <f t="shared" si="58"/>
        <v>0</v>
      </c>
      <c r="T158" s="162">
        <f t="shared" si="58"/>
        <v>0</v>
      </c>
      <c r="U158" s="162">
        <f t="shared" si="58"/>
        <v>0</v>
      </c>
      <c r="V158" s="162">
        <f t="shared" si="58"/>
        <v>0</v>
      </c>
      <c r="W158" s="162">
        <f t="shared" si="58"/>
        <v>0</v>
      </c>
      <c r="X158" s="162">
        <f t="shared" si="58"/>
        <v>0</v>
      </c>
      <c r="Y158" s="162">
        <f t="shared" si="58"/>
        <v>0</v>
      </c>
      <c r="Z158" s="162">
        <f t="shared" si="58"/>
        <v>0</v>
      </c>
      <c r="AA158" s="162">
        <f t="shared" si="58"/>
        <v>0</v>
      </c>
      <c r="AB158" s="163">
        <f t="shared" si="52"/>
        <v>0</v>
      </c>
      <c r="AC158" s="159"/>
      <c r="AE158" s="194" t="str">
        <f t="shared" si="53"/>
        <v>1 - LTS (1005 - SISTEMATIZAÇÃO)</v>
      </c>
      <c r="AF158" s="161">
        <f t="shared" ref="AF158:AQ173" si="59">IFERROR(IF($L158="LTS/HS",P158*AF111,IF($L158="KM/LTS",AF111/P158,0)),0)</f>
        <v>0</v>
      </c>
      <c r="AG158" s="162">
        <f t="shared" si="59"/>
        <v>0</v>
      </c>
      <c r="AH158" s="162">
        <f t="shared" si="59"/>
        <v>0</v>
      </c>
      <c r="AI158" s="162">
        <f t="shared" si="59"/>
        <v>0</v>
      </c>
      <c r="AJ158" s="162">
        <f t="shared" si="59"/>
        <v>0</v>
      </c>
      <c r="AK158" s="162">
        <f t="shared" si="59"/>
        <v>0</v>
      </c>
      <c r="AL158" s="162">
        <f t="shared" si="59"/>
        <v>0</v>
      </c>
      <c r="AM158" s="162">
        <f t="shared" si="59"/>
        <v>0</v>
      </c>
      <c r="AN158" s="162">
        <f t="shared" si="59"/>
        <v>0</v>
      </c>
      <c r="AO158" s="162">
        <f t="shared" si="59"/>
        <v>0</v>
      </c>
      <c r="AP158" s="162">
        <f t="shared" si="59"/>
        <v>0</v>
      </c>
      <c r="AQ158" s="162">
        <f t="shared" si="59"/>
        <v>0</v>
      </c>
      <c r="AR158" s="163">
        <f t="shared" si="55"/>
        <v>0</v>
      </c>
    </row>
    <row r="159" spans="1:44" x14ac:dyDescent="0.25">
      <c r="A159" s="14"/>
      <c r="B159" s="15" t="str">
        <f t="shared" si="46"/>
        <v>IND_COMB_1011_1</v>
      </c>
      <c r="F159" s="190">
        <f t="shared" si="56"/>
        <v>1011</v>
      </c>
      <c r="G159" s="149" t="str">
        <f t="shared" si="56"/>
        <v>ARAÇÃO</v>
      </c>
      <c r="H159" s="150" t="str">
        <f t="shared" si="56"/>
        <v/>
      </c>
      <c r="I159" s="150" t="str">
        <f t="shared" si="56"/>
        <v>PREPSP</v>
      </c>
      <c r="J159" s="150">
        <f t="shared" si="56"/>
        <v>1</v>
      </c>
      <c r="K159" s="150" t="str">
        <f>IFERROR(VLOOKUP($J159,#REF!,3,0),"")</f>
        <v/>
      </c>
      <c r="L159" s="150" t="str">
        <f>IFERROR(VLOOKUP($J159,#REF!,5,0),"")</f>
        <v/>
      </c>
      <c r="M159" s="191">
        <f t="shared" si="51"/>
        <v>0</v>
      </c>
      <c r="N159" s="192">
        <f t="shared" si="57"/>
        <v>0</v>
      </c>
      <c r="O159" s="193">
        <f t="shared" si="57"/>
        <v>1</v>
      </c>
      <c r="P159" s="162">
        <f t="shared" si="58"/>
        <v>0</v>
      </c>
      <c r="Q159" s="162">
        <f t="shared" si="58"/>
        <v>0</v>
      </c>
      <c r="R159" s="162">
        <f t="shared" si="58"/>
        <v>0</v>
      </c>
      <c r="S159" s="162">
        <f t="shared" si="58"/>
        <v>0</v>
      </c>
      <c r="T159" s="162">
        <f t="shared" si="58"/>
        <v>0</v>
      </c>
      <c r="U159" s="162">
        <f t="shared" si="58"/>
        <v>0</v>
      </c>
      <c r="V159" s="162">
        <f t="shared" si="58"/>
        <v>0</v>
      </c>
      <c r="W159" s="162">
        <f t="shared" si="58"/>
        <v>0</v>
      </c>
      <c r="X159" s="162">
        <f t="shared" si="58"/>
        <v>0</v>
      </c>
      <c r="Y159" s="162">
        <f t="shared" si="58"/>
        <v>0</v>
      </c>
      <c r="Z159" s="162">
        <f t="shared" si="58"/>
        <v>0</v>
      </c>
      <c r="AA159" s="162">
        <f t="shared" si="58"/>
        <v>0</v>
      </c>
      <c r="AB159" s="163">
        <f t="shared" si="52"/>
        <v>0</v>
      </c>
      <c r="AC159" s="159"/>
      <c r="AE159" s="194" t="str">
        <f t="shared" si="53"/>
        <v>1 - LTS (1011 - ARAÇÃO)</v>
      </c>
      <c r="AF159" s="161">
        <f t="shared" si="59"/>
        <v>0</v>
      </c>
      <c r="AG159" s="162">
        <f t="shared" si="59"/>
        <v>0</v>
      </c>
      <c r="AH159" s="162">
        <f t="shared" si="59"/>
        <v>0</v>
      </c>
      <c r="AI159" s="162">
        <f t="shared" si="59"/>
        <v>0</v>
      </c>
      <c r="AJ159" s="162">
        <f t="shared" si="59"/>
        <v>0</v>
      </c>
      <c r="AK159" s="162">
        <f t="shared" si="59"/>
        <v>0</v>
      </c>
      <c r="AL159" s="162">
        <f t="shared" si="59"/>
        <v>0</v>
      </c>
      <c r="AM159" s="162">
        <f t="shared" si="59"/>
        <v>0</v>
      </c>
      <c r="AN159" s="162">
        <f t="shared" si="59"/>
        <v>0</v>
      </c>
      <c r="AO159" s="162">
        <f t="shared" si="59"/>
        <v>0</v>
      </c>
      <c r="AP159" s="162">
        <f t="shared" si="59"/>
        <v>0</v>
      </c>
      <c r="AQ159" s="162">
        <f t="shared" si="59"/>
        <v>0</v>
      </c>
      <c r="AR159" s="163">
        <f t="shared" si="55"/>
        <v>0</v>
      </c>
    </row>
    <row r="160" spans="1:44" x14ac:dyDescent="0.25">
      <c r="A160" s="14"/>
      <c r="B160" s="15" t="str">
        <f t="shared" si="46"/>
        <v>IND_COMB_0_0</v>
      </c>
      <c r="F160" s="190">
        <f t="shared" si="56"/>
        <v>0</v>
      </c>
      <c r="G160" s="149" t="str">
        <f t="shared" si="56"/>
        <v/>
      </c>
      <c r="H160" s="150" t="str">
        <f t="shared" si="56"/>
        <v/>
      </c>
      <c r="I160" s="150">
        <f t="shared" si="56"/>
        <v>0</v>
      </c>
      <c r="J160" s="150">
        <f t="shared" si="56"/>
        <v>0</v>
      </c>
      <c r="K160" s="150" t="str">
        <f>IFERROR(VLOOKUP($J160,#REF!,3,0),"")</f>
        <v/>
      </c>
      <c r="L160" s="150" t="str">
        <f>IFERROR(VLOOKUP($J160,#REF!,5,0),"")</f>
        <v/>
      </c>
      <c r="M160" s="191">
        <f t="shared" si="51"/>
        <v>0</v>
      </c>
      <c r="N160" s="192">
        <f t="shared" si="57"/>
        <v>0</v>
      </c>
      <c r="O160" s="193">
        <f t="shared" si="57"/>
        <v>0</v>
      </c>
      <c r="P160" s="162">
        <f t="shared" si="58"/>
        <v>0</v>
      </c>
      <c r="Q160" s="162">
        <f t="shared" si="58"/>
        <v>0</v>
      </c>
      <c r="R160" s="162">
        <f t="shared" si="58"/>
        <v>0</v>
      </c>
      <c r="S160" s="162">
        <f t="shared" si="58"/>
        <v>0</v>
      </c>
      <c r="T160" s="162">
        <f t="shared" si="58"/>
        <v>0</v>
      </c>
      <c r="U160" s="162">
        <f t="shared" si="58"/>
        <v>0</v>
      </c>
      <c r="V160" s="162">
        <f t="shared" si="58"/>
        <v>0</v>
      </c>
      <c r="W160" s="162">
        <f t="shared" si="58"/>
        <v>0</v>
      </c>
      <c r="X160" s="162">
        <f t="shared" si="58"/>
        <v>0</v>
      </c>
      <c r="Y160" s="162">
        <f t="shared" si="58"/>
        <v>0</v>
      </c>
      <c r="Z160" s="162">
        <f t="shared" si="58"/>
        <v>0</v>
      </c>
      <c r="AA160" s="162">
        <f t="shared" si="58"/>
        <v>0</v>
      </c>
      <c r="AB160" s="163">
        <f t="shared" si="52"/>
        <v>0</v>
      </c>
      <c r="AC160" s="159"/>
      <c r="AE160" s="194" t="str">
        <f t="shared" si="53"/>
        <v>0 - LTS (0 - )</v>
      </c>
      <c r="AF160" s="161">
        <f t="shared" si="59"/>
        <v>0</v>
      </c>
      <c r="AG160" s="162">
        <f t="shared" si="59"/>
        <v>0</v>
      </c>
      <c r="AH160" s="162">
        <f t="shared" si="59"/>
        <v>0</v>
      </c>
      <c r="AI160" s="162">
        <f t="shared" si="59"/>
        <v>0</v>
      </c>
      <c r="AJ160" s="162">
        <f t="shared" si="59"/>
        <v>0</v>
      </c>
      <c r="AK160" s="162">
        <f t="shared" si="59"/>
        <v>0</v>
      </c>
      <c r="AL160" s="162">
        <f t="shared" si="59"/>
        <v>0</v>
      </c>
      <c r="AM160" s="162">
        <f t="shared" si="59"/>
        <v>0</v>
      </c>
      <c r="AN160" s="162">
        <f t="shared" si="59"/>
        <v>0</v>
      </c>
      <c r="AO160" s="162">
        <f t="shared" si="59"/>
        <v>0</v>
      </c>
      <c r="AP160" s="162">
        <f t="shared" si="59"/>
        <v>0</v>
      </c>
      <c r="AQ160" s="162">
        <f t="shared" si="59"/>
        <v>0</v>
      </c>
      <c r="AR160" s="163">
        <f t="shared" si="55"/>
        <v>0</v>
      </c>
    </row>
    <row r="161" spans="1:44" x14ac:dyDescent="0.25">
      <c r="A161" s="14"/>
      <c r="B161" s="15" t="str">
        <f t="shared" si="46"/>
        <v>IND_COMB_0_0</v>
      </c>
      <c r="F161" s="190">
        <f t="shared" si="56"/>
        <v>0</v>
      </c>
      <c r="G161" s="149" t="str">
        <f t="shared" si="56"/>
        <v/>
      </c>
      <c r="H161" s="150" t="str">
        <f t="shared" si="56"/>
        <v/>
      </c>
      <c r="I161" s="150">
        <f>I114</f>
        <v>0</v>
      </c>
      <c r="J161" s="150">
        <f t="shared" si="56"/>
        <v>0</v>
      </c>
      <c r="K161" s="150" t="str">
        <f>IFERROR(VLOOKUP($J161,#REF!,3,0),"")</f>
        <v/>
      </c>
      <c r="L161" s="150" t="str">
        <f>IFERROR(VLOOKUP($J161,#REF!,5,0),"")</f>
        <v/>
      </c>
      <c r="M161" s="191">
        <f t="shared" si="51"/>
        <v>0</v>
      </c>
      <c r="N161" s="192">
        <f t="shared" si="57"/>
        <v>0</v>
      </c>
      <c r="O161" s="193">
        <f t="shared" si="57"/>
        <v>0</v>
      </c>
      <c r="P161" s="162">
        <f t="shared" si="58"/>
        <v>0</v>
      </c>
      <c r="Q161" s="162">
        <f t="shared" si="58"/>
        <v>0</v>
      </c>
      <c r="R161" s="162">
        <f t="shared" si="58"/>
        <v>0</v>
      </c>
      <c r="S161" s="162">
        <f t="shared" si="58"/>
        <v>0</v>
      </c>
      <c r="T161" s="162">
        <f t="shared" si="58"/>
        <v>0</v>
      </c>
      <c r="U161" s="162">
        <f t="shared" si="58"/>
        <v>0</v>
      </c>
      <c r="V161" s="162">
        <f t="shared" si="58"/>
        <v>0</v>
      </c>
      <c r="W161" s="162">
        <f t="shared" si="58"/>
        <v>0</v>
      </c>
      <c r="X161" s="162">
        <f t="shared" si="58"/>
        <v>0</v>
      </c>
      <c r="Y161" s="162">
        <f t="shared" si="58"/>
        <v>0</v>
      </c>
      <c r="Z161" s="162">
        <f t="shared" si="58"/>
        <v>0</v>
      </c>
      <c r="AA161" s="162">
        <f t="shared" si="58"/>
        <v>0</v>
      </c>
      <c r="AB161" s="163">
        <f t="shared" si="52"/>
        <v>0</v>
      </c>
      <c r="AC161" s="159"/>
      <c r="AE161" s="194" t="str">
        <f t="shared" si="53"/>
        <v>0 - LTS (0 - )</v>
      </c>
      <c r="AF161" s="161">
        <f t="shared" si="59"/>
        <v>0</v>
      </c>
      <c r="AG161" s="162">
        <f t="shared" si="59"/>
        <v>0</v>
      </c>
      <c r="AH161" s="162">
        <f t="shared" si="59"/>
        <v>0</v>
      </c>
      <c r="AI161" s="162">
        <f t="shared" si="59"/>
        <v>0</v>
      </c>
      <c r="AJ161" s="162">
        <f t="shared" si="59"/>
        <v>0</v>
      </c>
      <c r="AK161" s="162">
        <f t="shared" si="59"/>
        <v>0</v>
      </c>
      <c r="AL161" s="162">
        <f t="shared" si="59"/>
        <v>0</v>
      </c>
      <c r="AM161" s="162">
        <f t="shared" si="59"/>
        <v>0</v>
      </c>
      <c r="AN161" s="162">
        <f t="shared" si="59"/>
        <v>0</v>
      </c>
      <c r="AO161" s="162">
        <f t="shared" si="59"/>
        <v>0</v>
      </c>
      <c r="AP161" s="162">
        <f t="shared" si="59"/>
        <v>0</v>
      </c>
      <c r="AQ161" s="162">
        <f t="shared" si="59"/>
        <v>0</v>
      </c>
      <c r="AR161" s="163">
        <f t="shared" si="55"/>
        <v>0</v>
      </c>
    </row>
    <row r="162" spans="1:44" x14ac:dyDescent="0.25">
      <c r="A162" s="14"/>
      <c r="B162" s="15" t="str">
        <f t="shared" si="46"/>
        <v>IND_COMB_0_0</v>
      </c>
      <c r="F162" s="190">
        <f t="shared" si="56"/>
        <v>0</v>
      </c>
      <c r="G162" s="149" t="str">
        <f t="shared" si="56"/>
        <v/>
      </c>
      <c r="H162" s="150" t="str">
        <f t="shared" si="56"/>
        <v/>
      </c>
      <c r="I162" s="150">
        <f t="shared" si="56"/>
        <v>0</v>
      </c>
      <c r="J162" s="150">
        <f t="shared" si="56"/>
        <v>0</v>
      </c>
      <c r="K162" s="150" t="str">
        <f>IFERROR(VLOOKUP($J162,#REF!,3,0),"")</f>
        <v/>
      </c>
      <c r="L162" s="150" t="str">
        <f>IFERROR(VLOOKUP($J162,#REF!,5,0),"")</f>
        <v/>
      </c>
      <c r="M162" s="191">
        <f t="shared" si="51"/>
        <v>0</v>
      </c>
      <c r="N162" s="192">
        <f t="shared" si="57"/>
        <v>0</v>
      </c>
      <c r="O162" s="193">
        <f t="shared" si="57"/>
        <v>0</v>
      </c>
      <c r="P162" s="162">
        <f t="shared" si="58"/>
        <v>0</v>
      </c>
      <c r="Q162" s="162">
        <f t="shared" si="58"/>
        <v>0</v>
      </c>
      <c r="R162" s="162">
        <f t="shared" si="58"/>
        <v>0</v>
      </c>
      <c r="S162" s="162">
        <f t="shared" si="58"/>
        <v>0</v>
      </c>
      <c r="T162" s="162">
        <f t="shared" si="58"/>
        <v>0</v>
      </c>
      <c r="U162" s="162">
        <f t="shared" si="58"/>
        <v>0</v>
      </c>
      <c r="V162" s="162">
        <f t="shared" si="58"/>
        <v>0</v>
      </c>
      <c r="W162" s="162">
        <f t="shared" si="58"/>
        <v>0</v>
      </c>
      <c r="X162" s="162">
        <f t="shared" si="58"/>
        <v>0</v>
      </c>
      <c r="Y162" s="162">
        <f t="shared" si="58"/>
        <v>0</v>
      </c>
      <c r="Z162" s="162">
        <f t="shared" si="58"/>
        <v>0</v>
      </c>
      <c r="AA162" s="162">
        <f t="shared" si="58"/>
        <v>0</v>
      </c>
      <c r="AB162" s="163">
        <f t="shared" si="52"/>
        <v>0</v>
      </c>
      <c r="AC162" s="159"/>
      <c r="AE162" s="194" t="str">
        <f t="shared" si="53"/>
        <v>0 - LTS (0 - )</v>
      </c>
      <c r="AF162" s="161">
        <f t="shared" si="59"/>
        <v>0</v>
      </c>
      <c r="AG162" s="162">
        <f t="shared" si="59"/>
        <v>0</v>
      </c>
      <c r="AH162" s="162">
        <f t="shared" si="59"/>
        <v>0</v>
      </c>
      <c r="AI162" s="162">
        <f t="shared" si="59"/>
        <v>0</v>
      </c>
      <c r="AJ162" s="162">
        <f t="shared" si="59"/>
        <v>0</v>
      </c>
      <c r="AK162" s="162">
        <f t="shared" si="59"/>
        <v>0</v>
      </c>
      <c r="AL162" s="162">
        <f t="shared" si="59"/>
        <v>0</v>
      </c>
      <c r="AM162" s="162">
        <f t="shared" si="59"/>
        <v>0</v>
      </c>
      <c r="AN162" s="162">
        <f t="shared" si="59"/>
        <v>0</v>
      </c>
      <c r="AO162" s="162">
        <f t="shared" si="59"/>
        <v>0</v>
      </c>
      <c r="AP162" s="162">
        <f t="shared" si="59"/>
        <v>0</v>
      </c>
      <c r="AQ162" s="162">
        <f t="shared" si="59"/>
        <v>0</v>
      </c>
      <c r="AR162" s="163">
        <f t="shared" si="55"/>
        <v>0</v>
      </c>
    </row>
    <row r="163" spans="1:44" x14ac:dyDescent="0.25">
      <c r="A163" s="14"/>
      <c r="B163" s="15" t="str">
        <f t="shared" si="46"/>
        <v>IND_COMB_0_0</v>
      </c>
      <c r="F163" s="190">
        <f t="shared" si="56"/>
        <v>0</v>
      </c>
      <c r="G163" s="149" t="str">
        <f t="shared" si="56"/>
        <v/>
      </c>
      <c r="H163" s="150" t="str">
        <f t="shared" si="56"/>
        <v/>
      </c>
      <c r="I163" s="150">
        <f t="shared" si="56"/>
        <v>0</v>
      </c>
      <c r="J163" s="150">
        <f t="shared" si="56"/>
        <v>0</v>
      </c>
      <c r="K163" s="150" t="str">
        <f>IFERROR(VLOOKUP($J163,#REF!,3,0),"")</f>
        <v/>
      </c>
      <c r="L163" s="150" t="str">
        <f>IFERROR(VLOOKUP($J163,#REF!,5,0),"")</f>
        <v/>
      </c>
      <c r="M163" s="191">
        <f t="shared" si="51"/>
        <v>0</v>
      </c>
      <c r="N163" s="192">
        <f t="shared" si="57"/>
        <v>0</v>
      </c>
      <c r="O163" s="193">
        <f t="shared" si="57"/>
        <v>0</v>
      </c>
      <c r="P163" s="162">
        <f t="shared" si="58"/>
        <v>0</v>
      </c>
      <c r="Q163" s="162">
        <f t="shared" si="58"/>
        <v>0</v>
      </c>
      <c r="R163" s="162">
        <f t="shared" si="58"/>
        <v>0</v>
      </c>
      <c r="S163" s="162">
        <f t="shared" si="58"/>
        <v>0</v>
      </c>
      <c r="T163" s="162">
        <f t="shared" si="58"/>
        <v>0</v>
      </c>
      <c r="U163" s="162">
        <f t="shared" si="58"/>
        <v>0</v>
      </c>
      <c r="V163" s="162">
        <f t="shared" si="58"/>
        <v>0</v>
      </c>
      <c r="W163" s="162">
        <f t="shared" si="58"/>
        <v>0</v>
      </c>
      <c r="X163" s="162">
        <f t="shared" si="58"/>
        <v>0</v>
      </c>
      <c r="Y163" s="162">
        <f t="shared" si="58"/>
        <v>0</v>
      </c>
      <c r="Z163" s="162">
        <f t="shared" si="58"/>
        <v>0</v>
      </c>
      <c r="AA163" s="162">
        <f t="shared" si="58"/>
        <v>0</v>
      </c>
      <c r="AB163" s="163">
        <f t="shared" si="52"/>
        <v>0</v>
      </c>
      <c r="AC163" s="159"/>
      <c r="AE163" s="194" t="str">
        <f t="shared" si="53"/>
        <v>0 - LTS (0 - )</v>
      </c>
      <c r="AF163" s="161">
        <f t="shared" si="59"/>
        <v>0</v>
      </c>
      <c r="AG163" s="162">
        <f t="shared" si="59"/>
        <v>0</v>
      </c>
      <c r="AH163" s="162">
        <f t="shared" si="59"/>
        <v>0</v>
      </c>
      <c r="AI163" s="162">
        <f t="shared" si="59"/>
        <v>0</v>
      </c>
      <c r="AJ163" s="162">
        <f t="shared" si="59"/>
        <v>0</v>
      </c>
      <c r="AK163" s="162">
        <f t="shared" si="59"/>
        <v>0</v>
      </c>
      <c r="AL163" s="162">
        <f t="shared" si="59"/>
        <v>0</v>
      </c>
      <c r="AM163" s="162">
        <f t="shared" si="59"/>
        <v>0</v>
      </c>
      <c r="AN163" s="162">
        <f t="shared" si="59"/>
        <v>0</v>
      </c>
      <c r="AO163" s="162">
        <f t="shared" si="59"/>
        <v>0</v>
      </c>
      <c r="AP163" s="162">
        <f t="shared" si="59"/>
        <v>0</v>
      </c>
      <c r="AQ163" s="162">
        <f t="shared" si="59"/>
        <v>0</v>
      </c>
      <c r="AR163" s="163">
        <f t="shared" si="55"/>
        <v>0</v>
      </c>
    </row>
    <row r="164" spans="1:44" x14ac:dyDescent="0.25">
      <c r="A164" s="14"/>
      <c r="B164" s="15" t="str">
        <f t="shared" si="46"/>
        <v>IND_COMB_0_0</v>
      </c>
      <c r="F164" s="190">
        <f t="shared" si="56"/>
        <v>0</v>
      </c>
      <c r="G164" s="149">
        <f t="shared" si="56"/>
        <v>0</v>
      </c>
      <c r="H164" s="150">
        <f t="shared" si="56"/>
        <v>0</v>
      </c>
      <c r="I164" s="150">
        <f>I117</f>
        <v>0</v>
      </c>
      <c r="J164" s="150">
        <f t="shared" si="56"/>
        <v>0</v>
      </c>
      <c r="K164" s="150" t="str">
        <f>IFERROR(VLOOKUP($J164,#REF!,3,0),"")</f>
        <v/>
      </c>
      <c r="L164" s="150" t="str">
        <f>IFERROR(VLOOKUP($J164,#REF!,5,0),"")</f>
        <v/>
      </c>
      <c r="M164" s="191">
        <f t="shared" si="51"/>
        <v>0</v>
      </c>
      <c r="N164" s="192">
        <f t="shared" si="57"/>
        <v>0</v>
      </c>
      <c r="O164" s="193">
        <f t="shared" si="57"/>
        <v>0</v>
      </c>
      <c r="P164" s="162">
        <f t="shared" si="58"/>
        <v>0</v>
      </c>
      <c r="Q164" s="162">
        <f t="shared" si="58"/>
        <v>0</v>
      </c>
      <c r="R164" s="162">
        <f t="shared" si="58"/>
        <v>0</v>
      </c>
      <c r="S164" s="162">
        <f t="shared" si="58"/>
        <v>0</v>
      </c>
      <c r="T164" s="162">
        <f t="shared" si="58"/>
        <v>0</v>
      </c>
      <c r="U164" s="162">
        <f t="shared" si="58"/>
        <v>0</v>
      </c>
      <c r="V164" s="162">
        <f t="shared" si="58"/>
        <v>0</v>
      </c>
      <c r="W164" s="162">
        <f t="shared" si="58"/>
        <v>0</v>
      </c>
      <c r="X164" s="162">
        <f t="shared" si="58"/>
        <v>0</v>
      </c>
      <c r="Y164" s="162">
        <f t="shared" si="58"/>
        <v>0</v>
      </c>
      <c r="Z164" s="162">
        <f t="shared" si="58"/>
        <v>0</v>
      </c>
      <c r="AA164" s="162">
        <f t="shared" si="58"/>
        <v>0</v>
      </c>
      <c r="AB164" s="163">
        <f t="shared" si="52"/>
        <v>0</v>
      </c>
      <c r="AC164" s="159"/>
      <c r="AE164" s="194" t="str">
        <f t="shared" si="53"/>
        <v>0 - LTS (0 - 0)</v>
      </c>
      <c r="AF164" s="161">
        <f t="shared" si="59"/>
        <v>0</v>
      </c>
      <c r="AG164" s="162">
        <f t="shared" si="59"/>
        <v>0</v>
      </c>
      <c r="AH164" s="162">
        <f t="shared" si="59"/>
        <v>0</v>
      </c>
      <c r="AI164" s="162">
        <f t="shared" si="59"/>
        <v>0</v>
      </c>
      <c r="AJ164" s="162">
        <f t="shared" si="59"/>
        <v>0</v>
      </c>
      <c r="AK164" s="162">
        <f t="shared" si="59"/>
        <v>0</v>
      </c>
      <c r="AL164" s="162">
        <f t="shared" si="59"/>
        <v>0</v>
      </c>
      <c r="AM164" s="162">
        <f t="shared" si="59"/>
        <v>0</v>
      </c>
      <c r="AN164" s="162">
        <f t="shared" si="59"/>
        <v>0</v>
      </c>
      <c r="AO164" s="162">
        <f t="shared" si="59"/>
        <v>0</v>
      </c>
      <c r="AP164" s="162">
        <f t="shared" si="59"/>
        <v>0</v>
      </c>
      <c r="AQ164" s="162">
        <f t="shared" si="59"/>
        <v>0</v>
      </c>
      <c r="AR164" s="163">
        <f t="shared" si="55"/>
        <v>0</v>
      </c>
    </row>
    <row r="165" spans="1:44" x14ac:dyDescent="0.25">
      <c r="A165" s="14"/>
      <c r="B165" s="15" t="str">
        <f t="shared" si="46"/>
        <v>IND_COMB_0_0</v>
      </c>
      <c r="F165" s="190">
        <f t="shared" si="56"/>
        <v>0</v>
      </c>
      <c r="G165" s="149">
        <f t="shared" si="56"/>
        <v>0</v>
      </c>
      <c r="H165" s="150">
        <f t="shared" si="56"/>
        <v>0</v>
      </c>
      <c r="I165" s="150">
        <f t="shared" si="56"/>
        <v>0</v>
      </c>
      <c r="J165" s="150">
        <f t="shared" si="56"/>
        <v>0</v>
      </c>
      <c r="K165" s="150" t="str">
        <f>IFERROR(VLOOKUP($J165,#REF!,3,0),"")</f>
        <v/>
      </c>
      <c r="L165" s="150" t="str">
        <f>IFERROR(VLOOKUP($J165,#REF!,5,0),"")</f>
        <v/>
      </c>
      <c r="M165" s="191">
        <f t="shared" si="51"/>
        <v>0</v>
      </c>
      <c r="N165" s="192">
        <f t="shared" si="57"/>
        <v>0</v>
      </c>
      <c r="O165" s="193">
        <f t="shared" si="57"/>
        <v>0</v>
      </c>
      <c r="P165" s="162">
        <f t="shared" si="58"/>
        <v>0</v>
      </c>
      <c r="Q165" s="162">
        <f t="shared" si="58"/>
        <v>0</v>
      </c>
      <c r="R165" s="162">
        <f t="shared" si="58"/>
        <v>0</v>
      </c>
      <c r="S165" s="162">
        <f t="shared" si="58"/>
        <v>0</v>
      </c>
      <c r="T165" s="162">
        <f t="shared" si="58"/>
        <v>0</v>
      </c>
      <c r="U165" s="162">
        <f t="shared" si="58"/>
        <v>0</v>
      </c>
      <c r="V165" s="162">
        <f t="shared" si="58"/>
        <v>0</v>
      </c>
      <c r="W165" s="162">
        <f t="shared" si="58"/>
        <v>0</v>
      </c>
      <c r="X165" s="162">
        <f t="shared" si="58"/>
        <v>0</v>
      </c>
      <c r="Y165" s="162">
        <f t="shared" si="58"/>
        <v>0</v>
      </c>
      <c r="Z165" s="162">
        <f t="shared" si="58"/>
        <v>0</v>
      </c>
      <c r="AA165" s="162">
        <f t="shared" si="58"/>
        <v>0</v>
      </c>
      <c r="AB165" s="163">
        <f t="shared" si="52"/>
        <v>0</v>
      </c>
      <c r="AC165" s="159"/>
      <c r="AE165" s="194" t="str">
        <f t="shared" si="53"/>
        <v>0 - LTS (0 - 0)</v>
      </c>
      <c r="AF165" s="161">
        <f t="shared" si="59"/>
        <v>0</v>
      </c>
      <c r="AG165" s="162">
        <f t="shared" si="59"/>
        <v>0</v>
      </c>
      <c r="AH165" s="162">
        <f t="shared" si="59"/>
        <v>0</v>
      </c>
      <c r="AI165" s="162">
        <f t="shared" si="59"/>
        <v>0</v>
      </c>
      <c r="AJ165" s="162">
        <f t="shared" si="59"/>
        <v>0</v>
      </c>
      <c r="AK165" s="162">
        <f t="shared" si="59"/>
        <v>0</v>
      </c>
      <c r="AL165" s="162">
        <f t="shared" si="59"/>
        <v>0</v>
      </c>
      <c r="AM165" s="162">
        <f t="shared" si="59"/>
        <v>0</v>
      </c>
      <c r="AN165" s="162">
        <f t="shared" si="59"/>
        <v>0</v>
      </c>
      <c r="AO165" s="162">
        <f t="shared" si="59"/>
        <v>0</v>
      </c>
      <c r="AP165" s="162">
        <f t="shared" si="59"/>
        <v>0</v>
      </c>
      <c r="AQ165" s="162">
        <f t="shared" si="59"/>
        <v>0</v>
      </c>
      <c r="AR165" s="163">
        <f t="shared" si="55"/>
        <v>0</v>
      </c>
    </row>
    <row r="166" spans="1:44" x14ac:dyDescent="0.25">
      <c r="A166" s="14"/>
      <c r="B166" s="15" t="str">
        <f t="shared" si="46"/>
        <v>IND_COMB_0_0</v>
      </c>
      <c r="F166" s="190">
        <f t="shared" si="56"/>
        <v>0</v>
      </c>
      <c r="G166" s="149" t="str">
        <f t="shared" si="56"/>
        <v/>
      </c>
      <c r="H166" s="150" t="str">
        <f t="shared" si="56"/>
        <v/>
      </c>
      <c r="I166" s="150">
        <f t="shared" si="56"/>
        <v>0</v>
      </c>
      <c r="J166" s="150">
        <f t="shared" si="56"/>
        <v>0</v>
      </c>
      <c r="K166" s="150" t="str">
        <f>IFERROR(VLOOKUP($J166,#REF!,3,0),"")</f>
        <v/>
      </c>
      <c r="L166" s="150" t="str">
        <f>IFERROR(VLOOKUP($J166,#REF!,5,0),"")</f>
        <v/>
      </c>
      <c r="M166" s="191">
        <f t="shared" si="51"/>
        <v>0</v>
      </c>
      <c r="N166" s="192">
        <f t="shared" si="57"/>
        <v>0</v>
      </c>
      <c r="O166" s="193">
        <f t="shared" si="57"/>
        <v>0</v>
      </c>
      <c r="P166" s="162">
        <f t="shared" si="58"/>
        <v>0</v>
      </c>
      <c r="Q166" s="162">
        <f t="shared" si="58"/>
        <v>0</v>
      </c>
      <c r="R166" s="162">
        <f t="shared" si="58"/>
        <v>0</v>
      </c>
      <c r="S166" s="162">
        <f t="shared" si="58"/>
        <v>0</v>
      </c>
      <c r="T166" s="162">
        <f t="shared" si="58"/>
        <v>0</v>
      </c>
      <c r="U166" s="162">
        <f t="shared" si="58"/>
        <v>0</v>
      </c>
      <c r="V166" s="162">
        <f t="shared" si="58"/>
        <v>0</v>
      </c>
      <c r="W166" s="162">
        <f t="shared" si="58"/>
        <v>0</v>
      </c>
      <c r="X166" s="162">
        <f t="shared" si="58"/>
        <v>0</v>
      </c>
      <c r="Y166" s="162">
        <f t="shared" si="58"/>
        <v>0</v>
      </c>
      <c r="Z166" s="162">
        <f t="shared" si="58"/>
        <v>0</v>
      </c>
      <c r="AA166" s="162">
        <f t="shared" si="58"/>
        <v>0</v>
      </c>
      <c r="AB166" s="163">
        <f t="shared" si="52"/>
        <v>0</v>
      </c>
      <c r="AC166" s="159"/>
      <c r="AE166" s="194" t="str">
        <f t="shared" si="53"/>
        <v>0 - LTS (0 - )</v>
      </c>
      <c r="AF166" s="161">
        <f t="shared" si="59"/>
        <v>0</v>
      </c>
      <c r="AG166" s="162">
        <f t="shared" si="59"/>
        <v>0</v>
      </c>
      <c r="AH166" s="162">
        <f t="shared" si="59"/>
        <v>0</v>
      </c>
      <c r="AI166" s="162">
        <f t="shared" si="59"/>
        <v>0</v>
      </c>
      <c r="AJ166" s="162">
        <f t="shared" si="59"/>
        <v>0</v>
      </c>
      <c r="AK166" s="162">
        <f t="shared" si="59"/>
        <v>0</v>
      </c>
      <c r="AL166" s="162">
        <f t="shared" si="59"/>
        <v>0</v>
      </c>
      <c r="AM166" s="162">
        <f t="shared" si="59"/>
        <v>0</v>
      </c>
      <c r="AN166" s="162">
        <f t="shared" si="59"/>
        <v>0</v>
      </c>
      <c r="AO166" s="162">
        <f t="shared" si="59"/>
        <v>0</v>
      </c>
      <c r="AP166" s="162">
        <f t="shared" si="59"/>
        <v>0</v>
      </c>
      <c r="AQ166" s="162">
        <f t="shared" si="59"/>
        <v>0</v>
      </c>
      <c r="AR166" s="163">
        <f t="shared" si="55"/>
        <v>0</v>
      </c>
    </row>
    <row r="167" spans="1:44" x14ac:dyDescent="0.25">
      <c r="A167" s="14"/>
      <c r="B167" s="15" t="str">
        <f t="shared" si="46"/>
        <v>IND_COMB_0_0</v>
      </c>
      <c r="F167" s="190">
        <f t="shared" si="56"/>
        <v>0</v>
      </c>
      <c r="G167" s="149" t="str">
        <f t="shared" si="56"/>
        <v/>
      </c>
      <c r="H167" s="150" t="str">
        <f t="shared" si="56"/>
        <v/>
      </c>
      <c r="I167" s="150">
        <f t="shared" si="56"/>
        <v>0</v>
      </c>
      <c r="J167" s="150">
        <f t="shared" si="56"/>
        <v>0</v>
      </c>
      <c r="K167" s="150" t="str">
        <f>IFERROR(VLOOKUP($J167,#REF!,3,0),"")</f>
        <v/>
      </c>
      <c r="L167" s="150" t="str">
        <f>IFERROR(VLOOKUP($J167,#REF!,5,0),"")</f>
        <v/>
      </c>
      <c r="M167" s="191">
        <f t="shared" si="51"/>
        <v>0</v>
      </c>
      <c r="N167" s="192">
        <f t="shared" si="57"/>
        <v>0</v>
      </c>
      <c r="O167" s="193">
        <f t="shared" si="57"/>
        <v>0</v>
      </c>
      <c r="P167" s="162">
        <f t="shared" si="58"/>
        <v>0</v>
      </c>
      <c r="Q167" s="162">
        <f t="shared" si="58"/>
        <v>0</v>
      </c>
      <c r="R167" s="162">
        <f t="shared" si="58"/>
        <v>0</v>
      </c>
      <c r="S167" s="162">
        <f t="shared" si="58"/>
        <v>0</v>
      </c>
      <c r="T167" s="162">
        <f t="shared" si="58"/>
        <v>0</v>
      </c>
      <c r="U167" s="162">
        <f t="shared" si="58"/>
        <v>0</v>
      </c>
      <c r="V167" s="162">
        <f t="shared" si="58"/>
        <v>0</v>
      </c>
      <c r="W167" s="162">
        <f t="shared" si="58"/>
        <v>0</v>
      </c>
      <c r="X167" s="162">
        <f t="shared" si="58"/>
        <v>0</v>
      </c>
      <c r="Y167" s="162">
        <f t="shared" si="58"/>
        <v>0</v>
      </c>
      <c r="Z167" s="162">
        <f t="shared" si="58"/>
        <v>0</v>
      </c>
      <c r="AA167" s="162">
        <f t="shared" si="58"/>
        <v>0</v>
      </c>
      <c r="AB167" s="163">
        <f t="shared" si="52"/>
        <v>0</v>
      </c>
      <c r="AC167" s="159"/>
      <c r="AE167" s="194" t="str">
        <f t="shared" si="53"/>
        <v>0 - LTS (0 - )</v>
      </c>
      <c r="AF167" s="161">
        <f t="shared" si="59"/>
        <v>0</v>
      </c>
      <c r="AG167" s="162">
        <f t="shared" si="59"/>
        <v>0</v>
      </c>
      <c r="AH167" s="162">
        <f t="shared" si="59"/>
        <v>0</v>
      </c>
      <c r="AI167" s="162">
        <f t="shared" si="59"/>
        <v>0</v>
      </c>
      <c r="AJ167" s="162">
        <f t="shared" si="59"/>
        <v>0</v>
      </c>
      <c r="AK167" s="162">
        <f t="shared" si="59"/>
        <v>0</v>
      </c>
      <c r="AL167" s="162">
        <f t="shared" si="59"/>
        <v>0</v>
      </c>
      <c r="AM167" s="162">
        <f t="shared" si="59"/>
        <v>0</v>
      </c>
      <c r="AN167" s="162">
        <f t="shared" si="59"/>
        <v>0</v>
      </c>
      <c r="AO167" s="162">
        <f t="shared" si="59"/>
        <v>0</v>
      </c>
      <c r="AP167" s="162">
        <f t="shared" si="59"/>
        <v>0</v>
      </c>
      <c r="AQ167" s="162">
        <f t="shared" si="59"/>
        <v>0</v>
      </c>
      <c r="AR167" s="163">
        <f t="shared" si="55"/>
        <v>0</v>
      </c>
    </row>
    <row r="168" spans="1:44" x14ac:dyDescent="0.25">
      <c r="A168" s="14"/>
      <c r="B168" s="15" t="str">
        <f t="shared" si="46"/>
        <v>IND_COMB_0_0</v>
      </c>
      <c r="F168" s="190">
        <f t="shared" si="56"/>
        <v>0</v>
      </c>
      <c r="G168" s="149" t="str">
        <f t="shared" si="56"/>
        <v/>
      </c>
      <c r="H168" s="150" t="str">
        <f t="shared" si="56"/>
        <v/>
      </c>
      <c r="I168" s="150">
        <f t="shared" si="56"/>
        <v>0</v>
      </c>
      <c r="J168" s="150">
        <f t="shared" si="56"/>
        <v>0</v>
      </c>
      <c r="K168" s="150" t="str">
        <f>IFERROR(VLOOKUP($J168,#REF!,3,0),"")</f>
        <v/>
      </c>
      <c r="L168" s="150" t="str">
        <f>IFERROR(VLOOKUP($J168,#REF!,5,0),"")</f>
        <v/>
      </c>
      <c r="M168" s="191">
        <f t="shared" si="51"/>
        <v>0</v>
      </c>
      <c r="N168" s="192">
        <f t="shared" si="57"/>
        <v>0</v>
      </c>
      <c r="O168" s="193">
        <f t="shared" si="57"/>
        <v>0</v>
      </c>
      <c r="P168" s="162">
        <f t="shared" si="58"/>
        <v>0</v>
      </c>
      <c r="Q168" s="162">
        <f t="shared" si="58"/>
        <v>0</v>
      </c>
      <c r="R168" s="162">
        <f t="shared" si="58"/>
        <v>0</v>
      </c>
      <c r="S168" s="162">
        <f t="shared" si="58"/>
        <v>0</v>
      </c>
      <c r="T168" s="162">
        <f t="shared" si="58"/>
        <v>0</v>
      </c>
      <c r="U168" s="162">
        <f t="shared" si="58"/>
        <v>0</v>
      </c>
      <c r="V168" s="162">
        <f t="shared" si="58"/>
        <v>0</v>
      </c>
      <c r="W168" s="162">
        <f t="shared" si="58"/>
        <v>0</v>
      </c>
      <c r="X168" s="162">
        <f t="shared" si="58"/>
        <v>0</v>
      </c>
      <c r="Y168" s="162">
        <f t="shared" si="58"/>
        <v>0</v>
      </c>
      <c r="Z168" s="162">
        <f t="shared" si="58"/>
        <v>0</v>
      </c>
      <c r="AA168" s="162">
        <f t="shared" si="58"/>
        <v>0</v>
      </c>
      <c r="AB168" s="163">
        <f t="shared" si="52"/>
        <v>0</v>
      </c>
      <c r="AC168" s="159"/>
      <c r="AE168" s="194" t="str">
        <f t="shared" si="53"/>
        <v>0 - LTS (0 - )</v>
      </c>
      <c r="AF168" s="161">
        <f t="shared" si="59"/>
        <v>0</v>
      </c>
      <c r="AG168" s="162">
        <f t="shared" si="59"/>
        <v>0</v>
      </c>
      <c r="AH168" s="162">
        <f t="shared" si="59"/>
        <v>0</v>
      </c>
      <c r="AI168" s="162">
        <f t="shared" si="59"/>
        <v>0</v>
      </c>
      <c r="AJ168" s="162">
        <f t="shared" si="59"/>
        <v>0</v>
      </c>
      <c r="AK168" s="162">
        <f t="shared" si="59"/>
        <v>0</v>
      </c>
      <c r="AL168" s="162">
        <f t="shared" si="59"/>
        <v>0</v>
      </c>
      <c r="AM168" s="162">
        <f t="shared" si="59"/>
        <v>0</v>
      </c>
      <c r="AN168" s="162">
        <f t="shared" si="59"/>
        <v>0</v>
      </c>
      <c r="AO168" s="162">
        <f t="shared" si="59"/>
        <v>0</v>
      </c>
      <c r="AP168" s="162">
        <f t="shared" si="59"/>
        <v>0</v>
      </c>
      <c r="AQ168" s="162">
        <f t="shared" si="59"/>
        <v>0</v>
      </c>
      <c r="AR168" s="163">
        <f t="shared" si="55"/>
        <v>0</v>
      </c>
    </row>
    <row r="169" spans="1:44" x14ac:dyDescent="0.25">
      <c r="A169" s="14"/>
      <c r="B169" s="15" t="str">
        <f t="shared" si="46"/>
        <v>IND_COMB_0_0</v>
      </c>
      <c r="F169" s="190">
        <f t="shared" si="56"/>
        <v>0</v>
      </c>
      <c r="G169" s="149" t="str">
        <f t="shared" si="56"/>
        <v/>
      </c>
      <c r="H169" s="150" t="str">
        <f t="shared" si="56"/>
        <v/>
      </c>
      <c r="I169" s="150">
        <f t="shared" si="56"/>
        <v>0</v>
      </c>
      <c r="J169" s="150">
        <f t="shared" si="56"/>
        <v>0</v>
      </c>
      <c r="K169" s="150" t="str">
        <f>IFERROR(VLOOKUP($J169,#REF!,3,0),"")</f>
        <v/>
      </c>
      <c r="L169" s="150" t="str">
        <f>IFERROR(VLOOKUP($J169,#REF!,5,0),"")</f>
        <v/>
      </c>
      <c r="M169" s="191">
        <f t="shared" si="51"/>
        <v>0</v>
      </c>
      <c r="N169" s="192">
        <f t="shared" si="57"/>
        <v>0</v>
      </c>
      <c r="O169" s="193">
        <f t="shared" si="57"/>
        <v>0</v>
      </c>
      <c r="P169" s="162">
        <f t="shared" si="58"/>
        <v>0</v>
      </c>
      <c r="Q169" s="162">
        <f t="shared" si="58"/>
        <v>0</v>
      </c>
      <c r="R169" s="162">
        <f t="shared" si="58"/>
        <v>0</v>
      </c>
      <c r="S169" s="162">
        <f t="shared" si="58"/>
        <v>0</v>
      </c>
      <c r="T169" s="162">
        <f t="shared" si="58"/>
        <v>0</v>
      </c>
      <c r="U169" s="162">
        <f t="shared" si="58"/>
        <v>0</v>
      </c>
      <c r="V169" s="162">
        <f t="shared" si="58"/>
        <v>0</v>
      </c>
      <c r="W169" s="162">
        <f t="shared" si="58"/>
        <v>0</v>
      </c>
      <c r="X169" s="162">
        <f t="shared" si="58"/>
        <v>0</v>
      </c>
      <c r="Y169" s="162">
        <f t="shared" si="58"/>
        <v>0</v>
      </c>
      <c r="Z169" s="162">
        <f t="shared" si="58"/>
        <v>0</v>
      </c>
      <c r="AA169" s="162">
        <f t="shared" si="58"/>
        <v>0</v>
      </c>
      <c r="AB169" s="163">
        <f t="shared" si="52"/>
        <v>0</v>
      </c>
      <c r="AC169" s="159"/>
      <c r="AE169" s="194" t="str">
        <f t="shared" si="53"/>
        <v>0 - LTS (0 - )</v>
      </c>
      <c r="AF169" s="161">
        <f t="shared" si="59"/>
        <v>0</v>
      </c>
      <c r="AG169" s="162">
        <f t="shared" si="59"/>
        <v>0</v>
      </c>
      <c r="AH169" s="162">
        <f t="shared" si="59"/>
        <v>0</v>
      </c>
      <c r="AI169" s="162">
        <f t="shared" si="59"/>
        <v>0</v>
      </c>
      <c r="AJ169" s="162">
        <f t="shared" si="59"/>
        <v>0</v>
      </c>
      <c r="AK169" s="162">
        <f t="shared" si="59"/>
        <v>0</v>
      </c>
      <c r="AL169" s="162">
        <f t="shared" si="59"/>
        <v>0</v>
      </c>
      <c r="AM169" s="162">
        <f t="shared" si="59"/>
        <v>0</v>
      </c>
      <c r="AN169" s="162">
        <f t="shared" si="59"/>
        <v>0</v>
      </c>
      <c r="AO169" s="162">
        <f t="shared" si="59"/>
        <v>0</v>
      </c>
      <c r="AP169" s="162">
        <f t="shared" si="59"/>
        <v>0</v>
      </c>
      <c r="AQ169" s="162">
        <f t="shared" si="59"/>
        <v>0</v>
      </c>
      <c r="AR169" s="163">
        <f t="shared" si="55"/>
        <v>0</v>
      </c>
    </row>
    <row r="170" spans="1:44" x14ac:dyDescent="0.25">
      <c r="A170" s="14"/>
      <c r="B170" s="15" t="str">
        <f t="shared" si="46"/>
        <v>IND_COMB_0_0</v>
      </c>
      <c r="F170" s="190">
        <f t="shared" si="56"/>
        <v>0</v>
      </c>
      <c r="G170" s="149" t="str">
        <f t="shared" si="56"/>
        <v/>
      </c>
      <c r="H170" s="150" t="str">
        <f t="shared" si="56"/>
        <v/>
      </c>
      <c r="I170" s="150">
        <f t="shared" si="56"/>
        <v>0</v>
      </c>
      <c r="J170" s="150">
        <f t="shared" si="56"/>
        <v>0</v>
      </c>
      <c r="K170" s="150" t="str">
        <f>IFERROR(VLOOKUP($J170,#REF!,3,0),"")</f>
        <v/>
      </c>
      <c r="L170" s="150" t="str">
        <f>IFERROR(VLOOKUP($J170,#REF!,5,0),"")</f>
        <v/>
      </c>
      <c r="M170" s="191">
        <f t="shared" si="51"/>
        <v>0</v>
      </c>
      <c r="N170" s="192">
        <f t="shared" si="57"/>
        <v>0</v>
      </c>
      <c r="O170" s="193">
        <f t="shared" si="57"/>
        <v>0</v>
      </c>
      <c r="P170" s="162">
        <f t="shared" si="58"/>
        <v>0</v>
      </c>
      <c r="Q170" s="162">
        <f t="shared" si="58"/>
        <v>0</v>
      </c>
      <c r="R170" s="162">
        <f t="shared" si="58"/>
        <v>0</v>
      </c>
      <c r="S170" s="162">
        <f t="shared" si="58"/>
        <v>0</v>
      </c>
      <c r="T170" s="162">
        <f t="shared" si="58"/>
        <v>0</v>
      </c>
      <c r="U170" s="162">
        <f t="shared" si="58"/>
        <v>0</v>
      </c>
      <c r="V170" s="162">
        <f t="shared" si="58"/>
        <v>0</v>
      </c>
      <c r="W170" s="162">
        <f t="shared" si="58"/>
        <v>0</v>
      </c>
      <c r="X170" s="162">
        <f t="shared" si="58"/>
        <v>0</v>
      </c>
      <c r="Y170" s="162">
        <f t="shared" si="58"/>
        <v>0</v>
      </c>
      <c r="Z170" s="162">
        <f t="shared" si="58"/>
        <v>0</v>
      </c>
      <c r="AA170" s="162">
        <f t="shared" si="58"/>
        <v>0</v>
      </c>
      <c r="AB170" s="163">
        <f t="shared" si="52"/>
        <v>0</v>
      </c>
      <c r="AC170" s="159"/>
      <c r="AE170" s="194" t="str">
        <f t="shared" si="53"/>
        <v>0 - LTS (0 - )</v>
      </c>
      <c r="AF170" s="161">
        <f t="shared" si="59"/>
        <v>0</v>
      </c>
      <c r="AG170" s="162">
        <f t="shared" si="59"/>
        <v>0</v>
      </c>
      <c r="AH170" s="162">
        <f t="shared" si="59"/>
        <v>0</v>
      </c>
      <c r="AI170" s="162">
        <f t="shared" si="59"/>
        <v>0</v>
      </c>
      <c r="AJ170" s="162">
        <f t="shared" si="59"/>
        <v>0</v>
      </c>
      <c r="AK170" s="162">
        <f t="shared" si="59"/>
        <v>0</v>
      </c>
      <c r="AL170" s="162">
        <f t="shared" si="59"/>
        <v>0</v>
      </c>
      <c r="AM170" s="162">
        <f t="shared" si="59"/>
        <v>0</v>
      </c>
      <c r="AN170" s="162">
        <f t="shared" si="59"/>
        <v>0</v>
      </c>
      <c r="AO170" s="162">
        <f t="shared" si="59"/>
        <v>0</v>
      </c>
      <c r="AP170" s="162">
        <f t="shared" si="59"/>
        <v>0</v>
      </c>
      <c r="AQ170" s="162">
        <f t="shared" si="59"/>
        <v>0</v>
      </c>
      <c r="AR170" s="163">
        <f t="shared" si="55"/>
        <v>0</v>
      </c>
    </row>
    <row r="171" spans="1:44" x14ac:dyDescent="0.25">
      <c r="A171" s="14"/>
      <c r="B171" s="15" t="str">
        <f t="shared" si="46"/>
        <v>IND_COMB_0_0</v>
      </c>
      <c r="F171" s="190">
        <f t="shared" si="56"/>
        <v>0</v>
      </c>
      <c r="G171" s="149" t="str">
        <f t="shared" si="56"/>
        <v/>
      </c>
      <c r="H171" s="150" t="str">
        <f t="shared" si="56"/>
        <v/>
      </c>
      <c r="I171" s="150">
        <f t="shared" si="56"/>
        <v>0</v>
      </c>
      <c r="J171" s="150">
        <f t="shared" si="56"/>
        <v>0</v>
      </c>
      <c r="K171" s="150" t="str">
        <f>IFERROR(VLOOKUP($J171,#REF!,3,0),"")</f>
        <v/>
      </c>
      <c r="L171" s="150" t="str">
        <f>IFERROR(VLOOKUP($J171,#REF!,5,0),"")</f>
        <v/>
      </c>
      <c r="M171" s="191">
        <f t="shared" si="51"/>
        <v>0</v>
      </c>
      <c r="N171" s="192">
        <f t="shared" si="57"/>
        <v>0</v>
      </c>
      <c r="O171" s="193">
        <f t="shared" si="57"/>
        <v>0</v>
      </c>
      <c r="P171" s="162">
        <f t="shared" si="58"/>
        <v>0</v>
      </c>
      <c r="Q171" s="162">
        <f t="shared" si="58"/>
        <v>0</v>
      </c>
      <c r="R171" s="162">
        <f t="shared" si="58"/>
        <v>0</v>
      </c>
      <c r="S171" s="162">
        <f t="shared" si="58"/>
        <v>0</v>
      </c>
      <c r="T171" s="162">
        <f t="shared" si="58"/>
        <v>0</v>
      </c>
      <c r="U171" s="162">
        <f t="shared" si="58"/>
        <v>0</v>
      </c>
      <c r="V171" s="162">
        <f t="shared" si="58"/>
        <v>0</v>
      </c>
      <c r="W171" s="162">
        <f t="shared" si="58"/>
        <v>0</v>
      </c>
      <c r="X171" s="162">
        <f t="shared" si="58"/>
        <v>0</v>
      </c>
      <c r="Y171" s="162">
        <f t="shared" si="58"/>
        <v>0</v>
      </c>
      <c r="Z171" s="162">
        <f t="shared" si="58"/>
        <v>0</v>
      </c>
      <c r="AA171" s="162">
        <f t="shared" si="58"/>
        <v>0</v>
      </c>
      <c r="AB171" s="163">
        <f t="shared" si="52"/>
        <v>0</v>
      </c>
      <c r="AC171" s="159"/>
      <c r="AE171" s="194" t="str">
        <f t="shared" si="53"/>
        <v>0 - LTS (0 - )</v>
      </c>
      <c r="AF171" s="161">
        <f t="shared" si="59"/>
        <v>0</v>
      </c>
      <c r="AG171" s="162">
        <f t="shared" si="59"/>
        <v>0</v>
      </c>
      <c r="AH171" s="162">
        <f t="shared" si="59"/>
        <v>0</v>
      </c>
      <c r="AI171" s="162">
        <f t="shared" si="59"/>
        <v>0</v>
      </c>
      <c r="AJ171" s="162">
        <f t="shared" si="59"/>
        <v>0</v>
      </c>
      <c r="AK171" s="162">
        <f t="shared" si="59"/>
        <v>0</v>
      </c>
      <c r="AL171" s="162">
        <f t="shared" si="59"/>
        <v>0</v>
      </c>
      <c r="AM171" s="162">
        <f t="shared" si="59"/>
        <v>0</v>
      </c>
      <c r="AN171" s="162">
        <f t="shared" si="59"/>
        <v>0</v>
      </c>
      <c r="AO171" s="162">
        <f t="shared" si="59"/>
        <v>0</v>
      </c>
      <c r="AP171" s="162">
        <f t="shared" si="59"/>
        <v>0</v>
      </c>
      <c r="AQ171" s="162">
        <f t="shared" si="59"/>
        <v>0</v>
      </c>
      <c r="AR171" s="163">
        <f t="shared" si="55"/>
        <v>0</v>
      </c>
    </row>
    <row r="172" spans="1:44" x14ac:dyDescent="0.25">
      <c r="A172" s="14"/>
      <c r="B172" s="15" t="str">
        <f t="shared" si="46"/>
        <v>IND_COMB_0_0</v>
      </c>
      <c r="F172" s="190">
        <f t="shared" si="56"/>
        <v>0</v>
      </c>
      <c r="G172" s="149" t="str">
        <f t="shared" si="56"/>
        <v/>
      </c>
      <c r="H172" s="150" t="str">
        <f t="shared" si="56"/>
        <v/>
      </c>
      <c r="I172" s="150">
        <f t="shared" si="56"/>
        <v>0</v>
      </c>
      <c r="J172" s="150">
        <f t="shared" si="56"/>
        <v>0</v>
      </c>
      <c r="K172" s="150" t="str">
        <f>IFERROR(VLOOKUP($J172,#REF!,3,0),"")</f>
        <v/>
      </c>
      <c r="L172" s="150" t="str">
        <f>IFERROR(VLOOKUP($J172,#REF!,5,0),"")</f>
        <v/>
      </c>
      <c r="M172" s="191">
        <f t="shared" si="51"/>
        <v>0</v>
      </c>
      <c r="N172" s="192">
        <f t="shared" si="57"/>
        <v>0</v>
      </c>
      <c r="O172" s="193">
        <f t="shared" si="57"/>
        <v>0</v>
      </c>
      <c r="P172" s="162">
        <f t="shared" si="58"/>
        <v>0</v>
      </c>
      <c r="Q172" s="162">
        <f t="shared" si="58"/>
        <v>0</v>
      </c>
      <c r="R172" s="162">
        <f t="shared" si="58"/>
        <v>0</v>
      </c>
      <c r="S172" s="162">
        <f t="shared" si="58"/>
        <v>0</v>
      </c>
      <c r="T172" s="162">
        <f t="shared" si="58"/>
        <v>0</v>
      </c>
      <c r="U172" s="162">
        <f t="shared" si="58"/>
        <v>0</v>
      </c>
      <c r="V172" s="162">
        <f t="shared" si="58"/>
        <v>0</v>
      </c>
      <c r="W172" s="162">
        <f t="shared" si="58"/>
        <v>0</v>
      </c>
      <c r="X172" s="162">
        <f t="shared" si="58"/>
        <v>0</v>
      </c>
      <c r="Y172" s="162">
        <f t="shared" si="58"/>
        <v>0</v>
      </c>
      <c r="Z172" s="162">
        <f t="shared" si="58"/>
        <v>0</v>
      </c>
      <c r="AA172" s="162">
        <f t="shared" si="58"/>
        <v>0</v>
      </c>
      <c r="AB172" s="163">
        <f t="shared" si="52"/>
        <v>0</v>
      </c>
      <c r="AC172" s="159"/>
      <c r="AE172" s="194" t="str">
        <f t="shared" si="53"/>
        <v>0 - LTS (0 - )</v>
      </c>
      <c r="AF172" s="161">
        <f t="shared" si="59"/>
        <v>0</v>
      </c>
      <c r="AG172" s="162">
        <f t="shared" si="59"/>
        <v>0</v>
      </c>
      <c r="AH172" s="162">
        <f t="shared" si="59"/>
        <v>0</v>
      </c>
      <c r="AI172" s="162">
        <f t="shared" si="59"/>
        <v>0</v>
      </c>
      <c r="AJ172" s="162">
        <f t="shared" si="59"/>
        <v>0</v>
      </c>
      <c r="AK172" s="162">
        <f t="shared" si="59"/>
        <v>0</v>
      </c>
      <c r="AL172" s="162">
        <f t="shared" si="59"/>
        <v>0</v>
      </c>
      <c r="AM172" s="162">
        <f t="shared" si="59"/>
        <v>0</v>
      </c>
      <c r="AN172" s="162">
        <f t="shared" si="59"/>
        <v>0</v>
      </c>
      <c r="AO172" s="162">
        <f t="shared" si="59"/>
        <v>0</v>
      </c>
      <c r="AP172" s="162">
        <f t="shared" si="59"/>
        <v>0</v>
      </c>
      <c r="AQ172" s="162">
        <f t="shared" si="59"/>
        <v>0</v>
      </c>
      <c r="AR172" s="163">
        <f t="shared" si="55"/>
        <v>0</v>
      </c>
    </row>
    <row r="173" spans="1:44" x14ac:dyDescent="0.25">
      <c r="A173" s="14"/>
      <c r="B173" s="15" t="str">
        <f t="shared" si="46"/>
        <v>IND_COMB_0_0</v>
      </c>
      <c r="F173" s="190">
        <f t="shared" ref="F173:J185" si="60">F126</f>
        <v>0</v>
      </c>
      <c r="G173" s="149" t="str">
        <f t="shared" si="60"/>
        <v/>
      </c>
      <c r="H173" s="150" t="str">
        <f t="shared" si="60"/>
        <v/>
      </c>
      <c r="I173" s="150">
        <f t="shared" si="60"/>
        <v>0</v>
      </c>
      <c r="J173" s="150">
        <f t="shared" si="60"/>
        <v>0</v>
      </c>
      <c r="K173" s="150" t="str">
        <f>IFERROR(VLOOKUP($J173,#REF!,3,0),"")</f>
        <v/>
      </c>
      <c r="L173" s="150" t="str">
        <f>IFERROR(VLOOKUP($J173,#REF!,5,0),"")</f>
        <v/>
      </c>
      <c r="M173" s="191">
        <f t="shared" si="51"/>
        <v>0</v>
      </c>
      <c r="N173" s="192">
        <f t="shared" ref="N173:O185" si="61">N126</f>
        <v>0</v>
      </c>
      <c r="O173" s="193">
        <f t="shared" si="61"/>
        <v>0</v>
      </c>
      <c r="P173" s="162">
        <f t="shared" si="58"/>
        <v>0</v>
      </c>
      <c r="Q173" s="162">
        <f t="shared" si="58"/>
        <v>0</v>
      </c>
      <c r="R173" s="162">
        <f t="shared" si="58"/>
        <v>0</v>
      </c>
      <c r="S173" s="162">
        <f t="shared" si="58"/>
        <v>0</v>
      </c>
      <c r="T173" s="162">
        <f t="shared" si="58"/>
        <v>0</v>
      </c>
      <c r="U173" s="162">
        <f t="shared" si="58"/>
        <v>0</v>
      </c>
      <c r="V173" s="162">
        <f t="shared" si="58"/>
        <v>0</v>
      </c>
      <c r="W173" s="162">
        <f t="shared" si="58"/>
        <v>0</v>
      </c>
      <c r="X173" s="162">
        <f t="shared" si="58"/>
        <v>0</v>
      </c>
      <c r="Y173" s="162">
        <f t="shared" si="58"/>
        <v>0</v>
      </c>
      <c r="Z173" s="162">
        <f t="shared" si="58"/>
        <v>0</v>
      </c>
      <c r="AA173" s="162">
        <f t="shared" si="58"/>
        <v>0</v>
      </c>
      <c r="AB173" s="163">
        <f t="shared" si="52"/>
        <v>0</v>
      </c>
      <c r="AC173" s="159"/>
      <c r="AE173" s="194" t="str">
        <f t="shared" si="53"/>
        <v>0 - LTS (0 - )</v>
      </c>
      <c r="AF173" s="161">
        <f t="shared" si="59"/>
        <v>0</v>
      </c>
      <c r="AG173" s="162">
        <f t="shared" si="59"/>
        <v>0</v>
      </c>
      <c r="AH173" s="162">
        <f t="shared" si="59"/>
        <v>0</v>
      </c>
      <c r="AI173" s="162">
        <f t="shared" si="59"/>
        <v>0</v>
      </c>
      <c r="AJ173" s="162">
        <f t="shared" si="59"/>
        <v>0</v>
      </c>
      <c r="AK173" s="162">
        <f t="shared" si="59"/>
        <v>0</v>
      </c>
      <c r="AL173" s="162">
        <f t="shared" si="59"/>
        <v>0</v>
      </c>
      <c r="AM173" s="162">
        <f t="shared" si="59"/>
        <v>0</v>
      </c>
      <c r="AN173" s="162">
        <f t="shared" si="59"/>
        <v>0</v>
      </c>
      <c r="AO173" s="162">
        <f t="shared" si="59"/>
        <v>0</v>
      </c>
      <c r="AP173" s="162">
        <f t="shared" si="59"/>
        <v>0</v>
      </c>
      <c r="AQ173" s="162">
        <f t="shared" si="59"/>
        <v>0</v>
      </c>
      <c r="AR173" s="163">
        <f t="shared" si="55"/>
        <v>0</v>
      </c>
    </row>
    <row r="174" spans="1:44" x14ac:dyDescent="0.25">
      <c r="A174" s="14"/>
      <c r="B174" s="15" t="str">
        <f t="shared" si="46"/>
        <v>IND_COMB_0_0</v>
      </c>
      <c r="F174" s="190">
        <f t="shared" si="60"/>
        <v>0</v>
      </c>
      <c r="G174" s="149" t="str">
        <f t="shared" si="60"/>
        <v/>
      </c>
      <c r="H174" s="150" t="str">
        <f t="shared" si="60"/>
        <v/>
      </c>
      <c r="I174" s="150">
        <f t="shared" si="60"/>
        <v>0</v>
      </c>
      <c r="J174" s="150">
        <f t="shared" si="60"/>
        <v>0</v>
      </c>
      <c r="K174" s="150" t="str">
        <f>IFERROR(VLOOKUP($J174,#REF!,3,0),"")</f>
        <v/>
      </c>
      <c r="L174" s="150" t="str">
        <f>IFERROR(VLOOKUP($J174,#REF!,5,0),"")</f>
        <v/>
      </c>
      <c r="M174" s="191">
        <f t="shared" si="51"/>
        <v>0</v>
      </c>
      <c r="N174" s="192">
        <f t="shared" si="61"/>
        <v>0</v>
      </c>
      <c r="O174" s="193">
        <f t="shared" si="61"/>
        <v>0</v>
      </c>
      <c r="P174" s="162">
        <f t="shared" si="58"/>
        <v>0</v>
      </c>
      <c r="Q174" s="162">
        <f t="shared" si="58"/>
        <v>0</v>
      </c>
      <c r="R174" s="162">
        <f t="shared" si="58"/>
        <v>0</v>
      </c>
      <c r="S174" s="162">
        <f t="shared" si="58"/>
        <v>0</v>
      </c>
      <c r="T174" s="162">
        <f t="shared" si="58"/>
        <v>0</v>
      </c>
      <c r="U174" s="162">
        <f t="shared" si="58"/>
        <v>0</v>
      </c>
      <c r="V174" s="162">
        <f t="shared" si="58"/>
        <v>0</v>
      </c>
      <c r="W174" s="162">
        <f t="shared" si="58"/>
        <v>0</v>
      </c>
      <c r="X174" s="162">
        <f t="shared" si="58"/>
        <v>0</v>
      </c>
      <c r="Y174" s="162">
        <f t="shared" si="58"/>
        <v>0</v>
      </c>
      <c r="Z174" s="162">
        <f t="shared" si="58"/>
        <v>0</v>
      </c>
      <c r="AA174" s="162">
        <f t="shared" si="58"/>
        <v>0</v>
      </c>
      <c r="AB174" s="163">
        <f t="shared" si="52"/>
        <v>0</v>
      </c>
      <c r="AC174" s="159"/>
      <c r="AE174" s="194" t="str">
        <f t="shared" si="53"/>
        <v>0 - LTS (0 - )</v>
      </c>
      <c r="AF174" s="161">
        <f t="shared" ref="AF174:AQ185" si="62">IFERROR(IF($L174="LTS/HS",P174*AF127,IF($L174="KM/LTS",AF127/P174,0)),0)</f>
        <v>0</v>
      </c>
      <c r="AG174" s="162">
        <f t="shared" si="62"/>
        <v>0</v>
      </c>
      <c r="AH174" s="162">
        <f t="shared" si="62"/>
        <v>0</v>
      </c>
      <c r="AI174" s="162">
        <f t="shared" si="62"/>
        <v>0</v>
      </c>
      <c r="AJ174" s="162">
        <f t="shared" si="62"/>
        <v>0</v>
      </c>
      <c r="AK174" s="162">
        <f t="shared" si="62"/>
        <v>0</v>
      </c>
      <c r="AL174" s="162">
        <f t="shared" si="62"/>
        <v>0</v>
      </c>
      <c r="AM174" s="162">
        <f t="shared" si="62"/>
        <v>0</v>
      </c>
      <c r="AN174" s="162">
        <f t="shared" si="62"/>
        <v>0</v>
      </c>
      <c r="AO174" s="162">
        <f t="shared" si="62"/>
        <v>0</v>
      </c>
      <c r="AP174" s="162">
        <f t="shared" si="62"/>
        <v>0</v>
      </c>
      <c r="AQ174" s="162">
        <f t="shared" si="62"/>
        <v>0</v>
      </c>
      <c r="AR174" s="163">
        <f t="shared" si="55"/>
        <v>0</v>
      </c>
    </row>
    <row r="175" spans="1:44" x14ac:dyDescent="0.25">
      <c r="A175" s="14"/>
      <c r="B175" s="15" t="str">
        <f t="shared" si="46"/>
        <v>IND_COMB_0_0</v>
      </c>
      <c r="F175" s="190">
        <f t="shared" si="60"/>
        <v>0</v>
      </c>
      <c r="G175" s="149" t="str">
        <f t="shared" si="60"/>
        <v/>
      </c>
      <c r="H175" s="150" t="str">
        <f t="shared" si="60"/>
        <v/>
      </c>
      <c r="I175" s="150">
        <f t="shared" si="60"/>
        <v>0</v>
      </c>
      <c r="J175" s="150">
        <f t="shared" si="60"/>
        <v>0</v>
      </c>
      <c r="K175" s="150" t="str">
        <f>IFERROR(VLOOKUP($J175,#REF!,3,0),"")</f>
        <v/>
      </c>
      <c r="L175" s="150" t="str">
        <f>IFERROR(VLOOKUP($J175,#REF!,5,0),"")</f>
        <v/>
      </c>
      <c r="M175" s="191">
        <f t="shared" si="51"/>
        <v>0</v>
      </c>
      <c r="N175" s="192">
        <f t="shared" si="61"/>
        <v>0</v>
      </c>
      <c r="O175" s="193">
        <f t="shared" si="61"/>
        <v>0</v>
      </c>
      <c r="P175" s="162">
        <f t="shared" si="58"/>
        <v>0</v>
      </c>
      <c r="Q175" s="162">
        <f t="shared" si="58"/>
        <v>0</v>
      </c>
      <c r="R175" s="162">
        <f t="shared" si="58"/>
        <v>0</v>
      </c>
      <c r="S175" s="162">
        <f t="shared" si="58"/>
        <v>0</v>
      </c>
      <c r="T175" s="162">
        <f t="shared" si="58"/>
        <v>0</v>
      </c>
      <c r="U175" s="162">
        <f t="shared" si="58"/>
        <v>0</v>
      </c>
      <c r="V175" s="162">
        <f t="shared" si="58"/>
        <v>0</v>
      </c>
      <c r="W175" s="162">
        <f t="shared" si="58"/>
        <v>0</v>
      </c>
      <c r="X175" s="162">
        <f t="shared" si="58"/>
        <v>0</v>
      </c>
      <c r="Y175" s="162">
        <f t="shared" si="58"/>
        <v>0</v>
      </c>
      <c r="Z175" s="162">
        <f t="shared" si="58"/>
        <v>0</v>
      </c>
      <c r="AA175" s="162">
        <f t="shared" si="58"/>
        <v>0</v>
      </c>
      <c r="AB175" s="163">
        <f t="shared" si="52"/>
        <v>0</v>
      </c>
      <c r="AC175" s="159"/>
      <c r="AE175" s="194" t="str">
        <f t="shared" si="53"/>
        <v>0 - LTS (0 - )</v>
      </c>
      <c r="AF175" s="161">
        <f t="shared" si="62"/>
        <v>0</v>
      </c>
      <c r="AG175" s="162">
        <f t="shared" si="62"/>
        <v>0</v>
      </c>
      <c r="AH175" s="162">
        <f t="shared" si="62"/>
        <v>0</v>
      </c>
      <c r="AI175" s="162">
        <f t="shared" si="62"/>
        <v>0</v>
      </c>
      <c r="AJ175" s="162">
        <f t="shared" si="62"/>
        <v>0</v>
      </c>
      <c r="AK175" s="162">
        <f t="shared" si="62"/>
        <v>0</v>
      </c>
      <c r="AL175" s="162">
        <f t="shared" si="62"/>
        <v>0</v>
      </c>
      <c r="AM175" s="162">
        <f t="shared" si="62"/>
        <v>0</v>
      </c>
      <c r="AN175" s="162">
        <f t="shared" si="62"/>
        <v>0</v>
      </c>
      <c r="AO175" s="162">
        <f t="shared" si="62"/>
        <v>0</v>
      </c>
      <c r="AP175" s="162">
        <f t="shared" si="62"/>
        <v>0</v>
      </c>
      <c r="AQ175" s="162">
        <f t="shared" si="62"/>
        <v>0</v>
      </c>
      <c r="AR175" s="163">
        <f t="shared" si="55"/>
        <v>0</v>
      </c>
    </row>
    <row r="176" spans="1:44" x14ac:dyDescent="0.25">
      <c r="A176" s="14"/>
      <c r="B176" s="15" t="str">
        <f t="shared" si="46"/>
        <v>IND_COMB_0_0</v>
      </c>
      <c r="F176" s="190">
        <f t="shared" si="60"/>
        <v>0</v>
      </c>
      <c r="G176" s="149" t="str">
        <f t="shared" si="60"/>
        <v/>
      </c>
      <c r="H176" s="150" t="str">
        <f t="shared" si="60"/>
        <v/>
      </c>
      <c r="I176" s="150">
        <f t="shared" si="60"/>
        <v>0</v>
      </c>
      <c r="J176" s="150">
        <f t="shared" si="60"/>
        <v>0</v>
      </c>
      <c r="K176" s="150" t="str">
        <f>IFERROR(VLOOKUP($J176,#REF!,3,0),"")</f>
        <v/>
      </c>
      <c r="L176" s="150" t="str">
        <f>IFERROR(VLOOKUP($J176,#REF!,5,0),"")</f>
        <v/>
      </c>
      <c r="M176" s="191">
        <f t="shared" si="51"/>
        <v>0</v>
      </c>
      <c r="N176" s="192">
        <f t="shared" si="61"/>
        <v>0</v>
      </c>
      <c r="O176" s="193">
        <f t="shared" si="61"/>
        <v>0</v>
      </c>
      <c r="P176" s="162">
        <f t="shared" si="58"/>
        <v>0</v>
      </c>
      <c r="Q176" s="162">
        <f t="shared" si="58"/>
        <v>0</v>
      </c>
      <c r="R176" s="162">
        <f t="shared" si="58"/>
        <v>0</v>
      </c>
      <c r="S176" s="162">
        <f t="shared" si="58"/>
        <v>0</v>
      </c>
      <c r="T176" s="162">
        <f t="shared" si="58"/>
        <v>0</v>
      </c>
      <c r="U176" s="162">
        <f t="shared" si="58"/>
        <v>0</v>
      </c>
      <c r="V176" s="162">
        <f t="shared" si="58"/>
        <v>0</v>
      </c>
      <c r="W176" s="162">
        <f t="shared" si="58"/>
        <v>0</v>
      </c>
      <c r="X176" s="162">
        <f t="shared" si="58"/>
        <v>0</v>
      </c>
      <c r="Y176" s="162">
        <f t="shared" si="58"/>
        <v>0</v>
      </c>
      <c r="Z176" s="162">
        <f t="shared" si="58"/>
        <v>0</v>
      </c>
      <c r="AA176" s="162">
        <f t="shared" si="58"/>
        <v>0</v>
      </c>
      <c r="AB176" s="163">
        <f t="shared" si="52"/>
        <v>0</v>
      </c>
      <c r="AC176" s="159"/>
      <c r="AE176" s="194" t="str">
        <f t="shared" si="53"/>
        <v>0 - LTS (0 - )</v>
      </c>
      <c r="AF176" s="161">
        <f t="shared" si="62"/>
        <v>0</v>
      </c>
      <c r="AG176" s="162">
        <f t="shared" si="62"/>
        <v>0</v>
      </c>
      <c r="AH176" s="162">
        <f t="shared" si="62"/>
        <v>0</v>
      </c>
      <c r="AI176" s="162">
        <f t="shared" si="62"/>
        <v>0</v>
      </c>
      <c r="AJ176" s="162">
        <f t="shared" si="62"/>
        <v>0</v>
      </c>
      <c r="AK176" s="162">
        <f t="shared" si="62"/>
        <v>0</v>
      </c>
      <c r="AL176" s="162">
        <f t="shared" si="62"/>
        <v>0</v>
      </c>
      <c r="AM176" s="162">
        <f t="shared" si="62"/>
        <v>0</v>
      </c>
      <c r="AN176" s="162">
        <f t="shared" si="62"/>
        <v>0</v>
      </c>
      <c r="AO176" s="162">
        <f t="shared" si="62"/>
        <v>0</v>
      </c>
      <c r="AP176" s="162">
        <f t="shared" si="62"/>
        <v>0</v>
      </c>
      <c r="AQ176" s="162">
        <f t="shared" si="62"/>
        <v>0</v>
      </c>
      <c r="AR176" s="163">
        <f t="shared" si="55"/>
        <v>0</v>
      </c>
    </row>
    <row r="177" spans="1:44" x14ac:dyDescent="0.25">
      <c r="A177" s="14"/>
      <c r="B177" s="15" t="str">
        <f t="shared" si="46"/>
        <v>IND_COMB_0_0</v>
      </c>
      <c r="F177" s="190">
        <f t="shared" si="60"/>
        <v>0</v>
      </c>
      <c r="G177" s="149" t="str">
        <f t="shared" si="60"/>
        <v/>
      </c>
      <c r="H177" s="150" t="str">
        <f t="shared" si="60"/>
        <v/>
      </c>
      <c r="I177" s="150">
        <f t="shared" si="60"/>
        <v>0</v>
      </c>
      <c r="J177" s="150">
        <f t="shared" si="60"/>
        <v>0</v>
      </c>
      <c r="K177" s="150" t="str">
        <f>IFERROR(VLOOKUP($J177,#REF!,3,0),"")</f>
        <v/>
      </c>
      <c r="L177" s="150" t="str">
        <f>IFERROR(VLOOKUP($J177,#REF!,5,0),"")</f>
        <v/>
      </c>
      <c r="M177" s="191">
        <f t="shared" si="51"/>
        <v>0</v>
      </c>
      <c r="N177" s="192">
        <f t="shared" si="61"/>
        <v>0</v>
      </c>
      <c r="O177" s="193">
        <f t="shared" si="61"/>
        <v>0</v>
      </c>
      <c r="P177" s="162">
        <f t="shared" si="58"/>
        <v>0</v>
      </c>
      <c r="Q177" s="162">
        <f t="shared" si="58"/>
        <v>0</v>
      </c>
      <c r="R177" s="162">
        <f t="shared" si="58"/>
        <v>0</v>
      </c>
      <c r="S177" s="162">
        <f t="shared" si="58"/>
        <v>0</v>
      </c>
      <c r="T177" s="162">
        <f t="shared" si="58"/>
        <v>0</v>
      </c>
      <c r="U177" s="162">
        <f t="shared" si="58"/>
        <v>0</v>
      </c>
      <c r="V177" s="162">
        <f t="shared" si="58"/>
        <v>0</v>
      </c>
      <c r="W177" s="162">
        <f t="shared" si="58"/>
        <v>0</v>
      </c>
      <c r="X177" s="162">
        <f t="shared" si="58"/>
        <v>0</v>
      </c>
      <c r="Y177" s="162">
        <f t="shared" si="58"/>
        <v>0</v>
      </c>
      <c r="Z177" s="162">
        <f t="shared" si="58"/>
        <v>0</v>
      </c>
      <c r="AA177" s="162">
        <f t="shared" si="58"/>
        <v>0</v>
      </c>
      <c r="AB177" s="163">
        <f t="shared" si="52"/>
        <v>0</v>
      </c>
      <c r="AC177" s="159"/>
      <c r="AE177" s="194" t="str">
        <f t="shared" si="53"/>
        <v>0 - LTS (0 - )</v>
      </c>
      <c r="AF177" s="161">
        <f t="shared" si="62"/>
        <v>0</v>
      </c>
      <c r="AG177" s="162">
        <f t="shared" si="62"/>
        <v>0</v>
      </c>
      <c r="AH177" s="162">
        <f t="shared" si="62"/>
        <v>0</v>
      </c>
      <c r="AI177" s="162">
        <f t="shared" si="62"/>
        <v>0</v>
      </c>
      <c r="AJ177" s="162">
        <f t="shared" si="62"/>
        <v>0</v>
      </c>
      <c r="AK177" s="162">
        <f t="shared" si="62"/>
        <v>0</v>
      </c>
      <c r="AL177" s="162">
        <f t="shared" si="62"/>
        <v>0</v>
      </c>
      <c r="AM177" s="162">
        <f t="shared" si="62"/>
        <v>0</v>
      </c>
      <c r="AN177" s="162">
        <f t="shared" si="62"/>
        <v>0</v>
      </c>
      <c r="AO177" s="162">
        <f t="shared" si="62"/>
        <v>0</v>
      </c>
      <c r="AP177" s="162">
        <f t="shared" si="62"/>
        <v>0</v>
      </c>
      <c r="AQ177" s="162">
        <f t="shared" si="62"/>
        <v>0</v>
      </c>
      <c r="AR177" s="163">
        <f t="shared" si="55"/>
        <v>0</v>
      </c>
    </row>
    <row r="178" spans="1:44" x14ac:dyDescent="0.25">
      <c r="A178" s="14"/>
      <c r="B178" s="15" t="str">
        <f t="shared" si="46"/>
        <v>IND_COMB_0_0</v>
      </c>
      <c r="F178" s="190">
        <f t="shared" si="60"/>
        <v>0</v>
      </c>
      <c r="G178" s="149" t="str">
        <f t="shared" si="60"/>
        <v/>
      </c>
      <c r="H178" s="150" t="str">
        <f t="shared" si="60"/>
        <v/>
      </c>
      <c r="I178" s="150">
        <f t="shared" si="60"/>
        <v>0</v>
      </c>
      <c r="J178" s="150">
        <f t="shared" si="60"/>
        <v>0</v>
      </c>
      <c r="K178" s="150" t="str">
        <f>IFERROR(VLOOKUP($J178,#REF!,3,0),"")</f>
        <v/>
      </c>
      <c r="L178" s="150" t="str">
        <f>IFERROR(VLOOKUP($J178,#REF!,5,0),"")</f>
        <v/>
      </c>
      <c r="M178" s="191">
        <f t="shared" si="51"/>
        <v>0</v>
      </c>
      <c r="N178" s="192">
        <f t="shared" si="61"/>
        <v>0</v>
      </c>
      <c r="O178" s="193">
        <f t="shared" si="61"/>
        <v>0</v>
      </c>
      <c r="P178" s="162">
        <f t="shared" si="58"/>
        <v>0</v>
      </c>
      <c r="Q178" s="162">
        <f t="shared" si="58"/>
        <v>0</v>
      </c>
      <c r="R178" s="162">
        <f t="shared" si="58"/>
        <v>0</v>
      </c>
      <c r="S178" s="162">
        <f t="shared" ref="P178:AA185" si="63">$M178</f>
        <v>0</v>
      </c>
      <c r="T178" s="162">
        <f t="shared" si="63"/>
        <v>0</v>
      </c>
      <c r="U178" s="162">
        <f t="shared" si="63"/>
        <v>0</v>
      </c>
      <c r="V178" s="162">
        <f t="shared" si="63"/>
        <v>0</v>
      </c>
      <c r="W178" s="162">
        <f t="shared" si="63"/>
        <v>0</v>
      </c>
      <c r="X178" s="162">
        <f t="shared" si="63"/>
        <v>0</v>
      </c>
      <c r="Y178" s="162">
        <f t="shared" si="63"/>
        <v>0</v>
      </c>
      <c r="Z178" s="162">
        <f t="shared" si="63"/>
        <v>0</v>
      </c>
      <c r="AA178" s="162">
        <f t="shared" si="63"/>
        <v>0</v>
      </c>
      <c r="AB178" s="163">
        <f t="shared" si="52"/>
        <v>0</v>
      </c>
      <c r="AC178" s="159"/>
      <c r="AE178" s="194" t="str">
        <f t="shared" si="53"/>
        <v>0 - LTS (0 - )</v>
      </c>
      <c r="AF178" s="161">
        <f t="shared" si="62"/>
        <v>0</v>
      </c>
      <c r="AG178" s="162">
        <f t="shared" si="62"/>
        <v>0</v>
      </c>
      <c r="AH178" s="162">
        <f t="shared" si="62"/>
        <v>0</v>
      </c>
      <c r="AI178" s="162">
        <f t="shared" si="62"/>
        <v>0</v>
      </c>
      <c r="AJ178" s="162">
        <f t="shared" si="62"/>
        <v>0</v>
      </c>
      <c r="AK178" s="162">
        <f t="shared" si="62"/>
        <v>0</v>
      </c>
      <c r="AL178" s="162">
        <f t="shared" si="62"/>
        <v>0</v>
      </c>
      <c r="AM178" s="162">
        <f t="shared" si="62"/>
        <v>0</v>
      </c>
      <c r="AN178" s="162">
        <f t="shared" si="62"/>
        <v>0</v>
      </c>
      <c r="AO178" s="162">
        <f t="shared" si="62"/>
        <v>0</v>
      </c>
      <c r="AP178" s="162">
        <f t="shared" si="62"/>
        <v>0</v>
      </c>
      <c r="AQ178" s="162">
        <f t="shared" si="62"/>
        <v>0</v>
      </c>
      <c r="AR178" s="163">
        <f t="shared" si="55"/>
        <v>0</v>
      </c>
    </row>
    <row r="179" spans="1:44" x14ac:dyDescent="0.25">
      <c r="A179" s="14"/>
      <c r="B179" s="15" t="str">
        <f t="shared" si="46"/>
        <v>IND_COMB_0_0</v>
      </c>
      <c r="F179" s="190">
        <f t="shared" si="60"/>
        <v>0</v>
      </c>
      <c r="G179" s="149" t="str">
        <f t="shared" si="60"/>
        <v/>
      </c>
      <c r="H179" s="150" t="str">
        <f t="shared" si="60"/>
        <v/>
      </c>
      <c r="I179" s="150">
        <f t="shared" si="60"/>
        <v>0</v>
      </c>
      <c r="J179" s="150">
        <f t="shared" si="60"/>
        <v>0</v>
      </c>
      <c r="K179" s="150" t="str">
        <f>IFERROR(VLOOKUP($J179,#REF!,3,0),"")</f>
        <v/>
      </c>
      <c r="L179" s="150" t="str">
        <f>IFERROR(VLOOKUP($J179,#REF!,5,0),"")</f>
        <v/>
      </c>
      <c r="M179" s="191">
        <f t="shared" si="51"/>
        <v>0</v>
      </c>
      <c r="N179" s="192">
        <f t="shared" si="61"/>
        <v>0</v>
      </c>
      <c r="O179" s="193">
        <f t="shared" si="61"/>
        <v>0</v>
      </c>
      <c r="P179" s="162">
        <f t="shared" si="63"/>
        <v>0</v>
      </c>
      <c r="Q179" s="162">
        <f t="shared" si="63"/>
        <v>0</v>
      </c>
      <c r="R179" s="162">
        <f t="shared" si="63"/>
        <v>0</v>
      </c>
      <c r="S179" s="162">
        <f t="shared" si="63"/>
        <v>0</v>
      </c>
      <c r="T179" s="162">
        <f t="shared" si="63"/>
        <v>0</v>
      </c>
      <c r="U179" s="162">
        <f t="shared" si="63"/>
        <v>0</v>
      </c>
      <c r="V179" s="162">
        <f t="shared" si="63"/>
        <v>0</v>
      </c>
      <c r="W179" s="162">
        <f t="shared" si="63"/>
        <v>0</v>
      </c>
      <c r="X179" s="162">
        <f t="shared" si="63"/>
        <v>0</v>
      </c>
      <c r="Y179" s="162">
        <f t="shared" si="63"/>
        <v>0</v>
      </c>
      <c r="Z179" s="162">
        <f t="shared" si="63"/>
        <v>0</v>
      </c>
      <c r="AA179" s="162">
        <f t="shared" si="63"/>
        <v>0</v>
      </c>
      <c r="AB179" s="163">
        <f t="shared" si="52"/>
        <v>0</v>
      </c>
      <c r="AC179" s="159"/>
      <c r="AE179" s="194" t="str">
        <f t="shared" si="53"/>
        <v>0 - LTS (0 - )</v>
      </c>
      <c r="AF179" s="161">
        <f t="shared" si="62"/>
        <v>0</v>
      </c>
      <c r="AG179" s="162">
        <f t="shared" si="62"/>
        <v>0</v>
      </c>
      <c r="AH179" s="162">
        <f t="shared" si="62"/>
        <v>0</v>
      </c>
      <c r="AI179" s="162">
        <f t="shared" si="62"/>
        <v>0</v>
      </c>
      <c r="AJ179" s="162">
        <f t="shared" si="62"/>
        <v>0</v>
      </c>
      <c r="AK179" s="162">
        <f t="shared" si="62"/>
        <v>0</v>
      </c>
      <c r="AL179" s="162">
        <f t="shared" si="62"/>
        <v>0</v>
      </c>
      <c r="AM179" s="162">
        <f t="shared" si="62"/>
        <v>0</v>
      </c>
      <c r="AN179" s="162">
        <f t="shared" si="62"/>
        <v>0</v>
      </c>
      <c r="AO179" s="162">
        <f t="shared" si="62"/>
        <v>0</v>
      </c>
      <c r="AP179" s="162">
        <f t="shared" si="62"/>
        <v>0</v>
      </c>
      <c r="AQ179" s="162">
        <f t="shared" si="62"/>
        <v>0</v>
      </c>
      <c r="AR179" s="163">
        <f t="shared" si="55"/>
        <v>0</v>
      </c>
    </row>
    <row r="180" spans="1:44" x14ac:dyDescent="0.25">
      <c r="A180" s="14"/>
      <c r="B180" s="15" t="str">
        <f t="shared" si="46"/>
        <v>IND_COMB_0_0</v>
      </c>
      <c r="F180" s="190">
        <f t="shared" si="60"/>
        <v>0</v>
      </c>
      <c r="G180" s="149" t="str">
        <f t="shared" si="60"/>
        <v/>
      </c>
      <c r="H180" s="150" t="str">
        <f t="shared" si="60"/>
        <v/>
      </c>
      <c r="I180" s="150">
        <f t="shared" si="60"/>
        <v>0</v>
      </c>
      <c r="J180" s="150">
        <f t="shared" si="60"/>
        <v>0</v>
      </c>
      <c r="K180" s="150" t="str">
        <f>IFERROR(VLOOKUP($J180,#REF!,3,0),"")</f>
        <v/>
      </c>
      <c r="L180" s="150" t="str">
        <f>IFERROR(VLOOKUP($J180,#REF!,5,0),"")</f>
        <v/>
      </c>
      <c r="M180" s="191">
        <f t="shared" si="51"/>
        <v>0</v>
      </c>
      <c r="N180" s="192">
        <f t="shared" si="61"/>
        <v>0</v>
      </c>
      <c r="O180" s="193">
        <f t="shared" si="61"/>
        <v>0</v>
      </c>
      <c r="P180" s="162">
        <f t="shared" si="63"/>
        <v>0</v>
      </c>
      <c r="Q180" s="162">
        <f t="shared" si="63"/>
        <v>0</v>
      </c>
      <c r="R180" s="162">
        <f t="shared" si="63"/>
        <v>0</v>
      </c>
      <c r="S180" s="162">
        <f t="shared" si="63"/>
        <v>0</v>
      </c>
      <c r="T180" s="162">
        <f t="shared" si="63"/>
        <v>0</v>
      </c>
      <c r="U180" s="162">
        <f t="shared" si="63"/>
        <v>0</v>
      </c>
      <c r="V180" s="162">
        <f t="shared" si="63"/>
        <v>0</v>
      </c>
      <c r="W180" s="162">
        <f t="shared" si="63"/>
        <v>0</v>
      </c>
      <c r="X180" s="162">
        <f t="shared" si="63"/>
        <v>0</v>
      </c>
      <c r="Y180" s="162">
        <f t="shared" si="63"/>
        <v>0</v>
      </c>
      <c r="Z180" s="162">
        <f t="shared" si="63"/>
        <v>0</v>
      </c>
      <c r="AA180" s="162">
        <f t="shared" si="63"/>
        <v>0</v>
      </c>
      <c r="AB180" s="163">
        <f t="shared" si="52"/>
        <v>0</v>
      </c>
      <c r="AC180" s="159"/>
      <c r="AE180" s="194" t="str">
        <f t="shared" si="53"/>
        <v>0 - LTS (0 - )</v>
      </c>
      <c r="AF180" s="161">
        <f t="shared" si="62"/>
        <v>0</v>
      </c>
      <c r="AG180" s="162">
        <f t="shared" si="62"/>
        <v>0</v>
      </c>
      <c r="AH180" s="162">
        <f t="shared" si="62"/>
        <v>0</v>
      </c>
      <c r="AI180" s="162">
        <f t="shared" si="62"/>
        <v>0</v>
      </c>
      <c r="AJ180" s="162">
        <f t="shared" si="62"/>
        <v>0</v>
      </c>
      <c r="AK180" s="162">
        <f t="shared" si="62"/>
        <v>0</v>
      </c>
      <c r="AL180" s="162">
        <f t="shared" si="62"/>
        <v>0</v>
      </c>
      <c r="AM180" s="162">
        <f t="shared" si="62"/>
        <v>0</v>
      </c>
      <c r="AN180" s="162">
        <f t="shared" si="62"/>
        <v>0</v>
      </c>
      <c r="AO180" s="162">
        <f t="shared" si="62"/>
        <v>0</v>
      </c>
      <c r="AP180" s="162">
        <f t="shared" si="62"/>
        <v>0</v>
      </c>
      <c r="AQ180" s="162">
        <f t="shared" si="62"/>
        <v>0</v>
      </c>
      <c r="AR180" s="163">
        <f t="shared" si="55"/>
        <v>0</v>
      </c>
    </row>
    <row r="181" spans="1:44" x14ac:dyDescent="0.25">
      <c r="A181" s="14"/>
      <c r="B181" s="15" t="str">
        <f t="shared" si="46"/>
        <v>IND_COMB_0_0</v>
      </c>
      <c r="F181" s="190">
        <f t="shared" si="60"/>
        <v>0</v>
      </c>
      <c r="G181" s="149" t="str">
        <f t="shared" si="60"/>
        <v/>
      </c>
      <c r="H181" s="150" t="str">
        <f t="shared" si="60"/>
        <v/>
      </c>
      <c r="I181" s="150">
        <f t="shared" si="60"/>
        <v>0</v>
      </c>
      <c r="J181" s="150">
        <f t="shared" si="60"/>
        <v>0</v>
      </c>
      <c r="K181" s="150" t="str">
        <f>IFERROR(VLOOKUP($J181,#REF!,3,0),"")</f>
        <v/>
      </c>
      <c r="L181" s="150" t="str">
        <f>IFERROR(VLOOKUP($J181,#REF!,5,0),"")</f>
        <v/>
      </c>
      <c r="M181" s="191">
        <f t="shared" si="51"/>
        <v>0</v>
      </c>
      <c r="N181" s="192">
        <f t="shared" si="61"/>
        <v>0</v>
      </c>
      <c r="O181" s="193">
        <f t="shared" si="61"/>
        <v>0</v>
      </c>
      <c r="P181" s="162">
        <f t="shared" si="63"/>
        <v>0</v>
      </c>
      <c r="Q181" s="162">
        <f t="shared" si="63"/>
        <v>0</v>
      </c>
      <c r="R181" s="162">
        <f t="shared" si="63"/>
        <v>0</v>
      </c>
      <c r="S181" s="162">
        <f t="shared" si="63"/>
        <v>0</v>
      </c>
      <c r="T181" s="162">
        <f t="shared" si="63"/>
        <v>0</v>
      </c>
      <c r="U181" s="162">
        <f t="shared" si="63"/>
        <v>0</v>
      </c>
      <c r="V181" s="162">
        <f t="shared" si="63"/>
        <v>0</v>
      </c>
      <c r="W181" s="162">
        <f t="shared" si="63"/>
        <v>0</v>
      </c>
      <c r="X181" s="162">
        <f t="shared" si="63"/>
        <v>0</v>
      </c>
      <c r="Y181" s="162">
        <f t="shared" si="63"/>
        <v>0</v>
      </c>
      <c r="Z181" s="162">
        <f t="shared" si="63"/>
        <v>0</v>
      </c>
      <c r="AA181" s="162">
        <f t="shared" si="63"/>
        <v>0</v>
      </c>
      <c r="AB181" s="163">
        <f t="shared" si="52"/>
        <v>0</v>
      </c>
      <c r="AC181" s="159"/>
      <c r="AE181" s="194" t="str">
        <f t="shared" si="53"/>
        <v>0 - LTS (0 - )</v>
      </c>
      <c r="AF181" s="161">
        <f t="shared" si="62"/>
        <v>0</v>
      </c>
      <c r="AG181" s="162">
        <f t="shared" si="62"/>
        <v>0</v>
      </c>
      <c r="AH181" s="162">
        <f t="shared" si="62"/>
        <v>0</v>
      </c>
      <c r="AI181" s="162">
        <f t="shared" si="62"/>
        <v>0</v>
      </c>
      <c r="AJ181" s="162">
        <f t="shared" si="62"/>
        <v>0</v>
      </c>
      <c r="AK181" s="162">
        <f t="shared" si="62"/>
        <v>0</v>
      </c>
      <c r="AL181" s="162">
        <f t="shared" si="62"/>
        <v>0</v>
      </c>
      <c r="AM181" s="162">
        <f t="shared" si="62"/>
        <v>0</v>
      </c>
      <c r="AN181" s="162">
        <f t="shared" si="62"/>
        <v>0</v>
      </c>
      <c r="AO181" s="162">
        <f t="shared" si="62"/>
        <v>0</v>
      </c>
      <c r="AP181" s="162">
        <f t="shared" si="62"/>
        <v>0</v>
      </c>
      <c r="AQ181" s="162">
        <f t="shared" si="62"/>
        <v>0</v>
      </c>
      <c r="AR181" s="163">
        <f t="shared" si="55"/>
        <v>0</v>
      </c>
    </row>
    <row r="182" spans="1:44" x14ac:dyDescent="0.25">
      <c r="A182" s="14"/>
      <c r="B182" s="15" t="str">
        <f t="shared" si="46"/>
        <v>IND_COMB_0_0</v>
      </c>
      <c r="F182" s="190">
        <f t="shared" si="60"/>
        <v>0</v>
      </c>
      <c r="G182" s="149" t="str">
        <f t="shared" si="60"/>
        <v/>
      </c>
      <c r="H182" s="150" t="str">
        <f t="shared" si="60"/>
        <v/>
      </c>
      <c r="I182" s="150">
        <f t="shared" si="60"/>
        <v>0</v>
      </c>
      <c r="J182" s="150">
        <f t="shared" si="60"/>
        <v>0</v>
      </c>
      <c r="K182" s="150" t="str">
        <f>IFERROR(VLOOKUP($J182,#REF!,3,0),"")</f>
        <v/>
      </c>
      <c r="L182" s="150" t="str">
        <f>IFERROR(VLOOKUP($J182,#REF!,5,0),"")</f>
        <v/>
      </c>
      <c r="M182" s="191">
        <f t="shared" si="51"/>
        <v>0</v>
      </c>
      <c r="N182" s="192">
        <f t="shared" si="61"/>
        <v>0</v>
      </c>
      <c r="O182" s="193">
        <f t="shared" si="61"/>
        <v>0</v>
      </c>
      <c r="P182" s="162">
        <f t="shared" si="63"/>
        <v>0</v>
      </c>
      <c r="Q182" s="162">
        <f t="shared" si="63"/>
        <v>0</v>
      </c>
      <c r="R182" s="162">
        <f t="shared" si="63"/>
        <v>0</v>
      </c>
      <c r="S182" s="162">
        <f t="shared" si="63"/>
        <v>0</v>
      </c>
      <c r="T182" s="162">
        <f t="shared" si="63"/>
        <v>0</v>
      </c>
      <c r="U182" s="162">
        <f t="shared" si="63"/>
        <v>0</v>
      </c>
      <c r="V182" s="162">
        <f t="shared" si="63"/>
        <v>0</v>
      </c>
      <c r="W182" s="162">
        <f t="shared" si="63"/>
        <v>0</v>
      </c>
      <c r="X182" s="162">
        <f t="shared" si="63"/>
        <v>0</v>
      </c>
      <c r="Y182" s="162">
        <f t="shared" si="63"/>
        <v>0</v>
      </c>
      <c r="Z182" s="162">
        <f t="shared" si="63"/>
        <v>0</v>
      </c>
      <c r="AA182" s="162">
        <f t="shared" si="63"/>
        <v>0</v>
      </c>
      <c r="AB182" s="163">
        <f t="shared" si="52"/>
        <v>0</v>
      </c>
      <c r="AC182" s="159"/>
      <c r="AE182" s="194" t="str">
        <f t="shared" si="53"/>
        <v>0 - LTS (0 - )</v>
      </c>
      <c r="AF182" s="161">
        <f t="shared" si="62"/>
        <v>0</v>
      </c>
      <c r="AG182" s="162">
        <f t="shared" si="62"/>
        <v>0</v>
      </c>
      <c r="AH182" s="162">
        <f t="shared" si="62"/>
        <v>0</v>
      </c>
      <c r="AI182" s="162">
        <f t="shared" si="62"/>
        <v>0</v>
      </c>
      <c r="AJ182" s="162">
        <f t="shared" si="62"/>
        <v>0</v>
      </c>
      <c r="AK182" s="162">
        <f t="shared" si="62"/>
        <v>0</v>
      </c>
      <c r="AL182" s="162">
        <f t="shared" si="62"/>
        <v>0</v>
      </c>
      <c r="AM182" s="162">
        <f t="shared" si="62"/>
        <v>0</v>
      </c>
      <c r="AN182" s="162">
        <f t="shared" si="62"/>
        <v>0</v>
      </c>
      <c r="AO182" s="162">
        <f t="shared" si="62"/>
        <v>0</v>
      </c>
      <c r="AP182" s="162">
        <f t="shared" si="62"/>
        <v>0</v>
      </c>
      <c r="AQ182" s="162">
        <f t="shared" si="62"/>
        <v>0</v>
      </c>
      <c r="AR182" s="163">
        <f t="shared" si="55"/>
        <v>0</v>
      </c>
    </row>
    <row r="183" spans="1:44" x14ac:dyDescent="0.25">
      <c r="A183" s="14"/>
      <c r="B183" s="15" t="str">
        <f t="shared" si="46"/>
        <v>IND_COMB_0_0</v>
      </c>
      <c r="F183" s="190">
        <f t="shared" si="60"/>
        <v>0</v>
      </c>
      <c r="G183" s="149" t="str">
        <f t="shared" si="60"/>
        <v/>
      </c>
      <c r="H183" s="150" t="str">
        <f t="shared" si="60"/>
        <v/>
      </c>
      <c r="I183" s="150">
        <f t="shared" si="60"/>
        <v>0</v>
      </c>
      <c r="J183" s="150">
        <f t="shared" si="60"/>
        <v>0</v>
      </c>
      <c r="K183" s="150" t="str">
        <f>IFERROR(VLOOKUP($J183,#REF!,3,0),"")</f>
        <v/>
      </c>
      <c r="L183" s="150" t="str">
        <f>IFERROR(VLOOKUP($J183,#REF!,5,0),"")</f>
        <v/>
      </c>
      <c r="M183" s="191">
        <f t="shared" si="51"/>
        <v>0</v>
      </c>
      <c r="N183" s="192">
        <f t="shared" si="61"/>
        <v>0</v>
      </c>
      <c r="O183" s="193">
        <f t="shared" si="61"/>
        <v>0</v>
      </c>
      <c r="P183" s="162">
        <f t="shared" si="63"/>
        <v>0</v>
      </c>
      <c r="Q183" s="162">
        <f t="shared" si="63"/>
        <v>0</v>
      </c>
      <c r="R183" s="162">
        <f t="shared" si="63"/>
        <v>0</v>
      </c>
      <c r="S183" s="162">
        <f t="shared" si="63"/>
        <v>0</v>
      </c>
      <c r="T183" s="162">
        <f t="shared" si="63"/>
        <v>0</v>
      </c>
      <c r="U183" s="162">
        <f t="shared" si="63"/>
        <v>0</v>
      </c>
      <c r="V183" s="162">
        <f t="shared" si="63"/>
        <v>0</v>
      </c>
      <c r="W183" s="162">
        <f t="shared" si="63"/>
        <v>0</v>
      </c>
      <c r="X183" s="162">
        <f t="shared" si="63"/>
        <v>0</v>
      </c>
      <c r="Y183" s="162">
        <f t="shared" si="63"/>
        <v>0</v>
      </c>
      <c r="Z183" s="162">
        <f t="shared" si="63"/>
        <v>0</v>
      </c>
      <c r="AA183" s="162">
        <f t="shared" si="63"/>
        <v>0</v>
      </c>
      <c r="AB183" s="163">
        <f t="shared" si="52"/>
        <v>0</v>
      </c>
      <c r="AC183" s="159"/>
      <c r="AE183" s="194" t="str">
        <f t="shared" si="53"/>
        <v>0 - LTS (0 - )</v>
      </c>
      <c r="AF183" s="161">
        <f t="shared" si="62"/>
        <v>0</v>
      </c>
      <c r="AG183" s="162">
        <f t="shared" si="62"/>
        <v>0</v>
      </c>
      <c r="AH183" s="162">
        <f t="shared" si="62"/>
        <v>0</v>
      </c>
      <c r="AI183" s="162">
        <f t="shared" si="62"/>
        <v>0</v>
      </c>
      <c r="AJ183" s="162">
        <f t="shared" si="62"/>
        <v>0</v>
      </c>
      <c r="AK183" s="162">
        <f t="shared" si="62"/>
        <v>0</v>
      </c>
      <c r="AL183" s="162">
        <f t="shared" si="62"/>
        <v>0</v>
      </c>
      <c r="AM183" s="162">
        <f t="shared" si="62"/>
        <v>0</v>
      </c>
      <c r="AN183" s="162">
        <f t="shared" si="62"/>
        <v>0</v>
      </c>
      <c r="AO183" s="162">
        <f t="shared" si="62"/>
        <v>0</v>
      </c>
      <c r="AP183" s="162">
        <f t="shared" si="62"/>
        <v>0</v>
      </c>
      <c r="AQ183" s="162">
        <f t="shared" si="62"/>
        <v>0</v>
      </c>
      <c r="AR183" s="163">
        <f t="shared" si="55"/>
        <v>0</v>
      </c>
    </row>
    <row r="184" spans="1:44" x14ac:dyDescent="0.25">
      <c r="A184" s="14"/>
      <c r="B184" s="15" t="str">
        <f t="shared" si="46"/>
        <v>IND_COMB_0_0</v>
      </c>
      <c r="F184" s="190">
        <f t="shared" si="60"/>
        <v>0</v>
      </c>
      <c r="G184" s="149" t="str">
        <f t="shared" si="60"/>
        <v/>
      </c>
      <c r="H184" s="150" t="str">
        <f t="shared" si="60"/>
        <v/>
      </c>
      <c r="I184" s="150">
        <f t="shared" si="60"/>
        <v>0</v>
      </c>
      <c r="J184" s="150">
        <f t="shared" si="60"/>
        <v>0</v>
      </c>
      <c r="K184" s="150" t="str">
        <f>IFERROR(VLOOKUP($J184,#REF!,3,0),"")</f>
        <v/>
      </c>
      <c r="L184" s="150" t="str">
        <f>IFERROR(VLOOKUP($J184,#REF!,5,0),"")</f>
        <v/>
      </c>
      <c r="M184" s="191">
        <f t="shared" si="51"/>
        <v>0</v>
      </c>
      <c r="N184" s="192">
        <f t="shared" si="61"/>
        <v>0</v>
      </c>
      <c r="O184" s="193">
        <f t="shared" si="61"/>
        <v>0</v>
      </c>
      <c r="P184" s="162">
        <f t="shared" si="63"/>
        <v>0</v>
      </c>
      <c r="Q184" s="162">
        <f t="shared" si="63"/>
        <v>0</v>
      </c>
      <c r="R184" s="162">
        <f t="shared" si="63"/>
        <v>0</v>
      </c>
      <c r="S184" s="162">
        <f t="shared" si="63"/>
        <v>0</v>
      </c>
      <c r="T184" s="162">
        <f t="shared" si="63"/>
        <v>0</v>
      </c>
      <c r="U184" s="162">
        <f t="shared" si="63"/>
        <v>0</v>
      </c>
      <c r="V184" s="162">
        <f t="shared" si="63"/>
        <v>0</v>
      </c>
      <c r="W184" s="162">
        <f t="shared" si="63"/>
        <v>0</v>
      </c>
      <c r="X184" s="162">
        <f t="shared" si="63"/>
        <v>0</v>
      </c>
      <c r="Y184" s="162">
        <f t="shared" si="63"/>
        <v>0</v>
      </c>
      <c r="Z184" s="162">
        <f t="shared" si="63"/>
        <v>0</v>
      </c>
      <c r="AA184" s="162">
        <f t="shared" si="63"/>
        <v>0</v>
      </c>
      <c r="AB184" s="163">
        <f t="shared" si="52"/>
        <v>0</v>
      </c>
      <c r="AC184" s="159"/>
      <c r="AE184" s="194" t="str">
        <f t="shared" si="53"/>
        <v>0 - LTS (0 - )</v>
      </c>
      <c r="AF184" s="161">
        <f t="shared" si="62"/>
        <v>0</v>
      </c>
      <c r="AG184" s="162">
        <f t="shared" si="62"/>
        <v>0</v>
      </c>
      <c r="AH184" s="162">
        <f t="shared" si="62"/>
        <v>0</v>
      </c>
      <c r="AI184" s="162">
        <f t="shared" si="62"/>
        <v>0</v>
      </c>
      <c r="AJ184" s="162">
        <f t="shared" si="62"/>
        <v>0</v>
      </c>
      <c r="AK184" s="162">
        <f t="shared" si="62"/>
        <v>0</v>
      </c>
      <c r="AL184" s="162">
        <f t="shared" si="62"/>
        <v>0</v>
      </c>
      <c r="AM184" s="162">
        <f t="shared" si="62"/>
        <v>0</v>
      </c>
      <c r="AN184" s="162">
        <f t="shared" si="62"/>
        <v>0</v>
      </c>
      <c r="AO184" s="162">
        <f t="shared" si="62"/>
        <v>0</v>
      </c>
      <c r="AP184" s="162">
        <f t="shared" si="62"/>
        <v>0</v>
      </c>
      <c r="AQ184" s="162">
        <f t="shared" si="62"/>
        <v>0</v>
      </c>
      <c r="AR184" s="163">
        <f t="shared" si="55"/>
        <v>0</v>
      </c>
    </row>
    <row r="185" spans="1:44" x14ac:dyDescent="0.25">
      <c r="A185" s="14"/>
      <c r="B185" s="15" t="str">
        <f t="shared" si="46"/>
        <v>IND_COMB_0_0</v>
      </c>
      <c r="F185" s="190">
        <f t="shared" si="60"/>
        <v>0</v>
      </c>
      <c r="G185" s="149" t="str">
        <f t="shared" si="60"/>
        <v/>
      </c>
      <c r="H185" s="150" t="str">
        <f t="shared" si="60"/>
        <v/>
      </c>
      <c r="I185" s="150">
        <f t="shared" si="60"/>
        <v>0</v>
      </c>
      <c r="J185" s="150">
        <f t="shared" si="60"/>
        <v>0</v>
      </c>
      <c r="K185" s="150" t="str">
        <f>IFERROR(VLOOKUP($J185,#REF!,3,0),"")</f>
        <v/>
      </c>
      <c r="L185" s="150" t="str">
        <f>IFERROR(VLOOKUP($J185,#REF!,5,0),"")</f>
        <v/>
      </c>
      <c r="M185" s="191">
        <f t="shared" si="51"/>
        <v>0</v>
      </c>
      <c r="N185" s="192">
        <f t="shared" si="61"/>
        <v>0</v>
      </c>
      <c r="O185" s="193">
        <f t="shared" si="61"/>
        <v>0</v>
      </c>
      <c r="P185" s="162">
        <f t="shared" si="63"/>
        <v>0</v>
      </c>
      <c r="Q185" s="162">
        <f t="shared" si="63"/>
        <v>0</v>
      </c>
      <c r="R185" s="162">
        <f t="shared" si="63"/>
        <v>0</v>
      </c>
      <c r="S185" s="162">
        <f t="shared" si="63"/>
        <v>0</v>
      </c>
      <c r="T185" s="162">
        <f t="shared" si="63"/>
        <v>0</v>
      </c>
      <c r="U185" s="162">
        <f t="shared" si="63"/>
        <v>0</v>
      </c>
      <c r="V185" s="162">
        <f t="shared" si="63"/>
        <v>0</v>
      </c>
      <c r="W185" s="162">
        <f t="shared" si="63"/>
        <v>0</v>
      </c>
      <c r="X185" s="162">
        <f t="shared" si="63"/>
        <v>0</v>
      </c>
      <c r="Y185" s="162">
        <f t="shared" si="63"/>
        <v>0</v>
      </c>
      <c r="Z185" s="162">
        <f t="shared" si="63"/>
        <v>0</v>
      </c>
      <c r="AA185" s="162">
        <f t="shared" si="63"/>
        <v>0</v>
      </c>
      <c r="AB185" s="163">
        <f t="shared" si="52"/>
        <v>0</v>
      </c>
      <c r="AC185" s="159"/>
      <c r="AE185" s="195" t="str">
        <f t="shared" si="53"/>
        <v>0 - LTS (0 - )</v>
      </c>
      <c r="AF185" s="174">
        <f t="shared" si="62"/>
        <v>0</v>
      </c>
      <c r="AG185" s="175">
        <f t="shared" si="62"/>
        <v>0</v>
      </c>
      <c r="AH185" s="175">
        <f t="shared" si="62"/>
        <v>0</v>
      </c>
      <c r="AI185" s="175">
        <f t="shared" si="62"/>
        <v>0</v>
      </c>
      <c r="AJ185" s="175">
        <f t="shared" si="62"/>
        <v>0</v>
      </c>
      <c r="AK185" s="175">
        <f t="shared" si="62"/>
        <v>0</v>
      </c>
      <c r="AL185" s="175">
        <f t="shared" si="62"/>
        <v>0</v>
      </c>
      <c r="AM185" s="175">
        <f t="shared" si="62"/>
        <v>0</v>
      </c>
      <c r="AN185" s="175">
        <f t="shared" si="62"/>
        <v>0</v>
      </c>
      <c r="AO185" s="175">
        <f t="shared" si="62"/>
        <v>0</v>
      </c>
      <c r="AP185" s="175">
        <f t="shared" si="62"/>
        <v>0</v>
      </c>
      <c r="AQ185" s="175">
        <f t="shared" si="62"/>
        <v>0</v>
      </c>
      <c r="AR185" s="176">
        <f t="shared" si="55"/>
        <v>0</v>
      </c>
    </row>
    <row r="186" spans="1:44" x14ac:dyDescent="0.25">
      <c r="A186" s="14"/>
    </row>
    <row r="187" spans="1:44" hidden="1" outlineLevel="1" x14ac:dyDescent="0.25">
      <c r="A187" s="14"/>
      <c r="F187" s="136" t="s">
        <v>249</v>
      </c>
      <c r="G187" s="70"/>
      <c r="H187" s="106"/>
      <c r="I187" s="106"/>
      <c r="J187" s="106"/>
      <c r="K187" s="106"/>
      <c r="L187" s="106"/>
      <c r="M187" s="107"/>
      <c r="N187" s="106"/>
    </row>
    <row r="188" spans="1:44" hidden="1" outlineLevel="1" x14ac:dyDescent="0.25">
      <c r="A188" s="14"/>
      <c r="F188" s="134"/>
      <c r="G188" s="70"/>
    </row>
    <row r="189" spans="1:44" hidden="1" outlineLevel="1" x14ac:dyDescent="0.25">
      <c r="A189" s="14"/>
      <c r="B189" s="15" t="s">
        <v>250</v>
      </c>
      <c r="C189" s="15" t="s">
        <v>251</v>
      </c>
      <c r="D189" s="15" t="s">
        <v>219</v>
      </c>
      <c r="F189" s="137" t="s">
        <v>252</v>
      </c>
      <c r="G189" s="138"/>
      <c r="H189" s="139" t="s">
        <v>217</v>
      </c>
      <c r="I189" s="139" t="s">
        <v>218</v>
      </c>
      <c r="J189" s="139" t="s">
        <v>219</v>
      </c>
      <c r="K189" s="140"/>
      <c r="L189" s="141"/>
      <c r="M189" s="142" t="s">
        <v>220</v>
      </c>
      <c r="N189" s="139" t="s">
        <v>221</v>
      </c>
      <c r="O189" s="143" t="s">
        <v>222</v>
      </c>
      <c r="P189" s="35">
        <f t="shared" ref="P189:AA189" si="64">P$9</f>
        <v>46113</v>
      </c>
      <c r="Q189" s="35">
        <f t="shared" si="64"/>
        <v>46143</v>
      </c>
      <c r="R189" s="35">
        <f t="shared" si="64"/>
        <v>46174</v>
      </c>
      <c r="S189" s="35">
        <f t="shared" si="64"/>
        <v>46204</v>
      </c>
      <c r="T189" s="35">
        <f t="shared" si="64"/>
        <v>46235</v>
      </c>
      <c r="U189" s="35">
        <f t="shared" si="64"/>
        <v>46266</v>
      </c>
      <c r="V189" s="35">
        <f t="shared" si="64"/>
        <v>46296</v>
      </c>
      <c r="W189" s="35">
        <f t="shared" si="64"/>
        <v>46327</v>
      </c>
      <c r="X189" s="35">
        <f t="shared" si="64"/>
        <v>46357</v>
      </c>
      <c r="Y189" s="35">
        <f t="shared" si="64"/>
        <v>46388</v>
      </c>
      <c r="Z189" s="35">
        <f t="shared" si="64"/>
        <v>46419</v>
      </c>
      <c r="AA189" s="35">
        <f t="shared" si="64"/>
        <v>46447</v>
      </c>
      <c r="AB189" s="81" t="s">
        <v>223</v>
      </c>
      <c r="AC189" s="82" t="s">
        <v>192</v>
      </c>
    </row>
    <row r="190" spans="1:44" hidden="1" outlineLevel="1" x14ac:dyDescent="0.25">
      <c r="A190" s="14" t="str">
        <f t="shared" ref="A190:A253" si="65">"TERC_OPER_"&amp;C190&amp;"_"&amp;E190</f>
        <v>TERC_OPER_1000_1</v>
      </c>
      <c r="B190" s="15" t="e">
        <f t="shared" ref="B190:B234" si="66">"TERC_OPER_"&amp;C190&amp;"_"&amp;F190&amp;"_"&amp;J190</f>
        <v>#REF!</v>
      </c>
      <c r="C190" s="83">
        <v>1000</v>
      </c>
      <c r="D190" s="15" t="e">
        <f t="shared" ref="D190:D234" si="67">J190</f>
        <v>#REF!</v>
      </c>
      <c r="E190" s="15">
        <v>1</v>
      </c>
      <c r="F190" s="190" t="e">
        <f>#REF!</f>
        <v>#REF!</v>
      </c>
      <c r="G190" s="149" t="e">
        <f>#REF!</f>
        <v>#REF!</v>
      </c>
      <c r="H190" s="150" t="e">
        <f>#REF!</f>
        <v>#REF!</v>
      </c>
      <c r="I190" s="150" t="e">
        <f>#REF!</f>
        <v>#REF!</v>
      </c>
      <c r="J190" s="150" t="e">
        <f>#REF!</f>
        <v>#REF!</v>
      </c>
      <c r="K190" s="196"/>
      <c r="L190" s="197"/>
      <c r="M190" s="191" t="e">
        <f>#REF!</f>
        <v>#REF!</v>
      </c>
      <c r="N190" s="150" t="e">
        <f>#REF!</f>
        <v>#REF!</v>
      </c>
      <c r="O190" s="193" t="e">
        <f>#REF!</f>
        <v>#REF!</v>
      </c>
      <c r="P190" s="162">
        <f>IFERROR(SUMIF($B$16:$B$43,$C190&amp;$I190,P$16:P$43)/SUMIF($D$16:$D$43,$I190,P$16:P$43)*#REF!,0)</f>
        <v>0</v>
      </c>
      <c r="Q190" s="162">
        <f>IFERROR(SUMIF($B$16:$B$43,$C190&amp;$I190,Q$16:Q$43)/SUMIF($D$16:$D$43,$I190,Q$16:Q$43)*#REF!,0)</f>
        <v>0</v>
      </c>
      <c r="R190" s="162">
        <f>IFERROR(SUMIF($B$16:$B$43,$C190&amp;$I190,R$16:R$43)/SUMIF($D$16:$D$43,$I190,R$16:R$43)*#REF!,0)</f>
        <v>0</v>
      </c>
      <c r="S190" s="162">
        <f>IFERROR(SUMIF($B$16:$B$43,$C190&amp;$I190,S$16:S$43)/SUMIF($D$16:$D$43,$I190,S$16:S$43)*#REF!,0)</f>
        <v>0</v>
      </c>
      <c r="T190" s="162">
        <f>IFERROR(SUMIF($B$16:$B$43,$C190&amp;$I190,T$16:T$43)/SUMIF($D$16:$D$43,$I190,T$16:T$43)*#REF!,0)</f>
        <v>0</v>
      </c>
      <c r="U190" s="162">
        <f>IFERROR(SUMIF($B$16:$B$43,$C190&amp;$I190,U$16:U$43)/SUMIF($D$16:$D$43,$I190,U$16:U$43)*#REF!,0)</f>
        <v>0</v>
      </c>
      <c r="V190" s="162">
        <f>IFERROR(SUMIF($B$16:$B$43,$C190&amp;$I190,V$16:V$43)/SUMIF($D$16:$D$43,$I190,V$16:V$43)*#REF!,0)</f>
        <v>0</v>
      </c>
      <c r="W190" s="162">
        <f>IFERROR(SUMIF($B$16:$B$43,$C190&amp;$I190,W$16:W$43)/SUMIF($D$16:$D$43,$I190,W$16:W$43)*#REF!,0)</f>
        <v>0</v>
      </c>
      <c r="X190" s="162">
        <f>IFERROR(SUMIF($B$16:$B$43,$C190&amp;$I190,X$16:X$43)/SUMIF($D$16:$D$43,$I190,X$16:X$43)*#REF!,0)</f>
        <v>0</v>
      </c>
      <c r="Y190" s="162">
        <f>IFERROR(SUMIF($B$16:$B$43,$C190&amp;$I190,Y$16:Y$43)/SUMIF($D$16:$D$43,$I190,Y$16:Y$43)*#REF!,0)</f>
        <v>0</v>
      </c>
      <c r="Z190" s="162">
        <f>IFERROR(SUMIF($B$16:$B$43,$C190&amp;$I190,Z$16:Z$43)/SUMIF($D$16:$D$43,$I190,Z$16:Z$43)*#REF!,0)</f>
        <v>0</v>
      </c>
      <c r="AA190" s="162">
        <f>IFERROR(SUMIF($B$16:$B$43,$C190&amp;$I190,AA$16:AA$43)/SUMIF($D$16:$D$43,$I190,AA$16:AA$43)*#REF!,0)</f>
        <v>0</v>
      </c>
      <c r="AB190" s="163">
        <f>SUM(P190:AA190)</f>
        <v>0</v>
      </c>
      <c r="AC190" s="198"/>
    </row>
    <row r="191" spans="1:44" hidden="1" outlineLevel="1" x14ac:dyDescent="0.25">
      <c r="A191" s="14" t="str">
        <f t="shared" si="65"/>
        <v>TERC_OPER_1000_2</v>
      </c>
      <c r="B191" s="15" t="str">
        <f t="shared" si="66"/>
        <v>TERC_OPER_1000_1096_1</v>
      </c>
      <c r="C191" s="83">
        <v>1000</v>
      </c>
      <c r="D191" s="15">
        <f t="shared" si="67"/>
        <v>1</v>
      </c>
      <c r="E191" s="15">
        <v>2</v>
      </c>
      <c r="F191" s="190">
        <f t="shared" ref="F191:J206" si="68">F49</f>
        <v>1096</v>
      </c>
      <c r="G191" s="149" t="str">
        <f t="shared" si="68"/>
        <v/>
      </c>
      <c r="H191" s="150" t="str">
        <f t="shared" si="68"/>
        <v/>
      </c>
      <c r="I191" s="150" t="str">
        <f t="shared" si="68"/>
        <v>PREPSP</v>
      </c>
      <c r="J191" s="150">
        <f t="shared" si="68"/>
        <v>1</v>
      </c>
      <c r="K191" s="196"/>
      <c r="L191" s="197"/>
      <c r="M191" s="191">
        <f t="shared" ref="M191:O206" si="69">M49</f>
        <v>0</v>
      </c>
      <c r="N191" s="150">
        <f t="shared" si="69"/>
        <v>0</v>
      </c>
      <c r="O191" s="193">
        <f t="shared" si="69"/>
        <v>1</v>
      </c>
      <c r="P191" s="162">
        <f t="shared" ref="P191:AA206" si="70">IFERROR(SUMIF($B$16:$B$43,$C191&amp;$I191,P$16:P$43)/SUMIF($D$16:$D$43,$I191,P$16:P$43)*P49,0)</f>
        <v>0</v>
      </c>
      <c r="Q191" s="162">
        <f t="shared" si="70"/>
        <v>0</v>
      </c>
      <c r="R191" s="162">
        <f t="shared" si="70"/>
        <v>0</v>
      </c>
      <c r="S191" s="162">
        <f t="shared" si="70"/>
        <v>0</v>
      </c>
      <c r="T191" s="162">
        <f t="shared" si="70"/>
        <v>0</v>
      </c>
      <c r="U191" s="162">
        <f>IFERROR(SUMIF($B$16:$B$43,$C191&amp;$I191,U$16:U$43)/SUMIF($D$16:$D$43,$I191,U$16:U$43)*U49,0)</f>
        <v>0</v>
      </c>
      <c r="V191" s="162">
        <f>IFERROR(SUMIF($B$16:$B$43,$C191&amp;$I191,V$16:V$43)/SUMIF($D$16:$D$43,$I191,V$16:V$43)*V49,0)</f>
        <v>0</v>
      </c>
      <c r="W191" s="162">
        <f t="shared" si="70"/>
        <v>0</v>
      </c>
      <c r="X191" s="162">
        <f t="shared" si="70"/>
        <v>0</v>
      </c>
      <c r="Y191" s="162">
        <f t="shared" si="70"/>
        <v>0</v>
      </c>
      <c r="Z191" s="162">
        <f t="shared" si="70"/>
        <v>0</v>
      </c>
      <c r="AA191" s="162">
        <f t="shared" si="70"/>
        <v>0</v>
      </c>
      <c r="AB191" s="163">
        <f t="shared" ref="AB191:AB234" si="71">SUM(P191:AA191)</f>
        <v>0</v>
      </c>
      <c r="AC191" s="198"/>
    </row>
    <row r="192" spans="1:44" hidden="1" outlineLevel="1" x14ac:dyDescent="0.25">
      <c r="A192" s="14" t="str">
        <f t="shared" si="65"/>
        <v>TERC_OPER_1000_3</v>
      </c>
      <c r="B192" s="15" t="str">
        <f t="shared" si="66"/>
        <v>TERC_OPER_1000_1079_1</v>
      </c>
      <c r="C192" s="83">
        <v>1000</v>
      </c>
      <c r="D192" s="15">
        <f t="shared" si="67"/>
        <v>1</v>
      </c>
      <c r="E192" s="15">
        <v>3</v>
      </c>
      <c r="F192" s="190">
        <f t="shared" si="68"/>
        <v>1079</v>
      </c>
      <c r="G192" s="149" t="str">
        <f t="shared" si="68"/>
        <v/>
      </c>
      <c r="H192" s="150" t="str">
        <f t="shared" si="68"/>
        <v/>
      </c>
      <c r="I192" s="150" t="str">
        <f t="shared" si="68"/>
        <v>PREPSP</v>
      </c>
      <c r="J192" s="150">
        <f t="shared" si="68"/>
        <v>1</v>
      </c>
      <c r="K192" s="196"/>
      <c r="L192" s="197"/>
      <c r="M192" s="191">
        <f t="shared" si="69"/>
        <v>0</v>
      </c>
      <c r="N192" s="150">
        <f t="shared" si="69"/>
        <v>0</v>
      </c>
      <c r="O192" s="193">
        <f t="shared" si="69"/>
        <v>1</v>
      </c>
      <c r="P192" s="162">
        <f t="shared" si="70"/>
        <v>0</v>
      </c>
      <c r="Q192" s="162">
        <f t="shared" si="70"/>
        <v>0</v>
      </c>
      <c r="R192" s="162">
        <f t="shared" si="70"/>
        <v>0</v>
      </c>
      <c r="S192" s="162">
        <f t="shared" si="70"/>
        <v>0</v>
      </c>
      <c r="T192" s="162">
        <f t="shared" si="70"/>
        <v>0</v>
      </c>
      <c r="U192" s="162">
        <f t="shared" si="70"/>
        <v>0</v>
      </c>
      <c r="V192" s="162">
        <f t="shared" si="70"/>
        <v>0</v>
      </c>
      <c r="W192" s="162">
        <f t="shared" si="70"/>
        <v>0</v>
      </c>
      <c r="X192" s="162">
        <f t="shared" si="70"/>
        <v>0</v>
      </c>
      <c r="Y192" s="162">
        <f t="shared" si="70"/>
        <v>0</v>
      </c>
      <c r="Z192" s="162">
        <f t="shared" si="70"/>
        <v>0</v>
      </c>
      <c r="AA192" s="162">
        <f t="shared" si="70"/>
        <v>0</v>
      </c>
      <c r="AB192" s="163">
        <f t="shared" si="71"/>
        <v>0</v>
      </c>
      <c r="AC192" s="198"/>
    </row>
    <row r="193" spans="1:29" hidden="1" outlineLevel="1" x14ac:dyDescent="0.25">
      <c r="A193" s="14" t="str">
        <f t="shared" si="65"/>
        <v>TERC_OPER_1000_4</v>
      </c>
      <c r="B193" s="15" t="str">
        <f t="shared" si="66"/>
        <v>TERC_OPER_1000_1028_1</v>
      </c>
      <c r="C193" s="83">
        <v>1000</v>
      </c>
      <c r="D193" s="15">
        <f t="shared" si="67"/>
        <v>1</v>
      </c>
      <c r="E193" s="15">
        <v>4</v>
      </c>
      <c r="F193" s="190">
        <f t="shared" si="68"/>
        <v>1028</v>
      </c>
      <c r="G193" s="149" t="str">
        <f t="shared" si="68"/>
        <v/>
      </c>
      <c r="H193" s="150" t="str">
        <f t="shared" si="68"/>
        <v/>
      </c>
      <c r="I193" s="150" t="str">
        <f t="shared" si="68"/>
        <v>PREPSP</v>
      </c>
      <c r="J193" s="150">
        <f t="shared" si="68"/>
        <v>1</v>
      </c>
      <c r="K193" s="196"/>
      <c r="L193" s="197"/>
      <c r="M193" s="191">
        <f t="shared" si="69"/>
        <v>0</v>
      </c>
      <c r="N193" s="150">
        <f t="shared" si="69"/>
        <v>0</v>
      </c>
      <c r="O193" s="193">
        <f t="shared" si="69"/>
        <v>1</v>
      </c>
      <c r="P193" s="162">
        <f t="shared" si="70"/>
        <v>0</v>
      </c>
      <c r="Q193" s="162">
        <f t="shared" si="70"/>
        <v>0</v>
      </c>
      <c r="R193" s="162">
        <f t="shared" si="70"/>
        <v>0</v>
      </c>
      <c r="S193" s="162">
        <f t="shared" si="70"/>
        <v>0</v>
      </c>
      <c r="T193" s="162">
        <f t="shared" si="70"/>
        <v>0</v>
      </c>
      <c r="U193" s="162">
        <f t="shared" si="70"/>
        <v>0</v>
      </c>
      <c r="V193" s="162">
        <f t="shared" si="70"/>
        <v>0</v>
      </c>
      <c r="W193" s="162">
        <f t="shared" si="70"/>
        <v>0</v>
      </c>
      <c r="X193" s="162">
        <f t="shared" si="70"/>
        <v>0</v>
      </c>
      <c r="Y193" s="162">
        <f t="shared" si="70"/>
        <v>0</v>
      </c>
      <c r="Z193" s="162">
        <f t="shared" si="70"/>
        <v>0</v>
      </c>
      <c r="AA193" s="162">
        <f t="shared" si="70"/>
        <v>0</v>
      </c>
      <c r="AB193" s="163">
        <f t="shared" si="71"/>
        <v>0</v>
      </c>
      <c r="AC193" s="198"/>
    </row>
    <row r="194" spans="1:29" hidden="1" outlineLevel="1" x14ac:dyDescent="0.25">
      <c r="A194" s="14" t="str">
        <f t="shared" si="65"/>
        <v>TERC_OPER_1000_5</v>
      </c>
      <c r="B194" s="15" t="str">
        <f t="shared" si="66"/>
        <v>TERC_OPER_1000_1029_1</v>
      </c>
      <c r="C194" s="83">
        <v>1000</v>
      </c>
      <c r="D194" s="15">
        <f t="shared" si="67"/>
        <v>1</v>
      </c>
      <c r="E194" s="15">
        <v>5</v>
      </c>
      <c r="F194" s="190">
        <f t="shared" si="68"/>
        <v>1029</v>
      </c>
      <c r="G194" s="149" t="str">
        <f t="shared" si="68"/>
        <v/>
      </c>
      <c r="H194" s="150" t="str">
        <f t="shared" si="68"/>
        <v/>
      </c>
      <c r="I194" s="150" t="str">
        <f t="shared" si="68"/>
        <v>PREPSP</v>
      </c>
      <c r="J194" s="150">
        <f t="shared" si="68"/>
        <v>1</v>
      </c>
      <c r="K194" s="196"/>
      <c r="L194" s="197"/>
      <c r="M194" s="191">
        <f t="shared" si="69"/>
        <v>0</v>
      </c>
      <c r="N194" s="150">
        <f t="shared" si="69"/>
        <v>0</v>
      </c>
      <c r="O194" s="193">
        <f t="shared" si="69"/>
        <v>1</v>
      </c>
      <c r="P194" s="162">
        <f t="shared" si="70"/>
        <v>0</v>
      </c>
      <c r="Q194" s="162">
        <f t="shared" si="70"/>
        <v>0</v>
      </c>
      <c r="R194" s="162">
        <f t="shared" si="70"/>
        <v>0</v>
      </c>
      <c r="S194" s="162">
        <f t="shared" si="70"/>
        <v>0</v>
      </c>
      <c r="T194" s="162">
        <f t="shared" si="70"/>
        <v>0</v>
      </c>
      <c r="U194" s="162">
        <f t="shared" si="70"/>
        <v>0</v>
      </c>
      <c r="V194" s="162">
        <f t="shared" si="70"/>
        <v>0</v>
      </c>
      <c r="W194" s="162">
        <f t="shared" si="70"/>
        <v>0</v>
      </c>
      <c r="X194" s="162">
        <f t="shared" si="70"/>
        <v>0</v>
      </c>
      <c r="Y194" s="162">
        <f t="shared" si="70"/>
        <v>0</v>
      </c>
      <c r="Z194" s="162">
        <f t="shared" si="70"/>
        <v>0</v>
      </c>
      <c r="AA194" s="162">
        <f t="shared" si="70"/>
        <v>0</v>
      </c>
      <c r="AB194" s="163">
        <f t="shared" si="71"/>
        <v>0</v>
      </c>
      <c r="AC194" s="198"/>
    </row>
    <row r="195" spans="1:29" hidden="1" outlineLevel="1" x14ac:dyDescent="0.25">
      <c r="A195" s="14" t="str">
        <f t="shared" si="65"/>
        <v>TERC_OPER_1000_6</v>
      </c>
      <c r="B195" s="15" t="str">
        <f t="shared" si="66"/>
        <v>TERC_OPER_1000_0_0</v>
      </c>
      <c r="C195" s="83">
        <v>1000</v>
      </c>
      <c r="D195" s="15">
        <f t="shared" si="67"/>
        <v>0</v>
      </c>
      <c r="E195" s="15">
        <v>6</v>
      </c>
      <c r="F195" s="190">
        <f t="shared" si="68"/>
        <v>0</v>
      </c>
      <c r="G195" s="149" t="str">
        <f t="shared" si="68"/>
        <v/>
      </c>
      <c r="H195" s="150" t="str">
        <f t="shared" si="68"/>
        <v/>
      </c>
      <c r="I195" s="150">
        <f t="shared" si="68"/>
        <v>0</v>
      </c>
      <c r="J195" s="150">
        <f t="shared" si="68"/>
        <v>0</v>
      </c>
      <c r="K195" s="196"/>
      <c r="L195" s="197"/>
      <c r="M195" s="191">
        <f t="shared" si="69"/>
        <v>0</v>
      </c>
      <c r="N195" s="150">
        <f t="shared" si="69"/>
        <v>0</v>
      </c>
      <c r="O195" s="193">
        <f t="shared" si="69"/>
        <v>0</v>
      </c>
      <c r="P195" s="162">
        <f t="shared" si="70"/>
        <v>0</v>
      </c>
      <c r="Q195" s="162">
        <f t="shared" si="70"/>
        <v>0</v>
      </c>
      <c r="R195" s="162">
        <f t="shared" si="70"/>
        <v>0</v>
      </c>
      <c r="S195" s="162">
        <f t="shared" si="70"/>
        <v>0</v>
      </c>
      <c r="T195" s="162">
        <f t="shared" si="70"/>
        <v>0</v>
      </c>
      <c r="U195" s="162">
        <f t="shared" si="70"/>
        <v>0</v>
      </c>
      <c r="V195" s="162">
        <f t="shared" si="70"/>
        <v>0</v>
      </c>
      <c r="W195" s="162">
        <f t="shared" si="70"/>
        <v>0</v>
      </c>
      <c r="X195" s="162">
        <f t="shared" si="70"/>
        <v>0</v>
      </c>
      <c r="Y195" s="162">
        <f t="shared" si="70"/>
        <v>0</v>
      </c>
      <c r="Z195" s="162">
        <f t="shared" si="70"/>
        <v>0</v>
      </c>
      <c r="AA195" s="162">
        <f t="shared" si="70"/>
        <v>0</v>
      </c>
      <c r="AB195" s="163">
        <f t="shared" si="71"/>
        <v>0</v>
      </c>
      <c r="AC195" s="198"/>
    </row>
    <row r="196" spans="1:29" hidden="1" outlineLevel="1" x14ac:dyDescent="0.25">
      <c r="A196" s="14" t="str">
        <f t="shared" si="65"/>
        <v>TERC_OPER_1000_7</v>
      </c>
      <c r="B196" s="15" t="str">
        <f t="shared" si="66"/>
        <v>TERC_OPER_1000_0_0</v>
      </c>
      <c r="C196" s="83">
        <v>1000</v>
      </c>
      <c r="D196" s="15">
        <f t="shared" si="67"/>
        <v>0</v>
      </c>
      <c r="E196" s="15">
        <v>7</v>
      </c>
      <c r="F196" s="190">
        <f t="shared" si="68"/>
        <v>0</v>
      </c>
      <c r="G196" s="149" t="str">
        <f t="shared" si="68"/>
        <v/>
      </c>
      <c r="H196" s="150" t="str">
        <f t="shared" si="68"/>
        <v/>
      </c>
      <c r="I196" s="150">
        <f t="shared" si="68"/>
        <v>0</v>
      </c>
      <c r="J196" s="150">
        <f t="shared" si="68"/>
        <v>0</v>
      </c>
      <c r="K196" s="196"/>
      <c r="L196" s="197"/>
      <c r="M196" s="191">
        <f t="shared" si="69"/>
        <v>0</v>
      </c>
      <c r="N196" s="150">
        <f t="shared" si="69"/>
        <v>0</v>
      </c>
      <c r="O196" s="193">
        <f t="shared" si="69"/>
        <v>0</v>
      </c>
      <c r="P196" s="162">
        <f t="shared" si="70"/>
        <v>0</v>
      </c>
      <c r="Q196" s="162">
        <f t="shared" si="70"/>
        <v>0</v>
      </c>
      <c r="R196" s="162">
        <f t="shared" si="70"/>
        <v>0</v>
      </c>
      <c r="S196" s="162">
        <f t="shared" si="70"/>
        <v>0</v>
      </c>
      <c r="T196" s="162">
        <f t="shared" si="70"/>
        <v>0</v>
      </c>
      <c r="U196" s="162">
        <f t="shared" si="70"/>
        <v>0</v>
      </c>
      <c r="V196" s="162">
        <f t="shared" si="70"/>
        <v>0</v>
      </c>
      <c r="W196" s="162">
        <f t="shared" si="70"/>
        <v>0</v>
      </c>
      <c r="X196" s="162">
        <f t="shared" si="70"/>
        <v>0</v>
      </c>
      <c r="Y196" s="162">
        <f t="shared" si="70"/>
        <v>0</v>
      </c>
      <c r="Z196" s="162">
        <f t="shared" si="70"/>
        <v>0</v>
      </c>
      <c r="AA196" s="162">
        <f t="shared" si="70"/>
        <v>0</v>
      </c>
      <c r="AB196" s="163">
        <f t="shared" si="71"/>
        <v>0</v>
      </c>
      <c r="AC196" s="198"/>
    </row>
    <row r="197" spans="1:29" hidden="1" outlineLevel="1" x14ac:dyDescent="0.25">
      <c r="A197" s="14" t="str">
        <f t="shared" si="65"/>
        <v>TERC_OPER_1000_8</v>
      </c>
      <c r="B197" s="15" t="str">
        <f t="shared" si="66"/>
        <v>TERC_OPER_1000_0_0</v>
      </c>
      <c r="C197" s="83">
        <v>1000</v>
      </c>
      <c r="D197" s="15">
        <f t="shared" si="67"/>
        <v>0</v>
      </c>
      <c r="E197" s="15">
        <v>8</v>
      </c>
      <c r="F197" s="190">
        <f t="shared" si="68"/>
        <v>0</v>
      </c>
      <c r="G197" s="149" t="str">
        <f t="shared" si="68"/>
        <v/>
      </c>
      <c r="H197" s="150" t="str">
        <f t="shared" si="68"/>
        <v/>
      </c>
      <c r="I197" s="150">
        <f t="shared" si="68"/>
        <v>0</v>
      </c>
      <c r="J197" s="150">
        <f t="shared" si="68"/>
        <v>0</v>
      </c>
      <c r="K197" s="196"/>
      <c r="L197" s="197"/>
      <c r="M197" s="191">
        <f t="shared" si="69"/>
        <v>0</v>
      </c>
      <c r="N197" s="150">
        <f t="shared" si="69"/>
        <v>0</v>
      </c>
      <c r="O197" s="193">
        <f t="shared" si="69"/>
        <v>0</v>
      </c>
      <c r="P197" s="162">
        <f t="shared" si="70"/>
        <v>0</v>
      </c>
      <c r="Q197" s="162">
        <f t="shared" si="70"/>
        <v>0</v>
      </c>
      <c r="R197" s="162">
        <f t="shared" si="70"/>
        <v>0</v>
      </c>
      <c r="S197" s="162">
        <f t="shared" si="70"/>
        <v>0</v>
      </c>
      <c r="T197" s="162">
        <f t="shared" si="70"/>
        <v>0</v>
      </c>
      <c r="U197" s="162">
        <f t="shared" si="70"/>
        <v>0</v>
      </c>
      <c r="V197" s="162">
        <f t="shared" si="70"/>
        <v>0</v>
      </c>
      <c r="W197" s="162">
        <f t="shared" si="70"/>
        <v>0</v>
      </c>
      <c r="X197" s="162">
        <f t="shared" si="70"/>
        <v>0</v>
      </c>
      <c r="Y197" s="162">
        <f t="shared" si="70"/>
        <v>0</v>
      </c>
      <c r="Z197" s="162">
        <f t="shared" si="70"/>
        <v>0</v>
      </c>
      <c r="AA197" s="162">
        <f t="shared" si="70"/>
        <v>0</v>
      </c>
      <c r="AB197" s="163">
        <f t="shared" si="71"/>
        <v>0</v>
      </c>
      <c r="AC197" s="198"/>
    </row>
    <row r="198" spans="1:29" hidden="1" outlineLevel="1" x14ac:dyDescent="0.25">
      <c r="A198" s="14" t="str">
        <f t="shared" si="65"/>
        <v>TERC_OPER_1000_9</v>
      </c>
      <c r="B198" s="15" t="str">
        <f t="shared" si="66"/>
        <v>TERC_OPER_1000_0_0</v>
      </c>
      <c r="C198" s="83">
        <v>1000</v>
      </c>
      <c r="D198" s="15">
        <f t="shared" si="67"/>
        <v>0</v>
      </c>
      <c r="E198" s="15">
        <v>9</v>
      </c>
      <c r="F198" s="190">
        <f t="shared" si="68"/>
        <v>0</v>
      </c>
      <c r="G198" s="149" t="str">
        <f t="shared" si="68"/>
        <v/>
      </c>
      <c r="H198" s="150" t="str">
        <f t="shared" si="68"/>
        <v/>
      </c>
      <c r="I198" s="150">
        <f t="shared" si="68"/>
        <v>0</v>
      </c>
      <c r="J198" s="150">
        <f t="shared" si="68"/>
        <v>0</v>
      </c>
      <c r="K198" s="196"/>
      <c r="L198" s="197"/>
      <c r="M198" s="191">
        <f t="shared" si="69"/>
        <v>0</v>
      </c>
      <c r="N198" s="150">
        <f t="shared" si="69"/>
        <v>0</v>
      </c>
      <c r="O198" s="193">
        <f t="shared" si="69"/>
        <v>0</v>
      </c>
      <c r="P198" s="162">
        <f t="shared" si="70"/>
        <v>0</v>
      </c>
      <c r="Q198" s="162">
        <f t="shared" si="70"/>
        <v>0</v>
      </c>
      <c r="R198" s="162">
        <f t="shared" si="70"/>
        <v>0</v>
      </c>
      <c r="S198" s="162">
        <f t="shared" si="70"/>
        <v>0</v>
      </c>
      <c r="T198" s="162">
        <f t="shared" si="70"/>
        <v>0</v>
      </c>
      <c r="U198" s="162">
        <f t="shared" si="70"/>
        <v>0</v>
      </c>
      <c r="V198" s="162">
        <f t="shared" si="70"/>
        <v>0</v>
      </c>
      <c r="W198" s="162">
        <f t="shared" si="70"/>
        <v>0</v>
      </c>
      <c r="X198" s="162">
        <f t="shared" si="70"/>
        <v>0</v>
      </c>
      <c r="Y198" s="162">
        <f t="shared" si="70"/>
        <v>0</v>
      </c>
      <c r="Z198" s="162">
        <f t="shared" si="70"/>
        <v>0</v>
      </c>
      <c r="AA198" s="162">
        <f t="shared" si="70"/>
        <v>0</v>
      </c>
      <c r="AB198" s="163">
        <f t="shared" si="71"/>
        <v>0</v>
      </c>
      <c r="AC198" s="198"/>
    </row>
    <row r="199" spans="1:29" hidden="1" outlineLevel="1" x14ac:dyDescent="0.25">
      <c r="A199" s="14" t="str">
        <f t="shared" si="65"/>
        <v>TERC_OPER_1000_10</v>
      </c>
      <c r="B199" s="15" t="str">
        <f t="shared" si="66"/>
        <v>TERC_OPER_1000_0_0</v>
      </c>
      <c r="C199" s="83">
        <v>1000</v>
      </c>
      <c r="D199" s="15">
        <f t="shared" si="67"/>
        <v>0</v>
      </c>
      <c r="E199" s="15">
        <v>10</v>
      </c>
      <c r="F199" s="190">
        <f t="shared" si="68"/>
        <v>0</v>
      </c>
      <c r="G199" s="149" t="str">
        <f t="shared" si="68"/>
        <v/>
      </c>
      <c r="H199" s="150" t="str">
        <f t="shared" si="68"/>
        <v/>
      </c>
      <c r="I199" s="150">
        <f t="shared" si="68"/>
        <v>0</v>
      </c>
      <c r="J199" s="150">
        <f t="shared" si="68"/>
        <v>0</v>
      </c>
      <c r="K199" s="196"/>
      <c r="L199" s="197"/>
      <c r="M199" s="191">
        <f t="shared" si="69"/>
        <v>0</v>
      </c>
      <c r="N199" s="150">
        <f t="shared" si="69"/>
        <v>0</v>
      </c>
      <c r="O199" s="193">
        <f t="shared" si="69"/>
        <v>0</v>
      </c>
      <c r="P199" s="162">
        <f t="shared" si="70"/>
        <v>0</v>
      </c>
      <c r="Q199" s="162">
        <f t="shared" si="70"/>
        <v>0</v>
      </c>
      <c r="R199" s="162">
        <f t="shared" si="70"/>
        <v>0</v>
      </c>
      <c r="S199" s="162">
        <f t="shared" si="70"/>
        <v>0</v>
      </c>
      <c r="T199" s="162">
        <f t="shared" si="70"/>
        <v>0</v>
      </c>
      <c r="U199" s="162">
        <f t="shared" si="70"/>
        <v>0</v>
      </c>
      <c r="V199" s="162">
        <f t="shared" si="70"/>
        <v>0</v>
      </c>
      <c r="W199" s="162">
        <f t="shared" si="70"/>
        <v>0</v>
      </c>
      <c r="X199" s="162">
        <f t="shared" si="70"/>
        <v>0</v>
      </c>
      <c r="Y199" s="162">
        <f t="shared" si="70"/>
        <v>0</v>
      </c>
      <c r="Z199" s="162">
        <f t="shared" si="70"/>
        <v>0</v>
      </c>
      <c r="AA199" s="162">
        <f t="shared" si="70"/>
        <v>0</v>
      </c>
      <c r="AB199" s="163">
        <f t="shared" si="71"/>
        <v>0</v>
      </c>
      <c r="AC199" s="198"/>
    </row>
    <row r="200" spans="1:29" hidden="1" outlineLevel="1" x14ac:dyDescent="0.25">
      <c r="A200" s="14" t="str">
        <f t="shared" si="65"/>
        <v>TERC_OPER_1000_11</v>
      </c>
      <c r="B200" s="15" t="str">
        <f t="shared" si="66"/>
        <v>TERC_OPER_1000_0_0</v>
      </c>
      <c r="C200" s="83">
        <v>1000</v>
      </c>
      <c r="D200" s="15">
        <f t="shared" si="67"/>
        <v>0</v>
      </c>
      <c r="E200" s="15">
        <v>11</v>
      </c>
      <c r="F200" s="190">
        <f t="shared" si="68"/>
        <v>0</v>
      </c>
      <c r="G200" s="149" t="str">
        <f t="shared" si="68"/>
        <v/>
      </c>
      <c r="H200" s="150" t="str">
        <f t="shared" si="68"/>
        <v/>
      </c>
      <c r="I200" s="150">
        <f t="shared" si="68"/>
        <v>0</v>
      </c>
      <c r="J200" s="150">
        <f t="shared" si="68"/>
        <v>0</v>
      </c>
      <c r="K200" s="196"/>
      <c r="L200" s="197"/>
      <c r="M200" s="191">
        <f t="shared" si="69"/>
        <v>0</v>
      </c>
      <c r="N200" s="150">
        <f t="shared" si="69"/>
        <v>0</v>
      </c>
      <c r="O200" s="193">
        <f t="shared" si="69"/>
        <v>0</v>
      </c>
      <c r="P200" s="162">
        <f t="shared" si="70"/>
        <v>0</v>
      </c>
      <c r="Q200" s="162">
        <f t="shared" si="70"/>
        <v>0</v>
      </c>
      <c r="R200" s="162">
        <f t="shared" si="70"/>
        <v>0</v>
      </c>
      <c r="S200" s="162">
        <f t="shared" si="70"/>
        <v>0</v>
      </c>
      <c r="T200" s="162">
        <f t="shared" si="70"/>
        <v>0</v>
      </c>
      <c r="U200" s="162">
        <f t="shared" si="70"/>
        <v>0</v>
      </c>
      <c r="V200" s="162">
        <f t="shared" si="70"/>
        <v>0</v>
      </c>
      <c r="W200" s="162">
        <f t="shared" si="70"/>
        <v>0</v>
      </c>
      <c r="X200" s="162">
        <f t="shared" si="70"/>
        <v>0</v>
      </c>
      <c r="Y200" s="162">
        <f t="shared" si="70"/>
        <v>0</v>
      </c>
      <c r="Z200" s="162">
        <f t="shared" si="70"/>
        <v>0</v>
      </c>
      <c r="AA200" s="162">
        <f t="shared" si="70"/>
        <v>0</v>
      </c>
      <c r="AB200" s="163">
        <f t="shared" si="71"/>
        <v>0</v>
      </c>
      <c r="AC200" s="198"/>
    </row>
    <row r="201" spans="1:29" hidden="1" outlineLevel="1" x14ac:dyDescent="0.25">
      <c r="A201" s="14" t="str">
        <f t="shared" si="65"/>
        <v>TERC_OPER_1000_12</v>
      </c>
      <c r="B201" s="15" t="str">
        <f t="shared" si="66"/>
        <v>TERC_OPER_1000_0_0</v>
      </c>
      <c r="C201" s="83">
        <v>1000</v>
      </c>
      <c r="D201" s="15">
        <f t="shared" si="67"/>
        <v>0</v>
      </c>
      <c r="E201" s="15">
        <v>12</v>
      </c>
      <c r="F201" s="190">
        <f t="shared" si="68"/>
        <v>0</v>
      </c>
      <c r="G201" s="149" t="str">
        <f t="shared" si="68"/>
        <v/>
      </c>
      <c r="H201" s="150" t="str">
        <f t="shared" si="68"/>
        <v/>
      </c>
      <c r="I201" s="150">
        <f t="shared" si="68"/>
        <v>0</v>
      </c>
      <c r="J201" s="150">
        <f t="shared" si="68"/>
        <v>0</v>
      </c>
      <c r="K201" s="196"/>
      <c r="L201" s="197"/>
      <c r="M201" s="191">
        <f t="shared" si="69"/>
        <v>0</v>
      </c>
      <c r="N201" s="150">
        <f t="shared" si="69"/>
        <v>0</v>
      </c>
      <c r="O201" s="193">
        <f t="shared" si="69"/>
        <v>0</v>
      </c>
      <c r="P201" s="162">
        <f t="shared" si="70"/>
        <v>0</v>
      </c>
      <c r="Q201" s="162">
        <f t="shared" si="70"/>
        <v>0</v>
      </c>
      <c r="R201" s="162">
        <f t="shared" si="70"/>
        <v>0</v>
      </c>
      <c r="S201" s="162">
        <f t="shared" si="70"/>
        <v>0</v>
      </c>
      <c r="T201" s="162">
        <f t="shared" si="70"/>
        <v>0</v>
      </c>
      <c r="U201" s="162">
        <f t="shared" si="70"/>
        <v>0</v>
      </c>
      <c r="V201" s="162">
        <f t="shared" si="70"/>
        <v>0</v>
      </c>
      <c r="W201" s="162">
        <f t="shared" si="70"/>
        <v>0</v>
      </c>
      <c r="X201" s="162">
        <f t="shared" si="70"/>
        <v>0</v>
      </c>
      <c r="Y201" s="162">
        <f t="shared" si="70"/>
        <v>0</v>
      </c>
      <c r="Z201" s="162">
        <f t="shared" si="70"/>
        <v>0</v>
      </c>
      <c r="AA201" s="162">
        <f t="shared" si="70"/>
        <v>0</v>
      </c>
      <c r="AB201" s="163">
        <f t="shared" si="71"/>
        <v>0</v>
      </c>
      <c r="AC201" s="198"/>
    </row>
    <row r="202" spans="1:29" hidden="1" outlineLevel="1" x14ac:dyDescent="0.25">
      <c r="A202" s="14" t="str">
        <f t="shared" si="65"/>
        <v>TERC_OPER_1000_13</v>
      </c>
      <c r="B202" s="15" t="str">
        <f t="shared" si="66"/>
        <v>TERC_OPER_1000_0_0</v>
      </c>
      <c r="C202" s="83">
        <v>1000</v>
      </c>
      <c r="D202" s="15">
        <f t="shared" si="67"/>
        <v>0</v>
      </c>
      <c r="E202" s="15">
        <v>13</v>
      </c>
      <c r="F202" s="190">
        <f t="shared" si="68"/>
        <v>0</v>
      </c>
      <c r="G202" s="149" t="str">
        <f t="shared" si="68"/>
        <v/>
      </c>
      <c r="H202" s="150" t="str">
        <f t="shared" si="68"/>
        <v/>
      </c>
      <c r="I202" s="150">
        <f t="shared" si="68"/>
        <v>0</v>
      </c>
      <c r="J202" s="150">
        <f t="shared" si="68"/>
        <v>0</v>
      </c>
      <c r="K202" s="196"/>
      <c r="L202" s="197"/>
      <c r="M202" s="191">
        <f t="shared" si="69"/>
        <v>0</v>
      </c>
      <c r="N202" s="150">
        <f t="shared" si="69"/>
        <v>0</v>
      </c>
      <c r="O202" s="193">
        <f t="shared" si="69"/>
        <v>0</v>
      </c>
      <c r="P202" s="162">
        <f t="shared" si="70"/>
        <v>0</v>
      </c>
      <c r="Q202" s="162">
        <f t="shared" si="70"/>
        <v>0</v>
      </c>
      <c r="R202" s="162">
        <f t="shared" si="70"/>
        <v>0</v>
      </c>
      <c r="S202" s="162">
        <f t="shared" si="70"/>
        <v>0</v>
      </c>
      <c r="T202" s="162">
        <f t="shared" si="70"/>
        <v>0</v>
      </c>
      <c r="U202" s="162">
        <f t="shared" si="70"/>
        <v>0</v>
      </c>
      <c r="V202" s="162">
        <f t="shared" si="70"/>
        <v>0</v>
      </c>
      <c r="W202" s="162">
        <f t="shared" si="70"/>
        <v>0</v>
      </c>
      <c r="X202" s="162">
        <f t="shared" si="70"/>
        <v>0</v>
      </c>
      <c r="Y202" s="162">
        <f t="shared" si="70"/>
        <v>0</v>
      </c>
      <c r="Z202" s="162">
        <f t="shared" si="70"/>
        <v>0</v>
      </c>
      <c r="AA202" s="162">
        <f t="shared" si="70"/>
        <v>0</v>
      </c>
      <c r="AB202" s="163">
        <f t="shared" si="71"/>
        <v>0</v>
      </c>
      <c r="AC202" s="198"/>
    </row>
    <row r="203" spans="1:29" hidden="1" outlineLevel="1" x14ac:dyDescent="0.25">
      <c r="A203" s="14" t="str">
        <f t="shared" si="65"/>
        <v>TERC_OPER_1000_14</v>
      </c>
      <c r="B203" s="15" t="str">
        <f t="shared" si="66"/>
        <v>TERC_OPER_1000_0_0</v>
      </c>
      <c r="C203" s="83">
        <v>1000</v>
      </c>
      <c r="D203" s="15">
        <f t="shared" si="67"/>
        <v>0</v>
      </c>
      <c r="E203" s="15">
        <v>14</v>
      </c>
      <c r="F203" s="190">
        <f t="shared" si="68"/>
        <v>0</v>
      </c>
      <c r="G203" s="149" t="str">
        <f t="shared" si="68"/>
        <v/>
      </c>
      <c r="H203" s="150" t="str">
        <f t="shared" si="68"/>
        <v/>
      </c>
      <c r="I203" s="150">
        <f t="shared" si="68"/>
        <v>0</v>
      </c>
      <c r="J203" s="150">
        <f t="shared" si="68"/>
        <v>0</v>
      </c>
      <c r="K203" s="196"/>
      <c r="L203" s="197"/>
      <c r="M203" s="191">
        <f t="shared" si="69"/>
        <v>0</v>
      </c>
      <c r="N203" s="150">
        <f t="shared" si="69"/>
        <v>0</v>
      </c>
      <c r="O203" s="193">
        <f t="shared" si="69"/>
        <v>0</v>
      </c>
      <c r="P203" s="162">
        <f t="shared" si="70"/>
        <v>0</v>
      </c>
      <c r="Q203" s="162">
        <f t="shared" si="70"/>
        <v>0</v>
      </c>
      <c r="R203" s="162">
        <f t="shared" si="70"/>
        <v>0</v>
      </c>
      <c r="S203" s="162">
        <f t="shared" si="70"/>
        <v>0</v>
      </c>
      <c r="T203" s="162">
        <f t="shared" si="70"/>
        <v>0</v>
      </c>
      <c r="U203" s="162">
        <f t="shared" si="70"/>
        <v>0</v>
      </c>
      <c r="V203" s="162">
        <f t="shared" si="70"/>
        <v>0</v>
      </c>
      <c r="W203" s="162">
        <f t="shared" si="70"/>
        <v>0</v>
      </c>
      <c r="X203" s="162">
        <f t="shared" si="70"/>
        <v>0</v>
      </c>
      <c r="Y203" s="162">
        <f t="shared" si="70"/>
        <v>0</v>
      </c>
      <c r="Z203" s="162">
        <f t="shared" si="70"/>
        <v>0</v>
      </c>
      <c r="AA203" s="162">
        <f t="shared" si="70"/>
        <v>0</v>
      </c>
      <c r="AB203" s="163">
        <f t="shared" si="71"/>
        <v>0</v>
      </c>
      <c r="AC203" s="198"/>
    </row>
    <row r="204" spans="1:29" hidden="1" outlineLevel="1" x14ac:dyDescent="0.25">
      <c r="A204" s="14" t="str">
        <f t="shared" si="65"/>
        <v>TERC_OPER_1000_15</v>
      </c>
      <c r="B204" s="15" t="str">
        <f t="shared" si="66"/>
        <v>TERC_OPER_1000_0_0</v>
      </c>
      <c r="C204" s="83">
        <v>1000</v>
      </c>
      <c r="D204" s="15">
        <f t="shared" si="67"/>
        <v>0</v>
      </c>
      <c r="E204" s="15">
        <v>15</v>
      </c>
      <c r="F204" s="190">
        <f t="shared" si="68"/>
        <v>0</v>
      </c>
      <c r="G204" s="149" t="str">
        <f t="shared" si="68"/>
        <v/>
      </c>
      <c r="H204" s="150" t="str">
        <f t="shared" si="68"/>
        <v/>
      </c>
      <c r="I204" s="150">
        <f t="shared" si="68"/>
        <v>0</v>
      </c>
      <c r="J204" s="150">
        <f t="shared" si="68"/>
        <v>0</v>
      </c>
      <c r="K204" s="196"/>
      <c r="L204" s="197"/>
      <c r="M204" s="191">
        <f t="shared" si="69"/>
        <v>0</v>
      </c>
      <c r="N204" s="150">
        <f t="shared" si="69"/>
        <v>0</v>
      </c>
      <c r="O204" s="193">
        <f t="shared" si="69"/>
        <v>0</v>
      </c>
      <c r="P204" s="162">
        <f t="shared" si="70"/>
        <v>0</v>
      </c>
      <c r="Q204" s="162">
        <f t="shared" si="70"/>
        <v>0</v>
      </c>
      <c r="R204" s="162">
        <f t="shared" si="70"/>
        <v>0</v>
      </c>
      <c r="S204" s="162">
        <f t="shared" si="70"/>
        <v>0</v>
      </c>
      <c r="T204" s="162">
        <f t="shared" si="70"/>
        <v>0</v>
      </c>
      <c r="U204" s="162">
        <f t="shared" si="70"/>
        <v>0</v>
      </c>
      <c r="V204" s="162">
        <f t="shared" si="70"/>
        <v>0</v>
      </c>
      <c r="W204" s="162">
        <f t="shared" si="70"/>
        <v>0</v>
      </c>
      <c r="X204" s="162">
        <f t="shared" si="70"/>
        <v>0</v>
      </c>
      <c r="Y204" s="162">
        <f t="shared" si="70"/>
        <v>0</v>
      </c>
      <c r="Z204" s="162">
        <f t="shared" si="70"/>
        <v>0</v>
      </c>
      <c r="AA204" s="162">
        <f t="shared" si="70"/>
        <v>0</v>
      </c>
      <c r="AB204" s="163">
        <f t="shared" si="71"/>
        <v>0</v>
      </c>
      <c r="AC204" s="198"/>
    </row>
    <row r="205" spans="1:29" hidden="1" outlineLevel="1" x14ac:dyDescent="0.25">
      <c r="A205" s="14" t="str">
        <f t="shared" si="65"/>
        <v>TERC_OPER_1000_16</v>
      </c>
      <c r="B205" s="15" t="str">
        <f t="shared" si="66"/>
        <v>TERC_OPER_1000_0_0</v>
      </c>
      <c r="C205" s="83">
        <v>1000</v>
      </c>
      <c r="D205" s="15">
        <f t="shared" si="67"/>
        <v>0</v>
      </c>
      <c r="E205" s="15">
        <v>16</v>
      </c>
      <c r="F205" s="190">
        <f t="shared" si="68"/>
        <v>0</v>
      </c>
      <c r="G205" s="149" t="str">
        <f t="shared" si="68"/>
        <v/>
      </c>
      <c r="H205" s="150" t="str">
        <f t="shared" si="68"/>
        <v/>
      </c>
      <c r="I205" s="150">
        <f t="shared" si="68"/>
        <v>0</v>
      </c>
      <c r="J205" s="150">
        <f t="shared" si="68"/>
        <v>0</v>
      </c>
      <c r="K205" s="196"/>
      <c r="L205" s="197"/>
      <c r="M205" s="191">
        <f t="shared" si="69"/>
        <v>0</v>
      </c>
      <c r="N205" s="150">
        <f t="shared" si="69"/>
        <v>0</v>
      </c>
      <c r="O205" s="193">
        <f t="shared" si="69"/>
        <v>0</v>
      </c>
      <c r="P205" s="162">
        <f t="shared" si="70"/>
        <v>0</v>
      </c>
      <c r="Q205" s="162">
        <f t="shared" si="70"/>
        <v>0</v>
      </c>
      <c r="R205" s="162">
        <f t="shared" si="70"/>
        <v>0</v>
      </c>
      <c r="S205" s="162">
        <f t="shared" si="70"/>
        <v>0</v>
      </c>
      <c r="T205" s="162">
        <f t="shared" si="70"/>
        <v>0</v>
      </c>
      <c r="U205" s="162">
        <f t="shared" si="70"/>
        <v>0</v>
      </c>
      <c r="V205" s="162">
        <f t="shared" si="70"/>
        <v>0</v>
      </c>
      <c r="W205" s="162">
        <f t="shared" si="70"/>
        <v>0</v>
      </c>
      <c r="X205" s="162">
        <f t="shared" si="70"/>
        <v>0</v>
      </c>
      <c r="Y205" s="162">
        <f t="shared" si="70"/>
        <v>0</v>
      </c>
      <c r="Z205" s="162">
        <f t="shared" si="70"/>
        <v>0</v>
      </c>
      <c r="AA205" s="162">
        <f t="shared" si="70"/>
        <v>0</v>
      </c>
      <c r="AB205" s="163">
        <f t="shared" si="71"/>
        <v>0</v>
      </c>
      <c r="AC205" s="198"/>
    </row>
    <row r="206" spans="1:29" hidden="1" outlineLevel="1" x14ac:dyDescent="0.25">
      <c r="A206" s="14" t="str">
        <f t="shared" si="65"/>
        <v>TERC_OPER_1000_17</v>
      </c>
      <c r="B206" s="15" t="str">
        <f t="shared" si="66"/>
        <v>TERC_OPER_1000_0_0</v>
      </c>
      <c r="C206" s="83">
        <v>1000</v>
      </c>
      <c r="D206" s="15">
        <f t="shared" si="67"/>
        <v>0</v>
      </c>
      <c r="E206" s="15">
        <v>17</v>
      </c>
      <c r="F206" s="190">
        <f t="shared" si="68"/>
        <v>0</v>
      </c>
      <c r="G206" s="149" t="str">
        <f t="shared" si="68"/>
        <v/>
      </c>
      <c r="H206" s="150" t="str">
        <f t="shared" si="68"/>
        <v/>
      </c>
      <c r="I206" s="150">
        <f t="shared" si="68"/>
        <v>0</v>
      </c>
      <c r="J206" s="150">
        <f t="shared" si="68"/>
        <v>0</v>
      </c>
      <c r="K206" s="196"/>
      <c r="L206" s="197"/>
      <c r="M206" s="191">
        <f t="shared" si="69"/>
        <v>0</v>
      </c>
      <c r="N206" s="150">
        <f t="shared" si="69"/>
        <v>0</v>
      </c>
      <c r="O206" s="193">
        <f t="shared" si="69"/>
        <v>0</v>
      </c>
      <c r="P206" s="162">
        <f t="shared" si="70"/>
        <v>0</v>
      </c>
      <c r="Q206" s="162">
        <f t="shared" si="70"/>
        <v>0</v>
      </c>
      <c r="R206" s="162">
        <f t="shared" si="70"/>
        <v>0</v>
      </c>
      <c r="S206" s="162">
        <f t="shared" si="70"/>
        <v>0</v>
      </c>
      <c r="T206" s="162">
        <f t="shared" si="70"/>
        <v>0</v>
      </c>
      <c r="U206" s="162">
        <f t="shared" si="70"/>
        <v>0</v>
      </c>
      <c r="V206" s="162">
        <f t="shared" si="70"/>
        <v>0</v>
      </c>
      <c r="W206" s="162">
        <f t="shared" si="70"/>
        <v>0</v>
      </c>
      <c r="X206" s="162">
        <f t="shared" si="70"/>
        <v>0</v>
      </c>
      <c r="Y206" s="162">
        <f t="shared" si="70"/>
        <v>0</v>
      </c>
      <c r="Z206" s="162">
        <f t="shared" si="70"/>
        <v>0</v>
      </c>
      <c r="AA206" s="162">
        <f t="shared" si="70"/>
        <v>0</v>
      </c>
      <c r="AB206" s="163">
        <f t="shared" si="71"/>
        <v>0</v>
      </c>
      <c r="AC206" s="198"/>
    </row>
    <row r="207" spans="1:29" hidden="1" outlineLevel="1" x14ac:dyDescent="0.25">
      <c r="A207" s="14" t="str">
        <f t="shared" si="65"/>
        <v>TERC_OPER_1000_18</v>
      </c>
      <c r="B207" s="15" t="str">
        <f t="shared" si="66"/>
        <v>TERC_OPER_1000_0_0</v>
      </c>
      <c r="C207" s="83">
        <v>1000</v>
      </c>
      <c r="D207" s="15">
        <f t="shared" si="67"/>
        <v>0</v>
      </c>
      <c r="E207" s="15">
        <v>18</v>
      </c>
      <c r="F207" s="190">
        <f t="shared" ref="F207:J222" si="72">F65</f>
        <v>0</v>
      </c>
      <c r="G207" s="149" t="str">
        <f t="shared" si="72"/>
        <v/>
      </c>
      <c r="H207" s="150" t="str">
        <f t="shared" si="72"/>
        <v/>
      </c>
      <c r="I207" s="150">
        <f t="shared" si="72"/>
        <v>0</v>
      </c>
      <c r="J207" s="150">
        <f t="shared" si="72"/>
        <v>0</v>
      </c>
      <c r="K207" s="196"/>
      <c r="L207" s="197"/>
      <c r="M207" s="191">
        <f t="shared" ref="M207:O222" si="73">M65</f>
        <v>0</v>
      </c>
      <c r="N207" s="150">
        <f t="shared" si="73"/>
        <v>0</v>
      </c>
      <c r="O207" s="193">
        <f t="shared" si="73"/>
        <v>0</v>
      </c>
      <c r="P207" s="162">
        <f t="shared" ref="P207:AA222" si="74">IFERROR(SUMIF($B$16:$B$43,$C207&amp;$I207,P$16:P$43)/SUMIF($D$16:$D$43,$I207,P$16:P$43)*P65,0)</f>
        <v>0</v>
      </c>
      <c r="Q207" s="162">
        <f t="shared" si="74"/>
        <v>0</v>
      </c>
      <c r="R207" s="162">
        <f t="shared" si="74"/>
        <v>0</v>
      </c>
      <c r="S207" s="162">
        <f t="shared" si="74"/>
        <v>0</v>
      </c>
      <c r="T207" s="162">
        <f t="shared" si="74"/>
        <v>0</v>
      </c>
      <c r="U207" s="162">
        <f t="shared" si="74"/>
        <v>0</v>
      </c>
      <c r="V207" s="162">
        <f t="shared" si="74"/>
        <v>0</v>
      </c>
      <c r="W207" s="162">
        <f t="shared" si="74"/>
        <v>0</v>
      </c>
      <c r="X207" s="162">
        <f t="shared" si="74"/>
        <v>0</v>
      </c>
      <c r="Y207" s="162">
        <f t="shared" si="74"/>
        <v>0</v>
      </c>
      <c r="Z207" s="162">
        <f t="shared" si="74"/>
        <v>0</v>
      </c>
      <c r="AA207" s="162">
        <f t="shared" si="74"/>
        <v>0</v>
      </c>
      <c r="AB207" s="163">
        <f t="shared" si="71"/>
        <v>0</v>
      </c>
      <c r="AC207" s="198"/>
    </row>
    <row r="208" spans="1:29" hidden="1" outlineLevel="1" x14ac:dyDescent="0.25">
      <c r="A208" s="14" t="str">
        <f t="shared" si="65"/>
        <v>TERC_OPER_1000_19</v>
      </c>
      <c r="B208" s="15" t="str">
        <f t="shared" si="66"/>
        <v>TERC_OPER_1000_0_0</v>
      </c>
      <c r="C208" s="83">
        <v>1000</v>
      </c>
      <c r="D208" s="15">
        <f t="shared" si="67"/>
        <v>0</v>
      </c>
      <c r="E208" s="15">
        <v>19</v>
      </c>
      <c r="F208" s="190">
        <f t="shared" si="72"/>
        <v>0</v>
      </c>
      <c r="G208" s="149" t="str">
        <f t="shared" si="72"/>
        <v/>
      </c>
      <c r="H208" s="150" t="str">
        <f t="shared" si="72"/>
        <v/>
      </c>
      <c r="I208" s="150">
        <f t="shared" si="72"/>
        <v>0</v>
      </c>
      <c r="J208" s="150">
        <f t="shared" si="72"/>
        <v>0</v>
      </c>
      <c r="K208" s="196"/>
      <c r="L208" s="197"/>
      <c r="M208" s="191">
        <f t="shared" si="73"/>
        <v>0</v>
      </c>
      <c r="N208" s="150">
        <f t="shared" si="73"/>
        <v>0</v>
      </c>
      <c r="O208" s="193">
        <f t="shared" si="73"/>
        <v>0</v>
      </c>
      <c r="P208" s="162">
        <f t="shared" si="74"/>
        <v>0</v>
      </c>
      <c r="Q208" s="162">
        <f t="shared" si="74"/>
        <v>0</v>
      </c>
      <c r="R208" s="162">
        <f t="shared" si="74"/>
        <v>0</v>
      </c>
      <c r="S208" s="162">
        <f t="shared" si="74"/>
        <v>0</v>
      </c>
      <c r="T208" s="162">
        <f t="shared" si="74"/>
        <v>0</v>
      </c>
      <c r="U208" s="162">
        <f t="shared" si="74"/>
        <v>0</v>
      </c>
      <c r="V208" s="162">
        <f t="shared" si="74"/>
        <v>0</v>
      </c>
      <c r="W208" s="162">
        <f t="shared" si="74"/>
        <v>0</v>
      </c>
      <c r="X208" s="162">
        <f t="shared" si="74"/>
        <v>0</v>
      </c>
      <c r="Y208" s="162">
        <f t="shared" si="74"/>
        <v>0</v>
      </c>
      <c r="Z208" s="162">
        <f t="shared" si="74"/>
        <v>0</v>
      </c>
      <c r="AA208" s="162">
        <f t="shared" si="74"/>
        <v>0</v>
      </c>
      <c r="AB208" s="163">
        <f t="shared" si="71"/>
        <v>0</v>
      </c>
      <c r="AC208" s="198"/>
    </row>
    <row r="209" spans="1:29" hidden="1" outlineLevel="1" x14ac:dyDescent="0.25">
      <c r="A209" s="14" t="str">
        <f t="shared" si="65"/>
        <v>TERC_OPER_1000_20</v>
      </c>
      <c r="B209" s="15" t="str">
        <f t="shared" si="66"/>
        <v>TERC_OPER_1000_0_0</v>
      </c>
      <c r="C209" s="83">
        <v>1000</v>
      </c>
      <c r="D209" s="15">
        <f t="shared" si="67"/>
        <v>0</v>
      </c>
      <c r="E209" s="15">
        <v>20</v>
      </c>
      <c r="F209" s="190">
        <f t="shared" si="72"/>
        <v>0</v>
      </c>
      <c r="G209" s="149" t="str">
        <f t="shared" si="72"/>
        <v/>
      </c>
      <c r="H209" s="150" t="str">
        <f t="shared" si="72"/>
        <v/>
      </c>
      <c r="I209" s="150">
        <f t="shared" si="72"/>
        <v>0</v>
      </c>
      <c r="J209" s="150">
        <f t="shared" si="72"/>
        <v>0</v>
      </c>
      <c r="K209" s="196"/>
      <c r="L209" s="197"/>
      <c r="M209" s="191">
        <f t="shared" si="73"/>
        <v>0</v>
      </c>
      <c r="N209" s="150">
        <f t="shared" si="73"/>
        <v>0</v>
      </c>
      <c r="O209" s="193">
        <f t="shared" si="73"/>
        <v>0</v>
      </c>
      <c r="P209" s="162">
        <f t="shared" si="74"/>
        <v>0</v>
      </c>
      <c r="Q209" s="162">
        <f t="shared" si="74"/>
        <v>0</v>
      </c>
      <c r="R209" s="162">
        <f t="shared" si="74"/>
        <v>0</v>
      </c>
      <c r="S209" s="162">
        <f t="shared" si="74"/>
        <v>0</v>
      </c>
      <c r="T209" s="162">
        <f t="shared" si="74"/>
        <v>0</v>
      </c>
      <c r="U209" s="162">
        <f t="shared" si="74"/>
        <v>0</v>
      </c>
      <c r="V209" s="162">
        <f t="shared" si="74"/>
        <v>0</v>
      </c>
      <c r="W209" s="162">
        <f t="shared" si="74"/>
        <v>0</v>
      </c>
      <c r="X209" s="162">
        <f t="shared" si="74"/>
        <v>0</v>
      </c>
      <c r="Y209" s="162">
        <f t="shared" si="74"/>
        <v>0</v>
      </c>
      <c r="Z209" s="162">
        <f t="shared" si="74"/>
        <v>0</v>
      </c>
      <c r="AA209" s="162">
        <f t="shared" si="74"/>
        <v>0</v>
      </c>
      <c r="AB209" s="163">
        <f t="shared" si="71"/>
        <v>0</v>
      </c>
      <c r="AC209" s="198"/>
    </row>
    <row r="210" spans="1:29" hidden="1" outlineLevel="1" x14ac:dyDescent="0.25">
      <c r="A210" s="14" t="str">
        <f t="shared" si="65"/>
        <v>TERC_OPER_1000_21</v>
      </c>
      <c r="B210" s="15" t="str">
        <f t="shared" si="66"/>
        <v>TERC_OPER_1000_0_0</v>
      </c>
      <c r="C210" s="83">
        <v>1000</v>
      </c>
      <c r="D210" s="15">
        <f t="shared" si="67"/>
        <v>0</v>
      </c>
      <c r="E210" s="15">
        <v>21</v>
      </c>
      <c r="F210" s="190">
        <f t="shared" si="72"/>
        <v>0</v>
      </c>
      <c r="G210" s="149" t="str">
        <f t="shared" si="72"/>
        <v/>
      </c>
      <c r="H210" s="150" t="str">
        <f t="shared" si="72"/>
        <v/>
      </c>
      <c r="I210" s="150">
        <f t="shared" si="72"/>
        <v>0</v>
      </c>
      <c r="J210" s="150">
        <f t="shared" si="72"/>
        <v>0</v>
      </c>
      <c r="K210" s="196"/>
      <c r="L210" s="197"/>
      <c r="M210" s="191">
        <f t="shared" si="73"/>
        <v>0</v>
      </c>
      <c r="N210" s="150">
        <f t="shared" si="73"/>
        <v>0</v>
      </c>
      <c r="O210" s="193">
        <f t="shared" si="73"/>
        <v>0</v>
      </c>
      <c r="P210" s="162">
        <f t="shared" si="74"/>
        <v>0</v>
      </c>
      <c r="Q210" s="162">
        <f t="shared" si="74"/>
        <v>0</v>
      </c>
      <c r="R210" s="162">
        <f t="shared" si="74"/>
        <v>0</v>
      </c>
      <c r="S210" s="162">
        <f t="shared" si="74"/>
        <v>0</v>
      </c>
      <c r="T210" s="162">
        <f t="shared" si="74"/>
        <v>0</v>
      </c>
      <c r="U210" s="162">
        <f t="shared" si="74"/>
        <v>0</v>
      </c>
      <c r="V210" s="162">
        <f t="shared" si="74"/>
        <v>0</v>
      </c>
      <c r="W210" s="162">
        <f t="shared" si="74"/>
        <v>0</v>
      </c>
      <c r="X210" s="162">
        <f t="shared" si="74"/>
        <v>0</v>
      </c>
      <c r="Y210" s="162">
        <f t="shared" si="74"/>
        <v>0</v>
      </c>
      <c r="Z210" s="162">
        <f t="shared" si="74"/>
        <v>0</v>
      </c>
      <c r="AA210" s="162">
        <f t="shared" si="74"/>
        <v>0</v>
      </c>
      <c r="AB210" s="163">
        <f t="shared" si="71"/>
        <v>0</v>
      </c>
      <c r="AC210" s="198"/>
    </row>
    <row r="211" spans="1:29" hidden="1" outlineLevel="1" x14ac:dyDescent="0.25">
      <c r="A211" s="14" t="str">
        <f t="shared" si="65"/>
        <v>TERC_OPER_1000_22</v>
      </c>
      <c r="B211" s="15" t="str">
        <f t="shared" si="66"/>
        <v>TERC_OPER_1000_0_0</v>
      </c>
      <c r="C211" s="83">
        <v>1000</v>
      </c>
      <c r="D211" s="15">
        <f t="shared" si="67"/>
        <v>0</v>
      </c>
      <c r="E211" s="15">
        <v>22</v>
      </c>
      <c r="F211" s="190">
        <f t="shared" si="72"/>
        <v>0</v>
      </c>
      <c r="G211" s="149" t="str">
        <f t="shared" si="72"/>
        <v/>
      </c>
      <c r="H211" s="150" t="str">
        <f t="shared" si="72"/>
        <v/>
      </c>
      <c r="I211" s="150">
        <f t="shared" si="72"/>
        <v>0</v>
      </c>
      <c r="J211" s="150">
        <f t="shared" si="72"/>
        <v>0</v>
      </c>
      <c r="K211" s="196"/>
      <c r="L211" s="197"/>
      <c r="M211" s="191">
        <f t="shared" si="73"/>
        <v>0</v>
      </c>
      <c r="N211" s="150">
        <f t="shared" si="73"/>
        <v>0</v>
      </c>
      <c r="O211" s="193">
        <f t="shared" si="73"/>
        <v>0</v>
      </c>
      <c r="P211" s="162">
        <f t="shared" si="74"/>
        <v>0</v>
      </c>
      <c r="Q211" s="162">
        <f t="shared" si="74"/>
        <v>0</v>
      </c>
      <c r="R211" s="162">
        <f t="shared" si="74"/>
        <v>0</v>
      </c>
      <c r="S211" s="162">
        <f t="shared" si="74"/>
        <v>0</v>
      </c>
      <c r="T211" s="162">
        <f t="shared" si="74"/>
        <v>0</v>
      </c>
      <c r="U211" s="162">
        <f t="shared" si="74"/>
        <v>0</v>
      </c>
      <c r="V211" s="162">
        <f t="shared" si="74"/>
        <v>0</v>
      </c>
      <c r="W211" s="162">
        <f t="shared" si="74"/>
        <v>0</v>
      </c>
      <c r="X211" s="162">
        <f t="shared" si="74"/>
        <v>0</v>
      </c>
      <c r="Y211" s="162">
        <f t="shared" si="74"/>
        <v>0</v>
      </c>
      <c r="Z211" s="162">
        <f t="shared" si="74"/>
        <v>0</v>
      </c>
      <c r="AA211" s="162">
        <f t="shared" si="74"/>
        <v>0</v>
      </c>
      <c r="AB211" s="163">
        <f t="shared" si="71"/>
        <v>0</v>
      </c>
      <c r="AC211" s="198"/>
    </row>
    <row r="212" spans="1:29" hidden="1" outlineLevel="1" x14ac:dyDescent="0.25">
      <c r="A212" s="14" t="str">
        <f t="shared" si="65"/>
        <v>TERC_OPER_1000_23</v>
      </c>
      <c r="B212" s="15" t="str">
        <f t="shared" si="66"/>
        <v>TERC_OPER_1000_0_0</v>
      </c>
      <c r="C212" s="83">
        <v>1000</v>
      </c>
      <c r="D212" s="15">
        <f t="shared" si="67"/>
        <v>0</v>
      </c>
      <c r="E212" s="15">
        <v>23</v>
      </c>
      <c r="F212" s="190">
        <f t="shared" si="72"/>
        <v>0</v>
      </c>
      <c r="G212" s="149" t="str">
        <f t="shared" si="72"/>
        <v/>
      </c>
      <c r="H212" s="150" t="str">
        <f t="shared" si="72"/>
        <v/>
      </c>
      <c r="I212" s="150">
        <f t="shared" si="72"/>
        <v>0</v>
      </c>
      <c r="J212" s="150">
        <f t="shared" si="72"/>
        <v>0</v>
      </c>
      <c r="K212" s="196"/>
      <c r="L212" s="197"/>
      <c r="M212" s="191">
        <f t="shared" si="73"/>
        <v>0</v>
      </c>
      <c r="N212" s="150">
        <f t="shared" si="73"/>
        <v>0</v>
      </c>
      <c r="O212" s="193">
        <f t="shared" si="73"/>
        <v>0</v>
      </c>
      <c r="P212" s="162">
        <f t="shared" si="74"/>
        <v>0</v>
      </c>
      <c r="Q212" s="162">
        <f t="shared" si="74"/>
        <v>0</v>
      </c>
      <c r="R212" s="162">
        <f t="shared" si="74"/>
        <v>0</v>
      </c>
      <c r="S212" s="162">
        <f t="shared" si="74"/>
        <v>0</v>
      </c>
      <c r="T212" s="162">
        <f t="shared" si="74"/>
        <v>0</v>
      </c>
      <c r="U212" s="162">
        <f t="shared" si="74"/>
        <v>0</v>
      </c>
      <c r="V212" s="162">
        <f t="shared" si="74"/>
        <v>0</v>
      </c>
      <c r="W212" s="162">
        <f t="shared" si="74"/>
        <v>0</v>
      </c>
      <c r="X212" s="162">
        <f t="shared" si="74"/>
        <v>0</v>
      </c>
      <c r="Y212" s="162">
        <f t="shared" si="74"/>
        <v>0</v>
      </c>
      <c r="Z212" s="162">
        <f t="shared" si="74"/>
        <v>0</v>
      </c>
      <c r="AA212" s="162">
        <f t="shared" si="74"/>
        <v>0</v>
      </c>
      <c r="AB212" s="163">
        <f t="shared" si="71"/>
        <v>0</v>
      </c>
      <c r="AC212" s="198"/>
    </row>
    <row r="213" spans="1:29" hidden="1" outlineLevel="1" x14ac:dyDescent="0.25">
      <c r="A213" s="14" t="str">
        <f t="shared" si="65"/>
        <v>TERC_OPER_1000_24</v>
      </c>
      <c r="B213" s="15" t="str">
        <f t="shared" si="66"/>
        <v>TERC_OPER_1000_0_0</v>
      </c>
      <c r="C213" s="83">
        <v>1000</v>
      </c>
      <c r="D213" s="15">
        <f t="shared" si="67"/>
        <v>0</v>
      </c>
      <c r="E213" s="15">
        <v>24</v>
      </c>
      <c r="F213" s="190">
        <f t="shared" si="72"/>
        <v>0</v>
      </c>
      <c r="G213" s="149" t="str">
        <f t="shared" si="72"/>
        <v/>
      </c>
      <c r="H213" s="150" t="str">
        <f t="shared" si="72"/>
        <v/>
      </c>
      <c r="I213" s="150">
        <f t="shared" si="72"/>
        <v>0</v>
      </c>
      <c r="J213" s="150">
        <f t="shared" si="72"/>
        <v>0</v>
      </c>
      <c r="K213" s="196"/>
      <c r="L213" s="197"/>
      <c r="M213" s="191">
        <f t="shared" si="73"/>
        <v>0</v>
      </c>
      <c r="N213" s="150">
        <f t="shared" si="73"/>
        <v>0</v>
      </c>
      <c r="O213" s="193">
        <f t="shared" si="73"/>
        <v>0</v>
      </c>
      <c r="P213" s="162">
        <f t="shared" si="74"/>
        <v>0</v>
      </c>
      <c r="Q213" s="162">
        <f t="shared" si="74"/>
        <v>0</v>
      </c>
      <c r="R213" s="162">
        <f t="shared" si="74"/>
        <v>0</v>
      </c>
      <c r="S213" s="162">
        <f t="shared" si="74"/>
        <v>0</v>
      </c>
      <c r="T213" s="162">
        <f t="shared" si="74"/>
        <v>0</v>
      </c>
      <c r="U213" s="162">
        <f t="shared" si="74"/>
        <v>0</v>
      </c>
      <c r="V213" s="162">
        <f t="shared" si="74"/>
        <v>0</v>
      </c>
      <c r="W213" s="162">
        <f t="shared" si="74"/>
        <v>0</v>
      </c>
      <c r="X213" s="162">
        <f t="shared" si="74"/>
        <v>0</v>
      </c>
      <c r="Y213" s="162">
        <f t="shared" si="74"/>
        <v>0</v>
      </c>
      <c r="Z213" s="162">
        <f t="shared" si="74"/>
        <v>0</v>
      </c>
      <c r="AA213" s="162">
        <f t="shared" si="74"/>
        <v>0</v>
      </c>
      <c r="AB213" s="163">
        <f t="shared" si="71"/>
        <v>0</v>
      </c>
      <c r="AC213" s="198"/>
    </row>
    <row r="214" spans="1:29" hidden="1" outlineLevel="1" x14ac:dyDescent="0.25">
      <c r="A214" s="14" t="str">
        <f t="shared" si="65"/>
        <v>TERC_OPER_1000_25</v>
      </c>
      <c r="B214" s="15" t="str">
        <f t="shared" si="66"/>
        <v>TERC_OPER_1000_0_0</v>
      </c>
      <c r="C214" s="83">
        <v>1000</v>
      </c>
      <c r="D214" s="15">
        <f t="shared" si="67"/>
        <v>0</v>
      </c>
      <c r="E214" s="15">
        <v>25</v>
      </c>
      <c r="F214" s="190">
        <f t="shared" si="72"/>
        <v>0</v>
      </c>
      <c r="G214" s="149" t="str">
        <f t="shared" si="72"/>
        <v/>
      </c>
      <c r="H214" s="150" t="str">
        <f t="shared" si="72"/>
        <v/>
      </c>
      <c r="I214" s="150">
        <f t="shared" si="72"/>
        <v>0</v>
      </c>
      <c r="J214" s="150">
        <f t="shared" si="72"/>
        <v>0</v>
      </c>
      <c r="K214" s="196"/>
      <c r="L214" s="197"/>
      <c r="M214" s="191">
        <f t="shared" si="73"/>
        <v>0</v>
      </c>
      <c r="N214" s="150">
        <f t="shared" si="73"/>
        <v>0</v>
      </c>
      <c r="O214" s="193">
        <f t="shared" si="73"/>
        <v>0</v>
      </c>
      <c r="P214" s="162">
        <f t="shared" si="74"/>
        <v>0</v>
      </c>
      <c r="Q214" s="162">
        <f t="shared" si="74"/>
        <v>0</v>
      </c>
      <c r="R214" s="162">
        <f t="shared" si="74"/>
        <v>0</v>
      </c>
      <c r="S214" s="162">
        <f t="shared" si="74"/>
        <v>0</v>
      </c>
      <c r="T214" s="162">
        <f t="shared" si="74"/>
        <v>0</v>
      </c>
      <c r="U214" s="162">
        <f t="shared" si="74"/>
        <v>0</v>
      </c>
      <c r="V214" s="162">
        <f t="shared" si="74"/>
        <v>0</v>
      </c>
      <c r="W214" s="162">
        <f t="shared" si="74"/>
        <v>0</v>
      </c>
      <c r="X214" s="162">
        <f t="shared" si="74"/>
        <v>0</v>
      </c>
      <c r="Y214" s="162">
        <f t="shared" si="74"/>
        <v>0</v>
      </c>
      <c r="Z214" s="162">
        <f t="shared" si="74"/>
        <v>0</v>
      </c>
      <c r="AA214" s="162">
        <f t="shared" si="74"/>
        <v>0</v>
      </c>
      <c r="AB214" s="163">
        <f t="shared" si="71"/>
        <v>0</v>
      </c>
      <c r="AC214" s="198"/>
    </row>
    <row r="215" spans="1:29" hidden="1" outlineLevel="1" x14ac:dyDescent="0.25">
      <c r="A215" s="14" t="str">
        <f t="shared" si="65"/>
        <v>TERC_OPER_1000_26</v>
      </c>
      <c r="B215" s="15" t="str">
        <f t="shared" si="66"/>
        <v>TERC_OPER_1000_0_0</v>
      </c>
      <c r="C215" s="83">
        <v>1000</v>
      </c>
      <c r="D215" s="15">
        <f t="shared" si="67"/>
        <v>0</v>
      </c>
      <c r="E215" s="15">
        <v>26</v>
      </c>
      <c r="F215" s="190">
        <f t="shared" si="72"/>
        <v>0</v>
      </c>
      <c r="G215" s="149" t="str">
        <f t="shared" si="72"/>
        <v/>
      </c>
      <c r="H215" s="150" t="str">
        <f t="shared" si="72"/>
        <v/>
      </c>
      <c r="I215" s="150">
        <f t="shared" si="72"/>
        <v>0</v>
      </c>
      <c r="J215" s="150">
        <f t="shared" si="72"/>
        <v>0</v>
      </c>
      <c r="K215" s="196"/>
      <c r="L215" s="197"/>
      <c r="M215" s="191">
        <f t="shared" si="73"/>
        <v>0</v>
      </c>
      <c r="N215" s="150">
        <f t="shared" si="73"/>
        <v>0</v>
      </c>
      <c r="O215" s="193">
        <f t="shared" si="73"/>
        <v>0</v>
      </c>
      <c r="P215" s="162">
        <f t="shared" si="74"/>
        <v>0</v>
      </c>
      <c r="Q215" s="162">
        <f t="shared" si="74"/>
        <v>0</v>
      </c>
      <c r="R215" s="162">
        <f t="shared" si="74"/>
        <v>0</v>
      </c>
      <c r="S215" s="162">
        <f t="shared" si="74"/>
        <v>0</v>
      </c>
      <c r="T215" s="162">
        <f t="shared" si="74"/>
        <v>0</v>
      </c>
      <c r="U215" s="162">
        <f t="shared" si="74"/>
        <v>0</v>
      </c>
      <c r="V215" s="162">
        <f t="shared" si="74"/>
        <v>0</v>
      </c>
      <c r="W215" s="162">
        <f t="shared" si="74"/>
        <v>0</v>
      </c>
      <c r="X215" s="162">
        <f t="shared" si="74"/>
        <v>0</v>
      </c>
      <c r="Y215" s="162">
        <f t="shared" si="74"/>
        <v>0</v>
      </c>
      <c r="Z215" s="162">
        <f t="shared" si="74"/>
        <v>0</v>
      </c>
      <c r="AA215" s="162">
        <f t="shared" si="74"/>
        <v>0</v>
      </c>
      <c r="AB215" s="163">
        <f t="shared" si="71"/>
        <v>0</v>
      </c>
      <c r="AC215" s="198"/>
    </row>
    <row r="216" spans="1:29" hidden="1" outlineLevel="1" x14ac:dyDescent="0.25">
      <c r="A216" s="14" t="str">
        <f t="shared" si="65"/>
        <v>TERC_OPER_1000_27</v>
      </c>
      <c r="B216" s="15" t="str">
        <f t="shared" si="66"/>
        <v>TERC_OPER_1000_0_0</v>
      </c>
      <c r="C216" s="83">
        <v>1000</v>
      </c>
      <c r="D216" s="15">
        <f t="shared" si="67"/>
        <v>0</v>
      </c>
      <c r="E216" s="15">
        <v>27</v>
      </c>
      <c r="F216" s="190">
        <f t="shared" si="72"/>
        <v>0</v>
      </c>
      <c r="G216" s="149" t="str">
        <f t="shared" si="72"/>
        <v/>
      </c>
      <c r="H216" s="150" t="str">
        <f t="shared" si="72"/>
        <v/>
      </c>
      <c r="I216" s="150">
        <f t="shared" si="72"/>
        <v>0</v>
      </c>
      <c r="J216" s="150">
        <f t="shared" si="72"/>
        <v>0</v>
      </c>
      <c r="K216" s="196"/>
      <c r="L216" s="197"/>
      <c r="M216" s="191">
        <f t="shared" si="73"/>
        <v>0</v>
      </c>
      <c r="N216" s="150">
        <f t="shared" si="73"/>
        <v>0</v>
      </c>
      <c r="O216" s="193">
        <f t="shared" si="73"/>
        <v>0</v>
      </c>
      <c r="P216" s="162">
        <f t="shared" si="74"/>
        <v>0</v>
      </c>
      <c r="Q216" s="162">
        <f t="shared" si="74"/>
        <v>0</v>
      </c>
      <c r="R216" s="162">
        <f t="shared" si="74"/>
        <v>0</v>
      </c>
      <c r="S216" s="162">
        <f t="shared" si="74"/>
        <v>0</v>
      </c>
      <c r="T216" s="162">
        <f t="shared" si="74"/>
        <v>0</v>
      </c>
      <c r="U216" s="162">
        <f t="shared" si="74"/>
        <v>0</v>
      </c>
      <c r="V216" s="162">
        <f t="shared" si="74"/>
        <v>0</v>
      </c>
      <c r="W216" s="162">
        <f t="shared" si="74"/>
        <v>0</v>
      </c>
      <c r="X216" s="162">
        <f t="shared" si="74"/>
        <v>0</v>
      </c>
      <c r="Y216" s="162">
        <f t="shared" si="74"/>
        <v>0</v>
      </c>
      <c r="Z216" s="162">
        <f t="shared" si="74"/>
        <v>0</v>
      </c>
      <c r="AA216" s="162">
        <f t="shared" si="74"/>
        <v>0</v>
      </c>
      <c r="AB216" s="163">
        <f t="shared" si="71"/>
        <v>0</v>
      </c>
      <c r="AC216" s="198"/>
    </row>
    <row r="217" spans="1:29" hidden="1" outlineLevel="1" x14ac:dyDescent="0.25">
      <c r="A217" s="14" t="str">
        <f t="shared" si="65"/>
        <v>TERC_OPER_1000_28</v>
      </c>
      <c r="B217" s="15" t="str">
        <f t="shared" si="66"/>
        <v>TERC_OPER_1000_0_0</v>
      </c>
      <c r="C217" s="83">
        <v>1000</v>
      </c>
      <c r="D217" s="15">
        <f t="shared" si="67"/>
        <v>0</v>
      </c>
      <c r="E217" s="15">
        <v>28</v>
      </c>
      <c r="F217" s="190">
        <f t="shared" si="72"/>
        <v>0</v>
      </c>
      <c r="G217" s="149" t="str">
        <f t="shared" si="72"/>
        <v/>
      </c>
      <c r="H217" s="150" t="str">
        <f t="shared" si="72"/>
        <v/>
      </c>
      <c r="I217" s="150">
        <f t="shared" si="72"/>
        <v>0</v>
      </c>
      <c r="J217" s="150">
        <f t="shared" si="72"/>
        <v>0</v>
      </c>
      <c r="K217" s="196"/>
      <c r="L217" s="197"/>
      <c r="M217" s="191">
        <f t="shared" si="73"/>
        <v>0</v>
      </c>
      <c r="N217" s="150">
        <f t="shared" si="73"/>
        <v>0</v>
      </c>
      <c r="O217" s="193">
        <f t="shared" si="73"/>
        <v>0</v>
      </c>
      <c r="P217" s="162">
        <f t="shared" si="74"/>
        <v>0</v>
      </c>
      <c r="Q217" s="162">
        <f t="shared" si="74"/>
        <v>0</v>
      </c>
      <c r="R217" s="162">
        <f t="shared" si="74"/>
        <v>0</v>
      </c>
      <c r="S217" s="162">
        <f t="shared" si="74"/>
        <v>0</v>
      </c>
      <c r="T217" s="162">
        <f t="shared" si="74"/>
        <v>0</v>
      </c>
      <c r="U217" s="162">
        <f t="shared" si="74"/>
        <v>0</v>
      </c>
      <c r="V217" s="162">
        <f t="shared" si="74"/>
        <v>0</v>
      </c>
      <c r="W217" s="162">
        <f t="shared" si="74"/>
        <v>0</v>
      </c>
      <c r="X217" s="162">
        <f t="shared" si="74"/>
        <v>0</v>
      </c>
      <c r="Y217" s="162">
        <f t="shared" si="74"/>
        <v>0</v>
      </c>
      <c r="Z217" s="162">
        <f t="shared" si="74"/>
        <v>0</v>
      </c>
      <c r="AA217" s="162">
        <f t="shared" si="74"/>
        <v>0</v>
      </c>
      <c r="AB217" s="163">
        <f t="shared" si="71"/>
        <v>0</v>
      </c>
      <c r="AC217" s="198"/>
    </row>
    <row r="218" spans="1:29" hidden="1" outlineLevel="1" x14ac:dyDescent="0.25">
      <c r="A218" s="14" t="str">
        <f t="shared" si="65"/>
        <v>TERC_OPER_1000_29</v>
      </c>
      <c r="B218" s="15" t="str">
        <f t="shared" si="66"/>
        <v>TERC_OPER_1000_0_0</v>
      </c>
      <c r="C218" s="83">
        <v>1000</v>
      </c>
      <c r="D218" s="15">
        <f t="shared" si="67"/>
        <v>0</v>
      </c>
      <c r="E218" s="15">
        <v>29</v>
      </c>
      <c r="F218" s="190">
        <f t="shared" si="72"/>
        <v>0</v>
      </c>
      <c r="G218" s="149" t="str">
        <f t="shared" si="72"/>
        <v/>
      </c>
      <c r="H218" s="150" t="str">
        <f t="shared" si="72"/>
        <v/>
      </c>
      <c r="I218" s="150">
        <f t="shared" si="72"/>
        <v>0</v>
      </c>
      <c r="J218" s="150">
        <f t="shared" si="72"/>
        <v>0</v>
      </c>
      <c r="K218" s="196"/>
      <c r="L218" s="197"/>
      <c r="M218" s="191">
        <f t="shared" si="73"/>
        <v>0</v>
      </c>
      <c r="N218" s="150">
        <f t="shared" si="73"/>
        <v>0</v>
      </c>
      <c r="O218" s="193">
        <f t="shared" si="73"/>
        <v>0</v>
      </c>
      <c r="P218" s="162">
        <f t="shared" si="74"/>
        <v>0</v>
      </c>
      <c r="Q218" s="162">
        <f t="shared" si="74"/>
        <v>0</v>
      </c>
      <c r="R218" s="162">
        <f t="shared" si="74"/>
        <v>0</v>
      </c>
      <c r="S218" s="162">
        <f t="shared" si="74"/>
        <v>0</v>
      </c>
      <c r="T218" s="162">
        <f t="shared" si="74"/>
        <v>0</v>
      </c>
      <c r="U218" s="162">
        <f t="shared" si="74"/>
        <v>0</v>
      </c>
      <c r="V218" s="162">
        <f t="shared" si="74"/>
        <v>0</v>
      </c>
      <c r="W218" s="162">
        <f t="shared" si="74"/>
        <v>0</v>
      </c>
      <c r="X218" s="162">
        <f t="shared" si="74"/>
        <v>0</v>
      </c>
      <c r="Y218" s="162">
        <f t="shared" si="74"/>
        <v>0</v>
      </c>
      <c r="Z218" s="162">
        <f t="shared" si="74"/>
        <v>0</v>
      </c>
      <c r="AA218" s="162">
        <f t="shared" si="74"/>
        <v>0</v>
      </c>
      <c r="AB218" s="163">
        <f t="shared" si="71"/>
        <v>0</v>
      </c>
      <c r="AC218" s="198"/>
    </row>
    <row r="219" spans="1:29" hidden="1" outlineLevel="1" x14ac:dyDescent="0.25">
      <c r="A219" s="14" t="str">
        <f t="shared" si="65"/>
        <v>TERC_OPER_1000_30</v>
      </c>
      <c r="B219" s="15" t="str">
        <f t="shared" si="66"/>
        <v>TERC_OPER_1000_0_0</v>
      </c>
      <c r="C219" s="83">
        <v>1000</v>
      </c>
      <c r="D219" s="15">
        <f t="shared" si="67"/>
        <v>0</v>
      </c>
      <c r="E219" s="15">
        <v>30</v>
      </c>
      <c r="F219" s="190">
        <f t="shared" si="72"/>
        <v>0</v>
      </c>
      <c r="G219" s="149" t="str">
        <f t="shared" si="72"/>
        <v/>
      </c>
      <c r="H219" s="150" t="str">
        <f t="shared" si="72"/>
        <v/>
      </c>
      <c r="I219" s="150">
        <f t="shared" si="72"/>
        <v>0</v>
      </c>
      <c r="J219" s="150">
        <f t="shared" si="72"/>
        <v>0</v>
      </c>
      <c r="K219" s="196"/>
      <c r="L219" s="197"/>
      <c r="M219" s="191">
        <f t="shared" si="73"/>
        <v>0</v>
      </c>
      <c r="N219" s="150">
        <f t="shared" si="73"/>
        <v>0</v>
      </c>
      <c r="O219" s="193">
        <f t="shared" si="73"/>
        <v>0</v>
      </c>
      <c r="P219" s="162">
        <f t="shared" si="74"/>
        <v>0</v>
      </c>
      <c r="Q219" s="162">
        <f t="shared" si="74"/>
        <v>0</v>
      </c>
      <c r="R219" s="162">
        <f t="shared" si="74"/>
        <v>0</v>
      </c>
      <c r="S219" s="162">
        <f t="shared" si="74"/>
        <v>0</v>
      </c>
      <c r="T219" s="162">
        <f t="shared" si="74"/>
        <v>0</v>
      </c>
      <c r="U219" s="162">
        <f t="shared" si="74"/>
        <v>0</v>
      </c>
      <c r="V219" s="162">
        <f t="shared" si="74"/>
        <v>0</v>
      </c>
      <c r="W219" s="162">
        <f t="shared" si="74"/>
        <v>0</v>
      </c>
      <c r="X219" s="162">
        <f t="shared" si="74"/>
        <v>0</v>
      </c>
      <c r="Y219" s="162">
        <f t="shared" si="74"/>
        <v>0</v>
      </c>
      <c r="Z219" s="162">
        <f t="shared" si="74"/>
        <v>0</v>
      </c>
      <c r="AA219" s="162">
        <f t="shared" si="74"/>
        <v>0</v>
      </c>
      <c r="AB219" s="163">
        <f t="shared" si="71"/>
        <v>0</v>
      </c>
      <c r="AC219" s="198"/>
    </row>
    <row r="220" spans="1:29" hidden="1" outlineLevel="1" x14ac:dyDescent="0.25">
      <c r="A220" s="14" t="str">
        <f t="shared" si="65"/>
        <v>TERC_OPER_1000_31</v>
      </c>
      <c r="B220" s="15" t="str">
        <f t="shared" si="66"/>
        <v>TERC_OPER_1000_0_0</v>
      </c>
      <c r="C220" s="83">
        <v>1000</v>
      </c>
      <c r="D220" s="15">
        <f t="shared" si="67"/>
        <v>0</v>
      </c>
      <c r="E220" s="15">
        <v>31</v>
      </c>
      <c r="F220" s="190">
        <f t="shared" si="72"/>
        <v>0</v>
      </c>
      <c r="G220" s="149" t="str">
        <f t="shared" si="72"/>
        <v/>
      </c>
      <c r="H220" s="150" t="str">
        <f t="shared" si="72"/>
        <v/>
      </c>
      <c r="I220" s="150">
        <f t="shared" si="72"/>
        <v>0</v>
      </c>
      <c r="J220" s="150">
        <f t="shared" si="72"/>
        <v>0</v>
      </c>
      <c r="K220" s="196"/>
      <c r="L220" s="197"/>
      <c r="M220" s="191">
        <f t="shared" si="73"/>
        <v>0</v>
      </c>
      <c r="N220" s="150">
        <f t="shared" si="73"/>
        <v>0</v>
      </c>
      <c r="O220" s="193">
        <f t="shared" si="73"/>
        <v>0</v>
      </c>
      <c r="P220" s="162">
        <f t="shared" si="74"/>
        <v>0</v>
      </c>
      <c r="Q220" s="162">
        <f t="shared" si="74"/>
        <v>0</v>
      </c>
      <c r="R220" s="162">
        <f t="shared" si="74"/>
        <v>0</v>
      </c>
      <c r="S220" s="162">
        <f t="shared" si="74"/>
        <v>0</v>
      </c>
      <c r="T220" s="162">
        <f t="shared" si="74"/>
        <v>0</v>
      </c>
      <c r="U220" s="162">
        <f t="shared" si="74"/>
        <v>0</v>
      </c>
      <c r="V220" s="162">
        <f t="shared" si="74"/>
        <v>0</v>
      </c>
      <c r="W220" s="162">
        <f t="shared" si="74"/>
        <v>0</v>
      </c>
      <c r="X220" s="162">
        <f t="shared" si="74"/>
        <v>0</v>
      </c>
      <c r="Y220" s="162">
        <f t="shared" si="74"/>
        <v>0</v>
      </c>
      <c r="Z220" s="162">
        <f t="shared" si="74"/>
        <v>0</v>
      </c>
      <c r="AA220" s="162">
        <f t="shared" si="74"/>
        <v>0</v>
      </c>
      <c r="AB220" s="163">
        <f t="shared" si="71"/>
        <v>0</v>
      </c>
      <c r="AC220" s="198"/>
    </row>
    <row r="221" spans="1:29" hidden="1" outlineLevel="1" x14ac:dyDescent="0.25">
      <c r="A221" s="14" t="str">
        <f t="shared" si="65"/>
        <v>TERC_OPER_1000_32</v>
      </c>
      <c r="B221" s="15" t="str">
        <f t="shared" si="66"/>
        <v>TERC_OPER_1000_0_0</v>
      </c>
      <c r="C221" s="83">
        <v>1000</v>
      </c>
      <c r="D221" s="15">
        <f t="shared" si="67"/>
        <v>0</v>
      </c>
      <c r="E221" s="15">
        <v>32</v>
      </c>
      <c r="F221" s="190">
        <f t="shared" si="72"/>
        <v>0</v>
      </c>
      <c r="G221" s="149" t="str">
        <f t="shared" si="72"/>
        <v/>
      </c>
      <c r="H221" s="150" t="str">
        <f t="shared" si="72"/>
        <v/>
      </c>
      <c r="I221" s="150">
        <f t="shared" si="72"/>
        <v>0</v>
      </c>
      <c r="J221" s="150">
        <f t="shared" si="72"/>
        <v>0</v>
      </c>
      <c r="K221" s="196"/>
      <c r="L221" s="197"/>
      <c r="M221" s="191">
        <f t="shared" si="73"/>
        <v>0</v>
      </c>
      <c r="N221" s="150">
        <f t="shared" si="73"/>
        <v>0</v>
      </c>
      <c r="O221" s="193">
        <f t="shared" si="73"/>
        <v>0</v>
      </c>
      <c r="P221" s="162">
        <f t="shared" si="74"/>
        <v>0</v>
      </c>
      <c r="Q221" s="162">
        <f t="shared" si="74"/>
        <v>0</v>
      </c>
      <c r="R221" s="162">
        <f t="shared" si="74"/>
        <v>0</v>
      </c>
      <c r="S221" s="162">
        <f t="shared" si="74"/>
        <v>0</v>
      </c>
      <c r="T221" s="162">
        <f t="shared" si="74"/>
        <v>0</v>
      </c>
      <c r="U221" s="162">
        <f t="shared" si="74"/>
        <v>0</v>
      </c>
      <c r="V221" s="162">
        <f t="shared" si="74"/>
        <v>0</v>
      </c>
      <c r="W221" s="162">
        <f t="shared" si="74"/>
        <v>0</v>
      </c>
      <c r="X221" s="162">
        <f t="shared" si="74"/>
        <v>0</v>
      </c>
      <c r="Y221" s="162">
        <f t="shared" si="74"/>
        <v>0</v>
      </c>
      <c r="Z221" s="162">
        <f t="shared" si="74"/>
        <v>0</v>
      </c>
      <c r="AA221" s="162">
        <f t="shared" si="74"/>
        <v>0</v>
      </c>
      <c r="AB221" s="163">
        <f t="shared" si="71"/>
        <v>0</v>
      </c>
      <c r="AC221" s="198"/>
    </row>
    <row r="222" spans="1:29" hidden="1" outlineLevel="1" x14ac:dyDescent="0.25">
      <c r="A222" s="14" t="str">
        <f t="shared" si="65"/>
        <v>TERC_OPER_1000_33</v>
      </c>
      <c r="B222" s="15" t="str">
        <f t="shared" si="66"/>
        <v>TERC_OPER_1000_0_0</v>
      </c>
      <c r="C222" s="83">
        <v>1000</v>
      </c>
      <c r="D222" s="15">
        <f t="shared" si="67"/>
        <v>0</v>
      </c>
      <c r="E222" s="15">
        <v>33</v>
      </c>
      <c r="F222" s="190">
        <f t="shared" si="72"/>
        <v>0</v>
      </c>
      <c r="G222" s="149" t="str">
        <f t="shared" si="72"/>
        <v/>
      </c>
      <c r="H222" s="150" t="str">
        <f t="shared" si="72"/>
        <v/>
      </c>
      <c r="I222" s="150">
        <f t="shared" si="72"/>
        <v>0</v>
      </c>
      <c r="J222" s="150">
        <f t="shared" si="72"/>
        <v>0</v>
      </c>
      <c r="K222" s="196"/>
      <c r="L222" s="197"/>
      <c r="M222" s="191">
        <f t="shared" si="73"/>
        <v>0</v>
      </c>
      <c r="N222" s="150">
        <f t="shared" si="73"/>
        <v>0</v>
      </c>
      <c r="O222" s="193">
        <f t="shared" si="73"/>
        <v>0</v>
      </c>
      <c r="P222" s="162">
        <f t="shared" si="74"/>
        <v>0</v>
      </c>
      <c r="Q222" s="162">
        <f t="shared" si="74"/>
        <v>0</v>
      </c>
      <c r="R222" s="162">
        <f t="shared" si="74"/>
        <v>0</v>
      </c>
      <c r="S222" s="162">
        <f t="shared" si="74"/>
        <v>0</v>
      </c>
      <c r="T222" s="162">
        <f t="shared" si="74"/>
        <v>0</v>
      </c>
      <c r="U222" s="162">
        <f t="shared" si="74"/>
        <v>0</v>
      </c>
      <c r="V222" s="162">
        <f t="shared" si="74"/>
        <v>0</v>
      </c>
      <c r="W222" s="162">
        <f t="shared" si="74"/>
        <v>0</v>
      </c>
      <c r="X222" s="162">
        <f t="shared" si="74"/>
        <v>0</v>
      </c>
      <c r="Y222" s="162">
        <f t="shared" si="74"/>
        <v>0</v>
      </c>
      <c r="Z222" s="162">
        <f t="shared" si="74"/>
        <v>0</v>
      </c>
      <c r="AA222" s="162">
        <f t="shared" si="74"/>
        <v>0</v>
      </c>
      <c r="AB222" s="163">
        <f t="shared" si="71"/>
        <v>0</v>
      </c>
      <c r="AC222" s="198"/>
    </row>
    <row r="223" spans="1:29" hidden="1" outlineLevel="1" x14ac:dyDescent="0.25">
      <c r="A223" s="14" t="str">
        <f t="shared" si="65"/>
        <v>TERC_OPER_1000_34</v>
      </c>
      <c r="B223" s="15" t="str">
        <f t="shared" si="66"/>
        <v>TERC_OPER_1000_0_0</v>
      </c>
      <c r="C223" s="83">
        <v>1000</v>
      </c>
      <c r="D223" s="15">
        <f t="shared" si="67"/>
        <v>0</v>
      </c>
      <c r="E223" s="15">
        <v>34</v>
      </c>
      <c r="F223" s="190">
        <f t="shared" ref="F223:J234" si="75">F81</f>
        <v>0</v>
      </c>
      <c r="G223" s="149" t="str">
        <f t="shared" si="75"/>
        <v/>
      </c>
      <c r="H223" s="150" t="str">
        <f t="shared" si="75"/>
        <v/>
      </c>
      <c r="I223" s="150">
        <f t="shared" si="75"/>
        <v>0</v>
      </c>
      <c r="J223" s="150">
        <f t="shared" si="75"/>
        <v>0</v>
      </c>
      <c r="K223" s="196"/>
      <c r="L223" s="197"/>
      <c r="M223" s="191">
        <f t="shared" ref="M223:O234" si="76">M81</f>
        <v>0</v>
      </c>
      <c r="N223" s="150">
        <f t="shared" si="76"/>
        <v>0</v>
      </c>
      <c r="O223" s="193">
        <f t="shared" si="76"/>
        <v>0</v>
      </c>
      <c r="P223" s="162">
        <f t="shared" ref="P223:AA234" si="77">IFERROR(SUMIF($B$16:$B$43,$C223&amp;$I223,P$16:P$43)/SUMIF($D$16:$D$43,$I223,P$16:P$43)*P81,0)</f>
        <v>0</v>
      </c>
      <c r="Q223" s="162">
        <f t="shared" si="77"/>
        <v>0</v>
      </c>
      <c r="R223" s="162">
        <f t="shared" si="77"/>
        <v>0</v>
      </c>
      <c r="S223" s="162">
        <f t="shared" si="77"/>
        <v>0</v>
      </c>
      <c r="T223" s="162">
        <f t="shared" si="77"/>
        <v>0</v>
      </c>
      <c r="U223" s="162">
        <f t="shared" si="77"/>
        <v>0</v>
      </c>
      <c r="V223" s="162">
        <f t="shared" si="77"/>
        <v>0</v>
      </c>
      <c r="W223" s="162">
        <f t="shared" si="77"/>
        <v>0</v>
      </c>
      <c r="X223" s="162">
        <f t="shared" si="77"/>
        <v>0</v>
      </c>
      <c r="Y223" s="162">
        <f t="shared" si="77"/>
        <v>0</v>
      </c>
      <c r="Z223" s="162">
        <f t="shared" si="77"/>
        <v>0</v>
      </c>
      <c r="AA223" s="162">
        <f t="shared" si="77"/>
        <v>0</v>
      </c>
      <c r="AB223" s="163">
        <f t="shared" si="71"/>
        <v>0</v>
      </c>
      <c r="AC223" s="198"/>
    </row>
    <row r="224" spans="1:29" hidden="1" outlineLevel="1" x14ac:dyDescent="0.25">
      <c r="A224" s="14" t="str">
        <f t="shared" si="65"/>
        <v>TERC_OPER_1000_35</v>
      </c>
      <c r="B224" s="15" t="str">
        <f t="shared" si="66"/>
        <v>TERC_OPER_1000_0_0</v>
      </c>
      <c r="C224" s="83">
        <v>1000</v>
      </c>
      <c r="D224" s="15">
        <f t="shared" si="67"/>
        <v>0</v>
      </c>
      <c r="E224" s="15">
        <v>35</v>
      </c>
      <c r="F224" s="190">
        <f t="shared" si="75"/>
        <v>0</v>
      </c>
      <c r="G224" s="149" t="str">
        <f t="shared" si="75"/>
        <v/>
      </c>
      <c r="H224" s="150" t="str">
        <f t="shared" si="75"/>
        <v/>
      </c>
      <c r="I224" s="150">
        <f t="shared" si="75"/>
        <v>0</v>
      </c>
      <c r="J224" s="150">
        <f t="shared" si="75"/>
        <v>0</v>
      </c>
      <c r="K224" s="196"/>
      <c r="L224" s="197"/>
      <c r="M224" s="191">
        <f t="shared" si="76"/>
        <v>0</v>
      </c>
      <c r="N224" s="150">
        <f t="shared" si="76"/>
        <v>0</v>
      </c>
      <c r="O224" s="193">
        <f t="shared" si="76"/>
        <v>0</v>
      </c>
      <c r="P224" s="162">
        <f t="shared" si="77"/>
        <v>0</v>
      </c>
      <c r="Q224" s="162">
        <f t="shared" si="77"/>
        <v>0</v>
      </c>
      <c r="R224" s="162">
        <f t="shared" si="77"/>
        <v>0</v>
      </c>
      <c r="S224" s="162">
        <f t="shared" si="77"/>
        <v>0</v>
      </c>
      <c r="T224" s="162">
        <f t="shared" si="77"/>
        <v>0</v>
      </c>
      <c r="U224" s="162">
        <f t="shared" si="77"/>
        <v>0</v>
      </c>
      <c r="V224" s="162">
        <f t="shared" si="77"/>
        <v>0</v>
      </c>
      <c r="W224" s="162">
        <f t="shared" si="77"/>
        <v>0</v>
      </c>
      <c r="X224" s="162">
        <f t="shared" si="77"/>
        <v>0</v>
      </c>
      <c r="Y224" s="162">
        <f t="shared" si="77"/>
        <v>0</v>
      </c>
      <c r="Z224" s="162">
        <f t="shared" si="77"/>
        <v>0</v>
      </c>
      <c r="AA224" s="162">
        <f t="shared" si="77"/>
        <v>0</v>
      </c>
      <c r="AB224" s="163">
        <f t="shared" si="71"/>
        <v>0</v>
      </c>
      <c r="AC224" s="198"/>
    </row>
    <row r="225" spans="1:29" hidden="1" outlineLevel="1" x14ac:dyDescent="0.25">
      <c r="A225" s="14" t="str">
        <f t="shared" si="65"/>
        <v>TERC_OPER_1000_36</v>
      </c>
      <c r="B225" s="15" t="str">
        <f t="shared" si="66"/>
        <v>TERC_OPER_1000_0_0</v>
      </c>
      <c r="C225" s="83">
        <v>1000</v>
      </c>
      <c r="D225" s="15">
        <f t="shared" si="67"/>
        <v>0</v>
      </c>
      <c r="E225" s="15">
        <v>36</v>
      </c>
      <c r="F225" s="190">
        <f t="shared" si="75"/>
        <v>0</v>
      </c>
      <c r="G225" s="149" t="str">
        <f t="shared" si="75"/>
        <v/>
      </c>
      <c r="H225" s="150" t="str">
        <f t="shared" si="75"/>
        <v/>
      </c>
      <c r="I225" s="150">
        <f t="shared" si="75"/>
        <v>0</v>
      </c>
      <c r="J225" s="150">
        <f t="shared" si="75"/>
        <v>0</v>
      </c>
      <c r="K225" s="196"/>
      <c r="L225" s="197"/>
      <c r="M225" s="191">
        <f t="shared" si="76"/>
        <v>0</v>
      </c>
      <c r="N225" s="150">
        <f t="shared" si="76"/>
        <v>0</v>
      </c>
      <c r="O225" s="193">
        <f t="shared" si="76"/>
        <v>0</v>
      </c>
      <c r="P225" s="162">
        <f t="shared" si="77"/>
        <v>0</v>
      </c>
      <c r="Q225" s="162">
        <f t="shared" si="77"/>
        <v>0</v>
      </c>
      <c r="R225" s="162">
        <f t="shared" si="77"/>
        <v>0</v>
      </c>
      <c r="S225" s="162">
        <f t="shared" si="77"/>
        <v>0</v>
      </c>
      <c r="T225" s="162">
        <f t="shared" si="77"/>
        <v>0</v>
      </c>
      <c r="U225" s="162">
        <f t="shared" si="77"/>
        <v>0</v>
      </c>
      <c r="V225" s="162">
        <f t="shared" si="77"/>
        <v>0</v>
      </c>
      <c r="W225" s="162">
        <f t="shared" si="77"/>
        <v>0</v>
      </c>
      <c r="X225" s="162">
        <f t="shared" si="77"/>
        <v>0</v>
      </c>
      <c r="Y225" s="162">
        <f t="shared" si="77"/>
        <v>0</v>
      </c>
      <c r="Z225" s="162">
        <f t="shared" si="77"/>
        <v>0</v>
      </c>
      <c r="AA225" s="162">
        <f t="shared" si="77"/>
        <v>0</v>
      </c>
      <c r="AB225" s="163">
        <f t="shared" si="71"/>
        <v>0</v>
      </c>
      <c r="AC225" s="198"/>
    </row>
    <row r="226" spans="1:29" hidden="1" outlineLevel="1" x14ac:dyDescent="0.25">
      <c r="A226" s="14" t="str">
        <f t="shared" si="65"/>
        <v>TERC_OPER_1000_37</v>
      </c>
      <c r="B226" s="15" t="str">
        <f t="shared" si="66"/>
        <v>TERC_OPER_1000_0_0</v>
      </c>
      <c r="C226" s="83">
        <v>1000</v>
      </c>
      <c r="D226" s="15">
        <f t="shared" si="67"/>
        <v>0</v>
      </c>
      <c r="E226" s="15">
        <v>37</v>
      </c>
      <c r="F226" s="190">
        <f t="shared" si="75"/>
        <v>0</v>
      </c>
      <c r="G226" s="149" t="str">
        <f t="shared" si="75"/>
        <v/>
      </c>
      <c r="H226" s="150" t="str">
        <f t="shared" si="75"/>
        <v/>
      </c>
      <c r="I226" s="150">
        <f t="shared" si="75"/>
        <v>0</v>
      </c>
      <c r="J226" s="150">
        <f t="shared" si="75"/>
        <v>0</v>
      </c>
      <c r="K226" s="196"/>
      <c r="L226" s="197"/>
      <c r="M226" s="191">
        <f t="shared" si="76"/>
        <v>0</v>
      </c>
      <c r="N226" s="150">
        <f t="shared" si="76"/>
        <v>0</v>
      </c>
      <c r="O226" s="193">
        <f t="shared" si="76"/>
        <v>0</v>
      </c>
      <c r="P226" s="162">
        <f t="shared" si="77"/>
        <v>0</v>
      </c>
      <c r="Q226" s="162">
        <f t="shared" si="77"/>
        <v>0</v>
      </c>
      <c r="R226" s="162">
        <f t="shared" si="77"/>
        <v>0</v>
      </c>
      <c r="S226" s="162">
        <f t="shared" si="77"/>
        <v>0</v>
      </c>
      <c r="T226" s="162">
        <f t="shared" si="77"/>
        <v>0</v>
      </c>
      <c r="U226" s="162">
        <f t="shared" si="77"/>
        <v>0</v>
      </c>
      <c r="V226" s="162">
        <f t="shared" si="77"/>
        <v>0</v>
      </c>
      <c r="W226" s="162">
        <f t="shared" si="77"/>
        <v>0</v>
      </c>
      <c r="X226" s="162">
        <f t="shared" si="77"/>
        <v>0</v>
      </c>
      <c r="Y226" s="162">
        <f t="shared" si="77"/>
        <v>0</v>
      </c>
      <c r="Z226" s="162">
        <f t="shared" si="77"/>
        <v>0</v>
      </c>
      <c r="AA226" s="162">
        <f t="shared" si="77"/>
        <v>0</v>
      </c>
      <c r="AB226" s="163">
        <f t="shared" si="71"/>
        <v>0</v>
      </c>
      <c r="AC226" s="198"/>
    </row>
    <row r="227" spans="1:29" hidden="1" outlineLevel="1" x14ac:dyDescent="0.25">
      <c r="A227" s="14" t="str">
        <f t="shared" si="65"/>
        <v>TERC_OPER_1000_38</v>
      </c>
      <c r="B227" s="15" t="str">
        <f t="shared" si="66"/>
        <v>TERC_OPER_1000_0_0</v>
      </c>
      <c r="C227" s="83">
        <v>1000</v>
      </c>
      <c r="D227" s="15">
        <f t="shared" si="67"/>
        <v>0</v>
      </c>
      <c r="E227" s="15">
        <v>38</v>
      </c>
      <c r="F227" s="190">
        <f t="shared" si="75"/>
        <v>0</v>
      </c>
      <c r="G227" s="149" t="str">
        <f t="shared" si="75"/>
        <v/>
      </c>
      <c r="H227" s="150" t="str">
        <f t="shared" si="75"/>
        <v/>
      </c>
      <c r="I227" s="150">
        <f t="shared" si="75"/>
        <v>0</v>
      </c>
      <c r="J227" s="150">
        <f t="shared" si="75"/>
        <v>0</v>
      </c>
      <c r="K227" s="196"/>
      <c r="L227" s="197"/>
      <c r="M227" s="191">
        <f t="shared" si="76"/>
        <v>0</v>
      </c>
      <c r="N227" s="150">
        <f t="shared" si="76"/>
        <v>0</v>
      </c>
      <c r="O227" s="193">
        <f t="shared" si="76"/>
        <v>0</v>
      </c>
      <c r="P227" s="162">
        <f t="shared" si="77"/>
        <v>0</v>
      </c>
      <c r="Q227" s="162">
        <f t="shared" si="77"/>
        <v>0</v>
      </c>
      <c r="R227" s="162">
        <f t="shared" si="77"/>
        <v>0</v>
      </c>
      <c r="S227" s="162">
        <f t="shared" si="77"/>
        <v>0</v>
      </c>
      <c r="T227" s="162">
        <f t="shared" si="77"/>
        <v>0</v>
      </c>
      <c r="U227" s="162">
        <f t="shared" si="77"/>
        <v>0</v>
      </c>
      <c r="V227" s="162">
        <f t="shared" si="77"/>
        <v>0</v>
      </c>
      <c r="W227" s="162">
        <f t="shared" si="77"/>
        <v>0</v>
      </c>
      <c r="X227" s="162">
        <f t="shared" si="77"/>
        <v>0</v>
      </c>
      <c r="Y227" s="162">
        <f t="shared" si="77"/>
        <v>0</v>
      </c>
      <c r="Z227" s="162">
        <f t="shared" si="77"/>
        <v>0</v>
      </c>
      <c r="AA227" s="162">
        <f t="shared" si="77"/>
        <v>0</v>
      </c>
      <c r="AB227" s="163">
        <f t="shared" si="71"/>
        <v>0</v>
      </c>
      <c r="AC227" s="198"/>
    </row>
    <row r="228" spans="1:29" hidden="1" outlineLevel="1" x14ac:dyDescent="0.25">
      <c r="A228" s="14" t="str">
        <f t="shared" si="65"/>
        <v>TERC_OPER_1000_39</v>
      </c>
      <c r="B228" s="15" t="str">
        <f t="shared" si="66"/>
        <v>TERC_OPER_1000_0_0</v>
      </c>
      <c r="C228" s="83">
        <v>1000</v>
      </c>
      <c r="D228" s="15">
        <f t="shared" si="67"/>
        <v>0</v>
      </c>
      <c r="E228" s="15">
        <v>39</v>
      </c>
      <c r="F228" s="190">
        <f t="shared" si="75"/>
        <v>0</v>
      </c>
      <c r="G228" s="149" t="str">
        <f t="shared" si="75"/>
        <v/>
      </c>
      <c r="H228" s="150" t="str">
        <f t="shared" si="75"/>
        <v/>
      </c>
      <c r="I228" s="150">
        <f t="shared" si="75"/>
        <v>0</v>
      </c>
      <c r="J228" s="150">
        <f t="shared" si="75"/>
        <v>0</v>
      </c>
      <c r="K228" s="196"/>
      <c r="L228" s="197"/>
      <c r="M228" s="191">
        <f t="shared" si="76"/>
        <v>0</v>
      </c>
      <c r="N228" s="150">
        <f t="shared" si="76"/>
        <v>0</v>
      </c>
      <c r="O228" s="193">
        <f t="shared" si="76"/>
        <v>0</v>
      </c>
      <c r="P228" s="162">
        <f t="shared" si="77"/>
        <v>0</v>
      </c>
      <c r="Q228" s="162">
        <f t="shared" si="77"/>
        <v>0</v>
      </c>
      <c r="R228" s="162">
        <f t="shared" si="77"/>
        <v>0</v>
      </c>
      <c r="S228" s="162">
        <f t="shared" si="77"/>
        <v>0</v>
      </c>
      <c r="T228" s="162">
        <f t="shared" si="77"/>
        <v>0</v>
      </c>
      <c r="U228" s="162">
        <f t="shared" si="77"/>
        <v>0</v>
      </c>
      <c r="V228" s="162">
        <f t="shared" si="77"/>
        <v>0</v>
      </c>
      <c r="W228" s="162">
        <f t="shared" si="77"/>
        <v>0</v>
      </c>
      <c r="X228" s="162">
        <f t="shared" si="77"/>
        <v>0</v>
      </c>
      <c r="Y228" s="162">
        <f t="shared" si="77"/>
        <v>0</v>
      </c>
      <c r="Z228" s="162">
        <f t="shared" si="77"/>
        <v>0</v>
      </c>
      <c r="AA228" s="162">
        <f t="shared" si="77"/>
        <v>0</v>
      </c>
      <c r="AB228" s="163">
        <f t="shared" si="71"/>
        <v>0</v>
      </c>
      <c r="AC228" s="198"/>
    </row>
    <row r="229" spans="1:29" hidden="1" outlineLevel="1" x14ac:dyDescent="0.25">
      <c r="A229" s="14" t="str">
        <f t="shared" si="65"/>
        <v>TERC_OPER_1000_40</v>
      </c>
      <c r="B229" s="15" t="str">
        <f t="shared" si="66"/>
        <v>TERC_OPER_1000_0_0</v>
      </c>
      <c r="C229" s="83">
        <v>1000</v>
      </c>
      <c r="D229" s="15">
        <f t="shared" si="67"/>
        <v>0</v>
      </c>
      <c r="E229" s="15">
        <v>40</v>
      </c>
      <c r="F229" s="190">
        <f t="shared" si="75"/>
        <v>0</v>
      </c>
      <c r="G229" s="149" t="str">
        <f t="shared" si="75"/>
        <v/>
      </c>
      <c r="H229" s="150" t="str">
        <f t="shared" si="75"/>
        <v/>
      </c>
      <c r="I229" s="150">
        <f t="shared" si="75"/>
        <v>0</v>
      </c>
      <c r="J229" s="150">
        <f t="shared" si="75"/>
        <v>0</v>
      </c>
      <c r="K229" s="196"/>
      <c r="L229" s="197"/>
      <c r="M229" s="191">
        <f t="shared" si="76"/>
        <v>0</v>
      </c>
      <c r="N229" s="150">
        <f t="shared" si="76"/>
        <v>0</v>
      </c>
      <c r="O229" s="193">
        <f t="shared" si="76"/>
        <v>0</v>
      </c>
      <c r="P229" s="162">
        <f t="shared" si="77"/>
        <v>0</v>
      </c>
      <c r="Q229" s="162">
        <f t="shared" si="77"/>
        <v>0</v>
      </c>
      <c r="R229" s="162">
        <f t="shared" si="77"/>
        <v>0</v>
      </c>
      <c r="S229" s="162">
        <f t="shared" si="77"/>
        <v>0</v>
      </c>
      <c r="T229" s="162">
        <f t="shared" si="77"/>
        <v>0</v>
      </c>
      <c r="U229" s="162">
        <f t="shared" si="77"/>
        <v>0</v>
      </c>
      <c r="V229" s="162">
        <f t="shared" si="77"/>
        <v>0</v>
      </c>
      <c r="W229" s="162">
        <f t="shared" si="77"/>
        <v>0</v>
      </c>
      <c r="X229" s="162">
        <f t="shared" si="77"/>
        <v>0</v>
      </c>
      <c r="Y229" s="162">
        <f t="shared" si="77"/>
        <v>0</v>
      </c>
      <c r="Z229" s="162">
        <f t="shared" si="77"/>
        <v>0</v>
      </c>
      <c r="AA229" s="162">
        <f t="shared" si="77"/>
        <v>0</v>
      </c>
      <c r="AB229" s="163">
        <f t="shared" si="71"/>
        <v>0</v>
      </c>
      <c r="AC229" s="198"/>
    </row>
    <row r="230" spans="1:29" hidden="1" outlineLevel="1" x14ac:dyDescent="0.25">
      <c r="A230" s="14" t="str">
        <f t="shared" si="65"/>
        <v>TERC_OPER_1000_41</v>
      </c>
      <c r="B230" s="15" t="str">
        <f t="shared" si="66"/>
        <v>TERC_OPER_1000_0_0</v>
      </c>
      <c r="C230" s="83">
        <v>1000</v>
      </c>
      <c r="D230" s="15">
        <f t="shared" si="67"/>
        <v>0</v>
      </c>
      <c r="E230" s="15">
        <v>41</v>
      </c>
      <c r="F230" s="190">
        <f t="shared" si="75"/>
        <v>0</v>
      </c>
      <c r="G230" s="149" t="str">
        <f t="shared" si="75"/>
        <v/>
      </c>
      <c r="H230" s="150" t="str">
        <f t="shared" si="75"/>
        <v/>
      </c>
      <c r="I230" s="150">
        <f t="shared" si="75"/>
        <v>0</v>
      </c>
      <c r="J230" s="150">
        <f t="shared" si="75"/>
        <v>0</v>
      </c>
      <c r="K230" s="196"/>
      <c r="L230" s="197"/>
      <c r="M230" s="191">
        <f t="shared" si="76"/>
        <v>0</v>
      </c>
      <c r="N230" s="150">
        <f t="shared" si="76"/>
        <v>0</v>
      </c>
      <c r="O230" s="193">
        <f t="shared" si="76"/>
        <v>0</v>
      </c>
      <c r="P230" s="162">
        <f t="shared" si="77"/>
        <v>0</v>
      </c>
      <c r="Q230" s="162">
        <f t="shared" si="77"/>
        <v>0</v>
      </c>
      <c r="R230" s="162">
        <f t="shared" si="77"/>
        <v>0</v>
      </c>
      <c r="S230" s="162">
        <f t="shared" si="77"/>
        <v>0</v>
      </c>
      <c r="T230" s="162">
        <f t="shared" si="77"/>
        <v>0</v>
      </c>
      <c r="U230" s="162">
        <f t="shared" si="77"/>
        <v>0</v>
      </c>
      <c r="V230" s="162">
        <f t="shared" si="77"/>
        <v>0</v>
      </c>
      <c r="W230" s="162">
        <f t="shared" si="77"/>
        <v>0</v>
      </c>
      <c r="X230" s="162">
        <f t="shared" si="77"/>
        <v>0</v>
      </c>
      <c r="Y230" s="162">
        <f t="shared" si="77"/>
        <v>0</v>
      </c>
      <c r="Z230" s="162">
        <f t="shared" si="77"/>
        <v>0</v>
      </c>
      <c r="AA230" s="162">
        <f t="shared" si="77"/>
        <v>0</v>
      </c>
      <c r="AB230" s="163">
        <f t="shared" si="71"/>
        <v>0</v>
      </c>
      <c r="AC230" s="198"/>
    </row>
    <row r="231" spans="1:29" hidden="1" outlineLevel="1" x14ac:dyDescent="0.25">
      <c r="A231" s="14" t="str">
        <f t="shared" si="65"/>
        <v>TERC_OPER_1000_42</v>
      </c>
      <c r="B231" s="15" t="str">
        <f t="shared" si="66"/>
        <v>TERC_OPER_1000_0_0</v>
      </c>
      <c r="C231" s="83">
        <v>1000</v>
      </c>
      <c r="D231" s="15">
        <f t="shared" si="67"/>
        <v>0</v>
      </c>
      <c r="E231" s="15">
        <v>42</v>
      </c>
      <c r="F231" s="190">
        <f t="shared" si="75"/>
        <v>0</v>
      </c>
      <c r="G231" s="149" t="str">
        <f t="shared" si="75"/>
        <v/>
      </c>
      <c r="H231" s="150" t="str">
        <f t="shared" si="75"/>
        <v/>
      </c>
      <c r="I231" s="150">
        <f t="shared" si="75"/>
        <v>0</v>
      </c>
      <c r="J231" s="150">
        <f t="shared" si="75"/>
        <v>0</v>
      </c>
      <c r="K231" s="196"/>
      <c r="L231" s="197"/>
      <c r="M231" s="191">
        <f t="shared" si="76"/>
        <v>0</v>
      </c>
      <c r="N231" s="150">
        <f t="shared" si="76"/>
        <v>0</v>
      </c>
      <c r="O231" s="193">
        <f t="shared" si="76"/>
        <v>0</v>
      </c>
      <c r="P231" s="162">
        <f t="shared" si="77"/>
        <v>0</v>
      </c>
      <c r="Q231" s="162">
        <f t="shared" si="77"/>
        <v>0</v>
      </c>
      <c r="R231" s="162">
        <f t="shared" si="77"/>
        <v>0</v>
      </c>
      <c r="S231" s="162">
        <f t="shared" si="77"/>
        <v>0</v>
      </c>
      <c r="T231" s="162">
        <f t="shared" si="77"/>
        <v>0</v>
      </c>
      <c r="U231" s="162">
        <f t="shared" si="77"/>
        <v>0</v>
      </c>
      <c r="V231" s="162">
        <f t="shared" si="77"/>
        <v>0</v>
      </c>
      <c r="W231" s="162">
        <f t="shared" si="77"/>
        <v>0</v>
      </c>
      <c r="X231" s="162">
        <f t="shared" si="77"/>
        <v>0</v>
      </c>
      <c r="Y231" s="162">
        <f t="shared" si="77"/>
        <v>0</v>
      </c>
      <c r="Z231" s="162">
        <f t="shared" si="77"/>
        <v>0</v>
      </c>
      <c r="AA231" s="162">
        <f t="shared" si="77"/>
        <v>0</v>
      </c>
      <c r="AB231" s="163">
        <f t="shared" si="71"/>
        <v>0</v>
      </c>
      <c r="AC231" s="198"/>
    </row>
    <row r="232" spans="1:29" hidden="1" outlineLevel="1" x14ac:dyDescent="0.25">
      <c r="A232" s="14" t="str">
        <f t="shared" si="65"/>
        <v>TERC_OPER_1000_43</v>
      </c>
      <c r="B232" s="15" t="str">
        <f t="shared" si="66"/>
        <v>TERC_OPER_1000_0_0</v>
      </c>
      <c r="C232" s="83">
        <v>1000</v>
      </c>
      <c r="D232" s="15">
        <f t="shared" si="67"/>
        <v>0</v>
      </c>
      <c r="E232" s="15">
        <v>43</v>
      </c>
      <c r="F232" s="190">
        <f t="shared" si="75"/>
        <v>0</v>
      </c>
      <c r="G232" s="149" t="str">
        <f t="shared" si="75"/>
        <v/>
      </c>
      <c r="H232" s="150" t="str">
        <f t="shared" si="75"/>
        <v/>
      </c>
      <c r="I232" s="150">
        <f t="shared" si="75"/>
        <v>0</v>
      </c>
      <c r="J232" s="150">
        <f t="shared" si="75"/>
        <v>0</v>
      </c>
      <c r="K232" s="196"/>
      <c r="L232" s="197"/>
      <c r="M232" s="191">
        <f t="shared" si="76"/>
        <v>0</v>
      </c>
      <c r="N232" s="150">
        <f t="shared" si="76"/>
        <v>0</v>
      </c>
      <c r="O232" s="193">
        <f t="shared" si="76"/>
        <v>0</v>
      </c>
      <c r="P232" s="162">
        <f t="shared" si="77"/>
        <v>0</v>
      </c>
      <c r="Q232" s="162">
        <f t="shared" si="77"/>
        <v>0</v>
      </c>
      <c r="R232" s="162">
        <f t="shared" si="77"/>
        <v>0</v>
      </c>
      <c r="S232" s="162">
        <f t="shared" si="77"/>
        <v>0</v>
      </c>
      <c r="T232" s="162">
        <f t="shared" si="77"/>
        <v>0</v>
      </c>
      <c r="U232" s="162">
        <f t="shared" si="77"/>
        <v>0</v>
      </c>
      <c r="V232" s="162">
        <f t="shared" si="77"/>
        <v>0</v>
      </c>
      <c r="W232" s="162">
        <f t="shared" si="77"/>
        <v>0</v>
      </c>
      <c r="X232" s="162">
        <f t="shared" si="77"/>
        <v>0</v>
      </c>
      <c r="Y232" s="162">
        <f t="shared" si="77"/>
        <v>0</v>
      </c>
      <c r="Z232" s="162">
        <f t="shared" si="77"/>
        <v>0</v>
      </c>
      <c r="AA232" s="162">
        <f t="shared" si="77"/>
        <v>0</v>
      </c>
      <c r="AB232" s="163">
        <f t="shared" si="71"/>
        <v>0</v>
      </c>
      <c r="AC232" s="198"/>
    </row>
    <row r="233" spans="1:29" hidden="1" outlineLevel="1" x14ac:dyDescent="0.25">
      <c r="A233" s="14" t="str">
        <f t="shared" si="65"/>
        <v>TERC_OPER_1000_44</v>
      </c>
      <c r="B233" s="15" t="str">
        <f t="shared" si="66"/>
        <v>TERC_OPER_1000_0_0</v>
      </c>
      <c r="C233" s="83">
        <v>1000</v>
      </c>
      <c r="D233" s="15">
        <f t="shared" si="67"/>
        <v>0</v>
      </c>
      <c r="E233" s="15">
        <v>44</v>
      </c>
      <c r="F233" s="190">
        <f t="shared" si="75"/>
        <v>0</v>
      </c>
      <c r="G233" s="149" t="str">
        <f t="shared" si="75"/>
        <v/>
      </c>
      <c r="H233" s="150" t="str">
        <f t="shared" si="75"/>
        <v/>
      </c>
      <c r="I233" s="150">
        <f t="shared" si="75"/>
        <v>0</v>
      </c>
      <c r="J233" s="150">
        <f t="shared" si="75"/>
        <v>0</v>
      </c>
      <c r="K233" s="196"/>
      <c r="L233" s="197"/>
      <c r="M233" s="191">
        <f t="shared" si="76"/>
        <v>0</v>
      </c>
      <c r="N233" s="150">
        <f t="shared" si="76"/>
        <v>0</v>
      </c>
      <c r="O233" s="193">
        <f t="shared" si="76"/>
        <v>0</v>
      </c>
      <c r="P233" s="162">
        <f t="shared" si="77"/>
        <v>0</v>
      </c>
      <c r="Q233" s="162">
        <f t="shared" si="77"/>
        <v>0</v>
      </c>
      <c r="R233" s="162">
        <f t="shared" si="77"/>
        <v>0</v>
      </c>
      <c r="S233" s="162">
        <f t="shared" si="77"/>
        <v>0</v>
      </c>
      <c r="T233" s="162">
        <f t="shared" si="77"/>
        <v>0</v>
      </c>
      <c r="U233" s="162">
        <f t="shared" si="77"/>
        <v>0</v>
      </c>
      <c r="V233" s="162">
        <f t="shared" si="77"/>
        <v>0</v>
      </c>
      <c r="W233" s="162">
        <f t="shared" si="77"/>
        <v>0</v>
      </c>
      <c r="X233" s="162">
        <f t="shared" si="77"/>
        <v>0</v>
      </c>
      <c r="Y233" s="162">
        <f t="shared" si="77"/>
        <v>0</v>
      </c>
      <c r="Z233" s="162">
        <f t="shared" si="77"/>
        <v>0</v>
      </c>
      <c r="AA233" s="162">
        <f t="shared" si="77"/>
        <v>0</v>
      </c>
      <c r="AB233" s="163">
        <f t="shared" si="71"/>
        <v>0</v>
      </c>
      <c r="AC233" s="198"/>
    </row>
    <row r="234" spans="1:29" hidden="1" outlineLevel="1" x14ac:dyDescent="0.25">
      <c r="A234" s="14" t="str">
        <f t="shared" si="65"/>
        <v>TERC_OPER_1000_45</v>
      </c>
      <c r="B234" s="15" t="str">
        <f t="shared" si="66"/>
        <v>TERC_OPER_1000_0_0</v>
      </c>
      <c r="C234" s="83">
        <v>1000</v>
      </c>
      <c r="D234" s="15">
        <f t="shared" si="67"/>
        <v>0</v>
      </c>
      <c r="E234" s="15">
        <v>45</v>
      </c>
      <c r="F234" s="190">
        <f t="shared" si="75"/>
        <v>0</v>
      </c>
      <c r="G234" s="149" t="str">
        <f t="shared" si="75"/>
        <v/>
      </c>
      <c r="H234" s="150" t="str">
        <f t="shared" si="75"/>
        <v/>
      </c>
      <c r="I234" s="150">
        <f t="shared" si="75"/>
        <v>0</v>
      </c>
      <c r="J234" s="150">
        <f t="shared" si="75"/>
        <v>0</v>
      </c>
      <c r="K234" s="196"/>
      <c r="L234" s="197"/>
      <c r="M234" s="191">
        <f t="shared" si="76"/>
        <v>0</v>
      </c>
      <c r="N234" s="150">
        <f t="shared" si="76"/>
        <v>0</v>
      </c>
      <c r="O234" s="193">
        <f t="shared" si="76"/>
        <v>0</v>
      </c>
      <c r="P234" s="162">
        <f t="shared" si="77"/>
        <v>0</v>
      </c>
      <c r="Q234" s="162">
        <f t="shared" si="77"/>
        <v>0</v>
      </c>
      <c r="R234" s="162">
        <f t="shared" si="77"/>
        <v>0</v>
      </c>
      <c r="S234" s="162">
        <f t="shared" si="77"/>
        <v>0</v>
      </c>
      <c r="T234" s="162">
        <f t="shared" si="77"/>
        <v>0</v>
      </c>
      <c r="U234" s="162">
        <f t="shared" si="77"/>
        <v>0</v>
      </c>
      <c r="V234" s="162">
        <f t="shared" si="77"/>
        <v>0</v>
      </c>
      <c r="W234" s="162">
        <f t="shared" si="77"/>
        <v>0</v>
      </c>
      <c r="X234" s="162">
        <f t="shared" si="77"/>
        <v>0</v>
      </c>
      <c r="Y234" s="162">
        <f t="shared" si="77"/>
        <v>0</v>
      </c>
      <c r="Z234" s="162">
        <f t="shared" si="77"/>
        <v>0</v>
      </c>
      <c r="AA234" s="162">
        <f t="shared" si="77"/>
        <v>0</v>
      </c>
      <c r="AB234" s="163">
        <f t="shared" si="71"/>
        <v>0</v>
      </c>
      <c r="AC234" s="198"/>
    </row>
    <row r="235" spans="1:29" hidden="1" outlineLevel="1" x14ac:dyDescent="0.25">
      <c r="A235" s="14" t="str">
        <f t="shared" si="65"/>
        <v>TERC_OPER__</v>
      </c>
      <c r="F235" s="137" t="s">
        <v>253</v>
      </c>
      <c r="G235" s="138"/>
      <c r="H235" s="139" t="s">
        <v>217</v>
      </c>
      <c r="I235" s="139" t="s">
        <v>218</v>
      </c>
      <c r="J235" s="139" t="s">
        <v>219</v>
      </c>
      <c r="K235" s="140"/>
      <c r="L235" s="141"/>
      <c r="M235" s="142" t="s">
        <v>220</v>
      </c>
      <c r="N235" s="139" t="s">
        <v>221</v>
      </c>
      <c r="O235" s="143" t="s">
        <v>222</v>
      </c>
      <c r="P235" s="35">
        <f t="shared" ref="P235:AA235" si="78">P$9</f>
        <v>46113</v>
      </c>
      <c r="Q235" s="35">
        <f t="shared" si="78"/>
        <v>46143</v>
      </c>
      <c r="R235" s="35">
        <f t="shared" si="78"/>
        <v>46174</v>
      </c>
      <c r="S235" s="35">
        <f t="shared" si="78"/>
        <v>46204</v>
      </c>
      <c r="T235" s="35">
        <f t="shared" si="78"/>
        <v>46235</v>
      </c>
      <c r="U235" s="35">
        <f t="shared" si="78"/>
        <v>46266</v>
      </c>
      <c r="V235" s="35">
        <f t="shared" si="78"/>
        <v>46296</v>
      </c>
      <c r="W235" s="35">
        <f t="shared" si="78"/>
        <v>46327</v>
      </c>
      <c r="X235" s="35">
        <f t="shared" si="78"/>
        <v>46357</v>
      </c>
      <c r="Y235" s="35">
        <f t="shared" si="78"/>
        <v>46388</v>
      </c>
      <c r="Z235" s="35">
        <f t="shared" si="78"/>
        <v>46419</v>
      </c>
      <c r="AA235" s="35">
        <f t="shared" si="78"/>
        <v>46447</v>
      </c>
      <c r="AB235" s="81" t="s">
        <v>223</v>
      </c>
      <c r="AC235" s="82" t="s">
        <v>192</v>
      </c>
    </row>
    <row r="236" spans="1:29" hidden="1" outlineLevel="1" x14ac:dyDescent="0.25">
      <c r="A236" s="14" t="str">
        <f t="shared" si="65"/>
        <v>TERC_OPER__1</v>
      </c>
      <c r="B236" s="15" t="e">
        <f t="shared" ref="B236:B280" si="79">"TERC_OPER_"&amp;C236&amp;"_"&amp;F236&amp;"_"&amp;J236</f>
        <v>#REF!</v>
      </c>
      <c r="C236" s="83"/>
      <c r="D236" s="15" t="e">
        <f t="shared" ref="D236:D280" si="80">J236</f>
        <v>#REF!</v>
      </c>
      <c r="E236" s="15">
        <v>1</v>
      </c>
      <c r="F236" s="190" t="e">
        <f t="shared" ref="F236:J251" si="81">F190</f>
        <v>#REF!</v>
      </c>
      <c r="G236" s="149" t="e">
        <f t="shared" si="81"/>
        <v>#REF!</v>
      </c>
      <c r="H236" s="150" t="e">
        <f t="shared" si="81"/>
        <v>#REF!</v>
      </c>
      <c r="I236" s="150" t="e">
        <f t="shared" si="81"/>
        <v>#REF!</v>
      </c>
      <c r="J236" s="150" t="e">
        <f t="shared" si="81"/>
        <v>#REF!</v>
      </c>
      <c r="K236" s="196"/>
      <c r="L236" s="197"/>
      <c r="M236" s="191" t="e">
        <f t="shared" ref="M236:O251" si="82">M190</f>
        <v>#REF!</v>
      </c>
      <c r="N236" s="150" t="e">
        <f t="shared" si="82"/>
        <v>#REF!</v>
      </c>
      <c r="O236" s="193" t="e">
        <f t="shared" si="82"/>
        <v>#REF!</v>
      </c>
      <c r="P236" s="162">
        <f>IFERROR(SUMIF($B$16:$B$43,$C236&amp;$I236,P$16:P$43)/SUMIF($D$16:$D$43,$I236,P$16:P$43)*#REF!,0)</f>
        <v>0</v>
      </c>
      <c r="Q236" s="162">
        <f>IFERROR(SUMIF($B$16:$B$43,$C236&amp;$I236,Q$16:Q$43)/SUMIF($D$16:$D$43,$I236,Q$16:Q$43)*#REF!,0)</f>
        <v>0</v>
      </c>
      <c r="R236" s="162">
        <f>IFERROR(SUMIF($B$16:$B$43,$C236&amp;$I236,R$16:R$43)/SUMIF($D$16:$D$43,$I236,R$16:R$43)*#REF!,0)</f>
        <v>0</v>
      </c>
      <c r="S236" s="162">
        <f>IFERROR(SUMIF($B$16:$B$43,$C236&amp;$I236,S$16:S$43)/SUMIF($D$16:$D$43,$I236,S$16:S$43)*#REF!,0)</f>
        <v>0</v>
      </c>
      <c r="T236" s="162">
        <f>IFERROR(SUMIF($B$16:$B$43,$C236&amp;$I236,T$16:T$43)/SUMIF($D$16:$D$43,$I236,T$16:T$43)*#REF!,0)</f>
        <v>0</v>
      </c>
      <c r="U236" s="162">
        <f>IFERROR(SUMIF($B$16:$B$43,$C236&amp;$I236,U$16:U$43)/SUMIF($D$16:$D$43,$I236,U$16:U$43)*#REF!,0)</f>
        <v>0</v>
      </c>
      <c r="V236" s="162">
        <f>IFERROR(SUMIF($B$16:$B$43,$C236&amp;$I236,V$16:V$43)/SUMIF($D$16:$D$43,$I236,V$16:V$43)*#REF!,0)</f>
        <v>0</v>
      </c>
      <c r="W236" s="162">
        <f>IFERROR(SUMIF($B$16:$B$43,$C236&amp;$I236,W$16:W$43)/SUMIF($D$16:$D$43,$I236,W$16:W$43)*#REF!,0)</f>
        <v>0</v>
      </c>
      <c r="X236" s="162">
        <f>IFERROR(SUMIF($B$16:$B$43,$C236&amp;$I236,X$16:X$43)/SUMIF($D$16:$D$43,$I236,X$16:X$43)*#REF!,0)</f>
        <v>0</v>
      </c>
      <c r="Y236" s="162">
        <f>IFERROR(SUMIF($B$16:$B$43,$C236&amp;$I236,Y$16:Y$43)/SUMIF($D$16:$D$43,$I236,Y$16:Y$43)*#REF!,0)</f>
        <v>0</v>
      </c>
      <c r="Z236" s="162">
        <f>IFERROR(SUMIF($B$16:$B$43,$C236&amp;$I236,Z$16:Z$43)/SUMIF($D$16:$D$43,$I236,Z$16:Z$43)*#REF!,0)</f>
        <v>0</v>
      </c>
      <c r="AA236" s="162">
        <f>IFERROR(SUMIF($B$16:$B$43,$C236&amp;$I236,AA$16:AA$43)/SUMIF($D$16:$D$43,$I236,AA$16:AA$43)*#REF!,0)</f>
        <v>0</v>
      </c>
      <c r="AB236" s="163">
        <f>SUM(P236:AA236)</f>
        <v>0</v>
      </c>
      <c r="AC236" s="198"/>
    </row>
    <row r="237" spans="1:29" hidden="1" outlineLevel="1" x14ac:dyDescent="0.25">
      <c r="A237" s="14" t="str">
        <f t="shared" si="65"/>
        <v>TERC_OPER__2</v>
      </c>
      <c r="B237" s="15" t="str">
        <f t="shared" si="79"/>
        <v>TERC_OPER__1096_1</v>
      </c>
      <c r="C237" s="83"/>
      <c r="D237" s="15">
        <f t="shared" si="80"/>
        <v>1</v>
      </c>
      <c r="E237" s="15">
        <v>2</v>
      </c>
      <c r="F237" s="190">
        <f t="shared" si="81"/>
        <v>1096</v>
      </c>
      <c r="G237" s="149" t="str">
        <f t="shared" si="81"/>
        <v/>
      </c>
      <c r="H237" s="150" t="str">
        <f t="shared" si="81"/>
        <v/>
      </c>
      <c r="I237" s="150" t="str">
        <f t="shared" si="81"/>
        <v>PREPSP</v>
      </c>
      <c r="J237" s="150">
        <f t="shared" si="81"/>
        <v>1</v>
      </c>
      <c r="K237" s="196"/>
      <c r="L237" s="197"/>
      <c r="M237" s="191">
        <f t="shared" si="82"/>
        <v>0</v>
      </c>
      <c r="N237" s="150">
        <f t="shared" si="82"/>
        <v>0</v>
      </c>
      <c r="O237" s="193">
        <f t="shared" si="82"/>
        <v>1</v>
      </c>
      <c r="P237" s="162">
        <f t="shared" ref="P237:AA252" si="83">IFERROR(SUMIF($B$16:$B$43,$C237&amp;$I237,P$16:P$43)/SUMIF($D$16:$D$43,$I237,P$16:P$43)*P49,0)</f>
        <v>0</v>
      </c>
      <c r="Q237" s="162">
        <f t="shared" si="83"/>
        <v>0</v>
      </c>
      <c r="R237" s="162">
        <f t="shared" si="83"/>
        <v>0</v>
      </c>
      <c r="S237" s="162">
        <f t="shared" si="83"/>
        <v>0</v>
      </c>
      <c r="T237" s="162">
        <f t="shared" si="83"/>
        <v>0</v>
      </c>
      <c r="U237" s="162">
        <f>IFERROR(SUMIF($B$16:$B$43,$C237&amp;$I237,U$16:U$43)/SUMIF($D$16:$D$43,$I237,U$16:U$43)*U49,0)</f>
        <v>0</v>
      </c>
      <c r="V237" s="162">
        <f>IFERROR(SUMIF($B$16:$B$43,$C237&amp;$I237,V$16:V$43)/SUMIF($D$16:$D$43,$I237,V$16:V$43)*V49,0)</f>
        <v>0</v>
      </c>
      <c r="W237" s="162">
        <f t="shared" si="83"/>
        <v>0</v>
      </c>
      <c r="X237" s="162">
        <f t="shared" si="83"/>
        <v>0</v>
      </c>
      <c r="Y237" s="162">
        <f t="shared" si="83"/>
        <v>0</v>
      </c>
      <c r="Z237" s="162">
        <f t="shared" si="83"/>
        <v>0</v>
      </c>
      <c r="AA237" s="162">
        <f t="shared" si="83"/>
        <v>0</v>
      </c>
      <c r="AB237" s="163">
        <f t="shared" ref="AB237:AB280" si="84">SUM(P237:AA237)</f>
        <v>0</v>
      </c>
      <c r="AC237" s="198"/>
    </row>
    <row r="238" spans="1:29" hidden="1" outlineLevel="1" x14ac:dyDescent="0.25">
      <c r="A238" s="14" t="str">
        <f t="shared" si="65"/>
        <v>TERC_OPER__3</v>
      </c>
      <c r="B238" s="15" t="str">
        <f t="shared" si="79"/>
        <v>TERC_OPER__1079_1</v>
      </c>
      <c r="C238" s="83"/>
      <c r="D238" s="15">
        <f t="shared" si="80"/>
        <v>1</v>
      </c>
      <c r="E238" s="15">
        <v>3</v>
      </c>
      <c r="F238" s="190">
        <f t="shared" si="81"/>
        <v>1079</v>
      </c>
      <c r="G238" s="149" t="str">
        <f t="shared" si="81"/>
        <v/>
      </c>
      <c r="H238" s="150" t="str">
        <f t="shared" si="81"/>
        <v/>
      </c>
      <c r="I238" s="150" t="str">
        <f t="shared" si="81"/>
        <v>PREPSP</v>
      </c>
      <c r="J238" s="150">
        <f t="shared" si="81"/>
        <v>1</v>
      </c>
      <c r="K238" s="196"/>
      <c r="L238" s="197"/>
      <c r="M238" s="191">
        <f t="shared" si="82"/>
        <v>0</v>
      </c>
      <c r="N238" s="150">
        <f t="shared" si="82"/>
        <v>0</v>
      </c>
      <c r="O238" s="193">
        <f t="shared" si="82"/>
        <v>1</v>
      </c>
      <c r="P238" s="162">
        <f t="shared" si="83"/>
        <v>0</v>
      </c>
      <c r="Q238" s="162">
        <f t="shared" si="83"/>
        <v>0</v>
      </c>
      <c r="R238" s="162">
        <f t="shared" si="83"/>
        <v>0</v>
      </c>
      <c r="S238" s="162">
        <f t="shared" si="83"/>
        <v>0</v>
      </c>
      <c r="T238" s="162">
        <f t="shared" si="83"/>
        <v>0</v>
      </c>
      <c r="U238" s="162">
        <f t="shared" si="83"/>
        <v>0</v>
      </c>
      <c r="V238" s="162">
        <f t="shared" si="83"/>
        <v>0</v>
      </c>
      <c r="W238" s="162">
        <f t="shared" si="83"/>
        <v>0</v>
      </c>
      <c r="X238" s="162">
        <f t="shared" si="83"/>
        <v>0</v>
      </c>
      <c r="Y238" s="162">
        <f t="shared" si="83"/>
        <v>0</v>
      </c>
      <c r="Z238" s="162">
        <f t="shared" si="83"/>
        <v>0</v>
      </c>
      <c r="AA238" s="162">
        <f t="shared" si="83"/>
        <v>0</v>
      </c>
      <c r="AB238" s="163">
        <f t="shared" si="84"/>
        <v>0</v>
      </c>
      <c r="AC238" s="198"/>
    </row>
    <row r="239" spans="1:29" hidden="1" outlineLevel="1" x14ac:dyDescent="0.25">
      <c r="A239" s="14" t="str">
        <f t="shared" si="65"/>
        <v>TERC_OPER__4</v>
      </c>
      <c r="B239" s="15" t="str">
        <f t="shared" si="79"/>
        <v>TERC_OPER__1028_1</v>
      </c>
      <c r="C239" s="83"/>
      <c r="D239" s="15">
        <f t="shared" si="80"/>
        <v>1</v>
      </c>
      <c r="E239" s="15">
        <v>4</v>
      </c>
      <c r="F239" s="190">
        <f t="shared" si="81"/>
        <v>1028</v>
      </c>
      <c r="G239" s="149" t="str">
        <f t="shared" si="81"/>
        <v/>
      </c>
      <c r="H239" s="150" t="str">
        <f t="shared" si="81"/>
        <v/>
      </c>
      <c r="I239" s="150" t="str">
        <f t="shared" si="81"/>
        <v>PREPSP</v>
      </c>
      <c r="J239" s="150">
        <f t="shared" si="81"/>
        <v>1</v>
      </c>
      <c r="K239" s="196"/>
      <c r="L239" s="197"/>
      <c r="M239" s="191">
        <f t="shared" si="82"/>
        <v>0</v>
      </c>
      <c r="N239" s="150">
        <f t="shared" si="82"/>
        <v>0</v>
      </c>
      <c r="O239" s="193">
        <f t="shared" si="82"/>
        <v>1</v>
      </c>
      <c r="P239" s="162">
        <f t="shared" si="83"/>
        <v>0</v>
      </c>
      <c r="Q239" s="162">
        <f t="shared" si="83"/>
        <v>0</v>
      </c>
      <c r="R239" s="162">
        <f t="shared" si="83"/>
        <v>0</v>
      </c>
      <c r="S239" s="162">
        <f t="shared" si="83"/>
        <v>0</v>
      </c>
      <c r="T239" s="162">
        <f t="shared" si="83"/>
        <v>0</v>
      </c>
      <c r="U239" s="162">
        <f t="shared" si="83"/>
        <v>0</v>
      </c>
      <c r="V239" s="162">
        <f t="shared" si="83"/>
        <v>0</v>
      </c>
      <c r="W239" s="162">
        <f t="shared" si="83"/>
        <v>0</v>
      </c>
      <c r="X239" s="162">
        <f t="shared" si="83"/>
        <v>0</v>
      </c>
      <c r="Y239" s="162">
        <f t="shared" si="83"/>
        <v>0</v>
      </c>
      <c r="Z239" s="162">
        <f t="shared" si="83"/>
        <v>0</v>
      </c>
      <c r="AA239" s="162">
        <f t="shared" si="83"/>
        <v>0</v>
      </c>
      <c r="AB239" s="163">
        <f t="shared" si="84"/>
        <v>0</v>
      </c>
      <c r="AC239" s="198"/>
    </row>
    <row r="240" spans="1:29" hidden="1" outlineLevel="1" x14ac:dyDescent="0.25">
      <c r="A240" s="14" t="str">
        <f t="shared" si="65"/>
        <v>TERC_OPER__5</v>
      </c>
      <c r="B240" s="15" t="str">
        <f t="shared" si="79"/>
        <v>TERC_OPER__1029_1</v>
      </c>
      <c r="C240" s="83"/>
      <c r="D240" s="15">
        <f t="shared" si="80"/>
        <v>1</v>
      </c>
      <c r="E240" s="15">
        <v>5</v>
      </c>
      <c r="F240" s="190">
        <f t="shared" si="81"/>
        <v>1029</v>
      </c>
      <c r="G240" s="149" t="str">
        <f t="shared" si="81"/>
        <v/>
      </c>
      <c r="H240" s="150" t="str">
        <f t="shared" si="81"/>
        <v/>
      </c>
      <c r="I240" s="150" t="str">
        <f t="shared" si="81"/>
        <v>PREPSP</v>
      </c>
      <c r="J240" s="150">
        <f t="shared" si="81"/>
        <v>1</v>
      </c>
      <c r="K240" s="196"/>
      <c r="L240" s="197"/>
      <c r="M240" s="191">
        <f t="shared" si="82"/>
        <v>0</v>
      </c>
      <c r="N240" s="150">
        <f t="shared" si="82"/>
        <v>0</v>
      </c>
      <c r="O240" s="193">
        <f t="shared" si="82"/>
        <v>1</v>
      </c>
      <c r="P240" s="162">
        <f t="shared" si="83"/>
        <v>0</v>
      </c>
      <c r="Q240" s="162">
        <f t="shared" si="83"/>
        <v>0</v>
      </c>
      <c r="R240" s="162">
        <f t="shared" si="83"/>
        <v>0</v>
      </c>
      <c r="S240" s="162">
        <f t="shared" si="83"/>
        <v>0</v>
      </c>
      <c r="T240" s="162">
        <f t="shared" si="83"/>
        <v>0</v>
      </c>
      <c r="U240" s="162">
        <f t="shared" si="83"/>
        <v>0</v>
      </c>
      <c r="V240" s="162">
        <f t="shared" si="83"/>
        <v>0</v>
      </c>
      <c r="W240" s="162">
        <f t="shared" si="83"/>
        <v>0</v>
      </c>
      <c r="X240" s="162">
        <f t="shared" si="83"/>
        <v>0</v>
      </c>
      <c r="Y240" s="162">
        <f t="shared" si="83"/>
        <v>0</v>
      </c>
      <c r="Z240" s="162">
        <f t="shared" si="83"/>
        <v>0</v>
      </c>
      <c r="AA240" s="162">
        <f t="shared" si="83"/>
        <v>0</v>
      </c>
      <c r="AB240" s="163">
        <f t="shared" si="84"/>
        <v>0</v>
      </c>
      <c r="AC240" s="198"/>
    </row>
    <row r="241" spans="1:29" hidden="1" outlineLevel="1" x14ac:dyDescent="0.25">
      <c r="A241" s="14" t="str">
        <f t="shared" si="65"/>
        <v>TERC_OPER__6</v>
      </c>
      <c r="B241" s="15" t="str">
        <f t="shared" si="79"/>
        <v>TERC_OPER__0_0</v>
      </c>
      <c r="C241" s="83"/>
      <c r="D241" s="15">
        <f t="shared" si="80"/>
        <v>0</v>
      </c>
      <c r="E241" s="15">
        <v>6</v>
      </c>
      <c r="F241" s="190">
        <f t="shared" si="81"/>
        <v>0</v>
      </c>
      <c r="G241" s="149" t="str">
        <f t="shared" si="81"/>
        <v/>
      </c>
      <c r="H241" s="150" t="str">
        <f t="shared" si="81"/>
        <v/>
      </c>
      <c r="I241" s="150">
        <f t="shared" si="81"/>
        <v>0</v>
      </c>
      <c r="J241" s="150">
        <f t="shared" si="81"/>
        <v>0</v>
      </c>
      <c r="K241" s="196"/>
      <c r="L241" s="197"/>
      <c r="M241" s="191">
        <f t="shared" si="82"/>
        <v>0</v>
      </c>
      <c r="N241" s="150">
        <f t="shared" si="82"/>
        <v>0</v>
      </c>
      <c r="O241" s="193">
        <f t="shared" si="82"/>
        <v>0</v>
      </c>
      <c r="P241" s="162">
        <f t="shared" si="83"/>
        <v>0</v>
      </c>
      <c r="Q241" s="162">
        <f t="shared" si="83"/>
        <v>0</v>
      </c>
      <c r="R241" s="162">
        <f t="shared" si="83"/>
        <v>0</v>
      </c>
      <c r="S241" s="162">
        <f t="shared" si="83"/>
        <v>0</v>
      </c>
      <c r="T241" s="162">
        <f t="shared" si="83"/>
        <v>0</v>
      </c>
      <c r="U241" s="162">
        <f t="shared" si="83"/>
        <v>0</v>
      </c>
      <c r="V241" s="162">
        <f t="shared" si="83"/>
        <v>0</v>
      </c>
      <c r="W241" s="162">
        <f t="shared" si="83"/>
        <v>0</v>
      </c>
      <c r="X241" s="162">
        <f t="shared" si="83"/>
        <v>0</v>
      </c>
      <c r="Y241" s="162">
        <f t="shared" si="83"/>
        <v>0</v>
      </c>
      <c r="Z241" s="162">
        <f t="shared" si="83"/>
        <v>0</v>
      </c>
      <c r="AA241" s="162">
        <f t="shared" si="83"/>
        <v>0</v>
      </c>
      <c r="AB241" s="163">
        <f t="shared" si="84"/>
        <v>0</v>
      </c>
      <c r="AC241" s="198"/>
    </row>
    <row r="242" spans="1:29" hidden="1" outlineLevel="1" x14ac:dyDescent="0.25">
      <c r="A242" s="14" t="str">
        <f t="shared" si="65"/>
        <v>TERC_OPER__7</v>
      </c>
      <c r="B242" s="15" t="str">
        <f t="shared" si="79"/>
        <v>TERC_OPER__0_0</v>
      </c>
      <c r="C242" s="83"/>
      <c r="D242" s="15">
        <f t="shared" si="80"/>
        <v>0</v>
      </c>
      <c r="E242" s="15">
        <v>7</v>
      </c>
      <c r="F242" s="190">
        <f t="shared" si="81"/>
        <v>0</v>
      </c>
      <c r="G242" s="149" t="str">
        <f t="shared" si="81"/>
        <v/>
      </c>
      <c r="H242" s="150" t="str">
        <f t="shared" si="81"/>
        <v/>
      </c>
      <c r="I242" s="150">
        <f t="shared" si="81"/>
        <v>0</v>
      </c>
      <c r="J242" s="150">
        <f t="shared" si="81"/>
        <v>0</v>
      </c>
      <c r="K242" s="196"/>
      <c r="L242" s="197"/>
      <c r="M242" s="191">
        <f t="shared" si="82"/>
        <v>0</v>
      </c>
      <c r="N242" s="150">
        <f t="shared" si="82"/>
        <v>0</v>
      </c>
      <c r="O242" s="193">
        <f t="shared" si="82"/>
        <v>0</v>
      </c>
      <c r="P242" s="162">
        <f t="shared" si="83"/>
        <v>0</v>
      </c>
      <c r="Q242" s="162">
        <f t="shared" si="83"/>
        <v>0</v>
      </c>
      <c r="R242" s="162">
        <f t="shared" si="83"/>
        <v>0</v>
      </c>
      <c r="S242" s="162">
        <f t="shared" si="83"/>
        <v>0</v>
      </c>
      <c r="T242" s="162">
        <f t="shared" si="83"/>
        <v>0</v>
      </c>
      <c r="U242" s="162">
        <f t="shared" si="83"/>
        <v>0</v>
      </c>
      <c r="V242" s="162">
        <f t="shared" si="83"/>
        <v>0</v>
      </c>
      <c r="W242" s="162">
        <f t="shared" si="83"/>
        <v>0</v>
      </c>
      <c r="X242" s="162">
        <f t="shared" si="83"/>
        <v>0</v>
      </c>
      <c r="Y242" s="162">
        <f t="shared" si="83"/>
        <v>0</v>
      </c>
      <c r="Z242" s="162">
        <f t="shared" si="83"/>
        <v>0</v>
      </c>
      <c r="AA242" s="162">
        <f t="shared" si="83"/>
        <v>0</v>
      </c>
      <c r="AB242" s="163">
        <f t="shared" si="84"/>
        <v>0</v>
      </c>
      <c r="AC242" s="198"/>
    </row>
    <row r="243" spans="1:29" hidden="1" outlineLevel="1" x14ac:dyDescent="0.25">
      <c r="A243" s="14" t="str">
        <f t="shared" si="65"/>
        <v>TERC_OPER__8</v>
      </c>
      <c r="B243" s="15" t="str">
        <f t="shared" si="79"/>
        <v>TERC_OPER__0_0</v>
      </c>
      <c r="C243" s="83"/>
      <c r="D243" s="15">
        <f t="shared" si="80"/>
        <v>0</v>
      </c>
      <c r="E243" s="15">
        <v>8</v>
      </c>
      <c r="F243" s="190">
        <f t="shared" si="81"/>
        <v>0</v>
      </c>
      <c r="G243" s="149" t="str">
        <f t="shared" si="81"/>
        <v/>
      </c>
      <c r="H243" s="150" t="str">
        <f t="shared" si="81"/>
        <v/>
      </c>
      <c r="I243" s="150">
        <f t="shared" si="81"/>
        <v>0</v>
      </c>
      <c r="J243" s="150">
        <f t="shared" si="81"/>
        <v>0</v>
      </c>
      <c r="K243" s="196"/>
      <c r="L243" s="197"/>
      <c r="M243" s="191">
        <f t="shared" si="82"/>
        <v>0</v>
      </c>
      <c r="N243" s="150">
        <f t="shared" si="82"/>
        <v>0</v>
      </c>
      <c r="O243" s="193">
        <f t="shared" si="82"/>
        <v>0</v>
      </c>
      <c r="P243" s="162">
        <f t="shared" si="83"/>
        <v>0</v>
      </c>
      <c r="Q243" s="162">
        <f t="shared" si="83"/>
        <v>0</v>
      </c>
      <c r="R243" s="162">
        <f t="shared" si="83"/>
        <v>0</v>
      </c>
      <c r="S243" s="162">
        <f t="shared" si="83"/>
        <v>0</v>
      </c>
      <c r="T243" s="162">
        <f t="shared" si="83"/>
        <v>0</v>
      </c>
      <c r="U243" s="162">
        <f t="shared" si="83"/>
        <v>0</v>
      </c>
      <c r="V243" s="162">
        <f t="shared" si="83"/>
        <v>0</v>
      </c>
      <c r="W243" s="162">
        <f t="shared" si="83"/>
        <v>0</v>
      </c>
      <c r="X243" s="162">
        <f t="shared" si="83"/>
        <v>0</v>
      </c>
      <c r="Y243" s="162">
        <f t="shared" si="83"/>
        <v>0</v>
      </c>
      <c r="Z243" s="162">
        <f t="shared" si="83"/>
        <v>0</v>
      </c>
      <c r="AA243" s="162">
        <f t="shared" si="83"/>
        <v>0</v>
      </c>
      <c r="AB243" s="163">
        <f t="shared" si="84"/>
        <v>0</v>
      </c>
      <c r="AC243" s="198"/>
    </row>
    <row r="244" spans="1:29" hidden="1" outlineLevel="1" x14ac:dyDescent="0.25">
      <c r="A244" s="14" t="str">
        <f t="shared" si="65"/>
        <v>TERC_OPER__9</v>
      </c>
      <c r="B244" s="15" t="str">
        <f t="shared" si="79"/>
        <v>TERC_OPER__0_0</v>
      </c>
      <c r="C244" s="83"/>
      <c r="D244" s="15">
        <f t="shared" si="80"/>
        <v>0</v>
      </c>
      <c r="E244" s="15">
        <v>9</v>
      </c>
      <c r="F244" s="190">
        <f t="shared" si="81"/>
        <v>0</v>
      </c>
      <c r="G244" s="149" t="str">
        <f t="shared" si="81"/>
        <v/>
      </c>
      <c r="H244" s="150" t="str">
        <f t="shared" si="81"/>
        <v/>
      </c>
      <c r="I244" s="150">
        <f t="shared" si="81"/>
        <v>0</v>
      </c>
      <c r="J244" s="150">
        <f t="shared" si="81"/>
        <v>0</v>
      </c>
      <c r="K244" s="196"/>
      <c r="L244" s="197"/>
      <c r="M244" s="191">
        <f t="shared" si="82"/>
        <v>0</v>
      </c>
      <c r="N244" s="150">
        <f t="shared" si="82"/>
        <v>0</v>
      </c>
      <c r="O244" s="193">
        <f t="shared" si="82"/>
        <v>0</v>
      </c>
      <c r="P244" s="162">
        <f t="shared" si="83"/>
        <v>0</v>
      </c>
      <c r="Q244" s="162">
        <f t="shared" si="83"/>
        <v>0</v>
      </c>
      <c r="R244" s="162">
        <f t="shared" si="83"/>
        <v>0</v>
      </c>
      <c r="S244" s="162">
        <f t="shared" si="83"/>
        <v>0</v>
      </c>
      <c r="T244" s="162">
        <f t="shared" si="83"/>
        <v>0</v>
      </c>
      <c r="U244" s="162">
        <f t="shared" si="83"/>
        <v>0</v>
      </c>
      <c r="V244" s="162">
        <f t="shared" si="83"/>
        <v>0</v>
      </c>
      <c r="W244" s="162">
        <f t="shared" si="83"/>
        <v>0</v>
      </c>
      <c r="X244" s="162">
        <f t="shared" si="83"/>
        <v>0</v>
      </c>
      <c r="Y244" s="162">
        <f t="shared" si="83"/>
        <v>0</v>
      </c>
      <c r="Z244" s="162">
        <f t="shared" si="83"/>
        <v>0</v>
      </c>
      <c r="AA244" s="162">
        <f t="shared" si="83"/>
        <v>0</v>
      </c>
      <c r="AB244" s="163">
        <f t="shared" si="84"/>
        <v>0</v>
      </c>
      <c r="AC244" s="198"/>
    </row>
    <row r="245" spans="1:29" hidden="1" outlineLevel="1" x14ac:dyDescent="0.25">
      <c r="A245" s="14" t="str">
        <f t="shared" si="65"/>
        <v>TERC_OPER__10</v>
      </c>
      <c r="B245" s="15" t="str">
        <f t="shared" si="79"/>
        <v>TERC_OPER__0_0</v>
      </c>
      <c r="C245" s="83"/>
      <c r="D245" s="15">
        <f t="shared" si="80"/>
        <v>0</v>
      </c>
      <c r="E245" s="15">
        <v>10</v>
      </c>
      <c r="F245" s="190">
        <f t="shared" si="81"/>
        <v>0</v>
      </c>
      <c r="G245" s="149" t="str">
        <f t="shared" si="81"/>
        <v/>
      </c>
      <c r="H245" s="150" t="str">
        <f t="shared" si="81"/>
        <v/>
      </c>
      <c r="I245" s="150">
        <f t="shared" si="81"/>
        <v>0</v>
      </c>
      <c r="J245" s="150">
        <f t="shared" si="81"/>
        <v>0</v>
      </c>
      <c r="K245" s="196"/>
      <c r="L245" s="197"/>
      <c r="M245" s="191">
        <f t="shared" si="82"/>
        <v>0</v>
      </c>
      <c r="N245" s="150">
        <f t="shared" si="82"/>
        <v>0</v>
      </c>
      <c r="O245" s="193">
        <f t="shared" si="82"/>
        <v>0</v>
      </c>
      <c r="P245" s="162">
        <f t="shared" si="83"/>
        <v>0</v>
      </c>
      <c r="Q245" s="162">
        <f t="shared" si="83"/>
        <v>0</v>
      </c>
      <c r="R245" s="162">
        <f t="shared" si="83"/>
        <v>0</v>
      </c>
      <c r="S245" s="162">
        <f t="shared" si="83"/>
        <v>0</v>
      </c>
      <c r="T245" s="162">
        <f t="shared" si="83"/>
        <v>0</v>
      </c>
      <c r="U245" s="162">
        <f t="shared" si="83"/>
        <v>0</v>
      </c>
      <c r="V245" s="162">
        <f t="shared" si="83"/>
        <v>0</v>
      </c>
      <c r="W245" s="162">
        <f t="shared" si="83"/>
        <v>0</v>
      </c>
      <c r="X245" s="162">
        <f t="shared" si="83"/>
        <v>0</v>
      </c>
      <c r="Y245" s="162">
        <f t="shared" si="83"/>
        <v>0</v>
      </c>
      <c r="Z245" s="162">
        <f t="shared" si="83"/>
        <v>0</v>
      </c>
      <c r="AA245" s="162">
        <f t="shared" si="83"/>
        <v>0</v>
      </c>
      <c r="AB245" s="163">
        <f t="shared" si="84"/>
        <v>0</v>
      </c>
      <c r="AC245" s="198"/>
    </row>
    <row r="246" spans="1:29" hidden="1" outlineLevel="1" x14ac:dyDescent="0.25">
      <c r="A246" s="14" t="str">
        <f t="shared" si="65"/>
        <v>TERC_OPER__11</v>
      </c>
      <c r="B246" s="15" t="str">
        <f t="shared" si="79"/>
        <v>TERC_OPER__0_0</v>
      </c>
      <c r="C246" s="83"/>
      <c r="D246" s="15">
        <f t="shared" si="80"/>
        <v>0</v>
      </c>
      <c r="E246" s="15">
        <v>11</v>
      </c>
      <c r="F246" s="190">
        <f t="shared" si="81"/>
        <v>0</v>
      </c>
      <c r="G246" s="149" t="str">
        <f t="shared" si="81"/>
        <v/>
      </c>
      <c r="H246" s="150" t="str">
        <f t="shared" si="81"/>
        <v/>
      </c>
      <c r="I246" s="150">
        <f t="shared" si="81"/>
        <v>0</v>
      </c>
      <c r="J246" s="150">
        <f t="shared" si="81"/>
        <v>0</v>
      </c>
      <c r="K246" s="196"/>
      <c r="L246" s="197"/>
      <c r="M246" s="191">
        <f t="shared" si="82"/>
        <v>0</v>
      </c>
      <c r="N246" s="150">
        <f t="shared" si="82"/>
        <v>0</v>
      </c>
      <c r="O246" s="193">
        <f t="shared" si="82"/>
        <v>0</v>
      </c>
      <c r="P246" s="162">
        <f t="shared" si="83"/>
        <v>0</v>
      </c>
      <c r="Q246" s="162">
        <f t="shared" si="83"/>
        <v>0</v>
      </c>
      <c r="R246" s="162">
        <f t="shared" si="83"/>
        <v>0</v>
      </c>
      <c r="S246" s="162">
        <f t="shared" si="83"/>
        <v>0</v>
      </c>
      <c r="T246" s="162">
        <f t="shared" si="83"/>
        <v>0</v>
      </c>
      <c r="U246" s="162">
        <f t="shared" si="83"/>
        <v>0</v>
      </c>
      <c r="V246" s="162">
        <f t="shared" si="83"/>
        <v>0</v>
      </c>
      <c r="W246" s="162">
        <f t="shared" si="83"/>
        <v>0</v>
      </c>
      <c r="X246" s="162">
        <f t="shared" si="83"/>
        <v>0</v>
      </c>
      <c r="Y246" s="162">
        <f t="shared" si="83"/>
        <v>0</v>
      </c>
      <c r="Z246" s="162">
        <f t="shared" si="83"/>
        <v>0</v>
      </c>
      <c r="AA246" s="162">
        <f t="shared" si="83"/>
        <v>0</v>
      </c>
      <c r="AB246" s="163">
        <f t="shared" si="84"/>
        <v>0</v>
      </c>
      <c r="AC246" s="198"/>
    </row>
    <row r="247" spans="1:29" hidden="1" outlineLevel="1" x14ac:dyDescent="0.25">
      <c r="A247" s="14" t="str">
        <f t="shared" si="65"/>
        <v>TERC_OPER__12</v>
      </c>
      <c r="B247" s="15" t="str">
        <f t="shared" si="79"/>
        <v>TERC_OPER__0_0</v>
      </c>
      <c r="C247" s="83"/>
      <c r="D247" s="15">
        <f t="shared" si="80"/>
        <v>0</v>
      </c>
      <c r="E247" s="15">
        <v>12</v>
      </c>
      <c r="F247" s="190">
        <f t="shared" si="81"/>
        <v>0</v>
      </c>
      <c r="G247" s="149" t="str">
        <f t="shared" si="81"/>
        <v/>
      </c>
      <c r="H247" s="150" t="str">
        <f t="shared" si="81"/>
        <v/>
      </c>
      <c r="I247" s="150">
        <f t="shared" si="81"/>
        <v>0</v>
      </c>
      <c r="J247" s="150">
        <f t="shared" si="81"/>
        <v>0</v>
      </c>
      <c r="K247" s="196"/>
      <c r="L247" s="197"/>
      <c r="M247" s="191">
        <f t="shared" si="82"/>
        <v>0</v>
      </c>
      <c r="N247" s="150">
        <f t="shared" si="82"/>
        <v>0</v>
      </c>
      <c r="O247" s="193">
        <f t="shared" si="82"/>
        <v>0</v>
      </c>
      <c r="P247" s="162">
        <f t="shared" si="83"/>
        <v>0</v>
      </c>
      <c r="Q247" s="162">
        <f t="shared" si="83"/>
        <v>0</v>
      </c>
      <c r="R247" s="162">
        <f t="shared" si="83"/>
        <v>0</v>
      </c>
      <c r="S247" s="162">
        <f t="shared" si="83"/>
        <v>0</v>
      </c>
      <c r="T247" s="162">
        <f t="shared" si="83"/>
        <v>0</v>
      </c>
      <c r="U247" s="162">
        <f t="shared" si="83"/>
        <v>0</v>
      </c>
      <c r="V247" s="162">
        <f t="shared" si="83"/>
        <v>0</v>
      </c>
      <c r="W247" s="162">
        <f t="shared" si="83"/>
        <v>0</v>
      </c>
      <c r="X247" s="162">
        <f t="shared" si="83"/>
        <v>0</v>
      </c>
      <c r="Y247" s="162">
        <f t="shared" si="83"/>
        <v>0</v>
      </c>
      <c r="Z247" s="162">
        <f t="shared" si="83"/>
        <v>0</v>
      </c>
      <c r="AA247" s="162">
        <f t="shared" si="83"/>
        <v>0</v>
      </c>
      <c r="AB247" s="163">
        <f t="shared" si="84"/>
        <v>0</v>
      </c>
      <c r="AC247" s="198"/>
    </row>
    <row r="248" spans="1:29" hidden="1" outlineLevel="1" x14ac:dyDescent="0.25">
      <c r="A248" s="14" t="str">
        <f t="shared" si="65"/>
        <v>TERC_OPER__13</v>
      </c>
      <c r="B248" s="15" t="str">
        <f t="shared" si="79"/>
        <v>TERC_OPER__0_0</v>
      </c>
      <c r="C248" s="83"/>
      <c r="D248" s="15">
        <f t="shared" si="80"/>
        <v>0</v>
      </c>
      <c r="E248" s="15">
        <v>13</v>
      </c>
      <c r="F248" s="190">
        <f t="shared" si="81"/>
        <v>0</v>
      </c>
      <c r="G248" s="149" t="str">
        <f t="shared" si="81"/>
        <v/>
      </c>
      <c r="H248" s="150" t="str">
        <f t="shared" si="81"/>
        <v/>
      </c>
      <c r="I248" s="150">
        <f t="shared" si="81"/>
        <v>0</v>
      </c>
      <c r="J248" s="150">
        <f t="shared" si="81"/>
        <v>0</v>
      </c>
      <c r="K248" s="196"/>
      <c r="L248" s="197"/>
      <c r="M248" s="191">
        <f t="shared" si="82"/>
        <v>0</v>
      </c>
      <c r="N248" s="150">
        <f t="shared" si="82"/>
        <v>0</v>
      </c>
      <c r="O248" s="193">
        <f t="shared" si="82"/>
        <v>0</v>
      </c>
      <c r="P248" s="162">
        <f t="shared" si="83"/>
        <v>0</v>
      </c>
      <c r="Q248" s="162">
        <f t="shared" si="83"/>
        <v>0</v>
      </c>
      <c r="R248" s="162">
        <f t="shared" si="83"/>
        <v>0</v>
      </c>
      <c r="S248" s="162">
        <f t="shared" si="83"/>
        <v>0</v>
      </c>
      <c r="T248" s="162">
        <f t="shared" si="83"/>
        <v>0</v>
      </c>
      <c r="U248" s="162">
        <f t="shared" si="83"/>
        <v>0</v>
      </c>
      <c r="V248" s="162">
        <f t="shared" si="83"/>
        <v>0</v>
      </c>
      <c r="W248" s="162">
        <f t="shared" si="83"/>
        <v>0</v>
      </c>
      <c r="X248" s="162">
        <f t="shared" si="83"/>
        <v>0</v>
      </c>
      <c r="Y248" s="162">
        <f t="shared" si="83"/>
        <v>0</v>
      </c>
      <c r="Z248" s="162">
        <f t="shared" si="83"/>
        <v>0</v>
      </c>
      <c r="AA248" s="162">
        <f t="shared" si="83"/>
        <v>0</v>
      </c>
      <c r="AB248" s="163">
        <f t="shared" si="84"/>
        <v>0</v>
      </c>
      <c r="AC248" s="198"/>
    </row>
    <row r="249" spans="1:29" hidden="1" outlineLevel="1" x14ac:dyDescent="0.25">
      <c r="A249" s="14" t="str">
        <f t="shared" si="65"/>
        <v>TERC_OPER__14</v>
      </c>
      <c r="B249" s="15" t="str">
        <f t="shared" si="79"/>
        <v>TERC_OPER__0_0</v>
      </c>
      <c r="C249" s="83"/>
      <c r="D249" s="15">
        <f t="shared" si="80"/>
        <v>0</v>
      </c>
      <c r="E249" s="15">
        <v>14</v>
      </c>
      <c r="F249" s="190">
        <f t="shared" si="81"/>
        <v>0</v>
      </c>
      <c r="G249" s="149" t="str">
        <f t="shared" si="81"/>
        <v/>
      </c>
      <c r="H249" s="150" t="str">
        <f t="shared" si="81"/>
        <v/>
      </c>
      <c r="I249" s="150">
        <f t="shared" si="81"/>
        <v>0</v>
      </c>
      <c r="J249" s="150">
        <f t="shared" si="81"/>
        <v>0</v>
      </c>
      <c r="K249" s="196"/>
      <c r="L249" s="197"/>
      <c r="M249" s="191">
        <f t="shared" si="82"/>
        <v>0</v>
      </c>
      <c r="N249" s="150">
        <f t="shared" si="82"/>
        <v>0</v>
      </c>
      <c r="O249" s="193">
        <f t="shared" si="82"/>
        <v>0</v>
      </c>
      <c r="P249" s="162">
        <f t="shared" si="83"/>
        <v>0</v>
      </c>
      <c r="Q249" s="162">
        <f t="shared" si="83"/>
        <v>0</v>
      </c>
      <c r="R249" s="162">
        <f t="shared" si="83"/>
        <v>0</v>
      </c>
      <c r="S249" s="162">
        <f t="shared" si="83"/>
        <v>0</v>
      </c>
      <c r="T249" s="162">
        <f t="shared" si="83"/>
        <v>0</v>
      </c>
      <c r="U249" s="162">
        <f t="shared" si="83"/>
        <v>0</v>
      </c>
      <c r="V249" s="162">
        <f t="shared" si="83"/>
        <v>0</v>
      </c>
      <c r="W249" s="162">
        <f t="shared" si="83"/>
        <v>0</v>
      </c>
      <c r="X249" s="162">
        <f t="shared" si="83"/>
        <v>0</v>
      </c>
      <c r="Y249" s="162">
        <f t="shared" si="83"/>
        <v>0</v>
      </c>
      <c r="Z249" s="162">
        <f t="shared" si="83"/>
        <v>0</v>
      </c>
      <c r="AA249" s="162">
        <f t="shared" si="83"/>
        <v>0</v>
      </c>
      <c r="AB249" s="163">
        <f t="shared" si="84"/>
        <v>0</v>
      </c>
      <c r="AC249" s="198"/>
    </row>
    <row r="250" spans="1:29" hidden="1" outlineLevel="1" x14ac:dyDescent="0.25">
      <c r="A250" s="14" t="str">
        <f t="shared" si="65"/>
        <v>TERC_OPER__15</v>
      </c>
      <c r="B250" s="15" t="str">
        <f t="shared" si="79"/>
        <v>TERC_OPER__0_0</v>
      </c>
      <c r="C250" s="83"/>
      <c r="D250" s="15">
        <f t="shared" si="80"/>
        <v>0</v>
      </c>
      <c r="E250" s="15">
        <v>15</v>
      </c>
      <c r="F250" s="190">
        <f t="shared" si="81"/>
        <v>0</v>
      </c>
      <c r="G250" s="149" t="str">
        <f t="shared" si="81"/>
        <v/>
      </c>
      <c r="H250" s="150" t="str">
        <f t="shared" si="81"/>
        <v/>
      </c>
      <c r="I250" s="150">
        <f t="shared" si="81"/>
        <v>0</v>
      </c>
      <c r="J250" s="150">
        <f t="shared" si="81"/>
        <v>0</v>
      </c>
      <c r="K250" s="196"/>
      <c r="L250" s="197"/>
      <c r="M250" s="191">
        <f t="shared" si="82"/>
        <v>0</v>
      </c>
      <c r="N250" s="150">
        <f t="shared" si="82"/>
        <v>0</v>
      </c>
      <c r="O250" s="193">
        <f t="shared" si="82"/>
        <v>0</v>
      </c>
      <c r="P250" s="162">
        <f t="shared" si="83"/>
        <v>0</v>
      </c>
      <c r="Q250" s="162">
        <f t="shared" si="83"/>
        <v>0</v>
      </c>
      <c r="R250" s="162">
        <f t="shared" si="83"/>
        <v>0</v>
      </c>
      <c r="S250" s="162">
        <f t="shared" si="83"/>
        <v>0</v>
      </c>
      <c r="T250" s="162">
        <f t="shared" si="83"/>
        <v>0</v>
      </c>
      <c r="U250" s="162">
        <f t="shared" si="83"/>
        <v>0</v>
      </c>
      <c r="V250" s="162">
        <f t="shared" si="83"/>
        <v>0</v>
      </c>
      <c r="W250" s="162">
        <f t="shared" si="83"/>
        <v>0</v>
      </c>
      <c r="X250" s="162">
        <f t="shared" si="83"/>
        <v>0</v>
      </c>
      <c r="Y250" s="162">
        <f t="shared" si="83"/>
        <v>0</v>
      </c>
      <c r="Z250" s="162">
        <f t="shared" si="83"/>
        <v>0</v>
      </c>
      <c r="AA250" s="162">
        <f t="shared" si="83"/>
        <v>0</v>
      </c>
      <c r="AB250" s="163">
        <f t="shared" si="84"/>
        <v>0</v>
      </c>
      <c r="AC250" s="198"/>
    </row>
    <row r="251" spans="1:29" hidden="1" outlineLevel="1" x14ac:dyDescent="0.25">
      <c r="A251" s="14" t="str">
        <f t="shared" si="65"/>
        <v>TERC_OPER__16</v>
      </c>
      <c r="B251" s="15" t="str">
        <f t="shared" si="79"/>
        <v>TERC_OPER__0_0</v>
      </c>
      <c r="C251" s="83"/>
      <c r="D251" s="15">
        <f t="shared" si="80"/>
        <v>0</v>
      </c>
      <c r="E251" s="15">
        <v>16</v>
      </c>
      <c r="F251" s="190">
        <f t="shared" si="81"/>
        <v>0</v>
      </c>
      <c r="G251" s="149" t="str">
        <f t="shared" si="81"/>
        <v/>
      </c>
      <c r="H251" s="150" t="str">
        <f t="shared" si="81"/>
        <v/>
      </c>
      <c r="I251" s="150">
        <f t="shared" si="81"/>
        <v>0</v>
      </c>
      <c r="J251" s="150">
        <f t="shared" si="81"/>
        <v>0</v>
      </c>
      <c r="K251" s="196"/>
      <c r="L251" s="197"/>
      <c r="M251" s="191">
        <f t="shared" si="82"/>
        <v>0</v>
      </c>
      <c r="N251" s="150">
        <f t="shared" si="82"/>
        <v>0</v>
      </c>
      <c r="O251" s="193">
        <f t="shared" si="82"/>
        <v>0</v>
      </c>
      <c r="P251" s="162">
        <f t="shared" si="83"/>
        <v>0</v>
      </c>
      <c r="Q251" s="162">
        <f t="shared" si="83"/>
        <v>0</v>
      </c>
      <c r="R251" s="162">
        <f t="shared" si="83"/>
        <v>0</v>
      </c>
      <c r="S251" s="162">
        <f t="shared" si="83"/>
        <v>0</v>
      </c>
      <c r="T251" s="162">
        <f t="shared" si="83"/>
        <v>0</v>
      </c>
      <c r="U251" s="162">
        <f t="shared" si="83"/>
        <v>0</v>
      </c>
      <c r="V251" s="162">
        <f t="shared" si="83"/>
        <v>0</v>
      </c>
      <c r="W251" s="162">
        <f t="shared" si="83"/>
        <v>0</v>
      </c>
      <c r="X251" s="162">
        <f t="shared" si="83"/>
        <v>0</v>
      </c>
      <c r="Y251" s="162">
        <f t="shared" si="83"/>
        <v>0</v>
      </c>
      <c r="Z251" s="162">
        <f t="shared" si="83"/>
        <v>0</v>
      </c>
      <c r="AA251" s="162">
        <f t="shared" si="83"/>
        <v>0</v>
      </c>
      <c r="AB251" s="163">
        <f t="shared" si="84"/>
        <v>0</v>
      </c>
      <c r="AC251" s="198"/>
    </row>
    <row r="252" spans="1:29" hidden="1" outlineLevel="1" x14ac:dyDescent="0.25">
      <c r="A252" s="14" t="str">
        <f t="shared" si="65"/>
        <v>TERC_OPER__17</v>
      </c>
      <c r="B252" s="15" t="str">
        <f t="shared" si="79"/>
        <v>TERC_OPER__0_0</v>
      </c>
      <c r="C252" s="83"/>
      <c r="D252" s="15">
        <f t="shared" si="80"/>
        <v>0</v>
      </c>
      <c r="E252" s="15">
        <v>17</v>
      </c>
      <c r="F252" s="190">
        <f t="shared" ref="F252:J267" si="85">F206</f>
        <v>0</v>
      </c>
      <c r="G252" s="149" t="str">
        <f t="shared" si="85"/>
        <v/>
      </c>
      <c r="H252" s="150" t="str">
        <f t="shared" si="85"/>
        <v/>
      </c>
      <c r="I252" s="150">
        <f t="shared" si="85"/>
        <v>0</v>
      </c>
      <c r="J252" s="150">
        <f t="shared" si="85"/>
        <v>0</v>
      </c>
      <c r="K252" s="196"/>
      <c r="L252" s="197"/>
      <c r="M252" s="191">
        <f t="shared" ref="M252:O267" si="86">M206</f>
        <v>0</v>
      </c>
      <c r="N252" s="150">
        <f t="shared" si="86"/>
        <v>0</v>
      </c>
      <c r="O252" s="193">
        <f t="shared" si="86"/>
        <v>0</v>
      </c>
      <c r="P252" s="162">
        <f t="shared" si="83"/>
        <v>0</v>
      </c>
      <c r="Q252" s="162">
        <f t="shared" si="83"/>
        <v>0</v>
      </c>
      <c r="R252" s="162">
        <f t="shared" si="83"/>
        <v>0</v>
      </c>
      <c r="S252" s="162">
        <f t="shared" si="83"/>
        <v>0</v>
      </c>
      <c r="T252" s="162">
        <f t="shared" si="83"/>
        <v>0</v>
      </c>
      <c r="U252" s="162">
        <f t="shared" si="83"/>
        <v>0</v>
      </c>
      <c r="V252" s="162">
        <f t="shared" si="83"/>
        <v>0</v>
      </c>
      <c r="W252" s="162">
        <f t="shared" si="83"/>
        <v>0</v>
      </c>
      <c r="X252" s="162">
        <f t="shared" si="83"/>
        <v>0</v>
      </c>
      <c r="Y252" s="162">
        <f t="shared" si="83"/>
        <v>0</v>
      </c>
      <c r="Z252" s="162">
        <f t="shared" si="83"/>
        <v>0</v>
      </c>
      <c r="AA252" s="162">
        <f t="shared" si="83"/>
        <v>0</v>
      </c>
      <c r="AB252" s="163">
        <f t="shared" si="84"/>
        <v>0</v>
      </c>
      <c r="AC252" s="198"/>
    </row>
    <row r="253" spans="1:29" hidden="1" outlineLevel="1" x14ac:dyDescent="0.25">
      <c r="A253" s="14" t="str">
        <f t="shared" si="65"/>
        <v>TERC_OPER__18</v>
      </c>
      <c r="B253" s="15" t="str">
        <f t="shared" si="79"/>
        <v>TERC_OPER__0_0</v>
      </c>
      <c r="C253" s="83"/>
      <c r="D253" s="15">
        <f t="shared" si="80"/>
        <v>0</v>
      </c>
      <c r="E253" s="15">
        <v>18</v>
      </c>
      <c r="F253" s="190">
        <f t="shared" si="85"/>
        <v>0</v>
      </c>
      <c r="G253" s="149" t="str">
        <f t="shared" si="85"/>
        <v/>
      </c>
      <c r="H253" s="150" t="str">
        <f t="shared" si="85"/>
        <v/>
      </c>
      <c r="I253" s="150">
        <f t="shared" si="85"/>
        <v>0</v>
      </c>
      <c r="J253" s="150">
        <f t="shared" si="85"/>
        <v>0</v>
      </c>
      <c r="K253" s="196"/>
      <c r="L253" s="197"/>
      <c r="M253" s="191">
        <f t="shared" si="86"/>
        <v>0</v>
      </c>
      <c r="N253" s="150">
        <f t="shared" si="86"/>
        <v>0</v>
      </c>
      <c r="O253" s="193">
        <f t="shared" si="86"/>
        <v>0</v>
      </c>
      <c r="P253" s="162">
        <f t="shared" ref="P253:AA268" si="87">IFERROR(SUMIF($B$16:$B$43,$C253&amp;$I253,P$16:P$43)/SUMIF($D$16:$D$43,$I253,P$16:P$43)*P65,0)</f>
        <v>0</v>
      </c>
      <c r="Q253" s="162">
        <f t="shared" si="87"/>
        <v>0</v>
      </c>
      <c r="R253" s="162">
        <f t="shared" si="87"/>
        <v>0</v>
      </c>
      <c r="S253" s="162">
        <f t="shared" si="87"/>
        <v>0</v>
      </c>
      <c r="T253" s="162">
        <f t="shared" si="87"/>
        <v>0</v>
      </c>
      <c r="U253" s="162">
        <f t="shared" si="87"/>
        <v>0</v>
      </c>
      <c r="V253" s="162">
        <f t="shared" si="87"/>
        <v>0</v>
      </c>
      <c r="W253" s="162">
        <f t="shared" si="87"/>
        <v>0</v>
      </c>
      <c r="X253" s="162">
        <f t="shared" si="87"/>
        <v>0</v>
      </c>
      <c r="Y253" s="162">
        <f t="shared" si="87"/>
        <v>0</v>
      </c>
      <c r="Z253" s="162">
        <f t="shared" si="87"/>
        <v>0</v>
      </c>
      <c r="AA253" s="162">
        <f t="shared" si="87"/>
        <v>0</v>
      </c>
      <c r="AB253" s="163">
        <f t="shared" si="84"/>
        <v>0</v>
      </c>
      <c r="AC253" s="198"/>
    </row>
    <row r="254" spans="1:29" hidden="1" outlineLevel="1" x14ac:dyDescent="0.25">
      <c r="A254" s="14" t="str">
        <f t="shared" ref="A254:A317" si="88">"TERC_OPER_"&amp;C254&amp;"_"&amp;E254</f>
        <v>TERC_OPER__19</v>
      </c>
      <c r="B254" s="15" t="str">
        <f t="shared" si="79"/>
        <v>TERC_OPER__0_0</v>
      </c>
      <c r="C254" s="83"/>
      <c r="D254" s="15">
        <f t="shared" si="80"/>
        <v>0</v>
      </c>
      <c r="E254" s="15">
        <v>19</v>
      </c>
      <c r="F254" s="190">
        <f t="shared" si="85"/>
        <v>0</v>
      </c>
      <c r="G254" s="149" t="str">
        <f t="shared" si="85"/>
        <v/>
      </c>
      <c r="H254" s="150" t="str">
        <f t="shared" si="85"/>
        <v/>
      </c>
      <c r="I254" s="150">
        <f t="shared" si="85"/>
        <v>0</v>
      </c>
      <c r="J254" s="150">
        <f t="shared" si="85"/>
        <v>0</v>
      </c>
      <c r="K254" s="196"/>
      <c r="L254" s="197"/>
      <c r="M254" s="191">
        <f t="shared" si="86"/>
        <v>0</v>
      </c>
      <c r="N254" s="150">
        <f t="shared" si="86"/>
        <v>0</v>
      </c>
      <c r="O254" s="193">
        <f t="shared" si="86"/>
        <v>0</v>
      </c>
      <c r="P254" s="162">
        <f t="shared" si="87"/>
        <v>0</v>
      </c>
      <c r="Q254" s="162">
        <f t="shared" si="87"/>
        <v>0</v>
      </c>
      <c r="R254" s="162">
        <f t="shared" si="87"/>
        <v>0</v>
      </c>
      <c r="S254" s="162">
        <f t="shared" si="87"/>
        <v>0</v>
      </c>
      <c r="T254" s="162">
        <f t="shared" si="87"/>
        <v>0</v>
      </c>
      <c r="U254" s="162">
        <f t="shared" si="87"/>
        <v>0</v>
      </c>
      <c r="V254" s="162">
        <f t="shared" si="87"/>
        <v>0</v>
      </c>
      <c r="W254" s="162">
        <f t="shared" si="87"/>
        <v>0</v>
      </c>
      <c r="X254" s="162">
        <f t="shared" si="87"/>
        <v>0</v>
      </c>
      <c r="Y254" s="162">
        <f t="shared" si="87"/>
        <v>0</v>
      </c>
      <c r="Z254" s="162">
        <f t="shared" si="87"/>
        <v>0</v>
      </c>
      <c r="AA254" s="162">
        <f t="shared" si="87"/>
        <v>0</v>
      </c>
      <c r="AB254" s="163">
        <f t="shared" si="84"/>
        <v>0</v>
      </c>
      <c r="AC254" s="198"/>
    </row>
    <row r="255" spans="1:29" hidden="1" outlineLevel="1" x14ac:dyDescent="0.25">
      <c r="A255" s="14" t="str">
        <f t="shared" si="88"/>
        <v>TERC_OPER__20</v>
      </c>
      <c r="B255" s="15" t="str">
        <f t="shared" si="79"/>
        <v>TERC_OPER__0_0</v>
      </c>
      <c r="C255" s="83"/>
      <c r="D255" s="15">
        <f t="shared" si="80"/>
        <v>0</v>
      </c>
      <c r="E255" s="15">
        <v>20</v>
      </c>
      <c r="F255" s="190">
        <f t="shared" si="85"/>
        <v>0</v>
      </c>
      <c r="G255" s="149" t="str">
        <f t="shared" si="85"/>
        <v/>
      </c>
      <c r="H255" s="150" t="str">
        <f t="shared" si="85"/>
        <v/>
      </c>
      <c r="I255" s="150">
        <f t="shared" si="85"/>
        <v>0</v>
      </c>
      <c r="J255" s="150">
        <f t="shared" si="85"/>
        <v>0</v>
      </c>
      <c r="K255" s="196"/>
      <c r="L255" s="197"/>
      <c r="M255" s="191">
        <f t="shared" si="86"/>
        <v>0</v>
      </c>
      <c r="N255" s="150">
        <f t="shared" si="86"/>
        <v>0</v>
      </c>
      <c r="O255" s="193">
        <f t="shared" si="86"/>
        <v>0</v>
      </c>
      <c r="P255" s="162">
        <f t="shared" si="87"/>
        <v>0</v>
      </c>
      <c r="Q255" s="162">
        <f t="shared" si="87"/>
        <v>0</v>
      </c>
      <c r="R255" s="162">
        <f t="shared" si="87"/>
        <v>0</v>
      </c>
      <c r="S255" s="162">
        <f t="shared" si="87"/>
        <v>0</v>
      </c>
      <c r="T255" s="162">
        <f t="shared" si="87"/>
        <v>0</v>
      </c>
      <c r="U255" s="162">
        <f t="shared" si="87"/>
        <v>0</v>
      </c>
      <c r="V255" s="162">
        <f t="shared" si="87"/>
        <v>0</v>
      </c>
      <c r="W255" s="162">
        <f t="shared" si="87"/>
        <v>0</v>
      </c>
      <c r="X255" s="162">
        <f t="shared" si="87"/>
        <v>0</v>
      </c>
      <c r="Y255" s="162">
        <f t="shared" si="87"/>
        <v>0</v>
      </c>
      <c r="Z255" s="162">
        <f t="shared" si="87"/>
        <v>0</v>
      </c>
      <c r="AA255" s="162">
        <f t="shared" si="87"/>
        <v>0</v>
      </c>
      <c r="AB255" s="163">
        <f t="shared" si="84"/>
        <v>0</v>
      </c>
      <c r="AC255" s="198"/>
    </row>
    <row r="256" spans="1:29" hidden="1" outlineLevel="1" x14ac:dyDescent="0.25">
      <c r="A256" s="14" t="str">
        <f t="shared" si="88"/>
        <v>TERC_OPER__21</v>
      </c>
      <c r="B256" s="15" t="str">
        <f t="shared" si="79"/>
        <v>TERC_OPER__0_0</v>
      </c>
      <c r="C256" s="83"/>
      <c r="D256" s="15">
        <f t="shared" si="80"/>
        <v>0</v>
      </c>
      <c r="E256" s="15">
        <v>21</v>
      </c>
      <c r="F256" s="190">
        <f t="shared" si="85"/>
        <v>0</v>
      </c>
      <c r="G256" s="149" t="str">
        <f t="shared" si="85"/>
        <v/>
      </c>
      <c r="H256" s="150" t="str">
        <f t="shared" si="85"/>
        <v/>
      </c>
      <c r="I256" s="150">
        <f t="shared" si="85"/>
        <v>0</v>
      </c>
      <c r="J256" s="150">
        <f t="shared" si="85"/>
        <v>0</v>
      </c>
      <c r="K256" s="196"/>
      <c r="L256" s="197"/>
      <c r="M256" s="191">
        <f t="shared" si="86"/>
        <v>0</v>
      </c>
      <c r="N256" s="150">
        <f t="shared" si="86"/>
        <v>0</v>
      </c>
      <c r="O256" s="193">
        <f t="shared" si="86"/>
        <v>0</v>
      </c>
      <c r="P256" s="162">
        <f t="shared" si="87"/>
        <v>0</v>
      </c>
      <c r="Q256" s="162">
        <f t="shared" si="87"/>
        <v>0</v>
      </c>
      <c r="R256" s="162">
        <f t="shared" si="87"/>
        <v>0</v>
      </c>
      <c r="S256" s="162">
        <f t="shared" si="87"/>
        <v>0</v>
      </c>
      <c r="T256" s="162">
        <f t="shared" si="87"/>
        <v>0</v>
      </c>
      <c r="U256" s="162">
        <f t="shared" si="87"/>
        <v>0</v>
      </c>
      <c r="V256" s="162">
        <f t="shared" si="87"/>
        <v>0</v>
      </c>
      <c r="W256" s="162">
        <f t="shared" si="87"/>
        <v>0</v>
      </c>
      <c r="X256" s="162">
        <f t="shared" si="87"/>
        <v>0</v>
      </c>
      <c r="Y256" s="162">
        <f t="shared" si="87"/>
        <v>0</v>
      </c>
      <c r="Z256" s="162">
        <f t="shared" si="87"/>
        <v>0</v>
      </c>
      <c r="AA256" s="162">
        <f t="shared" si="87"/>
        <v>0</v>
      </c>
      <c r="AB256" s="163">
        <f t="shared" si="84"/>
        <v>0</v>
      </c>
      <c r="AC256" s="198"/>
    </row>
    <row r="257" spans="1:29" hidden="1" outlineLevel="1" x14ac:dyDescent="0.25">
      <c r="A257" s="14" t="str">
        <f t="shared" si="88"/>
        <v>TERC_OPER__22</v>
      </c>
      <c r="B257" s="15" t="str">
        <f t="shared" si="79"/>
        <v>TERC_OPER__0_0</v>
      </c>
      <c r="C257" s="83"/>
      <c r="D257" s="15">
        <f t="shared" si="80"/>
        <v>0</v>
      </c>
      <c r="E257" s="15">
        <v>22</v>
      </c>
      <c r="F257" s="190">
        <f t="shared" si="85"/>
        <v>0</v>
      </c>
      <c r="G257" s="149" t="str">
        <f t="shared" si="85"/>
        <v/>
      </c>
      <c r="H257" s="150" t="str">
        <f t="shared" si="85"/>
        <v/>
      </c>
      <c r="I257" s="150">
        <f t="shared" si="85"/>
        <v>0</v>
      </c>
      <c r="J257" s="150">
        <f t="shared" si="85"/>
        <v>0</v>
      </c>
      <c r="K257" s="196"/>
      <c r="L257" s="197"/>
      <c r="M257" s="191">
        <f t="shared" si="86"/>
        <v>0</v>
      </c>
      <c r="N257" s="150">
        <f t="shared" si="86"/>
        <v>0</v>
      </c>
      <c r="O257" s="193">
        <f t="shared" si="86"/>
        <v>0</v>
      </c>
      <c r="P257" s="162">
        <f t="shared" si="87"/>
        <v>0</v>
      </c>
      <c r="Q257" s="162">
        <f t="shared" si="87"/>
        <v>0</v>
      </c>
      <c r="R257" s="162">
        <f t="shared" si="87"/>
        <v>0</v>
      </c>
      <c r="S257" s="162">
        <f t="shared" si="87"/>
        <v>0</v>
      </c>
      <c r="T257" s="162">
        <f t="shared" si="87"/>
        <v>0</v>
      </c>
      <c r="U257" s="162">
        <f t="shared" si="87"/>
        <v>0</v>
      </c>
      <c r="V257" s="162">
        <f t="shared" si="87"/>
        <v>0</v>
      </c>
      <c r="W257" s="162">
        <f t="shared" si="87"/>
        <v>0</v>
      </c>
      <c r="X257" s="162">
        <f t="shared" si="87"/>
        <v>0</v>
      </c>
      <c r="Y257" s="162">
        <f t="shared" si="87"/>
        <v>0</v>
      </c>
      <c r="Z257" s="162">
        <f t="shared" si="87"/>
        <v>0</v>
      </c>
      <c r="AA257" s="162">
        <f t="shared" si="87"/>
        <v>0</v>
      </c>
      <c r="AB257" s="163">
        <f t="shared" si="84"/>
        <v>0</v>
      </c>
      <c r="AC257" s="198"/>
    </row>
    <row r="258" spans="1:29" hidden="1" outlineLevel="1" x14ac:dyDescent="0.25">
      <c r="A258" s="14" t="str">
        <f t="shared" si="88"/>
        <v>TERC_OPER__23</v>
      </c>
      <c r="B258" s="15" t="str">
        <f t="shared" si="79"/>
        <v>TERC_OPER__0_0</v>
      </c>
      <c r="C258" s="83"/>
      <c r="D258" s="15">
        <f t="shared" si="80"/>
        <v>0</v>
      </c>
      <c r="E258" s="15">
        <v>23</v>
      </c>
      <c r="F258" s="190">
        <f t="shared" si="85"/>
        <v>0</v>
      </c>
      <c r="G258" s="149" t="str">
        <f t="shared" si="85"/>
        <v/>
      </c>
      <c r="H258" s="150" t="str">
        <f t="shared" si="85"/>
        <v/>
      </c>
      <c r="I258" s="150">
        <f t="shared" si="85"/>
        <v>0</v>
      </c>
      <c r="J258" s="150">
        <f t="shared" si="85"/>
        <v>0</v>
      </c>
      <c r="K258" s="196"/>
      <c r="L258" s="197"/>
      <c r="M258" s="191">
        <f t="shared" si="86"/>
        <v>0</v>
      </c>
      <c r="N258" s="150">
        <f t="shared" si="86"/>
        <v>0</v>
      </c>
      <c r="O258" s="193">
        <f t="shared" si="86"/>
        <v>0</v>
      </c>
      <c r="P258" s="162">
        <f t="shared" si="87"/>
        <v>0</v>
      </c>
      <c r="Q258" s="162">
        <f t="shared" si="87"/>
        <v>0</v>
      </c>
      <c r="R258" s="162">
        <f t="shared" si="87"/>
        <v>0</v>
      </c>
      <c r="S258" s="162">
        <f t="shared" si="87"/>
        <v>0</v>
      </c>
      <c r="T258" s="162">
        <f t="shared" si="87"/>
        <v>0</v>
      </c>
      <c r="U258" s="162">
        <f t="shared" si="87"/>
        <v>0</v>
      </c>
      <c r="V258" s="162">
        <f t="shared" si="87"/>
        <v>0</v>
      </c>
      <c r="W258" s="162">
        <f t="shared" si="87"/>
        <v>0</v>
      </c>
      <c r="X258" s="162">
        <f t="shared" si="87"/>
        <v>0</v>
      </c>
      <c r="Y258" s="162">
        <f t="shared" si="87"/>
        <v>0</v>
      </c>
      <c r="Z258" s="162">
        <f t="shared" si="87"/>
        <v>0</v>
      </c>
      <c r="AA258" s="162">
        <f t="shared" si="87"/>
        <v>0</v>
      </c>
      <c r="AB258" s="163">
        <f t="shared" si="84"/>
        <v>0</v>
      </c>
      <c r="AC258" s="198"/>
    </row>
    <row r="259" spans="1:29" hidden="1" outlineLevel="1" x14ac:dyDescent="0.25">
      <c r="A259" s="14" t="str">
        <f t="shared" si="88"/>
        <v>TERC_OPER__24</v>
      </c>
      <c r="B259" s="15" t="str">
        <f t="shared" si="79"/>
        <v>TERC_OPER__0_0</v>
      </c>
      <c r="C259" s="83"/>
      <c r="D259" s="15">
        <f t="shared" si="80"/>
        <v>0</v>
      </c>
      <c r="E259" s="15">
        <v>24</v>
      </c>
      <c r="F259" s="190">
        <f t="shared" si="85"/>
        <v>0</v>
      </c>
      <c r="G259" s="149" t="str">
        <f t="shared" si="85"/>
        <v/>
      </c>
      <c r="H259" s="150" t="str">
        <f t="shared" si="85"/>
        <v/>
      </c>
      <c r="I259" s="150">
        <f t="shared" si="85"/>
        <v>0</v>
      </c>
      <c r="J259" s="150">
        <f t="shared" si="85"/>
        <v>0</v>
      </c>
      <c r="K259" s="196"/>
      <c r="L259" s="197"/>
      <c r="M259" s="191">
        <f t="shared" si="86"/>
        <v>0</v>
      </c>
      <c r="N259" s="150">
        <f t="shared" si="86"/>
        <v>0</v>
      </c>
      <c r="O259" s="193">
        <f t="shared" si="86"/>
        <v>0</v>
      </c>
      <c r="P259" s="162">
        <f t="shared" si="87"/>
        <v>0</v>
      </c>
      <c r="Q259" s="162">
        <f t="shared" si="87"/>
        <v>0</v>
      </c>
      <c r="R259" s="162">
        <f t="shared" si="87"/>
        <v>0</v>
      </c>
      <c r="S259" s="162">
        <f t="shared" si="87"/>
        <v>0</v>
      </c>
      <c r="T259" s="162">
        <f t="shared" si="87"/>
        <v>0</v>
      </c>
      <c r="U259" s="162">
        <f t="shared" si="87"/>
        <v>0</v>
      </c>
      <c r="V259" s="162">
        <f t="shared" si="87"/>
        <v>0</v>
      </c>
      <c r="W259" s="162">
        <f t="shared" si="87"/>
        <v>0</v>
      </c>
      <c r="X259" s="162">
        <f t="shared" si="87"/>
        <v>0</v>
      </c>
      <c r="Y259" s="162">
        <f t="shared" si="87"/>
        <v>0</v>
      </c>
      <c r="Z259" s="162">
        <f t="shared" si="87"/>
        <v>0</v>
      </c>
      <c r="AA259" s="162">
        <f t="shared" si="87"/>
        <v>0</v>
      </c>
      <c r="AB259" s="163">
        <f t="shared" si="84"/>
        <v>0</v>
      </c>
      <c r="AC259" s="198"/>
    </row>
    <row r="260" spans="1:29" hidden="1" outlineLevel="1" x14ac:dyDescent="0.25">
      <c r="A260" s="14" t="str">
        <f t="shared" si="88"/>
        <v>TERC_OPER__25</v>
      </c>
      <c r="B260" s="15" t="str">
        <f t="shared" si="79"/>
        <v>TERC_OPER__0_0</v>
      </c>
      <c r="C260" s="83"/>
      <c r="D260" s="15">
        <f t="shared" si="80"/>
        <v>0</v>
      </c>
      <c r="E260" s="15">
        <v>25</v>
      </c>
      <c r="F260" s="190">
        <f t="shared" si="85"/>
        <v>0</v>
      </c>
      <c r="G260" s="149" t="str">
        <f t="shared" si="85"/>
        <v/>
      </c>
      <c r="H260" s="150" t="str">
        <f t="shared" si="85"/>
        <v/>
      </c>
      <c r="I260" s="150">
        <f t="shared" si="85"/>
        <v>0</v>
      </c>
      <c r="J260" s="150">
        <f t="shared" si="85"/>
        <v>0</v>
      </c>
      <c r="K260" s="196"/>
      <c r="L260" s="197"/>
      <c r="M260" s="191">
        <f t="shared" si="86"/>
        <v>0</v>
      </c>
      <c r="N260" s="150">
        <f t="shared" si="86"/>
        <v>0</v>
      </c>
      <c r="O260" s="193">
        <f t="shared" si="86"/>
        <v>0</v>
      </c>
      <c r="P260" s="162">
        <f t="shared" si="87"/>
        <v>0</v>
      </c>
      <c r="Q260" s="162">
        <f t="shared" si="87"/>
        <v>0</v>
      </c>
      <c r="R260" s="162">
        <f t="shared" si="87"/>
        <v>0</v>
      </c>
      <c r="S260" s="162">
        <f t="shared" si="87"/>
        <v>0</v>
      </c>
      <c r="T260" s="162">
        <f t="shared" si="87"/>
        <v>0</v>
      </c>
      <c r="U260" s="162">
        <f t="shared" si="87"/>
        <v>0</v>
      </c>
      <c r="V260" s="162">
        <f t="shared" si="87"/>
        <v>0</v>
      </c>
      <c r="W260" s="162">
        <f t="shared" si="87"/>
        <v>0</v>
      </c>
      <c r="X260" s="162">
        <f t="shared" si="87"/>
        <v>0</v>
      </c>
      <c r="Y260" s="162">
        <f t="shared" si="87"/>
        <v>0</v>
      </c>
      <c r="Z260" s="162">
        <f t="shared" si="87"/>
        <v>0</v>
      </c>
      <c r="AA260" s="162">
        <f t="shared" si="87"/>
        <v>0</v>
      </c>
      <c r="AB260" s="163">
        <f t="shared" si="84"/>
        <v>0</v>
      </c>
      <c r="AC260" s="198"/>
    </row>
    <row r="261" spans="1:29" hidden="1" outlineLevel="1" x14ac:dyDescent="0.25">
      <c r="A261" s="14" t="str">
        <f t="shared" si="88"/>
        <v>TERC_OPER__26</v>
      </c>
      <c r="B261" s="15" t="str">
        <f t="shared" si="79"/>
        <v>TERC_OPER__0_0</v>
      </c>
      <c r="C261" s="83"/>
      <c r="D261" s="15">
        <f t="shared" si="80"/>
        <v>0</v>
      </c>
      <c r="E261" s="15">
        <v>26</v>
      </c>
      <c r="F261" s="190">
        <f t="shared" si="85"/>
        <v>0</v>
      </c>
      <c r="G261" s="149" t="str">
        <f t="shared" si="85"/>
        <v/>
      </c>
      <c r="H261" s="150" t="str">
        <f t="shared" si="85"/>
        <v/>
      </c>
      <c r="I261" s="150">
        <f t="shared" si="85"/>
        <v>0</v>
      </c>
      <c r="J261" s="150">
        <f t="shared" si="85"/>
        <v>0</v>
      </c>
      <c r="K261" s="196"/>
      <c r="L261" s="197"/>
      <c r="M261" s="191">
        <f t="shared" si="86"/>
        <v>0</v>
      </c>
      <c r="N261" s="150">
        <f t="shared" si="86"/>
        <v>0</v>
      </c>
      <c r="O261" s="193">
        <f t="shared" si="86"/>
        <v>0</v>
      </c>
      <c r="P261" s="162">
        <f t="shared" si="87"/>
        <v>0</v>
      </c>
      <c r="Q261" s="162">
        <f t="shared" si="87"/>
        <v>0</v>
      </c>
      <c r="R261" s="162">
        <f t="shared" si="87"/>
        <v>0</v>
      </c>
      <c r="S261" s="162">
        <f t="shared" si="87"/>
        <v>0</v>
      </c>
      <c r="T261" s="162">
        <f t="shared" si="87"/>
        <v>0</v>
      </c>
      <c r="U261" s="162">
        <f t="shared" si="87"/>
        <v>0</v>
      </c>
      <c r="V261" s="162">
        <f t="shared" si="87"/>
        <v>0</v>
      </c>
      <c r="W261" s="162">
        <f t="shared" si="87"/>
        <v>0</v>
      </c>
      <c r="X261" s="162">
        <f t="shared" si="87"/>
        <v>0</v>
      </c>
      <c r="Y261" s="162">
        <f t="shared" si="87"/>
        <v>0</v>
      </c>
      <c r="Z261" s="162">
        <f t="shared" si="87"/>
        <v>0</v>
      </c>
      <c r="AA261" s="162">
        <f t="shared" si="87"/>
        <v>0</v>
      </c>
      <c r="AB261" s="163">
        <f t="shared" si="84"/>
        <v>0</v>
      </c>
      <c r="AC261" s="198"/>
    </row>
    <row r="262" spans="1:29" hidden="1" outlineLevel="1" x14ac:dyDescent="0.25">
      <c r="A262" s="14" t="str">
        <f t="shared" si="88"/>
        <v>TERC_OPER__27</v>
      </c>
      <c r="B262" s="15" t="str">
        <f t="shared" si="79"/>
        <v>TERC_OPER__0_0</v>
      </c>
      <c r="C262" s="83"/>
      <c r="D262" s="15">
        <f t="shared" si="80"/>
        <v>0</v>
      </c>
      <c r="E262" s="15">
        <v>27</v>
      </c>
      <c r="F262" s="190">
        <f t="shared" si="85"/>
        <v>0</v>
      </c>
      <c r="G262" s="149" t="str">
        <f t="shared" si="85"/>
        <v/>
      </c>
      <c r="H262" s="150" t="str">
        <f t="shared" si="85"/>
        <v/>
      </c>
      <c r="I262" s="150">
        <f t="shared" si="85"/>
        <v>0</v>
      </c>
      <c r="J262" s="150">
        <f t="shared" si="85"/>
        <v>0</v>
      </c>
      <c r="K262" s="196"/>
      <c r="L262" s="197"/>
      <c r="M262" s="191">
        <f t="shared" si="86"/>
        <v>0</v>
      </c>
      <c r="N262" s="150">
        <f t="shared" si="86"/>
        <v>0</v>
      </c>
      <c r="O262" s="193">
        <f t="shared" si="86"/>
        <v>0</v>
      </c>
      <c r="P262" s="162">
        <f t="shared" si="87"/>
        <v>0</v>
      </c>
      <c r="Q262" s="162">
        <f t="shared" si="87"/>
        <v>0</v>
      </c>
      <c r="R262" s="162">
        <f t="shared" si="87"/>
        <v>0</v>
      </c>
      <c r="S262" s="162">
        <f t="shared" si="87"/>
        <v>0</v>
      </c>
      <c r="T262" s="162">
        <f t="shared" si="87"/>
        <v>0</v>
      </c>
      <c r="U262" s="162">
        <f t="shared" si="87"/>
        <v>0</v>
      </c>
      <c r="V262" s="162">
        <f t="shared" si="87"/>
        <v>0</v>
      </c>
      <c r="W262" s="162">
        <f t="shared" si="87"/>
        <v>0</v>
      </c>
      <c r="X262" s="162">
        <f t="shared" si="87"/>
        <v>0</v>
      </c>
      <c r="Y262" s="162">
        <f t="shared" si="87"/>
        <v>0</v>
      </c>
      <c r="Z262" s="162">
        <f t="shared" si="87"/>
        <v>0</v>
      </c>
      <c r="AA262" s="162">
        <f t="shared" si="87"/>
        <v>0</v>
      </c>
      <c r="AB262" s="163">
        <f t="shared" si="84"/>
        <v>0</v>
      </c>
      <c r="AC262" s="198"/>
    </row>
    <row r="263" spans="1:29" hidden="1" outlineLevel="1" x14ac:dyDescent="0.25">
      <c r="A263" s="14" t="str">
        <f t="shared" si="88"/>
        <v>TERC_OPER__28</v>
      </c>
      <c r="B263" s="15" t="str">
        <f t="shared" si="79"/>
        <v>TERC_OPER__0_0</v>
      </c>
      <c r="C263" s="83"/>
      <c r="D263" s="15">
        <f t="shared" si="80"/>
        <v>0</v>
      </c>
      <c r="E263" s="15">
        <v>28</v>
      </c>
      <c r="F263" s="190">
        <f t="shared" si="85"/>
        <v>0</v>
      </c>
      <c r="G263" s="149" t="str">
        <f t="shared" si="85"/>
        <v/>
      </c>
      <c r="H263" s="150" t="str">
        <f t="shared" si="85"/>
        <v/>
      </c>
      <c r="I263" s="150">
        <f t="shared" si="85"/>
        <v>0</v>
      </c>
      <c r="J263" s="150">
        <f t="shared" si="85"/>
        <v>0</v>
      </c>
      <c r="K263" s="196"/>
      <c r="L263" s="197"/>
      <c r="M263" s="191">
        <f t="shared" si="86"/>
        <v>0</v>
      </c>
      <c r="N263" s="150">
        <f t="shared" si="86"/>
        <v>0</v>
      </c>
      <c r="O263" s="193">
        <f t="shared" si="86"/>
        <v>0</v>
      </c>
      <c r="P263" s="162">
        <f t="shared" si="87"/>
        <v>0</v>
      </c>
      <c r="Q263" s="162">
        <f t="shared" si="87"/>
        <v>0</v>
      </c>
      <c r="R263" s="162">
        <f t="shared" si="87"/>
        <v>0</v>
      </c>
      <c r="S263" s="162">
        <f t="shared" si="87"/>
        <v>0</v>
      </c>
      <c r="T263" s="162">
        <f t="shared" si="87"/>
        <v>0</v>
      </c>
      <c r="U263" s="162">
        <f t="shared" si="87"/>
        <v>0</v>
      </c>
      <c r="V263" s="162">
        <f t="shared" si="87"/>
        <v>0</v>
      </c>
      <c r="W263" s="162">
        <f t="shared" si="87"/>
        <v>0</v>
      </c>
      <c r="X263" s="162">
        <f t="shared" si="87"/>
        <v>0</v>
      </c>
      <c r="Y263" s="162">
        <f t="shared" si="87"/>
        <v>0</v>
      </c>
      <c r="Z263" s="162">
        <f t="shared" si="87"/>
        <v>0</v>
      </c>
      <c r="AA263" s="162">
        <f t="shared" si="87"/>
        <v>0</v>
      </c>
      <c r="AB263" s="163">
        <f t="shared" si="84"/>
        <v>0</v>
      </c>
      <c r="AC263" s="198"/>
    </row>
    <row r="264" spans="1:29" hidden="1" outlineLevel="1" x14ac:dyDescent="0.25">
      <c r="A264" s="14" t="str">
        <f t="shared" si="88"/>
        <v>TERC_OPER__29</v>
      </c>
      <c r="B264" s="15" t="str">
        <f t="shared" si="79"/>
        <v>TERC_OPER__0_0</v>
      </c>
      <c r="C264" s="83"/>
      <c r="D264" s="15">
        <f t="shared" si="80"/>
        <v>0</v>
      </c>
      <c r="E264" s="15">
        <v>29</v>
      </c>
      <c r="F264" s="190">
        <f t="shared" si="85"/>
        <v>0</v>
      </c>
      <c r="G264" s="149" t="str">
        <f t="shared" si="85"/>
        <v/>
      </c>
      <c r="H264" s="150" t="str">
        <f t="shared" si="85"/>
        <v/>
      </c>
      <c r="I264" s="150">
        <f t="shared" si="85"/>
        <v>0</v>
      </c>
      <c r="J264" s="150">
        <f t="shared" si="85"/>
        <v>0</v>
      </c>
      <c r="K264" s="196"/>
      <c r="L264" s="197"/>
      <c r="M264" s="191">
        <f t="shared" si="86"/>
        <v>0</v>
      </c>
      <c r="N264" s="150">
        <f t="shared" si="86"/>
        <v>0</v>
      </c>
      <c r="O264" s="193">
        <f t="shared" si="86"/>
        <v>0</v>
      </c>
      <c r="P264" s="162">
        <f t="shared" si="87"/>
        <v>0</v>
      </c>
      <c r="Q264" s="162">
        <f t="shared" si="87"/>
        <v>0</v>
      </c>
      <c r="R264" s="162">
        <f t="shared" si="87"/>
        <v>0</v>
      </c>
      <c r="S264" s="162">
        <f t="shared" si="87"/>
        <v>0</v>
      </c>
      <c r="T264" s="162">
        <f t="shared" si="87"/>
        <v>0</v>
      </c>
      <c r="U264" s="162">
        <f t="shared" si="87"/>
        <v>0</v>
      </c>
      <c r="V264" s="162">
        <f t="shared" si="87"/>
        <v>0</v>
      </c>
      <c r="W264" s="162">
        <f t="shared" si="87"/>
        <v>0</v>
      </c>
      <c r="X264" s="162">
        <f t="shared" si="87"/>
        <v>0</v>
      </c>
      <c r="Y264" s="162">
        <f t="shared" si="87"/>
        <v>0</v>
      </c>
      <c r="Z264" s="162">
        <f t="shared" si="87"/>
        <v>0</v>
      </c>
      <c r="AA264" s="162">
        <f t="shared" si="87"/>
        <v>0</v>
      </c>
      <c r="AB264" s="163">
        <f t="shared" si="84"/>
        <v>0</v>
      </c>
      <c r="AC264" s="198"/>
    </row>
    <row r="265" spans="1:29" hidden="1" outlineLevel="1" x14ac:dyDescent="0.25">
      <c r="A265" s="14" t="str">
        <f t="shared" si="88"/>
        <v>TERC_OPER__30</v>
      </c>
      <c r="B265" s="15" t="str">
        <f t="shared" si="79"/>
        <v>TERC_OPER__0_0</v>
      </c>
      <c r="C265" s="83"/>
      <c r="D265" s="15">
        <f t="shared" si="80"/>
        <v>0</v>
      </c>
      <c r="E265" s="15">
        <v>30</v>
      </c>
      <c r="F265" s="190">
        <f t="shared" si="85"/>
        <v>0</v>
      </c>
      <c r="G265" s="149" t="str">
        <f t="shared" si="85"/>
        <v/>
      </c>
      <c r="H265" s="150" t="str">
        <f t="shared" si="85"/>
        <v/>
      </c>
      <c r="I265" s="150">
        <f t="shared" si="85"/>
        <v>0</v>
      </c>
      <c r="J265" s="150">
        <f t="shared" si="85"/>
        <v>0</v>
      </c>
      <c r="K265" s="196"/>
      <c r="L265" s="197"/>
      <c r="M265" s="191">
        <f t="shared" si="86"/>
        <v>0</v>
      </c>
      <c r="N265" s="150">
        <f t="shared" si="86"/>
        <v>0</v>
      </c>
      <c r="O265" s="193">
        <f t="shared" si="86"/>
        <v>0</v>
      </c>
      <c r="P265" s="162">
        <f t="shared" si="87"/>
        <v>0</v>
      </c>
      <c r="Q265" s="162">
        <f t="shared" si="87"/>
        <v>0</v>
      </c>
      <c r="R265" s="162">
        <f t="shared" si="87"/>
        <v>0</v>
      </c>
      <c r="S265" s="162">
        <f t="shared" si="87"/>
        <v>0</v>
      </c>
      <c r="T265" s="162">
        <f t="shared" si="87"/>
        <v>0</v>
      </c>
      <c r="U265" s="162">
        <f t="shared" si="87"/>
        <v>0</v>
      </c>
      <c r="V265" s="162">
        <f t="shared" si="87"/>
        <v>0</v>
      </c>
      <c r="W265" s="162">
        <f t="shared" si="87"/>
        <v>0</v>
      </c>
      <c r="X265" s="162">
        <f t="shared" si="87"/>
        <v>0</v>
      </c>
      <c r="Y265" s="162">
        <f t="shared" si="87"/>
        <v>0</v>
      </c>
      <c r="Z265" s="162">
        <f t="shared" si="87"/>
        <v>0</v>
      </c>
      <c r="AA265" s="162">
        <f t="shared" si="87"/>
        <v>0</v>
      </c>
      <c r="AB265" s="163">
        <f t="shared" si="84"/>
        <v>0</v>
      </c>
      <c r="AC265" s="198"/>
    </row>
    <row r="266" spans="1:29" hidden="1" outlineLevel="1" x14ac:dyDescent="0.25">
      <c r="A266" s="14" t="str">
        <f t="shared" si="88"/>
        <v>TERC_OPER__31</v>
      </c>
      <c r="B266" s="15" t="str">
        <f t="shared" si="79"/>
        <v>TERC_OPER__0_0</v>
      </c>
      <c r="C266" s="83"/>
      <c r="D266" s="15">
        <f t="shared" si="80"/>
        <v>0</v>
      </c>
      <c r="E266" s="15">
        <v>31</v>
      </c>
      <c r="F266" s="190">
        <f t="shared" si="85"/>
        <v>0</v>
      </c>
      <c r="G266" s="149" t="str">
        <f t="shared" si="85"/>
        <v/>
      </c>
      <c r="H266" s="150" t="str">
        <f t="shared" si="85"/>
        <v/>
      </c>
      <c r="I266" s="150">
        <f t="shared" si="85"/>
        <v>0</v>
      </c>
      <c r="J266" s="150">
        <f t="shared" si="85"/>
        <v>0</v>
      </c>
      <c r="K266" s="196"/>
      <c r="L266" s="197"/>
      <c r="M266" s="191">
        <f t="shared" si="86"/>
        <v>0</v>
      </c>
      <c r="N266" s="150">
        <f t="shared" si="86"/>
        <v>0</v>
      </c>
      <c r="O266" s="193">
        <f t="shared" si="86"/>
        <v>0</v>
      </c>
      <c r="P266" s="162">
        <f t="shared" si="87"/>
        <v>0</v>
      </c>
      <c r="Q266" s="162">
        <f t="shared" si="87"/>
        <v>0</v>
      </c>
      <c r="R266" s="162">
        <f t="shared" si="87"/>
        <v>0</v>
      </c>
      <c r="S266" s="162">
        <f t="shared" si="87"/>
        <v>0</v>
      </c>
      <c r="T266" s="162">
        <f t="shared" si="87"/>
        <v>0</v>
      </c>
      <c r="U266" s="162">
        <f t="shared" si="87"/>
        <v>0</v>
      </c>
      <c r="V266" s="162">
        <f t="shared" si="87"/>
        <v>0</v>
      </c>
      <c r="W266" s="162">
        <f t="shared" si="87"/>
        <v>0</v>
      </c>
      <c r="X266" s="162">
        <f t="shared" si="87"/>
        <v>0</v>
      </c>
      <c r="Y266" s="162">
        <f t="shared" si="87"/>
        <v>0</v>
      </c>
      <c r="Z266" s="162">
        <f t="shared" si="87"/>
        <v>0</v>
      </c>
      <c r="AA266" s="162">
        <f t="shared" si="87"/>
        <v>0</v>
      </c>
      <c r="AB266" s="163">
        <f t="shared" si="84"/>
        <v>0</v>
      </c>
      <c r="AC266" s="198"/>
    </row>
    <row r="267" spans="1:29" hidden="1" outlineLevel="1" x14ac:dyDescent="0.25">
      <c r="A267" s="14" t="str">
        <f t="shared" si="88"/>
        <v>TERC_OPER__32</v>
      </c>
      <c r="B267" s="15" t="str">
        <f t="shared" si="79"/>
        <v>TERC_OPER__0_0</v>
      </c>
      <c r="C267" s="83"/>
      <c r="D267" s="15">
        <f t="shared" si="80"/>
        <v>0</v>
      </c>
      <c r="E267" s="15">
        <v>32</v>
      </c>
      <c r="F267" s="190">
        <f t="shared" si="85"/>
        <v>0</v>
      </c>
      <c r="G267" s="149" t="str">
        <f t="shared" si="85"/>
        <v/>
      </c>
      <c r="H267" s="150" t="str">
        <f t="shared" si="85"/>
        <v/>
      </c>
      <c r="I267" s="150">
        <f t="shared" si="85"/>
        <v>0</v>
      </c>
      <c r="J267" s="150">
        <f t="shared" si="85"/>
        <v>0</v>
      </c>
      <c r="K267" s="196"/>
      <c r="L267" s="197"/>
      <c r="M267" s="191">
        <f t="shared" si="86"/>
        <v>0</v>
      </c>
      <c r="N267" s="150">
        <f t="shared" si="86"/>
        <v>0</v>
      </c>
      <c r="O267" s="193">
        <f t="shared" si="86"/>
        <v>0</v>
      </c>
      <c r="P267" s="162">
        <f t="shared" si="87"/>
        <v>0</v>
      </c>
      <c r="Q267" s="162">
        <f t="shared" si="87"/>
        <v>0</v>
      </c>
      <c r="R267" s="162">
        <f t="shared" si="87"/>
        <v>0</v>
      </c>
      <c r="S267" s="162">
        <f t="shared" si="87"/>
        <v>0</v>
      </c>
      <c r="T267" s="162">
        <f t="shared" si="87"/>
        <v>0</v>
      </c>
      <c r="U267" s="162">
        <f t="shared" si="87"/>
        <v>0</v>
      </c>
      <c r="V267" s="162">
        <f t="shared" si="87"/>
        <v>0</v>
      </c>
      <c r="W267" s="162">
        <f t="shared" si="87"/>
        <v>0</v>
      </c>
      <c r="X267" s="162">
        <f t="shared" si="87"/>
        <v>0</v>
      </c>
      <c r="Y267" s="162">
        <f t="shared" si="87"/>
        <v>0</v>
      </c>
      <c r="Z267" s="162">
        <f t="shared" si="87"/>
        <v>0</v>
      </c>
      <c r="AA267" s="162">
        <f t="shared" si="87"/>
        <v>0</v>
      </c>
      <c r="AB267" s="163">
        <f t="shared" si="84"/>
        <v>0</v>
      </c>
      <c r="AC267" s="198"/>
    </row>
    <row r="268" spans="1:29" hidden="1" outlineLevel="1" x14ac:dyDescent="0.25">
      <c r="A268" s="14" t="str">
        <f t="shared" si="88"/>
        <v>TERC_OPER__33</v>
      </c>
      <c r="B268" s="15" t="str">
        <f t="shared" si="79"/>
        <v>TERC_OPER__0_0</v>
      </c>
      <c r="C268" s="83"/>
      <c r="D268" s="15">
        <f t="shared" si="80"/>
        <v>0</v>
      </c>
      <c r="E268" s="15">
        <v>33</v>
      </c>
      <c r="F268" s="190">
        <f t="shared" ref="F268:J280" si="89">F222</f>
        <v>0</v>
      </c>
      <c r="G268" s="149" t="str">
        <f t="shared" si="89"/>
        <v/>
      </c>
      <c r="H268" s="150" t="str">
        <f t="shared" si="89"/>
        <v/>
      </c>
      <c r="I268" s="150">
        <f t="shared" si="89"/>
        <v>0</v>
      </c>
      <c r="J268" s="150">
        <f t="shared" si="89"/>
        <v>0</v>
      </c>
      <c r="K268" s="196"/>
      <c r="L268" s="197"/>
      <c r="M268" s="191">
        <f t="shared" ref="M268:O280" si="90">M222</f>
        <v>0</v>
      </c>
      <c r="N268" s="150">
        <f t="shared" si="90"/>
        <v>0</v>
      </c>
      <c r="O268" s="193">
        <f t="shared" si="90"/>
        <v>0</v>
      </c>
      <c r="P268" s="162">
        <f t="shared" si="87"/>
        <v>0</v>
      </c>
      <c r="Q268" s="162">
        <f t="shared" si="87"/>
        <v>0</v>
      </c>
      <c r="R268" s="162">
        <f t="shared" si="87"/>
        <v>0</v>
      </c>
      <c r="S268" s="162">
        <f t="shared" si="87"/>
        <v>0</v>
      </c>
      <c r="T268" s="162">
        <f t="shared" si="87"/>
        <v>0</v>
      </c>
      <c r="U268" s="162">
        <f t="shared" si="87"/>
        <v>0</v>
      </c>
      <c r="V268" s="162">
        <f t="shared" si="87"/>
        <v>0</v>
      </c>
      <c r="W268" s="162">
        <f t="shared" si="87"/>
        <v>0</v>
      </c>
      <c r="X268" s="162">
        <f t="shared" si="87"/>
        <v>0</v>
      </c>
      <c r="Y268" s="162">
        <f t="shared" si="87"/>
        <v>0</v>
      </c>
      <c r="Z268" s="162">
        <f t="shared" si="87"/>
        <v>0</v>
      </c>
      <c r="AA268" s="162">
        <f t="shared" si="87"/>
        <v>0</v>
      </c>
      <c r="AB268" s="163">
        <f t="shared" si="84"/>
        <v>0</v>
      </c>
      <c r="AC268" s="198"/>
    </row>
    <row r="269" spans="1:29" hidden="1" outlineLevel="1" x14ac:dyDescent="0.25">
      <c r="A269" s="14" t="str">
        <f t="shared" si="88"/>
        <v>TERC_OPER__34</v>
      </c>
      <c r="B269" s="15" t="str">
        <f t="shared" si="79"/>
        <v>TERC_OPER__0_0</v>
      </c>
      <c r="C269" s="83"/>
      <c r="D269" s="15">
        <f t="shared" si="80"/>
        <v>0</v>
      </c>
      <c r="E269" s="15">
        <v>34</v>
      </c>
      <c r="F269" s="190">
        <f t="shared" si="89"/>
        <v>0</v>
      </c>
      <c r="G269" s="149" t="str">
        <f t="shared" si="89"/>
        <v/>
      </c>
      <c r="H269" s="150" t="str">
        <f t="shared" si="89"/>
        <v/>
      </c>
      <c r="I269" s="150">
        <f t="shared" si="89"/>
        <v>0</v>
      </c>
      <c r="J269" s="150">
        <f t="shared" si="89"/>
        <v>0</v>
      </c>
      <c r="K269" s="196"/>
      <c r="L269" s="197"/>
      <c r="M269" s="191">
        <f t="shared" si="90"/>
        <v>0</v>
      </c>
      <c r="N269" s="150">
        <f t="shared" si="90"/>
        <v>0</v>
      </c>
      <c r="O269" s="193">
        <f t="shared" si="90"/>
        <v>0</v>
      </c>
      <c r="P269" s="162">
        <f t="shared" ref="P269:AA280" si="91">IFERROR(SUMIF($B$16:$B$43,$C269&amp;$I269,P$16:P$43)/SUMIF($D$16:$D$43,$I269,P$16:P$43)*P81,0)</f>
        <v>0</v>
      </c>
      <c r="Q269" s="162">
        <f t="shared" si="91"/>
        <v>0</v>
      </c>
      <c r="R269" s="162">
        <f t="shared" si="91"/>
        <v>0</v>
      </c>
      <c r="S269" s="162">
        <f t="shared" si="91"/>
        <v>0</v>
      </c>
      <c r="T269" s="162">
        <f t="shared" si="91"/>
        <v>0</v>
      </c>
      <c r="U269" s="162">
        <f t="shared" si="91"/>
        <v>0</v>
      </c>
      <c r="V269" s="162">
        <f t="shared" si="91"/>
        <v>0</v>
      </c>
      <c r="W269" s="162">
        <f t="shared" si="91"/>
        <v>0</v>
      </c>
      <c r="X269" s="162">
        <f t="shared" si="91"/>
        <v>0</v>
      </c>
      <c r="Y269" s="162">
        <f t="shared" si="91"/>
        <v>0</v>
      </c>
      <c r="Z269" s="162">
        <f t="shared" si="91"/>
        <v>0</v>
      </c>
      <c r="AA269" s="162">
        <f t="shared" si="91"/>
        <v>0</v>
      </c>
      <c r="AB269" s="163">
        <f t="shared" si="84"/>
        <v>0</v>
      </c>
      <c r="AC269" s="198"/>
    </row>
    <row r="270" spans="1:29" hidden="1" outlineLevel="1" x14ac:dyDescent="0.25">
      <c r="A270" s="14" t="str">
        <f t="shared" si="88"/>
        <v>TERC_OPER__35</v>
      </c>
      <c r="B270" s="15" t="str">
        <f t="shared" si="79"/>
        <v>TERC_OPER__0_0</v>
      </c>
      <c r="C270" s="83"/>
      <c r="D270" s="15">
        <f t="shared" si="80"/>
        <v>0</v>
      </c>
      <c r="E270" s="15">
        <v>35</v>
      </c>
      <c r="F270" s="190">
        <f t="shared" si="89"/>
        <v>0</v>
      </c>
      <c r="G270" s="149" t="str">
        <f t="shared" si="89"/>
        <v/>
      </c>
      <c r="H270" s="150" t="str">
        <f t="shared" si="89"/>
        <v/>
      </c>
      <c r="I270" s="150">
        <f t="shared" si="89"/>
        <v>0</v>
      </c>
      <c r="J270" s="150">
        <f t="shared" si="89"/>
        <v>0</v>
      </c>
      <c r="K270" s="196"/>
      <c r="L270" s="197"/>
      <c r="M270" s="191">
        <f t="shared" si="90"/>
        <v>0</v>
      </c>
      <c r="N270" s="150">
        <f t="shared" si="90"/>
        <v>0</v>
      </c>
      <c r="O270" s="193">
        <f t="shared" si="90"/>
        <v>0</v>
      </c>
      <c r="P270" s="162">
        <f t="shared" si="91"/>
        <v>0</v>
      </c>
      <c r="Q270" s="162">
        <f t="shared" si="91"/>
        <v>0</v>
      </c>
      <c r="R270" s="162">
        <f t="shared" si="91"/>
        <v>0</v>
      </c>
      <c r="S270" s="162">
        <f t="shared" si="91"/>
        <v>0</v>
      </c>
      <c r="T270" s="162">
        <f t="shared" si="91"/>
        <v>0</v>
      </c>
      <c r="U270" s="162">
        <f t="shared" si="91"/>
        <v>0</v>
      </c>
      <c r="V270" s="162">
        <f t="shared" si="91"/>
        <v>0</v>
      </c>
      <c r="W270" s="162">
        <f t="shared" si="91"/>
        <v>0</v>
      </c>
      <c r="X270" s="162">
        <f t="shared" si="91"/>
        <v>0</v>
      </c>
      <c r="Y270" s="162">
        <f t="shared" si="91"/>
        <v>0</v>
      </c>
      <c r="Z270" s="162">
        <f t="shared" si="91"/>
        <v>0</v>
      </c>
      <c r="AA270" s="162">
        <f t="shared" si="91"/>
        <v>0</v>
      </c>
      <c r="AB270" s="163">
        <f t="shared" si="84"/>
        <v>0</v>
      </c>
      <c r="AC270" s="198"/>
    </row>
    <row r="271" spans="1:29" hidden="1" outlineLevel="1" x14ac:dyDescent="0.25">
      <c r="A271" s="14" t="str">
        <f t="shared" si="88"/>
        <v>TERC_OPER__36</v>
      </c>
      <c r="B271" s="15" t="str">
        <f t="shared" si="79"/>
        <v>TERC_OPER__0_0</v>
      </c>
      <c r="C271" s="83"/>
      <c r="D271" s="15">
        <f t="shared" si="80"/>
        <v>0</v>
      </c>
      <c r="E271" s="15">
        <v>36</v>
      </c>
      <c r="F271" s="190">
        <f t="shared" si="89"/>
        <v>0</v>
      </c>
      <c r="G271" s="149" t="str">
        <f t="shared" si="89"/>
        <v/>
      </c>
      <c r="H271" s="150" t="str">
        <f t="shared" si="89"/>
        <v/>
      </c>
      <c r="I271" s="150">
        <f t="shared" si="89"/>
        <v>0</v>
      </c>
      <c r="J271" s="150">
        <f t="shared" si="89"/>
        <v>0</v>
      </c>
      <c r="K271" s="196"/>
      <c r="L271" s="197"/>
      <c r="M271" s="191">
        <f t="shared" si="90"/>
        <v>0</v>
      </c>
      <c r="N271" s="150">
        <f t="shared" si="90"/>
        <v>0</v>
      </c>
      <c r="O271" s="193">
        <f t="shared" si="90"/>
        <v>0</v>
      </c>
      <c r="P271" s="162">
        <f t="shared" si="91"/>
        <v>0</v>
      </c>
      <c r="Q271" s="162">
        <f t="shared" si="91"/>
        <v>0</v>
      </c>
      <c r="R271" s="162">
        <f t="shared" si="91"/>
        <v>0</v>
      </c>
      <c r="S271" s="162">
        <f t="shared" si="91"/>
        <v>0</v>
      </c>
      <c r="T271" s="162">
        <f t="shared" si="91"/>
        <v>0</v>
      </c>
      <c r="U271" s="162">
        <f t="shared" si="91"/>
        <v>0</v>
      </c>
      <c r="V271" s="162">
        <f t="shared" si="91"/>
        <v>0</v>
      </c>
      <c r="W271" s="162">
        <f t="shared" si="91"/>
        <v>0</v>
      </c>
      <c r="X271" s="162">
        <f t="shared" si="91"/>
        <v>0</v>
      </c>
      <c r="Y271" s="162">
        <f t="shared" si="91"/>
        <v>0</v>
      </c>
      <c r="Z271" s="162">
        <f t="shared" si="91"/>
        <v>0</v>
      </c>
      <c r="AA271" s="162">
        <f t="shared" si="91"/>
        <v>0</v>
      </c>
      <c r="AB271" s="163">
        <f t="shared" si="84"/>
        <v>0</v>
      </c>
      <c r="AC271" s="198"/>
    </row>
    <row r="272" spans="1:29" hidden="1" outlineLevel="1" x14ac:dyDescent="0.25">
      <c r="A272" s="14" t="str">
        <f t="shared" si="88"/>
        <v>TERC_OPER__37</v>
      </c>
      <c r="B272" s="15" t="str">
        <f t="shared" si="79"/>
        <v>TERC_OPER__0_0</v>
      </c>
      <c r="C272" s="83"/>
      <c r="D272" s="15">
        <f t="shared" si="80"/>
        <v>0</v>
      </c>
      <c r="E272" s="15">
        <v>37</v>
      </c>
      <c r="F272" s="190">
        <f t="shared" si="89"/>
        <v>0</v>
      </c>
      <c r="G272" s="149" t="str">
        <f t="shared" si="89"/>
        <v/>
      </c>
      <c r="H272" s="150" t="str">
        <f t="shared" si="89"/>
        <v/>
      </c>
      <c r="I272" s="150">
        <f t="shared" si="89"/>
        <v>0</v>
      </c>
      <c r="J272" s="150">
        <f t="shared" si="89"/>
        <v>0</v>
      </c>
      <c r="K272" s="196"/>
      <c r="L272" s="197"/>
      <c r="M272" s="191">
        <f t="shared" si="90"/>
        <v>0</v>
      </c>
      <c r="N272" s="150">
        <f t="shared" si="90"/>
        <v>0</v>
      </c>
      <c r="O272" s="193">
        <f t="shared" si="90"/>
        <v>0</v>
      </c>
      <c r="P272" s="162">
        <f t="shared" si="91"/>
        <v>0</v>
      </c>
      <c r="Q272" s="162">
        <f t="shared" si="91"/>
        <v>0</v>
      </c>
      <c r="R272" s="162">
        <f t="shared" si="91"/>
        <v>0</v>
      </c>
      <c r="S272" s="162">
        <f t="shared" si="91"/>
        <v>0</v>
      </c>
      <c r="T272" s="162">
        <f t="shared" si="91"/>
        <v>0</v>
      </c>
      <c r="U272" s="162">
        <f t="shared" si="91"/>
        <v>0</v>
      </c>
      <c r="V272" s="162">
        <f t="shared" si="91"/>
        <v>0</v>
      </c>
      <c r="W272" s="162">
        <f t="shared" si="91"/>
        <v>0</v>
      </c>
      <c r="X272" s="162">
        <f t="shared" si="91"/>
        <v>0</v>
      </c>
      <c r="Y272" s="162">
        <f t="shared" si="91"/>
        <v>0</v>
      </c>
      <c r="Z272" s="162">
        <f t="shared" si="91"/>
        <v>0</v>
      </c>
      <c r="AA272" s="162">
        <f t="shared" si="91"/>
        <v>0</v>
      </c>
      <c r="AB272" s="163">
        <f t="shared" si="84"/>
        <v>0</v>
      </c>
      <c r="AC272" s="198"/>
    </row>
    <row r="273" spans="1:29" hidden="1" outlineLevel="1" x14ac:dyDescent="0.25">
      <c r="A273" s="14" t="str">
        <f t="shared" si="88"/>
        <v>TERC_OPER__38</v>
      </c>
      <c r="B273" s="15" t="str">
        <f t="shared" si="79"/>
        <v>TERC_OPER__0_0</v>
      </c>
      <c r="C273" s="83"/>
      <c r="D273" s="15">
        <f t="shared" si="80"/>
        <v>0</v>
      </c>
      <c r="E273" s="15">
        <v>38</v>
      </c>
      <c r="F273" s="190">
        <f t="shared" si="89"/>
        <v>0</v>
      </c>
      <c r="G273" s="149" t="str">
        <f t="shared" si="89"/>
        <v/>
      </c>
      <c r="H273" s="150" t="str">
        <f t="shared" si="89"/>
        <v/>
      </c>
      <c r="I273" s="150">
        <f t="shared" si="89"/>
        <v>0</v>
      </c>
      <c r="J273" s="150">
        <f t="shared" si="89"/>
        <v>0</v>
      </c>
      <c r="K273" s="196"/>
      <c r="L273" s="197"/>
      <c r="M273" s="191">
        <f t="shared" si="90"/>
        <v>0</v>
      </c>
      <c r="N273" s="150">
        <f t="shared" si="90"/>
        <v>0</v>
      </c>
      <c r="O273" s="193">
        <f t="shared" si="90"/>
        <v>0</v>
      </c>
      <c r="P273" s="162">
        <f t="shared" si="91"/>
        <v>0</v>
      </c>
      <c r="Q273" s="162">
        <f t="shared" si="91"/>
        <v>0</v>
      </c>
      <c r="R273" s="162">
        <f t="shared" si="91"/>
        <v>0</v>
      </c>
      <c r="S273" s="162">
        <f t="shared" si="91"/>
        <v>0</v>
      </c>
      <c r="T273" s="162">
        <f t="shared" si="91"/>
        <v>0</v>
      </c>
      <c r="U273" s="162">
        <f t="shared" si="91"/>
        <v>0</v>
      </c>
      <c r="V273" s="162">
        <f t="shared" si="91"/>
        <v>0</v>
      </c>
      <c r="W273" s="162">
        <f t="shared" si="91"/>
        <v>0</v>
      </c>
      <c r="X273" s="162">
        <f t="shared" si="91"/>
        <v>0</v>
      </c>
      <c r="Y273" s="162">
        <f t="shared" si="91"/>
        <v>0</v>
      </c>
      <c r="Z273" s="162">
        <f t="shared" si="91"/>
        <v>0</v>
      </c>
      <c r="AA273" s="162">
        <f t="shared" si="91"/>
        <v>0</v>
      </c>
      <c r="AB273" s="163">
        <f t="shared" si="84"/>
        <v>0</v>
      </c>
      <c r="AC273" s="198"/>
    </row>
    <row r="274" spans="1:29" hidden="1" outlineLevel="1" x14ac:dyDescent="0.25">
      <c r="A274" s="14" t="str">
        <f t="shared" si="88"/>
        <v>TERC_OPER__39</v>
      </c>
      <c r="B274" s="15" t="str">
        <f t="shared" si="79"/>
        <v>TERC_OPER__0_0</v>
      </c>
      <c r="C274" s="83"/>
      <c r="D274" s="15">
        <f t="shared" si="80"/>
        <v>0</v>
      </c>
      <c r="E274" s="15">
        <v>39</v>
      </c>
      <c r="F274" s="190">
        <f t="shared" si="89"/>
        <v>0</v>
      </c>
      <c r="G274" s="149" t="str">
        <f t="shared" si="89"/>
        <v/>
      </c>
      <c r="H274" s="150" t="str">
        <f t="shared" si="89"/>
        <v/>
      </c>
      <c r="I274" s="150">
        <f t="shared" si="89"/>
        <v>0</v>
      </c>
      <c r="J274" s="150">
        <f t="shared" si="89"/>
        <v>0</v>
      </c>
      <c r="K274" s="196"/>
      <c r="L274" s="197"/>
      <c r="M274" s="191">
        <f t="shared" si="90"/>
        <v>0</v>
      </c>
      <c r="N274" s="150">
        <f t="shared" si="90"/>
        <v>0</v>
      </c>
      <c r="O274" s="193">
        <f t="shared" si="90"/>
        <v>0</v>
      </c>
      <c r="P274" s="162">
        <f t="shared" si="91"/>
        <v>0</v>
      </c>
      <c r="Q274" s="162">
        <f t="shared" si="91"/>
        <v>0</v>
      </c>
      <c r="R274" s="162">
        <f t="shared" si="91"/>
        <v>0</v>
      </c>
      <c r="S274" s="162">
        <f t="shared" si="91"/>
        <v>0</v>
      </c>
      <c r="T274" s="162">
        <f t="shared" si="91"/>
        <v>0</v>
      </c>
      <c r="U274" s="162">
        <f t="shared" si="91"/>
        <v>0</v>
      </c>
      <c r="V274" s="162">
        <f t="shared" si="91"/>
        <v>0</v>
      </c>
      <c r="W274" s="162">
        <f t="shared" si="91"/>
        <v>0</v>
      </c>
      <c r="X274" s="162">
        <f t="shared" si="91"/>
        <v>0</v>
      </c>
      <c r="Y274" s="162">
        <f t="shared" si="91"/>
        <v>0</v>
      </c>
      <c r="Z274" s="162">
        <f t="shared" si="91"/>
        <v>0</v>
      </c>
      <c r="AA274" s="162">
        <f t="shared" si="91"/>
        <v>0</v>
      </c>
      <c r="AB274" s="163">
        <f t="shared" si="84"/>
        <v>0</v>
      </c>
      <c r="AC274" s="198"/>
    </row>
    <row r="275" spans="1:29" hidden="1" outlineLevel="1" x14ac:dyDescent="0.25">
      <c r="A275" s="14" t="str">
        <f t="shared" si="88"/>
        <v>TERC_OPER__40</v>
      </c>
      <c r="B275" s="15" t="str">
        <f t="shared" si="79"/>
        <v>TERC_OPER__0_0</v>
      </c>
      <c r="C275" s="83"/>
      <c r="D275" s="15">
        <f t="shared" si="80"/>
        <v>0</v>
      </c>
      <c r="E275" s="15">
        <v>40</v>
      </c>
      <c r="F275" s="190">
        <f t="shared" si="89"/>
        <v>0</v>
      </c>
      <c r="G275" s="149" t="str">
        <f t="shared" si="89"/>
        <v/>
      </c>
      <c r="H275" s="150" t="str">
        <f t="shared" si="89"/>
        <v/>
      </c>
      <c r="I275" s="150">
        <f t="shared" si="89"/>
        <v>0</v>
      </c>
      <c r="J275" s="150">
        <f t="shared" si="89"/>
        <v>0</v>
      </c>
      <c r="K275" s="196"/>
      <c r="L275" s="197"/>
      <c r="M275" s="191">
        <f t="shared" si="90"/>
        <v>0</v>
      </c>
      <c r="N275" s="150">
        <f t="shared" si="90"/>
        <v>0</v>
      </c>
      <c r="O275" s="193">
        <f t="shared" si="90"/>
        <v>0</v>
      </c>
      <c r="P275" s="162">
        <f t="shared" si="91"/>
        <v>0</v>
      </c>
      <c r="Q275" s="162">
        <f t="shared" si="91"/>
        <v>0</v>
      </c>
      <c r="R275" s="162">
        <f t="shared" si="91"/>
        <v>0</v>
      </c>
      <c r="S275" s="162">
        <f t="shared" si="91"/>
        <v>0</v>
      </c>
      <c r="T275" s="162">
        <f t="shared" si="91"/>
        <v>0</v>
      </c>
      <c r="U275" s="162">
        <f t="shared" si="91"/>
        <v>0</v>
      </c>
      <c r="V275" s="162">
        <f t="shared" si="91"/>
        <v>0</v>
      </c>
      <c r="W275" s="162">
        <f t="shared" si="91"/>
        <v>0</v>
      </c>
      <c r="X275" s="162">
        <f t="shared" si="91"/>
        <v>0</v>
      </c>
      <c r="Y275" s="162">
        <f t="shared" si="91"/>
        <v>0</v>
      </c>
      <c r="Z275" s="162">
        <f t="shared" si="91"/>
        <v>0</v>
      </c>
      <c r="AA275" s="162">
        <f t="shared" si="91"/>
        <v>0</v>
      </c>
      <c r="AB275" s="163">
        <f t="shared" si="84"/>
        <v>0</v>
      </c>
      <c r="AC275" s="198"/>
    </row>
    <row r="276" spans="1:29" hidden="1" outlineLevel="1" x14ac:dyDescent="0.25">
      <c r="A276" s="14" t="str">
        <f t="shared" si="88"/>
        <v>TERC_OPER__41</v>
      </c>
      <c r="B276" s="15" t="str">
        <f t="shared" si="79"/>
        <v>TERC_OPER__0_0</v>
      </c>
      <c r="C276" s="83"/>
      <c r="D276" s="15">
        <f t="shared" si="80"/>
        <v>0</v>
      </c>
      <c r="E276" s="15">
        <v>41</v>
      </c>
      <c r="F276" s="190">
        <f t="shared" si="89"/>
        <v>0</v>
      </c>
      <c r="G276" s="149" t="str">
        <f t="shared" si="89"/>
        <v/>
      </c>
      <c r="H276" s="150" t="str">
        <f t="shared" si="89"/>
        <v/>
      </c>
      <c r="I276" s="150">
        <f t="shared" si="89"/>
        <v>0</v>
      </c>
      <c r="J276" s="150">
        <f t="shared" si="89"/>
        <v>0</v>
      </c>
      <c r="K276" s="196"/>
      <c r="L276" s="197"/>
      <c r="M276" s="191">
        <f t="shared" si="90"/>
        <v>0</v>
      </c>
      <c r="N276" s="150">
        <f t="shared" si="90"/>
        <v>0</v>
      </c>
      <c r="O276" s="193">
        <f t="shared" si="90"/>
        <v>0</v>
      </c>
      <c r="P276" s="162">
        <f t="shared" si="91"/>
        <v>0</v>
      </c>
      <c r="Q276" s="162">
        <f t="shared" si="91"/>
        <v>0</v>
      </c>
      <c r="R276" s="162">
        <f t="shared" si="91"/>
        <v>0</v>
      </c>
      <c r="S276" s="162">
        <f t="shared" si="91"/>
        <v>0</v>
      </c>
      <c r="T276" s="162">
        <f t="shared" si="91"/>
        <v>0</v>
      </c>
      <c r="U276" s="162">
        <f t="shared" si="91"/>
        <v>0</v>
      </c>
      <c r="V276" s="162">
        <f t="shared" si="91"/>
        <v>0</v>
      </c>
      <c r="W276" s="162">
        <f t="shared" si="91"/>
        <v>0</v>
      </c>
      <c r="X276" s="162">
        <f t="shared" si="91"/>
        <v>0</v>
      </c>
      <c r="Y276" s="162">
        <f t="shared" si="91"/>
        <v>0</v>
      </c>
      <c r="Z276" s="162">
        <f t="shared" si="91"/>
        <v>0</v>
      </c>
      <c r="AA276" s="162">
        <f t="shared" si="91"/>
        <v>0</v>
      </c>
      <c r="AB276" s="163">
        <f t="shared" si="84"/>
        <v>0</v>
      </c>
      <c r="AC276" s="198"/>
    </row>
    <row r="277" spans="1:29" hidden="1" outlineLevel="1" x14ac:dyDescent="0.25">
      <c r="A277" s="14" t="str">
        <f t="shared" si="88"/>
        <v>TERC_OPER__42</v>
      </c>
      <c r="B277" s="15" t="str">
        <f t="shared" si="79"/>
        <v>TERC_OPER__0_0</v>
      </c>
      <c r="C277" s="83"/>
      <c r="D277" s="15">
        <f t="shared" si="80"/>
        <v>0</v>
      </c>
      <c r="E277" s="15">
        <v>42</v>
      </c>
      <c r="F277" s="190">
        <f t="shared" si="89"/>
        <v>0</v>
      </c>
      <c r="G277" s="149" t="str">
        <f t="shared" si="89"/>
        <v/>
      </c>
      <c r="H277" s="150" t="str">
        <f t="shared" si="89"/>
        <v/>
      </c>
      <c r="I277" s="150">
        <f t="shared" si="89"/>
        <v>0</v>
      </c>
      <c r="J277" s="150">
        <f t="shared" si="89"/>
        <v>0</v>
      </c>
      <c r="K277" s="196"/>
      <c r="L277" s="197"/>
      <c r="M277" s="191">
        <f t="shared" si="90"/>
        <v>0</v>
      </c>
      <c r="N277" s="150">
        <f t="shared" si="90"/>
        <v>0</v>
      </c>
      <c r="O277" s="193">
        <f t="shared" si="90"/>
        <v>0</v>
      </c>
      <c r="P277" s="162">
        <f t="shared" si="91"/>
        <v>0</v>
      </c>
      <c r="Q277" s="162">
        <f t="shared" si="91"/>
        <v>0</v>
      </c>
      <c r="R277" s="162">
        <f t="shared" si="91"/>
        <v>0</v>
      </c>
      <c r="S277" s="162">
        <f t="shared" si="91"/>
        <v>0</v>
      </c>
      <c r="T277" s="162">
        <f t="shared" si="91"/>
        <v>0</v>
      </c>
      <c r="U277" s="162">
        <f t="shared" si="91"/>
        <v>0</v>
      </c>
      <c r="V277" s="162">
        <f t="shared" si="91"/>
        <v>0</v>
      </c>
      <c r="W277" s="162">
        <f t="shared" si="91"/>
        <v>0</v>
      </c>
      <c r="X277" s="162">
        <f t="shared" si="91"/>
        <v>0</v>
      </c>
      <c r="Y277" s="162">
        <f t="shared" si="91"/>
        <v>0</v>
      </c>
      <c r="Z277" s="162">
        <f t="shared" si="91"/>
        <v>0</v>
      </c>
      <c r="AA277" s="162">
        <f t="shared" si="91"/>
        <v>0</v>
      </c>
      <c r="AB277" s="163">
        <f t="shared" si="84"/>
        <v>0</v>
      </c>
      <c r="AC277" s="198"/>
    </row>
    <row r="278" spans="1:29" hidden="1" outlineLevel="1" x14ac:dyDescent="0.25">
      <c r="A278" s="14" t="str">
        <f t="shared" si="88"/>
        <v>TERC_OPER__43</v>
      </c>
      <c r="B278" s="15" t="str">
        <f t="shared" si="79"/>
        <v>TERC_OPER__0_0</v>
      </c>
      <c r="C278" s="83"/>
      <c r="D278" s="15">
        <f t="shared" si="80"/>
        <v>0</v>
      </c>
      <c r="E278" s="15">
        <v>43</v>
      </c>
      <c r="F278" s="190">
        <f t="shared" si="89"/>
        <v>0</v>
      </c>
      <c r="G278" s="149" t="str">
        <f t="shared" si="89"/>
        <v/>
      </c>
      <c r="H278" s="150" t="str">
        <f t="shared" si="89"/>
        <v/>
      </c>
      <c r="I278" s="150">
        <f t="shared" si="89"/>
        <v>0</v>
      </c>
      <c r="J278" s="150">
        <f t="shared" si="89"/>
        <v>0</v>
      </c>
      <c r="K278" s="196"/>
      <c r="L278" s="197"/>
      <c r="M278" s="191">
        <f t="shared" si="90"/>
        <v>0</v>
      </c>
      <c r="N278" s="150">
        <f t="shared" si="90"/>
        <v>0</v>
      </c>
      <c r="O278" s="193">
        <f t="shared" si="90"/>
        <v>0</v>
      </c>
      <c r="P278" s="162">
        <f t="shared" si="91"/>
        <v>0</v>
      </c>
      <c r="Q278" s="162">
        <f t="shared" si="91"/>
        <v>0</v>
      </c>
      <c r="R278" s="162">
        <f t="shared" si="91"/>
        <v>0</v>
      </c>
      <c r="S278" s="162">
        <f t="shared" si="91"/>
        <v>0</v>
      </c>
      <c r="T278" s="162">
        <f t="shared" si="91"/>
        <v>0</v>
      </c>
      <c r="U278" s="162">
        <f t="shared" si="91"/>
        <v>0</v>
      </c>
      <c r="V278" s="162">
        <f t="shared" si="91"/>
        <v>0</v>
      </c>
      <c r="W278" s="162">
        <f t="shared" si="91"/>
        <v>0</v>
      </c>
      <c r="X278" s="162">
        <f t="shared" si="91"/>
        <v>0</v>
      </c>
      <c r="Y278" s="162">
        <f t="shared" si="91"/>
        <v>0</v>
      </c>
      <c r="Z278" s="162">
        <f t="shared" si="91"/>
        <v>0</v>
      </c>
      <c r="AA278" s="162">
        <f t="shared" si="91"/>
        <v>0</v>
      </c>
      <c r="AB278" s="163">
        <f t="shared" si="84"/>
        <v>0</v>
      </c>
      <c r="AC278" s="198"/>
    </row>
    <row r="279" spans="1:29" hidden="1" outlineLevel="1" x14ac:dyDescent="0.25">
      <c r="A279" s="14" t="str">
        <f t="shared" si="88"/>
        <v>TERC_OPER__44</v>
      </c>
      <c r="B279" s="15" t="str">
        <f t="shared" si="79"/>
        <v>TERC_OPER__0_0</v>
      </c>
      <c r="C279" s="83"/>
      <c r="D279" s="15">
        <f t="shared" si="80"/>
        <v>0</v>
      </c>
      <c r="E279" s="15">
        <v>44</v>
      </c>
      <c r="F279" s="190">
        <f t="shared" si="89"/>
        <v>0</v>
      </c>
      <c r="G279" s="149" t="str">
        <f t="shared" si="89"/>
        <v/>
      </c>
      <c r="H279" s="150" t="str">
        <f t="shared" si="89"/>
        <v/>
      </c>
      <c r="I279" s="150">
        <f t="shared" si="89"/>
        <v>0</v>
      </c>
      <c r="J279" s="150">
        <f t="shared" si="89"/>
        <v>0</v>
      </c>
      <c r="K279" s="196"/>
      <c r="L279" s="197"/>
      <c r="M279" s="191">
        <f t="shared" si="90"/>
        <v>0</v>
      </c>
      <c r="N279" s="150">
        <f t="shared" si="90"/>
        <v>0</v>
      </c>
      <c r="O279" s="193">
        <f t="shared" si="90"/>
        <v>0</v>
      </c>
      <c r="P279" s="162">
        <f t="shared" si="91"/>
        <v>0</v>
      </c>
      <c r="Q279" s="162">
        <f t="shared" si="91"/>
        <v>0</v>
      </c>
      <c r="R279" s="162">
        <f t="shared" si="91"/>
        <v>0</v>
      </c>
      <c r="S279" s="162">
        <f t="shared" si="91"/>
        <v>0</v>
      </c>
      <c r="T279" s="162">
        <f t="shared" si="91"/>
        <v>0</v>
      </c>
      <c r="U279" s="162">
        <f t="shared" si="91"/>
        <v>0</v>
      </c>
      <c r="V279" s="162">
        <f t="shared" si="91"/>
        <v>0</v>
      </c>
      <c r="W279" s="162">
        <f t="shared" si="91"/>
        <v>0</v>
      </c>
      <c r="X279" s="162">
        <f t="shared" si="91"/>
        <v>0</v>
      </c>
      <c r="Y279" s="162">
        <f t="shared" si="91"/>
        <v>0</v>
      </c>
      <c r="Z279" s="162">
        <f t="shared" si="91"/>
        <v>0</v>
      </c>
      <c r="AA279" s="162">
        <f t="shared" si="91"/>
        <v>0</v>
      </c>
      <c r="AB279" s="163">
        <f t="shared" si="84"/>
        <v>0</v>
      </c>
      <c r="AC279" s="198"/>
    </row>
    <row r="280" spans="1:29" hidden="1" outlineLevel="1" x14ac:dyDescent="0.25">
      <c r="A280" s="14" t="str">
        <f t="shared" si="88"/>
        <v>TERC_OPER__45</v>
      </c>
      <c r="B280" s="15" t="str">
        <f t="shared" si="79"/>
        <v>TERC_OPER__0_0</v>
      </c>
      <c r="C280" s="83"/>
      <c r="D280" s="15">
        <f t="shared" si="80"/>
        <v>0</v>
      </c>
      <c r="E280" s="15">
        <v>45</v>
      </c>
      <c r="F280" s="190">
        <f t="shared" si="89"/>
        <v>0</v>
      </c>
      <c r="G280" s="149" t="str">
        <f t="shared" si="89"/>
        <v/>
      </c>
      <c r="H280" s="150" t="str">
        <f t="shared" si="89"/>
        <v/>
      </c>
      <c r="I280" s="150">
        <f t="shared" si="89"/>
        <v>0</v>
      </c>
      <c r="J280" s="150">
        <f t="shared" si="89"/>
        <v>0</v>
      </c>
      <c r="K280" s="196"/>
      <c r="L280" s="197"/>
      <c r="M280" s="191">
        <f t="shared" si="90"/>
        <v>0</v>
      </c>
      <c r="N280" s="150">
        <f t="shared" si="90"/>
        <v>0</v>
      </c>
      <c r="O280" s="193">
        <f t="shared" si="90"/>
        <v>0</v>
      </c>
      <c r="P280" s="162">
        <f t="shared" si="91"/>
        <v>0</v>
      </c>
      <c r="Q280" s="162">
        <f t="shared" si="91"/>
        <v>0</v>
      </c>
      <c r="R280" s="162">
        <f t="shared" si="91"/>
        <v>0</v>
      </c>
      <c r="S280" s="162">
        <f t="shared" si="91"/>
        <v>0</v>
      </c>
      <c r="T280" s="162">
        <f t="shared" si="91"/>
        <v>0</v>
      </c>
      <c r="U280" s="162">
        <f t="shared" si="91"/>
        <v>0</v>
      </c>
      <c r="V280" s="162">
        <f t="shared" si="91"/>
        <v>0</v>
      </c>
      <c r="W280" s="162">
        <f t="shared" si="91"/>
        <v>0</v>
      </c>
      <c r="X280" s="162">
        <f t="shared" si="91"/>
        <v>0</v>
      </c>
      <c r="Y280" s="162">
        <f t="shared" si="91"/>
        <v>0</v>
      </c>
      <c r="Z280" s="162">
        <f t="shared" si="91"/>
        <v>0</v>
      </c>
      <c r="AA280" s="162">
        <f t="shared" si="91"/>
        <v>0</v>
      </c>
      <c r="AB280" s="163">
        <f t="shared" si="84"/>
        <v>0</v>
      </c>
      <c r="AC280" s="198"/>
    </row>
    <row r="281" spans="1:29" hidden="1" outlineLevel="1" x14ac:dyDescent="0.25">
      <c r="A281" s="14" t="str">
        <f t="shared" si="88"/>
        <v>TERC_OPER__</v>
      </c>
      <c r="F281" s="137" t="s">
        <v>254</v>
      </c>
      <c r="G281" s="138"/>
      <c r="H281" s="139" t="s">
        <v>217</v>
      </c>
      <c r="I281" s="139" t="s">
        <v>218</v>
      </c>
      <c r="J281" s="139" t="s">
        <v>219</v>
      </c>
      <c r="K281" s="140"/>
      <c r="L281" s="141"/>
      <c r="M281" s="142" t="s">
        <v>220</v>
      </c>
      <c r="N281" s="139" t="s">
        <v>221</v>
      </c>
      <c r="O281" s="143" t="s">
        <v>222</v>
      </c>
      <c r="P281" s="35">
        <f t="shared" ref="P281:AA281" si="92">P$9</f>
        <v>46113</v>
      </c>
      <c r="Q281" s="35">
        <f t="shared" si="92"/>
        <v>46143</v>
      </c>
      <c r="R281" s="35">
        <f t="shared" si="92"/>
        <v>46174</v>
      </c>
      <c r="S281" s="35">
        <f t="shared" si="92"/>
        <v>46204</v>
      </c>
      <c r="T281" s="35">
        <f t="shared" si="92"/>
        <v>46235</v>
      </c>
      <c r="U281" s="35">
        <f t="shared" si="92"/>
        <v>46266</v>
      </c>
      <c r="V281" s="35">
        <f t="shared" si="92"/>
        <v>46296</v>
      </c>
      <c r="W281" s="35">
        <f t="shared" si="92"/>
        <v>46327</v>
      </c>
      <c r="X281" s="35">
        <f t="shared" si="92"/>
        <v>46357</v>
      </c>
      <c r="Y281" s="35">
        <f t="shared" si="92"/>
        <v>46388</v>
      </c>
      <c r="Z281" s="35">
        <f t="shared" si="92"/>
        <v>46419</v>
      </c>
      <c r="AA281" s="35">
        <f t="shared" si="92"/>
        <v>46447</v>
      </c>
      <c r="AB281" s="81" t="s">
        <v>223</v>
      </c>
      <c r="AC281" s="82" t="s">
        <v>192</v>
      </c>
    </row>
    <row r="282" spans="1:29" hidden="1" outlineLevel="1" x14ac:dyDescent="0.25">
      <c r="A282" s="14" t="str">
        <f t="shared" si="88"/>
        <v>TERC_OPER__1</v>
      </c>
      <c r="B282" s="15" t="e">
        <f t="shared" ref="B282:B326" si="93">"TERC_OPER_"&amp;C282&amp;"_"&amp;F282&amp;"_"&amp;J282</f>
        <v>#REF!</v>
      </c>
      <c r="C282" s="83"/>
      <c r="D282" s="15" t="e">
        <f t="shared" ref="D282:D326" si="94">J282</f>
        <v>#REF!</v>
      </c>
      <c r="E282" s="15">
        <v>1</v>
      </c>
      <c r="F282" s="190" t="e">
        <f t="shared" ref="F282:J297" si="95">F236</f>
        <v>#REF!</v>
      </c>
      <c r="G282" s="149" t="e">
        <f t="shared" si="95"/>
        <v>#REF!</v>
      </c>
      <c r="H282" s="150" t="e">
        <f t="shared" si="95"/>
        <v>#REF!</v>
      </c>
      <c r="I282" s="150" t="e">
        <f t="shared" si="95"/>
        <v>#REF!</v>
      </c>
      <c r="J282" s="150" t="e">
        <f t="shared" si="95"/>
        <v>#REF!</v>
      </c>
      <c r="K282" s="196"/>
      <c r="L282" s="197"/>
      <c r="M282" s="191" t="e">
        <f t="shared" ref="M282:O297" si="96">M236</f>
        <v>#REF!</v>
      </c>
      <c r="N282" s="150" t="e">
        <f t="shared" si="96"/>
        <v>#REF!</v>
      </c>
      <c r="O282" s="193" t="e">
        <f t="shared" si="96"/>
        <v>#REF!</v>
      </c>
      <c r="P282" s="162">
        <f>IFERROR(SUMIF($B$16:$B$43,$C282&amp;$I282,P$16:P$43)/SUMIF($D$16:$D$43,$I282,P$16:P$43)*#REF!,0)</f>
        <v>0</v>
      </c>
      <c r="Q282" s="162">
        <f>IFERROR(SUMIF($B$16:$B$43,$C282&amp;$I282,Q$16:Q$43)/SUMIF($D$16:$D$43,$I282,Q$16:Q$43)*#REF!,0)</f>
        <v>0</v>
      </c>
      <c r="R282" s="162">
        <f>IFERROR(SUMIF($B$16:$B$43,$C282&amp;$I282,R$16:R$43)/SUMIF($D$16:$D$43,$I282,R$16:R$43)*#REF!,0)</f>
        <v>0</v>
      </c>
      <c r="S282" s="162">
        <f>IFERROR(SUMIF($B$16:$B$43,$C282&amp;$I282,S$16:S$43)/SUMIF($D$16:$D$43,$I282,S$16:S$43)*#REF!,0)</f>
        <v>0</v>
      </c>
      <c r="T282" s="162">
        <f>IFERROR(SUMIF($B$16:$B$43,$C282&amp;$I282,T$16:T$43)/SUMIF($D$16:$D$43,$I282,T$16:T$43)*#REF!,0)</f>
        <v>0</v>
      </c>
      <c r="U282" s="162">
        <f>IFERROR(SUMIF($B$16:$B$43,$C282&amp;$I282,U$16:U$43)/SUMIF($D$16:$D$43,$I282,U$16:U$43)*#REF!,0)</f>
        <v>0</v>
      </c>
      <c r="V282" s="162">
        <f>IFERROR(SUMIF($B$16:$B$43,$C282&amp;$I282,V$16:V$43)/SUMIF($D$16:$D$43,$I282,V$16:V$43)*#REF!,0)</f>
        <v>0</v>
      </c>
      <c r="W282" s="162">
        <f>IFERROR(SUMIF($B$16:$B$43,$C282&amp;$I282,W$16:W$43)/SUMIF($D$16:$D$43,$I282,W$16:W$43)*#REF!,0)</f>
        <v>0</v>
      </c>
      <c r="X282" s="162">
        <f>IFERROR(SUMIF($B$16:$B$43,$C282&amp;$I282,X$16:X$43)/SUMIF($D$16:$D$43,$I282,X$16:X$43)*#REF!,0)</f>
        <v>0</v>
      </c>
      <c r="Y282" s="162">
        <f>IFERROR(SUMIF($B$16:$B$43,$C282&amp;$I282,Y$16:Y$43)/SUMIF($D$16:$D$43,$I282,Y$16:Y$43)*#REF!,0)</f>
        <v>0</v>
      </c>
      <c r="Z282" s="162">
        <f>IFERROR(SUMIF($B$16:$B$43,$C282&amp;$I282,Z$16:Z$43)/SUMIF($D$16:$D$43,$I282,Z$16:Z$43)*#REF!,0)</f>
        <v>0</v>
      </c>
      <c r="AA282" s="162">
        <f>IFERROR(SUMIF($B$16:$B$43,$C282&amp;$I282,AA$16:AA$43)/SUMIF($D$16:$D$43,$I282,AA$16:AA$43)*#REF!,0)</f>
        <v>0</v>
      </c>
      <c r="AB282" s="163">
        <f>SUM(P282:AA282)</f>
        <v>0</v>
      </c>
      <c r="AC282" s="198"/>
    </row>
    <row r="283" spans="1:29" hidden="1" outlineLevel="1" x14ac:dyDescent="0.25">
      <c r="A283" s="14" t="str">
        <f t="shared" si="88"/>
        <v>TERC_OPER__2</v>
      </c>
      <c r="B283" s="15" t="str">
        <f t="shared" si="93"/>
        <v>TERC_OPER__1096_1</v>
      </c>
      <c r="C283" s="83"/>
      <c r="D283" s="15">
        <f t="shared" si="94"/>
        <v>1</v>
      </c>
      <c r="E283" s="15">
        <v>2</v>
      </c>
      <c r="F283" s="190">
        <f t="shared" si="95"/>
        <v>1096</v>
      </c>
      <c r="G283" s="149" t="str">
        <f t="shared" si="95"/>
        <v/>
      </c>
      <c r="H283" s="150" t="str">
        <f t="shared" si="95"/>
        <v/>
      </c>
      <c r="I283" s="150" t="str">
        <f t="shared" si="95"/>
        <v>PREPSP</v>
      </c>
      <c r="J283" s="150">
        <f t="shared" si="95"/>
        <v>1</v>
      </c>
      <c r="K283" s="196"/>
      <c r="L283" s="197"/>
      <c r="M283" s="191">
        <f t="shared" si="96"/>
        <v>0</v>
      </c>
      <c r="N283" s="150">
        <f t="shared" si="96"/>
        <v>0</v>
      </c>
      <c r="O283" s="193">
        <f t="shared" si="96"/>
        <v>1</v>
      </c>
      <c r="P283" s="162">
        <f t="shared" ref="P283:AA298" si="97">IFERROR(SUMIF($B$16:$B$43,$C283&amp;$I283,P$16:P$43)/SUMIF($D$16:$D$43,$I283,P$16:P$43)*P49,0)</f>
        <v>0</v>
      </c>
      <c r="Q283" s="162">
        <f t="shared" si="97"/>
        <v>0</v>
      </c>
      <c r="R283" s="162">
        <f t="shared" si="97"/>
        <v>0</v>
      </c>
      <c r="S283" s="162">
        <f t="shared" si="97"/>
        <v>0</v>
      </c>
      <c r="T283" s="162">
        <f t="shared" si="97"/>
        <v>0</v>
      </c>
      <c r="U283" s="162">
        <f>IFERROR(SUMIF($B$16:$B$43,$C283&amp;$I283,U$16:U$43)/SUMIF($D$16:$D$43,$I283,U$16:U$43)*U49,0)</f>
        <v>0</v>
      </c>
      <c r="V283" s="162">
        <f>IFERROR(SUMIF($B$16:$B$43,$C283&amp;$I283,V$16:V$43)/SUMIF($D$16:$D$43,$I283,V$16:V$43)*V49,0)</f>
        <v>0</v>
      </c>
      <c r="W283" s="162">
        <f t="shared" si="97"/>
        <v>0</v>
      </c>
      <c r="X283" s="162">
        <f t="shared" si="97"/>
        <v>0</v>
      </c>
      <c r="Y283" s="162">
        <f t="shared" si="97"/>
        <v>0</v>
      </c>
      <c r="Z283" s="162">
        <f t="shared" si="97"/>
        <v>0</v>
      </c>
      <c r="AA283" s="162">
        <f t="shared" si="97"/>
        <v>0</v>
      </c>
      <c r="AB283" s="163">
        <f t="shared" ref="AB283:AB326" si="98">SUM(P283:AA283)</f>
        <v>0</v>
      </c>
      <c r="AC283" s="198"/>
    </row>
    <row r="284" spans="1:29" hidden="1" outlineLevel="1" x14ac:dyDescent="0.25">
      <c r="A284" s="14" t="str">
        <f t="shared" si="88"/>
        <v>TERC_OPER__3</v>
      </c>
      <c r="B284" s="15" t="str">
        <f t="shared" si="93"/>
        <v>TERC_OPER__1079_1</v>
      </c>
      <c r="C284" s="83"/>
      <c r="D284" s="15">
        <f t="shared" si="94"/>
        <v>1</v>
      </c>
      <c r="E284" s="15">
        <v>3</v>
      </c>
      <c r="F284" s="190">
        <f t="shared" si="95"/>
        <v>1079</v>
      </c>
      <c r="G284" s="149" t="str">
        <f t="shared" si="95"/>
        <v/>
      </c>
      <c r="H284" s="150" t="str">
        <f t="shared" si="95"/>
        <v/>
      </c>
      <c r="I284" s="150" t="str">
        <f t="shared" si="95"/>
        <v>PREPSP</v>
      </c>
      <c r="J284" s="150">
        <f t="shared" si="95"/>
        <v>1</v>
      </c>
      <c r="K284" s="196"/>
      <c r="L284" s="197"/>
      <c r="M284" s="191">
        <f t="shared" si="96"/>
        <v>0</v>
      </c>
      <c r="N284" s="150">
        <f t="shared" si="96"/>
        <v>0</v>
      </c>
      <c r="O284" s="193">
        <f t="shared" si="96"/>
        <v>1</v>
      </c>
      <c r="P284" s="162">
        <f t="shared" si="97"/>
        <v>0</v>
      </c>
      <c r="Q284" s="162">
        <f t="shared" si="97"/>
        <v>0</v>
      </c>
      <c r="R284" s="162">
        <f t="shared" si="97"/>
        <v>0</v>
      </c>
      <c r="S284" s="162">
        <f t="shared" si="97"/>
        <v>0</v>
      </c>
      <c r="T284" s="162">
        <f t="shared" si="97"/>
        <v>0</v>
      </c>
      <c r="U284" s="162">
        <f t="shared" si="97"/>
        <v>0</v>
      </c>
      <c r="V284" s="162">
        <f t="shared" si="97"/>
        <v>0</v>
      </c>
      <c r="W284" s="162">
        <f t="shared" si="97"/>
        <v>0</v>
      </c>
      <c r="X284" s="162">
        <f t="shared" si="97"/>
        <v>0</v>
      </c>
      <c r="Y284" s="162">
        <f t="shared" si="97"/>
        <v>0</v>
      </c>
      <c r="Z284" s="162">
        <f t="shared" si="97"/>
        <v>0</v>
      </c>
      <c r="AA284" s="162">
        <f t="shared" si="97"/>
        <v>0</v>
      </c>
      <c r="AB284" s="163">
        <f t="shared" si="98"/>
        <v>0</v>
      </c>
      <c r="AC284" s="198"/>
    </row>
    <row r="285" spans="1:29" hidden="1" outlineLevel="1" x14ac:dyDescent="0.25">
      <c r="A285" s="14" t="str">
        <f t="shared" si="88"/>
        <v>TERC_OPER__4</v>
      </c>
      <c r="B285" s="15" t="str">
        <f t="shared" si="93"/>
        <v>TERC_OPER__1028_1</v>
      </c>
      <c r="C285" s="83"/>
      <c r="D285" s="15">
        <f t="shared" si="94"/>
        <v>1</v>
      </c>
      <c r="E285" s="15">
        <v>4</v>
      </c>
      <c r="F285" s="190">
        <f t="shared" si="95"/>
        <v>1028</v>
      </c>
      <c r="G285" s="149" t="str">
        <f t="shared" si="95"/>
        <v/>
      </c>
      <c r="H285" s="150" t="str">
        <f t="shared" si="95"/>
        <v/>
      </c>
      <c r="I285" s="150" t="str">
        <f t="shared" si="95"/>
        <v>PREPSP</v>
      </c>
      <c r="J285" s="150">
        <f t="shared" si="95"/>
        <v>1</v>
      </c>
      <c r="K285" s="196"/>
      <c r="L285" s="197"/>
      <c r="M285" s="191">
        <f t="shared" si="96"/>
        <v>0</v>
      </c>
      <c r="N285" s="150">
        <f t="shared" si="96"/>
        <v>0</v>
      </c>
      <c r="O285" s="193">
        <f t="shared" si="96"/>
        <v>1</v>
      </c>
      <c r="P285" s="162">
        <f t="shared" si="97"/>
        <v>0</v>
      </c>
      <c r="Q285" s="162">
        <f t="shared" si="97"/>
        <v>0</v>
      </c>
      <c r="R285" s="162">
        <f t="shared" si="97"/>
        <v>0</v>
      </c>
      <c r="S285" s="162">
        <f t="shared" si="97"/>
        <v>0</v>
      </c>
      <c r="T285" s="162">
        <f t="shared" si="97"/>
        <v>0</v>
      </c>
      <c r="U285" s="162">
        <f t="shared" si="97"/>
        <v>0</v>
      </c>
      <c r="V285" s="162">
        <f t="shared" si="97"/>
        <v>0</v>
      </c>
      <c r="W285" s="162">
        <f t="shared" si="97"/>
        <v>0</v>
      </c>
      <c r="X285" s="162">
        <f t="shared" si="97"/>
        <v>0</v>
      </c>
      <c r="Y285" s="162">
        <f t="shared" si="97"/>
        <v>0</v>
      </c>
      <c r="Z285" s="162">
        <f t="shared" si="97"/>
        <v>0</v>
      </c>
      <c r="AA285" s="162">
        <f t="shared" si="97"/>
        <v>0</v>
      </c>
      <c r="AB285" s="163">
        <f t="shared" si="98"/>
        <v>0</v>
      </c>
      <c r="AC285" s="198"/>
    </row>
    <row r="286" spans="1:29" hidden="1" outlineLevel="1" x14ac:dyDescent="0.25">
      <c r="A286" s="14" t="str">
        <f t="shared" si="88"/>
        <v>TERC_OPER__5</v>
      </c>
      <c r="B286" s="15" t="str">
        <f t="shared" si="93"/>
        <v>TERC_OPER__1029_1</v>
      </c>
      <c r="C286" s="83"/>
      <c r="D286" s="15">
        <f t="shared" si="94"/>
        <v>1</v>
      </c>
      <c r="E286" s="15">
        <v>5</v>
      </c>
      <c r="F286" s="190">
        <f t="shared" si="95"/>
        <v>1029</v>
      </c>
      <c r="G286" s="149" t="str">
        <f t="shared" si="95"/>
        <v/>
      </c>
      <c r="H286" s="150" t="str">
        <f t="shared" si="95"/>
        <v/>
      </c>
      <c r="I286" s="150" t="str">
        <f t="shared" si="95"/>
        <v>PREPSP</v>
      </c>
      <c r="J286" s="150">
        <f t="shared" si="95"/>
        <v>1</v>
      </c>
      <c r="K286" s="196"/>
      <c r="L286" s="197"/>
      <c r="M286" s="191">
        <f t="shared" si="96"/>
        <v>0</v>
      </c>
      <c r="N286" s="150">
        <f t="shared" si="96"/>
        <v>0</v>
      </c>
      <c r="O286" s="193">
        <f t="shared" si="96"/>
        <v>1</v>
      </c>
      <c r="P286" s="162">
        <f t="shared" si="97"/>
        <v>0</v>
      </c>
      <c r="Q286" s="162">
        <f t="shared" si="97"/>
        <v>0</v>
      </c>
      <c r="R286" s="162">
        <f t="shared" si="97"/>
        <v>0</v>
      </c>
      <c r="S286" s="162">
        <f t="shared" si="97"/>
        <v>0</v>
      </c>
      <c r="T286" s="162">
        <f t="shared" si="97"/>
        <v>0</v>
      </c>
      <c r="U286" s="162">
        <f t="shared" si="97"/>
        <v>0</v>
      </c>
      <c r="V286" s="162">
        <f t="shared" si="97"/>
        <v>0</v>
      </c>
      <c r="W286" s="162">
        <f t="shared" si="97"/>
        <v>0</v>
      </c>
      <c r="X286" s="162">
        <f t="shared" si="97"/>
        <v>0</v>
      </c>
      <c r="Y286" s="162">
        <f t="shared" si="97"/>
        <v>0</v>
      </c>
      <c r="Z286" s="162">
        <f t="shared" si="97"/>
        <v>0</v>
      </c>
      <c r="AA286" s="162">
        <f t="shared" si="97"/>
        <v>0</v>
      </c>
      <c r="AB286" s="163">
        <f t="shared" si="98"/>
        <v>0</v>
      </c>
      <c r="AC286" s="198"/>
    </row>
    <row r="287" spans="1:29" hidden="1" outlineLevel="1" x14ac:dyDescent="0.25">
      <c r="A287" s="14" t="str">
        <f t="shared" si="88"/>
        <v>TERC_OPER__6</v>
      </c>
      <c r="B287" s="15" t="str">
        <f t="shared" si="93"/>
        <v>TERC_OPER__0_0</v>
      </c>
      <c r="C287" s="83"/>
      <c r="D287" s="15">
        <f t="shared" si="94"/>
        <v>0</v>
      </c>
      <c r="E287" s="15">
        <v>6</v>
      </c>
      <c r="F287" s="190">
        <f t="shared" si="95"/>
        <v>0</v>
      </c>
      <c r="G287" s="149" t="str">
        <f t="shared" si="95"/>
        <v/>
      </c>
      <c r="H287" s="150" t="str">
        <f t="shared" si="95"/>
        <v/>
      </c>
      <c r="I287" s="150">
        <f t="shared" si="95"/>
        <v>0</v>
      </c>
      <c r="J287" s="150">
        <f t="shared" si="95"/>
        <v>0</v>
      </c>
      <c r="K287" s="196"/>
      <c r="L287" s="197"/>
      <c r="M287" s="191">
        <f t="shared" si="96"/>
        <v>0</v>
      </c>
      <c r="N287" s="150">
        <f t="shared" si="96"/>
        <v>0</v>
      </c>
      <c r="O287" s="193">
        <f t="shared" si="96"/>
        <v>0</v>
      </c>
      <c r="P287" s="162">
        <f t="shared" si="97"/>
        <v>0</v>
      </c>
      <c r="Q287" s="162">
        <f t="shared" si="97"/>
        <v>0</v>
      </c>
      <c r="R287" s="162">
        <f t="shared" si="97"/>
        <v>0</v>
      </c>
      <c r="S287" s="162">
        <f t="shared" si="97"/>
        <v>0</v>
      </c>
      <c r="T287" s="162">
        <f t="shared" si="97"/>
        <v>0</v>
      </c>
      <c r="U287" s="162">
        <f t="shared" si="97"/>
        <v>0</v>
      </c>
      <c r="V287" s="162">
        <f t="shared" si="97"/>
        <v>0</v>
      </c>
      <c r="W287" s="162">
        <f t="shared" si="97"/>
        <v>0</v>
      </c>
      <c r="X287" s="162">
        <f t="shared" si="97"/>
        <v>0</v>
      </c>
      <c r="Y287" s="162">
        <f t="shared" si="97"/>
        <v>0</v>
      </c>
      <c r="Z287" s="162">
        <f t="shared" si="97"/>
        <v>0</v>
      </c>
      <c r="AA287" s="162">
        <f t="shared" si="97"/>
        <v>0</v>
      </c>
      <c r="AB287" s="163">
        <f t="shared" si="98"/>
        <v>0</v>
      </c>
      <c r="AC287" s="198"/>
    </row>
    <row r="288" spans="1:29" hidden="1" outlineLevel="1" x14ac:dyDescent="0.25">
      <c r="A288" s="14" t="str">
        <f t="shared" si="88"/>
        <v>TERC_OPER__7</v>
      </c>
      <c r="B288" s="15" t="str">
        <f t="shared" si="93"/>
        <v>TERC_OPER__0_0</v>
      </c>
      <c r="C288" s="83"/>
      <c r="D288" s="15">
        <f t="shared" si="94"/>
        <v>0</v>
      </c>
      <c r="E288" s="15">
        <v>7</v>
      </c>
      <c r="F288" s="190">
        <f t="shared" si="95"/>
        <v>0</v>
      </c>
      <c r="G288" s="149" t="str">
        <f t="shared" si="95"/>
        <v/>
      </c>
      <c r="H288" s="150" t="str">
        <f t="shared" si="95"/>
        <v/>
      </c>
      <c r="I288" s="150">
        <f t="shared" si="95"/>
        <v>0</v>
      </c>
      <c r="J288" s="150">
        <f t="shared" si="95"/>
        <v>0</v>
      </c>
      <c r="K288" s="196"/>
      <c r="L288" s="197"/>
      <c r="M288" s="191">
        <f t="shared" si="96"/>
        <v>0</v>
      </c>
      <c r="N288" s="150">
        <f t="shared" si="96"/>
        <v>0</v>
      </c>
      <c r="O288" s="193">
        <f t="shared" si="96"/>
        <v>0</v>
      </c>
      <c r="P288" s="162">
        <f t="shared" si="97"/>
        <v>0</v>
      </c>
      <c r="Q288" s="162">
        <f t="shared" si="97"/>
        <v>0</v>
      </c>
      <c r="R288" s="162">
        <f t="shared" si="97"/>
        <v>0</v>
      </c>
      <c r="S288" s="162">
        <f t="shared" si="97"/>
        <v>0</v>
      </c>
      <c r="T288" s="162">
        <f t="shared" si="97"/>
        <v>0</v>
      </c>
      <c r="U288" s="162">
        <f t="shared" si="97"/>
        <v>0</v>
      </c>
      <c r="V288" s="162">
        <f t="shared" si="97"/>
        <v>0</v>
      </c>
      <c r="W288" s="162">
        <f t="shared" si="97"/>
        <v>0</v>
      </c>
      <c r="X288" s="162">
        <f t="shared" si="97"/>
        <v>0</v>
      </c>
      <c r="Y288" s="162">
        <f t="shared" si="97"/>
        <v>0</v>
      </c>
      <c r="Z288" s="162">
        <f t="shared" si="97"/>
        <v>0</v>
      </c>
      <c r="AA288" s="162">
        <f t="shared" si="97"/>
        <v>0</v>
      </c>
      <c r="AB288" s="163">
        <f t="shared" si="98"/>
        <v>0</v>
      </c>
      <c r="AC288" s="198"/>
    </row>
    <row r="289" spans="1:29" hidden="1" outlineLevel="1" x14ac:dyDescent="0.25">
      <c r="A289" s="14" t="str">
        <f t="shared" si="88"/>
        <v>TERC_OPER__8</v>
      </c>
      <c r="B289" s="15" t="str">
        <f t="shared" si="93"/>
        <v>TERC_OPER__0_0</v>
      </c>
      <c r="C289" s="83"/>
      <c r="D289" s="15">
        <f t="shared" si="94"/>
        <v>0</v>
      </c>
      <c r="E289" s="15">
        <v>8</v>
      </c>
      <c r="F289" s="190">
        <f t="shared" si="95"/>
        <v>0</v>
      </c>
      <c r="G289" s="149" t="str">
        <f t="shared" si="95"/>
        <v/>
      </c>
      <c r="H289" s="150" t="str">
        <f t="shared" si="95"/>
        <v/>
      </c>
      <c r="I289" s="150">
        <f t="shared" si="95"/>
        <v>0</v>
      </c>
      <c r="J289" s="150">
        <f t="shared" si="95"/>
        <v>0</v>
      </c>
      <c r="K289" s="196"/>
      <c r="L289" s="197"/>
      <c r="M289" s="191">
        <f t="shared" si="96"/>
        <v>0</v>
      </c>
      <c r="N289" s="150">
        <f t="shared" si="96"/>
        <v>0</v>
      </c>
      <c r="O289" s="193">
        <f t="shared" si="96"/>
        <v>0</v>
      </c>
      <c r="P289" s="162">
        <f t="shared" si="97"/>
        <v>0</v>
      </c>
      <c r="Q289" s="162">
        <f t="shared" si="97"/>
        <v>0</v>
      </c>
      <c r="R289" s="162">
        <f t="shared" si="97"/>
        <v>0</v>
      </c>
      <c r="S289" s="162">
        <f t="shared" si="97"/>
        <v>0</v>
      </c>
      <c r="T289" s="162">
        <f t="shared" si="97"/>
        <v>0</v>
      </c>
      <c r="U289" s="162">
        <f t="shared" si="97"/>
        <v>0</v>
      </c>
      <c r="V289" s="162">
        <f t="shared" si="97"/>
        <v>0</v>
      </c>
      <c r="W289" s="162">
        <f t="shared" si="97"/>
        <v>0</v>
      </c>
      <c r="X289" s="162">
        <f t="shared" si="97"/>
        <v>0</v>
      </c>
      <c r="Y289" s="162">
        <f t="shared" si="97"/>
        <v>0</v>
      </c>
      <c r="Z289" s="162">
        <f t="shared" si="97"/>
        <v>0</v>
      </c>
      <c r="AA289" s="162">
        <f t="shared" si="97"/>
        <v>0</v>
      </c>
      <c r="AB289" s="163">
        <f t="shared" si="98"/>
        <v>0</v>
      </c>
      <c r="AC289" s="198"/>
    </row>
    <row r="290" spans="1:29" hidden="1" outlineLevel="1" x14ac:dyDescent="0.25">
      <c r="A290" s="14" t="str">
        <f t="shared" si="88"/>
        <v>TERC_OPER__9</v>
      </c>
      <c r="B290" s="15" t="str">
        <f t="shared" si="93"/>
        <v>TERC_OPER__0_0</v>
      </c>
      <c r="C290" s="83"/>
      <c r="D290" s="15">
        <f t="shared" si="94"/>
        <v>0</v>
      </c>
      <c r="E290" s="15">
        <v>9</v>
      </c>
      <c r="F290" s="190">
        <f t="shared" si="95"/>
        <v>0</v>
      </c>
      <c r="G290" s="149" t="str">
        <f t="shared" si="95"/>
        <v/>
      </c>
      <c r="H290" s="150" t="str">
        <f t="shared" si="95"/>
        <v/>
      </c>
      <c r="I290" s="150">
        <f t="shared" si="95"/>
        <v>0</v>
      </c>
      <c r="J290" s="150">
        <f t="shared" si="95"/>
        <v>0</v>
      </c>
      <c r="K290" s="196"/>
      <c r="L290" s="197"/>
      <c r="M290" s="191">
        <f t="shared" si="96"/>
        <v>0</v>
      </c>
      <c r="N290" s="150">
        <f t="shared" si="96"/>
        <v>0</v>
      </c>
      <c r="O290" s="193">
        <f t="shared" si="96"/>
        <v>0</v>
      </c>
      <c r="P290" s="162">
        <f t="shared" si="97"/>
        <v>0</v>
      </c>
      <c r="Q290" s="162">
        <f t="shared" si="97"/>
        <v>0</v>
      </c>
      <c r="R290" s="162">
        <f t="shared" si="97"/>
        <v>0</v>
      </c>
      <c r="S290" s="162">
        <f t="shared" si="97"/>
        <v>0</v>
      </c>
      <c r="T290" s="162">
        <f t="shared" si="97"/>
        <v>0</v>
      </c>
      <c r="U290" s="162">
        <f t="shared" si="97"/>
        <v>0</v>
      </c>
      <c r="V290" s="162">
        <f t="shared" si="97"/>
        <v>0</v>
      </c>
      <c r="W290" s="162">
        <f t="shared" si="97"/>
        <v>0</v>
      </c>
      <c r="X290" s="162">
        <f t="shared" si="97"/>
        <v>0</v>
      </c>
      <c r="Y290" s="162">
        <f t="shared" si="97"/>
        <v>0</v>
      </c>
      <c r="Z290" s="162">
        <f t="shared" si="97"/>
        <v>0</v>
      </c>
      <c r="AA290" s="162">
        <f t="shared" si="97"/>
        <v>0</v>
      </c>
      <c r="AB290" s="163">
        <f t="shared" si="98"/>
        <v>0</v>
      </c>
      <c r="AC290" s="198"/>
    </row>
    <row r="291" spans="1:29" hidden="1" outlineLevel="1" x14ac:dyDescent="0.25">
      <c r="A291" s="14" t="str">
        <f t="shared" si="88"/>
        <v>TERC_OPER__10</v>
      </c>
      <c r="B291" s="15" t="str">
        <f t="shared" si="93"/>
        <v>TERC_OPER__0_0</v>
      </c>
      <c r="C291" s="83"/>
      <c r="D291" s="15">
        <f t="shared" si="94"/>
        <v>0</v>
      </c>
      <c r="E291" s="15">
        <v>10</v>
      </c>
      <c r="F291" s="190">
        <f t="shared" si="95"/>
        <v>0</v>
      </c>
      <c r="G291" s="149" t="str">
        <f t="shared" si="95"/>
        <v/>
      </c>
      <c r="H291" s="150" t="str">
        <f t="shared" si="95"/>
        <v/>
      </c>
      <c r="I291" s="150">
        <f t="shared" si="95"/>
        <v>0</v>
      </c>
      <c r="J291" s="150">
        <f t="shared" si="95"/>
        <v>0</v>
      </c>
      <c r="K291" s="196"/>
      <c r="L291" s="197"/>
      <c r="M291" s="191">
        <f t="shared" si="96"/>
        <v>0</v>
      </c>
      <c r="N291" s="150">
        <f t="shared" si="96"/>
        <v>0</v>
      </c>
      <c r="O291" s="193">
        <f t="shared" si="96"/>
        <v>0</v>
      </c>
      <c r="P291" s="162">
        <f t="shared" si="97"/>
        <v>0</v>
      </c>
      <c r="Q291" s="162">
        <f t="shared" si="97"/>
        <v>0</v>
      </c>
      <c r="R291" s="162">
        <f t="shared" si="97"/>
        <v>0</v>
      </c>
      <c r="S291" s="162">
        <f t="shared" si="97"/>
        <v>0</v>
      </c>
      <c r="T291" s="162">
        <f t="shared" si="97"/>
        <v>0</v>
      </c>
      <c r="U291" s="162">
        <f t="shared" si="97"/>
        <v>0</v>
      </c>
      <c r="V291" s="162">
        <f t="shared" si="97"/>
        <v>0</v>
      </c>
      <c r="W291" s="162">
        <f t="shared" si="97"/>
        <v>0</v>
      </c>
      <c r="X291" s="162">
        <f t="shared" si="97"/>
        <v>0</v>
      </c>
      <c r="Y291" s="162">
        <f t="shared" si="97"/>
        <v>0</v>
      </c>
      <c r="Z291" s="162">
        <f t="shared" si="97"/>
        <v>0</v>
      </c>
      <c r="AA291" s="162">
        <f t="shared" si="97"/>
        <v>0</v>
      </c>
      <c r="AB291" s="163">
        <f t="shared" si="98"/>
        <v>0</v>
      </c>
      <c r="AC291" s="198"/>
    </row>
    <row r="292" spans="1:29" hidden="1" outlineLevel="1" x14ac:dyDescent="0.25">
      <c r="A292" s="14" t="str">
        <f t="shared" si="88"/>
        <v>TERC_OPER__11</v>
      </c>
      <c r="B292" s="15" t="str">
        <f t="shared" si="93"/>
        <v>TERC_OPER__0_0</v>
      </c>
      <c r="C292" s="83"/>
      <c r="D292" s="15">
        <f t="shared" si="94"/>
        <v>0</v>
      </c>
      <c r="E292" s="15">
        <v>11</v>
      </c>
      <c r="F292" s="190">
        <f t="shared" si="95"/>
        <v>0</v>
      </c>
      <c r="G292" s="149" t="str">
        <f t="shared" si="95"/>
        <v/>
      </c>
      <c r="H292" s="150" t="str">
        <f t="shared" si="95"/>
        <v/>
      </c>
      <c r="I292" s="150">
        <f t="shared" si="95"/>
        <v>0</v>
      </c>
      <c r="J292" s="150">
        <f t="shared" si="95"/>
        <v>0</v>
      </c>
      <c r="K292" s="196"/>
      <c r="L292" s="197"/>
      <c r="M292" s="191">
        <f t="shared" si="96"/>
        <v>0</v>
      </c>
      <c r="N292" s="150">
        <f t="shared" si="96"/>
        <v>0</v>
      </c>
      <c r="O292" s="193">
        <f t="shared" si="96"/>
        <v>0</v>
      </c>
      <c r="P292" s="162">
        <f t="shared" si="97"/>
        <v>0</v>
      </c>
      <c r="Q292" s="162">
        <f t="shared" si="97"/>
        <v>0</v>
      </c>
      <c r="R292" s="162">
        <f t="shared" si="97"/>
        <v>0</v>
      </c>
      <c r="S292" s="162">
        <f t="shared" si="97"/>
        <v>0</v>
      </c>
      <c r="T292" s="162">
        <f t="shared" si="97"/>
        <v>0</v>
      </c>
      <c r="U292" s="162">
        <f t="shared" si="97"/>
        <v>0</v>
      </c>
      <c r="V292" s="162">
        <f t="shared" si="97"/>
        <v>0</v>
      </c>
      <c r="W292" s="162">
        <f t="shared" si="97"/>
        <v>0</v>
      </c>
      <c r="X292" s="162">
        <f t="shared" si="97"/>
        <v>0</v>
      </c>
      <c r="Y292" s="162">
        <f t="shared" si="97"/>
        <v>0</v>
      </c>
      <c r="Z292" s="162">
        <f t="shared" si="97"/>
        <v>0</v>
      </c>
      <c r="AA292" s="162">
        <f t="shared" si="97"/>
        <v>0</v>
      </c>
      <c r="AB292" s="163">
        <f t="shared" si="98"/>
        <v>0</v>
      </c>
      <c r="AC292" s="198"/>
    </row>
    <row r="293" spans="1:29" hidden="1" outlineLevel="1" x14ac:dyDescent="0.25">
      <c r="A293" s="14" t="str">
        <f t="shared" si="88"/>
        <v>TERC_OPER__12</v>
      </c>
      <c r="B293" s="15" t="str">
        <f t="shared" si="93"/>
        <v>TERC_OPER__0_0</v>
      </c>
      <c r="C293" s="83"/>
      <c r="D293" s="15">
        <f t="shared" si="94"/>
        <v>0</v>
      </c>
      <c r="E293" s="15">
        <v>12</v>
      </c>
      <c r="F293" s="190">
        <f t="shared" si="95"/>
        <v>0</v>
      </c>
      <c r="G293" s="149" t="str">
        <f t="shared" si="95"/>
        <v/>
      </c>
      <c r="H293" s="150" t="str">
        <f t="shared" si="95"/>
        <v/>
      </c>
      <c r="I293" s="150">
        <f t="shared" si="95"/>
        <v>0</v>
      </c>
      <c r="J293" s="150">
        <f t="shared" si="95"/>
        <v>0</v>
      </c>
      <c r="K293" s="196"/>
      <c r="L293" s="197"/>
      <c r="M293" s="191">
        <f t="shared" si="96"/>
        <v>0</v>
      </c>
      <c r="N293" s="150">
        <f t="shared" si="96"/>
        <v>0</v>
      </c>
      <c r="O293" s="193">
        <f t="shared" si="96"/>
        <v>0</v>
      </c>
      <c r="P293" s="162">
        <f t="shared" si="97"/>
        <v>0</v>
      </c>
      <c r="Q293" s="162">
        <f t="shared" si="97"/>
        <v>0</v>
      </c>
      <c r="R293" s="162">
        <f t="shared" si="97"/>
        <v>0</v>
      </c>
      <c r="S293" s="162">
        <f t="shared" si="97"/>
        <v>0</v>
      </c>
      <c r="T293" s="162">
        <f t="shared" si="97"/>
        <v>0</v>
      </c>
      <c r="U293" s="162">
        <f t="shared" si="97"/>
        <v>0</v>
      </c>
      <c r="V293" s="162">
        <f t="shared" si="97"/>
        <v>0</v>
      </c>
      <c r="W293" s="162">
        <f t="shared" si="97"/>
        <v>0</v>
      </c>
      <c r="X293" s="162">
        <f t="shared" si="97"/>
        <v>0</v>
      </c>
      <c r="Y293" s="162">
        <f t="shared" si="97"/>
        <v>0</v>
      </c>
      <c r="Z293" s="162">
        <f t="shared" si="97"/>
        <v>0</v>
      </c>
      <c r="AA293" s="162">
        <f t="shared" si="97"/>
        <v>0</v>
      </c>
      <c r="AB293" s="163">
        <f t="shared" si="98"/>
        <v>0</v>
      </c>
      <c r="AC293" s="198"/>
    </row>
    <row r="294" spans="1:29" hidden="1" outlineLevel="1" x14ac:dyDescent="0.25">
      <c r="A294" s="14" t="str">
        <f t="shared" si="88"/>
        <v>TERC_OPER__13</v>
      </c>
      <c r="B294" s="15" t="str">
        <f t="shared" si="93"/>
        <v>TERC_OPER__0_0</v>
      </c>
      <c r="C294" s="83"/>
      <c r="D294" s="15">
        <f t="shared" si="94"/>
        <v>0</v>
      </c>
      <c r="E294" s="15">
        <v>13</v>
      </c>
      <c r="F294" s="190">
        <f t="shared" si="95"/>
        <v>0</v>
      </c>
      <c r="G294" s="149" t="str">
        <f t="shared" si="95"/>
        <v/>
      </c>
      <c r="H294" s="150" t="str">
        <f t="shared" si="95"/>
        <v/>
      </c>
      <c r="I294" s="150">
        <f t="shared" si="95"/>
        <v>0</v>
      </c>
      <c r="J294" s="150">
        <f t="shared" si="95"/>
        <v>0</v>
      </c>
      <c r="K294" s="196"/>
      <c r="L294" s="197"/>
      <c r="M294" s="191">
        <f t="shared" si="96"/>
        <v>0</v>
      </c>
      <c r="N294" s="150">
        <f t="shared" si="96"/>
        <v>0</v>
      </c>
      <c r="O294" s="193">
        <f t="shared" si="96"/>
        <v>0</v>
      </c>
      <c r="P294" s="162">
        <f t="shared" si="97"/>
        <v>0</v>
      </c>
      <c r="Q294" s="162">
        <f t="shared" si="97"/>
        <v>0</v>
      </c>
      <c r="R294" s="162">
        <f t="shared" si="97"/>
        <v>0</v>
      </c>
      <c r="S294" s="162">
        <f t="shared" si="97"/>
        <v>0</v>
      </c>
      <c r="T294" s="162">
        <f t="shared" si="97"/>
        <v>0</v>
      </c>
      <c r="U294" s="162">
        <f t="shared" si="97"/>
        <v>0</v>
      </c>
      <c r="V294" s="162">
        <f t="shared" si="97"/>
        <v>0</v>
      </c>
      <c r="W294" s="162">
        <f t="shared" si="97"/>
        <v>0</v>
      </c>
      <c r="X294" s="162">
        <f t="shared" si="97"/>
        <v>0</v>
      </c>
      <c r="Y294" s="162">
        <f t="shared" si="97"/>
        <v>0</v>
      </c>
      <c r="Z294" s="162">
        <f t="shared" si="97"/>
        <v>0</v>
      </c>
      <c r="AA294" s="162">
        <f t="shared" si="97"/>
        <v>0</v>
      </c>
      <c r="AB294" s="163">
        <f t="shared" si="98"/>
        <v>0</v>
      </c>
      <c r="AC294" s="198"/>
    </row>
    <row r="295" spans="1:29" hidden="1" outlineLevel="1" x14ac:dyDescent="0.25">
      <c r="A295" s="14" t="str">
        <f t="shared" si="88"/>
        <v>TERC_OPER__14</v>
      </c>
      <c r="B295" s="15" t="str">
        <f t="shared" si="93"/>
        <v>TERC_OPER__0_0</v>
      </c>
      <c r="C295" s="83"/>
      <c r="D295" s="15">
        <f t="shared" si="94"/>
        <v>0</v>
      </c>
      <c r="E295" s="15">
        <v>14</v>
      </c>
      <c r="F295" s="190">
        <f t="shared" si="95"/>
        <v>0</v>
      </c>
      <c r="G295" s="149" t="str">
        <f t="shared" si="95"/>
        <v/>
      </c>
      <c r="H295" s="150" t="str">
        <f t="shared" si="95"/>
        <v/>
      </c>
      <c r="I295" s="150">
        <f t="shared" si="95"/>
        <v>0</v>
      </c>
      <c r="J295" s="150">
        <f t="shared" si="95"/>
        <v>0</v>
      </c>
      <c r="K295" s="196"/>
      <c r="L295" s="197"/>
      <c r="M295" s="191">
        <f t="shared" si="96"/>
        <v>0</v>
      </c>
      <c r="N295" s="150">
        <f t="shared" si="96"/>
        <v>0</v>
      </c>
      <c r="O295" s="193">
        <f t="shared" si="96"/>
        <v>0</v>
      </c>
      <c r="P295" s="162">
        <f t="shared" si="97"/>
        <v>0</v>
      </c>
      <c r="Q295" s="162">
        <f t="shared" si="97"/>
        <v>0</v>
      </c>
      <c r="R295" s="162">
        <f t="shared" si="97"/>
        <v>0</v>
      </c>
      <c r="S295" s="162">
        <f t="shared" si="97"/>
        <v>0</v>
      </c>
      <c r="T295" s="162">
        <f t="shared" si="97"/>
        <v>0</v>
      </c>
      <c r="U295" s="162">
        <f t="shared" si="97"/>
        <v>0</v>
      </c>
      <c r="V295" s="162">
        <f t="shared" si="97"/>
        <v>0</v>
      </c>
      <c r="W295" s="162">
        <f t="shared" si="97"/>
        <v>0</v>
      </c>
      <c r="X295" s="162">
        <f t="shared" si="97"/>
        <v>0</v>
      </c>
      <c r="Y295" s="162">
        <f t="shared" si="97"/>
        <v>0</v>
      </c>
      <c r="Z295" s="162">
        <f t="shared" si="97"/>
        <v>0</v>
      </c>
      <c r="AA295" s="162">
        <f t="shared" si="97"/>
        <v>0</v>
      </c>
      <c r="AB295" s="163">
        <f t="shared" si="98"/>
        <v>0</v>
      </c>
      <c r="AC295" s="198"/>
    </row>
    <row r="296" spans="1:29" hidden="1" outlineLevel="1" x14ac:dyDescent="0.25">
      <c r="A296" s="14" t="str">
        <f t="shared" si="88"/>
        <v>TERC_OPER__15</v>
      </c>
      <c r="B296" s="15" t="str">
        <f t="shared" si="93"/>
        <v>TERC_OPER__0_0</v>
      </c>
      <c r="C296" s="83"/>
      <c r="D296" s="15">
        <f t="shared" si="94"/>
        <v>0</v>
      </c>
      <c r="E296" s="15">
        <v>15</v>
      </c>
      <c r="F296" s="190">
        <f t="shared" si="95"/>
        <v>0</v>
      </c>
      <c r="G296" s="149" t="str">
        <f t="shared" si="95"/>
        <v/>
      </c>
      <c r="H296" s="150" t="str">
        <f t="shared" si="95"/>
        <v/>
      </c>
      <c r="I296" s="150">
        <f t="shared" si="95"/>
        <v>0</v>
      </c>
      <c r="J296" s="150">
        <f t="shared" si="95"/>
        <v>0</v>
      </c>
      <c r="K296" s="196"/>
      <c r="L296" s="197"/>
      <c r="M296" s="191">
        <f t="shared" si="96"/>
        <v>0</v>
      </c>
      <c r="N296" s="150">
        <f t="shared" si="96"/>
        <v>0</v>
      </c>
      <c r="O296" s="193">
        <f t="shared" si="96"/>
        <v>0</v>
      </c>
      <c r="P296" s="162">
        <f t="shared" si="97"/>
        <v>0</v>
      </c>
      <c r="Q296" s="162">
        <f t="shared" si="97"/>
        <v>0</v>
      </c>
      <c r="R296" s="162">
        <f t="shared" si="97"/>
        <v>0</v>
      </c>
      <c r="S296" s="162">
        <f t="shared" si="97"/>
        <v>0</v>
      </c>
      <c r="T296" s="162">
        <f t="shared" si="97"/>
        <v>0</v>
      </c>
      <c r="U296" s="162">
        <f t="shared" si="97"/>
        <v>0</v>
      </c>
      <c r="V296" s="162">
        <f t="shared" si="97"/>
        <v>0</v>
      </c>
      <c r="W296" s="162">
        <f t="shared" si="97"/>
        <v>0</v>
      </c>
      <c r="X296" s="162">
        <f t="shared" si="97"/>
        <v>0</v>
      </c>
      <c r="Y296" s="162">
        <f t="shared" si="97"/>
        <v>0</v>
      </c>
      <c r="Z296" s="162">
        <f t="shared" si="97"/>
        <v>0</v>
      </c>
      <c r="AA296" s="162">
        <f t="shared" si="97"/>
        <v>0</v>
      </c>
      <c r="AB296" s="163">
        <f t="shared" si="98"/>
        <v>0</v>
      </c>
      <c r="AC296" s="198"/>
    </row>
    <row r="297" spans="1:29" hidden="1" outlineLevel="1" x14ac:dyDescent="0.25">
      <c r="A297" s="14" t="str">
        <f t="shared" si="88"/>
        <v>TERC_OPER__16</v>
      </c>
      <c r="B297" s="15" t="str">
        <f t="shared" si="93"/>
        <v>TERC_OPER__0_0</v>
      </c>
      <c r="C297" s="83"/>
      <c r="D297" s="15">
        <f t="shared" si="94"/>
        <v>0</v>
      </c>
      <c r="E297" s="15">
        <v>16</v>
      </c>
      <c r="F297" s="190">
        <f t="shared" si="95"/>
        <v>0</v>
      </c>
      <c r="G297" s="149" t="str">
        <f t="shared" si="95"/>
        <v/>
      </c>
      <c r="H297" s="150" t="str">
        <f t="shared" si="95"/>
        <v/>
      </c>
      <c r="I297" s="150">
        <f t="shared" si="95"/>
        <v>0</v>
      </c>
      <c r="J297" s="150">
        <f t="shared" si="95"/>
        <v>0</v>
      </c>
      <c r="K297" s="196"/>
      <c r="L297" s="197"/>
      <c r="M297" s="191">
        <f t="shared" si="96"/>
        <v>0</v>
      </c>
      <c r="N297" s="150">
        <f t="shared" si="96"/>
        <v>0</v>
      </c>
      <c r="O297" s="193">
        <f t="shared" si="96"/>
        <v>0</v>
      </c>
      <c r="P297" s="162">
        <f t="shared" si="97"/>
        <v>0</v>
      </c>
      <c r="Q297" s="162">
        <f t="shared" si="97"/>
        <v>0</v>
      </c>
      <c r="R297" s="162">
        <f t="shared" si="97"/>
        <v>0</v>
      </c>
      <c r="S297" s="162">
        <f t="shared" si="97"/>
        <v>0</v>
      </c>
      <c r="T297" s="162">
        <f t="shared" si="97"/>
        <v>0</v>
      </c>
      <c r="U297" s="162">
        <f t="shared" si="97"/>
        <v>0</v>
      </c>
      <c r="V297" s="162">
        <f t="shared" si="97"/>
        <v>0</v>
      </c>
      <c r="W297" s="162">
        <f t="shared" si="97"/>
        <v>0</v>
      </c>
      <c r="X297" s="162">
        <f t="shared" si="97"/>
        <v>0</v>
      </c>
      <c r="Y297" s="162">
        <f t="shared" si="97"/>
        <v>0</v>
      </c>
      <c r="Z297" s="162">
        <f t="shared" si="97"/>
        <v>0</v>
      </c>
      <c r="AA297" s="162">
        <f t="shared" si="97"/>
        <v>0</v>
      </c>
      <c r="AB297" s="163">
        <f t="shared" si="98"/>
        <v>0</v>
      </c>
      <c r="AC297" s="198"/>
    </row>
    <row r="298" spans="1:29" hidden="1" outlineLevel="1" x14ac:dyDescent="0.25">
      <c r="A298" s="14" t="str">
        <f t="shared" si="88"/>
        <v>TERC_OPER__17</v>
      </c>
      <c r="B298" s="15" t="str">
        <f t="shared" si="93"/>
        <v>TERC_OPER__0_0</v>
      </c>
      <c r="C298" s="83"/>
      <c r="D298" s="15">
        <f t="shared" si="94"/>
        <v>0</v>
      </c>
      <c r="E298" s="15">
        <v>17</v>
      </c>
      <c r="F298" s="190">
        <f t="shared" ref="F298:J313" si="99">F252</f>
        <v>0</v>
      </c>
      <c r="G298" s="149" t="str">
        <f t="shared" si="99"/>
        <v/>
      </c>
      <c r="H298" s="150" t="str">
        <f t="shared" si="99"/>
        <v/>
      </c>
      <c r="I298" s="150">
        <f t="shared" si="99"/>
        <v>0</v>
      </c>
      <c r="J298" s="150">
        <f t="shared" si="99"/>
        <v>0</v>
      </c>
      <c r="K298" s="196"/>
      <c r="L298" s="197"/>
      <c r="M298" s="191">
        <f t="shared" ref="M298:O313" si="100">M252</f>
        <v>0</v>
      </c>
      <c r="N298" s="150">
        <f t="shared" si="100"/>
        <v>0</v>
      </c>
      <c r="O298" s="193">
        <f t="shared" si="100"/>
        <v>0</v>
      </c>
      <c r="P298" s="162">
        <f t="shared" si="97"/>
        <v>0</v>
      </c>
      <c r="Q298" s="162">
        <f t="shared" si="97"/>
        <v>0</v>
      </c>
      <c r="R298" s="162">
        <f t="shared" si="97"/>
        <v>0</v>
      </c>
      <c r="S298" s="162">
        <f t="shared" si="97"/>
        <v>0</v>
      </c>
      <c r="T298" s="162">
        <f t="shared" si="97"/>
        <v>0</v>
      </c>
      <c r="U298" s="162">
        <f t="shared" si="97"/>
        <v>0</v>
      </c>
      <c r="V298" s="162">
        <f t="shared" si="97"/>
        <v>0</v>
      </c>
      <c r="W298" s="162">
        <f t="shared" si="97"/>
        <v>0</v>
      </c>
      <c r="X298" s="162">
        <f t="shared" si="97"/>
        <v>0</v>
      </c>
      <c r="Y298" s="162">
        <f t="shared" si="97"/>
        <v>0</v>
      </c>
      <c r="Z298" s="162">
        <f t="shared" si="97"/>
        <v>0</v>
      </c>
      <c r="AA298" s="162">
        <f t="shared" si="97"/>
        <v>0</v>
      </c>
      <c r="AB298" s="163">
        <f t="shared" si="98"/>
        <v>0</v>
      </c>
      <c r="AC298" s="198"/>
    </row>
    <row r="299" spans="1:29" hidden="1" outlineLevel="1" x14ac:dyDescent="0.25">
      <c r="A299" s="14" t="str">
        <f t="shared" si="88"/>
        <v>TERC_OPER__18</v>
      </c>
      <c r="B299" s="15" t="str">
        <f t="shared" si="93"/>
        <v>TERC_OPER__0_0</v>
      </c>
      <c r="C299" s="83"/>
      <c r="D299" s="15">
        <f t="shared" si="94"/>
        <v>0</v>
      </c>
      <c r="E299" s="15">
        <v>18</v>
      </c>
      <c r="F299" s="190">
        <f t="shared" si="99"/>
        <v>0</v>
      </c>
      <c r="G299" s="149" t="str">
        <f t="shared" si="99"/>
        <v/>
      </c>
      <c r="H299" s="150" t="str">
        <f t="shared" si="99"/>
        <v/>
      </c>
      <c r="I299" s="150">
        <f t="shared" si="99"/>
        <v>0</v>
      </c>
      <c r="J299" s="150">
        <f t="shared" si="99"/>
        <v>0</v>
      </c>
      <c r="K299" s="196"/>
      <c r="L299" s="197"/>
      <c r="M299" s="191">
        <f t="shared" si="100"/>
        <v>0</v>
      </c>
      <c r="N299" s="150">
        <f t="shared" si="100"/>
        <v>0</v>
      </c>
      <c r="O299" s="193">
        <f t="shared" si="100"/>
        <v>0</v>
      </c>
      <c r="P299" s="162">
        <f t="shared" ref="P299:AA314" si="101">IFERROR(SUMIF($B$16:$B$43,$C299&amp;$I299,P$16:P$43)/SUMIF($D$16:$D$43,$I299,P$16:P$43)*P65,0)</f>
        <v>0</v>
      </c>
      <c r="Q299" s="162">
        <f t="shared" si="101"/>
        <v>0</v>
      </c>
      <c r="R299" s="162">
        <f t="shared" si="101"/>
        <v>0</v>
      </c>
      <c r="S299" s="162">
        <f t="shared" si="101"/>
        <v>0</v>
      </c>
      <c r="T299" s="162">
        <f t="shared" si="101"/>
        <v>0</v>
      </c>
      <c r="U299" s="162">
        <f t="shared" si="101"/>
        <v>0</v>
      </c>
      <c r="V299" s="162">
        <f t="shared" si="101"/>
        <v>0</v>
      </c>
      <c r="W299" s="162">
        <f t="shared" si="101"/>
        <v>0</v>
      </c>
      <c r="X299" s="162">
        <f t="shared" si="101"/>
        <v>0</v>
      </c>
      <c r="Y299" s="162">
        <f t="shared" si="101"/>
        <v>0</v>
      </c>
      <c r="Z299" s="162">
        <f t="shared" si="101"/>
        <v>0</v>
      </c>
      <c r="AA299" s="162">
        <f t="shared" si="101"/>
        <v>0</v>
      </c>
      <c r="AB299" s="163">
        <f t="shared" si="98"/>
        <v>0</v>
      </c>
      <c r="AC299" s="198"/>
    </row>
    <row r="300" spans="1:29" hidden="1" outlineLevel="1" x14ac:dyDescent="0.25">
      <c r="A300" s="14" t="str">
        <f t="shared" si="88"/>
        <v>TERC_OPER__19</v>
      </c>
      <c r="B300" s="15" t="str">
        <f t="shared" si="93"/>
        <v>TERC_OPER__0_0</v>
      </c>
      <c r="C300" s="83"/>
      <c r="D300" s="15">
        <f t="shared" si="94"/>
        <v>0</v>
      </c>
      <c r="E300" s="15">
        <v>19</v>
      </c>
      <c r="F300" s="190">
        <f t="shared" si="99"/>
        <v>0</v>
      </c>
      <c r="G300" s="149" t="str">
        <f t="shared" si="99"/>
        <v/>
      </c>
      <c r="H300" s="150" t="str">
        <f t="shared" si="99"/>
        <v/>
      </c>
      <c r="I300" s="150">
        <f t="shared" si="99"/>
        <v>0</v>
      </c>
      <c r="J300" s="150">
        <f t="shared" si="99"/>
        <v>0</v>
      </c>
      <c r="K300" s="196"/>
      <c r="L300" s="197"/>
      <c r="M300" s="191">
        <f t="shared" si="100"/>
        <v>0</v>
      </c>
      <c r="N300" s="150">
        <f t="shared" si="100"/>
        <v>0</v>
      </c>
      <c r="O300" s="193">
        <f t="shared" si="100"/>
        <v>0</v>
      </c>
      <c r="P300" s="162">
        <f t="shared" si="101"/>
        <v>0</v>
      </c>
      <c r="Q300" s="162">
        <f t="shared" si="101"/>
        <v>0</v>
      </c>
      <c r="R300" s="162">
        <f t="shared" si="101"/>
        <v>0</v>
      </c>
      <c r="S300" s="162">
        <f t="shared" si="101"/>
        <v>0</v>
      </c>
      <c r="T300" s="162">
        <f t="shared" si="101"/>
        <v>0</v>
      </c>
      <c r="U300" s="162">
        <f t="shared" si="101"/>
        <v>0</v>
      </c>
      <c r="V300" s="162">
        <f t="shared" si="101"/>
        <v>0</v>
      </c>
      <c r="W300" s="162">
        <f t="shared" si="101"/>
        <v>0</v>
      </c>
      <c r="X300" s="162">
        <f t="shared" si="101"/>
        <v>0</v>
      </c>
      <c r="Y300" s="162">
        <f t="shared" si="101"/>
        <v>0</v>
      </c>
      <c r="Z300" s="162">
        <f t="shared" si="101"/>
        <v>0</v>
      </c>
      <c r="AA300" s="162">
        <f t="shared" si="101"/>
        <v>0</v>
      </c>
      <c r="AB300" s="163">
        <f t="shared" si="98"/>
        <v>0</v>
      </c>
      <c r="AC300" s="198"/>
    </row>
    <row r="301" spans="1:29" hidden="1" outlineLevel="1" x14ac:dyDescent="0.25">
      <c r="A301" s="14" t="str">
        <f t="shared" si="88"/>
        <v>TERC_OPER__20</v>
      </c>
      <c r="B301" s="15" t="str">
        <f t="shared" si="93"/>
        <v>TERC_OPER__0_0</v>
      </c>
      <c r="C301" s="83"/>
      <c r="D301" s="15">
        <f t="shared" si="94"/>
        <v>0</v>
      </c>
      <c r="E301" s="15">
        <v>20</v>
      </c>
      <c r="F301" s="190">
        <f t="shared" si="99"/>
        <v>0</v>
      </c>
      <c r="G301" s="149" t="str">
        <f t="shared" si="99"/>
        <v/>
      </c>
      <c r="H301" s="150" t="str">
        <f t="shared" si="99"/>
        <v/>
      </c>
      <c r="I301" s="150">
        <f t="shared" si="99"/>
        <v>0</v>
      </c>
      <c r="J301" s="150">
        <f t="shared" si="99"/>
        <v>0</v>
      </c>
      <c r="K301" s="196"/>
      <c r="L301" s="197"/>
      <c r="M301" s="191">
        <f t="shared" si="100"/>
        <v>0</v>
      </c>
      <c r="N301" s="150">
        <f t="shared" si="100"/>
        <v>0</v>
      </c>
      <c r="O301" s="193">
        <f t="shared" si="100"/>
        <v>0</v>
      </c>
      <c r="P301" s="162">
        <f t="shared" si="101"/>
        <v>0</v>
      </c>
      <c r="Q301" s="162">
        <f t="shared" si="101"/>
        <v>0</v>
      </c>
      <c r="R301" s="162">
        <f t="shared" si="101"/>
        <v>0</v>
      </c>
      <c r="S301" s="162">
        <f t="shared" si="101"/>
        <v>0</v>
      </c>
      <c r="T301" s="162">
        <f t="shared" si="101"/>
        <v>0</v>
      </c>
      <c r="U301" s="162">
        <f t="shared" si="101"/>
        <v>0</v>
      </c>
      <c r="V301" s="162">
        <f t="shared" si="101"/>
        <v>0</v>
      </c>
      <c r="W301" s="162">
        <f t="shared" si="101"/>
        <v>0</v>
      </c>
      <c r="X301" s="162">
        <f t="shared" si="101"/>
        <v>0</v>
      </c>
      <c r="Y301" s="162">
        <f t="shared" si="101"/>
        <v>0</v>
      </c>
      <c r="Z301" s="162">
        <f t="shared" si="101"/>
        <v>0</v>
      </c>
      <c r="AA301" s="162">
        <f t="shared" si="101"/>
        <v>0</v>
      </c>
      <c r="AB301" s="163">
        <f t="shared" si="98"/>
        <v>0</v>
      </c>
      <c r="AC301" s="198"/>
    </row>
    <row r="302" spans="1:29" hidden="1" outlineLevel="1" x14ac:dyDescent="0.25">
      <c r="A302" s="14" t="str">
        <f t="shared" si="88"/>
        <v>TERC_OPER__21</v>
      </c>
      <c r="B302" s="15" t="str">
        <f t="shared" si="93"/>
        <v>TERC_OPER__0_0</v>
      </c>
      <c r="C302" s="83"/>
      <c r="D302" s="15">
        <f t="shared" si="94"/>
        <v>0</v>
      </c>
      <c r="E302" s="15">
        <v>21</v>
      </c>
      <c r="F302" s="190">
        <f t="shared" si="99"/>
        <v>0</v>
      </c>
      <c r="G302" s="149" t="str">
        <f t="shared" si="99"/>
        <v/>
      </c>
      <c r="H302" s="150" t="str">
        <f t="shared" si="99"/>
        <v/>
      </c>
      <c r="I302" s="150">
        <f t="shared" si="99"/>
        <v>0</v>
      </c>
      <c r="J302" s="150">
        <f t="shared" si="99"/>
        <v>0</v>
      </c>
      <c r="K302" s="196"/>
      <c r="L302" s="197"/>
      <c r="M302" s="191">
        <f t="shared" si="100"/>
        <v>0</v>
      </c>
      <c r="N302" s="150">
        <f t="shared" si="100"/>
        <v>0</v>
      </c>
      <c r="O302" s="193">
        <f t="shared" si="100"/>
        <v>0</v>
      </c>
      <c r="P302" s="162">
        <f t="shared" si="101"/>
        <v>0</v>
      </c>
      <c r="Q302" s="162">
        <f t="shared" si="101"/>
        <v>0</v>
      </c>
      <c r="R302" s="162">
        <f t="shared" si="101"/>
        <v>0</v>
      </c>
      <c r="S302" s="162">
        <f t="shared" si="101"/>
        <v>0</v>
      </c>
      <c r="T302" s="162">
        <f t="shared" si="101"/>
        <v>0</v>
      </c>
      <c r="U302" s="162">
        <f t="shared" si="101"/>
        <v>0</v>
      </c>
      <c r="V302" s="162">
        <f t="shared" si="101"/>
        <v>0</v>
      </c>
      <c r="W302" s="162">
        <f t="shared" si="101"/>
        <v>0</v>
      </c>
      <c r="X302" s="162">
        <f t="shared" si="101"/>
        <v>0</v>
      </c>
      <c r="Y302" s="162">
        <f t="shared" si="101"/>
        <v>0</v>
      </c>
      <c r="Z302" s="162">
        <f t="shared" si="101"/>
        <v>0</v>
      </c>
      <c r="AA302" s="162">
        <f t="shared" si="101"/>
        <v>0</v>
      </c>
      <c r="AB302" s="163">
        <f t="shared" si="98"/>
        <v>0</v>
      </c>
      <c r="AC302" s="198"/>
    </row>
    <row r="303" spans="1:29" hidden="1" outlineLevel="1" x14ac:dyDescent="0.25">
      <c r="A303" s="14" t="str">
        <f t="shared" si="88"/>
        <v>TERC_OPER__22</v>
      </c>
      <c r="B303" s="15" t="str">
        <f t="shared" si="93"/>
        <v>TERC_OPER__0_0</v>
      </c>
      <c r="C303" s="83"/>
      <c r="D303" s="15">
        <f t="shared" si="94"/>
        <v>0</v>
      </c>
      <c r="E303" s="15">
        <v>22</v>
      </c>
      <c r="F303" s="190">
        <f t="shared" si="99"/>
        <v>0</v>
      </c>
      <c r="G303" s="149" t="str">
        <f t="shared" si="99"/>
        <v/>
      </c>
      <c r="H303" s="150" t="str">
        <f t="shared" si="99"/>
        <v/>
      </c>
      <c r="I303" s="150">
        <f t="shared" si="99"/>
        <v>0</v>
      </c>
      <c r="J303" s="150">
        <f t="shared" si="99"/>
        <v>0</v>
      </c>
      <c r="K303" s="196"/>
      <c r="L303" s="197"/>
      <c r="M303" s="191">
        <f t="shared" si="100"/>
        <v>0</v>
      </c>
      <c r="N303" s="150">
        <f t="shared" si="100"/>
        <v>0</v>
      </c>
      <c r="O303" s="193">
        <f t="shared" si="100"/>
        <v>0</v>
      </c>
      <c r="P303" s="162">
        <f t="shared" si="101"/>
        <v>0</v>
      </c>
      <c r="Q303" s="162">
        <f t="shared" si="101"/>
        <v>0</v>
      </c>
      <c r="R303" s="162">
        <f t="shared" si="101"/>
        <v>0</v>
      </c>
      <c r="S303" s="162">
        <f t="shared" si="101"/>
        <v>0</v>
      </c>
      <c r="T303" s="162">
        <f t="shared" si="101"/>
        <v>0</v>
      </c>
      <c r="U303" s="162">
        <f t="shared" si="101"/>
        <v>0</v>
      </c>
      <c r="V303" s="162">
        <f t="shared" si="101"/>
        <v>0</v>
      </c>
      <c r="W303" s="162">
        <f t="shared" si="101"/>
        <v>0</v>
      </c>
      <c r="X303" s="162">
        <f t="shared" si="101"/>
        <v>0</v>
      </c>
      <c r="Y303" s="162">
        <f t="shared" si="101"/>
        <v>0</v>
      </c>
      <c r="Z303" s="162">
        <f t="shared" si="101"/>
        <v>0</v>
      </c>
      <c r="AA303" s="162">
        <f t="shared" si="101"/>
        <v>0</v>
      </c>
      <c r="AB303" s="163">
        <f t="shared" si="98"/>
        <v>0</v>
      </c>
      <c r="AC303" s="198"/>
    </row>
    <row r="304" spans="1:29" hidden="1" outlineLevel="1" x14ac:dyDescent="0.25">
      <c r="A304" s="14" t="str">
        <f t="shared" si="88"/>
        <v>TERC_OPER__23</v>
      </c>
      <c r="B304" s="15" t="str">
        <f t="shared" si="93"/>
        <v>TERC_OPER__0_0</v>
      </c>
      <c r="C304" s="83"/>
      <c r="D304" s="15">
        <f t="shared" si="94"/>
        <v>0</v>
      </c>
      <c r="E304" s="15">
        <v>23</v>
      </c>
      <c r="F304" s="190">
        <f t="shared" si="99"/>
        <v>0</v>
      </c>
      <c r="G304" s="149" t="str">
        <f t="shared" si="99"/>
        <v/>
      </c>
      <c r="H304" s="150" t="str">
        <f t="shared" si="99"/>
        <v/>
      </c>
      <c r="I304" s="150">
        <f t="shared" si="99"/>
        <v>0</v>
      </c>
      <c r="J304" s="150">
        <f t="shared" si="99"/>
        <v>0</v>
      </c>
      <c r="K304" s="196"/>
      <c r="L304" s="197"/>
      <c r="M304" s="191">
        <f t="shared" si="100"/>
        <v>0</v>
      </c>
      <c r="N304" s="150">
        <f t="shared" si="100"/>
        <v>0</v>
      </c>
      <c r="O304" s="193">
        <f t="shared" si="100"/>
        <v>0</v>
      </c>
      <c r="P304" s="162">
        <f t="shared" si="101"/>
        <v>0</v>
      </c>
      <c r="Q304" s="162">
        <f t="shared" si="101"/>
        <v>0</v>
      </c>
      <c r="R304" s="162">
        <f t="shared" si="101"/>
        <v>0</v>
      </c>
      <c r="S304" s="162">
        <f t="shared" si="101"/>
        <v>0</v>
      </c>
      <c r="T304" s="162">
        <f t="shared" si="101"/>
        <v>0</v>
      </c>
      <c r="U304" s="162">
        <f t="shared" si="101"/>
        <v>0</v>
      </c>
      <c r="V304" s="162">
        <f t="shared" si="101"/>
        <v>0</v>
      </c>
      <c r="W304" s="162">
        <f t="shared" si="101"/>
        <v>0</v>
      </c>
      <c r="X304" s="162">
        <f t="shared" si="101"/>
        <v>0</v>
      </c>
      <c r="Y304" s="162">
        <f t="shared" si="101"/>
        <v>0</v>
      </c>
      <c r="Z304" s="162">
        <f t="shared" si="101"/>
        <v>0</v>
      </c>
      <c r="AA304" s="162">
        <f t="shared" si="101"/>
        <v>0</v>
      </c>
      <c r="AB304" s="163">
        <f t="shared" si="98"/>
        <v>0</v>
      </c>
      <c r="AC304" s="198"/>
    </row>
    <row r="305" spans="1:29" hidden="1" outlineLevel="1" x14ac:dyDescent="0.25">
      <c r="A305" s="14" t="str">
        <f t="shared" si="88"/>
        <v>TERC_OPER__24</v>
      </c>
      <c r="B305" s="15" t="str">
        <f t="shared" si="93"/>
        <v>TERC_OPER__0_0</v>
      </c>
      <c r="C305" s="83"/>
      <c r="D305" s="15">
        <f t="shared" si="94"/>
        <v>0</v>
      </c>
      <c r="E305" s="15">
        <v>24</v>
      </c>
      <c r="F305" s="190">
        <f t="shared" si="99"/>
        <v>0</v>
      </c>
      <c r="G305" s="149" t="str">
        <f t="shared" si="99"/>
        <v/>
      </c>
      <c r="H305" s="150" t="str">
        <f t="shared" si="99"/>
        <v/>
      </c>
      <c r="I305" s="150">
        <f t="shared" si="99"/>
        <v>0</v>
      </c>
      <c r="J305" s="150">
        <f t="shared" si="99"/>
        <v>0</v>
      </c>
      <c r="K305" s="196"/>
      <c r="L305" s="197"/>
      <c r="M305" s="191">
        <f t="shared" si="100"/>
        <v>0</v>
      </c>
      <c r="N305" s="150">
        <f t="shared" si="100"/>
        <v>0</v>
      </c>
      <c r="O305" s="193">
        <f t="shared" si="100"/>
        <v>0</v>
      </c>
      <c r="P305" s="162">
        <f t="shared" si="101"/>
        <v>0</v>
      </c>
      <c r="Q305" s="162">
        <f t="shared" si="101"/>
        <v>0</v>
      </c>
      <c r="R305" s="162">
        <f t="shared" si="101"/>
        <v>0</v>
      </c>
      <c r="S305" s="162">
        <f t="shared" si="101"/>
        <v>0</v>
      </c>
      <c r="T305" s="162">
        <f t="shared" si="101"/>
        <v>0</v>
      </c>
      <c r="U305" s="162">
        <f t="shared" si="101"/>
        <v>0</v>
      </c>
      <c r="V305" s="162">
        <f t="shared" si="101"/>
        <v>0</v>
      </c>
      <c r="W305" s="162">
        <f t="shared" si="101"/>
        <v>0</v>
      </c>
      <c r="X305" s="162">
        <f t="shared" si="101"/>
        <v>0</v>
      </c>
      <c r="Y305" s="162">
        <f t="shared" si="101"/>
        <v>0</v>
      </c>
      <c r="Z305" s="162">
        <f t="shared" si="101"/>
        <v>0</v>
      </c>
      <c r="AA305" s="162">
        <f t="shared" si="101"/>
        <v>0</v>
      </c>
      <c r="AB305" s="163">
        <f t="shared" si="98"/>
        <v>0</v>
      </c>
      <c r="AC305" s="198"/>
    </row>
    <row r="306" spans="1:29" hidden="1" outlineLevel="1" x14ac:dyDescent="0.25">
      <c r="A306" s="14" t="str">
        <f t="shared" si="88"/>
        <v>TERC_OPER__25</v>
      </c>
      <c r="B306" s="15" t="str">
        <f t="shared" si="93"/>
        <v>TERC_OPER__0_0</v>
      </c>
      <c r="C306" s="83"/>
      <c r="D306" s="15">
        <f t="shared" si="94"/>
        <v>0</v>
      </c>
      <c r="E306" s="15">
        <v>25</v>
      </c>
      <c r="F306" s="190">
        <f t="shared" si="99"/>
        <v>0</v>
      </c>
      <c r="G306" s="149" t="str">
        <f t="shared" si="99"/>
        <v/>
      </c>
      <c r="H306" s="150" t="str">
        <f t="shared" si="99"/>
        <v/>
      </c>
      <c r="I306" s="150">
        <f t="shared" si="99"/>
        <v>0</v>
      </c>
      <c r="J306" s="150">
        <f t="shared" si="99"/>
        <v>0</v>
      </c>
      <c r="K306" s="196"/>
      <c r="L306" s="197"/>
      <c r="M306" s="191">
        <f t="shared" si="100"/>
        <v>0</v>
      </c>
      <c r="N306" s="150">
        <f t="shared" si="100"/>
        <v>0</v>
      </c>
      <c r="O306" s="193">
        <f t="shared" si="100"/>
        <v>0</v>
      </c>
      <c r="P306" s="162">
        <f t="shared" si="101"/>
        <v>0</v>
      </c>
      <c r="Q306" s="162">
        <f t="shared" si="101"/>
        <v>0</v>
      </c>
      <c r="R306" s="162">
        <f t="shared" si="101"/>
        <v>0</v>
      </c>
      <c r="S306" s="162">
        <f t="shared" si="101"/>
        <v>0</v>
      </c>
      <c r="T306" s="162">
        <f t="shared" si="101"/>
        <v>0</v>
      </c>
      <c r="U306" s="162">
        <f t="shared" si="101"/>
        <v>0</v>
      </c>
      <c r="V306" s="162">
        <f t="shared" si="101"/>
        <v>0</v>
      </c>
      <c r="W306" s="162">
        <f t="shared" si="101"/>
        <v>0</v>
      </c>
      <c r="X306" s="162">
        <f t="shared" si="101"/>
        <v>0</v>
      </c>
      <c r="Y306" s="162">
        <f t="shared" si="101"/>
        <v>0</v>
      </c>
      <c r="Z306" s="162">
        <f t="shared" si="101"/>
        <v>0</v>
      </c>
      <c r="AA306" s="162">
        <f t="shared" si="101"/>
        <v>0</v>
      </c>
      <c r="AB306" s="163">
        <f t="shared" si="98"/>
        <v>0</v>
      </c>
      <c r="AC306" s="198"/>
    </row>
    <row r="307" spans="1:29" hidden="1" outlineLevel="1" x14ac:dyDescent="0.25">
      <c r="A307" s="14" t="str">
        <f t="shared" si="88"/>
        <v>TERC_OPER__26</v>
      </c>
      <c r="B307" s="15" t="str">
        <f t="shared" si="93"/>
        <v>TERC_OPER__0_0</v>
      </c>
      <c r="C307" s="83"/>
      <c r="D307" s="15">
        <f t="shared" si="94"/>
        <v>0</v>
      </c>
      <c r="E307" s="15">
        <v>26</v>
      </c>
      <c r="F307" s="190">
        <f t="shared" si="99"/>
        <v>0</v>
      </c>
      <c r="G307" s="149" t="str">
        <f t="shared" si="99"/>
        <v/>
      </c>
      <c r="H307" s="150" t="str">
        <f t="shared" si="99"/>
        <v/>
      </c>
      <c r="I307" s="150">
        <f t="shared" si="99"/>
        <v>0</v>
      </c>
      <c r="J307" s="150">
        <f t="shared" si="99"/>
        <v>0</v>
      </c>
      <c r="K307" s="196"/>
      <c r="L307" s="197"/>
      <c r="M307" s="191">
        <f t="shared" si="100"/>
        <v>0</v>
      </c>
      <c r="N307" s="150">
        <f t="shared" si="100"/>
        <v>0</v>
      </c>
      <c r="O307" s="193">
        <f t="shared" si="100"/>
        <v>0</v>
      </c>
      <c r="P307" s="162">
        <f t="shared" si="101"/>
        <v>0</v>
      </c>
      <c r="Q307" s="162">
        <f t="shared" si="101"/>
        <v>0</v>
      </c>
      <c r="R307" s="162">
        <f t="shared" si="101"/>
        <v>0</v>
      </c>
      <c r="S307" s="162">
        <f t="shared" si="101"/>
        <v>0</v>
      </c>
      <c r="T307" s="162">
        <f t="shared" si="101"/>
        <v>0</v>
      </c>
      <c r="U307" s="162">
        <f t="shared" si="101"/>
        <v>0</v>
      </c>
      <c r="V307" s="162">
        <f t="shared" si="101"/>
        <v>0</v>
      </c>
      <c r="W307" s="162">
        <f t="shared" si="101"/>
        <v>0</v>
      </c>
      <c r="X307" s="162">
        <f t="shared" si="101"/>
        <v>0</v>
      </c>
      <c r="Y307" s="162">
        <f t="shared" si="101"/>
        <v>0</v>
      </c>
      <c r="Z307" s="162">
        <f t="shared" si="101"/>
        <v>0</v>
      </c>
      <c r="AA307" s="162">
        <f t="shared" si="101"/>
        <v>0</v>
      </c>
      <c r="AB307" s="163">
        <f t="shared" si="98"/>
        <v>0</v>
      </c>
      <c r="AC307" s="198"/>
    </row>
    <row r="308" spans="1:29" hidden="1" outlineLevel="1" x14ac:dyDescent="0.25">
      <c r="A308" s="14" t="str">
        <f t="shared" si="88"/>
        <v>TERC_OPER__27</v>
      </c>
      <c r="B308" s="15" t="str">
        <f t="shared" si="93"/>
        <v>TERC_OPER__0_0</v>
      </c>
      <c r="C308" s="83"/>
      <c r="D308" s="15">
        <f t="shared" si="94"/>
        <v>0</v>
      </c>
      <c r="E308" s="15">
        <v>27</v>
      </c>
      <c r="F308" s="190">
        <f t="shared" si="99"/>
        <v>0</v>
      </c>
      <c r="G308" s="149" t="str">
        <f t="shared" si="99"/>
        <v/>
      </c>
      <c r="H308" s="150" t="str">
        <f t="shared" si="99"/>
        <v/>
      </c>
      <c r="I308" s="150">
        <f t="shared" si="99"/>
        <v>0</v>
      </c>
      <c r="J308" s="150">
        <f t="shared" si="99"/>
        <v>0</v>
      </c>
      <c r="K308" s="196"/>
      <c r="L308" s="197"/>
      <c r="M308" s="191">
        <f t="shared" si="100"/>
        <v>0</v>
      </c>
      <c r="N308" s="150">
        <f t="shared" si="100"/>
        <v>0</v>
      </c>
      <c r="O308" s="193">
        <f t="shared" si="100"/>
        <v>0</v>
      </c>
      <c r="P308" s="162">
        <f t="shared" si="101"/>
        <v>0</v>
      </c>
      <c r="Q308" s="162">
        <f t="shared" si="101"/>
        <v>0</v>
      </c>
      <c r="R308" s="162">
        <f t="shared" si="101"/>
        <v>0</v>
      </c>
      <c r="S308" s="162">
        <f t="shared" si="101"/>
        <v>0</v>
      </c>
      <c r="T308" s="162">
        <f t="shared" si="101"/>
        <v>0</v>
      </c>
      <c r="U308" s="162">
        <f t="shared" si="101"/>
        <v>0</v>
      </c>
      <c r="V308" s="162">
        <f t="shared" si="101"/>
        <v>0</v>
      </c>
      <c r="W308" s="162">
        <f t="shared" si="101"/>
        <v>0</v>
      </c>
      <c r="X308" s="162">
        <f t="shared" si="101"/>
        <v>0</v>
      </c>
      <c r="Y308" s="162">
        <f t="shared" si="101"/>
        <v>0</v>
      </c>
      <c r="Z308" s="162">
        <f t="shared" si="101"/>
        <v>0</v>
      </c>
      <c r="AA308" s="162">
        <f t="shared" si="101"/>
        <v>0</v>
      </c>
      <c r="AB308" s="163">
        <f t="shared" si="98"/>
        <v>0</v>
      </c>
      <c r="AC308" s="198"/>
    </row>
    <row r="309" spans="1:29" hidden="1" outlineLevel="1" x14ac:dyDescent="0.25">
      <c r="A309" s="14" t="str">
        <f t="shared" si="88"/>
        <v>TERC_OPER__28</v>
      </c>
      <c r="B309" s="15" t="str">
        <f t="shared" si="93"/>
        <v>TERC_OPER__0_0</v>
      </c>
      <c r="C309" s="83"/>
      <c r="D309" s="15">
        <f t="shared" si="94"/>
        <v>0</v>
      </c>
      <c r="E309" s="15">
        <v>28</v>
      </c>
      <c r="F309" s="190">
        <f t="shared" si="99"/>
        <v>0</v>
      </c>
      <c r="G309" s="149" t="str">
        <f t="shared" si="99"/>
        <v/>
      </c>
      <c r="H309" s="150" t="str">
        <f t="shared" si="99"/>
        <v/>
      </c>
      <c r="I309" s="150">
        <f t="shared" si="99"/>
        <v>0</v>
      </c>
      <c r="J309" s="150">
        <f t="shared" si="99"/>
        <v>0</v>
      </c>
      <c r="K309" s="196"/>
      <c r="L309" s="197"/>
      <c r="M309" s="191">
        <f t="shared" si="100"/>
        <v>0</v>
      </c>
      <c r="N309" s="150">
        <f t="shared" si="100"/>
        <v>0</v>
      </c>
      <c r="O309" s="193">
        <f t="shared" si="100"/>
        <v>0</v>
      </c>
      <c r="P309" s="162">
        <f t="shared" si="101"/>
        <v>0</v>
      </c>
      <c r="Q309" s="162">
        <f t="shared" si="101"/>
        <v>0</v>
      </c>
      <c r="R309" s="162">
        <f t="shared" si="101"/>
        <v>0</v>
      </c>
      <c r="S309" s="162">
        <f t="shared" si="101"/>
        <v>0</v>
      </c>
      <c r="T309" s="162">
        <f t="shared" si="101"/>
        <v>0</v>
      </c>
      <c r="U309" s="162">
        <f t="shared" si="101"/>
        <v>0</v>
      </c>
      <c r="V309" s="162">
        <f t="shared" si="101"/>
        <v>0</v>
      </c>
      <c r="W309" s="162">
        <f t="shared" si="101"/>
        <v>0</v>
      </c>
      <c r="X309" s="162">
        <f t="shared" si="101"/>
        <v>0</v>
      </c>
      <c r="Y309" s="162">
        <f t="shared" si="101"/>
        <v>0</v>
      </c>
      <c r="Z309" s="162">
        <f t="shared" si="101"/>
        <v>0</v>
      </c>
      <c r="AA309" s="162">
        <f t="shared" si="101"/>
        <v>0</v>
      </c>
      <c r="AB309" s="163">
        <f t="shared" si="98"/>
        <v>0</v>
      </c>
      <c r="AC309" s="198"/>
    </row>
    <row r="310" spans="1:29" hidden="1" outlineLevel="1" x14ac:dyDescent="0.25">
      <c r="A310" s="14" t="str">
        <f t="shared" si="88"/>
        <v>TERC_OPER__29</v>
      </c>
      <c r="B310" s="15" t="str">
        <f t="shared" si="93"/>
        <v>TERC_OPER__0_0</v>
      </c>
      <c r="C310" s="83"/>
      <c r="D310" s="15">
        <f t="shared" si="94"/>
        <v>0</v>
      </c>
      <c r="E310" s="15">
        <v>29</v>
      </c>
      <c r="F310" s="190">
        <f t="shared" si="99"/>
        <v>0</v>
      </c>
      <c r="G310" s="149" t="str">
        <f t="shared" si="99"/>
        <v/>
      </c>
      <c r="H310" s="150" t="str">
        <f t="shared" si="99"/>
        <v/>
      </c>
      <c r="I310" s="150">
        <f t="shared" si="99"/>
        <v>0</v>
      </c>
      <c r="J310" s="150">
        <f t="shared" si="99"/>
        <v>0</v>
      </c>
      <c r="K310" s="196"/>
      <c r="L310" s="197"/>
      <c r="M310" s="191">
        <f t="shared" si="100"/>
        <v>0</v>
      </c>
      <c r="N310" s="150">
        <f t="shared" si="100"/>
        <v>0</v>
      </c>
      <c r="O310" s="193">
        <f t="shared" si="100"/>
        <v>0</v>
      </c>
      <c r="P310" s="162">
        <f t="shared" si="101"/>
        <v>0</v>
      </c>
      <c r="Q310" s="162">
        <f t="shared" si="101"/>
        <v>0</v>
      </c>
      <c r="R310" s="162">
        <f t="shared" si="101"/>
        <v>0</v>
      </c>
      <c r="S310" s="162">
        <f t="shared" si="101"/>
        <v>0</v>
      </c>
      <c r="T310" s="162">
        <f t="shared" si="101"/>
        <v>0</v>
      </c>
      <c r="U310" s="162">
        <f t="shared" si="101"/>
        <v>0</v>
      </c>
      <c r="V310" s="162">
        <f t="shared" si="101"/>
        <v>0</v>
      </c>
      <c r="W310" s="162">
        <f t="shared" si="101"/>
        <v>0</v>
      </c>
      <c r="X310" s="162">
        <f t="shared" si="101"/>
        <v>0</v>
      </c>
      <c r="Y310" s="162">
        <f t="shared" si="101"/>
        <v>0</v>
      </c>
      <c r="Z310" s="162">
        <f t="shared" si="101"/>
        <v>0</v>
      </c>
      <c r="AA310" s="162">
        <f t="shared" si="101"/>
        <v>0</v>
      </c>
      <c r="AB310" s="163">
        <f t="shared" si="98"/>
        <v>0</v>
      </c>
      <c r="AC310" s="198"/>
    </row>
    <row r="311" spans="1:29" hidden="1" outlineLevel="1" x14ac:dyDescent="0.25">
      <c r="A311" s="14" t="str">
        <f t="shared" si="88"/>
        <v>TERC_OPER__30</v>
      </c>
      <c r="B311" s="15" t="str">
        <f t="shared" si="93"/>
        <v>TERC_OPER__0_0</v>
      </c>
      <c r="C311" s="83"/>
      <c r="D311" s="15">
        <f t="shared" si="94"/>
        <v>0</v>
      </c>
      <c r="E311" s="15">
        <v>30</v>
      </c>
      <c r="F311" s="190">
        <f t="shared" si="99"/>
        <v>0</v>
      </c>
      <c r="G311" s="149" t="str">
        <f t="shared" si="99"/>
        <v/>
      </c>
      <c r="H311" s="150" t="str">
        <f t="shared" si="99"/>
        <v/>
      </c>
      <c r="I311" s="150">
        <f t="shared" si="99"/>
        <v>0</v>
      </c>
      <c r="J311" s="150">
        <f t="shared" si="99"/>
        <v>0</v>
      </c>
      <c r="K311" s="196"/>
      <c r="L311" s="197"/>
      <c r="M311" s="191">
        <f t="shared" si="100"/>
        <v>0</v>
      </c>
      <c r="N311" s="150">
        <f t="shared" si="100"/>
        <v>0</v>
      </c>
      <c r="O311" s="193">
        <f t="shared" si="100"/>
        <v>0</v>
      </c>
      <c r="P311" s="162">
        <f t="shared" si="101"/>
        <v>0</v>
      </c>
      <c r="Q311" s="162">
        <f t="shared" si="101"/>
        <v>0</v>
      </c>
      <c r="R311" s="162">
        <f t="shared" si="101"/>
        <v>0</v>
      </c>
      <c r="S311" s="162">
        <f t="shared" si="101"/>
        <v>0</v>
      </c>
      <c r="T311" s="162">
        <f t="shared" si="101"/>
        <v>0</v>
      </c>
      <c r="U311" s="162">
        <f t="shared" si="101"/>
        <v>0</v>
      </c>
      <c r="V311" s="162">
        <f t="shared" si="101"/>
        <v>0</v>
      </c>
      <c r="W311" s="162">
        <f t="shared" si="101"/>
        <v>0</v>
      </c>
      <c r="X311" s="162">
        <f t="shared" si="101"/>
        <v>0</v>
      </c>
      <c r="Y311" s="162">
        <f t="shared" si="101"/>
        <v>0</v>
      </c>
      <c r="Z311" s="162">
        <f t="shared" si="101"/>
        <v>0</v>
      </c>
      <c r="AA311" s="162">
        <f t="shared" si="101"/>
        <v>0</v>
      </c>
      <c r="AB311" s="163">
        <f t="shared" si="98"/>
        <v>0</v>
      </c>
      <c r="AC311" s="198"/>
    </row>
    <row r="312" spans="1:29" hidden="1" outlineLevel="1" x14ac:dyDescent="0.25">
      <c r="A312" s="14" t="str">
        <f t="shared" si="88"/>
        <v>TERC_OPER__31</v>
      </c>
      <c r="B312" s="15" t="str">
        <f t="shared" si="93"/>
        <v>TERC_OPER__0_0</v>
      </c>
      <c r="C312" s="83"/>
      <c r="D312" s="15">
        <f t="shared" si="94"/>
        <v>0</v>
      </c>
      <c r="E312" s="15">
        <v>31</v>
      </c>
      <c r="F312" s="190">
        <f t="shared" si="99"/>
        <v>0</v>
      </c>
      <c r="G312" s="149" t="str">
        <f t="shared" si="99"/>
        <v/>
      </c>
      <c r="H312" s="150" t="str">
        <f t="shared" si="99"/>
        <v/>
      </c>
      <c r="I312" s="150">
        <f t="shared" si="99"/>
        <v>0</v>
      </c>
      <c r="J312" s="150">
        <f t="shared" si="99"/>
        <v>0</v>
      </c>
      <c r="K312" s="196"/>
      <c r="L312" s="197"/>
      <c r="M312" s="191">
        <f t="shared" si="100"/>
        <v>0</v>
      </c>
      <c r="N312" s="150">
        <f t="shared" si="100"/>
        <v>0</v>
      </c>
      <c r="O312" s="193">
        <f t="shared" si="100"/>
        <v>0</v>
      </c>
      <c r="P312" s="162">
        <f t="shared" si="101"/>
        <v>0</v>
      </c>
      <c r="Q312" s="162">
        <f t="shared" si="101"/>
        <v>0</v>
      </c>
      <c r="R312" s="162">
        <f t="shared" si="101"/>
        <v>0</v>
      </c>
      <c r="S312" s="162">
        <f t="shared" si="101"/>
        <v>0</v>
      </c>
      <c r="T312" s="162">
        <f t="shared" si="101"/>
        <v>0</v>
      </c>
      <c r="U312" s="162">
        <f t="shared" si="101"/>
        <v>0</v>
      </c>
      <c r="V312" s="162">
        <f t="shared" si="101"/>
        <v>0</v>
      </c>
      <c r="W312" s="162">
        <f t="shared" si="101"/>
        <v>0</v>
      </c>
      <c r="X312" s="162">
        <f t="shared" si="101"/>
        <v>0</v>
      </c>
      <c r="Y312" s="162">
        <f t="shared" si="101"/>
        <v>0</v>
      </c>
      <c r="Z312" s="162">
        <f t="shared" si="101"/>
        <v>0</v>
      </c>
      <c r="AA312" s="162">
        <f t="shared" si="101"/>
        <v>0</v>
      </c>
      <c r="AB312" s="163">
        <f t="shared" si="98"/>
        <v>0</v>
      </c>
      <c r="AC312" s="198"/>
    </row>
    <row r="313" spans="1:29" hidden="1" outlineLevel="1" x14ac:dyDescent="0.25">
      <c r="A313" s="14" t="str">
        <f t="shared" si="88"/>
        <v>TERC_OPER__32</v>
      </c>
      <c r="B313" s="15" t="str">
        <f t="shared" si="93"/>
        <v>TERC_OPER__0_0</v>
      </c>
      <c r="C313" s="83"/>
      <c r="D313" s="15">
        <f t="shared" si="94"/>
        <v>0</v>
      </c>
      <c r="E313" s="15">
        <v>32</v>
      </c>
      <c r="F313" s="190">
        <f t="shared" si="99"/>
        <v>0</v>
      </c>
      <c r="G313" s="149" t="str">
        <f t="shared" si="99"/>
        <v/>
      </c>
      <c r="H313" s="150" t="str">
        <f t="shared" si="99"/>
        <v/>
      </c>
      <c r="I313" s="150">
        <f t="shared" si="99"/>
        <v>0</v>
      </c>
      <c r="J313" s="150">
        <f t="shared" si="99"/>
        <v>0</v>
      </c>
      <c r="K313" s="196"/>
      <c r="L313" s="197"/>
      <c r="M313" s="191">
        <f t="shared" si="100"/>
        <v>0</v>
      </c>
      <c r="N313" s="150">
        <f t="shared" si="100"/>
        <v>0</v>
      </c>
      <c r="O313" s="193">
        <f t="shared" si="100"/>
        <v>0</v>
      </c>
      <c r="P313" s="162">
        <f t="shared" si="101"/>
        <v>0</v>
      </c>
      <c r="Q313" s="162">
        <f t="shared" si="101"/>
        <v>0</v>
      </c>
      <c r="R313" s="162">
        <f t="shared" si="101"/>
        <v>0</v>
      </c>
      <c r="S313" s="162">
        <f t="shared" si="101"/>
        <v>0</v>
      </c>
      <c r="T313" s="162">
        <f t="shared" si="101"/>
        <v>0</v>
      </c>
      <c r="U313" s="162">
        <f t="shared" si="101"/>
        <v>0</v>
      </c>
      <c r="V313" s="162">
        <f t="shared" si="101"/>
        <v>0</v>
      </c>
      <c r="W313" s="162">
        <f t="shared" si="101"/>
        <v>0</v>
      </c>
      <c r="X313" s="162">
        <f t="shared" si="101"/>
        <v>0</v>
      </c>
      <c r="Y313" s="162">
        <f t="shared" si="101"/>
        <v>0</v>
      </c>
      <c r="Z313" s="162">
        <f t="shared" si="101"/>
        <v>0</v>
      </c>
      <c r="AA313" s="162">
        <f t="shared" si="101"/>
        <v>0</v>
      </c>
      <c r="AB313" s="163">
        <f t="shared" si="98"/>
        <v>0</v>
      </c>
      <c r="AC313" s="198"/>
    </row>
    <row r="314" spans="1:29" hidden="1" outlineLevel="1" x14ac:dyDescent="0.25">
      <c r="A314" s="14" t="str">
        <f t="shared" si="88"/>
        <v>TERC_OPER__33</v>
      </c>
      <c r="B314" s="15" t="str">
        <f t="shared" si="93"/>
        <v>TERC_OPER__0_0</v>
      </c>
      <c r="C314" s="83"/>
      <c r="D314" s="15">
        <f t="shared" si="94"/>
        <v>0</v>
      </c>
      <c r="E314" s="15">
        <v>33</v>
      </c>
      <c r="F314" s="190">
        <f t="shared" ref="F314:J326" si="102">F268</f>
        <v>0</v>
      </c>
      <c r="G314" s="149" t="str">
        <f t="shared" si="102"/>
        <v/>
      </c>
      <c r="H314" s="150" t="str">
        <f t="shared" si="102"/>
        <v/>
      </c>
      <c r="I314" s="150">
        <f t="shared" si="102"/>
        <v>0</v>
      </c>
      <c r="J314" s="150">
        <f t="shared" si="102"/>
        <v>0</v>
      </c>
      <c r="K314" s="196"/>
      <c r="L314" s="197"/>
      <c r="M314" s="191">
        <f t="shared" ref="M314:O326" si="103">M268</f>
        <v>0</v>
      </c>
      <c r="N314" s="150">
        <f t="shared" si="103"/>
        <v>0</v>
      </c>
      <c r="O314" s="193">
        <f t="shared" si="103"/>
        <v>0</v>
      </c>
      <c r="P314" s="162">
        <f t="shared" si="101"/>
        <v>0</v>
      </c>
      <c r="Q314" s="162">
        <f t="shared" si="101"/>
        <v>0</v>
      </c>
      <c r="R314" s="162">
        <f t="shared" si="101"/>
        <v>0</v>
      </c>
      <c r="S314" s="162">
        <f t="shared" si="101"/>
        <v>0</v>
      </c>
      <c r="T314" s="162">
        <f t="shared" si="101"/>
        <v>0</v>
      </c>
      <c r="U314" s="162">
        <f t="shared" si="101"/>
        <v>0</v>
      </c>
      <c r="V314" s="162">
        <f t="shared" si="101"/>
        <v>0</v>
      </c>
      <c r="W314" s="162">
        <f t="shared" si="101"/>
        <v>0</v>
      </c>
      <c r="X314" s="162">
        <f t="shared" si="101"/>
        <v>0</v>
      </c>
      <c r="Y314" s="162">
        <f t="shared" si="101"/>
        <v>0</v>
      </c>
      <c r="Z314" s="162">
        <f t="shared" si="101"/>
        <v>0</v>
      </c>
      <c r="AA314" s="162">
        <f t="shared" si="101"/>
        <v>0</v>
      </c>
      <c r="AB314" s="163">
        <f t="shared" si="98"/>
        <v>0</v>
      </c>
      <c r="AC314" s="198"/>
    </row>
    <row r="315" spans="1:29" hidden="1" outlineLevel="1" x14ac:dyDescent="0.25">
      <c r="A315" s="14" t="str">
        <f t="shared" si="88"/>
        <v>TERC_OPER__34</v>
      </c>
      <c r="B315" s="15" t="str">
        <f t="shared" si="93"/>
        <v>TERC_OPER__0_0</v>
      </c>
      <c r="C315" s="83"/>
      <c r="D315" s="15">
        <f t="shared" si="94"/>
        <v>0</v>
      </c>
      <c r="E315" s="15">
        <v>34</v>
      </c>
      <c r="F315" s="190">
        <f t="shared" si="102"/>
        <v>0</v>
      </c>
      <c r="G315" s="149" t="str">
        <f t="shared" si="102"/>
        <v/>
      </c>
      <c r="H315" s="150" t="str">
        <f t="shared" si="102"/>
        <v/>
      </c>
      <c r="I315" s="150">
        <f t="shared" si="102"/>
        <v>0</v>
      </c>
      <c r="J315" s="150">
        <f t="shared" si="102"/>
        <v>0</v>
      </c>
      <c r="K315" s="196"/>
      <c r="L315" s="197"/>
      <c r="M315" s="191">
        <f t="shared" si="103"/>
        <v>0</v>
      </c>
      <c r="N315" s="150">
        <f t="shared" si="103"/>
        <v>0</v>
      </c>
      <c r="O315" s="193">
        <f t="shared" si="103"/>
        <v>0</v>
      </c>
      <c r="P315" s="162">
        <f t="shared" ref="P315:AA326" si="104">IFERROR(SUMIF($B$16:$B$43,$C315&amp;$I315,P$16:P$43)/SUMIF($D$16:$D$43,$I315,P$16:P$43)*P81,0)</f>
        <v>0</v>
      </c>
      <c r="Q315" s="162">
        <f t="shared" si="104"/>
        <v>0</v>
      </c>
      <c r="R315" s="162">
        <f t="shared" si="104"/>
        <v>0</v>
      </c>
      <c r="S315" s="162">
        <f t="shared" si="104"/>
        <v>0</v>
      </c>
      <c r="T315" s="162">
        <f t="shared" si="104"/>
        <v>0</v>
      </c>
      <c r="U315" s="162">
        <f t="shared" si="104"/>
        <v>0</v>
      </c>
      <c r="V315" s="162">
        <f t="shared" si="104"/>
        <v>0</v>
      </c>
      <c r="W315" s="162">
        <f t="shared" si="104"/>
        <v>0</v>
      </c>
      <c r="X315" s="162">
        <f t="shared" si="104"/>
        <v>0</v>
      </c>
      <c r="Y315" s="162">
        <f t="shared" si="104"/>
        <v>0</v>
      </c>
      <c r="Z315" s="162">
        <f t="shared" si="104"/>
        <v>0</v>
      </c>
      <c r="AA315" s="162">
        <f t="shared" si="104"/>
        <v>0</v>
      </c>
      <c r="AB315" s="163">
        <f t="shared" si="98"/>
        <v>0</v>
      </c>
      <c r="AC315" s="198"/>
    </row>
    <row r="316" spans="1:29" hidden="1" outlineLevel="1" x14ac:dyDescent="0.25">
      <c r="A316" s="14" t="str">
        <f t="shared" si="88"/>
        <v>TERC_OPER__35</v>
      </c>
      <c r="B316" s="15" t="str">
        <f t="shared" si="93"/>
        <v>TERC_OPER__0_0</v>
      </c>
      <c r="C316" s="83"/>
      <c r="D316" s="15">
        <f t="shared" si="94"/>
        <v>0</v>
      </c>
      <c r="E316" s="15">
        <v>35</v>
      </c>
      <c r="F316" s="190">
        <f t="shared" si="102"/>
        <v>0</v>
      </c>
      <c r="G316" s="149" t="str">
        <f t="shared" si="102"/>
        <v/>
      </c>
      <c r="H316" s="150" t="str">
        <f t="shared" si="102"/>
        <v/>
      </c>
      <c r="I316" s="150">
        <f t="shared" si="102"/>
        <v>0</v>
      </c>
      <c r="J316" s="150">
        <f t="shared" si="102"/>
        <v>0</v>
      </c>
      <c r="K316" s="196"/>
      <c r="L316" s="197"/>
      <c r="M316" s="191">
        <f t="shared" si="103"/>
        <v>0</v>
      </c>
      <c r="N316" s="150">
        <f t="shared" si="103"/>
        <v>0</v>
      </c>
      <c r="O316" s="193">
        <f t="shared" si="103"/>
        <v>0</v>
      </c>
      <c r="P316" s="162">
        <f t="shared" si="104"/>
        <v>0</v>
      </c>
      <c r="Q316" s="162">
        <f t="shared" si="104"/>
        <v>0</v>
      </c>
      <c r="R316" s="162">
        <f t="shared" si="104"/>
        <v>0</v>
      </c>
      <c r="S316" s="162">
        <f t="shared" si="104"/>
        <v>0</v>
      </c>
      <c r="T316" s="162">
        <f t="shared" si="104"/>
        <v>0</v>
      </c>
      <c r="U316" s="162">
        <f t="shared" si="104"/>
        <v>0</v>
      </c>
      <c r="V316" s="162">
        <f t="shared" si="104"/>
        <v>0</v>
      </c>
      <c r="W316" s="162">
        <f t="shared" si="104"/>
        <v>0</v>
      </c>
      <c r="X316" s="162">
        <f t="shared" si="104"/>
        <v>0</v>
      </c>
      <c r="Y316" s="162">
        <f t="shared" si="104"/>
        <v>0</v>
      </c>
      <c r="Z316" s="162">
        <f t="shared" si="104"/>
        <v>0</v>
      </c>
      <c r="AA316" s="162">
        <f t="shared" si="104"/>
        <v>0</v>
      </c>
      <c r="AB316" s="163">
        <f t="shared" si="98"/>
        <v>0</v>
      </c>
      <c r="AC316" s="198"/>
    </row>
    <row r="317" spans="1:29" hidden="1" outlineLevel="1" x14ac:dyDescent="0.25">
      <c r="A317" s="14" t="str">
        <f t="shared" si="88"/>
        <v>TERC_OPER__36</v>
      </c>
      <c r="B317" s="15" t="str">
        <f t="shared" si="93"/>
        <v>TERC_OPER__0_0</v>
      </c>
      <c r="C317" s="83"/>
      <c r="D317" s="15">
        <f t="shared" si="94"/>
        <v>0</v>
      </c>
      <c r="E317" s="15">
        <v>36</v>
      </c>
      <c r="F317" s="190">
        <f t="shared" si="102"/>
        <v>0</v>
      </c>
      <c r="G317" s="149" t="str">
        <f t="shared" si="102"/>
        <v/>
      </c>
      <c r="H317" s="150" t="str">
        <f t="shared" si="102"/>
        <v/>
      </c>
      <c r="I317" s="150">
        <f t="shared" si="102"/>
        <v>0</v>
      </c>
      <c r="J317" s="150">
        <f t="shared" si="102"/>
        <v>0</v>
      </c>
      <c r="K317" s="196"/>
      <c r="L317" s="197"/>
      <c r="M317" s="191">
        <f t="shared" si="103"/>
        <v>0</v>
      </c>
      <c r="N317" s="150">
        <f t="shared" si="103"/>
        <v>0</v>
      </c>
      <c r="O317" s="193">
        <f t="shared" si="103"/>
        <v>0</v>
      </c>
      <c r="P317" s="162">
        <f t="shared" si="104"/>
        <v>0</v>
      </c>
      <c r="Q317" s="162">
        <f t="shared" si="104"/>
        <v>0</v>
      </c>
      <c r="R317" s="162">
        <f t="shared" si="104"/>
        <v>0</v>
      </c>
      <c r="S317" s="162">
        <f t="shared" si="104"/>
        <v>0</v>
      </c>
      <c r="T317" s="162">
        <f t="shared" si="104"/>
        <v>0</v>
      </c>
      <c r="U317" s="162">
        <f t="shared" si="104"/>
        <v>0</v>
      </c>
      <c r="V317" s="162">
        <f t="shared" si="104"/>
        <v>0</v>
      </c>
      <c r="W317" s="162">
        <f t="shared" si="104"/>
        <v>0</v>
      </c>
      <c r="X317" s="162">
        <f t="shared" si="104"/>
        <v>0</v>
      </c>
      <c r="Y317" s="162">
        <f t="shared" si="104"/>
        <v>0</v>
      </c>
      <c r="Z317" s="162">
        <f t="shared" si="104"/>
        <v>0</v>
      </c>
      <c r="AA317" s="162">
        <f t="shared" si="104"/>
        <v>0</v>
      </c>
      <c r="AB317" s="163">
        <f t="shared" si="98"/>
        <v>0</v>
      </c>
      <c r="AC317" s="198"/>
    </row>
    <row r="318" spans="1:29" hidden="1" outlineLevel="1" x14ac:dyDescent="0.25">
      <c r="A318" s="14" t="str">
        <f t="shared" ref="A318:A326" si="105">"TERC_OPER_"&amp;C318&amp;"_"&amp;E318</f>
        <v>TERC_OPER__37</v>
      </c>
      <c r="B318" s="15" t="str">
        <f t="shared" si="93"/>
        <v>TERC_OPER__0_0</v>
      </c>
      <c r="C318" s="83"/>
      <c r="D318" s="15">
        <f t="shared" si="94"/>
        <v>0</v>
      </c>
      <c r="E318" s="15">
        <v>37</v>
      </c>
      <c r="F318" s="190">
        <f t="shared" si="102"/>
        <v>0</v>
      </c>
      <c r="G318" s="149" t="str">
        <f t="shared" si="102"/>
        <v/>
      </c>
      <c r="H318" s="150" t="str">
        <f t="shared" si="102"/>
        <v/>
      </c>
      <c r="I318" s="150">
        <f t="shared" si="102"/>
        <v>0</v>
      </c>
      <c r="J318" s="150">
        <f t="shared" si="102"/>
        <v>0</v>
      </c>
      <c r="K318" s="196"/>
      <c r="L318" s="197"/>
      <c r="M318" s="191">
        <f t="shared" si="103"/>
        <v>0</v>
      </c>
      <c r="N318" s="150">
        <f t="shared" si="103"/>
        <v>0</v>
      </c>
      <c r="O318" s="193">
        <f t="shared" si="103"/>
        <v>0</v>
      </c>
      <c r="P318" s="162">
        <f t="shared" si="104"/>
        <v>0</v>
      </c>
      <c r="Q318" s="162">
        <f t="shared" si="104"/>
        <v>0</v>
      </c>
      <c r="R318" s="162">
        <f t="shared" si="104"/>
        <v>0</v>
      </c>
      <c r="S318" s="162">
        <f t="shared" si="104"/>
        <v>0</v>
      </c>
      <c r="T318" s="162">
        <f t="shared" si="104"/>
        <v>0</v>
      </c>
      <c r="U318" s="162">
        <f t="shared" si="104"/>
        <v>0</v>
      </c>
      <c r="V318" s="162">
        <f t="shared" si="104"/>
        <v>0</v>
      </c>
      <c r="W318" s="162">
        <f t="shared" si="104"/>
        <v>0</v>
      </c>
      <c r="X318" s="162">
        <f t="shared" si="104"/>
        <v>0</v>
      </c>
      <c r="Y318" s="162">
        <f t="shared" si="104"/>
        <v>0</v>
      </c>
      <c r="Z318" s="162">
        <f t="shared" si="104"/>
        <v>0</v>
      </c>
      <c r="AA318" s="162">
        <f t="shared" si="104"/>
        <v>0</v>
      </c>
      <c r="AB318" s="163">
        <f t="shared" si="98"/>
        <v>0</v>
      </c>
      <c r="AC318" s="198"/>
    </row>
    <row r="319" spans="1:29" hidden="1" outlineLevel="1" x14ac:dyDescent="0.25">
      <c r="A319" s="14" t="str">
        <f t="shared" si="105"/>
        <v>TERC_OPER__38</v>
      </c>
      <c r="B319" s="15" t="str">
        <f t="shared" si="93"/>
        <v>TERC_OPER__0_0</v>
      </c>
      <c r="C319" s="83"/>
      <c r="D319" s="15">
        <f t="shared" si="94"/>
        <v>0</v>
      </c>
      <c r="E319" s="15">
        <v>38</v>
      </c>
      <c r="F319" s="190">
        <f t="shared" si="102"/>
        <v>0</v>
      </c>
      <c r="G319" s="149" t="str">
        <f t="shared" si="102"/>
        <v/>
      </c>
      <c r="H319" s="150" t="str">
        <f t="shared" si="102"/>
        <v/>
      </c>
      <c r="I319" s="150">
        <f t="shared" si="102"/>
        <v>0</v>
      </c>
      <c r="J319" s="150">
        <f t="shared" si="102"/>
        <v>0</v>
      </c>
      <c r="K319" s="196"/>
      <c r="L319" s="197"/>
      <c r="M319" s="191">
        <f t="shared" si="103"/>
        <v>0</v>
      </c>
      <c r="N319" s="150">
        <f t="shared" si="103"/>
        <v>0</v>
      </c>
      <c r="O319" s="193">
        <f t="shared" si="103"/>
        <v>0</v>
      </c>
      <c r="P319" s="162">
        <f t="shared" si="104"/>
        <v>0</v>
      </c>
      <c r="Q319" s="162">
        <f t="shared" si="104"/>
        <v>0</v>
      </c>
      <c r="R319" s="162">
        <f t="shared" si="104"/>
        <v>0</v>
      </c>
      <c r="S319" s="162">
        <f t="shared" si="104"/>
        <v>0</v>
      </c>
      <c r="T319" s="162">
        <f t="shared" si="104"/>
        <v>0</v>
      </c>
      <c r="U319" s="162">
        <f t="shared" si="104"/>
        <v>0</v>
      </c>
      <c r="V319" s="162">
        <f t="shared" si="104"/>
        <v>0</v>
      </c>
      <c r="W319" s="162">
        <f t="shared" si="104"/>
        <v>0</v>
      </c>
      <c r="X319" s="162">
        <f t="shared" si="104"/>
        <v>0</v>
      </c>
      <c r="Y319" s="162">
        <f t="shared" si="104"/>
        <v>0</v>
      </c>
      <c r="Z319" s="162">
        <f t="shared" si="104"/>
        <v>0</v>
      </c>
      <c r="AA319" s="162">
        <f t="shared" si="104"/>
        <v>0</v>
      </c>
      <c r="AB319" s="163">
        <f t="shared" si="98"/>
        <v>0</v>
      </c>
      <c r="AC319" s="198"/>
    </row>
    <row r="320" spans="1:29" hidden="1" outlineLevel="1" x14ac:dyDescent="0.25">
      <c r="A320" s="14" t="str">
        <f t="shared" si="105"/>
        <v>TERC_OPER__39</v>
      </c>
      <c r="B320" s="15" t="str">
        <f t="shared" si="93"/>
        <v>TERC_OPER__0_0</v>
      </c>
      <c r="C320" s="83"/>
      <c r="D320" s="15">
        <f t="shared" si="94"/>
        <v>0</v>
      </c>
      <c r="E320" s="15">
        <v>39</v>
      </c>
      <c r="F320" s="190">
        <f t="shared" si="102"/>
        <v>0</v>
      </c>
      <c r="G320" s="149" t="str">
        <f t="shared" si="102"/>
        <v/>
      </c>
      <c r="H320" s="150" t="str">
        <f t="shared" si="102"/>
        <v/>
      </c>
      <c r="I320" s="150">
        <f t="shared" si="102"/>
        <v>0</v>
      </c>
      <c r="J320" s="150">
        <f t="shared" si="102"/>
        <v>0</v>
      </c>
      <c r="K320" s="196"/>
      <c r="L320" s="197"/>
      <c r="M320" s="191">
        <f t="shared" si="103"/>
        <v>0</v>
      </c>
      <c r="N320" s="150">
        <f t="shared" si="103"/>
        <v>0</v>
      </c>
      <c r="O320" s="193">
        <f t="shared" si="103"/>
        <v>0</v>
      </c>
      <c r="P320" s="162">
        <f t="shared" si="104"/>
        <v>0</v>
      </c>
      <c r="Q320" s="162">
        <f t="shared" si="104"/>
        <v>0</v>
      </c>
      <c r="R320" s="162">
        <f t="shared" si="104"/>
        <v>0</v>
      </c>
      <c r="S320" s="162">
        <f t="shared" si="104"/>
        <v>0</v>
      </c>
      <c r="T320" s="162">
        <f t="shared" si="104"/>
        <v>0</v>
      </c>
      <c r="U320" s="162">
        <f t="shared" si="104"/>
        <v>0</v>
      </c>
      <c r="V320" s="162">
        <f t="shared" si="104"/>
        <v>0</v>
      </c>
      <c r="W320" s="162">
        <f t="shared" si="104"/>
        <v>0</v>
      </c>
      <c r="X320" s="162">
        <f t="shared" si="104"/>
        <v>0</v>
      </c>
      <c r="Y320" s="162">
        <f t="shared" si="104"/>
        <v>0</v>
      </c>
      <c r="Z320" s="162">
        <f t="shared" si="104"/>
        <v>0</v>
      </c>
      <c r="AA320" s="162">
        <f t="shared" si="104"/>
        <v>0</v>
      </c>
      <c r="AB320" s="163">
        <f t="shared" si="98"/>
        <v>0</v>
      </c>
      <c r="AC320" s="198"/>
    </row>
    <row r="321" spans="1:46" hidden="1" outlineLevel="1" x14ac:dyDescent="0.25">
      <c r="A321" s="14" t="str">
        <f t="shared" si="105"/>
        <v>TERC_OPER__40</v>
      </c>
      <c r="B321" s="15" t="str">
        <f t="shared" si="93"/>
        <v>TERC_OPER__0_0</v>
      </c>
      <c r="C321" s="83"/>
      <c r="D321" s="15">
        <f t="shared" si="94"/>
        <v>0</v>
      </c>
      <c r="E321" s="15">
        <v>40</v>
      </c>
      <c r="F321" s="190">
        <f t="shared" si="102"/>
        <v>0</v>
      </c>
      <c r="G321" s="149" t="str">
        <f t="shared" si="102"/>
        <v/>
      </c>
      <c r="H321" s="150" t="str">
        <f t="shared" si="102"/>
        <v/>
      </c>
      <c r="I321" s="150">
        <f t="shared" si="102"/>
        <v>0</v>
      </c>
      <c r="J321" s="150">
        <f t="shared" si="102"/>
        <v>0</v>
      </c>
      <c r="K321" s="196"/>
      <c r="L321" s="197"/>
      <c r="M321" s="191">
        <f t="shared" si="103"/>
        <v>0</v>
      </c>
      <c r="N321" s="150">
        <f t="shared" si="103"/>
        <v>0</v>
      </c>
      <c r="O321" s="193">
        <f t="shared" si="103"/>
        <v>0</v>
      </c>
      <c r="P321" s="162">
        <f t="shared" si="104"/>
        <v>0</v>
      </c>
      <c r="Q321" s="162">
        <f t="shared" si="104"/>
        <v>0</v>
      </c>
      <c r="R321" s="162">
        <f t="shared" si="104"/>
        <v>0</v>
      </c>
      <c r="S321" s="162">
        <f t="shared" si="104"/>
        <v>0</v>
      </c>
      <c r="T321" s="162">
        <f t="shared" si="104"/>
        <v>0</v>
      </c>
      <c r="U321" s="162">
        <f t="shared" si="104"/>
        <v>0</v>
      </c>
      <c r="V321" s="162">
        <f t="shared" si="104"/>
        <v>0</v>
      </c>
      <c r="W321" s="162">
        <f t="shared" si="104"/>
        <v>0</v>
      </c>
      <c r="X321" s="162">
        <f t="shared" si="104"/>
        <v>0</v>
      </c>
      <c r="Y321" s="162">
        <f t="shared" si="104"/>
        <v>0</v>
      </c>
      <c r="Z321" s="162">
        <f t="shared" si="104"/>
        <v>0</v>
      </c>
      <c r="AA321" s="162">
        <f t="shared" si="104"/>
        <v>0</v>
      </c>
      <c r="AB321" s="163">
        <f t="shared" si="98"/>
        <v>0</v>
      </c>
      <c r="AC321" s="198"/>
    </row>
    <row r="322" spans="1:46" hidden="1" outlineLevel="1" x14ac:dyDescent="0.25">
      <c r="A322" s="14" t="str">
        <f t="shared" si="105"/>
        <v>TERC_OPER__41</v>
      </c>
      <c r="B322" s="15" t="str">
        <f t="shared" si="93"/>
        <v>TERC_OPER__0_0</v>
      </c>
      <c r="C322" s="83"/>
      <c r="D322" s="15">
        <f t="shared" si="94"/>
        <v>0</v>
      </c>
      <c r="E322" s="15">
        <v>41</v>
      </c>
      <c r="F322" s="190">
        <f t="shared" si="102"/>
        <v>0</v>
      </c>
      <c r="G322" s="149" t="str">
        <f t="shared" si="102"/>
        <v/>
      </c>
      <c r="H322" s="150" t="str">
        <f t="shared" si="102"/>
        <v/>
      </c>
      <c r="I322" s="150">
        <f t="shared" si="102"/>
        <v>0</v>
      </c>
      <c r="J322" s="150">
        <f t="shared" si="102"/>
        <v>0</v>
      </c>
      <c r="K322" s="196"/>
      <c r="L322" s="197"/>
      <c r="M322" s="191">
        <f t="shared" si="103"/>
        <v>0</v>
      </c>
      <c r="N322" s="150">
        <f t="shared" si="103"/>
        <v>0</v>
      </c>
      <c r="O322" s="193">
        <f t="shared" si="103"/>
        <v>0</v>
      </c>
      <c r="P322" s="162">
        <f t="shared" si="104"/>
        <v>0</v>
      </c>
      <c r="Q322" s="162">
        <f t="shared" si="104"/>
        <v>0</v>
      </c>
      <c r="R322" s="162">
        <f t="shared" si="104"/>
        <v>0</v>
      </c>
      <c r="S322" s="162">
        <f t="shared" si="104"/>
        <v>0</v>
      </c>
      <c r="T322" s="162">
        <f t="shared" si="104"/>
        <v>0</v>
      </c>
      <c r="U322" s="162">
        <f t="shared" si="104"/>
        <v>0</v>
      </c>
      <c r="V322" s="162">
        <f t="shared" si="104"/>
        <v>0</v>
      </c>
      <c r="W322" s="162">
        <f t="shared" si="104"/>
        <v>0</v>
      </c>
      <c r="X322" s="162">
        <f t="shared" si="104"/>
        <v>0</v>
      </c>
      <c r="Y322" s="162">
        <f t="shared" si="104"/>
        <v>0</v>
      </c>
      <c r="Z322" s="162">
        <f t="shared" si="104"/>
        <v>0</v>
      </c>
      <c r="AA322" s="162">
        <f t="shared" si="104"/>
        <v>0</v>
      </c>
      <c r="AB322" s="163">
        <f t="shared" si="98"/>
        <v>0</v>
      </c>
      <c r="AC322" s="198"/>
    </row>
    <row r="323" spans="1:46" hidden="1" outlineLevel="1" x14ac:dyDescent="0.25">
      <c r="A323" s="14" t="str">
        <f t="shared" si="105"/>
        <v>TERC_OPER__42</v>
      </c>
      <c r="B323" s="15" t="str">
        <f t="shared" si="93"/>
        <v>TERC_OPER__0_0</v>
      </c>
      <c r="C323" s="83"/>
      <c r="D323" s="15">
        <f t="shared" si="94"/>
        <v>0</v>
      </c>
      <c r="E323" s="15">
        <v>42</v>
      </c>
      <c r="F323" s="190">
        <f t="shared" si="102"/>
        <v>0</v>
      </c>
      <c r="G323" s="149" t="str">
        <f t="shared" si="102"/>
        <v/>
      </c>
      <c r="H323" s="150" t="str">
        <f t="shared" si="102"/>
        <v/>
      </c>
      <c r="I323" s="150">
        <f t="shared" si="102"/>
        <v>0</v>
      </c>
      <c r="J323" s="150">
        <f t="shared" si="102"/>
        <v>0</v>
      </c>
      <c r="K323" s="196"/>
      <c r="L323" s="197"/>
      <c r="M323" s="191">
        <f t="shared" si="103"/>
        <v>0</v>
      </c>
      <c r="N323" s="150">
        <f t="shared" si="103"/>
        <v>0</v>
      </c>
      <c r="O323" s="193">
        <f t="shared" si="103"/>
        <v>0</v>
      </c>
      <c r="P323" s="162">
        <f t="shared" si="104"/>
        <v>0</v>
      </c>
      <c r="Q323" s="162">
        <f t="shared" si="104"/>
        <v>0</v>
      </c>
      <c r="R323" s="162">
        <f t="shared" si="104"/>
        <v>0</v>
      </c>
      <c r="S323" s="162">
        <f t="shared" si="104"/>
        <v>0</v>
      </c>
      <c r="T323" s="162">
        <f t="shared" si="104"/>
        <v>0</v>
      </c>
      <c r="U323" s="162">
        <f t="shared" si="104"/>
        <v>0</v>
      </c>
      <c r="V323" s="162">
        <f t="shared" si="104"/>
        <v>0</v>
      </c>
      <c r="W323" s="162">
        <f t="shared" si="104"/>
        <v>0</v>
      </c>
      <c r="X323" s="162">
        <f t="shared" si="104"/>
        <v>0</v>
      </c>
      <c r="Y323" s="162">
        <f t="shared" si="104"/>
        <v>0</v>
      </c>
      <c r="Z323" s="162">
        <f t="shared" si="104"/>
        <v>0</v>
      </c>
      <c r="AA323" s="162">
        <f t="shared" si="104"/>
        <v>0</v>
      </c>
      <c r="AB323" s="163">
        <f t="shared" si="98"/>
        <v>0</v>
      </c>
      <c r="AC323" s="198"/>
    </row>
    <row r="324" spans="1:46" hidden="1" outlineLevel="1" x14ac:dyDescent="0.25">
      <c r="A324" s="14" t="str">
        <f t="shared" si="105"/>
        <v>TERC_OPER__43</v>
      </c>
      <c r="B324" s="15" t="str">
        <f t="shared" si="93"/>
        <v>TERC_OPER__0_0</v>
      </c>
      <c r="C324" s="83"/>
      <c r="D324" s="15">
        <f t="shared" si="94"/>
        <v>0</v>
      </c>
      <c r="E324" s="15">
        <v>43</v>
      </c>
      <c r="F324" s="190">
        <f t="shared" si="102"/>
        <v>0</v>
      </c>
      <c r="G324" s="149" t="str">
        <f t="shared" si="102"/>
        <v/>
      </c>
      <c r="H324" s="150" t="str">
        <f t="shared" si="102"/>
        <v/>
      </c>
      <c r="I324" s="150">
        <f t="shared" si="102"/>
        <v>0</v>
      </c>
      <c r="J324" s="150">
        <f t="shared" si="102"/>
        <v>0</v>
      </c>
      <c r="K324" s="196"/>
      <c r="L324" s="197"/>
      <c r="M324" s="191">
        <f t="shared" si="103"/>
        <v>0</v>
      </c>
      <c r="N324" s="150">
        <f t="shared" si="103"/>
        <v>0</v>
      </c>
      <c r="O324" s="193">
        <f t="shared" si="103"/>
        <v>0</v>
      </c>
      <c r="P324" s="162">
        <f t="shared" si="104"/>
        <v>0</v>
      </c>
      <c r="Q324" s="162">
        <f t="shared" si="104"/>
        <v>0</v>
      </c>
      <c r="R324" s="162">
        <f t="shared" si="104"/>
        <v>0</v>
      </c>
      <c r="S324" s="162">
        <f t="shared" si="104"/>
        <v>0</v>
      </c>
      <c r="T324" s="162">
        <f t="shared" si="104"/>
        <v>0</v>
      </c>
      <c r="U324" s="162">
        <f t="shared" si="104"/>
        <v>0</v>
      </c>
      <c r="V324" s="162">
        <f t="shared" si="104"/>
        <v>0</v>
      </c>
      <c r="W324" s="162">
        <f t="shared" si="104"/>
        <v>0</v>
      </c>
      <c r="X324" s="162">
        <f t="shared" si="104"/>
        <v>0</v>
      </c>
      <c r="Y324" s="162">
        <f t="shared" si="104"/>
        <v>0</v>
      </c>
      <c r="Z324" s="162">
        <f t="shared" si="104"/>
        <v>0</v>
      </c>
      <c r="AA324" s="162">
        <f t="shared" si="104"/>
        <v>0</v>
      </c>
      <c r="AB324" s="163">
        <f t="shared" si="98"/>
        <v>0</v>
      </c>
      <c r="AC324" s="198"/>
    </row>
    <row r="325" spans="1:46" hidden="1" outlineLevel="1" x14ac:dyDescent="0.25">
      <c r="A325" s="14" t="str">
        <f t="shared" si="105"/>
        <v>TERC_OPER__44</v>
      </c>
      <c r="B325" s="15" t="str">
        <f t="shared" si="93"/>
        <v>TERC_OPER__0_0</v>
      </c>
      <c r="C325" s="83"/>
      <c r="D325" s="15">
        <f t="shared" si="94"/>
        <v>0</v>
      </c>
      <c r="E325" s="15">
        <v>44</v>
      </c>
      <c r="F325" s="190">
        <f t="shared" si="102"/>
        <v>0</v>
      </c>
      <c r="G325" s="149" t="str">
        <f t="shared" si="102"/>
        <v/>
      </c>
      <c r="H325" s="150" t="str">
        <f t="shared" si="102"/>
        <v/>
      </c>
      <c r="I325" s="150">
        <f t="shared" si="102"/>
        <v>0</v>
      </c>
      <c r="J325" s="150">
        <f t="shared" si="102"/>
        <v>0</v>
      </c>
      <c r="K325" s="196"/>
      <c r="L325" s="197"/>
      <c r="M325" s="191">
        <f t="shared" si="103"/>
        <v>0</v>
      </c>
      <c r="N325" s="150">
        <f t="shared" si="103"/>
        <v>0</v>
      </c>
      <c r="O325" s="193">
        <f t="shared" si="103"/>
        <v>0</v>
      </c>
      <c r="P325" s="162">
        <f t="shared" si="104"/>
        <v>0</v>
      </c>
      <c r="Q325" s="162">
        <f t="shared" si="104"/>
        <v>0</v>
      </c>
      <c r="R325" s="162">
        <f t="shared" si="104"/>
        <v>0</v>
      </c>
      <c r="S325" s="162">
        <f t="shared" si="104"/>
        <v>0</v>
      </c>
      <c r="T325" s="162">
        <f t="shared" si="104"/>
        <v>0</v>
      </c>
      <c r="U325" s="162">
        <f t="shared" si="104"/>
        <v>0</v>
      </c>
      <c r="V325" s="162">
        <f t="shared" si="104"/>
        <v>0</v>
      </c>
      <c r="W325" s="162">
        <f t="shared" si="104"/>
        <v>0</v>
      </c>
      <c r="X325" s="162">
        <f t="shared" si="104"/>
        <v>0</v>
      </c>
      <c r="Y325" s="162">
        <f t="shared" si="104"/>
        <v>0</v>
      </c>
      <c r="Z325" s="162">
        <f t="shared" si="104"/>
        <v>0</v>
      </c>
      <c r="AA325" s="162">
        <f t="shared" si="104"/>
        <v>0</v>
      </c>
      <c r="AB325" s="163">
        <f t="shared" si="98"/>
        <v>0</v>
      </c>
      <c r="AC325" s="198"/>
    </row>
    <row r="326" spans="1:46" hidden="1" outlineLevel="1" x14ac:dyDescent="0.25">
      <c r="A326" s="14" t="str">
        <f t="shared" si="105"/>
        <v>TERC_OPER__45</v>
      </c>
      <c r="B326" s="15" t="str">
        <f t="shared" si="93"/>
        <v>TERC_OPER__0_0</v>
      </c>
      <c r="C326" s="83"/>
      <c r="D326" s="15">
        <f t="shared" si="94"/>
        <v>0</v>
      </c>
      <c r="E326" s="15">
        <v>45</v>
      </c>
      <c r="F326" s="190">
        <f t="shared" si="102"/>
        <v>0</v>
      </c>
      <c r="G326" s="149" t="str">
        <f t="shared" si="102"/>
        <v/>
      </c>
      <c r="H326" s="150" t="str">
        <f t="shared" si="102"/>
        <v/>
      </c>
      <c r="I326" s="150">
        <f t="shared" si="102"/>
        <v>0</v>
      </c>
      <c r="J326" s="150">
        <f t="shared" si="102"/>
        <v>0</v>
      </c>
      <c r="K326" s="196"/>
      <c r="L326" s="197"/>
      <c r="M326" s="191">
        <f t="shared" si="103"/>
        <v>0</v>
      </c>
      <c r="N326" s="150">
        <f t="shared" si="103"/>
        <v>0</v>
      </c>
      <c r="O326" s="193">
        <f t="shared" si="103"/>
        <v>0</v>
      </c>
      <c r="P326" s="162">
        <f t="shared" si="104"/>
        <v>0</v>
      </c>
      <c r="Q326" s="162">
        <f t="shared" si="104"/>
        <v>0</v>
      </c>
      <c r="R326" s="162">
        <f t="shared" si="104"/>
        <v>0</v>
      </c>
      <c r="S326" s="162">
        <f t="shared" si="104"/>
        <v>0</v>
      </c>
      <c r="T326" s="162">
        <f t="shared" si="104"/>
        <v>0</v>
      </c>
      <c r="U326" s="162">
        <f t="shared" si="104"/>
        <v>0</v>
      </c>
      <c r="V326" s="162">
        <f t="shared" si="104"/>
        <v>0</v>
      </c>
      <c r="W326" s="162">
        <f t="shared" si="104"/>
        <v>0</v>
      </c>
      <c r="X326" s="162">
        <f t="shared" si="104"/>
        <v>0</v>
      </c>
      <c r="Y326" s="162">
        <f t="shared" si="104"/>
        <v>0</v>
      </c>
      <c r="Z326" s="162">
        <f t="shared" si="104"/>
        <v>0</v>
      </c>
      <c r="AA326" s="162">
        <f t="shared" si="104"/>
        <v>0</v>
      </c>
      <c r="AB326" s="163">
        <f t="shared" si="98"/>
        <v>0</v>
      </c>
      <c r="AC326" s="198"/>
    </row>
    <row r="327" spans="1:46" hidden="1" outlineLevel="1" x14ac:dyDescent="0.25"/>
    <row r="328" spans="1:46" hidden="1" outlineLevel="1" x14ac:dyDescent="0.25">
      <c r="A328" s="14"/>
      <c r="F328" s="199" t="s">
        <v>255</v>
      </c>
      <c r="G328" s="200"/>
      <c r="H328" s="201"/>
      <c r="I328" s="201"/>
      <c r="J328" s="201"/>
      <c r="K328" s="201"/>
      <c r="L328" s="201"/>
      <c r="M328" s="202"/>
      <c r="N328" s="201"/>
      <c r="O328" s="203"/>
      <c r="P328" s="204">
        <f t="shared" ref="P328:AB328" si="106">SUM(P49:P92)-SUM(P190:P234,P236:P280,P282:P326)</f>
        <v>0</v>
      </c>
      <c r="Q328" s="204">
        <f t="shared" si="106"/>
        <v>0</v>
      </c>
      <c r="R328" s="204">
        <f t="shared" si="106"/>
        <v>400</v>
      </c>
      <c r="S328" s="204">
        <f t="shared" si="106"/>
        <v>600</v>
      </c>
      <c r="T328" s="204">
        <f t="shared" si="106"/>
        <v>1036.3800000000001</v>
      </c>
      <c r="U328" s="204">
        <f>SUM(U49:U92)-SUM(U190:U234,U236:U280,U282:U326)</f>
        <v>1200</v>
      </c>
      <c r="V328" s="204">
        <f t="shared" si="106"/>
        <v>594.46</v>
      </c>
      <c r="W328" s="204">
        <f t="shared" si="106"/>
        <v>0</v>
      </c>
      <c r="X328" s="204">
        <f t="shared" si="106"/>
        <v>0</v>
      </c>
      <c r="Y328" s="204">
        <f t="shared" si="106"/>
        <v>0</v>
      </c>
      <c r="Z328" s="204">
        <f t="shared" si="106"/>
        <v>0</v>
      </c>
      <c r="AA328" s="204">
        <f t="shared" si="106"/>
        <v>0</v>
      </c>
      <c r="AB328" s="205">
        <f t="shared" si="106"/>
        <v>3832.84</v>
      </c>
      <c r="AC328" s="206"/>
    </row>
    <row r="329" spans="1:46" hidden="1" outlineLevel="1" x14ac:dyDescent="0.25"/>
    <row r="330" spans="1:46" hidden="1" outlineLevel="1" x14ac:dyDescent="0.25">
      <c r="A330" s="14"/>
      <c r="F330" s="136" t="s">
        <v>256</v>
      </c>
    </row>
    <row r="331" spans="1:46" hidden="1" outlineLevel="1" x14ac:dyDescent="0.25">
      <c r="A331" s="14"/>
      <c r="P331" s="18" t="s">
        <v>257</v>
      </c>
    </row>
    <row r="332" spans="1:46" hidden="1" outlineLevel="1" x14ac:dyDescent="0.25">
      <c r="A332" s="14"/>
      <c r="F332" s="137" t="s">
        <v>252</v>
      </c>
      <c r="G332" s="138"/>
      <c r="H332" s="139" t="s">
        <v>217</v>
      </c>
      <c r="I332" s="139"/>
      <c r="J332" s="139" t="s">
        <v>229</v>
      </c>
      <c r="K332" s="140"/>
      <c r="L332" s="141"/>
      <c r="M332" s="142" t="s">
        <v>220</v>
      </c>
      <c r="N332" s="139" t="s">
        <v>221</v>
      </c>
      <c r="O332" s="143" t="s">
        <v>222</v>
      </c>
      <c r="P332" s="35">
        <f t="shared" ref="P332:AA332" si="107">P$9</f>
        <v>46113</v>
      </c>
      <c r="Q332" s="35">
        <f t="shared" si="107"/>
        <v>46143</v>
      </c>
      <c r="R332" s="35">
        <f t="shared" si="107"/>
        <v>46174</v>
      </c>
      <c r="S332" s="35">
        <f t="shared" si="107"/>
        <v>46204</v>
      </c>
      <c r="T332" s="35">
        <f t="shared" si="107"/>
        <v>46235</v>
      </c>
      <c r="U332" s="35">
        <f t="shared" si="107"/>
        <v>46266</v>
      </c>
      <c r="V332" s="35">
        <f t="shared" si="107"/>
        <v>46296</v>
      </c>
      <c r="W332" s="35">
        <f t="shared" si="107"/>
        <v>46327</v>
      </c>
      <c r="X332" s="35">
        <f t="shared" si="107"/>
        <v>46357</v>
      </c>
      <c r="Y332" s="35">
        <f t="shared" si="107"/>
        <v>46388</v>
      </c>
      <c r="Z332" s="35">
        <f t="shared" si="107"/>
        <v>46419</v>
      </c>
      <c r="AA332" s="35">
        <f t="shared" si="107"/>
        <v>46447</v>
      </c>
      <c r="AB332" s="81" t="s">
        <v>223</v>
      </c>
      <c r="AC332" s="82" t="s">
        <v>192</v>
      </c>
      <c r="AE332" s="189" t="str">
        <f>"Qtde Recursos em: "&amp;F332</f>
        <v>Qtde Recursos em: PREPARO DE SOLO - EXPANSÃO</v>
      </c>
      <c r="AF332" s="147">
        <f>P332</f>
        <v>46113</v>
      </c>
      <c r="AG332" s="35">
        <f t="shared" ref="AG332:AQ332" si="108">Q332</f>
        <v>46143</v>
      </c>
      <c r="AH332" s="35">
        <f t="shared" si="108"/>
        <v>46174</v>
      </c>
      <c r="AI332" s="35">
        <f t="shared" si="108"/>
        <v>46204</v>
      </c>
      <c r="AJ332" s="35">
        <f t="shared" si="108"/>
        <v>46235</v>
      </c>
      <c r="AK332" s="35">
        <f t="shared" si="108"/>
        <v>46266</v>
      </c>
      <c r="AL332" s="35">
        <f t="shared" si="108"/>
        <v>46296</v>
      </c>
      <c r="AM332" s="35">
        <f t="shared" si="108"/>
        <v>46327</v>
      </c>
      <c r="AN332" s="35">
        <f t="shared" si="108"/>
        <v>46357</v>
      </c>
      <c r="AO332" s="35">
        <f t="shared" si="108"/>
        <v>46388</v>
      </c>
      <c r="AP332" s="35">
        <f t="shared" si="108"/>
        <v>46419</v>
      </c>
      <c r="AQ332" s="35">
        <f t="shared" si="108"/>
        <v>46447</v>
      </c>
      <c r="AR332" s="81" t="s">
        <v>223</v>
      </c>
      <c r="AT332" s="189" t="s">
        <v>258</v>
      </c>
    </row>
    <row r="333" spans="1:46" hidden="1" outlineLevel="1" x14ac:dyDescent="0.25">
      <c r="A333" s="14" t="str">
        <f t="shared" ref="A333:A396" si="109">"PROP_OPER_"&amp;C333&amp;"_"&amp;E333</f>
        <v>PROP_OPER__1</v>
      </c>
      <c r="B333" s="15" t="str">
        <f t="shared" ref="B333:B377" si="110">"PROP_OPER_"&amp;C333&amp;"_"&amp;F333&amp;"_"&amp;J333</f>
        <v>PROP_OPER__1096_1</v>
      </c>
      <c r="D333" s="15">
        <v>1</v>
      </c>
      <c r="E333" s="15">
        <v>1</v>
      </c>
      <c r="F333" s="190">
        <f t="shared" ref="F333:J348" si="111">F94</f>
        <v>1096</v>
      </c>
      <c r="G333" s="149" t="str">
        <f t="shared" si="111"/>
        <v xml:space="preserve">PRÉ PLANTIO INCORPORADO (PPI) </v>
      </c>
      <c r="H333" s="150" t="str">
        <f t="shared" si="111"/>
        <v>HA</v>
      </c>
      <c r="I333" s="150" t="str">
        <f t="shared" si="111"/>
        <v>PREPSP</v>
      </c>
      <c r="J333" s="150">
        <f t="shared" si="111"/>
        <v>1</v>
      </c>
      <c r="K333" s="196"/>
      <c r="L333" s="197"/>
      <c r="M333" s="191">
        <f t="shared" ref="M333:O348" si="112">M94</f>
        <v>0</v>
      </c>
      <c r="N333" s="150">
        <f t="shared" si="112"/>
        <v>0</v>
      </c>
      <c r="O333" s="193">
        <f t="shared" si="112"/>
        <v>1</v>
      </c>
      <c r="P333" s="162">
        <f t="shared" ref="P333:AA348" si="113">IFERROR(SUMIF($B$16:$B$43,$C333&amp;$I333,P$16:P$43)/SUMIF($D$16:$D$43,$I333,P$16:P$43)*P94,0)</f>
        <v>0</v>
      </c>
      <c r="Q333" s="162">
        <f t="shared" si="113"/>
        <v>0</v>
      </c>
      <c r="R333" s="162">
        <f t="shared" si="113"/>
        <v>0</v>
      </c>
      <c r="S333" s="162">
        <f t="shared" si="113"/>
        <v>0</v>
      </c>
      <c r="T333" s="162">
        <f t="shared" si="113"/>
        <v>0</v>
      </c>
      <c r="U333" s="162">
        <f t="shared" si="113"/>
        <v>0</v>
      </c>
      <c r="V333" s="162">
        <f t="shared" si="113"/>
        <v>0</v>
      </c>
      <c r="W333" s="162">
        <f t="shared" si="113"/>
        <v>0</v>
      </c>
      <c r="X333" s="162">
        <f t="shared" si="113"/>
        <v>0</v>
      </c>
      <c r="Y333" s="162">
        <f t="shared" si="113"/>
        <v>0</v>
      </c>
      <c r="Z333" s="162">
        <f t="shared" si="113"/>
        <v>0</v>
      </c>
      <c r="AA333" s="162">
        <f t="shared" si="113"/>
        <v>0</v>
      </c>
      <c r="AB333" s="163">
        <f t="shared" ref="AB333:AB377" si="114">SUM(P333:AA333)</f>
        <v>0</v>
      </c>
      <c r="AC333" s="198"/>
      <c r="AE333" s="194" t="e">
        <f>IF(J333=0,"",VLOOKUP(J333,#REF!,2,0)&amp;" - "&amp;J333&amp;" ("&amp;F333&amp;" - "&amp;G333&amp;")")</f>
        <v>#REF!</v>
      </c>
      <c r="AF333" s="161">
        <f t="shared" ref="AF333:AQ348" si="115">IFERROR(SUMIF($B$16:$B$43,$C333&amp;$I333,P$16:P$43)/SUMIF($D$16:$D$43,$I333,P$16:P$43)*AF94,0)</f>
        <v>0</v>
      </c>
      <c r="AG333" s="162">
        <f t="shared" si="115"/>
        <v>0</v>
      </c>
      <c r="AH333" s="162">
        <f t="shared" si="115"/>
        <v>0</v>
      </c>
      <c r="AI333" s="162">
        <f t="shared" si="115"/>
        <v>0</v>
      </c>
      <c r="AJ333" s="162">
        <f t="shared" si="115"/>
        <v>0</v>
      </c>
      <c r="AK333" s="162">
        <f t="shared" si="115"/>
        <v>0</v>
      </c>
      <c r="AL333" s="162">
        <f t="shared" si="115"/>
        <v>0</v>
      </c>
      <c r="AM333" s="162">
        <f t="shared" si="115"/>
        <v>0</v>
      </c>
      <c r="AN333" s="162">
        <f t="shared" si="115"/>
        <v>0</v>
      </c>
      <c r="AO333" s="162">
        <f t="shared" si="115"/>
        <v>0</v>
      </c>
      <c r="AP333" s="162">
        <f t="shared" si="115"/>
        <v>0</v>
      </c>
      <c r="AQ333" s="162">
        <f t="shared" si="115"/>
        <v>0</v>
      </c>
      <c r="AR333" s="163">
        <f t="shared" ref="AR333:AR377" si="116">SUM(AF333:AQ333)</f>
        <v>0</v>
      </c>
      <c r="AT333" s="207">
        <f>IFERROR(VLOOKUP(J333,#REF!,10,0),0)</f>
        <v>0</v>
      </c>
    </row>
    <row r="334" spans="1:46" hidden="1" outlineLevel="1" x14ac:dyDescent="0.25">
      <c r="A334" s="14" t="str">
        <f t="shared" si="109"/>
        <v>PROP_OPER__2</v>
      </c>
      <c r="B334" s="15" t="str">
        <f t="shared" si="110"/>
        <v>PROP_OPER__1079_1</v>
      </c>
      <c r="D334" s="15">
        <v>1</v>
      </c>
      <c r="E334" s="15">
        <v>2</v>
      </c>
      <c r="F334" s="190">
        <f t="shared" si="111"/>
        <v>1079</v>
      </c>
      <c r="G334" s="149" t="str">
        <f t="shared" si="111"/>
        <v xml:space="preserve">APLICAÇÃO DESSECAÇÃO          </v>
      </c>
      <c r="H334" s="150" t="str">
        <f t="shared" si="111"/>
        <v>HA</v>
      </c>
      <c r="I334" s="150" t="str">
        <f t="shared" si="111"/>
        <v>PREPSP</v>
      </c>
      <c r="J334" s="150">
        <f t="shared" si="111"/>
        <v>1</v>
      </c>
      <c r="K334" s="196"/>
      <c r="L334" s="197"/>
      <c r="M334" s="191">
        <f t="shared" si="112"/>
        <v>0</v>
      </c>
      <c r="N334" s="150">
        <f t="shared" si="112"/>
        <v>0</v>
      </c>
      <c r="O334" s="193">
        <f t="shared" si="112"/>
        <v>1</v>
      </c>
      <c r="P334" s="162">
        <f t="shared" si="113"/>
        <v>0</v>
      </c>
      <c r="Q334" s="162">
        <f t="shared" si="113"/>
        <v>0</v>
      </c>
      <c r="R334" s="162">
        <f t="shared" si="113"/>
        <v>0</v>
      </c>
      <c r="S334" s="162">
        <f t="shared" si="113"/>
        <v>0</v>
      </c>
      <c r="T334" s="162">
        <f t="shared" si="113"/>
        <v>0</v>
      </c>
      <c r="U334" s="162">
        <f t="shared" si="113"/>
        <v>0</v>
      </c>
      <c r="V334" s="162">
        <f t="shared" si="113"/>
        <v>0</v>
      </c>
      <c r="W334" s="162">
        <f t="shared" si="113"/>
        <v>0</v>
      </c>
      <c r="X334" s="162">
        <f t="shared" si="113"/>
        <v>0</v>
      </c>
      <c r="Y334" s="162">
        <f t="shared" si="113"/>
        <v>0</v>
      </c>
      <c r="Z334" s="162">
        <f t="shared" si="113"/>
        <v>0</v>
      </c>
      <c r="AA334" s="162">
        <f t="shared" si="113"/>
        <v>0</v>
      </c>
      <c r="AB334" s="163">
        <f t="shared" si="114"/>
        <v>0</v>
      </c>
      <c r="AC334" s="198"/>
      <c r="AE334" s="194" t="e">
        <f>IF(J334=0,"",VLOOKUP(J334,#REF!,2,0)&amp;" - "&amp;J334&amp;" ("&amp;F334&amp;" - "&amp;G334&amp;")")</f>
        <v>#REF!</v>
      </c>
      <c r="AF334" s="161">
        <f t="shared" si="115"/>
        <v>0</v>
      </c>
      <c r="AG334" s="162">
        <f t="shared" si="115"/>
        <v>0</v>
      </c>
      <c r="AH334" s="162">
        <f t="shared" si="115"/>
        <v>0</v>
      </c>
      <c r="AI334" s="162">
        <f t="shared" si="115"/>
        <v>0</v>
      </c>
      <c r="AJ334" s="162">
        <f t="shared" si="115"/>
        <v>0</v>
      </c>
      <c r="AK334" s="162">
        <f t="shared" si="115"/>
        <v>0</v>
      </c>
      <c r="AL334" s="162">
        <f t="shared" si="115"/>
        <v>0</v>
      </c>
      <c r="AM334" s="162">
        <f t="shared" si="115"/>
        <v>0</v>
      </c>
      <c r="AN334" s="162">
        <f t="shared" si="115"/>
        <v>0</v>
      </c>
      <c r="AO334" s="162">
        <f t="shared" si="115"/>
        <v>0</v>
      </c>
      <c r="AP334" s="162">
        <f t="shared" si="115"/>
        <v>0</v>
      </c>
      <c r="AQ334" s="162">
        <f t="shared" si="115"/>
        <v>0</v>
      </c>
      <c r="AR334" s="163">
        <f t="shared" si="116"/>
        <v>0</v>
      </c>
      <c r="AT334" s="208">
        <f>IFERROR(VLOOKUP(J334,#REF!,10,0),0)</f>
        <v>0</v>
      </c>
    </row>
    <row r="335" spans="1:46" hidden="1" outlineLevel="1" x14ac:dyDescent="0.25">
      <c r="A335" s="14" t="str">
        <f t="shared" si="109"/>
        <v>PROP_OPER__3</v>
      </c>
      <c r="B335" s="15" t="str">
        <f t="shared" si="110"/>
        <v>PROP_OPER__1028_1</v>
      </c>
      <c r="D335" s="15">
        <v>1</v>
      </c>
      <c r="E335" s="15">
        <v>3</v>
      </c>
      <c r="F335" s="190">
        <f t="shared" si="111"/>
        <v>1028</v>
      </c>
      <c r="G335" s="149" t="str">
        <f t="shared" si="111"/>
        <v xml:space="preserve">APLICAÇÃO MISTA CORREÇÃO SOLO </v>
      </c>
      <c r="H335" s="150" t="str">
        <f t="shared" si="111"/>
        <v>HA</v>
      </c>
      <c r="I335" s="150" t="str">
        <f t="shared" si="111"/>
        <v>PREPSP</v>
      </c>
      <c r="J335" s="150">
        <f t="shared" si="111"/>
        <v>1</v>
      </c>
      <c r="K335" s="196"/>
      <c r="L335" s="197"/>
      <c r="M335" s="191">
        <f t="shared" si="112"/>
        <v>0</v>
      </c>
      <c r="N335" s="150">
        <f t="shared" si="112"/>
        <v>0</v>
      </c>
      <c r="O335" s="193">
        <f t="shared" si="112"/>
        <v>1</v>
      </c>
      <c r="P335" s="162">
        <f t="shared" si="113"/>
        <v>0</v>
      </c>
      <c r="Q335" s="162">
        <f t="shared" si="113"/>
        <v>0</v>
      </c>
      <c r="R335" s="162">
        <f t="shared" si="113"/>
        <v>0</v>
      </c>
      <c r="S335" s="162">
        <f t="shared" si="113"/>
        <v>0</v>
      </c>
      <c r="T335" s="162">
        <f t="shared" si="113"/>
        <v>0</v>
      </c>
      <c r="U335" s="162">
        <f t="shared" si="113"/>
        <v>0</v>
      </c>
      <c r="V335" s="162">
        <f t="shared" si="113"/>
        <v>0</v>
      </c>
      <c r="W335" s="162">
        <f t="shared" si="113"/>
        <v>0</v>
      </c>
      <c r="X335" s="162">
        <f t="shared" si="113"/>
        <v>0</v>
      </c>
      <c r="Y335" s="162">
        <f t="shared" si="113"/>
        <v>0</v>
      </c>
      <c r="Z335" s="162">
        <f t="shared" si="113"/>
        <v>0</v>
      </c>
      <c r="AA335" s="162">
        <f t="shared" si="113"/>
        <v>0</v>
      </c>
      <c r="AB335" s="163">
        <f t="shared" si="114"/>
        <v>0</v>
      </c>
      <c r="AC335" s="198"/>
      <c r="AE335" s="194" t="e">
        <f>IF(J335=0,"",VLOOKUP(J335,#REF!,2,0)&amp;" - "&amp;J335&amp;" ("&amp;F335&amp;" - "&amp;G335&amp;")")</f>
        <v>#REF!</v>
      </c>
      <c r="AF335" s="161">
        <f t="shared" si="115"/>
        <v>0</v>
      </c>
      <c r="AG335" s="162">
        <f t="shared" si="115"/>
        <v>0</v>
      </c>
      <c r="AH335" s="162">
        <f t="shared" si="115"/>
        <v>0</v>
      </c>
      <c r="AI335" s="162">
        <f t="shared" si="115"/>
        <v>0</v>
      </c>
      <c r="AJ335" s="162">
        <f t="shared" si="115"/>
        <v>0</v>
      </c>
      <c r="AK335" s="162">
        <f t="shared" si="115"/>
        <v>0</v>
      </c>
      <c r="AL335" s="162">
        <f t="shared" si="115"/>
        <v>0</v>
      </c>
      <c r="AM335" s="162">
        <f t="shared" si="115"/>
        <v>0</v>
      </c>
      <c r="AN335" s="162">
        <f t="shared" si="115"/>
        <v>0</v>
      </c>
      <c r="AO335" s="162">
        <f t="shared" si="115"/>
        <v>0</v>
      </c>
      <c r="AP335" s="162">
        <f t="shared" si="115"/>
        <v>0</v>
      </c>
      <c r="AQ335" s="162">
        <f t="shared" si="115"/>
        <v>0</v>
      </c>
      <c r="AR335" s="163">
        <f t="shared" si="116"/>
        <v>0</v>
      </c>
      <c r="AT335" s="208">
        <f>IFERROR(VLOOKUP(J335,#REF!,10,0),0)</f>
        <v>0</v>
      </c>
    </row>
    <row r="336" spans="1:46" hidden="1" outlineLevel="1" x14ac:dyDescent="0.25">
      <c r="A336" s="14" t="str">
        <f t="shared" si="109"/>
        <v>PROP_OPER__4</v>
      </c>
      <c r="B336" s="15" t="str">
        <f t="shared" si="110"/>
        <v>PROP_OPER__1029_1</v>
      </c>
      <c r="D336" s="15">
        <v>1</v>
      </c>
      <c r="E336" s="15">
        <v>4</v>
      </c>
      <c r="F336" s="190">
        <f t="shared" si="111"/>
        <v>1029</v>
      </c>
      <c r="G336" s="149" t="str">
        <f t="shared" si="111"/>
        <v xml:space="preserve">APLICAÇÃO MISTA CORREÇÃO SOLO </v>
      </c>
      <c r="H336" s="150" t="str">
        <f t="shared" si="111"/>
        <v>HA</v>
      </c>
      <c r="I336" s="150" t="str">
        <f t="shared" si="111"/>
        <v>PREPSP</v>
      </c>
      <c r="J336" s="150">
        <f t="shared" si="111"/>
        <v>1</v>
      </c>
      <c r="K336" s="196"/>
      <c r="L336" s="197"/>
      <c r="M336" s="191">
        <f t="shared" si="112"/>
        <v>0</v>
      </c>
      <c r="N336" s="150">
        <f t="shared" si="112"/>
        <v>0</v>
      </c>
      <c r="O336" s="193">
        <f t="shared" si="112"/>
        <v>1</v>
      </c>
      <c r="P336" s="162">
        <f t="shared" si="113"/>
        <v>0</v>
      </c>
      <c r="Q336" s="162">
        <f t="shared" si="113"/>
        <v>0</v>
      </c>
      <c r="R336" s="162">
        <f t="shared" si="113"/>
        <v>0</v>
      </c>
      <c r="S336" s="162">
        <f t="shared" si="113"/>
        <v>0</v>
      </c>
      <c r="T336" s="162">
        <f t="shared" si="113"/>
        <v>0</v>
      </c>
      <c r="U336" s="162">
        <f t="shared" si="113"/>
        <v>0</v>
      </c>
      <c r="V336" s="162">
        <f t="shared" si="113"/>
        <v>0</v>
      </c>
      <c r="W336" s="162">
        <f t="shared" si="113"/>
        <v>0</v>
      </c>
      <c r="X336" s="162">
        <f t="shared" si="113"/>
        <v>0</v>
      </c>
      <c r="Y336" s="162">
        <f t="shared" si="113"/>
        <v>0</v>
      </c>
      <c r="Z336" s="162">
        <f t="shared" si="113"/>
        <v>0</v>
      </c>
      <c r="AA336" s="162">
        <f t="shared" si="113"/>
        <v>0</v>
      </c>
      <c r="AB336" s="163">
        <f t="shared" si="114"/>
        <v>0</v>
      </c>
      <c r="AC336" s="159"/>
      <c r="AE336" s="194" t="e">
        <f>IF(J336=0,"",VLOOKUP(J336,#REF!,2,0)&amp;" - "&amp;J336&amp;" ("&amp;F336&amp;" - "&amp;G336&amp;")")</f>
        <v>#REF!</v>
      </c>
      <c r="AF336" s="161">
        <f t="shared" si="115"/>
        <v>0</v>
      </c>
      <c r="AG336" s="162">
        <f t="shared" si="115"/>
        <v>0</v>
      </c>
      <c r="AH336" s="162">
        <f t="shared" si="115"/>
        <v>0</v>
      </c>
      <c r="AI336" s="162">
        <f t="shared" si="115"/>
        <v>0</v>
      </c>
      <c r="AJ336" s="162">
        <f t="shared" si="115"/>
        <v>0</v>
      </c>
      <c r="AK336" s="162">
        <f t="shared" si="115"/>
        <v>0</v>
      </c>
      <c r="AL336" s="162">
        <f t="shared" si="115"/>
        <v>0</v>
      </c>
      <c r="AM336" s="162">
        <f t="shared" si="115"/>
        <v>0</v>
      </c>
      <c r="AN336" s="162">
        <f t="shared" si="115"/>
        <v>0</v>
      </c>
      <c r="AO336" s="162">
        <f t="shared" si="115"/>
        <v>0</v>
      </c>
      <c r="AP336" s="162">
        <f t="shared" si="115"/>
        <v>0</v>
      </c>
      <c r="AQ336" s="162">
        <f t="shared" si="115"/>
        <v>0</v>
      </c>
      <c r="AR336" s="163">
        <f t="shared" si="116"/>
        <v>0</v>
      </c>
      <c r="AT336" s="208">
        <f>IFERROR(VLOOKUP(J336,#REF!,10,0),0)</f>
        <v>0</v>
      </c>
    </row>
    <row r="337" spans="1:46" hidden="1" outlineLevel="1" x14ac:dyDescent="0.25">
      <c r="A337" s="14" t="str">
        <f t="shared" si="109"/>
        <v>PROP_OPER__5</v>
      </c>
      <c r="B337" s="15" t="str">
        <f t="shared" si="110"/>
        <v>PROP_OPER__0_0</v>
      </c>
      <c r="D337" s="15">
        <v>1</v>
      </c>
      <c r="E337" s="15">
        <v>5</v>
      </c>
      <c r="F337" s="190">
        <f t="shared" si="111"/>
        <v>0</v>
      </c>
      <c r="G337" s="149" t="str">
        <f t="shared" si="111"/>
        <v/>
      </c>
      <c r="H337" s="150" t="str">
        <f t="shared" si="111"/>
        <v/>
      </c>
      <c r="I337" s="150">
        <f t="shared" si="111"/>
        <v>0</v>
      </c>
      <c r="J337" s="150">
        <f t="shared" si="111"/>
        <v>0</v>
      </c>
      <c r="K337" s="196"/>
      <c r="L337" s="197"/>
      <c r="M337" s="191">
        <f t="shared" si="112"/>
        <v>0</v>
      </c>
      <c r="N337" s="150">
        <f t="shared" si="112"/>
        <v>0</v>
      </c>
      <c r="O337" s="193">
        <f t="shared" si="112"/>
        <v>0</v>
      </c>
      <c r="P337" s="162">
        <f t="shared" si="113"/>
        <v>0</v>
      </c>
      <c r="Q337" s="162">
        <f t="shared" si="113"/>
        <v>0</v>
      </c>
      <c r="R337" s="162">
        <f t="shared" si="113"/>
        <v>0</v>
      </c>
      <c r="S337" s="162">
        <f t="shared" si="113"/>
        <v>0</v>
      </c>
      <c r="T337" s="162">
        <f t="shared" si="113"/>
        <v>0</v>
      </c>
      <c r="U337" s="162">
        <f t="shared" si="113"/>
        <v>0</v>
      </c>
      <c r="V337" s="162">
        <f t="shared" si="113"/>
        <v>0</v>
      </c>
      <c r="W337" s="162">
        <f t="shared" si="113"/>
        <v>0</v>
      </c>
      <c r="X337" s="162">
        <f t="shared" si="113"/>
        <v>0</v>
      </c>
      <c r="Y337" s="162">
        <f t="shared" si="113"/>
        <v>0</v>
      </c>
      <c r="Z337" s="162">
        <f t="shared" si="113"/>
        <v>0</v>
      </c>
      <c r="AA337" s="162">
        <f t="shared" si="113"/>
        <v>0</v>
      </c>
      <c r="AB337" s="163">
        <f t="shared" si="114"/>
        <v>0</v>
      </c>
      <c r="AC337" s="159"/>
      <c r="AE337" s="194" t="str">
        <f>IF(J337=0,"",VLOOKUP(J337,#REF!,2,0)&amp;" - "&amp;J337&amp;" ("&amp;F337&amp;" - "&amp;G337&amp;")")</f>
        <v/>
      </c>
      <c r="AF337" s="161">
        <f t="shared" si="115"/>
        <v>0</v>
      </c>
      <c r="AG337" s="162">
        <f t="shared" si="115"/>
        <v>0</v>
      </c>
      <c r="AH337" s="162">
        <f t="shared" si="115"/>
        <v>0</v>
      </c>
      <c r="AI337" s="162">
        <f t="shared" si="115"/>
        <v>0</v>
      </c>
      <c r="AJ337" s="162">
        <f t="shared" si="115"/>
        <v>0</v>
      </c>
      <c r="AK337" s="162">
        <f t="shared" si="115"/>
        <v>0</v>
      </c>
      <c r="AL337" s="162">
        <f t="shared" si="115"/>
        <v>0</v>
      </c>
      <c r="AM337" s="162">
        <f t="shared" si="115"/>
        <v>0</v>
      </c>
      <c r="AN337" s="162">
        <f t="shared" si="115"/>
        <v>0</v>
      </c>
      <c r="AO337" s="162">
        <f t="shared" si="115"/>
        <v>0</v>
      </c>
      <c r="AP337" s="162">
        <f t="shared" si="115"/>
        <v>0</v>
      </c>
      <c r="AQ337" s="162">
        <f t="shared" si="115"/>
        <v>0</v>
      </c>
      <c r="AR337" s="163">
        <f t="shared" si="116"/>
        <v>0</v>
      </c>
      <c r="AT337" s="208">
        <f>IFERROR(VLOOKUP(J337,#REF!,10,0),0)</f>
        <v>0</v>
      </c>
    </row>
    <row r="338" spans="1:46" hidden="1" outlineLevel="1" x14ac:dyDescent="0.25">
      <c r="A338" s="14" t="str">
        <f t="shared" si="109"/>
        <v>PROP_OPER__6</v>
      </c>
      <c r="B338" s="15" t="str">
        <f t="shared" si="110"/>
        <v>PROP_OPER__0_0</v>
      </c>
      <c r="D338" s="15">
        <v>1</v>
      </c>
      <c r="E338" s="15">
        <v>6</v>
      </c>
      <c r="F338" s="190">
        <f t="shared" si="111"/>
        <v>0</v>
      </c>
      <c r="G338" s="149" t="str">
        <f t="shared" si="111"/>
        <v/>
      </c>
      <c r="H338" s="150" t="str">
        <f t="shared" si="111"/>
        <v/>
      </c>
      <c r="I338" s="150">
        <f t="shared" si="111"/>
        <v>0</v>
      </c>
      <c r="J338" s="150">
        <f t="shared" si="111"/>
        <v>0</v>
      </c>
      <c r="K338" s="196"/>
      <c r="L338" s="197"/>
      <c r="M338" s="191">
        <f t="shared" si="112"/>
        <v>0</v>
      </c>
      <c r="N338" s="150">
        <f t="shared" si="112"/>
        <v>0</v>
      </c>
      <c r="O338" s="193">
        <f t="shared" si="112"/>
        <v>0</v>
      </c>
      <c r="P338" s="162">
        <f t="shared" si="113"/>
        <v>0</v>
      </c>
      <c r="Q338" s="162">
        <f t="shared" si="113"/>
        <v>0</v>
      </c>
      <c r="R338" s="162">
        <f t="shared" si="113"/>
        <v>0</v>
      </c>
      <c r="S338" s="162">
        <f t="shared" si="113"/>
        <v>0</v>
      </c>
      <c r="T338" s="162">
        <f t="shared" si="113"/>
        <v>0</v>
      </c>
      <c r="U338" s="162">
        <f t="shared" si="113"/>
        <v>0</v>
      </c>
      <c r="V338" s="162">
        <f t="shared" si="113"/>
        <v>0</v>
      </c>
      <c r="W338" s="162">
        <f t="shared" si="113"/>
        <v>0</v>
      </c>
      <c r="X338" s="162">
        <f t="shared" si="113"/>
        <v>0</v>
      </c>
      <c r="Y338" s="162">
        <f t="shared" si="113"/>
        <v>0</v>
      </c>
      <c r="Z338" s="162">
        <f t="shared" si="113"/>
        <v>0</v>
      </c>
      <c r="AA338" s="162">
        <f t="shared" si="113"/>
        <v>0</v>
      </c>
      <c r="AB338" s="163">
        <f t="shared" si="114"/>
        <v>0</v>
      </c>
      <c r="AC338" s="159"/>
      <c r="AE338" s="194" t="str">
        <f>IF(J338=0,"",VLOOKUP(J338,#REF!,2,0)&amp;" - "&amp;J338&amp;" ("&amp;F338&amp;" - "&amp;G338&amp;")")</f>
        <v/>
      </c>
      <c r="AF338" s="161">
        <f t="shared" si="115"/>
        <v>0</v>
      </c>
      <c r="AG338" s="162">
        <f t="shared" si="115"/>
        <v>0</v>
      </c>
      <c r="AH338" s="162">
        <f t="shared" si="115"/>
        <v>0</v>
      </c>
      <c r="AI338" s="162">
        <f t="shared" si="115"/>
        <v>0</v>
      </c>
      <c r="AJ338" s="162">
        <f t="shared" si="115"/>
        <v>0</v>
      </c>
      <c r="AK338" s="162">
        <f t="shared" si="115"/>
        <v>0</v>
      </c>
      <c r="AL338" s="162">
        <f t="shared" si="115"/>
        <v>0</v>
      </c>
      <c r="AM338" s="162">
        <f t="shared" si="115"/>
        <v>0</v>
      </c>
      <c r="AN338" s="162">
        <f t="shared" si="115"/>
        <v>0</v>
      </c>
      <c r="AO338" s="162">
        <f t="shared" si="115"/>
        <v>0</v>
      </c>
      <c r="AP338" s="162">
        <f t="shared" si="115"/>
        <v>0</v>
      </c>
      <c r="AQ338" s="162">
        <f t="shared" si="115"/>
        <v>0</v>
      </c>
      <c r="AR338" s="163">
        <f t="shared" si="116"/>
        <v>0</v>
      </c>
      <c r="AT338" s="208">
        <f>IFERROR(VLOOKUP(J338,#REF!,10,0),0)</f>
        <v>0</v>
      </c>
    </row>
    <row r="339" spans="1:46" hidden="1" outlineLevel="1" x14ac:dyDescent="0.25">
      <c r="A339" s="14" t="str">
        <f t="shared" si="109"/>
        <v>PROP_OPER__7</v>
      </c>
      <c r="B339" s="15" t="str">
        <f t="shared" si="110"/>
        <v>PROP_OPER__1013_1</v>
      </c>
      <c r="D339" s="15">
        <v>1</v>
      </c>
      <c r="E339" s="15">
        <v>7</v>
      </c>
      <c r="F339" s="190">
        <f t="shared" si="111"/>
        <v>1013</v>
      </c>
      <c r="G339" s="149" t="str">
        <f t="shared" si="111"/>
        <v>GRADAGEM ARADORA</v>
      </c>
      <c r="H339" s="150" t="str">
        <f t="shared" si="111"/>
        <v>HA</v>
      </c>
      <c r="I339" s="150" t="str">
        <f t="shared" si="111"/>
        <v>PREPSP</v>
      </c>
      <c r="J339" s="150">
        <f t="shared" si="111"/>
        <v>1</v>
      </c>
      <c r="K339" s="196"/>
      <c r="L339" s="197"/>
      <c r="M339" s="191">
        <f t="shared" si="112"/>
        <v>0</v>
      </c>
      <c r="N339" s="150">
        <f t="shared" si="112"/>
        <v>0</v>
      </c>
      <c r="O339" s="193">
        <f t="shared" si="112"/>
        <v>1</v>
      </c>
      <c r="P339" s="162">
        <f t="shared" si="113"/>
        <v>0</v>
      </c>
      <c r="Q339" s="162">
        <f t="shared" si="113"/>
        <v>0</v>
      </c>
      <c r="R339" s="162">
        <f t="shared" si="113"/>
        <v>0</v>
      </c>
      <c r="S339" s="162">
        <f t="shared" si="113"/>
        <v>0</v>
      </c>
      <c r="T339" s="162">
        <f t="shared" si="113"/>
        <v>0</v>
      </c>
      <c r="U339" s="162">
        <f t="shared" si="113"/>
        <v>0</v>
      </c>
      <c r="V339" s="162">
        <f t="shared" si="113"/>
        <v>0</v>
      </c>
      <c r="W339" s="162">
        <f t="shared" si="113"/>
        <v>0</v>
      </c>
      <c r="X339" s="162">
        <f t="shared" si="113"/>
        <v>0</v>
      </c>
      <c r="Y339" s="162">
        <f t="shared" si="113"/>
        <v>0</v>
      </c>
      <c r="Z339" s="162">
        <f t="shared" si="113"/>
        <v>0</v>
      </c>
      <c r="AA339" s="162">
        <f t="shared" si="113"/>
        <v>0</v>
      </c>
      <c r="AB339" s="163">
        <f t="shared" si="114"/>
        <v>0</v>
      </c>
      <c r="AC339" s="159"/>
      <c r="AE339" s="194" t="e">
        <f>IF(J339=0,"",VLOOKUP(J339,#REF!,2,0)&amp;" - "&amp;J339&amp;" ("&amp;F339&amp;" - "&amp;G339&amp;")")</f>
        <v>#REF!</v>
      </c>
      <c r="AF339" s="161">
        <f t="shared" si="115"/>
        <v>0</v>
      </c>
      <c r="AG339" s="162">
        <f t="shared" si="115"/>
        <v>0</v>
      </c>
      <c r="AH339" s="162">
        <f t="shared" si="115"/>
        <v>0</v>
      </c>
      <c r="AI339" s="162">
        <f t="shared" si="115"/>
        <v>0</v>
      </c>
      <c r="AJ339" s="162">
        <f t="shared" si="115"/>
        <v>0</v>
      </c>
      <c r="AK339" s="162">
        <f t="shared" si="115"/>
        <v>0</v>
      </c>
      <c r="AL339" s="162">
        <f t="shared" si="115"/>
        <v>0</v>
      </c>
      <c r="AM339" s="162">
        <f t="shared" si="115"/>
        <v>0</v>
      </c>
      <c r="AN339" s="162">
        <f t="shared" si="115"/>
        <v>0</v>
      </c>
      <c r="AO339" s="162">
        <f t="shared" si="115"/>
        <v>0</v>
      </c>
      <c r="AP339" s="162">
        <f t="shared" si="115"/>
        <v>0</v>
      </c>
      <c r="AQ339" s="162">
        <f t="shared" si="115"/>
        <v>0</v>
      </c>
      <c r="AR339" s="163">
        <f t="shared" si="116"/>
        <v>0</v>
      </c>
      <c r="AT339" s="208">
        <f>IFERROR(VLOOKUP(J339,#REF!,10,0),0)</f>
        <v>0</v>
      </c>
    </row>
    <row r="340" spans="1:46" hidden="1" outlineLevel="1" x14ac:dyDescent="0.25">
      <c r="A340" s="14" t="str">
        <f t="shared" si="109"/>
        <v>PROP_OPER__8</v>
      </c>
      <c r="B340" s="15" t="str">
        <f t="shared" si="110"/>
        <v>PROP_OPER__1014_1</v>
      </c>
      <c r="D340" s="15">
        <v>1</v>
      </c>
      <c r="E340" s="15">
        <v>8</v>
      </c>
      <c r="F340" s="190">
        <f t="shared" si="111"/>
        <v>1014</v>
      </c>
      <c r="G340" s="149" t="str">
        <f t="shared" si="111"/>
        <v>GRADAGEM INTERMEDIÁRIA</v>
      </c>
      <c r="H340" s="150" t="str">
        <f t="shared" si="111"/>
        <v>HA</v>
      </c>
      <c r="I340" s="150" t="str">
        <f t="shared" si="111"/>
        <v>PREPSP</v>
      </c>
      <c r="J340" s="150">
        <f t="shared" si="111"/>
        <v>1</v>
      </c>
      <c r="K340" s="196"/>
      <c r="L340" s="197"/>
      <c r="M340" s="191">
        <f t="shared" si="112"/>
        <v>0</v>
      </c>
      <c r="N340" s="150">
        <f t="shared" si="112"/>
        <v>0</v>
      </c>
      <c r="O340" s="193">
        <f t="shared" si="112"/>
        <v>1</v>
      </c>
      <c r="P340" s="162">
        <f t="shared" si="113"/>
        <v>0</v>
      </c>
      <c r="Q340" s="162">
        <f t="shared" si="113"/>
        <v>0</v>
      </c>
      <c r="R340" s="162">
        <f t="shared" si="113"/>
        <v>0</v>
      </c>
      <c r="S340" s="162">
        <f t="shared" si="113"/>
        <v>0</v>
      </c>
      <c r="T340" s="162">
        <f t="shared" si="113"/>
        <v>0</v>
      </c>
      <c r="U340" s="162">
        <f t="shared" si="113"/>
        <v>0</v>
      </c>
      <c r="V340" s="162">
        <f t="shared" si="113"/>
        <v>0</v>
      </c>
      <c r="W340" s="162">
        <f t="shared" si="113"/>
        <v>0</v>
      </c>
      <c r="X340" s="162">
        <f t="shared" si="113"/>
        <v>0</v>
      </c>
      <c r="Y340" s="162">
        <f t="shared" si="113"/>
        <v>0</v>
      </c>
      <c r="Z340" s="162">
        <f t="shared" si="113"/>
        <v>0</v>
      </c>
      <c r="AA340" s="162">
        <f t="shared" si="113"/>
        <v>0</v>
      </c>
      <c r="AB340" s="163">
        <f t="shared" si="114"/>
        <v>0</v>
      </c>
      <c r="AC340" s="159"/>
      <c r="AE340" s="194" t="e">
        <f>IF(J340=0,"",VLOOKUP(J340,#REF!,2,0)&amp;" - "&amp;J340&amp;" ("&amp;F340&amp;" - "&amp;G340&amp;")")</f>
        <v>#REF!</v>
      </c>
      <c r="AF340" s="161">
        <f t="shared" si="115"/>
        <v>0</v>
      </c>
      <c r="AG340" s="162">
        <f t="shared" si="115"/>
        <v>0</v>
      </c>
      <c r="AH340" s="162">
        <f t="shared" si="115"/>
        <v>0</v>
      </c>
      <c r="AI340" s="162">
        <f t="shared" si="115"/>
        <v>0</v>
      </c>
      <c r="AJ340" s="162">
        <f t="shared" si="115"/>
        <v>0</v>
      </c>
      <c r="AK340" s="162">
        <f t="shared" si="115"/>
        <v>0</v>
      </c>
      <c r="AL340" s="162">
        <f t="shared" si="115"/>
        <v>0</v>
      </c>
      <c r="AM340" s="162">
        <f t="shared" si="115"/>
        <v>0</v>
      </c>
      <c r="AN340" s="162">
        <f t="shared" si="115"/>
        <v>0</v>
      </c>
      <c r="AO340" s="162">
        <f t="shared" si="115"/>
        <v>0</v>
      </c>
      <c r="AP340" s="162">
        <f t="shared" si="115"/>
        <v>0</v>
      </c>
      <c r="AQ340" s="162">
        <f t="shared" si="115"/>
        <v>0</v>
      </c>
      <c r="AR340" s="163">
        <f t="shared" si="116"/>
        <v>0</v>
      </c>
      <c r="AT340" s="208">
        <f>IFERROR(VLOOKUP(J340,#REF!,10,0),0)</f>
        <v>0</v>
      </c>
    </row>
    <row r="341" spans="1:46" hidden="1" outlineLevel="1" x14ac:dyDescent="0.25">
      <c r="A341" s="14" t="str">
        <f t="shared" si="109"/>
        <v>PROP_OPER__9</v>
      </c>
      <c r="B341" s="15" t="str">
        <f t="shared" si="110"/>
        <v>PROP_OPER__1015_1</v>
      </c>
      <c r="D341" s="15">
        <v>1</v>
      </c>
      <c r="E341" s="15">
        <v>9</v>
      </c>
      <c r="F341" s="190">
        <f t="shared" si="111"/>
        <v>1015</v>
      </c>
      <c r="G341" s="149" t="str">
        <f t="shared" si="111"/>
        <v>GRADAGEM NIVELADORA</v>
      </c>
      <c r="H341" s="150" t="str">
        <f t="shared" si="111"/>
        <v>HA</v>
      </c>
      <c r="I341" s="150" t="str">
        <f t="shared" si="111"/>
        <v>PREPSP</v>
      </c>
      <c r="J341" s="150">
        <f t="shared" si="111"/>
        <v>1</v>
      </c>
      <c r="K341" s="196"/>
      <c r="L341" s="197"/>
      <c r="M341" s="191">
        <f t="shared" si="112"/>
        <v>0</v>
      </c>
      <c r="N341" s="150">
        <f t="shared" si="112"/>
        <v>0</v>
      </c>
      <c r="O341" s="193">
        <f t="shared" si="112"/>
        <v>1</v>
      </c>
      <c r="P341" s="162">
        <f t="shared" si="113"/>
        <v>0</v>
      </c>
      <c r="Q341" s="162">
        <f t="shared" si="113"/>
        <v>0</v>
      </c>
      <c r="R341" s="162">
        <f t="shared" si="113"/>
        <v>0</v>
      </c>
      <c r="S341" s="162">
        <f t="shared" si="113"/>
        <v>0</v>
      </c>
      <c r="T341" s="162">
        <f t="shared" si="113"/>
        <v>0</v>
      </c>
      <c r="U341" s="162">
        <f t="shared" si="113"/>
        <v>0</v>
      </c>
      <c r="V341" s="162">
        <f t="shared" si="113"/>
        <v>0</v>
      </c>
      <c r="W341" s="162">
        <f t="shared" si="113"/>
        <v>0</v>
      </c>
      <c r="X341" s="162">
        <f t="shared" si="113"/>
        <v>0</v>
      </c>
      <c r="Y341" s="162">
        <f t="shared" si="113"/>
        <v>0</v>
      </c>
      <c r="Z341" s="162">
        <f t="shared" si="113"/>
        <v>0</v>
      </c>
      <c r="AA341" s="162">
        <f t="shared" si="113"/>
        <v>0</v>
      </c>
      <c r="AB341" s="163">
        <f t="shared" si="114"/>
        <v>0</v>
      </c>
      <c r="AC341" s="159"/>
      <c r="AE341" s="194" t="e">
        <f>IF(J341=0,"",VLOOKUP(J341,#REF!,2,0)&amp;" - "&amp;J341&amp;" ("&amp;F341&amp;" - "&amp;G341&amp;")")</f>
        <v>#REF!</v>
      </c>
      <c r="AF341" s="161">
        <f t="shared" si="115"/>
        <v>0</v>
      </c>
      <c r="AG341" s="162">
        <f t="shared" si="115"/>
        <v>0</v>
      </c>
      <c r="AH341" s="162">
        <f t="shared" si="115"/>
        <v>0</v>
      </c>
      <c r="AI341" s="162">
        <f t="shared" si="115"/>
        <v>0</v>
      </c>
      <c r="AJ341" s="162">
        <f t="shared" si="115"/>
        <v>0</v>
      </c>
      <c r="AK341" s="162">
        <f t="shared" si="115"/>
        <v>0</v>
      </c>
      <c r="AL341" s="162">
        <f t="shared" si="115"/>
        <v>0</v>
      </c>
      <c r="AM341" s="162">
        <f t="shared" si="115"/>
        <v>0</v>
      </c>
      <c r="AN341" s="162">
        <f t="shared" si="115"/>
        <v>0</v>
      </c>
      <c r="AO341" s="162">
        <f t="shared" si="115"/>
        <v>0</v>
      </c>
      <c r="AP341" s="162">
        <f t="shared" si="115"/>
        <v>0</v>
      </c>
      <c r="AQ341" s="162">
        <f t="shared" si="115"/>
        <v>0</v>
      </c>
      <c r="AR341" s="163">
        <f t="shared" si="116"/>
        <v>0</v>
      </c>
      <c r="AT341" s="208">
        <f>IFERROR(VLOOKUP(J341,#REF!,10,0),0)</f>
        <v>0</v>
      </c>
    </row>
    <row r="342" spans="1:46" hidden="1" outlineLevel="1" x14ac:dyDescent="0.25">
      <c r="A342" s="14" t="str">
        <f t="shared" si="109"/>
        <v>PROP_OPER__10</v>
      </c>
      <c r="B342" s="15" t="str">
        <f t="shared" si="110"/>
        <v>PROP_OPER__1016_1</v>
      </c>
      <c r="D342" s="15">
        <v>1</v>
      </c>
      <c r="E342" s="15">
        <v>10</v>
      </c>
      <c r="F342" s="190">
        <f t="shared" si="111"/>
        <v>1016</v>
      </c>
      <c r="G342" s="149" t="str">
        <f t="shared" si="111"/>
        <v>SUBSOLAGEM</v>
      </c>
      <c r="H342" s="150" t="str">
        <f t="shared" si="111"/>
        <v>HA</v>
      </c>
      <c r="I342" s="150" t="str">
        <f t="shared" si="111"/>
        <v>PREPSP</v>
      </c>
      <c r="J342" s="150">
        <f t="shared" si="111"/>
        <v>1</v>
      </c>
      <c r="K342" s="196"/>
      <c r="L342" s="197"/>
      <c r="M342" s="191">
        <f t="shared" si="112"/>
        <v>0</v>
      </c>
      <c r="N342" s="150">
        <f t="shared" si="112"/>
        <v>0</v>
      </c>
      <c r="O342" s="193">
        <f t="shared" si="112"/>
        <v>1</v>
      </c>
      <c r="P342" s="162">
        <f t="shared" si="113"/>
        <v>0</v>
      </c>
      <c r="Q342" s="162">
        <f t="shared" si="113"/>
        <v>0</v>
      </c>
      <c r="R342" s="162">
        <f t="shared" si="113"/>
        <v>0</v>
      </c>
      <c r="S342" s="162">
        <f t="shared" si="113"/>
        <v>0</v>
      </c>
      <c r="T342" s="162">
        <f t="shared" si="113"/>
        <v>0</v>
      </c>
      <c r="U342" s="162">
        <f t="shared" si="113"/>
        <v>0</v>
      </c>
      <c r="V342" s="162">
        <f t="shared" si="113"/>
        <v>0</v>
      </c>
      <c r="W342" s="162">
        <f t="shared" si="113"/>
        <v>0</v>
      </c>
      <c r="X342" s="162">
        <f t="shared" si="113"/>
        <v>0</v>
      </c>
      <c r="Y342" s="162">
        <f t="shared" si="113"/>
        <v>0</v>
      </c>
      <c r="Z342" s="162">
        <f t="shared" si="113"/>
        <v>0</v>
      </c>
      <c r="AA342" s="162">
        <f t="shared" si="113"/>
        <v>0</v>
      </c>
      <c r="AB342" s="163">
        <f t="shared" si="114"/>
        <v>0</v>
      </c>
      <c r="AC342" s="159"/>
      <c r="AE342" s="194" t="e">
        <f>IF(J342=0,"",VLOOKUP(J342,#REF!,2,0)&amp;" - "&amp;J342&amp;" ("&amp;F342&amp;" - "&amp;G342&amp;")")</f>
        <v>#REF!</v>
      </c>
      <c r="AF342" s="161">
        <f t="shared" si="115"/>
        <v>0</v>
      </c>
      <c r="AG342" s="162">
        <f t="shared" si="115"/>
        <v>0</v>
      </c>
      <c r="AH342" s="162">
        <f t="shared" si="115"/>
        <v>0</v>
      </c>
      <c r="AI342" s="162">
        <f t="shared" si="115"/>
        <v>0</v>
      </c>
      <c r="AJ342" s="162">
        <f t="shared" si="115"/>
        <v>0</v>
      </c>
      <c r="AK342" s="162">
        <f t="shared" si="115"/>
        <v>0</v>
      </c>
      <c r="AL342" s="162">
        <f t="shared" si="115"/>
        <v>0</v>
      </c>
      <c r="AM342" s="162">
        <f t="shared" si="115"/>
        <v>0</v>
      </c>
      <c r="AN342" s="162">
        <f t="shared" si="115"/>
        <v>0</v>
      </c>
      <c r="AO342" s="162">
        <f t="shared" si="115"/>
        <v>0</v>
      </c>
      <c r="AP342" s="162">
        <f t="shared" si="115"/>
        <v>0</v>
      </c>
      <c r="AQ342" s="162">
        <f t="shared" si="115"/>
        <v>0</v>
      </c>
      <c r="AR342" s="163">
        <f t="shared" si="116"/>
        <v>0</v>
      </c>
      <c r="AT342" s="208">
        <f>IFERROR(VLOOKUP(J342,#REF!,10,0),0)</f>
        <v>0</v>
      </c>
    </row>
    <row r="343" spans="1:46" hidden="1" outlineLevel="1" x14ac:dyDescent="0.25">
      <c r="A343" s="14" t="str">
        <f t="shared" si="109"/>
        <v>PROP_OPER__11</v>
      </c>
      <c r="B343" s="15" t="str">
        <f t="shared" si="110"/>
        <v>PROP_OPER__1019_1</v>
      </c>
      <c r="D343" s="15">
        <v>1</v>
      </c>
      <c r="E343" s="15">
        <v>11</v>
      </c>
      <c r="F343" s="190">
        <f t="shared" si="111"/>
        <v>1019</v>
      </c>
      <c r="G343" s="149" t="str">
        <f t="shared" si="111"/>
        <v>DESTRUIÇÃO DE SOQUEIRA / SPH</v>
      </c>
      <c r="H343" s="150" t="str">
        <f t="shared" si="111"/>
        <v>HA</v>
      </c>
      <c r="I343" s="150" t="str">
        <f t="shared" si="111"/>
        <v>PREPSP</v>
      </c>
      <c r="J343" s="150">
        <f t="shared" si="111"/>
        <v>1</v>
      </c>
      <c r="K343" s="196"/>
      <c r="L343" s="197"/>
      <c r="M343" s="191">
        <f t="shared" si="112"/>
        <v>0</v>
      </c>
      <c r="N343" s="150">
        <f t="shared" si="112"/>
        <v>0</v>
      </c>
      <c r="O343" s="193">
        <f t="shared" si="112"/>
        <v>1</v>
      </c>
      <c r="P343" s="162">
        <f t="shared" si="113"/>
        <v>0</v>
      </c>
      <c r="Q343" s="162">
        <f t="shared" si="113"/>
        <v>0</v>
      </c>
      <c r="R343" s="162">
        <f t="shared" si="113"/>
        <v>0</v>
      </c>
      <c r="S343" s="162">
        <f t="shared" si="113"/>
        <v>0</v>
      </c>
      <c r="T343" s="162">
        <f t="shared" si="113"/>
        <v>0</v>
      </c>
      <c r="U343" s="162">
        <f t="shared" si="113"/>
        <v>0</v>
      </c>
      <c r="V343" s="162">
        <f t="shared" si="113"/>
        <v>0</v>
      </c>
      <c r="W343" s="162">
        <f t="shared" si="113"/>
        <v>0</v>
      </c>
      <c r="X343" s="162">
        <f t="shared" si="113"/>
        <v>0</v>
      </c>
      <c r="Y343" s="162">
        <f t="shared" si="113"/>
        <v>0</v>
      </c>
      <c r="Z343" s="162">
        <f t="shared" si="113"/>
        <v>0</v>
      </c>
      <c r="AA343" s="162">
        <f t="shared" si="113"/>
        <v>0</v>
      </c>
      <c r="AB343" s="163">
        <f t="shared" si="114"/>
        <v>0</v>
      </c>
      <c r="AC343" s="198"/>
      <c r="AE343" s="194" t="e">
        <f>IF(J343=0,"",VLOOKUP(J343,#REF!,2,0)&amp;" - "&amp;J343&amp;" ("&amp;F343&amp;" - "&amp;G343&amp;")")</f>
        <v>#REF!</v>
      </c>
      <c r="AF343" s="161">
        <f t="shared" si="115"/>
        <v>0</v>
      </c>
      <c r="AG343" s="162">
        <f t="shared" si="115"/>
        <v>0</v>
      </c>
      <c r="AH343" s="162">
        <f t="shared" si="115"/>
        <v>0</v>
      </c>
      <c r="AI343" s="162">
        <f t="shared" si="115"/>
        <v>0</v>
      </c>
      <c r="AJ343" s="162">
        <f t="shared" si="115"/>
        <v>0</v>
      </c>
      <c r="AK343" s="162">
        <f t="shared" si="115"/>
        <v>0</v>
      </c>
      <c r="AL343" s="162">
        <f t="shared" si="115"/>
        <v>0</v>
      </c>
      <c r="AM343" s="162">
        <f t="shared" si="115"/>
        <v>0</v>
      </c>
      <c r="AN343" s="162">
        <f t="shared" si="115"/>
        <v>0</v>
      </c>
      <c r="AO343" s="162">
        <f t="shared" si="115"/>
        <v>0</v>
      </c>
      <c r="AP343" s="162">
        <f t="shared" si="115"/>
        <v>0</v>
      </c>
      <c r="AQ343" s="162">
        <f t="shared" si="115"/>
        <v>0</v>
      </c>
      <c r="AR343" s="163">
        <f t="shared" si="116"/>
        <v>0</v>
      </c>
      <c r="AT343" s="208">
        <f>IFERROR(VLOOKUP(J343,#REF!,10,0),0)</f>
        <v>0</v>
      </c>
    </row>
    <row r="344" spans="1:46" hidden="1" outlineLevel="1" x14ac:dyDescent="0.25">
      <c r="A344" s="14" t="str">
        <f t="shared" si="109"/>
        <v>PROP_OPER__12</v>
      </c>
      <c r="B344" s="15" t="str">
        <f t="shared" si="110"/>
        <v>PROP_OPER__1081_1</v>
      </c>
      <c r="D344" s="15">
        <v>1</v>
      </c>
      <c r="E344" s="15">
        <v>12</v>
      </c>
      <c r="F344" s="190">
        <f t="shared" si="111"/>
        <v>1081</v>
      </c>
      <c r="G344" s="149" t="str">
        <f t="shared" si="111"/>
        <v xml:space="preserve">Canterizador De Cana          </v>
      </c>
      <c r="H344" s="150" t="str">
        <f t="shared" si="111"/>
        <v>HA</v>
      </c>
      <c r="I344" s="150" t="str">
        <f t="shared" si="111"/>
        <v>PREPSP</v>
      </c>
      <c r="J344" s="150">
        <f t="shared" si="111"/>
        <v>1</v>
      </c>
      <c r="K344" s="196"/>
      <c r="L344" s="197"/>
      <c r="M344" s="191">
        <f t="shared" si="112"/>
        <v>0</v>
      </c>
      <c r="N344" s="150">
        <f t="shared" si="112"/>
        <v>0</v>
      </c>
      <c r="O344" s="193">
        <f t="shared" si="112"/>
        <v>1</v>
      </c>
      <c r="P344" s="162">
        <f t="shared" si="113"/>
        <v>0</v>
      </c>
      <c r="Q344" s="162">
        <f t="shared" si="113"/>
        <v>0</v>
      </c>
      <c r="R344" s="162">
        <f t="shared" si="113"/>
        <v>0</v>
      </c>
      <c r="S344" s="162">
        <f t="shared" si="113"/>
        <v>0</v>
      </c>
      <c r="T344" s="162">
        <f t="shared" si="113"/>
        <v>0</v>
      </c>
      <c r="U344" s="162">
        <f t="shared" si="113"/>
        <v>0</v>
      </c>
      <c r="V344" s="162">
        <f t="shared" si="113"/>
        <v>0</v>
      </c>
      <c r="W344" s="162">
        <f t="shared" si="113"/>
        <v>0</v>
      </c>
      <c r="X344" s="162">
        <f t="shared" si="113"/>
        <v>0</v>
      </c>
      <c r="Y344" s="162">
        <f t="shared" si="113"/>
        <v>0</v>
      </c>
      <c r="Z344" s="162">
        <f t="shared" si="113"/>
        <v>0</v>
      </c>
      <c r="AA344" s="162">
        <f t="shared" si="113"/>
        <v>0</v>
      </c>
      <c r="AB344" s="163">
        <f t="shared" si="114"/>
        <v>0</v>
      </c>
      <c r="AC344" s="198"/>
      <c r="AE344" s="194" t="e">
        <f>IF(J344=0,"",VLOOKUP(J344,#REF!,2,0)&amp;" - "&amp;J344&amp;" ("&amp;F344&amp;" - "&amp;G344&amp;")")</f>
        <v>#REF!</v>
      </c>
      <c r="AF344" s="161">
        <f t="shared" si="115"/>
        <v>0</v>
      </c>
      <c r="AG344" s="162">
        <f t="shared" si="115"/>
        <v>0</v>
      </c>
      <c r="AH344" s="162">
        <f t="shared" si="115"/>
        <v>0</v>
      </c>
      <c r="AI344" s="162">
        <f t="shared" si="115"/>
        <v>0</v>
      </c>
      <c r="AJ344" s="162">
        <f t="shared" si="115"/>
        <v>0</v>
      </c>
      <c r="AK344" s="162">
        <f t="shared" si="115"/>
        <v>0</v>
      </c>
      <c r="AL344" s="162">
        <f t="shared" si="115"/>
        <v>0</v>
      </c>
      <c r="AM344" s="162">
        <f t="shared" si="115"/>
        <v>0</v>
      </c>
      <c r="AN344" s="162">
        <f t="shared" si="115"/>
        <v>0</v>
      </c>
      <c r="AO344" s="162">
        <f t="shared" si="115"/>
        <v>0</v>
      </c>
      <c r="AP344" s="162">
        <f t="shared" si="115"/>
        <v>0</v>
      </c>
      <c r="AQ344" s="162">
        <f t="shared" si="115"/>
        <v>0</v>
      </c>
      <c r="AR344" s="163">
        <f t="shared" si="116"/>
        <v>0</v>
      </c>
      <c r="AT344" s="208">
        <f>IFERROR(VLOOKUP(J344,#REF!,10,0),0)</f>
        <v>0</v>
      </c>
    </row>
    <row r="345" spans="1:46" hidden="1" outlineLevel="1" x14ac:dyDescent="0.25">
      <c r="A345" s="14" t="str">
        <f t="shared" si="109"/>
        <v>PROP_OPER__13</v>
      </c>
      <c r="B345" s="15" t="str">
        <f t="shared" si="110"/>
        <v>PROP_OPER__1071_0</v>
      </c>
      <c r="D345" s="15">
        <v>1</v>
      </c>
      <c r="E345" s="15">
        <v>13</v>
      </c>
      <c r="F345" s="190">
        <f t="shared" si="111"/>
        <v>1071</v>
      </c>
      <c r="G345" s="149" t="str">
        <f t="shared" si="111"/>
        <v/>
      </c>
      <c r="H345" s="150" t="str">
        <f t="shared" si="111"/>
        <v/>
      </c>
      <c r="I345" s="150" t="str">
        <f t="shared" si="111"/>
        <v>PREPSP</v>
      </c>
      <c r="J345" s="150">
        <f t="shared" si="111"/>
        <v>0</v>
      </c>
      <c r="K345" s="196"/>
      <c r="L345" s="197"/>
      <c r="M345" s="191">
        <f t="shared" si="112"/>
        <v>0</v>
      </c>
      <c r="N345" s="150">
        <f t="shared" si="112"/>
        <v>0</v>
      </c>
      <c r="O345" s="193">
        <f t="shared" si="112"/>
        <v>1</v>
      </c>
      <c r="P345" s="162">
        <f t="shared" si="113"/>
        <v>0</v>
      </c>
      <c r="Q345" s="162">
        <f t="shared" si="113"/>
        <v>0</v>
      </c>
      <c r="R345" s="162">
        <f t="shared" si="113"/>
        <v>0</v>
      </c>
      <c r="S345" s="162">
        <f t="shared" si="113"/>
        <v>0</v>
      </c>
      <c r="T345" s="162">
        <f t="shared" si="113"/>
        <v>0</v>
      </c>
      <c r="U345" s="162">
        <f t="shared" si="113"/>
        <v>0</v>
      </c>
      <c r="V345" s="162">
        <f t="shared" si="113"/>
        <v>0</v>
      </c>
      <c r="W345" s="162">
        <f t="shared" si="113"/>
        <v>0</v>
      </c>
      <c r="X345" s="162">
        <f t="shared" si="113"/>
        <v>0</v>
      </c>
      <c r="Y345" s="162">
        <f t="shared" si="113"/>
        <v>0</v>
      </c>
      <c r="Z345" s="162">
        <f t="shared" si="113"/>
        <v>0</v>
      </c>
      <c r="AA345" s="162">
        <f t="shared" si="113"/>
        <v>0</v>
      </c>
      <c r="AB345" s="163">
        <f t="shared" si="114"/>
        <v>0</v>
      </c>
      <c r="AC345" s="198"/>
      <c r="AE345" s="194" t="str">
        <f>IF(J345=0,"",VLOOKUP(J345,#REF!,2,0)&amp;" - "&amp;J345&amp;" ("&amp;F345&amp;" - "&amp;G345&amp;")")</f>
        <v/>
      </c>
      <c r="AF345" s="161">
        <f t="shared" si="115"/>
        <v>0</v>
      </c>
      <c r="AG345" s="162">
        <f t="shared" si="115"/>
        <v>0</v>
      </c>
      <c r="AH345" s="162">
        <f t="shared" si="115"/>
        <v>0</v>
      </c>
      <c r="AI345" s="162">
        <f t="shared" si="115"/>
        <v>0</v>
      </c>
      <c r="AJ345" s="162">
        <f t="shared" si="115"/>
        <v>0</v>
      </c>
      <c r="AK345" s="162">
        <f t="shared" si="115"/>
        <v>0</v>
      </c>
      <c r="AL345" s="162">
        <f t="shared" si="115"/>
        <v>0</v>
      </c>
      <c r="AM345" s="162">
        <f t="shared" si="115"/>
        <v>0</v>
      </c>
      <c r="AN345" s="162">
        <f t="shared" si="115"/>
        <v>0</v>
      </c>
      <c r="AO345" s="162">
        <f t="shared" si="115"/>
        <v>0</v>
      </c>
      <c r="AP345" s="162">
        <f t="shared" si="115"/>
        <v>0</v>
      </c>
      <c r="AQ345" s="162">
        <f t="shared" si="115"/>
        <v>0</v>
      </c>
      <c r="AR345" s="163">
        <f t="shared" si="116"/>
        <v>0</v>
      </c>
      <c r="AT345" s="208">
        <f>IFERROR(VLOOKUP(J345,#REF!,10,0),0)</f>
        <v>0</v>
      </c>
    </row>
    <row r="346" spans="1:46" hidden="1" outlineLevel="1" x14ac:dyDescent="0.25">
      <c r="A346" s="14" t="str">
        <f t="shared" si="109"/>
        <v>PROP_OPER__14</v>
      </c>
      <c r="B346" s="15" t="str">
        <f t="shared" si="110"/>
        <v>PROP_OPER__1001_1</v>
      </c>
      <c r="D346" s="15">
        <v>1</v>
      </c>
      <c r="E346" s="15">
        <v>14</v>
      </c>
      <c r="F346" s="190">
        <f t="shared" si="111"/>
        <v>1001</v>
      </c>
      <c r="G346" s="149" t="str">
        <f t="shared" si="111"/>
        <v>TERRACEAMENTO</v>
      </c>
      <c r="H346" s="150" t="str">
        <f t="shared" si="111"/>
        <v/>
      </c>
      <c r="I346" s="150" t="str">
        <f t="shared" si="111"/>
        <v>PREPSP</v>
      </c>
      <c r="J346" s="150">
        <f t="shared" si="111"/>
        <v>1</v>
      </c>
      <c r="K346" s="196"/>
      <c r="L346" s="197"/>
      <c r="M346" s="191">
        <f t="shared" si="112"/>
        <v>0</v>
      </c>
      <c r="N346" s="150">
        <f t="shared" si="112"/>
        <v>0</v>
      </c>
      <c r="O346" s="193">
        <f t="shared" si="112"/>
        <v>1</v>
      </c>
      <c r="P346" s="162">
        <f t="shared" si="113"/>
        <v>0</v>
      </c>
      <c r="Q346" s="162">
        <f t="shared" si="113"/>
        <v>0</v>
      </c>
      <c r="R346" s="162">
        <f t="shared" si="113"/>
        <v>0</v>
      </c>
      <c r="S346" s="162">
        <f t="shared" si="113"/>
        <v>0</v>
      </c>
      <c r="T346" s="162">
        <f t="shared" si="113"/>
        <v>0</v>
      </c>
      <c r="U346" s="162">
        <f t="shared" si="113"/>
        <v>0</v>
      </c>
      <c r="V346" s="162">
        <f t="shared" si="113"/>
        <v>0</v>
      </c>
      <c r="W346" s="162">
        <f t="shared" si="113"/>
        <v>0</v>
      </c>
      <c r="X346" s="162">
        <f t="shared" si="113"/>
        <v>0</v>
      </c>
      <c r="Y346" s="162">
        <f t="shared" si="113"/>
        <v>0</v>
      </c>
      <c r="Z346" s="162">
        <f t="shared" si="113"/>
        <v>0</v>
      </c>
      <c r="AA346" s="162">
        <f t="shared" si="113"/>
        <v>0</v>
      </c>
      <c r="AB346" s="163">
        <f t="shared" si="114"/>
        <v>0</v>
      </c>
      <c r="AC346" s="198"/>
      <c r="AE346" s="194" t="e">
        <f>IF(J346=0,"",VLOOKUP(J346,#REF!,2,0)&amp;" - "&amp;J346&amp;" ("&amp;F346&amp;" - "&amp;G346&amp;")")</f>
        <v>#REF!</v>
      </c>
      <c r="AF346" s="161">
        <f t="shared" si="115"/>
        <v>0</v>
      </c>
      <c r="AG346" s="162">
        <f t="shared" si="115"/>
        <v>0</v>
      </c>
      <c r="AH346" s="162">
        <f t="shared" si="115"/>
        <v>0</v>
      </c>
      <c r="AI346" s="162">
        <f t="shared" si="115"/>
        <v>0</v>
      </c>
      <c r="AJ346" s="162">
        <f t="shared" si="115"/>
        <v>0</v>
      </c>
      <c r="AK346" s="162">
        <f t="shared" si="115"/>
        <v>0</v>
      </c>
      <c r="AL346" s="162">
        <f t="shared" si="115"/>
        <v>0</v>
      </c>
      <c r="AM346" s="162">
        <f t="shared" si="115"/>
        <v>0</v>
      </c>
      <c r="AN346" s="162">
        <f t="shared" si="115"/>
        <v>0</v>
      </c>
      <c r="AO346" s="162">
        <f t="shared" si="115"/>
        <v>0</v>
      </c>
      <c r="AP346" s="162">
        <f t="shared" si="115"/>
        <v>0</v>
      </c>
      <c r="AQ346" s="162">
        <f t="shared" si="115"/>
        <v>0</v>
      </c>
      <c r="AR346" s="163">
        <f t="shared" si="116"/>
        <v>0</v>
      </c>
      <c r="AT346" s="208">
        <f>IFERROR(VLOOKUP(J346,#REF!,10,0),0)</f>
        <v>0</v>
      </c>
    </row>
    <row r="347" spans="1:46" hidden="1" outlineLevel="1" x14ac:dyDescent="0.25">
      <c r="A347" s="14" t="str">
        <f t="shared" si="109"/>
        <v>PROP_OPER__15</v>
      </c>
      <c r="B347" s="15" t="str">
        <f t="shared" si="110"/>
        <v>PROP_OPER__1002_1</v>
      </c>
      <c r="D347" s="15">
        <v>1</v>
      </c>
      <c r="E347" s="15">
        <v>15</v>
      </c>
      <c r="F347" s="190">
        <f t="shared" si="111"/>
        <v>1002</v>
      </c>
      <c r="G347" s="149" t="str">
        <f t="shared" si="111"/>
        <v>TERRAPLANAGEM</v>
      </c>
      <c r="H347" s="150" t="str">
        <f t="shared" si="111"/>
        <v/>
      </c>
      <c r="I347" s="150" t="str">
        <f t="shared" si="111"/>
        <v>PREPSP</v>
      </c>
      <c r="J347" s="150">
        <f t="shared" si="111"/>
        <v>1</v>
      </c>
      <c r="K347" s="196"/>
      <c r="L347" s="197"/>
      <c r="M347" s="191">
        <f t="shared" si="112"/>
        <v>0</v>
      </c>
      <c r="N347" s="150">
        <f t="shared" si="112"/>
        <v>0</v>
      </c>
      <c r="O347" s="193">
        <f t="shared" si="112"/>
        <v>1</v>
      </c>
      <c r="P347" s="162">
        <f t="shared" si="113"/>
        <v>0</v>
      </c>
      <c r="Q347" s="162">
        <f t="shared" si="113"/>
        <v>0</v>
      </c>
      <c r="R347" s="162">
        <f t="shared" si="113"/>
        <v>0</v>
      </c>
      <c r="S347" s="162">
        <f t="shared" si="113"/>
        <v>0</v>
      </c>
      <c r="T347" s="162">
        <f t="shared" si="113"/>
        <v>0</v>
      </c>
      <c r="U347" s="162">
        <f t="shared" si="113"/>
        <v>0</v>
      </c>
      <c r="V347" s="162">
        <f t="shared" si="113"/>
        <v>0</v>
      </c>
      <c r="W347" s="162">
        <f t="shared" si="113"/>
        <v>0</v>
      </c>
      <c r="X347" s="162">
        <f t="shared" si="113"/>
        <v>0</v>
      </c>
      <c r="Y347" s="162">
        <f t="shared" si="113"/>
        <v>0</v>
      </c>
      <c r="Z347" s="162">
        <f t="shared" si="113"/>
        <v>0</v>
      </c>
      <c r="AA347" s="162">
        <f t="shared" si="113"/>
        <v>0</v>
      </c>
      <c r="AB347" s="163">
        <f t="shared" si="114"/>
        <v>0</v>
      </c>
      <c r="AC347" s="198"/>
      <c r="AE347" s="194" t="e">
        <f>IF(J347=0,"",VLOOKUP(J347,#REF!,2,0)&amp;" - "&amp;J347&amp;" ("&amp;F347&amp;" - "&amp;G347&amp;")")</f>
        <v>#REF!</v>
      </c>
      <c r="AF347" s="161">
        <f t="shared" si="115"/>
        <v>0</v>
      </c>
      <c r="AG347" s="162">
        <f t="shared" si="115"/>
        <v>0</v>
      </c>
      <c r="AH347" s="162">
        <f t="shared" si="115"/>
        <v>0</v>
      </c>
      <c r="AI347" s="162">
        <f t="shared" si="115"/>
        <v>0</v>
      </c>
      <c r="AJ347" s="162">
        <f t="shared" si="115"/>
        <v>0</v>
      </c>
      <c r="AK347" s="162">
        <f t="shared" si="115"/>
        <v>0</v>
      </c>
      <c r="AL347" s="162">
        <f t="shared" si="115"/>
        <v>0</v>
      </c>
      <c r="AM347" s="162">
        <f t="shared" si="115"/>
        <v>0</v>
      </c>
      <c r="AN347" s="162">
        <f t="shared" si="115"/>
        <v>0</v>
      </c>
      <c r="AO347" s="162">
        <f t="shared" si="115"/>
        <v>0</v>
      </c>
      <c r="AP347" s="162">
        <f t="shared" si="115"/>
        <v>0</v>
      </c>
      <c r="AQ347" s="162">
        <f t="shared" si="115"/>
        <v>0</v>
      </c>
      <c r="AR347" s="163">
        <f t="shared" si="116"/>
        <v>0</v>
      </c>
      <c r="AT347" s="208">
        <f>IFERROR(VLOOKUP(J347,#REF!,10,0),0)</f>
        <v>0</v>
      </c>
    </row>
    <row r="348" spans="1:46" hidden="1" outlineLevel="1" x14ac:dyDescent="0.25">
      <c r="A348" s="14" t="str">
        <f t="shared" si="109"/>
        <v>PROP_OPER__16</v>
      </c>
      <c r="B348" s="15" t="str">
        <f t="shared" si="110"/>
        <v>PROP_OPER__1003_1</v>
      </c>
      <c r="D348" s="15">
        <v>1</v>
      </c>
      <c r="E348" s="15">
        <v>16</v>
      </c>
      <c r="F348" s="190">
        <f t="shared" si="111"/>
        <v>1003</v>
      </c>
      <c r="G348" s="149" t="str">
        <f t="shared" si="111"/>
        <v>CONSERVAÇÃO DE ESTRADAS</v>
      </c>
      <c r="H348" s="150" t="str">
        <f t="shared" si="111"/>
        <v/>
      </c>
      <c r="I348" s="150" t="str">
        <f t="shared" si="111"/>
        <v>PREPSP</v>
      </c>
      <c r="J348" s="150">
        <f t="shared" si="111"/>
        <v>1</v>
      </c>
      <c r="K348" s="196"/>
      <c r="L348" s="197"/>
      <c r="M348" s="191">
        <f t="shared" si="112"/>
        <v>0</v>
      </c>
      <c r="N348" s="150">
        <f t="shared" si="112"/>
        <v>0</v>
      </c>
      <c r="O348" s="193">
        <f t="shared" si="112"/>
        <v>1</v>
      </c>
      <c r="P348" s="162">
        <f t="shared" si="113"/>
        <v>0</v>
      </c>
      <c r="Q348" s="162">
        <f t="shared" si="113"/>
        <v>0</v>
      </c>
      <c r="R348" s="162">
        <f t="shared" si="113"/>
        <v>0</v>
      </c>
      <c r="S348" s="162">
        <f t="shared" si="113"/>
        <v>0</v>
      </c>
      <c r="T348" s="162">
        <f t="shared" si="113"/>
        <v>0</v>
      </c>
      <c r="U348" s="162">
        <f t="shared" si="113"/>
        <v>0</v>
      </c>
      <c r="V348" s="162">
        <f t="shared" si="113"/>
        <v>0</v>
      </c>
      <c r="W348" s="162">
        <f t="shared" si="113"/>
        <v>0</v>
      </c>
      <c r="X348" s="162">
        <f t="shared" si="113"/>
        <v>0</v>
      </c>
      <c r="Y348" s="162">
        <f t="shared" si="113"/>
        <v>0</v>
      </c>
      <c r="Z348" s="162">
        <f t="shared" si="113"/>
        <v>0</v>
      </c>
      <c r="AA348" s="162">
        <f t="shared" si="113"/>
        <v>0</v>
      </c>
      <c r="AB348" s="163">
        <f t="shared" si="114"/>
        <v>0</v>
      </c>
      <c r="AC348" s="198"/>
      <c r="AE348" s="194" t="e">
        <f>IF(J348=0,"",VLOOKUP(J348,#REF!,2,0)&amp;" - "&amp;J348&amp;" ("&amp;F348&amp;" - "&amp;G348&amp;")")</f>
        <v>#REF!</v>
      </c>
      <c r="AF348" s="161">
        <f t="shared" si="115"/>
        <v>0</v>
      </c>
      <c r="AG348" s="162">
        <f t="shared" si="115"/>
        <v>0</v>
      </c>
      <c r="AH348" s="162">
        <f t="shared" si="115"/>
        <v>0</v>
      </c>
      <c r="AI348" s="162">
        <f t="shared" si="115"/>
        <v>0</v>
      </c>
      <c r="AJ348" s="162">
        <f t="shared" si="115"/>
        <v>0</v>
      </c>
      <c r="AK348" s="162">
        <f t="shared" si="115"/>
        <v>0</v>
      </c>
      <c r="AL348" s="162">
        <f t="shared" si="115"/>
        <v>0</v>
      </c>
      <c r="AM348" s="162">
        <f t="shared" si="115"/>
        <v>0</v>
      </c>
      <c r="AN348" s="162">
        <f t="shared" si="115"/>
        <v>0</v>
      </c>
      <c r="AO348" s="162">
        <f t="shared" si="115"/>
        <v>0</v>
      </c>
      <c r="AP348" s="162">
        <f t="shared" si="115"/>
        <v>0</v>
      </c>
      <c r="AQ348" s="162">
        <f t="shared" si="115"/>
        <v>0</v>
      </c>
      <c r="AR348" s="163">
        <f t="shared" si="116"/>
        <v>0</v>
      </c>
      <c r="AT348" s="208">
        <f>IFERROR(VLOOKUP(J348,#REF!,10,0),0)</f>
        <v>0</v>
      </c>
    </row>
    <row r="349" spans="1:46" hidden="1" outlineLevel="1" x14ac:dyDescent="0.25">
      <c r="A349" s="14" t="str">
        <f t="shared" si="109"/>
        <v>PROP_OPER__17</v>
      </c>
      <c r="B349" s="15" t="str">
        <f t="shared" si="110"/>
        <v>PROP_OPER__1004_1</v>
      </c>
      <c r="D349" s="15">
        <v>1</v>
      </c>
      <c r="E349" s="15">
        <v>17</v>
      </c>
      <c r="F349" s="190">
        <f t="shared" ref="F349:J364" si="117">F110</f>
        <v>1004</v>
      </c>
      <c r="G349" s="149" t="str">
        <f t="shared" si="117"/>
        <v>CURVA EM NÍVEL</v>
      </c>
      <c r="H349" s="150" t="str">
        <f t="shared" si="117"/>
        <v/>
      </c>
      <c r="I349" s="150" t="str">
        <f t="shared" si="117"/>
        <v>PREPSP</v>
      </c>
      <c r="J349" s="150">
        <f t="shared" si="117"/>
        <v>1</v>
      </c>
      <c r="K349" s="196"/>
      <c r="L349" s="197"/>
      <c r="M349" s="191">
        <f t="shared" ref="M349:O364" si="118">M110</f>
        <v>0</v>
      </c>
      <c r="N349" s="150">
        <f t="shared" si="118"/>
        <v>0</v>
      </c>
      <c r="O349" s="193">
        <f t="shared" si="118"/>
        <v>1</v>
      </c>
      <c r="P349" s="162">
        <f t="shared" ref="P349:AA364" si="119">IFERROR(SUMIF($B$16:$B$43,$C349&amp;$I349,P$16:P$43)/SUMIF($D$16:$D$43,$I349,P$16:P$43)*P110,0)</f>
        <v>0</v>
      </c>
      <c r="Q349" s="162">
        <f t="shared" si="119"/>
        <v>0</v>
      </c>
      <c r="R349" s="162">
        <f t="shared" si="119"/>
        <v>0</v>
      </c>
      <c r="S349" s="162">
        <f t="shared" si="119"/>
        <v>0</v>
      </c>
      <c r="T349" s="162">
        <f t="shared" si="119"/>
        <v>0</v>
      </c>
      <c r="U349" s="162">
        <f t="shared" si="119"/>
        <v>0</v>
      </c>
      <c r="V349" s="162">
        <f t="shared" si="119"/>
        <v>0</v>
      </c>
      <c r="W349" s="162">
        <f t="shared" si="119"/>
        <v>0</v>
      </c>
      <c r="X349" s="162">
        <f t="shared" si="119"/>
        <v>0</v>
      </c>
      <c r="Y349" s="162">
        <f t="shared" si="119"/>
        <v>0</v>
      </c>
      <c r="Z349" s="162">
        <f t="shared" si="119"/>
        <v>0</v>
      </c>
      <c r="AA349" s="162">
        <f t="shared" si="119"/>
        <v>0</v>
      </c>
      <c r="AB349" s="163">
        <f t="shared" si="114"/>
        <v>0</v>
      </c>
      <c r="AC349" s="198"/>
      <c r="AE349" s="194" t="e">
        <f>IF(J349=0,"",VLOOKUP(J349,#REF!,2,0)&amp;" - "&amp;J349&amp;" ("&amp;F349&amp;" - "&amp;G349&amp;")")</f>
        <v>#REF!</v>
      </c>
      <c r="AF349" s="161">
        <f t="shared" ref="AF349:AQ364" si="120">IFERROR(SUMIF($B$16:$B$43,$C349&amp;$I349,P$16:P$43)/SUMIF($D$16:$D$43,$I349,P$16:P$43)*AF110,0)</f>
        <v>0</v>
      </c>
      <c r="AG349" s="162">
        <f t="shared" si="120"/>
        <v>0</v>
      </c>
      <c r="AH349" s="162">
        <f t="shared" si="120"/>
        <v>0</v>
      </c>
      <c r="AI349" s="162">
        <f t="shared" si="120"/>
        <v>0</v>
      </c>
      <c r="AJ349" s="162">
        <f t="shared" si="120"/>
        <v>0</v>
      </c>
      <c r="AK349" s="162">
        <f t="shared" si="120"/>
        <v>0</v>
      </c>
      <c r="AL349" s="162">
        <f t="shared" si="120"/>
        <v>0</v>
      </c>
      <c r="AM349" s="162">
        <f t="shared" si="120"/>
        <v>0</v>
      </c>
      <c r="AN349" s="162">
        <f t="shared" si="120"/>
        <v>0</v>
      </c>
      <c r="AO349" s="162">
        <f t="shared" si="120"/>
        <v>0</v>
      </c>
      <c r="AP349" s="162">
        <f t="shared" si="120"/>
        <v>0</v>
      </c>
      <c r="AQ349" s="162">
        <f t="shared" si="120"/>
        <v>0</v>
      </c>
      <c r="AR349" s="163">
        <f t="shared" si="116"/>
        <v>0</v>
      </c>
      <c r="AT349" s="208">
        <f>IFERROR(VLOOKUP(J349,#REF!,10,0),0)</f>
        <v>0</v>
      </c>
    </row>
    <row r="350" spans="1:46" hidden="1" outlineLevel="1" x14ac:dyDescent="0.25">
      <c r="A350" s="14" t="str">
        <f t="shared" si="109"/>
        <v>PROP_OPER__18</v>
      </c>
      <c r="B350" s="15" t="str">
        <f t="shared" si="110"/>
        <v>PROP_OPER__1005_1</v>
      </c>
      <c r="D350" s="15">
        <v>1</v>
      </c>
      <c r="E350" s="15">
        <v>18</v>
      </c>
      <c r="F350" s="190">
        <f t="shared" si="117"/>
        <v>1005</v>
      </c>
      <c r="G350" s="149" t="str">
        <f t="shared" si="117"/>
        <v>SISTEMATIZAÇÃO</v>
      </c>
      <c r="H350" s="150" t="str">
        <f t="shared" si="117"/>
        <v/>
      </c>
      <c r="I350" s="150" t="str">
        <f t="shared" si="117"/>
        <v>PREPSP</v>
      </c>
      <c r="J350" s="150">
        <f t="shared" si="117"/>
        <v>1</v>
      </c>
      <c r="K350" s="196"/>
      <c r="L350" s="197"/>
      <c r="M350" s="191">
        <f t="shared" si="118"/>
        <v>0</v>
      </c>
      <c r="N350" s="150">
        <f t="shared" si="118"/>
        <v>0</v>
      </c>
      <c r="O350" s="193">
        <f t="shared" si="118"/>
        <v>1</v>
      </c>
      <c r="P350" s="162">
        <f t="shared" si="119"/>
        <v>0</v>
      </c>
      <c r="Q350" s="162">
        <f t="shared" si="119"/>
        <v>0</v>
      </c>
      <c r="R350" s="162">
        <f t="shared" si="119"/>
        <v>0</v>
      </c>
      <c r="S350" s="162">
        <f t="shared" si="119"/>
        <v>0</v>
      </c>
      <c r="T350" s="162">
        <f t="shared" si="119"/>
        <v>0</v>
      </c>
      <c r="U350" s="162">
        <f t="shared" si="119"/>
        <v>0</v>
      </c>
      <c r="V350" s="162">
        <f t="shared" si="119"/>
        <v>0</v>
      </c>
      <c r="W350" s="162">
        <f t="shared" si="119"/>
        <v>0</v>
      </c>
      <c r="X350" s="162">
        <f t="shared" si="119"/>
        <v>0</v>
      </c>
      <c r="Y350" s="162">
        <f t="shared" si="119"/>
        <v>0</v>
      </c>
      <c r="Z350" s="162">
        <f t="shared" si="119"/>
        <v>0</v>
      </c>
      <c r="AA350" s="162">
        <f t="shared" si="119"/>
        <v>0</v>
      </c>
      <c r="AB350" s="163">
        <f t="shared" si="114"/>
        <v>0</v>
      </c>
      <c r="AC350" s="198"/>
      <c r="AE350" s="194" t="e">
        <f>IF(J350=0,"",VLOOKUP(J350,#REF!,2,0)&amp;" - "&amp;J350&amp;" ("&amp;F350&amp;" - "&amp;G350&amp;")")</f>
        <v>#REF!</v>
      </c>
      <c r="AF350" s="161">
        <f t="shared" si="120"/>
        <v>0</v>
      </c>
      <c r="AG350" s="162">
        <f t="shared" si="120"/>
        <v>0</v>
      </c>
      <c r="AH350" s="162">
        <f t="shared" si="120"/>
        <v>0</v>
      </c>
      <c r="AI350" s="162">
        <f t="shared" si="120"/>
        <v>0</v>
      </c>
      <c r="AJ350" s="162">
        <f t="shared" si="120"/>
        <v>0</v>
      </c>
      <c r="AK350" s="162">
        <f t="shared" si="120"/>
        <v>0</v>
      </c>
      <c r="AL350" s="162">
        <f t="shared" si="120"/>
        <v>0</v>
      </c>
      <c r="AM350" s="162">
        <f t="shared" si="120"/>
        <v>0</v>
      </c>
      <c r="AN350" s="162">
        <f t="shared" si="120"/>
        <v>0</v>
      </c>
      <c r="AO350" s="162">
        <f t="shared" si="120"/>
        <v>0</v>
      </c>
      <c r="AP350" s="162">
        <f t="shared" si="120"/>
        <v>0</v>
      </c>
      <c r="AQ350" s="162">
        <f t="shared" si="120"/>
        <v>0</v>
      </c>
      <c r="AR350" s="163">
        <f t="shared" si="116"/>
        <v>0</v>
      </c>
      <c r="AT350" s="208">
        <f>IFERROR(VLOOKUP(J350,#REF!,10,0),0)</f>
        <v>0</v>
      </c>
    </row>
    <row r="351" spans="1:46" hidden="1" outlineLevel="1" x14ac:dyDescent="0.25">
      <c r="A351" s="14" t="str">
        <f t="shared" si="109"/>
        <v>PROP_OPER__19</v>
      </c>
      <c r="B351" s="15" t="str">
        <f t="shared" si="110"/>
        <v>PROP_OPER__1011_1</v>
      </c>
      <c r="D351" s="15">
        <v>1</v>
      </c>
      <c r="E351" s="15">
        <v>19</v>
      </c>
      <c r="F351" s="190">
        <f t="shared" si="117"/>
        <v>1011</v>
      </c>
      <c r="G351" s="149" t="str">
        <f t="shared" si="117"/>
        <v>ARAÇÃO</v>
      </c>
      <c r="H351" s="150" t="str">
        <f t="shared" si="117"/>
        <v/>
      </c>
      <c r="I351" s="150" t="str">
        <f t="shared" si="117"/>
        <v>PREPSP</v>
      </c>
      <c r="J351" s="150">
        <f t="shared" si="117"/>
        <v>1</v>
      </c>
      <c r="K351" s="196"/>
      <c r="L351" s="197"/>
      <c r="M351" s="191">
        <f t="shared" si="118"/>
        <v>0</v>
      </c>
      <c r="N351" s="150">
        <f t="shared" si="118"/>
        <v>0</v>
      </c>
      <c r="O351" s="193">
        <f t="shared" si="118"/>
        <v>1</v>
      </c>
      <c r="P351" s="162">
        <f t="shared" si="119"/>
        <v>0</v>
      </c>
      <c r="Q351" s="162">
        <f t="shared" si="119"/>
        <v>0</v>
      </c>
      <c r="R351" s="162">
        <f t="shared" si="119"/>
        <v>0</v>
      </c>
      <c r="S351" s="162">
        <f t="shared" si="119"/>
        <v>0</v>
      </c>
      <c r="T351" s="162">
        <f t="shared" si="119"/>
        <v>0</v>
      </c>
      <c r="U351" s="162">
        <f t="shared" si="119"/>
        <v>0</v>
      </c>
      <c r="V351" s="162">
        <f t="shared" si="119"/>
        <v>0</v>
      </c>
      <c r="W351" s="162">
        <f t="shared" si="119"/>
        <v>0</v>
      </c>
      <c r="X351" s="162">
        <f t="shared" si="119"/>
        <v>0</v>
      </c>
      <c r="Y351" s="162">
        <f t="shared" si="119"/>
        <v>0</v>
      </c>
      <c r="Z351" s="162">
        <f t="shared" si="119"/>
        <v>0</v>
      </c>
      <c r="AA351" s="162">
        <f t="shared" si="119"/>
        <v>0</v>
      </c>
      <c r="AB351" s="163">
        <f t="shared" si="114"/>
        <v>0</v>
      </c>
      <c r="AC351" s="198"/>
      <c r="AE351" s="194" t="e">
        <f>IF(J351=0,"",VLOOKUP(J351,#REF!,2,0)&amp;" - "&amp;J351&amp;" ("&amp;F351&amp;" - "&amp;G351&amp;")")</f>
        <v>#REF!</v>
      </c>
      <c r="AF351" s="161">
        <f t="shared" si="120"/>
        <v>0</v>
      </c>
      <c r="AG351" s="162">
        <f t="shared" si="120"/>
        <v>0</v>
      </c>
      <c r="AH351" s="162">
        <f t="shared" si="120"/>
        <v>0</v>
      </c>
      <c r="AI351" s="162">
        <f t="shared" si="120"/>
        <v>0</v>
      </c>
      <c r="AJ351" s="162">
        <f t="shared" si="120"/>
        <v>0</v>
      </c>
      <c r="AK351" s="162">
        <f t="shared" si="120"/>
        <v>0</v>
      </c>
      <c r="AL351" s="162">
        <f t="shared" si="120"/>
        <v>0</v>
      </c>
      <c r="AM351" s="162">
        <f t="shared" si="120"/>
        <v>0</v>
      </c>
      <c r="AN351" s="162">
        <f t="shared" si="120"/>
        <v>0</v>
      </c>
      <c r="AO351" s="162">
        <f t="shared" si="120"/>
        <v>0</v>
      </c>
      <c r="AP351" s="162">
        <f t="shared" si="120"/>
        <v>0</v>
      </c>
      <c r="AQ351" s="162">
        <f t="shared" si="120"/>
        <v>0</v>
      </c>
      <c r="AR351" s="163">
        <f t="shared" si="116"/>
        <v>0</v>
      </c>
      <c r="AT351" s="208">
        <f>IFERROR(VLOOKUP(J351,#REF!,10,0),0)</f>
        <v>0</v>
      </c>
    </row>
    <row r="352" spans="1:46" hidden="1" outlineLevel="1" x14ac:dyDescent="0.25">
      <c r="A352" s="14" t="str">
        <f t="shared" si="109"/>
        <v>PROP_OPER__20</v>
      </c>
      <c r="B352" s="15" t="str">
        <f t="shared" si="110"/>
        <v>PROP_OPER__0_0</v>
      </c>
      <c r="D352" s="15">
        <v>1</v>
      </c>
      <c r="E352" s="15">
        <v>20</v>
      </c>
      <c r="F352" s="190">
        <f t="shared" si="117"/>
        <v>0</v>
      </c>
      <c r="G352" s="149" t="str">
        <f t="shared" si="117"/>
        <v/>
      </c>
      <c r="H352" s="150" t="str">
        <f t="shared" si="117"/>
        <v/>
      </c>
      <c r="I352" s="150">
        <f t="shared" si="117"/>
        <v>0</v>
      </c>
      <c r="J352" s="150">
        <f t="shared" si="117"/>
        <v>0</v>
      </c>
      <c r="K352" s="196"/>
      <c r="L352" s="197"/>
      <c r="M352" s="191">
        <f t="shared" si="118"/>
        <v>0</v>
      </c>
      <c r="N352" s="150">
        <f t="shared" si="118"/>
        <v>0</v>
      </c>
      <c r="O352" s="193">
        <f t="shared" si="118"/>
        <v>0</v>
      </c>
      <c r="P352" s="162">
        <f t="shared" si="119"/>
        <v>0</v>
      </c>
      <c r="Q352" s="162">
        <f t="shared" si="119"/>
        <v>0</v>
      </c>
      <c r="R352" s="162">
        <f t="shared" si="119"/>
        <v>0</v>
      </c>
      <c r="S352" s="162">
        <f t="shared" si="119"/>
        <v>0</v>
      </c>
      <c r="T352" s="162">
        <f t="shared" si="119"/>
        <v>0</v>
      </c>
      <c r="U352" s="162">
        <f t="shared" si="119"/>
        <v>0</v>
      </c>
      <c r="V352" s="162">
        <f t="shared" si="119"/>
        <v>0</v>
      </c>
      <c r="W352" s="162">
        <f t="shared" si="119"/>
        <v>0</v>
      </c>
      <c r="X352" s="162">
        <f t="shared" si="119"/>
        <v>0</v>
      </c>
      <c r="Y352" s="162">
        <f t="shared" si="119"/>
        <v>0</v>
      </c>
      <c r="Z352" s="162">
        <f t="shared" si="119"/>
        <v>0</v>
      </c>
      <c r="AA352" s="162">
        <f t="shared" si="119"/>
        <v>0</v>
      </c>
      <c r="AB352" s="163">
        <f t="shared" si="114"/>
        <v>0</v>
      </c>
      <c r="AC352" s="198"/>
      <c r="AE352" s="194" t="str">
        <f>IF(J352=0,"",VLOOKUP(J352,#REF!,2,0)&amp;" - "&amp;J352&amp;" ("&amp;F352&amp;" - "&amp;G352&amp;")")</f>
        <v/>
      </c>
      <c r="AF352" s="161">
        <f t="shared" si="120"/>
        <v>0</v>
      </c>
      <c r="AG352" s="162">
        <f t="shared" si="120"/>
        <v>0</v>
      </c>
      <c r="AH352" s="162">
        <f t="shared" si="120"/>
        <v>0</v>
      </c>
      <c r="AI352" s="162">
        <f t="shared" si="120"/>
        <v>0</v>
      </c>
      <c r="AJ352" s="162">
        <f t="shared" si="120"/>
        <v>0</v>
      </c>
      <c r="AK352" s="162">
        <f t="shared" si="120"/>
        <v>0</v>
      </c>
      <c r="AL352" s="162">
        <f t="shared" si="120"/>
        <v>0</v>
      </c>
      <c r="AM352" s="162">
        <f t="shared" si="120"/>
        <v>0</v>
      </c>
      <c r="AN352" s="162">
        <f t="shared" si="120"/>
        <v>0</v>
      </c>
      <c r="AO352" s="162">
        <f t="shared" si="120"/>
        <v>0</v>
      </c>
      <c r="AP352" s="162">
        <f t="shared" si="120"/>
        <v>0</v>
      </c>
      <c r="AQ352" s="162">
        <f t="shared" si="120"/>
        <v>0</v>
      </c>
      <c r="AR352" s="163">
        <f t="shared" si="116"/>
        <v>0</v>
      </c>
      <c r="AT352" s="208">
        <f>IFERROR(VLOOKUP(J352,#REF!,10,0),0)</f>
        <v>0</v>
      </c>
    </row>
    <row r="353" spans="1:46" hidden="1" outlineLevel="1" x14ac:dyDescent="0.25">
      <c r="A353" s="14" t="str">
        <f t="shared" si="109"/>
        <v>PROP_OPER__21</v>
      </c>
      <c r="B353" s="15" t="str">
        <f t="shared" si="110"/>
        <v>PROP_OPER__0_0</v>
      </c>
      <c r="D353" s="15">
        <v>1</v>
      </c>
      <c r="E353" s="15">
        <v>21</v>
      </c>
      <c r="F353" s="190">
        <f t="shared" si="117"/>
        <v>0</v>
      </c>
      <c r="G353" s="149" t="str">
        <f t="shared" si="117"/>
        <v/>
      </c>
      <c r="H353" s="150" t="str">
        <f t="shared" si="117"/>
        <v/>
      </c>
      <c r="I353" s="150">
        <f>I114</f>
        <v>0</v>
      </c>
      <c r="J353" s="150">
        <f t="shared" si="117"/>
        <v>0</v>
      </c>
      <c r="K353" s="196"/>
      <c r="L353" s="197"/>
      <c r="M353" s="191">
        <f t="shared" si="118"/>
        <v>0</v>
      </c>
      <c r="N353" s="150">
        <f t="shared" si="118"/>
        <v>0</v>
      </c>
      <c r="O353" s="193">
        <f t="shared" si="118"/>
        <v>0</v>
      </c>
      <c r="P353" s="162">
        <f t="shared" si="119"/>
        <v>0</v>
      </c>
      <c r="Q353" s="162">
        <f t="shared" si="119"/>
        <v>0</v>
      </c>
      <c r="R353" s="162">
        <f t="shared" si="119"/>
        <v>0</v>
      </c>
      <c r="S353" s="162">
        <f t="shared" si="119"/>
        <v>0</v>
      </c>
      <c r="T353" s="162">
        <f t="shared" si="119"/>
        <v>0</v>
      </c>
      <c r="U353" s="162">
        <f t="shared" si="119"/>
        <v>0</v>
      </c>
      <c r="V353" s="162">
        <f t="shared" si="119"/>
        <v>0</v>
      </c>
      <c r="W353" s="162">
        <f t="shared" si="119"/>
        <v>0</v>
      </c>
      <c r="X353" s="162">
        <f t="shared" si="119"/>
        <v>0</v>
      </c>
      <c r="Y353" s="162">
        <f t="shared" si="119"/>
        <v>0</v>
      </c>
      <c r="Z353" s="162">
        <f t="shared" si="119"/>
        <v>0</v>
      </c>
      <c r="AA353" s="162">
        <f t="shared" si="119"/>
        <v>0</v>
      </c>
      <c r="AB353" s="163">
        <f t="shared" si="114"/>
        <v>0</v>
      </c>
      <c r="AC353" s="198"/>
      <c r="AE353" s="194" t="str">
        <f>IF(J353=0,"",VLOOKUP(J353,#REF!,2,0)&amp;" - "&amp;J353&amp;" ("&amp;F353&amp;" - "&amp;G353&amp;")")</f>
        <v/>
      </c>
      <c r="AF353" s="161">
        <f t="shared" si="120"/>
        <v>0</v>
      </c>
      <c r="AG353" s="162">
        <f t="shared" si="120"/>
        <v>0</v>
      </c>
      <c r="AH353" s="162">
        <f t="shared" si="120"/>
        <v>0</v>
      </c>
      <c r="AI353" s="162">
        <f t="shared" si="120"/>
        <v>0</v>
      </c>
      <c r="AJ353" s="162">
        <f t="shared" si="120"/>
        <v>0</v>
      </c>
      <c r="AK353" s="162">
        <f t="shared" si="120"/>
        <v>0</v>
      </c>
      <c r="AL353" s="162">
        <f t="shared" si="120"/>
        <v>0</v>
      </c>
      <c r="AM353" s="162">
        <f t="shared" si="120"/>
        <v>0</v>
      </c>
      <c r="AN353" s="162">
        <f t="shared" si="120"/>
        <v>0</v>
      </c>
      <c r="AO353" s="162">
        <f t="shared" si="120"/>
        <v>0</v>
      </c>
      <c r="AP353" s="162">
        <f t="shared" si="120"/>
        <v>0</v>
      </c>
      <c r="AQ353" s="162">
        <f t="shared" si="120"/>
        <v>0</v>
      </c>
      <c r="AR353" s="163">
        <f t="shared" si="116"/>
        <v>0</v>
      </c>
      <c r="AT353" s="208">
        <f>IFERROR(VLOOKUP(J353,#REF!,10,0),0)</f>
        <v>0</v>
      </c>
    </row>
    <row r="354" spans="1:46" hidden="1" outlineLevel="1" x14ac:dyDescent="0.25">
      <c r="A354" s="14" t="str">
        <f t="shared" si="109"/>
        <v>PROP_OPER__22</v>
      </c>
      <c r="B354" s="15" t="str">
        <f t="shared" si="110"/>
        <v>PROP_OPER__0_0</v>
      </c>
      <c r="D354" s="15">
        <v>1</v>
      </c>
      <c r="E354" s="15">
        <v>22</v>
      </c>
      <c r="F354" s="190">
        <f t="shared" si="117"/>
        <v>0</v>
      </c>
      <c r="G354" s="149" t="str">
        <f t="shared" si="117"/>
        <v/>
      </c>
      <c r="H354" s="150" t="str">
        <f t="shared" si="117"/>
        <v/>
      </c>
      <c r="I354" s="150">
        <f t="shared" si="117"/>
        <v>0</v>
      </c>
      <c r="J354" s="150">
        <f t="shared" si="117"/>
        <v>0</v>
      </c>
      <c r="K354" s="196"/>
      <c r="L354" s="197"/>
      <c r="M354" s="191">
        <f t="shared" si="118"/>
        <v>0</v>
      </c>
      <c r="N354" s="150">
        <f t="shared" si="118"/>
        <v>0</v>
      </c>
      <c r="O354" s="193">
        <f t="shared" si="118"/>
        <v>0</v>
      </c>
      <c r="P354" s="162">
        <f t="shared" si="119"/>
        <v>0</v>
      </c>
      <c r="Q354" s="162">
        <f t="shared" si="119"/>
        <v>0</v>
      </c>
      <c r="R354" s="162">
        <f t="shared" si="119"/>
        <v>0</v>
      </c>
      <c r="S354" s="162">
        <f t="shared" si="119"/>
        <v>0</v>
      </c>
      <c r="T354" s="162">
        <f t="shared" si="119"/>
        <v>0</v>
      </c>
      <c r="U354" s="162">
        <f t="shared" si="119"/>
        <v>0</v>
      </c>
      <c r="V354" s="162">
        <f t="shared" si="119"/>
        <v>0</v>
      </c>
      <c r="W354" s="162">
        <f t="shared" si="119"/>
        <v>0</v>
      </c>
      <c r="X354" s="162">
        <f t="shared" si="119"/>
        <v>0</v>
      </c>
      <c r="Y354" s="162">
        <f t="shared" si="119"/>
        <v>0</v>
      </c>
      <c r="Z354" s="162">
        <f t="shared" si="119"/>
        <v>0</v>
      </c>
      <c r="AA354" s="162">
        <f t="shared" si="119"/>
        <v>0</v>
      </c>
      <c r="AB354" s="163">
        <f t="shared" si="114"/>
        <v>0</v>
      </c>
      <c r="AC354" s="198"/>
      <c r="AE354" s="194" t="str">
        <f>IF(J354=0,"",VLOOKUP(J354,#REF!,2,0)&amp;" - "&amp;J354&amp;" ("&amp;F354&amp;" - "&amp;G354&amp;")")</f>
        <v/>
      </c>
      <c r="AF354" s="161">
        <f t="shared" si="120"/>
        <v>0</v>
      </c>
      <c r="AG354" s="162">
        <f t="shared" si="120"/>
        <v>0</v>
      </c>
      <c r="AH354" s="162">
        <f t="shared" si="120"/>
        <v>0</v>
      </c>
      <c r="AI354" s="162">
        <f t="shared" si="120"/>
        <v>0</v>
      </c>
      <c r="AJ354" s="162">
        <f t="shared" si="120"/>
        <v>0</v>
      </c>
      <c r="AK354" s="162">
        <f t="shared" si="120"/>
        <v>0</v>
      </c>
      <c r="AL354" s="162">
        <f t="shared" si="120"/>
        <v>0</v>
      </c>
      <c r="AM354" s="162">
        <f t="shared" si="120"/>
        <v>0</v>
      </c>
      <c r="AN354" s="162">
        <f t="shared" si="120"/>
        <v>0</v>
      </c>
      <c r="AO354" s="162">
        <f t="shared" si="120"/>
        <v>0</v>
      </c>
      <c r="AP354" s="162">
        <f t="shared" si="120"/>
        <v>0</v>
      </c>
      <c r="AQ354" s="162">
        <f t="shared" si="120"/>
        <v>0</v>
      </c>
      <c r="AR354" s="163">
        <f t="shared" si="116"/>
        <v>0</v>
      </c>
      <c r="AT354" s="208">
        <f>IFERROR(VLOOKUP(J354,#REF!,10,0),0)</f>
        <v>0</v>
      </c>
    </row>
    <row r="355" spans="1:46" hidden="1" outlineLevel="1" x14ac:dyDescent="0.25">
      <c r="A355" s="14" t="str">
        <f t="shared" si="109"/>
        <v>PROP_OPER__23</v>
      </c>
      <c r="B355" s="15" t="str">
        <f t="shared" si="110"/>
        <v>PROP_OPER__0_0</v>
      </c>
      <c r="D355" s="15">
        <v>1</v>
      </c>
      <c r="E355" s="15">
        <v>23</v>
      </c>
      <c r="F355" s="190">
        <f t="shared" si="117"/>
        <v>0</v>
      </c>
      <c r="G355" s="149" t="str">
        <f t="shared" si="117"/>
        <v/>
      </c>
      <c r="H355" s="150" t="str">
        <f t="shared" si="117"/>
        <v/>
      </c>
      <c r="I355" s="150">
        <f t="shared" si="117"/>
        <v>0</v>
      </c>
      <c r="J355" s="150">
        <f t="shared" si="117"/>
        <v>0</v>
      </c>
      <c r="K355" s="196"/>
      <c r="L355" s="197"/>
      <c r="M355" s="191">
        <f t="shared" si="118"/>
        <v>0</v>
      </c>
      <c r="N355" s="150">
        <f t="shared" si="118"/>
        <v>0</v>
      </c>
      <c r="O355" s="193">
        <f t="shared" si="118"/>
        <v>0</v>
      </c>
      <c r="P355" s="162">
        <f t="shared" si="119"/>
        <v>0</v>
      </c>
      <c r="Q355" s="162">
        <f t="shared" si="119"/>
        <v>0</v>
      </c>
      <c r="R355" s="162">
        <f t="shared" si="119"/>
        <v>0</v>
      </c>
      <c r="S355" s="162">
        <f t="shared" si="119"/>
        <v>0</v>
      </c>
      <c r="T355" s="162">
        <f t="shared" si="119"/>
        <v>0</v>
      </c>
      <c r="U355" s="162">
        <f t="shared" si="119"/>
        <v>0</v>
      </c>
      <c r="V355" s="162">
        <f t="shared" si="119"/>
        <v>0</v>
      </c>
      <c r="W355" s="162">
        <f t="shared" si="119"/>
        <v>0</v>
      </c>
      <c r="X355" s="162">
        <f t="shared" si="119"/>
        <v>0</v>
      </c>
      <c r="Y355" s="162">
        <f t="shared" si="119"/>
        <v>0</v>
      </c>
      <c r="Z355" s="162">
        <f t="shared" si="119"/>
        <v>0</v>
      </c>
      <c r="AA355" s="162">
        <f t="shared" si="119"/>
        <v>0</v>
      </c>
      <c r="AB355" s="163">
        <f t="shared" si="114"/>
        <v>0</v>
      </c>
      <c r="AC355" s="198"/>
      <c r="AE355" s="194" t="str">
        <f>IF(J355=0,"",VLOOKUP(J355,#REF!,2,0)&amp;" - "&amp;J355&amp;" ("&amp;F355&amp;" - "&amp;G355&amp;")")</f>
        <v/>
      </c>
      <c r="AF355" s="161">
        <f t="shared" si="120"/>
        <v>0</v>
      </c>
      <c r="AG355" s="162">
        <f t="shared" si="120"/>
        <v>0</v>
      </c>
      <c r="AH355" s="162">
        <f t="shared" si="120"/>
        <v>0</v>
      </c>
      <c r="AI355" s="162">
        <f t="shared" si="120"/>
        <v>0</v>
      </c>
      <c r="AJ355" s="162">
        <f t="shared" si="120"/>
        <v>0</v>
      </c>
      <c r="AK355" s="162">
        <f t="shared" si="120"/>
        <v>0</v>
      </c>
      <c r="AL355" s="162">
        <f t="shared" si="120"/>
        <v>0</v>
      </c>
      <c r="AM355" s="162">
        <f t="shared" si="120"/>
        <v>0</v>
      </c>
      <c r="AN355" s="162">
        <f t="shared" si="120"/>
        <v>0</v>
      </c>
      <c r="AO355" s="162">
        <f t="shared" si="120"/>
        <v>0</v>
      </c>
      <c r="AP355" s="162">
        <f t="shared" si="120"/>
        <v>0</v>
      </c>
      <c r="AQ355" s="162">
        <f t="shared" si="120"/>
        <v>0</v>
      </c>
      <c r="AR355" s="163">
        <f t="shared" si="116"/>
        <v>0</v>
      </c>
      <c r="AT355" s="208">
        <f>IFERROR(VLOOKUP(J355,#REF!,10,0),0)</f>
        <v>0</v>
      </c>
    </row>
    <row r="356" spans="1:46" hidden="1" outlineLevel="1" x14ac:dyDescent="0.25">
      <c r="A356" s="14" t="str">
        <f t="shared" si="109"/>
        <v>PROP_OPER__24</v>
      </c>
      <c r="B356" s="15" t="str">
        <f t="shared" si="110"/>
        <v>PROP_OPER__0_0</v>
      </c>
      <c r="D356" s="15">
        <v>1</v>
      </c>
      <c r="E356" s="15">
        <v>24</v>
      </c>
      <c r="F356" s="190">
        <f t="shared" si="117"/>
        <v>0</v>
      </c>
      <c r="G356" s="149">
        <f t="shared" si="117"/>
        <v>0</v>
      </c>
      <c r="H356" s="150">
        <f t="shared" si="117"/>
        <v>0</v>
      </c>
      <c r="I356" s="150">
        <f>I117</f>
        <v>0</v>
      </c>
      <c r="J356" s="150">
        <f t="shared" si="117"/>
        <v>0</v>
      </c>
      <c r="K356" s="196"/>
      <c r="L356" s="197"/>
      <c r="M356" s="191">
        <f t="shared" si="118"/>
        <v>0</v>
      </c>
      <c r="N356" s="150">
        <f t="shared" si="118"/>
        <v>0</v>
      </c>
      <c r="O356" s="193">
        <f t="shared" si="118"/>
        <v>0</v>
      </c>
      <c r="P356" s="162">
        <f t="shared" si="119"/>
        <v>0</v>
      </c>
      <c r="Q356" s="162">
        <f t="shared" si="119"/>
        <v>0</v>
      </c>
      <c r="R356" s="162">
        <f t="shared" si="119"/>
        <v>0</v>
      </c>
      <c r="S356" s="162">
        <f t="shared" si="119"/>
        <v>0</v>
      </c>
      <c r="T356" s="162">
        <f t="shared" si="119"/>
        <v>0</v>
      </c>
      <c r="U356" s="162">
        <f t="shared" si="119"/>
        <v>0</v>
      </c>
      <c r="V356" s="162">
        <f t="shared" si="119"/>
        <v>0</v>
      </c>
      <c r="W356" s="162">
        <f t="shared" si="119"/>
        <v>0</v>
      </c>
      <c r="X356" s="162">
        <f t="shared" si="119"/>
        <v>0</v>
      </c>
      <c r="Y356" s="162">
        <f t="shared" si="119"/>
        <v>0</v>
      </c>
      <c r="Z356" s="162">
        <f t="shared" si="119"/>
        <v>0</v>
      </c>
      <c r="AA356" s="162">
        <f t="shared" si="119"/>
        <v>0</v>
      </c>
      <c r="AB356" s="163">
        <f t="shared" si="114"/>
        <v>0</v>
      </c>
      <c r="AC356" s="198"/>
      <c r="AE356" s="194" t="str">
        <f>IF(J356=0,"",VLOOKUP(J356,#REF!,2,0)&amp;" - "&amp;J356&amp;" ("&amp;F356&amp;" - "&amp;G356&amp;")")</f>
        <v/>
      </c>
      <c r="AF356" s="161">
        <f t="shared" si="120"/>
        <v>0</v>
      </c>
      <c r="AG356" s="162">
        <f t="shared" si="120"/>
        <v>0</v>
      </c>
      <c r="AH356" s="162">
        <f t="shared" si="120"/>
        <v>0</v>
      </c>
      <c r="AI356" s="162">
        <f t="shared" si="120"/>
        <v>0</v>
      </c>
      <c r="AJ356" s="162">
        <f t="shared" si="120"/>
        <v>0</v>
      </c>
      <c r="AK356" s="162">
        <f t="shared" si="120"/>
        <v>0</v>
      </c>
      <c r="AL356" s="162">
        <f t="shared" si="120"/>
        <v>0</v>
      </c>
      <c r="AM356" s="162">
        <f t="shared" si="120"/>
        <v>0</v>
      </c>
      <c r="AN356" s="162">
        <f t="shared" si="120"/>
        <v>0</v>
      </c>
      <c r="AO356" s="162">
        <f t="shared" si="120"/>
        <v>0</v>
      </c>
      <c r="AP356" s="162">
        <f t="shared" si="120"/>
        <v>0</v>
      </c>
      <c r="AQ356" s="162">
        <f t="shared" si="120"/>
        <v>0</v>
      </c>
      <c r="AR356" s="163">
        <f t="shared" si="116"/>
        <v>0</v>
      </c>
      <c r="AT356" s="208">
        <f>IFERROR(VLOOKUP(J356,#REF!,10,0),0)</f>
        <v>0</v>
      </c>
    </row>
    <row r="357" spans="1:46" hidden="1" outlineLevel="1" x14ac:dyDescent="0.25">
      <c r="A357" s="14" t="str">
        <f t="shared" si="109"/>
        <v>PROP_OPER__25</v>
      </c>
      <c r="B357" s="15" t="str">
        <f t="shared" si="110"/>
        <v>PROP_OPER__0_0</v>
      </c>
      <c r="D357" s="15">
        <v>1</v>
      </c>
      <c r="E357" s="15">
        <v>25</v>
      </c>
      <c r="F357" s="190">
        <f t="shared" si="117"/>
        <v>0</v>
      </c>
      <c r="G357" s="149">
        <f t="shared" si="117"/>
        <v>0</v>
      </c>
      <c r="H357" s="150">
        <f t="shared" si="117"/>
        <v>0</v>
      </c>
      <c r="I357" s="150">
        <f t="shared" si="117"/>
        <v>0</v>
      </c>
      <c r="J357" s="150">
        <f t="shared" si="117"/>
        <v>0</v>
      </c>
      <c r="K357" s="196"/>
      <c r="L357" s="197"/>
      <c r="M357" s="191">
        <f t="shared" si="118"/>
        <v>0</v>
      </c>
      <c r="N357" s="150">
        <f t="shared" si="118"/>
        <v>0</v>
      </c>
      <c r="O357" s="193">
        <f t="shared" si="118"/>
        <v>0</v>
      </c>
      <c r="P357" s="162">
        <f t="shared" si="119"/>
        <v>0</v>
      </c>
      <c r="Q357" s="162">
        <f t="shared" si="119"/>
        <v>0</v>
      </c>
      <c r="R357" s="162">
        <f t="shared" si="119"/>
        <v>0</v>
      </c>
      <c r="S357" s="162">
        <f t="shared" si="119"/>
        <v>0</v>
      </c>
      <c r="T357" s="162">
        <f t="shared" si="119"/>
        <v>0</v>
      </c>
      <c r="U357" s="162">
        <f t="shared" si="119"/>
        <v>0</v>
      </c>
      <c r="V357" s="162">
        <f t="shared" si="119"/>
        <v>0</v>
      </c>
      <c r="W357" s="162">
        <f t="shared" si="119"/>
        <v>0</v>
      </c>
      <c r="X357" s="162">
        <f t="shared" si="119"/>
        <v>0</v>
      </c>
      <c r="Y357" s="162">
        <f t="shared" si="119"/>
        <v>0</v>
      </c>
      <c r="Z357" s="162">
        <f t="shared" si="119"/>
        <v>0</v>
      </c>
      <c r="AA357" s="162">
        <f t="shared" si="119"/>
        <v>0</v>
      </c>
      <c r="AB357" s="163">
        <f t="shared" si="114"/>
        <v>0</v>
      </c>
      <c r="AC357" s="198"/>
      <c r="AE357" s="194" t="str">
        <f>IF(J357=0,"",VLOOKUP(J357,#REF!,2,0)&amp;" - "&amp;J357&amp;" ("&amp;F357&amp;" - "&amp;G357&amp;")")</f>
        <v/>
      </c>
      <c r="AF357" s="161">
        <f t="shared" si="120"/>
        <v>0</v>
      </c>
      <c r="AG357" s="162">
        <f t="shared" si="120"/>
        <v>0</v>
      </c>
      <c r="AH357" s="162">
        <f t="shared" si="120"/>
        <v>0</v>
      </c>
      <c r="AI357" s="162">
        <f t="shared" si="120"/>
        <v>0</v>
      </c>
      <c r="AJ357" s="162">
        <f t="shared" si="120"/>
        <v>0</v>
      </c>
      <c r="AK357" s="162">
        <f t="shared" si="120"/>
        <v>0</v>
      </c>
      <c r="AL357" s="162">
        <f t="shared" si="120"/>
        <v>0</v>
      </c>
      <c r="AM357" s="162">
        <f t="shared" si="120"/>
        <v>0</v>
      </c>
      <c r="AN357" s="162">
        <f t="shared" si="120"/>
        <v>0</v>
      </c>
      <c r="AO357" s="162">
        <f t="shared" si="120"/>
        <v>0</v>
      </c>
      <c r="AP357" s="162">
        <f t="shared" si="120"/>
        <v>0</v>
      </c>
      <c r="AQ357" s="162">
        <f t="shared" si="120"/>
        <v>0</v>
      </c>
      <c r="AR357" s="163">
        <f t="shared" si="116"/>
        <v>0</v>
      </c>
      <c r="AT357" s="208">
        <f>IFERROR(VLOOKUP(J357,#REF!,10,0),0)</f>
        <v>0</v>
      </c>
    </row>
    <row r="358" spans="1:46" hidden="1" outlineLevel="1" x14ac:dyDescent="0.25">
      <c r="A358" s="14" t="str">
        <f t="shared" si="109"/>
        <v>PROP_OPER__26</v>
      </c>
      <c r="B358" s="15" t="str">
        <f t="shared" si="110"/>
        <v>PROP_OPER__0_0</v>
      </c>
      <c r="D358" s="15">
        <v>1</v>
      </c>
      <c r="E358" s="15">
        <v>26</v>
      </c>
      <c r="F358" s="190">
        <f t="shared" si="117"/>
        <v>0</v>
      </c>
      <c r="G358" s="149" t="str">
        <f t="shared" si="117"/>
        <v/>
      </c>
      <c r="H358" s="150" t="str">
        <f t="shared" si="117"/>
        <v/>
      </c>
      <c r="I358" s="150">
        <f t="shared" si="117"/>
        <v>0</v>
      </c>
      <c r="J358" s="150">
        <f t="shared" si="117"/>
        <v>0</v>
      </c>
      <c r="K358" s="196"/>
      <c r="L358" s="197"/>
      <c r="M358" s="191">
        <f t="shared" si="118"/>
        <v>0</v>
      </c>
      <c r="N358" s="150">
        <f t="shared" si="118"/>
        <v>0</v>
      </c>
      <c r="O358" s="193">
        <f t="shared" si="118"/>
        <v>0</v>
      </c>
      <c r="P358" s="162">
        <f t="shared" si="119"/>
        <v>0</v>
      </c>
      <c r="Q358" s="162">
        <f t="shared" si="119"/>
        <v>0</v>
      </c>
      <c r="R358" s="162">
        <f t="shared" si="119"/>
        <v>0</v>
      </c>
      <c r="S358" s="162">
        <f t="shared" si="119"/>
        <v>0</v>
      </c>
      <c r="T358" s="162">
        <f t="shared" si="119"/>
        <v>0</v>
      </c>
      <c r="U358" s="162">
        <f t="shared" si="119"/>
        <v>0</v>
      </c>
      <c r="V358" s="162">
        <f t="shared" si="119"/>
        <v>0</v>
      </c>
      <c r="W358" s="162">
        <f t="shared" si="119"/>
        <v>0</v>
      </c>
      <c r="X358" s="162">
        <f t="shared" si="119"/>
        <v>0</v>
      </c>
      <c r="Y358" s="162">
        <f t="shared" si="119"/>
        <v>0</v>
      </c>
      <c r="Z358" s="162">
        <f t="shared" si="119"/>
        <v>0</v>
      </c>
      <c r="AA358" s="162">
        <f t="shared" si="119"/>
        <v>0</v>
      </c>
      <c r="AB358" s="163">
        <f t="shared" si="114"/>
        <v>0</v>
      </c>
      <c r="AC358" s="198"/>
      <c r="AE358" s="194" t="str">
        <f>IF(J358=0,"",VLOOKUP(J358,#REF!,2,0)&amp;" - "&amp;J358&amp;" ("&amp;F358&amp;" - "&amp;G358&amp;")")</f>
        <v/>
      </c>
      <c r="AF358" s="161">
        <f t="shared" si="120"/>
        <v>0</v>
      </c>
      <c r="AG358" s="162">
        <f t="shared" si="120"/>
        <v>0</v>
      </c>
      <c r="AH358" s="162">
        <f t="shared" si="120"/>
        <v>0</v>
      </c>
      <c r="AI358" s="162">
        <f t="shared" si="120"/>
        <v>0</v>
      </c>
      <c r="AJ358" s="162">
        <f t="shared" si="120"/>
        <v>0</v>
      </c>
      <c r="AK358" s="162">
        <f t="shared" si="120"/>
        <v>0</v>
      </c>
      <c r="AL358" s="162">
        <f t="shared" si="120"/>
        <v>0</v>
      </c>
      <c r="AM358" s="162">
        <f t="shared" si="120"/>
        <v>0</v>
      </c>
      <c r="AN358" s="162">
        <f t="shared" si="120"/>
        <v>0</v>
      </c>
      <c r="AO358" s="162">
        <f t="shared" si="120"/>
        <v>0</v>
      </c>
      <c r="AP358" s="162">
        <f t="shared" si="120"/>
        <v>0</v>
      </c>
      <c r="AQ358" s="162">
        <f t="shared" si="120"/>
        <v>0</v>
      </c>
      <c r="AR358" s="163">
        <f t="shared" si="116"/>
        <v>0</v>
      </c>
      <c r="AT358" s="208">
        <f>IFERROR(VLOOKUP(J358,#REF!,10,0),0)</f>
        <v>0</v>
      </c>
    </row>
    <row r="359" spans="1:46" hidden="1" outlineLevel="1" x14ac:dyDescent="0.25">
      <c r="A359" s="14" t="str">
        <f t="shared" si="109"/>
        <v>PROP_OPER__27</v>
      </c>
      <c r="B359" s="15" t="str">
        <f t="shared" si="110"/>
        <v>PROP_OPER__0_0</v>
      </c>
      <c r="D359" s="15">
        <v>1</v>
      </c>
      <c r="E359" s="15">
        <v>27</v>
      </c>
      <c r="F359" s="190">
        <f t="shared" si="117"/>
        <v>0</v>
      </c>
      <c r="G359" s="149" t="str">
        <f t="shared" si="117"/>
        <v/>
      </c>
      <c r="H359" s="150" t="str">
        <f t="shared" si="117"/>
        <v/>
      </c>
      <c r="I359" s="150">
        <f t="shared" si="117"/>
        <v>0</v>
      </c>
      <c r="J359" s="150">
        <f t="shared" si="117"/>
        <v>0</v>
      </c>
      <c r="K359" s="196"/>
      <c r="L359" s="197"/>
      <c r="M359" s="191">
        <f t="shared" si="118"/>
        <v>0</v>
      </c>
      <c r="N359" s="150">
        <f t="shared" si="118"/>
        <v>0</v>
      </c>
      <c r="O359" s="193">
        <f t="shared" si="118"/>
        <v>0</v>
      </c>
      <c r="P359" s="162">
        <f t="shared" si="119"/>
        <v>0</v>
      </c>
      <c r="Q359" s="162">
        <f t="shared" si="119"/>
        <v>0</v>
      </c>
      <c r="R359" s="162">
        <f t="shared" si="119"/>
        <v>0</v>
      </c>
      <c r="S359" s="162">
        <f t="shared" si="119"/>
        <v>0</v>
      </c>
      <c r="T359" s="162">
        <f t="shared" si="119"/>
        <v>0</v>
      </c>
      <c r="U359" s="162">
        <f t="shared" si="119"/>
        <v>0</v>
      </c>
      <c r="V359" s="162">
        <f t="shared" si="119"/>
        <v>0</v>
      </c>
      <c r="W359" s="162">
        <f t="shared" si="119"/>
        <v>0</v>
      </c>
      <c r="X359" s="162">
        <f t="shared" si="119"/>
        <v>0</v>
      </c>
      <c r="Y359" s="162">
        <f t="shared" si="119"/>
        <v>0</v>
      </c>
      <c r="Z359" s="162">
        <f t="shared" si="119"/>
        <v>0</v>
      </c>
      <c r="AA359" s="162">
        <f t="shared" si="119"/>
        <v>0</v>
      </c>
      <c r="AB359" s="163">
        <f t="shared" si="114"/>
        <v>0</v>
      </c>
      <c r="AC359" s="198"/>
      <c r="AE359" s="194" t="str">
        <f>IF(J359=0,"",VLOOKUP(J359,#REF!,2,0)&amp;" - "&amp;J359&amp;" ("&amp;F359&amp;" - "&amp;G359&amp;")")</f>
        <v/>
      </c>
      <c r="AF359" s="161">
        <f t="shared" si="120"/>
        <v>0</v>
      </c>
      <c r="AG359" s="162">
        <f t="shared" si="120"/>
        <v>0</v>
      </c>
      <c r="AH359" s="162">
        <f t="shared" si="120"/>
        <v>0</v>
      </c>
      <c r="AI359" s="162">
        <f t="shared" si="120"/>
        <v>0</v>
      </c>
      <c r="AJ359" s="162">
        <f t="shared" si="120"/>
        <v>0</v>
      </c>
      <c r="AK359" s="162">
        <f t="shared" si="120"/>
        <v>0</v>
      </c>
      <c r="AL359" s="162">
        <f t="shared" si="120"/>
        <v>0</v>
      </c>
      <c r="AM359" s="162">
        <f t="shared" si="120"/>
        <v>0</v>
      </c>
      <c r="AN359" s="162">
        <f t="shared" si="120"/>
        <v>0</v>
      </c>
      <c r="AO359" s="162">
        <f t="shared" si="120"/>
        <v>0</v>
      </c>
      <c r="AP359" s="162">
        <f t="shared" si="120"/>
        <v>0</v>
      </c>
      <c r="AQ359" s="162">
        <f t="shared" si="120"/>
        <v>0</v>
      </c>
      <c r="AR359" s="163">
        <f t="shared" si="116"/>
        <v>0</v>
      </c>
      <c r="AT359" s="208">
        <f>IFERROR(VLOOKUP(J359,#REF!,10,0),0)</f>
        <v>0</v>
      </c>
    </row>
    <row r="360" spans="1:46" hidden="1" outlineLevel="1" x14ac:dyDescent="0.25">
      <c r="A360" s="14" t="str">
        <f t="shared" si="109"/>
        <v>PROP_OPER__28</v>
      </c>
      <c r="B360" s="15" t="str">
        <f t="shared" si="110"/>
        <v>PROP_OPER__0_0</v>
      </c>
      <c r="D360" s="15">
        <v>1</v>
      </c>
      <c r="E360" s="15">
        <v>28</v>
      </c>
      <c r="F360" s="190">
        <f t="shared" si="117"/>
        <v>0</v>
      </c>
      <c r="G360" s="149" t="str">
        <f t="shared" si="117"/>
        <v/>
      </c>
      <c r="H360" s="150" t="str">
        <f t="shared" si="117"/>
        <v/>
      </c>
      <c r="I360" s="150">
        <f t="shared" si="117"/>
        <v>0</v>
      </c>
      <c r="J360" s="150">
        <f t="shared" si="117"/>
        <v>0</v>
      </c>
      <c r="K360" s="196"/>
      <c r="L360" s="197"/>
      <c r="M360" s="191">
        <f t="shared" si="118"/>
        <v>0</v>
      </c>
      <c r="N360" s="150">
        <f t="shared" si="118"/>
        <v>0</v>
      </c>
      <c r="O360" s="193">
        <f t="shared" si="118"/>
        <v>0</v>
      </c>
      <c r="P360" s="162">
        <f t="shared" si="119"/>
        <v>0</v>
      </c>
      <c r="Q360" s="162">
        <f t="shared" si="119"/>
        <v>0</v>
      </c>
      <c r="R360" s="162">
        <f t="shared" si="119"/>
        <v>0</v>
      </c>
      <c r="S360" s="162">
        <f t="shared" si="119"/>
        <v>0</v>
      </c>
      <c r="T360" s="162">
        <f t="shared" si="119"/>
        <v>0</v>
      </c>
      <c r="U360" s="162">
        <f t="shared" si="119"/>
        <v>0</v>
      </c>
      <c r="V360" s="162">
        <f t="shared" si="119"/>
        <v>0</v>
      </c>
      <c r="W360" s="162">
        <f t="shared" si="119"/>
        <v>0</v>
      </c>
      <c r="X360" s="162">
        <f t="shared" si="119"/>
        <v>0</v>
      </c>
      <c r="Y360" s="162">
        <f t="shared" si="119"/>
        <v>0</v>
      </c>
      <c r="Z360" s="162">
        <f t="shared" si="119"/>
        <v>0</v>
      </c>
      <c r="AA360" s="162">
        <f t="shared" si="119"/>
        <v>0</v>
      </c>
      <c r="AB360" s="163">
        <f t="shared" si="114"/>
        <v>0</v>
      </c>
      <c r="AC360" s="198"/>
      <c r="AE360" s="194" t="str">
        <f>IF(J360=0,"",VLOOKUP(J360,#REF!,2,0)&amp;" - "&amp;J360&amp;" ("&amp;F360&amp;" - "&amp;G360&amp;")")</f>
        <v/>
      </c>
      <c r="AF360" s="161">
        <f t="shared" si="120"/>
        <v>0</v>
      </c>
      <c r="AG360" s="162">
        <f t="shared" si="120"/>
        <v>0</v>
      </c>
      <c r="AH360" s="162">
        <f t="shared" si="120"/>
        <v>0</v>
      </c>
      <c r="AI360" s="162">
        <f t="shared" si="120"/>
        <v>0</v>
      </c>
      <c r="AJ360" s="162">
        <f t="shared" si="120"/>
        <v>0</v>
      </c>
      <c r="AK360" s="162">
        <f t="shared" si="120"/>
        <v>0</v>
      </c>
      <c r="AL360" s="162">
        <f t="shared" si="120"/>
        <v>0</v>
      </c>
      <c r="AM360" s="162">
        <f t="shared" si="120"/>
        <v>0</v>
      </c>
      <c r="AN360" s="162">
        <f t="shared" si="120"/>
        <v>0</v>
      </c>
      <c r="AO360" s="162">
        <f t="shared" si="120"/>
        <v>0</v>
      </c>
      <c r="AP360" s="162">
        <f t="shared" si="120"/>
        <v>0</v>
      </c>
      <c r="AQ360" s="162">
        <f t="shared" si="120"/>
        <v>0</v>
      </c>
      <c r="AR360" s="163">
        <f t="shared" si="116"/>
        <v>0</v>
      </c>
      <c r="AT360" s="208">
        <f>IFERROR(VLOOKUP(J360,#REF!,10,0),0)</f>
        <v>0</v>
      </c>
    </row>
    <row r="361" spans="1:46" hidden="1" outlineLevel="1" x14ac:dyDescent="0.25">
      <c r="A361" s="14" t="str">
        <f t="shared" si="109"/>
        <v>PROP_OPER__29</v>
      </c>
      <c r="B361" s="15" t="str">
        <f t="shared" si="110"/>
        <v>PROP_OPER__0_0</v>
      </c>
      <c r="D361" s="15">
        <v>1</v>
      </c>
      <c r="E361" s="15">
        <v>29</v>
      </c>
      <c r="F361" s="190">
        <f t="shared" si="117"/>
        <v>0</v>
      </c>
      <c r="G361" s="149" t="str">
        <f t="shared" si="117"/>
        <v/>
      </c>
      <c r="H361" s="150" t="str">
        <f t="shared" si="117"/>
        <v/>
      </c>
      <c r="I361" s="150">
        <f t="shared" si="117"/>
        <v>0</v>
      </c>
      <c r="J361" s="150">
        <f t="shared" si="117"/>
        <v>0</v>
      </c>
      <c r="K361" s="196"/>
      <c r="L361" s="197"/>
      <c r="M361" s="191">
        <f t="shared" si="118"/>
        <v>0</v>
      </c>
      <c r="N361" s="150">
        <f t="shared" si="118"/>
        <v>0</v>
      </c>
      <c r="O361" s="193">
        <f t="shared" si="118"/>
        <v>0</v>
      </c>
      <c r="P361" s="162">
        <f t="shared" si="119"/>
        <v>0</v>
      </c>
      <c r="Q361" s="162">
        <f t="shared" si="119"/>
        <v>0</v>
      </c>
      <c r="R361" s="162">
        <f t="shared" si="119"/>
        <v>0</v>
      </c>
      <c r="S361" s="162">
        <f t="shared" si="119"/>
        <v>0</v>
      </c>
      <c r="T361" s="162">
        <f t="shared" si="119"/>
        <v>0</v>
      </c>
      <c r="U361" s="162">
        <f t="shared" si="119"/>
        <v>0</v>
      </c>
      <c r="V361" s="162">
        <f t="shared" si="119"/>
        <v>0</v>
      </c>
      <c r="W361" s="162">
        <f t="shared" si="119"/>
        <v>0</v>
      </c>
      <c r="X361" s="162">
        <f t="shared" si="119"/>
        <v>0</v>
      </c>
      <c r="Y361" s="162">
        <f t="shared" si="119"/>
        <v>0</v>
      </c>
      <c r="Z361" s="162">
        <f t="shared" si="119"/>
        <v>0</v>
      </c>
      <c r="AA361" s="162">
        <f t="shared" si="119"/>
        <v>0</v>
      </c>
      <c r="AB361" s="163">
        <f t="shared" si="114"/>
        <v>0</v>
      </c>
      <c r="AC361" s="198"/>
      <c r="AE361" s="194" t="str">
        <f>IF(J361=0,"",VLOOKUP(J361,#REF!,2,0)&amp;" - "&amp;J361&amp;" ("&amp;F361&amp;" - "&amp;G361&amp;")")</f>
        <v/>
      </c>
      <c r="AF361" s="161">
        <f t="shared" si="120"/>
        <v>0</v>
      </c>
      <c r="AG361" s="162">
        <f t="shared" si="120"/>
        <v>0</v>
      </c>
      <c r="AH361" s="162">
        <f t="shared" si="120"/>
        <v>0</v>
      </c>
      <c r="AI361" s="162">
        <f t="shared" si="120"/>
        <v>0</v>
      </c>
      <c r="AJ361" s="162">
        <f t="shared" si="120"/>
        <v>0</v>
      </c>
      <c r="AK361" s="162">
        <f t="shared" si="120"/>
        <v>0</v>
      </c>
      <c r="AL361" s="162">
        <f t="shared" si="120"/>
        <v>0</v>
      </c>
      <c r="AM361" s="162">
        <f t="shared" si="120"/>
        <v>0</v>
      </c>
      <c r="AN361" s="162">
        <f t="shared" si="120"/>
        <v>0</v>
      </c>
      <c r="AO361" s="162">
        <f t="shared" si="120"/>
        <v>0</v>
      </c>
      <c r="AP361" s="162">
        <f t="shared" si="120"/>
        <v>0</v>
      </c>
      <c r="AQ361" s="162">
        <f t="shared" si="120"/>
        <v>0</v>
      </c>
      <c r="AR361" s="163">
        <f t="shared" si="116"/>
        <v>0</v>
      </c>
      <c r="AT361" s="208">
        <f>IFERROR(VLOOKUP(J361,#REF!,10,0),0)</f>
        <v>0</v>
      </c>
    </row>
    <row r="362" spans="1:46" hidden="1" outlineLevel="1" x14ac:dyDescent="0.25">
      <c r="A362" s="14" t="str">
        <f t="shared" si="109"/>
        <v>PROP_OPER__30</v>
      </c>
      <c r="B362" s="15" t="str">
        <f t="shared" si="110"/>
        <v>PROP_OPER__0_0</v>
      </c>
      <c r="D362" s="15">
        <v>1</v>
      </c>
      <c r="E362" s="15">
        <v>30</v>
      </c>
      <c r="F362" s="190">
        <f t="shared" si="117"/>
        <v>0</v>
      </c>
      <c r="G362" s="149" t="str">
        <f t="shared" si="117"/>
        <v/>
      </c>
      <c r="H362" s="150" t="str">
        <f t="shared" si="117"/>
        <v/>
      </c>
      <c r="I362" s="150">
        <f t="shared" si="117"/>
        <v>0</v>
      </c>
      <c r="J362" s="150">
        <f t="shared" si="117"/>
        <v>0</v>
      </c>
      <c r="K362" s="196"/>
      <c r="L362" s="197"/>
      <c r="M362" s="191">
        <f t="shared" si="118"/>
        <v>0</v>
      </c>
      <c r="N362" s="150">
        <f t="shared" si="118"/>
        <v>0</v>
      </c>
      <c r="O362" s="193">
        <f t="shared" si="118"/>
        <v>0</v>
      </c>
      <c r="P362" s="162">
        <f t="shared" si="119"/>
        <v>0</v>
      </c>
      <c r="Q362" s="162">
        <f t="shared" si="119"/>
        <v>0</v>
      </c>
      <c r="R362" s="162">
        <f t="shared" si="119"/>
        <v>0</v>
      </c>
      <c r="S362" s="162">
        <f t="shared" si="119"/>
        <v>0</v>
      </c>
      <c r="T362" s="162">
        <f t="shared" si="119"/>
        <v>0</v>
      </c>
      <c r="U362" s="162">
        <f t="shared" si="119"/>
        <v>0</v>
      </c>
      <c r="V362" s="162">
        <f t="shared" si="119"/>
        <v>0</v>
      </c>
      <c r="W362" s="162">
        <f t="shared" si="119"/>
        <v>0</v>
      </c>
      <c r="X362" s="162">
        <f t="shared" si="119"/>
        <v>0</v>
      </c>
      <c r="Y362" s="162">
        <f t="shared" si="119"/>
        <v>0</v>
      </c>
      <c r="Z362" s="162">
        <f t="shared" si="119"/>
        <v>0</v>
      </c>
      <c r="AA362" s="162">
        <f t="shared" si="119"/>
        <v>0</v>
      </c>
      <c r="AB362" s="163">
        <f t="shared" si="114"/>
        <v>0</v>
      </c>
      <c r="AC362" s="198"/>
      <c r="AE362" s="194" t="str">
        <f>IF(J362=0,"",VLOOKUP(J362,#REF!,2,0)&amp;" - "&amp;J362&amp;" ("&amp;F362&amp;" - "&amp;G362&amp;")")</f>
        <v/>
      </c>
      <c r="AF362" s="161">
        <f t="shared" si="120"/>
        <v>0</v>
      </c>
      <c r="AG362" s="162">
        <f t="shared" si="120"/>
        <v>0</v>
      </c>
      <c r="AH362" s="162">
        <f t="shared" si="120"/>
        <v>0</v>
      </c>
      <c r="AI362" s="162">
        <f t="shared" si="120"/>
        <v>0</v>
      </c>
      <c r="AJ362" s="162">
        <f t="shared" si="120"/>
        <v>0</v>
      </c>
      <c r="AK362" s="162">
        <f t="shared" si="120"/>
        <v>0</v>
      </c>
      <c r="AL362" s="162">
        <f t="shared" si="120"/>
        <v>0</v>
      </c>
      <c r="AM362" s="162">
        <f t="shared" si="120"/>
        <v>0</v>
      </c>
      <c r="AN362" s="162">
        <f t="shared" si="120"/>
        <v>0</v>
      </c>
      <c r="AO362" s="162">
        <f t="shared" si="120"/>
        <v>0</v>
      </c>
      <c r="AP362" s="162">
        <f t="shared" si="120"/>
        <v>0</v>
      </c>
      <c r="AQ362" s="162">
        <f t="shared" si="120"/>
        <v>0</v>
      </c>
      <c r="AR362" s="163">
        <f t="shared" si="116"/>
        <v>0</v>
      </c>
      <c r="AT362" s="208">
        <f>IFERROR(VLOOKUP(J362,#REF!,10,0),0)</f>
        <v>0</v>
      </c>
    </row>
    <row r="363" spans="1:46" hidden="1" outlineLevel="1" x14ac:dyDescent="0.25">
      <c r="A363" s="14" t="str">
        <f t="shared" si="109"/>
        <v>PROP_OPER__31</v>
      </c>
      <c r="B363" s="15" t="str">
        <f t="shared" si="110"/>
        <v>PROP_OPER__0_0</v>
      </c>
      <c r="D363" s="15">
        <v>1</v>
      </c>
      <c r="E363" s="15">
        <v>31</v>
      </c>
      <c r="F363" s="190">
        <f t="shared" si="117"/>
        <v>0</v>
      </c>
      <c r="G363" s="149" t="str">
        <f t="shared" si="117"/>
        <v/>
      </c>
      <c r="H363" s="150" t="str">
        <f t="shared" si="117"/>
        <v/>
      </c>
      <c r="I363" s="150">
        <f t="shared" si="117"/>
        <v>0</v>
      </c>
      <c r="J363" s="150">
        <f t="shared" si="117"/>
        <v>0</v>
      </c>
      <c r="K363" s="196"/>
      <c r="L363" s="197"/>
      <c r="M363" s="191">
        <f t="shared" si="118"/>
        <v>0</v>
      </c>
      <c r="N363" s="150">
        <f t="shared" si="118"/>
        <v>0</v>
      </c>
      <c r="O363" s="193">
        <f t="shared" si="118"/>
        <v>0</v>
      </c>
      <c r="P363" s="162">
        <f t="shared" si="119"/>
        <v>0</v>
      </c>
      <c r="Q363" s="162">
        <f t="shared" si="119"/>
        <v>0</v>
      </c>
      <c r="R363" s="162">
        <f t="shared" si="119"/>
        <v>0</v>
      </c>
      <c r="S363" s="162">
        <f t="shared" si="119"/>
        <v>0</v>
      </c>
      <c r="T363" s="162">
        <f t="shared" si="119"/>
        <v>0</v>
      </c>
      <c r="U363" s="162">
        <f t="shared" si="119"/>
        <v>0</v>
      </c>
      <c r="V363" s="162">
        <f t="shared" si="119"/>
        <v>0</v>
      </c>
      <c r="W363" s="162">
        <f t="shared" si="119"/>
        <v>0</v>
      </c>
      <c r="X363" s="162">
        <f t="shared" si="119"/>
        <v>0</v>
      </c>
      <c r="Y363" s="162">
        <f t="shared" si="119"/>
        <v>0</v>
      </c>
      <c r="Z363" s="162">
        <f t="shared" si="119"/>
        <v>0</v>
      </c>
      <c r="AA363" s="162">
        <f t="shared" si="119"/>
        <v>0</v>
      </c>
      <c r="AB363" s="163">
        <f t="shared" si="114"/>
        <v>0</v>
      </c>
      <c r="AC363" s="198"/>
      <c r="AE363" s="194" t="str">
        <f>IF(J363=0,"",VLOOKUP(J363,#REF!,2,0)&amp;" - "&amp;J363&amp;" ("&amp;F363&amp;" - "&amp;G363&amp;")")</f>
        <v/>
      </c>
      <c r="AF363" s="161">
        <f t="shared" si="120"/>
        <v>0</v>
      </c>
      <c r="AG363" s="162">
        <f t="shared" si="120"/>
        <v>0</v>
      </c>
      <c r="AH363" s="162">
        <f t="shared" si="120"/>
        <v>0</v>
      </c>
      <c r="AI363" s="162">
        <f t="shared" si="120"/>
        <v>0</v>
      </c>
      <c r="AJ363" s="162">
        <f t="shared" si="120"/>
        <v>0</v>
      </c>
      <c r="AK363" s="162">
        <f t="shared" si="120"/>
        <v>0</v>
      </c>
      <c r="AL363" s="162">
        <f t="shared" si="120"/>
        <v>0</v>
      </c>
      <c r="AM363" s="162">
        <f t="shared" si="120"/>
        <v>0</v>
      </c>
      <c r="AN363" s="162">
        <f t="shared" si="120"/>
        <v>0</v>
      </c>
      <c r="AO363" s="162">
        <f t="shared" si="120"/>
        <v>0</v>
      </c>
      <c r="AP363" s="162">
        <f t="shared" si="120"/>
        <v>0</v>
      </c>
      <c r="AQ363" s="162">
        <f t="shared" si="120"/>
        <v>0</v>
      </c>
      <c r="AR363" s="163">
        <f t="shared" si="116"/>
        <v>0</v>
      </c>
      <c r="AT363" s="208">
        <f>IFERROR(VLOOKUP(J363,#REF!,10,0),0)</f>
        <v>0</v>
      </c>
    </row>
    <row r="364" spans="1:46" hidden="1" outlineLevel="1" x14ac:dyDescent="0.25">
      <c r="A364" s="14" t="str">
        <f t="shared" si="109"/>
        <v>PROP_OPER__32</v>
      </c>
      <c r="B364" s="15" t="str">
        <f t="shared" si="110"/>
        <v>PROP_OPER__0_0</v>
      </c>
      <c r="D364" s="15">
        <v>1</v>
      </c>
      <c r="E364" s="15">
        <v>32</v>
      </c>
      <c r="F364" s="190">
        <f t="shared" si="117"/>
        <v>0</v>
      </c>
      <c r="G364" s="149" t="str">
        <f t="shared" si="117"/>
        <v/>
      </c>
      <c r="H364" s="150" t="str">
        <f t="shared" si="117"/>
        <v/>
      </c>
      <c r="I364" s="150">
        <f t="shared" si="117"/>
        <v>0</v>
      </c>
      <c r="J364" s="150">
        <f t="shared" si="117"/>
        <v>0</v>
      </c>
      <c r="K364" s="196"/>
      <c r="L364" s="197"/>
      <c r="M364" s="191">
        <f t="shared" si="118"/>
        <v>0</v>
      </c>
      <c r="N364" s="150">
        <f t="shared" si="118"/>
        <v>0</v>
      </c>
      <c r="O364" s="193">
        <f t="shared" si="118"/>
        <v>0</v>
      </c>
      <c r="P364" s="162">
        <f t="shared" si="119"/>
        <v>0</v>
      </c>
      <c r="Q364" s="162">
        <f t="shared" si="119"/>
        <v>0</v>
      </c>
      <c r="R364" s="162">
        <f t="shared" si="119"/>
        <v>0</v>
      </c>
      <c r="S364" s="162">
        <f t="shared" si="119"/>
        <v>0</v>
      </c>
      <c r="T364" s="162">
        <f t="shared" si="119"/>
        <v>0</v>
      </c>
      <c r="U364" s="162">
        <f t="shared" si="119"/>
        <v>0</v>
      </c>
      <c r="V364" s="162">
        <f t="shared" si="119"/>
        <v>0</v>
      </c>
      <c r="W364" s="162">
        <f t="shared" si="119"/>
        <v>0</v>
      </c>
      <c r="X364" s="162">
        <f t="shared" si="119"/>
        <v>0</v>
      </c>
      <c r="Y364" s="162">
        <f t="shared" si="119"/>
        <v>0</v>
      </c>
      <c r="Z364" s="162">
        <f t="shared" si="119"/>
        <v>0</v>
      </c>
      <c r="AA364" s="162">
        <f t="shared" si="119"/>
        <v>0</v>
      </c>
      <c r="AB364" s="163">
        <f t="shared" si="114"/>
        <v>0</v>
      </c>
      <c r="AC364" s="198"/>
      <c r="AE364" s="194" t="str">
        <f>IF(J364=0,"",VLOOKUP(J364,#REF!,2,0)&amp;" - "&amp;J364&amp;" ("&amp;F364&amp;" - "&amp;G364&amp;")")</f>
        <v/>
      </c>
      <c r="AF364" s="161">
        <f t="shared" si="120"/>
        <v>0</v>
      </c>
      <c r="AG364" s="162">
        <f t="shared" si="120"/>
        <v>0</v>
      </c>
      <c r="AH364" s="162">
        <f t="shared" si="120"/>
        <v>0</v>
      </c>
      <c r="AI364" s="162">
        <f t="shared" si="120"/>
        <v>0</v>
      </c>
      <c r="AJ364" s="162">
        <f t="shared" si="120"/>
        <v>0</v>
      </c>
      <c r="AK364" s="162">
        <f t="shared" si="120"/>
        <v>0</v>
      </c>
      <c r="AL364" s="162">
        <f t="shared" si="120"/>
        <v>0</v>
      </c>
      <c r="AM364" s="162">
        <f t="shared" si="120"/>
        <v>0</v>
      </c>
      <c r="AN364" s="162">
        <f t="shared" si="120"/>
        <v>0</v>
      </c>
      <c r="AO364" s="162">
        <f t="shared" si="120"/>
        <v>0</v>
      </c>
      <c r="AP364" s="162">
        <f t="shared" si="120"/>
        <v>0</v>
      </c>
      <c r="AQ364" s="162">
        <f t="shared" si="120"/>
        <v>0</v>
      </c>
      <c r="AR364" s="163">
        <f t="shared" si="116"/>
        <v>0</v>
      </c>
      <c r="AT364" s="208">
        <f>IFERROR(VLOOKUP(J364,#REF!,10,0),0)</f>
        <v>0</v>
      </c>
    </row>
    <row r="365" spans="1:46" hidden="1" outlineLevel="1" x14ac:dyDescent="0.25">
      <c r="A365" s="14" t="str">
        <f t="shared" si="109"/>
        <v>PROP_OPER__33</v>
      </c>
      <c r="B365" s="15" t="str">
        <f t="shared" si="110"/>
        <v>PROP_OPER__0_0</v>
      </c>
      <c r="D365" s="15">
        <v>1</v>
      </c>
      <c r="E365" s="15">
        <v>33</v>
      </c>
      <c r="F365" s="190">
        <f t="shared" ref="F365:J377" si="121">F126</f>
        <v>0</v>
      </c>
      <c r="G365" s="149" t="str">
        <f t="shared" si="121"/>
        <v/>
      </c>
      <c r="H365" s="150" t="str">
        <f t="shared" si="121"/>
        <v/>
      </c>
      <c r="I365" s="150">
        <f t="shared" si="121"/>
        <v>0</v>
      </c>
      <c r="J365" s="150">
        <f t="shared" si="121"/>
        <v>0</v>
      </c>
      <c r="K365" s="196"/>
      <c r="L365" s="197"/>
      <c r="M365" s="191">
        <f t="shared" ref="M365:O377" si="122">M126</f>
        <v>0</v>
      </c>
      <c r="N365" s="150">
        <f t="shared" si="122"/>
        <v>0</v>
      </c>
      <c r="O365" s="193">
        <f t="shared" si="122"/>
        <v>0</v>
      </c>
      <c r="P365" s="162">
        <f t="shared" ref="P365:AA377" si="123">IFERROR(SUMIF($B$16:$B$43,$C365&amp;$I365,P$16:P$43)/SUMIF($D$16:$D$43,$I365,P$16:P$43)*P126,0)</f>
        <v>0</v>
      </c>
      <c r="Q365" s="162">
        <f t="shared" si="123"/>
        <v>0</v>
      </c>
      <c r="R365" s="162">
        <f t="shared" si="123"/>
        <v>0</v>
      </c>
      <c r="S365" s="162">
        <f t="shared" si="123"/>
        <v>0</v>
      </c>
      <c r="T365" s="162">
        <f t="shared" si="123"/>
        <v>0</v>
      </c>
      <c r="U365" s="162">
        <f t="shared" si="123"/>
        <v>0</v>
      </c>
      <c r="V365" s="162">
        <f t="shared" si="123"/>
        <v>0</v>
      </c>
      <c r="W365" s="162">
        <f t="shared" si="123"/>
        <v>0</v>
      </c>
      <c r="X365" s="162">
        <f t="shared" si="123"/>
        <v>0</v>
      </c>
      <c r="Y365" s="162">
        <f t="shared" si="123"/>
        <v>0</v>
      </c>
      <c r="Z365" s="162">
        <f t="shared" si="123"/>
        <v>0</v>
      </c>
      <c r="AA365" s="162">
        <f t="shared" si="123"/>
        <v>0</v>
      </c>
      <c r="AB365" s="163">
        <f t="shared" si="114"/>
        <v>0</v>
      </c>
      <c r="AC365" s="198"/>
      <c r="AE365" s="194" t="str">
        <f>IF(J365=0,"",VLOOKUP(J365,#REF!,2,0)&amp;" - "&amp;J365&amp;" ("&amp;F365&amp;" - "&amp;G365&amp;")")</f>
        <v/>
      </c>
      <c r="AF365" s="161">
        <f t="shared" ref="AF365:AQ377" si="124">IFERROR(SUMIF($B$16:$B$43,$C365&amp;$I365,P$16:P$43)/SUMIF($D$16:$D$43,$I365,P$16:P$43)*AF126,0)</f>
        <v>0</v>
      </c>
      <c r="AG365" s="162">
        <f t="shared" si="124"/>
        <v>0</v>
      </c>
      <c r="AH365" s="162">
        <f t="shared" si="124"/>
        <v>0</v>
      </c>
      <c r="AI365" s="162">
        <f t="shared" si="124"/>
        <v>0</v>
      </c>
      <c r="AJ365" s="162">
        <f t="shared" si="124"/>
        <v>0</v>
      </c>
      <c r="AK365" s="162">
        <f t="shared" si="124"/>
        <v>0</v>
      </c>
      <c r="AL365" s="162">
        <f t="shared" si="124"/>
        <v>0</v>
      </c>
      <c r="AM365" s="162">
        <f t="shared" si="124"/>
        <v>0</v>
      </c>
      <c r="AN365" s="162">
        <f t="shared" si="124"/>
        <v>0</v>
      </c>
      <c r="AO365" s="162">
        <f t="shared" si="124"/>
        <v>0</v>
      </c>
      <c r="AP365" s="162">
        <f t="shared" si="124"/>
        <v>0</v>
      </c>
      <c r="AQ365" s="162">
        <f t="shared" si="124"/>
        <v>0</v>
      </c>
      <c r="AR365" s="163">
        <f t="shared" si="116"/>
        <v>0</v>
      </c>
      <c r="AT365" s="208">
        <f>IFERROR(VLOOKUP(J365,#REF!,10,0),0)</f>
        <v>0</v>
      </c>
    </row>
    <row r="366" spans="1:46" hidden="1" outlineLevel="1" x14ac:dyDescent="0.25">
      <c r="A366" s="14" t="str">
        <f t="shared" si="109"/>
        <v>PROP_OPER__34</v>
      </c>
      <c r="B366" s="15" t="str">
        <f t="shared" si="110"/>
        <v>PROP_OPER__0_0</v>
      </c>
      <c r="D366" s="15">
        <v>1</v>
      </c>
      <c r="E366" s="15">
        <v>34</v>
      </c>
      <c r="F366" s="190">
        <f t="shared" si="121"/>
        <v>0</v>
      </c>
      <c r="G366" s="149" t="str">
        <f t="shared" si="121"/>
        <v/>
      </c>
      <c r="H366" s="150" t="str">
        <f t="shared" si="121"/>
        <v/>
      </c>
      <c r="I366" s="150">
        <f t="shared" si="121"/>
        <v>0</v>
      </c>
      <c r="J366" s="150">
        <f t="shared" si="121"/>
        <v>0</v>
      </c>
      <c r="K366" s="196"/>
      <c r="L366" s="197"/>
      <c r="M366" s="191">
        <f t="shared" si="122"/>
        <v>0</v>
      </c>
      <c r="N366" s="150">
        <f t="shared" si="122"/>
        <v>0</v>
      </c>
      <c r="O366" s="193">
        <f t="shared" si="122"/>
        <v>0</v>
      </c>
      <c r="P366" s="162">
        <f t="shared" si="123"/>
        <v>0</v>
      </c>
      <c r="Q366" s="162">
        <f t="shared" si="123"/>
        <v>0</v>
      </c>
      <c r="R366" s="162">
        <f t="shared" si="123"/>
        <v>0</v>
      </c>
      <c r="S366" s="162">
        <f t="shared" si="123"/>
        <v>0</v>
      </c>
      <c r="T366" s="162">
        <f t="shared" si="123"/>
        <v>0</v>
      </c>
      <c r="U366" s="162">
        <f t="shared" si="123"/>
        <v>0</v>
      </c>
      <c r="V366" s="162">
        <f t="shared" si="123"/>
        <v>0</v>
      </c>
      <c r="W366" s="162">
        <f t="shared" si="123"/>
        <v>0</v>
      </c>
      <c r="X366" s="162">
        <f t="shared" si="123"/>
        <v>0</v>
      </c>
      <c r="Y366" s="162">
        <f t="shared" si="123"/>
        <v>0</v>
      </c>
      <c r="Z366" s="162">
        <f t="shared" si="123"/>
        <v>0</v>
      </c>
      <c r="AA366" s="162">
        <f t="shared" si="123"/>
        <v>0</v>
      </c>
      <c r="AB366" s="163">
        <f t="shared" si="114"/>
        <v>0</v>
      </c>
      <c r="AC366" s="198"/>
      <c r="AE366" s="194" t="str">
        <f>IF(J366=0,"",VLOOKUP(J366,#REF!,2,0)&amp;" - "&amp;J366&amp;" ("&amp;F366&amp;" - "&amp;G366&amp;")")</f>
        <v/>
      </c>
      <c r="AF366" s="161">
        <f t="shared" si="124"/>
        <v>0</v>
      </c>
      <c r="AG366" s="162">
        <f t="shared" si="124"/>
        <v>0</v>
      </c>
      <c r="AH366" s="162">
        <f t="shared" si="124"/>
        <v>0</v>
      </c>
      <c r="AI366" s="162">
        <f t="shared" si="124"/>
        <v>0</v>
      </c>
      <c r="AJ366" s="162">
        <f t="shared" si="124"/>
        <v>0</v>
      </c>
      <c r="AK366" s="162">
        <f t="shared" si="124"/>
        <v>0</v>
      </c>
      <c r="AL366" s="162">
        <f t="shared" si="124"/>
        <v>0</v>
      </c>
      <c r="AM366" s="162">
        <f t="shared" si="124"/>
        <v>0</v>
      </c>
      <c r="AN366" s="162">
        <f t="shared" si="124"/>
        <v>0</v>
      </c>
      <c r="AO366" s="162">
        <f t="shared" si="124"/>
        <v>0</v>
      </c>
      <c r="AP366" s="162">
        <f t="shared" si="124"/>
        <v>0</v>
      </c>
      <c r="AQ366" s="162">
        <f t="shared" si="124"/>
        <v>0</v>
      </c>
      <c r="AR366" s="163">
        <f t="shared" si="116"/>
        <v>0</v>
      </c>
      <c r="AT366" s="208">
        <f>IFERROR(VLOOKUP(J366,#REF!,10,0),0)</f>
        <v>0</v>
      </c>
    </row>
    <row r="367" spans="1:46" hidden="1" outlineLevel="1" x14ac:dyDescent="0.25">
      <c r="A367" s="14" t="str">
        <f t="shared" si="109"/>
        <v>PROP_OPER__35</v>
      </c>
      <c r="B367" s="15" t="str">
        <f t="shared" si="110"/>
        <v>PROP_OPER__0_0</v>
      </c>
      <c r="D367" s="15">
        <v>1</v>
      </c>
      <c r="E367" s="15">
        <v>35</v>
      </c>
      <c r="F367" s="190">
        <f t="shared" si="121"/>
        <v>0</v>
      </c>
      <c r="G367" s="149" t="str">
        <f t="shared" si="121"/>
        <v/>
      </c>
      <c r="H367" s="150" t="str">
        <f t="shared" si="121"/>
        <v/>
      </c>
      <c r="I367" s="150">
        <f t="shared" si="121"/>
        <v>0</v>
      </c>
      <c r="J367" s="150">
        <f t="shared" si="121"/>
        <v>0</v>
      </c>
      <c r="K367" s="196"/>
      <c r="L367" s="197"/>
      <c r="M367" s="191">
        <f t="shared" si="122"/>
        <v>0</v>
      </c>
      <c r="N367" s="150">
        <f t="shared" si="122"/>
        <v>0</v>
      </c>
      <c r="O367" s="193">
        <f t="shared" si="122"/>
        <v>0</v>
      </c>
      <c r="P367" s="162">
        <f t="shared" si="123"/>
        <v>0</v>
      </c>
      <c r="Q367" s="162">
        <f t="shared" si="123"/>
        <v>0</v>
      </c>
      <c r="R367" s="162">
        <f t="shared" si="123"/>
        <v>0</v>
      </c>
      <c r="S367" s="162">
        <f t="shared" si="123"/>
        <v>0</v>
      </c>
      <c r="T367" s="162">
        <f t="shared" si="123"/>
        <v>0</v>
      </c>
      <c r="U367" s="162">
        <f t="shared" si="123"/>
        <v>0</v>
      </c>
      <c r="V367" s="162">
        <f t="shared" si="123"/>
        <v>0</v>
      </c>
      <c r="W367" s="162">
        <f t="shared" si="123"/>
        <v>0</v>
      </c>
      <c r="X367" s="162">
        <f t="shared" si="123"/>
        <v>0</v>
      </c>
      <c r="Y367" s="162">
        <f t="shared" si="123"/>
        <v>0</v>
      </c>
      <c r="Z367" s="162">
        <f t="shared" si="123"/>
        <v>0</v>
      </c>
      <c r="AA367" s="162">
        <f t="shared" si="123"/>
        <v>0</v>
      </c>
      <c r="AB367" s="163">
        <f t="shared" si="114"/>
        <v>0</v>
      </c>
      <c r="AC367" s="198"/>
      <c r="AE367" s="194" t="str">
        <f>IF(J367=0,"",VLOOKUP(J367,#REF!,2,0)&amp;" - "&amp;J367&amp;" ("&amp;F367&amp;" - "&amp;G367&amp;")")</f>
        <v/>
      </c>
      <c r="AF367" s="161">
        <f t="shared" si="124"/>
        <v>0</v>
      </c>
      <c r="AG367" s="162">
        <f t="shared" si="124"/>
        <v>0</v>
      </c>
      <c r="AH367" s="162">
        <f t="shared" si="124"/>
        <v>0</v>
      </c>
      <c r="AI367" s="162">
        <f t="shared" si="124"/>
        <v>0</v>
      </c>
      <c r="AJ367" s="162">
        <f t="shared" si="124"/>
        <v>0</v>
      </c>
      <c r="AK367" s="162">
        <f t="shared" si="124"/>
        <v>0</v>
      </c>
      <c r="AL367" s="162">
        <f t="shared" si="124"/>
        <v>0</v>
      </c>
      <c r="AM367" s="162">
        <f t="shared" si="124"/>
        <v>0</v>
      </c>
      <c r="AN367" s="162">
        <f t="shared" si="124"/>
        <v>0</v>
      </c>
      <c r="AO367" s="162">
        <f t="shared" si="124"/>
        <v>0</v>
      </c>
      <c r="AP367" s="162">
        <f t="shared" si="124"/>
        <v>0</v>
      </c>
      <c r="AQ367" s="162">
        <f t="shared" si="124"/>
        <v>0</v>
      </c>
      <c r="AR367" s="163">
        <f t="shared" si="116"/>
        <v>0</v>
      </c>
      <c r="AT367" s="208">
        <f>IFERROR(VLOOKUP(J367,#REF!,10,0),0)</f>
        <v>0</v>
      </c>
    </row>
    <row r="368" spans="1:46" hidden="1" outlineLevel="1" x14ac:dyDescent="0.25">
      <c r="A368" s="14" t="str">
        <f t="shared" si="109"/>
        <v>PROP_OPER__36</v>
      </c>
      <c r="B368" s="15" t="str">
        <f t="shared" si="110"/>
        <v>PROP_OPER__0_0</v>
      </c>
      <c r="D368" s="15">
        <v>1</v>
      </c>
      <c r="E368" s="15">
        <v>36</v>
      </c>
      <c r="F368" s="190">
        <f t="shared" si="121"/>
        <v>0</v>
      </c>
      <c r="G368" s="149" t="str">
        <f t="shared" si="121"/>
        <v/>
      </c>
      <c r="H368" s="150" t="str">
        <f t="shared" si="121"/>
        <v/>
      </c>
      <c r="I368" s="150">
        <f t="shared" si="121"/>
        <v>0</v>
      </c>
      <c r="J368" s="150">
        <f t="shared" si="121"/>
        <v>0</v>
      </c>
      <c r="K368" s="196"/>
      <c r="L368" s="197"/>
      <c r="M368" s="191">
        <f t="shared" si="122"/>
        <v>0</v>
      </c>
      <c r="N368" s="150">
        <f t="shared" si="122"/>
        <v>0</v>
      </c>
      <c r="O368" s="193">
        <f t="shared" si="122"/>
        <v>0</v>
      </c>
      <c r="P368" s="162">
        <f t="shared" si="123"/>
        <v>0</v>
      </c>
      <c r="Q368" s="162">
        <f t="shared" si="123"/>
        <v>0</v>
      </c>
      <c r="R368" s="162">
        <f t="shared" si="123"/>
        <v>0</v>
      </c>
      <c r="S368" s="162">
        <f t="shared" si="123"/>
        <v>0</v>
      </c>
      <c r="T368" s="162">
        <f t="shared" si="123"/>
        <v>0</v>
      </c>
      <c r="U368" s="162">
        <f t="shared" si="123"/>
        <v>0</v>
      </c>
      <c r="V368" s="162">
        <f t="shared" si="123"/>
        <v>0</v>
      </c>
      <c r="W368" s="162">
        <f t="shared" si="123"/>
        <v>0</v>
      </c>
      <c r="X368" s="162">
        <f t="shared" si="123"/>
        <v>0</v>
      </c>
      <c r="Y368" s="162">
        <f t="shared" si="123"/>
        <v>0</v>
      </c>
      <c r="Z368" s="162">
        <f t="shared" si="123"/>
        <v>0</v>
      </c>
      <c r="AA368" s="162">
        <f t="shared" si="123"/>
        <v>0</v>
      </c>
      <c r="AB368" s="163">
        <f t="shared" si="114"/>
        <v>0</v>
      </c>
      <c r="AC368" s="198"/>
      <c r="AE368" s="194" t="str">
        <f>IF(J368=0,"",VLOOKUP(J368,#REF!,2,0)&amp;" - "&amp;J368&amp;" ("&amp;F368&amp;" - "&amp;G368&amp;")")</f>
        <v/>
      </c>
      <c r="AF368" s="161">
        <f t="shared" si="124"/>
        <v>0</v>
      </c>
      <c r="AG368" s="162">
        <f t="shared" si="124"/>
        <v>0</v>
      </c>
      <c r="AH368" s="162">
        <f t="shared" si="124"/>
        <v>0</v>
      </c>
      <c r="AI368" s="162">
        <f t="shared" si="124"/>
        <v>0</v>
      </c>
      <c r="AJ368" s="162">
        <f t="shared" si="124"/>
        <v>0</v>
      </c>
      <c r="AK368" s="162">
        <f t="shared" si="124"/>
        <v>0</v>
      </c>
      <c r="AL368" s="162">
        <f t="shared" si="124"/>
        <v>0</v>
      </c>
      <c r="AM368" s="162">
        <f t="shared" si="124"/>
        <v>0</v>
      </c>
      <c r="AN368" s="162">
        <f t="shared" si="124"/>
        <v>0</v>
      </c>
      <c r="AO368" s="162">
        <f t="shared" si="124"/>
        <v>0</v>
      </c>
      <c r="AP368" s="162">
        <f t="shared" si="124"/>
        <v>0</v>
      </c>
      <c r="AQ368" s="162">
        <f t="shared" si="124"/>
        <v>0</v>
      </c>
      <c r="AR368" s="163">
        <f t="shared" si="116"/>
        <v>0</v>
      </c>
      <c r="AT368" s="208">
        <f>IFERROR(VLOOKUP(J368,#REF!,10,0),0)</f>
        <v>0</v>
      </c>
    </row>
    <row r="369" spans="1:46" hidden="1" outlineLevel="1" x14ac:dyDescent="0.25">
      <c r="A369" s="14" t="str">
        <f t="shared" si="109"/>
        <v>PROP_OPER__37</v>
      </c>
      <c r="B369" s="15" t="str">
        <f t="shared" si="110"/>
        <v>PROP_OPER__0_0</v>
      </c>
      <c r="D369" s="15">
        <v>1</v>
      </c>
      <c r="E369" s="15">
        <v>37</v>
      </c>
      <c r="F369" s="190">
        <f t="shared" si="121"/>
        <v>0</v>
      </c>
      <c r="G369" s="149" t="str">
        <f t="shared" si="121"/>
        <v/>
      </c>
      <c r="H369" s="150" t="str">
        <f t="shared" si="121"/>
        <v/>
      </c>
      <c r="I369" s="150">
        <f t="shared" si="121"/>
        <v>0</v>
      </c>
      <c r="J369" s="150">
        <f t="shared" si="121"/>
        <v>0</v>
      </c>
      <c r="K369" s="196"/>
      <c r="L369" s="197"/>
      <c r="M369" s="191">
        <f t="shared" si="122"/>
        <v>0</v>
      </c>
      <c r="N369" s="150">
        <f t="shared" si="122"/>
        <v>0</v>
      </c>
      <c r="O369" s="193">
        <f t="shared" si="122"/>
        <v>0</v>
      </c>
      <c r="P369" s="162">
        <f t="shared" si="123"/>
        <v>0</v>
      </c>
      <c r="Q369" s="162">
        <f t="shared" si="123"/>
        <v>0</v>
      </c>
      <c r="R369" s="162">
        <f t="shared" si="123"/>
        <v>0</v>
      </c>
      <c r="S369" s="162">
        <f t="shared" si="123"/>
        <v>0</v>
      </c>
      <c r="T369" s="162">
        <f t="shared" si="123"/>
        <v>0</v>
      </c>
      <c r="U369" s="162">
        <f t="shared" si="123"/>
        <v>0</v>
      </c>
      <c r="V369" s="162">
        <f t="shared" si="123"/>
        <v>0</v>
      </c>
      <c r="W369" s="162">
        <f t="shared" si="123"/>
        <v>0</v>
      </c>
      <c r="X369" s="162">
        <f t="shared" si="123"/>
        <v>0</v>
      </c>
      <c r="Y369" s="162">
        <f t="shared" si="123"/>
        <v>0</v>
      </c>
      <c r="Z369" s="162">
        <f t="shared" si="123"/>
        <v>0</v>
      </c>
      <c r="AA369" s="162">
        <f t="shared" si="123"/>
        <v>0</v>
      </c>
      <c r="AB369" s="163">
        <f t="shared" si="114"/>
        <v>0</v>
      </c>
      <c r="AC369" s="198"/>
      <c r="AE369" s="194" t="str">
        <f>IF(J369=0,"",VLOOKUP(J369,#REF!,2,0)&amp;" - "&amp;J369&amp;" ("&amp;F369&amp;" - "&amp;G369&amp;")")</f>
        <v/>
      </c>
      <c r="AF369" s="161">
        <f t="shared" si="124"/>
        <v>0</v>
      </c>
      <c r="AG369" s="162">
        <f t="shared" si="124"/>
        <v>0</v>
      </c>
      <c r="AH369" s="162">
        <f t="shared" si="124"/>
        <v>0</v>
      </c>
      <c r="AI369" s="162">
        <f t="shared" si="124"/>
        <v>0</v>
      </c>
      <c r="AJ369" s="162">
        <f t="shared" si="124"/>
        <v>0</v>
      </c>
      <c r="AK369" s="162">
        <f t="shared" si="124"/>
        <v>0</v>
      </c>
      <c r="AL369" s="162">
        <f t="shared" si="124"/>
        <v>0</v>
      </c>
      <c r="AM369" s="162">
        <f t="shared" si="124"/>
        <v>0</v>
      </c>
      <c r="AN369" s="162">
        <f t="shared" si="124"/>
        <v>0</v>
      </c>
      <c r="AO369" s="162">
        <f t="shared" si="124"/>
        <v>0</v>
      </c>
      <c r="AP369" s="162">
        <f t="shared" si="124"/>
        <v>0</v>
      </c>
      <c r="AQ369" s="162">
        <f t="shared" si="124"/>
        <v>0</v>
      </c>
      <c r="AR369" s="163">
        <f t="shared" si="116"/>
        <v>0</v>
      </c>
      <c r="AT369" s="208">
        <f>IFERROR(VLOOKUP(J369,#REF!,10,0),0)</f>
        <v>0</v>
      </c>
    </row>
    <row r="370" spans="1:46" hidden="1" outlineLevel="1" x14ac:dyDescent="0.25">
      <c r="A370" s="14" t="str">
        <f t="shared" si="109"/>
        <v>PROP_OPER__38</v>
      </c>
      <c r="B370" s="15" t="str">
        <f t="shared" si="110"/>
        <v>PROP_OPER__0_0</v>
      </c>
      <c r="D370" s="15">
        <v>1</v>
      </c>
      <c r="E370" s="15">
        <v>38</v>
      </c>
      <c r="F370" s="190">
        <f t="shared" si="121"/>
        <v>0</v>
      </c>
      <c r="G370" s="149" t="str">
        <f t="shared" si="121"/>
        <v/>
      </c>
      <c r="H370" s="150" t="str">
        <f t="shared" si="121"/>
        <v/>
      </c>
      <c r="I370" s="150">
        <f t="shared" si="121"/>
        <v>0</v>
      </c>
      <c r="J370" s="150">
        <f t="shared" si="121"/>
        <v>0</v>
      </c>
      <c r="K370" s="196"/>
      <c r="L370" s="197"/>
      <c r="M370" s="191">
        <f t="shared" si="122"/>
        <v>0</v>
      </c>
      <c r="N370" s="150">
        <f t="shared" si="122"/>
        <v>0</v>
      </c>
      <c r="O370" s="193">
        <f t="shared" si="122"/>
        <v>0</v>
      </c>
      <c r="P370" s="162">
        <f t="shared" si="123"/>
        <v>0</v>
      </c>
      <c r="Q370" s="162">
        <f t="shared" si="123"/>
        <v>0</v>
      </c>
      <c r="R370" s="162">
        <f t="shared" si="123"/>
        <v>0</v>
      </c>
      <c r="S370" s="162">
        <f t="shared" si="123"/>
        <v>0</v>
      </c>
      <c r="T370" s="162">
        <f t="shared" si="123"/>
        <v>0</v>
      </c>
      <c r="U370" s="162">
        <f t="shared" si="123"/>
        <v>0</v>
      </c>
      <c r="V370" s="162">
        <f t="shared" si="123"/>
        <v>0</v>
      </c>
      <c r="W370" s="162">
        <f t="shared" si="123"/>
        <v>0</v>
      </c>
      <c r="X370" s="162">
        <f t="shared" si="123"/>
        <v>0</v>
      </c>
      <c r="Y370" s="162">
        <f t="shared" si="123"/>
        <v>0</v>
      </c>
      <c r="Z370" s="162">
        <f t="shared" si="123"/>
        <v>0</v>
      </c>
      <c r="AA370" s="162">
        <f t="shared" si="123"/>
        <v>0</v>
      </c>
      <c r="AB370" s="163">
        <f t="shared" si="114"/>
        <v>0</v>
      </c>
      <c r="AC370" s="198"/>
      <c r="AE370" s="194" t="str">
        <f>IF(J370=0,"",VLOOKUP(J370,#REF!,2,0)&amp;" - "&amp;J370&amp;" ("&amp;F370&amp;" - "&amp;G370&amp;")")</f>
        <v/>
      </c>
      <c r="AF370" s="161">
        <f t="shared" si="124"/>
        <v>0</v>
      </c>
      <c r="AG370" s="162">
        <f t="shared" si="124"/>
        <v>0</v>
      </c>
      <c r="AH370" s="162">
        <f t="shared" si="124"/>
        <v>0</v>
      </c>
      <c r="AI370" s="162">
        <f t="shared" si="124"/>
        <v>0</v>
      </c>
      <c r="AJ370" s="162">
        <f t="shared" si="124"/>
        <v>0</v>
      </c>
      <c r="AK370" s="162">
        <f t="shared" si="124"/>
        <v>0</v>
      </c>
      <c r="AL370" s="162">
        <f t="shared" si="124"/>
        <v>0</v>
      </c>
      <c r="AM370" s="162">
        <f t="shared" si="124"/>
        <v>0</v>
      </c>
      <c r="AN370" s="162">
        <f t="shared" si="124"/>
        <v>0</v>
      </c>
      <c r="AO370" s="162">
        <f t="shared" si="124"/>
        <v>0</v>
      </c>
      <c r="AP370" s="162">
        <f t="shared" si="124"/>
        <v>0</v>
      </c>
      <c r="AQ370" s="162">
        <f t="shared" si="124"/>
        <v>0</v>
      </c>
      <c r="AR370" s="163">
        <f t="shared" si="116"/>
        <v>0</v>
      </c>
      <c r="AT370" s="208">
        <f>IFERROR(VLOOKUP(J370,#REF!,10,0),0)</f>
        <v>0</v>
      </c>
    </row>
    <row r="371" spans="1:46" hidden="1" outlineLevel="1" x14ac:dyDescent="0.25">
      <c r="A371" s="14" t="str">
        <f t="shared" si="109"/>
        <v>PROP_OPER__39</v>
      </c>
      <c r="B371" s="15" t="str">
        <f t="shared" si="110"/>
        <v>PROP_OPER__0_0</v>
      </c>
      <c r="D371" s="15">
        <v>1</v>
      </c>
      <c r="E371" s="15">
        <v>39</v>
      </c>
      <c r="F371" s="190">
        <f t="shared" si="121"/>
        <v>0</v>
      </c>
      <c r="G371" s="149" t="str">
        <f t="shared" si="121"/>
        <v/>
      </c>
      <c r="H371" s="150" t="str">
        <f t="shared" si="121"/>
        <v/>
      </c>
      <c r="I371" s="150">
        <f t="shared" si="121"/>
        <v>0</v>
      </c>
      <c r="J371" s="150">
        <f t="shared" si="121"/>
        <v>0</v>
      </c>
      <c r="K371" s="196"/>
      <c r="L371" s="197"/>
      <c r="M371" s="191">
        <f t="shared" si="122"/>
        <v>0</v>
      </c>
      <c r="N371" s="150">
        <f t="shared" si="122"/>
        <v>0</v>
      </c>
      <c r="O371" s="193">
        <f t="shared" si="122"/>
        <v>0</v>
      </c>
      <c r="P371" s="162">
        <f t="shared" si="123"/>
        <v>0</v>
      </c>
      <c r="Q371" s="162">
        <f t="shared" si="123"/>
        <v>0</v>
      </c>
      <c r="R371" s="162">
        <f t="shared" si="123"/>
        <v>0</v>
      </c>
      <c r="S371" s="162">
        <f t="shared" si="123"/>
        <v>0</v>
      </c>
      <c r="T371" s="162">
        <f t="shared" si="123"/>
        <v>0</v>
      </c>
      <c r="U371" s="162">
        <f t="shared" si="123"/>
        <v>0</v>
      </c>
      <c r="V371" s="162">
        <f t="shared" si="123"/>
        <v>0</v>
      </c>
      <c r="W371" s="162">
        <f t="shared" si="123"/>
        <v>0</v>
      </c>
      <c r="X371" s="162">
        <f t="shared" si="123"/>
        <v>0</v>
      </c>
      <c r="Y371" s="162">
        <f t="shared" si="123"/>
        <v>0</v>
      </c>
      <c r="Z371" s="162">
        <f t="shared" si="123"/>
        <v>0</v>
      </c>
      <c r="AA371" s="162">
        <f t="shared" si="123"/>
        <v>0</v>
      </c>
      <c r="AB371" s="163">
        <f t="shared" si="114"/>
        <v>0</v>
      </c>
      <c r="AC371" s="198"/>
      <c r="AE371" s="194" t="str">
        <f>IF(J371=0,"",VLOOKUP(J371,#REF!,2,0)&amp;" - "&amp;J371&amp;" ("&amp;F371&amp;" - "&amp;G371&amp;")")</f>
        <v/>
      </c>
      <c r="AF371" s="161">
        <f t="shared" si="124"/>
        <v>0</v>
      </c>
      <c r="AG371" s="162">
        <f t="shared" si="124"/>
        <v>0</v>
      </c>
      <c r="AH371" s="162">
        <f t="shared" si="124"/>
        <v>0</v>
      </c>
      <c r="AI371" s="162">
        <f t="shared" si="124"/>
        <v>0</v>
      </c>
      <c r="AJ371" s="162">
        <f t="shared" si="124"/>
        <v>0</v>
      </c>
      <c r="AK371" s="162">
        <f t="shared" si="124"/>
        <v>0</v>
      </c>
      <c r="AL371" s="162">
        <f t="shared" si="124"/>
        <v>0</v>
      </c>
      <c r="AM371" s="162">
        <f t="shared" si="124"/>
        <v>0</v>
      </c>
      <c r="AN371" s="162">
        <f t="shared" si="124"/>
        <v>0</v>
      </c>
      <c r="AO371" s="162">
        <f t="shared" si="124"/>
        <v>0</v>
      </c>
      <c r="AP371" s="162">
        <f t="shared" si="124"/>
        <v>0</v>
      </c>
      <c r="AQ371" s="162">
        <f t="shared" si="124"/>
        <v>0</v>
      </c>
      <c r="AR371" s="163">
        <f t="shared" si="116"/>
        <v>0</v>
      </c>
      <c r="AT371" s="208">
        <f>IFERROR(VLOOKUP(J371,#REF!,10,0),0)</f>
        <v>0</v>
      </c>
    </row>
    <row r="372" spans="1:46" hidden="1" outlineLevel="1" x14ac:dyDescent="0.25">
      <c r="A372" s="14" t="str">
        <f t="shared" si="109"/>
        <v>PROP_OPER__40</v>
      </c>
      <c r="B372" s="15" t="str">
        <f t="shared" si="110"/>
        <v>PROP_OPER__0_0</v>
      </c>
      <c r="D372" s="15">
        <v>1</v>
      </c>
      <c r="E372" s="15">
        <v>40</v>
      </c>
      <c r="F372" s="190">
        <f t="shared" si="121"/>
        <v>0</v>
      </c>
      <c r="G372" s="149" t="str">
        <f t="shared" si="121"/>
        <v/>
      </c>
      <c r="H372" s="150" t="str">
        <f t="shared" si="121"/>
        <v/>
      </c>
      <c r="I372" s="150">
        <f t="shared" si="121"/>
        <v>0</v>
      </c>
      <c r="J372" s="150">
        <f t="shared" si="121"/>
        <v>0</v>
      </c>
      <c r="K372" s="196"/>
      <c r="L372" s="197"/>
      <c r="M372" s="191">
        <f t="shared" si="122"/>
        <v>0</v>
      </c>
      <c r="N372" s="150">
        <f t="shared" si="122"/>
        <v>0</v>
      </c>
      <c r="O372" s="193">
        <f t="shared" si="122"/>
        <v>0</v>
      </c>
      <c r="P372" s="162">
        <f t="shared" si="123"/>
        <v>0</v>
      </c>
      <c r="Q372" s="162">
        <f t="shared" si="123"/>
        <v>0</v>
      </c>
      <c r="R372" s="162">
        <f t="shared" si="123"/>
        <v>0</v>
      </c>
      <c r="S372" s="162">
        <f t="shared" si="123"/>
        <v>0</v>
      </c>
      <c r="T372" s="162">
        <f t="shared" si="123"/>
        <v>0</v>
      </c>
      <c r="U372" s="162">
        <f t="shared" si="123"/>
        <v>0</v>
      </c>
      <c r="V372" s="162">
        <f t="shared" si="123"/>
        <v>0</v>
      </c>
      <c r="W372" s="162">
        <f t="shared" si="123"/>
        <v>0</v>
      </c>
      <c r="X372" s="162">
        <f t="shared" si="123"/>
        <v>0</v>
      </c>
      <c r="Y372" s="162">
        <f t="shared" si="123"/>
        <v>0</v>
      </c>
      <c r="Z372" s="162">
        <f t="shared" si="123"/>
        <v>0</v>
      </c>
      <c r="AA372" s="162">
        <f t="shared" si="123"/>
        <v>0</v>
      </c>
      <c r="AB372" s="163">
        <f t="shared" si="114"/>
        <v>0</v>
      </c>
      <c r="AC372" s="198"/>
      <c r="AE372" s="194" t="str">
        <f>IF(J372=0,"",VLOOKUP(J372,#REF!,2,0)&amp;" - "&amp;J372&amp;" ("&amp;F372&amp;" - "&amp;G372&amp;")")</f>
        <v/>
      </c>
      <c r="AF372" s="161">
        <f t="shared" si="124"/>
        <v>0</v>
      </c>
      <c r="AG372" s="162">
        <f t="shared" si="124"/>
        <v>0</v>
      </c>
      <c r="AH372" s="162">
        <f t="shared" si="124"/>
        <v>0</v>
      </c>
      <c r="AI372" s="162">
        <f t="shared" si="124"/>
        <v>0</v>
      </c>
      <c r="AJ372" s="162">
        <f t="shared" si="124"/>
        <v>0</v>
      </c>
      <c r="AK372" s="162">
        <f t="shared" si="124"/>
        <v>0</v>
      </c>
      <c r="AL372" s="162">
        <f t="shared" si="124"/>
        <v>0</v>
      </c>
      <c r="AM372" s="162">
        <f t="shared" si="124"/>
        <v>0</v>
      </c>
      <c r="AN372" s="162">
        <f t="shared" si="124"/>
        <v>0</v>
      </c>
      <c r="AO372" s="162">
        <f t="shared" si="124"/>
        <v>0</v>
      </c>
      <c r="AP372" s="162">
        <f t="shared" si="124"/>
        <v>0</v>
      </c>
      <c r="AQ372" s="162">
        <f t="shared" si="124"/>
        <v>0</v>
      </c>
      <c r="AR372" s="163">
        <f t="shared" si="116"/>
        <v>0</v>
      </c>
      <c r="AT372" s="208">
        <f>IFERROR(VLOOKUP(J372,#REF!,10,0),0)</f>
        <v>0</v>
      </c>
    </row>
    <row r="373" spans="1:46" hidden="1" outlineLevel="1" x14ac:dyDescent="0.25">
      <c r="A373" s="14" t="str">
        <f t="shared" si="109"/>
        <v>PROP_OPER__41</v>
      </c>
      <c r="B373" s="15" t="str">
        <f t="shared" si="110"/>
        <v>PROP_OPER__0_0</v>
      </c>
      <c r="D373" s="15">
        <v>1</v>
      </c>
      <c r="E373" s="15">
        <v>41</v>
      </c>
      <c r="F373" s="190">
        <f t="shared" si="121"/>
        <v>0</v>
      </c>
      <c r="G373" s="149" t="str">
        <f t="shared" si="121"/>
        <v/>
      </c>
      <c r="H373" s="150" t="str">
        <f t="shared" si="121"/>
        <v/>
      </c>
      <c r="I373" s="150">
        <f t="shared" si="121"/>
        <v>0</v>
      </c>
      <c r="J373" s="150">
        <f t="shared" si="121"/>
        <v>0</v>
      </c>
      <c r="K373" s="196"/>
      <c r="L373" s="197"/>
      <c r="M373" s="191">
        <f t="shared" si="122"/>
        <v>0</v>
      </c>
      <c r="N373" s="150">
        <f t="shared" si="122"/>
        <v>0</v>
      </c>
      <c r="O373" s="193">
        <f t="shared" si="122"/>
        <v>0</v>
      </c>
      <c r="P373" s="162">
        <f t="shared" si="123"/>
        <v>0</v>
      </c>
      <c r="Q373" s="162">
        <f t="shared" si="123"/>
        <v>0</v>
      </c>
      <c r="R373" s="162">
        <f t="shared" si="123"/>
        <v>0</v>
      </c>
      <c r="S373" s="162">
        <f t="shared" si="123"/>
        <v>0</v>
      </c>
      <c r="T373" s="162">
        <f t="shared" si="123"/>
        <v>0</v>
      </c>
      <c r="U373" s="162">
        <f t="shared" si="123"/>
        <v>0</v>
      </c>
      <c r="V373" s="162">
        <f t="shared" si="123"/>
        <v>0</v>
      </c>
      <c r="W373" s="162">
        <f t="shared" si="123"/>
        <v>0</v>
      </c>
      <c r="X373" s="162">
        <f t="shared" si="123"/>
        <v>0</v>
      </c>
      <c r="Y373" s="162">
        <f t="shared" si="123"/>
        <v>0</v>
      </c>
      <c r="Z373" s="162">
        <f t="shared" si="123"/>
        <v>0</v>
      </c>
      <c r="AA373" s="162">
        <f t="shared" si="123"/>
        <v>0</v>
      </c>
      <c r="AB373" s="163">
        <f t="shared" si="114"/>
        <v>0</v>
      </c>
      <c r="AC373" s="198"/>
      <c r="AE373" s="194" t="str">
        <f>IF(J373=0,"",VLOOKUP(J373,#REF!,2,0)&amp;" - "&amp;J373&amp;" ("&amp;F373&amp;" - "&amp;G373&amp;")")</f>
        <v/>
      </c>
      <c r="AF373" s="161">
        <f t="shared" si="124"/>
        <v>0</v>
      </c>
      <c r="AG373" s="162">
        <f t="shared" si="124"/>
        <v>0</v>
      </c>
      <c r="AH373" s="162">
        <f t="shared" si="124"/>
        <v>0</v>
      </c>
      <c r="AI373" s="162">
        <f t="shared" si="124"/>
        <v>0</v>
      </c>
      <c r="AJ373" s="162">
        <f t="shared" si="124"/>
        <v>0</v>
      </c>
      <c r="AK373" s="162">
        <f t="shared" si="124"/>
        <v>0</v>
      </c>
      <c r="AL373" s="162">
        <f t="shared" si="124"/>
        <v>0</v>
      </c>
      <c r="AM373" s="162">
        <f t="shared" si="124"/>
        <v>0</v>
      </c>
      <c r="AN373" s="162">
        <f t="shared" si="124"/>
        <v>0</v>
      </c>
      <c r="AO373" s="162">
        <f t="shared" si="124"/>
        <v>0</v>
      </c>
      <c r="AP373" s="162">
        <f t="shared" si="124"/>
        <v>0</v>
      </c>
      <c r="AQ373" s="162">
        <f t="shared" si="124"/>
        <v>0</v>
      </c>
      <c r="AR373" s="163">
        <f t="shared" si="116"/>
        <v>0</v>
      </c>
      <c r="AT373" s="208">
        <f>IFERROR(VLOOKUP(J373,#REF!,10,0),0)</f>
        <v>0</v>
      </c>
    </row>
    <row r="374" spans="1:46" hidden="1" outlineLevel="1" x14ac:dyDescent="0.25">
      <c r="A374" s="14" t="str">
        <f t="shared" si="109"/>
        <v>PROP_OPER__42</v>
      </c>
      <c r="B374" s="15" t="str">
        <f t="shared" si="110"/>
        <v>PROP_OPER__0_0</v>
      </c>
      <c r="D374" s="15">
        <v>1</v>
      </c>
      <c r="E374" s="15">
        <v>42</v>
      </c>
      <c r="F374" s="190">
        <f t="shared" si="121"/>
        <v>0</v>
      </c>
      <c r="G374" s="149" t="str">
        <f t="shared" si="121"/>
        <v/>
      </c>
      <c r="H374" s="150" t="str">
        <f t="shared" si="121"/>
        <v/>
      </c>
      <c r="I374" s="150">
        <f t="shared" si="121"/>
        <v>0</v>
      </c>
      <c r="J374" s="150">
        <f t="shared" si="121"/>
        <v>0</v>
      </c>
      <c r="K374" s="196"/>
      <c r="L374" s="197"/>
      <c r="M374" s="191">
        <f t="shared" si="122"/>
        <v>0</v>
      </c>
      <c r="N374" s="150">
        <f t="shared" si="122"/>
        <v>0</v>
      </c>
      <c r="O374" s="193">
        <f t="shared" si="122"/>
        <v>0</v>
      </c>
      <c r="P374" s="162">
        <f t="shared" si="123"/>
        <v>0</v>
      </c>
      <c r="Q374" s="162">
        <f t="shared" si="123"/>
        <v>0</v>
      </c>
      <c r="R374" s="162">
        <f t="shared" si="123"/>
        <v>0</v>
      </c>
      <c r="S374" s="162">
        <f t="shared" si="123"/>
        <v>0</v>
      </c>
      <c r="T374" s="162">
        <f t="shared" si="123"/>
        <v>0</v>
      </c>
      <c r="U374" s="162">
        <f t="shared" si="123"/>
        <v>0</v>
      </c>
      <c r="V374" s="162">
        <f t="shared" si="123"/>
        <v>0</v>
      </c>
      <c r="W374" s="162">
        <f t="shared" si="123"/>
        <v>0</v>
      </c>
      <c r="X374" s="162">
        <f t="shared" si="123"/>
        <v>0</v>
      </c>
      <c r="Y374" s="162">
        <f t="shared" si="123"/>
        <v>0</v>
      </c>
      <c r="Z374" s="162">
        <f t="shared" si="123"/>
        <v>0</v>
      </c>
      <c r="AA374" s="162">
        <f t="shared" si="123"/>
        <v>0</v>
      </c>
      <c r="AB374" s="163">
        <f t="shared" si="114"/>
        <v>0</v>
      </c>
      <c r="AC374" s="198"/>
      <c r="AE374" s="194" t="str">
        <f>IF(J374=0,"",VLOOKUP(J374,#REF!,2,0)&amp;" - "&amp;J374&amp;" ("&amp;F374&amp;" - "&amp;G374&amp;")")</f>
        <v/>
      </c>
      <c r="AF374" s="161">
        <f t="shared" si="124"/>
        <v>0</v>
      </c>
      <c r="AG374" s="162">
        <f t="shared" si="124"/>
        <v>0</v>
      </c>
      <c r="AH374" s="162">
        <f t="shared" si="124"/>
        <v>0</v>
      </c>
      <c r="AI374" s="162">
        <f t="shared" si="124"/>
        <v>0</v>
      </c>
      <c r="AJ374" s="162">
        <f t="shared" si="124"/>
        <v>0</v>
      </c>
      <c r="AK374" s="162">
        <f t="shared" si="124"/>
        <v>0</v>
      </c>
      <c r="AL374" s="162">
        <f t="shared" si="124"/>
        <v>0</v>
      </c>
      <c r="AM374" s="162">
        <f t="shared" si="124"/>
        <v>0</v>
      </c>
      <c r="AN374" s="162">
        <f t="shared" si="124"/>
        <v>0</v>
      </c>
      <c r="AO374" s="162">
        <f t="shared" si="124"/>
        <v>0</v>
      </c>
      <c r="AP374" s="162">
        <f t="shared" si="124"/>
        <v>0</v>
      </c>
      <c r="AQ374" s="162">
        <f t="shared" si="124"/>
        <v>0</v>
      </c>
      <c r="AR374" s="163">
        <f t="shared" si="116"/>
        <v>0</v>
      </c>
      <c r="AT374" s="208">
        <f>IFERROR(VLOOKUP(J374,#REF!,10,0),0)</f>
        <v>0</v>
      </c>
    </row>
    <row r="375" spans="1:46" hidden="1" outlineLevel="1" x14ac:dyDescent="0.25">
      <c r="A375" s="14" t="str">
        <f t="shared" si="109"/>
        <v>PROP_OPER__43</v>
      </c>
      <c r="B375" s="15" t="str">
        <f t="shared" si="110"/>
        <v>PROP_OPER__0_0</v>
      </c>
      <c r="D375" s="15">
        <v>1</v>
      </c>
      <c r="E375" s="15">
        <v>43</v>
      </c>
      <c r="F375" s="190">
        <f t="shared" si="121"/>
        <v>0</v>
      </c>
      <c r="G375" s="149" t="str">
        <f t="shared" si="121"/>
        <v/>
      </c>
      <c r="H375" s="150" t="str">
        <f t="shared" si="121"/>
        <v/>
      </c>
      <c r="I375" s="150">
        <f t="shared" si="121"/>
        <v>0</v>
      </c>
      <c r="J375" s="150">
        <f t="shared" si="121"/>
        <v>0</v>
      </c>
      <c r="K375" s="196"/>
      <c r="L375" s="197"/>
      <c r="M375" s="191">
        <f t="shared" si="122"/>
        <v>0</v>
      </c>
      <c r="N375" s="150">
        <f t="shared" si="122"/>
        <v>0</v>
      </c>
      <c r="O375" s="193">
        <f t="shared" si="122"/>
        <v>0</v>
      </c>
      <c r="P375" s="162">
        <f t="shared" si="123"/>
        <v>0</v>
      </c>
      <c r="Q375" s="162">
        <f t="shared" si="123"/>
        <v>0</v>
      </c>
      <c r="R375" s="162">
        <f t="shared" si="123"/>
        <v>0</v>
      </c>
      <c r="S375" s="162">
        <f t="shared" si="123"/>
        <v>0</v>
      </c>
      <c r="T375" s="162">
        <f t="shared" si="123"/>
        <v>0</v>
      </c>
      <c r="U375" s="162">
        <f t="shared" si="123"/>
        <v>0</v>
      </c>
      <c r="V375" s="162">
        <f t="shared" si="123"/>
        <v>0</v>
      </c>
      <c r="W375" s="162">
        <f t="shared" si="123"/>
        <v>0</v>
      </c>
      <c r="X375" s="162">
        <f t="shared" si="123"/>
        <v>0</v>
      </c>
      <c r="Y375" s="162">
        <f t="shared" si="123"/>
        <v>0</v>
      </c>
      <c r="Z375" s="162">
        <f t="shared" si="123"/>
        <v>0</v>
      </c>
      <c r="AA375" s="162">
        <f t="shared" si="123"/>
        <v>0</v>
      </c>
      <c r="AB375" s="163">
        <f t="shared" si="114"/>
        <v>0</v>
      </c>
      <c r="AC375" s="198"/>
      <c r="AE375" s="194" t="str">
        <f>IF(J375=0,"",VLOOKUP(J375,#REF!,2,0)&amp;" - "&amp;J375&amp;" ("&amp;F375&amp;" - "&amp;G375&amp;")")</f>
        <v/>
      </c>
      <c r="AF375" s="161">
        <f t="shared" si="124"/>
        <v>0</v>
      </c>
      <c r="AG375" s="162">
        <f t="shared" si="124"/>
        <v>0</v>
      </c>
      <c r="AH375" s="162">
        <f t="shared" si="124"/>
        <v>0</v>
      </c>
      <c r="AI375" s="162">
        <f t="shared" si="124"/>
        <v>0</v>
      </c>
      <c r="AJ375" s="162">
        <f t="shared" si="124"/>
        <v>0</v>
      </c>
      <c r="AK375" s="162">
        <f t="shared" si="124"/>
        <v>0</v>
      </c>
      <c r="AL375" s="162">
        <f t="shared" si="124"/>
        <v>0</v>
      </c>
      <c r="AM375" s="162">
        <f t="shared" si="124"/>
        <v>0</v>
      </c>
      <c r="AN375" s="162">
        <f t="shared" si="124"/>
        <v>0</v>
      </c>
      <c r="AO375" s="162">
        <f t="shared" si="124"/>
        <v>0</v>
      </c>
      <c r="AP375" s="162">
        <f t="shared" si="124"/>
        <v>0</v>
      </c>
      <c r="AQ375" s="162">
        <f t="shared" si="124"/>
        <v>0</v>
      </c>
      <c r="AR375" s="163">
        <f t="shared" si="116"/>
        <v>0</v>
      </c>
      <c r="AT375" s="208">
        <f>IFERROR(VLOOKUP(J375,#REF!,10,0),0)</f>
        <v>0</v>
      </c>
    </row>
    <row r="376" spans="1:46" hidden="1" outlineLevel="1" x14ac:dyDescent="0.25">
      <c r="A376" s="14" t="str">
        <f t="shared" si="109"/>
        <v>PROP_OPER__44</v>
      </c>
      <c r="B376" s="15" t="str">
        <f t="shared" si="110"/>
        <v>PROP_OPER__0_0</v>
      </c>
      <c r="D376" s="15">
        <v>1</v>
      </c>
      <c r="E376" s="15">
        <v>44</v>
      </c>
      <c r="F376" s="190">
        <f t="shared" si="121"/>
        <v>0</v>
      </c>
      <c r="G376" s="149" t="str">
        <f t="shared" si="121"/>
        <v/>
      </c>
      <c r="H376" s="150" t="str">
        <f t="shared" si="121"/>
        <v/>
      </c>
      <c r="I376" s="150">
        <f t="shared" si="121"/>
        <v>0</v>
      </c>
      <c r="J376" s="150">
        <f t="shared" si="121"/>
        <v>0</v>
      </c>
      <c r="K376" s="196"/>
      <c r="L376" s="197"/>
      <c r="M376" s="191">
        <f t="shared" si="122"/>
        <v>0</v>
      </c>
      <c r="N376" s="150">
        <f t="shared" si="122"/>
        <v>0</v>
      </c>
      <c r="O376" s="193">
        <f t="shared" si="122"/>
        <v>0</v>
      </c>
      <c r="P376" s="162">
        <f t="shared" si="123"/>
        <v>0</v>
      </c>
      <c r="Q376" s="162">
        <f t="shared" si="123"/>
        <v>0</v>
      </c>
      <c r="R376" s="162">
        <f t="shared" si="123"/>
        <v>0</v>
      </c>
      <c r="S376" s="162">
        <f t="shared" si="123"/>
        <v>0</v>
      </c>
      <c r="T376" s="162">
        <f t="shared" si="123"/>
        <v>0</v>
      </c>
      <c r="U376" s="162">
        <f t="shared" si="123"/>
        <v>0</v>
      </c>
      <c r="V376" s="162">
        <f t="shared" si="123"/>
        <v>0</v>
      </c>
      <c r="W376" s="162">
        <f t="shared" si="123"/>
        <v>0</v>
      </c>
      <c r="X376" s="162">
        <f t="shared" si="123"/>
        <v>0</v>
      </c>
      <c r="Y376" s="162">
        <f t="shared" si="123"/>
        <v>0</v>
      </c>
      <c r="Z376" s="162">
        <f t="shared" si="123"/>
        <v>0</v>
      </c>
      <c r="AA376" s="162">
        <f t="shared" si="123"/>
        <v>0</v>
      </c>
      <c r="AB376" s="163">
        <f t="shared" si="114"/>
        <v>0</v>
      </c>
      <c r="AC376" s="198"/>
      <c r="AE376" s="194" t="str">
        <f>IF(J376=0,"",VLOOKUP(J376,#REF!,2,0)&amp;" - "&amp;J376&amp;" ("&amp;F376&amp;" - "&amp;G376&amp;")")</f>
        <v/>
      </c>
      <c r="AF376" s="161">
        <f t="shared" si="124"/>
        <v>0</v>
      </c>
      <c r="AG376" s="162">
        <f t="shared" si="124"/>
        <v>0</v>
      </c>
      <c r="AH376" s="162">
        <f t="shared" si="124"/>
        <v>0</v>
      </c>
      <c r="AI376" s="162">
        <f t="shared" si="124"/>
        <v>0</v>
      </c>
      <c r="AJ376" s="162">
        <f t="shared" si="124"/>
        <v>0</v>
      </c>
      <c r="AK376" s="162">
        <f t="shared" si="124"/>
        <v>0</v>
      </c>
      <c r="AL376" s="162">
        <f t="shared" si="124"/>
        <v>0</v>
      </c>
      <c r="AM376" s="162">
        <f t="shared" si="124"/>
        <v>0</v>
      </c>
      <c r="AN376" s="162">
        <f t="shared" si="124"/>
        <v>0</v>
      </c>
      <c r="AO376" s="162">
        <f t="shared" si="124"/>
        <v>0</v>
      </c>
      <c r="AP376" s="162">
        <f t="shared" si="124"/>
        <v>0</v>
      </c>
      <c r="AQ376" s="162">
        <f t="shared" si="124"/>
        <v>0</v>
      </c>
      <c r="AR376" s="163">
        <f t="shared" si="116"/>
        <v>0</v>
      </c>
      <c r="AT376" s="208">
        <f>IFERROR(VLOOKUP(J376,#REF!,10,0),0)</f>
        <v>0</v>
      </c>
    </row>
    <row r="377" spans="1:46" hidden="1" outlineLevel="1" x14ac:dyDescent="0.25">
      <c r="A377" s="14" t="str">
        <f t="shared" si="109"/>
        <v>PROP_OPER__45</v>
      </c>
      <c r="B377" s="15" t="str">
        <f t="shared" si="110"/>
        <v>PROP_OPER__0_0</v>
      </c>
      <c r="D377" s="15">
        <v>1</v>
      </c>
      <c r="E377" s="15">
        <v>45</v>
      </c>
      <c r="F377" s="209">
        <f t="shared" si="121"/>
        <v>0</v>
      </c>
      <c r="G377" s="183" t="str">
        <f t="shared" si="121"/>
        <v/>
      </c>
      <c r="H377" s="184" t="str">
        <f t="shared" si="121"/>
        <v/>
      </c>
      <c r="I377" s="184">
        <f t="shared" si="121"/>
        <v>0</v>
      </c>
      <c r="J377" s="184">
        <f t="shared" si="121"/>
        <v>0</v>
      </c>
      <c r="K377" s="210"/>
      <c r="L377" s="211"/>
      <c r="M377" s="212">
        <f t="shared" si="122"/>
        <v>0</v>
      </c>
      <c r="N377" s="184">
        <f t="shared" si="122"/>
        <v>0</v>
      </c>
      <c r="O377" s="213">
        <f t="shared" si="122"/>
        <v>0</v>
      </c>
      <c r="P377" s="175">
        <f t="shared" si="123"/>
        <v>0</v>
      </c>
      <c r="Q377" s="175">
        <f t="shared" si="123"/>
        <v>0</v>
      </c>
      <c r="R377" s="175">
        <f t="shared" si="123"/>
        <v>0</v>
      </c>
      <c r="S377" s="175">
        <f t="shared" si="123"/>
        <v>0</v>
      </c>
      <c r="T377" s="175">
        <f t="shared" si="123"/>
        <v>0</v>
      </c>
      <c r="U377" s="175">
        <f t="shared" si="123"/>
        <v>0</v>
      </c>
      <c r="V377" s="175">
        <f t="shared" si="123"/>
        <v>0</v>
      </c>
      <c r="W377" s="175">
        <f t="shared" si="123"/>
        <v>0</v>
      </c>
      <c r="X377" s="175">
        <f t="shared" si="123"/>
        <v>0</v>
      </c>
      <c r="Y377" s="175">
        <f t="shared" si="123"/>
        <v>0</v>
      </c>
      <c r="Z377" s="175">
        <f t="shared" si="123"/>
        <v>0</v>
      </c>
      <c r="AA377" s="175">
        <f t="shared" si="123"/>
        <v>0</v>
      </c>
      <c r="AB377" s="176">
        <f t="shared" si="114"/>
        <v>0</v>
      </c>
      <c r="AC377" s="172"/>
      <c r="AE377" s="195" t="str">
        <f>IF(J377=0,"",VLOOKUP(J377,#REF!,2,0)&amp;" - "&amp;J377&amp;" ("&amp;F377&amp;" - "&amp;G377&amp;")")</f>
        <v/>
      </c>
      <c r="AF377" s="174">
        <f t="shared" si="124"/>
        <v>0</v>
      </c>
      <c r="AG377" s="175">
        <f t="shared" si="124"/>
        <v>0</v>
      </c>
      <c r="AH377" s="175">
        <f t="shared" si="124"/>
        <v>0</v>
      </c>
      <c r="AI377" s="175">
        <f t="shared" si="124"/>
        <v>0</v>
      </c>
      <c r="AJ377" s="175">
        <f t="shared" si="124"/>
        <v>0</v>
      </c>
      <c r="AK377" s="175">
        <f t="shared" si="124"/>
        <v>0</v>
      </c>
      <c r="AL377" s="175">
        <f t="shared" si="124"/>
        <v>0</v>
      </c>
      <c r="AM377" s="175">
        <f t="shared" si="124"/>
        <v>0</v>
      </c>
      <c r="AN377" s="175">
        <f t="shared" si="124"/>
        <v>0</v>
      </c>
      <c r="AO377" s="175">
        <f t="shared" si="124"/>
        <v>0</v>
      </c>
      <c r="AP377" s="175">
        <f t="shared" si="124"/>
        <v>0</v>
      </c>
      <c r="AQ377" s="175">
        <f t="shared" si="124"/>
        <v>0</v>
      </c>
      <c r="AR377" s="176">
        <f t="shared" si="116"/>
        <v>0</v>
      </c>
      <c r="AT377" s="208">
        <f>IFERROR(VLOOKUP(J377,#REF!,10,0),0)</f>
        <v>0</v>
      </c>
    </row>
    <row r="378" spans="1:46" hidden="1" outlineLevel="1" x14ac:dyDescent="0.25">
      <c r="A378" s="14" t="str">
        <f t="shared" si="109"/>
        <v>PROP_OPER__</v>
      </c>
      <c r="F378" s="137" t="s">
        <v>253</v>
      </c>
      <c r="G378" s="138"/>
      <c r="H378" s="139" t="s">
        <v>217</v>
      </c>
      <c r="I378" s="139"/>
      <c r="J378" s="139" t="s">
        <v>229</v>
      </c>
      <c r="K378" s="140"/>
      <c r="L378" s="141"/>
      <c r="M378" s="142" t="s">
        <v>220</v>
      </c>
      <c r="N378" s="139" t="s">
        <v>221</v>
      </c>
      <c r="O378" s="143" t="s">
        <v>222</v>
      </c>
      <c r="P378" s="35">
        <f t="shared" ref="P378:AA378" si="125">P$9</f>
        <v>46113</v>
      </c>
      <c r="Q378" s="35">
        <f t="shared" si="125"/>
        <v>46143</v>
      </c>
      <c r="R378" s="35">
        <f t="shared" si="125"/>
        <v>46174</v>
      </c>
      <c r="S378" s="35">
        <f t="shared" si="125"/>
        <v>46204</v>
      </c>
      <c r="T378" s="35">
        <f t="shared" si="125"/>
        <v>46235</v>
      </c>
      <c r="U378" s="35">
        <f t="shared" si="125"/>
        <v>46266</v>
      </c>
      <c r="V378" s="35">
        <f t="shared" si="125"/>
        <v>46296</v>
      </c>
      <c r="W378" s="35">
        <f t="shared" si="125"/>
        <v>46327</v>
      </c>
      <c r="X378" s="35">
        <f t="shared" si="125"/>
        <v>46357</v>
      </c>
      <c r="Y378" s="35">
        <f t="shared" si="125"/>
        <v>46388</v>
      </c>
      <c r="Z378" s="35">
        <f t="shared" si="125"/>
        <v>46419</v>
      </c>
      <c r="AA378" s="35">
        <f t="shared" si="125"/>
        <v>46447</v>
      </c>
      <c r="AB378" s="81" t="s">
        <v>223</v>
      </c>
      <c r="AC378" s="82" t="s">
        <v>192</v>
      </c>
      <c r="AE378" s="189" t="str">
        <f>"Qtde Recursos em: "&amp;F378</f>
        <v>Qtde Recursos em: PREPARO DE SOLO - RENOVAÇÃO</v>
      </c>
      <c r="AF378" s="147">
        <f>P378</f>
        <v>46113</v>
      </c>
      <c r="AG378" s="35">
        <f t="shared" ref="AG378:AQ378" si="126">Q378</f>
        <v>46143</v>
      </c>
      <c r="AH378" s="35">
        <f t="shared" si="126"/>
        <v>46174</v>
      </c>
      <c r="AI378" s="35">
        <f t="shared" si="126"/>
        <v>46204</v>
      </c>
      <c r="AJ378" s="35">
        <f t="shared" si="126"/>
        <v>46235</v>
      </c>
      <c r="AK378" s="35">
        <f t="shared" si="126"/>
        <v>46266</v>
      </c>
      <c r="AL378" s="35">
        <f t="shared" si="126"/>
        <v>46296</v>
      </c>
      <c r="AM378" s="35">
        <f t="shared" si="126"/>
        <v>46327</v>
      </c>
      <c r="AN378" s="35">
        <f t="shared" si="126"/>
        <v>46357</v>
      </c>
      <c r="AO378" s="35">
        <f t="shared" si="126"/>
        <v>46388</v>
      </c>
      <c r="AP378" s="35">
        <f t="shared" si="126"/>
        <v>46419</v>
      </c>
      <c r="AQ378" s="35">
        <f t="shared" si="126"/>
        <v>46447</v>
      </c>
      <c r="AR378" s="81" t="s">
        <v>223</v>
      </c>
      <c r="AT378" s="189" t="s">
        <v>258</v>
      </c>
    </row>
    <row r="379" spans="1:46" hidden="1" outlineLevel="1" x14ac:dyDescent="0.25">
      <c r="A379" s="14" t="str">
        <f t="shared" si="109"/>
        <v>PROP_OPER__1</v>
      </c>
      <c r="B379" s="15" t="str">
        <f t="shared" ref="B379:B423" si="127">"PROP_OPER_"&amp;C379&amp;"_"&amp;F379&amp;"_"&amp;J379</f>
        <v>PROP_OPER__1096_1</v>
      </c>
      <c r="D379" s="15">
        <v>1</v>
      </c>
      <c r="E379" s="15">
        <v>1</v>
      </c>
      <c r="F379" s="190">
        <f t="shared" ref="F379:J394" si="128">F333</f>
        <v>1096</v>
      </c>
      <c r="G379" s="149" t="str">
        <f t="shared" si="128"/>
        <v xml:space="preserve">PRÉ PLANTIO INCORPORADO (PPI) </v>
      </c>
      <c r="H379" s="150" t="str">
        <f t="shared" si="128"/>
        <v>HA</v>
      </c>
      <c r="I379" s="150" t="str">
        <f t="shared" si="128"/>
        <v>PREPSP</v>
      </c>
      <c r="J379" s="150">
        <f t="shared" si="128"/>
        <v>1</v>
      </c>
      <c r="K379" s="196"/>
      <c r="L379" s="197"/>
      <c r="M379" s="191">
        <f t="shared" ref="M379:O394" si="129">M333</f>
        <v>0</v>
      </c>
      <c r="N379" s="150">
        <f t="shared" si="129"/>
        <v>0</v>
      </c>
      <c r="O379" s="193">
        <f t="shared" si="129"/>
        <v>1</v>
      </c>
      <c r="P379" s="162">
        <f t="shared" ref="P379:AA394" si="130">IFERROR(SUMIF($B$16:$B$43,$C379&amp;$I379,P$16:P$43)/SUMIF($D$16:$D$43,$I379,P$16:P$43)*P94,0)</f>
        <v>0</v>
      </c>
      <c r="Q379" s="162">
        <f t="shared" si="130"/>
        <v>0</v>
      </c>
      <c r="R379" s="162">
        <f t="shared" si="130"/>
        <v>0</v>
      </c>
      <c r="S379" s="162">
        <f t="shared" si="130"/>
        <v>0</v>
      </c>
      <c r="T379" s="162">
        <f t="shared" si="130"/>
        <v>0</v>
      </c>
      <c r="U379" s="162">
        <f t="shared" si="130"/>
        <v>0</v>
      </c>
      <c r="V379" s="162">
        <f t="shared" si="130"/>
        <v>0</v>
      </c>
      <c r="W379" s="162">
        <f t="shared" si="130"/>
        <v>0</v>
      </c>
      <c r="X379" s="162">
        <f t="shared" si="130"/>
        <v>0</v>
      </c>
      <c r="Y379" s="162">
        <f t="shared" si="130"/>
        <v>0</v>
      </c>
      <c r="Z379" s="162">
        <f t="shared" si="130"/>
        <v>0</v>
      </c>
      <c r="AA379" s="162">
        <f t="shared" si="130"/>
        <v>0</v>
      </c>
      <c r="AB379" s="163">
        <f t="shared" ref="AB379:AB423" si="131">SUM(P379:AA379)</f>
        <v>0</v>
      </c>
      <c r="AC379" s="198"/>
      <c r="AE379" s="194" t="e">
        <f t="shared" ref="AE379:AE423" si="132">AE333</f>
        <v>#REF!</v>
      </c>
      <c r="AF379" s="161">
        <f t="shared" ref="AF379:AQ394" si="133">IFERROR(SUMIF($B$16:$B$43,$C379&amp;$I379,P$16:P$43)/SUMIF($D$16:$D$43,$I379,P$16:P$43)*AF94,0)</f>
        <v>0</v>
      </c>
      <c r="AG379" s="162">
        <f t="shared" si="133"/>
        <v>0</v>
      </c>
      <c r="AH379" s="162">
        <f t="shared" si="133"/>
        <v>0</v>
      </c>
      <c r="AI379" s="162">
        <f t="shared" si="133"/>
        <v>0</v>
      </c>
      <c r="AJ379" s="162">
        <f t="shared" si="133"/>
        <v>0</v>
      </c>
      <c r="AK379" s="162">
        <f t="shared" si="133"/>
        <v>0</v>
      </c>
      <c r="AL379" s="162">
        <f t="shared" si="133"/>
        <v>0</v>
      </c>
      <c r="AM379" s="162">
        <f t="shared" si="133"/>
        <v>0</v>
      </c>
      <c r="AN379" s="162">
        <f t="shared" si="133"/>
        <v>0</v>
      </c>
      <c r="AO379" s="162">
        <f t="shared" si="133"/>
        <v>0</v>
      </c>
      <c r="AP379" s="162">
        <f t="shared" si="133"/>
        <v>0</v>
      </c>
      <c r="AQ379" s="162">
        <f t="shared" si="133"/>
        <v>0</v>
      </c>
      <c r="AR379" s="163">
        <f t="shared" ref="AR379:AR423" si="134">SUM(AF379:AQ379)</f>
        <v>0</v>
      </c>
      <c r="AT379" s="208">
        <f>IFERROR(VLOOKUP(J379,#REF!,10,0),0)</f>
        <v>0</v>
      </c>
    </row>
    <row r="380" spans="1:46" hidden="1" outlineLevel="1" x14ac:dyDescent="0.25">
      <c r="A380" s="14" t="str">
        <f t="shared" si="109"/>
        <v>PROP_OPER__2</v>
      </c>
      <c r="B380" s="15" t="str">
        <f t="shared" si="127"/>
        <v>PROP_OPER__1079_1</v>
      </c>
      <c r="D380" s="15">
        <v>1</v>
      </c>
      <c r="E380" s="15">
        <v>2</v>
      </c>
      <c r="F380" s="190">
        <f t="shared" si="128"/>
        <v>1079</v>
      </c>
      <c r="G380" s="149" t="str">
        <f t="shared" si="128"/>
        <v xml:space="preserve">APLICAÇÃO DESSECAÇÃO          </v>
      </c>
      <c r="H380" s="150" t="str">
        <f t="shared" si="128"/>
        <v>HA</v>
      </c>
      <c r="I380" s="150" t="str">
        <f t="shared" si="128"/>
        <v>PREPSP</v>
      </c>
      <c r="J380" s="150">
        <f t="shared" si="128"/>
        <v>1</v>
      </c>
      <c r="K380" s="196"/>
      <c r="L380" s="197"/>
      <c r="M380" s="191">
        <f t="shared" si="129"/>
        <v>0</v>
      </c>
      <c r="N380" s="150">
        <f t="shared" si="129"/>
        <v>0</v>
      </c>
      <c r="O380" s="193">
        <f t="shared" si="129"/>
        <v>1</v>
      </c>
      <c r="P380" s="162">
        <f t="shared" si="130"/>
        <v>0</v>
      </c>
      <c r="Q380" s="162">
        <f t="shared" si="130"/>
        <v>0</v>
      </c>
      <c r="R380" s="162">
        <f t="shared" si="130"/>
        <v>0</v>
      </c>
      <c r="S380" s="162">
        <f t="shared" si="130"/>
        <v>0</v>
      </c>
      <c r="T380" s="162">
        <f t="shared" si="130"/>
        <v>0</v>
      </c>
      <c r="U380" s="162">
        <f t="shared" si="130"/>
        <v>0</v>
      </c>
      <c r="V380" s="162">
        <f t="shared" si="130"/>
        <v>0</v>
      </c>
      <c r="W380" s="162">
        <f t="shared" si="130"/>
        <v>0</v>
      </c>
      <c r="X380" s="162">
        <f t="shared" si="130"/>
        <v>0</v>
      </c>
      <c r="Y380" s="162">
        <f t="shared" si="130"/>
        <v>0</v>
      </c>
      <c r="Z380" s="162">
        <f t="shared" si="130"/>
        <v>0</v>
      </c>
      <c r="AA380" s="162">
        <f t="shared" si="130"/>
        <v>0</v>
      </c>
      <c r="AB380" s="163">
        <f t="shared" si="131"/>
        <v>0</v>
      </c>
      <c r="AC380" s="198"/>
      <c r="AE380" s="194" t="e">
        <f t="shared" si="132"/>
        <v>#REF!</v>
      </c>
      <c r="AF380" s="161">
        <f t="shared" si="133"/>
        <v>0</v>
      </c>
      <c r="AG380" s="162">
        <f t="shared" si="133"/>
        <v>0</v>
      </c>
      <c r="AH380" s="162">
        <f t="shared" si="133"/>
        <v>0</v>
      </c>
      <c r="AI380" s="162">
        <f t="shared" si="133"/>
        <v>0</v>
      </c>
      <c r="AJ380" s="162">
        <f t="shared" si="133"/>
        <v>0</v>
      </c>
      <c r="AK380" s="162">
        <f t="shared" si="133"/>
        <v>0</v>
      </c>
      <c r="AL380" s="162">
        <f t="shared" si="133"/>
        <v>0</v>
      </c>
      <c r="AM380" s="162">
        <f t="shared" si="133"/>
        <v>0</v>
      </c>
      <c r="AN380" s="162">
        <f t="shared" si="133"/>
        <v>0</v>
      </c>
      <c r="AO380" s="162">
        <f t="shared" si="133"/>
        <v>0</v>
      </c>
      <c r="AP380" s="162">
        <f t="shared" si="133"/>
        <v>0</v>
      </c>
      <c r="AQ380" s="162">
        <f t="shared" si="133"/>
        <v>0</v>
      </c>
      <c r="AR380" s="163">
        <f t="shared" si="134"/>
        <v>0</v>
      </c>
      <c r="AT380" s="208">
        <f>IFERROR(VLOOKUP(J380,#REF!,10,0),0)</f>
        <v>0</v>
      </c>
    </row>
    <row r="381" spans="1:46" hidden="1" outlineLevel="1" x14ac:dyDescent="0.25">
      <c r="A381" s="14" t="str">
        <f t="shared" si="109"/>
        <v>PROP_OPER__3</v>
      </c>
      <c r="B381" s="15" t="str">
        <f t="shared" si="127"/>
        <v>PROP_OPER__1028_1</v>
      </c>
      <c r="D381" s="15">
        <v>1</v>
      </c>
      <c r="E381" s="15">
        <v>3</v>
      </c>
      <c r="F381" s="190">
        <f t="shared" si="128"/>
        <v>1028</v>
      </c>
      <c r="G381" s="149" t="str">
        <f t="shared" si="128"/>
        <v xml:space="preserve">APLICAÇÃO MISTA CORREÇÃO SOLO </v>
      </c>
      <c r="H381" s="150" t="str">
        <f t="shared" si="128"/>
        <v>HA</v>
      </c>
      <c r="I381" s="150" t="str">
        <f t="shared" si="128"/>
        <v>PREPSP</v>
      </c>
      <c r="J381" s="150">
        <f t="shared" si="128"/>
        <v>1</v>
      </c>
      <c r="K381" s="196"/>
      <c r="L381" s="197"/>
      <c r="M381" s="191">
        <f t="shared" si="129"/>
        <v>0</v>
      </c>
      <c r="N381" s="150">
        <f t="shared" si="129"/>
        <v>0</v>
      </c>
      <c r="O381" s="193">
        <f t="shared" si="129"/>
        <v>1</v>
      </c>
      <c r="P381" s="162">
        <f t="shared" si="130"/>
        <v>0</v>
      </c>
      <c r="Q381" s="162">
        <f t="shared" si="130"/>
        <v>0</v>
      </c>
      <c r="R381" s="162">
        <f t="shared" si="130"/>
        <v>0</v>
      </c>
      <c r="S381" s="162">
        <f t="shared" si="130"/>
        <v>0</v>
      </c>
      <c r="T381" s="162">
        <f t="shared" si="130"/>
        <v>0</v>
      </c>
      <c r="U381" s="162">
        <f t="shared" si="130"/>
        <v>0</v>
      </c>
      <c r="V381" s="162">
        <f t="shared" si="130"/>
        <v>0</v>
      </c>
      <c r="W381" s="162">
        <f t="shared" si="130"/>
        <v>0</v>
      </c>
      <c r="X381" s="162">
        <f t="shared" si="130"/>
        <v>0</v>
      </c>
      <c r="Y381" s="162">
        <f t="shared" si="130"/>
        <v>0</v>
      </c>
      <c r="Z381" s="162">
        <f t="shared" si="130"/>
        <v>0</v>
      </c>
      <c r="AA381" s="162">
        <f t="shared" si="130"/>
        <v>0</v>
      </c>
      <c r="AB381" s="163">
        <f t="shared" si="131"/>
        <v>0</v>
      </c>
      <c r="AC381" s="198"/>
      <c r="AE381" s="194" t="e">
        <f t="shared" si="132"/>
        <v>#REF!</v>
      </c>
      <c r="AF381" s="161">
        <f t="shared" si="133"/>
        <v>0</v>
      </c>
      <c r="AG381" s="162">
        <f t="shared" si="133"/>
        <v>0</v>
      </c>
      <c r="AH381" s="162">
        <f t="shared" si="133"/>
        <v>0</v>
      </c>
      <c r="AI381" s="162">
        <f t="shared" si="133"/>
        <v>0</v>
      </c>
      <c r="AJ381" s="162">
        <f t="shared" si="133"/>
        <v>0</v>
      </c>
      <c r="AK381" s="162">
        <f t="shared" si="133"/>
        <v>0</v>
      </c>
      <c r="AL381" s="162">
        <f t="shared" si="133"/>
        <v>0</v>
      </c>
      <c r="AM381" s="162">
        <f t="shared" si="133"/>
        <v>0</v>
      </c>
      <c r="AN381" s="162">
        <f t="shared" si="133"/>
        <v>0</v>
      </c>
      <c r="AO381" s="162">
        <f t="shared" si="133"/>
        <v>0</v>
      </c>
      <c r="AP381" s="162">
        <f t="shared" si="133"/>
        <v>0</v>
      </c>
      <c r="AQ381" s="162">
        <f t="shared" si="133"/>
        <v>0</v>
      </c>
      <c r="AR381" s="163">
        <f t="shared" si="134"/>
        <v>0</v>
      </c>
      <c r="AT381" s="208">
        <f>IFERROR(VLOOKUP(J381,#REF!,10,0),0)</f>
        <v>0</v>
      </c>
    </row>
    <row r="382" spans="1:46" hidden="1" outlineLevel="1" x14ac:dyDescent="0.25">
      <c r="A382" s="14" t="str">
        <f t="shared" si="109"/>
        <v>PROP_OPER__4</v>
      </c>
      <c r="B382" s="15" t="str">
        <f t="shared" si="127"/>
        <v>PROP_OPER__1029_1</v>
      </c>
      <c r="D382" s="15">
        <v>1</v>
      </c>
      <c r="E382" s="15">
        <v>4</v>
      </c>
      <c r="F382" s="190">
        <f t="shared" si="128"/>
        <v>1029</v>
      </c>
      <c r="G382" s="149" t="str">
        <f t="shared" si="128"/>
        <v xml:space="preserve">APLICAÇÃO MISTA CORREÇÃO SOLO </v>
      </c>
      <c r="H382" s="150" t="str">
        <f t="shared" si="128"/>
        <v>HA</v>
      </c>
      <c r="I382" s="150" t="str">
        <f t="shared" si="128"/>
        <v>PREPSP</v>
      </c>
      <c r="J382" s="150">
        <f t="shared" si="128"/>
        <v>1</v>
      </c>
      <c r="K382" s="196"/>
      <c r="L382" s="197"/>
      <c r="M382" s="191">
        <f t="shared" si="129"/>
        <v>0</v>
      </c>
      <c r="N382" s="150">
        <f t="shared" si="129"/>
        <v>0</v>
      </c>
      <c r="O382" s="193">
        <f t="shared" si="129"/>
        <v>1</v>
      </c>
      <c r="P382" s="162">
        <f t="shared" si="130"/>
        <v>0</v>
      </c>
      <c r="Q382" s="162">
        <f t="shared" si="130"/>
        <v>0</v>
      </c>
      <c r="R382" s="162">
        <f t="shared" si="130"/>
        <v>0</v>
      </c>
      <c r="S382" s="162">
        <f t="shared" si="130"/>
        <v>0</v>
      </c>
      <c r="T382" s="162">
        <f t="shared" si="130"/>
        <v>0</v>
      </c>
      <c r="U382" s="162">
        <f t="shared" si="130"/>
        <v>0</v>
      </c>
      <c r="V382" s="162">
        <f t="shared" si="130"/>
        <v>0</v>
      </c>
      <c r="W382" s="162">
        <f t="shared" si="130"/>
        <v>0</v>
      </c>
      <c r="X382" s="162">
        <f t="shared" si="130"/>
        <v>0</v>
      </c>
      <c r="Y382" s="162">
        <f t="shared" si="130"/>
        <v>0</v>
      </c>
      <c r="Z382" s="162">
        <f t="shared" si="130"/>
        <v>0</v>
      </c>
      <c r="AA382" s="162">
        <f t="shared" si="130"/>
        <v>0</v>
      </c>
      <c r="AB382" s="163">
        <f t="shared" si="131"/>
        <v>0</v>
      </c>
      <c r="AC382" s="159"/>
      <c r="AE382" s="194" t="e">
        <f t="shared" si="132"/>
        <v>#REF!</v>
      </c>
      <c r="AF382" s="161">
        <f t="shared" si="133"/>
        <v>0</v>
      </c>
      <c r="AG382" s="162">
        <f t="shared" si="133"/>
        <v>0</v>
      </c>
      <c r="AH382" s="162">
        <f t="shared" si="133"/>
        <v>0</v>
      </c>
      <c r="AI382" s="162">
        <f t="shared" si="133"/>
        <v>0</v>
      </c>
      <c r="AJ382" s="162">
        <f t="shared" si="133"/>
        <v>0</v>
      </c>
      <c r="AK382" s="162">
        <f t="shared" si="133"/>
        <v>0</v>
      </c>
      <c r="AL382" s="162">
        <f t="shared" si="133"/>
        <v>0</v>
      </c>
      <c r="AM382" s="162">
        <f t="shared" si="133"/>
        <v>0</v>
      </c>
      <c r="AN382" s="162">
        <f t="shared" si="133"/>
        <v>0</v>
      </c>
      <c r="AO382" s="162">
        <f t="shared" si="133"/>
        <v>0</v>
      </c>
      <c r="AP382" s="162">
        <f t="shared" si="133"/>
        <v>0</v>
      </c>
      <c r="AQ382" s="162">
        <f t="shared" si="133"/>
        <v>0</v>
      </c>
      <c r="AR382" s="163">
        <f t="shared" si="134"/>
        <v>0</v>
      </c>
      <c r="AT382" s="208">
        <f>IFERROR(VLOOKUP(J382,#REF!,10,0),0)</f>
        <v>0</v>
      </c>
    </row>
    <row r="383" spans="1:46" hidden="1" outlineLevel="1" x14ac:dyDescent="0.25">
      <c r="A383" s="14" t="str">
        <f t="shared" si="109"/>
        <v>PROP_OPER__5</v>
      </c>
      <c r="B383" s="15" t="str">
        <f t="shared" si="127"/>
        <v>PROP_OPER__0_0</v>
      </c>
      <c r="D383" s="15">
        <v>1</v>
      </c>
      <c r="E383" s="15">
        <v>5</v>
      </c>
      <c r="F383" s="190">
        <f t="shared" si="128"/>
        <v>0</v>
      </c>
      <c r="G383" s="149" t="str">
        <f t="shared" si="128"/>
        <v/>
      </c>
      <c r="H383" s="150" t="str">
        <f t="shared" si="128"/>
        <v/>
      </c>
      <c r="I383" s="150">
        <f t="shared" si="128"/>
        <v>0</v>
      </c>
      <c r="J383" s="150">
        <f t="shared" si="128"/>
        <v>0</v>
      </c>
      <c r="K383" s="196"/>
      <c r="L383" s="197"/>
      <c r="M383" s="191">
        <f t="shared" si="129"/>
        <v>0</v>
      </c>
      <c r="N383" s="150">
        <f t="shared" si="129"/>
        <v>0</v>
      </c>
      <c r="O383" s="193">
        <f t="shared" si="129"/>
        <v>0</v>
      </c>
      <c r="P383" s="162">
        <f t="shared" si="130"/>
        <v>0</v>
      </c>
      <c r="Q383" s="162">
        <f t="shared" si="130"/>
        <v>0</v>
      </c>
      <c r="R383" s="162">
        <f t="shared" si="130"/>
        <v>0</v>
      </c>
      <c r="S383" s="162">
        <f t="shared" si="130"/>
        <v>0</v>
      </c>
      <c r="T383" s="162">
        <f t="shared" si="130"/>
        <v>0</v>
      </c>
      <c r="U383" s="162">
        <f t="shared" si="130"/>
        <v>0</v>
      </c>
      <c r="V383" s="162">
        <f t="shared" si="130"/>
        <v>0</v>
      </c>
      <c r="W383" s="162">
        <f t="shared" si="130"/>
        <v>0</v>
      </c>
      <c r="X383" s="162">
        <f t="shared" si="130"/>
        <v>0</v>
      </c>
      <c r="Y383" s="162">
        <f t="shared" si="130"/>
        <v>0</v>
      </c>
      <c r="Z383" s="162">
        <f t="shared" si="130"/>
        <v>0</v>
      </c>
      <c r="AA383" s="162">
        <f t="shared" si="130"/>
        <v>0</v>
      </c>
      <c r="AB383" s="163">
        <f t="shared" si="131"/>
        <v>0</v>
      </c>
      <c r="AC383" s="159"/>
      <c r="AE383" s="194" t="str">
        <f t="shared" si="132"/>
        <v/>
      </c>
      <c r="AF383" s="161">
        <f t="shared" si="133"/>
        <v>0</v>
      </c>
      <c r="AG383" s="162">
        <f t="shared" si="133"/>
        <v>0</v>
      </c>
      <c r="AH383" s="162">
        <f t="shared" si="133"/>
        <v>0</v>
      </c>
      <c r="AI383" s="162">
        <f t="shared" si="133"/>
        <v>0</v>
      </c>
      <c r="AJ383" s="162">
        <f t="shared" si="133"/>
        <v>0</v>
      </c>
      <c r="AK383" s="162">
        <f t="shared" si="133"/>
        <v>0</v>
      </c>
      <c r="AL383" s="162">
        <f t="shared" si="133"/>
        <v>0</v>
      </c>
      <c r="AM383" s="162">
        <f t="shared" si="133"/>
        <v>0</v>
      </c>
      <c r="AN383" s="162">
        <f t="shared" si="133"/>
        <v>0</v>
      </c>
      <c r="AO383" s="162">
        <f t="shared" si="133"/>
        <v>0</v>
      </c>
      <c r="AP383" s="162">
        <f t="shared" si="133"/>
        <v>0</v>
      </c>
      <c r="AQ383" s="162">
        <f t="shared" si="133"/>
        <v>0</v>
      </c>
      <c r="AR383" s="163">
        <f t="shared" si="134"/>
        <v>0</v>
      </c>
      <c r="AT383" s="208">
        <f>IFERROR(VLOOKUP(J383,#REF!,10,0),0)</f>
        <v>0</v>
      </c>
    </row>
    <row r="384" spans="1:46" hidden="1" outlineLevel="1" x14ac:dyDescent="0.25">
      <c r="A384" s="14" t="str">
        <f t="shared" si="109"/>
        <v>PROP_OPER__6</v>
      </c>
      <c r="B384" s="15" t="str">
        <f t="shared" si="127"/>
        <v>PROP_OPER__0_0</v>
      </c>
      <c r="D384" s="15">
        <v>1</v>
      </c>
      <c r="E384" s="15">
        <v>6</v>
      </c>
      <c r="F384" s="190">
        <f t="shared" si="128"/>
        <v>0</v>
      </c>
      <c r="G384" s="149" t="str">
        <f t="shared" si="128"/>
        <v/>
      </c>
      <c r="H384" s="150" t="str">
        <f t="shared" si="128"/>
        <v/>
      </c>
      <c r="I384" s="150">
        <f t="shared" si="128"/>
        <v>0</v>
      </c>
      <c r="J384" s="150">
        <f t="shared" si="128"/>
        <v>0</v>
      </c>
      <c r="K384" s="196"/>
      <c r="L384" s="197"/>
      <c r="M384" s="191">
        <f t="shared" si="129"/>
        <v>0</v>
      </c>
      <c r="N384" s="150">
        <f t="shared" si="129"/>
        <v>0</v>
      </c>
      <c r="O384" s="193">
        <f t="shared" si="129"/>
        <v>0</v>
      </c>
      <c r="P384" s="162">
        <f t="shared" si="130"/>
        <v>0</v>
      </c>
      <c r="Q384" s="162">
        <f t="shared" si="130"/>
        <v>0</v>
      </c>
      <c r="R384" s="162">
        <f t="shared" si="130"/>
        <v>0</v>
      </c>
      <c r="S384" s="162">
        <f t="shared" si="130"/>
        <v>0</v>
      </c>
      <c r="T384" s="162">
        <f t="shared" si="130"/>
        <v>0</v>
      </c>
      <c r="U384" s="162">
        <f t="shared" si="130"/>
        <v>0</v>
      </c>
      <c r="V384" s="162">
        <f t="shared" si="130"/>
        <v>0</v>
      </c>
      <c r="W384" s="162">
        <f t="shared" si="130"/>
        <v>0</v>
      </c>
      <c r="X384" s="162">
        <f t="shared" si="130"/>
        <v>0</v>
      </c>
      <c r="Y384" s="162">
        <f t="shared" si="130"/>
        <v>0</v>
      </c>
      <c r="Z384" s="162">
        <f t="shared" si="130"/>
        <v>0</v>
      </c>
      <c r="AA384" s="162">
        <f t="shared" si="130"/>
        <v>0</v>
      </c>
      <c r="AB384" s="163">
        <f t="shared" si="131"/>
        <v>0</v>
      </c>
      <c r="AC384" s="159"/>
      <c r="AE384" s="194" t="str">
        <f t="shared" si="132"/>
        <v/>
      </c>
      <c r="AF384" s="161">
        <f t="shared" si="133"/>
        <v>0</v>
      </c>
      <c r="AG384" s="162">
        <f t="shared" si="133"/>
        <v>0</v>
      </c>
      <c r="AH384" s="162">
        <f t="shared" si="133"/>
        <v>0</v>
      </c>
      <c r="AI384" s="162">
        <f t="shared" si="133"/>
        <v>0</v>
      </c>
      <c r="AJ384" s="162">
        <f t="shared" si="133"/>
        <v>0</v>
      </c>
      <c r="AK384" s="162">
        <f t="shared" si="133"/>
        <v>0</v>
      </c>
      <c r="AL384" s="162">
        <f t="shared" si="133"/>
        <v>0</v>
      </c>
      <c r="AM384" s="162">
        <f t="shared" si="133"/>
        <v>0</v>
      </c>
      <c r="AN384" s="162">
        <f t="shared" si="133"/>
        <v>0</v>
      </c>
      <c r="AO384" s="162">
        <f t="shared" si="133"/>
        <v>0</v>
      </c>
      <c r="AP384" s="162">
        <f t="shared" si="133"/>
        <v>0</v>
      </c>
      <c r="AQ384" s="162">
        <f t="shared" si="133"/>
        <v>0</v>
      </c>
      <c r="AR384" s="163">
        <f t="shared" si="134"/>
        <v>0</v>
      </c>
      <c r="AT384" s="208">
        <f>IFERROR(VLOOKUP(J384,#REF!,10,0),0)</f>
        <v>0</v>
      </c>
    </row>
    <row r="385" spans="1:46" hidden="1" outlineLevel="1" x14ac:dyDescent="0.25">
      <c r="A385" s="14" t="str">
        <f t="shared" si="109"/>
        <v>PROP_OPER__7</v>
      </c>
      <c r="B385" s="15" t="str">
        <f t="shared" si="127"/>
        <v>PROP_OPER__1013_1</v>
      </c>
      <c r="D385" s="15">
        <v>1</v>
      </c>
      <c r="E385" s="15">
        <v>7</v>
      </c>
      <c r="F385" s="190">
        <f t="shared" si="128"/>
        <v>1013</v>
      </c>
      <c r="G385" s="149" t="str">
        <f t="shared" si="128"/>
        <v>GRADAGEM ARADORA</v>
      </c>
      <c r="H385" s="150" t="str">
        <f t="shared" si="128"/>
        <v>HA</v>
      </c>
      <c r="I385" s="150" t="str">
        <f t="shared" si="128"/>
        <v>PREPSP</v>
      </c>
      <c r="J385" s="150">
        <f t="shared" si="128"/>
        <v>1</v>
      </c>
      <c r="K385" s="196"/>
      <c r="L385" s="197"/>
      <c r="M385" s="191">
        <f t="shared" si="129"/>
        <v>0</v>
      </c>
      <c r="N385" s="150">
        <f t="shared" si="129"/>
        <v>0</v>
      </c>
      <c r="O385" s="193">
        <f t="shared" si="129"/>
        <v>1</v>
      </c>
      <c r="P385" s="162">
        <f t="shared" si="130"/>
        <v>0</v>
      </c>
      <c r="Q385" s="162">
        <f t="shared" si="130"/>
        <v>0</v>
      </c>
      <c r="R385" s="162">
        <f t="shared" si="130"/>
        <v>0</v>
      </c>
      <c r="S385" s="162">
        <f t="shared" si="130"/>
        <v>0</v>
      </c>
      <c r="T385" s="162">
        <f t="shared" si="130"/>
        <v>0</v>
      </c>
      <c r="U385" s="162">
        <f t="shared" si="130"/>
        <v>0</v>
      </c>
      <c r="V385" s="162">
        <f t="shared" si="130"/>
        <v>0</v>
      </c>
      <c r="W385" s="162">
        <f t="shared" si="130"/>
        <v>0</v>
      </c>
      <c r="X385" s="162">
        <f t="shared" si="130"/>
        <v>0</v>
      </c>
      <c r="Y385" s="162">
        <f t="shared" si="130"/>
        <v>0</v>
      </c>
      <c r="Z385" s="162">
        <f t="shared" si="130"/>
        <v>0</v>
      </c>
      <c r="AA385" s="162">
        <f t="shared" si="130"/>
        <v>0</v>
      </c>
      <c r="AB385" s="163">
        <f t="shared" si="131"/>
        <v>0</v>
      </c>
      <c r="AC385" s="159"/>
      <c r="AE385" s="194" t="e">
        <f t="shared" si="132"/>
        <v>#REF!</v>
      </c>
      <c r="AF385" s="161">
        <f t="shared" si="133"/>
        <v>0</v>
      </c>
      <c r="AG385" s="162">
        <f t="shared" si="133"/>
        <v>0</v>
      </c>
      <c r="AH385" s="162">
        <f t="shared" si="133"/>
        <v>0</v>
      </c>
      <c r="AI385" s="162">
        <f t="shared" si="133"/>
        <v>0</v>
      </c>
      <c r="AJ385" s="162">
        <f t="shared" si="133"/>
        <v>0</v>
      </c>
      <c r="AK385" s="162">
        <f t="shared" si="133"/>
        <v>0</v>
      </c>
      <c r="AL385" s="162">
        <f t="shared" si="133"/>
        <v>0</v>
      </c>
      <c r="AM385" s="162">
        <f t="shared" si="133"/>
        <v>0</v>
      </c>
      <c r="AN385" s="162">
        <f t="shared" si="133"/>
        <v>0</v>
      </c>
      <c r="AO385" s="162">
        <f t="shared" si="133"/>
        <v>0</v>
      </c>
      <c r="AP385" s="162">
        <f t="shared" si="133"/>
        <v>0</v>
      </c>
      <c r="AQ385" s="162">
        <f t="shared" si="133"/>
        <v>0</v>
      </c>
      <c r="AR385" s="163">
        <f t="shared" si="134"/>
        <v>0</v>
      </c>
      <c r="AT385" s="208">
        <f>IFERROR(VLOOKUP(J385,#REF!,10,0),0)</f>
        <v>0</v>
      </c>
    </row>
    <row r="386" spans="1:46" hidden="1" outlineLevel="1" x14ac:dyDescent="0.25">
      <c r="A386" s="14" t="str">
        <f t="shared" si="109"/>
        <v>PROP_OPER__8</v>
      </c>
      <c r="B386" s="15" t="str">
        <f t="shared" si="127"/>
        <v>PROP_OPER__1014_1</v>
      </c>
      <c r="D386" s="15">
        <v>1</v>
      </c>
      <c r="E386" s="15">
        <v>8</v>
      </c>
      <c r="F386" s="190">
        <f t="shared" si="128"/>
        <v>1014</v>
      </c>
      <c r="G386" s="149" t="str">
        <f t="shared" si="128"/>
        <v>GRADAGEM INTERMEDIÁRIA</v>
      </c>
      <c r="H386" s="150" t="str">
        <f t="shared" si="128"/>
        <v>HA</v>
      </c>
      <c r="I386" s="150" t="str">
        <f t="shared" si="128"/>
        <v>PREPSP</v>
      </c>
      <c r="J386" s="150">
        <f t="shared" si="128"/>
        <v>1</v>
      </c>
      <c r="K386" s="196"/>
      <c r="L386" s="197"/>
      <c r="M386" s="191">
        <f t="shared" si="129"/>
        <v>0</v>
      </c>
      <c r="N386" s="150">
        <f t="shared" si="129"/>
        <v>0</v>
      </c>
      <c r="O386" s="193">
        <f t="shared" si="129"/>
        <v>1</v>
      </c>
      <c r="P386" s="162">
        <f t="shared" si="130"/>
        <v>0</v>
      </c>
      <c r="Q386" s="162">
        <f t="shared" si="130"/>
        <v>0</v>
      </c>
      <c r="R386" s="162">
        <f t="shared" si="130"/>
        <v>0</v>
      </c>
      <c r="S386" s="162">
        <f t="shared" si="130"/>
        <v>0</v>
      </c>
      <c r="T386" s="162">
        <f t="shared" si="130"/>
        <v>0</v>
      </c>
      <c r="U386" s="162">
        <f t="shared" si="130"/>
        <v>0</v>
      </c>
      <c r="V386" s="162">
        <f t="shared" si="130"/>
        <v>0</v>
      </c>
      <c r="W386" s="162">
        <f t="shared" si="130"/>
        <v>0</v>
      </c>
      <c r="X386" s="162">
        <f t="shared" si="130"/>
        <v>0</v>
      </c>
      <c r="Y386" s="162">
        <f t="shared" si="130"/>
        <v>0</v>
      </c>
      <c r="Z386" s="162">
        <f t="shared" si="130"/>
        <v>0</v>
      </c>
      <c r="AA386" s="162">
        <f t="shared" si="130"/>
        <v>0</v>
      </c>
      <c r="AB386" s="163">
        <f t="shared" si="131"/>
        <v>0</v>
      </c>
      <c r="AC386" s="159"/>
      <c r="AE386" s="194" t="e">
        <f t="shared" si="132"/>
        <v>#REF!</v>
      </c>
      <c r="AF386" s="161">
        <f t="shared" si="133"/>
        <v>0</v>
      </c>
      <c r="AG386" s="162">
        <f t="shared" si="133"/>
        <v>0</v>
      </c>
      <c r="AH386" s="162">
        <f t="shared" si="133"/>
        <v>0</v>
      </c>
      <c r="AI386" s="162">
        <f t="shared" si="133"/>
        <v>0</v>
      </c>
      <c r="AJ386" s="162">
        <f t="shared" si="133"/>
        <v>0</v>
      </c>
      <c r="AK386" s="162">
        <f t="shared" si="133"/>
        <v>0</v>
      </c>
      <c r="AL386" s="162">
        <f t="shared" si="133"/>
        <v>0</v>
      </c>
      <c r="AM386" s="162">
        <f t="shared" si="133"/>
        <v>0</v>
      </c>
      <c r="AN386" s="162">
        <f t="shared" si="133"/>
        <v>0</v>
      </c>
      <c r="AO386" s="162">
        <f t="shared" si="133"/>
        <v>0</v>
      </c>
      <c r="AP386" s="162">
        <f t="shared" si="133"/>
        <v>0</v>
      </c>
      <c r="AQ386" s="162">
        <f t="shared" si="133"/>
        <v>0</v>
      </c>
      <c r="AR386" s="163">
        <f t="shared" si="134"/>
        <v>0</v>
      </c>
      <c r="AT386" s="208">
        <f>IFERROR(VLOOKUP(J386,#REF!,10,0),0)</f>
        <v>0</v>
      </c>
    </row>
    <row r="387" spans="1:46" hidden="1" outlineLevel="1" x14ac:dyDescent="0.25">
      <c r="A387" s="14" t="str">
        <f t="shared" si="109"/>
        <v>PROP_OPER__9</v>
      </c>
      <c r="B387" s="15" t="str">
        <f t="shared" si="127"/>
        <v>PROP_OPER__1015_1</v>
      </c>
      <c r="D387" s="15">
        <v>1</v>
      </c>
      <c r="E387" s="15">
        <v>9</v>
      </c>
      <c r="F387" s="190">
        <f t="shared" si="128"/>
        <v>1015</v>
      </c>
      <c r="G387" s="149" t="str">
        <f t="shared" si="128"/>
        <v>GRADAGEM NIVELADORA</v>
      </c>
      <c r="H387" s="150" t="str">
        <f t="shared" si="128"/>
        <v>HA</v>
      </c>
      <c r="I387" s="150" t="str">
        <f t="shared" si="128"/>
        <v>PREPSP</v>
      </c>
      <c r="J387" s="150">
        <f t="shared" si="128"/>
        <v>1</v>
      </c>
      <c r="K387" s="196"/>
      <c r="L387" s="197"/>
      <c r="M387" s="191">
        <f t="shared" si="129"/>
        <v>0</v>
      </c>
      <c r="N387" s="150">
        <f t="shared" si="129"/>
        <v>0</v>
      </c>
      <c r="O387" s="193">
        <f t="shared" si="129"/>
        <v>1</v>
      </c>
      <c r="P387" s="162">
        <f t="shared" si="130"/>
        <v>0</v>
      </c>
      <c r="Q387" s="162">
        <f t="shared" si="130"/>
        <v>0</v>
      </c>
      <c r="R387" s="162">
        <f t="shared" si="130"/>
        <v>0</v>
      </c>
      <c r="S387" s="162">
        <f t="shared" si="130"/>
        <v>0</v>
      </c>
      <c r="T387" s="162">
        <f t="shared" si="130"/>
        <v>0</v>
      </c>
      <c r="U387" s="162">
        <f t="shared" si="130"/>
        <v>0</v>
      </c>
      <c r="V387" s="162">
        <f t="shared" si="130"/>
        <v>0</v>
      </c>
      <c r="W387" s="162">
        <f t="shared" si="130"/>
        <v>0</v>
      </c>
      <c r="X387" s="162">
        <f t="shared" si="130"/>
        <v>0</v>
      </c>
      <c r="Y387" s="162">
        <f t="shared" si="130"/>
        <v>0</v>
      </c>
      <c r="Z387" s="162">
        <f t="shared" si="130"/>
        <v>0</v>
      </c>
      <c r="AA387" s="162">
        <f t="shared" si="130"/>
        <v>0</v>
      </c>
      <c r="AB387" s="163">
        <f t="shared" si="131"/>
        <v>0</v>
      </c>
      <c r="AC387" s="159"/>
      <c r="AE387" s="194" t="e">
        <f t="shared" si="132"/>
        <v>#REF!</v>
      </c>
      <c r="AF387" s="161">
        <f t="shared" si="133"/>
        <v>0</v>
      </c>
      <c r="AG387" s="162">
        <f t="shared" si="133"/>
        <v>0</v>
      </c>
      <c r="AH387" s="162">
        <f t="shared" si="133"/>
        <v>0</v>
      </c>
      <c r="AI387" s="162">
        <f t="shared" si="133"/>
        <v>0</v>
      </c>
      <c r="AJ387" s="162">
        <f t="shared" si="133"/>
        <v>0</v>
      </c>
      <c r="AK387" s="162">
        <f t="shared" si="133"/>
        <v>0</v>
      </c>
      <c r="AL387" s="162">
        <f t="shared" si="133"/>
        <v>0</v>
      </c>
      <c r="AM387" s="162">
        <f t="shared" si="133"/>
        <v>0</v>
      </c>
      <c r="AN387" s="162">
        <f t="shared" si="133"/>
        <v>0</v>
      </c>
      <c r="AO387" s="162">
        <f t="shared" si="133"/>
        <v>0</v>
      </c>
      <c r="AP387" s="162">
        <f t="shared" si="133"/>
        <v>0</v>
      </c>
      <c r="AQ387" s="162">
        <f t="shared" si="133"/>
        <v>0</v>
      </c>
      <c r="AR387" s="163">
        <f t="shared" si="134"/>
        <v>0</v>
      </c>
      <c r="AT387" s="208">
        <f>IFERROR(VLOOKUP(J387,#REF!,10,0),0)</f>
        <v>0</v>
      </c>
    </row>
    <row r="388" spans="1:46" hidden="1" outlineLevel="1" x14ac:dyDescent="0.25">
      <c r="A388" s="14" t="str">
        <f t="shared" si="109"/>
        <v>PROP_OPER__10</v>
      </c>
      <c r="B388" s="15" t="str">
        <f t="shared" si="127"/>
        <v>PROP_OPER__1016_1</v>
      </c>
      <c r="D388" s="15">
        <v>1</v>
      </c>
      <c r="E388" s="15">
        <v>10</v>
      </c>
      <c r="F388" s="190">
        <f t="shared" si="128"/>
        <v>1016</v>
      </c>
      <c r="G388" s="149" t="str">
        <f t="shared" si="128"/>
        <v>SUBSOLAGEM</v>
      </c>
      <c r="H388" s="150" t="str">
        <f t="shared" si="128"/>
        <v>HA</v>
      </c>
      <c r="I388" s="150" t="str">
        <f t="shared" si="128"/>
        <v>PREPSP</v>
      </c>
      <c r="J388" s="150">
        <f t="shared" si="128"/>
        <v>1</v>
      </c>
      <c r="K388" s="196"/>
      <c r="L388" s="197"/>
      <c r="M388" s="191">
        <f t="shared" si="129"/>
        <v>0</v>
      </c>
      <c r="N388" s="150">
        <f t="shared" si="129"/>
        <v>0</v>
      </c>
      <c r="O388" s="193">
        <f t="shared" si="129"/>
        <v>1</v>
      </c>
      <c r="P388" s="162">
        <f t="shared" si="130"/>
        <v>0</v>
      </c>
      <c r="Q388" s="162">
        <f t="shared" si="130"/>
        <v>0</v>
      </c>
      <c r="R388" s="162">
        <f t="shared" si="130"/>
        <v>0</v>
      </c>
      <c r="S388" s="162">
        <f t="shared" si="130"/>
        <v>0</v>
      </c>
      <c r="T388" s="162">
        <f t="shared" si="130"/>
        <v>0</v>
      </c>
      <c r="U388" s="162">
        <f t="shared" si="130"/>
        <v>0</v>
      </c>
      <c r="V388" s="162">
        <f t="shared" si="130"/>
        <v>0</v>
      </c>
      <c r="W388" s="162">
        <f t="shared" si="130"/>
        <v>0</v>
      </c>
      <c r="X388" s="162">
        <f t="shared" si="130"/>
        <v>0</v>
      </c>
      <c r="Y388" s="162">
        <f t="shared" si="130"/>
        <v>0</v>
      </c>
      <c r="Z388" s="162">
        <f t="shared" si="130"/>
        <v>0</v>
      </c>
      <c r="AA388" s="162">
        <f t="shared" si="130"/>
        <v>0</v>
      </c>
      <c r="AB388" s="163">
        <f t="shared" si="131"/>
        <v>0</v>
      </c>
      <c r="AC388" s="159"/>
      <c r="AE388" s="194" t="e">
        <f t="shared" si="132"/>
        <v>#REF!</v>
      </c>
      <c r="AF388" s="161">
        <f t="shared" si="133"/>
        <v>0</v>
      </c>
      <c r="AG388" s="162">
        <f t="shared" si="133"/>
        <v>0</v>
      </c>
      <c r="AH388" s="162">
        <f t="shared" si="133"/>
        <v>0</v>
      </c>
      <c r="AI388" s="162">
        <f t="shared" si="133"/>
        <v>0</v>
      </c>
      <c r="AJ388" s="162">
        <f t="shared" si="133"/>
        <v>0</v>
      </c>
      <c r="AK388" s="162">
        <f t="shared" si="133"/>
        <v>0</v>
      </c>
      <c r="AL388" s="162">
        <f t="shared" si="133"/>
        <v>0</v>
      </c>
      <c r="AM388" s="162">
        <f t="shared" si="133"/>
        <v>0</v>
      </c>
      <c r="AN388" s="162">
        <f t="shared" si="133"/>
        <v>0</v>
      </c>
      <c r="AO388" s="162">
        <f t="shared" si="133"/>
        <v>0</v>
      </c>
      <c r="AP388" s="162">
        <f t="shared" si="133"/>
        <v>0</v>
      </c>
      <c r="AQ388" s="162">
        <f t="shared" si="133"/>
        <v>0</v>
      </c>
      <c r="AR388" s="163">
        <f t="shared" si="134"/>
        <v>0</v>
      </c>
      <c r="AT388" s="208">
        <f>IFERROR(VLOOKUP(J388,#REF!,10,0),0)</f>
        <v>0</v>
      </c>
    </row>
    <row r="389" spans="1:46" hidden="1" outlineLevel="1" x14ac:dyDescent="0.25">
      <c r="A389" s="14" t="str">
        <f t="shared" si="109"/>
        <v>PROP_OPER__11</v>
      </c>
      <c r="B389" s="15" t="str">
        <f t="shared" si="127"/>
        <v>PROP_OPER__1019_1</v>
      </c>
      <c r="D389" s="15">
        <v>1</v>
      </c>
      <c r="E389" s="15">
        <v>11</v>
      </c>
      <c r="F389" s="190">
        <f t="shared" si="128"/>
        <v>1019</v>
      </c>
      <c r="G389" s="149" t="str">
        <f t="shared" si="128"/>
        <v>DESTRUIÇÃO DE SOQUEIRA / SPH</v>
      </c>
      <c r="H389" s="150" t="str">
        <f t="shared" si="128"/>
        <v>HA</v>
      </c>
      <c r="I389" s="150" t="str">
        <f t="shared" si="128"/>
        <v>PREPSP</v>
      </c>
      <c r="J389" s="150">
        <f t="shared" si="128"/>
        <v>1</v>
      </c>
      <c r="K389" s="196"/>
      <c r="L389" s="197"/>
      <c r="M389" s="191">
        <f t="shared" si="129"/>
        <v>0</v>
      </c>
      <c r="N389" s="150">
        <f t="shared" si="129"/>
        <v>0</v>
      </c>
      <c r="O389" s="193">
        <f t="shared" si="129"/>
        <v>1</v>
      </c>
      <c r="P389" s="162">
        <f t="shared" si="130"/>
        <v>0</v>
      </c>
      <c r="Q389" s="162">
        <f t="shared" si="130"/>
        <v>0</v>
      </c>
      <c r="R389" s="162">
        <f t="shared" si="130"/>
        <v>0</v>
      </c>
      <c r="S389" s="162">
        <f t="shared" si="130"/>
        <v>0</v>
      </c>
      <c r="T389" s="162">
        <f t="shared" si="130"/>
        <v>0</v>
      </c>
      <c r="U389" s="162">
        <f t="shared" si="130"/>
        <v>0</v>
      </c>
      <c r="V389" s="162">
        <f t="shared" si="130"/>
        <v>0</v>
      </c>
      <c r="W389" s="162">
        <f t="shared" si="130"/>
        <v>0</v>
      </c>
      <c r="X389" s="162">
        <f t="shared" si="130"/>
        <v>0</v>
      </c>
      <c r="Y389" s="162">
        <f t="shared" si="130"/>
        <v>0</v>
      </c>
      <c r="Z389" s="162">
        <f t="shared" si="130"/>
        <v>0</v>
      </c>
      <c r="AA389" s="162">
        <f t="shared" si="130"/>
        <v>0</v>
      </c>
      <c r="AB389" s="163">
        <f t="shared" si="131"/>
        <v>0</v>
      </c>
      <c r="AC389" s="198"/>
      <c r="AE389" s="194" t="e">
        <f t="shared" si="132"/>
        <v>#REF!</v>
      </c>
      <c r="AF389" s="161">
        <f t="shared" si="133"/>
        <v>0</v>
      </c>
      <c r="AG389" s="162">
        <f t="shared" si="133"/>
        <v>0</v>
      </c>
      <c r="AH389" s="162">
        <f t="shared" si="133"/>
        <v>0</v>
      </c>
      <c r="AI389" s="162">
        <f t="shared" si="133"/>
        <v>0</v>
      </c>
      <c r="AJ389" s="162">
        <f t="shared" si="133"/>
        <v>0</v>
      </c>
      <c r="AK389" s="162">
        <f t="shared" si="133"/>
        <v>0</v>
      </c>
      <c r="AL389" s="162">
        <f t="shared" si="133"/>
        <v>0</v>
      </c>
      <c r="AM389" s="162">
        <f t="shared" si="133"/>
        <v>0</v>
      </c>
      <c r="AN389" s="162">
        <f t="shared" si="133"/>
        <v>0</v>
      </c>
      <c r="AO389" s="162">
        <f t="shared" si="133"/>
        <v>0</v>
      </c>
      <c r="AP389" s="162">
        <f t="shared" si="133"/>
        <v>0</v>
      </c>
      <c r="AQ389" s="162">
        <f t="shared" si="133"/>
        <v>0</v>
      </c>
      <c r="AR389" s="163">
        <f t="shared" si="134"/>
        <v>0</v>
      </c>
      <c r="AT389" s="208">
        <f>IFERROR(VLOOKUP(J389,#REF!,10,0),0)</f>
        <v>0</v>
      </c>
    </row>
    <row r="390" spans="1:46" hidden="1" outlineLevel="1" x14ac:dyDescent="0.25">
      <c r="A390" s="14" t="str">
        <f t="shared" si="109"/>
        <v>PROP_OPER__12</v>
      </c>
      <c r="B390" s="15" t="str">
        <f t="shared" si="127"/>
        <v>PROP_OPER__1081_1</v>
      </c>
      <c r="D390" s="15">
        <v>1</v>
      </c>
      <c r="E390" s="15">
        <v>12</v>
      </c>
      <c r="F390" s="190">
        <f t="shared" si="128"/>
        <v>1081</v>
      </c>
      <c r="G390" s="149" t="str">
        <f t="shared" si="128"/>
        <v xml:space="preserve">Canterizador De Cana          </v>
      </c>
      <c r="H390" s="150" t="str">
        <f t="shared" si="128"/>
        <v>HA</v>
      </c>
      <c r="I390" s="150" t="str">
        <f t="shared" si="128"/>
        <v>PREPSP</v>
      </c>
      <c r="J390" s="150">
        <f t="shared" si="128"/>
        <v>1</v>
      </c>
      <c r="K390" s="196"/>
      <c r="L390" s="197"/>
      <c r="M390" s="191">
        <f t="shared" si="129"/>
        <v>0</v>
      </c>
      <c r="N390" s="150">
        <f t="shared" si="129"/>
        <v>0</v>
      </c>
      <c r="O390" s="193">
        <f t="shared" si="129"/>
        <v>1</v>
      </c>
      <c r="P390" s="162">
        <f t="shared" si="130"/>
        <v>0</v>
      </c>
      <c r="Q390" s="162">
        <f t="shared" si="130"/>
        <v>0</v>
      </c>
      <c r="R390" s="162">
        <f t="shared" si="130"/>
        <v>0</v>
      </c>
      <c r="S390" s="162">
        <f t="shared" si="130"/>
        <v>0</v>
      </c>
      <c r="T390" s="162">
        <f t="shared" si="130"/>
        <v>0</v>
      </c>
      <c r="U390" s="162">
        <f t="shared" si="130"/>
        <v>0</v>
      </c>
      <c r="V390" s="162">
        <f t="shared" si="130"/>
        <v>0</v>
      </c>
      <c r="W390" s="162">
        <f t="shared" si="130"/>
        <v>0</v>
      </c>
      <c r="X390" s="162">
        <f t="shared" si="130"/>
        <v>0</v>
      </c>
      <c r="Y390" s="162">
        <f t="shared" si="130"/>
        <v>0</v>
      </c>
      <c r="Z390" s="162">
        <f t="shared" si="130"/>
        <v>0</v>
      </c>
      <c r="AA390" s="162">
        <f t="shared" si="130"/>
        <v>0</v>
      </c>
      <c r="AB390" s="163">
        <f t="shared" si="131"/>
        <v>0</v>
      </c>
      <c r="AC390" s="198"/>
      <c r="AE390" s="194" t="e">
        <f t="shared" si="132"/>
        <v>#REF!</v>
      </c>
      <c r="AF390" s="161">
        <f t="shared" si="133"/>
        <v>0</v>
      </c>
      <c r="AG390" s="162">
        <f t="shared" si="133"/>
        <v>0</v>
      </c>
      <c r="AH390" s="162">
        <f t="shared" si="133"/>
        <v>0</v>
      </c>
      <c r="AI390" s="162">
        <f t="shared" si="133"/>
        <v>0</v>
      </c>
      <c r="AJ390" s="162">
        <f t="shared" si="133"/>
        <v>0</v>
      </c>
      <c r="AK390" s="162">
        <f t="shared" si="133"/>
        <v>0</v>
      </c>
      <c r="AL390" s="162">
        <f t="shared" si="133"/>
        <v>0</v>
      </c>
      <c r="AM390" s="162">
        <f t="shared" si="133"/>
        <v>0</v>
      </c>
      <c r="AN390" s="162">
        <f t="shared" si="133"/>
        <v>0</v>
      </c>
      <c r="AO390" s="162">
        <f t="shared" si="133"/>
        <v>0</v>
      </c>
      <c r="AP390" s="162">
        <f t="shared" si="133"/>
        <v>0</v>
      </c>
      <c r="AQ390" s="162">
        <f t="shared" si="133"/>
        <v>0</v>
      </c>
      <c r="AR390" s="163">
        <f t="shared" si="134"/>
        <v>0</v>
      </c>
      <c r="AT390" s="208">
        <f>IFERROR(VLOOKUP(J390,#REF!,10,0),0)</f>
        <v>0</v>
      </c>
    </row>
    <row r="391" spans="1:46" hidden="1" outlineLevel="1" x14ac:dyDescent="0.25">
      <c r="A391" s="14" t="str">
        <f t="shared" si="109"/>
        <v>PROP_OPER__13</v>
      </c>
      <c r="B391" s="15" t="str">
        <f t="shared" si="127"/>
        <v>PROP_OPER__1071_0</v>
      </c>
      <c r="D391" s="15">
        <v>1</v>
      </c>
      <c r="E391" s="15">
        <v>13</v>
      </c>
      <c r="F391" s="190">
        <f t="shared" si="128"/>
        <v>1071</v>
      </c>
      <c r="G391" s="149" t="str">
        <f t="shared" si="128"/>
        <v/>
      </c>
      <c r="H391" s="150" t="str">
        <f t="shared" si="128"/>
        <v/>
      </c>
      <c r="I391" s="150" t="str">
        <f t="shared" si="128"/>
        <v>PREPSP</v>
      </c>
      <c r="J391" s="150">
        <f t="shared" si="128"/>
        <v>0</v>
      </c>
      <c r="K391" s="196"/>
      <c r="L391" s="197"/>
      <c r="M391" s="191">
        <f t="shared" si="129"/>
        <v>0</v>
      </c>
      <c r="N391" s="150">
        <f t="shared" si="129"/>
        <v>0</v>
      </c>
      <c r="O391" s="193">
        <f t="shared" si="129"/>
        <v>1</v>
      </c>
      <c r="P391" s="162">
        <f t="shared" si="130"/>
        <v>0</v>
      </c>
      <c r="Q391" s="162">
        <f t="shared" si="130"/>
        <v>0</v>
      </c>
      <c r="R391" s="162">
        <f t="shared" si="130"/>
        <v>0</v>
      </c>
      <c r="S391" s="162">
        <f t="shared" si="130"/>
        <v>0</v>
      </c>
      <c r="T391" s="162">
        <f t="shared" si="130"/>
        <v>0</v>
      </c>
      <c r="U391" s="162">
        <f t="shared" si="130"/>
        <v>0</v>
      </c>
      <c r="V391" s="162">
        <f t="shared" si="130"/>
        <v>0</v>
      </c>
      <c r="W391" s="162">
        <f t="shared" si="130"/>
        <v>0</v>
      </c>
      <c r="X391" s="162">
        <f t="shared" si="130"/>
        <v>0</v>
      </c>
      <c r="Y391" s="162">
        <f t="shared" si="130"/>
        <v>0</v>
      </c>
      <c r="Z391" s="162">
        <f t="shared" si="130"/>
        <v>0</v>
      </c>
      <c r="AA391" s="162">
        <f t="shared" si="130"/>
        <v>0</v>
      </c>
      <c r="AB391" s="163">
        <f t="shared" si="131"/>
        <v>0</v>
      </c>
      <c r="AC391" s="198"/>
      <c r="AE391" s="194" t="str">
        <f t="shared" si="132"/>
        <v/>
      </c>
      <c r="AF391" s="161">
        <f t="shared" si="133"/>
        <v>0</v>
      </c>
      <c r="AG391" s="162">
        <f t="shared" si="133"/>
        <v>0</v>
      </c>
      <c r="AH391" s="162">
        <f t="shared" si="133"/>
        <v>0</v>
      </c>
      <c r="AI391" s="162">
        <f t="shared" si="133"/>
        <v>0</v>
      </c>
      <c r="AJ391" s="162">
        <f t="shared" si="133"/>
        <v>0</v>
      </c>
      <c r="AK391" s="162">
        <f t="shared" si="133"/>
        <v>0</v>
      </c>
      <c r="AL391" s="162">
        <f t="shared" si="133"/>
        <v>0</v>
      </c>
      <c r="AM391" s="162">
        <f t="shared" si="133"/>
        <v>0</v>
      </c>
      <c r="AN391" s="162">
        <f t="shared" si="133"/>
        <v>0</v>
      </c>
      <c r="AO391" s="162">
        <f t="shared" si="133"/>
        <v>0</v>
      </c>
      <c r="AP391" s="162">
        <f t="shared" si="133"/>
        <v>0</v>
      </c>
      <c r="AQ391" s="162">
        <f t="shared" si="133"/>
        <v>0</v>
      </c>
      <c r="AR391" s="163">
        <f t="shared" si="134"/>
        <v>0</v>
      </c>
      <c r="AT391" s="208">
        <f>IFERROR(VLOOKUP(J391,#REF!,10,0),0)</f>
        <v>0</v>
      </c>
    </row>
    <row r="392" spans="1:46" hidden="1" outlineLevel="1" x14ac:dyDescent="0.25">
      <c r="A392" s="14" t="str">
        <f t="shared" si="109"/>
        <v>PROP_OPER__14</v>
      </c>
      <c r="B392" s="15" t="str">
        <f t="shared" si="127"/>
        <v>PROP_OPER__1001_1</v>
      </c>
      <c r="D392" s="15">
        <v>1</v>
      </c>
      <c r="E392" s="15">
        <v>14</v>
      </c>
      <c r="F392" s="190">
        <f t="shared" si="128"/>
        <v>1001</v>
      </c>
      <c r="G392" s="149" t="str">
        <f t="shared" si="128"/>
        <v>TERRACEAMENTO</v>
      </c>
      <c r="H392" s="150" t="str">
        <f t="shared" si="128"/>
        <v/>
      </c>
      <c r="I392" s="150" t="str">
        <f t="shared" si="128"/>
        <v>PREPSP</v>
      </c>
      <c r="J392" s="150">
        <f t="shared" si="128"/>
        <v>1</v>
      </c>
      <c r="K392" s="196"/>
      <c r="L392" s="197"/>
      <c r="M392" s="191">
        <f t="shared" si="129"/>
        <v>0</v>
      </c>
      <c r="N392" s="150">
        <f t="shared" si="129"/>
        <v>0</v>
      </c>
      <c r="O392" s="193">
        <f t="shared" si="129"/>
        <v>1</v>
      </c>
      <c r="P392" s="162">
        <f t="shared" si="130"/>
        <v>0</v>
      </c>
      <c r="Q392" s="162">
        <f t="shared" si="130"/>
        <v>0</v>
      </c>
      <c r="R392" s="162">
        <f t="shared" si="130"/>
        <v>0</v>
      </c>
      <c r="S392" s="162">
        <f t="shared" si="130"/>
        <v>0</v>
      </c>
      <c r="T392" s="162">
        <f t="shared" si="130"/>
        <v>0</v>
      </c>
      <c r="U392" s="162">
        <f t="shared" si="130"/>
        <v>0</v>
      </c>
      <c r="V392" s="162">
        <f t="shared" si="130"/>
        <v>0</v>
      </c>
      <c r="W392" s="162">
        <f t="shared" si="130"/>
        <v>0</v>
      </c>
      <c r="X392" s="162">
        <f t="shared" si="130"/>
        <v>0</v>
      </c>
      <c r="Y392" s="162">
        <f t="shared" si="130"/>
        <v>0</v>
      </c>
      <c r="Z392" s="162">
        <f t="shared" si="130"/>
        <v>0</v>
      </c>
      <c r="AA392" s="162">
        <f t="shared" si="130"/>
        <v>0</v>
      </c>
      <c r="AB392" s="163">
        <f t="shared" si="131"/>
        <v>0</v>
      </c>
      <c r="AC392" s="198"/>
      <c r="AE392" s="194" t="e">
        <f t="shared" si="132"/>
        <v>#REF!</v>
      </c>
      <c r="AF392" s="161">
        <f t="shared" si="133"/>
        <v>0</v>
      </c>
      <c r="AG392" s="162">
        <f t="shared" si="133"/>
        <v>0</v>
      </c>
      <c r="AH392" s="162">
        <f t="shared" si="133"/>
        <v>0</v>
      </c>
      <c r="AI392" s="162">
        <f t="shared" si="133"/>
        <v>0</v>
      </c>
      <c r="AJ392" s="162">
        <f t="shared" si="133"/>
        <v>0</v>
      </c>
      <c r="AK392" s="162">
        <f t="shared" si="133"/>
        <v>0</v>
      </c>
      <c r="AL392" s="162">
        <f t="shared" si="133"/>
        <v>0</v>
      </c>
      <c r="AM392" s="162">
        <f t="shared" si="133"/>
        <v>0</v>
      </c>
      <c r="AN392" s="162">
        <f t="shared" si="133"/>
        <v>0</v>
      </c>
      <c r="AO392" s="162">
        <f t="shared" si="133"/>
        <v>0</v>
      </c>
      <c r="AP392" s="162">
        <f t="shared" si="133"/>
        <v>0</v>
      </c>
      <c r="AQ392" s="162">
        <f t="shared" si="133"/>
        <v>0</v>
      </c>
      <c r="AR392" s="163">
        <f t="shared" si="134"/>
        <v>0</v>
      </c>
      <c r="AT392" s="208">
        <f>IFERROR(VLOOKUP(J392,#REF!,10,0),0)</f>
        <v>0</v>
      </c>
    </row>
    <row r="393" spans="1:46" hidden="1" outlineLevel="1" x14ac:dyDescent="0.25">
      <c r="A393" s="14" t="str">
        <f t="shared" si="109"/>
        <v>PROP_OPER__15</v>
      </c>
      <c r="B393" s="15" t="str">
        <f t="shared" si="127"/>
        <v>PROP_OPER__1002_1</v>
      </c>
      <c r="D393" s="15">
        <v>1</v>
      </c>
      <c r="E393" s="15">
        <v>15</v>
      </c>
      <c r="F393" s="190">
        <f t="shared" si="128"/>
        <v>1002</v>
      </c>
      <c r="G393" s="149" t="str">
        <f t="shared" si="128"/>
        <v>TERRAPLANAGEM</v>
      </c>
      <c r="H393" s="150" t="str">
        <f t="shared" si="128"/>
        <v/>
      </c>
      <c r="I393" s="150" t="str">
        <f t="shared" si="128"/>
        <v>PREPSP</v>
      </c>
      <c r="J393" s="150">
        <f t="shared" si="128"/>
        <v>1</v>
      </c>
      <c r="K393" s="196"/>
      <c r="L393" s="197"/>
      <c r="M393" s="191">
        <f t="shared" si="129"/>
        <v>0</v>
      </c>
      <c r="N393" s="150">
        <f t="shared" si="129"/>
        <v>0</v>
      </c>
      <c r="O393" s="193">
        <f t="shared" si="129"/>
        <v>1</v>
      </c>
      <c r="P393" s="162">
        <f t="shared" si="130"/>
        <v>0</v>
      </c>
      <c r="Q393" s="162">
        <f t="shared" si="130"/>
        <v>0</v>
      </c>
      <c r="R393" s="162">
        <f t="shared" si="130"/>
        <v>0</v>
      </c>
      <c r="S393" s="162">
        <f t="shared" si="130"/>
        <v>0</v>
      </c>
      <c r="T393" s="162">
        <f t="shared" si="130"/>
        <v>0</v>
      </c>
      <c r="U393" s="162">
        <f t="shared" si="130"/>
        <v>0</v>
      </c>
      <c r="V393" s="162">
        <f t="shared" si="130"/>
        <v>0</v>
      </c>
      <c r="W393" s="162">
        <f t="shared" si="130"/>
        <v>0</v>
      </c>
      <c r="X393" s="162">
        <f t="shared" si="130"/>
        <v>0</v>
      </c>
      <c r="Y393" s="162">
        <f t="shared" si="130"/>
        <v>0</v>
      </c>
      <c r="Z393" s="162">
        <f t="shared" si="130"/>
        <v>0</v>
      </c>
      <c r="AA393" s="162">
        <f t="shared" si="130"/>
        <v>0</v>
      </c>
      <c r="AB393" s="163">
        <f t="shared" si="131"/>
        <v>0</v>
      </c>
      <c r="AC393" s="198"/>
      <c r="AE393" s="194" t="e">
        <f t="shared" si="132"/>
        <v>#REF!</v>
      </c>
      <c r="AF393" s="161">
        <f t="shared" si="133"/>
        <v>0</v>
      </c>
      <c r="AG393" s="162">
        <f t="shared" si="133"/>
        <v>0</v>
      </c>
      <c r="AH393" s="162">
        <f t="shared" si="133"/>
        <v>0</v>
      </c>
      <c r="AI393" s="162">
        <f t="shared" si="133"/>
        <v>0</v>
      </c>
      <c r="AJ393" s="162">
        <f t="shared" si="133"/>
        <v>0</v>
      </c>
      <c r="AK393" s="162">
        <f t="shared" si="133"/>
        <v>0</v>
      </c>
      <c r="AL393" s="162">
        <f t="shared" si="133"/>
        <v>0</v>
      </c>
      <c r="AM393" s="162">
        <f t="shared" si="133"/>
        <v>0</v>
      </c>
      <c r="AN393" s="162">
        <f t="shared" si="133"/>
        <v>0</v>
      </c>
      <c r="AO393" s="162">
        <f t="shared" si="133"/>
        <v>0</v>
      </c>
      <c r="AP393" s="162">
        <f t="shared" si="133"/>
        <v>0</v>
      </c>
      <c r="AQ393" s="162">
        <f t="shared" si="133"/>
        <v>0</v>
      </c>
      <c r="AR393" s="163">
        <f t="shared" si="134"/>
        <v>0</v>
      </c>
      <c r="AT393" s="208">
        <f>IFERROR(VLOOKUP(J393,#REF!,10,0),0)</f>
        <v>0</v>
      </c>
    </row>
    <row r="394" spans="1:46" hidden="1" outlineLevel="1" x14ac:dyDescent="0.25">
      <c r="A394" s="14" t="str">
        <f t="shared" si="109"/>
        <v>PROP_OPER__16</v>
      </c>
      <c r="B394" s="15" t="str">
        <f t="shared" si="127"/>
        <v>PROP_OPER__1003_1</v>
      </c>
      <c r="D394" s="15">
        <v>1</v>
      </c>
      <c r="E394" s="15">
        <v>16</v>
      </c>
      <c r="F394" s="190">
        <f t="shared" si="128"/>
        <v>1003</v>
      </c>
      <c r="G394" s="149" t="str">
        <f t="shared" si="128"/>
        <v>CONSERVAÇÃO DE ESTRADAS</v>
      </c>
      <c r="H394" s="150" t="str">
        <f t="shared" si="128"/>
        <v/>
      </c>
      <c r="I394" s="150" t="str">
        <f t="shared" si="128"/>
        <v>PREPSP</v>
      </c>
      <c r="J394" s="150">
        <f t="shared" si="128"/>
        <v>1</v>
      </c>
      <c r="K394" s="196"/>
      <c r="L394" s="197"/>
      <c r="M394" s="191">
        <f t="shared" si="129"/>
        <v>0</v>
      </c>
      <c r="N394" s="150">
        <f t="shared" si="129"/>
        <v>0</v>
      </c>
      <c r="O394" s="193">
        <f t="shared" si="129"/>
        <v>1</v>
      </c>
      <c r="P394" s="162">
        <f t="shared" si="130"/>
        <v>0</v>
      </c>
      <c r="Q394" s="162">
        <f t="shared" si="130"/>
        <v>0</v>
      </c>
      <c r="R394" s="162">
        <f t="shared" si="130"/>
        <v>0</v>
      </c>
      <c r="S394" s="162">
        <f t="shared" si="130"/>
        <v>0</v>
      </c>
      <c r="T394" s="162">
        <f t="shared" si="130"/>
        <v>0</v>
      </c>
      <c r="U394" s="162">
        <f t="shared" si="130"/>
        <v>0</v>
      </c>
      <c r="V394" s="162">
        <f t="shared" si="130"/>
        <v>0</v>
      </c>
      <c r="W394" s="162">
        <f t="shared" si="130"/>
        <v>0</v>
      </c>
      <c r="X394" s="162">
        <f t="shared" si="130"/>
        <v>0</v>
      </c>
      <c r="Y394" s="162">
        <f t="shared" si="130"/>
        <v>0</v>
      </c>
      <c r="Z394" s="162">
        <f t="shared" si="130"/>
        <v>0</v>
      </c>
      <c r="AA394" s="162">
        <f t="shared" si="130"/>
        <v>0</v>
      </c>
      <c r="AB394" s="163">
        <f t="shared" si="131"/>
        <v>0</v>
      </c>
      <c r="AC394" s="198"/>
      <c r="AE394" s="194" t="e">
        <f t="shared" si="132"/>
        <v>#REF!</v>
      </c>
      <c r="AF394" s="161">
        <f t="shared" si="133"/>
        <v>0</v>
      </c>
      <c r="AG394" s="162">
        <f t="shared" si="133"/>
        <v>0</v>
      </c>
      <c r="AH394" s="162">
        <f t="shared" si="133"/>
        <v>0</v>
      </c>
      <c r="AI394" s="162">
        <f t="shared" si="133"/>
        <v>0</v>
      </c>
      <c r="AJ394" s="162">
        <f t="shared" si="133"/>
        <v>0</v>
      </c>
      <c r="AK394" s="162">
        <f t="shared" si="133"/>
        <v>0</v>
      </c>
      <c r="AL394" s="162">
        <f t="shared" si="133"/>
        <v>0</v>
      </c>
      <c r="AM394" s="162">
        <f t="shared" si="133"/>
        <v>0</v>
      </c>
      <c r="AN394" s="162">
        <f t="shared" si="133"/>
        <v>0</v>
      </c>
      <c r="AO394" s="162">
        <f t="shared" si="133"/>
        <v>0</v>
      </c>
      <c r="AP394" s="162">
        <f t="shared" si="133"/>
        <v>0</v>
      </c>
      <c r="AQ394" s="162">
        <f t="shared" si="133"/>
        <v>0</v>
      </c>
      <c r="AR394" s="163">
        <f t="shared" si="134"/>
        <v>0</v>
      </c>
      <c r="AT394" s="208">
        <f>IFERROR(VLOOKUP(J394,#REF!,10,0),0)</f>
        <v>0</v>
      </c>
    </row>
    <row r="395" spans="1:46" hidden="1" outlineLevel="1" x14ac:dyDescent="0.25">
      <c r="A395" s="14" t="str">
        <f t="shared" si="109"/>
        <v>PROP_OPER__17</v>
      </c>
      <c r="B395" s="15" t="str">
        <f t="shared" si="127"/>
        <v>PROP_OPER__1004_1</v>
      </c>
      <c r="D395" s="15">
        <v>1</v>
      </c>
      <c r="E395" s="15">
        <v>17</v>
      </c>
      <c r="F395" s="190">
        <f t="shared" ref="F395:J410" si="135">F349</f>
        <v>1004</v>
      </c>
      <c r="G395" s="149" t="str">
        <f t="shared" si="135"/>
        <v>CURVA EM NÍVEL</v>
      </c>
      <c r="H395" s="150" t="str">
        <f t="shared" si="135"/>
        <v/>
      </c>
      <c r="I395" s="150" t="str">
        <f t="shared" si="135"/>
        <v>PREPSP</v>
      </c>
      <c r="J395" s="150">
        <f t="shared" si="135"/>
        <v>1</v>
      </c>
      <c r="K395" s="196"/>
      <c r="L395" s="197"/>
      <c r="M395" s="191">
        <f t="shared" ref="M395:O410" si="136">M349</f>
        <v>0</v>
      </c>
      <c r="N395" s="150">
        <f t="shared" si="136"/>
        <v>0</v>
      </c>
      <c r="O395" s="193">
        <f t="shared" si="136"/>
        <v>1</v>
      </c>
      <c r="P395" s="162">
        <f t="shared" ref="P395:AA410" si="137">IFERROR(SUMIF($B$16:$B$43,$C395&amp;$I395,P$16:P$43)/SUMIF($D$16:$D$43,$I395,P$16:P$43)*P110,0)</f>
        <v>0</v>
      </c>
      <c r="Q395" s="162">
        <f t="shared" si="137"/>
        <v>0</v>
      </c>
      <c r="R395" s="162">
        <f t="shared" si="137"/>
        <v>0</v>
      </c>
      <c r="S395" s="162">
        <f t="shared" si="137"/>
        <v>0</v>
      </c>
      <c r="T395" s="162">
        <f t="shared" si="137"/>
        <v>0</v>
      </c>
      <c r="U395" s="162">
        <f t="shared" si="137"/>
        <v>0</v>
      </c>
      <c r="V395" s="162">
        <f t="shared" si="137"/>
        <v>0</v>
      </c>
      <c r="W395" s="162">
        <f t="shared" si="137"/>
        <v>0</v>
      </c>
      <c r="X395" s="162">
        <f t="shared" si="137"/>
        <v>0</v>
      </c>
      <c r="Y395" s="162">
        <f t="shared" si="137"/>
        <v>0</v>
      </c>
      <c r="Z395" s="162">
        <f t="shared" si="137"/>
        <v>0</v>
      </c>
      <c r="AA395" s="162">
        <f t="shared" si="137"/>
        <v>0</v>
      </c>
      <c r="AB395" s="163">
        <f t="shared" si="131"/>
        <v>0</v>
      </c>
      <c r="AC395" s="198"/>
      <c r="AE395" s="194" t="e">
        <f t="shared" si="132"/>
        <v>#REF!</v>
      </c>
      <c r="AF395" s="161">
        <f t="shared" ref="AF395:AQ410" si="138">IFERROR(SUMIF($B$16:$B$43,$C395&amp;$I395,P$16:P$43)/SUMIF($D$16:$D$43,$I395,P$16:P$43)*AF110,0)</f>
        <v>0</v>
      </c>
      <c r="AG395" s="162">
        <f t="shared" si="138"/>
        <v>0</v>
      </c>
      <c r="AH395" s="162">
        <f t="shared" si="138"/>
        <v>0</v>
      </c>
      <c r="AI395" s="162">
        <f t="shared" si="138"/>
        <v>0</v>
      </c>
      <c r="AJ395" s="162">
        <f t="shared" si="138"/>
        <v>0</v>
      </c>
      <c r="AK395" s="162">
        <f t="shared" si="138"/>
        <v>0</v>
      </c>
      <c r="AL395" s="162">
        <f t="shared" si="138"/>
        <v>0</v>
      </c>
      <c r="AM395" s="162">
        <f t="shared" si="138"/>
        <v>0</v>
      </c>
      <c r="AN395" s="162">
        <f t="shared" si="138"/>
        <v>0</v>
      </c>
      <c r="AO395" s="162">
        <f t="shared" si="138"/>
        <v>0</v>
      </c>
      <c r="AP395" s="162">
        <f t="shared" si="138"/>
        <v>0</v>
      </c>
      <c r="AQ395" s="162">
        <f t="shared" si="138"/>
        <v>0</v>
      </c>
      <c r="AR395" s="163">
        <f t="shared" si="134"/>
        <v>0</v>
      </c>
      <c r="AT395" s="208">
        <f>IFERROR(VLOOKUP(J395,#REF!,10,0),0)</f>
        <v>0</v>
      </c>
    </row>
    <row r="396" spans="1:46" hidden="1" outlineLevel="1" x14ac:dyDescent="0.25">
      <c r="A396" s="14" t="str">
        <f t="shared" si="109"/>
        <v>PROP_OPER__18</v>
      </c>
      <c r="B396" s="15" t="str">
        <f t="shared" si="127"/>
        <v>PROP_OPER__1005_1</v>
      </c>
      <c r="D396" s="15">
        <v>1</v>
      </c>
      <c r="E396" s="15">
        <v>18</v>
      </c>
      <c r="F396" s="190">
        <f t="shared" si="135"/>
        <v>1005</v>
      </c>
      <c r="G396" s="149" t="str">
        <f t="shared" si="135"/>
        <v>SISTEMATIZAÇÃO</v>
      </c>
      <c r="H396" s="150" t="str">
        <f t="shared" si="135"/>
        <v/>
      </c>
      <c r="I396" s="150" t="str">
        <f t="shared" si="135"/>
        <v>PREPSP</v>
      </c>
      <c r="J396" s="150">
        <f t="shared" si="135"/>
        <v>1</v>
      </c>
      <c r="K396" s="196"/>
      <c r="L396" s="197"/>
      <c r="M396" s="191">
        <f t="shared" si="136"/>
        <v>0</v>
      </c>
      <c r="N396" s="150">
        <f t="shared" si="136"/>
        <v>0</v>
      </c>
      <c r="O396" s="193">
        <f t="shared" si="136"/>
        <v>1</v>
      </c>
      <c r="P396" s="162">
        <f t="shared" si="137"/>
        <v>0</v>
      </c>
      <c r="Q396" s="162">
        <f t="shared" si="137"/>
        <v>0</v>
      </c>
      <c r="R396" s="162">
        <f t="shared" si="137"/>
        <v>0</v>
      </c>
      <c r="S396" s="162">
        <f t="shared" si="137"/>
        <v>0</v>
      </c>
      <c r="T396" s="162">
        <f t="shared" si="137"/>
        <v>0</v>
      </c>
      <c r="U396" s="162">
        <f t="shared" si="137"/>
        <v>0</v>
      </c>
      <c r="V396" s="162">
        <f t="shared" si="137"/>
        <v>0</v>
      </c>
      <c r="W396" s="162">
        <f t="shared" si="137"/>
        <v>0</v>
      </c>
      <c r="X396" s="162">
        <f t="shared" si="137"/>
        <v>0</v>
      </c>
      <c r="Y396" s="162">
        <f t="shared" si="137"/>
        <v>0</v>
      </c>
      <c r="Z396" s="162">
        <f t="shared" si="137"/>
        <v>0</v>
      </c>
      <c r="AA396" s="162">
        <f t="shared" si="137"/>
        <v>0</v>
      </c>
      <c r="AB396" s="163">
        <f t="shared" si="131"/>
        <v>0</v>
      </c>
      <c r="AC396" s="198"/>
      <c r="AE396" s="194" t="e">
        <f t="shared" si="132"/>
        <v>#REF!</v>
      </c>
      <c r="AF396" s="161">
        <f t="shared" si="138"/>
        <v>0</v>
      </c>
      <c r="AG396" s="162">
        <f t="shared" si="138"/>
        <v>0</v>
      </c>
      <c r="AH396" s="162">
        <f t="shared" si="138"/>
        <v>0</v>
      </c>
      <c r="AI396" s="162">
        <f t="shared" si="138"/>
        <v>0</v>
      </c>
      <c r="AJ396" s="162">
        <f t="shared" si="138"/>
        <v>0</v>
      </c>
      <c r="AK396" s="162">
        <f t="shared" si="138"/>
        <v>0</v>
      </c>
      <c r="AL396" s="162">
        <f t="shared" si="138"/>
        <v>0</v>
      </c>
      <c r="AM396" s="162">
        <f t="shared" si="138"/>
        <v>0</v>
      </c>
      <c r="AN396" s="162">
        <f t="shared" si="138"/>
        <v>0</v>
      </c>
      <c r="AO396" s="162">
        <f t="shared" si="138"/>
        <v>0</v>
      </c>
      <c r="AP396" s="162">
        <f t="shared" si="138"/>
        <v>0</v>
      </c>
      <c r="AQ396" s="162">
        <f t="shared" si="138"/>
        <v>0</v>
      </c>
      <c r="AR396" s="163">
        <f t="shared" si="134"/>
        <v>0</v>
      </c>
      <c r="AT396" s="208">
        <f>IFERROR(VLOOKUP(J396,#REF!,10,0),0)</f>
        <v>0</v>
      </c>
    </row>
    <row r="397" spans="1:46" hidden="1" outlineLevel="1" x14ac:dyDescent="0.25">
      <c r="A397" s="14" t="str">
        <f t="shared" ref="A397:A460" si="139">"PROP_OPER_"&amp;C397&amp;"_"&amp;E397</f>
        <v>PROP_OPER__19</v>
      </c>
      <c r="B397" s="15" t="str">
        <f t="shared" si="127"/>
        <v>PROP_OPER__1011_1</v>
      </c>
      <c r="D397" s="15">
        <v>1</v>
      </c>
      <c r="E397" s="15">
        <v>19</v>
      </c>
      <c r="F397" s="190">
        <f t="shared" si="135"/>
        <v>1011</v>
      </c>
      <c r="G397" s="149" t="str">
        <f t="shared" si="135"/>
        <v>ARAÇÃO</v>
      </c>
      <c r="H397" s="150" t="str">
        <f t="shared" si="135"/>
        <v/>
      </c>
      <c r="I397" s="150" t="str">
        <f t="shared" si="135"/>
        <v>PREPSP</v>
      </c>
      <c r="J397" s="150">
        <f t="shared" si="135"/>
        <v>1</v>
      </c>
      <c r="K397" s="196"/>
      <c r="L397" s="197"/>
      <c r="M397" s="191">
        <f t="shared" si="136"/>
        <v>0</v>
      </c>
      <c r="N397" s="150">
        <f t="shared" si="136"/>
        <v>0</v>
      </c>
      <c r="O397" s="193">
        <f t="shared" si="136"/>
        <v>1</v>
      </c>
      <c r="P397" s="162">
        <f t="shared" si="137"/>
        <v>0</v>
      </c>
      <c r="Q397" s="162">
        <f t="shared" si="137"/>
        <v>0</v>
      </c>
      <c r="R397" s="162">
        <f t="shared" si="137"/>
        <v>0</v>
      </c>
      <c r="S397" s="162">
        <f t="shared" si="137"/>
        <v>0</v>
      </c>
      <c r="T397" s="162">
        <f t="shared" si="137"/>
        <v>0</v>
      </c>
      <c r="U397" s="162">
        <f t="shared" si="137"/>
        <v>0</v>
      </c>
      <c r="V397" s="162">
        <f t="shared" si="137"/>
        <v>0</v>
      </c>
      <c r="W397" s="162">
        <f t="shared" si="137"/>
        <v>0</v>
      </c>
      <c r="X397" s="162">
        <f t="shared" si="137"/>
        <v>0</v>
      </c>
      <c r="Y397" s="162">
        <f t="shared" si="137"/>
        <v>0</v>
      </c>
      <c r="Z397" s="162">
        <f t="shared" si="137"/>
        <v>0</v>
      </c>
      <c r="AA397" s="162">
        <f t="shared" si="137"/>
        <v>0</v>
      </c>
      <c r="AB397" s="163">
        <f t="shared" si="131"/>
        <v>0</v>
      </c>
      <c r="AC397" s="198"/>
      <c r="AE397" s="194" t="e">
        <f t="shared" si="132"/>
        <v>#REF!</v>
      </c>
      <c r="AF397" s="161">
        <f t="shared" si="138"/>
        <v>0</v>
      </c>
      <c r="AG397" s="162">
        <f t="shared" si="138"/>
        <v>0</v>
      </c>
      <c r="AH397" s="162">
        <f t="shared" si="138"/>
        <v>0</v>
      </c>
      <c r="AI397" s="162">
        <f t="shared" si="138"/>
        <v>0</v>
      </c>
      <c r="AJ397" s="162">
        <f t="shared" si="138"/>
        <v>0</v>
      </c>
      <c r="AK397" s="162">
        <f t="shared" si="138"/>
        <v>0</v>
      </c>
      <c r="AL397" s="162">
        <f t="shared" si="138"/>
        <v>0</v>
      </c>
      <c r="AM397" s="162">
        <f t="shared" si="138"/>
        <v>0</v>
      </c>
      <c r="AN397" s="162">
        <f t="shared" si="138"/>
        <v>0</v>
      </c>
      <c r="AO397" s="162">
        <f t="shared" si="138"/>
        <v>0</v>
      </c>
      <c r="AP397" s="162">
        <f t="shared" si="138"/>
        <v>0</v>
      </c>
      <c r="AQ397" s="162">
        <f t="shared" si="138"/>
        <v>0</v>
      </c>
      <c r="AR397" s="163">
        <f t="shared" si="134"/>
        <v>0</v>
      </c>
      <c r="AT397" s="208">
        <f>IFERROR(VLOOKUP(J397,#REF!,10,0),0)</f>
        <v>0</v>
      </c>
    </row>
    <row r="398" spans="1:46" hidden="1" outlineLevel="1" x14ac:dyDescent="0.25">
      <c r="A398" s="14" t="str">
        <f t="shared" si="139"/>
        <v>PROP_OPER__20</v>
      </c>
      <c r="B398" s="15" t="str">
        <f t="shared" si="127"/>
        <v>PROP_OPER__0_0</v>
      </c>
      <c r="D398" s="15">
        <v>1</v>
      </c>
      <c r="E398" s="15">
        <v>20</v>
      </c>
      <c r="F398" s="190">
        <f t="shared" si="135"/>
        <v>0</v>
      </c>
      <c r="G398" s="149" t="str">
        <f t="shared" si="135"/>
        <v/>
      </c>
      <c r="H398" s="150" t="str">
        <f t="shared" si="135"/>
        <v/>
      </c>
      <c r="I398" s="150">
        <f t="shared" si="135"/>
        <v>0</v>
      </c>
      <c r="J398" s="150">
        <f t="shared" si="135"/>
        <v>0</v>
      </c>
      <c r="K398" s="196"/>
      <c r="L398" s="197"/>
      <c r="M398" s="191">
        <f t="shared" si="136"/>
        <v>0</v>
      </c>
      <c r="N398" s="150">
        <f t="shared" si="136"/>
        <v>0</v>
      </c>
      <c r="O398" s="193">
        <f t="shared" si="136"/>
        <v>0</v>
      </c>
      <c r="P398" s="162">
        <f t="shared" si="137"/>
        <v>0</v>
      </c>
      <c r="Q398" s="162">
        <f t="shared" si="137"/>
        <v>0</v>
      </c>
      <c r="R398" s="162">
        <f t="shared" si="137"/>
        <v>0</v>
      </c>
      <c r="S398" s="162">
        <f t="shared" si="137"/>
        <v>0</v>
      </c>
      <c r="T398" s="162">
        <f t="shared" si="137"/>
        <v>0</v>
      </c>
      <c r="U398" s="162">
        <f t="shared" si="137"/>
        <v>0</v>
      </c>
      <c r="V398" s="162">
        <f t="shared" si="137"/>
        <v>0</v>
      </c>
      <c r="W398" s="162">
        <f t="shared" si="137"/>
        <v>0</v>
      </c>
      <c r="X398" s="162">
        <f t="shared" si="137"/>
        <v>0</v>
      </c>
      <c r="Y398" s="162">
        <f t="shared" si="137"/>
        <v>0</v>
      </c>
      <c r="Z398" s="162">
        <f t="shared" si="137"/>
        <v>0</v>
      </c>
      <c r="AA398" s="162">
        <f t="shared" si="137"/>
        <v>0</v>
      </c>
      <c r="AB398" s="163">
        <f t="shared" si="131"/>
        <v>0</v>
      </c>
      <c r="AC398" s="198"/>
      <c r="AE398" s="194" t="str">
        <f t="shared" si="132"/>
        <v/>
      </c>
      <c r="AF398" s="161">
        <f t="shared" si="138"/>
        <v>0</v>
      </c>
      <c r="AG398" s="162">
        <f t="shared" si="138"/>
        <v>0</v>
      </c>
      <c r="AH398" s="162">
        <f t="shared" si="138"/>
        <v>0</v>
      </c>
      <c r="AI398" s="162">
        <f t="shared" si="138"/>
        <v>0</v>
      </c>
      <c r="AJ398" s="162">
        <f t="shared" si="138"/>
        <v>0</v>
      </c>
      <c r="AK398" s="162">
        <f t="shared" si="138"/>
        <v>0</v>
      </c>
      <c r="AL398" s="162">
        <f t="shared" si="138"/>
        <v>0</v>
      </c>
      <c r="AM398" s="162">
        <f t="shared" si="138"/>
        <v>0</v>
      </c>
      <c r="AN398" s="162">
        <f t="shared" si="138"/>
        <v>0</v>
      </c>
      <c r="AO398" s="162">
        <f t="shared" si="138"/>
        <v>0</v>
      </c>
      <c r="AP398" s="162">
        <f t="shared" si="138"/>
        <v>0</v>
      </c>
      <c r="AQ398" s="162">
        <f t="shared" si="138"/>
        <v>0</v>
      </c>
      <c r="AR398" s="163">
        <f t="shared" si="134"/>
        <v>0</v>
      </c>
      <c r="AT398" s="208">
        <f>IFERROR(VLOOKUP(J398,#REF!,10,0),0)</f>
        <v>0</v>
      </c>
    </row>
    <row r="399" spans="1:46" hidden="1" outlineLevel="1" x14ac:dyDescent="0.25">
      <c r="A399" s="14" t="str">
        <f t="shared" si="139"/>
        <v>PROP_OPER__21</v>
      </c>
      <c r="B399" s="15" t="str">
        <f t="shared" si="127"/>
        <v>PROP_OPER__0_0</v>
      </c>
      <c r="D399" s="15">
        <v>1</v>
      </c>
      <c r="E399" s="15">
        <v>21</v>
      </c>
      <c r="F399" s="190">
        <f t="shared" si="135"/>
        <v>0</v>
      </c>
      <c r="G399" s="149" t="str">
        <f t="shared" si="135"/>
        <v/>
      </c>
      <c r="H399" s="150" t="str">
        <f t="shared" si="135"/>
        <v/>
      </c>
      <c r="I399" s="150">
        <f t="shared" si="135"/>
        <v>0</v>
      </c>
      <c r="J399" s="150">
        <f t="shared" si="135"/>
        <v>0</v>
      </c>
      <c r="K399" s="196"/>
      <c r="L399" s="197"/>
      <c r="M399" s="191">
        <f t="shared" si="136"/>
        <v>0</v>
      </c>
      <c r="N399" s="150">
        <f t="shared" si="136"/>
        <v>0</v>
      </c>
      <c r="O399" s="193">
        <f t="shared" si="136"/>
        <v>0</v>
      </c>
      <c r="P399" s="162">
        <f t="shared" si="137"/>
        <v>0</v>
      </c>
      <c r="Q399" s="162">
        <f t="shared" si="137"/>
        <v>0</v>
      </c>
      <c r="R399" s="162">
        <f t="shared" si="137"/>
        <v>0</v>
      </c>
      <c r="S399" s="162">
        <f t="shared" si="137"/>
        <v>0</v>
      </c>
      <c r="T399" s="162">
        <f t="shared" si="137"/>
        <v>0</v>
      </c>
      <c r="U399" s="162">
        <f t="shared" si="137"/>
        <v>0</v>
      </c>
      <c r="V399" s="162">
        <f t="shared" si="137"/>
        <v>0</v>
      </c>
      <c r="W399" s="162">
        <f t="shared" si="137"/>
        <v>0</v>
      </c>
      <c r="X399" s="162">
        <f t="shared" si="137"/>
        <v>0</v>
      </c>
      <c r="Y399" s="162">
        <f t="shared" si="137"/>
        <v>0</v>
      </c>
      <c r="Z399" s="162">
        <f t="shared" si="137"/>
        <v>0</v>
      </c>
      <c r="AA399" s="162">
        <f t="shared" si="137"/>
        <v>0</v>
      </c>
      <c r="AB399" s="163">
        <f t="shared" si="131"/>
        <v>0</v>
      </c>
      <c r="AC399" s="198"/>
      <c r="AE399" s="194" t="str">
        <f t="shared" si="132"/>
        <v/>
      </c>
      <c r="AF399" s="161">
        <f t="shared" si="138"/>
        <v>0</v>
      </c>
      <c r="AG399" s="162">
        <f t="shared" si="138"/>
        <v>0</v>
      </c>
      <c r="AH399" s="162">
        <f t="shared" si="138"/>
        <v>0</v>
      </c>
      <c r="AI399" s="162">
        <f t="shared" si="138"/>
        <v>0</v>
      </c>
      <c r="AJ399" s="162">
        <f t="shared" si="138"/>
        <v>0</v>
      </c>
      <c r="AK399" s="162">
        <f t="shared" si="138"/>
        <v>0</v>
      </c>
      <c r="AL399" s="162">
        <f t="shared" si="138"/>
        <v>0</v>
      </c>
      <c r="AM399" s="162">
        <f t="shared" si="138"/>
        <v>0</v>
      </c>
      <c r="AN399" s="162">
        <f t="shared" si="138"/>
        <v>0</v>
      </c>
      <c r="AO399" s="162">
        <f t="shared" si="138"/>
        <v>0</v>
      </c>
      <c r="AP399" s="162">
        <f t="shared" si="138"/>
        <v>0</v>
      </c>
      <c r="AQ399" s="162">
        <f t="shared" si="138"/>
        <v>0</v>
      </c>
      <c r="AR399" s="163">
        <f t="shared" si="134"/>
        <v>0</v>
      </c>
      <c r="AT399" s="208">
        <f>IFERROR(VLOOKUP(J399,#REF!,10,0),0)</f>
        <v>0</v>
      </c>
    </row>
    <row r="400" spans="1:46" hidden="1" outlineLevel="1" x14ac:dyDescent="0.25">
      <c r="A400" s="14" t="str">
        <f t="shared" si="139"/>
        <v>PROP_OPER__22</v>
      </c>
      <c r="B400" s="15" t="str">
        <f t="shared" si="127"/>
        <v>PROP_OPER__0_0</v>
      </c>
      <c r="D400" s="15">
        <v>1</v>
      </c>
      <c r="E400" s="15">
        <v>22</v>
      </c>
      <c r="F400" s="190">
        <f t="shared" si="135"/>
        <v>0</v>
      </c>
      <c r="G400" s="149" t="str">
        <f t="shared" si="135"/>
        <v/>
      </c>
      <c r="H400" s="150" t="str">
        <f t="shared" si="135"/>
        <v/>
      </c>
      <c r="I400" s="150">
        <f t="shared" si="135"/>
        <v>0</v>
      </c>
      <c r="J400" s="150">
        <f t="shared" si="135"/>
        <v>0</v>
      </c>
      <c r="K400" s="196"/>
      <c r="L400" s="197"/>
      <c r="M400" s="191">
        <f t="shared" si="136"/>
        <v>0</v>
      </c>
      <c r="N400" s="150">
        <f t="shared" si="136"/>
        <v>0</v>
      </c>
      <c r="O400" s="193">
        <f t="shared" si="136"/>
        <v>0</v>
      </c>
      <c r="P400" s="162">
        <f t="shared" si="137"/>
        <v>0</v>
      </c>
      <c r="Q400" s="162">
        <f t="shared" si="137"/>
        <v>0</v>
      </c>
      <c r="R400" s="162">
        <f t="shared" si="137"/>
        <v>0</v>
      </c>
      <c r="S400" s="162">
        <f t="shared" si="137"/>
        <v>0</v>
      </c>
      <c r="T400" s="162">
        <f t="shared" si="137"/>
        <v>0</v>
      </c>
      <c r="U400" s="162">
        <f t="shared" si="137"/>
        <v>0</v>
      </c>
      <c r="V400" s="162">
        <f t="shared" si="137"/>
        <v>0</v>
      </c>
      <c r="W400" s="162">
        <f t="shared" si="137"/>
        <v>0</v>
      </c>
      <c r="X400" s="162">
        <f t="shared" si="137"/>
        <v>0</v>
      </c>
      <c r="Y400" s="162">
        <f t="shared" si="137"/>
        <v>0</v>
      </c>
      <c r="Z400" s="162">
        <f t="shared" si="137"/>
        <v>0</v>
      </c>
      <c r="AA400" s="162">
        <f t="shared" si="137"/>
        <v>0</v>
      </c>
      <c r="AB400" s="163">
        <f t="shared" si="131"/>
        <v>0</v>
      </c>
      <c r="AC400" s="198"/>
      <c r="AE400" s="194" t="str">
        <f t="shared" si="132"/>
        <v/>
      </c>
      <c r="AF400" s="161">
        <f t="shared" si="138"/>
        <v>0</v>
      </c>
      <c r="AG400" s="162">
        <f t="shared" si="138"/>
        <v>0</v>
      </c>
      <c r="AH400" s="162">
        <f t="shared" si="138"/>
        <v>0</v>
      </c>
      <c r="AI400" s="162">
        <f t="shared" si="138"/>
        <v>0</v>
      </c>
      <c r="AJ400" s="162">
        <f t="shared" si="138"/>
        <v>0</v>
      </c>
      <c r="AK400" s="162">
        <f t="shared" si="138"/>
        <v>0</v>
      </c>
      <c r="AL400" s="162">
        <f t="shared" si="138"/>
        <v>0</v>
      </c>
      <c r="AM400" s="162">
        <f t="shared" si="138"/>
        <v>0</v>
      </c>
      <c r="AN400" s="162">
        <f t="shared" si="138"/>
        <v>0</v>
      </c>
      <c r="AO400" s="162">
        <f t="shared" si="138"/>
        <v>0</v>
      </c>
      <c r="AP400" s="162">
        <f t="shared" si="138"/>
        <v>0</v>
      </c>
      <c r="AQ400" s="162">
        <f t="shared" si="138"/>
        <v>0</v>
      </c>
      <c r="AR400" s="163">
        <f t="shared" si="134"/>
        <v>0</v>
      </c>
      <c r="AT400" s="208">
        <f>IFERROR(VLOOKUP(J400,#REF!,10,0),0)</f>
        <v>0</v>
      </c>
    </row>
    <row r="401" spans="1:46" hidden="1" outlineLevel="1" x14ac:dyDescent="0.25">
      <c r="A401" s="14" t="str">
        <f t="shared" si="139"/>
        <v>PROP_OPER__23</v>
      </c>
      <c r="B401" s="15" t="str">
        <f t="shared" si="127"/>
        <v>PROP_OPER__0_0</v>
      </c>
      <c r="D401" s="15">
        <v>1</v>
      </c>
      <c r="E401" s="15">
        <v>23</v>
      </c>
      <c r="F401" s="190">
        <f t="shared" si="135"/>
        <v>0</v>
      </c>
      <c r="G401" s="149" t="str">
        <f t="shared" si="135"/>
        <v/>
      </c>
      <c r="H401" s="150" t="str">
        <f t="shared" si="135"/>
        <v/>
      </c>
      <c r="I401" s="150">
        <f t="shared" si="135"/>
        <v>0</v>
      </c>
      <c r="J401" s="150">
        <f t="shared" si="135"/>
        <v>0</v>
      </c>
      <c r="K401" s="196"/>
      <c r="L401" s="197"/>
      <c r="M401" s="191">
        <f t="shared" si="136"/>
        <v>0</v>
      </c>
      <c r="N401" s="150">
        <f t="shared" si="136"/>
        <v>0</v>
      </c>
      <c r="O401" s="193">
        <f t="shared" si="136"/>
        <v>0</v>
      </c>
      <c r="P401" s="162">
        <f t="shared" si="137"/>
        <v>0</v>
      </c>
      <c r="Q401" s="162">
        <f t="shared" si="137"/>
        <v>0</v>
      </c>
      <c r="R401" s="162">
        <f t="shared" si="137"/>
        <v>0</v>
      </c>
      <c r="S401" s="162">
        <f t="shared" si="137"/>
        <v>0</v>
      </c>
      <c r="T401" s="162">
        <f t="shared" si="137"/>
        <v>0</v>
      </c>
      <c r="U401" s="162">
        <f t="shared" si="137"/>
        <v>0</v>
      </c>
      <c r="V401" s="162">
        <f t="shared" si="137"/>
        <v>0</v>
      </c>
      <c r="W401" s="162">
        <f t="shared" si="137"/>
        <v>0</v>
      </c>
      <c r="X401" s="162">
        <f t="shared" si="137"/>
        <v>0</v>
      </c>
      <c r="Y401" s="162">
        <f t="shared" si="137"/>
        <v>0</v>
      </c>
      <c r="Z401" s="162">
        <f t="shared" si="137"/>
        <v>0</v>
      </c>
      <c r="AA401" s="162">
        <f t="shared" si="137"/>
        <v>0</v>
      </c>
      <c r="AB401" s="163">
        <f t="shared" si="131"/>
        <v>0</v>
      </c>
      <c r="AC401" s="198"/>
      <c r="AE401" s="194" t="str">
        <f t="shared" si="132"/>
        <v/>
      </c>
      <c r="AF401" s="161">
        <f t="shared" si="138"/>
        <v>0</v>
      </c>
      <c r="AG401" s="162">
        <f t="shared" si="138"/>
        <v>0</v>
      </c>
      <c r="AH401" s="162">
        <f t="shared" si="138"/>
        <v>0</v>
      </c>
      <c r="AI401" s="162">
        <f t="shared" si="138"/>
        <v>0</v>
      </c>
      <c r="AJ401" s="162">
        <f t="shared" si="138"/>
        <v>0</v>
      </c>
      <c r="AK401" s="162">
        <f t="shared" si="138"/>
        <v>0</v>
      </c>
      <c r="AL401" s="162">
        <f t="shared" si="138"/>
        <v>0</v>
      </c>
      <c r="AM401" s="162">
        <f t="shared" si="138"/>
        <v>0</v>
      </c>
      <c r="AN401" s="162">
        <f t="shared" si="138"/>
        <v>0</v>
      </c>
      <c r="AO401" s="162">
        <f t="shared" si="138"/>
        <v>0</v>
      </c>
      <c r="AP401" s="162">
        <f t="shared" si="138"/>
        <v>0</v>
      </c>
      <c r="AQ401" s="162">
        <f t="shared" si="138"/>
        <v>0</v>
      </c>
      <c r="AR401" s="163">
        <f t="shared" si="134"/>
        <v>0</v>
      </c>
      <c r="AT401" s="208">
        <f>IFERROR(VLOOKUP(J401,#REF!,10,0),0)</f>
        <v>0</v>
      </c>
    </row>
    <row r="402" spans="1:46" hidden="1" outlineLevel="1" x14ac:dyDescent="0.25">
      <c r="A402" s="14" t="str">
        <f t="shared" si="139"/>
        <v>PROP_OPER__24</v>
      </c>
      <c r="B402" s="15" t="str">
        <f t="shared" si="127"/>
        <v>PROP_OPER__0_0</v>
      </c>
      <c r="D402" s="15">
        <v>1</v>
      </c>
      <c r="E402" s="15">
        <v>24</v>
      </c>
      <c r="F402" s="190">
        <f t="shared" si="135"/>
        <v>0</v>
      </c>
      <c r="G402" s="149">
        <f t="shared" si="135"/>
        <v>0</v>
      </c>
      <c r="H402" s="150">
        <f t="shared" si="135"/>
        <v>0</v>
      </c>
      <c r="I402" s="150">
        <f t="shared" si="135"/>
        <v>0</v>
      </c>
      <c r="J402" s="150">
        <f t="shared" si="135"/>
        <v>0</v>
      </c>
      <c r="K402" s="196"/>
      <c r="L402" s="197"/>
      <c r="M402" s="191">
        <f t="shared" si="136"/>
        <v>0</v>
      </c>
      <c r="N402" s="150">
        <f t="shared" si="136"/>
        <v>0</v>
      </c>
      <c r="O402" s="193">
        <f t="shared" si="136"/>
        <v>0</v>
      </c>
      <c r="P402" s="162">
        <f t="shared" si="137"/>
        <v>0</v>
      </c>
      <c r="Q402" s="162">
        <f t="shared" si="137"/>
        <v>0</v>
      </c>
      <c r="R402" s="162">
        <f t="shared" si="137"/>
        <v>0</v>
      </c>
      <c r="S402" s="162">
        <f t="shared" si="137"/>
        <v>0</v>
      </c>
      <c r="T402" s="162">
        <f t="shared" si="137"/>
        <v>0</v>
      </c>
      <c r="U402" s="162">
        <f t="shared" si="137"/>
        <v>0</v>
      </c>
      <c r="V402" s="162">
        <f t="shared" si="137"/>
        <v>0</v>
      </c>
      <c r="W402" s="162">
        <f t="shared" si="137"/>
        <v>0</v>
      </c>
      <c r="X402" s="162">
        <f t="shared" si="137"/>
        <v>0</v>
      </c>
      <c r="Y402" s="162">
        <f t="shared" si="137"/>
        <v>0</v>
      </c>
      <c r="Z402" s="162">
        <f t="shared" si="137"/>
        <v>0</v>
      </c>
      <c r="AA402" s="162">
        <f t="shared" si="137"/>
        <v>0</v>
      </c>
      <c r="AB402" s="163">
        <f t="shared" si="131"/>
        <v>0</v>
      </c>
      <c r="AC402" s="198"/>
      <c r="AE402" s="194" t="str">
        <f t="shared" si="132"/>
        <v/>
      </c>
      <c r="AF402" s="161">
        <f t="shared" si="138"/>
        <v>0</v>
      </c>
      <c r="AG402" s="162">
        <f t="shared" si="138"/>
        <v>0</v>
      </c>
      <c r="AH402" s="162">
        <f t="shared" si="138"/>
        <v>0</v>
      </c>
      <c r="AI402" s="162">
        <f t="shared" si="138"/>
        <v>0</v>
      </c>
      <c r="AJ402" s="162">
        <f t="shared" si="138"/>
        <v>0</v>
      </c>
      <c r="AK402" s="162">
        <f t="shared" si="138"/>
        <v>0</v>
      </c>
      <c r="AL402" s="162">
        <f t="shared" si="138"/>
        <v>0</v>
      </c>
      <c r="AM402" s="162">
        <f t="shared" si="138"/>
        <v>0</v>
      </c>
      <c r="AN402" s="162">
        <f t="shared" si="138"/>
        <v>0</v>
      </c>
      <c r="AO402" s="162">
        <f t="shared" si="138"/>
        <v>0</v>
      </c>
      <c r="AP402" s="162">
        <f t="shared" si="138"/>
        <v>0</v>
      </c>
      <c r="AQ402" s="162">
        <f t="shared" si="138"/>
        <v>0</v>
      </c>
      <c r="AR402" s="163">
        <f t="shared" si="134"/>
        <v>0</v>
      </c>
      <c r="AT402" s="208">
        <f>IFERROR(VLOOKUP(J402,#REF!,10,0),0)</f>
        <v>0</v>
      </c>
    </row>
    <row r="403" spans="1:46" hidden="1" outlineLevel="1" x14ac:dyDescent="0.25">
      <c r="A403" s="14" t="str">
        <f t="shared" si="139"/>
        <v>PROP_OPER__25</v>
      </c>
      <c r="B403" s="15" t="str">
        <f t="shared" si="127"/>
        <v>PROP_OPER__0_0</v>
      </c>
      <c r="D403" s="15">
        <v>1</v>
      </c>
      <c r="E403" s="15">
        <v>25</v>
      </c>
      <c r="F403" s="190">
        <f t="shared" si="135"/>
        <v>0</v>
      </c>
      <c r="G403" s="149">
        <f t="shared" si="135"/>
        <v>0</v>
      </c>
      <c r="H403" s="150">
        <f t="shared" si="135"/>
        <v>0</v>
      </c>
      <c r="I403" s="150">
        <f t="shared" si="135"/>
        <v>0</v>
      </c>
      <c r="J403" s="150">
        <f t="shared" si="135"/>
        <v>0</v>
      </c>
      <c r="K403" s="196"/>
      <c r="L403" s="197"/>
      <c r="M403" s="191">
        <f t="shared" si="136"/>
        <v>0</v>
      </c>
      <c r="N403" s="150">
        <f t="shared" si="136"/>
        <v>0</v>
      </c>
      <c r="O403" s="193">
        <f t="shared" si="136"/>
        <v>0</v>
      </c>
      <c r="P403" s="162">
        <f t="shared" si="137"/>
        <v>0</v>
      </c>
      <c r="Q403" s="162">
        <f t="shared" si="137"/>
        <v>0</v>
      </c>
      <c r="R403" s="162">
        <f t="shared" si="137"/>
        <v>0</v>
      </c>
      <c r="S403" s="162">
        <f t="shared" si="137"/>
        <v>0</v>
      </c>
      <c r="T403" s="162">
        <f t="shared" si="137"/>
        <v>0</v>
      </c>
      <c r="U403" s="162">
        <f t="shared" si="137"/>
        <v>0</v>
      </c>
      <c r="V403" s="162">
        <f t="shared" si="137"/>
        <v>0</v>
      </c>
      <c r="W403" s="162">
        <f t="shared" si="137"/>
        <v>0</v>
      </c>
      <c r="X403" s="162">
        <f t="shared" si="137"/>
        <v>0</v>
      </c>
      <c r="Y403" s="162">
        <f t="shared" si="137"/>
        <v>0</v>
      </c>
      <c r="Z403" s="162">
        <f t="shared" si="137"/>
        <v>0</v>
      </c>
      <c r="AA403" s="162">
        <f t="shared" si="137"/>
        <v>0</v>
      </c>
      <c r="AB403" s="163">
        <f t="shared" si="131"/>
        <v>0</v>
      </c>
      <c r="AC403" s="198"/>
      <c r="AE403" s="194" t="str">
        <f t="shared" si="132"/>
        <v/>
      </c>
      <c r="AF403" s="161">
        <f t="shared" si="138"/>
        <v>0</v>
      </c>
      <c r="AG403" s="162">
        <f t="shared" si="138"/>
        <v>0</v>
      </c>
      <c r="AH403" s="162">
        <f t="shared" si="138"/>
        <v>0</v>
      </c>
      <c r="AI403" s="162">
        <f t="shared" si="138"/>
        <v>0</v>
      </c>
      <c r="AJ403" s="162">
        <f t="shared" si="138"/>
        <v>0</v>
      </c>
      <c r="AK403" s="162">
        <f t="shared" si="138"/>
        <v>0</v>
      </c>
      <c r="AL403" s="162">
        <f t="shared" si="138"/>
        <v>0</v>
      </c>
      <c r="AM403" s="162">
        <f t="shared" si="138"/>
        <v>0</v>
      </c>
      <c r="AN403" s="162">
        <f t="shared" si="138"/>
        <v>0</v>
      </c>
      <c r="AO403" s="162">
        <f t="shared" si="138"/>
        <v>0</v>
      </c>
      <c r="AP403" s="162">
        <f t="shared" si="138"/>
        <v>0</v>
      </c>
      <c r="AQ403" s="162">
        <f t="shared" si="138"/>
        <v>0</v>
      </c>
      <c r="AR403" s="163">
        <f t="shared" si="134"/>
        <v>0</v>
      </c>
      <c r="AT403" s="208">
        <f>IFERROR(VLOOKUP(J403,#REF!,10,0),0)</f>
        <v>0</v>
      </c>
    </row>
    <row r="404" spans="1:46" hidden="1" outlineLevel="1" x14ac:dyDescent="0.25">
      <c r="A404" s="14" t="str">
        <f t="shared" si="139"/>
        <v>PROP_OPER__26</v>
      </c>
      <c r="B404" s="15" t="str">
        <f t="shared" si="127"/>
        <v>PROP_OPER__0_0</v>
      </c>
      <c r="D404" s="15">
        <v>1</v>
      </c>
      <c r="E404" s="15">
        <v>26</v>
      </c>
      <c r="F404" s="190">
        <f t="shared" si="135"/>
        <v>0</v>
      </c>
      <c r="G404" s="149" t="str">
        <f t="shared" si="135"/>
        <v/>
      </c>
      <c r="H404" s="150" t="str">
        <f t="shared" si="135"/>
        <v/>
      </c>
      <c r="I404" s="150">
        <f t="shared" si="135"/>
        <v>0</v>
      </c>
      <c r="J404" s="150">
        <f t="shared" si="135"/>
        <v>0</v>
      </c>
      <c r="K404" s="196"/>
      <c r="L404" s="197"/>
      <c r="M404" s="191">
        <f t="shared" si="136"/>
        <v>0</v>
      </c>
      <c r="N404" s="150">
        <f t="shared" si="136"/>
        <v>0</v>
      </c>
      <c r="O404" s="193">
        <f t="shared" si="136"/>
        <v>0</v>
      </c>
      <c r="P404" s="162">
        <f t="shared" si="137"/>
        <v>0</v>
      </c>
      <c r="Q404" s="162">
        <f t="shared" si="137"/>
        <v>0</v>
      </c>
      <c r="R404" s="162">
        <f t="shared" si="137"/>
        <v>0</v>
      </c>
      <c r="S404" s="162">
        <f t="shared" si="137"/>
        <v>0</v>
      </c>
      <c r="T404" s="162">
        <f t="shared" si="137"/>
        <v>0</v>
      </c>
      <c r="U404" s="162">
        <f t="shared" si="137"/>
        <v>0</v>
      </c>
      <c r="V404" s="162">
        <f t="shared" si="137"/>
        <v>0</v>
      </c>
      <c r="W404" s="162">
        <f t="shared" si="137"/>
        <v>0</v>
      </c>
      <c r="X404" s="162">
        <f t="shared" si="137"/>
        <v>0</v>
      </c>
      <c r="Y404" s="162">
        <f t="shared" si="137"/>
        <v>0</v>
      </c>
      <c r="Z404" s="162">
        <f t="shared" si="137"/>
        <v>0</v>
      </c>
      <c r="AA404" s="162">
        <f t="shared" si="137"/>
        <v>0</v>
      </c>
      <c r="AB404" s="163">
        <f t="shared" si="131"/>
        <v>0</v>
      </c>
      <c r="AC404" s="198"/>
      <c r="AE404" s="194" t="str">
        <f t="shared" si="132"/>
        <v/>
      </c>
      <c r="AF404" s="161">
        <f t="shared" si="138"/>
        <v>0</v>
      </c>
      <c r="AG404" s="162">
        <f t="shared" si="138"/>
        <v>0</v>
      </c>
      <c r="AH404" s="162">
        <f t="shared" si="138"/>
        <v>0</v>
      </c>
      <c r="AI404" s="162">
        <f t="shared" si="138"/>
        <v>0</v>
      </c>
      <c r="AJ404" s="162">
        <f t="shared" si="138"/>
        <v>0</v>
      </c>
      <c r="AK404" s="162">
        <f t="shared" si="138"/>
        <v>0</v>
      </c>
      <c r="AL404" s="162">
        <f t="shared" si="138"/>
        <v>0</v>
      </c>
      <c r="AM404" s="162">
        <f t="shared" si="138"/>
        <v>0</v>
      </c>
      <c r="AN404" s="162">
        <f t="shared" si="138"/>
        <v>0</v>
      </c>
      <c r="AO404" s="162">
        <f t="shared" si="138"/>
        <v>0</v>
      </c>
      <c r="AP404" s="162">
        <f t="shared" si="138"/>
        <v>0</v>
      </c>
      <c r="AQ404" s="162">
        <f t="shared" si="138"/>
        <v>0</v>
      </c>
      <c r="AR404" s="163">
        <f t="shared" si="134"/>
        <v>0</v>
      </c>
      <c r="AT404" s="208">
        <f>IFERROR(VLOOKUP(J404,#REF!,10,0),0)</f>
        <v>0</v>
      </c>
    </row>
    <row r="405" spans="1:46" hidden="1" outlineLevel="1" x14ac:dyDescent="0.25">
      <c r="A405" s="14" t="str">
        <f t="shared" si="139"/>
        <v>PROP_OPER__27</v>
      </c>
      <c r="B405" s="15" t="str">
        <f t="shared" si="127"/>
        <v>PROP_OPER__0_0</v>
      </c>
      <c r="D405" s="15">
        <v>1</v>
      </c>
      <c r="E405" s="15">
        <v>27</v>
      </c>
      <c r="F405" s="190">
        <f t="shared" si="135"/>
        <v>0</v>
      </c>
      <c r="G405" s="149" t="str">
        <f t="shared" si="135"/>
        <v/>
      </c>
      <c r="H405" s="150" t="str">
        <f t="shared" si="135"/>
        <v/>
      </c>
      <c r="I405" s="150">
        <f t="shared" si="135"/>
        <v>0</v>
      </c>
      <c r="J405" s="150">
        <f t="shared" si="135"/>
        <v>0</v>
      </c>
      <c r="K405" s="196"/>
      <c r="L405" s="197"/>
      <c r="M405" s="191">
        <f t="shared" si="136"/>
        <v>0</v>
      </c>
      <c r="N405" s="150">
        <f t="shared" si="136"/>
        <v>0</v>
      </c>
      <c r="O405" s="193">
        <f t="shared" si="136"/>
        <v>0</v>
      </c>
      <c r="P405" s="162">
        <f t="shared" si="137"/>
        <v>0</v>
      </c>
      <c r="Q405" s="162">
        <f t="shared" si="137"/>
        <v>0</v>
      </c>
      <c r="R405" s="162">
        <f t="shared" si="137"/>
        <v>0</v>
      </c>
      <c r="S405" s="162">
        <f t="shared" si="137"/>
        <v>0</v>
      </c>
      <c r="T405" s="162">
        <f t="shared" si="137"/>
        <v>0</v>
      </c>
      <c r="U405" s="162">
        <f t="shared" si="137"/>
        <v>0</v>
      </c>
      <c r="V405" s="162">
        <f t="shared" si="137"/>
        <v>0</v>
      </c>
      <c r="W405" s="162">
        <f t="shared" si="137"/>
        <v>0</v>
      </c>
      <c r="X405" s="162">
        <f t="shared" si="137"/>
        <v>0</v>
      </c>
      <c r="Y405" s="162">
        <f t="shared" si="137"/>
        <v>0</v>
      </c>
      <c r="Z405" s="162">
        <f t="shared" si="137"/>
        <v>0</v>
      </c>
      <c r="AA405" s="162">
        <f t="shared" si="137"/>
        <v>0</v>
      </c>
      <c r="AB405" s="163">
        <f t="shared" si="131"/>
        <v>0</v>
      </c>
      <c r="AC405" s="198"/>
      <c r="AE405" s="194" t="str">
        <f t="shared" si="132"/>
        <v/>
      </c>
      <c r="AF405" s="161">
        <f t="shared" si="138"/>
        <v>0</v>
      </c>
      <c r="AG405" s="162">
        <f t="shared" si="138"/>
        <v>0</v>
      </c>
      <c r="AH405" s="162">
        <f t="shared" si="138"/>
        <v>0</v>
      </c>
      <c r="AI405" s="162">
        <f t="shared" si="138"/>
        <v>0</v>
      </c>
      <c r="AJ405" s="162">
        <f t="shared" si="138"/>
        <v>0</v>
      </c>
      <c r="AK405" s="162">
        <f t="shared" si="138"/>
        <v>0</v>
      </c>
      <c r="AL405" s="162">
        <f t="shared" si="138"/>
        <v>0</v>
      </c>
      <c r="AM405" s="162">
        <f t="shared" si="138"/>
        <v>0</v>
      </c>
      <c r="AN405" s="162">
        <f t="shared" si="138"/>
        <v>0</v>
      </c>
      <c r="AO405" s="162">
        <f t="shared" si="138"/>
        <v>0</v>
      </c>
      <c r="AP405" s="162">
        <f t="shared" si="138"/>
        <v>0</v>
      </c>
      <c r="AQ405" s="162">
        <f t="shared" si="138"/>
        <v>0</v>
      </c>
      <c r="AR405" s="163">
        <f t="shared" si="134"/>
        <v>0</v>
      </c>
      <c r="AT405" s="208">
        <f>IFERROR(VLOOKUP(J405,#REF!,10,0),0)</f>
        <v>0</v>
      </c>
    </row>
    <row r="406" spans="1:46" hidden="1" outlineLevel="1" x14ac:dyDescent="0.25">
      <c r="A406" s="14" t="str">
        <f t="shared" si="139"/>
        <v>PROP_OPER__28</v>
      </c>
      <c r="B406" s="15" t="str">
        <f t="shared" si="127"/>
        <v>PROP_OPER__0_0</v>
      </c>
      <c r="D406" s="15">
        <v>1</v>
      </c>
      <c r="E406" s="15">
        <v>28</v>
      </c>
      <c r="F406" s="190">
        <f t="shared" si="135"/>
        <v>0</v>
      </c>
      <c r="G406" s="149" t="str">
        <f t="shared" si="135"/>
        <v/>
      </c>
      <c r="H406" s="150" t="str">
        <f t="shared" si="135"/>
        <v/>
      </c>
      <c r="I406" s="150">
        <f t="shared" si="135"/>
        <v>0</v>
      </c>
      <c r="J406" s="150">
        <f t="shared" si="135"/>
        <v>0</v>
      </c>
      <c r="K406" s="196"/>
      <c r="L406" s="197"/>
      <c r="M406" s="191">
        <f t="shared" si="136"/>
        <v>0</v>
      </c>
      <c r="N406" s="150">
        <f t="shared" si="136"/>
        <v>0</v>
      </c>
      <c r="O406" s="193">
        <f t="shared" si="136"/>
        <v>0</v>
      </c>
      <c r="P406" s="162">
        <f t="shared" si="137"/>
        <v>0</v>
      </c>
      <c r="Q406" s="162">
        <f t="shared" si="137"/>
        <v>0</v>
      </c>
      <c r="R406" s="162">
        <f t="shared" si="137"/>
        <v>0</v>
      </c>
      <c r="S406" s="162">
        <f t="shared" si="137"/>
        <v>0</v>
      </c>
      <c r="T406" s="162">
        <f t="shared" si="137"/>
        <v>0</v>
      </c>
      <c r="U406" s="162">
        <f t="shared" si="137"/>
        <v>0</v>
      </c>
      <c r="V406" s="162">
        <f t="shared" si="137"/>
        <v>0</v>
      </c>
      <c r="W406" s="162">
        <f t="shared" si="137"/>
        <v>0</v>
      </c>
      <c r="X406" s="162">
        <f t="shared" si="137"/>
        <v>0</v>
      </c>
      <c r="Y406" s="162">
        <f t="shared" si="137"/>
        <v>0</v>
      </c>
      <c r="Z406" s="162">
        <f t="shared" si="137"/>
        <v>0</v>
      </c>
      <c r="AA406" s="162">
        <f t="shared" si="137"/>
        <v>0</v>
      </c>
      <c r="AB406" s="163">
        <f t="shared" si="131"/>
        <v>0</v>
      </c>
      <c r="AC406" s="198"/>
      <c r="AE406" s="194" t="str">
        <f t="shared" si="132"/>
        <v/>
      </c>
      <c r="AF406" s="161">
        <f t="shared" si="138"/>
        <v>0</v>
      </c>
      <c r="AG406" s="162">
        <f t="shared" si="138"/>
        <v>0</v>
      </c>
      <c r="AH406" s="162">
        <f t="shared" si="138"/>
        <v>0</v>
      </c>
      <c r="AI406" s="162">
        <f t="shared" si="138"/>
        <v>0</v>
      </c>
      <c r="AJ406" s="162">
        <f t="shared" si="138"/>
        <v>0</v>
      </c>
      <c r="AK406" s="162">
        <f t="shared" si="138"/>
        <v>0</v>
      </c>
      <c r="AL406" s="162">
        <f t="shared" si="138"/>
        <v>0</v>
      </c>
      <c r="AM406" s="162">
        <f t="shared" si="138"/>
        <v>0</v>
      </c>
      <c r="AN406" s="162">
        <f t="shared" si="138"/>
        <v>0</v>
      </c>
      <c r="AO406" s="162">
        <f t="shared" si="138"/>
        <v>0</v>
      </c>
      <c r="AP406" s="162">
        <f t="shared" si="138"/>
        <v>0</v>
      </c>
      <c r="AQ406" s="162">
        <f t="shared" si="138"/>
        <v>0</v>
      </c>
      <c r="AR406" s="163">
        <f t="shared" si="134"/>
        <v>0</v>
      </c>
      <c r="AT406" s="208">
        <f>IFERROR(VLOOKUP(J406,#REF!,10,0),0)</f>
        <v>0</v>
      </c>
    </row>
    <row r="407" spans="1:46" hidden="1" outlineLevel="1" x14ac:dyDescent="0.25">
      <c r="A407" s="14" t="str">
        <f t="shared" si="139"/>
        <v>PROP_OPER__29</v>
      </c>
      <c r="B407" s="15" t="str">
        <f t="shared" si="127"/>
        <v>PROP_OPER__0_0</v>
      </c>
      <c r="D407" s="15">
        <v>1</v>
      </c>
      <c r="E407" s="15">
        <v>29</v>
      </c>
      <c r="F407" s="190">
        <f t="shared" si="135"/>
        <v>0</v>
      </c>
      <c r="G407" s="149" t="str">
        <f t="shared" si="135"/>
        <v/>
      </c>
      <c r="H407" s="150" t="str">
        <f t="shared" si="135"/>
        <v/>
      </c>
      <c r="I407" s="150">
        <f t="shared" si="135"/>
        <v>0</v>
      </c>
      <c r="J407" s="150">
        <f t="shared" si="135"/>
        <v>0</v>
      </c>
      <c r="K407" s="196"/>
      <c r="L407" s="197"/>
      <c r="M407" s="191">
        <f t="shared" si="136"/>
        <v>0</v>
      </c>
      <c r="N407" s="150">
        <f t="shared" si="136"/>
        <v>0</v>
      </c>
      <c r="O407" s="193">
        <f t="shared" si="136"/>
        <v>0</v>
      </c>
      <c r="P407" s="162">
        <f t="shared" si="137"/>
        <v>0</v>
      </c>
      <c r="Q407" s="162">
        <f t="shared" si="137"/>
        <v>0</v>
      </c>
      <c r="R407" s="162">
        <f t="shared" si="137"/>
        <v>0</v>
      </c>
      <c r="S407" s="162">
        <f t="shared" si="137"/>
        <v>0</v>
      </c>
      <c r="T407" s="162">
        <f t="shared" si="137"/>
        <v>0</v>
      </c>
      <c r="U407" s="162">
        <f t="shared" si="137"/>
        <v>0</v>
      </c>
      <c r="V407" s="162">
        <f t="shared" si="137"/>
        <v>0</v>
      </c>
      <c r="W407" s="162">
        <f t="shared" si="137"/>
        <v>0</v>
      </c>
      <c r="X407" s="162">
        <f t="shared" si="137"/>
        <v>0</v>
      </c>
      <c r="Y407" s="162">
        <f t="shared" si="137"/>
        <v>0</v>
      </c>
      <c r="Z407" s="162">
        <f t="shared" si="137"/>
        <v>0</v>
      </c>
      <c r="AA407" s="162">
        <f t="shared" si="137"/>
        <v>0</v>
      </c>
      <c r="AB407" s="163">
        <f t="shared" si="131"/>
        <v>0</v>
      </c>
      <c r="AC407" s="198"/>
      <c r="AE407" s="194" t="str">
        <f t="shared" si="132"/>
        <v/>
      </c>
      <c r="AF407" s="161">
        <f t="shared" si="138"/>
        <v>0</v>
      </c>
      <c r="AG407" s="162">
        <f t="shared" si="138"/>
        <v>0</v>
      </c>
      <c r="AH407" s="162">
        <f t="shared" si="138"/>
        <v>0</v>
      </c>
      <c r="AI407" s="162">
        <f t="shared" si="138"/>
        <v>0</v>
      </c>
      <c r="AJ407" s="162">
        <f t="shared" si="138"/>
        <v>0</v>
      </c>
      <c r="AK407" s="162">
        <f t="shared" si="138"/>
        <v>0</v>
      </c>
      <c r="AL407" s="162">
        <f t="shared" si="138"/>
        <v>0</v>
      </c>
      <c r="AM407" s="162">
        <f t="shared" si="138"/>
        <v>0</v>
      </c>
      <c r="AN407" s="162">
        <f t="shared" si="138"/>
        <v>0</v>
      </c>
      <c r="AO407" s="162">
        <f t="shared" si="138"/>
        <v>0</v>
      </c>
      <c r="AP407" s="162">
        <f t="shared" si="138"/>
        <v>0</v>
      </c>
      <c r="AQ407" s="162">
        <f t="shared" si="138"/>
        <v>0</v>
      </c>
      <c r="AR407" s="163">
        <f t="shared" si="134"/>
        <v>0</v>
      </c>
      <c r="AT407" s="208">
        <f>IFERROR(VLOOKUP(J407,#REF!,10,0),0)</f>
        <v>0</v>
      </c>
    </row>
    <row r="408" spans="1:46" hidden="1" outlineLevel="1" x14ac:dyDescent="0.25">
      <c r="A408" s="14" t="str">
        <f t="shared" si="139"/>
        <v>PROP_OPER__30</v>
      </c>
      <c r="B408" s="15" t="str">
        <f t="shared" si="127"/>
        <v>PROP_OPER__0_0</v>
      </c>
      <c r="D408" s="15">
        <v>1</v>
      </c>
      <c r="E408" s="15">
        <v>30</v>
      </c>
      <c r="F408" s="190">
        <f t="shared" si="135"/>
        <v>0</v>
      </c>
      <c r="G408" s="149" t="str">
        <f t="shared" si="135"/>
        <v/>
      </c>
      <c r="H408" s="150" t="str">
        <f t="shared" si="135"/>
        <v/>
      </c>
      <c r="I408" s="150">
        <f t="shared" si="135"/>
        <v>0</v>
      </c>
      <c r="J408" s="150">
        <f t="shared" si="135"/>
        <v>0</v>
      </c>
      <c r="K408" s="196"/>
      <c r="L408" s="197"/>
      <c r="M408" s="191">
        <f t="shared" si="136"/>
        <v>0</v>
      </c>
      <c r="N408" s="150">
        <f t="shared" si="136"/>
        <v>0</v>
      </c>
      <c r="O408" s="193">
        <f t="shared" si="136"/>
        <v>0</v>
      </c>
      <c r="P408" s="162">
        <f t="shared" si="137"/>
        <v>0</v>
      </c>
      <c r="Q408" s="162">
        <f t="shared" si="137"/>
        <v>0</v>
      </c>
      <c r="R408" s="162">
        <f t="shared" si="137"/>
        <v>0</v>
      </c>
      <c r="S408" s="162">
        <f t="shared" si="137"/>
        <v>0</v>
      </c>
      <c r="T408" s="162">
        <f t="shared" si="137"/>
        <v>0</v>
      </c>
      <c r="U408" s="162">
        <f t="shared" si="137"/>
        <v>0</v>
      </c>
      <c r="V408" s="162">
        <f t="shared" si="137"/>
        <v>0</v>
      </c>
      <c r="W408" s="162">
        <f t="shared" si="137"/>
        <v>0</v>
      </c>
      <c r="X408" s="162">
        <f t="shared" si="137"/>
        <v>0</v>
      </c>
      <c r="Y408" s="162">
        <f t="shared" si="137"/>
        <v>0</v>
      </c>
      <c r="Z408" s="162">
        <f t="shared" si="137"/>
        <v>0</v>
      </c>
      <c r="AA408" s="162">
        <f t="shared" si="137"/>
        <v>0</v>
      </c>
      <c r="AB408" s="163">
        <f t="shared" si="131"/>
        <v>0</v>
      </c>
      <c r="AC408" s="198"/>
      <c r="AE408" s="194" t="str">
        <f t="shared" si="132"/>
        <v/>
      </c>
      <c r="AF408" s="161">
        <f t="shared" si="138"/>
        <v>0</v>
      </c>
      <c r="AG408" s="162">
        <f t="shared" si="138"/>
        <v>0</v>
      </c>
      <c r="AH408" s="162">
        <f t="shared" si="138"/>
        <v>0</v>
      </c>
      <c r="AI408" s="162">
        <f t="shared" si="138"/>
        <v>0</v>
      </c>
      <c r="AJ408" s="162">
        <f t="shared" si="138"/>
        <v>0</v>
      </c>
      <c r="AK408" s="162">
        <f t="shared" si="138"/>
        <v>0</v>
      </c>
      <c r="AL408" s="162">
        <f t="shared" si="138"/>
        <v>0</v>
      </c>
      <c r="AM408" s="162">
        <f t="shared" si="138"/>
        <v>0</v>
      </c>
      <c r="AN408" s="162">
        <f t="shared" si="138"/>
        <v>0</v>
      </c>
      <c r="AO408" s="162">
        <f t="shared" si="138"/>
        <v>0</v>
      </c>
      <c r="AP408" s="162">
        <f t="shared" si="138"/>
        <v>0</v>
      </c>
      <c r="AQ408" s="162">
        <f t="shared" si="138"/>
        <v>0</v>
      </c>
      <c r="AR408" s="163">
        <f t="shared" si="134"/>
        <v>0</v>
      </c>
      <c r="AT408" s="208">
        <f>IFERROR(VLOOKUP(J408,#REF!,10,0),0)</f>
        <v>0</v>
      </c>
    </row>
    <row r="409" spans="1:46" hidden="1" outlineLevel="1" x14ac:dyDescent="0.25">
      <c r="A409" s="14" t="str">
        <f t="shared" si="139"/>
        <v>PROP_OPER__31</v>
      </c>
      <c r="B409" s="15" t="str">
        <f t="shared" si="127"/>
        <v>PROP_OPER__0_0</v>
      </c>
      <c r="D409" s="15">
        <v>1</v>
      </c>
      <c r="E409" s="15">
        <v>31</v>
      </c>
      <c r="F409" s="190">
        <f t="shared" si="135"/>
        <v>0</v>
      </c>
      <c r="G409" s="149" t="str">
        <f t="shared" si="135"/>
        <v/>
      </c>
      <c r="H409" s="150" t="str">
        <f t="shared" si="135"/>
        <v/>
      </c>
      <c r="I409" s="150">
        <f t="shared" si="135"/>
        <v>0</v>
      </c>
      <c r="J409" s="150">
        <f t="shared" si="135"/>
        <v>0</v>
      </c>
      <c r="K409" s="196"/>
      <c r="L409" s="197"/>
      <c r="M409" s="191">
        <f t="shared" si="136"/>
        <v>0</v>
      </c>
      <c r="N409" s="150">
        <f t="shared" si="136"/>
        <v>0</v>
      </c>
      <c r="O409" s="193">
        <f t="shared" si="136"/>
        <v>0</v>
      </c>
      <c r="P409" s="162">
        <f t="shared" si="137"/>
        <v>0</v>
      </c>
      <c r="Q409" s="162">
        <f t="shared" si="137"/>
        <v>0</v>
      </c>
      <c r="R409" s="162">
        <f t="shared" si="137"/>
        <v>0</v>
      </c>
      <c r="S409" s="162">
        <f t="shared" si="137"/>
        <v>0</v>
      </c>
      <c r="T409" s="162">
        <f t="shared" si="137"/>
        <v>0</v>
      </c>
      <c r="U409" s="162">
        <f t="shared" si="137"/>
        <v>0</v>
      </c>
      <c r="V409" s="162">
        <f t="shared" si="137"/>
        <v>0</v>
      </c>
      <c r="W409" s="162">
        <f t="shared" si="137"/>
        <v>0</v>
      </c>
      <c r="X409" s="162">
        <f t="shared" si="137"/>
        <v>0</v>
      </c>
      <c r="Y409" s="162">
        <f t="shared" si="137"/>
        <v>0</v>
      </c>
      <c r="Z409" s="162">
        <f t="shared" si="137"/>
        <v>0</v>
      </c>
      <c r="AA409" s="162">
        <f t="shared" si="137"/>
        <v>0</v>
      </c>
      <c r="AB409" s="163">
        <f t="shared" si="131"/>
        <v>0</v>
      </c>
      <c r="AC409" s="198"/>
      <c r="AE409" s="194" t="str">
        <f t="shared" si="132"/>
        <v/>
      </c>
      <c r="AF409" s="161">
        <f t="shared" si="138"/>
        <v>0</v>
      </c>
      <c r="AG409" s="162">
        <f t="shared" si="138"/>
        <v>0</v>
      </c>
      <c r="AH409" s="162">
        <f t="shared" si="138"/>
        <v>0</v>
      </c>
      <c r="AI409" s="162">
        <f t="shared" si="138"/>
        <v>0</v>
      </c>
      <c r="AJ409" s="162">
        <f t="shared" si="138"/>
        <v>0</v>
      </c>
      <c r="AK409" s="162">
        <f t="shared" si="138"/>
        <v>0</v>
      </c>
      <c r="AL409" s="162">
        <f t="shared" si="138"/>
        <v>0</v>
      </c>
      <c r="AM409" s="162">
        <f t="shared" si="138"/>
        <v>0</v>
      </c>
      <c r="AN409" s="162">
        <f t="shared" si="138"/>
        <v>0</v>
      </c>
      <c r="AO409" s="162">
        <f t="shared" si="138"/>
        <v>0</v>
      </c>
      <c r="AP409" s="162">
        <f t="shared" si="138"/>
        <v>0</v>
      </c>
      <c r="AQ409" s="162">
        <f t="shared" si="138"/>
        <v>0</v>
      </c>
      <c r="AR409" s="163">
        <f t="shared" si="134"/>
        <v>0</v>
      </c>
      <c r="AT409" s="208">
        <f>IFERROR(VLOOKUP(J409,#REF!,10,0),0)</f>
        <v>0</v>
      </c>
    </row>
    <row r="410" spans="1:46" hidden="1" outlineLevel="1" x14ac:dyDescent="0.25">
      <c r="A410" s="14" t="str">
        <f t="shared" si="139"/>
        <v>PROP_OPER__32</v>
      </c>
      <c r="B410" s="15" t="str">
        <f t="shared" si="127"/>
        <v>PROP_OPER__0_0</v>
      </c>
      <c r="D410" s="15">
        <v>1</v>
      </c>
      <c r="E410" s="15">
        <v>32</v>
      </c>
      <c r="F410" s="190">
        <f t="shared" si="135"/>
        <v>0</v>
      </c>
      <c r="G410" s="149" t="str">
        <f t="shared" si="135"/>
        <v/>
      </c>
      <c r="H410" s="150" t="str">
        <f t="shared" si="135"/>
        <v/>
      </c>
      <c r="I410" s="150">
        <f t="shared" si="135"/>
        <v>0</v>
      </c>
      <c r="J410" s="150">
        <f t="shared" si="135"/>
        <v>0</v>
      </c>
      <c r="K410" s="196"/>
      <c r="L410" s="197"/>
      <c r="M410" s="191">
        <f t="shared" si="136"/>
        <v>0</v>
      </c>
      <c r="N410" s="150">
        <f t="shared" si="136"/>
        <v>0</v>
      </c>
      <c r="O410" s="193">
        <f t="shared" si="136"/>
        <v>0</v>
      </c>
      <c r="P410" s="162">
        <f t="shared" si="137"/>
        <v>0</v>
      </c>
      <c r="Q410" s="162">
        <f t="shared" si="137"/>
        <v>0</v>
      </c>
      <c r="R410" s="162">
        <f t="shared" si="137"/>
        <v>0</v>
      </c>
      <c r="S410" s="162">
        <f t="shared" si="137"/>
        <v>0</v>
      </c>
      <c r="T410" s="162">
        <f t="shared" si="137"/>
        <v>0</v>
      </c>
      <c r="U410" s="162">
        <f t="shared" si="137"/>
        <v>0</v>
      </c>
      <c r="V410" s="162">
        <f t="shared" si="137"/>
        <v>0</v>
      </c>
      <c r="W410" s="162">
        <f t="shared" si="137"/>
        <v>0</v>
      </c>
      <c r="X410" s="162">
        <f t="shared" si="137"/>
        <v>0</v>
      </c>
      <c r="Y410" s="162">
        <f t="shared" si="137"/>
        <v>0</v>
      </c>
      <c r="Z410" s="162">
        <f t="shared" si="137"/>
        <v>0</v>
      </c>
      <c r="AA410" s="162">
        <f t="shared" si="137"/>
        <v>0</v>
      </c>
      <c r="AB410" s="163">
        <f t="shared" si="131"/>
        <v>0</v>
      </c>
      <c r="AC410" s="198"/>
      <c r="AE410" s="194" t="str">
        <f t="shared" si="132"/>
        <v/>
      </c>
      <c r="AF410" s="161">
        <f t="shared" si="138"/>
        <v>0</v>
      </c>
      <c r="AG410" s="162">
        <f t="shared" si="138"/>
        <v>0</v>
      </c>
      <c r="AH410" s="162">
        <f t="shared" si="138"/>
        <v>0</v>
      </c>
      <c r="AI410" s="162">
        <f t="shared" si="138"/>
        <v>0</v>
      </c>
      <c r="AJ410" s="162">
        <f t="shared" si="138"/>
        <v>0</v>
      </c>
      <c r="AK410" s="162">
        <f t="shared" si="138"/>
        <v>0</v>
      </c>
      <c r="AL410" s="162">
        <f t="shared" si="138"/>
        <v>0</v>
      </c>
      <c r="AM410" s="162">
        <f t="shared" si="138"/>
        <v>0</v>
      </c>
      <c r="AN410" s="162">
        <f t="shared" si="138"/>
        <v>0</v>
      </c>
      <c r="AO410" s="162">
        <f t="shared" si="138"/>
        <v>0</v>
      </c>
      <c r="AP410" s="162">
        <f t="shared" si="138"/>
        <v>0</v>
      </c>
      <c r="AQ410" s="162">
        <f t="shared" si="138"/>
        <v>0</v>
      </c>
      <c r="AR410" s="163">
        <f t="shared" si="134"/>
        <v>0</v>
      </c>
      <c r="AT410" s="208">
        <f>IFERROR(VLOOKUP(J410,#REF!,10,0),0)</f>
        <v>0</v>
      </c>
    </row>
    <row r="411" spans="1:46" hidden="1" outlineLevel="1" x14ac:dyDescent="0.25">
      <c r="A411" s="14" t="str">
        <f t="shared" si="139"/>
        <v>PROP_OPER__33</v>
      </c>
      <c r="B411" s="15" t="str">
        <f t="shared" si="127"/>
        <v>PROP_OPER__0_0</v>
      </c>
      <c r="D411" s="15">
        <v>1</v>
      </c>
      <c r="E411" s="15">
        <v>33</v>
      </c>
      <c r="F411" s="190">
        <f t="shared" ref="F411:J423" si="140">F365</f>
        <v>0</v>
      </c>
      <c r="G411" s="149" t="str">
        <f t="shared" si="140"/>
        <v/>
      </c>
      <c r="H411" s="150" t="str">
        <f t="shared" si="140"/>
        <v/>
      </c>
      <c r="I411" s="150">
        <f t="shared" si="140"/>
        <v>0</v>
      </c>
      <c r="J411" s="150">
        <f t="shared" si="140"/>
        <v>0</v>
      </c>
      <c r="K411" s="196"/>
      <c r="L411" s="197"/>
      <c r="M411" s="191">
        <f t="shared" ref="M411:O423" si="141">M365</f>
        <v>0</v>
      </c>
      <c r="N411" s="150">
        <f t="shared" si="141"/>
        <v>0</v>
      </c>
      <c r="O411" s="193">
        <f t="shared" si="141"/>
        <v>0</v>
      </c>
      <c r="P411" s="162">
        <f t="shared" ref="P411:AA423" si="142">IFERROR(SUMIF($B$16:$B$43,$C411&amp;$I411,P$16:P$43)/SUMIF($D$16:$D$43,$I411,P$16:P$43)*P126,0)</f>
        <v>0</v>
      </c>
      <c r="Q411" s="162">
        <f t="shared" si="142"/>
        <v>0</v>
      </c>
      <c r="R411" s="162">
        <f t="shared" si="142"/>
        <v>0</v>
      </c>
      <c r="S411" s="162">
        <f t="shared" si="142"/>
        <v>0</v>
      </c>
      <c r="T411" s="162">
        <f t="shared" si="142"/>
        <v>0</v>
      </c>
      <c r="U411" s="162">
        <f t="shared" si="142"/>
        <v>0</v>
      </c>
      <c r="V411" s="162">
        <f t="shared" si="142"/>
        <v>0</v>
      </c>
      <c r="W411" s="162">
        <f t="shared" si="142"/>
        <v>0</v>
      </c>
      <c r="X411" s="162">
        <f t="shared" si="142"/>
        <v>0</v>
      </c>
      <c r="Y411" s="162">
        <f t="shared" si="142"/>
        <v>0</v>
      </c>
      <c r="Z411" s="162">
        <f t="shared" si="142"/>
        <v>0</v>
      </c>
      <c r="AA411" s="162">
        <f t="shared" si="142"/>
        <v>0</v>
      </c>
      <c r="AB411" s="163">
        <f t="shared" si="131"/>
        <v>0</v>
      </c>
      <c r="AC411" s="198"/>
      <c r="AE411" s="194" t="str">
        <f t="shared" si="132"/>
        <v/>
      </c>
      <c r="AF411" s="161">
        <f t="shared" ref="AF411:AQ423" si="143">IFERROR(SUMIF($B$16:$B$43,$C411&amp;$I411,P$16:P$43)/SUMIF($D$16:$D$43,$I411,P$16:P$43)*AF126,0)</f>
        <v>0</v>
      </c>
      <c r="AG411" s="162">
        <f t="shared" si="143"/>
        <v>0</v>
      </c>
      <c r="AH411" s="162">
        <f t="shared" si="143"/>
        <v>0</v>
      </c>
      <c r="AI411" s="162">
        <f t="shared" si="143"/>
        <v>0</v>
      </c>
      <c r="AJ411" s="162">
        <f t="shared" si="143"/>
        <v>0</v>
      </c>
      <c r="AK411" s="162">
        <f t="shared" si="143"/>
        <v>0</v>
      </c>
      <c r="AL411" s="162">
        <f t="shared" si="143"/>
        <v>0</v>
      </c>
      <c r="AM411" s="162">
        <f t="shared" si="143"/>
        <v>0</v>
      </c>
      <c r="AN411" s="162">
        <f t="shared" si="143"/>
        <v>0</v>
      </c>
      <c r="AO411" s="162">
        <f t="shared" si="143"/>
        <v>0</v>
      </c>
      <c r="AP411" s="162">
        <f t="shared" si="143"/>
        <v>0</v>
      </c>
      <c r="AQ411" s="162">
        <f t="shared" si="143"/>
        <v>0</v>
      </c>
      <c r="AR411" s="163">
        <f t="shared" si="134"/>
        <v>0</v>
      </c>
      <c r="AT411" s="208">
        <f>IFERROR(VLOOKUP(J411,#REF!,10,0),0)</f>
        <v>0</v>
      </c>
    </row>
    <row r="412" spans="1:46" hidden="1" outlineLevel="1" x14ac:dyDescent="0.25">
      <c r="A412" s="14" t="str">
        <f t="shared" si="139"/>
        <v>PROP_OPER__34</v>
      </c>
      <c r="B412" s="15" t="str">
        <f t="shared" si="127"/>
        <v>PROP_OPER__0_0</v>
      </c>
      <c r="D412" s="15">
        <v>1</v>
      </c>
      <c r="E412" s="15">
        <v>34</v>
      </c>
      <c r="F412" s="190">
        <f t="shared" si="140"/>
        <v>0</v>
      </c>
      <c r="G412" s="149" t="str">
        <f t="shared" si="140"/>
        <v/>
      </c>
      <c r="H412" s="150" t="str">
        <f t="shared" si="140"/>
        <v/>
      </c>
      <c r="I412" s="150">
        <f t="shared" si="140"/>
        <v>0</v>
      </c>
      <c r="J412" s="150">
        <f t="shared" si="140"/>
        <v>0</v>
      </c>
      <c r="K412" s="196"/>
      <c r="L412" s="197"/>
      <c r="M412" s="191">
        <f t="shared" si="141"/>
        <v>0</v>
      </c>
      <c r="N412" s="150">
        <f t="shared" si="141"/>
        <v>0</v>
      </c>
      <c r="O412" s="193">
        <f t="shared" si="141"/>
        <v>0</v>
      </c>
      <c r="P412" s="162">
        <f t="shared" si="142"/>
        <v>0</v>
      </c>
      <c r="Q412" s="162">
        <f t="shared" si="142"/>
        <v>0</v>
      </c>
      <c r="R412" s="162">
        <f t="shared" si="142"/>
        <v>0</v>
      </c>
      <c r="S412" s="162">
        <f t="shared" si="142"/>
        <v>0</v>
      </c>
      <c r="T412" s="162">
        <f t="shared" si="142"/>
        <v>0</v>
      </c>
      <c r="U412" s="162">
        <f t="shared" si="142"/>
        <v>0</v>
      </c>
      <c r="V412" s="162">
        <f t="shared" si="142"/>
        <v>0</v>
      </c>
      <c r="W412" s="162">
        <f t="shared" si="142"/>
        <v>0</v>
      </c>
      <c r="X412" s="162">
        <f t="shared" si="142"/>
        <v>0</v>
      </c>
      <c r="Y412" s="162">
        <f t="shared" si="142"/>
        <v>0</v>
      </c>
      <c r="Z412" s="162">
        <f t="shared" si="142"/>
        <v>0</v>
      </c>
      <c r="AA412" s="162">
        <f t="shared" si="142"/>
        <v>0</v>
      </c>
      <c r="AB412" s="163">
        <f t="shared" si="131"/>
        <v>0</v>
      </c>
      <c r="AC412" s="198"/>
      <c r="AE412" s="194" t="str">
        <f t="shared" si="132"/>
        <v/>
      </c>
      <c r="AF412" s="161">
        <f t="shared" si="143"/>
        <v>0</v>
      </c>
      <c r="AG412" s="162">
        <f t="shared" si="143"/>
        <v>0</v>
      </c>
      <c r="AH412" s="162">
        <f t="shared" si="143"/>
        <v>0</v>
      </c>
      <c r="AI412" s="162">
        <f t="shared" si="143"/>
        <v>0</v>
      </c>
      <c r="AJ412" s="162">
        <f t="shared" si="143"/>
        <v>0</v>
      </c>
      <c r="AK412" s="162">
        <f t="shared" si="143"/>
        <v>0</v>
      </c>
      <c r="AL412" s="162">
        <f t="shared" si="143"/>
        <v>0</v>
      </c>
      <c r="AM412" s="162">
        <f t="shared" si="143"/>
        <v>0</v>
      </c>
      <c r="AN412" s="162">
        <f t="shared" si="143"/>
        <v>0</v>
      </c>
      <c r="AO412" s="162">
        <f t="shared" si="143"/>
        <v>0</v>
      </c>
      <c r="AP412" s="162">
        <f t="shared" si="143"/>
        <v>0</v>
      </c>
      <c r="AQ412" s="162">
        <f t="shared" si="143"/>
        <v>0</v>
      </c>
      <c r="AR412" s="163">
        <f t="shared" si="134"/>
        <v>0</v>
      </c>
      <c r="AT412" s="208">
        <f>IFERROR(VLOOKUP(J412,#REF!,10,0),0)</f>
        <v>0</v>
      </c>
    </row>
    <row r="413" spans="1:46" hidden="1" outlineLevel="1" x14ac:dyDescent="0.25">
      <c r="A413" s="14" t="str">
        <f t="shared" si="139"/>
        <v>PROP_OPER__35</v>
      </c>
      <c r="B413" s="15" t="str">
        <f t="shared" si="127"/>
        <v>PROP_OPER__0_0</v>
      </c>
      <c r="D413" s="15">
        <v>1</v>
      </c>
      <c r="E413" s="15">
        <v>35</v>
      </c>
      <c r="F413" s="190">
        <f t="shared" si="140"/>
        <v>0</v>
      </c>
      <c r="G413" s="149" t="str">
        <f t="shared" si="140"/>
        <v/>
      </c>
      <c r="H413" s="150" t="str">
        <f t="shared" si="140"/>
        <v/>
      </c>
      <c r="I413" s="150">
        <f t="shared" si="140"/>
        <v>0</v>
      </c>
      <c r="J413" s="150">
        <f t="shared" si="140"/>
        <v>0</v>
      </c>
      <c r="K413" s="196"/>
      <c r="L413" s="197"/>
      <c r="M413" s="191">
        <f t="shared" si="141"/>
        <v>0</v>
      </c>
      <c r="N413" s="150">
        <f t="shared" si="141"/>
        <v>0</v>
      </c>
      <c r="O413" s="193">
        <f t="shared" si="141"/>
        <v>0</v>
      </c>
      <c r="P413" s="162">
        <f t="shared" si="142"/>
        <v>0</v>
      </c>
      <c r="Q413" s="162">
        <f t="shared" si="142"/>
        <v>0</v>
      </c>
      <c r="R413" s="162">
        <f t="shared" si="142"/>
        <v>0</v>
      </c>
      <c r="S413" s="162">
        <f t="shared" si="142"/>
        <v>0</v>
      </c>
      <c r="T413" s="162">
        <f t="shared" si="142"/>
        <v>0</v>
      </c>
      <c r="U413" s="162">
        <f t="shared" si="142"/>
        <v>0</v>
      </c>
      <c r="V413" s="162">
        <f t="shared" si="142"/>
        <v>0</v>
      </c>
      <c r="W413" s="162">
        <f t="shared" si="142"/>
        <v>0</v>
      </c>
      <c r="X413" s="162">
        <f t="shared" si="142"/>
        <v>0</v>
      </c>
      <c r="Y413" s="162">
        <f t="shared" si="142"/>
        <v>0</v>
      </c>
      <c r="Z413" s="162">
        <f t="shared" si="142"/>
        <v>0</v>
      </c>
      <c r="AA413" s="162">
        <f t="shared" si="142"/>
        <v>0</v>
      </c>
      <c r="AB413" s="163">
        <f t="shared" si="131"/>
        <v>0</v>
      </c>
      <c r="AC413" s="198"/>
      <c r="AE413" s="194" t="str">
        <f t="shared" si="132"/>
        <v/>
      </c>
      <c r="AF413" s="161">
        <f t="shared" si="143"/>
        <v>0</v>
      </c>
      <c r="AG413" s="162">
        <f t="shared" si="143"/>
        <v>0</v>
      </c>
      <c r="AH413" s="162">
        <f t="shared" si="143"/>
        <v>0</v>
      </c>
      <c r="AI413" s="162">
        <f t="shared" si="143"/>
        <v>0</v>
      </c>
      <c r="AJ413" s="162">
        <f t="shared" si="143"/>
        <v>0</v>
      </c>
      <c r="AK413" s="162">
        <f t="shared" si="143"/>
        <v>0</v>
      </c>
      <c r="AL413" s="162">
        <f t="shared" si="143"/>
        <v>0</v>
      </c>
      <c r="AM413" s="162">
        <f t="shared" si="143"/>
        <v>0</v>
      </c>
      <c r="AN413" s="162">
        <f t="shared" si="143"/>
        <v>0</v>
      </c>
      <c r="AO413" s="162">
        <f t="shared" si="143"/>
        <v>0</v>
      </c>
      <c r="AP413" s="162">
        <f t="shared" si="143"/>
        <v>0</v>
      </c>
      <c r="AQ413" s="162">
        <f t="shared" si="143"/>
        <v>0</v>
      </c>
      <c r="AR413" s="163">
        <f t="shared" si="134"/>
        <v>0</v>
      </c>
      <c r="AT413" s="208">
        <f>IFERROR(VLOOKUP(J413,#REF!,10,0),0)</f>
        <v>0</v>
      </c>
    </row>
    <row r="414" spans="1:46" hidden="1" outlineLevel="1" x14ac:dyDescent="0.25">
      <c r="A414" s="14" t="str">
        <f t="shared" si="139"/>
        <v>PROP_OPER__36</v>
      </c>
      <c r="B414" s="15" t="str">
        <f t="shared" si="127"/>
        <v>PROP_OPER__0_0</v>
      </c>
      <c r="D414" s="15">
        <v>1</v>
      </c>
      <c r="E414" s="15">
        <v>36</v>
      </c>
      <c r="F414" s="190">
        <f t="shared" si="140"/>
        <v>0</v>
      </c>
      <c r="G414" s="149" t="str">
        <f t="shared" si="140"/>
        <v/>
      </c>
      <c r="H414" s="150" t="str">
        <f t="shared" si="140"/>
        <v/>
      </c>
      <c r="I414" s="150">
        <f t="shared" si="140"/>
        <v>0</v>
      </c>
      <c r="J414" s="150">
        <f t="shared" si="140"/>
        <v>0</v>
      </c>
      <c r="K414" s="196"/>
      <c r="L414" s="197"/>
      <c r="M414" s="191">
        <f t="shared" si="141"/>
        <v>0</v>
      </c>
      <c r="N414" s="150">
        <f t="shared" si="141"/>
        <v>0</v>
      </c>
      <c r="O414" s="193">
        <f t="shared" si="141"/>
        <v>0</v>
      </c>
      <c r="P414" s="162">
        <f t="shared" si="142"/>
        <v>0</v>
      </c>
      <c r="Q414" s="162">
        <f t="shared" si="142"/>
        <v>0</v>
      </c>
      <c r="R414" s="162">
        <f t="shared" si="142"/>
        <v>0</v>
      </c>
      <c r="S414" s="162">
        <f t="shared" si="142"/>
        <v>0</v>
      </c>
      <c r="T414" s="162">
        <f t="shared" si="142"/>
        <v>0</v>
      </c>
      <c r="U414" s="162">
        <f t="shared" si="142"/>
        <v>0</v>
      </c>
      <c r="V414" s="162">
        <f t="shared" si="142"/>
        <v>0</v>
      </c>
      <c r="W414" s="162">
        <f t="shared" si="142"/>
        <v>0</v>
      </c>
      <c r="X414" s="162">
        <f t="shared" si="142"/>
        <v>0</v>
      </c>
      <c r="Y414" s="162">
        <f t="shared" si="142"/>
        <v>0</v>
      </c>
      <c r="Z414" s="162">
        <f t="shared" si="142"/>
        <v>0</v>
      </c>
      <c r="AA414" s="162">
        <f t="shared" si="142"/>
        <v>0</v>
      </c>
      <c r="AB414" s="163">
        <f t="shared" si="131"/>
        <v>0</v>
      </c>
      <c r="AC414" s="198"/>
      <c r="AE414" s="194" t="str">
        <f t="shared" si="132"/>
        <v/>
      </c>
      <c r="AF414" s="161">
        <f t="shared" si="143"/>
        <v>0</v>
      </c>
      <c r="AG414" s="162">
        <f t="shared" si="143"/>
        <v>0</v>
      </c>
      <c r="AH414" s="162">
        <f t="shared" si="143"/>
        <v>0</v>
      </c>
      <c r="AI414" s="162">
        <f t="shared" si="143"/>
        <v>0</v>
      </c>
      <c r="AJ414" s="162">
        <f t="shared" si="143"/>
        <v>0</v>
      </c>
      <c r="AK414" s="162">
        <f t="shared" si="143"/>
        <v>0</v>
      </c>
      <c r="AL414" s="162">
        <f t="shared" si="143"/>
        <v>0</v>
      </c>
      <c r="AM414" s="162">
        <f t="shared" si="143"/>
        <v>0</v>
      </c>
      <c r="AN414" s="162">
        <f t="shared" si="143"/>
        <v>0</v>
      </c>
      <c r="AO414" s="162">
        <f t="shared" si="143"/>
        <v>0</v>
      </c>
      <c r="AP414" s="162">
        <f t="shared" si="143"/>
        <v>0</v>
      </c>
      <c r="AQ414" s="162">
        <f t="shared" si="143"/>
        <v>0</v>
      </c>
      <c r="AR414" s="163">
        <f t="shared" si="134"/>
        <v>0</v>
      </c>
      <c r="AT414" s="208">
        <f>IFERROR(VLOOKUP(J414,#REF!,10,0),0)</f>
        <v>0</v>
      </c>
    </row>
    <row r="415" spans="1:46" hidden="1" outlineLevel="1" x14ac:dyDescent="0.25">
      <c r="A415" s="14" t="str">
        <f t="shared" si="139"/>
        <v>PROP_OPER__37</v>
      </c>
      <c r="B415" s="15" t="str">
        <f t="shared" si="127"/>
        <v>PROP_OPER__0_0</v>
      </c>
      <c r="D415" s="15">
        <v>1</v>
      </c>
      <c r="E415" s="15">
        <v>37</v>
      </c>
      <c r="F415" s="190">
        <f t="shared" si="140"/>
        <v>0</v>
      </c>
      <c r="G415" s="149" t="str">
        <f t="shared" si="140"/>
        <v/>
      </c>
      <c r="H415" s="150" t="str">
        <f t="shared" si="140"/>
        <v/>
      </c>
      <c r="I415" s="150">
        <f t="shared" si="140"/>
        <v>0</v>
      </c>
      <c r="J415" s="150">
        <f t="shared" si="140"/>
        <v>0</v>
      </c>
      <c r="K415" s="196"/>
      <c r="L415" s="197"/>
      <c r="M415" s="191">
        <f t="shared" si="141"/>
        <v>0</v>
      </c>
      <c r="N415" s="150">
        <f t="shared" si="141"/>
        <v>0</v>
      </c>
      <c r="O415" s="193">
        <f t="shared" si="141"/>
        <v>0</v>
      </c>
      <c r="P415" s="162">
        <f t="shared" si="142"/>
        <v>0</v>
      </c>
      <c r="Q415" s="162">
        <f t="shared" si="142"/>
        <v>0</v>
      </c>
      <c r="R415" s="162">
        <f t="shared" si="142"/>
        <v>0</v>
      </c>
      <c r="S415" s="162">
        <f t="shared" si="142"/>
        <v>0</v>
      </c>
      <c r="T415" s="162">
        <f t="shared" si="142"/>
        <v>0</v>
      </c>
      <c r="U415" s="162">
        <f t="shared" si="142"/>
        <v>0</v>
      </c>
      <c r="V415" s="162">
        <f t="shared" si="142"/>
        <v>0</v>
      </c>
      <c r="W415" s="162">
        <f t="shared" si="142"/>
        <v>0</v>
      </c>
      <c r="X415" s="162">
        <f t="shared" si="142"/>
        <v>0</v>
      </c>
      <c r="Y415" s="162">
        <f t="shared" si="142"/>
        <v>0</v>
      </c>
      <c r="Z415" s="162">
        <f t="shared" si="142"/>
        <v>0</v>
      </c>
      <c r="AA415" s="162">
        <f t="shared" si="142"/>
        <v>0</v>
      </c>
      <c r="AB415" s="163">
        <f t="shared" si="131"/>
        <v>0</v>
      </c>
      <c r="AC415" s="198"/>
      <c r="AE415" s="194" t="str">
        <f t="shared" si="132"/>
        <v/>
      </c>
      <c r="AF415" s="161">
        <f t="shared" si="143"/>
        <v>0</v>
      </c>
      <c r="AG415" s="162">
        <f t="shared" si="143"/>
        <v>0</v>
      </c>
      <c r="AH415" s="162">
        <f t="shared" si="143"/>
        <v>0</v>
      </c>
      <c r="AI415" s="162">
        <f t="shared" si="143"/>
        <v>0</v>
      </c>
      <c r="AJ415" s="162">
        <f t="shared" si="143"/>
        <v>0</v>
      </c>
      <c r="AK415" s="162">
        <f t="shared" si="143"/>
        <v>0</v>
      </c>
      <c r="AL415" s="162">
        <f t="shared" si="143"/>
        <v>0</v>
      </c>
      <c r="AM415" s="162">
        <f t="shared" si="143"/>
        <v>0</v>
      </c>
      <c r="AN415" s="162">
        <f t="shared" si="143"/>
        <v>0</v>
      </c>
      <c r="AO415" s="162">
        <f t="shared" si="143"/>
        <v>0</v>
      </c>
      <c r="AP415" s="162">
        <f t="shared" si="143"/>
        <v>0</v>
      </c>
      <c r="AQ415" s="162">
        <f t="shared" si="143"/>
        <v>0</v>
      </c>
      <c r="AR415" s="163">
        <f t="shared" si="134"/>
        <v>0</v>
      </c>
      <c r="AT415" s="208">
        <f>IFERROR(VLOOKUP(J415,#REF!,10,0),0)</f>
        <v>0</v>
      </c>
    </row>
    <row r="416" spans="1:46" hidden="1" outlineLevel="1" x14ac:dyDescent="0.25">
      <c r="A416" s="14" t="str">
        <f t="shared" si="139"/>
        <v>PROP_OPER__38</v>
      </c>
      <c r="B416" s="15" t="str">
        <f t="shared" si="127"/>
        <v>PROP_OPER__0_0</v>
      </c>
      <c r="D416" s="15">
        <v>1</v>
      </c>
      <c r="E416" s="15">
        <v>38</v>
      </c>
      <c r="F416" s="190">
        <f t="shared" si="140"/>
        <v>0</v>
      </c>
      <c r="G416" s="149" t="str">
        <f t="shared" si="140"/>
        <v/>
      </c>
      <c r="H416" s="150" t="str">
        <f t="shared" si="140"/>
        <v/>
      </c>
      <c r="I416" s="150">
        <f t="shared" si="140"/>
        <v>0</v>
      </c>
      <c r="J416" s="150">
        <f t="shared" si="140"/>
        <v>0</v>
      </c>
      <c r="K416" s="196"/>
      <c r="L416" s="197"/>
      <c r="M416" s="191">
        <f t="shared" si="141"/>
        <v>0</v>
      </c>
      <c r="N416" s="150">
        <f t="shared" si="141"/>
        <v>0</v>
      </c>
      <c r="O416" s="193">
        <f t="shared" si="141"/>
        <v>0</v>
      </c>
      <c r="P416" s="162">
        <f t="shared" si="142"/>
        <v>0</v>
      </c>
      <c r="Q416" s="162">
        <f t="shared" si="142"/>
        <v>0</v>
      </c>
      <c r="R416" s="162">
        <f t="shared" si="142"/>
        <v>0</v>
      </c>
      <c r="S416" s="162">
        <f t="shared" si="142"/>
        <v>0</v>
      </c>
      <c r="T416" s="162">
        <f t="shared" si="142"/>
        <v>0</v>
      </c>
      <c r="U416" s="162">
        <f t="shared" si="142"/>
        <v>0</v>
      </c>
      <c r="V416" s="162">
        <f t="shared" si="142"/>
        <v>0</v>
      </c>
      <c r="W416" s="162">
        <f t="shared" si="142"/>
        <v>0</v>
      </c>
      <c r="X416" s="162">
        <f t="shared" si="142"/>
        <v>0</v>
      </c>
      <c r="Y416" s="162">
        <f t="shared" si="142"/>
        <v>0</v>
      </c>
      <c r="Z416" s="162">
        <f t="shared" si="142"/>
        <v>0</v>
      </c>
      <c r="AA416" s="162">
        <f t="shared" si="142"/>
        <v>0</v>
      </c>
      <c r="AB416" s="163">
        <f t="shared" si="131"/>
        <v>0</v>
      </c>
      <c r="AC416" s="198"/>
      <c r="AE416" s="194" t="str">
        <f t="shared" si="132"/>
        <v/>
      </c>
      <c r="AF416" s="161">
        <f t="shared" si="143"/>
        <v>0</v>
      </c>
      <c r="AG416" s="162">
        <f t="shared" si="143"/>
        <v>0</v>
      </c>
      <c r="AH416" s="162">
        <f t="shared" si="143"/>
        <v>0</v>
      </c>
      <c r="AI416" s="162">
        <f t="shared" si="143"/>
        <v>0</v>
      </c>
      <c r="AJ416" s="162">
        <f t="shared" si="143"/>
        <v>0</v>
      </c>
      <c r="AK416" s="162">
        <f t="shared" si="143"/>
        <v>0</v>
      </c>
      <c r="AL416" s="162">
        <f t="shared" si="143"/>
        <v>0</v>
      </c>
      <c r="AM416" s="162">
        <f t="shared" si="143"/>
        <v>0</v>
      </c>
      <c r="AN416" s="162">
        <f t="shared" si="143"/>
        <v>0</v>
      </c>
      <c r="AO416" s="162">
        <f t="shared" si="143"/>
        <v>0</v>
      </c>
      <c r="AP416" s="162">
        <f t="shared" si="143"/>
        <v>0</v>
      </c>
      <c r="AQ416" s="162">
        <f t="shared" si="143"/>
        <v>0</v>
      </c>
      <c r="AR416" s="163">
        <f t="shared" si="134"/>
        <v>0</v>
      </c>
      <c r="AT416" s="208">
        <f>IFERROR(VLOOKUP(J416,#REF!,10,0),0)</f>
        <v>0</v>
      </c>
    </row>
    <row r="417" spans="1:46" hidden="1" outlineLevel="1" x14ac:dyDescent="0.25">
      <c r="A417" s="14" t="str">
        <f t="shared" si="139"/>
        <v>PROP_OPER__39</v>
      </c>
      <c r="B417" s="15" t="str">
        <f t="shared" si="127"/>
        <v>PROP_OPER__0_0</v>
      </c>
      <c r="D417" s="15">
        <v>1</v>
      </c>
      <c r="E417" s="15">
        <v>39</v>
      </c>
      <c r="F417" s="190">
        <f t="shared" si="140"/>
        <v>0</v>
      </c>
      <c r="G417" s="149" t="str">
        <f t="shared" si="140"/>
        <v/>
      </c>
      <c r="H417" s="150" t="str">
        <f t="shared" si="140"/>
        <v/>
      </c>
      <c r="I417" s="150">
        <f t="shared" si="140"/>
        <v>0</v>
      </c>
      <c r="J417" s="150">
        <f t="shared" si="140"/>
        <v>0</v>
      </c>
      <c r="K417" s="196"/>
      <c r="L417" s="197"/>
      <c r="M417" s="191">
        <f t="shared" si="141"/>
        <v>0</v>
      </c>
      <c r="N417" s="150">
        <f t="shared" si="141"/>
        <v>0</v>
      </c>
      <c r="O417" s="193">
        <f t="shared" si="141"/>
        <v>0</v>
      </c>
      <c r="P417" s="162">
        <f t="shared" si="142"/>
        <v>0</v>
      </c>
      <c r="Q417" s="162">
        <f t="shared" si="142"/>
        <v>0</v>
      </c>
      <c r="R417" s="162">
        <f t="shared" si="142"/>
        <v>0</v>
      </c>
      <c r="S417" s="162">
        <f t="shared" si="142"/>
        <v>0</v>
      </c>
      <c r="T417" s="162">
        <f t="shared" si="142"/>
        <v>0</v>
      </c>
      <c r="U417" s="162">
        <f t="shared" si="142"/>
        <v>0</v>
      </c>
      <c r="V417" s="162">
        <f t="shared" si="142"/>
        <v>0</v>
      </c>
      <c r="W417" s="162">
        <f t="shared" si="142"/>
        <v>0</v>
      </c>
      <c r="X417" s="162">
        <f t="shared" si="142"/>
        <v>0</v>
      </c>
      <c r="Y417" s="162">
        <f t="shared" si="142"/>
        <v>0</v>
      </c>
      <c r="Z417" s="162">
        <f t="shared" si="142"/>
        <v>0</v>
      </c>
      <c r="AA417" s="162">
        <f t="shared" si="142"/>
        <v>0</v>
      </c>
      <c r="AB417" s="163">
        <f t="shared" si="131"/>
        <v>0</v>
      </c>
      <c r="AC417" s="198"/>
      <c r="AE417" s="194" t="str">
        <f t="shared" si="132"/>
        <v/>
      </c>
      <c r="AF417" s="161">
        <f t="shared" si="143"/>
        <v>0</v>
      </c>
      <c r="AG417" s="162">
        <f t="shared" si="143"/>
        <v>0</v>
      </c>
      <c r="AH417" s="162">
        <f t="shared" si="143"/>
        <v>0</v>
      </c>
      <c r="AI417" s="162">
        <f t="shared" si="143"/>
        <v>0</v>
      </c>
      <c r="AJ417" s="162">
        <f t="shared" si="143"/>
        <v>0</v>
      </c>
      <c r="AK417" s="162">
        <f t="shared" si="143"/>
        <v>0</v>
      </c>
      <c r="AL417" s="162">
        <f t="shared" si="143"/>
        <v>0</v>
      </c>
      <c r="AM417" s="162">
        <f t="shared" si="143"/>
        <v>0</v>
      </c>
      <c r="AN417" s="162">
        <f t="shared" si="143"/>
        <v>0</v>
      </c>
      <c r="AO417" s="162">
        <f t="shared" si="143"/>
        <v>0</v>
      </c>
      <c r="AP417" s="162">
        <f t="shared" si="143"/>
        <v>0</v>
      </c>
      <c r="AQ417" s="162">
        <f t="shared" si="143"/>
        <v>0</v>
      </c>
      <c r="AR417" s="163">
        <f t="shared" si="134"/>
        <v>0</v>
      </c>
      <c r="AT417" s="208">
        <f>IFERROR(VLOOKUP(J417,#REF!,10,0),0)</f>
        <v>0</v>
      </c>
    </row>
    <row r="418" spans="1:46" hidden="1" outlineLevel="1" x14ac:dyDescent="0.25">
      <c r="A418" s="14" t="str">
        <f t="shared" si="139"/>
        <v>PROP_OPER__40</v>
      </c>
      <c r="B418" s="15" t="str">
        <f t="shared" si="127"/>
        <v>PROP_OPER__0_0</v>
      </c>
      <c r="D418" s="15">
        <v>1</v>
      </c>
      <c r="E418" s="15">
        <v>40</v>
      </c>
      <c r="F418" s="190">
        <f t="shared" si="140"/>
        <v>0</v>
      </c>
      <c r="G418" s="149" t="str">
        <f t="shared" si="140"/>
        <v/>
      </c>
      <c r="H418" s="150" t="str">
        <f t="shared" si="140"/>
        <v/>
      </c>
      <c r="I418" s="150">
        <f t="shared" si="140"/>
        <v>0</v>
      </c>
      <c r="J418" s="150">
        <f t="shared" si="140"/>
        <v>0</v>
      </c>
      <c r="K418" s="196"/>
      <c r="L418" s="197"/>
      <c r="M418" s="191">
        <f t="shared" si="141"/>
        <v>0</v>
      </c>
      <c r="N418" s="150">
        <f t="shared" si="141"/>
        <v>0</v>
      </c>
      <c r="O418" s="193">
        <f t="shared" si="141"/>
        <v>0</v>
      </c>
      <c r="P418" s="162">
        <f t="shared" si="142"/>
        <v>0</v>
      </c>
      <c r="Q418" s="162">
        <f t="shared" si="142"/>
        <v>0</v>
      </c>
      <c r="R418" s="162">
        <f t="shared" si="142"/>
        <v>0</v>
      </c>
      <c r="S418" s="162">
        <f t="shared" si="142"/>
        <v>0</v>
      </c>
      <c r="T418" s="162">
        <f t="shared" si="142"/>
        <v>0</v>
      </c>
      <c r="U418" s="162">
        <f t="shared" si="142"/>
        <v>0</v>
      </c>
      <c r="V418" s="162">
        <f t="shared" si="142"/>
        <v>0</v>
      </c>
      <c r="W418" s="162">
        <f t="shared" si="142"/>
        <v>0</v>
      </c>
      <c r="X418" s="162">
        <f t="shared" si="142"/>
        <v>0</v>
      </c>
      <c r="Y418" s="162">
        <f t="shared" si="142"/>
        <v>0</v>
      </c>
      <c r="Z418" s="162">
        <f t="shared" si="142"/>
        <v>0</v>
      </c>
      <c r="AA418" s="162">
        <f t="shared" si="142"/>
        <v>0</v>
      </c>
      <c r="AB418" s="163">
        <f t="shared" si="131"/>
        <v>0</v>
      </c>
      <c r="AC418" s="198"/>
      <c r="AE418" s="194" t="str">
        <f t="shared" si="132"/>
        <v/>
      </c>
      <c r="AF418" s="161">
        <f t="shared" si="143"/>
        <v>0</v>
      </c>
      <c r="AG418" s="162">
        <f t="shared" si="143"/>
        <v>0</v>
      </c>
      <c r="AH418" s="162">
        <f t="shared" si="143"/>
        <v>0</v>
      </c>
      <c r="AI418" s="162">
        <f t="shared" si="143"/>
        <v>0</v>
      </c>
      <c r="AJ418" s="162">
        <f t="shared" si="143"/>
        <v>0</v>
      </c>
      <c r="AK418" s="162">
        <f t="shared" si="143"/>
        <v>0</v>
      </c>
      <c r="AL418" s="162">
        <f t="shared" si="143"/>
        <v>0</v>
      </c>
      <c r="AM418" s="162">
        <f t="shared" si="143"/>
        <v>0</v>
      </c>
      <c r="AN418" s="162">
        <f t="shared" si="143"/>
        <v>0</v>
      </c>
      <c r="AO418" s="162">
        <f t="shared" si="143"/>
        <v>0</v>
      </c>
      <c r="AP418" s="162">
        <f t="shared" si="143"/>
        <v>0</v>
      </c>
      <c r="AQ418" s="162">
        <f t="shared" si="143"/>
        <v>0</v>
      </c>
      <c r="AR418" s="163">
        <f t="shared" si="134"/>
        <v>0</v>
      </c>
      <c r="AT418" s="208">
        <f>IFERROR(VLOOKUP(J418,#REF!,10,0),0)</f>
        <v>0</v>
      </c>
    </row>
    <row r="419" spans="1:46" hidden="1" outlineLevel="1" x14ac:dyDescent="0.25">
      <c r="A419" s="14" t="str">
        <f t="shared" si="139"/>
        <v>PROP_OPER__41</v>
      </c>
      <c r="B419" s="15" t="str">
        <f t="shared" si="127"/>
        <v>PROP_OPER__0_0</v>
      </c>
      <c r="D419" s="15">
        <v>1</v>
      </c>
      <c r="E419" s="15">
        <v>41</v>
      </c>
      <c r="F419" s="190">
        <f t="shared" si="140"/>
        <v>0</v>
      </c>
      <c r="G419" s="149" t="str">
        <f t="shared" si="140"/>
        <v/>
      </c>
      <c r="H419" s="150" t="str">
        <f t="shared" si="140"/>
        <v/>
      </c>
      <c r="I419" s="150">
        <f t="shared" si="140"/>
        <v>0</v>
      </c>
      <c r="J419" s="150">
        <f t="shared" si="140"/>
        <v>0</v>
      </c>
      <c r="K419" s="196"/>
      <c r="L419" s="197"/>
      <c r="M419" s="191">
        <f t="shared" si="141"/>
        <v>0</v>
      </c>
      <c r="N419" s="150">
        <f t="shared" si="141"/>
        <v>0</v>
      </c>
      <c r="O419" s="193">
        <f t="shared" si="141"/>
        <v>0</v>
      </c>
      <c r="P419" s="162">
        <f t="shared" si="142"/>
        <v>0</v>
      </c>
      <c r="Q419" s="162">
        <f t="shared" si="142"/>
        <v>0</v>
      </c>
      <c r="R419" s="162">
        <f t="shared" si="142"/>
        <v>0</v>
      </c>
      <c r="S419" s="162">
        <f t="shared" si="142"/>
        <v>0</v>
      </c>
      <c r="T419" s="162">
        <f t="shared" si="142"/>
        <v>0</v>
      </c>
      <c r="U419" s="162">
        <f t="shared" si="142"/>
        <v>0</v>
      </c>
      <c r="V419" s="162">
        <f t="shared" si="142"/>
        <v>0</v>
      </c>
      <c r="W419" s="162">
        <f t="shared" si="142"/>
        <v>0</v>
      </c>
      <c r="X419" s="162">
        <f t="shared" si="142"/>
        <v>0</v>
      </c>
      <c r="Y419" s="162">
        <f t="shared" si="142"/>
        <v>0</v>
      </c>
      <c r="Z419" s="162">
        <f t="shared" si="142"/>
        <v>0</v>
      </c>
      <c r="AA419" s="162">
        <f t="shared" si="142"/>
        <v>0</v>
      </c>
      <c r="AB419" s="163">
        <f t="shared" si="131"/>
        <v>0</v>
      </c>
      <c r="AC419" s="198"/>
      <c r="AE419" s="194" t="str">
        <f t="shared" si="132"/>
        <v/>
      </c>
      <c r="AF419" s="161">
        <f t="shared" si="143"/>
        <v>0</v>
      </c>
      <c r="AG419" s="162">
        <f t="shared" si="143"/>
        <v>0</v>
      </c>
      <c r="AH419" s="162">
        <f t="shared" si="143"/>
        <v>0</v>
      </c>
      <c r="AI419" s="162">
        <f t="shared" si="143"/>
        <v>0</v>
      </c>
      <c r="AJ419" s="162">
        <f t="shared" si="143"/>
        <v>0</v>
      </c>
      <c r="AK419" s="162">
        <f t="shared" si="143"/>
        <v>0</v>
      </c>
      <c r="AL419" s="162">
        <f t="shared" si="143"/>
        <v>0</v>
      </c>
      <c r="AM419" s="162">
        <f t="shared" si="143"/>
        <v>0</v>
      </c>
      <c r="AN419" s="162">
        <f t="shared" si="143"/>
        <v>0</v>
      </c>
      <c r="AO419" s="162">
        <f t="shared" si="143"/>
        <v>0</v>
      </c>
      <c r="AP419" s="162">
        <f t="shared" si="143"/>
        <v>0</v>
      </c>
      <c r="AQ419" s="162">
        <f t="shared" si="143"/>
        <v>0</v>
      </c>
      <c r="AR419" s="163">
        <f t="shared" si="134"/>
        <v>0</v>
      </c>
      <c r="AT419" s="208">
        <f>IFERROR(VLOOKUP(J419,#REF!,10,0),0)</f>
        <v>0</v>
      </c>
    </row>
    <row r="420" spans="1:46" hidden="1" outlineLevel="1" x14ac:dyDescent="0.25">
      <c r="A420" s="14" t="str">
        <f t="shared" si="139"/>
        <v>PROP_OPER__42</v>
      </c>
      <c r="B420" s="15" t="str">
        <f t="shared" si="127"/>
        <v>PROP_OPER__0_0</v>
      </c>
      <c r="D420" s="15">
        <v>1</v>
      </c>
      <c r="E420" s="15">
        <v>42</v>
      </c>
      <c r="F420" s="190">
        <f t="shared" si="140"/>
        <v>0</v>
      </c>
      <c r="G420" s="149" t="str">
        <f t="shared" si="140"/>
        <v/>
      </c>
      <c r="H420" s="150" t="str">
        <f t="shared" si="140"/>
        <v/>
      </c>
      <c r="I420" s="150">
        <f t="shared" si="140"/>
        <v>0</v>
      </c>
      <c r="J420" s="150">
        <f t="shared" si="140"/>
        <v>0</v>
      </c>
      <c r="K420" s="196"/>
      <c r="L420" s="197"/>
      <c r="M420" s="191">
        <f t="shared" si="141"/>
        <v>0</v>
      </c>
      <c r="N420" s="150">
        <f t="shared" si="141"/>
        <v>0</v>
      </c>
      <c r="O420" s="193">
        <f t="shared" si="141"/>
        <v>0</v>
      </c>
      <c r="P420" s="162">
        <f t="shared" si="142"/>
        <v>0</v>
      </c>
      <c r="Q420" s="162">
        <f t="shared" si="142"/>
        <v>0</v>
      </c>
      <c r="R420" s="162">
        <f t="shared" si="142"/>
        <v>0</v>
      </c>
      <c r="S420" s="162">
        <f t="shared" si="142"/>
        <v>0</v>
      </c>
      <c r="T420" s="162">
        <f t="shared" si="142"/>
        <v>0</v>
      </c>
      <c r="U420" s="162">
        <f t="shared" si="142"/>
        <v>0</v>
      </c>
      <c r="V420" s="162">
        <f t="shared" si="142"/>
        <v>0</v>
      </c>
      <c r="W420" s="162">
        <f t="shared" si="142"/>
        <v>0</v>
      </c>
      <c r="X420" s="162">
        <f t="shared" si="142"/>
        <v>0</v>
      </c>
      <c r="Y420" s="162">
        <f t="shared" si="142"/>
        <v>0</v>
      </c>
      <c r="Z420" s="162">
        <f t="shared" si="142"/>
        <v>0</v>
      </c>
      <c r="AA420" s="162">
        <f t="shared" si="142"/>
        <v>0</v>
      </c>
      <c r="AB420" s="163">
        <f t="shared" si="131"/>
        <v>0</v>
      </c>
      <c r="AC420" s="198"/>
      <c r="AE420" s="194" t="str">
        <f t="shared" si="132"/>
        <v/>
      </c>
      <c r="AF420" s="161">
        <f t="shared" si="143"/>
        <v>0</v>
      </c>
      <c r="AG420" s="162">
        <f t="shared" si="143"/>
        <v>0</v>
      </c>
      <c r="AH420" s="162">
        <f t="shared" si="143"/>
        <v>0</v>
      </c>
      <c r="AI420" s="162">
        <f t="shared" si="143"/>
        <v>0</v>
      </c>
      <c r="AJ420" s="162">
        <f t="shared" si="143"/>
        <v>0</v>
      </c>
      <c r="AK420" s="162">
        <f t="shared" si="143"/>
        <v>0</v>
      </c>
      <c r="AL420" s="162">
        <f t="shared" si="143"/>
        <v>0</v>
      </c>
      <c r="AM420" s="162">
        <f t="shared" si="143"/>
        <v>0</v>
      </c>
      <c r="AN420" s="162">
        <f t="shared" si="143"/>
        <v>0</v>
      </c>
      <c r="AO420" s="162">
        <f t="shared" si="143"/>
        <v>0</v>
      </c>
      <c r="AP420" s="162">
        <f t="shared" si="143"/>
        <v>0</v>
      </c>
      <c r="AQ420" s="162">
        <f t="shared" si="143"/>
        <v>0</v>
      </c>
      <c r="AR420" s="163">
        <f t="shared" si="134"/>
        <v>0</v>
      </c>
      <c r="AT420" s="208">
        <f>IFERROR(VLOOKUP(J420,#REF!,10,0),0)</f>
        <v>0</v>
      </c>
    </row>
    <row r="421" spans="1:46" hidden="1" outlineLevel="1" x14ac:dyDescent="0.25">
      <c r="A421" s="14" t="str">
        <f t="shared" si="139"/>
        <v>PROP_OPER__43</v>
      </c>
      <c r="B421" s="15" t="str">
        <f t="shared" si="127"/>
        <v>PROP_OPER__0_0</v>
      </c>
      <c r="D421" s="15">
        <v>1</v>
      </c>
      <c r="E421" s="15">
        <v>43</v>
      </c>
      <c r="F421" s="190">
        <f t="shared" si="140"/>
        <v>0</v>
      </c>
      <c r="G421" s="149" t="str">
        <f t="shared" si="140"/>
        <v/>
      </c>
      <c r="H421" s="150" t="str">
        <f t="shared" si="140"/>
        <v/>
      </c>
      <c r="I421" s="150">
        <f t="shared" si="140"/>
        <v>0</v>
      </c>
      <c r="J421" s="150">
        <f t="shared" si="140"/>
        <v>0</v>
      </c>
      <c r="K421" s="196"/>
      <c r="L421" s="197"/>
      <c r="M421" s="191">
        <f t="shared" si="141"/>
        <v>0</v>
      </c>
      <c r="N421" s="150">
        <f t="shared" si="141"/>
        <v>0</v>
      </c>
      <c r="O421" s="193">
        <f t="shared" si="141"/>
        <v>0</v>
      </c>
      <c r="P421" s="162">
        <f t="shared" si="142"/>
        <v>0</v>
      </c>
      <c r="Q421" s="162">
        <f t="shared" si="142"/>
        <v>0</v>
      </c>
      <c r="R421" s="162">
        <f t="shared" si="142"/>
        <v>0</v>
      </c>
      <c r="S421" s="162">
        <f t="shared" si="142"/>
        <v>0</v>
      </c>
      <c r="T421" s="162">
        <f t="shared" si="142"/>
        <v>0</v>
      </c>
      <c r="U421" s="162">
        <f t="shared" si="142"/>
        <v>0</v>
      </c>
      <c r="V421" s="162">
        <f t="shared" si="142"/>
        <v>0</v>
      </c>
      <c r="W421" s="162">
        <f t="shared" si="142"/>
        <v>0</v>
      </c>
      <c r="X421" s="162">
        <f t="shared" si="142"/>
        <v>0</v>
      </c>
      <c r="Y421" s="162">
        <f t="shared" si="142"/>
        <v>0</v>
      </c>
      <c r="Z421" s="162">
        <f t="shared" si="142"/>
        <v>0</v>
      </c>
      <c r="AA421" s="162">
        <f t="shared" si="142"/>
        <v>0</v>
      </c>
      <c r="AB421" s="163">
        <f t="shared" si="131"/>
        <v>0</v>
      </c>
      <c r="AC421" s="198"/>
      <c r="AE421" s="194" t="str">
        <f t="shared" si="132"/>
        <v/>
      </c>
      <c r="AF421" s="161">
        <f t="shared" si="143"/>
        <v>0</v>
      </c>
      <c r="AG421" s="162">
        <f t="shared" si="143"/>
        <v>0</v>
      </c>
      <c r="AH421" s="162">
        <f t="shared" si="143"/>
        <v>0</v>
      </c>
      <c r="AI421" s="162">
        <f t="shared" si="143"/>
        <v>0</v>
      </c>
      <c r="AJ421" s="162">
        <f t="shared" si="143"/>
        <v>0</v>
      </c>
      <c r="AK421" s="162">
        <f t="shared" si="143"/>
        <v>0</v>
      </c>
      <c r="AL421" s="162">
        <f t="shared" si="143"/>
        <v>0</v>
      </c>
      <c r="AM421" s="162">
        <f t="shared" si="143"/>
        <v>0</v>
      </c>
      <c r="AN421" s="162">
        <f t="shared" si="143"/>
        <v>0</v>
      </c>
      <c r="AO421" s="162">
        <f t="shared" si="143"/>
        <v>0</v>
      </c>
      <c r="AP421" s="162">
        <f t="shared" si="143"/>
        <v>0</v>
      </c>
      <c r="AQ421" s="162">
        <f t="shared" si="143"/>
        <v>0</v>
      </c>
      <c r="AR421" s="163">
        <f t="shared" si="134"/>
        <v>0</v>
      </c>
      <c r="AT421" s="208">
        <f>IFERROR(VLOOKUP(J421,#REF!,10,0),0)</f>
        <v>0</v>
      </c>
    </row>
    <row r="422" spans="1:46" hidden="1" outlineLevel="1" x14ac:dyDescent="0.25">
      <c r="A422" s="14" t="str">
        <f t="shared" si="139"/>
        <v>PROP_OPER__44</v>
      </c>
      <c r="B422" s="15" t="str">
        <f t="shared" si="127"/>
        <v>PROP_OPER__0_0</v>
      </c>
      <c r="D422" s="15">
        <v>1</v>
      </c>
      <c r="E422" s="15">
        <v>44</v>
      </c>
      <c r="F422" s="190">
        <f t="shared" si="140"/>
        <v>0</v>
      </c>
      <c r="G422" s="149" t="str">
        <f t="shared" si="140"/>
        <v/>
      </c>
      <c r="H422" s="150" t="str">
        <f t="shared" si="140"/>
        <v/>
      </c>
      <c r="I422" s="150">
        <f t="shared" si="140"/>
        <v>0</v>
      </c>
      <c r="J422" s="150">
        <f t="shared" si="140"/>
        <v>0</v>
      </c>
      <c r="K422" s="196"/>
      <c r="L422" s="197"/>
      <c r="M422" s="191">
        <f t="shared" si="141"/>
        <v>0</v>
      </c>
      <c r="N422" s="150">
        <f t="shared" si="141"/>
        <v>0</v>
      </c>
      <c r="O422" s="193">
        <f t="shared" si="141"/>
        <v>0</v>
      </c>
      <c r="P422" s="162">
        <f t="shared" si="142"/>
        <v>0</v>
      </c>
      <c r="Q422" s="162">
        <f t="shared" si="142"/>
        <v>0</v>
      </c>
      <c r="R422" s="162">
        <f t="shared" si="142"/>
        <v>0</v>
      </c>
      <c r="S422" s="162">
        <f t="shared" si="142"/>
        <v>0</v>
      </c>
      <c r="T422" s="162">
        <f t="shared" si="142"/>
        <v>0</v>
      </c>
      <c r="U422" s="162">
        <f t="shared" si="142"/>
        <v>0</v>
      </c>
      <c r="V422" s="162">
        <f t="shared" si="142"/>
        <v>0</v>
      </c>
      <c r="W422" s="162">
        <f t="shared" si="142"/>
        <v>0</v>
      </c>
      <c r="X422" s="162">
        <f t="shared" si="142"/>
        <v>0</v>
      </c>
      <c r="Y422" s="162">
        <f t="shared" si="142"/>
        <v>0</v>
      </c>
      <c r="Z422" s="162">
        <f t="shared" si="142"/>
        <v>0</v>
      </c>
      <c r="AA422" s="162">
        <f t="shared" si="142"/>
        <v>0</v>
      </c>
      <c r="AB422" s="163">
        <f t="shared" si="131"/>
        <v>0</v>
      </c>
      <c r="AC422" s="198"/>
      <c r="AE422" s="194" t="str">
        <f t="shared" si="132"/>
        <v/>
      </c>
      <c r="AF422" s="161">
        <f t="shared" si="143"/>
        <v>0</v>
      </c>
      <c r="AG422" s="162">
        <f t="shared" si="143"/>
        <v>0</v>
      </c>
      <c r="AH422" s="162">
        <f t="shared" si="143"/>
        <v>0</v>
      </c>
      <c r="AI422" s="162">
        <f t="shared" si="143"/>
        <v>0</v>
      </c>
      <c r="AJ422" s="162">
        <f t="shared" si="143"/>
        <v>0</v>
      </c>
      <c r="AK422" s="162">
        <f t="shared" si="143"/>
        <v>0</v>
      </c>
      <c r="AL422" s="162">
        <f t="shared" si="143"/>
        <v>0</v>
      </c>
      <c r="AM422" s="162">
        <f t="shared" si="143"/>
        <v>0</v>
      </c>
      <c r="AN422" s="162">
        <f t="shared" si="143"/>
        <v>0</v>
      </c>
      <c r="AO422" s="162">
        <f t="shared" si="143"/>
        <v>0</v>
      </c>
      <c r="AP422" s="162">
        <f t="shared" si="143"/>
        <v>0</v>
      </c>
      <c r="AQ422" s="162">
        <f t="shared" si="143"/>
        <v>0</v>
      </c>
      <c r="AR422" s="163">
        <f t="shared" si="134"/>
        <v>0</v>
      </c>
      <c r="AT422" s="208">
        <f>IFERROR(VLOOKUP(J422,#REF!,10,0),0)</f>
        <v>0</v>
      </c>
    </row>
    <row r="423" spans="1:46" hidden="1" outlineLevel="1" x14ac:dyDescent="0.25">
      <c r="A423" s="14" t="str">
        <f t="shared" si="139"/>
        <v>PROP_OPER__45</v>
      </c>
      <c r="B423" s="15" t="str">
        <f t="shared" si="127"/>
        <v>PROP_OPER__0_0</v>
      </c>
      <c r="D423" s="15">
        <v>1</v>
      </c>
      <c r="E423" s="15">
        <v>45</v>
      </c>
      <c r="F423" s="209">
        <f t="shared" si="140"/>
        <v>0</v>
      </c>
      <c r="G423" s="183" t="str">
        <f t="shared" si="140"/>
        <v/>
      </c>
      <c r="H423" s="184" t="str">
        <f t="shared" si="140"/>
        <v/>
      </c>
      <c r="I423" s="184">
        <f t="shared" si="140"/>
        <v>0</v>
      </c>
      <c r="J423" s="184">
        <f t="shared" si="140"/>
        <v>0</v>
      </c>
      <c r="K423" s="210"/>
      <c r="L423" s="211"/>
      <c r="M423" s="212">
        <f t="shared" si="141"/>
        <v>0</v>
      </c>
      <c r="N423" s="184">
        <f t="shared" si="141"/>
        <v>0</v>
      </c>
      <c r="O423" s="213">
        <f t="shared" si="141"/>
        <v>0</v>
      </c>
      <c r="P423" s="175">
        <f t="shared" si="142"/>
        <v>0</v>
      </c>
      <c r="Q423" s="175">
        <f t="shared" si="142"/>
        <v>0</v>
      </c>
      <c r="R423" s="175">
        <f t="shared" si="142"/>
        <v>0</v>
      </c>
      <c r="S423" s="175">
        <f t="shared" si="142"/>
        <v>0</v>
      </c>
      <c r="T423" s="175">
        <f t="shared" si="142"/>
        <v>0</v>
      </c>
      <c r="U423" s="175">
        <f t="shared" si="142"/>
        <v>0</v>
      </c>
      <c r="V423" s="175">
        <f t="shared" si="142"/>
        <v>0</v>
      </c>
      <c r="W423" s="175">
        <f t="shared" si="142"/>
        <v>0</v>
      </c>
      <c r="X423" s="175">
        <f t="shared" si="142"/>
        <v>0</v>
      </c>
      <c r="Y423" s="175">
        <f t="shared" si="142"/>
        <v>0</v>
      </c>
      <c r="Z423" s="175">
        <f t="shared" si="142"/>
        <v>0</v>
      </c>
      <c r="AA423" s="175">
        <f t="shared" si="142"/>
        <v>0</v>
      </c>
      <c r="AB423" s="176">
        <f t="shared" si="131"/>
        <v>0</v>
      </c>
      <c r="AC423" s="172"/>
      <c r="AE423" s="195" t="str">
        <f t="shared" si="132"/>
        <v/>
      </c>
      <c r="AF423" s="174">
        <f t="shared" si="143"/>
        <v>0</v>
      </c>
      <c r="AG423" s="175">
        <f t="shared" si="143"/>
        <v>0</v>
      </c>
      <c r="AH423" s="175">
        <f t="shared" si="143"/>
        <v>0</v>
      </c>
      <c r="AI423" s="175">
        <f t="shared" si="143"/>
        <v>0</v>
      </c>
      <c r="AJ423" s="175">
        <f t="shared" si="143"/>
        <v>0</v>
      </c>
      <c r="AK423" s="175">
        <f t="shared" si="143"/>
        <v>0</v>
      </c>
      <c r="AL423" s="175">
        <f t="shared" si="143"/>
        <v>0</v>
      </c>
      <c r="AM423" s="175">
        <f t="shared" si="143"/>
        <v>0</v>
      </c>
      <c r="AN423" s="175">
        <f t="shared" si="143"/>
        <v>0</v>
      </c>
      <c r="AO423" s="175">
        <f t="shared" si="143"/>
        <v>0</v>
      </c>
      <c r="AP423" s="175">
        <f t="shared" si="143"/>
        <v>0</v>
      </c>
      <c r="AQ423" s="175">
        <f t="shared" si="143"/>
        <v>0</v>
      </c>
      <c r="AR423" s="176">
        <f t="shared" si="134"/>
        <v>0</v>
      </c>
      <c r="AT423" s="208">
        <f>IFERROR(VLOOKUP(J423,#REF!,10,0),0)</f>
        <v>0</v>
      </c>
    </row>
    <row r="424" spans="1:46" hidden="1" outlineLevel="1" x14ac:dyDescent="0.25">
      <c r="A424" s="14" t="str">
        <f t="shared" si="139"/>
        <v>PROP_OPER__</v>
      </c>
      <c r="F424" s="137" t="s">
        <v>254</v>
      </c>
      <c r="G424" s="138"/>
      <c r="H424" s="139" t="s">
        <v>217</v>
      </c>
      <c r="I424" s="139"/>
      <c r="J424" s="139" t="s">
        <v>229</v>
      </c>
      <c r="K424" s="140"/>
      <c r="L424" s="141"/>
      <c r="M424" s="142" t="s">
        <v>220</v>
      </c>
      <c r="N424" s="139" t="s">
        <v>221</v>
      </c>
      <c r="O424" s="143" t="s">
        <v>222</v>
      </c>
      <c r="P424" s="35">
        <f t="shared" ref="P424:AA424" si="144">P$9</f>
        <v>46113</v>
      </c>
      <c r="Q424" s="35">
        <f t="shared" si="144"/>
        <v>46143</v>
      </c>
      <c r="R424" s="35">
        <f t="shared" si="144"/>
        <v>46174</v>
      </c>
      <c r="S424" s="35">
        <f t="shared" si="144"/>
        <v>46204</v>
      </c>
      <c r="T424" s="35">
        <f t="shared" si="144"/>
        <v>46235</v>
      </c>
      <c r="U424" s="35">
        <f t="shared" si="144"/>
        <v>46266</v>
      </c>
      <c r="V424" s="35">
        <f t="shared" si="144"/>
        <v>46296</v>
      </c>
      <c r="W424" s="35">
        <f t="shared" si="144"/>
        <v>46327</v>
      </c>
      <c r="X424" s="35">
        <f t="shared" si="144"/>
        <v>46357</v>
      </c>
      <c r="Y424" s="35">
        <f t="shared" si="144"/>
        <v>46388</v>
      </c>
      <c r="Z424" s="35">
        <f t="shared" si="144"/>
        <v>46419</v>
      </c>
      <c r="AA424" s="35">
        <f t="shared" si="144"/>
        <v>46447</v>
      </c>
      <c r="AB424" s="81" t="s">
        <v>223</v>
      </c>
      <c r="AC424" s="82" t="s">
        <v>192</v>
      </c>
      <c r="AE424" s="189" t="str">
        <f>"Qtde Recursos em: "&amp;F424</f>
        <v>Qtde Recursos em: PREPARO DE SOLO - FORNECEDOR</v>
      </c>
      <c r="AF424" s="147">
        <f>P424</f>
        <v>46113</v>
      </c>
      <c r="AG424" s="35">
        <f t="shared" ref="AG424:AQ424" si="145">Q424</f>
        <v>46143</v>
      </c>
      <c r="AH424" s="35">
        <f t="shared" si="145"/>
        <v>46174</v>
      </c>
      <c r="AI424" s="35">
        <f t="shared" si="145"/>
        <v>46204</v>
      </c>
      <c r="AJ424" s="35">
        <f t="shared" si="145"/>
        <v>46235</v>
      </c>
      <c r="AK424" s="35">
        <f t="shared" si="145"/>
        <v>46266</v>
      </c>
      <c r="AL424" s="35">
        <f t="shared" si="145"/>
        <v>46296</v>
      </c>
      <c r="AM424" s="35">
        <f t="shared" si="145"/>
        <v>46327</v>
      </c>
      <c r="AN424" s="35">
        <f t="shared" si="145"/>
        <v>46357</v>
      </c>
      <c r="AO424" s="35">
        <f t="shared" si="145"/>
        <v>46388</v>
      </c>
      <c r="AP424" s="35">
        <f t="shared" si="145"/>
        <v>46419</v>
      </c>
      <c r="AQ424" s="35">
        <f t="shared" si="145"/>
        <v>46447</v>
      </c>
      <c r="AR424" s="81" t="s">
        <v>223</v>
      </c>
      <c r="AT424" s="189" t="s">
        <v>258</v>
      </c>
    </row>
    <row r="425" spans="1:46" hidden="1" outlineLevel="1" x14ac:dyDescent="0.25">
      <c r="A425" s="14" t="str">
        <f t="shared" si="139"/>
        <v>PROP_OPER__1</v>
      </c>
      <c r="B425" s="15" t="str">
        <f t="shared" ref="B425:B469" si="146">"PROP_OPER_"&amp;C425&amp;"_"&amp;F425&amp;"_"&amp;J425</f>
        <v>PROP_OPER__1096_1</v>
      </c>
      <c r="D425" s="15">
        <v>1</v>
      </c>
      <c r="E425" s="15">
        <v>1</v>
      </c>
      <c r="F425" s="190">
        <f t="shared" ref="F425:J440" si="147">F379</f>
        <v>1096</v>
      </c>
      <c r="G425" s="149" t="str">
        <f t="shared" si="147"/>
        <v xml:space="preserve">PRÉ PLANTIO INCORPORADO (PPI) </v>
      </c>
      <c r="H425" s="150" t="str">
        <f t="shared" si="147"/>
        <v>HA</v>
      </c>
      <c r="I425" s="150" t="str">
        <f t="shared" si="147"/>
        <v>PREPSP</v>
      </c>
      <c r="J425" s="150">
        <f t="shared" si="147"/>
        <v>1</v>
      </c>
      <c r="K425" s="196"/>
      <c r="L425" s="197"/>
      <c r="M425" s="191">
        <f t="shared" ref="M425:O440" si="148">M379</f>
        <v>0</v>
      </c>
      <c r="N425" s="150">
        <f t="shared" si="148"/>
        <v>0</v>
      </c>
      <c r="O425" s="193">
        <f t="shared" si="148"/>
        <v>1</v>
      </c>
      <c r="P425" s="162">
        <f t="shared" ref="P425:AA440" si="149">IFERROR(SUMIF($B$16:$B$43,$C425&amp;$I425,P$16:P$43)/SUMIF($D$16:$D$43,$I425,P$16:P$43)*P94,0)</f>
        <v>0</v>
      </c>
      <c r="Q425" s="162">
        <f t="shared" si="149"/>
        <v>0</v>
      </c>
      <c r="R425" s="162">
        <f t="shared" si="149"/>
        <v>0</v>
      </c>
      <c r="S425" s="162">
        <f t="shared" si="149"/>
        <v>0</v>
      </c>
      <c r="T425" s="162">
        <f t="shared" si="149"/>
        <v>0</v>
      </c>
      <c r="U425" s="162">
        <f t="shared" si="149"/>
        <v>0</v>
      </c>
      <c r="V425" s="162">
        <f t="shared" si="149"/>
        <v>0</v>
      </c>
      <c r="W425" s="162">
        <f t="shared" si="149"/>
        <v>0</v>
      </c>
      <c r="X425" s="162">
        <f t="shared" si="149"/>
        <v>0</v>
      </c>
      <c r="Y425" s="162">
        <f t="shared" si="149"/>
        <v>0</v>
      </c>
      <c r="Z425" s="162">
        <f t="shared" si="149"/>
        <v>0</v>
      </c>
      <c r="AA425" s="162">
        <f t="shared" si="149"/>
        <v>0</v>
      </c>
      <c r="AB425" s="163">
        <f t="shared" ref="AB425:AB469" si="150">SUM(P425:AA425)</f>
        <v>0</v>
      </c>
      <c r="AC425" s="198"/>
      <c r="AE425" s="194" t="e">
        <f t="shared" ref="AE425:AE469" si="151">AE379</f>
        <v>#REF!</v>
      </c>
      <c r="AF425" s="161">
        <f t="shared" ref="AF425:AQ440" si="152">IFERROR(SUMIF($B$16:$B$43,$C425&amp;$I425,P$16:P$43)/SUMIF($D$16:$D$43,$I425,P$16:P$43)*AF94,0)</f>
        <v>0</v>
      </c>
      <c r="AG425" s="162">
        <f t="shared" si="152"/>
        <v>0</v>
      </c>
      <c r="AH425" s="162">
        <f t="shared" si="152"/>
        <v>0</v>
      </c>
      <c r="AI425" s="162">
        <f t="shared" si="152"/>
        <v>0</v>
      </c>
      <c r="AJ425" s="162">
        <f t="shared" si="152"/>
        <v>0</v>
      </c>
      <c r="AK425" s="162">
        <f t="shared" si="152"/>
        <v>0</v>
      </c>
      <c r="AL425" s="162">
        <f t="shared" si="152"/>
        <v>0</v>
      </c>
      <c r="AM425" s="162">
        <f t="shared" si="152"/>
        <v>0</v>
      </c>
      <c r="AN425" s="162">
        <f t="shared" si="152"/>
        <v>0</v>
      </c>
      <c r="AO425" s="162">
        <f t="shared" si="152"/>
        <v>0</v>
      </c>
      <c r="AP425" s="162">
        <f t="shared" si="152"/>
        <v>0</v>
      </c>
      <c r="AQ425" s="162">
        <f t="shared" si="152"/>
        <v>0</v>
      </c>
      <c r="AR425" s="163">
        <f t="shared" ref="AR425:AR469" si="153">SUM(AF425:AQ425)</f>
        <v>0</v>
      </c>
      <c r="AT425" s="208">
        <f>IFERROR(VLOOKUP(J425,#REF!,10,0),0)</f>
        <v>0</v>
      </c>
    </row>
    <row r="426" spans="1:46" hidden="1" outlineLevel="1" x14ac:dyDescent="0.25">
      <c r="A426" s="14" t="str">
        <f t="shared" si="139"/>
        <v>PROP_OPER__2</v>
      </c>
      <c r="B426" s="15" t="str">
        <f t="shared" si="146"/>
        <v>PROP_OPER__1079_1</v>
      </c>
      <c r="D426" s="15">
        <v>1</v>
      </c>
      <c r="E426" s="15">
        <v>2</v>
      </c>
      <c r="F426" s="190">
        <f t="shared" si="147"/>
        <v>1079</v>
      </c>
      <c r="G426" s="149" t="str">
        <f t="shared" si="147"/>
        <v xml:space="preserve">APLICAÇÃO DESSECAÇÃO          </v>
      </c>
      <c r="H426" s="150" t="str">
        <f t="shared" si="147"/>
        <v>HA</v>
      </c>
      <c r="I426" s="150" t="str">
        <f t="shared" si="147"/>
        <v>PREPSP</v>
      </c>
      <c r="J426" s="150">
        <f t="shared" si="147"/>
        <v>1</v>
      </c>
      <c r="K426" s="196"/>
      <c r="L426" s="197"/>
      <c r="M426" s="191">
        <f t="shared" si="148"/>
        <v>0</v>
      </c>
      <c r="N426" s="150">
        <f t="shared" si="148"/>
        <v>0</v>
      </c>
      <c r="O426" s="193">
        <f t="shared" si="148"/>
        <v>1</v>
      </c>
      <c r="P426" s="162">
        <f t="shared" si="149"/>
        <v>0</v>
      </c>
      <c r="Q426" s="162">
        <f t="shared" si="149"/>
        <v>0</v>
      </c>
      <c r="R426" s="162">
        <f t="shared" si="149"/>
        <v>0</v>
      </c>
      <c r="S426" s="162">
        <f t="shared" si="149"/>
        <v>0</v>
      </c>
      <c r="T426" s="162">
        <f t="shared" si="149"/>
        <v>0</v>
      </c>
      <c r="U426" s="162">
        <f t="shared" si="149"/>
        <v>0</v>
      </c>
      <c r="V426" s="162">
        <f t="shared" si="149"/>
        <v>0</v>
      </c>
      <c r="W426" s="162">
        <f t="shared" si="149"/>
        <v>0</v>
      </c>
      <c r="X426" s="162">
        <f t="shared" si="149"/>
        <v>0</v>
      </c>
      <c r="Y426" s="162">
        <f t="shared" si="149"/>
        <v>0</v>
      </c>
      <c r="Z426" s="162">
        <f t="shared" si="149"/>
        <v>0</v>
      </c>
      <c r="AA426" s="162">
        <f t="shared" si="149"/>
        <v>0</v>
      </c>
      <c r="AB426" s="163">
        <f t="shared" si="150"/>
        <v>0</v>
      </c>
      <c r="AC426" s="198"/>
      <c r="AE426" s="194" t="e">
        <f t="shared" si="151"/>
        <v>#REF!</v>
      </c>
      <c r="AF426" s="161">
        <f t="shared" si="152"/>
        <v>0</v>
      </c>
      <c r="AG426" s="162">
        <f t="shared" si="152"/>
        <v>0</v>
      </c>
      <c r="AH426" s="162">
        <f t="shared" si="152"/>
        <v>0</v>
      </c>
      <c r="AI426" s="162">
        <f t="shared" si="152"/>
        <v>0</v>
      </c>
      <c r="AJ426" s="162">
        <f t="shared" si="152"/>
        <v>0</v>
      </c>
      <c r="AK426" s="162">
        <f t="shared" si="152"/>
        <v>0</v>
      </c>
      <c r="AL426" s="162">
        <f t="shared" si="152"/>
        <v>0</v>
      </c>
      <c r="AM426" s="162">
        <f t="shared" si="152"/>
        <v>0</v>
      </c>
      <c r="AN426" s="162">
        <f t="shared" si="152"/>
        <v>0</v>
      </c>
      <c r="AO426" s="162">
        <f t="shared" si="152"/>
        <v>0</v>
      </c>
      <c r="AP426" s="162">
        <f t="shared" si="152"/>
        <v>0</v>
      </c>
      <c r="AQ426" s="162">
        <f t="shared" si="152"/>
        <v>0</v>
      </c>
      <c r="AR426" s="163">
        <f t="shared" si="153"/>
        <v>0</v>
      </c>
      <c r="AT426" s="208">
        <f>IFERROR(VLOOKUP(J426,#REF!,10,0),0)</f>
        <v>0</v>
      </c>
    </row>
    <row r="427" spans="1:46" hidden="1" outlineLevel="1" x14ac:dyDescent="0.25">
      <c r="A427" s="14" t="str">
        <f t="shared" si="139"/>
        <v>PROP_OPER__3</v>
      </c>
      <c r="B427" s="15" t="str">
        <f t="shared" si="146"/>
        <v>PROP_OPER__1028_1</v>
      </c>
      <c r="D427" s="15">
        <v>1</v>
      </c>
      <c r="E427" s="15">
        <v>3</v>
      </c>
      <c r="F427" s="190">
        <f t="shared" si="147"/>
        <v>1028</v>
      </c>
      <c r="G427" s="149" t="str">
        <f t="shared" si="147"/>
        <v xml:space="preserve">APLICAÇÃO MISTA CORREÇÃO SOLO </v>
      </c>
      <c r="H427" s="150" t="str">
        <f t="shared" si="147"/>
        <v>HA</v>
      </c>
      <c r="I427" s="150" t="str">
        <f t="shared" si="147"/>
        <v>PREPSP</v>
      </c>
      <c r="J427" s="150">
        <f t="shared" si="147"/>
        <v>1</v>
      </c>
      <c r="K427" s="196"/>
      <c r="L427" s="197"/>
      <c r="M427" s="191">
        <f t="shared" si="148"/>
        <v>0</v>
      </c>
      <c r="N427" s="150">
        <f t="shared" si="148"/>
        <v>0</v>
      </c>
      <c r="O427" s="193">
        <f t="shared" si="148"/>
        <v>1</v>
      </c>
      <c r="P427" s="162">
        <f t="shared" si="149"/>
        <v>0</v>
      </c>
      <c r="Q427" s="162">
        <f t="shared" si="149"/>
        <v>0</v>
      </c>
      <c r="R427" s="162">
        <f t="shared" si="149"/>
        <v>0</v>
      </c>
      <c r="S427" s="162">
        <f t="shared" si="149"/>
        <v>0</v>
      </c>
      <c r="T427" s="162">
        <f t="shared" si="149"/>
        <v>0</v>
      </c>
      <c r="U427" s="162">
        <f t="shared" si="149"/>
        <v>0</v>
      </c>
      <c r="V427" s="162">
        <f t="shared" si="149"/>
        <v>0</v>
      </c>
      <c r="W427" s="162">
        <f t="shared" si="149"/>
        <v>0</v>
      </c>
      <c r="X427" s="162">
        <f t="shared" si="149"/>
        <v>0</v>
      </c>
      <c r="Y427" s="162">
        <f t="shared" si="149"/>
        <v>0</v>
      </c>
      <c r="Z427" s="162">
        <f t="shared" si="149"/>
        <v>0</v>
      </c>
      <c r="AA427" s="162">
        <f t="shared" si="149"/>
        <v>0</v>
      </c>
      <c r="AB427" s="163">
        <f t="shared" si="150"/>
        <v>0</v>
      </c>
      <c r="AC427" s="198"/>
      <c r="AE427" s="194" t="e">
        <f t="shared" si="151"/>
        <v>#REF!</v>
      </c>
      <c r="AF427" s="161">
        <f t="shared" si="152"/>
        <v>0</v>
      </c>
      <c r="AG427" s="162">
        <f t="shared" si="152"/>
        <v>0</v>
      </c>
      <c r="AH427" s="162">
        <f t="shared" si="152"/>
        <v>0</v>
      </c>
      <c r="AI427" s="162">
        <f t="shared" si="152"/>
        <v>0</v>
      </c>
      <c r="AJ427" s="162">
        <f t="shared" si="152"/>
        <v>0</v>
      </c>
      <c r="AK427" s="162">
        <f t="shared" si="152"/>
        <v>0</v>
      </c>
      <c r="AL427" s="162">
        <f t="shared" si="152"/>
        <v>0</v>
      </c>
      <c r="AM427" s="162">
        <f t="shared" si="152"/>
        <v>0</v>
      </c>
      <c r="AN427" s="162">
        <f t="shared" si="152"/>
        <v>0</v>
      </c>
      <c r="AO427" s="162">
        <f t="shared" si="152"/>
        <v>0</v>
      </c>
      <c r="AP427" s="162">
        <f t="shared" si="152"/>
        <v>0</v>
      </c>
      <c r="AQ427" s="162">
        <f t="shared" si="152"/>
        <v>0</v>
      </c>
      <c r="AR427" s="163">
        <f t="shared" si="153"/>
        <v>0</v>
      </c>
      <c r="AT427" s="208">
        <f>IFERROR(VLOOKUP(J427,#REF!,10,0),0)</f>
        <v>0</v>
      </c>
    </row>
    <row r="428" spans="1:46" hidden="1" outlineLevel="1" x14ac:dyDescent="0.25">
      <c r="A428" s="14" t="str">
        <f t="shared" si="139"/>
        <v>PROP_OPER__4</v>
      </c>
      <c r="B428" s="15" t="str">
        <f t="shared" si="146"/>
        <v>PROP_OPER__1029_1</v>
      </c>
      <c r="D428" s="15">
        <v>1</v>
      </c>
      <c r="E428" s="15">
        <v>4</v>
      </c>
      <c r="F428" s="190">
        <f t="shared" si="147"/>
        <v>1029</v>
      </c>
      <c r="G428" s="149" t="str">
        <f t="shared" si="147"/>
        <v xml:space="preserve">APLICAÇÃO MISTA CORREÇÃO SOLO </v>
      </c>
      <c r="H428" s="150" t="str">
        <f t="shared" si="147"/>
        <v>HA</v>
      </c>
      <c r="I428" s="150" t="str">
        <f t="shared" si="147"/>
        <v>PREPSP</v>
      </c>
      <c r="J428" s="150">
        <f t="shared" si="147"/>
        <v>1</v>
      </c>
      <c r="K428" s="196"/>
      <c r="L428" s="197"/>
      <c r="M428" s="191">
        <f t="shared" si="148"/>
        <v>0</v>
      </c>
      <c r="N428" s="150">
        <f t="shared" si="148"/>
        <v>0</v>
      </c>
      <c r="O428" s="193">
        <f t="shared" si="148"/>
        <v>1</v>
      </c>
      <c r="P428" s="162">
        <f t="shared" si="149"/>
        <v>0</v>
      </c>
      <c r="Q428" s="162">
        <f t="shared" si="149"/>
        <v>0</v>
      </c>
      <c r="R428" s="162">
        <f t="shared" si="149"/>
        <v>0</v>
      </c>
      <c r="S428" s="162">
        <f t="shared" si="149"/>
        <v>0</v>
      </c>
      <c r="T428" s="162">
        <f t="shared" si="149"/>
        <v>0</v>
      </c>
      <c r="U428" s="162">
        <f t="shared" si="149"/>
        <v>0</v>
      </c>
      <c r="V428" s="162">
        <f t="shared" si="149"/>
        <v>0</v>
      </c>
      <c r="W428" s="162">
        <f t="shared" si="149"/>
        <v>0</v>
      </c>
      <c r="X428" s="162">
        <f t="shared" si="149"/>
        <v>0</v>
      </c>
      <c r="Y428" s="162">
        <f t="shared" si="149"/>
        <v>0</v>
      </c>
      <c r="Z428" s="162">
        <f t="shared" si="149"/>
        <v>0</v>
      </c>
      <c r="AA428" s="162">
        <f t="shared" si="149"/>
        <v>0</v>
      </c>
      <c r="AB428" s="163">
        <f t="shared" si="150"/>
        <v>0</v>
      </c>
      <c r="AC428" s="159"/>
      <c r="AE428" s="194" t="e">
        <f t="shared" si="151"/>
        <v>#REF!</v>
      </c>
      <c r="AF428" s="161">
        <f t="shared" si="152"/>
        <v>0</v>
      </c>
      <c r="AG428" s="162">
        <f t="shared" si="152"/>
        <v>0</v>
      </c>
      <c r="AH428" s="162">
        <f t="shared" si="152"/>
        <v>0</v>
      </c>
      <c r="AI428" s="162">
        <f t="shared" si="152"/>
        <v>0</v>
      </c>
      <c r="AJ428" s="162">
        <f t="shared" si="152"/>
        <v>0</v>
      </c>
      <c r="AK428" s="162">
        <f t="shared" si="152"/>
        <v>0</v>
      </c>
      <c r="AL428" s="162">
        <f t="shared" si="152"/>
        <v>0</v>
      </c>
      <c r="AM428" s="162">
        <f t="shared" si="152"/>
        <v>0</v>
      </c>
      <c r="AN428" s="162">
        <f t="shared" si="152"/>
        <v>0</v>
      </c>
      <c r="AO428" s="162">
        <f t="shared" si="152"/>
        <v>0</v>
      </c>
      <c r="AP428" s="162">
        <f t="shared" si="152"/>
        <v>0</v>
      </c>
      <c r="AQ428" s="162">
        <f t="shared" si="152"/>
        <v>0</v>
      </c>
      <c r="AR428" s="163">
        <f t="shared" si="153"/>
        <v>0</v>
      </c>
      <c r="AT428" s="208">
        <f>IFERROR(VLOOKUP(J428,#REF!,10,0),0)</f>
        <v>0</v>
      </c>
    </row>
    <row r="429" spans="1:46" hidden="1" outlineLevel="1" x14ac:dyDescent="0.25">
      <c r="A429" s="14" t="str">
        <f t="shared" si="139"/>
        <v>PROP_OPER__5</v>
      </c>
      <c r="B429" s="15" t="str">
        <f t="shared" si="146"/>
        <v>PROP_OPER__0_0</v>
      </c>
      <c r="D429" s="15">
        <v>1</v>
      </c>
      <c r="E429" s="15">
        <v>5</v>
      </c>
      <c r="F429" s="190">
        <f t="shared" si="147"/>
        <v>0</v>
      </c>
      <c r="G429" s="149" t="str">
        <f t="shared" si="147"/>
        <v/>
      </c>
      <c r="H429" s="150" t="str">
        <f t="shared" si="147"/>
        <v/>
      </c>
      <c r="I429" s="150">
        <f t="shared" si="147"/>
        <v>0</v>
      </c>
      <c r="J429" s="150">
        <f t="shared" si="147"/>
        <v>0</v>
      </c>
      <c r="K429" s="196"/>
      <c r="L429" s="197"/>
      <c r="M429" s="191">
        <f t="shared" si="148"/>
        <v>0</v>
      </c>
      <c r="N429" s="150">
        <f t="shared" si="148"/>
        <v>0</v>
      </c>
      <c r="O429" s="193">
        <f t="shared" si="148"/>
        <v>0</v>
      </c>
      <c r="P429" s="162">
        <f t="shared" si="149"/>
        <v>0</v>
      </c>
      <c r="Q429" s="162">
        <f t="shared" si="149"/>
        <v>0</v>
      </c>
      <c r="R429" s="162">
        <f t="shared" si="149"/>
        <v>0</v>
      </c>
      <c r="S429" s="162">
        <f t="shared" si="149"/>
        <v>0</v>
      </c>
      <c r="T429" s="162">
        <f t="shared" si="149"/>
        <v>0</v>
      </c>
      <c r="U429" s="162">
        <f t="shared" si="149"/>
        <v>0</v>
      </c>
      <c r="V429" s="162">
        <f t="shared" si="149"/>
        <v>0</v>
      </c>
      <c r="W429" s="162">
        <f t="shared" si="149"/>
        <v>0</v>
      </c>
      <c r="X429" s="162">
        <f t="shared" si="149"/>
        <v>0</v>
      </c>
      <c r="Y429" s="162">
        <f t="shared" si="149"/>
        <v>0</v>
      </c>
      <c r="Z429" s="162">
        <f t="shared" si="149"/>
        <v>0</v>
      </c>
      <c r="AA429" s="162">
        <f t="shared" si="149"/>
        <v>0</v>
      </c>
      <c r="AB429" s="163">
        <f t="shared" si="150"/>
        <v>0</v>
      </c>
      <c r="AC429" s="159"/>
      <c r="AE429" s="194" t="str">
        <f t="shared" si="151"/>
        <v/>
      </c>
      <c r="AF429" s="161">
        <f t="shared" si="152"/>
        <v>0</v>
      </c>
      <c r="AG429" s="162">
        <f t="shared" si="152"/>
        <v>0</v>
      </c>
      <c r="AH429" s="162">
        <f t="shared" si="152"/>
        <v>0</v>
      </c>
      <c r="AI429" s="162">
        <f t="shared" si="152"/>
        <v>0</v>
      </c>
      <c r="AJ429" s="162">
        <f t="shared" si="152"/>
        <v>0</v>
      </c>
      <c r="AK429" s="162">
        <f t="shared" si="152"/>
        <v>0</v>
      </c>
      <c r="AL429" s="162">
        <f t="shared" si="152"/>
        <v>0</v>
      </c>
      <c r="AM429" s="162">
        <f t="shared" si="152"/>
        <v>0</v>
      </c>
      <c r="AN429" s="162">
        <f t="shared" si="152"/>
        <v>0</v>
      </c>
      <c r="AO429" s="162">
        <f t="shared" si="152"/>
        <v>0</v>
      </c>
      <c r="AP429" s="162">
        <f t="shared" si="152"/>
        <v>0</v>
      </c>
      <c r="AQ429" s="162">
        <f t="shared" si="152"/>
        <v>0</v>
      </c>
      <c r="AR429" s="163">
        <f t="shared" si="153"/>
        <v>0</v>
      </c>
      <c r="AT429" s="208">
        <f>IFERROR(VLOOKUP(J429,#REF!,10,0),0)</f>
        <v>0</v>
      </c>
    </row>
    <row r="430" spans="1:46" hidden="1" outlineLevel="1" x14ac:dyDescent="0.25">
      <c r="A430" s="14" t="str">
        <f t="shared" si="139"/>
        <v>PROP_OPER__6</v>
      </c>
      <c r="B430" s="15" t="str">
        <f t="shared" si="146"/>
        <v>PROP_OPER__0_0</v>
      </c>
      <c r="D430" s="15">
        <v>1</v>
      </c>
      <c r="E430" s="15">
        <v>6</v>
      </c>
      <c r="F430" s="190">
        <f t="shared" si="147"/>
        <v>0</v>
      </c>
      <c r="G430" s="149" t="str">
        <f t="shared" si="147"/>
        <v/>
      </c>
      <c r="H430" s="150" t="str">
        <f t="shared" si="147"/>
        <v/>
      </c>
      <c r="I430" s="150">
        <f t="shared" si="147"/>
        <v>0</v>
      </c>
      <c r="J430" s="150">
        <f t="shared" si="147"/>
        <v>0</v>
      </c>
      <c r="K430" s="196"/>
      <c r="L430" s="197"/>
      <c r="M430" s="191">
        <f t="shared" si="148"/>
        <v>0</v>
      </c>
      <c r="N430" s="150">
        <f t="shared" si="148"/>
        <v>0</v>
      </c>
      <c r="O430" s="193">
        <f t="shared" si="148"/>
        <v>0</v>
      </c>
      <c r="P430" s="162">
        <f t="shared" si="149"/>
        <v>0</v>
      </c>
      <c r="Q430" s="162">
        <f t="shared" si="149"/>
        <v>0</v>
      </c>
      <c r="R430" s="162">
        <f t="shared" si="149"/>
        <v>0</v>
      </c>
      <c r="S430" s="162">
        <f t="shared" si="149"/>
        <v>0</v>
      </c>
      <c r="T430" s="162">
        <f t="shared" si="149"/>
        <v>0</v>
      </c>
      <c r="U430" s="162">
        <f t="shared" si="149"/>
        <v>0</v>
      </c>
      <c r="V430" s="162">
        <f t="shared" si="149"/>
        <v>0</v>
      </c>
      <c r="W430" s="162">
        <f t="shared" si="149"/>
        <v>0</v>
      </c>
      <c r="X430" s="162">
        <f t="shared" si="149"/>
        <v>0</v>
      </c>
      <c r="Y430" s="162">
        <f t="shared" si="149"/>
        <v>0</v>
      </c>
      <c r="Z430" s="162">
        <f t="shared" si="149"/>
        <v>0</v>
      </c>
      <c r="AA430" s="162">
        <f t="shared" si="149"/>
        <v>0</v>
      </c>
      <c r="AB430" s="163">
        <f t="shared" si="150"/>
        <v>0</v>
      </c>
      <c r="AC430" s="159"/>
      <c r="AE430" s="194" t="str">
        <f t="shared" si="151"/>
        <v/>
      </c>
      <c r="AF430" s="161">
        <f t="shared" si="152"/>
        <v>0</v>
      </c>
      <c r="AG430" s="162">
        <f t="shared" si="152"/>
        <v>0</v>
      </c>
      <c r="AH430" s="162">
        <f t="shared" si="152"/>
        <v>0</v>
      </c>
      <c r="AI430" s="162">
        <f t="shared" si="152"/>
        <v>0</v>
      </c>
      <c r="AJ430" s="162">
        <f t="shared" si="152"/>
        <v>0</v>
      </c>
      <c r="AK430" s="162">
        <f t="shared" si="152"/>
        <v>0</v>
      </c>
      <c r="AL430" s="162">
        <f t="shared" si="152"/>
        <v>0</v>
      </c>
      <c r="AM430" s="162">
        <f t="shared" si="152"/>
        <v>0</v>
      </c>
      <c r="AN430" s="162">
        <f t="shared" si="152"/>
        <v>0</v>
      </c>
      <c r="AO430" s="162">
        <f t="shared" si="152"/>
        <v>0</v>
      </c>
      <c r="AP430" s="162">
        <f t="shared" si="152"/>
        <v>0</v>
      </c>
      <c r="AQ430" s="162">
        <f t="shared" si="152"/>
        <v>0</v>
      </c>
      <c r="AR430" s="163">
        <f t="shared" si="153"/>
        <v>0</v>
      </c>
      <c r="AT430" s="208">
        <f>IFERROR(VLOOKUP(J430,#REF!,10,0),0)</f>
        <v>0</v>
      </c>
    </row>
    <row r="431" spans="1:46" hidden="1" outlineLevel="1" x14ac:dyDescent="0.25">
      <c r="A431" s="14" t="str">
        <f t="shared" si="139"/>
        <v>PROP_OPER__7</v>
      </c>
      <c r="B431" s="15" t="str">
        <f t="shared" si="146"/>
        <v>PROP_OPER__1013_1</v>
      </c>
      <c r="D431" s="15">
        <v>1</v>
      </c>
      <c r="E431" s="15">
        <v>7</v>
      </c>
      <c r="F431" s="190">
        <f t="shared" si="147"/>
        <v>1013</v>
      </c>
      <c r="G431" s="149" t="str">
        <f t="shared" si="147"/>
        <v>GRADAGEM ARADORA</v>
      </c>
      <c r="H431" s="150" t="str">
        <f t="shared" si="147"/>
        <v>HA</v>
      </c>
      <c r="I431" s="150" t="str">
        <f t="shared" si="147"/>
        <v>PREPSP</v>
      </c>
      <c r="J431" s="150">
        <f t="shared" si="147"/>
        <v>1</v>
      </c>
      <c r="K431" s="196"/>
      <c r="L431" s="197"/>
      <c r="M431" s="191">
        <f t="shared" si="148"/>
        <v>0</v>
      </c>
      <c r="N431" s="150">
        <f t="shared" si="148"/>
        <v>0</v>
      </c>
      <c r="O431" s="193">
        <f t="shared" si="148"/>
        <v>1</v>
      </c>
      <c r="P431" s="162">
        <f t="shared" si="149"/>
        <v>0</v>
      </c>
      <c r="Q431" s="162">
        <f t="shared" si="149"/>
        <v>0</v>
      </c>
      <c r="R431" s="162">
        <f t="shared" si="149"/>
        <v>0</v>
      </c>
      <c r="S431" s="162">
        <f t="shared" si="149"/>
        <v>0</v>
      </c>
      <c r="T431" s="162">
        <f t="shared" si="149"/>
        <v>0</v>
      </c>
      <c r="U431" s="162">
        <f t="shared" si="149"/>
        <v>0</v>
      </c>
      <c r="V431" s="162">
        <f t="shared" si="149"/>
        <v>0</v>
      </c>
      <c r="W431" s="162">
        <f t="shared" si="149"/>
        <v>0</v>
      </c>
      <c r="X431" s="162">
        <f t="shared" si="149"/>
        <v>0</v>
      </c>
      <c r="Y431" s="162">
        <f t="shared" si="149"/>
        <v>0</v>
      </c>
      <c r="Z431" s="162">
        <f t="shared" si="149"/>
        <v>0</v>
      </c>
      <c r="AA431" s="162">
        <f t="shared" si="149"/>
        <v>0</v>
      </c>
      <c r="AB431" s="163">
        <f t="shared" si="150"/>
        <v>0</v>
      </c>
      <c r="AC431" s="159"/>
      <c r="AE431" s="194" t="e">
        <f t="shared" si="151"/>
        <v>#REF!</v>
      </c>
      <c r="AF431" s="161">
        <f t="shared" si="152"/>
        <v>0</v>
      </c>
      <c r="AG431" s="162">
        <f t="shared" si="152"/>
        <v>0</v>
      </c>
      <c r="AH431" s="162">
        <f t="shared" si="152"/>
        <v>0</v>
      </c>
      <c r="AI431" s="162">
        <f t="shared" si="152"/>
        <v>0</v>
      </c>
      <c r="AJ431" s="162">
        <f t="shared" si="152"/>
        <v>0</v>
      </c>
      <c r="AK431" s="162">
        <f t="shared" si="152"/>
        <v>0</v>
      </c>
      <c r="AL431" s="162">
        <f t="shared" si="152"/>
        <v>0</v>
      </c>
      <c r="AM431" s="162">
        <f t="shared" si="152"/>
        <v>0</v>
      </c>
      <c r="AN431" s="162">
        <f t="shared" si="152"/>
        <v>0</v>
      </c>
      <c r="AO431" s="162">
        <f t="shared" si="152"/>
        <v>0</v>
      </c>
      <c r="AP431" s="162">
        <f t="shared" si="152"/>
        <v>0</v>
      </c>
      <c r="AQ431" s="162">
        <f t="shared" si="152"/>
        <v>0</v>
      </c>
      <c r="AR431" s="163">
        <f t="shared" si="153"/>
        <v>0</v>
      </c>
      <c r="AT431" s="208">
        <f>IFERROR(VLOOKUP(J431,#REF!,10,0),0)</f>
        <v>0</v>
      </c>
    </row>
    <row r="432" spans="1:46" hidden="1" outlineLevel="1" x14ac:dyDescent="0.25">
      <c r="A432" s="14" t="str">
        <f t="shared" si="139"/>
        <v>PROP_OPER__8</v>
      </c>
      <c r="B432" s="15" t="str">
        <f t="shared" si="146"/>
        <v>PROP_OPER__1014_1</v>
      </c>
      <c r="D432" s="15">
        <v>1</v>
      </c>
      <c r="E432" s="15">
        <v>8</v>
      </c>
      <c r="F432" s="190">
        <f t="shared" si="147"/>
        <v>1014</v>
      </c>
      <c r="G432" s="149" t="str">
        <f t="shared" si="147"/>
        <v>GRADAGEM INTERMEDIÁRIA</v>
      </c>
      <c r="H432" s="150" t="str">
        <f t="shared" si="147"/>
        <v>HA</v>
      </c>
      <c r="I432" s="150" t="str">
        <f t="shared" si="147"/>
        <v>PREPSP</v>
      </c>
      <c r="J432" s="150">
        <f t="shared" si="147"/>
        <v>1</v>
      </c>
      <c r="K432" s="196"/>
      <c r="L432" s="197"/>
      <c r="M432" s="191">
        <f t="shared" si="148"/>
        <v>0</v>
      </c>
      <c r="N432" s="150">
        <f t="shared" si="148"/>
        <v>0</v>
      </c>
      <c r="O432" s="193">
        <f t="shared" si="148"/>
        <v>1</v>
      </c>
      <c r="P432" s="162">
        <f t="shared" si="149"/>
        <v>0</v>
      </c>
      <c r="Q432" s="162">
        <f t="shared" si="149"/>
        <v>0</v>
      </c>
      <c r="R432" s="162">
        <f t="shared" si="149"/>
        <v>0</v>
      </c>
      <c r="S432" s="162">
        <f t="shared" si="149"/>
        <v>0</v>
      </c>
      <c r="T432" s="162">
        <f t="shared" si="149"/>
        <v>0</v>
      </c>
      <c r="U432" s="162">
        <f t="shared" si="149"/>
        <v>0</v>
      </c>
      <c r="V432" s="162">
        <f t="shared" si="149"/>
        <v>0</v>
      </c>
      <c r="W432" s="162">
        <f t="shared" si="149"/>
        <v>0</v>
      </c>
      <c r="X432" s="162">
        <f t="shared" si="149"/>
        <v>0</v>
      </c>
      <c r="Y432" s="162">
        <f t="shared" si="149"/>
        <v>0</v>
      </c>
      <c r="Z432" s="162">
        <f t="shared" si="149"/>
        <v>0</v>
      </c>
      <c r="AA432" s="162">
        <f t="shared" si="149"/>
        <v>0</v>
      </c>
      <c r="AB432" s="163">
        <f t="shared" si="150"/>
        <v>0</v>
      </c>
      <c r="AC432" s="159"/>
      <c r="AE432" s="194" t="e">
        <f t="shared" si="151"/>
        <v>#REF!</v>
      </c>
      <c r="AF432" s="161">
        <f t="shared" si="152"/>
        <v>0</v>
      </c>
      <c r="AG432" s="162">
        <f t="shared" si="152"/>
        <v>0</v>
      </c>
      <c r="AH432" s="162">
        <f t="shared" si="152"/>
        <v>0</v>
      </c>
      <c r="AI432" s="162">
        <f t="shared" si="152"/>
        <v>0</v>
      </c>
      <c r="AJ432" s="162">
        <f t="shared" si="152"/>
        <v>0</v>
      </c>
      <c r="AK432" s="162">
        <f t="shared" si="152"/>
        <v>0</v>
      </c>
      <c r="AL432" s="162">
        <f t="shared" si="152"/>
        <v>0</v>
      </c>
      <c r="AM432" s="162">
        <f t="shared" si="152"/>
        <v>0</v>
      </c>
      <c r="AN432" s="162">
        <f t="shared" si="152"/>
        <v>0</v>
      </c>
      <c r="AO432" s="162">
        <f t="shared" si="152"/>
        <v>0</v>
      </c>
      <c r="AP432" s="162">
        <f t="shared" si="152"/>
        <v>0</v>
      </c>
      <c r="AQ432" s="162">
        <f t="shared" si="152"/>
        <v>0</v>
      </c>
      <c r="AR432" s="163">
        <f t="shared" si="153"/>
        <v>0</v>
      </c>
      <c r="AT432" s="208">
        <f>IFERROR(VLOOKUP(J432,#REF!,10,0),0)</f>
        <v>0</v>
      </c>
    </row>
    <row r="433" spans="1:46" hidden="1" outlineLevel="1" x14ac:dyDescent="0.25">
      <c r="A433" s="14" t="str">
        <f t="shared" si="139"/>
        <v>PROP_OPER__9</v>
      </c>
      <c r="B433" s="15" t="str">
        <f t="shared" si="146"/>
        <v>PROP_OPER__1015_1</v>
      </c>
      <c r="D433" s="15">
        <v>1</v>
      </c>
      <c r="E433" s="15">
        <v>9</v>
      </c>
      <c r="F433" s="190">
        <f t="shared" si="147"/>
        <v>1015</v>
      </c>
      <c r="G433" s="149" t="str">
        <f t="shared" si="147"/>
        <v>GRADAGEM NIVELADORA</v>
      </c>
      <c r="H433" s="150" t="str">
        <f t="shared" si="147"/>
        <v>HA</v>
      </c>
      <c r="I433" s="150" t="str">
        <f t="shared" si="147"/>
        <v>PREPSP</v>
      </c>
      <c r="J433" s="150">
        <f t="shared" si="147"/>
        <v>1</v>
      </c>
      <c r="K433" s="196"/>
      <c r="L433" s="197"/>
      <c r="M433" s="191">
        <f t="shared" si="148"/>
        <v>0</v>
      </c>
      <c r="N433" s="150">
        <f t="shared" si="148"/>
        <v>0</v>
      </c>
      <c r="O433" s="193">
        <f t="shared" si="148"/>
        <v>1</v>
      </c>
      <c r="P433" s="162">
        <f t="shared" si="149"/>
        <v>0</v>
      </c>
      <c r="Q433" s="162">
        <f t="shared" si="149"/>
        <v>0</v>
      </c>
      <c r="R433" s="162">
        <f t="shared" si="149"/>
        <v>0</v>
      </c>
      <c r="S433" s="162">
        <f t="shared" si="149"/>
        <v>0</v>
      </c>
      <c r="T433" s="162">
        <f t="shared" si="149"/>
        <v>0</v>
      </c>
      <c r="U433" s="162">
        <f t="shared" si="149"/>
        <v>0</v>
      </c>
      <c r="V433" s="162">
        <f t="shared" si="149"/>
        <v>0</v>
      </c>
      <c r="W433" s="162">
        <f t="shared" si="149"/>
        <v>0</v>
      </c>
      <c r="X433" s="162">
        <f t="shared" si="149"/>
        <v>0</v>
      </c>
      <c r="Y433" s="162">
        <f t="shared" si="149"/>
        <v>0</v>
      </c>
      <c r="Z433" s="162">
        <f t="shared" si="149"/>
        <v>0</v>
      </c>
      <c r="AA433" s="162">
        <f t="shared" si="149"/>
        <v>0</v>
      </c>
      <c r="AB433" s="163">
        <f t="shared" si="150"/>
        <v>0</v>
      </c>
      <c r="AC433" s="159"/>
      <c r="AE433" s="194" t="e">
        <f t="shared" si="151"/>
        <v>#REF!</v>
      </c>
      <c r="AF433" s="161">
        <f t="shared" si="152"/>
        <v>0</v>
      </c>
      <c r="AG433" s="162">
        <f t="shared" si="152"/>
        <v>0</v>
      </c>
      <c r="AH433" s="162">
        <f t="shared" si="152"/>
        <v>0</v>
      </c>
      <c r="AI433" s="162">
        <f t="shared" si="152"/>
        <v>0</v>
      </c>
      <c r="AJ433" s="162">
        <f t="shared" si="152"/>
        <v>0</v>
      </c>
      <c r="AK433" s="162">
        <f t="shared" si="152"/>
        <v>0</v>
      </c>
      <c r="AL433" s="162">
        <f t="shared" si="152"/>
        <v>0</v>
      </c>
      <c r="AM433" s="162">
        <f t="shared" si="152"/>
        <v>0</v>
      </c>
      <c r="AN433" s="162">
        <f t="shared" si="152"/>
        <v>0</v>
      </c>
      <c r="AO433" s="162">
        <f t="shared" si="152"/>
        <v>0</v>
      </c>
      <c r="AP433" s="162">
        <f t="shared" si="152"/>
        <v>0</v>
      </c>
      <c r="AQ433" s="162">
        <f t="shared" si="152"/>
        <v>0</v>
      </c>
      <c r="AR433" s="163">
        <f t="shared" si="153"/>
        <v>0</v>
      </c>
      <c r="AT433" s="208">
        <f>IFERROR(VLOOKUP(J433,#REF!,10,0),0)</f>
        <v>0</v>
      </c>
    </row>
    <row r="434" spans="1:46" hidden="1" outlineLevel="1" x14ac:dyDescent="0.25">
      <c r="A434" s="14" t="str">
        <f t="shared" si="139"/>
        <v>PROP_OPER__10</v>
      </c>
      <c r="B434" s="15" t="str">
        <f t="shared" si="146"/>
        <v>PROP_OPER__1016_1</v>
      </c>
      <c r="D434" s="15">
        <v>1</v>
      </c>
      <c r="E434" s="15">
        <v>10</v>
      </c>
      <c r="F434" s="190">
        <f t="shared" si="147"/>
        <v>1016</v>
      </c>
      <c r="G434" s="149" t="str">
        <f t="shared" si="147"/>
        <v>SUBSOLAGEM</v>
      </c>
      <c r="H434" s="150" t="str">
        <f t="shared" si="147"/>
        <v>HA</v>
      </c>
      <c r="I434" s="150" t="str">
        <f t="shared" si="147"/>
        <v>PREPSP</v>
      </c>
      <c r="J434" s="150">
        <f t="shared" si="147"/>
        <v>1</v>
      </c>
      <c r="K434" s="196"/>
      <c r="L434" s="197"/>
      <c r="M434" s="191">
        <f t="shared" si="148"/>
        <v>0</v>
      </c>
      <c r="N434" s="150">
        <f t="shared" si="148"/>
        <v>0</v>
      </c>
      <c r="O434" s="193">
        <f t="shared" si="148"/>
        <v>1</v>
      </c>
      <c r="P434" s="162">
        <f t="shared" si="149"/>
        <v>0</v>
      </c>
      <c r="Q434" s="162">
        <f t="shared" si="149"/>
        <v>0</v>
      </c>
      <c r="R434" s="162">
        <f t="shared" si="149"/>
        <v>0</v>
      </c>
      <c r="S434" s="162">
        <f t="shared" si="149"/>
        <v>0</v>
      </c>
      <c r="T434" s="162">
        <f t="shared" si="149"/>
        <v>0</v>
      </c>
      <c r="U434" s="162">
        <f t="shared" si="149"/>
        <v>0</v>
      </c>
      <c r="V434" s="162">
        <f t="shared" si="149"/>
        <v>0</v>
      </c>
      <c r="W434" s="162">
        <f t="shared" si="149"/>
        <v>0</v>
      </c>
      <c r="X434" s="162">
        <f t="shared" si="149"/>
        <v>0</v>
      </c>
      <c r="Y434" s="162">
        <f t="shared" si="149"/>
        <v>0</v>
      </c>
      <c r="Z434" s="162">
        <f t="shared" si="149"/>
        <v>0</v>
      </c>
      <c r="AA434" s="162">
        <f t="shared" si="149"/>
        <v>0</v>
      </c>
      <c r="AB434" s="163">
        <f t="shared" si="150"/>
        <v>0</v>
      </c>
      <c r="AC434" s="159"/>
      <c r="AE434" s="194" t="e">
        <f t="shared" si="151"/>
        <v>#REF!</v>
      </c>
      <c r="AF434" s="161">
        <f t="shared" si="152"/>
        <v>0</v>
      </c>
      <c r="AG434" s="162">
        <f t="shared" si="152"/>
        <v>0</v>
      </c>
      <c r="AH434" s="162">
        <f t="shared" si="152"/>
        <v>0</v>
      </c>
      <c r="AI434" s="162">
        <f t="shared" si="152"/>
        <v>0</v>
      </c>
      <c r="AJ434" s="162">
        <f t="shared" si="152"/>
        <v>0</v>
      </c>
      <c r="AK434" s="162">
        <f t="shared" si="152"/>
        <v>0</v>
      </c>
      <c r="AL434" s="162">
        <f t="shared" si="152"/>
        <v>0</v>
      </c>
      <c r="AM434" s="162">
        <f t="shared" si="152"/>
        <v>0</v>
      </c>
      <c r="AN434" s="162">
        <f t="shared" si="152"/>
        <v>0</v>
      </c>
      <c r="AO434" s="162">
        <f t="shared" si="152"/>
        <v>0</v>
      </c>
      <c r="AP434" s="162">
        <f t="shared" si="152"/>
        <v>0</v>
      </c>
      <c r="AQ434" s="162">
        <f t="shared" si="152"/>
        <v>0</v>
      </c>
      <c r="AR434" s="163">
        <f t="shared" si="153"/>
        <v>0</v>
      </c>
      <c r="AT434" s="208">
        <f>IFERROR(VLOOKUP(J434,#REF!,10,0),0)</f>
        <v>0</v>
      </c>
    </row>
    <row r="435" spans="1:46" hidden="1" outlineLevel="1" x14ac:dyDescent="0.25">
      <c r="A435" s="14" t="str">
        <f t="shared" si="139"/>
        <v>PROP_OPER__11</v>
      </c>
      <c r="B435" s="15" t="str">
        <f t="shared" si="146"/>
        <v>PROP_OPER__1019_1</v>
      </c>
      <c r="D435" s="15">
        <v>1</v>
      </c>
      <c r="E435" s="15">
        <v>11</v>
      </c>
      <c r="F435" s="190">
        <f t="shared" si="147"/>
        <v>1019</v>
      </c>
      <c r="G435" s="149" t="str">
        <f t="shared" si="147"/>
        <v>DESTRUIÇÃO DE SOQUEIRA / SPH</v>
      </c>
      <c r="H435" s="150" t="str">
        <f t="shared" si="147"/>
        <v>HA</v>
      </c>
      <c r="I435" s="150" t="str">
        <f t="shared" si="147"/>
        <v>PREPSP</v>
      </c>
      <c r="J435" s="150">
        <f t="shared" si="147"/>
        <v>1</v>
      </c>
      <c r="K435" s="196"/>
      <c r="L435" s="197"/>
      <c r="M435" s="191">
        <f t="shared" si="148"/>
        <v>0</v>
      </c>
      <c r="N435" s="150">
        <f t="shared" si="148"/>
        <v>0</v>
      </c>
      <c r="O435" s="193">
        <f t="shared" si="148"/>
        <v>1</v>
      </c>
      <c r="P435" s="162">
        <f t="shared" si="149"/>
        <v>0</v>
      </c>
      <c r="Q435" s="162">
        <f t="shared" si="149"/>
        <v>0</v>
      </c>
      <c r="R435" s="162">
        <f t="shared" si="149"/>
        <v>0</v>
      </c>
      <c r="S435" s="162">
        <f t="shared" si="149"/>
        <v>0</v>
      </c>
      <c r="T435" s="162">
        <f t="shared" si="149"/>
        <v>0</v>
      </c>
      <c r="U435" s="162">
        <f t="shared" si="149"/>
        <v>0</v>
      </c>
      <c r="V435" s="162">
        <f t="shared" si="149"/>
        <v>0</v>
      </c>
      <c r="W435" s="162">
        <f t="shared" si="149"/>
        <v>0</v>
      </c>
      <c r="X435" s="162">
        <f t="shared" si="149"/>
        <v>0</v>
      </c>
      <c r="Y435" s="162">
        <f t="shared" si="149"/>
        <v>0</v>
      </c>
      <c r="Z435" s="162">
        <f t="shared" si="149"/>
        <v>0</v>
      </c>
      <c r="AA435" s="162">
        <f t="shared" si="149"/>
        <v>0</v>
      </c>
      <c r="AB435" s="163">
        <f t="shared" si="150"/>
        <v>0</v>
      </c>
      <c r="AC435" s="198"/>
      <c r="AE435" s="194" t="e">
        <f t="shared" si="151"/>
        <v>#REF!</v>
      </c>
      <c r="AF435" s="161">
        <f t="shared" si="152"/>
        <v>0</v>
      </c>
      <c r="AG435" s="162">
        <f t="shared" si="152"/>
        <v>0</v>
      </c>
      <c r="AH435" s="162">
        <f t="shared" si="152"/>
        <v>0</v>
      </c>
      <c r="AI435" s="162">
        <f t="shared" si="152"/>
        <v>0</v>
      </c>
      <c r="AJ435" s="162">
        <f t="shared" si="152"/>
        <v>0</v>
      </c>
      <c r="AK435" s="162">
        <f t="shared" si="152"/>
        <v>0</v>
      </c>
      <c r="AL435" s="162">
        <f t="shared" si="152"/>
        <v>0</v>
      </c>
      <c r="AM435" s="162">
        <f t="shared" si="152"/>
        <v>0</v>
      </c>
      <c r="AN435" s="162">
        <f t="shared" si="152"/>
        <v>0</v>
      </c>
      <c r="AO435" s="162">
        <f t="shared" si="152"/>
        <v>0</v>
      </c>
      <c r="AP435" s="162">
        <f t="shared" si="152"/>
        <v>0</v>
      </c>
      <c r="AQ435" s="162">
        <f t="shared" si="152"/>
        <v>0</v>
      </c>
      <c r="AR435" s="163">
        <f t="shared" si="153"/>
        <v>0</v>
      </c>
      <c r="AT435" s="208">
        <f>IFERROR(VLOOKUP(J435,#REF!,10,0),0)</f>
        <v>0</v>
      </c>
    </row>
    <row r="436" spans="1:46" hidden="1" outlineLevel="1" x14ac:dyDescent="0.25">
      <c r="A436" s="14" t="str">
        <f t="shared" si="139"/>
        <v>PROP_OPER__12</v>
      </c>
      <c r="B436" s="15" t="str">
        <f t="shared" si="146"/>
        <v>PROP_OPER__1081_1</v>
      </c>
      <c r="D436" s="15">
        <v>1</v>
      </c>
      <c r="E436" s="15">
        <v>12</v>
      </c>
      <c r="F436" s="190">
        <f t="shared" si="147"/>
        <v>1081</v>
      </c>
      <c r="G436" s="149" t="str">
        <f t="shared" si="147"/>
        <v xml:space="preserve">Canterizador De Cana          </v>
      </c>
      <c r="H436" s="150" t="str">
        <f t="shared" si="147"/>
        <v>HA</v>
      </c>
      <c r="I436" s="150" t="str">
        <f t="shared" si="147"/>
        <v>PREPSP</v>
      </c>
      <c r="J436" s="150">
        <f t="shared" si="147"/>
        <v>1</v>
      </c>
      <c r="K436" s="196"/>
      <c r="L436" s="197"/>
      <c r="M436" s="191">
        <f t="shared" si="148"/>
        <v>0</v>
      </c>
      <c r="N436" s="150">
        <f t="shared" si="148"/>
        <v>0</v>
      </c>
      <c r="O436" s="193">
        <f t="shared" si="148"/>
        <v>1</v>
      </c>
      <c r="P436" s="162">
        <f t="shared" si="149"/>
        <v>0</v>
      </c>
      <c r="Q436" s="162">
        <f t="shared" si="149"/>
        <v>0</v>
      </c>
      <c r="R436" s="162">
        <f t="shared" si="149"/>
        <v>0</v>
      </c>
      <c r="S436" s="162">
        <f t="shared" si="149"/>
        <v>0</v>
      </c>
      <c r="T436" s="162">
        <f t="shared" si="149"/>
        <v>0</v>
      </c>
      <c r="U436" s="162">
        <f t="shared" si="149"/>
        <v>0</v>
      </c>
      <c r="V436" s="162">
        <f t="shared" si="149"/>
        <v>0</v>
      </c>
      <c r="W436" s="162">
        <f t="shared" si="149"/>
        <v>0</v>
      </c>
      <c r="X436" s="162">
        <f t="shared" si="149"/>
        <v>0</v>
      </c>
      <c r="Y436" s="162">
        <f t="shared" si="149"/>
        <v>0</v>
      </c>
      <c r="Z436" s="162">
        <f t="shared" si="149"/>
        <v>0</v>
      </c>
      <c r="AA436" s="162">
        <f t="shared" si="149"/>
        <v>0</v>
      </c>
      <c r="AB436" s="163">
        <f t="shared" si="150"/>
        <v>0</v>
      </c>
      <c r="AC436" s="198"/>
      <c r="AE436" s="194" t="e">
        <f t="shared" si="151"/>
        <v>#REF!</v>
      </c>
      <c r="AF436" s="161">
        <f t="shared" si="152"/>
        <v>0</v>
      </c>
      <c r="AG436" s="162">
        <f t="shared" si="152"/>
        <v>0</v>
      </c>
      <c r="AH436" s="162">
        <f t="shared" si="152"/>
        <v>0</v>
      </c>
      <c r="AI436" s="162">
        <f t="shared" si="152"/>
        <v>0</v>
      </c>
      <c r="AJ436" s="162">
        <f t="shared" si="152"/>
        <v>0</v>
      </c>
      <c r="AK436" s="162">
        <f t="shared" si="152"/>
        <v>0</v>
      </c>
      <c r="AL436" s="162">
        <f t="shared" si="152"/>
        <v>0</v>
      </c>
      <c r="AM436" s="162">
        <f t="shared" si="152"/>
        <v>0</v>
      </c>
      <c r="AN436" s="162">
        <f t="shared" si="152"/>
        <v>0</v>
      </c>
      <c r="AO436" s="162">
        <f t="shared" si="152"/>
        <v>0</v>
      </c>
      <c r="AP436" s="162">
        <f t="shared" si="152"/>
        <v>0</v>
      </c>
      <c r="AQ436" s="162">
        <f t="shared" si="152"/>
        <v>0</v>
      </c>
      <c r="AR436" s="163">
        <f t="shared" si="153"/>
        <v>0</v>
      </c>
      <c r="AT436" s="208">
        <f>IFERROR(VLOOKUP(J436,#REF!,10,0),0)</f>
        <v>0</v>
      </c>
    </row>
    <row r="437" spans="1:46" hidden="1" outlineLevel="1" x14ac:dyDescent="0.25">
      <c r="A437" s="14" t="str">
        <f t="shared" si="139"/>
        <v>PROP_OPER__13</v>
      </c>
      <c r="B437" s="15" t="str">
        <f t="shared" si="146"/>
        <v>PROP_OPER__1071_0</v>
      </c>
      <c r="D437" s="15">
        <v>1</v>
      </c>
      <c r="E437" s="15">
        <v>13</v>
      </c>
      <c r="F437" s="190">
        <f t="shared" si="147"/>
        <v>1071</v>
      </c>
      <c r="G437" s="149" t="str">
        <f t="shared" si="147"/>
        <v/>
      </c>
      <c r="H437" s="150" t="str">
        <f t="shared" si="147"/>
        <v/>
      </c>
      <c r="I437" s="150" t="str">
        <f t="shared" si="147"/>
        <v>PREPSP</v>
      </c>
      <c r="J437" s="150">
        <f t="shared" si="147"/>
        <v>0</v>
      </c>
      <c r="K437" s="196"/>
      <c r="L437" s="197"/>
      <c r="M437" s="191">
        <f t="shared" si="148"/>
        <v>0</v>
      </c>
      <c r="N437" s="150">
        <f t="shared" si="148"/>
        <v>0</v>
      </c>
      <c r="O437" s="193">
        <f t="shared" si="148"/>
        <v>1</v>
      </c>
      <c r="P437" s="162">
        <f t="shared" si="149"/>
        <v>0</v>
      </c>
      <c r="Q437" s="162">
        <f t="shared" si="149"/>
        <v>0</v>
      </c>
      <c r="R437" s="162">
        <f t="shared" si="149"/>
        <v>0</v>
      </c>
      <c r="S437" s="162">
        <f t="shared" si="149"/>
        <v>0</v>
      </c>
      <c r="T437" s="162">
        <f t="shared" si="149"/>
        <v>0</v>
      </c>
      <c r="U437" s="162">
        <f t="shared" si="149"/>
        <v>0</v>
      </c>
      <c r="V437" s="162">
        <f t="shared" si="149"/>
        <v>0</v>
      </c>
      <c r="W437" s="162">
        <f t="shared" si="149"/>
        <v>0</v>
      </c>
      <c r="X437" s="162">
        <f t="shared" si="149"/>
        <v>0</v>
      </c>
      <c r="Y437" s="162">
        <f t="shared" si="149"/>
        <v>0</v>
      </c>
      <c r="Z437" s="162">
        <f t="shared" si="149"/>
        <v>0</v>
      </c>
      <c r="AA437" s="162">
        <f t="shared" si="149"/>
        <v>0</v>
      </c>
      <c r="AB437" s="163">
        <f t="shared" si="150"/>
        <v>0</v>
      </c>
      <c r="AC437" s="198"/>
      <c r="AE437" s="194" t="str">
        <f t="shared" si="151"/>
        <v/>
      </c>
      <c r="AF437" s="161">
        <f t="shared" si="152"/>
        <v>0</v>
      </c>
      <c r="AG437" s="162">
        <f t="shared" si="152"/>
        <v>0</v>
      </c>
      <c r="AH437" s="162">
        <f t="shared" si="152"/>
        <v>0</v>
      </c>
      <c r="AI437" s="162">
        <f t="shared" si="152"/>
        <v>0</v>
      </c>
      <c r="AJ437" s="162">
        <f t="shared" si="152"/>
        <v>0</v>
      </c>
      <c r="AK437" s="162">
        <f t="shared" si="152"/>
        <v>0</v>
      </c>
      <c r="AL437" s="162">
        <f t="shared" si="152"/>
        <v>0</v>
      </c>
      <c r="AM437" s="162">
        <f t="shared" si="152"/>
        <v>0</v>
      </c>
      <c r="AN437" s="162">
        <f t="shared" si="152"/>
        <v>0</v>
      </c>
      <c r="AO437" s="162">
        <f t="shared" si="152"/>
        <v>0</v>
      </c>
      <c r="AP437" s="162">
        <f t="shared" si="152"/>
        <v>0</v>
      </c>
      <c r="AQ437" s="162">
        <f t="shared" si="152"/>
        <v>0</v>
      </c>
      <c r="AR437" s="163">
        <f t="shared" si="153"/>
        <v>0</v>
      </c>
      <c r="AT437" s="208">
        <f>IFERROR(VLOOKUP(J437,#REF!,10,0),0)</f>
        <v>0</v>
      </c>
    </row>
    <row r="438" spans="1:46" hidden="1" outlineLevel="1" x14ac:dyDescent="0.25">
      <c r="A438" s="14" t="str">
        <f t="shared" si="139"/>
        <v>PROP_OPER__14</v>
      </c>
      <c r="B438" s="15" t="str">
        <f t="shared" si="146"/>
        <v>PROP_OPER__1001_1</v>
      </c>
      <c r="D438" s="15">
        <v>1</v>
      </c>
      <c r="E438" s="15">
        <v>14</v>
      </c>
      <c r="F438" s="190">
        <f t="shared" si="147"/>
        <v>1001</v>
      </c>
      <c r="G438" s="149" t="str">
        <f t="shared" si="147"/>
        <v>TERRACEAMENTO</v>
      </c>
      <c r="H438" s="150" t="str">
        <f t="shared" si="147"/>
        <v/>
      </c>
      <c r="I438" s="150" t="str">
        <f t="shared" si="147"/>
        <v>PREPSP</v>
      </c>
      <c r="J438" s="150">
        <f t="shared" si="147"/>
        <v>1</v>
      </c>
      <c r="K438" s="196"/>
      <c r="L438" s="197"/>
      <c r="M438" s="191">
        <f t="shared" si="148"/>
        <v>0</v>
      </c>
      <c r="N438" s="150">
        <f t="shared" si="148"/>
        <v>0</v>
      </c>
      <c r="O438" s="193">
        <f t="shared" si="148"/>
        <v>1</v>
      </c>
      <c r="P438" s="162">
        <f t="shared" si="149"/>
        <v>0</v>
      </c>
      <c r="Q438" s="162">
        <f t="shared" si="149"/>
        <v>0</v>
      </c>
      <c r="R438" s="162">
        <f t="shared" si="149"/>
        <v>0</v>
      </c>
      <c r="S438" s="162">
        <f t="shared" si="149"/>
        <v>0</v>
      </c>
      <c r="T438" s="162">
        <f t="shared" si="149"/>
        <v>0</v>
      </c>
      <c r="U438" s="162">
        <f t="shared" si="149"/>
        <v>0</v>
      </c>
      <c r="V438" s="162">
        <f t="shared" si="149"/>
        <v>0</v>
      </c>
      <c r="W438" s="162">
        <f t="shared" si="149"/>
        <v>0</v>
      </c>
      <c r="X438" s="162">
        <f t="shared" si="149"/>
        <v>0</v>
      </c>
      <c r="Y438" s="162">
        <f t="shared" si="149"/>
        <v>0</v>
      </c>
      <c r="Z438" s="162">
        <f t="shared" si="149"/>
        <v>0</v>
      </c>
      <c r="AA438" s="162">
        <f t="shared" si="149"/>
        <v>0</v>
      </c>
      <c r="AB438" s="163">
        <f t="shared" si="150"/>
        <v>0</v>
      </c>
      <c r="AC438" s="198"/>
      <c r="AE438" s="194" t="e">
        <f t="shared" si="151"/>
        <v>#REF!</v>
      </c>
      <c r="AF438" s="161">
        <f t="shared" si="152"/>
        <v>0</v>
      </c>
      <c r="AG438" s="162">
        <f t="shared" si="152"/>
        <v>0</v>
      </c>
      <c r="AH438" s="162">
        <f t="shared" si="152"/>
        <v>0</v>
      </c>
      <c r="AI438" s="162">
        <f t="shared" si="152"/>
        <v>0</v>
      </c>
      <c r="AJ438" s="162">
        <f t="shared" si="152"/>
        <v>0</v>
      </c>
      <c r="AK438" s="162">
        <f t="shared" si="152"/>
        <v>0</v>
      </c>
      <c r="AL438" s="162">
        <f t="shared" si="152"/>
        <v>0</v>
      </c>
      <c r="AM438" s="162">
        <f t="shared" si="152"/>
        <v>0</v>
      </c>
      <c r="AN438" s="162">
        <f t="shared" si="152"/>
        <v>0</v>
      </c>
      <c r="AO438" s="162">
        <f t="shared" si="152"/>
        <v>0</v>
      </c>
      <c r="AP438" s="162">
        <f t="shared" si="152"/>
        <v>0</v>
      </c>
      <c r="AQ438" s="162">
        <f t="shared" si="152"/>
        <v>0</v>
      </c>
      <c r="AR438" s="163">
        <f t="shared" si="153"/>
        <v>0</v>
      </c>
      <c r="AT438" s="208">
        <f>IFERROR(VLOOKUP(J438,#REF!,10,0),0)</f>
        <v>0</v>
      </c>
    </row>
    <row r="439" spans="1:46" hidden="1" outlineLevel="1" x14ac:dyDescent="0.25">
      <c r="A439" s="14" t="str">
        <f t="shared" si="139"/>
        <v>PROP_OPER__15</v>
      </c>
      <c r="B439" s="15" t="str">
        <f t="shared" si="146"/>
        <v>PROP_OPER__1002_1</v>
      </c>
      <c r="D439" s="15">
        <v>1</v>
      </c>
      <c r="E439" s="15">
        <v>15</v>
      </c>
      <c r="F439" s="190">
        <f t="shared" si="147"/>
        <v>1002</v>
      </c>
      <c r="G439" s="149" t="str">
        <f t="shared" si="147"/>
        <v>TERRAPLANAGEM</v>
      </c>
      <c r="H439" s="150" t="str">
        <f t="shared" si="147"/>
        <v/>
      </c>
      <c r="I439" s="150" t="str">
        <f t="shared" si="147"/>
        <v>PREPSP</v>
      </c>
      <c r="J439" s="150">
        <f t="shared" si="147"/>
        <v>1</v>
      </c>
      <c r="K439" s="196"/>
      <c r="L439" s="197"/>
      <c r="M439" s="191">
        <f t="shared" si="148"/>
        <v>0</v>
      </c>
      <c r="N439" s="150">
        <f t="shared" si="148"/>
        <v>0</v>
      </c>
      <c r="O439" s="193">
        <f t="shared" si="148"/>
        <v>1</v>
      </c>
      <c r="P439" s="162">
        <f t="shared" si="149"/>
        <v>0</v>
      </c>
      <c r="Q439" s="162">
        <f t="shared" si="149"/>
        <v>0</v>
      </c>
      <c r="R439" s="162">
        <f t="shared" si="149"/>
        <v>0</v>
      </c>
      <c r="S439" s="162">
        <f t="shared" si="149"/>
        <v>0</v>
      </c>
      <c r="T439" s="162">
        <f t="shared" si="149"/>
        <v>0</v>
      </c>
      <c r="U439" s="162">
        <f t="shared" si="149"/>
        <v>0</v>
      </c>
      <c r="V439" s="162">
        <f t="shared" si="149"/>
        <v>0</v>
      </c>
      <c r="W439" s="162">
        <f t="shared" si="149"/>
        <v>0</v>
      </c>
      <c r="X439" s="162">
        <f t="shared" si="149"/>
        <v>0</v>
      </c>
      <c r="Y439" s="162">
        <f t="shared" si="149"/>
        <v>0</v>
      </c>
      <c r="Z439" s="162">
        <f t="shared" si="149"/>
        <v>0</v>
      </c>
      <c r="AA439" s="162">
        <f t="shared" si="149"/>
        <v>0</v>
      </c>
      <c r="AB439" s="163">
        <f t="shared" si="150"/>
        <v>0</v>
      </c>
      <c r="AC439" s="198"/>
      <c r="AE439" s="194" t="e">
        <f t="shared" si="151"/>
        <v>#REF!</v>
      </c>
      <c r="AF439" s="161">
        <f t="shared" si="152"/>
        <v>0</v>
      </c>
      <c r="AG439" s="162">
        <f t="shared" si="152"/>
        <v>0</v>
      </c>
      <c r="AH439" s="162">
        <f t="shared" si="152"/>
        <v>0</v>
      </c>
      <c r="AI439" s="162">
        <f t="shared" si="152"/>
        <v>0</v>
      </c>
      <c r="AJ439" s="162">
        <f t="shared" si="152"/>
        <v>0</v>
      </c>
      <c r="AK439" s="162">
        <f t="shared" si="152"/>
        <v>0</v>
      </c>
      <c r="AL439" s="162">
        <f t="shared" si="152"/>
        <v>0</v>
      </c>
      <c r="AM439" s="162">
        <f t="shared" si="152"/>
        <v>0</v>
      </c>
      <c r="AN439" s="162">
        <f t="shared" si="152"/>
        <v>0</v>
      </c>
      <c r="AO439" s="162">
        <f t="shared" si="152"/>
        <v>0</v>
      </c>
      <c r="AP439" s="162">
        <f t="shared" si="152"/>
        <v>0</v>
      </c>
      <c r="AQ439" s="162">
        <f t="shared" si="152"/>
        <v>0</v>
      </c>
      <c r="AR439" s="163">
        <f t="shared" si="153"/>
        <v>0</v>
      </c>
      <c r="AT439" s="208">
        <f>IFERROR(VLOOKUP(J439,#REF!,10,0),0)</f>
        <v>0</v>
      </c>
    </row>
    <row r="440" spans="1:46" hidden="1" outlineLevel="1" x14ac:dyDescent="0.25">
      <c r="A440" s="14" t="str">
        <f t="shared" si="139"/>
        <v>PROP_OPER__16</v>
      </c>
      <c r="B440" s="15" t="str">
        <f t="shared" si="146"/>
        <v>PROP_OPER__1003_1</v>
      </c>
      <c r="D440" s="15">
        <v>1</v>
      </c>
      <c r="E440" s="15">
        <v>16</v>
      </c>
      <c r="F440" s="190">
        <f t="shared" si="147"/>
        <v>1003</v>
      </c>
      <c r="G440" s="149" t="str">
        <f t="shared" si="147"/>
        <v>CONSERVAÇÃO DE ESTRADAS</v>
      </c>
      <c r="H440" s="150" t="str">
        <f t="shared" si="147"/>
        <v/>
      </c>
      <c r="I440" s="150" t="str">
        <f t="shared" si="147"/>
        <v>PREPSP</v>
      </c>
      <c r="J440" s="150">
        <f t="shared" si="147"/>
        <v>1</v>
      </c>
      <c r="K440" s="196"/>
      <c r="L440" s="197"/>
      <c r="M440" s="191">
        <f t="shared" si="148"/>
        <v>0</v>
      </c>
      <c r="N440" s="150">
        <f t="shared" si="148"/>
        <v>0</v>
      </c>
      <c r="O440" s="193">
        <f t="shared" si="148"/>
        <v>1</v>
      </c>
      <c r="P440" s="162">
        <f t="shared" si="149"/>
        <v>0</v>
      </c>
      <c r="Q440" s="162">
        <f t="shared" si="149"/>
        <v>0</v>
      </c>
      <c r="R440" s="162">
        <f t="shared" si="149"/>
        <v>0</v>
      </c>
      <c r="S440" s="162">
        <f t="shared" si="149"/>
        <v>0</v>
      </c>
      <c r="T440" s="162">
        <f t="shared" si="149"/>
        <v>0</v>
      </c>
      <c r="U440" s="162">
        <f t="shared" si="149"/>
        <v>0</v>
      </c>
      <c r="V440" s="162">
        <f t="shared" si="149"/>
        <v>0</v>
      </c>
      <c r="W440" s="162">
        <f t="shared" si="149"/>
        <v>0</v>
      </c>
      <c r="X440" s="162">
        <f t="shared" si="149"/>
        <v>0</v>
      </c>
      <c r="Y440" s="162">
        <f t="shared" si="149"/>
        <v>0</v>
      </c>
      <c r="Z440" s="162">
        <f t="shared" si="149"/>
        <v>0</v>
      </c>
      <c r="AA440" s="162">
        <f t="shared" si="149"/>
        <v>0</v>
      </c>
      <c r="AB440" s="163">
        <f t="shared" si="150"/>
        <v>0</v>
      </c>
      <c r="AC440" s="198"/>
      <c r="AE440" s="194" t="e">
        <f t="shared" si="151"/>
        <v>#REF!</v>
      </c>
      <c r="AF440" s="161">
        <f t="shared" si="152"/>
        <v>0</v>
      </c>
      <c r="AG440" s="162">
        <f t="shared" si="152"/>
        <v>0</v>
      </c>
      <c r="AH440" s="162">
        <f t="shared" si="152"/>
        <v>0</v>
      </c>
      <c r="AI440" s="162">
        <f t="shared" si="152"/>
        <v>0</v>
      </c>
      <c r="AJ440" s="162">
        <f t="shared" si="152"/>
        <v>0</v>
      </c>
      <c r="AK440" s="162">
        <f t="shared" si="152"/>
        <v>0</v>
      </c>
      <c r="AL440" s="162">
        <f t="shared" si="152"/>
        <v>0</v>
      </c>
      <c r="AM440" s="162">
        <f t="shared" si="152"/>
        <v>0</v>
      </c>
      <c r="AN440" s="162">
        <f t="shared" si="152"/>
        <v>0</v>
      </c>
      <c r="AO440" s="162">
        <f t="shared" si="152"/>
        <v>0</v>
      </c>
      <c r="AP440" s="162">
        <f t="shared" si="152"/>
        <v>0</v>
      </c>
      <c r="AQ440" s="162">
        <f t="shared" si="152"/>
        <v>0</v>
      </c>
      <c r="AR440" s="163">
        <f t="shared" si="153"/>
        <v>0</v>
      </c>
      <c r="AT440" s="208">
        <f>IFERROR(VLOOKUP(J440,#REF!,10,0),0)</f>
        <v>0</v>
      </c>
    </row>
    <row r="441" spans="1:46" hidden="1" outlineLevel="1" x14ac:dyDescent="0.25">
      <c r="A441" s="14" t="str">
        <f t="shared" si="139"/>
        <v>PROP_OPER__17</v>
      </c>
      <c r="B441" s="15" t="str">
        <f t="shared" si="146"/>
        <v>PROP_OPER__1004_1</v>
      </c>
      <c r="D441" s="15">
        <v>1</v>
      </c>
      <c r="E441" s="15">
        <v>17</v>
      </c>
      <c r="F441" s="190">
        <f t="shared" ref="F441:J456" si="154">F395</f>
        <v>1004</v>
      </c>
      <c r="G441" s="149" t="str">
        <f t="shared" si="154"/>
        <v>CURVA EM NÍVEL</v>
      </c>
      <c r="H441" s="150" t="str">
        <f t="shared" si="154"/>
        <v/>
      </c>
      <c r="I441" s="150" t="str">
        <f t="shared" si="154"/>
        <v>PREPSP</v>
      </c>
      <c r="J441" s="150">
        <f t="shared" si="154"/>
        <v>1</v>
      </c>
      <c r="K441" s="196"/>
      <c r="L441" s="197"/>
      <c r="M441" s="191">
        <f t="shared" ref="M441:O456" si="155">M395</f>
        <v>0</v>
      </c>
      <c r="N441" s="150">
        <f t="shared" si="155"/>
        <v>0</v>
      </c>
      <c r="O441" s="193">
        <f t="shared" si="155"/>
        <v>1</v>
      </c>
      <c r="P441" s="162">
        <f t="shared" ref="P441:AA456" si="156">IFERROR(SUMIF($B$16:$B$43,$C441&amp;$I441,P$16:P$43)/SUMIF($D$16:$D$43,$I441,P$16:P$43)*P110,0)</f>
        <v>0</v>
      </c>
      <c r="Q441" s="162">
        <f t="shared" si="156"/>
        <v>0</v>
      </c>
      <c r="R441" s="162">
        <f t="shared" si="156"/>
        <v>0</v>
      </c>
      <c r="S441" s="162">
        <f t="shared" si="156"/>
        <v>0</v>
      </c>
      <c r="T441" s="162">
        <f t="shared" si="156"/>
        <v>0</v>
      </c>
      <c r="U441" s="162">
        <f t="shared" si="156"/>
        <v>0</v>
      </c>
      <c r="V441" s="162">
        <f t="shared" si="156"/>
        <v>0</v>
      </c>
      <c r="W441" s="162">
        <f t="shared" si="156"/>
        <v>0</v>
      </c>
      <c r="X441" s="162">
        <f t="shared" si="156"/>
        <v>0</v>
      </c>
      <c r="Y441" s="162">
        <f t="shared" si="156"/>
        <v>0</v>
      </c>
      <c r="Z441" s="162">
        <f t="shared" si="156"/>
        <v>0</v>
      </c>
      <c r="AA441" s="162">
        <f t="shared" si="156"/>
        <v>0</v>
      </c>
      <c r="AB441" s="163">
        <f t="shared" si="150"/>
        <v>0</v>
      </c>
      <c r="AC441" s="198"/>
      <c r="AE441" s="194" t="e">
        <f t="shared" si="151"/>
        <v>#REF!</v>
      </c>
      <c r="AF441" s="161">
        <f t="shared" ref="AF441:AQ456" si="157">IFERROR(SUMIF($B$16:$B$43,$C441&amp;$I441,P$16:P$43)/SUMIF($D$16:$D$43,$I441,P$16:P$43)*AF110,0)</f>
        <v>0</v>
      </c>
      <c r="AG441" s="162">
        <f t="shared" si="157"/>
        <v>0</v>
      </c>
      <c r="AH441" s="162">
        <f t="shared" si="157"/>
        <v>0</v>
      </c>
      <c r="AI441" s="162">
        <f t="shared" si="157"/>
        <v>0</v>
      </c>
      <c r="AJ441" s="162">
        <f t="shared" si="157"/>
        <v>0</v>
      </c>
      <c r="AK441" s="162">
        <f t="shared" si="157"/>
        <v>0</v>
      </c>
      <c r="AL441" s="162">
        <f t="shared" si="157"/>
        <v>0</v>
      </c>
      <c r="AM441" s="162">
        <f t="shared" si="157"/>
        <v>0</v>
      </c>
      <c r="AN441" s="162">
        <f t="shared" si="157"/>
        <v>0</v>
      </c>
      <c r="AO441" s="162">
        <f t="shared" si="157"/>
        <v>0</v>
      </c>
      <c r="AP441" s="162">
        <f t="shared" si="157"/>
        <v>0</v>
      </c>
      <c r="AQ441" s="162">
        <f t="shared" si="157"/>
        <v>0</v>
      </c>
      <c r="AR441" s="163">
        <f t="shared" si="153"/>
        <v>0</v>
      </c>
      <c r="AT441" s="208">
        <f>IFERROR(VLOOKUP(J441,#REF!,10,0),0)</f>
        <v>0</v>
      </c>
    </row>
    <row r="442" spans="1:46" hidden="1" outlineLevel="1" x14ac:dyDescent="0.25">
      <c r="A442" s="14" t="str">
        <f t="shared" si="139"/>
        <v>PROP_OPER__18</v>
      </c>
      <c r="B442" s="15" t="str">
        <f t="shared" si="146"/>
        <v>PROP_OPER__1005_1</v>
      </c>
      <c r="D442" s="15">
        <v>1</v>
      </c>
      <c r="E442" s="15">
        <v>18</v>
      </c>
      <c r="F442" s="190">
        <f t="shared" si="154"/>
        <v>1005</v>
      </c>
      <c r="G442" s="149" t="str">
        <f t="shared" si="154"/>
        <v>SISTEMATIZAÇÃO</v>
      </c>
      <c r="H442" s="150" t="str">
        <f t="shared" si="154"/>
        <v/>
      </c>
      <c r="I442" s="150" t="str">
        <f t="shared" si="154"/>
        <v>PREPSP</v>
      </c>
      <c r="J442" s="150">
        <f t="shared" si="154"/>
        <v>1</v>
      </c>
      <c r="K442" s="196"/>
      <c r="L442" s="197"/>
      <c r="M442" s="191">
        <f t="shared" si="155"/>
        <v>0</v>
      </c>
      <c r="N442" s="150">
        <f t="shared" si="155"/>
        <v>0</v>
      </c>
      <c r="O442" s="193">
        <f t="shared" si="155"/>
        <v>1</v>
      </c>
      <c r="P442" s="162">
        <f t="shared" si="156"/>
        <v>0</v>
      </c>
      <c r="Q442" s="162">
        <f t="shared" si="156"/>
        <v>0</v>
      </c>
      <c r="R442" s="162">
        <f t="shared" si="156"/>
        <v>0</v>
      </c>
      <c r="S442" s="162">
        <f t="shared" si="156"/>
        <v>0</v>
      </c>
      <c r="T442" s="162">
        <f t="shared" si="156"/>
        <v>0</v>
      </c>
      <c r="U442" s="162">
        <f t="shared" si="156"/>
        <v>0</v>
      </c>
      <c r="V442" s="162">
        <f t="shared" si="156"/>
        <v>0</v>
      </c>
      <c r="W442" s="162">
        <f t="shared" si="156"/>
        <v>0</v>
      </c>
      <c r="X442" s="162">
        <f t="shared" si="156"/>
        <v>0</v>
      </c>
      <c r="Y442" s="162">
        <f t="shared" si="156"/>
        <v>0</v>
      </c>
      <c r="Z442" s="162">
        <f t="shared" si="156"/>
        <v>0</v>
      </c>
      <c r="AA442" s="162">
        <f t="shared" si="156"/>
        <v>0</v>
      </c>
      <c r="AB442" s="163">
        <f t="shared" si="150"/>
        <v>0</v>
      </c>
      <c r="AC442" s="198"/>
      <c r="AE442" s="194" t="e">
        <f t="shared" si="151"/>
        <v>#REF!</v>
      </c>
      <c r="AF442" s="161">
        <f t="shared" si="157"/>
        <v>0</v>
      </c>
      <c r="AG442" s="162">
        <f t="shared" si="157"/>
        <v>0</v>
      </c>
      <c r="AH442" s="162">
        <f t="shared" si="157"/>
        <v>0</v>
      </c>
      <c r="AI442" s="162">
        <f t="shared" si="157"/>
        <v>0</v>
      </c>
      <c r="AJ442" s="162">
        <f t="shared" si="157"/>
        <v>0</v>
      </c>
      <c r="AK442" s="162">
        <f t="shared" si="157"/>
        <v>0</v>
      </c>
      <c r="AL442" s="162">
        <f t="shared" si="157"/>
        <v>0</v>
      </c>
      <c r="AM442" s="162">
        <f t="shared" si="157"/>
        <v>0</v>
      </c>
      <c r="AN442" s="162">
        <f t="shared" si="157"/>
        <v>0</v>
      </c>
      <c r="AO442" s="162">
        <f t="shared" si="157"/>
        <v>0</v>
      </c>
      <c r="AP442" s="162">
        <f t="shared" si="157"/>
        <v>0</v>
      </c>
      <c r="AQ442" s="162">
        <f t="shared" si="157"/>
        <v>0</v>
      </c>
      <c r="AR442" s="163">
        <f t="shared" si="153"/>
        <v>0</v>
      </c>
      <c r="AT442" s="208">
        <f>IFERROR(VLOOKUP(J442,#REF!,10,0),0)</f>
        <v>0</v>
      </c>
    </row>
    <row r="443" spans="1:46" hidden="1" outlineLevel="1" x14ac:dyDescent="0.25">
      <c r="A443" s="14" t="str">
        <f t="shared" si="139"/>
        <v>PROP_OPER__19</v>
      </c>
      <c r="B443" s="15" t="str">
        <f t="shared" si="146"/>
        <v>PROP_OPER__1011_1</v>
      </c>
      <c r="D443" s="15">
        <v>1</v>
      </c>
      <c r="E443" s="15">
        <v>19</v>
      </c>
      <c r="F443" s="190">
        <f t="shared" si="154"/>
        <v>1011</v>
      </c>
      <c r="G443" s="149" t="str">
        <f t="shared" si="154"/>
        <v>ARAÇÃO</v>
      </c>
      <c r="H443" s="150" t="str">
        <f t="shared" si="154"/>
        <v/>
      </c>
      <c r="I443" s="150" t="str">
        <f t="shared" si="154"/>
        <v>PREPSP</v>
      </c>
      <c r="J443" s="150">
        <f t="shared" si="154"/>
        <v>1</v>
      </c>
      <c r="K443" s="196"/>
      <c r="L443" s="197"/>
      <c r="M443" s="191">
        <f t="shared" si="155"/>
        <v>0</v>
      </c>
      <c r="N443" s="150">
        <f t="shared" si="155"/>
        <v>0</v>
      </c>
      <c r="O443" s="193">
        <f t="shared" si="155"/>
        <v>1</v>
      </c>
      <c r="P443" s="162">
        <f t="shared" si="156"/>
        <v>0</v>
      </c>
      <c r="Q443" s="162">
        <f t="shared" si="156"/>
        <v>0</v>
      </c>
      <c r="R443" s="162">
        <f t="shared" si="156"/>
        <v>0</v>
      </c>
      <c r="S443" s="162">
        <f t="shared" si="156"/>
        <v>0</v>
      </c>
      <c r="T443" s="162">
        <f t="shared" si="156"/>
        <v>0</v>
      </c>
      <c r="U443" s="162">
        <f t="shared" si="156"/>
        <v>0</v>
      </c>
      <c r="V443" s="162">
        <f t="shared" si="156"/>
        <v>0</v>
      </c>
      <c r="W443" s="162">
        <f t="shared" si="156"/>
        <v>0</v>
      </c>
      <c r="X443" s="162">
        <f t="shared" si="156"/>
        <v>0</v>
      </c>
      <c r="Y443" s="162">
        <f t="shared" si="156"/>
        <v>0</v>
      </c>
      <c r="Z443" s="162">
        <f t="shared" si="156"/>
        <v>0</v>
      </c>
      <c r="AA443" s="162">
        <f t="shared" si="156"/>
        <v>0</v>
      </c>
      <c r="AB443" s="163">
        <f t="shared" si="150"/>
        <v>0</v>
      </c>
      <c r="AC443" s="198"/>
      <c r="AE443" s="194" t="e">
        <f t="shared" si="151"/>
        <v>#REF!</v>
      </c>
      <c r="AF443" s="161">
        <f t="shared" si="157"/>
        <v>0</v>
      </c>
      <c r="AG443" s="162">
        <f t="shared" si="157"/>
        <v>0</v>
      </c>
      <c r="AH443" s="162">
        <f t="shared" si="157"/>
        <v>0</v>
      </c>
      <c r="AI443" s="162">
        <f t="shared" si="157"/>
        <v>0</v>
      </c>
      <c r="AJ443" s="162">
        <f t="shared" si="157"/>
        <v>0</v>
      </c>
      <c r="AK443" s="162">
        <f t="shared" si="157"/>
        <v>0</v>
      </c>
      <c r="AL443" s="162">
        <f t="shared" si="157"/>
        <v>0</v>
      </c>
      <c r="AM443" s="162">
        <f t="shared" si="157"/>
        <v>0</v>
      </c>
      <c r="AN443" s="162">
        <f t="shared" si="157"/>
        <v>0</v>
      </c>
      <c r="AO443" s="162">
        <f t="shared" si="157"/>
        <v>0</v>
      </c>
      <c r="AP443" s="162">
        <f t="shared" si="157"/>
        <v>0</v>
      </c>
      <c r="AQ443" s="162">
        <f t="shared" si="157"/>
        <v>0</v>
      </c>
      <c r="AR443" s="163">
        <f t="shared" si="153"/>
        <v>0</v>
      </c>
      <c r="AT443" s="208">
        <f>IFERROR(VLOOKUP(J443,#REF!,10,0),0)</f>
        <v>0</v>
      </c>
    </row>
    <row r="444" spans="1:46" hidden="1" outlineLevel="1" x14ac:dyDescent="0.25">
      <c r="A444" s="14" t="str">
        <f t="shared" si="139"/>
        <v>PROP_OPER__20</v>
      </c>
      <c r="B444" s="15" t="str">
        <f t="shared" si="146"/>
        <v>PROP_OPER__0_0</v>
      </c>
      <c r="D444" s="15">
        <v>1</v>
      </c>
      <c r="E444" s="15">
        <v>20</v>
      </c>
      <c r="F444" s="190">
        <f t="shared" si="154"/>
        <v>0</v>
      </c>
      <c r="G444" s="149" t="str">
        <f t="shared" si="154"/>
        <v/>
      </c>
      <c r="H444" s="150" t="str">
        <f t="shared" si="154"/>
        <v/>
      </c>
      <c r="I444" s="150">
        <f t="shared" si="154"/>
        <v>0</v>
      </c>
      <c r="J444" s="150">
        <f t="shared" si="154"/>
        <v>0</v>
      </c>
      <c r="K444" s="196"/>
      <c r="L444" s="197"/>
      <c r="M444" s="191">
        <f t="shared" si="155"/>
        <v>0</v>
      </c>
      <c r="N444" s="150">
        <f t="shared" si="155"/>
        <v>0</v>
      </c>
      <c r="O444" s="193">
        <f t="shared" si="155"/>
        <v>0</v>
      </c>
      <c r="P444" s="162">
        <f t="shared" si="156"/>
        <v>0</v>
      </c>
      <c r="Q444" s="162">
        <f t="shared" si="156"/>
        <v>0</v>
      </c>
      <c r="R444" s="162">
        <f t="shared" si="156"/>
        <v>0</v>
      </c>
      <c r="S444" s="162">
        <f t="shared" si="156"/>
        <v>0</v>
      </c>
      <c r="T444" s="162">
        <f t="shared" si="156"/>
        <v>0</v>
      </c>
      <c r="U444" s="162">
        <f t="shared" si="156"/>
        <v>0</v>
      </c>
      <c r="V444" s="162">
        <f t="shared" si="156"/>
        <v>0</v>
      </c>
      <c r="W444" s="162">
        <f t="shared" si="156"/>
        <v>0</v>
      </c>
      <c r="X444" s="162">
        <f t="shared" si="156"/>
        <v>0</v>
      </c>
      <c r="Y444" s="162">
        <f t="shared" si="156"/>
        <v>0</v>
      </c>
      <c r="Z444" s="162">
        <f t="shared" si="156"/>
        <v>0</v>
      </c>
      <c r="AA444" s="162">
        <f t="shared" si="156"/>
        <v>0</v>
      </c>
      <c r="AB444" s="163">
        <f t="shared" si="150"/>
        <v>0</v>
      </c>
      <c r="AC444" s="198"/>
      <c r="AE444" s="194" t="str">
        <f t="shared" si="151"/>
        <v/>
      </c>
      <c r="AF444" s="161">
        <f t="shared" si="157"/>
        <v>0</v>
      </c>
      <c r="AG444" s="162">
        <f t="shared" si="157"/>
        <v>0</v>
      </c>
      <c r="AH444" s="162">
        <f t="shared" si="157"/>
        <v>0</v>
      </c>
      <c r="AI444" s="162">
        <f t="shared" si="157"/>
        <v>0</v>
      </c>
      <c r="AJ444" s="162">
        <f t="shared" si="157"/>
        <v>0</v>
      </c>
      <c r="AK444" s="162">
        <f t="shared" si="157"/>
        <v>0</v>
      </c>
      <c r="AL444" s="162">
        <f t="shared" si="157"/>
        <v>0</v>
      </c>
      <c r="AM444" s="162">
        <f t="shared" si="157"/>
        <v>0</v>
      </c>
      <c r="AN444" s="162">
        <f t="shared" si="157"/>
        <v>0</v>
      </c>
      <c r="AO444" s="162">
        <f t="shared" si="157"/>
        <v>0</v>
      </c>
      <c r="AP444" s="162">
        <f t="shared" si="157"/>
        <v>0</v>
      </c>
      <c r="AQ444" s="162">
        <f t="shared" si="157"/>
        <v>0</v>
      </c>
      <c r="AR444" s="163">
        <f t="shared" si="153"/>
        <v>0</v>
      </c>
      <c r="AT444" s="208">
        <f>IFERROR(VLOOKUP(J444,#REF!,10,0),0)</f>
        <v>0</v>
      </c>
    </row>
    <row r="445" spans="1:46" hidden="1" outlineLevel="1" x14ac:dyDescent="0.25">
      <c r="A445" s="14" t="str">
        <f t="shared" si="139"/>
        <v>PROP_OPER__21</v>
      </c>
      <c r="B445" s="15" t="str">
        <f t="shared" si="146"/>
        <v>PROP_OPER__0_0</v>
      </c>
      <c r="D445" s="15">
        <v>1</v>
      </c>
      <c r="E445" s="15">
        <v>21</v>
      </c>
      <c r="F445" s="190">
        <f t="shared" si="154"/>
        <v>0</v>
      </c>
      <c r="G445" s="149" t="str">
        <f t="shared" si="154"/>
        <v/>
      </c>
      <c r="H445" s="150" t="str">
        <f t="shared" si="154"/>
        <v/>
      </c>
      <c r="I445" s="150">
        <f t="shared" si="154"/>
        <v>0</v>
      </c>
      <c r="J445" s="150">
        <f t="shared" si="154"/>
        <v>0</v>
      </c>
      <c r="K445" s="196"/>
      <c r="L445" s="197"/>
      <c r="M445" s="191">
        <f t="shared" si="155"/>
        <v>0</v>
      </c>
      <c r="N445" s="150">
        <f t="shared" si="155"/>
        <v>0</v>
      </c>
      <c r="O445" s="193">
        <f t="shared" si="155"/>
        <v>0</v>
      </c>
      <c r="P445" s="162">
        <f t="shared" si="156"/>
        <v>0</v>
      </c>
      <c r="Q445" s="162">
        <f t="shared" si="156"/>
        <v>0</v>
      </c>
      <c r="R445" s="162">
        <f t="shared" si="156"/>
        <v>0</v>
      </c>
      <c r="S445" s="162">
        <f t="shared" si="156"/>
        <v>0</v>
      </c>
      <c r="T445" s="162">
        <f t="shared" si="156"/>
        <v>0</v>
      </c>
      <c r="U445" s="162">
        <f t="shared" si="156"/>
        <v>0</v>
      </c>
      <c r="V445" s="162">
        <f t="shared" si="156"/>
        <v>0</v>
      </c>
      <c r="W445" s="162">
        <f t="shared" si="156"/>
        <v>0</v>
      </c>
      <c r="X445" s="162">
        <f t="shared" si="156"/>
        <v>0</v>
      </c>
      <c r="Y445" s="162">
        <f t="shared" si="156"/>
        <v>0</v>
      </c>
      <c r="Z445" s="162">
        <f t="shared" si="156"/>
        <v>0</v>
      </c>
      <c r="AA445" s="162">
        <f t="shared" si="156"/>
        <v>0</v>
      </c>
      <c r="AB445" s="163">
        <f t="shared" si="150"/>
        <v>0</v>
      </c>
      <c r="AC445" s="198"/>
      <c r="AE445" s="194" t="str">
        <f t="shared" si="151"/>
        <v/>
      </c>
      <c r="AF445" s="161">
        <f t="shared" si="157"/>
        <v>0</v>
      </c>
      <c r="AG445" s="162">
        <f t="shared" si="157"/>
        <v>0</v>
      </c>
      <c r="AH445" s="162">
        <f t="shared" si="157"/>
        <v>0</v>
      </c>
      <c r="AI445" s="162">
        <f t="shared" si="157"/>
        <v>0</v>
      </c>
      <c r="AJ445" s="162">
        <f t="shared" si="157"/>
        <v>0</v>
      </c>
      <c r="AK445" s="162">
        <f t="shared" si="157"/>
        <v>0</v>
      </c>
      <c r="AL445" s="162">
        <f t="shared" si="157"/>
        <v>0</v>
      </c>
      <c r="AM445" s="162">
        <f t="shared" si="157"/>
        <v>0</v>
      </c>
      <c r="AN445" s="162">
        <f t="shared" si="157"/>
        <v>0</v>
      </c>
      <c r="AO445" s="162">
        <f t="shared" si="157"/>
        <v>0</v>
      </c>
      <c r="AP445" s="162">
        <f t="shared" si="157"/>
        <v>0</v>
      </c>
      <c r="AQ445" s="162">
        <f t="shared" si="157"/>
        <v>0</v>
      </c>
      <c r="AR445" s="163">
        <f t="shared" si="153"/>
        <v>0</v>
      </c>
      <c r="AT445" s="208">
        <f>IFERROR(VLOOKUP(J445,#REF!,10,0),0)</f>
        <v>0</v>
      </c>
    </row>
    <row r="446" spans="1:46" hidden="1" outlineLevel="1" x14ac:dyDescent="0.25">
      <c r="A446" s="14" t="str">
        <f t="shared" si="139"/>
        <v>PROP_OPER__22</v>
      </c>
      <c r="B446" s="15" t="str">
        <f t="shared" si="146"/>
        <v>PROP_OPER__0_0</v>
      </c>
      <c r="D446" s="15">
        <v>1</v>
      </c>
      <c r="E446" s="15">
        <v>22</v>
      </c>
      <c r="F446" s="190">
        <f t="shared" si="154"/>
        <v>0</v>
      </c>
      <c r="G446" s="149" t="str">
        <f t="shared" si="154"/>
        <v/>
      </c>
      <c r="H446" s="150" t="str">
        <f t="shared" si="154"/>
        <v/>
      </c>
      <c r="I446" s="150">
        <f t="shared" si="154"/>
        <v>0</v>
      </c>
      <c r="J446" s="150">
        <f t="shared" si="154"/>
        <v>0</v>
      </c>
      <c r="K446" s="196"/>
      <c r="L446" s="197"/>
      <c r="M446" s="191">
        <f t="shared" si="155"/>
        <v>0</v>
      </c>
      <c r="N446" s="150">
        <f t="shared" si="155"/>
        <v>0</v>
      </c>
      <c r="O446" s="193">
        <f t="shared" si="155"/>
        <v>0</v>
      </c>
      <c r="P446" s="162">
        <f t="shared" si="156"/>
        <v>0</v>
      </c>
      <c r="Q446" s="162">
        <f t="shared" si="156"/>
        <v>0</v>
      </c>
      <c r="R446" s="162">
        <f t="shared" si="156"/>
        <v>0</v>
      </c>
      <c r="S446" s="162">
        <f t="shared" si="156"/>
        <v>0</v>
      </c>
      <c r="T446" s="162">
        <f t="shared" si="156"/>
        <v>0</v>
      </c>
      <c r="U446" s="162">
        <f t="shared" si="156"/>
        <v>0</v>
      </c>
      <c r="V446" s="162">
        <f t="shared" si="156"/>
        <v>0</v>
      </c>
      <c r="W446" s="162">
        <f t="shared" si="156"/>
        <v>0</v>
      </c>
      <c r="X446" s="162">
        <f t="shared" si="156"/>
        <v>0</v>
      </c>
      <c r="Y446" s="162">
        <f t="shared" si="156"/>
        <v>0</v>
      </c>
      <c r="Z446" s="162">
        <f t="shared" si="156"/>
        <v>0</v>
      </c>
      <c r="AA446" s="162">
        <f t="shared" si="156"/>
        <v>0</v>
      </c>
      <c r="AB446" s="163">
        <f t="shared" si="150"/>
        <v>0</v>
      </c>
      <c r="AC446" s="198"/>
      <c r="AE446" s="194" t="str">
        <f t="shared" si="151"/>
        <v/>
      </c>
      <c r="AF446" s="161">
        <f t="shared" si="157"/>
        <v>0</v>
      </c>
      <c r="AG446" s="162">
        <f t="shared" si="157"/>
        <v>0</v>
      </c>
      <c r="AH446" s="162">
        <f t="shared" si="157"/>
        <v>0</v>
      </c>
      <c r="AI446" s="162">
        <f t="shared" si="157"/>
        <v>0</v>
      </c>
      <c r="AJ446" s="162">
        <f t="shared" si="157"/>
        <v>0</v>
      </c>
      <c r="AK446" s="162">
        <f t="shared" si="157"/>
        <v>0</v>
      </c>
      <c r="AL446" s="162">
        <f t="shared" si="157"/>
        <v>0</v>
      </c>
      <c r="AM446" s="162">
        <f t="shared" si="157"/>
        <v>0</v>
      </c>
      <c r="AN446" s="162">
        <f t="shared" si="157"/>
        <v>0</v>
      </c>
      <c r="AO446" s="162">
        <f t="shared" si="157"/>
        <v>0</v>
      </c>
      <c r="AP446" s="162">
        <f t="shared" si="157"/>
        <v>0</v>
      </c>
      <c r="AQ446" s="162">
        <f t="shared" si="157"/>
        <v>0</v>
      </c>
      <c r="AR446" s="163">
        <f t="shared" si="153"/>
        <v>0</v>
      </c>
      <c r="AT446" s="208">
        <f>IFERROR(VLOOKUP(J446,#REF!,10,0),0)</f>
        <v>0</v>
      </c>
    </row>
    <row r="447" spans="1:46" hidden="1" outlineLevel="1" x14ac:dyDescent="0.25">
      <c r="A447" s="14" t="str">
        <f t="shared" si="139"/>
        <v>PROP_OPER__23</v>
      </c>
      <c r="B447" s="15" t="str">
        <f t="shared" si="146"/>
        <v>PROP_OPER__0_0</v>
      </c>
      <c r="D447" s="15">
        <v>1</v>
      </c>
      <c r="E447" s="15">
        <v>23</v>
      </c>
      <c r="F447" s="190">
        <f t="shared" si="154"/>
        <v>0</v>
      </c>
      <c r="G447" s="149" t="str">
        <f t="shared" si="154"/>
        <v/>
      </c>
      <c r="H447" s="150" t="str">
        <f t="shared" si="154"/>
        <v/>
      </c>
      <c r="I447" s="150">
        <f t="shared" si="154"/>
        <v>0</v>
      </c>
      <c r="J447" s="150">
        <f t="shared" si="154"/>
        <v>0</v>
      </c>
      <c r="K447" s="196"/>
      <c r="L447" s="197"/>
      <c r="M447" s="191">
        <f t="shared" si="155"/>
        <v>0</v>
      </c>
      <c r="N447" s="150">
        <f t="shared" si="155"/>
        <v>0</v>
      </c>
      <c r="O447" s="193">
        <f t="shared" si="155"/>
        <v>0</v>
      </c>
      <c r="P447" s="162">
        <f t="shared" si="156"/>
        <v>0</v>
      </c>
      <c r="Q447" s="162">
        <f t="shared" si="156"/>
        <v>0</v>
      </c>
      <c r="R447" s="162">
        <f t="shared" si="156"/>
        <v>0</v>
      </c>
      <c r="S447" s="162">
        <f t="shared" si="156"/>
        <v>0</v>
      </c>
      <c r="T447" s="162">
        <f t="shared" si="156"/>
        <v>0</v>
      </c>
      <c r="U447" s="162">
        <f t="shared" si="156"/>
        <v>0</v>
      </c>
      <c r="V447" s="162">
        <f t="shared" si="156"/>
        <v>0</v>
      </c>
      <c r="W447" s="162">
        <f t="shared" si="156"/>
        <v>0</v>
      </c>
      <c r="X447" s="162">
        <f t="shared" si="156"/>
        <v>0</v>
      </c>
      <c r="Y447" s="162">
        <f t="shared" si="156"/>
        <v>0</v>
      </c>
      <c r="Z447" s="162">
        <f t="shared" si="156"/>
        <v>0</v>
      </c>
      <c r="AA447" s="162">
        <f t="shared" si="156"/>
        <v>0</v>
      </c>
      <c r="AB447" s="163">
        <f t="shared" si="150"/>
        <v>0</v>
      </c>
      <c r="AC447" s="198"/>
      <c r="AE447" s="194" t="str">
        <f t="shared" si="151"/>
        <v/>
      </c>
      <c r="AF447" s="161">
        <f t="shared" si="157"/>
        <v>0</v>
      </c>
      <c r="AG447" s="162">
        <f t="shared" si="157"/>
        <v>0</v>
      </c>
      <c r="AH447" s="162">
        <f t="shared" si="157"/>
        <v>0</v>
      </c>
      <c r="AI447" s="162">
        <f t="shared" si="157"/>
        <v>0</v>
      </c>
      <c r="AJ447" s="162">
        <f t="shared" si="157"/>
        <v>0</v>
      </c>
      <c r="AK447" s="162">
        <f t="shared" si="157"/>
        <v>0</v>
      </c>
      <c r="AL447" s="162">
        <f t="shared" si="157"/>
        <v>0</v>
      </c>
      <c r="AM447" s="162">
        <f t="shared" si="157"/>
        <v>0</v>
      </c>
      <c r="AN447" s="162">
        <f t="shared" si="157"/>
        <v>0</v>
      </c>
      <c r="AO447" s="162">
        <f t="shared" si="157"/>
        <v>0</v>
      </c>
      <c r="AP447" s="162">
        <f t="shared" si="157"/>
        <v>0</v>
      </c>
      <c r="AQ447" s="162">
        <f t="shared" si="157"/>
        <v>0</v>
      </c>
      <c r="AR447" s="163">
        <f t="shared" si="153"/>
        <v>0</v>
      </c>
      <c r="AT447" s="208">
        <f>IFERROR(VLOOKUP(J447,#REF!,10,0),0)</f>
        <v>0</v>
      </c>
    </row>
    <row r="448" spans="1:46" hidden="1" outlineLevel="1" x14ac:dyDescent="0.25">
      <c r="A448" s="14" t="str">
        <f t="shared" si="139"/>
        <v>PROP_OPER__24</v>
      </c>
      <c r="B448" s="15" t="str">
        <f t="shared" si="146"/>
        <v>PROP_OPER__0_0</v>
      </c>
      <c r="D448" s="15">
        <v>1</v>
      </c>
      <c r="E448" s="15">
        <v>24</v>
      </c>
      <c r="F448" s="190">
        <f t="shared" si="154"/>
        <v>0</v>
      </c>
      <c r="G448" s="149">
        <f t="shared" si="154"/>
        <v>0</v>
      </c>
      <c r="H448" s="150">
        <f t="shared" si="154"/>
        <v>0</v>
      </c>
      <c r="I448" s="150">
        <f t="shared" si="154"/>
        <v>0</v>
      </c>
      <c r="J448" s="150">
        <f t="shared" si="154"/>
        <v>0</v>
      </c>
      <c r="K448" s="196"/>
      <c r="L448" s="197"/>
      <c r="M448" s="191">
        <f t="shared" si="155"/>
        <v>0</v>
      </c>
      <c r="N448" s="150">
        <f t="shared" si="155"/>
        <v>0</v>
      </c>
      <c r="O448" s="193">
        <f t="shared" si="155"/>
        <v>0</v>
      </c>
      <c r="P448" s="162">
        <f t="shared" si="156"/>
        <v>0</v>
      </c>
      <c r="Q448" s="162">
        <f t="shared" si="156"/>
        <v>0</v>
      </c>
      <c r="R448" s="162">
        <f t="shared" si="156"/>
        <v>0</v>
      </c>
      <c r="S448" s="162">
        <f t="shared" si="156"/>
        <v>0</v>
      </c>
      <c r="T448" s="162">
        <f t="shared" si="156"/>
        <v>0</v>
      </c>
      <c r="U448" s="162">
        <f t="shared" si="156"/>
        <v>0</v>
      </c>
      <c r="V448" s="162">
        <f t="shared" si="156"/>
        <v>0</v>
      </c>
      <c r="W448" s="162">
        <f t="shared" si="156"/>
        <v>0</v>
      </c>
      <c r="X448" s="162">
        <f t="shared" si="156"/>
        <v>0</v>
      </c>
      <c r="Y448" s="162">
        <f t="shared" si="156"/>
        <v>0</v>
      </c>
      <c r="Z448" s="162">
        <f t="shared" si="156"/>
        <v>0</v>
      </c>
      <c r="AA448" s="162">
        <f t="shared" si="156"/>
        <v>0</v>
      </c>
      <c r="AB448" s="163">
        <f t="shared" si="150"/>
        <v>0</v>
      </c>
      <c r="AC448" s="198"/>
      <c r="AE448" s="194" t="str">
        <f t="shared" si="151"/>
        <v/>
      </c>
      <c r="AF448" s="161">
        <f t="shared" si="157"/>
        <v>0</v>
      </c>
      <c r="AG448" s="162">
        <f t="shared" si="157"/>
        <v>0</v>
      </c>
      <c r="AH448" s="162">
        <f t="shared" si="157"/>
        <v>0</v>
      </c>
      <c r="AI448" s="162">
        <f t="shared" si="157"/>
        <v>0</v>
      </c>
      <c r="AJ448" s="162">
        <f t="shared" si="157"/>
        <v>0</v>
      </c>
      <c r="AK448" s="162">
        <f t="shared" si="157"/>
        <v>0</v>
      </c>
      <c r="AL448" s="162">
        <f t="shared" si="157"/>
        <v>0</v>
      </c>
      <c r="AM448" s="162">
        <f t="shared" si="157"/>
        <v>0</v>
      </c>
      <c r="AN448" s="162">
        <f t="shared" si="157"/>
        <v>0</v>
      </c>
      <c r="AO448" s="162">
        <f t="shared" si="157"/>
        <v>0</v>
      </c>
      <c r="AP448" s="162">
        <f t="shared" si="157"/>
        <v>0</v>
      </c>
      <c r="AQ448" s="162">
        <f t="shared" si="157"/>
        <v>0</v>
      </c>
      <c r="AR448" s="163">
        <f t="shared" si="153"/>
        <v>0</v>
      </c>
      <c r="AT448" s="208">
        <f>IFERROR(VLOOKUP(J448,#REF!,10,0),0)</f>
        <v>0</v>
      </c>
    </row>
    <row r="449" spans="1:46" hidden="1" outlineLevel="1" x14ac:dyDescent="0.25">
      <c r="A449" s="14" t="str">
        <f t="shared" si="139"/>
        <v>PROP_OPER__25</v>
      </c>
      <c r="B449" s="15" t="str">
        <f t="shared" si="146"/>
        <v>PROP_OPER__0_0</v>
      </c>
      <c r="D449" s="15">
        <v>1</v>
      </c>
      <c r="E449" s="15">
        <v>25</v>
      </c>
      <c r="F449" s="190">
        <f t="shared" si="154"/>
        <v>0</v>
      </c>
      <c r="G449" s="149">
        <f t="shared" si="154"/>
        <v>0</v>
      </c>
      <c r="H449" s="150">
        <f t="shared" si="154"/>
        <v>0</v>
      </c>
      <c r="I449" s="150">
        <f t="shared" si="154"/>
        <v>0</v>
      </c>
      <c r="J449" s="150">
        <f t="shared" si="154"/>
        <v>0</v>
      </c>
      <c r="K449" s="196"/>
      <c r="L449" s="197"/>
      <c r="M449" s="191">
        <f t="shared" si="155"/>
        <v>0</v>
      </c>
      <c r="N449" s="150">
        <f t="shared" si="155"/>
        <v>0</v>
      </c>
      <c r="O449" s="193">
        <f t="shared" si="155"/>
        <v>0</v>
      </c>
      <c r="P449" s="162">
        <f t="shared" si="156"/>
        <v>0</v>
      </c>
      <c r="Q449" s="162">
        <f t="shared" si="156"/>
        <v>0</v>
      </c>
      <c r="R449" s="162">
        <f t="shared" si="156"/>
        <v>0</v>
      </c>
      <c r="S449" s="162">
        <f t="shared" si="156"/>
        <v>0</v>
      </c>
      <c r="T449" s="162">
        <f t="shared" si="156"/>
        <v>0</v>
      </c>
      <c r="U449" s="162">
        <f t="shared" si="156"/>
        <v>0</v>
      </c>
      <c r="V449" s="162">
        <f t="shared" si="156"/>
        <v>0</v>
      </c>
      <c r="W449" s="162">
        <f t="shared" si="156"/>
        <v>0</v>
      </c>
      <c r="X449" s="162">
        <f t="shared" si="156"/>
        <v>0</v>
      </c>
      <c r="Y449" s="162">
        <f t="shared" si="156"/>
        <v>0</v>
      </c>
      <c r="Z449" s="162">
        <f t="shared" si="156"/>
        <v>0</v>
      </c>
      <c r="AA449" s="162">
        <f t="shared" si="156"/>
        <v>0</v>
      </c>
      <c r="AB449" s="163">
        <f t="shared" si="150"/>
        <v>0</v>
      </c>
      <c r="AC449" s="198"/>
      <c r="AE449" s="194" t="str">
        <f t="shared" si="151"/>
        <v/>
      </c>
      <c r="AF449" s="161">
        <f t="shared" si="157"/>
        <v>0</v>
      </c>
      <c r="AG449" s="162">
        <f t="shared" si="157"/>
        <v>0</v>
      </c>
      <c r="AH449" s="162">
        <f t="shared" si="157"/>
        <v>0</v>
      </c>
      <c r="AI449" s="162">
        <f t="shared" si="157"/>
        <v>0</v>
      </c>
      <c r="AJ449" s="162">
        <f t="shared" si="157"/>
        <v>0</v>
      </c>
      <c r="AK449" s="162">
        <f t="shared" si="157"/>
        <v>0</v>
      </c>
      <c r="AL449" s="162">
        <f t="shared" si="157"/>
        <v>0</v>
      </c>
      <c r="AM449" s="162">
        <f t="shared" si="157"/>
        <v>0</v>
      </c>
      <c r="AN449" s="162">
        <f t="shared" si="157"/>
        <v>0</v>
      </c>
      <c r="AO449" s="162">
        <f t="shared" si="157"/>
        <v>0</v>
      </c>
      <c r="AP449" s="162">
        <f t="shared" si="157"/>
        <v>0</v>
      </c>
      <c r="AQ449" s="162">
        <f t="shared" si="157"/>
        <v>0</v>
      </c>
      <c r="AR449" s="163">
        <f t="shared" si="153"/>
        <v>0</v>
      </c>
      <c r="AT449" s="208">
        <f>IFERROR(VLOOKUP(J449,#REF!,10,0),0)</f>
        <v>0</v>
      </c>
    </row>
    <row r="450" spans="1:46" hidden="1" outlineLevel="1" x14ac:dyDescent="0.25">
      <c r="A450" s="14" t="str">
        <f t="shared" si="139"/>
        <v>PROP_OPER__26</v>
      </c>
      <c r="B450" s="15" t="str">
        <f t="shared" si="146"/>
        <v>PROP_OPER__0_0</v>
      </c>
      <c r="D450" s="15">
        <v>1</v>
      </c>
      <c r="E450" s="15">
        <v>26</v>
      </c>
      <c r="F450" s="190">
        <f t="shared" si="154"/>
        <v>0</v>
      </c>
      <c r="G450" s="149" t="str">
        <f t="shared" si="154"/>
        <v/>
      </c>
      <c r="H450" s="150" t="str">
        <f t="shared" si="154"/>
        <v/>
      </c>
      <c r="I450" s="150">
        <f t="shared" si="154"/>
        <v>0</v>
      </c>
      <c r="J450" s="150">
        <f t="shared" si="154"/>
        <v>0</v>
      </c>
      <c r="K450" s="196"/>
      <c r="L450" s="197"/>
      <c r="M450" s="191">
        <f t="shared" si="155"/>
        <v>0</v>
      </c>
      <c r="N450" s="150">
        <f t="shared" si="155"/>
        <v>0</v>
      </c>
      <c r="O450" s="193">
        <f t="shared" si="155"/>
        <v>0</v>
      </c>
      <c r="P450" s="162">
        <f t="shared" si="156"/>
        <v>0</v>
      </c>
      <c r="Q450" s="162">
        <f t="shared" si="156"/>
        <v>0</v>
      </c>
      <c r="R450" s="162">
        <f t="shared" si="156"/>
        <v>0</v>
      </c>
      <c r="S450" s="162">
        <f t="shared" si="156"/>
        <v>0</v>
      </c>
      <c r="T450" s="162">
        <f t="shared" si="156"/>
        <v>0</v>
      </c>
      <c r="U450" s="162">
        <f t="shared" si="156"/>
        <v>0</v>
      </c>
      <c r="V450" s="162">
        <f t="shared" si="156"/>
        <v>0</v>
      </c>
      <c r="W450" s="162">
        <f t="shared" si="156"/>
        <v>0</v>
      </c>
      <c r="X450" s="162">
        <f t="shared" si="156"/>
        <v>0</v>
      </c>
      <c r="Y450" s="162">
        <f t="shared" si="156"/>
        <v>0</v>
      </c>
      <c r="Z450" s="162">
        <f t="shared" si="156"/>
        <v>0</v>
      </c>
      <c r="AA450" s="162">
        <f t="shared" si="156"/>
        <v>0</v>
      </c>
      <c r="AB450" s="163">
        <f t="shared" si="150"/>
        <v>0</v>
      </c>
      <c r="AC450" s="198"/>
      <c r="AE450" s="194" t="str">
        <f t="shared" si="151"/>
        <v/>
      </c>
      <c r="AF450" s="161">
        <f t="shared" si="157"/>
        <v>0</v>
      </c>
      <c r="AG450" s="162">
        <f t="shared" si="157"/>
        <v>0</v>
      </c>
      <c r="AH450" s="162">
        <f t="shared" si="157"/>
        <v>0</v>
      </c>
      <c r="AI450" s="162">
        <f t="shared" si="157"/>
        <v>0</v>
      </c>
      <c r="AJ450" s="162">
        <f t="shared" si="157"/>
        <v>0</v>
      </c>
      <c r="AK450" s="162">
        <f t="shared" si="157"/>
        <v>0</v>
      </c>
      <c r="AL450" s="162">
        <f t="shared" si="157"/>
        <v>0</v>
      </c>
      <c r="AM450" s="162">
        <f t="shared" si="157"/>
        <v>0</v>
      </c>
      <c r="AN450" s="162">
        <f t="shared" si="157"/>
        <v>0</v>
      </c>
      <c r="AO450" s="162">
        <f t="shared" si="157"/>
        <v>0</v>
      </c>
      <c r="AP450" s="162">
        <f t="shared" si="157"/>
        <v>0</v>
      </c>
      <c r="AQ450" s="162">
        <f t="shared" si="157"/>
        <v>0</v>
      </c>
      <c r="AR450" s="163">
        <f t="shared" si="153"/>
        <v>0</v>
      </c>
      <c r="AT450" s="208">
        <f>IFERROR(VLOOKUP(J450,#REF!,10,0),0)</f>
        <v>0</v>
      </c>
    </row>
    <row r="451" spans="1:46" hidden="1" outlineLevel="1" x14ac:dyDescent="0.25">
      <c r="A451" s="14" t="str">
        <f t="shared" si="139"/>
        <v>PROP_OPER__27</v>
      </c>
      <c r="B451" s="15" t="str">
        <f t="shared" si="146"/>
        <v>PROP_OPER__0_0</v>
      </c>
      <c r="D451" s="15">
        <v>1</v>
      </c>
      <c r="E451" s="15">
        <v>27</v>
      </c>
      <c r="F451" s="190">
        <f t="shared" si="154"/>
        <v>0</v>
      </c>
      <c r="G451" s="149" t="str">
        <f t="shared" si="154"/>
        <v/>
      </c>
      <c r="H451" s="150" t="str">
        <f t="shared" si="154"/>
        <v/>
      </c>
      <c r="I451" s="150">
        <f t="shared" si="154"/>
        <v>0</v>
      </c>
      <c r="J451" s="150">
        <f t="shared" si="154"/>
        <v>0</v>
      </c>
      <c r="K451" s="196"/>
      <c r="L451" s="197"/>
      <c r="M451" s="191">
        <f t="shared" si="155"/>
        <v>0</v>
      </c>
      <c r="N451" s="150">
        <f t="shared" si="155"/>
        <v>0</v>
      </c>
      <c r="O451" s="193">
        <f t="shared" si="155"/>
        <v>0</v>
      </c>
      <c r="P451" s="162">
        <f t="shared" si="156"/>
        <v>0</v>
      </c>
      <c r="Q451" s="162">
        <f t="shared" si="156"/>
        <v>0</v>
      </c>
      <c r="R451" s="162">
        <f t="shared" si="156"/>
        <v>0</v>
      </c>
      <c r="S451" s="162">
        <f t="shared" si="156"/>
        <v>0</v>
      </c>
      <c r="T451" s="162">
        <f t="shared" si="156"/>
        <v>0</v>
      </c>
      <c r="U451" s="162">
        <f t="shared" si="156"/>
        <v>0</v>
      </c>
      <c r="V451" s="162">
        <f t="shared" si="156"/>
        <v>0</v>
      </c>
      <c r="W451" s="162">
        <f t="shared" si="156"/>
        <v>0</v>
      </c>
      <c r="X451" s="162">
        <f t="shared" si="156"/>
        <v>0</v>
      </c>
      <c r="Y451" s="162">
        <f t="shared" si="156"/>
        <v>0</v>
      </c>
      <c r="Z451" s="162">
        <f t="shared" si="156"/>
        <v>0</v>
      </c>
      <c r="AA451" s="162">
        <f t="shared" si="156"/>
        <v>0</v>
      </c>
      <c r="AB451" s="163">
        <f t="shared" si="150"/>
        <v>0</v>
      </c>
      <c r="AC451" s="198"/>
      <c r="AE451" s="194" t="str">
        <f t="shared" si="151"/>
        <v/>
      </c>
      <c r="AF451" s="161">
        <f t="shared" si="157"/>
        <v>0</v>
      </c>
      <c r="AG451" s="162">
        <f t="shared" si="157"/>
        <v>0</v>
      </c>
      <c r="AH451" s="162">
        <f t="shared" si="157"/>
        <v>0</v>
      </c>
      <c r="AI451" s="162">
        <f t="shared" si="157"/>
        <v>0</v>
      </c>
      <c r="AJ451" s="162">
        <f t="shared" si="157"/>
        <v>0</v>
      </c>
      <c r="AK451" s="162">
        <f t="shared" si="157"/>
        <v>0</v>
      </c>
      <c r="AL451" s="162">
        <f t="shared" si="157"/>
        <v>0</v>
      </c>
      <c r="AM451" s="162">
        <f t="shared" si="157"/>
        <v>0</v>
      </c>
      <c r="AN451" s="162">
        <f t="shared" si="157"/>
        <v>0</v>
      </c>
      <c r="AO451" s="162">
        <f t="shared" si="157"/>
        <v>0</v>
      </c>
      <c r="AP451" s="162">
        <f t="shared" si="157"/>
        <v>0</v>
      </c>
      <c r="AQ451" s="162">
        <f t="shared" si="157"/>
        <v>0</v>
      </c>
      <c r="AR451" s="163">
        <f t="shared" si="153"/>
        <v>0</v>
      </c>
      <c r="AT451" s="208">
        <f>IFERROR(VLOOKUP(J451,#REF!,10,0),0)</f>
        <v>0</v>
      </c>
    </row>
    <row r="452" spans="1:46" hidden="1" outlineLevel="1" x14ac:dyDescent="0.25">
      <c r="A452" s="14" t="str">
        <f t="shared" si="139"/>
        <v>PROP_OPER__28</v>
      </c>
      <c r="B452" s="15" t="str">
        <f t="shared" si="146"/>
        <v>PROP_OPER__0_0</v>
      </c>
      <c r="D452" s="15">
        <v>1</v>
      </c>
      <c r="E452" s="15">
        <v>28</v>
      </c>
      <c r="F452" s="190">
        <f t="shared" si="154"/>
        <v>0</v>
      </c>
      <c r="G452" s="149" t="str">
        <f t="shared" si="154"/>
        <v/>
      </c>
      <c r="H452" s="150" t="str">
        <f t="shared" si="154"/>
        <v/>
      </c>
      <c r="I452" s="150">
        <f t="shared" si="154"/>
        <v>0</v>
      </c>
      <c r="J452" s="150">
        <f t="shared" si="154"/>
        <v>0</v>
      </c>
      <c r="K452" s="196"/>
      <c r="L452" s="197"/>
      <c r="M452" s="191">
        <f t="shared" si="155"/>
        <v>0</v>
      </c>
      <c r="N452" s="150">
        <f t="shared" si="155"/>
        <v>0</v>
      </c>
      <c r="O452" s="193">
        <f t="shared" si="155"/>
        <v>0</v>
      </c>
      <c r="P452" s="162">
        <f t="shared" si="156"/>
        <v>0</v>
      </c>
      <c r="Q452" s="162">
        <f t="shared" si="156"/>
        <v>0</v>
      </c>
      <c r="R452" s="162">
        <f t="shared" si="156"/>
        <v>0</v>
      </c>
      <c r="S452" s="162">
        <f t="shared" si="156"/>
        <v>0</v>
      </c>
      <c r="T452" s="162">
        <f t="shared" si="156"/>
        <v>0</v>
      </c>
      <c r="U452" s="162">
        <f t="shared" si="156"/>
        <v>0</v>
      </c>
      <c r="V452" s="162">
        <f t="shared" si="156"/>
        <v>0</v>
      </c>
      <c r="W452" s="162">
        <f t="shared" si="156"/>
        <v>0</v>
      </c>
      <c r="X452" s="162">
        <f t="shared" si="156"/>
        <v>0</v>
      </c>
      <c r="Y452" s="162">
        <f t="shared" si="156"/>
        <v>0</v>
      </c>
      <c r="Z452" s="162">
        <f t="shared" si="156"/>
        <v>0</v>
      </c>
      <c r="AA452" s="162">
        <f t="shared" si="156"/>
        <v>0</v>
      </c>
      <c r="AB452" s="163">
        <f t="shared" si="150"/>
        <v>0</v>
      </c>
      <c r="AC452" s="198"/>
      <c r="AE452" s="194" t="str">
        <f t="shared" si="151"/>
        <v/>
      </c>
      <c r="AF452" s="161">
        <f t="shared" si="157"/>
        <v>0</v>
      </c>
      <c r="AG452" s="162">
        <f t="shared" si="157"/>
        <v>0</v>
      </c>
      <c r="AH452" s="162">
        <f t="shared" si="157"/>
        <v>0</v>
      </c>
      <c r="AI452" s="162">
        <f t="shared" si="157"/>
        <v>0</v>
      </c>
      <c r="AJ452" s="162">
        <f t="shared" si="157"/>
        <v>0</v>
      </c>
      <c r="AK452" s="162">
        <f t="shared" si="157"/>
        <v>0</v>
      </c>
      <c r="AL452" s="162">
        <f t="shared" si="157"/>
        <v>0</v>
      </c>
      <c r="AM452" s="162">
        <f t="shared" si="157"/>
        <v>0</v>
      </c>
      <c r="AN452" s="162">
        <f t="shared" si="157"/>
        <v>0</v>
      </c>
      <c r="AO452" s="162">
        <f t="shared" si="157"/>
        <v>0</v>
      </c>
      <c r="AP452" s="162">
        <f t="shared" si="157"/>
        <v>0</v>
      </c>
      <c r="AQ452" s="162">
        <f t="shared" si="157"/>
        <v>0</v>
      </c>
      <c r="AR452" s="163">
        <f t="shared" si="153"/>
        <v>0</v>
      </c>
      <c r="AT452" s="208">
        <f>IFERROR(VLOOKUP(J452,#REF!,10,0),0)</f>
        <v>0</v>
      </c>
    </row>
    <row r="453" spans="1:46" hidden="1" outlineLevel="1" x14ac:dyDescent="0.25">
      <c r="A453" s="14" t="str">
        <f t="shared" si="139"/>
        <v>PROP_OPER__29</v>
      </c>
      <c r="B453" s="15" t="str">
        <f t="shared" si="146"/>
        <v>PROP_OPER__0_0</v>
      </c>
      <c r="D453" s="15">
        <v>1</v>
      </c>
      <c r="E453" s="15">
        <v>29</v>
      </c>
      <c r="F453" s="190">
        <f t="shared" si="154"/>
        <v>0</v>
      </c>
      <c r="G453" s="149" t="str">
        <f t="shared" si="154"/>
        <v/>
      </c>
      <c r="H453" s="150" t="str">
        <f t="shared" si="154"/>
        <v/>
      </c>
      <c r="I453" s="150">
        <f t="shared" si="154"/>
        <v>0</v>
      </c>
      <c r="J453" s="150">
        <f t="shared" si="154"/>
        <v>0</v>
      </c>
      <c r="K453" s="196"/>
      <c r="L453" s="197"/>
      <c r="M453" s="191">
        <f t="shared" si="155"/>
        <v>0</v>
      </c>
      <c r="N453" s="150">
        <f t="shared" si="155"/>
        <v>0</v>
      </c>
      <c r="O453" s="193">
        <f t="shared" si="155"/>
        <v>0</v>
      </c>
      <c r="P453" s="162">
        <f t="shared" si="156"/>
        <v>0</v>
      </c>
      <c r="Q453" s="162">
        <f t="shared" si="156"/>
        <v>0</v>
      </c>
      <c r="R453" s="162">
        <f t="shared" si="156"/>
        <v>0</v>
      </c>
      <c r="S453" s="162">
        <f t="shared" si="156"/>
        <v>0</v>
      </c>
      <c r="T453" s="162">
        <f t="shared" si="156"/>
        <v>0</v>
      </c>
      <c r="U453" s="162">
        <f t="shared" si="156"/>
        <v>0</v>
      </c>
      <c r="V453" s="162">
        <f t="shared" si="156"/>
        <v>0</v>
      </c>
      <c r="W453" s="162">
        <f t="shared" si="156"/>
        <v>0</v>
      </c>
      <c r="X453" s="162">
        <f t="shared" si="156"/>
        <v>0</v>
      </c>
      <c r="Y453" s="162">
        <f t="shared" si="156"/>
        <v>0</v>
      </c>
      <c r="Z453" s="162">
        <f t="shared" si="156"/>
        <v>0</v>
      </c>
      <c r="AA453" s="162">
        <f t="shared" si="156"/>
        <v>0</v>
      </c>
      <c r="AB453" s="163">
        <f t="shared" si="150"/>
        <v>0</v>
      </c>
      <c r="AC453" s="198"/>
      <c r="AE453" s="194" t="str">
        <f t="shared" si="151"/>
        <v/>
      </c>
      <c r="AF453" s="161">
        <f t="shared" si="157"/>
        <v>0</v>
      </c>
      <c r="AG453" s="162">
        <f t="shared" si="157"/>
        <v>0</v>
      </c>
      <c r="AH453" s="162">
        <f t="shared" si="157"/>
        <v>0</v>
      </c>
      <c r="AI453" s="162">
        <f t="shared" si="157"/>
        <v>0</v>
      </c>
      <c r="AJ453" s="162">
        <f t="shared" si="157"/>
        <v>0</v>
      </c>
      <c r="AK453" s="162">
        <f t="shared" si="157"/>
        <v>0</v>
      </c>
      <c r="AL453" s="162">
        <f t="shared" si="157"/>
        <v>0</v>
      </c>
      <c r="AM453" s="162">
        <f t="shared" si="157"/>
        <v>0</v>
      </c>
      <c r="AN453" s="162">
        <f t="shared" si="157"/>
        <v>0</v>
      </c>
      <c r="AO453" s="162">
        <f t="shared" si="157"/>
        <v>0</v>
      </c>
      <c r="AP453" s="162">
        <f t="shared" si="157"/>
        <v>0</v>
      </c>
      <c r="AQ453" s="162">
        <f t="shared" si="157"/>
        <v>0</v>
      </c>
      <c r="AR453" s="163">
        <f t="shared" si="153"/>
        <v>0</v>
      </c>
      <c r="AT453" s="208">
        <f>IFERROR(VLOOKUP(J453,#REF!,10,0),0)</f>
        <v>0</v>
      </c>
    </row>
    <row r="454" spans="1:46" hidden="1" outlineLevel="1" x14ac:dyDescent="0.25">
      <c r="A454" s="14" t="str">
        <f t="shared" si="139"/>
        <v>PROP_OPER__30</v>
      </c>
      <c r="B454" s="15" t="str">
        <f t="shared" si="146"/>
        <v>PROP_OPER__0_0</v>
      </c>
      <c r="D454" s="15">
        <v>1</v>
      </c>
      <c r="E454" s="15">
        <v>30</v>
      </c>
      <c r="F454" s="190">
        <f t="shared" si="154"/>
        <v>0</v>
      </c>
      <c r="G454" s="149" t="str">
        <f t="shared" si="154"/>
        <v/>
      </c>
      <c r="H454" s="150" t="str">
        <f t="shared" si="154"/>
        <v/>
      </c>
      <c r="I454" s="150">
        <f t="shared" si="154"/>
        <v>0</v>
      </c>
      <c r="J454" s="150">
        <f t="shared" si="154"/>
        <v>0</v>
      </c>
      <c r="K454" s="196"/>
      <c r="L454" s="197"/>
      <c r="M454" s="191">
        <f t="shared" si="155"/>
        <v>0</v>
      </c>
      <c r="N454" s="150">
        <f t="shared" si="155"/>
        <v>0</v>
      </c>
      <c r="O454" s="193">
        <f t="shared" si="155"/>
        <v>0</v>
      </c>
      <c r="P454" s="162">
        <f t="shared" si="156"/>
        <v>0</v>
      </c>
      <c r="Q454" s="162">
        <f t="shared" si="156"/>
        <v>0</v>
      </c>
      <c r="R454" s="162">
        <f t="shared" si="156"/>
        <v>0</v>
      </c>
      <c r="S454" s="162">
        <f t="shared" si="156"/>
        <v>0</v>
      </c>
      <c r="T454" s="162">
        <f t="shared" si="156"/>
        <v>0</v>
      </c>
      <c r="U454" s="162">
        <f t="shared" si="156"/>
        <v>0</v>
      </c>
      <c r="V454" s="162">
        <f t="shared" si="156"/>
        <v>0</v>
      </c>
      <c r="W454" s="162">
        <f t="shared" si="156"/>
        <v>0</v>
      </c>
      <c r="X454" s="162">
        <f t="shared" si="156"/>
        <v>0</v>
      </c>
      <c r="Y454" s="162">
        <f t="shared" si="156"/>
        <v>0</v>
      </c>
      <c r="Z454" s="162">
        <f t="shared" si="156"/>
        <v>0</v>
      </c>
      <c r="AA454" s="162">
        <f t="shared" si="156"/>
        <v>0</v>
      </c>
      <c r="AB454" s="163">
        <f t="shared" si="150"/>
        <v>0</v>
      </c>
      <c r="AC454" s="198"/>
      <c r="AE454" s="194" t="str">
        <f t="shared" si="151"/>
        <v/>
      </c>
      <c r="AF454" s="161">
        <f t="shared" si="157"/>
        <v>0</v>
      </c>
      <c r="AG454" s="162">
        <f t="shared" si="157"/>
        <v>0</v>
      </c>
      <c r="AH454" s="162">
        <f t="shared" si="157"/>
        <v>0</v>
      </c>
      <c r="AI454" s="162">
        <f t="shared" si="157"/>
        <v>0</v>
      </c>
      <c r="AJ454" s="162">
        <f t="shared" si="157"/>
        <v>0</v>
      </c>
      <c r="AK454" s="162">
        <f t="shared" si="157"/>
        <v>0</v>
      </c>
      <c r="AL454" s="162">
        <f t="shared" si="157"/>
        <v>0</v>
      </c>
      <c r="AM454" s="162">
        <f t="shared" si="157"/>
        <v>0</v>
      </c>
      <c r="AN454" s="162">
        <f t="shared" si="157"/>
        <v>0</v>
      </c>
      <c r="AO454" s="162">
        <f t="shared" si="157"/>
        <v>0</v>
      </c>
      <c r="AP454" s="162">
        <f t="shared" si="157"/>
        <v>0</v>
      </c>
      <c r="AQ454" s="162">
        <f t="shared" si="157"/>
        <v>0</v>
      </c>
      <c r="AR454" s="163">
        <f t="shared" si="153"/>
        <v>0</v>
      </c>
      <c r="AT454" s="208">
        <f>IFERROR(VLOOKUP(J454,#REF!,10,0),0)</f>
        <v>0</v>
      </c>
    </row>
    <row r="455" spans="1:46" hidden="1" outlineLevel="1" x14ac:dyDescent="0.25">
      <c r="A455" s="14" t="str">
        <f t="shared" si="139"/>
        <v>PROP_OPER__31</v>
      </c>
      <c r="B455" s="15" t="str">
        <f t="shared" si="146"/>
        <v>PROP_OPER__0_0</v>
      </c>
      <c r="D455" s="15">
        <v>1</v>
      </c>
      <c r="E455" s="15">
        <v>31</v>
      </c>
      <c r="F455" s="190">
        <f t="shared" si="154"/>
        <v>0</v>
      </c>
      <c r="G455" s="149" t="str">
        <f t="shared" si="154"/>
        <v/>
      </c>
      <c r="H455" s="150" t="str">
        <f t="shared" si="154"/>
        <v/>
      </c>
      <c r="I455" s="150">
        <f t="shared" si="154"/>
        <v>0</v>
      </c>
      <c r="J455" s="150">
        <f t="shared" si="154"/>
        <v>0</v>
      </c>
      <c r="K455" s="196"/>
      <c r="L455" s="197"/>
      <c r="M455" s="191">
        <f t="shared" si="155"/>
        <v>0</v>
      </c>
      <c r="N455" s="150">
        <f t="shared" si="155"/>
        <v>0</v>
      </c>
      <c r="O455" s="193">
        <f t="shared" si="155"/>
        <v>0</v>
      </c>
      <c r="P455" s="162">
        <f t="shared" si="156"/>
        <v>0</v>
      </c>
      <c r="Q455" s="162">
        <f t="shared" si="156"/>
        <v>0</v>
      </c>
      <c r="R455" s="162">
        <f t="shared" si="156"/>
        <v>0</v>
      </c>
      <c r="S455" s="162">
        <f t="shared" si="156"/>
        <v>0</v>
      </c>
      <c r="T455" s="162">
        <f t="shared" si="156"/>
        <v>0</v>
      </c>
      <c r="U455" s="162">
        <f t="shared" si="156"/>
        <v>0</v>
      </c>
      <c r="V455" s="162">
        <f t="shared" si="156"/>
        <v>0</v>
      </c>
      <c r="W455" s="162">
        <f t="shared" si="156"/>
        <v>0</v>
      </c>
      <c r="X455" s="162">
        <f t="shared" si="156"/>
        <v>0</v>
      </c>
      <c r="Y455" s="162">
        <f t="shared" si="156"/>
        <v>0</v>
      </c>
      <c r="Z455" s="162">
        <f t="shared" si="156"/>
        <v>0</v>
      </c>
      <c r="AA455" s="162">
        <f t="shared" si="156"/>
        <v>0</v>
      </c>
      <c r="AB455" s="163">
        <f t="shared" si="150"/>
        <v>0</v>
      </c>
      <c r="AC455" s="198"/>
      <c r="AE455" s="194" t="str">
        <f t="shared" si="151"/>
        <v/>
      </c>
      <c r="AF455" s="161">
        <f t="shared" si="157"/>
        <v>0</v>
      </c>
      <c r="AG455" s="162">
        <f t="shared" si="157"/>
        <v>0</v>
      </c>
      <c r="AH455" s="162">
        <f t="shared" si="157"/>
        <v>0</v>
      </c>
      <c r="AI455" s="162">
        <f t="shared" si="157"/>
        <v>0</v>
      </c>
      <c r="AJ455" s="162">
        <f t="shared" si="157"/>
        <v>0</v>
      </c>
      <c r="AK455" s="162">
        <f t="shared" si="157"/>
        <v>0</v>
      </c>
      <c r="AL455" s="162">
        <f t="shared" si="157"/>
        <v>0</v>
      </c>
      <c r="AM455" s="162">
        <f t="shared" si="157"/>
        <v>0</v>
      </c>
      <c r="AN455" s="162">
        <f t="shared" si="157"/>
        <v>0</v>
      </c>
      <c r="AO455" s="162">
        <f t="shared" si="157"/>
        <v>0</v>
      </c>
      <c r="AP455" s="162">
        <f t="shared" si="157"/>
        <v>0</v>
      </c>
      <c r="AQ455" s="162">
        <f t="shared" si="157"/>
        <v>0</v>
      </c>
      <c r="AR455" s="163">
        <f t="shared" si="153"/>
        <v>0</v>
      </c>
      <c r="AT455" s="208">
        <f>IFERROR(VLOOKUP(J455,#REF!,10,0),0)</f>
        <v>0</v>
      </c>
    </row>
    <row r="456" spans="1:46" hidden="1" outlineLevel="1" x14ac:dyDescent="0.25">
      <c r="A456" s="14" t="str">
        <f t="shared" si="139"/>
        <v>PROP_OPER__32</v>
      </c>
      <c r="B456" s="15" t="str">
        <f t="shared" si="146"/>
        <v>PROP_OPER__0_0</v>
      </c>
      <c r="D456" s="15">
        <v>1</v>
      </c>
      <c r="E456" s="15">
        <v>32</v>
      </c>
      <c r="F456" s="190">
        <f t="shared" si="154"/>
        <v>0</v>
      </c>
      <c r="G456" s="149" t="str">
        <f t="shared" si="154"/>
        <v/>
      </c>
      <c r="H456" s="150" t="str">
        <f t="shared" si="154"/>
        <v/>
      </c>
      <c r="I456" s="150">
        <f t="shared" si="154"/>
        <v>0</v>
      </c>
      <c r="J456" s="150">
        <f t="shared" si="154"/>
        <v>0</v>
      </c>
      <c r="K456" s="196"/>
      <c r="L456" s="197"/>
      <c r="M456" s="191">
        <f t="shared" si="155"/>
        <v>0</v>
      </c>
      <c r="N456" s="150">
        <f t="shared" si="155"/>
        <v>0</v>
      </c>
      <c r="O456" s="193">
        <f t="shared" si="155"/>
        <v>0</v>
      </c>
      <c r="P456" s="162">
        <f t="shared" si="156"/>
        <v>0</v>
      </c>
      <c r="Q456" s="162">
        <f t="shared" si="156"/>
        <v>0</v>
      </c>
      <c r="R456" s="162">
        <f t="shared" si="156"/>
        <v>0</v>
      </c>
      <c r="S456" s="162">
        <f t="shared" si="156"/>
        <v>0</v>
      </c>
      <c r="T456" s="162">
        <f t="shared" si="156"/>
        <v>0</v>
      </c>
      <c r="U456" s="162">
        <f t="shared" si="156"/>
        <v>0</v>
      </c>
      <c r="V456" s="162">
        <f t="shared" si="156"/>
        <v>0</v>
      </c>
      <c r="W456" s="162">
        <f t="shared" si="156"/>
        <v>0</v>
      </c>
      <c r="X456" s="162">
        <f t="shared" si="156"/>
        <v>0</v>
      </c>
      <c r="Y456" s="162">
        <f t="shared" si="156"/>
        <v>0</v>
      </c>
      <c r="Z456" s="162">
        <f t="shared" si="156"/>
        <v>0</v>
      </c>
      <c r="AA456" s="162">
        <f t="shared" si="156"/>
        <v>0</v>
      </c>
      <c r="AB456" s="163">
        <f t="shared" si="150"/>
        <v>0</v>
      </c>
      <c r="AC456" s="198"/>
      <c r="AE456" s="194" t="str">
        <f t="shared" si="151"/>
        <v/>
      </c>
      <c r="AF456" s="161">
        <f t="shared" si="157"/>
        <v>0</v>
      </c>
      <c r="AG456" s="162">
        <f t="shared" si="157"/>
        <v>0</v>
      </c>
      <c r="AH456" s="162">
        <f t="shared" si="157"/>
        <v>0</v>
      </c>
      <c r="AI456" s="162">
        <f t="shared" si="157"/>
        <v>0</v>
      </c>
      <c r="AJ456" s="162">
        <f t="shared" si="157"/>
        <v>0</v>
      </c>
      <c r="AK456" s="162">
        <f t="shared" si="157"/>
        <v>0</v>
      </c>
      <c r="AL456" s="162">
        <f t="shared" si="157"/>
        <v>0</v>
      </c>
      <c r="AM456" s="162">
        <f t="shared" si="157"/>
        <v>0</v>
      </c>
      <c r="AN456" s="162">
        <f t="shared" si="157"/>
        <v>0</v>
      </c>
      <c r="AO456" s="162">
        <f t="shared" si="157"/>
        <v>0</v>
      </c>
      <c r="AP456" s="162">
        <f t="shared" si="157"/>
        <v>0</v>
      </c>
      <c r="AQ456" s="162">
        <f t="shared" si="157"/>
        <v>0</v>
      </c>
      <c r="AR456" s="163">
        <f t="shared" si="153"/>
        <v>0</v>
      </c>
      <c r="AT456" s="208">
        <f>IFERROR(VLOOKUP(J456,#REF!,10,0),0)</f>
        <v>0</v>
      </c>
    </row>
    <row r="457" spans="1:46" hidden="1" outlineLevel="1" x14ac:dyDescent="0.25">
      <c r="A457" s="14" t="str">
        <f t="shared" si="139"/>
        <v>PROP_OPER__33</v>
      </c>
      <c r="B457" s="15" t="str">
        <f t="shared" si="146"/>
        <v>PROP_OPER__0_0</v>
      </c>
      <c r="D457" s="15">
        <v>1</v>
      </c>
      <c r="E457" s="15">
        <v>33</v>
      </c>
      <c r="F457" s="190">
        <f t="shared" ref="F457:J469" si="158">F411</f>
        <v>0</v>
      </c>
      <c r="G457" s="149" t="str">
        <f t="shared" si="158"/>
        <v/>
      </c>
      <c r="H457" s="150" t="str">
        <f t="shared" si="158"/>
        <v/>
      </c>
      <c r="I457" s="150">
        <f t="shared" si="158"/>
        <v>0</v>
      </c>
      <c r="J457" s="150">
        <f t="shared" si="158"/>
        <v>0</v>
      </c>
      <c r="K457" s="196"/>
      <c r="L457" s="197"/>
      <c r="M457" s="191">
        <f t="shared" ref="M457:O469" si="159">M411</f>
        <v>0</v>
      </c>
      <c r="N457" s="150">
        <f t="shared" si="159"/>
        <v>0</v>
      </c>
      <c r="O457" s="193">
        <f t="shared" si="159"/>
        <v>0</v>
      </c>
      <c r="P457" s="162">
        <f t="shared" ref="P457:AA469" si="160">IFERROR(SUMIF($B$16:$B$43,$C457&amp;$I457,P$16:P$43)/SUMIF($D$16:$D$43,$I457,P$16:P$43)*P126,0)</f>
        <v>0</v>
      </c>
      <c r="Q457" s="162">
        <f t="shared" si="160"/>
        <v>0</v>
      </c>
      <c r="R457" s="162">
        <f t="shared" si="160"/>
        <v>0</v>
      </c>
      <c r="S457" s="162">
        <f t="shared" si="160"/>
        <v>0</v>
      </c>
      <c r="T457" s="162">
        <f t="shared" si="160"/>
        <v>0</v>
      </c>
      <c r="U457" s="162">
        <f t="shared" si="160"/>
        <v>0</v>
      </c>
      <c r="V457" s="162">
        <f t="shared" si="160"/>
        <v>0</v>
      </c>
      <c r="W457" s="162">
        <f t="shared" si="160"/>
        <v>0</v>
      </c>
      <c r="X457" s="162">
        <f t="shared" si="160"/>
        <v>0</v>
      </c>
      <c r="Y457" s="162">
        <f t="shared" si="160"/>
        <v>0</v>
      </c>
      <c r="Z457" s="162">
        <f t="shared" si="160"/>
        <v>0</v>
      </c>
      <c r="AA457" s="162">
        <f t="shared" si="160"/>
        <v>0</v>
      </c>
      <c r="AB457" s="163">
        <f t="shared" si="150"/>
        <v>0</v>
      </c>
      <c r="AC457" s="198"/>
      <c r="AE457" s="194" t="str">
        <f t="shared" si="151"/>
        <v/>
      </c>
      <c r="AF457" s="161">
        <f t="shared" ref="AF457:AQ469" si="161">IFERROR(SUMIF($B$16:$B$43,$C457&amp;$I457,P$16:P$43)/SUMIF($D$16:$D$43,$I457,P$16:P$43)*AF126,0)</f>
        <v>0</v>
      </c>
      <c r="AG457" s="162">
        <f t="shared" si="161"/>
        <v>0</v>
      </c>
      <c r="AH457" s="162">
        <f t="shared" si="161"/>
        <v>0</v>
      </c>
      <c r="AI457" s="162">
        <f t="shared" si="161"/>
        <v>0</v>
      </c>
      <c r="AJ457" s="162">
        <f t="shared" si="161"/>
        <v>0</v>
      </c>
      <c r="AK457" s="162">
        <f t="shared" si="161"/>
        <v>0</v>
      </c>
      <c r="AL457" s="162">
        <f t="shared" si="161"/>
        <v>0</v>
      </c>
      <c r="AM457" s="162">
        <f t="shared" si="161"/>
        <v>0</v>
      </c>
      <c r="AN457" s="162">
        <f t="shared" si="161"/>
        <v>0</v>
      </c>
      <c r="AO457" s="162">
        <f t="shared" si="161"/>
        <v>0</v>
      </c>
      <c r="AP457" s="162">
        <f t="shared" si="161"/>
        <v>0</v>
      </c>
      <c r="AQ457" s="162">
        <f t="shared" si="161"/>
        <v>0</v>
      </c>
      <c r="AR457" s="163">
        <f t="shared" si="153"/>
        <v>0</v>
      </c>
      <c r="AT457" s="208">
        <f>IFERROR(VLOOKUP(J457,#REF!,10,0),0)</f>
        <v>0</v>
      </c>
    </row>
    <row r="458" spans="1:46" hidden="1" outlineLevel="1" x14ac:dyDescent="0.25">
      <c r="A458" s="14" t="str">
        <f t="shared" si="139"/>
        <v>PROP_OPER__34</v>
      </c>
      <c r="B458" s="15" t="str">
        <f t="shared" si="146"/>
        <v>PROP_OPER__0_0</v>
      </c>
      <c r="D458" s="15">
        <v>1</v>
      </c>
      <c r="E458" s="15">
        <v>34</v>
      </c>
      <c r="F458" s="190">
        <f t="shared" si="158"/>
        <v>0</v>
      </c>
      <c r="G458" s="149" t="str">
        <f t="shared" si="158"/>
        <v/>
      </c>
      <c r="H458" s="150" t="str">
        <f t="shared" si="158"/>
        <v/>
      </c>
      <c r="I458" s="150">
        <f t="shared" si="158"/>
        <v>0</v>
      </c>
      <c r="J458" s="150">
        <f t="shared" si="158"/>
        <v>0</v>
      </c>
      <c r="K458" s="196"/>
      <c r="L458" s="197"/>
      <c r="M458" s="191">
        <f t="shared" si="159"/>
        <v>0</v>
      </c>
      <c r="N458" s="150">
        <f t="shared" si="159"/>
        <v>0</v>
      </c>
      <c r="O458" s="193">
        <f t="shared" si="159"/>
        <v>0</v>
      </c>
      <c r="P458" s="162">
        <f t="shared" si="160"/>
        <v>0</v>
      </c>
      <c r="Q458" s="162">
        <f t="shared" si="160"/>
        <v>0</v>
      </c>
      <c r="R458" s="162">
        <f t="shared" si="160"/>
        <v>0</v>
      </c>
      <c r="S458" s="162">
        <f t="shared" si="160"/>
        <v>0</v>
      </c>
      <c r="T458" s="162">
        <f t="shared" si="160"/>
        <v>0</v>
      </c>
      <c r="U458" s="162">
        <f t="shared" si="160"/>
        <v>0</v>
      </c>
      <c r="V458" s="162">
        <f t="shared" si="160"/>
        <v>0</v>
      </c>
      <c r="W458" s="162">
        <f t="shared" si="160"/>
        <v>0</v>
      </c>
      <c r="X458" s="162">
        <f t="shared" si="160"/>
        <v>0</v>
      </c>
      <c r="Y458" s="162">
        <f t="shared" si="160"/>
        <v>0</v>
      </c>
      <c r="Z458" s="162">
        <f t="shared" si="160"/>
        <v>0</v>
      </c>
      <c r="AA458" s="162">
        <f t="shared" si="160"/>
        <v>0</v>
      </c>
      <c r="AB458" s="163">
        <f t="shared" si="150"/>
        <v>0</v>
      </c>
      <c r="AC458" s="198"/>
      <c r="AE458" s="194" t="str">
        <f t="shared" si="151"/>
        <v/>
      </c>
      <c r="AF458" s="161">
        <f t="shared" si="161"/>
        <v>0</v>
      </c>
      <c r="AG458" s="162">
        <f t="shared" si="161"/>
        <v>0</v>
      </c>
      <c r="AH458" s="162">
        <f t="shared" si="161"/>
        <v>0</v>
      </c>
      <c r="AI458" s="162">
        <f t="shared" si="161"/>
        <v>0</v>
      </c>
      <c r="AJ458" s="162">
        <f t="shared" si="161"/>
        <v>0</v>
      </c>
      <c r="AK458" s="162">
        <f t="shared" si="161"/>
        <v>0</v>
      </c>
      <c r="AL458" s="162">
        <f t="shared" si="161"/>
        <v>0</v>
      </c>
      <c r="AM458" s="162">
        <f t="shared" si="161"/>
        <v>0</v>
      </c>
      <c r="AN458" s="162">
        <f t="shared" si="161"/>
        <v>0</v>
      </c>
      <c r="AO458" s="162">
        <f t="shared" si="161"/>
        <v>0</v>
      </c>
      <c r="AP458" s="162">
        <f t="shared" si="161"/>
        <v>0</v>
      </c>
      <c r="AQ458" s="162">
        <f t="shared" si="161"/>
        <v>0</v>
      </c>
      <c r="AR458" s="163">
        <f t="shared" si="153"/>
        <v>0</v>
      </c>
      <c r="AT458" s="208">
        <f>IFERROR(VLOOKUP(J458,#REF!,10,0),0)</f>
        <v>0</v>
      </c>
    </row>
    <row r="459" spans="1:46" hidden="1" outlineLevel="1" x14ac:dyDescent="0.25">
      <c r="A459" s="14" t="str">
        <f t="shared" si="139"/>
        <v>PROP_OPER__35</v>
      </c>
      <c r="B459" s="15" t="str">
        <f t="shared" si="146"/>
        <v>PROP_OPER__0_0</v>
      </c>
      <c r="D459" s="15">
        <v>1</v>
      </c>
      <c r="E459" s="15">
        <v>35</v>
      </c>
      <c r="F459" s="190">
        <f t="shared" si="158"/>
        <v>0</v>
      </c>
      <c r="G459" s="149" t="str">
        <f t="shared" si="158"/>
        <v/>
      </c>
      <c r="H459" s="150" t="str">
        <f t="shared" si="158"/>
        <v/>
      </c>
      <c r="I459" s="150">
        <f t="shared" si="158"/>
        <v>0</v>
      </c>
      <c r="J459" s="150">
        <f t="shared" si="158"/>
        <v>0</v>
      </c>
      <c r="K459" s="196"/>
      <c r="L459" s="197"/>
      <c r="M459" s="191">
        <f t="shared" si="159"/>
        <v>0</v>
      </c>
      <c r="N459" s="150">
        <f t="shared" si="159"/>
        <v>0</v>
      </c>
      <c r="O459" s="193">
        <f t="shared" si="159"/>
        <v>0</v>
      </c>
      <c r="P459" s="162">
        <f t="shared" si="160"/>
        <v>0</v>
      </c>
      <c r="Q459" s="162">
        <f t="shared" si="160"/>
        <v>0</v>
      </c>
      <c r="R459" s="162">
        <f t="shared" si="160"/>
        <v>0</v>
      </c>
      <c r="S459" s="162">
        <f t="shared" si="160"/>
        <v>0</v>
      </c>
      <c r="T459" s="162">
        <f t="shared" si="160"/>
        <v>0</v>
      </c>
      <c r="U459" s="162">
        <f t="shared" si="160"/>
        <v>0</v>
      </c>
      <c r="V459" s="162">
        <f t="shared" si="160"/>
        <v>0</v>
      </c>
      <c r="W459" s="162">
        <f t="shared" si="160"/>
        <v>0</v>
      </c>
      <c r="X459" s="162">
        <f t="shared" si="160"/>
        <v>0</v>
      </c>
      <c r="Y459" s="162">
        <f t="shared" si="160"/>
        <v>0</v>
      </c>
      <c r="Z459" s="162">
        <f t="shared" si="160"/>
        <v>0</v>
      </c>
      <c r="AA459" s="162">
        <f t="shared" si="160"/>
        <v>0</v>
      </c>
      <c r="AB459" s="163">
        <f t="shared" si="150"/>
        <v>0</v>
      </c>
      <c r="AC459" s="198"/>
      <c r="AE459" s="194" t="str">
        <f t="shared" si="151"/>
        <v/>
      </c>
      <c r="AF459" s="161">
        <f t="shared" si="161"/>
        <v>0</v>
      </c>
      <c r="AG459" s="162">
        <f t="shared" si="161"/>
        <v>0</v>
      </c>
      <c r="AH459" s="162">
        <f t="shared" si="161"/>
        <v>0</v>
      </c>
      <c r="AI459" s="162">
        <f t="shared" si="161"/>
        <v>0</v>
      </c>
      <c r="AJ459" s="162">
        <f t="shared" si="161"/>
        <v>0</v>
      </c>
      <c r="AK459" s="162">
        <f t="shared" si="161"/>
        <v>0</v>
      </c>
      <c r="AL459" s="162">
        <f t="shared" si="161"/>
        <v>0</v>
      </c>
      <c r="AM459" s="162">
        <f t="shared" si="161"/>
        <v>0</v>
      </c>
      <c r="AN459" s="162">
        <f t="shared" si="161"/>
        <v>0</v>
      </c>
      <c r="AO459" s="162">
        <f t="shared" si="161"/>
        <v>0</v>
      </c>
      <c r="AP459" s="162">
        <f t="shared" si="161"/>
        <v>0</v>
      </c>
      <c r="AQ459" s="162">
        <f t="shared" si="161"/>
        <v>0</v>
      </c>
      <c r="AR459" s="163">
        <f t="shared" si="153"/>
        <v>0</v>
      </c>
      <c r="AT459" s="208">
        <f>IFERROR(VLOOKUP(J459,#REF!,10,0),0)</f>
        <v>0</v>
      </c>
    </row>
    <row r="460" spans="1:46" hidden="1" outlineLevel="1" x14ac:dyDescent="0.25">
      <c r="A460" s="14" t="str">
        <f t="shared" si="139"/>
        <v>PROP_OPER__36</v>
      </c>
      <c r="B460" s="15" t="str">
        <f t="shared" si="146"/>
        <v>PROP_OPER__0_0</v>
      </c>
      <c r="D460" s="15">
        <v>1</v>
      </c>
      <c r="E460" s="15">
        <v>36</v>
      </c>
      <c r="F460" s="190">
        <f t="shared" si="158"/>
        <v>0</v>
      </c>
      <c r="G460" s="149" t="str">
        <f t="shared" si="158"/>
        <v/>
      </c>
      <c r="H460" s="150" t="str">
        <f t="shared" si="158"/>
        <v/>
      </c>
      <c r="I460" s="150">
        <f t="shared" si="158"/>
        <v>0</v>
      </c>
      <c r="J460" s="150">
        <f t="shared" si="158"/>
        <v>0</v>
      </c>
      <c r="K460" s="196"/>
      <c r="L460" s="197"/>
      <c r="M460" s="191">
        <f t="shared" si="159"/>
        <v>0</v>
      </c>
      <c r="N460" s="150">
        <f t="shared" si="159"/>
        <v>0</v>
      </c>
      <c r="O460" s="193">
        <f t="shared" si="159"/>
        <v>0</v>
      </c>
      <c r="P460" s="162">
        <f t="shared" si="160"/>
        <v>0</v>
      </c>
      <c r="Q460" s="162">
        <f t="shared" si="160"/>
        <v>0</v>
      </c>
      <c r="R460" s="162">
        <f t="shared" si="160"/>
        <v>0</v>
      </c>
      <c r="S460" s="162">
        <f t="shared" si="160"/>
        <v>0</v>
      </c>
      <c r="T460" s="162">
        <f t="shared" si="160"/>
        <v>0</v>
      </c>
      <c r="U460" s="162">
        <f t="shared" si="160"/>
        <v>0</v>
      </c>
      <c r="V460" s="162">
        <f t="shared" si="160"/>
        <v>0</v>
      </c>
      <c r="W460" s="162">
        <f t="shared" si="160"/>
        <v>0</v>
      </c>
      <c r="X460" s="162">
        <f t="shared" si="160"/>
        <v>0</v>
      </c>
      <c r="Y460" s="162">
        <f t="shared" si="160"/>
        <v>0</v>
      </c>
      <c r="Z460" s="162">
        <f t="shared" si="160"/>
        <v>0</v>
      </c>
      <c r="AA460" s="162">
        <f t="shared" si="160"/>
        <v>0</v>
      </c>
      <c r="AB460" s="163">
        <f t="shared" si="150"/>
        <v>0</v>
      </c>
      <c r="AC460" s="198"/>
      <c r="AE460" s="194" t="str">
        <f t="shared" si="151"/>
        <v/>
      </c>
      <c r="AF460" s="161">
        <f t="shared" si="161"/>
        <v>0</v>
      </c>
      <c r="AG460" s="162">
        <f t="shared" si="161"/>
        <v>0</v>
      </c>
      <c r="AH460" s="162">
        <f t="shared" si="161"/>
        <v>0</v>
      </c>
      <c r="AI460" s="162">
        <f t="shared" si="161"/>
        <v>0</v>
      </c>
      <c r="AJ460" s="162">
        <f t="shared" si="161"/>
        <v>0</v>
      </c>
      <c r="AK460" s="162">
        <f t="shared" si="161"/>
        <v>0</v>
      </c>
      <c r="AL460" s="162">
        <f t="shared" si="161"/>
        <v>0</v>
      </c>
      <c r="AM460" s="162">
        <f t="shared" si="161"/>
        <v>0</v>
      </c>
      <c r="AN460" s="162">
        <f t="shared" si="161"/>
        <v>0</v>
      </c>
      <c r="AO460" s="162">
        <f t="shared" si="161"/>
        <v>0</v>
      </c>
      <c r="AP460" s="162">
        <f t="shared" si="161"/>
        <v>0</v>
      </c>
      <c r="AQ460" s="162">
        <f t="shared" si="161"/>
        <v>0</v>
      </c>
      <c r="AR460" s="163">
        <f t="shared" si="153"/>
        <v>0</v>
      </c>
      <c r="AT460" s="208">
        <f>IFERROR(VLOOKUP(J460,#REF!,10,0),0)</f>
        <v>0</v>
      </c>
    </row>
    <row r="461" spans="1:46" hidden="1" outlineLevel="1" x14ac:dyDescent="0.25">
      <c r="A461" s="14" t="str">
        <f t="shared" ref="A461:A469" si="162">"PROP_OPER_"&amp;C461&amp;"_"&amp;E461</f>
        <v>PROP_OPER__37</v>
      </c>
      <c r="B461" s="15" t="str">
        <f t="shared" si="146"/>
        <v>PROP_OPER__0_0</v>
      </c>
      <c r="D461" s="15">
        <v>1</v>
      </c>
      <c r="E461" s="15">
        <v>37</v>
      </c>
      <c r="F461" s="190">
        <f t="shared" si="158"/>
        <v>0</v>
      </c>
      <c r="G461" s="149" t="str">
        <f t="shared" si="158"/>
        <v/>
      </c>
      <c r="H461" s="150" t="str">
        <f t="shared" si="158"/>
        <v/>
      </c>
      <c r="I461" s="150">
        <f t="shared" si="158"/>
        <v>0</v>
      </c>
      <c r="J461" s="150">
        <f t="shared" si="158"/>
        <v>0</v>
      </c>
      <c r="K461" s="196"/>
      <c r="L461" s="197"/>
      <c r="M461" s="191">
        <f t="shared" si="159"/>
        <v>0</v>
      </c>
      <c r="N461" s="150">
        <f t="shared" si="159"/>
        <v>0</v>
      </c>
      <c r="O461" s="193">
        <f t="shared" si="159"/>
        <v>0</v>
      </c>
      <c r="P461" s="162">
        <f t="shared" si="160"/>
        <v>0</v>
      </c>
      <c r="Q461" s="162">
        <f t="shared" si="160"/>
        <v>0</v>
      </c>
      <c r="R461" s="162">
        <f t="shared" si="160"/>
        <v>0</v>
      </c>
      <c r="S461" s="162">
        <f t="shared" si="160"/>
        <v>0</v>
      </c>
      <c r="T461" s="162">
        <f t="shared" si="160"/>
        <v>0</v>
      </c>
      <c r="U461" s="162">
        <f t="shared" si="160"/>
        <v>0</v>
      </c>
      <c r="V461" s="162">
        <f t="shared" si="160"/>
        <v>0</v>
      </c>
      <c r="W461" s="162">
        <f t="shared" si="160"/>
        <v>0</v>
      </c>
      <c r="X461" s="162">
        <f t="shared" si="160"/>
        <v>0</v>
      </c>
      <c r="Y461" s="162">
        <f t="shared" si="160"/>
        <v>0</v>
      </c>
      <c r="Z461" s="162">
        <f t="shared" si="160"/>
        <v>0</v>
      </c>
      <c r="AA461" s="162">
        <f t="shared" si="160"/>
        <v>0</v>
      </c>
      <c r="AB461" s="163">
        <f t="shared" si="150"/>
        <v>0</v>
      </c>
      <c r="AC461" s="198"/>
      <c r="AE461" s="194" t="str">
        <f t="shared" si="151"/>
        <v/>
      </c>
      <c r="AF461" s="161">
        <f t="shared" si="161"/>
        <v>0</v>
      </c>
      <c r="AG461" s="162">
        <f t="shared" si="161"/>
        <v>0</v>
      </c>
      <c r="AH461" s="162">
        <f t="shared" si="161"/>
        <v>0</v>
      </c>
      <c r="AI461" s="162">
        <f t="shared" si="161"/>
        <v>0</v>
      </c>
      <c r="AJ461" s="162">
        <f t="shared" si="161"/>
        <v>0</v>
      </c>
      <c r="AK461" s="162">
        <f t="shared" si="161"/>
        <v>0</v>
      </c>
      <c r="AL461" s="162">
        <f t="shared" si="161"/>
        <v>0</v>
      </c>
      <c r="AM461" s="162">
        <f t="shared" si="161"/>
        <v>0</v>
      </c>
      <c r="AN461" s="162">
        <f t="shared" si="161"/>
        <v>0</v>
      </c>
      <c r="AO461" s="162">
        <f t="shared" si="161"/>
        <v>0</v>
      </c>
      <c r="AP461" s="162">
        <f t="shared" si="161"/>
        <v>0</v>
      </c>
      <c r="AQ461" s="162">
        <f t="shared" si="161"/>
        <v>0</v>
      </c>
      <c r="AR461" s="163">
        <f t="shared" si="153"/>
        <v>0</v>
      </c>
      <c r="AT461" s="208">
        <f>IFERROR(VLOOKUP(J461,#REF!,10,0),0)</f>
        <v>0</v>
      </c>
    </row>
    <row r="462" spans="1:46" hidden="1" outlineLevel="1" x14ac:dyDescent="0.25">
      <c r="A462" s="14" t="str">
        <f t="shared" si="162"/>
        <v>PROP_OPER__38</v>
      </c>
      <c r="B462" s="15" t="str">
        <f t="shared" si="146"/>
        <v>PROP_OPER__0_0</v>
      </c>
      <c r="D462" s="15">
        <v>1</v>
      </c>
      <c r="E462" s="15">
        <v>38</v>
      </c>
      <c r="F462" s="190">
        <f t="shared" si="158"/>
        <v>0</v>
      </c>
      <c r="G462" s="149" t="str">
        <f t="shared" si="158"/>
        <v/>
      </c>
      <c r="H462" s="150" t="str">
        <f t="shared" si="158"/>
        <v/>
      </c>
      <c r="I462" s="150">
        <f t="shared" si="158"/>
        <v>0</v>
      </c>
      <c r="J462" s="150">
        <f t="shared" si="158"/>
        <v>0</v>
      </c>
      <c r="K462" s="196"/>
      <c r="L462" s="197"/>
      <c r="M462" s="191">
        <f t="shared" si="159"/>
        <v>0</v>
      </c>
      <c r="N462" s="150">
        <f t="shared" si="159"/>
        <v>0</v>
      </c>
      <c r="O462" s="193">
        <f t="shared" si="159"/>
        <v>0</v>
      </c>
      <c r="P462" s="162">
        <f t="shared" si="160"/>
        <v>0</v>
      </c>
      <c r="Q462" s="162">
        <f t="shared" si="160"/>
        <v>0</v>
      </c>
      <c r="R462" s="162">
        <f t="shared" si="160"/>
        <v>0</v>
      </c>
      <c r="S462" s="162">
        <f t="shared" si="160"/>
        <v>0</v>
      </c>
      <c r="T462" s="162">
        <f t="shared" si="160"/>
        <v>0</v>
      </c>
      <c r="U462" s="162">
        <f t="shared" si="160"/>
        <v>0</v>
      </c>
      <c r="V462" s="162">
        <f t="shared" si="160"/>
        <v>0</v>
      </c>
      <c r="W462" s="162">
        <f t="shared" si="160"/>
        <v>0</v>
      </c>
      <c r="X462" s="162">
        <f t="shared" si="160"/>
        <v>0</v>
      </c>
      <c r="Y462" s="162">
        <f t="shared" si="160"/>
        <v>0</v>
      </c>
      <c r="Z462" s="162">
        <f t="shared" si="160"/>
        <v>0</v>
      </c>
      <c r="AA462" s="162">
        <f t="shared" si="160"/>
        <v>0</v>
      </c>
      <c r="AB462" s="163">
        <f t="shared" si="150"/>
        <v>0</v>
      </c>
      <c r="AC462" s="198"/>
      <c r="AE462" s="194" t="str">
        <f t="shared" si="151"/>
        <v/>
      </c>
      <c r="AF462" s="161">
        <f t="shared" si="161"/>
        <v>0</v>
      </c>
      <c r="AG462" s="162">
        <f t="shared" si="161"/>
        <v>0</v>
      </c>
      <c r="AH462" s="162">
        <f t="shared" si="161"/>
        <v>0</v>
      </c>
      <c r="AI462" s="162">
        <f t="shared" si="161"/>
        <v>0</v>
      </c>
      <c r="AJ462" s="162">
        <f t="shared" si="161"/>
        <v>0</v>
      </c>
      <c r="AK462" s="162">
        <f t="shared" si="161"/>
        <v>0</v>
      </c>
      <c r="AL462" s="162">
        <f t="shared" si="161"/>
        <v>0</v>
      </c>
      <c r="AM462" s="162">
        <f t="shared" si="161"/>
        <v>0</v>
      </c>
      <c r="AN462" s="162">
        <f t="shared" si="161"/>
        <v>0</v>
      </c>
      <c r="AO462" s="162">
        <f t="shared" si="161"/>
        <v>0</v>
      </c>
      <c r="AP462" s="162">
        <f t="shared" si="161"/>
        <v>0</v>
      </c>
      <c r="AQ462" s="162">
        <f t="shared" si="161"/>
        <v>0</v>
      </c>
      <c r="AR462" s="163">
        <f t="shared" si="153"/>
        <v>0</v>
      </c>
      <c r="AT462" s="208">
        <f>IFERROR(VLOOKUP(J462,#REF!,10,0),0)</f>
        <v>0</v>
      </c>
    </row>
    <row r="463" spans="1:46" hidden="1" outlineLevel="1" x14ac:dyDescent="0.25">
      <c r="A463" s="14" t="str">
        <f t="shared" si="162"/>
        <v>PROP_OPER__39</v>
      </c>
      <c r="B463" s="15" t="str">
        <f t="shared" si="146"/>
        <v>PROP_OPER__0_0</v>
      </c>
      <c r="D463" s="15">
        <v>1</v>
      </c>
      <c r="E463" s="15">
        <v>39</v>
      </c>
      <c r="F463" s="190">
        <f t="shared" si="158"/>
        <v>0</v>
      </c>
      <c r="G463" s="149" t="str">
        <f t="shared" si="158"/>
        <v/>
      </c>
      <c r="H463" s="150" t="str">
        <f t="shared" si="158"/>
        <v/>
      </c>
      <c r="I463" s="150">
        <f t="shared" si="158"/>
        <v>0</v>
      </c>
      <c r="J463" s="150">
        <f t="shared" si="158"/>
        <v>0</v>
      </c>
      <c r="K463" s="196"/>
      <c r="L463" s="197"/>
      <c r="M463" s="191">
        <f t="shared" si="159"/>
        <v>0</v>
      </c>
      <c r="N463" s="150">
        <f t="shared" si="159"/>
        <v>0</v>
      </c>
      <c r="O463" s="193">
        <f t="shared" si="159"/>
        <v>0</v>
      </c>
      <c r="P463" s="162">
        <f t="shared" si="160"/>
        <v>0</v>
      </c>
      <c r="Q463" s="162">
        <f t="shared" si="160"/>
        <v>0</v>
      </c>
      <c r="R463" s="162">
        <f t="shared" si="160"/>
        <v>0</v>
      </c>
      <c r="S463" s="162">
        <f t="shared" si="160"/>
        <v>0</v>
      </c>
      <c r="T463" s="162">
        <f t="shared" si="160"/>
        <v>0</v>
      </c>
      <c r="U463" s="162">
        <f t="shared" si="160"/>
        <v>0</v>
      </c>
      <c r="V463" s="162">
        <f t="shared" si="160"/>
        <v>0</v>
      </c>
      <c r="W463" s="162">
        <f t="shared" si="160"/>
        <v>0</v>
      </c>
      <c r="X463" s="162">
        <f t="shared" si="160"/>
        <v>0</v>
      </c>
      <c r="Y463" s="162">
        <f t="shared" si="160"/>
        <v>0</v>
      </c>
      <c r="Z463" s="162">
        <f t="shared" si="160"/>
        <v>0</v>
      </c>
      <c r="AA463" s="162">
        <f t="shared" si="160"/>
        <v>0</v>
      </c>
      <c r="AB463" s="163">
        <f t="shared" si="150"/>
        <v>0</v>
      </c>
      <c r="AC463" s="198"/>
      <c r="AE463" s="194" t="str">
        <f t="shared" si="151"/>
        <v/>
      </c>
      <c r="AF463" s="161">
        <f t="shared" si="161"/>
        <v>0</v>
      </c>
      <c r="AG463" s="162">
        <f t="shared" si="161"/>
        <v>0</v>
      </c>
      <c r="AH463" s="162">
        <f t="shared" si="161"/>
        <v>0</v>
      </c>
      <c r="AI463" s="162">
        <f t="shared" si="161"/>
        <v>0</v>
      </c>
      <c r="AJ463" s="162">
        <f t="shared" si="161"/>
        <v>0</v>
      </c>
      <c r="AK463" s="162">
        <f t="shared" si="161"/>
        <v>0</v>
      </c>
      <c r="AL463" s="162">
        <f t="shared" si="161"/>
        <v>0</v>
      </c>
      <c r="AM463" s="162">
        <f t="shared" si="161"/>
        <v>0</v>
      </c>
      <c r="AN463" s="162">
        <f t="shared" si="161"/>
        <v>0</v>
      </c>
      <c r="AO463" s="162">
        <f t="shared" si="161"/>
        <v>0</v>
      </c>
      <c r="AP463" s="162">
        <f t="shared" si="161"/>
        <v>0</v>
      </c>
      <c r="AQ463" s="162">
        <f t="shared" si="161"/>
        <v>0</v>
      </c>
      <c r="AR463" s="163">
        <f t="shared" si="153"/>
        <v>0</v>
      </c>
      <c r="AT463" s="208">
        <f>IFERROR(VLOOKUP(J463,#REF!,10,0),0)</f>
        <v>0</v>
      </c>
    </row>
    <row r="464" spans="1:46" hidden="1" outlineLevel="1" x14ac:dyDescent="0.25">
      <c r="A464" s="14" t="str">
        <f t="shared" si="162"/>
        <v>PROP_OPER__40</v>
      </c>
      <c r="B464" s="15" t="str">
        <f t="shared" si="146"/>
        <v>PROP_OPER__0_0</v>
      </c>
      <c r="D464" s="15">
        <v>1</v>
      </c>
      <c r="E464" s="15">
        <v>40</v>
      </c>
      <c r="F464" s="190">
        <f t="shared" si="158"/>
        <v>0</v>
      </c>
      <c r="G464" s="149" t="str">
        <f t="shared" si="158"/>
        <v/>
      </c>
      <c r="H464" s="150" t="str">
        <f t="shared" si="158"/>
        <v/>
      </c>
      <c r="I464" s="150">
        <f t="shared" si="158"/>
        <v>0</v>
      </c>
      <c r="J464" s="150">
        <f t="shared" si="158"/>
        <v>0</v>
      </c>
      <c r="K464" s="196"/>
      <c r="L464" s="197"/>
      <c r="M464" s="191">
        <f t="shared" si="159"/>
        <v>0</v>
      </c>
      <c r="N464" s="150">
        <f t="shared" si="159"/>
        <v>0</v>
      </c>
      <c r="O464" s="193">
        <f t="shared" si="159"/>
        <v>0</v>
      </c>
      <c r="P464" s="162">
        <f t="shared" si="160"/>
        <v>0</v>
      </c>
      <c r="Q464" s="162">
        <f t="shared" si="160"/>
        <v>0</v>
      </c>
      <c r="R464" s="162">
        <f t="shared" si="160"/>
        <v>0</v>
      </c>
      <c r="S464" s="162">
        <f t="shared" si="160"/>
        <v>0</v>
      </c>
      <c r="T464" s="162">
        <f t="shared" si="160"/>
        <v>0</v>
      </c>
      <c r="U464" s="162">
        <f t="shared" si="160"/>
        <v>0</v>
      </c>
      <c r="V464" s="162">
        <f t="shared" si="160"/>
        <v>0</v>
      </c>
      <c r="W464" s="162">
        <f t="shared" si="160"/>
        <v>0</v>
      </c>
      <c r="X464" s="162">
        <f t="shared" si="160"/>
        <v>0</v>
      </c>
      <c r="Y464" s="162">
        <f t="shared" si="160"/>
        <v>0</v>
      </c>
      <c r="Z464" s="162">
        <f t="shared" si="160"/>
        <v>0</v>
      </c>
      <c r="AA464" s="162">
        <f t="shared" si="160"/>
        <v>0</v>
      </c>
      <c r="AB464" s="163">
        <f t="shared" si="150"/>
        <v>0</v>
      </c>
      <c r="AC464" s="198"/>
      <c r="AE464" s="194" t="str">
        <f t="shared" si="151"/>
        <v/>
      </c>
      <c r="AF464" s="161">
        <f t="shared" si="161"/>
        <v>0</v>
      </c>
      <c r="AG464" s="162">
        <f t="shared" si="161"/>
        <v>0</v>
      </c>
      <c r="AH464" s="162">
        <f t="shared" si="161"/>
        <v>0</v>
      </c>
      <c r="AI464" s="162">
        <f t="shared" si="161"/>
        <v>0</v>
      </c>
      <c r="AJ464" s="162">
        <f t="shared" si="161"/>
        <v>0</v>
      </c>
      <c r="AK464" s="162">
        <f t="shared" si="161"/>
        <v>0</v>
      </c>
      <c r="AL464" s="162">
        <f t="shared" si="161"/>
        <v>0</v>
      </c>
      <c r="AM464" s="162">
        <f t="shared" si="161"/>
        <v>0</v>
      </c>
      <c r="AN464" s="162">
        <f t="shared" si="161"/>
        <v>0</v>
      </c>
      <c r="AO464" s="162">
        <f t="shared" si="161"/>
        <v>0</v>
      </c>
      <c r="AP464" s="162">
        <f t="shared" si="161"/>
        <v>0</v>
      </c>
      <c r="AQ464" s="162">
        <f t="shared" si="161"/>
        <v>0</v>
      </c>
      <c r="AR464" s="163">
        <f t="shared" si="153"/>
        <v>0</v>
      </c>
      <c r="AT464" s="208">
        <f>IFERROR(VLOOKUP(J464,#REF!,10,0),0)</f>
        <v>0</v>
      </c>
    </row>
    <row r="465" spans="1:46" hidden="1" outlineLevel="1" x14ac:dyDescent="0.25">
      <c r="A465" s="14" t="str">
        <f t="shared" si="162"/>
        <v>PROP_OPER__41</v>
      </c>
      <c r="B465" s="15" t="str">
        <f t="shared" si="146"/>
        <v>PROP_OPER__0_0</v>
      </c>
      <c r="D465" s="15">
        <v>1</v>
      </c>
      <c r="E465" s="15">
        <v>41</v>
      </c>
      <c r="F465" s="190">
        <f t="shared" si="158"/>
        <v>0</v>
      </c>
      <c r="G465" s="149" t="str">
        <f t="shared" si="158"/>
        <v/>
      </c>
      <c r="H465" s="150" t="str">
        <f t="shared" si="158"/>
        <v/>
      </c>
      <c r="I465" s="150">
        <f t="shared" si="158"/>
        <v>0</v>
      </c>
      <c r="J465" s="150">
        <f t="shared" si="158"/>
        <v>0</v>
      </c>
      <c r="K465" s="196"/>
      <c r="L465" s="197"/>
      <c r="M465" s="191">
        <f t="shared" si="159"/>
        <v>0</v>
      </c>
      <c r="N465" s="150">
        <f t="shared" si="159"/>
        <v>0</v>
      </c>
      <c r="O465" s="193">
        <f t="shared" si="159"/>
        <v>0</v>
      </c>
      <c r="P465" s="162">
        <f t="shared" si="160"/>
        <v>0</v>
      </c>
      <c r="Q465" s="162">
        <f t="shared" si="160"/>
        <v>0</v>
      </c>
      <c r="R465" s="162">
        <f t="shared" si="160"/>
        <v>0</v>
      </c>
      <c r="S465" s="162">
        <f t="shared" si="160"/>
        <v>0</v>
      </c>
      <c r="T465" s="162">
        <f t="shared" si="160"/>
        <v>0</v>
      </c>
      <c r="U465" s="162">
        <f t="shared" si="160"/>
        <v>0</v>
      </c>
      <c r="V465" s="162">
        <f t="shared" si="160"/>
        <v>0</v>
      </c>
      <c r="W465" s="162">
        <f t="shared" si="160"/>
        <v>0</v>
      </c>
      <c r="X465" s="162">
        <f t="shared" si="160"/>
        <v>0</v>
      </c>
      <c r="Y465" s="162">
        <f t="shared" si="160"/>
        <v>0</v>
      </c>
      <c r="Z465" s="162">
        <f t="shared" si="160"/>
        <v>0</v>
      </c>
      <c r="AA465" s="162">
        <f t="shared" si="160"/>
        <v>0</v>
      </c>
      <c r="AB465" s="163">
        <f t="shared" si="150"/>
        <v>0</v>
      </c>
      <c r="AC465" s="198"/>
      <c r="AE465" s="194" t="str">
        <f t="shared" si="151"/>
        <v/>
      </c>
      <c r="AF465" s="161">
        <f t="shared" si="161"/>
        <v>0</v>
      </c>
      <c r="AG465" s="162">
        <f t="shared" si="161"/>
        <v>0</v>
      </c>
      <c r="AH465" s="162">
        <f t="shared" si="161"/>
        <v>0</v>
      </c>
      <c r="AI465" s="162">
        <f t="shared" si="161"/>
        <v>0</v>
      </c>
      <c r="AJ465" s="162">
        <f t="shared" si="161"/>
        <v>0</v>
      </c>
      <c r="AK465" s="162">
        <f t="shared" si="161"/>
        <v>0</v>
      </c>
      <c r="AL465" s="162">
        <f t="shared" si="161"/>
        <v>0</v>
      </c>
      <c r="AM465" s="162">
        <f t="shared" si="161"/>
        <v>0</v>
      </c>
      <c r="AN465" s="162">
        <f t="shared" si="161"/>
        <v>0</v>
      </c>
      <c r="AO465" s="162">
        <f t="shared" si="161"/>
        <v>0</v>
      </c>
      <c r="AP465" s="162">
        <f t="shared" si="161"/>
        <v>0</v>
      </c>
      <c r="AQ465" s="162">
        <f t="shared" si="161"/>
        <v>0</v>
      </c>
      <c r="AR465" s="163">
        <f t="shared" si="153"/>
        <v>0</v>
      </c>
      <c r="AT465" s="208">
        <f>IFERROR(VLOOKUP(J465,#REF!,10,0),0)</f>
        <v>0</v>
      </c>
    </row>
    <row r="466" spans="1:46" hidden="1" outlineLevel="1" x14ac:dyDescent="0.25">
      <c r="A466" s="14" t="str">
        <f t="shared" si="162"/>
        <v>PROP_OPER__42</v>
      </c>
      <c r="B466" s="15" t="str">
        <f t="shared" si="146"/>
        <v>PROP_OPER__0_0</v>
      </c>
      <c r="D466" s="15">
        <v>1</v>
      </c>
      <c r="E466" s="15">
        <v>42</v>
      </c>
      <c r="F466" s="190">
        <f t="shared" si="158"/>
        <v>0</v>
      </c>
      <c r="G466" s="149" t="str">
        <f t="shared" si="158"/>
        <v/>
      </c>
      <c r="H466" s="150" t="str">
        <f t="shared" si="158"/>
        <v/>
      </c>
      <c r="I466" s="150">
        <f t="shared" si="158"/>
        <v>0</v>
      </c>
      <c r="J466" s="150">
        <f t="shared" si="158"/>
        <v>0</v>
      </c>
      <c r="K466" s="196"/>
      <c r="L466" s="197"/>
      <c r="M466" s="191">
        <f t="shared" si="159"/>
        <v>0</v>
      </c>
      <c r="N466" s="150">
        <f t="shared" si="159"/>
        <v>0</v>
      </c>
      <c r="O466" s="193">
        <f t="shared" si="159"/>
        <v>0</v>
      </c>
      <c r="P466" s="162">
        <f t="shared" si="160"/>
        <v>0</v>
      </c>
      <c r="Q466" s="162">
        <f t="shared" si="160"/>
        <v>0</v>
      </c>
      <c r="R466" s="162">
        <f t="shared" si="160"/>
        <v>0</v>
      </c>
      <c r="S466" s="162">
        <f t="shared" si="160"/>
        <v>0</v>
      </c>
      <c r="T466" s="162">
        <f t="shared" si="160"/>
        <v>0</v>
      </c>
      <c r="U466" s="162">
        <f t="shared" si="160"/>
        <v>0</v>
      </c>
      <c r="V466" s="162">
        <f t="shared" si="160"/>
        <v>0</v>
      </c>
      <c r="W466" s="162">
        <f t="shared" si="160"/>
        <v>0</v>
      </c>
      <c r="X466" s="162">
        <f t="shared" si="160"/>
        <v>0</v>
      </c>
      <c r="Y466" s="162">
        <f t="shared" si="160"/>
        <v>0</v>
      </c>
      <c r="Z466" s="162">
        <f t="shared" si="160"/>
        <v>0</v>
      </c>
      <c r="AA466" s="162">
        <f t="shared" si="160"/>
        <v>0</v>
      </c>
      <c r="AB466" s="163">
        <f t="shared" si="150"/>
        <v>0</v>
      </c>
      <c r="AC466" s="198"/>
      <c r="AE466" s="194" t="str">
        <f t="shared" si="151"/>
        <v/>
      </c>
      <c r="AF466" s="161">
        <f t="shared" si="161"/>
        <v>0</v>
      </c>
      <c r="AG466" s="162">
        <f t="shared" si="161"/>
        <v>0</v>
      </c>
      <c r="AH466" s="162">
        <f t="shared" si="161"/>
        <v>0</v>
      </c>
      <c r="AI466" s="162">
        <f t="shared" si="161"/>
        <v>0</v>
      </c>
      <c r="AJ466" s="162">
        <f t="shared" si="161"/>
        <v>0</v>
      </c>
      <c r="AK466" s="162">
        <f t="shared" si="161"/>
        <v>0</v>
      </c>
      <c r="AL466" s="162">
        <f t="shared" si="161"/>
        <v>0</v>
      </c>
      <c r="AM466" s="162">
        <f t="shared" si="161"/>
        <v>0</v>
      </c>
      <c r="AN466" s="162">
        <f t="shared" si="161"/>
        <v>0</v>
      </c>
      <c r="AO466" s="162">
        <f t="shared" si="161"/>
        <v>0</v>
      </c>
      <c r="AP466" s="162">
        <f t="shared" si="161"/>
        <v>0</v>
      </c>
      <c r="AQ466" s="162">
        <f t="shared" si="161"/>
        <v>0</v>
      </c>
      <c r="AR466" s="163">
        <f t="shared" si="153"/>
        <v>0</v>
      </c>
      <c r="AT466" s="208">
        <f>IFERROR(VLOOKUP(J466,#REF!,10,0),0)</f>
        <v>0</v>
      </c>
    </row>
    <row r="467" spans="1:46" hidden="1" outlineLevel="1" x14ac:dyDescent="0.25">
      <c r="A467" s="14" t="str">
        <f t="shared" si="162"/>
        <v>PROP_OPER__43</v>
      </c>
      <c r="B467" s="15" t="str">
        <f t="shared" si="146"/>
        <v>PROP_OPER__0_0</v>
      </c>
      <c r="D467" s="15">
        <v>1</v>
      </c>
      <c r="E467" s="15">
        <v>43</v>
      </c>
      <c r="F467" s="190">
        <f t="shared" si="158"/>
        <v>0</v>
      </c>
      <c r="G467" s="149" t="str">
        <f t="shared" si="158"/>
        <v/>
      </c>
      <c r="H467" s="150" t="str">
        <f t="shared" si="158"/>
        <v/>
      </c>
      <c r="I467" s="150">
        <f t="shared" si="158"/>
        <v>0</v>
      </c>
      <c r="J467" s="150">
        <f t="shared" si="158"/>
        <v>0</v>
      </c>
      <c r="K467" s="196"/>
      <c r="L467" s="197"/>
      <c r="M467" s="191">
        <f t="shared" si="159"/>
        <v>0</v>
      </c>
      <c r="N467" s="150">
        <f t="shared" si="159"/>
        <v>0</v>
      </c>
      <c r="O467" s="193">
        <f t="shared" si="159"/>
        <v>0</v>
      </c>
      <c r="P467" s="162">
        <f t="shared" si="160"/>
        <v>0</v>
      </c>
      <c r="Q467" s="162">
        <f t="shared" si="160"/>
        <v>0</v>
      </c>
      <c r="R467" s="162">
        <f t="shared" si="160"/>
        <v>0</v>
      </c>
      <c r="S467" s="162">
        <f t="shared" si="160"/>
        <v>0</v>
      </c>
      <c r="T467" s="162">
        <f t="shared" si="160"/>
        <v>0</v>
      </c>
      <c r="U467" s="162">
        <f t="shared" si="160"/>
        <v>0</v>
      </c>
      <c r="V467" s="162">
        <f t="shared" si="160"/>
        <v>0</v>
      </c>
      <c r="W467" s="162">
        <f t="shared" si="160"/>
        <v>0</v>
      </c>
      <c r="X467" s="162">
        <f t="shared" si="160"/>
        <v>0</v>
      </c>
      <c r="Y467" s="162">
        <f t="shared" si="160"/>
        <v>0</v>
      </c>
      <c r="Z467" s="162">
        <f t="shared" si="160"/>
        <v>0</v>
      </c>
      <c r="AA467" s="162">
        <f t="shared" si="160"/>
        <v>0</v>
      </c>
      <c r="AB467" s="163">
        <f t="shared" si="150"/>
        <v>0</v>
      </c>
      <c r="AC467" s="198"/>
      <c r="AE467" s="194" t="str">
        <f t="shared" si="151"/>
        <v/>
      </c>
      <c r="AF467" s="161">
        <f t="shared" si="161"/>
        <v>0</v>
      </c>
      <c r="AG467" s="162">
        <f t="shared" si="161"/>
        <v>0</v>
      </c>
      <c r="AH467" s="162">
        <f t="shared" si="161"/>
        <v>0</v>
      </c>
      <c r="AI467" s="162">
        <f t="shared" si="161"/>
        <v>0</v>
      </c>
      <c r="AJ467" s="162">
        <f t="shared" si="161"/>
        <v>0</v>
      </c>
      <c r="AK467" s="162">
        <f t="shared" si="161"/>
        <v>0</v>
      </c>
      <c r="AL467" s="162">
        <f t="shared" si="161"/>
        <v>0</v>
      </c>
      <c r="AM467" s="162">
        <f t="shared" si="161"/>
        <v>0</v>
      </c>
      <c r="AN467" s="162">
        <f t="shared" si="161"/>
        <v>0</v>
      </c>
      <c r="AO467" s="162">
        <f t="shared" si="161"/>
        <v>0</v>
      </c>
      <c r="AP467" s="162">
        <f t="shared" si="161"/>
        <v>0</v>
      </c>
      <c r="AQ467" s="162">
        <f t="shared" si="161"/>
        <v>0</v>
      </c>
      <c r="AR467" s="163">
        <f t="shared" si="153"/>
        <v>0</v>
      </c>
      <c r="AT467" s="208">
        <f>IFERROR(VLOOKUP(J467,#REF!,10,0),0)</f>
        <v>0</v>
      </c>
    </row>
    <row r="468" spans="1:46" hidden="1" outlineLevel="1" x14ac:dyDescent="0.25">
      <c r="A468" s="14" t="str">
        <f t="shared" si="162"/>
        <v>PROP_OPER__44</v>
      </c>
      <c r="B468" s="15" t="str">
        <f t="shared" si="146"/>
        <v>PROP_OPER__0_0</v>
      </c>
      <c r="D468" s="15">
        <v>1</v>
      </c>
      <c r="E468" s="15">
        <v>44</v>
      </c>
      <c r="F468" s="190">
        <f t="shared" si="158"/>
        <v>0</v>
      </c>
      <c r="G468" s="149" t="str">
        <f t="shared" si="158"/>
        <v/>
      </c>
      <c r="H468" s="150" t="str">
        <f t="shared" si="158"/>
        <v/>
      </c>
      <c r="I468" s="150">
        <f t="shared" si="158"/>
        <v>0</v>
      </c>
      <c r="J468" s="150">
        <f t="shared" si="158"/>
        <v>0</v>
      </c>
      <c r="K468" s="196"/>
      <c r="L468" s="197"/>
      <c r="M468" s="191">
        <f t="shared" si="159"/>
        <v>0</v>
      </c>
      <c r="N468" s="150">
        <f t="shared" si="159"/>
        <v>0</v>
      </c>
      <c r="O468" s="193">
        <f t="shared" si="159"/>
        <v>0</v>
      </c>
      <c r="P468" s="162">
        <f t="shared" si="160"/>
        <v>0</v>
      </c>
      <c r="Q468" s="162">
        <f t="shared" si="160"/>
        <v>0</v>
      </c>
      <c r="R468" s="162">
        <f t="shared" si="160"/>
        <v>0</v>
      </c>
      <c r="S468" s="162">
        <f t="shared" si="160"/>
        <v>0</v>
      </c>
      <c r="T468" s="162">
        <f t="shared" si="160"/>
        <v>0</v>
      </c>
      <c r="U468" s="162">
        <f t="shared" si="160"/>
        <v>0</v>
      </c>
      <c r="V468" s="162">
        <f t="shared" si="160"/>
        <v>0</v>
      </c>
      <c r="W468" s="162">
        <f t="shared" si="160"/>
        <v>0</v>
      </c>
      <c r="X468" s="162">
        <f t="shared" si="160"/>
        <v>0</v>
      </c>
      <c r="Y468" s="162">
        <f t="shared" si="160"/>
        <v>0</v>
      </c>
      <c r="Z468" s="162">
        <f t="shared" si="160"/>
        <v>0</v>
      </c>
      <c r="AA468" s="162">
        <f t="shared" si="160"/>
        <v>0</v>
      </c>
      <c r="AB468" s="163">
        <f t="shared" si="150"/>
        <v>0</v>
      </c>
      <c r="AC468" s="198"/>
      <c r="AE468" s="194" t="str">
        <f t="shared" si="151"/>
        <v/>
      </c>
      <c r="AF468" s="161">
        <f t="shared" si="161"/>
        <v>0</v>
      </c>
      <c r="AG468" s="162">
        <f t="shared" si="161"/>
        <v>0</v>
      </c>
      <c r="AH468" s="162">
        <f t="shared" si="161"/>
        <v>0</v>
      </c>
      <c r="AI468" s="162">
        <f t="shared" si="161"/>
        <v>0</v>
      </c>
      <c r="AJ468" s="162">
        <f t="shared" si="161"/>
        <v>0</v>
      </c>
      <c r="AK468" s="162">
        <f t="shared" si="161"/>
        <v>0</v>
      </c>
      <c r="AL468" s="162">
        <f t="shared" si="161"/>
        <v>0</v>
      </c>
      <c r="AM468" s="162">
        <f t="shared" si="161"/>
        <v>0</v>
      </c>
      <c r="AN468" s="162">
        <f t="shared" si="161"/>
        <v>0</v>
      </c>
      <c r="AO468" s="162">
        <f t="shared" si="161"/>
        <v>0</v>
      </c>
      <c r="AP468" s="162">
        <f t="shared" si="161"/>
        <v>0</v>
      </c>
      <c r="AQ468" s="162">
        <f t="shared" si="161"/>
        <v>0</v>
      </c>
      <c r="AR468" s="163">
        <f t="shared" si="153"/>
        <v>0</v>
      </c>
      <c r="AT468" s="208">
        <f>IFERROR(VLOOKUP(J468,#REF!,10,0),0)</f>
        <v>0</v>
      </c>
    </row>
    <row r="469" spans="1:46" hidden="1" outlineLevel="1" x14ac:dyDescent="0.25">
      <c r="A469" s="14" t="str">
        <f t="shared" si="162"/>
        <v>PROP_OPER__45</v>
      </c>
      <c r="B469" s="15" t="str">
        <f t="shared" si="146"/>
        <v>PROP_OPER__0_0</v>
      </c>
      <c r="D469" s="15">
        <v>1</v>
      </c>
      <c r="E469" s="15">
        <v>45</v>
      </c>
      <c r="F469" s="209">
        <f t="shared" si="158"/>
        <v>0</v>
      </c>
      <c r="G469" s="183" t="str">
        <f t="shared" si="158"/>
        <v/>
      </c>
      <c r="H469" s="184" t="str">
        <f t="shared" si="158"/>
        <v/>
      </c>
      <c r="I469" s="184">
        <f t="shared" si="158"/>
        <v>0</v>
      </c>
      <c r="J469" s="184">
        <f t="shared" si="158"/>
        <v>0</v>
      </c>
      <c r="K469" s="210"/>
      <c r="L469" s="211"/>
      <c r="M469" s="212">
        <f t="shared" si="159"/>
        <v>0</v>
      </c>
      <c r="N469" s="184">
        <f t="shared" si="159"/>
        <v>0</v>
      </c>
      <c r="O469" s="213">
        <f t="shared" si="159"/>
        <v>0</v>
      </c>
      <c r="P469" s="175">
        <f t="shared" si="160"/>
        <v>0</v>
      </c>
      <c r="Q469" s="175">
        <f t="shared" si="160"/>
        <v>0</v>
      </c>
      <c r="R469" s="175">
        <f t="shared" si="160"/>
        <v>0</v>
      </c>
      <c r="S469" s="175">
        <f t="shared" si="160"/>
        <v>0</v>
      </c>
      <c r="T469" s="175">
        <f t="shared" si="160"/>
        <v>0</v>
      </c>
      <c r="U469" s="175">
        <f t="shared" si="160"/>
        <v>0</v>
      </c>
      <c r="V469" s="175">
        <f t="shared" si="160"/>
        <v>0</v>
      </c>
      <c r="W469" s="175">
        <f t="shared" si="160"/>
        <v>0</v>
      </c>
      <c r="X469" s="175">
        <f t="shared" si="160"/>
        <v>0</v>
      </c>
      <c r="Y469" s="175">
        <f t="shared" si="160"/>
        <v>0</v>
      </c>
      <c r="Z469" s="175">
        <f t="shared" si="160"/>
        <v>0</v>
      </c>
      <c r="AA469" s="175">
        <f t="shared" si="160"/>
        <v>0</v>
      </c>
      <c r="AB469" s="176">
        <f t="shared" si="150"/>
        <v>0</v>
      </c>
      <c r="AC469" s="172"/>
      <c r="AE469" s="195" t="str">
        <f t="shared" si="151"/>
        <v/>
      </c>
      <c r="AF469" s="174">
        <f t="shared" si="161"/>
        <v>0</v>
      </c>
      <c r="AG469" s="175">
        <f t="shared" si="161"/>
        <v>0</v>
      </c>
      <c r="AH469" s="175">
        <f t="shared" si="161"/>
        <v>0</v>
      </c>
      <c r="AI469" s="175">
        <f t="shared" si="161"/>
        <v>0</v>
      </c>
      <c r="AJ469" s="175">
        <f t="shared" si="161"/>
        <v>0</v>
      </c>
      <c r="AK469" s="175">
        <f t="shared" si="161"/>
        <v>0</v>
      </c>
      <c r="AL469" s="175">
        <f t="shared" si="161"/>
        <v>0</v>
      </c>
      <c r="AM469" s="175">
        <f t="shared" si="161"/>
        <v>0</v>
      </c>
      <c r="AN469" s="175">
        <f t="shared" si="161"/>
        <v>0</v>
      </c>
      <c r="AO469" s="175">
        <f t="shared" si="161"/>
        <v>0</v>
      </c>
      <c r="AP469" s="175">
        <f t="shared" si="161"/>
        <v>0</v>
      </c>
      <c r="AQ469" s="175">
        <f t="shared" si="161"/>
        <v>0</v>
      </c>
      <c r="AR469" s="176">
        <f t="shared" si="153"/>
        <v>0</v>
      </c>
      <c r="AT469" s="214">
        <f>IFERROR(VLOOKUP(J469,#REF!,10,0),0)</f>
        <v>0</v>
      </c>
    </row>
    <row r="470" spans="1:46" collapsed="1" x14ac:dyDescent="0.25"/>
    <row r="472" spans="1:46" x14ac:dyDescent="0.25">
      <c r="F472" s="20" t="s">
        <v>259</v>
      </c>
      <c r="G472" s="21"/>
      <c r="H472" s="22"/>
      <c r="I472" s="22"/>
      <c r="J472" s="22"/>
      <c r="K472" s="22"/>
      <c r="L472" s="22"/>
      <c r="M472" s="23"/>
      <c r="N472" s="22"/>
      <c r="O472" s="22"/>
      <c r="P472" s="23"/>
      <c r="Q472" s="23"/>
      <c r="R472" s="23"/>
      <c r="S472" s="23"/>
      <c r="T472" s="23"/>
      <c r="U472" s="23"/>
      <c r="V472" s="24"/>
      <c r="W472" s="23"/>
      <c r="X472" s="23"/>
      <c r="Y472" s="23"/>
      <c r="Z472" s="23"/>
      <c r="AA472" s="23"/>
      <c r="AB472" s="23"/>
      <c r="AC472" s="25"/>
    </row>
    <row r="474" spans="1:46" x14ac:dyDescent="0.25">
      <c r="F474" s="26" t="s">
        <v>260</v>
      </c>
      <c r="G474" s="27"/>
    </row>
    <row r="476" spans="1:46" x14ac:dyDescent="0.25">
      <c r="A476" s="28"/>
      <c r="B476" s="28"/>
      <c r="C476" s="28"/>
      <c r="D476" s="28"/>
      <c r="E476" s="28"/>
      <c r="F476" s="29" t="s">
        <v>190</v>
      </c>
      <c r="G476" s="30"/>
      <c r="H476" s="31" t="s">
        <v>191</v>
      </c>
      <c r="I476" s="32"/>
      <c r="J476" s="33"/>
      <c r="K476" s="33"/>
      <c r="L476" s="33"/>
      <c r="M476" s="34"/>
      <c r="N476" s="33"/>
      <c r="O476" s="30"/>
      <c r="P476" s="35">
        <v>46113</v>
      </c>
      <c r="Q476" s="35">
        <v>46143</v>
      </c>
      <c r="R476" s="35">
        <v>46174</v>
      </c>
      <c r="S476" s="35">
        <v>46204</v>
      </c>
      <c r="T476" s="35">
        <v>46235</v>
      </c>
      <c r="U476" s="35">
        <v>46266</v>
      </c>
      <c r="V476" s="35">
        <v>46296</v>
      </c>
      <c r="W476" s="35">
        <v>46327</v>
      </c>
      <c r="X476" s="35">
        <v>46357</v>
      </c>
      <c r="Y476" s="35">
        <v>46388</v>
      </c>
      <c r="Z476" s="35">
        <v>46419</v>
      </c>
      <c r="AA476" s="35">
        <v>46447</v>
      </c>
      <c r="AB476" s="36" t="s">
        <v>85</v>
      </c>
      <c r="AC476" s="37" t="s">
        <v>192</v>
      </c>
    </row>
    <row r="477" spans="1:46" x14ac:dyDescent="0.25">
      <c r="A477" s="28"/>
      <c r="B477" s="28"/>
      <c r="C477" s="28"/>
      <c r="D477" s="28"/>
      <c r="E477" s="38"/>
      <c r="F477" s="39" t="s">
        <v>193</v>
      </c>
      <c r="G477" s="40"/>
      <c r="H477" s="41" t="s">
        <v>194</v>
      </c>
      <c r="I477" s="42"/>
      <c r="J477" s="43"/>
      <c r="K477" s="43"/>
      <c r="L477" s="43"/>
      <c r="M477" s="44"/>
      <c r="N477" s="43"/>
      <c r="O477" s="40"/>
      <c r="P477" s="45">
        <v>30</v>
      </c>
      <c r="Q477" s="45">
        <v>31</v>
      </c>
      <c r="R477" s="45">
        <v>30</v>
      </c>
      <c r="S477" s="45">
        <v>31</v>
      </c>
      <c r="T477" s="45">
        <v>31</v>
      </c>
      <c r="U477" s="45">
        <v>30</v>
      </c>
      <c r="V477" s="45">
        <v>31</v>
      </c>
      <c r="W477" s="45">
        <v>30</v>
      </c>
      <c r="X477" s="45">
        <v>31</v>
      </c>
      <c r="Y477" s="45">
        <v>31</v>
      </c>
      <c r="Z477" s="45">
        <v>28</v>
      </c>
      <c r="AA477" s="45">
        <v>31</v>
      </c>
      <c r="AB477" s="46">
        <f>SUM(P477:AA477)</f>
        <v>365</v>
      </c>
      <c r="AC477" s="47"/>
    </row>
    <row r="478" spans="1:46" x14ac:dyDescent="0.25">
      <c r="A478" s="28"/>
      <c r="B478" s="28"/>
      <c r="C478" s="28"/>
      <c r="D478" s="28"/>
      <c r="E478" s="38"/>
      <c r="F478" s="39" t="s">
        <v>195</v>
      </c>
      <c r="G478" s="40"/>
      <c r="H478" s="41" t="s">
        <v>194</v>
      </c>
      <c r="I478" s="42"/>
      <c r="J478" s="43"/>
      <c r="K478" s="43"/>
      <c r="L478" s="43"/>
      <c r="M478" s="44"/>
      <c r="N478" s="43"/>
      <c r="O478" s="40"/>
      <c r="P478" s="48">
        <f t="shared" ref="P478:AA478" si="163">P11</f>
        <v>16</v>
      </c>
      <c r="Q478" s="48">
        <f t="shared" si="163"/>
        <v>28</v>
      </c>
      <c r="R478" s="48">
        <f t="shared" si="163"/>
        <v>28</v>
      </c>
      <c r="S478" s="48">
        <f t="shared" si="163"/>
        <v>30</v>
      </c>
      <c r="T478" s="48">
        <f t="shared" si="163"/>
        <v>29</v>
      </c>
      <c r="U478" s="48">
        <f t="shared" si="163"/>
        <v>27</v>
      </c>
      <c r="V478" s="48">
        <f t="shared" si="163"/>
        <v>14</v>
      </c>
      <c r="W478" s="48">
        <f t="shared" si="163"/>
        <v>0</v>
      </c>
      <c r="X478" s="48">
        <f t="shared" si="163"/>
        <v>0</v>
      </c>
      <c r="Y478" s="48">
        <f t="shared" si="163"/>
        <v>0</v>
      </c>
      <c r="Z478" s="48">
        <f t="shared" si="163"/>
        <v>0</v>
      </c>
      <c r="AA478" s="48">
        <f t="shared" si="163"/>
        <v>0</v>
      </c>
      <c r="AB478" s="46">
        <f>SUM(P478:AA478)</f>
        <v>172</v>
      </c>
      <c r="AC478" s="47"/>
    </row>
    <row r="479" spans="1:46" x14ac:dyDescent="0.25">
      <c r="A479" s="28"/>
      <c r="B479" s="28"/>
      <c r="C479" s="28"/>
      <c r="D479" s="28"/>
      <c r="E479" s="38"/>
      <c r="F479" s="49" t="s">
        <v>196</v>
      </c>
      <c r="G479" s="50"/>
      <c r="H479" s="51" t="s">
        <v>41</v>
      </c>
      <c r="I479" s="52"/>
      <c r="J479" s="53"/>
      <c r="K479" s="53"/>
      <c r="L479" s="53"/>
      <c r="M479" s="54"/>
      <c r="N479" s="53"/>
      <c r="O479" s="55"/>
      <c r="P479" s="56">
        <f t="shared" ref="P479:AB479" si="164">IFERROR(P478/P477,0)</f>
        <v>0.53333333333333333</v>
      </c>
      <c r="Q479" s="56">
        <f t="shared" si="164"/>
        <v>0.90322580645161288</v>
      </c>
      <c r="R479" s="56">
        <f t="shared" si="164"/>
        <v>0.93333333333333335</v>
      </c>
      <c r="S479" s="56">
        <f t="shared" si="164"/>
        <v>0.967741935483871</v>
      </c>
      <c r="T479" s="56">
        <f t="shared" si="164"/>
        <v>0.93548387096774188</v>
      </c>
      <c r="U479" s="56">
        <f t="shared" si="164"/>
        <v>0.9</v>
      </c>
      <c r="V479" s="56">
        <f t="shared" si="164"/>
        <v>0.45161290322580644</v>
      </c>
      <c r="W479" s="56">
        <f t="shared" si="164"/>
        <v>0</v>
      </c>
      <c r="X479" s="56">
        <f t="shared" si="164"/>
        <v>0</v>
      </c>
      <c r="Y479" s="56">
        <f t="shared" si="164"/>
        <v>0</v>
      </c>
      <c r="Z479" s="56">
        <f t="shared" si="164"/>
        <v>0</v>
      </c>
      <c r="AA479" s="56">
        <f t="shared" si="164"/>
        <v>0</v>
      </c>
      <c r="AB479" s="57">
        <f t="shared" si="164"/>
        <v>0.47123287671232877</v>
      </c>
      <c r="AC479" s="58"/>
    </row>
    <row r="480" spans="1:46" x14ac:dyDescent="0.25">
      <c r="A480" s="28"/>
      <c r="B480" s="28"/>
      <c r="C480" s="28"/>
      <c r="D480" s="28"/>
      <c r="E480" s="38"/>
      <c r="F480" s="59"/>
      <c r="G480" s="60"/>
      <c r="H480" s="60"/>
      <c r="I480" s="60"/>
      <c r="J480" s="60"/>
      <c r="K480" s="60"/>
      <c r="L480" s="60"/>
      <c r="M480" s="61"/>
      <c r="N480" s="60"/>
      <c r="O480" s="60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  <c r="AA480" s="61"/>
      <c r="AB480" s="62"/>
      <c r="AC480" s="63"/>
    </row>
    <row r="481" spans="1:29" x14ac:dyDescent="0.25">
      <c r="F481" s="26" t="s">
        <v>261</v>
      </c>
      <c r="G481" s="27"/>
      <c r="H481" s="64"/>
      <c r="I481" s="27"/>
      <c r="J481" s="64"/>
      <c r="K481" s="64"/>
      <c r="L481" s="64"/>
      <c r="M481" s="65"/>
      <c r="N481" s="64"/>
      <c r="O481" s="64"/>
      <c r="P481" s="65"/>
      <c r="Q481" s="65"/>
      <c r="R481" s="65"/>
      <c r="S481" s="65"/>
      <c r="T481" s="65"/>
      <c r="U481" s="65"/>
      <c r="V481" s="65"/>
      <c r="W481" s="66"/>
      <c r="X481" s="66"/>
      <c r="Y481" s="66"/>
      <c r="Z481" s="66"/>
      <c r="AA481" s="66"/>
      <c r="AB481" s="66"/>
      <c r="AC481" s="67"/>
    </row>
    <row r="482" spans="1:29" x14ac:dyDescent="0.25">
      <c r="A482" s="68"/>
      <c r="B482" s="68"/>
      <c r="C482" s="68"/>
      <c r="D482" s="68"/>
      <c r="E482" s="68"/>
      <c r="F482" s="69"/>
      <c r="G482" s="70"/>
      <c r="H482" s="71"/>
      <c r="I482" s="70"/>
      <c r="J482" s="71"/>
      <c r="K482" s="71"/>
      <c r="L482" s="71"/>
      <c r="M482" s="72"/>
      <c r="N482" s="71"/>
      <c r="O482" s="71"/>
      <c r="P482" s="72"/>
      <c r="Q482" s="72"/>
      <c r="R482" s="72"/>
      <c r="S482" s="72"/>
      <c r="T482" s="72"/>
      <c r="U482" s="72"/>
      <c r="V482" s="72"/>
      <c r="W482" s="73"/>
      <c r="X482" s="73"/>
      <c r="Y482" s="73"/>
      <c r="Z482" s="73"/>
      <c r="AA482" s="73"/>
      <c r="AB482" s="73"/>
      <c r="AC482" s="70"/>
    </row>
    <row r="483" spans="1:29" x14ac:dyDescent="0.25">
      <c r="A483" s="74"/>
      <c r="B483" s="74"/>
      <c r="C483" s="74"/>
      <c r="D483" s="74"/>
      <c r="E483" s="74"/>
      <c r="F483" s="75" t="s">
        <v>198</v>
      </c>
      <c r="G483" s="76"/>
      <c r="H483" s="77" t="s">
        <v>217</v>
      </c>
      <c r="I483" s="78"/>
      <c r="J483" s="79"/>
      <c r="K483" s="79"/>
      <c r="L483" s="79"/>
      <c r="M483" s="80"/>
      <c r="N483" s="79"/>
      <c r="O483" s="79"/>
      <c r="P483" s="35">
        <f t="shared" ref="P483:AA483" si="165">P$9</f>
        <v>46113</v>
      </c>
      <c r="Q483" s="35">
        <f t="shared" si="165"/>
        <v>46143</v>
      </c>
      <c r="R483" s="35">
        <f t="shared" si="165"/>
        <v>46174</v>
      </c>
      <c r="S483" s="35">
        <f t="shared" si="165"/>
        <v>46204</v>
      </c>
      <c r="T483" s="35">
        <f t="shared" si="165"/>
        <v>46235</v>
      </c>
      <c r="U483" s="35">
        <f t="shared" si="165"/>
        <v>46266</v>
      </c>
      <c r="V483" s="35">
        <f t="shared" si="165"/>
        <v>46296</v>
      </c>
      <c r="W483" s="35">
        <f t="shared" si="165"/>
        <v>46327</v>
      </c>
      <c r="X483" s="35">
        <f t="shared" si="165"/>
        <v>46357</v>
      </c>
      <c r="Y483" s="35">
        <f t="shared" si="165"/>
        <v>46388</v>
      </c>
      <c r="Z483" s="35">
        <f t="shared" si="165"/>
        <v>46419</v>
      </c>
      <c r="AA483" s="35">
        <f t="shared" si="165"/>
        <v>46447</v>
      </c>
      <c r="AB483" s="81" t="s">
        <v>85</v>
      </c>
      <c r="AC483" s="82" t="s">
        <v>192</v>
      </c>
    </row>
    <row r="484" spans="1:29" x14ac:dyDescent="0.25">
      <c r="A484" s="83"/>
      <c r="B484" s="83"/>
      <c r="C484" s="83"/>
      <c r="D484" s="83"/>
      <c r="E484" s="83"/>
      <c r="F484" s="84" t="s">
        <v>262</v>
      </c>
      <c r="G484" s="85"/>
      <c r="H484" s="86" t="s">
        <v>201</v>
      </c>
      <c r="I484" s="87"/>
      <c r="J484" s="88"/>
      <c r="K484" s="88"/>
      <c r="L484" s="88"/>
      <c r="M484" s="89"/>
      <c r="N484" s="88"/>
      <c r="O484" s="88"/>
      <c r="P484" s="90">
        <v>0</v>
      </c>
      <c r="Q484" s="90">
        <v>0</v>
      </c>
      <c r="R484" s="90">
        <v>0</v>
      </c>
      <c r="S484" s="90">
        <v>0</v>
      </c>
      <c r="T484" s="90">
        <v>0</v>
      </c>
      <c r="U484" s="90">
        <v>0</v>
      </c>
      <c r="V484" s="90">
        <v>0</v>
      </c>
      <c r="W484" s="90">
        <v>0</v>
      </c>
      <c r="X484" s="90">
        <v>0</v>
      </c>
      <c r="Y484" s="90">
        <v>0</v>
      </c>
      <c r="Z484" s="90">
        <v>0</v>
      </c>
      <c r="AA484" s="90">
        <v>0</v>
      </c>
      <c r="AB484" s="91">
        <f t="shared" ref="AB484:AB491" si="166">SUM(P484:AA484)</f>
        <v>0</v>
      </c>
      <c r="AC484" s="92"/>
    </row>
    <row r="485" spans="1:29" x14ac:dyDescent="0.25">
      <c r="A485" s="83"/>
      <c r="B485" s="83"/>
      <c r="C485" s="83"/>
      <c r="D485" s="83"/>
      <c r="E485" s="83"/>
      <c r="F485" s="84" t="s">
        <v>263</v>
      </c>
      <c r="G485" s="85"/>
      <c r="H485" s="86" t="s">
        <v>201</v>
      </c>
      <c r="I485" s="87"/>
      <c r="J485" s="88"/>
      <c r="K485" s="88"/>
      <c r="L485" s="88"/>
      <c r="M485" s="89"/>
      <c r="N485" s="88"/>
      <c r="O485" s="88"/>
      <c r="P485" s="90">
        <v>600</v>
      </c>
      <c r="Q485" s="90">
        <v>110</v>
      </c>
      <c r="R485" s="90">
        <v>0</v>
      </c>
      <c r="S485" s="90">
        <v>0</v>
      </c>
      <c r="T485" s="90">
        <v>0</v>
      </c>
      <c r="U485" s="90">
        <v>250</v>
      </c>
      <c r="V485" s="90">
        <v>250</v>
      </c>
      <c r="W485" s="90">
        <v>0</v>
      </c>
      <c r="X485" s="90">
        <v>0</v>
      </c>
      <c r="Y485" s="90">
        <v>0</v>
      </c>
      <c r="Z485" s="90">
        <v>400</v>
      </c>
      <c r="AA485" s="90">
        <v>650</v>
      </c>
      <c r="AB485" s="93">
        <f t="shared" si="166"/>
        <v>2260</v>
      </c>
      <c r="AC485" s="94"/>
    </row>
    <row r="486" spans="1:29" x14ac:dyDescent="0.25">
      <c r="A486" s="83"/>
      <c r="B486" s="83"/>
      <c r="C486" s="83"/>
      <c r="D486" s="83"/>
      <c r="E486" s="83"/>
      <c r="F486" s="95" t="s">
        <v>264</v>
      </c>
      <c r="G486" s="85"/>
      <c r="H486" s="86" t="s">
        <v>201</v>
      </c>
      <c r="I486" s="87"/>
      <c r="J486" s="88"/>
      <c r="K486" s="88"/>
      <c r="L486" s="88"/>
      <c r="M486" s="89"/>
      <c r="N486" s="88"/>
      <c r="O486" s="88"/>
      <c r="P486" s="90">
        <v>250</v>
      </c>
      <c r="Q486" s="90">
        <v>0</v>
      </c>
      <c r="R486" s="90">
        <v>0</v>
      </c>
      <c r="S486" s="90">
        <v>0</v>
      </c>
      <c r="T486" s="90">
        <v>0</v>
      </c>
      <c r="U486" s="90">
        <v>0</v>
      </c>
      <c r="V486" s="90">
        <v>0</v>
      </c>
      <c r="W486" s="90">
        <v>0</v>
      </c>
      <c r="X486" s="90">
        <v>0</v>
      </c>
      <c r="Y486" s="90">
        <v>0</v>
      </c>
      <c r="Z486" s="90">
        <v>250</v>
      </c>
      <c r="AA486" s="90">
        <v>400</v>
      </c>
      <c r="AB486" s="93">
        <f t="shared" si="166"/>
        <v>900</v>
      </c>
      <c r="AC486" s="94"/>
    </row>
    <row r="487" spans="1:29" x14ac:dyDescent="0.25">
      <c r="A487" s="83"/>
      <c r="B487" s="83"/>
      <c r="C487" s="83"/>
      <c r="D487" s="83"/>
      <c r="E487" s="83"/>
      <c r="F487" s="95" t="s">
        <v>265</v>
      </c>
      <c r="G487" s="85"/>
      <c r="H487" s="86" t="s">
        <v>201</v>
      </c>
      <c r="I487" s="87"/>
      <c r="J487" s="88"/>
      <c r="K487" s="88"/>
      <c r="L487" s="88"/>
      <c r="M487" s="89"/>
      <c r="N487" s="88"/>
      <c r="O487" s="88"/>
      <c r="P487" s="90">
        <v>0</v>
      </c>
      <c r="Q487" s="90">
        <v>0</v>
      </c>
      <c r="R487" s="90">
        <v>0</v>
      </c>
      <c r="S487" s="90">
        <v>0</v>
      </c>
      <c r="T487" s="90">
        <v>0</v>
      </c>
      <c r="U487" s="90">
        <v>0</v>
      </c>
      <c r="V487" s="90">
        <v>0</v>
      </c>
      <c r="W487" s="90">
        <v>0</v>
      </c>
      <c r="X487" s="90">
        <v>0</v>
      </c>
      <c r="Y487" s="90">
        <v>0</v>
      </c>
      <c r="Z487" s="90">
        <v>0</v>
      </c>
      <c r="AA487" s="90">
        <v>0</v>
      </c>
      <c r="AB487" s="93">
        <f t="shared" ref="AB487" si="167">SUM(P487:AA487)</f>
        <v>0</v>
      </c>
      <c r="AC487" s="94"/>
    </row>
    <row r="488" spans="1:29" x14ac:dyDescent="0.25">
      <c r="A488" s="83"/>
      <c r="B488" s="83"/>
      <c r="C488" s="83"/>
      <c r="D488" s="83"/>
      <c r="E488" s="83"/>
      <c r="F488" s="84" t="s">
        <v>266</v>
      </c>
      <c r="G488" s="85"/>
      <c r="H488" s="86" t="s">
        <v>201</v>
      </c>
      <c r="I488" s="87"/>
      <c r="J488" s="88"/>
      <c r="K488" s="88"/>
      <c r="L488" s="88"/>
      <c r="M488" s="89"/>
      <c r="N488" s="88"/>
      <c r="O488" s="88"/>
      <c r="P488" s="90">
        <v>0</v>
      </c>
      <c r="Q488" s="90">
        <v>0</v>
      </c>
      <c r="R488" s="90">
        <v>0</v>
      </c>
      <c r="S488" s="90">
        <v>0</v>
      </c>
      <c r="T488" s="90">
        <v>0</v>
      </c>
      <c r="U488" s="90">
        <v>0</v>
      </c>
      <c r="V488" s="90">
        <v>0</v>
      </c>
      <c r="W488" s="90">
        <v>0</v>
      </c>
      <c r="X488" s="90">
        <v>0</v>
      </c>
      <c r="Y488" s="90">
        <v>0</v>
      </c>
      <c r="Z488" s="90">
        <v>0</v>
      </c>
      <c r="AA488" s="90">
        <v>0</v>
      </c>
      <c r="AB488" s="91">
        <f t="shared" si="166"/>
        <v>0</v>
      </c>
      <c r="AC488" s="92"/>
    </row>
    <row r="489" spans="1:29" x14ac:dyDescent="0.25">
      <c r="A489" s="83"/>
      <c r="B489" s="83"/>
      <c r="C489" s="83"/>
      <c r="D489" s="83"/>
      <c r="E489" s="83"/>
      <c r="F489" s="84" t="s">
        <v>267</v>
      </c>
      <c r="G489" s="85"/>
      <c r="H489" s="86" t="s">
        <v>201</v>
      </c>
      <c r="I489" s="87"/>
      <c r="J489" s="88"/>
      <c r="K489" s="88"/>
      <c r="L489" s="88"/>
      <c r="M489" s="89"/>
      <c r="N489" s="88"/>
      <c r="O489" s="88"/>
      <c r="P489" s="90">
        <v>0</v>
      </c>
      <c r="Q489" s="90">
        <v>0</v>
      </c>
      <c r="R489" s="90">
        <v>0</v>
      </c>
      <c r="S489" s="90">
        <v>0</v>
      </c>
      <c r="T489" s="90">
        <v>0</v>
      </c>
      <c r="U489" s="90">
        <v>0</v>
      </c>
      <c r="V489" s="90">
        <v>0</v>
      </c>
      <c r="W489" s="90">
        <v>0</v>
      </c>
      <c r="X489" s="90">
        <v>0</v>
      </c>
      <c r="Y489" s="90">
        <v>0</v>
      </c>
      <c r="Z489" s="90">
        <v>0</v>
      </c>
      <c r="AA489" s="90">
        <v>0</v>
      </c>
      <c r="AB489" s="93">
        <f t="shared" si="166"/>
        <v>0</v>
      </c>
      <c r="AC489" s="94"/>
    </row>
    <row r="490" spans="1:29" x14ac:dyDescent="0.25">
      <c r="A490" s="83"/>
      <c r="B490" s="83"/>
      <c r="C490" s="83"/>
      <c r="D490" s="83"/>
      <c r="E490" s="83"/>
      <c r="F490" s="95" t="s">
        <v>268</v>
      </c>
      <c r="G490" s="85"/>
      <c r="H490" s="86" t="s">
        <v>201</v>
      </c>
      <c r="I490" s="87"/>
      <c r="J490" s="88"/>
      <c r="K490" s="88"/>
      <c r="L490" s="88"/>
      <c r="M490" s="89"/>
      <c r="N490" s="88"/>
      <c r="O490" s="88"/>
      <c r="P490" s="90">
        <v>0</v>
      </c>
      <c r="Q490" s="90">
        <v>0</v>
      </c>
      <c r="R490" s="90">
        <v>0</v>
      </c>
      <c r="S490" s="90">
        <v>0</v>
      </c>
      <c r="T490" s="90">
        <v>0</v>
      </c>
      <c r="U490" s="90">
        <v>0</v>
      </c>
      <c r="V490" s="90">
        <v>0</v>
      </c>
      <c r="W490" s="90">
        <v>0</v>
      </c>
      <c r="X490" s="90">
        <v>0</v>
      </c>
      <c r="Y490" s="90">
        <v>0</v>
      </c>
      <c r="Z490" s="90">
        <v>0</v>
      </c>
      <c r="AA490" s="90">
        <v>200</v>
      </c>
      <c r="AB490" s="93">
        <f t="shared" ref="AB490" si="168">SUM(P490:AA490)</f>
        <v>200</v>
      </c>
      <c r="AC490" s="94"/>
    </row>
    <row r="491" spans="1:29" x14ac:dyDescent="0.25">
      <c r="A491" s="83"/>
      <c r="B491" s="83"/>
      <c r="C491" s="83"/>
      <c r="D491" s="83"/>
      <c r="E491" s="83"/>
      <c r="F491" s="95" t="s">
        <v>269</v>
      </c>
      <c r="G491" s="85"/>
      <c r="H491" s="86" t="s">
        <v>201</v>
      </c>
      <c r="I491" s="87"/>
      <c r="J491" s="88"/>
      <c r="K491" s="88"/>
      <c r="L491" s="88"/>
      <c r="M491" s="89"/>
      <c r="N491" s="88"/>
      <c r="O491" s="88"/>
      <c r="P491" s="90">
        <v>0</v>
      </c>
      <c r="Q491" s="90">
        <v>0</v>
      </c>
      <c r="R491" s="90">
        <v>0</v>
      </c>
      <c r="S491" s="90">
        <v>0</v>
      </c>
      <c r="T491" s="90">
        <v>0</v>
      </c>
      <c r="U491" s="90">
        <v>0</v>
      </c>
      <c r="V491" s="90">
        <v>0</v>
      </c>
      <c r="W491" s="90">
        <v>0</v>
      </c>
      <c r="X491" s="90">
        <v>0</v>
      </c>
      <c r="Y491" s="90">
        <v>0</v>
      </c>
      <c r="Z491" s="90">
        <v>0</v>
      </c>
      <c r="AA491" s="90">
        <v>0</v>
      </c>
      <c r="AB491" s="93">
        <f t="shared" si="166"/>
        <v>0</v>
      </c>
      <c r="AC491" s="94"/>
    </row>
    <row r="492" spans="1:29" x14ac:dyDescent="0.25">
      <c r="A492" s="83"/>
      <c r="B492" s="83"/>
      <c r="C492" s="83"/>
      <c r="D492" s="83"/>
      <c r="E492" s="83"/>
      <c r="F492" s="96" t="s">
        <v>85</v>
      </c>
      <c r="G492" s="97"/>
      <c r="H492" s="98" t="s">
        <v>201</v>
      </c>
      <c r="I492" s="99"/>
      <c r="J492" s="100"/>
      <c r="K492" s="100"/>
      <c r="L492" s="100"/>
      <c r="M492" s="101"/>
      <c r="N492" s="100"/>
      <c r="O492" s="100"/>
      <c r="P492" s="102">
        <f t="shared" ref="P492:AB492" si="169">SUM(P484:P491)</f>
        <v>850</v>
      </c>
      <c r="Q492" s="102">
        <f t="shared" si="169"/>
        <v>110</v>
      </c>
      <c r="R492" s="102">
        <f t="shared" si="169"/>
        <v>0</v>
      </c>
      <c r="S492" s="102">
        <f t="shared" si="169"/>
        <v>0</v>
      </c>
      <c r="T492" s="102">
        <f t="shared" si="169"/>
        <v>0</v>
      </c>
      <c r="U492" s="102">
        <f t="shared" si="169"/>
        <v>250</v>
      </c>
      <c r="V492" s="102">
        <f t="shared" si="169"/>
        <v>250</v>
      </c>
      <c r="W492" s="102">
        <f t="shared" si="169"/>
        <v>0</v>
      </c>
      <c r="X492" s="102">
        <f t="shared" si="169"/>
        <v>0</v>
      </c>
      <c r="Y492" s="102">
        <f t="shared" si="169"/>
        <v>0</v>
      </c>
      <c r="Z492" s="102">
        <f t="shared" si="169"/>
        <v>650</v>
      </c>
      <c r="AA492" s="102">
        <f t="shared" si="169"/>
        <v>1250</v>
      </c>
      <c r="AB492" s="103">
        <f t="shared" si="169"/>
        <v>3360</v>
      </c>
      <c r="AC492" s="104"/>
    </row>
    <row r="493" spans="1:29" x14ac:dyDescent="0.25">
      <c r="A493" s="83"/>
      <c r="B493" s="83"/>
      <c r="C493" s="83"/>
      <c r="D493" s="83"/>
      <c r="E493" s="83"/>
      <c r="F493" s="215"/>
      <c r="G493" s="216"/>
      <c r="H493" s="216"/>
      <c r="I493" s="216"/>
      <c r="J493" s="216"/>
      <c r="K493" s="216"/>
      <c r="L493" s="216"/>
      <c r="M493" s="217"/>
      <c r="N493" s="216"/>
      <c r="O493" s="216"/>
      <c r="P493" s="218"/>
      <c r="Q493" s="218"/>
      <c r="R493" s="218"/>
      <c r="S493" s="218"/>
      <c r="T493" s="218"/>
      <c r="U493" s="218"/>
      <c r="V493" s="218"/>
      <c r="W493" s="218"/>
      <c r="X493" s="218"/>
      <c r="Y493" s="218"/>
      <c r="Z493" s="218"/>
      <c r="AA493" s="218"/>
      <c r="AB493" s="218"/>
      <c r="AC493" s="219"/>
    </row>
    <row r="494" spans="1:29" x14ac:dyDescent="0.25">
      <c r="A494" s="74"/>
      <c r="B494" s="74"/>
      <c r="C494" s="74"/>
      <c r="D494" s="74"/>
      <c r="E494" s="74"/>
      <c r="F494" s="75" t="s">
        <v>198</v>
      </c>
      <c r="G494" s="76"/>
      <c r="H494" s="77" t="s">
        <v>217</v>
      </c>
      <c r="I494" s="78"/>
      <c r="J494" s="79"/>
      <c r="K494" s="79"/>
      <c r="L494" s="79"/>
      <c r="M494" s="80"/>
      <c r="N494" s="79"/>
      <c r="O494" s="79"/>
      <c r="P494" s="35">
        <f t="shared" ref="P494:AA494" si="170">P$9</f>
        <v>46113</v>
      </c>
      <c r="Q494" s="35">
        <f t="shared" si="170"/>
        <v>46143</v>
      </c>
      <c r="R494" s="35">
        <f t="shared" si="170"/>
        <v>46174</v>
      </c>
      <c r="S494" s="35">
        <f t="shared" si="170"/>
        <v>46204</v>
      </c>
      <c r="T494" s="35">
        <f t="shared" si="170"/>
        <v>46235</v>
      </c>
      <c r="U494" s="35">
        <f t="shared" si="170"/>
        <v>46266</v>
      </c>
      <c r="V494" s="35">
        <f t="shared" si="170"/>
        <v>46296</v>
      </c>
      <c r="W494" s="35">
        <f t="shared" si="170"/>
        <v>46327</v>
      </c>
      <c r="X494" s="35">
        <f t="shared" si="170"/>
        <v>46357</v>
      </c>
      <c r="Y494" s="35">
        <f t="shared" si="170"/>
        <v>46388</v>
      </c>
      <c r="Z494" s="35">
        <f t="shared" si="170"/>
        <v>46419</v>
      </c>
      <c r="AA494" s="35">
        <f t="shared" si="170"/>
        <v>46447</v>
      </c>
      <c r="AB494" s="81" t="s">
        <v>85</v>
      </c>
      <c r="AC494" s="82" t="s">
        <v>192</v>
      </c>
    </row>
    <row r="495" spans="1:29" x14ac:dyDescent="0.25">
      <c r="A495" s="83"/>
      <c r="B495" s="83"/>
      <c r="C495" s="83"/>
      <c r="D495" s="83"/>
      <c r="E495" s="83"/>
      <c r="F495" s="220" t="s">
        <v>270</v>
      </c>
      <c r="G495" s="221"/>
      <c r="H495" s="222" t="s">
        <v>201</v>
      </c>
      <c r="I495" s="223"/>
      <c r="J495" s="224"/>
      <c r="K495" s="224"/>
      <c r="L495" s="224"/>
      <c r="M495" s="225"/>
      <c r="N495" s="224"/>
      <c r="O495" s="224"/>
      <c r="P495" s="226">
        <v>0</v>
      </c>
      <c r="Q495" s="226">
        <v>0</v>
      </c>
      <c r="R495" s="226">
        <v>0</v>
      </c>
      <c r="S495" s="226">
        <v>0</v>
      </c>
      <c r="T495" s="226">
        <v>0</v>
      </c>
      <c r="U495" s="226">
        <v>0</v>
      </c>
      <c r="V495" s="226">
        <v>0</v>
      </c>
      <c r="W495" s="226">
        <v>0</v>
      </c>
      <c r="X495" s="226">
        <v>0</v>
      </c>
      <c r="Y495" s="226">
        <v>0</v>
      </c>
      <c r="Z495" s="226">
        <v>0</v>
      </c>
      <c r="AA495" s="226">
        <v>0</v>
      </c>
      <c r="AB495" s="227">
        <f t="shared" ref="AB495" si="171">SUM(P495:AA495)</f>
        <v>0</v>
      </c>
      <c r="AC495" s="228"/>
    </row>
    <row r="496" spans="1:29" x14ac:dyDescent="0.25">
      <c r="A496" s="83"/>
      <c r="B496" s="83"/>
      <c r="C496" s="83"/>
      <c r="D496" s="83"/>
      <c r="E496" s="83"/>
      <c r="F496" s="229"/>
      <c r="G496" s="230"/>
      <c r="H496" s="230"/>
      <c r="I496" s="230"/>
      <c r="J496" s="230"/>
      <c r="K496" s="230"/>
      <c r="L496" s="230"/>
      <c r="M496" s="231"/>
      <c r="N496" s="230"/>
      <c r="O496" s="230"/>
      <c r="P496" s="232"/>
      <c r="Q496" s="232"/>
      <c r="R496" s="232"/>
      <c r="S496" s="232"/>
      <c r="T496" s="232"/>
      <c r="U496" s="232"/>
      <c r="V496" s="232"/>
      <c r="W496" s="232"/>
      <c r="X496" s="232"/>
      <c r="Y496" s="232"/>
      <c r="Z496" s="232"/>
      <c r="AA496" s="232"/>
      <c r="AB496" s="232"/>
      <c r="AC496" s="233"/>
    </row>
    <row r="497" spans="1:29" x14ac:dyDescent="0.25">
      <c r="A497" s="83"/>
      <c r="B497" s="83"/>
      <c r="C497" s="83"/>
      <c r="D497" s="83"/>
      <c r="E497" s="83"/>
      <c r="F497" s="69" t="s">
        <v>205</v>
      </c>
      <c r="G497" s="106"/>
      <c r="H497" s="106"/>
      <c r="I497" s="106"/>
      <c r="J497" s="106"/>
      <c r="K497" s="106"/>
      <c r="L497" s="106"/>
      <c r="M497" s="110"/>
      <c r="N497" s="106"/>
      <c r="O497" s="106"/>
      <c r="P497" s="110"/>
      <c r="Q497" s="110"/>
      <c r="R497" s="110"/>
      <c r="S497" s="110"/>
      <c r="T497" s="110"/>
      <c r="U497" s="110"/>
      <c r="V497" s="110"/>
      <c r="W497" s="110"/>
      <c r="X497" s="110"/>
      <c r="Y497" s="110"/>
      <c r="Z497" s="110"/>
      <c r="AA497" s="110"/>
      <c r="AB497" s="109"/>
      <c r="AC497" s="109"/>
    </row>
    <row r="498" spans="1:29" x14ac:dyDescent="0.25">
      <c r="A498" s="74"/>
      <c r="B498" s="74" t="s">
        <v>206</v>
      </c>
      <c r="C498" s="74" t="s">
        <v>207</v>
      </c>
      <c r="D498" s="74" t="s">
        <v>208</v>
      </c>
      <c r="E498" s="74"/>
      <c r="F498" s="75" t="s">
        <v>209</v>
      </c>
      <c r="G498" s="76"/>
      <c r="H498" s="77" t="s">
        <v>271</v>
      </c>
      <c r="I498" s="78"/>
      <c r="J498" s="79"/>
      <c r="K498" s="79"/>
      <c r="L498" s="79"/>
      <c r="M498" s="80"/>
      <c r="N498" s="79"/>
      <c r="O498" s="111"/>
      <c r="P498" s="35">
        <f t="shared" ref="P498:AA498" si="172">P$9</f>
        <v>46113</v>
      </c>
      <c r="Q498" s="35">
        <f t="shared" si="172"/>
        <v>46143</v>
      </c>
      <c r="R498" s="35">
        <f t="shared" si="172"/>
        <v>46174</v>
      </c>
      <c r="S498" s="35">
        <f t="shared" si="172"/>
        <v>46204</v>
      </c>
      <c r="T498" s="35">
        <f t="shared" si="172"/>
        <v>46235</v>
      </c>
      <c r="U498" s="35">
        <f t="shared" si="172"/>
        <v>46266</v>
      </c>
      <c r="V498" s="35">
        <f t="shared" si="172"/>
        <v>46296</v>
      </c>
      <c r="W498" s="35">
        <f t="shared" si="172"/>
        <v>46327</v>
      </c>
      <c r="X498" s="35">
        <f t="shared" si="172"/>
        <v>46357</v>
      </c>
      <c r="Y498" s="35">
        <f t="shared" si="172"/>
        <v>46388</v>
      </c>
      <c r="Z498" s="35">
        <f t="shared" si="172"/>
        <v>46419</v>
      </c>
      <c r="AA498" s="35">
        <f t="shared" si="172"/>
        <v>46447</v>
      </c>
      <c r="AB498" s="112" t="s">
        <v>85</v>
      </c>
      <c r="AC498" s="113" t="s">
        <v>192</v>
      </c>
    </row>
    <row r="499" spans="1:29" x14ac:dyDescent="0.25">
      <c r="A499" s="83"/>
      <c r="B499" s="83" t="str">
        <f t="shared" ref="B499:B506" si="173">C499&amp;D499</f>
        <v/>
      </c>
      <c r="C499" s="83"/>
      <c r="D499" s="83"/>
      <c r="E499" s="83"/>
      <c r="F499" s="114" t="s">
        <v>262</v>
      </c>
      <c r="G499" s="115"/>
      <c r="H499" s="116" t="s">
        <v>41</v>
      </c>
      <c r="I499" s="117"/>
      <c r="J499" s="118"/>
      <c r="K499" s="118"/>
      <c r="L499" s="118"/>
      <c r="M499" s="119"/>
      <c r="N499" s="118"/>
      <c r="O499" s="120"/>
      <c r="P499" s="121">
        <v>1</v>
      </c>
      <c r="Q499" s="121">
        <v>1</v>
      </c>
      <c r="R499" s="121">
        <v>1</v>
      </c>
      <c r="S499" s="121">
        <v>1</v>
      </c>
      <c r="T499" s="121">
        <v>1</v>
      </c>
      <c r="U499" s="121">
        <v>1</v>
      </c>
      <c r="V499" s="121">
        <v>1</v>
      </c>
      <c r="W499" s="121">
        <v>1</v>
      </c>
      <c r="X499" s="121">
        <v>1</v>
      </c>
      <c r="Y499" s="121">
        <v>1</v>
      </c>
      <c r="Z499" s="121">
        <v>1</v>
      </c>
      <c r="AA499" s="121">
        <v>1</v>
      </c>
      <c r="AB499" s="122">
        <v>1</v>
      </c>
      <c r="AC499" s="123"/>
    </row>
    <row r="500" spans="1:29" x14ac:dyDescent="0.25">
      <c r="A500" s="83"/>
      <c r="B500" s="83" t="str">
        <f t="shared" si="173"/>
        <v/>
      </c>
      <c r="C500" s="83"/>
      <c r="D500" s="83"/>
      <c r="E500" s="83"/>
      <c r="F500" s="114" t="s">
        <v>263</v>
      </c>
      <c r="G500" s="115"/>
      <c r="H500" s="116" t="s">
        <v>41</v>
      </c>
      <c r="I500" s="117"/>
      <c r="J500" s="118"/>
      <c r="K500" s="118"/>
      <c r="L500" s="118"/>
      <c r="M500" s="119"/>
      <c r="N500" s="118"/>
      <c r="O500" s="120"/>
      <c r="P500" s="121">
        <v>1</v>
      </c>
      <c r="Q500" s="121">
        <v>1</v>
      </c>
      <c r="R500" s="121">
        <v>1</v>
      </c>
      <c r="S500" s="121">
        <v>1</v>
      </c>
      <c r="T500" s="121">
        <v>1</v>
      </c>
      <c r="U500" s="121">
        <v>1</v>
      </c>
      <c r="V500" s="121">
        <v>1</v>
      </c>
      <c r="W500" s="121">
        <v>1</v>
      </c>
      <c r="X500" s="121">
        <v>1</v>
      </c>
      <c r="Y500" s="121">
        <v>1</v>
      </c>
      <c r="Z500" s="121">
        <v>1</v>
      </c>
      <c r="AA500" s="121">
        <v>1</v>
      </c>
      <c r="AB500" s="122">
        <v>1</v>
      </c>
      <c r="AC500" s="123"/>
    </row>
    <row r="501" spans="1:29" x14ac:dyDescent="0.25">
      <c r="A501" s="83"/>
      <c r="B501" s="83" t="str">
        <f t="shared" si="173"/>
        <v/>
      </c>
      <c r="C501" s="83"/>
      <c r="D501" s="83"/>
      <c r="E501" s="83"/>
      <c r="F501" s="135" t="s">
        <v>264</v>
      </c>
      <c r="G501" s="115"/>
      <c r="H501" s="116" t="s">
        <v>41</v>
      </c>
      <c r="I501" s="117"/>
      <c r="J501" s="118"/>
      <c r="K501" s="118"/>
      <c r="L501" s="118"/>
      <c r="M501" s="119"/>
      <c r="N501" s="118"/>
      <c r="O501" s="120"/>
      <c r="P501" s="121">
        <v>1</v>
      </c>
      <c r="Q501" s="121">
        <v>1</v>
      </c>
      <c r="R501" s="121">
        <v>1</v>
      </c>
      <c r="S501" s="121">
        <v>1</v>
      </c>
      <c r="T501" s="121">
        <v>1</v>
      </c>
      <c r="U501" s="121">
        <v>1</v>
      </c>
      <c r="V501" s="121">
        <v>1</v>
      </c>
      <c r="W501" s="121">
        <v>1</v>
      </c>
      <c r="X501" s="121">
        <v>1</v>
      </c>
      <c r="Y501" s="121">
        <v>1</v>
      </c>
      <c r="Z501" s="121">
        <v>1</v>
      </c>
      <c r="AA501" s="121">
        <v>1</v>
      </c>
      <c r="AB501" s="122">
        <v>1</v>
      </c>
      <c r="AC501" s="123"/>
    </row>
    <row r="502" spans="1:29" x14ac:dyDescent="0.25">
      <c r="A502" s="83"/>
      <c r="B502" s="83" t="str">
        <f t="shared" si="173"/>
        <v/>
      </c>
      <c r="C502" s="83"/>
      <c r="D502" s="83"/>
      <c r="E502" s="83"/>
      <c r="F502" s="135" t="s">
        <v>265</v>
      </c>
      <c r="G502" s="115"/>
      <c r="H502" s="116" t="s">
        <v>41</v>
      </c>
      <c r="I502" s="117"/>
      <c r="J502" s="118"/>
      <c r="K502" s="118"/>
      <c r="L502" s="118"/>
      <c r="M502" s="119"/>
      <c r="N502" s="118"/>
      <c r="O502" s="120"/>
      <c r="P502" s="121">
        <v>1</v>
      </c>
      <c r="Q502" s="121">
        <v>1</v>
      </c>
      <c r="R502" s="121">
        <v>1</v>
      </c>
      <c r="S502" s="121">
        <v>1</v>
      </c>
      <c r="T502" s="121">
        <v>1</v>
      </c>
      <c r="U502" s="121">
        <v>1</v>
      </c>
      <c r="V502" s="121">
        <v>1</v>
      </c>
      <c r="W502" s="121">
        <v>1</v>
      </c>
      <c r="X502" s="121">
        <v>1</v>
      </c>
      <c r="Y502" s="121">
        <v>1</v>
      </c>
      <c r="Z502" s="121">
        <v>1</v>
      </c>
      <c r="AA502" s="121">
        <v>1</v>
      </c>
      <c r="AB502" s="122">
        <v>1</v>
      </c>
      <c r="AC502" s="123"/>
    </row>
    <row r="503" spans="1:29" x14ac:dyDescent="0.25">
      <c r="A503" s="83"/>
      <c r="B503" s="83" t="str">
        <f t="shared" si="173"/>
        <v/>
      </c>
      <c r="C503" s="83"/>
      <c r="D503" s="83"/>
      <c r="E503" s="83"/>
      <c r="F503" s="135" t="s">
        <v>266</v>
      </c>
      <c r="G503" s="115"/>
      <c r="H503" s="116" t="s">
        <v>41</v>
      </c>
      <c r="I503" s="117"/>
      <c r="J503" s="118"/>
      <c r="K503" s="118"/>
      <c r="L503" s="118"/>
      <c r="M503" s="119"/>
      <c r="N503" s="118"/>
      <c r="O503" s="120"/>
      <c r="P503" s="121">
        <v>1</v>
      </c>
      <c r="Q503" s="121">
        <v>1</v>
      </c>
      <c r="R503" s="121">
        <v>1</v>
      </c>
      <c r="S503" s="121">
        <v>1</v>
      </c>
      <c r="T503" s="121">
        <v>1</v>
      </c>
      <c r="U503" s="121">
        <v>1</v>
      </c>
      <c r="V503" s="121">
        <v>1</v>
      </c>
      <c r="W503" s="121">
        <v>1</v>
      </c>
      <c r="X503" s="121">
        <v>1</v>
      </c>
      <c r="Y503" s="121">
        <v>1</v>
      </c>
      <c r="Z503" s="121">
        <v>1</v>
      </c>
      <c r="AA503" s="121">
        <v>1</v>
      </c>
      <c r="AB503" s="122">
        <v>1</v>
      </c>
      <c r="AC503" s="123"/>
    </row>
    <row r="504" spans="1:29" x14ac:dyDescent="0.25">
      <c r="A504" s="83"/>
      <c r="B504" s="83" t="str">
        <f t="shared" si="173"/>
        <v/>
      </c>
      <c r="C504" s="83"/>
      <c r="D504" s="83"/>
      <c r="E504" s="83"/>
      <c r="F504" s="135" t="s">
        <v>267</v>
      </c>
      <c r="G504" s="115"/>
      <c r="H504" s="116" t="s">
        <v>41</v>
      </c>
      <c r="I504" s="117"/>
      <c r="J504" s="118"/>
      <c r="K504" s="118"/>
      <c r="L504" s="118"/>
      <c r="M504" s="119"/>
      <c r="N504" s="118"/>
      <c r="O504" s="120"/>
      <c r="P504" s="121">
        <v>1</v>
      </c>
      <c r="Q504" s="121">
        <v>1</v>
      </c>
      <c r="R504" s="121">
        <v>1</v>
      </c>
      <c r="S504" s="121">
        <v>1</v>
      </c>
      <c r="T504" s="121">
        <v>1</v>
      </c>
      <c r="U504" s="121">
        <v>1</v>
      </c>
      <c r="V504" s="121">
        <v>1</v>
      </c>
      <c r="W504" s="121">
        <v>1</v>
      </c>
      <c r="X504" s="121">
        <v>1</v>
      </c>
      <c r="Y504" s="121">
        <v>1</v>
      </c>
      <c r="Z504" s="121">
        <v>1</v>
      </c>
      <c r="AA504" s="121">
        <v>1</v>
      </c>
      <c r="AB504" s="122">
        <v>1</v>
      </c>
      <c r="AC504" s="123"/>
    </row>
    <row r="505" spans="1:29" x14ac:dyDescent="0.25">
      <c r="A505" s="83"/>
      <c r="B505" s="83" t="str">
        <f t="shared" si="173"/>
        <v/>
      </c>
      <c r="C505" s="83"/>
      <c r="D505" s="83"/>
      <c r="E505" s="83"/>
      <c r="F505" s="135" t="s">
        <v>268</v>
      </c>
      <c r="G505" s="115"/>
      <c r="H505" s="116" t="s">
        <v>41</v>
      </c>
      <c r="I505" s="117"/>
      <c r="J505" s="118"/>
      <c r="K505" s="118"/>
      <c r="L505" s="118"/>
      <c r="M505" s="119"/>
      <c r="N505" s="118"/>
      <c r="O505" s="120"/>
      <c r="P505" s="121">
        <v>1</v>
      </c>
      <c r="Q505" s="121">
        <v>1</v>
      </c>
      <c r="R505" s="121">
        <v>1</v>
      </c>
      <c r="S505" s="121">
        <v>1</v>
      </c>
      <c r="T505" s="121">
        <v>1</v>
      </c>
      <c r="U505" s="121">
        <v>1</v>
      </c>
      <c r="V505" s="121">
        <v>1</v>
      </c>
      <c r="W505" s="121">
        <v>1</v>
      </c>
      <c r="X505" s="121">
        <v>1</v>
      </c>
      <c r="Y505" s="121">
        <v>1</v>
      </c>
      <c r="Z505" s="121">
        <v>1</v>
      </c>
      <c r="AA505" s="121">
        <v>1</v>
      </c>
      <c r="AB505" s="122">
        <v>1</v>
      </c>
      <c r="AC505" s="123"/>
    </row>
    <row r="506" spans="1:29" x14ac:dyDescent="0.25">
      <c r="A506" s="83"/>
      <c r="B506" s="83" t="str">
        <f t="shared" si="173"/>
        <v/>
      </c>
      <c r="C506" s="83"/>
      <c r="D506" s="83"/>
      <c r="E506" s="83"/>
      <c r="F506" s="135" t="s">
        <v>269</v>
      </c>
      <c r="G506" s="115"/>
      <c r="H506" s="116" t="s">
        <v>41</v>
      </c>
      <c r="I506" s="117"/>
      <c r="J506" s="118"/>
      <c r="K506" s="118"/>
      <c r="L506" s="118"/>
      <c r="M506" s="119"/>
      <c r="N506" s="118"/>
      <c r="O506" s="120"/>
      <c r="P506" s="121">
        <v>1</v>
      </c>
      <c r="Q506" s="121">
        <v>1</v>
      </c>
      <c r="R506" s="121">
        <v>1</v>
      </c>
      <c r="S506" s="121">
        <v>1</v>
      </c>
      <c r="T506" s="121">
        <v>1</v>
      </c>
      <c r="U506" s="121">
        <v>1</v>
      </c>
      <c r="V506" s="121">
        <v>1</v>
      </c>
      <c r="W506" s="121">
        <v>1</v>
      </c>
      <c r="X506" s="121">
        <v>1</v>
      </c>
      <c r="Y506" s="121">
        <v>1</v>
      </c>
      <c r="Z506" s="121">
        <v>1</v>
      </c>
      <c r="AA506" s="121">
        <v>1</v>
      </c>
      <c r="AB506" s="122">
        <v>1</v>
      </c>
      <c r="AC506" s="123"/>
    </row>
    <row r="507" spans="1:29" x14ac:dyDescent="0.25">
      <c r="A507" s="83"/>
      <c r="B507" s="83"/>
      <c r="C507" s="83"/>
      <c r="D507" s="83"/>
      <c r="E507" s="83"/>
      <c r="F507" s="124" t="s">
        <v>85</v>
      </c>
      <c r="G507" s="125"/>
      <c r="H507" s="126" t="s">
        <v>41</v>
      </c>
      <c r="I507" s="127"/>
      <c r="J507" s="128"/>
      <c r="K507" s="128"/>
      <c r="L507" s="128"/>
      <c r="M507" s="129"/>
      <c r="N507" s="128"/>
      <c r="O507" s="130"/>
      <c r="P507" s="131">
        <v>1</v>
      </c>
      <c r="Q507" s="131">
        <v>1</v>
      </c>
      <c r="R507" s="131">
        <v>1</v>
      </c>
      <c r="S507" s="131">
        <v>1</v>
      </c>
      <c r="T507" s="131">
        <v>1</v>
      </c>
      <c r="U507" s="131">
        <v>1</v>
      </c>
      <c r="V507" s="131">
        <v>1</v>
      </c>
      <c r="W507" s="131">
        <v>1</v>
      </c>
      <c r="X507" s="131">
        <v>1</v>
      </c>
      <c r="Y507" s="131">
        <v>1</v>
      </c>
      <c r="Z507" s="131">
        <v>1</v>
      </c>
      <c r="AA507" s="131">
        <v>1</v>
      </c>
      <c r="AB507" s="132">
        <v>1</v>
      </c>
      <c r="AC507" s="133"/>
    </row>
    <row r="508" spans="1:29" x14ac:dyDescent="0.25">
      <c r="A508" s="68"/>
      <c r="B508" s="68"/>
      <c r="C508" s="68"/>
      <c r="D508" s="68"/>
      <c r="E508" s="68"/>
      <c r="F508" s="134"/>
      <c r="G508" s="106"/>
      <c r="H508" s="106"/>
      <c r="I508" s="106"/>
      <c r="J508" s="106"/>
      <c r="K508" s="106"/>
      <c r="L508" s="106"/>
      <c r="M508" s="110"/>
      <c r="N508" s="106"/>
      <c r="O508" s="106"/>
      <c r="P508" s="110"/>
      <c r="Q508" s="110"/>
      <c r="R508" s="110"/>
      <c r="S508" s="110"/>
      <c r="T508" s="110"/>
      <c r="U508" s="110"/>
      <c r="V508" s="110"/>
      <c r="W508" s="110"/>
      <c r="X508" s="110"/>
      <c r="Y508" s="110"/>
      <c r="Z508" s="110"/>
      <c r="AA508" s="110"/>
      <c r="AB508" s="110"/>
      <c r="AC508" s="106"/>
    </row>
    <row r="509" spans="1:29" x14ac:dyDescent="0.25">
      <c r="A509" s="68"/>
      <c r="B509" s="68"/>
      <c r="C509" s="68"/>
      <c r="D509" s="68"/>
      <c r="E509" s="68"/>
      <c r="F509" s="134" t="s">
        <v>205</v>
      </c>
      <c r="G509" s="106"/>
      <c r="H509" s="106"/>
      <c r="I509" s="106"/>
      <c r="J509" s="106"/>
      <c r="K509" s="106"/>
      <c r="L509" s="106"/>
      <c r="M509" s="110"/>
      <c r="N509" s="106"/>
      <c r="O509" s="106"/>
      <c r="P509" s="110"/>
      <c r="Q509" s="110"/>
      <c r="R509" s="110"/>
      <c r="S509" s="110"/>
      <c r="T509" s="110"/>
      <c r="U509" s="110"/>
      <c r="V509" s="110"/>
      <c r="W509" s="110"/>
      <c r="X509" s="110"/>
      <c r="Y509" s="110"/>
      <c r="Z509" s="110"/>
      <c r="AA509" s="110"/>
      <c r="AB509" s="110"/>
      <c r="AC509" s="106"/>
    </row>
    <row r="510" spans="1:29" x14ac:dyDescent="0.25">
      <c r="A510" s="74"/>
      <c r="B510" s="74" t="s">
        <v>206</v>
      </c>
      <c r="C510" s="74" t="s">
        <v>207</v>
      </c>
      <c r="D510" s="74" t="s">
        <v>208</v>
      </c>
      <c r="E510" s="74"/>
      <c r="F510" s="75" t="s">
        <v>209</v>
      </c>
      <c r="G510" s="76"/>
      <c r="H510" s="77" t="s">
        <v>217</v>
      </c>
      <c r="I510" s="78"/>
      <c r="J510" s="79"/>
      <c r="K510" s="79"/>
      <c r="L510" s="79"/>
      <c r="M510" s="80"/>
      <c r="N510" s="79"/>
      <c r="O510" s="79"/>
      <c r="P510" s="35">
        <f t="shared" ref="P510:AA510" si="174">P$9</f>
        <v>46113</v>
      </c>
      <c r="Q510" s="35">
        <f t="shared" si="174"/>
        <v>46143</v>
      </c>
      <c r="R510" s="35">
        <f t="shared" si="174"/>
        <v>46174</v>
      </c>
      <c r="S510" s="35">
        <f t="shared" si="174"/>
        <v>46204</v>
      </c>
      <c r="T510" s="35">
        <f t="shared" si="174"/>
        <v>46235</v>
      </c>
      <c r="U510" s="35">
        <f t="shared" si="174"/>
        <v>46266</v>
      </c>
      <c r="V510" s="35">
        <f t="shared" si="174"/>
        <v>46296</v>
      </c>
      <c r="W510" s="35">
        <f t="shared" si="174"/>
        <v>46327</v>
      </c>
      <c r="X510" s="35">
        <f t="shared" si="174"/>
        <v>46357</v>
      </c>
      <c r="Y510" s="35">
        <f t="shared" si="174"/>
        <v>46388</v>
      </c>
      <c r="Z510" s="35">
        <f t="shared" si="174"/>
        <v>46419</v>
      </c>
      <c r="AA510" s="35">
        <f t="shared" si="174"/>
        <v>46447</v>
      </c>
      <c r="AB510" s="81" t="s">
        <v>85</v>
      </c>
      <c r="AC510" s="82" t="s">
        <v>192</v>
      </c>
    </row>
    <row r="511" spans="1:29" x14ac:dyDescent="0.25">
      <c r="A511" s="83"/>
      <c r="B511" s="83" t="str">
        <f t="shared" ref="B511" si="175">C511&amp;D511</f>
        <v/>
      </c>
      <c r="C511" s="83"/>
      <c r="D511" s="83"/>
      <c r="E511" s="83"/>
      <c r="F511" s="220" t="s">
        <v>270</v>
      </c>
      <c r="G511" s="221"/>
      <c r="H511" s="222" t="s">
        <v>41</v>
      </c>
      <c r="I511" s="223"/>
      <c r="J511" s="224"/>
      <c r="K511" s="224"/>
      <c r="L511" s="224"/>
      <c r="M511" s="225"/>
      <c r="N511" s="224"/>
      <c r="O511" s="224"/>
      <c r="P511" s="234">
        <v>1</v>
      </c>
      <c r="Q511" s="234">
        <v>1</v>
      </c>
      <c r="R511" s="234">
        <v>1</v>
      </c>
      <c r="S511" s="234">
        <v>1</v>
      </c>
      <c r="T511" s="234">
        <v>1</v>
      </c>
      <c r="U511" s="234">
        <v>1</v>
      </c>
      <c r="V511" s="234">
        <v>1</v>
      </c>
      <c r="W511" s="234">
        <v>1</v>
      </c>
      <c r="X511" s="234">
        <v>1</v>
      </c>
      <c r="Y511" s="234">
        <v>1</v>
      </c>
      <c r="Z511" s="234">
        <v>1</v>
      </c>
      <c r="AA511" s="234">
        <v>1</v>
      </c>
      <c r="AB511" s="132">
        <v>1</v>
      </c>
      <c r="AC511" s="228"/>
    </row>
    <row r="512" spans="1:29" x14ac:dyDescent="0.25">
      <c r="A512" s="83"/>
      <c r="B512" s="83"/>
      <c r="C512" s="83"/>
      <c r="D512" s="83"/>
      <c r="E512" s="83"/>
      <c r="F512" s="229"/>
      <c r="G512" s="230"/>
      <c r="H512" s="230"/>
      <c r="I512" s="230"/>
      <c r="J512" s="230"/>
      <c r="K512" s="230"/>
      <c r="L512" s="230"/>
      <c r="M512" s="231"/>
      <c r="N512" s="230"/>
      <c r="O512" s="230"/>
      <c r="P512" s="232"/>
      <c r="Q512" s="232"/>
      <c r="R512" s="232"/>
      <c r="S512" s="232"/>
      <c r="T512" s="232"/>
      <c r="U512" s="232"/>
      <c r="V512" s="232"/>
      <c r="W512" s="232"/>
      <c r="X512" s="232"/>
      <c r="Y512" s="232"/>
      <c r="Z512" s="232"/>
      <c r="AA512" s="232"/>
      <c r="AB512" s="232"/>
      <c r="AC512" s="233"/>
    </row>
    <row r="513" spans="1:29" x14ac:dyDescent="0.25">
      <c r="A513" s="83"/>
      <c r="B513" s="83"/>
      <c r="C513" s="83"/>
      <c r="D513" s="83"/>
      <c r="E513" s="83"/>
      <c r="F513" s="69" t="s">
        <v>272</v>
      </c>
      <c r="G513" s="106"/>
      <c r="H513" s="106"/>
      <c r="I513" s="106"/>
      <c r="J513" s="106"/>
      <c r="K513" s="106"/>
      <c r="L513" s="106"/>
      <c r="M513" s="110"/>
      <c r="N513" s="106"/>
      <c r="O513" s="106"/>
      <c r="P513" s="110"/>
      <c r="Q513" s="110"/>
      <c r="R513" s="110"/>
      <c r="S513" s="110"/>
      <c r="T513" s="110"/>
      <c r="U513" s="110"/>
      <c r="V513" s="110"/>
      <c r="W513" s="110"/>
      <c r="X513" s="110"/>
      <c r="Y513" s="110"/>
      <c r="Z513" s="110"/>
      <c r="AA513" s="110"/>
      <c r="AB513" s="109"/>
      <c r="AC513" s="109"/>
    </row>
    <row r="514" spans="1:29" x14ac:dyDescent="0.25">
      <c r="A514" s="74"/>
      <c r="B514" s="74" t="s">
        <v>206</v>
      </c>
      <c r="C514" s="74" t="s">
        <v>207</v>
      </c>
      <c r="D514" s="74" t="s">
        <v>208</v>
      </c>
      <c r="E514" s="74"/>
      <c r="F514" s="75" t="s">
        <v>209</v>
      </c>
      <c r="G514" s="76"/>
      <c r="H514" s="77" t="s">
        <v>271</v>
      </c>
      <c r="I514" s="78"/>
      <c r="J514" s="79"/>
      <c r="K514" s="79"/>
      <c r="L514" s="79"/>
      <c r="M514" s="80"/>
      <c r="N514" s="79"/>
      <c r="O514" s="111"/>
      <c r="P514" s="35">
        <f t="shared" ref="P514:AA514" si="176">P$9</f>
        <v>46113</v>
      </c>
      <c r="Q514" s="35">
        <f t="shared" si="176"/>
        <v>46143</v>
      </c>
      <c r="R514" s="35">
        <f t="shared" si="176"/>
        <v>46174</v>
      </c>
      <c r="S514" s="35">
        <f t="shared" si="176"/>
        <v>46204</v>
      </c>
      <c r="T514" s="35">
        <f t="shared" si="176"/>
        <v>46235</v>
      </c>
      <c r="U514" s="35">
        <f t="shared" si="176"/>
        <v>46266</v>
      </c>
      <c r="V514" s="35">
        <f t="shared" si="176"/>
        <v>46296</v>
      </c>
      <c r="W514" s="35">
        <f t="shared" si="176"/>
        <v>46327</v>
      </c>
      <c r="X514" s="35">
        <f t="shared" si="176"/>
        <v>46357</v>
      </c>
      <c r="Y514" s="35">
        <f t="shared" si="176"/>
        <v>46388</v>
      </c>
      <c r="Z514" s="35">
        <f t="shared" si="176"/>
        <v>46419</v>
      </c>
      <c r="AA514" s="35">
        <f t="shared" si="176"/>
        <v>46447</v>
      </c>
      <c r="AB514" s="112" t="s">
        <v>85</v>
      </c>
      <c r="AC514" s="113" t="s">
        <v>192</v>
      </c>
    </row>
    <row r="515" spans="1:29" x14ac:dyDescent="0.25">
      <c r="A515" s="83"/>
      <c r="B515" s="83" t="str">
        <f>C515&amp;D515</f>
        <v/>
      </c>
      <c r="C515" s="83"/>
      <c r="D515" s="83"/>
      <c r="E515" s="83"/>
      <c r="F515" s="84" t="s">
        <v>262</v>
      </c>
      <c r="G515" s="115"/>
      <c r="H515" s="116" t="s">
        <v>41</v>
      </c>
      <c r="I515" s="117"/>
      <c r="J515" s="118"/>
      <c r="K515" s="118"/>
      <c r="L515" s="118"/>
      <c r="M515" s="119"/>
      <c r="N515" s="118"/>
      <c r="O515" s="120"/>
      <c r="P515" s="121">
        <f>IFERROR(IF(SUM(P$484:P$487)=0,$AB515,P484/SUM(P$484:P$487)),0)</f>
        <v>0</v>
      </c>
      <c r="Q515" s="121">
        <f t="shared" ref="Q515:AB518" si="177">IFERROR(IF(SUM(Q$484:Q$487)=0,$AB515,Q484/SUM(Q$484:Q$487)),0)</f>
        <v>0</v>
      </c>
      <c r="R515" s="121">
        <f t="shared" si="177"/>
        <v>0</v>
      </c>
      <c r="S515" s="121">
        <f t="shared" si="177"/>
        <v>0</v>
      </c>
      <c r="T515" s="121">
        <f t="shared" si="177"/>
        <v>0</v>
      </c>
      <c r="U515" s="121">
        <f t="shared" si="177"/>
        <v>0</v>
      </c>
      <c r="V515" s="121">
        <f t="shared" si="177"/>
        <v>0</v>
      </c>
      <c r="W515" s="121">
        <f t="shared" si="177"/>
        <v>0</v>
      </c>
      <c r="X515" s="121">
        <f t="shared" si="177"/>
        <v>0</v>
      </c>
      <c r="Y515" s="121">
        <f t="shared" si="177"/>
        <v>0</v>
      </c>
      <c r="Z515" s="121">
        <f t="shared" si="177"/>
        <v>0</v>
      </c>
      <c r="AA515" s="121">
        <f t="shared" si="177"/>
        <v>0</v>
      </c>
      <c r="AB515" s="122">
        <f t="shared" si="177"/>
        <v>0</v>
      </c>
      <c r="AC515" s="123"/>
    </row>
    <row r="516" spans="1:29" x14ac:dyDescent="0.25">
      <c r="A516" s="83"/>
      <c r="B516" s="83" t="str">
        <f>C516&amp;D516</f>
        <v/>
      </c>
      <c r="C516" s="83"/>
      <c r="D516" s="83"/>
      <c r="E516" s="83"/>
      <c r="F516" s="84" t="s">
        <v>263</v>
      </c>
      <c r="G516" s="115"/>
      <c r="H516" s="116" t="s">
        <v>41</v>
      </c>
      <c r="I516" s="117"/>
      <c r="J516" s="118"/>
      <c r="K516" s="118"/>
      <c r="L516" s="118"/>
      <c r="M516" s="119"/>
      <c r="N516" s="118"/>
      <c r="O516" s="120"/>
      <c r="P516" s="121">
        <f>IFERROR(IF(SUM(P$484:P$487)=0,$AB516,P485/SUM(P$484:P$487)),0)</f>
        <v>0.70588235294117652</v>
      </c>
      <c r="Q516" s="121">
        <f t="shared" si="177"/>
        <v>1</v>
      </c>
      <c r="R516" s="121">
        <f t="shared" si="177"/>
        <v>0.71518987341772156</v>
      </c>
      <c r="S516" s="121">
        <f t="shared" si="177"/>
        <v>0.71518987341772156</v>
      </c>
      <c r="T516" s="121">
        <f t="shared" si="177"/>
        <v>0.71518987341772156</v>
      </c>
      <c r="U516" s="121">
        <f t="shared" si="177"/>
        <v>1</v>
      </c>
      <c r="V516" s="121">
        <f t="shared" si="177"/>
        <v>1</v>
      </c>
      <c r="W516" s="121">
        <f t="shared" si="177"/>
        <v>0.71518987341772156</v>
      </c>
      <c r="X516" s="121">
        <f t="shared" si="177"/>
        <v>0.71518987341772156</v>
      </c>
      <c r="Y516" s="121">
        <f t="shared" si="177"/>
        <v>0.71518987341772156</v>
      </c>
      <c r="Z516" s="121">
        <f t="shared" si="177"/>
        <v>0.61538461538461542</v>
      </c>
      <c r="AA516" s="121">
        <f t="shared" si="177"/>
        <v>0.61904761904761907</v>
      </c>
      <c r="AB516" s="122">
        <f t="shared" si="177"/>
        <v>0.71518987341772156</v>
      </c>
      <c r="AC516" s="123"/>
    </row>
    <row r="517" spans="1:29" x14ac:dyDescent="0.25">
      <c r="A517" s="83"/>
      <c r="B517" s="83" t="str">
        <f>C517&amp;D517</f>
        <v/>
      </c>
      <c r="C517" s="83"/>
      <c r="D517" s="83"/>
      <c r="E517" s="83"/>
      <c r="F517" s="95" t="s">
        <v>264</v>
      </c>
      <c r="G517" s="115"/>
      <c r="H517" s="116" t="s">
        <v>41</v>
      </c>
      <c r="I517" s="117"/>
      <c r="J517" s="118"/>
      <c r="K517" s="118"/>
      <c r="L517" s="118"/>
      <c r="M517" s="119"/>
      <c r="N517" s="118"/>
      <c r="O517" s="120"/>
      <c r="P517" s="121">
        <f>IFERROR(IF(SUM(P$484:P$487)=0,$AB517,P486/SUM(P$484:P$487)),0)</f>
        <v>0.29411764705882354</v>
      </c>
      <c r="Q517" s="121">
        <f t="shared" si="177"/>
        <v>0</v>
      </c>
      <c r="R517" s="121">
        <f t="shared" si="177"/>
        <v>0.2848101265822785</v>
      </c>
      <c r="S517" s="121">
        <f t="shared" si="177"/>
        <v>0.2848101265822785</v>
      </c>
      <c r="T517" s="121">
        <f t="shared" si="177"/>
        <v>0.2848101265822785</v>
      </c>
      <c r="U517" s="121">
        <f t="shared" si="177"/>
        <v>0</v>
      </c>
      <c r="V517" s="121">
        <f t="shared" si="177"/>
        <v>0</v>
      </c>
      <c r="W517" s="121">
        <f t="shared" si="177"/>
        <v>0.2848101265822785</v>
      </c>
      <c r="X517" s="121">
        <f t="shared" si="177"/>
        <v>0.2848101265822785</v>
      </c>
      <c r="Y517" s="121">
        <f t="shared" si="177"/>
        <v>0.2848101265822785</v>
      </c>
      <c r="Z517" s="121">
        <f t="shared" si="177"/>
        <v>0.38461538461538464</v>
      </c>
      <c r="AA517" s="121">
        <f t="shared" si="177"/>
        <v>0.38095238095238093</v>
      </c>
      <c r="AB517" s="122">
        <f t="shared" si="177"/>
        <v>0.2848101265822785</v>
      </c>
      <c r="AC517" s="123"/>
    </row>
    <row r="518" spans="1:29" x14ac:dyDescent="0.25">
      <c r="A518" s="83"/>
      <c r="B518" s="83" t="str">
        <f>C518&amp;D518</f>
        <v/>
      </c>
      <c r="C518" s="83"/>
      <c r="D518" s="83"/>
      <c r="E518" s="83"/>
      <c r="F518" s="95" t="s">
        <v>265</v>
      </c>
      <c r="G518" s="115"/>
      <c r="H518" s="116" t="s">
        <v>41</v>
      </c>
      <c r="I518" s="117"/>
      <c r="J518" s="118"/>
      <c r="K518" s="118"/>
      <c r="L518" s="118"/>
      <c r="M518" s="119"/>
      <c r="N518" s="118"/>
      <c r="O518" s="120"/>
      <c r="P518" s="121">
        <f>IFERROR(IF(SUM(P$484:P$487)=0,$AB518,P487/SUM(P$484:P$487)),0)</f>
        <v>0</v>
      </c>
      <c r="Q518" s="121">
        <f t="shared" si="177"/>
        <v>0</v>
      </c>
      <c r="R518" s="121">
        <f t="shared" si="177"/>
        <v>0</v>
      </c>
      <c r="S518" s="121">
        <f t="shared" si="177"/>
        <v>0</v>
      </c>
      <c r="T518" s="121">
        <f t="shared" si="177"/>
        <v>0</v>
      </c>
      <c r="U518" s="121">
        <f t="shared" si="177"/>
        <v>0</v>
      </c>
      <c r="V518" s="121">
        <f t="shared" si="177"/>
        <v>0</v>
      </c>
      <c r="W518" s="121">
        <f t="shared" si="177"/>
        <v>0</v>
      </c>
      <c r="X518" s="121">
        <f t="shared" si="177"/>
        <v>0</v>
      </c>
      <c r="Y518" s="121">
        <f t="shared" si="177"/>
        <v>0</v>
      </c>
      <c r="Z518" s="121">
        <f t="shared" si="177"/>
        <v>0</v>
      </c>
      <c r="AA518" s="121">
        <f t="shared" si="177"/>
        <v>0</v>
      </c>
      <c r="AB518" s="122">
        <f t="shared" si="177"/>
        <v>0</v>
      </c>
      <c r="AC518" s="123"/>
    </row>
    <row r="519" spans="1:29" x14ac:dyDescent="0.25">
      <c r="A519" s="83"/>
      <c r="B519" s="83"/>
      <c r="C519" s="83"/>
      <c r="D519" s="83"/>
      <c r="E519" s="83"/>
      <c r="F519" s="124" t="s">
        <v>85</v>
      </c>
      <c r="G519" s="125"/>
      <c r="H519" s="126" t="s">
        <v>41</v>
      </c>
      <c r="I519" s="127"/>
      <c r="J519" s="128"/>
      <c r="K519" s="128"/>
      <c r="L519" s="128"/>
      <c r="M519" s="129"/>
      <c r="N519" s="128"/>
      <c r="O519" s="130"/>
      <c r="P519" s="131">
        <f>SUM(P515:P518)</f>
        <v>1</v>
      </c>
      <c r="Q519" s="131">
        <f t="shared" ref="Q519:AB519" si="178">SUM(Q515:Q518)</f>
        <v>1</v>
      </c>
      <c r="R519" s="131">
        <f t="shared" si="178"/>
        <v>1</v>
      </c>
      <c r="S519" s="131">
        <f t="shared" si="178"/>
        <v>1</v>
      </c>
      <c r="T519" s="131">
        <f t="shared" si="178"/>
        <v>1</v>
      </c>
      <c r="U519" s="131">
        <f t="shared" si="178"/>
        <v>1</v>
      </c>
      <c r="V519" s="131">
        <f t="shared" si="178"/>
        <v>1</v>
      </c>
      <c r="W519" s="131">
        <f t="shared" si="178"/>
        <v>1</v>
      </c>
      <c r="X519" s="131">
        <f t="shared" si="178"/>
        <v>1</v>
      </c>
      <c r="Y519" s="131">
        <f t="shared" si="178"/>
        <v>1</v>
      </c>
      <c r="Z519" s="131">
        <f t="shared" si="178"/>
        <v>1</v>
      </c>
      <c r="AA519" s="131">
        <f t="shared" si="178"/>
        <v>1</v>
      </c>
      <c r="AB519" s="132">
        <f t="shared" si="178"/>
        <v>1</v>
      </c>
      <c r="AC519" s="133"/>
    </row>
    <row r="520" spans="1:29" x14ac:dyDescent="0.25">
      <c r="A520" s="68"/>
      <c r="B520" s="68"/>
      <c r="C520" s="68"/>
      <c r="D520" s="68"/>
      <c r="E520" s="68"/>
      <c r="F520" s="134"/>
      <c r="G520" s="106"/>
      <c r="H520" s="106"/>
      <c r="I520" s="106"/>
      <c r="J520" s="106"/>
      <c r="K520" s="106"/>
      <c r="L520" s="106"/>
      <c r="M520" s="110"/>
      <c r="N520" s="106"/>
      <c r="O520" s="106"/>
      <c r="P520" s="110"/>
      <c r="Q520" s="110"/>
      <c r="R520" s="110"/>
      <c r="S520" s="110"/>
      <c r="T520" s="110"/>
      <c r="U520" s="110"/>
      <c r="V520" s="110"/>
      <c r="W520" s="110"/>
      <c r="X520" s="110"/>
      <c r="Y520" s="110"/>
      <c r="Z520" s="110"/>
      <c r="AA520" s="110"/>
      <c r="AB520" s="110"/>
      <c r="AC520" s="106"/>
    </row>
    <row r="521" spans="1:29" x14ac:dyDescent="0.25">
      <c r="A521" s="83"/>
      <c r="B521" s="83"/>
      <c r="C521" s="83"/>
      <c r="D521" s="83"/>
      <c r="E521" s="83"/>
      <c r="F521" s="69" t="s">
        <v>273</v>
      </c>
      <c r="G521" s="106"/>
      <c r="H521" s="106"/>
      <c r="I521" s="106"/>
      <c r="J521" s="106"/>
      <c r="K521" s="106"/>
      <c r="L521" s="106"/>
      <c r="M521" s="110"/>
      <c r="N521" s="106"/>
      <c r="O521" s="106"/>
      <c r="P521" s="110"/>
      <c r="Q521" s="110"/>
      <c r="R521" s="110"/>
      <c r="S521" s="110"/>
      <c r="T521" s="110"/>
      <c r="U521" s="110"/>
      <c r="V521" s="110"/>
      <c r="W521" s="110"/>
      <c r="X521" s="110"/>
      <c r="Y521" s="110"/>
      <c r="Z521" s="110"/>
      <c r="AA521" s="110"/>
      <c r="AB521" s="109"/>
      <c r="AC521" s="109"/>
    </row>
    <row r="522" spans="1:29" x14ac:dyDescent="0.25">
      <c r="A522" s="74"/>
      <c r="B522" s="74" t="s">
        <v>206</v>
      </c>
      <c r="C522" s="74" t="s">
        <v>207</v>
      </c>
      <c r="D522" s="74" t="s">
        <v>208</v>
      </c>
      <c r="E522" s="74"/>
      <c r="F522" s="75" t="s">
        <v>209</v>
      </c>
      <c r="G522" s="76"/>
      <c r="H522" s="77" t="s">
        <v>271</v>
      </c>
      <c r="I522" s="78"/>
      <c r="J522" s="79"/>
      <c r="K522" s="79"/>
      <c r="L522" s="79"/>
      <c r="M522" s="80"/>
      <c r="N522" s="79"/>
      <c r="O522" s="111"/>
      <c r="P522" s="35">
        <f t="shared" ref="P522:AA522" si="179">P$9</f>
        <v>46113</v>
      </c>
      <c r="Q522" s="35">
        <f t="shared" si="179"/>
        <v>46143</v>
      </c>
      <c r="R522" s="35">
        <f t="shared" si="179"/>
        <v>46174</v>
      </c>
      <c r="S522" s="35">
        <f t="shared" si="179"/>
        <v>46204</v>
      </c>
      <c r="T522" s="35">
        <f t="shared" si="179"/>
        <v>46235</v>
      </c>
      <c r="U522" s="35">
        <f t="shared" si="179"/>
        <v>46266</v>
      </c>
      <c r="V522" s="35">
        <f t="shared" si="179"/>
        <v>46296</v>
      </c>
      <c r="W522" s="35">
        <f t="shared" si="179"/>
        <v>46327</v>
      </c>
      <c r="X522" s="35">
        <f t="shared" si="179"/>
        <v>46357</v>
      </c>
      <c r="Y522" s="35">
        <f t="shared" si="179"/>
        <v>46388</v>
      </c>
      <c r="Z522" s="35">
        <f t="shared" si="179"/>
        <v>46419</v>
      </c>
      <c r="AA522" s="35">
        <f t="shared" si="179"/>
        <v>46447</v>
      </c>
      <c r="AB522" s="112" t="s">
        <v>85</v>
      </c>
      <c r="AC522" s="113" t="s">
        <v>192</v>
      </c>
    </row>
    <row r="523" spans="1:29" x14ac:dyDescent="0.25">
      <c r="A523" s="83"/>
      <c r="B523" s="83" t="str">
        <f>C523&amp;D523</f>
        <v/>
      </c>
      <c r="C523" s="83"/>
      <c r="D523" s="83"/>
      <c r="E523" s="83"/>
      <c r="F523" s="84" t="s">
        <v>266</v>
      </c>
      <c r="G523" s="115"/>
      <c r="H523" s="116" t="s">
        <v>41</v>
      </c>
      <c r="I523" s="117"/>
      <c r="J523" s="118"/>
      <c r="K523" s="118"/>
      <c r="L523" s="118"/>
      <c r="M523" s="119"/>
      <c r="N523" s="118"/>
      <c r="O523" s="120"/>
      <c r="P523" s="121">
        <f t="shared" ref="P523:AA523" si="180">IFERROR(IF(SUM(P$488:P$491)=0,$AB523,P488/SUM(P$488:P$491)),0)</f>
        <v>0</v>
      </c>
      <c r="Q523" s="121">
        <f t="shared" si="180"/>
        <v>0</v>
      </c>
      <c r="R523" s="121">
        <f t="shared" si="180"/>
        <v>0</v>
      </c>
      <c r="S523" s="121">
        <f t="shared" si="180"/>
        <v>0</v>
      </c>
      <c r="T523" s="121">
        <f t="shared" si="180"/>
        <v>0</v>
      </c>
      <c r="U523" s="121">
        <f t="shared" si="180"/>
        <v>0</v>
      </c>
      <c r="V523" s="121">
        <f t="shared" si="180"/>
        <v>0</v>
      </c>
      <c r="W523" s="121">
        <f t="shared" si="180"/>
        <v>0</v>
      </c>
      <c r="X523" s="121">
        <f t="shared" si="180"/>
        <v>0</v>
      </c>
      <c r="Y523" s="121">
        <f t="shared" si="180"/>
        <v>0</v>
      </c>
      <c r="Z523" s="121">
        <f t="shared" si="180"/>
        <v>0</v>
      </c>
      <c r="AA523" s="121">
        <f t="shared" si="180"/>
        <v>0</v>
      </c>
      <c r="AB523" s="122">
        <f>IFERROR(AB488/SUM(AB$488:AB$491),0)</f>
        <v>0</v>
      </c>
      <c r="AC523" s="123"/>
    </row>
    <row r="524" spans="1:29" x14ac:dyDescent="0.25">
      <c r="A524" s="83"/>
      <c r="B524" s="83" t="str">
        <f>C524&amp;D524</f>
        <v/>
      </c>
      <c r="C524" s="83"/>
      <c r="D524" s="83"/>
      <c r="E524" s="83"/>
      <c r="F524" s="84" t="s">
        <v>267</v>
      </c>
      <c r="G524" s="115"/>
      <c r="H524" s="116" t="s">
        <v>41</v>
      </c>
      <c r="I524" s="117"/>
      <c r="J524" s="118"/>
      <c r="K524" s="118"/>
      <c r="L524" s="118"/>
      <c r="M524" s="119"/>
      <c r="N524" s="118"/>
      <c r="O524" s="120"/>
      <c r="P524" s="121">
        <f t="shared" ref="P524:AA526" si="181">IFERROR(IF(SUM(P$488:P$491)=0,$AB524,P489/SUM(P$488:P$491)),0)</f>
        <v>0</v>
      </c>
      <c r="Q524" s="121">
        <f t="shared" si="181"/>
        <v>0</v>
      </c>
      <c r="R524" s="121">
        <f t="shared" si="181"/>
        <v>0</v>
      </c>
      <c r="S524" s="121">
        <f t="shared" si="181"/>
        <v>0</v>
      </c>
      <c r="T524" s="121">
        <f t="shared" si="181"/>
        <v>0</v>
      </c>
      <c r="U524" s="121">
        <f t="shared" si="181"/>
        <v>0</v>
      </c>
      <c r="V524" s="121">
        <f t="shared" si="181"/>
        <v>0</v>
      </c>
      <c r="W524" s="121">
        <f t="shared" si="181"/>
        <v>0</v>
      </c>
      <c r="X524" s="121">
        <f t="shared" si="181"/>
        <v>0</v>
      </c>
      <c r="Y524" s="121">
        <f t="shared" si="181"/>
        <v>0</v>
      </c>
      <c r="Z524" s="121">
        <f t="shared" si="181"/>
        <v>0</v>
      </c>
      <c r="AA524" s="121">
        <f t="shared" si="181"/>
        <v>0</v>
      </c>
      <c r="AB524" s="122">
        <f>IFERROR(AB489/SUM(AB$488:AB$491),0)</f>
        <v>0</v>
      </c>
      <c r="AC524" s="123"/>
    </row>
    <row r="525" spans="1:29" x14ac:dyDescent="0.25">
      <c r="A525" s="83"/>
      <c r="B525" s="83" t="str">
        <f>C525&amp;D525</f>
        <v/>
      </c>
      <c r="C525" s="83"/>
      <c r="D525" s="83"/>
      <c r="E525" s="83"/>
      <c r="F525" s="84" t="s">
        <v>268</v>
      </c>
      <c r="G525" s="115"/>
      <c r="H525" s="116" t="s">
        <v>41</v>
      </c>
      <c r="I525" s="117"/>
      <c r="J525" s="118"/>
      <c r="K525" s="118"/>
      <c r="L525" s="118"/>
      <c r="M525" s="119"/>
      <c r="N525" s="118"/>
      <c r="O525" s="120"/>
      <c r="P525" s="121">
        <f t="shared" si="181"/>
        <v>1</v>
      </c>
      <c r="Q525" s="121">
        <f t="shared" si="181"/>
        <v>1</v>
      </c>
      <c r="R525" s="121">
        <f t="shared" si="181"/>
        <v>1</v>
      </c>
      <c r="S525" s="121">
        <f t="shared" si="181"/>
        <v>1</v>
      </c>
      <c r="T525" s="121">
        <f t="shared" si="181"/>
        <v>1</v>
      </c>
      <c r="U525" s="121">
        <f t="shared" si="181"/>
        <v>1</v>
      </c>
      <c r="V525" s="121">
        <f t="shared" si="181"/>
        <v>1</v>
      </c>
      <c r="W525" s="121">
        <f t="shared" si="181"/>
        <v>1</v>
      </c>
      <c r="X525" s="121">
        <f t="shared" si="181"/>
        <v>1</v>
      </c>
      <c r="Y525" s="121">
        <f t="shared" si="181"/>
        <v>1</v>
      </c>
      <c r="Z525" s="121">
        <f t="shared" si="181"/>
        <v>1</v>
      </c>
      <c r="AA525" s="121">
        <f t="shared" si="181"/>
        <v>1</v>
      </c>
      <c r="AB525" s="122">
        <f>IFERROR(AB490/SUM(AB$488:AB$491),0)</f>
        <v>1</v>
      </c>
      <c r="AC525" s="123"/>
    </row>
    <row r="526" spans="1:29" x14ac:dyDescent="0.25">
      <c r="A526" s="83"/>
      <c r="B526" s="83" t="str">
        <f>C526&amp;D526</f>
        <v/>
      </c>
      <c r="C526" s="83"/>
      <c r="D526" s="83"/>
      <c r="E526" s="83"/>
      <c r="F526" s="84" t="s">
        <v>269</v>
      </c>
      <c r="G526" s="115"/>
      <c r="H526" s="116" t="s">
        <v>41</v>
      </c>
      <c r="I526" s="117"/>
      <c r="J526" s="118"/>
      <c r="K526" s="118"/>
      <c r="L526" s="118"/>
      <c r="M526" s="119"/>
      <c r="N526" s="118"/>
      <c r="O526" s="120"/>
      <c r="P526" s="121">
        <f t="shared" si="181"/>
        <v>0</v>
      </c>
      <c r="Q526" s="121">
        <f t="shared" si="181"/>
        <v>0</v>
      </c>
      <c r="R526" s="121">
        <f t="shared" si="181"/>
        <v>0</v>
      </c>
      <c r="S526" s="121">
        <f t="shared" si="181"/>
        <v>0</v>
      </c>
      <c r="T526" s="121">
        <f t="shared" si="181"/>
        <v>0</v>
      </c>
      <c r="U526" s="121">
        <f t="shared" si="181"/>
        <v>0</v>
      </c>
      <c r="V526" s="121">
        <f t="shared" si="181"/>
        <v>0</v>
      </c>
      <c r="W526" s="121">
        <f t="shared" si="181"/>
        <v>0</v>
      </c>
      <c r="X526" s="121">
        <f t="shared" si="181"/>
        <v>0</v>
      </c>
      <c r="Y526" s="121">
        <f t="shared" si="181"/>
        <v>0</v>
      </c>
      <c r="Z526" s="121">
        <f t="shared" si="181"/>
        <v>0</v>
      </c>
      <c r="AA526" s="121">
        <f t="shared" si="181"/>
        <v>0</v>
      </c>
      <c r="AB526" s="122">
        <f>IFERROR(AB491/SUM(AB$488:AB$491),0)</f>
        <v>0</v>
      </c>
      <c r="AC526" s="123"/>
    </row>
    <row r="527" spans="1:29" x14ac:dyDescent="0.25">
      <c r="A527" s="83"/>
      <c r="B527" s="83"/>
      <c r="C527" s="83"/>
      <c r="D527" s="83"/>
      <c r="E527" s="83"/>
      <c r="F527" s="124" t="s">
        <v>85</v>
      </c>
      <c r="G527" s="125"/>
      <c r="H527" s="126" t="s">
        <v>41</v>
      </c>
      <c r="I527" s="127"/>
      <c r="J527" s="128"/>
      <c r="K527" s="128"/>
      <c r="L527" s="128"/>
      <c r="M527" s="129"/>
      <c r="N527" s="128"/>
      <c r="O527" s="130"/>
      <c r="P527" s="131">
        <f t="shared" ref="P527:AB527" si="182">SUM(P523:P526)</f>
        <v>1</v>
      </c>
      <c r="Q527" s="131">
        <f t="shared" si="182"/>
        <v>1</v>
      </c>
      <c r="R527" s="131">
        <f t="shared" si="182"/>
        <v>1</v>
      </c>
      <c r="S527" s="131">
        <f t="shared" si="182"/>
        <v>1</v>
      </c>
      <c r="T527" s="131">
        <f t="shared" si="182"/>
        <v>1</v>
      </c>
      <c r="U527" s="131">
        <f t="shared" si="182"/>
        <v>1</v>
      </c>
      <c r="V527" s="131">
        <f t="shared" si="182"/>
        <v>1</v>
      </c>
      <c r="W527" s="131">
        <f t="shared" si="182"/>
        <v>1</v>
      </c>
      <c r="X527" s="131">
        <f t="shared" si="182"/>
        <v>1</v>
      </c>
      <c r="Y527" s="131">
        <f t="shared" si="182"/>
        <v>1</v>
      </c>
      <c r="Z527" s="131">
        <f t="shared" si="182"/>
        <v>1</v>
      </c>
      <c r="AA527" s="131">
        <f t="shared" si="182"/>
        <v>1</v>
      </c>
      <c r="AB527" s="132">
        <f t="shared" si="182"/>
        <v>1</v>
      </c>
      <c r="AC527" s="133"/>
    </row>
    <row r="528" spans="1:29" x14ac:dyDescent="0.25">
      <c r="A528" s="68"/>
      <c r="B528" s="68"/>
      <c r="C528" s="68"/>
      <c r="D528" s="68"/>
      <c r="E528" s="68"/>
      <c r="F528" s="134"/>
      <c r="G528" s="106"/>
      <c r="H528" s="106"/>
      <c r="I528" s="106"/>
      <c r="J528" s="106"/>
      <c r="K528" s="106"/>
      <c r="L528" s="106"/>
      <c r="M528" s="110"/>
      <c r="N528" s="106"/>
      <c r="O528" s="106"/>
      <c r="P528" s="110"/>
      <c r="Q528" s="110"/>
      <c r="R528" s="110"/>
      <c r="S528" s="110"/>
      <c r="T528" s="110"/>
      <c r="U528" s="110"/>
      <c r="V528" s="110"/>
      <c r="W528" s="110"/>
      <c r="X528" s="110"/>
      <c r="Y528" s="110"/>
      <c r="Z528" s="110"/>
      <c r="AA528" s="110"/>
      <c r="AB528" s="110"/>
      <c r="AC528" s="106"/>
    </row>
    <row r="529" spans="1:29" x14ac:dyDescent="0.25">
      <c r="A529" s="83"/>
      <c r="B529" s="83"/>
      <c r="C529" s="83"/>
      <c r="D529" s="83"/>
      <c r="E529" s="83"/>
      <c r="F529" s="69" t="s">
        <v>212</v>
      </c>
      <c r="G529" s="106"/>
      <c r="H529" s="106"/>
      <c r="I529" s="106"/>
      <c r="J529" s="106"/>
      <c r="K529" s="106"/>
      <c r="L529" s="106"/>
      <c r="M529" s="110"/>
      <c r="N529" s="106"/>
      <c r="O529" s="106"/>
      <c r="P529" s="110"/>
      <c r="Q529" s="110"/>
      <c r="R529" s="110"/>
      <c r="S529" s="110"/>
      <c r="T529" s="110"/>
      <c r="U529" s="110"/>
      <c r="V529" s="110"/>
      <c r="W529" s="110"/>
      <c r="X529" s="110"/>
      <c r="Y529" s="110"/>
      <c r="Z529" s="110"/>
      <c r="AA529" s="110"/>
      <c r="AB529" s="109"/>
      <c r="AC529" s="109"/>
    </row>
    <row r="530" spans="1:29" x14ac:dyDescent="0.25">
      <c r="A530" s="74"/>
      <c r="B530" s="74" t="s">
        <v>206</v>
      </c>
      <c r="C530" s="74" t="s">
        <v>207</v>
      </c>
      <c r="D530" s="74" t="s">
        <v>208</v>
      </c>
      <c r="E530" s="74"/>
      <c r="F530" s="75" t="s">
        <v>209</v>
      </c>
      <c r="G530" s="76"/>
      <c r="H530" s="77" t="s">
        <v>271</v>
      </c>
      <c r="I530" s="78"/>
      <c r="J530" s="79"/>
      <c r="K530" s="79"/>
      <c r="L530" s="79"/>
      <c r="M530" s="80"/>
      <c r="N530" s="79"/>
      <c r="O530" s="111"/>
      <c r="P530" s="35">
        <f t="shared" ref="P530:AA530" si="183">P$9</f>
        <v>46113</v>
      </c>
      <c r="Q530" s="35">
        <f t="shared" si="183"/>
        <v>46143</v>
      </c>
      <c r="R530" s="35">
        <f t="shared" si="183"/>
        <v>46174</v>
      </c>
      <c r="S530" s="35">
        <f t="shared" si="183"/>
        <v>46204</v>
      </c>
      <c r="T530" s="35">
        <f t="shared" si="183"/>
        <v>46235</v>
      </c>
      <c r="U530" s="35">
        <f t="shared" si="183"/>
        <v>46266</v>
      </c>
      <c r="V530" s="35">
        <f t="shared" si="183"/>
        <v>46296</v>
      </c>
      <c r="W530" s="35">
        <f t="shared" si="183"/>
        <v>46327</v>
      </c>
      <c r="X530" s="35">
        <f t="shared" si="183"/>
        <v>46357</v>
      </c>
      <c r="Y530" s="35">
        <f t="shared" si="183"/>
        <v>46388</v>
      </c>
      <c r="Z530" s="35">
        <f t="shared" si="183"/>
        <v>46419</v>
      </c>
      <c r="AA530" s="35">
        <f t="shared" si="183"/>
        <v>46447</v>
      </c>
      <c r="AB530" s="112" t="s">
        <v>85</v>
      </c>
      <c r="AC530" s="113" t="s">
        <v>192</v>
      </c>
    </row>
    <row r="531" spans="1:29" x14ac:dyDescent="0.25">
      <c r="A531" s="83"/>
      <c r="B531" s="83" t="str">
        <f>C531&amp;D531</f>
        <v/>
      </c>
      <c r="C531" s="83"/>
      <c r="D531" s="83"/>
      <c r="E531" s="83"/>
      <c r="F531" s="84" t="s">
        <v>262</v>
      </c>
      <c r="G531" s="115"/>
      <c r="H531" s="116" t="s">
        <v>41</v>
      </c>
      <c r="I531" s="117"/>
      <c r="J531" s="118"/>
      <c r="K531" s="118"/>
      <c r="L531" s="118"/>
      <c r="M531" s="119"/>
      <c r="N531" s="118"/>
      <c r="O531" s="120"/>
      <c r="P531" s="121">
        <f t="shared" ref="P531:AA532" si="184">IFERROR(IF(SUM(P$484:P$485,P$488:P$489)=0,$AB531,P484/SUM(P$484:P$485,P$488:P$489)),0)</f>
        <v>0</v>
      </c>
      <c r="Q531" s="121">
        <f t="shared" si="184"/>
        <v>0</v>
      </c>
      <c r="R531" s="121">
        <f t="shared" si="184"/>
        <v>0</v>
      </c>
      <c r="S531" s="121">
        <f t="shared" si="184"/>
        <v>0</v>
      </c>
      <c r="T531" s="121">
        <f t="shared" si="184"/>
        <v>0</v>
      </c>
      <c r="U531" s="121">
        <f t="shared" si="184"/>
        <v>0</v>
      </c>
      <c r="V531" s="121">
        <f t="shared" si="184"/>
        <v>0</v>
      </c>
      <c r="W531" s="121">
        <f t="shared" si="184"/>
        <v>0</v>
      </c>
      <c r="X531" s="121">
        <f t="shared" si="184"/>
        <v>0</v>
      </c>
      <c r="Y531" s="121">
        <f t="shared" si="184"/>
        <v>0</v>
      </c>
      <c r="Z531" s="121">
        <f t="shared" si="184"/>
        <v>0</v>
      </c>
      <c r="AA531" s="121">
        <f t="shared" si="184"/>
        <v>0</v>
      </c>
      <c r="AB531" s="122">
        <f>IFERROR(AB484/SUM(AB$484:AB$485,AB$488:AB$489),0)</f>
        <v>0</v>
      </c>
      <c r="AC531" s="123"/>
    </row>
    <row r="532" spans="1:29" x14ac:dyDescent="0.25">
      <c r="A532" s="83"/>
      <c r="B532" s="83" t="str">
        <f>C532&amp;D532</f>
        <v/>
      </c>
      <c r="C532" s="83"/>
      <c r="D532" s="83"/>
      <c r="E532" s="83"/>
      <c r="F532" s="84" t="s">
        <v>263</v>
      </c>
      <c r="G532" s="115"/>
      <c r="H532" s="116" t="s">
        <v>41</v>
      </c>
      <c r="I532" s="117"/>
      <c r="J532" s="118"/>
      <c r="K532" s="118"/>
      <c r="L532" s="118"/>
      <c r="M532" s="119"/>
      <c r="N532" s="118"/>
      <c r="O532" s="120"/>
      <c r="P532" s="121">
        <f t="shared" si="184"/>
        <v>1</v>
      </c>
      <c r="Q532" s="121">
        <f t="shared" si="184"/>
        <v>1</v>
      </c>
      <c r="R532" s="121">
        <f t="shared" si="184"/>
        <v>1</v>
      </c>
      <c r="S532" s="121">
        <f t="shared" si="184"/>
        <v>1</v>
      </c>
      <c r="T532" s="121">
        <f t="shared" si="184"/>
        <v>1</v>
      </c>
      <c r="U532" s="121">
        <f t="shared" si="184"/>
        <v>1</v>
      </c>
      <c r="V532" s="121">
        <f t="shared" si="184"/>
        <v>1</v>
      </c>
      <c r="W532" s="121">
        <f t="shared" si="184"/>
        <v>1</v>
      </c>
      <c r="X532" s="121">
        <f t="shared" si="184"/>
        <v>1</v>
      </c>
      <c r="Y532" s="121">
        <f t="shared" si="184"/>
        <v>1</v>
      </c>
      <c r="Z532" s="121">
        <f t="shared" si="184"/>
        <v>1</v>
      </c>
      <c r="AA532" s="121">
        <f t="shared" si="184"/>
        <v>1</v>
      </c>
      <c r="AB532" s="122">
        <f>IFERROR(AB485/SUM(AB$484:AB$485,AB$488:AB$489),0)</f>
        <v>1</v>
      </c>
      <c r="AC532" s="123"/>
    </row>
    <row r="533" spans="1:29" x14ac:dyDescent="0.25">
      <c r="A533" s="83"/>
      <c r="B533" s="83" t="str">
        <f>C533&amp;D533</f>
        <v/>
      </c>
      <c r="C533" s="83"/>
      <c r="D533" s="83"/>
      <c r="E533" s="83"/>
      <c r="F533" s="84" t="s">
        <v>266</v>
      </c>
      <c r="G533" s="115"/>
      <c r="H533" s="116" t="s">
        <v>41</v>
      </c>
      <c r="I533" s="117"/>
      <c r="J533" s="118"/>
      <c r="K533" s="118"/>
      <c r="L533" s="118"/>
      <c r="M533" s="119"/>
      <c r="N533" s="118"/>
      <c r="O533" s="120"/>
      <c r="P533" s="121">
        <f t="shared" ref="P533:AA534" si="185">IFERROR(IF(SUM(P$484:P$485,P$488:P$489)=0,$AB533,P488/SUM(P$484:P$485,P$488:P$489)),0)</f>
        <v>0</v>
      </c>
      <c r="Q533" s="121">
        <f t="shared" si="185"/>
        <v>0</v>
      </c>
      <c r="R533" s="121">
        <f t="shared" si="185"/>
        <v>0</v>
      </c>
      <c r="S533" s="121">
        <f t="shared" si="185"/>
        <v>0</v>
      </c>
      <c r="T533" s="121">
        <f t="shared" si="185"/>
        <v>0</v>
      </c>
      <c r="U533" s="121">
        <f t="shared" si="185"/>
        <v>0</v>
      </c>
      <c r="V533" s="121">
        <f t="shared" si="185"/>
        <v>0</v>
      </c>
      <c r="W533" s="121">
        <f t="shared" si="185"/>
        <v>0</v>
      </c>
      <c r="X533" s="121">
        <f t="shared" si="185"/>
        <v>0</v>
      </c>
      <c r="Y533" s="121">
        <f t="shared" si="185"/>
        <v>0</v>
      </c>
      <c r="Z533" s="121">
        <f t="shared" si="185"/>
        <v>0</v>
      </c>
      <c r="AA533" s="121">
        <f t="shared" si="185"/>
        <v>0</v>
      </c>
      <c r="AB533" s="122">
        <f>IFERROR(AB488/SUM(AB$484:AB$485,AB$488:AB$489),0)</f>
        <v>0</v>
      </c>
      <c r="AC533" s="123"/>
    </row>
    <row r="534" spans="1:29" x14ac:dyDescent="0.25">
      <c r="A534" s="83"/>
      <c r="B534" s="83" t="str">
        <f>C534&amp;D534</f>
        <v/>
      </c>
      <c r="C534" s="83"/>
      <c r="D534" s="83"/>
      <c r="E534" s="83"/>
      <c r="F534" s="84" t="s">
        <v>267</v>
      </c>
      <c r="G534" s="115"/>
      <c r="H534" s="116" t="s">
        <v>41</v>
      </c>
      <c r="I534" s="117"/>
      <c r="J534" s="118"/>
      <c r="K534" s="118"/>
      <c r="L534" s="118"/>
      <c r="M534" s="119"/>
      <c r="N534" s="118"/>
      <c r="O534" s="120"/>
      <c r="P534" s="121">
        <f t="shared" si="185"/>
        <v>0</v>
      </c>
      <c r="Q534" s="121">
        <f t="shared" si="185"/>
        <v>0</v>
      </c>
      <c r="R534" s="121">
        <f t="shared" si="185"/>
        <v>0</v>
      </c>
      <c r="S534" s="121">
        <f t="shared" si="185"/>
        <v>0</v>
      </c>
      <c r="T534" s="121">
        <f t="shared" si="185"/>
        <v>0</v>
      </c>
      <c r="U534" s="121">
        <f t="shared" si="185"/>
        <v>0</v>
      </c>
      <c r="V534" s="121">
        <f t="shared" si="185"/>
        <v>0</v>
      </c>
      <c r="W534" s="121">
        <f t="shared" si="185"/>
        <v>0</v>
      </c>
      <c r="X534" s="121">
        <f t="shared" si="185"/>
        <v>0</v>
      </c>
      <c r="Y534" s="121">
        <f t="shared" si="185"/>
        <v>0</v>
      </c>
      <c r="Z534" s="121">
        <f t="shared" si="185"/>
        <v>0</v>
      </c>
      <c r="AA534" s="121">
        <f t="shared" si="185"/>
        <v>0</v>
      </c>
      <c r="AB534" s="122">
        <f>IFERROR(AB489/SUM(AB$484:AB$485,AB$488:AB$489),0)</f>
        <v>0</v>
      </c>
      <c r="AC534" s="123"/>
    </row>
    <row r="535" spans="1:29" x14ac:dyDescent="0.25">
      <c r="A535" s="83"/>
      <c r="B535" s="83"/>
      <c r="C535" s="83"/>
      <c r="D535" s="83"/>
      <c r="E535" s="83"/>
      <c r="F535" s="124" t="s">
        <v>85</v>
      </c>
      <c r="G535" s="125"/>
      <c r="H535" s="126" t="s">
        <v>41</v>
      </c>
      <c r="I535" s="127"/>
      <c r="J535" s="128"/>
      <c r="K535" s="128"/>
      <c r="L535" s="128"/>
      <c r="M535" s="129"/>
      <c r="N535" s="128"/>
      <c r="O535" s="130"/>
      <c r="P535" s="131">
        <f t="shared" ref="P535:AB535" si="186">SUM(P531:P534)</f>
        <v>1</v>
      </c>
      <c r="Q535" s="131">
        <f t="shared" si="186"/>
        <v>1</v>
      </c>
      <c r="R535" s="131">
        <f t="shared" si="186"/>
        <v>1</v>
      </c>
      <c r="S535" s="131">
        <f t="shared" si="186"/>
        <v>1</v>
      </c>
      <c r="T535" s="131">
        <f t="shared" si="186"/>
        <v>1</v>
      </c>
      <c r="U535" s="131">
        <f t="shared" si="186"/>
        <v>1</v>
      </c>
      <c r="V535" s="131">
        <f t="shared" si="186"/>
        <v>1</v>
      </c>
      <c r="W535" s="131">
        <f t="shared" si="186"/>
        <v>1</v>
      </c>
      <c r="X535" s="131">
        <f t="shared" si="186"/>
        <v>1</v>
      </c>
      <c r="Y535" s="131">
        <f t="shared" si="186"/>
        <v>1</v>
      </c>
      <c r="Z535" s="131">
        <f t="shared" si="186"/>
        <v>1</v>
      </c>
      <c r="AA535" s="131">
        <f t="shared" si="186"/>
        <v>1</v>
      </c>
      <c r="AB535" s="132">
        <f t="shared" si="186"/>
        <v>1</v>
      </c>
      <c r="AC535" s="133"/>
    </row>
    <row r="536" spans="1:29" x14ac:dyDescent="0.25">
      <c r="A536" s="68"/>
      <c r="B536" s="68"/>
      <c r="C536" s="68"/>
      <c r="D536" s="68"/>
      <c r="E536" s="68"/>
      <c r="F536" s="134"/>
      <c r="G536" s="106"/>
      <c r="H536" s="106"/>
      <c r="I536" s="106"/>
      <c r="J536" s="106"/>
      <c r="K536" s="106"/>
      <c r="L536" s="106"/>
      <c r="M536" s="110"/>
      <c r="N536" s="106"/>
      <c r="O536" s="106"/>
      <c r="P536" s="110"/>
      <c r="Q536" s="110"/>
      <c r="R536" s="110"/>
      <c r="S536" s="110"/>
      <c r="T536" s="110"/>
      <c r="U536" s="110"/>
      <c r="V536" s="110"/>
      <c r="W536" s="110"/>
      <c r="X536" s="110"/>
      <c r="Y536" s="110"/>
      <c r="Z536" s="110"/>
      <c r="AA536" s="110"/>
      <c r="AB536" s="110"/>
      <c r="AC536" s="106"/>
    </row>
    <row r="537" spans="1:29" x14ac:dyDescent="0.25">
      <c r="A537" s="83"/>
      <c r="B537" s="83"/>
      <c r="C537" s="83"/>
      <c r="D537" s="83"/>
      <c r="E537" s="83"/>
      <c r="F537" s="69" t="s">
        <v>213</v>
      </c>
      <c r="G537" s="106"/>
      <c r="H537" s="106"/>
      <c r="I537" s="106"/>
      <c r="J537" s="106"/>
      <c r="K537" s="106"/>
      <c r="L537" s="106"/>
      <c r="M537" s="110"/>
      <c r="N537" s="106"/>
      <c r="O537" s="106"/>
      <c r="P537" s="110"/>
      <c r="Q537" s="110"/>
      <c r="R537" s="110"/>
      <c r="S537" s="110"/>
      <c r="T537" s="110"/>
      <c r="U537" s="110"/>
      <c r="V537" s="110"/>
      <c r="W537" s="110"/>
      <c r="X537" s="110"/>
      <c r="Y537" s="110"/>
      <c r="Z537" s="110"/>
      <c r="AA537" s="110"/>
      <c r="AB537" s="109"/>
      <c r="AC537" s="109"/>
    </row>
    <row r="538" spans="1:29" x14ac:dyDescent="0.25">
      <c r="A538" s="74"/>
      <c r="B538" s="74" t="s">
        <v>206</v>
      </c>
      <c r="C538" s="74" t="s">
        <v>207</v>
      </c>
      <c r="D538" s="74" t="s">
        <v>208</v>
      </c>
      <c r="E538" s="74"/>
      <c r="F538" s="75" t="s">
        <v>209</v>
      </c>
      <c r="G538" s="76"/>
      <c r="H538" s="77" t="s">
        <v>271</v>
      </c>
      <c r="I538" s="78"/>
      <c r="J538" s="79"/>
      <c r="K538" s="79"/>
      <c r="L538" s="79"/>
      <c r="M538" s="80"/>
      <c r="N538" s="79"/>
      <c r="O538" s="111"/>
      <c r="P538" s="35">
        <f t="shared" ref="P538:AA538" si="187">P$9</f>
        <v>46113</v>
      </c>
      <c r="Q538" s="35">
        <f t="shared" si="187"/>
        <v>46143</v>
      </c>
      <c r="R538" s="35">
        <f t="shared" si="187"/>
        <v>46174</v>
      </c>
      <c r="S538" s="35">
        <f t="shared" si="187"/>
        <v>46204</v>
      </c>
      <c r="T538" s="35">
        <f t="shared" si="187"/>
        <v>46235</v>
      </c>
      <c r="U538" s="35">
        <f t="shared" si="187"/>
        <v>46266</v>
      </c>
      <c r="V538" s="35">
        <f t="shared" si="187"/>
        <v>46296</v>
      </c>
      <c r="W538" s="35">
        <f t="shared" si="187"/>
        <v>46327</v>
      </c>
      <c r="X538" s="35">
        <f t="shared" si="187"/>
        <v>46357</v>
      </c>
      <c r="Y538" s="35">
        <f t="shared" si="187"/>
        <v>46388</v>
      </c>
      <c r="Z538" s="35">
        <f t="shared" si="187"/>
        <v>46419</v>
      </c>
      <c r="AA538" s="35">
        <f t="shared" si="187"/>
        <v>46447</v>
      </c>
      <c r="AB538" s="112" t="s">
        <v>85</v>
      </c>
      <c r="AC538" s="113" t="s">
        <v>192</v>
      </c>
    </row>
    <row r="539" spans="1:29" x14ac:dyDescent="0.25">
      <c r="A539" s="83"/>
      <c r="B539" s="83" t="str">
        <f t="shared" ref="B539:B546" si="188">C539&amp;D539</f>
        <v/>
      </c>
      <c r="C539" s="83"/>
      <c r="D539" s="83"/>
      <c r="E539" s="83"/>
      <c r="F539" s="114" t="s">
        <v>262</v>
      </c>
      <c r="G539" s="115"/>
      <c r="H539" s="116" t="s">
        <v>41</v>
      </c>
      <c r="I539" s="117"/>
      <c r="J539" s="118"/>
      <c r="K539" s="118"/>
      <c r="L539" s="118"/>
      <c r="M539" s="119"/>
      <c r="N539" s="118"/>
      <c r="O539" s="120"/>
      <c r="P539" s="121">
        <f t="shared" ref="P539:AB546" si="189">IFERROR(IF(P$492=0,$AB539,P484/P$492),0)</f>
        <v>0</v>
      </c>
      <c r="Q539" s="121">
        <f t="shared" si="189"/>
        <v>0</v>
      </c>
      <c r="R539" s="121">
        <f t="shared" si="189"/>
        <v>0</v>
      </c>
      <c r="S539" s="121">
        <f t="shared" si="189"/>
        <v>0</v>
      </c>
      <c r="T539" s="121">
        <f t="shared" si="189"/>
        <v>0</v>
      </c>
      <c r="U539" s="121">
        <f t="shared" si="189"/>
        <v>0</v>
      </c>
      <c r="V539" s="121">
        <f t="shared" si="189"/>
        <v>0</v>
      </c>
      <c r="W539" s="121">
        <f t="shared" si="189"/>
        <v>0</v>
      </c>
      <c r="X539" s="121">
        <f t="shared" si="189"/>
        <v>0</v>
      </c>
      <c r="Y539" s="121">
        <f t="shared" si="189"/>
        <v>0</v>
      </c>
      <c r="Z539" s="121">
        <f t="shared" si="189"/>
        <v>0</v>
      </c>
      <c r="AA539" s="121">
        <f t="shared" si="189"/>
        <v>0</v>
      </c>
      <c r="AB539" s="122">
        <f t="shared" si="189"/>
        <v>0</v>
      </c>
      <c r="AC539" s="123"/>
    </row>
    <row r="540" spans="1:29" x14ac:dyDescent="0.25">
      <c r="A540" s="83"/>
      <c r="B540" s="83" t="str">
        <f t="shared" si="188"/>
        <v/>
      </c>
      <c r="C540" s="83"/>
      <c r="D540" s="83"/>
      <c r="E540" s="83"/>
      <c r="F540" s="114" t="s">
        <v>263</v>
      </c>
      <c r="G540" s="115"/>
      <c r="H540" s="116" t="s">
        <v>41</v>
      </c>
      <c r="I540" s="117"/>
      <c r="J540" s="118"/>
      <c r="K540" s="118"/>
      <c r="L540" s="118"/>
      <c r="M540" s="119"/>
      <c r="N540" s="118"/>
      <c r="O540" s="120"/>
      <c r="P540" s="121">
        <f t="shared" si="189"/>
        <v>0.70588235294117652</v>
      </c>
      <c r="Q540" s="121">
        <f t="shared" si="189"/>
        <v>1</v>
      </c>
      <c r="R540" s="121">
        <f t="shared" si="189"/>
        <v>0.67261904761904767</v>
      </c>
      <c r="S540" s="121">
        <f t="shared" si="189"/>
        <v>0.67261904761904767</v>
      </c>
      <c r="T540" s="121">
        <f t="shared" si="189"/>
        <v>0.67261904761904767</v>
      </c>
      <c r="U540" s="121">
        <f t="shared" si="189"/>
        <v>1</v>
      </c>
      <c r="V540" s="121">
        <f t="shared" si="189"/>
        <v>1</v>
      </c>
      <c r="W540" s="121">
        <f t="shared" si="189"/>
        <v>0.67261904761904767</v>
      </c>
      <c r="X540" s="121">
        <f t="shared" si="189"/>
        <v>0.67261904761904767</v>
      </c>
      <c r="Y540" s="121">
        <f t="shared" si="189"/>
        <v>0.67261904761904767</v>
      </c>
      <c r="Z540" s="121">
        <f t="shared" si="189"/>
        <v>0.61538461538461542</v>
      </c>
      <c r="AA540" s="121">
        <f t="shared" si="189"/>
        <v>0.52</v>
      </c>
      <c r="AB540" s="122">
        <f t="shared" si="189"/>
        <v>0.67261904761904767</v>
      </c>
      <c r="AC540" s="123"/>
    </row>
    <row r="541" spans="1:29" x14ac:dyDescent="0.25">
      <c r="A541" s="83"/>
      <c r="B541" s="83" t="str">
        <f t="shared" si="188"/>
        <v/>
      </c>
      <c r="C541" s="83"/>
      <c r="D541" s="83"/>
      <c r="E541" s="83"/>
      <c r="F541" s="135" t="s">
        <v>264</v>
      </c>
      <c r="G541" s="115"/>
      <c r="H541" s="116" t="s">
        <v>41</v>
      </c>
      <c r="I541" s="117"/>
      <c r="J541" s="118"/>
      <c r="K541" s="118"/>
      <c r="L541" s="118"/>
      <c r="M541" s="119"/>
      <c r="N541" s="118"/>
      <c r="O541" s="120"/>
      <c r="P541" s="121">
        <f>IFERROR(IF(P$492=0,$AB541,P486/P$492),0)</f>
        <v>0.29411764705882354</v>
      </c>
      <c r="Q541" s="121">
        <f t="shared" si="189"/>
        <v>0</v>
      </c>
      <c r="R541" s="121">
        <f t="shared" si="189"/>
        <v>0.26785714285714285</v>
      </c>
      <c r="S541" s="121">
        <f t="shared" si="189"/>
        <v>0.26785714285714285</v>
      </c>
      <c r="T541" s="121">
        <f t="shared" si="189"/>
        <v>0.26785714285714285</v>
      </c>
      <c r="U541" s="121">
        <f t="shared" si="189"/>
        <v>0</v>
      </c>
      <c r="V541" s="121">
        <f t="shared" si="189"/>
        <v>0</v>
      </c>
      <c r="W541" s="121">
        <f t="shared" si="189"/>
        <v>0.26785714285714285</v>
      </c>
      <c r="X541" s="121">
        <f t="shared" si="189"/>
        <v>0.26785714285714285</v>
      </c>
      <c r="Y541" s="121">
        <f t="shared" si="189"/>
        <v>0.26785714285714285</v>
      </c>
      <c r="Z541" s="121">
        <f t="shared" si="189"/>
        <v>0.38461538461538464</v>
      </c>
      <c r="AA541" s="121">
        <f t="shared" si="189"/>
        <v>0.32</v>
      </c>
      <c r="AB541" s="122">
        <f t="shared" si="189"/>
        <v>0.26785714285714285</v>
      </c>
      <c r="AC541" s="123"/>
    </row>
    <row r="542" spans="1:29" x14ac:dyDescent="0.25">
      <c r="A542" s="83"/>
      <c r="B542" s="83" t="str">
        <f t="shared" si="188"/>
        <v/>
      </c>
      <c r="C542" s="83"/>
      <c r="D542" s="83"/>
      <c r="E542" s="83"/>
      <c r="F542" s="135" t="s">
        <v>265</v>
      </c>
      <c r="G542" s="115"/>
      <c r="H542" s="116" t="s">
        <v>41</v>
      </c>
      <c r="I542" s="117"/>
      <c r="J542" s="118"/>
      <c r="K542" s="118"/>
      <c r="L542" s="118"/>
      <c r="M542" s="119"/>
      <c r="N542" s="118"/>
      <c r="O542" s="120"/>
      <c r="P542" s="121">
        <f>IFERROR(IF(P$492=0,$AB542,P487/P$492),0)</f>
        <v>0</v>
      </c>
      <c r="Q542" s="121">
        <f t="shared" si="189"/>
        <v>0</v>
      </c>
      <c r="R542" s="121">
        <f t="shared" si="189"/>
        <v>0</v>
      </c>
      <c r="S542" s="121">
        <f t="shared" si="189"/>
        <v>0</v>
      </c>
      <c r="T542" s="121">
        <f t="shared" si="189"/>
        <v>0</v>
      </c>
      <c r="U542" s="121">
        <f t="shared" si="189"/>
        <v>0</v>
      </c>
      <c r="V542" s="121">
        <f t="shared" si="189"/>
        <v>0</v>
      </c>
      <c r="W542" s="121">
        <f t="shared" si="189"/>
        <v>0</v>
      </c>
      <c r="X542" s="121">
        <f t="shared" si="189"/>
        <v>0</v>
      </c>
      <c r="Y542" s="121">
        <f t="shared" si="189"/>
        <v>0</v>
      </c>
      <c r="Z542" s="121">
        <f t="shared" si="189"/>
        <v>0</v>
      </c>
      <c r="AA542" s="121">
        <f t="shared" si="189"/>
        <v>0</v>
      </c>
      <c r="AB542" s="122">
        <f t="shared" si="189"/>
        <v>0</v>
      </c>
      <c r="AC542" s="123"/>
    </row>
    <row r="543" spans="1:29" x14ac:dyDescent="0.25">
      <c r="A543" s="83"/>
      <c r="B543" s="83" t="str">
        <f t="shared" si="188"/>
        <v/>
      </c>
      <c r="C543" s="83"/>
      <c r="D543" s="83"/>
      <c r="E543" s="83"/>
      <c r="F543" s="135" t="s">
        <v>266</v>
      </c>
      <c r="G543" s="115"/>
      <c r="H543" s="116" t="s">
        <v>41</v>
      </c>
      <c r="I543" s="117"/>
      <c r="J543" s="118"/>
      <c r="K543" s="118"/>
      <c r="L543" s="118"/>
      <c r="M543" s="119"/>
      <c r="N543" s="118"/>
      <c r="O543" s="120"/>
      <c r="P543" s="121">
        <f t="shared" ref="P543:P545" si="190">IFERROR(IF(P$492=0,$AB543,P488/P$492),0)</f>
        <v>0</v>
      </c>
      <c r="Q543" s="121">
        <f t="shared" si="189"/>
        <v>0</v>
      </c>
      <c r="R543" s="121">
        <f t="shared" si="189"/>
        <v>0</v>
      </c>
      <c r="S543" s="121">
        <f t="shared" si="189"/>
        <v>0</v>
      </c>
      <c r="T543" s="121">
        <f t="shared" si="189"/>
        <v>0</v>
      </c>
      <c r="U543" s="121">
        <f t="shared" si="189"/>
        <v>0</v>
      </c>
      <c r="V543" s="121">
        <f t="shared" si="189"/>
        <v>0</v>
      </c>
      <c r="W543" s="121">
        <f t="shared" si="189"/>
        <v>0</v>
      </c>
      <c r="X543" s="121">
        <f t="shared" si="189"/>
        <v>0</v>
      </c>
      <c r="Y543" s="121">
        <f t="shared" si="189"/>
        <v>0</v>
      </c>
      <c r="Z543" s="121">
        <f t="shared" si="189"/>
        <v>0</v>
      </c>
      <c r="AA543" s="121">
        <f t="shared" si="189"/>
        <v>0</v>
      </c>
      <c r="AB543" s="122">
        <f t="shared" si="189"/>
        <v>0</v>
      </c>
      <c r="AC543" s="123"/>
    </row>
    <row r="544" spans="1:29" x14ac:dyDescent="0.25">
      <c r="A544" s="83"/>
      <c r="B544" s="83" t="str">
        <f t="shared" si="188"/>
        <v/>
      </c>
      <c r="C544" s="83"/>
      <c r="D544" s="83"/>
      <c r="E544" s="83"/>
      <c r="F544" s="135" t="s">
        <v>267</v>
      </c>
      <c r="G544" s="115"/>
      <c r="H544" s="116" t="s">
        <v>41</v>
      </c>
      <c r="I544" s="117"/>
      <c r="J544" s="118"/>
      <c r="K544" s="118"/>
      <c r="L544" s="118"/>
      <c r="M544" s="119"/>
      <c r="N544" s="118"/>
      <c r="O544" s="120"/>
      <c r="P544" s="121">
        <f t="shared" si="190"/>
        <v>0</v>
      </c>
      <c r="Q544" s="121">
        <f t="shared" si="189"/>
        <v>0</v>
      </c>
      <c r="R544" s="121">
        <f t="shared" si="189"/>
        <v>0</v>
      </c>
      <c r="S544" s="121">
        <f t="shared" si="189"/>
        <v>0</v>
      </c>
      <c r="T544" s="121">
        <f t="shared" si="189"/>
        <v>0</v>
      </c>
      <c r="U544" s="121">
        <f t="shared" si="189"/>
        <v>0</v>
      </c>
      <c r="V544" s="121">
        <f t="shared" si="189"/>
        <v>0</v>
      </c>
      <c r="W544" s="121">
        <f t="shared" si="189"/>
        <v>0</v>
      </c>
      <c r="X544" s="121">
        <f t="shared" si="189"/>
        <v>0</v>
      </c>
      <c r="Y544" s="121">
        <f t="shared" si="189"/>
        <v>0</v>
      </c>
      <c r="Z544" s="121">
        <f t="shared" si="189"/>
        <v>0</v>
      </c>
      <c r="AA544" s="121">
        <f t="shared" si="189"/>
        <v>0</v>
      </c>
      <c r="AB544" s="122">
        <f t="shared" si="189"/>
        <v>0</v>
      </c>
      <c r="AC544" s="123"/>
    </row>
    <row r="545" spans="1:44" x14ac:dyDescent="0.25">
      <c r="A545" s="83"/>
      <c r="B545" s="83" t="str">
        <f t="shared" si="188"/>
        <v/>
      </c>
      <c r="C545" s="83"/>
      <c r="D545" s="83"/>
      <c r="E545" s="83"/>
      <c r="F545" s="135" t="s">
        <v>268</v>
      </c>
      <c r="G545" s="115"/>
      <c r="H545" s="116" t="s">
        <v>41</v>
      </c>
      <c r="I545" s="117"/>
      <c r="J545" s="118"/>
      <c r="K545" s="118"/>
      <c r="L545" s="118"/>
      <c r="M545" s="119"/>
      <c r="N545" s="118"/>
      <c r="O545" s="120"/>
      <c r="P545" s="121">
        <f t="shared" si="190"/>
        <v>0</v>
      </c>
      <c r="Q545" s="121">
        <f t="shared" si="189"/>
        <v>0</v>
      </c>
      <c r="R545" s="121">
        <f t="shared" si="189"/>
        <v>5.9523809523809521E-2</v>
      </c>
      <c r="S545" s="121">
        <f t="shared" si="189"/>
        <v>5.9523809523809521E-2</v>
      </c>
      <c r="T545" s="121">
        <f t="shared" si="189"/>
        <v>5.9523809523809521E-2</v>
      </c>
      <c r="U545" s="121">
        <f t="shared" si="189"/>
        <v>0</v>
      </c>
      <c r="V545" s="121">
        <f t="shared" si="189"/>
        <v>0</v>
      </c>
      <c r="W545" s="121">
        <f t="shared" si="189"/>
        <v>5.9523809523809521E-2</v>
      </c>
      <c r="X545" s="121">
        <f t="shared" si="189"/>
        <v>5.9523809523809521E-2</v>
      </c>
      <c r="Y545" s="121">
        <f t="shared" si="189"/>
        <v>5.9523809523809521E-2</v>
      </c>
      <c r="Z545" s="121">
        <f t="shared" si="189"/>
        <v>0</v>
      </c>
      <c r="AA545" s="121">
        <f t="shared" si="189"/>
        <v>0.16</v>
      </c>
      <c r="AB545" s="122">
        <f t="shared" si="189"/>
        <v>5.9523809523809521E-2</v>
      </c>
      <c r="AC545" s="123"/>
    </row>
    <row r="546" spans="1:44" x14ac:dyDescent="0.25">
      <c r="A546" s="83"/>
      <c r="B546" s="83" t="str">
        <f t="shared" si="188"/>
        <v/>
      </c>
      <c r="C546" s="83"/>
      <c r="D546" s="83"/>
      <c r="E546" s="83"/>
      <c r="F546" s="135" t="s">
        <v>269</v>
      </c>
      <c r="G546" s="115"/>
      <c r="H546" s="116" t="s">
        <v>41</v>
      </c>
      <c r="I546" s="117"/>
      <c r="J546" s="118"/>
      <c r="K546" s="118"/>
      <c r="L546" s="118"/>
      <c r="M546" s="119"/>
      <c r="N546" s="118"/>
      <c r="O546" s="120"/>
      <c r="P546" s="121">
        <f>IFERROR(IF(P$492=0,$AB546,P491/P$492),0)</f>
        <v>0</v>
      </c>
      <c r="Q546" s="121">
        <f t="shared" si="189"/>
        <v>0</v>
      </c>
      <c r="R546" s="121">
        <f t="shared" si="189"/>
        <v>0</v>
      </c>
      <c r="S546" s="121">
        <f t="shared" si="189"/>
        <v>0</v>
      </c>
      <c r="T546" s="121">
        <f t="shared" si="189"/>
        <v>0</v>
      </c>
      <c r="U546" s="121">
        <f t="shared" si="189"/>
        <v>0</v>
      </c>
      <c r="V546" s="121">
        <f t="shared" si="189"/>
        <v>0</v>
      </c>
      <c r="W546" s="121">
        <f t="shared" si="189"/>
        <v>0</v>
      </c>
      <c r="X546" s="121">
        <f t="shared" si="189"/>
        <v>0</v>
      </c>
      <c r="Y546" s="121">
        <f t="shared" si="189"/>
        <v>0</v>
      </c>
      <c r="Z546" s="121">
        <f t="shared" si="189"/>
        <v>0</v>
      </c>
      <c r="AA546" s="121">
        <f t="shared" si="189"/>
        <v>0</v>
      </c>
      <c r="AB546" s="122">
        <f t="shared" si="189"/>
        <v>0</v>
      </c>
      <c r="AC546" s="123"/>
    </row>
    <row r="547" spans="1:44" x14ac:dyDescent="0.25">
      <c r="A547" s="83"/>
      <c r="B547" s="83"/>
      <c r="C547" s="83"/>
      <c r="D547" s="83"/>
      <c r="E547" s="83"/>
      <c r="F547" s="124" t="s">
        <v>85</v>
      </c>
      <c r="G547" s="125"/>
      <c r="H547" s="126" t="s">
        <v>41</v>
      </c>
      <c r="I547" s="127"/>
      <c r="J547" s="128"/>
      <c r="K547" s="128"/>
      <c r="L547" s="128"/>
      <c r="M547" s="129"/>
      <c r="N547" s="128"/>
      <c r="O547" s="130"/>
      <c r="P547" s="131">
        <f t="shared" ref="P547:AB547" si="191">SUM(P539:P546)</f>
        <v>1</v>
      </c>
      <c r="Q547" s="131">
        <f t="shared" si="191"/>
        <v>1</v>
      </c>
      <c r="R547" s="131">
        <f t="shared" si="191"/>
        <v>1</v>
      </c>
      <c r="S547" s="131">
        <f t="shared" si="191"/>
        <v>1</v>
      </c>
      <c r="T547" s="131">
        <f t="shared" si="191"/>
        <v>1</v>
      </c>
      <c r="U547" s="131">
        <f t="shared" si="191"/>
        <v>1</v>
      </c>
      <c r="V547" s="131">
        <f t="shared" si="191"/>
        <v>1</v>
      </c>
      <c r="W547" s="131">
        <f t="shared" si="191"/>
        <v>1</v>
      </c>
      <c r="X547" s="131">
        <f t="shared" si="191"/>
        <v>1</v>
      </c>
      <c r="Y547" s="131">
        <f t="shared" si="191"/>
        <v>1</v>
      </c>
      <c r="Z547" s="131">
        <f t="shared" si="191"/>
        <v>1</v>
      </c>
      <c r="AA547" s="131">
        <f t="shared" si="191"/>
        <v>1</v>
      </c>
      <c r="AB547" s="132">
        <f t="shared" si="191"/>
        <v>1</v>
      </c>
      <c r="AC547" s="133"/>
    </row>
    <row r="548" spans="1:44" x14ac:dyDescent="0.25">
      <c r="A548" s="68"/>
      <c r="B548" s="68"/>
      <c r="C548" s="68"/>
      <c r="D548" s="68"/>
      <c r="E548" s="68"/>
      <c r="F548" s="134"/>
      <c r="G548" s="106"/>
      <c r="H548" s="106"/>
      <c r="I548" s="106"/>
      <c r="J548" s="106"/>
      <c r="K548" s="106"/>
      <c r="L548" s="106"/>
      <c r="M548" s="110"/>
      <c r="N548" s="106"/>
      <c r="O548" s="106"/>
      <c r="P548" s="110"/>
      <c r="Q548" s="110"/>
      <c r="R548" s="110"/>
      <c r="S548" s="110"/>
      <c r="T548" s="110"/>
      <c r="U548" s="110"/>
      <c r="V548" s="110"/>
      <c r="W548" s="110"/>
      <c r="X548" s="110"/>
      <c r="Y548" s="110"/>
      <c r="Z548" s="110"/>
      <c r="AA548" s="110"/>
      <c r="AB548" s="110"/>
      <c r="AC548" s="106"/>
    </row>
    <row r="549" spans="1:44" x14ac:dyDescent="0.25">
      <c r="F549" s="136" t="s">
        <v>274</v>
      </c>
      <c r="G549" s="70"/>
      <c r="H549" s="106"/>
      <c r="I549" s="106"/>
      <c r="J549" s="106"/>
      <c r="K549" s="106"/>
      <c r="L549" s="106"/>
      <c r="M549" s="107"/>
      <c r="N549" s="106"/>
    </row>
    <row r="550" spans="1:44" x14ac:dyDescent="0.25">
      <c r="F550" s="134"/>
      <c r="G550" s="70"/>
    </row>
    <row r="551" spans="1:44" x14ac:dyDescent="0.25">
      <c r="F551" s="68" t="s">
        <v>215</v>
      </c>
      <c r="G551" s="68"/>
    </row>
    <row r="552" spans="1:44" x14ac:dyDescent="0.25">
      <c r="F552" s="137" t="s">
        <v>216</v>
      </c>
      <c r="G552" s="138"/>
      <c r="H552" s="139" t="s">
        <v>217</v>
      </c>
      <c r="I552" s="139" t="s">
        <v>218</v>
      </c>
      <c r="J552" s="139" t="s">
        <v>219</v>
      </c>
      <c r="K552" s="140"/>
      <c r="L552" s="141"/>
      <c r="M552" s="142" t="s">
        <v>220</v>
      </c>
      <c r="N552" s="139" t="s">
        <v>221</v>
      </c>
      <c r="O552" s="143" t="s">
        <v>222</v>
      </c>
      <c r="P552" s="35">
        <f t="shared" ref="P552:AA552" si="192">P$9</f>
        <v>46113</v>
      </c>
      <c r="Q552" s="35">
        <f t="shared" si="192"/>
        <v>46143</v>
      </c>
      <c r="R552" s="35">
        <f t="shared" si="192"/>
        <v>46174</v>
      </c>
      <c r="S552" s="35">
        <f t="shared" si="192"/>
        <v>46204</v>
      </c>
      <c r="T552" s="35">
        <f t="shared" si="192"/>
        <v>46235</v>
      </c>
      <c r="U552" s="35">
        <f t="shared" si="192"/>
        <v>46266</v>
      </c>
      <c r="V552" s="35">
        <f t="shared" si="192"/>
        <v>46296</v>
      </c>
      <c r="W552" s="35">
        <f t="shared" si="192"/>
        <v>46327</v>
      </c>
      <c r="X552" s="35">
        <f t="shared" si="192"/>
        <v>46357</v>
      </c>
      <c r="Y552" s="35">
        <f t="shared" si="192"/>
        <v>46388</v>
      </c>
      <c r="Z552" s="35">
        <f t="shared" si="192"/>
        <v>46419</v>
      </c>
      <c r="AA552" s="35">
        <f t="shared" si="192"/>
        <v>46447</v>
      </c>
      <c r="AB552" s="144" t="s">
        <v>223</v>
      </c>
      <c r="AC552" s="145" t="s">
        <v>192</v>
      </c>
      <c r="AE552" s="146" t="s">
        <v>224</v>
      </c>
      <c r="AF552" s="147">
        <f>P552</f>
        <v>46113</v>
      </c>
      <c r="AG552" s="35">
        <f t="shared" ref="AG552:AQ552" si="193">Q552</f>
        <v>46143</v>
      </c>
      <c r="AH552" s="35">
        <f t="shared" si="193"/>
        <v>46174</v>
      </c>
      <c r="AI552" s="35">
        <f t="shared" si="193"/>
        <v>46204</v>
      </c>
      <c r="AJ552" s="35">
        <f t="shared" si="193"/>
        <v>46235</v>
      </c>
      <c r="AK552" s="35">
        <f t="shared" si="193"/>
        <v>46266</v>
      </c>
      <c r="AL552" s="35">
        <f t="shared" si="193"/>
        <v>46296</v>
      </c>
      <c r="AM552" s="35">
        <f t="shared" si="193"/>
        <v>46327</v>
      </c>
      <c r="AN552" s="35">
        <f t="shared" si="193"/>
        <v>46357</v>
      </c>
      <c r="AO552" s="35">
        <f t="shared" si="193"/>
        <v>46388</v>
      </c>
      <c r="AP552" s="35">
        <f t="shared" si="193"/>
        <v>46419</v>
      </c>
      <c r="AQ552" s="35">
        <f t="shared" si="193"/>
        <v>46447</v>
      </c>
      <c r="AR552" s="144" t="s">
        <v>225</v>
      </c>
    </row>
    <row r="553" spans="1:44" x14ac:dyDescent="0.25">
      <c r="B553" s="15" t="s">
        <v>226</v>
      </c>
      <c r="C553" s="83" t="str">
        <f>I553</f>
        <v>PLANCP</v>
      </c>
      <c r="F553" s="148">
        <v>1018</v>
      </c>
      <c r="G553" s="149" t="str">
        <f>IFERROR(VLOOKUP(F553,#REF!,2,0),"")</f>
        <v/>
      </c>
      <c r="H553" s="150" t="str">
        <f>IFERROR(VLOOKUP(F553,#REF!,3,0),"")</f>
        <v/>
      </c>
      <c r="I553" s="151" t="s">
        <v>275</v>
      </c>
      <c r="J553" s="151">
        <v>1</v>
      </c>
      <c r="K553" s="152"/>
      <c r="L553" s="153"/>
      <c r="M553" s="154"/>
      <c r="N553" s="151"/>
      <c r="O553" s="155">
        <v>1</v>
      </c>
      <c r="P553" s="156">
        <v>300</v>
      </c>
      <c r="Q553" s="156">
        <v>0</v>
      </c>
      <c r="R553" s="156">
        <v>0</v>
      </c>
      <c r="S553" s="156">
        <v>0</v>
      </c>
      <c r="T553" s="156">
        <v>0</v>
      </c>
      <c r="U553" s="156">
        <v>0</v>
      </c>
      <c r="V553" s="156">
        <v>0</v>
      </c>
      <c r="W553" s="156">
        <v>0</v>
      </c>
      <c r="X553" s="156">
        <v>0</v>
      </c>
      <c r="Y553" s="156">
        <v>0</v>
      </c>
      <c r="Z553" s="156">
        <v>200</v>
      </c>
      <c r="AA553" s="156">
        <v>250</v>
      </c>
      <c r="AB553" s="158">
        <f>SUM(P553:AA553)</f>
        <v>750</v>
      </c>
      <c r="AC553" s="159"/>
      <c r="AE553" s="160" t="str">
        <f>IF(F553="","",F553&amp;" - "&amp;G553&amp;" - "&amp;H553&amp;" - "&amp;J553&amp;" - (R$/"&amp;H553&amp;")")</f>
        <v>1018 -  -  - 1 - (R$/)</v>
      </c>
      <c r="AF553" s="161">
        <f>IFERROR(VLOOKUP($F553&amp;"-"&amp;$J553,#REF!,#REF!+6,0),0)</f>
        <v>0</v>
      </c>
      <c r="AG553" s="162">
        <f>IFERROR(VLOOKUP($F553&amp;"-"&amp;$J553,#REF!,#REF!+6,0),0)</f>
        <v>0</v>
      </c>
      <c r="AH553" s="162">
        <f>IFERROR(VLOOKUP($F553&amp;"-"&amp;$J553,#REF!,#REF!+6,0),0)</f>
        <v>0</v>
      </c>
      <c r="AI553" s="162">
        <f>IFERROR(VLOOKUP($F553&amp;"-"&amp;$J553,#REF!,#REF!+6,0),0)</f>
        <v>0</v>
      </c>
      <c r="AJ553" s="162">
        <f>IFERROR(VLOOKUP($F553&amp;"-"&amp;$J553,#REF!,#REF!+6,0),0)</f>
        <v>0</v>
      </c>
      <c r="AK553" s="162">
        <f>IFERROR(VLOOKUP($F553&amp;"-"&amp;$J553,#REF!,#REF!+6,0),0)</f>
        <v>0</v>
      </c>
      <c r="AL553" s="162">
        <f>IFERROR(VLOOKUP($F553&amp;"-"&amp;$J553,#REF!,#REF!+6,0),0)</f>
        <v>0</v>
      </c>
      <c r="AM553" s="162">
        <f>IFERROR(VLOOKUP($F553&amp;"-"&amp;$J553,#REF!,#REF!+6,0),0)</f>
        <v>0</v>
      </c>
      <c r="AN553" s="162">
        <f>IFERROR(VLOOKUP($F553&amp;"-"&amp;$J553,#REF!,#REF!+6,0),0)</f>
        <v>0</v>
      </c>
      <c r="AO553" s="162">
        <f>IFERROR(VLOOKUP($F553&amp;"-"&amp;$J553,#REF!,#REF!+6,0),0)</f>
        <v>0</v>
      </c>
      <c r="AP553" s="162">
        <f>IFERROR(VLOOKUP($F553&amp;"-"&amp;$J553,#REF!,#REF!+6,0),0)</f>
        <v>0</v>
      </c>
      <c r="AQ553" s="162">
        <f>IFERROR(VLOOKUP($F553&amp;"-"&amp;$J553,#REF!,#REF!+6,0),0)</f>
        <v>0</v>
      </c>
      <c r="AR553" s="163">
        <f>IFERROR(AVERAGE(AF553:AQ553),0)</f>
        <v>0</v>
      </c>
    </row>
    <row r="554" spans="1:44" x14ac:dyDescent="0.25">
      <c r="B554" s="15" t="s">
        <v>226</v>
      </c>
      <c r="C554" s="83" t="str">
        <f t="shared" ref="C554:C617" si="194">I554</f>
        <v>PLANCP</v>
      </c>
      <c r="F554" s="148">
        <v>1023</v>
      </c>
      <c r="G554" s="149" t="str">
        <f>IFERROR(VLOOKUP(F554,#REF!,2,0),"")</f>
        <v/>
      </c>
      <c r="H554" s="150" t="str">
        <f>IFERROR(VLOOKUP(F554,#REF!,3,0),"")</f>
        <v/>
      </c>
      <c r="I554" s="151" t="s">
        <v>275</v>
      </c>
      <c r="J554" s="151">
        <v>1</v>
      </c>
      <c r="K554" s="152"/>
      <c r="L554" s="153"/>
      <c r="M554" s="154"/>
      <c r="N554" s="151"/>
      <c r="O554" s="155">
        <v>1</v>
      </c>
      <c r="P554" s="156">
        <v>300</v>
      </c>
      <c r="Q554" s="156">
        <v>0</v>
      </c>
      <c r="R554" s="156">
        <v>0</v>
      </c>
      <c r="S554" s="156">
        <v>0</v>
      </c>
      <c r="T554" s="156">
        <v>0</v>
      </c>
      <c r="U554" s="156">
        <v>0</v>
      </c>
      <c r="V554" s="156">
        <v>0</v>
      </c>
      <c r="W554" s="156">
        <v>0</v>
      </c>
      <c r="X554" s="156">
        <v>0</v>
      </c>
      <c r="Y554" s="156">
        <v>0</v>
      </c>
      <c r="Z554" s="156">
        <v>200</v>
      </c>
      <c r="AA554" s="156">
        <v>250</v>
      </c>
      <c r="AB554" s="158">
        <f t="shared" ref="AB554:AB596" si="195">SUM(P554:AA554)</f>
        <v>750</v>
      </c>
      <c r="AC554" s="159"/>
      <c r="AE554" s="160" t="str">
        <f t="shared" ref="AE554:AE596" si="196">IF(F554="","",F554&amp;" - "&amp;G554&amp;" - "&amp;H554&amp;" - "&amp;J554&amp;" - (R$/"&amp;H554&amp;")")</f>
        <v>1023 -  -  - 1 - (R$/)</v>
      </c>
      <c r="AF554" s="161">
        <f>IFERROR(VLOOKUP($F554&amp;"-"&amp;$J554,#REF!,#REF!+6,0),0)</f>
        <v>0</v>
      </c>
      <c r="AG554" s="162">
        <f>IFERROR(VLOOKUP($F554&amp;"-"&amp;$J554,#REF!,#REF!+6,0),0)</f>
        <v>0</v>
      </c>
      <c r="AH554" s="162">
        <f>IFERROR(VLOOKUP($F554&amp;"-"&amp;$J554,#REF!,#REF!+6,0),0)</f>
        <v>0</v>
      </c>
      <c r="AI554" s="162">
        <f>IFERROR(VLOOKUP($F554&amp;"-"&amp;$J554,#REF!,#REF!+6,0),0)</f>
        <v>0</v>
      </c>
      <c r="AJ554" s="162">
        <f>IFERROR(VLOOKUP($F554&amp;"-"&amp;$J554,#REF!,#REF!+6,0),0)</f>
        <v>0</v>
      </c>
      <c r="AK554" s="162">
        <f>IFERROR(VLOOKUP($F554&amp;"-"&amp;$J554,#REF!,#REF!+6,0),0)</f>
        <v>0</v>
      </c>
      <c r="AL554" s="162">
        <f>IFERROR(VLOOKUP($F554&amp;"-"&amp;$J554,#REF!,#REF!+6,0),0)</f>
        <v>0</v>
      </c>
      <c r="AM554" s="162">
        <f>IFERROR(VLOOKUP($F554&amp;"-"&amp;$J554,#REF!,#REF!+6,0),0)</f>
        <v>0</v>
      </c>
      <c r="AN554" s="162">
        <f>IFERROR(VLOOKUP($F554&amp;"-"&amp;$J554,#REF!,#REF!+6,0),0)</f>
        <v>0</v>
      </c>
      <c r="AO554" s="162">
        <f>IFERROR(VLOOKUP($F554&amp;"-"&amp;$J554,#REF!,#REF!+6,0),0)</f>
        <v>0</v>
      </c>
      <c r="AP554" s="162">
        <f>IFERROR(VLOOKUP($F554&amp;"-"&amp;$J554,#REF!,#REF!+6,0),0)</f>
        <v>0</v>
      </c>
      <c r="AQ554" s="162">
        <f>IFERROR(VLOOKUP($F554&amp;"-"&amp;$J554,#REF!,#REF!+6,0),0)</f>
        <v>0</v>
      </c>
      <c r="AR554" s="163">
        <f t="shared" ref="AR554:AR596" si="197">IFERROR(AVERAGE(AF554:AQ554),0)</f>
        <v>0</v>
      </c>
    </row>
    <row r="555" spans="1:44" x14ac:dyDescent="0.25">
      <c r="B555" s="15" t="s">
        <v>226</v>
      </c>
      <c r="C555" s="83" t="str">
        <f t="shared" si="194"/>
        <v>PLANCF</v>
      </c>
      <c r="F555" s="148">
        <v>1018</v>
      </c>
      <c r="G555" s="149" t="str">
        <f>IFERROR(VLOOKUP(F555,#REF!,2,0),"")</f>
        <v/>
      </c>
      <c r="H555" s="150" t="str">
        <f>IFERROR(VLOOKUP(F555,#REF!,3,0),"")</f>
        <v/>
      </c>
      <c r="I555" s="151" t="s">
        <v>276</v>
      </c>
      <c r="J555" s="151">
        <v>1</v>
      </c>
      <c r="K555" s="152"/>
      <c r="L555" s="153"/>
      <c r="M555" s="154"/>
      <c r="N555" s="151"/>
      <c r="O555" s="155">
        <v>1</v>
      </c>
      <c r="P555" s="156">
        <v>250</v>
      </c>
      <c r="Q555" s="156">
        <v>0</v>
      </c>
      <c r="R555" s="156">
        <v>0</v>
      </c>
      <c r="S555" s="156">
        <v>0</v>
      </c>
      <c r="T555" s="156">
        <v>0</v>
      </c>
      <c r="U555" s="156">
        <v>0</v>
      </c>
      <c r="V555" s="156">
        <v>0</v>
      </c>
      <c r="W555" s="156">
        <v>0</v>
      </c>
      <c r="X555" s="156">
        <v>0</v>
      </c>
      <c r="Y555" s="156">
        <v>0</v>
      </c>
      <c r="Z555" s="156">
        <v>250</v>
      </c>
      <c r="AA555" s="156">
        <v>400</v>
      </c>
      <c r="AB555" s="158">
        <f t="shared" si="195"/>
        <v>900</v>
      </c>
      <c r="AC555" s="159"/>
      <c r="AE555" s="160" t="str">
        <f t="shared" si="196"/>
        <v>1018 -  -  - 1 - (R$/)</v>
      </c>
      <c r="AF555" s="161">
        <f>IFERROR(VLOOKUP($F555&amp;"-"&amp;$J555,#REF!,#REF!+6,0),0)</f>
        <v>0</v>
      </c>
      <c r="AG555" s="162">
        <f>IFERROR(VLOOKUP($F555&amp;"-"&amp;$J555,#REF!,#REF!+6,0),0)</f>
        <v>0</v>
      </c>
      <c r="AH555" s="162">
        <f>IFERROR(VLOOKUP($F555&amp;"-"&amp;$J555,#REF!,#REF!+6,0),0)</f>
        <v>0</v>
      </c>
      <c r="AI555" s="162">
        <f>IFERROR(VLOOKUP($F555&amp;"-"&amp;$J555,#REF!,#REF!+6,0),0)</f>
        <v>0</v>
      </c>
      <c r="AJ555" s="162">
        <f>IFERROR(VLOOKUP($F555&amp;"-"&amp;$J555,#REF!,#REF!+6,0),0)</f>
        <v>0</v>
      </c>
      <c r="AK555" s="162">
        <f>IFERROR(VLOOKUP($F555&amp;"-"&amp;$J555,#REF!,#REF!+6,0),0)</f>
        <v>0</v>
      </c>
      <c r="AL555" s="162">
        <f>IFERROR(VLOOKUP($F555&amp;"-"&amp;$J555,#REF!,#REF!+6,0),0)</f>
        <v>0</v>
      </c>
      <c r="AM555" s="162">
        <f>IFERROR(VLOOKUP($F555&amp;"-"&amp;$J555,#REF!,#REF!+6,0),0)</f>
        <v>0</v>
      </c>
      <c r="AN555" s="162">
        <f>IFERROR(VLOOKUP($F555&amp;"-"&amp;$J555,#REF!,#REF!+6,0),0)</f>
        <v>0</v>
      </c>
      <c r="AO555" s="162">
        <f>IFERROR(VLOOKUP($F555&amp;"-"&amp;$J555,#REF!,#REF!+6,0),0)</f>
        <v>0</v>
      </c>
      <c r="AP555" s="162">
        <f>IFERROR(VLOOKUP($F555&amp;"-"&amp;$J555,#REF!,#REF!+6,0),0)</f>
        <v>0</v>
      </c>
      <c r="AQ555" s="162">
        <f>IFERROR(VLOOKUP($F555&amp;"-"&amp;$J555,#REF!,#REF!+6,0),0)</f>
        <v>0</v>
      </c>
      <c r="AR555" s="163">
        <f t="shared" si="197"/>
        <v>0</v>
      </c>
    </row>
    <row r="556" spans="1:44" x14ac:dyDescent="0.25">
      <c r="B556" s="15" t="s">
        <v>226</v>
      </c>
      <c r="C556" s="83" t="str">
        <f t="shared" si="194"/>
        <v>PLANCF</v>
      </c>
      <c r="F556" s="148">
        <v>1023</v>
      </c>
      <c r="G556" s="149" t="str">
        <f>IFERROR(VLOOKUP(F556,#REF!,2,0),"")</f>
        <v/>
      </c>
      <c r="H556" s="150" t="str">
        <f>IFERROR(VLOOKUP(F556,#REF!,3,0),"")</f>
        <v/>
      </c>
      <c r="I556" s="151" t="s">
        <v>276</v>
      </c>
      <c r="J556" s="151">
        <v>1</v>
      </c>
      <c r="K556" s="152"/>
      <c r="L556" s="153"/>
      <c r="M556" s="154"/>
      <c r="N556" s="151"/>
      <c r="O556" s="155">
        <v>1</v>
      </c>
      <c r="P556" s="156">
        <v>250</v>
      </c>
      <c r="Q556" s="156">
        <v>0</v>
      </c>
      <c r="R556" s="156">
        <v>0</v>
      </c>
      <c r="S556" s="156">
        <v>0</v>
      </c>
      <c r="T556" s="156">
        <v>0</v>
      </c>
      <c r="U556" s="156">
        <v>0</v>
      </c>
      <c r="V556" s="156">
        <v>0</v>
      </c>
      <c r="W556" s="156">
        <v>0</v>
      </c>
      <c r="X556" s="156">
        <v>0</v>
      </c>
      <c r="Y556" s="156">
        <v>0</v>
      </c>
      <c r="Z556" s="156">
        <v>250</v>
      </c>
      <c r="AA556" s="156">
        <v>400</v>
      </c>
      <c r="AB556" s="158">
        <f t="shared" si="195"/>
        <v>900</v>
      </c>
      <c r="AC556" s="159"/>
      <c r="AE556" s="160" t="str">
        <f t="shared" si="196"/>
        <v>1023 -  -  - 1 - (R$/)</v>
      </c>
      <c r="AF556" s="161">
        <f>IFERROR(VLOOKUP($F556&amp;"-"&amp;$J556,#REF!,#REF!+6,0),0)</f>
        <v>0</v>
      </c>
      <c r="AG556" s="162">
        <f>IFERROR(VLOOKUP($F556&amp;"-"&amp;$J556,#REF!,#REF!+6,0),0)</f>
        <v>0</v>
      </c>
      <c r="AH556" s="162">
        <f>IFERROR(VLOOKUP($F556&amp;"-"&amp;$J556,#REF!,#REF!+6,0),0)</f>
        <v>0</v>
      </c>
      <c r="AI556" s="162">
        <f>IFERROR(VLOOKUP($F556&amp;"-"&amp;$J556,#REF!,#REF!+6,0),0)</f>
        <v>0</v>
      </c>
      <c r="AJ556" s="162">
        <f>IFERROR(VLOOKUP($F556&amp;"-"&amp;$J556,#REF!,#REF!+6,0),0)</f>
        <v>0</v>
      </c>
      <c r="AK556" s="162">
        <f>IFERROR(VLOOKUP($F556&amp;"-"&amp;$J556,#REF!,#REF!+6,0),0)</f>
        <v>0</v>
      </c>
      <c r="AL556" s="162">
        <f>IFERROR(VLOOKUP($F556&amp;"-"&amp;$J556,#REF!,#REF!+6,0),0)</f>
        <v>0</v>
      </c>
      <c r="AM556" s="162">
        <f>IFERROR(VLOOKUP($F556&amp;"-"&amp;$J556,#REF!,#REF!+6,0),0)</f>
        <v>0</v>
      </c>
      <c r="AN556" s="162">
        <f>IFERROR(VLOOKUP($F556&amp;"-"&amp;$J556,#REF!,#REF!+6,0),0)</f>
        <v>0</v>
      </c>
      <c r="AO556" s="162">
        <f>IFERROR(VLOOKUP($F556&amp;"-"&amp;$J556,#REF!,#REF!+6,0),0)</f>
        <v>0</v>
      </c>
      <c r="AP556" s="162">
        <f>IFERROR(VLOOKUP($F556&amp;"-"&amp;$J556,#REF!,#REF!+6,0),0)</f>
        <v>0</v>
      </c>
      <c r="AQ556" s="162">
        <f>IFERROR(VLOOKUP($F556&amp;"-"&amp;$J556,#REF!,#REF!+6,0),0)</f>
        <v>0</v>
      </c>
      <c r="AR556" s="163">
        <f t="shared" si="197"/>
        <v>0</v>
      </c>
    </row>
    <row r="557" spans="1:44" x14ac:dyDescent="0.25">
      <c r="B557" s="15" t="s">
        <v>226</v>
      </c>
      <c r="C557" s="83" t="str">
        <f t="shared" si="194"/>
        <v>PLANCP</v>
      </c>
      <c r="F557" s="148">
        <v>1033</v>
      </c>
      <c r="G557" s="149" t="str">
        <f>IFERROR(VLOOKUP(F557,#REF!,2,0),"")</f>
        <v/>
      </c>
      <c r="H557" s="150" t="str">
        <f>IFERROR(VLOOKUP(F557,#REF!,3,0),"")</f>
        <v/>
      </c>
      <c r="I557" s="151" t="s">
        <v>275</v>
      </c>
      <c r="J557" s="151">
        <v>1</v>
      </c>
      <c r="K557" s="152"/>
      <c r="L557" s="153"/>
      <c r="M557" s="154"/>
      <c r="N557" s="151"/>
      <c r="O557" s="155">
        <v>1</v>
      </c>
      <c r="P557" s="156">
        <v>0</v>
      </c>
      <c r="Q557" s="156">
        <v>0</v>
      </c>
      <c r="R557" s="156">
        <v>0</v>
      </c>
      <c r="S557" s="156">
        <v>0</v>
      </c>
      <c r="T557" s="156">
        <v>0</v>
      </c>
      <c r="U557" s="156">
        <v>0</v>
      </c>
      <c r="V557" s="156">
        <v>0</v>
      </c>
      <c r="W557" s="156">
        <v>0</v>
      </c>
      <c r="X557" s="156">
        <v>0</v>
      </c>
      <c r="Y557" s="156">
        <v>0</v>
      </c>
      <c r="Z557" s="156">
        <v>0</v>
      </c>
      <c r="AA557" s="156">
        <v>0</v>
      </c>
      <c r="AB557" s="158">
        <f>SUM(P557:AA557)</f>
        <v>0</v>
      </c>
      <c r="AC557" s="159"/>
      <c r="AE557" s="160" t="str">
        <f t="shared" si="196"/>
        <v>1033 -  -  - 1 - (R$/)</v>
      </c>
      <c r="AF557" s="161">
        <f>IFERROR(VLOOKUP($F557&amp;"-"&amp;$J557,#REF!,#REF!+6,0),0)</f>
        <v>0</v>
      </c>
      <c r="AG557" s="162">
        <f>IFERROR(VLOOKUP($F557&amp;"-"&amp;$J557,#REF!,#REF!+6,0),0)</f>
        <v>0</v>
      </c>
      <c r="AH557" s="162">
        <f>IFERROR(VLOOKUP($F557&amp;"-"&amp;$J557,#REF!,#REF!+6,0),0)</f>
        <v>0</v>
      </c>
      <c r="AI557" s="162">
        <f>IFERROR(VLOOKUP($F557&amp;"-"&amp;$J557,#REF!,#REF!+6,0),0)</f>
        <v>0</v>
      </c>
      <c r="AJ557" s="162">
        <f>IFERROR(VLOOKUP($F557&amp;"-"&amp;$J557,#REF!,#REF!+6,0),0)</f>
        <v>0</v>
      </c>
      <c r="AK557" s="162">
        <f>IFERROR(VLOOKUP($F557&amp;"-"&amp;$J557,#REF!,#REF!+6,0),0)</f>
        <v>0</v>
      </c>
      <c r="AL557" s="162">
        <f>IFERROR(VLOOKUP($F557&amp;"-"&amp;$J557,#REF!,#REF!+6,0),0)</f>
        <v>0</v>
      </c>
      <c r="AM557" s="162">
        <f>IFERROR(VLOOKUP($F557&amp;"-"&amp;$J557,#REF!,#REF!+6,0),0)</f>
        <v>0</v>
      </c>
      <c r="AN557" s="162">
        <f>IFERROR(VLOOKUP($F557&amp;"-"&amp;$J557,#REF!,#REF!+6,0),0)</f>
        <v>0</v>
      </c>
      <c r="AO557" s="162">
        <f>IFERROR(VLOOKUP($F557&amp;"-"&amp;$J557,#REF!,#REF!+6,0),0)</f>
        <v>0</v>
      </c>
      <c r="AP557" s="162">
        <f>IFERROR(VLOOKUP($F557&amp;"-"&amp;$J557,#REF!,#REF!+6,0),0)</f>
        <v>0</v>
      </c>
      <c r="AQ557" s="162">
        <f>IFERROR(VLOOKUP($F557&amp;"-"&amp;$J557,#REF!,#REF!+6,0),0)</f>
        <v>0</v>
      </c>
      <c r="AR557" s="163">
        <f t="shared" si="197"/>
        <v>0</v>
      </c>
    </row>
    <row r="558" spans="1:44" x14ac:dyDescent="0.25">
      <c r="B558" s="15" t="s">
        <v>226</v>
      </c>
      <c r="C558" s="83" t="str">
        <f t="shared" si="194"/>
        <v>PLANCP</v>
      </c>
      <c r="F558" s="148">
        <v>1044</v>
      </c>
      <c r="G558" s="149" t="str">
        <f>IFERROR(VLOOKUP(F558,#REF!,2,0),"")</f>
        <v/>
      </c>
      <c r="H558" s="150" t="str">
        <f>IFERROR(VLOOKUP(F558,#REF!,3,0),"")</f>
        <v/>
      </c>
      <c r="I558" s="151" t="s">
        <v>275</v>
      </c>
      <c r="J558" s="151">
        <v>1</v>
      </c>
      <c r="K558" s="152"/>
      <c r="L558" s="153"/>
      <c r="M558" s="154"/>
      <c r="N558" s="151"/>
      <c r="O558" s="155">
        <v>1</v>
      </c>
      <c r="P558" s="156">
        <v>0</v>
      </c>
      <c r="Q558" s="156">
        <v>0</v>
      </c>
      <c r="R558" s="156">
        <v>0</v>
      </c>
      <c r="S558" s="156">
        <v>0</v>
      </c>
      <c r="T558" s="156">
        <v>0</v>
      </c>
      <c r="U558" s="156">
        <v>0</v>
      </c>
      <c r="V558" s="156">
        <v>0</v>
      </c>
      <c r="W558" s="156">
        <v>0</v>
      </c>
      <c r="X558" s="156">
        <v>0</v>
      </c>
      <c r="Y558" s="156">
        <v>0</v>
      </c>
      <c r="Z558" s="156">
        <v>0</v>
      </c>
      <c r="AA558" s="156">
        <v>0</v>
      </c>
      <c r="AB558" s="158">
        <f t="shared" si="195"/>
        <v>0</v>
      </c>
      <c r="AC558" s="159"/>
      <c r="AE558" s="160" t="str">
        <f t="shared" si="196"/>
        <v>1044 -  -  - 1 - (R$/)</v>
      </c>
      <c r="AF558" s="161">
        <f>IFERROR(VLOOKUP($F558&amp;"-"&amp;$J558,#REF!,#REF!+6,0),0)</f>
        <v>0</v>
      </c>
      <c r="AG558" s="162">
        <f>IFERROR(VLOOKUP($F558&amp;"-"&amp;$J558,#REF!,#REF!+6,0),0)</f>
        <v>0</v>
      </c>
      <c r="AH558" s="162">
        <f>IFERROR(VLOOKUP($F558&amp;"-"&amp;$J558,#REF!,#REF!+6,0),0)</f>
        <v>0</v>
      </c>
      <c r="AI558" s="162">
        <f>IFERROR(VLOOKUP($F558&amp;"-"&amp;$J558,#REF!,#REF!+6,0),0)</f>
        <v>0</v>
      </c>
      <c r="AJ558" s="162">
        <f>IFERROR(VLOOKUP($F558&amp;"-"&amp;$J558,#REF!,#REF!+6,0),0)</f>
        <v>0</v>
      </c>
      <c r="AK558" s="162">
        <f>IFERROR(VLOOKUP($F558&amp;"-"&amp;$J558,#REF!,#REF!+6,0),0)</f>
        <v>0</v>
      </c>
      <c r="AL558" s="162">
        <f>IFERROR(VLOOKUP($F558&amp;"-"&amp;$J558,#REF!,#REF!+6,0),0)</f>
        <v>0</v>
      </c>
      <c r="AM558" s="162">
        <f>IFERROR(VLOOKUP($F558&amp;"-"&amp;$J558,#REF!,#REF!+6,0),0)</f>
        <v>0</v>
      </c>
      <c r="AN558" s="162">
        <f>IFERROR(VLOOKUP($F558&amp;"-"&amp;$J558,#REF!,#REF!+6,0),0)</f>
        <v>0</v>
      </c>
      <c r="AO558" s="162">
        <f>IFERROR(VLOOKUP($F558&amp;"-"&amp;$J558,#REF!,#REF!+6,0),0)</f>
        <v>0</v>
      </c>
      <c r="AP558" s="162">
        <f>IFERROR(VLOOKUP($F558&amp;"-"&amp;$J558,#REF!,#REF!+6,0),0)</f>
        <v>0</v>
      </c>
      <c r="AQ558" s="162">
        <f>IFERROR(VLOOKUP($F558&amp;"-"&amp;$J558,#REF!,#REF!+6,0),0)</f>
        <v>0</v>
      </c>
      <c r="AR558" s="163">
        <f t="shared" si="197"/>
        <v>0</v>
      </c>
    </row>
    <row r="559" spans="1:44" x14ac:dyDescent="0.25">
      <c r="B559" s="15" t="s">
        <v>226</v>
      </c>
      <c r="C559" s="83">
        <f t="shared" si="194"/>
        <v>0</v>
      </c>
      <c r="F559" s="148"/>
      <c r="G559" s="149" t="str">
        <f>IFERROR(VLOOKUP(F559,#REF!,2,0),"")</f>
        <v/>
      </c>
      <c r="H559" s="150" t="str">
        <f>IFERROR(VLOOKUP(F559,#REF!,3,0),"")</f>
        <v/>
      </c>
      <c r="I559" s="151"/>
      <c r="J559" s="151"/>
      <c r="K559" s="152"/>
      <c r="L559" s="153"/>
      <c r="M559" s="154"/>
      <c r="N559" s="151"/>
      <c r="O559" s="155"/>
      <c r="P559" s="156"/>
      <c r="Q559" s="156"/>
      <c r="R559" s="156"/>
      <c r="S559" s="156"/>
      <c r="T559" s="156"/>
      <c r="U559" s="156"/>
      <c r="V559" s="156"/>
      <c r="W559" s="156"/>
      <c r="X559" s="156"/>
      <c r="Y559" s="156"/>
      <c r="Z559" s="156"/>
      <c r="AA559" s="156"/>
      <c r="AB559" s="158">
        <f t="shared" si="195"/>
        <v>0</v>
      </c>
      <c r="AC559" s="159"/>
      <c r="AE559" s="160" t="str">
        <f t="shared" si="196"/>
        <v/>
      </c>
      <c r="AF559" s="161">
        <f>IFERROR(VLOOKUP($F559&amp;"-"&amp;$J559,#REF!,#REF!+6,0),0)</f>
        <v>0</v>
      </c>
      <c r="AG559" s="162">
        <f>IFERROR(VLOOKUP($F559&amp;"-"&amp;$J559,#REF!,#REF!+6,0),0)</f>
        <v>0</v>
      </c>
      <c r="AH559" s="162">
        <f>IFERROR(VLOOKUP($F559&amp;"-"&amp;$J559,#REF!,#REF!+6,0),0)</f>
        <v>0</v>
      </c>
      <c r="AI559" s="162">
        <f>IFERROR(VLOOKUP($F559&amp;"-"&amp;$J559,#REF!,#REF!+6,0),0)</f>
        <v>0</v>
      </c>
      <c r="AJ559" s="162">
        <f>IFERROR(VLOOKUP($F559&amp;"-"&amp;$J559,#REF!,#REF!+6,0),0)</f>
        <v>0</v>
      </c>
      <c r="AK559" s="162">
        <f>IFERROR(VLOOKUP($F559&amp;"-"&amp;$J559,#REF!,#REF!+6,0),0)</f>
        <v>0</v>
      </c>
      <c r="AL559" s="162">
        <f>IFERROR(VLOOKUP($F559&amp;"-"&amp;$J559,#REF!,#REF!+6,0),0)</f>
        <v>0</v>
      </c>
      <c r="AM559" s="162">
        <f>IFERROR(VLOOKUP($F559&amp;"-"&amp;$J559,#REF!,#REF!+6,0),0)</f>
        <v>0</v>
      </c>
      <c r="AN559" s="162">
        <f>IFERROR(VLOOKUP($F559&amp;"-"&amp;$J559,#REF!,#REF!+6,0),0)</f>
        <v>0</v>
      </c>
      <c r="AO559" s="162">
        <f>IFERROR(VLOOKUP($F559&amp;"-"&amp;$J559,#REF!,#REF!+6,0),0)</f>
        <v>0</v>
      </c>
      <c r="AP559" s="162">
        <f>IFERROR(VLOOKUP($F559&amp;"-"&amp;$J559,#REF!,#REF!+6,0),0)</f>
        <v>0</v>
      </c>
      <c r="AQ559" s="162">
        <f>IFERROR(VLOOKUP($F559&amp;"-"&amp;$J559,#REF!,#REF!+6,0),0)</f>
        <v>0</v>
      </c>
      <c r="AR559" s="163">
        <f t="shared" si="197"/>
        <v>0</v>
      </c>
    </row>
    <row r="560" spans="1:44" x14ac:dyDescent="0.25">
      <c r="B560" s="15" t="s">
        <v>226</v>
      </c>
      <c r="C560" s="83">
        <f t="shared" si="194"/>
        <v>0</v>
      </c>
      <c r="F560" s="148"/>
      <c r="G560" s="149" t="str">
        <f>IFERROR(VLOOKUP(F560,#REF!,2,0),"")</f>
        <v/>
      </c>
      <c r="H560" s="150" t="str">
        <f>IFERROR(VLOOKUP(F560,#REF!,3,0),"")</f>
        <v/>
      </c>
      <c r="I560" s="151"/>
      <c r="J560" s="151"/>
      <c r="K560" s="152"/>
      <c r="L560" s="153"/>
      <c r="M560" s="154"/>
      <c r="N560" s="151"/>
      <c r="O560" s="155"/>
      <c r="P560" s="156"/>
      <c r="Q560" s="156"/>
      <c r="R560" s="156"/>
      <c r="S560" s="156"/>
      <c r="T560" s="156"/>
      <c r="U560" s="156"/>
      <c r="V560" s="156"/>
      <c r="W560" s="156"/>
      <c r="X560" s="156"/>
      <c r="Y560" s="156"/>
      <c r="Z560" s="156"/>
      <c r="AA560" s="156"/>
      <c r="AB560" s="158">
        <f t="shared" si="195"/>
        <v>0</v>
      </c>
      <c r="AC560" s="159"/>
      <c r="AE560" s="160" t="str">
        <f t="shared" si="196"/>
        <v/>
      </c>
      <c r="AF560" s="161">
        <f>IFERROR(VLOOKUP($F560&amp;"-"&amp;$J560,#REF!,#REF!+6,0),0)</f>
        <v>0</v>
      </c>
      <c r="AG560" s="162">
        <f>IFERROR(VLOOKUP($F560&amp;"-"&amp;$J560,#REF!,#REF!+6,0),0)</f>
        <v>0</v>
      </c>
      <c r="AH560" s="162">
        <f>IFERROR(VLOOKUP($F560&amp;"-"&amp;$J560,#REF!,#REF!+6,0),0)</f>
        <v>0</v>
      </c>
      <c r="AI560" s="162">
        <f>IFERROR(VLOOKUP($F560&amp;"-"&amp;$J560,#REF!,#REF!+6,0),0)</f>
        <v>0</v>
      </c>
      <c r="AJ560" s="162">
        <f>IFERROR(VLOOKUP($F560&amp;"-"&amp;$J560,#REF!,#REF!+6,0),0)</f>
        <v>0</v>
      </c>
      <c r="AK560" s="162">
        <f>IFERROR(VLOOKUP($F560&amp;"-"&amp;$J560,#REF!,#REF!+6,0),0)</f>
        <v>0</v>
      </c>
      <c r="AL560" s="162">
        <f>IFERROR(VLOOKUP($F560&amp;"-"&amp;$J560,#REF!,#REF!+6,0),0)</f>
        <v>0</v>
      </c>
      <c r="AM560" s="162">
        <f>IFERROR(VLOOKUP($F560&amp;"-"&amp;$J560,#REF!,#REF!+6,0),0)</f>
        <v>0</v>
      </c>
      <c r="AN560" s="162">
        <f>IFERROR(VLOOKUP($F560&amp;"-"&amp;$J560,#REF!,#REF!+6,0),0)</f>
        <v>0</v>
      </c>
      <c r="AO560" s="162">
        <f>IFERROR(VLOOKUP($F560&amp;"-"&amp;$J560,#REF!,#REF!+6,0),0)</f>
        <v>0</v>
      </c>
      <c r="AP560" s="162">
        <f>IFERROR(VLOOKUP($F560&amp;"-"&amp;$J560,#REF!,#REF!+6,0),0)</f>
        <v>0</v>
      </c>
      <c r="AQ560" s="162">
        <f>IFERROR(VLOOKUP($F560&amp;"-"&amp;$J560,#REF!,#REF!+6,0),0)</f>
        <v>0</v>
      </c>
      <c r="AR560" s="163">
        <f t="shared" si="197"/>
        <v>0</v>
      </c>
    </row>
    <row r="561" spans="2:44" x14ac:dyDescent="0.25">
      <c r="B561" s="15" t="s">
        <v>226</v>
      </c>
      <c r="C561" s="83">
        <f t="shared" si="194"/>
        <v>0</v>
      </c>
      <c r="F561" s="148"/>
      <c r="G561" s="149" t="str">
        <f>IFERROR(VLOOKUP(F561,#REF!,2,0),"")</f>
        <v/>
      </c>
      <c r="H561" s="150" t="str">
        <f>IFERROR(VLOOKUP(F561,#REF!,3,0),"")</f>
        <v/>
      </c>
      <c r="I561" s="151"/>
      <c r="J561" s="151"/>
      <c r="K561" s="152"/>
      <c r="L561" s="153"/>
      <c r="M561" s="154"/>
      <c r="N561" s="151"/>
      <c r="O561" s="155"/>
      <c r="P561" s="156"/>
      <c r="Q561" s="156"/>
      <c r="R561" s="156"/>
      <c r="S561" s="156"/>
      <c r="T561" s="156"/>
      <c r="U561" s="156"/>
      <c r="V561" s="156"/>
      <c r="W561" s="156"/>
      <c r="X561" s="156"/>
      <c r="Y561" s="156"/>
      <c r="Z561" s="156"/>
      <c r="AA561" s="156"/>
      <c r="AB561" s="158">
        <f t="shared" si="195"/>
        <v>0</v>
      </c>
      <c r="AC561" s="159"/>
      <c r="AE561" s="160" t="str">
        <f t="shared" si="196"/>
        <v/>
      </c>
      <c r="AF561" s="161">
        <f>IFERROR(VLOOKUP($F561&amp;"-"&amp;$J561,#REF!,#REF!+6,0),0)</f>
        <v>0</v>
      </c>
      <c r="AG561" s="162">
        <f>IFERROR(VLOOKUP($F561&amp;"-"&amp;$J561,#REF!,#REF!+6,0),0)</f>
        <v>0</v>
      </c>
      <c r="AH561" s="162">
        <f>IFERROR(VLOOKUP($F561&amp;"-"&amp;$J561,#REF!,#REF!+6,0),0)</f>
        <v>0</v>
      </c>
      <c r="AI561" s="162">
        <f>IFERROR(VLOOKUP($F561&amp;"-"&amp;$J561,#REF!,#REF!+6,0),0)</f>
        <v>0</v>
      </c>
      <c r="AJ561" s="162">
        <f>IFERROR(VLOOKUP($F561&amp;"-"&amp;$J561,#REF!,#REF!+6,0),0)</f>
        <v>0</v>
      </c>
      <c r="AK561" s="162">
        <f>IFERROR(VLOOKUP($F561&amp;"-"&amp;$J561,#REF!,#REF!+6,0),0)</f>
        <v>0</v>
      </c>
      <c r="AL561" s="162">
        <f>IFERROR(VLOOKUP($F561&amp;"-"&amp;$J561,#REF!,#REF!+6,0),0)</f>
        <v>0</v>
      </c>
      <c r="AM561" s="162">
        <f>IFERROR(VLOOKUP($F561&amp;"-"&amp;$J561,#REF!,#REF!+6,0),0)</f>
        <v>0</v>
      </c>
      <c r="AN561" s="162">
        <f>IFERROR(VLOOKUP($F561&amp;"-"&amp;$J561,#REF!,#REF!+6,0),0)</f>
        <v>0</v>
      </c>
      <c r="AO561" s="162">
        <f>IFERROR(VLOOKUP($F561&amp;"-"&amp;$J561,#REF!,#REF!+6,0),0)</f>
        <v>0</v>
      </c>
      <c r="AP561" s="162">
        <f>IFERROR(VLOOKUP($F561&amp;"-"&amp;$J561,#REF!,#REF!+6,0),0)</f>
        <v>0</v>
      </c>
      <c r="AQ561" s="162">
        <f>IFERROR(VLOOKUP($F561&amp;"-"&amp;$J561,#REF!,#REF!+6,0),0)</f>
        <v>0</v>
      </c>
      <c r="AR561" s="163">
        <f t="shared" si="197"/>
        <v>0</v>
      </c>
    </row>
    <row r="562" spans="2:44" x14ac:dyDescent="0.25">
      <c r="B562" s="15" t="s">
        <v>226</v>
      </c>
      <c r="C562" s="83">
        <f t="shared" si="194"/>
        <v>0</v>
      </c>
      <c r="F562" s="148"/>
      <c r="G562" s="149" t="str">
        <f>IFERROR(VLOOKUP(F562,#REF!,2,0),"")</f>
        <v/>
      </c>
      <c r="H562" s="150" t="str">
        <f>IFERROR(VLOOKUP(F562,#REF!,3,0),"")</f>
        <v/>
      </c>
      <c r="I562" s="151"/>
      <c r="J562" s="151"/>
      <c r="K562" s="152"/>
      <c r="L562" s="153"/>
      <c r="M562" s="154"/>
      <c r="N562" s="151"/>
      <c r="O562" s="155"/>
      <c r="P562" s="156"/>
      <c r="Q562" s="156"/>
      <c r="R562" s="156"/>
      <c r="S562" s="156"/>
      <c r="T562" s="156"/>
      <c r="U562" s="156"/>
      <c r="V562" s="156"/>
      <c r="W562" s="156"/>
      <c r="X562" s="235"/>
      <c r="Y562" s="156"/>
      <c r="Z562" s="156"/>
      <c r="AA562" s="156"/>
      <c r="AB562" s="158">
        <f t="shared" si="195"/>
        <v>0</v>
      </c>
      <c r="AC562" s="159"/>
      <c r="AE562" s="160" t="str">
        <f t="shared" si="196"/>
        <v/>
      </c>
      <c r="AF562" s="161">
        <f>IFERROR(VLOOKUP($F562&amp;"-"&amp;$J562,#REF!,#REF!+6,0),0)</f>
        <v>0</v>
      </c>
      <c r="AG562" s="162">
        <f>IFERROR(VLOOKUP($F562&amp;"-"&amp;$J562,#REF!,#REF!+6,0),0)</f>
        <v>0</v>
      </c>
      <c r="AH562" s="162">
        <f>IFERROR(VLOOKUP($F562&amp;"-"&amp;$J562,#REF!,#REF!+6,0),0)</f>
        <v>0</v>
      </c>
      <c r="AI562" s="162">
        <f>IFERROR(VLOOKUP($F562&amp;"-"&amp;$J562,#REF!,#REF!+6,0),0)</f>
        <v>0</v>
      </c>
      <c r="AJ562" s="162">
        <f>IFERROR(VLOOKUP($F562&amp;"-"&amp;$J562,#REF!,#REF!+6,0),0)</f>
        <v>0</v>
      </c>
      <c r="AK562" s="162">
        <f>IFERROR(VLOOKUP($F562&amp;"-"&amp;$J562,#REF!,#REF!+6,0),0)</f>
        <v>0</v>
      </c>
      <c r="AL562" s="162">
        <f>IFERROR(VLOOKUP($F562&amp;"-"&amp;$J562,#REF!,#REF!+6,0),0)</f>
        <v>0</v>
      </c>
      <c r="AM562" s="162">
        <f>IFERROR(VLOOKUP($F562&amp;"-"&amp;$J562,#REF!,#REF!+6,0),0)</f>
        <v>0</v>
      </c>
      <c r="AN562" s="162">
        <f>IFERROR(VLOOKUP($F562&amp;"-"&amp;$J562,#REF!,#REF!+6,0),0)</f>
        <v>0</v>
      </c>
      <c r="AO562" s="162">
        <f>IFERROR(VLOOKUP($F562&amp;"-"&amp;$J562,#REF!,#REF!+6,0),0)</f>
        <v>0</v>
      </c>
      <c r="AP562" s="162">
        <f>IFERROR(VLOOKUP($F562&amp;"-"&amp;$J562,#REF!,#REF!+6,0),0)</f>
        <v>0</v>
      </c>
      <c r="AQ562" s="162">
        <f>IFERROR(VLOOKUP($F562&amp;"-"&amp;$J562,#REF!,#REF!+6,0),0)</f>
        <v>0</v>
      </c>
      <c r="AR562" s="163">
        <f t="shared" si="197"/>
        <v>0</v>
      </c>
    </row>
    <row r="563" spans="2:44" x14ac:dyDescent="0.25">
      <c r="B563" s="15" t="s">
        <v>226</v>
      </c>
      <c r="C563" s="83">
        <f t="shared" si="194"/>
        <v>0</v>
      </c>
      <c r="F563" s="148"/>
      <c r="G563" s="149" t="str">
        <f>IFERROR(VLOOKUP(F563,#REF!,2,0),"")</f>
        <v/>
      </c>
      <c r="H563" s="150" t="str">
        <f>IFERROR(VLOOKUP(F563,#REF!,3,0),"")</f>
        <v/>
      </c>
      <c r="I563" s="151"/>
      <c r="J563" s="151"/>
      <c r="K563" s="152"/>
      <c r="L563" s="153"/>
      <c r="M563" s="154"/>
      <c r="N563" s="151"/>
      <c r="O563" s="155"/>
      <c r="P563" s="156"/>
      <c r="Q563" s="156"/>
      <c r="R563" s="156"/>
      <c r="S563" s="156"/>
      <c r="T563" s="156"/>
      <c r="U563" s="156"/>
      <c r="V563" s="156"/>
      <c r="W563" s="156"/>
      <c r="X563" s="156"/>
      <c r="Y563" s="156"/>
      <c r="Z563" s="156"/>
      <c r="AA563" s="156"/>
      <c r="AB563" s="158">
        <f t="shared" si="195"/>
        <v>0</v>
      </c>
      <c r="AC563" s="159"/>
      <c r="AE563" s="160" t="str">
        <f t="shared" si="196"/>
        <v/>
      </c>
      <c r="AF563" s="161">
        <f>IFERROR(VLOOKUP($F563&amp;"-"&amp;$J563,#REF!,#REF!+6,0),0)</f>
        <v>0</v>
      </c>
      <c r="AG563" s="162">
        <f>IFERROR(VLOOKUP($F563&amp;"-"&amp;$J563,#REF!,#REF!+6,0),0)</f>
        <v>0</v>
      </c>
      <c r="AH563" s="162">
        <f>IFERROR(VLOOKUP($F563&amp;"-"&amp;$J563,#REF!,#REF!+6,0),0)</f>
        <v>0</v>
      </c>
      <c r="AI563" s="162">
        <f>IFERROR(VLOOKUP($F563&amp;"-"&amp;$J563,#REF!,#REF!+6,0),0)</f>
        <v>0</v>
      </c>
      <c r="AJ563" s="162">
        <f>IFERROR(VLOOKUP($F563&amp;"-"&amp;$J563,#REF!,#REF!+6,0),0)</f>
        <v>0</v>
      </c>
      <c r="AK563" s="162">
        <f>IFERROR(VLOOKUP($F563&amp;"-"&amp;$J563,#REF!,#REF!+6,0),0)</f>
        <v>0</v>
      </c>
      <c r="AL563" s="162">
        <f>IFERROR(VLOOKUP($F563&amp;"-"&amp;$J563,#REF!,#REF!+6,0),0)</f>
        <v>0</v>
      </c>
      <c r="AM563" s="162">
        <f>IFERROR(VLOOKUP($F563&amp;"-"&amp;$J563,#REF!,#REF!+6,0),0)</f>
        <v>0</v>
      </c>
      <c r="AN563" s="162">
        <f>IFERROR(VLOOKUP($F563&amp;"-"&amp;$J563,#REF!,#REF!+6,0),0)</f>
        <v>0</v>
      </c>
      <c r="AO563" s="162">
        <f>IFERROR(VLOOKUP($F563&amp;"-"&amp;$J563,#REF!,#REF!+6,0),0)</f>
        <v>0</v>
      </c>
      <c r="AP563" s="162">
        <f>IFERROR(VLOOKUP($F563&amp;"-"&amp;$J563,#REF!,#REF!+6,0),0)</f>
        <v>0</v>
      </c>
      <c r="AQ563" s="162">
        <f>IFERROR(VLOOKUP($F563&amp;"-"&amp;$J563,#REF!,#REF!+6,0),0)</f>
        <v>0</v>
      </c>
      <c r="AR563" s="163">
        <f t="shared" si="197"/>
        <v>0</v>
      </c>
    </row>
    <row r="564" spans="2:44" x14ac:dyDescent="0.25">
      <c r="B564" s="15" t="s">
        <v>226</v>
      </c>
      <c r="C564" s="83">
        <f t="shared" si="194"/>
        <v>0</v>
      </c>
      <c r="F564" s="148"/>
      <c r="G564" s="149" t="str">
        <f>IFERROR(VLOOKUP(F564,#REF!,2,0),"")</f>
        <v/>
      </c>
      <c r="H564" s="150" t="str">
        <f>IFERROR(VLOOKUP(F564,#REF!,3,0),"")</f>
        <v/>
      </c>
      <c r="I564" s="151"/>
      <c r="J564" s="151"/>
      <c r="K564" s="152"/>
      <c r="L564" s="153"/>
      <c r="M564" s="154"/>
      <c r="N564" s="151"/>
      <c r="O564" s="155"/>
      <c r="P564" s="156"/>
      <c r="Q564" s="156"/>
      <c r="R564" s="156"/>
      <c r="S564" s="156"/>
      <c r="T564" s="156"/>
      <c r="U564" s="156"/>
      <c r="V564" s="156"/>
      <c r="W564" s="156"/>
      <c r="X564" s="156"/>
      <c r="Y564" s="156"/>
      <c r="Z564" s="156"/>
      <c r="AA564" s="156"/>
      <c r="AB564" s="158">
        <f t="shared" si="195"/>
        <v>0</v>
      </c>
      <c r="AC564" s="198"/>
      <c r="AE564" s="160" t="str">
        <f t="shared" si="196"/>
        <v/>
      </c>
      <c r="AF564" s="161">
        <f>IFERROR(VLOOKUP($F564&amp;"-"&amp;$J564,#REF!,#REF!+6,0),0)</f>
        <v>0</v>
      </c>
      <c r="AG564" s="162">
        <f>IFERROR(VLOOKUP($F564&amp;"-"&amp;$J564,#REF!,#REF!+6,0),0)</f>
        <v>0</v>
      </c>
      <c r="AH564" s="162">
        <f>IFERROR(VLOOKUP($F564&amp;"-"&amp;$J564,#REF!,#REF!+6,0),0)</f>
        <v>0</v>
      </c>
      <c r="AI564" s="162">
        <f>IFERROR(VLOOKUP($F564&amp;"-"&amp;$J564,#REF!,#REF!+6,0),0)</f>
        <v>0</v>
      </c>
      <c r="AJ564" s="162">
        <f>IFERROR(VLOOKUP($F564&amp;"-"&amp;$J564,#REF!,#REF!+6,0),0)</f>
        <v>0</v>
      </c>
      <c r="AK564" s="162">
        <f>IFERROR(VLOOKUP($F564&amp;"-"&amp;$J564,#REF!,#REF!+6,0),0)</f>
        <v>0</v>
      </c>
      <c r="AL564" s="162">
        <f>IFERROR(VLOOKUP($F564&amp;"-"&amp;$J564,#REF!,#REF!+6,0),0)</f>
        <v>0</v>
      </c>
      <c r="AM564" s="162">
        <f>IFERROR(VLOOKUP($F564&amp;"-"&amp;$J564,#REF!,#REF!+6,0),0)</f>
        <v>0</v>
      </c>
      <c r="AN564" s="162">
        <f>IFERROR(VLOOKUP($F564&amp;"-"&amp;$J564,#REF!,#REF!+6,0),0)</f>
        <v>0</v>
      </c>
      <c r="AO564" s="162">
        <f>IFERROR(VLOOKUP($F564&amp;"-"&amp;$J564,#REF!,#REF!+6,0),0)</f>
        <v>0</v>
      </c>
      <c r="AP564" s="162">
        <f>IFERROR(VLOOKUP($F564&amp;"-"&amp;$J564,#REF!,#REF!+6,0),0)</f>
        <v>0</v>
      </c>
      <c r="AQ564" s="162">
        <f>IFERROR(VLOOKUP($F564&amp;"-"&amp;$J564,#REF!,#REF!+6,0),0)</f>
        <v>0</v>
      </c>
      <c r="AR564" s="163">
        <f t="shared" si="197"/>
        <v>0</v>
      </c>
    </row>
    <row r="565" spans="2:44" x14ac:dyDescent="0.25">
      <c r="B565" s="15" t="s">
        <v>226</v>
      </c>
      <c r="C565" s="83">
        <f t="shared" si="194"/>
        <v>0</v>
      </c>
      <c r="F565" s="148"/>
      <c r="G565" s="149" t="str">
        <f>IFERROR(VLOOKUP(F565,#REF!,2,0),"")</f>
        <v/>
      </c>
      <c r="H565" s="150" t="str">
        <f>IFERROR(VLOOKUP(F565,#REF!,3,0),"")</f>
        <v/>
      </c>
      <c r="I565" s="151"/>
      <c r="J565" s="151"/>
      <c r="K565" s="152"/>
      <c r="L565" s="153"/>
      <c r="M565" s="154"/>
      <c r="N565" s="151"/>
      <c r="O565" s="155"/>
      <c r="P565" s="156"/>
      <c r="Q565" s="156"/>
      <c r="R565" s="156"/>
      <c r="S565" s="156"/>
      <c r="T565" s="156"/>
      <c r="U565" s="156"/>
      <c r="V565" s="156"/>
      <c r="W565" s="156"/>
      <c r="X565" s="156"/>
      <c r="Y565" s="156"/>
      <c r="Z565" s="156"/>
      <c r="AA565" s="156"/>
      <c r="AB565" s="158">
        <f t="shared" si="195"/>
        <v>0</v>
      </c>
      <c r="AC565" s="198"/>
      <c r="AE565" s="160" t="str">
        <f t="shared" si="196"/>
        <v/>
      </c>
      <c r="AF565" s="161">
        <f>IFERROR(VLOOKUP($F565&amp;"-"&amp;$J565,#REF!,#REF!+6,0),0)</f>
        <v>0</v>
      </c>
      <c r="AG565" s="162">
        <f>IFERROR(VLOOKUP($F565&amp;"-"&amp;$J565,#REF!,#REF!+6,0),0)</f>
        <v>0</v>
      </c>
      <c r="AH565" s="162">
        <f>IFERROR(VLOOKUP($F565&amp;"-"&amp;$J565,#REF!,#REF!+6,0),0)</f>
        <v>0</v>
      </c>
      <c r="AI565" s="162">
        <f>IFERROR(VLOOKUP($F565&amp;"-"&amp;$J565,#REF!,#REF!+6,0),0)</f>
        <v>0</v>
      </c>
      <c r="AJ565" s="162">
        <f>IFERROR(VLOOKUP($F565&amp;"-"&amp;$J565,#REF!,#REF!+6,0),0)</f>
        <v>0</v>
      </c>
      <c r="AK565" s="162">
        <f>IFERROR(VLOOKUP($F565&amp;"-"&amp;$J565,#REF!,#REF!+6,0),0)</f>
        <v>0</v>
      </c>
      <c r="AL565" s="162">
        <f>IFERROR(VLOOKUP($F565&amp;"-"&amp;$J565,#REF!,#REF!+6,0),0)</f>
        <v>0</v>
      </c>
      <c r="AM565" s="162">
        <f>IFERROR(VLOOKUP($F565&amp;"-"&amp;$J565,#REF!,#REF!+6,0),0)</f>
        <v>0</v>
      </c>
      <c r="AN565" s="162">
        <f>IFERROR(VLOOKUP($F565&amp;"-"&amp;$J565,#REF!,#REF!+6,0),0)</f>
        <v>0</v>
      </c>
      <c r="AO565" s="162">
        <f>IFERROR(VLOOKUP($F565&amp;"-"&amp;$J565,#REF!,#REF!+6,0),0)</f>
        <v>0</v>
      </c>
      <c r="AP565" s="162">
        <f>IFERROR(VLOOKUP($F565&amp;"-"&amp;$J565,#REF!,#REF!+6,0),0)</f>
        <v>0</v>
      </c>
      <c r="AQ565" s="162">
        <f>IFERROR(VLOOKUP($F565&amp;"-"&amp;$J565,#REF!,#REF!+6,0),0)</f>
        <v>0</v>
      </c>
      <c r="AR565" s="163">
        <f t="shared" si="197"/>
        <v>0</v>
      </c>
    </row>
    <row r="566" spans="2:44" x14ac:dyDescent="0.25">
      <c r="B566" s="15" t="s">
        <v>226</v>
      </c>
      <c r="C566" s="83">
        <f t="shared" si="194"/>
        <v>0</v>
      </c>
      <c r="F566" s="148"/>
      <c r="G566" s="149" t="str">
        <f>IFERROR(VLOOKUP(F566,#REF!,2,0),"")</f>
        <v/>
      </c>
      <c r="H566" s="150" t="str">
        <f>IFERROR(VLOOKUP(F566,#REF!,3,0),"")</f>
        <v/>
      </c>
      <c r="I566" s="151"/>
      <c r="J566" s="151"/>
      <c r="K566" s="152"/>
      <c r="L566" s="153"/>
      <c r="M566" s="154"/>
      <c r="N566" s="151"/>
      <c r="O566" s="155"/>
      <c r="P566" s="156"/>
      <c r="Q566" s="156"/>
      <c r="R566" s="156"/>
      <c r="S566" s="156"/>
      <c r="T566" s="156"/>
      <c r="U566" s="156"/>
      <c r="V566" s="156"/>
      <c r="W566" s="156"/>
      <c r="X566" s="156"/>
      <c r="Y566" s="156"/>
      <c r="Z566" s="156"/>
      <c r="AA566" s="156"/>
      <c r="AB566" s="158">
        <f t="shared" si="195"/>
        <v>0</v>
      </c>
      <c r="AC566" s="198"/>
      <c r="AE566" s="160" t="str">
        <f t="shared" si="196"/>
        <v/>
      </c>
      <c r="AF566" s="161">
        <f>IFERROR(VLOOKUP($F566&amp;"-"&amp;$J566,#REF!,#REF!+6,0),0)</f>
        <v>0</v>
      </c>
      <c r="AG566" s="162">
        <f>IFERROR(VLOOKUP($F566&amp;"-"&amp;$J566,#REF!,#REF!+6,0),0)</f>
        <v>0</v>
      </c>
      <c r="AH566" s="162">
        <f>IFERROR(VLOOKUP($F566&amp;"-"&amp;$J566,#REF!,#REF!+6,0),0)</f>
        <v>0</v>
      </c>
      <c r="AI566" s="162">
        <f>IFERROR(VLOOKUP($F566&amp;"-"&amp;$J566,#REF!,#REF!+6,0),0)</f>
        <v>0</v>
      </c>
      <c r="AJ566" s="162">
        <f>IFERROR(VLOOKUP($F566&amp;"-"&amp;$J566,#REF!,#REF!+6,0),0)</f>
        <v>0</v>
      </c>
      <c r="AK566" s="162">
        <f>IFERROR(VLOOKUP($F566&amp;"-"&amp;$J566,#REF!,#REF!+6,0),0)</f>
        <v>0</v>
      </c>
      <c r="AL566" s="162">
        <f>IFERROR(VLOOKUP($F566&amp;"-"&amp;$J566,#REF!,#REF!+6,0),0)</f>
        <v>0</v>
      </c>
      <c r="AM566" s="162">
        <f>IFERROR(VLOOKUP($F566&amp;"-"&amp;$J566,#REF!,#REF!+6,0),0)</f>
        <v>0</v>
      </c>
      <c r="AN566" s="162">
        <f>IFERROR(VLOOKUP($F566&amp;"-"&amp;$J566,#REF!,#REF!+6,0),0)</f>
        <v>0</v>
      </c>
      <c r="AO566" s="162">
        <f>IFERROR(VLOOKUP($F566&amp;"-"&amp;$J566,#REF!,#REF!+6,0),0)</f>
        <v>0</v>
      </c>
      <c r="AP566" s="162">
        <f>IFERROR(VLOOKUP($F566&amp;"-"&amp;$J566,#REF!,#REF!+6,0),0)</f>
        <v>0</v>
      </c>
      <c r="AQ566" s="162">
        <f>IFERROR(VLOOKUP($F566&amp;"-"&amp;$J566,#REF!,#REF!+6,0),0)</f>
        <v>0</v>
      </c>
      <c r="AR566" s="163">
        <f t="shared" si="197"/>
        <v>0</v>
      </c>
    </row>
    <row r="567" spans="2:44" x14ac:dyDescent="0.25">
      <c r="B567" s="15" t="s">
        <v>226</v>
      </c>
      <c r="C567" s="83">
        <f t="shared" si="194"/>
        <v>0</v>
      </c>
      <c r="F567" s="148"/>
      <c r="G567" s="149" t="str">
        <f>IFERROR(VLOOKUP(F567,#REF!,2,0),"")</f>
        <v/>
      </c>
      <c r="H567" s="150" t="str">
        <f>IFERROR(VLOOKUP(F567,#REF!,3,0),"")</f>
        <v/>
      </c>
      <c r="I567" s="151"/>
      <c r="J567" s="151"/>
      <c r="K567" s="152"/>
      <c r="L567" s="153"/>
      <c r="M567" s="154"/>
      <c r="N567" s="151"/>
      <c r="O567" s="155"/>
      <c r="P567" s="156"/>
      <c r="Q567" s="156"/>
      <c r="R567" s="156"/>
      <c r="S567" s="156"/>
      <c r="T567" s="156"/>
      <c r="U567" s="156"/>
      <c r="V567" s="156"/>
      <c r="W567" s="156"/>
      <c r="X567" s="156"/>
      <c r="Y567" s="156"/>
      <c r="Z567" s="156"/>
      <c r="AA567" s="156"/>
      <c r="AB567" s="158">
        <f t="shared" si="195"/>
        <v>0</v>
      </c>
      <c r="AC567" s="198"/>
      <c r="AE567" s="160" t="str">
        <f t="shared" si="196"/>
        <v/>
      </c>
      <c r="AF567" s="161">
        <f>IFERROR(VLOOKUP($F567&amp;"-"&amp;$J567,#REF!,#REF!+6,0),0)</f>
        <v>0</v>
      </c>
      <c r="AG567" s="162">
        <f>IFERROR(VLOOKUP($F567&amp;"-"&amp;$J567,#REF!,#REF!+6,0),0)</f>
        <v>0</v>
      </c>
      <c r="AH567" s="162">
        <f>IFERROR(VLOOKUP($F567&amp;"-"&amp;$J567,#REF!,#REF!+6,0),0)</f>
        <v>0</v>
      </c>
      <c r="AI567" s="162">
        <f>IFERROR(VLOOKUP($F567&amp;"-"&amp;$J567,#REF!,#REF!+6,0),0)</f>
        <v>0</v>
      </c>
      <c r="AJ567" s="162">
        <f>IFERROR(VLOOKUP($F567&amp;"-"&amp;$J567,#REF!,#REF!+6,0),0)</f>
        <v>0</v>
      </c>
      <c r="AK567" s="162">
        <f>IFERROR(VLOOKUP($F567&amp;"-"&amp;$J567,#REF!,#REF!+6,0),0)</f>
        <v>0</v>
      </c>
      <c r="AL567" s="162">
        <f>IFERROR(VLOOKUP($F567&amp;"-"&amp;$J567,#REF!,#REF!+6,0),0)</f>
        <v>0</v>
      </c>
      <c r="AM567" s="162">
        <f>IFERROR(VLOOKUP($F567&amp;"-"&amp;$J567,#REF!,#REF!+6,0),0)</f>
        <v>0</v>
      </c>
      <c r="AN567" s="162">
        <f>IFERROR(VLOOKUP($F567&amp;"-"&amp;$J567,#REF!,#REF!+6,0),0)</f>
        <v>0</v>
      </c>
      <c r="AO567" s="162">
        <f>IFERROR(VLOOKUP($F567&amp;"-"&amp;$J567,#REF!,#REF!+6,0),0)</f>
        <v>0</v>
      </c>
      <c r="AP567" s="162">
        <f>IFERROR(VLOOKUP($F567&amp;"-"&amp;$J567,#REF!,#REF!+6,0),0)</f>
        <v>0</v>
      </c>
      <c r="AQ567" s="162">
        <f>IFERROR(VLOOKUP($F567&amp;"-"&amp;$J567,#REF!,#REF!+6,0),0)</f>
        <v>0</v>
      </c>
      <c r="AR567" s="163">
        <f t="shared" si="197"/>
        <v>0</v>
      </c>
    </row>
    <row r="568" spans="2:44" x14ac:dyDescent="0.25">
      <c r="B568" s="15" t="s">
        <v>226</v>
      </c>
      <c r="C568" s="83">
        <f t="shared" si="194"/>
        <v>0</v>
      </c>
      <c r="F568" s="148"/>
      <c r="G568" s="149" t="str">
        <f>IFERROR(VLOOKUP(F568,#REF!,2,0),"")</f>
        <v/>
      </c>
      <c r="H568" s="150" t="str">
        <f>IFERROR(VLOOKUP(F568,#REF!,3,0),"")</f>
        <v/>
      </c>
      <c r="I568" s="151"/>
      <c r="J568" s="151"/>
      <c r="K568" s="152"/>
      <c r="L568" s="153"/>
      <c r="M568" s="154"/>
      <c r="N568" s="151"/>
      <c r="O568" s="155"/>
      <c r="P568" s="156"/>
      <c r="Q568" s="156"/>
      <c r="R568" s="156"/>
      <c r="S568" s="156"/>
      <c r="T568" s="156"/>
      <c r="U568" s="156"/>
      <c r="V568" s="156"/>
      <c r="W568" s="156"/>
      <c r="X568" s="156"/>
      <c r="Y568" s="156"/>
      <c r="Z568" s="156"/>
      <c r="AA568" s="156"/>
      <c r="AB568" s="158">
        <f t="shared" si="195"/>
        <v>0</v>
      </c>
      <c r="AC568" s="198"/>
      <c r="AE568" s="160" t="str">
        <f t="shared" si="196"/>
        <v/>
      </c>
      <c r="AF568" s="161">
        <f>IFERROR(VLOOKUP($F568&amp;"-"&amp;$J568,#REF!,#REF!+6,0),0)</f>
        <v>0</v>
      </c>
      <c r="AG568" s="162">
        <f>IFERROR(VLOOKUP($F568&amp;"-"&amp;$J568,#REF!,#REF!+6,0),0)</f>
        <v>0</v>
      </c>
      <c r="AH568" s="162">
        <f>IFERROR(VLOOKUP($F568&amp;"-"&amp;$J568,#REF!,#REF!+6,0),0)</f>
        <v>0</v>
      </c>
      <c r="AI568" s="162">
        <f>IFERROR(VLOOKUP($F568&amp;"-"&amp;$J568,#REF!,#REF!+6,0),0)</f>
        <v>0</v>
      </c>
      <c r="AJ568" s="162">
        <f>IFERROR(VLOOKUP($F568&amp;"-"&amp;$J568,#REF!,#REF!+6,0),0)</f>
        <v>0</v>
      </c>
      <c r="AK568" s="162">
        <f>IFERROR(VLOOKUP($F568&amp;"-"&amp;$J568,#REF!,#REF!+6,0),0)</f>
        <v>0</v>
      </c>
      <c r="AL568" s="162">
        <f>IFERROR(VLOOKUP($F568&amp;"-"&amp;$J568,#REF!,#REF!+6,0),0)</f>
        <v>0</v>
      </c>
      <c r="AM568" s="162">
        <f>IFERROR(VLOOKUP($F568&amp;"-"&amp;$J568,#REF!,#REF!+6,0),0)</f>
        <v>0</v>
      </c>
      <c r="AN568" s="162">
        <f>IFERROR(VLOOKUP($F568&amp;"-"&amp;$J568,#REF!,#REF!+6,0),0)</f>
        <v>0</v>
      </c>
      <c r="AO568" s="162">
        <f>IFERROR(VLOOKUP($F568&amp;"-"&amp;$J568,#REF!,#REF!+6,0),0)</f>
        <v>0</v>
      </c>
      <c r="AP568" s="162">
        <f>IFERROR(VLOOKUP($F568&amp;"-"&amp;$J568,#REF!,#REF!+6,0),0)</f>
        <v>0</v>
      </c>
      <c r="AQ568" s="162">
        <f>IFERROR(VLOOKUP($F568&amp;"-"&amp;$J568,#REF!,#REF!+6,0),0)</f>
        <v>0</v>
      </c>
      <c r="AR568" s="163">
        <f t="shared" si="197"/>
        <v>0</v>
      </c>
    </row>
    <row r="569" spans="2:44" x14ac:dyDescent="0.25">
      <c r="B569" s="15" t="s">
        <v>226</v>
      </c>
      <c r="C569" s="83">
        <f t="shared" si="194"/>
        <v>0</v>
      </c>
      <c r="F569" s="148"/>
      <c r="G569" s="149" t="str">
        <f>IFERROR(VLOOKUP(F569,#REF!,2,0),"")</f>
        <v/>
      </c>
      <c r="H569" s="150" t="str">
        <f>IFERROR(VLOOKUP(F569,#REF!,3,0),"")</f>
        <v/>
      </c>
      <c r="I569" s="151"/>
      <c r="J569" s="151"/>
      <c r="K569" s="152"/>
      <c r="L569" s="153"/>
      <c r="M569" s="154"/>
      <c r="N569" s="151"/>
      <c r="O569" s="155"/>
      <c r="P569" s="156"/>
      <c r="Q569" s="156"/>
      <c r="R569" s="156"/>
      <c r="S569" s="156"/>
      <c r="T569" s="156"/>
      <c r="U569" s="156"/>
      <c r="V569" s="156"/>
      <c r="W569" s="156"/>
      <c r="X569" s="156"/>
      <c r="Y569" s="156"/>
      <c r="Z569" s="156"/>
      <c r="AA569" s="156"/>
      <c r="AB569" s="158">
        <f t="shared" si="195"/>
        <v>0</v>
      </c>
      <c r="AC569" s="198"/>
      <c r="AE569" s="160" t="str">
        <f t="shared" si="196"/>
        <v/>
      </c>
      <c r="AF569" s="161">
        <f>IFERROR(VLOOKUP($F569&amp;"-"&amp;$J569,#REF!,#REF!+6,0),0)</f>
        <v>0</v>
      </c>
      <c r="AG569" s="162">
        <f>IFERROR(VLOOKUP($F569&amp;"-"&amp;$J569,#REF!,#REF!+6,0),0)</f>
        <v>0</v>
      </c>
      <c r="AH569" s="162">
        <f>IFERROR(VLOOKUP($F569&amp;"-"&amp;$J569,#REF!,#REF!+6,0),0)</f>
        <v>0</v>
      </c>
      <c r="AI569" s="162">
        <f>IFERROR(VLOOKUP($F569&amp;"-"&amp;$J569,#REF!,#REF!+6,0),0)</f>
        <v>0</v>
      </c>
      <c r="AJ569" s="162">
        <f>IFERROR(VLOOKUP($F569&amp;"-"&amp;$J569,#REF!,#REF!+6,0),0)</f>
        <v>0</v>
      </c>
      <c r="AK569" s="162">
        <f>IFERROR(VLOOKUP($F569&amp;"-"&amp;$J569,#REF!,#REF!+6,0),0)</f>
        <v>0</v>
      </c>
      <c r="AL569" s="162">
        <f>IFERROR(VLOOKUP($F569&amp;"-"&amp;$J569,#REF!,#REF!+6,0),0)</f>
        <v>0</v>
      </c>
      <c r="AM569" s="162">
        <f>IFERROR(VLOOKUP($F569&amp;"-"&amp;$J569,#REF!,#REF!+6,0),0)</f>
        <v>0</v>
      </c>
      <c r="AN569" s="162">
        <f>IFERROR(VLOOKUP($F569&amp;"-"&amp;$J569,#REF!,#REF!+6,0),0)</f>
        <v>0</v>
      </c>
      <c r="AO569" s="162">
        <f>IFERROR(VLOOKUP($F569&amp;"-"&amp;$J569,#REF!,#REF!+6,0),0)</f>
        <v>0</v>
      </c>
      <c r="AP569" s="162">
        <f>IFERROR(VLOOKUP($F569&amp;"-"&amp;$J569,#REF!,#REF!+6,0),0)</f>
        <v>0</v>
      </c>
      <c r="AQ569" s="162">
        <f>IFERROR(VLOOKUP($F569&amp;"-"&amp;$J569,#REF!,#REF!+6,0),0)</f>
        <v>0</v>
      </c>
      <c r="AR569" s="163">
        <f t="shared" si="197"/>
        <v>0</v>
      </c>
    </row>
    <row r="570" spans="2:44" x14ac:dyDescent="0.25">
      <c r="B570" s="15" t="s">
        <v>226</v>
      </c>
      <c r="C570" s="83">
        <f t="shared" si="194"/>
        <v>0</v>
      </c>
      <c r="F570" s="148"/>
      <c r="G570" s="149" t="str">
        <f>IFERROR(VLOOKUP(F570,#REF!,2,0),"")</f>
        <v/>
      </c>
      <c r="H570" s="150" t="str">
        <f>IFERROR(VLOOKUP(F570,#REF!,3,0),"")</f>
        <v/>
      </c>
      <c r="I570" s="151"/>
      <c r="J570" s="151"/>
      <c r="K570" s="152"/>
      <c r="L570" s="153"/>
      <c r="M570" s="154"/>
      <c r="N570" s="151"/>
      <c r="O570" s="155"/>
      <c r="P570" s="156"/>
      <c r="Q570" s="156"/>
      <c r="R570" s="156"/>
      <c r="S570" s="156"/>
      <c r="T570" s="156"/>
      <c r="U570" s="156"/>
      <c r="V570" s="156"/>
      <c r="W570" s="156"/>
      <c r="X570" s="156"/>
      <c r="Y570" s="156"/>
      <c r="Z570" s="156"/>
      <c r="AA570" s="156"/>
      <c r="AB570" s="158">
        <f t="shared" si="195"/>
        <v>0</v>
      </c>
      <c r="AC570" s="198"/>
      <c r="AE570" s="160" t="str">
        <f t="shared" si="196"/>
        <v/>
      </c>
      <c r="AF570" s="161">
        <f>IFERROR(VLOOKUP($F570&amp;"-"&amp;$J570,#REF!,#REF!+6,0),0)</f>
        <v>0</v>
      </c>
      <c r="AG570" s="162">
        <f>IFERROR(VLOOKUP($F570&amp;"-"&amp;$J570,#REF!,#REF!+6,0),0)</f>
        <v>0</v>
      </c>
      <c r="AH570" s="162">
        <f>IFERROR(VLOOKUP($F570&amp;"-"&amp;$J570,#REF!,#REF!+6,0),0)</f>
        <v>0</v>
      </c>
      <c r="AI570" s="162">
        <f>IFERROR(VLOOKUP($F570&amp;"-"&amp;$J570,#REF!,#REF!+6,0),0)</f>
        <v>0</v>
      </c>
      <c r="AJ570" s="162">
        <f>IFERROR(VLOOKUP($F570&amp;"-"&amp;$J570,#REF!,#REF!+6,0),0)</f>
        <v>0</v>
      </c>
      <c r="AK570" s="162">
        <f>IFERROR(VLOOKUP($F570&amp;"-"&amp;$J570,#REF!,#REF!+6,0),0)</f>
        <v>0</v>
      </c>
      <c r="AL570" s="162">
        <f>IFERROR(VLOOKUP($F570&amp;"-"&amp;$J570,#REF!,#REF!+6,0),0)</f>
        <v>0</v>
      </c>
      <c r="AM570" s="162">
        <f>IFERROR(VLOOKUP($F570&amp;"-"&amp;$J570,#REF!,#REF!+6,0),0)</f>
        <v>0</v>
      </c>
      <c r="AN570" s="162">
        <f>IFERROR(VLOOKUP($F570&amp;"-"&amp;$J570,#REF!,#REF!+6,0),0)</f>
        <v>0</v>
      </c>
      <c r="AO570" s="162">
        <f>IFERROR(VLOOKUP($F570&amp;"-"&amp;$J570,#REF!,#REF!+6,0),0)</f>
        <v>0</v>
      </c>
      <c r="AP570" s="162">
        <f>IFERROR(VLOOKUP($F570&amp;"-"&amp;$J570,#REF!,#REF!+6,0),0)</f>
        <v>0</v>
      </c>
      <c r="AQ570" s="162">
        <f>IFERROR(VLOOKUP($F570&amp;"-"&amp;$J570,#REF!,#REF!+6,0),0)</f>
        <v>0</v>
      </c>
      <c r="AR570" s="163">
        <f t="shared" si="197"/>
        <v>0</v>
      </c>
    </row>
    <row r="571" spans="2:44" x14ac:dyDescent="0.25">
      <c r="B571" s="15" t="s">
        <v>226</v>
      </c>
      <c r="C571" s="83">
        <f t="shared" si="194"/>
        <v>0</v>
      </c>
      <c r="F571" s="148"/>
      <c r="G571" s="149" t="str">
        <f>IFERROR(VLOOKUP(F571,#REF!,2,0),"")</f>
        <v/>
      </c>
      <c r="H571" s="150" t="str">
        <f>IFERROR(VLOOKUP(F571,#REF!,3,0),"")</f>
        <v/>
      </c>
      <c r="I571" s="151"/>
      <c r="J571" s="151"/>
      <c r="K571" s="152"/>
      <c r="L571" s="153"/>
      <c r="M571" s="154"/>
      <c r="N571" s="151"/>
      <c r="O571" s="155"/>
      <c r="P571" s="156"/>
      <c r="Q571" s="156"/>
      <c r="R571" s="156"/>
      <c r="S571" s="156"/>
      <c r="T571" s="156"/>
      <c r="U571" s="156"/>
      <c r="V571" s="156"/>
      <c r="W571" s="156"/>
      <c r="X571" s="156"/>
      <c r="Y571" s="156"/>
      <c r="Z571" s="156"/>
      <c r="AA571" s="156"/>
      <c r="AB571" s="158">
        <f t="shared" si="195"/>
        <v>0</v>
      </c>
      <c r="AC571" s="198"/>
      <c r="AE571" s="160" t="str">
        <f t="shared" si="196"/>
        <v/>
      </c>
      <c r="AF571" s="161">
        <f>IFERROR(VLOOKUP($F571&amp;"-"&amp;$J571,#REF!,#REF!+6,0),0)</f>
        <v>0</v>
      </c>
      <c r="AG571" s="162">
        <f>IFERROR(VLOOKUP($F571&amp;"-"&amp;$J571,#REF!,#REF!+6,0),0)</f>
        <v>0</v>
      </c>
      <c r="AH571" s="162">
        <f>IFERROR(VLOOKUP($F571&amp;"-"&amp;$J571,#REF!,#REF!+6,0),0)</f>
        <v>0</v>
      </c>
      <c r="AI571" s="162">
        <f>IFERROR(VLOOKUP($F571&amp;"-"&amp;$J571,#REF!,#REF!+6,0),0)</f>
        <v>0</v>
      </c>
      <c r="AJ571" s="162">
        <f>IFERROR(VLOOKUP($F571&amp;"-"&amp;$J571,#REF!,#REF!+6,0),0)</f>
        <v>0</v>
      </c>
      <c r="AK571" s="162">
        <f>IFERROR(VLOOKUP($F571&amp;"-"&amp;$J571,#REF!,#REF!+6,0),0)</f>
        <v>0</v>
      </c>
      <c r="AL571" s="162">
        <f>IFERROR(VLOOKUP($F571&amp;"-"&amp;$J571,#REF!,#REF!+6,0),0)</f>
        <v>0</v>
      </c>
      <c r="AM571" s="162">
        <f>IFERROR(VLOOKUP($F571&amp;"-"&amp;$J571,#REF!,#REF!+6,0),0)</f>
        <v>0</v>
      </c>
      <c r="AN571" s="162">
        <f>IFERROR(VLOOKUP($F571&amp;"-"&amp;$J571,#REF!,#REF!+6,0),0)</f>
        <v>0</v>
      </c>
      <c r="AO571" s="162">
        <f>IFERROR(VLOOKUP($F571&amp;"-"&amp;$J571,#REF!,#REF!+6,0),0)</f>
        <v>0</v>
      </c>
      <c r="AP571" s="162">
        <f>IFERROR(VLOOKUP($F571&amp;"-"&amp;$J571,#REF!,#REF!+6,0),0)</f>
        <v>0</v>
      </c>
      <c r="AQ571" s="162">
        <f>IFERROR(VLOOKUP($F571&amp;"-"&amp;$J571,#REF!,#REF!+6,0),0)</f>
        <v>0</v>
      </c>
      <c r="AR571" s="163">
        <f t="shared" si="197"/>
        <v>0</v>
      </c>
    </row>
    <row r="572" spans="2:44" x14ac:dyDescent="0.25">
      <c r="B572" s="15" t="s">
        <v>226</v>
      </c>
      <c r="C572" s="83">
        <f t="shared" si="194"/>
        <v>0</v>
      </c>
      <c r="F572" s="148"/>
      <c r="G572" s="149" t="str">
        <f>IFERROR(VLOOKUP(F572,#REF!,2,0),"")</f>
        <v/>
      </c>
      <c r="H572" s="150" t="str">
        <f>IFERROR(VLOOKUP(F572,#REF!,3,0),"")</f>
        <v/>
      </c>
      <c r="I572" s="151"/>
      <c r="J572" s="151"/>
      <c r="K572" s="152"/>
      <c r="L572" s="153"/>
      <c r="M572" s="154"/>
      <c r="N572" s="151"/>
      <c r="O572" s="155"/>
      <c r="P572" s="156"/>
      <c r="Q572" s="156"/>
      <c r="R572" s="156"/>
      <c r="S572" s="156"/>
      <c r="T572" s="156"/>
      <c r="U572" s="156"/>
      <c r="V572" s="156"/>
      <c r="W572" s="156"/>
      <c r="X572" s="156"/>
      <c r="Y572" s="156"/>
      <c r="Z572" s="156"/>
      <c r="AA572" s="156"/>
      <c r="AB572" s="158">
        <f t="shared" si="195"/>
        <v>0</v>
      </c>
      <c r="AC572" s="198"/>
      <c r="AE572" s="160" t="str">
        <f t="shared" si="196"/>
        <v/>
      </c>
      <c r="AF572" s="161">
        <f>IFERROR(VLOOKUP($F572&amp;"-"&amp;$J572,#REF!,#REF!+6,0),0)</f>
        <v>0</v>
      </c>
      <c r="AG572" s="162">
        <f>IFERROR(VLOOKUP($F572&amp;"-"&amp;$J572,#REF!,#REF!+6,0),0)</f>
        <v>0</v>
      </c>
      <c r="AH572" s="162">
        <f>IFERROR(VLOOKUP($F572&amp;"-"&amp;$J572,#REF!,#REF!+6,0),0)</f>
        <v>0</v>
      </c>
      <c r="AI572" s="162">
        <f>IFERROR(VLOOKUP($F572&amp;"-"&amp;$J572,#REF!,#REF!+6,0),0)</f>
        <v>0</v>
      </c>
      <c r="AJ572" s="162">
        <f>IFERROR(VLOOKUP($F572&amp;"-"&amp;$J572,#REF!,#REF!+6,0),0)</f>
        <v>0</v>
      </c>
      <c r="AK572" s="162">
        <f>IFERROR(VLOOKUP($F572&amp;"-"&amp;$J572,#REF!,#REF!+6,0),0)</f>
        <v>0</v>
      </c>
      <c r="AL572" s="162">
        <f>IFERROR(VLOOKUP($F572&amp;"-"&amp;$J572,#REF!,#REF!+6,0),0)</f>
        <v>0</v>
      </c>
      <c r="AM572" s="162">
        <f>IFERROR(VLOOKUP($F572&amp;"-"&amp;$J572,#REF!,#REF!+6,0),0)</f>
        <v>0</v>
      </c>
      <c r="AN572" s="162">
        <f>IFERROR(VLOOKUP($F572&amp;"-"&amp;$J572,#REF!,#REF!+6,0),0)</f>
        <v>0</v>
      </c>
      <c r="AO572" s="162">
        <f>IFERROR(VLOOKUP($F572&amp;"-"&amp;$J572,#REF!,#REF!+6,0),0)</f>
        <v>0</v>
      </c>
      <c r="AP572" s="162">
        <f>IFERROR(VLOOKUP($F572&amp;"-"&amp;$J572,#REF!,#REF!+6,0),0)</f>
        <v>0</v>
      </c>
      <c r="AQ572" s="162">
        <f>IFERROR(VLOOKUP($F572&amp;"-"&amp;$J572,#REF!,#REF!+6,0),0)</f>
        <v>0</v>
      </c>
      <c r="AR572" s="163">
        <f t="shared" si="197"/>
        <v>0</v>
      </c>
    </row>
    <row r="573" spans="2:44" x14ac:dyDescent="0.25">
      <c r="B573" s="15" t="s">
        <v>226</v>
      </c>
      <c r="C573" s="83">
        <f t="shared" si="194"/>
        <v>0</v>
      </c>
      <c r="F573" s="148"/>
      <c r="G573" s="149" t="str">
        <f>IFERROR(VLOOKUP(F573,#REF!,2,0),"")</f>
        <v/>
      </c>
      <c r="H573" s="150" t="str">
        <f>IFERROR(VLOOKUP(F573,#REF!,3,0),"")</f>
        <v/>
      </c>
      <c r="I573" s="151"/>
      <c r="J573" s="151"/>
      <c r="K573" s="152"/>
      <c r="L573" s="153"/>
      <c r="M573" s="154"/>
      <c r="N573" s="151"/>
      <c r="O573" s="155"/>
      <c r="P573" s="156"/>
      <c r="Q573" s="156"/>
      <c r="R573" s="156"/>
      <c r="S573" s="156"/>
      <c r="T573" s="156"/>
      <c r="U573" s="156"/>
      <c r="V573" s="156"/>
      <c r="W573" s="156"/>
      <c r="X573" s="156"/>
      <c r="Y573" s="156"/>
      <c r="Z573" s="156"/>
      <c r="AA573" s="156"/>
      <c r="AB573" s="158">
        <f t="shared" si="195"/>
        <v>0</v>
      </c>
      <c r="AC573" s="198"/>
      <c r="AE573" s="160" t="str">
        <f t="shared" si="196"/>
        <v/>
      </c>
      <c r="AF573" s="161">
        <f>IFERROR(VLOOKUP($F573&amp;"-"&amp;$J573,#REF!,#REF!+6,0),0)</f>
        <v>0</v>
      </c>
      <c r="AG573" s="162">
        <f>IFERROR(VLOOKUP($F573&amp;"-"&amp;$J573,#REF!,#REF!+6,0),0)</f>
        <v>0</v>
      </c>
      <c r="AH573" s="162">
        <f>IFERROR(VLOOKUP($F573&amp;"-"&amp;$J573,#REF!,#REF!+6,0),0)</f>
        <v>0</v>
      </c>
      <c r="AI573" s="162">
        <f>IFERROR(VLOOKUP($F573&amp;"-"&amp;$J573,#REF!,#REF!+6,0),0)</f>
        <v>0</v>
      </c>
      <c r="AJ573" s="162">
        <f>IFERROR(VLOOKUP($F573&amp;"-"&amp;$J573,#REF!,#REF!+6,0),0)</f>
        <v>0</v>
      </c>
      <c r="AK573" s="162">
        <f>IFERROR(VLOOKUP($F573&amp;"-"&amp;$J573,#REF!,#REF!+6,0),0)</f>
        <v>0</v>
      </c>
      <c r="AL573" s="162">
        <f>IFERROR(VLOOKUP($F573&amp;"-"&amp;$J573,#REF!,#REF!+6,0),0)</f>
        <v>0</v>
      </c>
      <c r="AM573" s="162">
        <f>IFERROR(VLOOKUP($F573&amp;"-"&amp;$J573,#REF!,#REF!+6,0),0)</f>
        <v>0</v>
      </c>
      <c r="AN573" s="162">
        <f>IFERROR(VLOOKUP($F573&amp;"-"&amp;$J573,#REF!,#REF!+6,0),0)</f>
        <v>0</v>
      </c>
      <c r="AO573" s="162">
        <f>IFERROR(VLOOKUP($F573&amp;"-"&amp;$J573,#REF!,#REF!+6,0),0)</f>
        <v>0</v>
      </c>
      <c r="AP573" s="162">
        <f>IFERROR(VLOOKUP($F573&amp;"-"&amp;$J573,#REF!,#REF!+6,0),0)</f>
        <v>0</v>
      </c>
      <c r="AQ573" s="162">
        <f>IFERROR(VLOOKUP($F573&amp;"-"&amp;$J573,#REF!,#REF!+6,0),0)</f>
        <v>0</v>
      </c>
      <c r="AR573" s="163">
        <f t="shared" si="197"/>
        <v>0</v>
      </c>
    </row>
    <row r="574" spans="2:44" x14ac:dyDescent="0.25">
      <c r="B574" s="15" t="s">
        <v>226</v>
      </c>
      <c r="C574" s="83">
        <f t="shared" si="194"/>
        <v>0</v>
      </c>
      <c r="F574" s="148"/>
      <c r="G574" s="149" t="str">
        <f>IFERROR(VLOOKUP(F574,#REF!,2,0),"")</f>
        <v/>
      </c>
      <c r="H574" s="150" t="str">
        <f>IFERROR(VLOOKUP(F574,#REF!,3,0),"")</f>
        <v/>
      </c>
      <c r="I574" s="151"/>
      <c r="J574" s="151"/>
      <c r="K574" s="152"/>
      <c r="L574" s="153"/>
      <c r="M574" s="154"/>
      <c r="N574" s="151"/>
      <c r="O574" s="155"/>
      <c r="P574" s="156"/>
      <c r="Q574" s="156"/>
      <c r="R574" s="156"/>
      <c r="S574" s="156"/>
      <c r="T574" s="156"/>
      <c r="U574" s="156"/>
      <c r="V574" s="156"/>
      <c r="W574" s="156"/>
      <c r="X574" s="156"/>
      <c r="Y574" s="156"/>
      <c r="Z574" s="156"/>
      <c r="AA574" s="156"/>
      <c r="AB574" s="158">
        <f t="shared" si="195"/>
        <v>0</v>
      </c>
      <c r="AC574" s="198"/>
      <c r="AE574" s="160" t="str">
        <f t="shared" si="196"/>
        <v/>
      </c>
      <c r="AF574" s="161">
        <f>IFERROR(VLOOKUP($F574&amp;"-"&amp;$J574,#REF!,#REF!+6,0),0)</f>
        <v>0</v>
      </c>
      <c r="AG574" s="162">
        <f>IFERROR(VLOOKUP($F574&amp;"-"&amp;$J574,#REF!,#REF!+6,0),0)</f>
        <v>0</v>
      </c>
      <c r="AH574" s="162">
        <f>IFERROR(VLOOKUP($F574&amp;"-"&amp;$J574,#REF!,#REF!+6,0),0)</f>
        <v>0</v>
      </c>
      <c r="AI574" s="162">
        <f>IFERROR(VLOOKUP($F574&amp;"-"&amp;$J574,#REF!,#REF!+6,0),0)</f>
        <v>0</v>
      </c>
      <c r="AJ574" s="162">
        <f>IFERROR(VLOOKUP($F574&amp;"-"&amp;$J574,#REF!,#REF!+6,0),0)</f>
        <v>0</v>
      </c>
      <c r="AK574" s="162">
        <f>IFERROR(VLOOKUP($F574&amp;"-"&amp;$J574,#REF!,#REF!+6,0),0)</f>
        <v>0</v>
      </c>
      <c r="AL574" s="162">
        <f>IFERROR(VLOOKUP($F574&amp;"-"&amp;$J574,#REF!,#REF!+6,0),0)</f>
        <v>0</v>
      </c>
      <c r="AM574" s="162">
        <f>IFERROR(VLOOKUP($F574&amp;"-"&amp;$J574,#REF!,#REF!+6,0),0)</f>
        <v>0</v>
      </c>
      <c r="AN574" s="162">
        <f>IFERROR(VLOOKUP($F574&amp;"-"&amp;$J574,#REF!,#REF!+6,0),0)</f>
        <v>0</v>
      </c>
      <c r="AO574" s="162">
        <f>IFERROR(VLOOKUP($F574&amp;"-"&amp;$J574,#REF!,#REF!+6,0),0)</f>
        <v>0</v>
      </c>
      <c r="AP574" s="162">
        <f>IFERROR(VLOOKUP($F574&amp;"-"&amp;$J574,#REF!,#REF!+6,0),0)</f>
        <v>0</v>
      </c>
      <c r="AQ574" s="162">
        <f>IFERROR(VLOOKUP($F574&amp;"-"&amp;$J574,#REF!,#REF!+6,0),0)</f>
        <v>0</v>
      </c>
      <c r="AR574" s="163">
        <f t="shared" si="197"/>
        <v>0</v>
      </c>
    </row>
    <row r="575" spans="2:44" x14ac:dyDescent="0.25">
      <c r="B575" s="15" t="s">
        <v>226</v>
      </c>
      <c r="C575" s="83">
        <f t="shared" si="194"/>
        <v>0</v>
      </c>
      <c r="F575" s="148"/>
      <c r="G575" s="149" t="str">
        <f>IFERROR(VLOOKUP(F575,#REF!,2,0),"")</f>
        <v/>
      </c>
      <c r="H575" s="150" t="str">
        <f>IFERROR(VLOOKUP(F575,#REF!,3,0),"")</f>
        <v/>
      </c>
      <c r="I575" s="151"/>
      <c r="J575" s="151"/>
      <c r="K575" s="152"/>
      <c r="L575" s="153"/>
      <c r="M575" s="154"/>
      <c r="N575" s="151"/>
      <c r="O575" s="155"/>
      <c r="P575" s="156"/>
      <c r="Q575" s="156"/>
      <c r="R575" s="156"/>
      <c r="S575" s="156"/>
      <c r="T575" s="156"/>
      <c r="U575" s="156"/>
      <c r="V575" s="156"/>
      <c r="W575" s="156"/>
      <c r="X575" s="156"/>
      <c r="Y575" s="156"/>
      <c r="Z575" s="156"/>
      <c r="AA575" s="156"/>
      <c r="AB575" s="158">
        <f t="shared" si="195"/>
        <v>0</v>
      </c>
      <c r="AC575" s="198"/>
      <c r="AE575" s="160" t="str">
        <f t="shared" si="196"/>
        <v/>
      </c>
      <c r="AF575" s="161">
        <f>IFERROR(VLOOKUP($F575&amp;"-"&amp;$J575,#REF!,#REF!+6,0),0)</f>
        <v>0</v>
      </c>
      <c r="AG575" s="162">
        <f>IFERROR(VLOOKUP($F575&amp;"-"&amp;$J575,#REF!,#REF!+6,0),0)</f>
        <v>0</v>
      </c>
      <c r="AH575" s="162">
        <f>IFERROR(VLOOKUP($F575&amp;"-"&amp;$J575,#REF!,#REF!+6,0),0)</f>
        <v>0</v>
      </c>
      <c r="AI575" s="162">
        <f>IFERROR(VLOOKUP($F575&amp;"-"&amp;$J575,#REF!,#REF!+6,0),0)</f>
        <v>0</v>
      </c>
      <c r="AJ575" s="162">
        <f>IFERROR(VLOOKUP($F575&amp;"-"&amp;$J575,#REF!,#REF!+6,0),0)</f>
        <v>0</v>
      </c>
      <c r="AK575" s="162">
        <f>IFERROR(VLOOKUP($F575&amp;"-"&amp;$J575,#REF!,#REF!+6,0),0)</f>
        <v>0</v>
      </c>
      <c r="AL575" s="162">
        <f>IFERROR(VLOOKUP($F575&amp;"-"&amp;$J575,#REF!,#REF!+6,0),0)</f>
        <v>0</v>
      </c>
      <c r="AM575" s="162">
        <f>IFERROR(VLOOKUP($F575&amp;"-"&amp;$J575,#REF!,#REF!+6,0),0)</f>
        <v>0</v>
      </c>
      <c r="AN575" s="162">
        <f>IFERROR(VLOOKUP($F575&amp;"-"&amp;$J575,#REF!,#REF!+6,0),0)</f>
        <v>0</v>
      </c>
      <c r="AO575" s="162">
        <f>IFERROR(VLOOKUP($F575&amp;"-"&amp;$J575,#REF!,#REF!+6,0),0)</f>
        <v>0</v>
      </c>
      <c r="AP575" s="162">
        <f>IFERROR(VLOOKUP($F575&amp;"-"&amp;$J575,#REF!,#REF!+6,0),0)</f>
        <v>0</v>
      </c>
      <c r="AQ575" s="162">
        <f>IFERROR(VLOOKUP($F575&amp;"-"&amp;$J575,#REF!,#REF!+6,0),0)</f>
        <v>0</v>
      </c>
      <c r="AR575" s="163">
        <f t="shared" si="197"/>
        <v>0</v>
      </c>
    </row>
    <row r="576" spans="2:44" x14ac:dyDescent="0.25">
      <c r="B576" s="15" t="s">
        <v>226</v>
      </c>
      <c r="C576" s="83">
        <f t="shared" si="194"/>
        <v>0</v>
      </c>
      <c r="F576" s="148"/>
      <c r="G576" s="149" t="str">
        <f>IFERROR(VLOOKUP(F576,#REF!,2,0),"")</f>
        <v/>
      </c>
      <c r="H576" s="150" t="str">
        <f>IFERROR(VLOOKUP(F576,#REF!,3,0),"")</f>
        <v/>
      </c>
      <c r="I576" s="151"/>
      <c r="J576" s="151"/>
      <c r="K576" s="152"/>
      <c r="L576" s="153"/>
      <c r="M576" s="154"/>
      <c r="N576" s="151"/>
      <c r="O576" s="155"/>
      <c r="P576" s="156"/>
      <c r="Q576" s="156"/>
      <c r="R576" s="156"/>
      <c r="S576" s="156"/>
      <c r="T576" s="156"/>
      <c r="U576" s="156"/>
      <c r="V576" s="156"/>
      <c r="W576" s="156"/>
      <c r="X576" s="156"/>
      <c r="Y576" s="156"/>
      <c r="Z576" s="156"/>
      <c r="AA576" s="156"/>
      <c r="AB576" s="158">
        <f t="shared" si="195"/>
        <v>0</v>
      </c>
      <c r="AC576" s="198"/>
      <c r="AE576" s="160" t="str">
        <f t="shared" si="196"/>
        <v/>
      </c>
      <c r="AF576" s="161">
        <f>IFERROR(VLOOKUP($F576&amp;"-"&amp;$J576,#REF!,#REF!+6,0),0)</f>
        <v>0</v>
      </c>
      <c r="AG576" s="162">
        <f>IFERROR(VLOOKUP($F576&amp;"-"&amp;$J576,#REF!,#REF!+6,0),0)</f>
        <v>0</v>
      </c>
      <c r="AH576" s="162">
        <f>IFERROR(VLOOKUP($F576&amp;"-"&amp;$J576,#REF!,#REF!+6,0),0)</f>
        <v>0</v>
      </c>
      <c r="AI576" s="162">
        <f>IFERROR(VLOOKUP($F576&amp;"-"&amp;$J576,#REF!,#REF!+6,0),0)</f>
        <v>0</v>
      </c>
      <c r="AJ576" s="162">
        <f>IFERROR(VLOOKUP($F576&amp;"-"&amp;$J576,#REF!,#REF!+6,0),0)</f>
        <v>0</v>
      </c>
      <c r="AK576" s="162">
        <f>IFERROR(VLOOKUP($F576&amp;"-"&amp;$J576,#REF!,#REF!+6,0),0)</f>
        <v>0</v>
      </c>
      <c r="AL576" s="162">
        <f>IFERROR(VLOOKUP($F576&amp;"-"&amp;$J576,#REF!,#REF!+6,0),0)</f>
        <v>0</v>
      </c>
      <c r="AM576" s="162">
        <f>IFERROR(VLOOKUP($F576&amp;"-"&amp;$J576,#REF!,#REF!+6,0),0)</f>
        <v>0</v>
      </c>
      <c r="AN576" s="162">
        <f>IFERROR(VLOOKUP($F576&amp;"-"&amp;$J576,#REF!,#REF!+6,0),0)</f>
        <v>0</v>
      </c>
      <c r="AO576" s="162">
        <f>IFERROR(VLOOKUP($F576&amp;"-"&amp;$J576,#REF!,#REF!+6,0),0)</f>
        <v>0</v>
      </c>
      <c r="AP576" s="162">
        <f>IFERROR(VLOOKUP($F576&amp;"-"&amp;$J576,#REF!,#REF!+6,0),0)</f>
        <v>0</v>
      </c>
      <c r="AQ576" s="162">
        <f>IFERROR(VLOOKUP($F576&amp;"-"&amp;$J576,#REF!,#REF!+6,0),0)</f>
        <v>0</v>
      </c>
      <c r="AR576" s="163">
        <f t="shared" si="197"/>
        <v>0</v>
      </c>
    </row>
    <row r="577" spans="2:44" x14ac:dyDescent="0.25">
      <c r="B577" s="15" t="s">
        <v>226</v>
      </c>
      <c r="C577" s="83">
        <f t="shared" si="194"/>
        <v>0</v>
      </c>
      <c r="F577" s="148"/>
      <c r="G577" s="149" t="str">
        <f>IFERROR(VLOOKUP(F577,#REF!,2,0),"")</f>
        <v/>
      </c>
      <c r="H577" s="150" t="str">
        <f>IFERROR(VLOOKUP(F577,#REF!,3,0),"")</f>
        <v/>
      </c>
      <c r="I577" s="151"/>
      <c r="J577" s="151"/>
      <c r="K577" s="152"/>
      <c r="L577" s="153"/>
      <c r="M577" s="154"/>
      <c r="N577" s="151"/>
      <c r="O577" s="155"/>
      <c r="P577" s="156"/>
      <c r="Q577" s="156"/>
      <c r="R577" s="156"/>
      <c r="S577" s="156"/>
      <c r="T577" s="156"/>
      <c r="U577" s="156"/>
      <c r="V577" s="156"/>
      <c r="W577" s="156"/>
      <c r="X577" s="156"/>
      <c r="Y577" s="156"/>
      <c r="Z577" s="156"/>
      <c r="AA577" s="156"/>
      <c r="AB577" s="158">
        <f t="shared" si="195"/>
        <v>0</v>
      </c>
      <c r="AC577" s="198"/>
      <c r="AE577" s="160" t="str">
        <f t="shared" si="196"/>
        <v/>
      </c>
      <c r="AF577" s="161">
        <f>IFERROR(VLOOKUP($F577&amp;"-"&amp;$J577,#REF!,#REF!+6,0),0)</f>
        <v>0</v>
      </c>
      <c r="AG577" s="162">
        <f>IFERROR(VLOOKUP($F577&amp;"-"&amp;$J577,#REF!,#REF!+6,0),0)</f>
        <v>0</v>
      </c>
      <c r="AH577" s="162">
        <f>IFERROR(VLOOKUP($F577&amp;"-"&amp;$J577,#REF!,#REF!+6,0),0)</f>
        <v>0</v>
      </c>
      <c r="AI577" s="162">
        <f>IFERROR(VLOOKUP($F577&amp;"-"&amp;$J577,#REF!,#REF!+6,0),0)</f>
        <v>0</v>
      </c>
      <c r="AJ577" s="162">
        <f>IFERROR(VLOOKUP($F577&amp;"-"&amp;$J577,#REF!,#REF!+6,0),0)</f>
        <v>0</v>
      </c>
      <c r="AK577" s="162">
        <f>IFERROR(VLOOKUP($F577&amp;"-"&amp;$J577,#REF!,#REF!+6,0),0)</f>
        <v>0</v>
      </c>
      <c r="AL577" s="162">
        <f>IFERROR(VLOOKUP($F577&amp;"-"&amp;$J577,#REF!,#REF!+6,0),0)</f>
        <v>0</v>
      </c>
      <c r="AM577" s="162">
        <f>IFERROR(VLOOKUP($F577&amp;"-"&amp;$J577,#REF!,#REF!+6,0),0)</f>
        <v>0</v>
      </c>
      <c r="AN577" s="162">
        <f>IFERROR(VLOOKUP($F577&amp;"-"&amp;$J577,#REF!,#REF!+6,0),0)</f>
        <v>0</v>
      </c>
      <c r="AO577" s="162">
        <f>IFERROR(VLOOKUP($F577&amp;"-"&amp;$J577,#REF!,#REF!+6,0),0)</f>
        <v>0</v>
      </c>
      <c r="AP577" s="162">
        <f>IFERROR(VLOOKUP($F577&amp;"-"&amp;$J577,#REF!,#REF!+6,0),0)</f>
        <v>0</v>
      </c>
      <c r="AQ577" s="162">
        <f>IFERROR(VLOOKUP($F577&amp;"-"&amp;$J577,#REF!,#REF!+6,0),0)</f>
        <v>0</v>
      </c>
      <c r="AR577" s="163">
        <f t="shared" si="197"/>
        <v>0</v>
      </c>
    </row>
    <row r="578" spans="2:44" x14ac:dyDescent="0.25">
      <c r="B578" s="15" t="s">
        <v>226</v>
      </c>
      <c r="C578" s="83">
        <f t="shared" si="194"/>
        <v>0</v>
      </c>
      <c r="F578" s="148"/>
      <c r="G578" s="149" t="str">
        <f>IFERROR(VLOOKUP(F578,#REF!,2,0),"")</f>
        <v/>
      </c>
      <c r="H578" s="150" t="str">
        <f>IFERROR(VLOOKUP(F578,#REF!,3,0),"")</f>
        <v/>
      </c>
      <c r="I578" s="151"/>
      <c r="J578" s="151"/>
      <c r="K578" s="152"/>
      <c r="L578" s="153"/>
      <c r="M578" s="154"/>
      <c r="N578" s="151"/>
      <c r="O578" s="155"/>
      <c r="P578" s="156"/>
      <c r="Q578" s="156"/>
      <c r="R578" s="156"/>
      <c r="S578" s="156"/>
      <c r="T578" s="156"/>
      <c r="U578" s="156"/>
      <c r="V578" s="156"/>
      <c r="W578" s="156"/>
      <c r="X578" s="156"/>
      <c r="Y578" s="156"/>
      <c r="Z578" s="156"/>
      <c r="AA578" s="156"/>
      <c r="AB578" s="158">
        <f t="shared" si="195"/>
        <v>0</v>
      </c>
      <c r="AC578" s="198"/>
      <c r="AE578" s="160" t="str">
        <f t="shared" si="196"/>
        <v/>
      </c>
      <c r="AF578" s="161">
        <f>IFERROR(VLOOKUP($F578&amp;"-"&amp;$J578,#REF!,#REF!+6,0),0)</f>
        <v>0</v>
      </c>
      <c r="AG578" s="162">
        <f>IFERROR(VLOOKUP($F578&amp;"-"&amp;$J578,#REF!,#REF!+6,0),0)</f>
        <v>0</v>
      </c>
      <c r="AH578" s="162">
        <f>IFERROR(VLOOKUP($F578&amp;"-"&amp;$J578,#REF!,#REF!+6,0),0)</f>
        <v>0</v>
      </c>
      <c r="AI578" s="162">
        <f>IFERROR(VLOOKUP($F578&amp;"-"&amp;$J578,#REF!,#REF!+6,0),0)</f>
        <v>0</v>
      </c>
      <c r="AJ578" s="162">
        <f>IFERROR(VLOOKUP($F578&amp;"-"&amp;$J578,#REF!,#REF!+6,0),0)</f>
        <v>0</v>
      </c>
      <c r="AK578" s="162">
        <f>IFERROR(VLOOKUP($F578&amp;"-"&amp;$J578,#REF!,#REF!+6,0),0)</f>
        <v>0</v>
      </c>
      <c r="AL578" s="162">
        <f>IFERROR(VLOOKUP($F578&amp;"-"&amp;$J578,#REF!,#REF!+6,0),0)</f>
        <v>0</v>
      </c>
      <c r="AM578" s="162">
        <f>IFERROR(VLOOKUP($F578&amp;"-"&amp;$J578,#REF!,#REF!+6,0),0)</f>
        <v>0</v>
      </c>
      <c r="AN578" s="162">
        <f>IFERROR(VLOOKUP($F578&amp;"-"&amp;$J578,#REF!,#REF!+6,0),0)</f>
        <v>0</v>
      </c>
      <c r="AO578" s="162">
        <f>IFERROR(VLOOKUP($F578&amp;"-"&amp;$J578,#REF!,#REF!+6,0),0)</f>
        <v>0</v>
      </c>
      <c r="AP578" s="162">
        <f>IFERROR(VLOOKUP($F578&amp;"-"&amp;$J578,#REF!,#REF!+6,0),0)</f>
        <v>0</v>
      </c>
      <c r="AQ578" s="162">
        <f>IFERROR(VLOOKUP($F578&amp;"-"&amp;$J578,#REF!,#REF!+6,0),0)</f>
        <v>0</v>
      </c>
      <c r="AR578" s="163">
        <f t="shared" si="197"/>
        <v>0</v>
      </c>
    </row>
    <row r="579" spans="2:44" x14ac:dyDescent="0.25">
      <c r="B579" s="15" t="s">
        <v>226</v>
      </c>
      <c r="C579" s="83">
        <f t="shared" si="194"/>
        <v>0</v>
      </c>
      <c r="F579" s="148"/>
      <c r="G579" s="149" t="str">
        <f>IFERROR(VLOOKUP(F579,#REF!,2,0),"")</f>
        <v/>
      </c>
      <c r="H579" s="150" t="str">
        <f>IFERROR(VLOOKUP(F579,#REF!,3,0),"")</f>
        <v/>
      </c>
      <c r="I579" s="151"/>
      <c r="J579" s="151"/>
      <c r="K579" s="152"/>
      <c r="L579" s="153"/>
      <c r="M579" s="154"/>
      <c r="N579" s="151"/>
      <c r="O579" s="155"/>
      <c r="P579" s="156"/>
      <c r="Q579" s="156"/>
      <c r="R579" s="156"/>
      <c r="S579" s="156"/>
      <c r="T579" s="156"/>
      <c r="U579" s="156"/>
      <c r="V579" s="156"/>
      <c r="W579" s="156"/>
      <c r="X579" s="156"/>
      <c r="Y579" s="156"/>
      <c r="Z579" s="156"/>
      <c r="AA579" s="156"/>
      <c r="AB579" s="158">
        <f t="shared" si="195"/>
        <v>0</v>
      </c>
      <c r="AC579" s="198"/>
      <c r="AE579" s="160" t="str">
        <f t="shared" si="196"/>
        <v/>
      </c>
      <c r="AF579" s="161">
        <f>IFERROR(VLOOKUP($F579&amp;"-"&amp;$J579,#REF!,#REF!+6,0),0)</f>
        <v>0</v>
      </c>
      <c r="AG579" s="162">
        <f>IFERROR(VLOOKUP($F579&amp;"-"&amp;$J579,#REF!,#REF!+6,0),0)</f>
        <v>0</v>
      </c>
      <c r="AH579" s="162">
        <f>IFERROR(VLOOKUP($F579&amp;"-"&amp;$J579,#REF!,#REF!+6,0),0)</f>
        <v>0</v>
      </c>
      <c r="AI579" s="162">
        <f>IFERROR(VLOOKUP($F579&amp;"-"&amp;$J579,#REF!,#REF!+6,0),0)</f>
        <v>0</v>
      </c>
      <c r="AJ579" s="162">
        <f>IFERROR(VLOOKUP($F579&amp;"-"&amp;$J579,#REF!,#REF!+6,0),0)</f>
        <v>0</v>
      </c>
      <c r="AK579" s="162">
        <f>IFERROR(VLOOKUP($F579&amp;"-"&amp;$J579,#REF!,#REF!+6,0),0)</f>
        <v>0</v>
      </c>
      <c r="AL579" s="162">
        <f>IFERROR(VLOOKUP($F579&amp;"-"&amp;$J579,#REF!,#REF!+6,0),0)</f>
        <v>0</v>
      </c>
      <c r="AM579" s="162">
        <f>IFERROR(VLOOKUP($F579&amp;"-"&amp;$J579,#REF!,#REF!+6,0),0)</f>
        <v>0</v>
      </c>
      <c r="AN579" s="162">
        <f>IFERROR(VLOOKUP($F579&amp;"-"&amp;$J579,#REF!,#REF!+6,0),0)</f>
        <v>0</v>
      </c>
      <c r="AO579" s="162">
        <f>IFERROR(VLOOKUP($F579&amp;"-"&amp;$J579,#REF!,#REF!+6,0),0)</f>
        <v>0</v>
      </c>
      <c r="AP579" s="162">
        <f>IFERROR(VLOOKUP($F579&amp;"-"&amp;$J579,#REF!,#REF!+6,0),0)</f>
        <v>0</v>
      </c>
      <c r="AQ579" s="162">
        <f>IFERROR(VLOOKUP($F579&amp;"-"&amp;$J579,#REF!,#REF!+6,0),0)</f>
        <v>0</v>
      </c>
      <c r="AR579" s="163">
        <f t="shared" si="197"/>
        <v>0</v>
      </c>
    </row>
    <row r="580" spans="2:44" x14ac:dyDescent="0.25">
      <c r="B580" s="15" t="s">
        <v>226</v>
      </c>
      <c r="C580" s="83">
        <f t="shared" si="194"/>
        <v>0</v>
      </c>
      <c r="F580" s="148"/>
      <c r="G580" s="149" t="str">
        <f>IFERROR(VLOOKUP(F580,#REF!,2,0),"")</f>
        <v/>
      </c>
      <c r="H580" s="150" t="str">
        <f>IFERROR(VLOOKUP(F580,#REF!,3,0),"")</f>
        <v/>
      </c>
      <c r="I580" s="151"/>
      <c r="J580" s="151"/>
      <c r="K580" s="152"/>
      <c r="L580" s="153"/>
      <c r="M580" s="154"/>
      <c r="N580" s="151"/>
      <c r="O580" s="155"/>
      <c r="P580" s="156"/>
      <c r="Q580" s="156"/>
      <c r="R580" s="156"/>
      <c r="S580" s="156"/>
      <c r="T580" s="156"/>
      <c r="U580" s="156"/>
      <c r="V580" s="156"/>
      <c r="W580" s="156"/>
      <c r="X580" s="156"/>
      <c r="Y580" s="156"/>
      <c r="Z580" s="156"/>
      <c r="AA580" s="156"/>
      <c r="AB580" s="158">
        <f t="shared" si="195"/>
        <v>0</v>
      </c>
      <c r="AC580" s="198"/>
      <c r="AE580" s="160" t="str">
        <f t="shared" si="196"/>
        <v/>
      </c>
      <c r="AF580" s="161">
        <f>IFERROR(VLOOKUP($F580&amp;"-"&amp;$J580,#REF!,#REF!+6,0),0)</f>
        <v>0</v>
      </c>
      <c r="AG580" s="162">
        <f>IFERROR(VLOOKUP($F580&amp;"-"&amp;$J580,#REF!,#REF!+6,0),0)</f>
        <v>0</v>
      </c>
      <c r="AH580" s="162">
        <f>IFERROR(VLOOKUP($F580&amp;"-"&amp;$J580,#REF!,#REF!+6,0),0)</f>
        <v>0</v>
      </c>
      <c r="AI580" s="162">
        <f>IFERROR(VLOOKUP($F580&amp;"-"&amp;$J580,#REF!,#REF!+6,0),0)</f>
        <v>0</v>
      </c>
      <c r="AJ580" s="162">
        <f>IFERROR(VLOOKUP($F580&amp;"-"&amp;$J580,#REF!,#REF!+6,0),0)</f>
        <v>0</v>
      </c>
      <c r="AK580" s="162">
        <f>IFERROR(VLOOKUP($F580&amp;"-"&amp;$J580,#REF!,#REF!+6,0),0)</f>
        <v>0</v>
      </c>
      <c r="AL580" s="162">
        <f>IFERROR(VLOOKUP($F580&amp;"-"&amp;$J580,#REF!,#REF!+6,0),0)</f>
        <v>0</v>
      </c>
      <c r="AM580" s="162">
        <f>IFERROR(VLOOKUP($F580&amp;"-"&amp;$J580,#REF!,#REF!+6,0),0)</f>
        <v>0</v>
      </c>
      <c r="AN580" s="162">
        <f>IFERROR(VLOOKUP($F580&amp;"-"&amp;$J580,#REF!,#REF!+6,0),0)</f>
        <v>0</v>
      </c>
      <c r="AO580" s="162">
        <f>IFERROR(VLOOKUP($F580&amp;"-"&amp;$J580,#REF!,#REF!+6,0),0)</f>
        <v>0</v>
      </c>
      <c r="AP580" s="162">
        <f>IFERROR(VLOOKUP($F580&amp;"-"&amp;$J580,#REF!,#REF!+6,0),0)</f>
        <v>0</v>
      </c>
      <c r="AQ580" s="162">
        <f>IFERROR(VLOOKUP($F580&amp;"-"&amp;$J580,#REF!,#REF!+6,0),0)</f>
        <v>0</v>
      </c>
      <c r="AR580" s="163">
        <f t="shared" si="197"/>
        <v>0</v>
      </c>
    </row>
    <row r="581" spans="2:44" x14ac:dyDescent="0.25">
      <c r="B581" s="15" t="s">
        <v>226</v>
      </c>
      <c r="C581" s="83">
        <f t="shared" si="194"/>
        <v>0</v>
      </c>
      <c r="F581" s="148"/>
      <c r="G581" s="149" t="str">
        <f>IFERROR(VLOOKUP(F581,#REF!,2,0),"")</f>
        <v/>
      </c>
      <c r="H581" s="150" t="str">
        <f>IFERROR(VLOOKUP(F581,#REF!,3,0),"")</f>
        <v/>
      </c>
      <c r="I581" s="151"/>
      <c r="J581" s="151"/>
      <c r="K581" s="152"/>
      <c r="L581" s="153"/>
      <c r="M581" s="154"/>
      <c r="N581" s="151"/>
      <c r="O581" s="155"/>
      <c r="P581" s="156"/>
      <c r="Q581" s="156"/>
      <c r="R581" s="156"/>
      <c r="S581" s="156"/>
      <c r="T581" s="156"/>
      <c r="U581" s="156"/>
      <c r="V581" s="156"/>
      <c r="W581" s="156"/>
      <c r="X581" s="156"/>
      <c r="Y581" s="156"/>
      <c r="Z581" s="156"/>
      <c r="AA581" s="156"/>
      <c r="AB581" s="158">
        <f t="shared" si="195"/>
        <v>0</v>
      </c>
      <c r="AC581" s="198"/>
      <c r="AE581" s="160" t="str">
        <f t="shared" si="196"/>
        <v/>
      </c>
      <c r="AF581" s="161">
        <f>IFERROR(VLOOKUP($F581&amp;"-"&amp;$J581,#REF!,#REF!+6,0),0)</f>
        <v>0</v>
      </c>
      <c r="AG581" s="162">
        <f>IFERROR(VLOOKUP($F581&amp;"-"&amp;$J581,#REF!,#REF!+6,0),0)</f>
        <v>0</v>
      </c>
      <c r="AH581" s="162">
        <f>IFERROR(VLOOKUP($F581&amp;"-"&amp;$J581,#REF!,#REF!+6,0),0)</f>
        <v>0</v>
      </c>
      <c r="AI581" s="162">
        <f>IFERROR(VLOOKUP($F581&amp;"-"&amp;$J581,#REF!,#REF!+6,0),0)</f>
        <v>0</v>
      </c>
      <c r="AJ581" s="162">
        <f>IFERROR(VLOOKUP($F581&amp;"-"&amp;$J581,#REF!,#REF!+6,0),0)</f>
        <v>0</v>
      </c>
      <c r="AK581" s="162">
        <f>IFERROR(VLOOKUP($F581&amp;"-"&amp;$J581,#REF!,#REF!+6,0),0)</f>
        <v>0</v>
      </c>
      <c r="AL581" s="162">
        <f>IFERROR(VLOOKUP($F581&amp;"-"&amp;$J581,#REF!,#REF!+6,0),0)</f>
        <v>0</v>
      </c>
      <c r="AM581" s="162">
        <f>IFERROR(VLOOKUP($F581&amp;"-"&amp;$J581,#REF!,#REF!+6,0),0)</f>
        <v>0</v>
      </c>
      <c r="AN581" s="162">
        <f>IFERROR(VLOOKUP($F581&amp;"-"&amp;$J581,#REF!,#REF!+6,0),0)</f>
        <v>0</v>
      </c>
      <c r="AO581" s="162">
        <f>IFERROR(VLOOKUP($F581&amp;"-"&amp;$J581,#REF!,#REF!+6,0),0)</f>
        <v>0</v>
      </c>
      <c r="AP581" s="162">
        <f>IFERROR(VLOOKUP($F581&amp;"-"&amp;$J581,#REF!,#REF!+6,0),0)</f>
        <v>0</v>
      </c>
      <c r="AQ581" s="162">
        <f>IFERROR(VLOOKUP($F581&amp;"-"&amp;$J581,#REF!,#REF!+6,0),0)</f>
        <v>0</v>
      </c>
      <c r="AR581" s="163">
        <f t="shared" si="197"/>
        <v>0</v>
      </c>
    </row>
    <row r="582" spans="2:44" x14ac:dyDescent="0.25">
      <c r="B582" s="15" t="s">
        <v>226</v>
      </c>
      <c r="C582" s="83">
        <f t="shared" si="194"/>
        <v>0</v>
      </c>
      <c r="F582" s="148"/>
      <c r="G582" s="149" t="str">
        <f>IFERROR(VLOOKUP(F582,#REF!,2,0),"")</f>
        <v/>
      </c>
      <c r="H582" s="150" t="str">
        <f>IFERROR(VLOOKUP(F582,#REF!,3,0),"")</f>
        <v/>
      </c>
      <c r="I582" s="151"/>
      <c r="J582" s="151"/>
      <c r="K582" s="152"/>
      <c r="L582" s="153"/>
      <c r="M582" s="154"/>
      <c r="N582" s="151"/>
      <c r="O582" s="155"/>
      <c r="P582" s="156"/>
      <c r="Q582" s="156"/>
      <c r="R582" s="156"/>
      <c r="S582" s="156"/>
      <c r="T582" s="156"/>
      <c r="U582" s="156"/>
      <c r="V582" s="156"/>
      <c r="W582" s="156"/>
      <c r="X582" s="156"/>
      <c r="Y582" s="156"/>
      <c r="Z582" s="156"/>
      <c r="AA582" s="156"/>
      <c r="AB582" s="158">
        <f t="shared" si="195"/>
        <v>0</v>
      </c>
      <c r="AC582" s="198"/>
      <c r="AE582" s="160" t="str">
        <f t="shared" si="196"/>
        <v/>
      </c>
      <c r="AF582" s="161">
        <f>IFERROR(VLOOKUP($F582&amp;"-"&amp;$J582,#REF!,#REF!+6,0),0)</f>
        <v>0</v>
      </c>
      <c r="AG582" s="162">
        <f>IFERROR(VLOOKUP($F582&amp;"-"&amp;$J582,#REF!,#REF!+6,0),0)</f>
        <v>0</v>
      </c>
      <c r="AH582" s="162">
        <f>IFERROR(VLOOKUP($F582&amp;"-"&amp;$J582,#REF!,#REF!+6,0),0)</f>
        <v>0</v>
      </c>
      <c r="AI582" s="162">
        <f>IFERROR(VLOOKUP($F582&amp;"-"&amp;$J582,#REF!,#REF!+6,0),0)</f>
        <v>0</v>
      </c>
      <c r="AJ582" s="162">
        <f>IFERROR(VLOOKUP($F582&amp;"-"&amp;$J582,#REF!,#REF!+6,0),0)</f>
        <v>0</v>
      </c>
      <c r="AK582" s="162">
        <f>IFERROR(VLOOKUP($F582&amp;"-"&amp;$J582,#REF!,#REF!+6,0),0)</f>
        <v>0</v>
      </c>
      <c r="AL582" s="162">
        <f>IFERROR(VLOOKUP($F582&amp;"-"&amp;$J582,#REF!,#REF!+6,0),0)</f>
        <v>0</v>
      </c>
      <c r="AM582" s="162">
        <f>IFERROR(VLOOKUP($F582&amp;"-"&amp;$J582,#REF!,#REF!+6,0),0)</f>
        <v>0</v>
      </c>
      <c r="AN582" s="162">
        <f>IFERROR(VLOOKUP($F582&amp;"-"&amp;$J582,#REF!,#REF!+6,0),0)</f>
        <v>0</v>
      </c>
      <c r="AO582" s="162">
        <f>IFERROR(VLOOKUP($F582&amp;"-"&amp;$J582,#REF!,#REF!+6,0),0)</f>
        <v>0</v>
      </c>
      <c r="AP582" s="162">
        <f>IFERROR(VLOOKUP($F582&amp;"-"&amp;$J582,#REF!,#REF!+6,0),0)</f>
        <v>0</v>
      </c>
      <c r="AQ582" s="162">
        <f>IFERROR(VLOOKUP($F582&amp;"-"&amp;$J582,#REF!,#REF!+6,0),0)</f>
        <v>0</v>
      </c>
      <c r="AR582" s="163">
        <f t="shared" si="197"/>
        <v>0</v>
      </c>
    </row>
    <row r="583" spans="2:44" x14ac:dyDescent="0.25">
      <c r="B583" s="15" t="s">
        <v>226</v>
      </c>
      <c r="C583" s="83">
        <f t="shared" si="194"/>
        <v>0</v>
      </c>
      <c r="F583" s="148"/>
      <c r="G583" s="149" t="str">
        <f>IFERROR(VLOOKUP(F583,#REF!,2,0),"")</f>
        <v/>
      </c>
      <c r="H583" s="150" t="str">
        <f>IFERROR(VLOOKUP(F583,#REF!,3,0),"")</f>
        <v/>
      </c>
      <c r="I583" s="151"/>
      <c r="J583" s="151"/>
      <c r="K583" s="152"/>
      <c r="L583" s="153"/>
      <c r="M583" s="154"/>
      <c r="N583" s="151"/>
      <c r="O583" s="155"/>
      <c r="P583" s="156"/>
      <c r="Q583" s="156"/>
      <c r="R583" s="156"/>
      <c r="S583" s="156"/>
      <c r="T583" s="156"/>
      <c r="U583" s="156"/>
      <c r="V583" s="156"/>
      <c r="W583" s="156"/>
      <c r="X583" s="156"/>
      <c r="Y583" s="156"/>
      <c r="Z583" s="156"/>
      <c r="AA583" s="156"/>
      <c r="AB583" s="158">
        <f t="shared" si="195"/>
        <v>0</v>
      </c>
      <c r="AC583" s="198"/>
      <c r="AE583" s="160" t="str">
        <f t="shared" si="196"/>
        <v/>
      </c>
      <c r="AF583" s="161">
        <f>IFERROR(VLOOKUP($F583&amp;"-"&amp;$J583,#REF!,#REF!+6,0),0)</f>
        <v>0</v>
      </c>
      <c r="AG583" s="162">
        <f>IFERROR(VLOOKUP($F583&amp;"-"&amp;$J583,#REF!,#REF!+6,0),0)</f>
        <v>0</v>
      </c>
      <c r="AH583" s="162">
        <f>IFERROR(VLOOKUP($F583&amp;"-"&amp;$J583,#REF!,#REF!+6,0),0)</f>
        <v>0</v>
      </c>
      <c r="AI583" s="162">
        <f>IFERROR(VLOOKUP($F583&amp;"-"&amp;$J583,#REF!,#REF!+6,0),0)</f>
        <v>0</v>
      </c>
      <c r="AJ583" s="162">
        <f>IFERROR(VLOOKUP($F583&amp;"-"&amp;$J583,#REF!,#REF!+6,0),0)</f>
        <v>0</v>
      </c>
      <c r="AK583" s="162">
        <f>IFERROR(VLOOKUP($F583&amp;"-"&amp;$J583,#REF!,#REF!+6,0),0)</f>
        <v>0</v>
      </c>
      <c r="AL583" s="162">
        <f>IFERROR(VLOOKUP($F583&amp;"-"&amp;$J583,#REF!,#REF!+6,0),0)</f>
        <v>0</v>
      </c>
      <c r="AM583" s="162">
        <f>IFERROR(VLOOKUP($F583&amp;"-"&amp;$J583,#REF!,#REF!+6,0),0)</f>
        <v>0</v>
      </c>
      <c r="AN583" s="162">
        <f>IFERROR(VLOOKUP($F583&amp;"-"&amp;$J583,#REF!,#REF!+6,0),0)</f>
        <v>0</v>
      </c>
      <c r="AO583" s="162">
        <f>IFERROR(VLOOKUP($F583&amp;"-"&amp;$J583,#REF!,#REF!+6,0),0)</f>
        <v>0</v>
      </c>
      <c r="AP583" s="162">
        <f>IFERROR(VLOOKUP($F583&amp;"-"&amp;$J583,#REF!,#REF!+6,0),0)</f>
        <v>0</v>
      </c>
      <c r="AQ583" s="162">
        <f>IFERROR(VLOOKUP($F583&amp;"-"&amp;$J583,#REF!,#REF!+6,0),0)</f>
        <v>0</v>
      </c>
      <c r="AR583" s="163">
        <f t="shared" si="197"/>
        <v>0</v>
      </c>
    </row>
    <row r="584" spans="2:44" x14ac:dyDescent="0.25">
      <c r="B584" s="15" t="s">
        <v>226</v>
      </c>
      <c r="C584" s="83">
        <f t="shared" si="194"/>
        <v>0</v>
      </c>
      <c r="F584" s="148"/>
      <c r="G584" s="149" t="str">
        <f>IFERROR(VLOOKUP(F584,#REF!,2,0),"")</f>
        <v/>
      </c>
      <c r="H584" s="150" t="str">
        <f>IFERROR(VLOOKUP(F584,#REF!,3,0),"")</f>
        <v/>
      </c>
      <c r="I584" s="151"/>
      <c r="J584" s="151"/>
      <c r="K584" s="152"/>
      <c r="L584" s="153"/>
      <c r="M584" s="154"/>
      <c r="N584" s="151"/>
      <c r="O584" s="155"/>
      <c r="P584" s="156"/>
      <c r="Q584" s="156"/>
      <c r="R584" s="156"/>
      <c r="S584" s="156"/>
      <c r="T584" s="156"/>
      <c r="U584" s="156"/>
      <c r="V584" s="156"/>
      <c r="W584" s="156"/>
      <c r="X584" s="156"/>
      <c r="Y584" s="156"/>
      <c r="Z584" s="156"/>
      <c r="AA584" s="156"/>
      <c r="AB584" s="158">
        <f t="shared" si="195"/>
        <v>0</v>
      </c>
      <c r="AC584" s="198"/>
      <c r="AE584" s="160" t="str">
        <f t="shared" si="196"/>
        <v/>
      </c>
      <c r="AF584" s="161">
        <f>IFERROR(VLOOKUP($F584&amp;"-"&amp;$J584,#REF!,#REF!+6,0),0)</f>
        <v>0</v>
      </c>
      <c r="AG584" s="162">
        <f>IFERROR(VLOOKUP($F584&amp;"-"&amp;$J584,#REF!,#REF!+6,0),0)</f>
        <v>0</v>
      </c>
      <c r="AH584" s="162">
        <f>IFERROR(VLOOKUP($F584&amp;"-"&amp;$J584,#REF!,#REF!+6,0),0)</f>
        <v>0</v>
      </c>
      <c r="AI584" s="162">
        <f>IFERROR(VLOOKUP($F584&amp;"-"&amp;$J584,#REF!,#REF!+6,0),0)</f>
        <v>0</v>
      </c>
      <c r="AJ584" s="162">
        <f>IFERROR(VLOOKUP($F584&amp;"-"&amp;$J584,#REF!,#REF!+6,0),0)</f>
        <v>0</v>
      </c>
      <c r="AK584" s="162">
        <f>IFERROR(VLOOKUP($F584&amp;"-"&amp;$J584,#REF!,#REF!+6,0),0)</f>
        <v>0</v>
      </c>
      <c r="AL584" s="162">
        <f>IFERROR(VLOOKUP($F584&amp;"-"&amp;$J584,#REF!,#REF!+6,0),0)</f>
        <v>0</v>
      </c>
      <c r="AM584" s="162">
        <f>IFERROR(VLOOKUP($F584&amp;"-"&amp;$J584,#REF!,#REF!+6,0),0)</f>
        <v>0</v>
      </c>
      <c r="AN584" s="162">
        <f>IFERROR(VLOOKUP($F584&amp;"-"&amp;$J584,#REF!,#REF!+6,0),0)</f>
        <v>0</v>
      </c>
      <c r="AO584" s="162">
        <f>IFERROR(VLOOKUP($F584&amp;"-"&amp;$J584,#REF!,#REF!+6,0),0)</f>
        <v>0</v>
      </c>
      <c r="AP584" s="162">
        <f>IFERROR(VLOOKUP($F584&amp;"-"&amp;$J584,#REF!,#REF!+6,0),0)</f>
        <v>0</v>
      </c>
      <c r="AQ584" s="162">
        <f>IFERROR(VLOOKUP($F584&amp;"-"&amp;$J584,#REF!,#REF!+6,0),0)</f>
        <v>0</v>
      </c>
      <c r="AR584" s="163">
        <f t="shared" si="197"/>
        <v>0</v>
      </c>
    </row>
    <row r="585" spans="2:44" x14ac:dyDescent="0.25">
      <c r="B585" s="15" t="s">
        <v>226</v>
      </c>
      <c r="C585" s="83">
        <f t="shared" si="194"/>
        <v>0</v>
      </c>
      <c r="F585" s="148"/>
      <c r="G585" s="149" t="str">
        <f>IFERROR(VLOOKUP(F585,#REF!,2,0),"")</f>
        <v/>
      </c>
      <c r="H585" s="150" t="str">
        <f>IFERROR(VLOOKUP(F585,#REF!,3,0),"")</f>
        <v/>
      </c>
      <c r="I585" s="151"/>
      <c r="J585" s="151"/>
      <c r="K585" s="152"/>
      <c r="L585" s="153"/>
      <c r="M585" s="154"/>
      <c r="N585" s="151"/>
      <c r="O585" s="155"/>
      <c r="P585" s="156"/>
      <c r="Q585" s="156"/>
      <c r="R585" s="156"/>
      <c r="S585" s="156"/>
      <c r="T585" s="156"/>
      <c r="U585" s="156"/>
      <c r="V585" s="156"/>
      <c r="W585" s="156"/>
      <c r="X585" s="156"/>
      <c r="Y585" s="156"/>
      <c r="Z585" s="156"/>
      <c r="AA585" s="156"/>
      <c r="AB585" s="158">
        <f t="shared" si="195"/>
        <v>0</v>
      </c>
      <c r="AC585" s="198"/>
      <c r="AE585" s="160" t="str">
        <f t="shared" si="196"/>
        <v/>
      </c>
      <c r="AF585" s="161">
        <f>IFERROR(VLOOKUP($F585&amp;"-"&amp;$J585,#REF!,#REF!+6,0),0)</f>
        <v>0</v>
      </c>
      <c r="AG585" s="162">
        <f>IFERROR(VLOOKUP($F585&amp;"-"&amp;$J585,#REF!,#REF!+6,0),0)</f>
        <v>0</v>
      </c>
      <c r="AH585" s="162">
        <f>IFERROR(VLOOKUP($F585&amp;"-"&amp;$J585,#REF!,#REF!+6,0),0)</f>
        <v>0</v>
      </c>
      <c r="AI585" s="162">
        <f>IFERROR(VLOOKUP($F585&amp;"-"&amp;$J585,#REF!,#REF!+6,0),0)</f>
        <v>0</v>
      </c>
      <c r="AJ585" s="162">
        <f>IFERROR(VLOOKUP($F585&amp;"-"&amp;$J585,#REF!,#REF!+6,0),0)</f>
        <v>0</v>
      </c>
      <c r="AK585" s="162">
        <f>IFERROR(VLOOKUP($F585&amp;"-"&amp;$J585,#REF!,#REF!+6,0),0)</f>
        <v>0</v>
      </c>
      <c r="AL585" s="162">
        <f>IFERROR(VLOOKUP($F585&amp;"-"&amp;$J585,#REF!,#REF!+6,0),0)</f>
        <v>0</v>
      </c>
      <c r="AM585" s="162">
        <f>IFERROR(VLOOKUP($F585&amp;"-"&amp;$J585,#REF!,#REF!+6,0),0)</f>
        <v>0</v>
      </c>
      <c r="AN585" s="162">
        <f>IFERROR(VLOOKUP($F585&amp;"-"&amp;$J585,#REF!,#REF!+6,0),0)</f>
        <v>0</v>
      </c>
      <c r="AO585" s="162">
        <f>IFERROR(VLOOKUP($F585&amp;"-"&amp;$J585,#REF!,#REF!+6,0),0)</f>
        <v>0</v>
      </c>
      <c r="AP585" s="162">
        <f>IFERROR(VLOOKUP($F585&amp;"-"&amp;$J585,#REF!,#REF!+6,0),0)</f>
        <v>0</v>
      </c>
      <c r="AQ585" s="162">
        <f>IFERROR(VLOOKUP($F585&amp;"-"&amp;$J585,#REF!,#REF!+6,0),0)</f>
        <v>0</v>
      </c>
      <c r="AR585" s="163">
        <f t="shared" si="197"/>
        <v>0</v>
      </c>
    </row>
    <row r="586" spans="2:44" x14ac:dyDescent="0.25">
      <c r="B586" s="15" t="s">
        <v>226</v>
      </c>
      <c r="C586" s="83">
        <f t="shared" si="194"/>
        <v>0</v>
      </c>
      <c r="F586" s="148"/>
      <c r="G586" s="149" t="str">
        <f>IFERROR(VLOOKUP(F586,#REF!,2,0),"")</f>
        <v/>
      </c>
      <c r="H586" s="150" t="str">
        <f>IFERROR(VLOOKUP(F586,#REF!,3,0),"")</f>
        <v/>
      </c>
      <c r="I586" s="151"/>
      <c r="J586" s="151"/>
      <c r="K586" s="152"/>
      <c r="L586" s="153"/>
      <c r="M586" s="154"/>
      <c r="N586" s="151"/>
      <c r="O586" s="155"/>
      <c r="P586" s="156"/>
      <c r="Q586" s="156"/>
      <c r="R586" s="156"/>
      <c r="S586" s="156"/>
      <c r="T586" s="156"/>
      <c r="U586" s="156"/>
      <c r="V586" s="156"/>
      <c r="W586" s="156"/>
      <c r="X586" s="156"/>
      <c r="Y586" s="156"/>
      <c r="Z586" s="156"/>
      <c r="AA586" s="156"/>
      <c r="AB586" s="158">
        <f t="shared" si="195"/>
        <v>0</v>
      </c>
      <c r="AC586" s="198"/>
      <c r="AE586" s="160" t="str">
        <f t="shared" si="196"/>
        <v/>
      </c>
      <c r="AF586" s="161">
        <f>IFERROR(VLOOKUP($F586&amp;"-"&amp;$J586,#REF!,#REF!+6,0),0)</f>
        <v>0</v>
      </c>
      <c r="AG586" s="162">
        <f>IFERROR(VLOOKUP($F586&amp;"-"&amp;$J586,#REF!,#REF!+6,0),0)</f>
        <v>0</v>
      </c>
      <c r="AH586" s="162">
        <f>IFERROR(VLOOKUP($F586&amp;"-"&amp;$J586,#REF!,#REF!+6,0),0)</f>
        <v>0</v>
      </c>
      <c r="AI586" s="162">
        <f>IFERROR(VLOOKUP($F586&amp;"-"&amp;$J586,#REF!,#REF!+6,0),0)</f>
        <v>0</v>
      </c>
      <c r="AJ586" s="162">
        <f>IFERROR(VLOOKUP($F586&amp;"-"&amp;$J586,#REF!,#REF!+6,0),0)</f>
        <v>0</v>
      </c>
      <c r="AK586" s="162">
        <f>IFERROR(VLOOKUP($F586&amp;"-"&amp;$J586,#REF!,#REF!+6,0),0)</f>
        <v>0</v>
      </c>
      <c r="AL586" s="162">
        <f>IFERROR(VLOOKUP($F586&amp;"-"&amp;$J586,#REF!,#REF!+6,0),0)</f>
        <v>0</v>
      </c>
      <c r="AM586" s="162">
        <f>IFERROR(VLOOKUP($F586&amp;"-"&amp;$J586,#REF!,#REF!+6,0),0)</f>
        <v>0</v>
      </c>
      <c r="AN586" s="162">
        <f>IFERROR(VLOOKUP($F586&amp;"-"&amp;$J586,#REF!,#REF!+6,0),0)</f>
        <v>0</v>
      </c>
      <c r="AO586" s="162">
        <f>IFERROR(VLOOKUP($F586&amp;"-"&amp;$J586,#REF!,#REF!+6,0),0)</f>
        <v>0</v>
      </c>
      <c r="AP586" s="162">
        <f>IFERROR(VLOOKUP($F586&amp;"-"&amp;$J586,#REF!,#REF!+6,0),0)</f>
        <v>0</v>
      </c>
      <c r="AQ586" s="162">
        <f>IFERROR(VLOOKUP($F586&amp;"-"&amp;$J586,#REF!,#REF!+6,0),0)</f>
        <v>0</v>
      </c>
      <c r="AR586" s="163">
        <f t="shared" si="197"/>
        <v>0</v>
      </c>
    </row>
    <row r="587" spans="2:44" x14ac:dyDescent="0.25">
      <c r="B587" s="15" t="s">
        <v>226</v>
      </c>
      <c r="C587" s="83">
        <f t="shared" si="194"/>
        <v>0</v>
      </c>
      <c r="F587" s="148"/>
      <c r="G587" s="149" t="str">
        <f>IFERROR(VLOOKUP(F587,#REF!,2,0),"")</f>
        <v/>
      </c>
      <c r="H587" s="150" t="str">
        <f>IFERROR(VLOOKUP(F587,#REF!,3,0),"")</f>
        <v/>
      </c>
      <c r="I587" s="151"/>
      <c r="J587" s="151"/>
      <c r="K587" s="152"/>
      <c r="L587" s="153"/>
      <c r="M587" s="154"/>
      <c r="N587" s="151"/>
      <c r="O587" s="155"/>
      <c r="P587" s="156"/>
      <c r="Q587" s="156"/>
      <c r="R587" s="156"/>
      <c r="S587" s="156"/>
      <c r="T587" s="156"/>
      <c r="U587" s="156"/>
      <c r="V587" s="156"/>
      <c r="W587" s="156"/>
      <c r="X587" s="156"/>
      <c r="Y587" s="156"/>
      <c r="Z587" s="156"/>
      <c r="AA587" s="156"/>
      <c r="AB587" s="158">
        <f t="shared" si="195"/>
        <v>0</v>
      </c>
      <c r="AC587" s="198"/>
      <c r="AE587" s="160" t="str">
        <f t="shared" si="196"/>
        <v/>
      </c>
      <c r="AF587" s="161">
        <f>IFERROR(VLOOKUP($F587&amp;"-"&amp;$J587,#REF!,#REF!+6,0),0)</f>
        <v>0</v>
      </c>
      <c r="AG587" s="162">
        <f>IFERROR(VLOOKUP($F587&amp;"-"&amp;$J587,#REF!,#REF!+6,0),0)</f>
        <v>0</v>
      </c>
      <c r="AH587" s="162">
        <f>IFERROR(VLOOKUP($F587&amp;"-"&amp;$J587,#REF!,#REF!+6,0),0)</f>
        <v>0</v>
      </c>
      <c r="AI587" s="162">
        <f>IFERROR(VLOOKUP($F587&amp;"-"&amp;$J587,#REF!,#REF!+6,0),0)</f>
        <v>0</v>
      </c>
      <c r="AJ587" s="162">
        <f>IFERROR(VLOOKUP($F587&amp;"-"&amp;$J587,#REF!,#REF!+6,0),0)</f>
        <v>0</v>
      </c>
      <c r="AK587" s="162">
        <f>IFERROR(VLOOKUP($F587&amp;"-"&amp;$J587,#REF!,#REF!+6,0),0)</f>
        <v>0</v>
      </c>
      <c r="AL587" s="162">
        <f>IFERROR(VLOOKUP($F587&amp;"-"&amp;$J587,#REF!,#REF!+6,0),0)</f>
        <v>0</v>
      </c>
      <c r="AM587" s="162">
        <f>IFERROR(VLOOKUP($F587&amp;"-"&amp;$J587,#REF!,#REF!+6,0),0)</f>
        <v>0</v>
      </c>
      <c r="AN587" s="162">
        <f>IFERROR(VLOOKUP($F587&amp;"-"&amp;$J587,#REF!,#REF!+6,0),0)</f>
        <v>0</v>
      </c>
      <c r="AO587" s="162">
        <f>IFERROR(VLOOKUP($F587&amp;"-"&amp;$J587,#REF!,#REF!+6,0),0)</f>
        <v>0</v>
      </c>
      <c r="AP587" s="162">
        <f>IFERROR(VLOOKUP($F587&amp;"-"&amp;$J587,#REF!,#REF!+6,0),0)</f>
        <v>0</v>
      </c>
      <c r="AQ587" s="162">
        <f>IFERROR(VLOOKUP($F587&amp;"-"&amp;$J587,#REF!,#REF!+6,0),0)</f>
        <v>0</v>
      </c>
      <c r="AR587" s="163">
        <f t="shared" si="197"/>
        <v>0</v>
      </c>
    </row>
    <row r="588" spans="2:44" x14ac:dyDescent="0.25">
      <c r="B588" s="15" t="s">
        <v>226</v>
      </c>
      <c r="C588" s="83">
        <f t="shared" si="194"/>
        <v>0</v>
      </c>
      <c r="F588" s="148"/>
      <c r="G588" s="149" t="str">
        <f>IFERROR(VLOOKUP(F588,#REF!,2,0),"")</f>
        <v/>
      </c>
      <c r="H588" s="150" t="str">
        <f>IFERROR(VLOOKUP(F588,#REF!,3,0),"")</f>
        <v/>
      </c>
      <c r="I588" s="151"/>
      <c r="J588" s="151"/>
      <c r="K588" s="152"/>
      <c r="L588" s="153"/>
      <c r="M588" s="154"/>
      <c r="N588" s="151"/>
      <c r="O588" s="155"/>
      <c r="P588" s="156"/>
      <c r="Q588" s="156"/>
      <c r="R588" s="156"/>
      <c r="S588" s="156"/>
      <c r="T588" s="156"/>
      <c r="U588" s="156"/>
      <c r="V588" s="156"/>
      <c r="W588" s="156"/>
      <c r="X588" s="156"/>
      <c r="Y588" s="156"/>
      <c r="Z588" s="156"/>
      <c r="AA588" s="156"/>
      <c r="AB588" s="158">
        <f t="shared" si="195"/>
        <v>0</v>
      </c>
      <c r="AC588" s="198"/>
      <c r="AE588" s="160" t="str">
        <f t="shared" si="196"/>
        <v/>
      </c>
      <c r="AF588" s="161">
        <f>IFERROR(VLOOKUP($F588&amp;"-"&amp;$J588,#REF!,#REF!+6,0),0)</f>
        <v>0</v>
      </c>
      <c r="AG588" s="162">
        <f>IFERROR(VLOOKUP($F588&amp;"-"&amp;$J588,#REF!,#REF!+6,0),0)</f>
        <v>0</v>
      </c>
      <c r="AH588" s="162">
        <f>IFERROR(VLOOKUP($F588&amp;"-"&amp;$J588,#REF!,#REF!+6,0),0)</f>
        <v>0</v>
      </c>
      <c r="AI588" s="162">
        <f>IFERROR(VLOOKUP($F588&amp;"-"&amp;$J588,#REF!,#REF!+6,0),0)</f>
        <v>0</v>
      </c>
      <c r="AJ588" s="162">
        <f>IFERROR(VLOOKUP($F588&amp;"-"&amp;$J588,#REF!,#REF!+6,0),0)</f>
        <v>0</v>
      </c>
      <c r="AK588" s="162">
        <f>IFERROR(VLOOKUP($F588&amp;"-"&amp;$J588,#REF!,#REF!+6,0),0)</f>
        <v>0</v>
      </c>
      <c r="AL588" s="162">
        <f>IFERROR(VLOOKUP($F588&amp;"-"&amp;$J588,#REF!,#REF!+6,0),0)</f>
        <v>0</v>
      </c>
      <c r="AM588" s="162">
        <f>IFERROR(VLOOKUP($F588&amp;"-"&amp;$J588,#REF!,#REF!+6,0),0)</f>
        <v>0</v>
      </c>
      <c r="AN588" s="162">
        <f>IFERROR(VLOOKUP($F588&amp;"-"&amp;$J588,#REF!,#REF!+6,0),0)</f>
        <v>0</v>
      </c>
      <c r="AO588" s="162">
        <f>IFERROR(VLOOKUP($F588&amp;"-"&amp;$J588,#REF!,#REF!+6,0),0)</f>
        <v>0</v>
      </c>
      <c r="AP588" s="162">
        <f>IFERROR(VLOOKUP($F588&amp;"-"&amp;$J588,#REF!,#REF!+6,0),0)</f>
        <v>0</v>
      </c>
      <c r="AQ588" s="162">
        <f>IFERROR(VLOOKUP($F588&amp;"-"&amp;$J588,#REF!,#REF!+6,0),0)</f>
        <v>0</v>
      </c>
      <c r="AR588" s="163">
        <f t="shared" si="197"/>
        <v>0</v>
      </c>
    </row>
    <row r="589" spans="2:44" x14ac:dyDescent="0.25">
      <c r="B589" s="15" t="s">
        <v>226</v>
      </c>
      <c r="C589" s="83">
        <f t="shared" si="194"/>
        <v>0</v>
      </c>
      <c r="F589" s="148"/>
      <c r="G589" s="149" t="str">
        <f>IFERROR(VLOOKUP(F589,#REF!,2,0),"")</f>
        <v/>
      </c>
      <c r="H589" s="150" t="str">
        <f>IFERROR(VLOOKUP(F589,#REF!,3,0),"")</f>
        <v/>
      </c>
      <c r="I589" s="151"/>
      <c r="J589" s="151"/>
      <c r="K589" s="152"/>
      <c r="L589" s="153"/>
      <c r="M589" s="154"/>
      <c r="N589" s="151"/>
      <c r="O589" s="155"/>
      <c r="P589" s="156"/>
      <c r="Q589" s="156"/>
      <c r="R589" s="156"/>
      <c r="S589" s="156"/>
      <c r="T589" s="156"/>
      <c r="U589" s="156"/>
      <c r="V589" s="156"/>
      <c r="W589" s="156"/>
      <c r="X589" s="156"/>
      <c r="Y589" s="156"/>
      <c r="Z589" s="156"/>
      <c r="AA589" s="156"/>
      <c r="AB589" s="158">
        <f t="shared" si="195"/>
        <v>0</v>
      </c>
      <c r="AC589" s="198"/>
      <c r="AE589" s="160" t="str">
        <f t="shared" si="196"/>
        <v/>
      </c>
      <c r="AF589" s="161">
        <f>IFERROR(VLOOKUP($F589&amp;"-"&amp;$J589,#REF!,#REF!+6,0),0)</f>
        <v>0</v>
      </c>
      <c r="AG589" s="162">
        <f>IFERROR(VLOOKUP($F589&amp;"-"&amp;$J589,#REF!,#REF!+6,0),0)</f>
        <v>0</v>
      </c>
      <c r="AH589" s="162">
        <f>IFERROR(VLOOKUP($F589&amp;"-"&amp;$J589,#REF!,#REF!+6,0),0)</f>
        <v>0</v>
      </c>
      <c r="AI589" s="162">
        <f>IFERROR(VLOOKUP($F589&amp;"-"&amp;$J589,#REF!,#REF!+6,0),0)</f>
        <v>0</v>
      </c>
      <c r="AJ589" s="162">
        <f>IFERROR(VLOOKUP($F589&amp;"-"&amp;$J589,#REF!,#REF!+6,0),0)</f>
        <v>0</v>
      </c>
      <c r="AK589" s="162">
        <f>IFERROR(VLOOKUP($F589&amp;"-"&amp;$J589,#REF!,#REF!+6,0),0)</f>
        <v>0</v>
      </c>
      <c r="AL589" s="162">
        <f>IFERROR(VLOOKUP($F589&amp;"-"&amp;$J589,#REF!,#REF!+6,0),0)</f>
        <v>0</v>
      </c>
      <c r="AM589" s="162">
        <f>IFERROR(VLOOKUP($F589&amp;"-"&amp;$J589,#REF!,#REF!+6,0),0)</f>
        <v>0</v>
      </c>
      <c r="AN589" s="162">
        <f>IFERROR(VLOOKUP($F589&amp;"-"&amp;$J589,#REF!,#REF!+6,0),0)</f>
        <v>0</v>
      </c>
      <c r="AO589" s="162">
        <f>IFERROR(VLOOKUP($F589&amp;"-"&amp;$J589,#REF!,#REF!+6,0),0)</f>
        <v>0</v>
      </c>
      <c r="AP589" s="162">
        <f>IFERROR(VLOOKUP($F589&amp;"-"&amp;$J589,#REF!,#REF!+6,0),0)</f>
        <v>0</v>
      </c>
      <c r="AQ589" s="162">
        <f>IFERROR(VLOOKUP($F589&amp;"-"&amp;$J589,#REF!,#REF!+6,0),0)</f>
        <v>0</v>
      </c>
      <c r="AR589" s="163">
        <f t="shared" si="197"/>
        <v>0</v>
      </c>
    </row>
    <row r="590" spans="2:44" x14ac:dyDescent="0.25">
      <c r="B590" s="15" t="s">
        <v>226</v>
      </c>
      <c r="C590" s="83">
        <f t="shared" si="194"/>
        <v>0</v>
      </c>
      <c r="F590" s="148"/>
      <c r="G590" s="149" t="str">
        <f>IFERROR(VLOOKUP(F590,#REF!,2,0),"")</f>
        <v/>
      </c>
      <c r="H590" s="150" t="str">
        <f>IFERROR(VLOOKUP(F590,#REF!,3,0),"")</f>
        <v/>
      </c>
      <c r="I590" s="151"/>
      <c r="J590" s="151"/>
      <c r="K590" s="152"/>
      <c r="L590" s="153"/>
      <c r="M590" s="154"/>
      <c r="N590" s="151"/>
      <c r="O590" s="155"/>
      <c r="P590" s="156"/>
      <c r="Q590" s="156"/>
      <c r="R590" s="156"/>
      <c r="S590" s="156"/>
      <c r="T590" s="156"/>
      <c r="U590" s="156"/>
      <c r="V590" s="156"/>
      <c r="W590" s="156"/>
      <c r="X590" s="156"/>
      <c r="Y590" s="156"/>
      <c r="Z590" s="156"/>
      <c r="AA590" s="156"/>
      <c r="AB590" s="158">
        <f t="shared" si="195"/>
        <v>0</v>
      </c>
      <c r="AC590" s="198"/>
      <c r="AE590" s="160" t="str">
        <f t="shared" si="196"/>
        <v/>
      </c>
      <c r="AF590" s="161">
        <f>IFERROR(VLOOKUP($F590&amp;"-"&amp;$J590,#REF!,#REF!+6,0),0)</f>
        <v>0</v>
      </c>
      <c r="AG590" s="162">
        <f>IFERROR(VLOOKUP($F590&amp;"-"&amp;$J590,#REF!,#REF!+6,0),0)</f>
        <v>0</v>
      </c>
      <c r="AH590" s="162">
        <f>IFERROR(VLOOKUP($F590&amp;"-"&amp;$J590,#REF!,#REF!+6,0),0)</f>
        <v>0</v>
      </c>
      <c r="AI590" s="162">
        <f>IFERROR(VLOOKUP($F590&amp;"-"&amp;$J590,#REF!,#REF!+6,0),0)</f>
        <v>0</v>
      </c>
      <c r="AJ590" s="162">
        <f>IFERROR(VLOOKUP($F590&amp;"-"&amp;$J590,#REF!,#REF!+6,0),0)</f>
        <v>0</v>
      </c>
      <c r="AK590" s="162">
        <f>IFERROR(VLOOKUP($F590&amp;"-"&amp;$J590,#REF!,#REF!+6,0),0)</f>
        <v>0</v>
      </c>
      <c r="AL590" s="162">
        <f>IFERROR(VLOOKUP($F590&amp;"-"&amp;$J590,#REF!,#REF!+6,0),0)</f>
        <v>0</v>
      </c>
      <c r="AM590" s="162">
        <f>IFERROR(VLOOKUP($F590&amp;"-"&amp;$J590,#REF!,#REF!+6,0),0)</f>
        <v>0</v>
      </c>
      <c r="AN590" s="162">
        <f>IFERROR(VLOOKUP($F590&amp;"-"&amp;$J590,#REF!,#REF!+6,0),0)</f>
        <v>0</v>
      </c>
      <c r="AO590" s="162">
        <f>IFERROR(VLOOKUP($F590&amp;"-"&amp;$J590,#REF!,#REF!+6,0),0)</f>
        <v>0</v>
      </c>
      <c r="AP590" s="162">
        <f>IFERROR(VLOOKUP($F590&amp;"-"&amp;$J590,#REF!,#REF!+6,0),0)</f>
        <v>0</v>
      </c>
      <c r="AQ590" s="162">
        <f>IFERROR(VLOOKUP($F590&amp;"-"&amp;$J590,#REF!,#REF!+6,0),0)</f>
        <v>0</v>
      </c>
      <c r="AR590" s="163">
        <f t="shared" si="197"/>
        <v>0</v>
      </c>
    </row>
    <row r="591" spans="2:44" x14ac:dyDescent="0.25">
      <c r="B591" s="15" t="s">
        <v>226</v>
      </c>
      <c r="C591" s="83">
        <f t="shared" si="194"/>
        <v>0</v>
      </c>
      <c r="F591" s="148"/>
      <c r="G591" s="149" t="str">
        <f>IFERROR(VLOOKUP(F591,#REF!,2,0),"")</f>
        <v/>
      </c>
      <c r="H591" s="150" t="str">
        <f>IFERROR(VLOOKUP(F591,#REF!,3,0),"")</f>
        <v/>
      </c>
      <c r="I591" s="151"/>
      <c r="J591" s="151"/>
      <c r="K591" s="152"/>
      <c r="L591" s="153"/>
      <c r="M591" s="154"/>
      <c r="N591" s="151"/>
      <c r="O591" s="155"/>
      <c r="P591" s="156"/>
      <c r="Q591" s="156"/>
      <c r="R591" s="156"/>
      <c r="S591" s="156"/>
      <c r="T591" s="156"/>
      <c r="U591" s="156"/>
      <c r="V591" s="156"/>
      <c r="W591" s="156"/>
      <c r="X591" s="156"/>
      <c r="Y591" s="156"/>
      <c r="Z591" s="156"/>
      <c r="AA591" s="156"/>
      <c r="AB591" s="158">
        <f t="shared" si="195"/>
        <v>0</v>
      </c>
      <c r="AC591" s="198"/>
      <c r="AE591" s="160" t="str">
        <f t="shared" si="196"/>
        <v/>
      </c>
      <c r="AF591" s="161">
        <f>IFERROR(VLOOKUP($F591&amp;"-"&amp;$J591,#REF!,#REF!+6,0),0)</f>
        <v>0</v>
      </c>
      <c r="AG591" s="162">
        <f>IFERROR(VLOOKUP($F591&amp;"-"&amp;$J591,#REF!,#REF!+6,0),0)</f>
        <v>0</v>
      </c>
      <c r="AH591" s="162">
        <f>IFERROR(VLOOKUP($F591&amp;"-"&amp;$J591,#REF!,#REF!+6,0),0)</f>
        <v>0</v>
      </c>
      <c r="AI591" s="162">
        <f>IFERROR(VLOOKUP($F591&amp;"-"&amp;$J591,#REF!,#REF!+6,0),0)</f>
        <v>0</v>
      </c>
      <c r="AJ591" s="162">
        <f>IFERROR(VLOOKUP($F591&amp;"-"&amp;$J591,#REF!,#REF!+6,0),0)</f>
        <v>0</v>
      </c>
      <c r="AK591" s="162">
        <f>IFERROR(VLOOKUP($F591&amp;"-"&amp;$J591,#REF!,#REF!+6,0),0)</f>
        <v>0</v>
      </c>
      <c r="AL591" s="162">
        <f>IFERROR(VLOOKUP($F591&amp;"-"&amp;$J591,#REF!,#REF!+6,0),0)</f>
        <v>0</v>
      </c>
      <c r="AM591" s="162">
        <f>IFERROR(VLOOKUP($F591&amp;"-"&amp;$J591,#REF!,#REF!+6,0),0)</f>
        <v>0</v>
      </c>
      <c r="AN591" s="162">
        <f>IFERROR(VLOOKUP($F591&amp;"-"&amp;$J591,#REF!,#REF!+6,0),0)</f>
        <v>0</v>
      </c>
      <c r="AO591" s="162">
        <f>IFERROR(VLOOKUP($F591&amp;"-"&amp;$J591,#REF!,#REF!+6,0),0)</f>
        <v>0</v>
      </c>
      <c r="AP591" s="162">
        <f>IFERROR(VLOOKUP($F591&amp;"-"&amp;$J591,#REF!,#REF!+6,0),0)</f>
        <v>0</v>
      </c>
      <c r="AQ591" s="162">
        <f>IFERROR(VLOOKUP($F591&amp;"-"&amp;$J591,#REF!,#REF!+6,0),0)</f>
        <v>0</v>
      </c>
      <c r="AR591" s="163">
        <f t="shared" si="197"/>
        <v>0</v>
      </c>
    </row>
    <row r="592" spans="2:44" x14ac:dyDescent="0.25">
      <c r="B592" s="15" t="s">
        <v>226</v>
      </c>
      <c r="C592" s="83">
        <f t="shared" si="194"/>
        <v>0</v>
      </c>
      <c r="F592" s="148"/>
      <c r="G592" s="149" t="str">
        <f>IFERROR(VLOOKUP(F592,#REF!,2,0),"")</f>
        <v/>
      </c>
      <c r="H592" s="150" t="str">
        <f>IFERROR(VLOOKUP(F592,#REF!,3,0),"")</f>
        <v/>
      </c>
      <c r="I592" s="151"/>
      <c r="J592" s="151"/>
      <c r="K592" s="152"/>
      <c r="L592" s="153"/>
      <c r="M592" s="154"/>
      <c r="N592" s="151"/>
      <c r="O592" s="155"/>
      <c r="P592" s="156"/>
      <c r="Q592" s="156"/>
      <c r="R592" s="156"/>
      <c r="S592" s="156"/>
      <c r="T592" s="156"/>
      <c r="U592" s="156"/>
      <c r="V592" s="156"/>
      <c r="W592" s="156"/>
      <c r="X592" s="156"/>
      <c r="Y592" s="156"/>
      <c r="Z592" s="156"/>
      <c r="AA592" s="156"/>
      <c r="AB592" s="158">
        <f t="shared" si="195"/>
        <v>0</v>
      </c>
      <c r="AC592" s="198"/>
      <c r="AE592" s="160" t="str">
        <f t="shared" si="196"/>
        <v/>
      </c>
      <c r="AF592" s="161">
        <f>IFERROR(VLOOKUP($F592&amp;"-"&amp;$J592,#REF!,#REF!+6,0),0)</f>
        <v>0</v>
      </c>
      <c r="AG592" s="162">
        <f>IFERROR(VLOOKUP($F592&amp;"-"&amp;$J592,#REF!,#REF!+6,0),0)</f>
        <v>0</v>
      </c>
      <c r="AH592" s="162">
        <f>IFERROR(VLOOKUP($F592&amp;"-"&amp;$J592,#REF!,#REF!+6,0),0)</f>
        <v>0</v>
      </c>
      <c r="AI592" s="162">
        <f>IFERROR(VLOOKUP($F592&amp;"-"&amp;$J592,#REF!,#REF!+6,0),0)</f>
        <v>0</v>
      </c>
      <c r="AJ592" s="162">
        <f>IFERROR(VLOOKUP($F592&amp;"-"&amp;$J592,#REF!,#REF!+6,0),0)</f>
        <v>0</v>
      </c>
      <c r="AK592" s="162">
        <f>IFERROR(VLOOKUP($F592&amp;"-"&amp;$J592,#REF!,#REF!+6,0),0)</f>
        <v>0</v>
      </c>
      <c r="AL592" s="162">
        <f>IFERROR(VLOOKUP($F592&amp;"-"&amp;$J592,#REF!,#REF!+6,0),0)</f>
        <v>0</v>
      </c>
      <c r="AM592" s="162">
        <f>IFERROR(VLOOKUP($F592&amp;"-"&amp;$J592,#REF!,#REF!+6,0),0)</f>
        <v>0</v>
      </c>
      <c r="AN592" s="162">
        <f>IFERROR(VLOOKUP($F592&amp;"-"&amp;$J592,#REF!,#REF!+6,0),0)</f>
        <v>0</v>
      </c>
      <c r="AO592" s="162">
        <f>IFERROR(VLOOKUP($F592&amp;"-"&amp;$J592,#REF!,#REF!+6,0),0)</f>
        <v>0</v>
      </c>
      <c r="AP592" s="162">
        <f>IFERROR(VLOOKUP($F592&amp;"-"&amp;$J592,#REF!,#REF!+6,0),0)</f>
        <v>0</v>
      </c>
      <c r="AQ592" s="162">
        <f>IFERROR(VLOOKUP($F592&amp;"-"&amp;$J592,#REF!,#REF!+6,0),0)</f>
        <v>0</v>
      </c>
      <c r="AR592" s="163">
        <f t="shared" si="197"/>
        <v>0</v>
      </c>
    </row>
    <row r="593" spans="2:59" x14ac:dyDescent="0.25">
      <c r="B593" s="15" t="s">
        <v>226</v>
      </c>
      <c r="C593" s="83">
        <f t="shared" si="194"/>
        <v>0</v>
      </c>
      <c r="F593" s="148"/>
      <c r="G593" s="149" t="str">
        <f>IFERROR(VLOOKUP(F593,#REF!,2,0),"")</f>
        <v/>
      </c>
      <c r="H593" s="150" t="str">
        <f>IFERROR(VLOOKUP(F593,#REF!,3,0),"")</f>
        <v/>
      </c>
      <c r="I593" s="151"/>
      <c r="J593" s="151"/>
      <c r="K593" s="152"/>
      <c r="L593" s="153"/>
      <c r="M593" s="154"/>
      <c r="N593" s="151"/>
      <c r="O593" s="155"/>
      <c r="P593" s="156"/>
      <c r="Q593" s="156"/>
      <c r="R593" s="156"/>
      <c r="S593" s="156"/>
      <c r="T593" s="156"/>
      <c r="U593" s="156"/>
      <c r="V593" s="156"/>
      <c r="W593" s="156"/>
      <c r="X593" s="156"/>
      <c r="Y593" s="156"/>
      <c r="Z593" s="156"/>
      <c r="AA593" s="156"/>
      <c r="AB593" s="158">
        <f t="shared" si="195"/>
        <v>0</v>
      </c>
      <c r="AC593" s="198"/>
      <c r="AE593" s="160" t="str">
        <f t="shared" si="196"/>
        <v/>
      </c>
      <c r="AF593" s="161">
        <f>IFERROR(VLOOKUP($F593&amp;"-"&amp;$J593,#REF!,#REF!+6,0),0)</f>
        <v>0</v>
      </c>
      <c r="AG593" s="162">
        <f>IFERROR(VLOOKUP($F593&amp;"-"&amp;$J593,#REF!,#REF!+6,0),0)</f>
        <v>0</v>
      </c>
      <c r="AH593" s="162">
        <f>IFERROR(VLOOKUP($F593&amp;"-"&amp;$J593,#REF!,#REF!+6,0),0)</f>
        <v>0</v>
      </c>
      <c r="AI593" s="162">
        <f>IFERROR(VLOOKUP($F593&amp;"-"&amp;$J593,#REF!,#REF!+6,0),0)</f>
        <v>0</v>
      </c>
      <c r="AJ593" s="162">
        <f>IFERROR(VLOOKUP($F593&amp;"-"&amp;$J593,#REF!,#REF!+6,0),0)</f>
        <v>0</v>
      </c>
      <c r="AK593" s="162">
        <f>IFERROR(VLOOKUP($F593&amp;"-"&amp;$J593,#REF!,#REF!+6,0),0)</f>
        <v>0</v>
      </c>
      <c r="AL593" s="162">
        <f>IFERROR(VLOOKUP($F593&amp;"-"&amp;$J593,#REF!,#REF!+6,0),0)</f>
        <v>0</v>
      </c>
      <c r="AM593" s="162">
        <f>IFERROR(VLOOKUP($F593&amp;"-"&amp;$J593,#REF!,#REF!+6,0),0)</f>
        <v>0</v>
      </c>
      <c r="AN593" s="162">
        <f>IFERROR(VLOOKUP($F593&amp;"-"&amp;$J593,#REF!,#REF!+6,0),0)</f>
        <v>0</v>
      </c>
      <c r="AO593" s="162">
        <f>IFERROR(VLOOKUP($F593&amp;"-"&amp;$J593,#REF!,#REF!+6,0),0)</f>
        <v>0</v>
      </c>
      <c r="AP593" s="162">
        <f>IFERROR(VLOOKUP($F593&amp;"-"&amp;$J593,#REF!,#REF!+6,0),0)</f>
        <v>0</v>
      </c>
      <c r="AQ593" s="162">
        <f>IFERROR(VLOOKUP($F593&amp;"-"&amp;$J593,#REF!,#REF!+6,0),0)</f>
        <v>0</v>
      </c>
      <c r="AR593" s="163">
        <f t="shared" si="197"/>
        <v>0</v>
      </c>
    </row>
    <row r="594" spans="2:59" x14ac:dyDescent="0.25">
      <c r="B594" s="15" t="s">
        <v>226</v>
      </c>
      <c r="C594" s="83">
        <f t="shared" si="194"/>
        <v>0</v>
      </c>
      <c r="F594" s="148"/>
      <c r="G594" s="149" t="str">
        <f>IFERROR(VLOOKUP(F594,#REF!,2,0),"")</f>
        <v/>
      </c>
      <c r="H594" s="150" t="str">
        <f>IFERROR(VLOOKUP(F594,#REF!,3,0),"")</f>
        <v/>
      </c>
      <c r="I594" s="151"/>
      <c r="J594" s="151"/>
      <c r="K594" s="152"/>
      <c r="L594" s="153"/>
      <c r="M594" s="154"/>
      <c r="N594" s="151"/>
      <c r="O594" s="155"/>
      <c r="P594" s="156"/>
      <c r="Q594" s="156"/>
      <c r="R594" s="156"/>
      <c r="S594" s="156"/>
      <c r="T594" s="156"/>
      <c r="U594" s="156"/>
      <c r="V594" s="156"/>
      <c r="W594" s="156"/>
      <c r="X594" s="156"/>
      <c r="Y594" s="156"/>
      <c r="Z594" s="156"/>
      <c r="AA594" s="156"/>
      <c r="AB594" s="158">
        <f t="shared" si="195"/>
        <v>0</v>
      </c>
      <c r="AC594" s="198"/>
      <c r="AE594" s="160" t="str">
        <f t="shared" si="196"/>
        <v/>
      </c>
      <c r="AF594" s="161">
        <f>IFERROR(VLOOKUP($F594&amp;"-"&amp;$J594,#REF!,#REF!+6,0),0)</f>
        <v>0</v>
      </c>
      <c r="AG594" s="162">
        <f>IFERROR(VLOOKUP($F594&amp;"-"&amp;$J594,#REF!,#REF!+6,0),0)</f>
        <v>0</v>
      </c>
      <c r="AH594" s="162">
        <f>IFERROR(VLOOKUP($F594&amp;"-"&amp;$J594,#REF!,#REF!+6,0),0)</f>
        <v>0</v>
      </c>
      <c r="AI594" s="162">
        <f>IFERROR(VLOOKUP($F594&amp;"-"&amp;$J594,#REF!,#REF!+6,0),0)</f>
        <v>0</v>
      </c>
      <c r="AJ594" s="162">
        <f>IFERROR(VLOOKUP($F594&amp;"-"&amp;$J594,#REF!,#REF!+6,0),0)</f>
        <v>0</v>
      </c>
      <c r="AK594" s="162">
        <f>IFERROR(VLOOKUP($F594&amp;"-"&amp;$J594,#REF!,#REF!+6,0),0)</f>
        <v>0</v>
      </c>
      <c r="AL594" s="162">
        <f>IFERROR(VLOOKUP($F594&amp;"-"&amp;$J594,#REF!,#REF!+6,0),0)</f>
        <v>0</v>
      </c>
      <c r="AM594" s="162">
        <f>IFERROR(VLOOKUP($F594&amp;"-"&amp;$J594,#REF!,#REF!+6,0),0)</f>
        <v>0</v>
      </c>
      <c r="AN594" s="162">
        <f>IFERROR(VLOOKUP($F594&amp;"-"&amp;$J594,#REF!,#REF!+6,0),0)</f>
        <v>0</v>
      </c>
      <c r="AO594" s="162">
        <f>IFERROR(VLOOKUP($F594&amp;"-"&amp;$J594,#REF!,#REF!+6,0),0)</f>
        <v>0</v>
      </c>
      <c r="AP594" s="162">
        <f>IFERROR(VLOOKUP($F594&amp;"-"&amp;$J594,#REF!,#REF!+6,0),0)</f>
        <v>0</v>
      </c>
      <c r="AQ594" s="162">
        <f>IFERROR(VLOOKUP($F594&amp;"-"&amp;$J594,#REF!,#REF!+6,0),0)</f>
        <v>0</v>
      </c>
      <c r="AR594" s="163">
        <f t="shared" si="197"/>
        <v>0</v>
      </c>
    </row>
    <row r="595" spans="2:59" x14ac:dyDescent="0.25">
      <c r="B595" s="15" t="s">
        <v>226</v>
      </c>
      <c r="C595" s="83">
        <f t="shared" si="194"/>
        <v>0</v>
      </c>
      <c r="F595" s="148"/>
      <c r="G595" s="149" t="str">
        <f>IFERROR(VLOOKUP(F595,#REF!,2,0),"")</f>
        <v/>
      </c>
      <c r="H595" s="150" t="str">
        <f>IFERROR(VLOOKUP(F595,#REF!,3,0),"")</f>
        <v/>
      </c>
      <c r="I595" s="151"/>
      <c r="J595" s="151"/>
      <c r="K595" s="152"/>
      <c r="L595" s="153"/>
      <c r="M595" s="154"/>
      <c r="N595" s="151"/>
      <c r="O595" s="155"/>
      <c r="P595" s="156"/>
      <c r="Q595" s="156"/>
      <c r="R595" s="156"/>
      <c r="S595" s="156"/>
      <c r="T595" s="156"/>
      <c r="U595" s="156"/>
      <c r="V595" s="156"/>
      <c r="W595" s="156"/>
      <c r="X595" s="156"/>
      <c r="Y595" s="156"/>
      <c r="Z595" s="156"/>
      <c r="AA595" s="156"/>
      <c r="AB595" s="158">
        <f t="shared" si="195"/>
        <v>0</v>
      </c>
      <c r="AC595" s="198"/>
      <c r="AE595" s="160" t="str">
        <f t="shared" si="196"/>
        <v/>
      </c>
      <c r="AF595" s="161">
        <f>IFERROR(VLOOKUP($F595&amp;"-"&amp;$J595,#REF!,#REF!+6,0),0)</f>
        <v>0</v>
      </c>
      <c r="AG595" s="162">
        <f>IFERROR(VLOOKUP($F595&amp;"-"&amp;$J595,#REF!,#REF!+6,0),0)</f>
        <v>0</v>
      </c>
      <c r="AH595" s="162">
        <f>IFERROR(VLOOKUP($F595&amp;"-"&amp;$J595,#REF!,#REF!+6,0),0)</f>
        <v>0</v>
      </c>
      <c r="AI595" s="162">
        <f>IFERROR(VLOOKUP($F595&amp;"-"&amp;$J595,#REF!,#REF!+6,0),0)</f>
        <v>0</v>
      </c>
      <c r="AJ595" s="162">
        <f>IFERROR(VLOOKUP($F595&amp;"-"&amp;$J595,#REF!,#REF!+6,0),0)</f>
        <v>0</v>
      </c>
      <c r="AK595" s="162">
        <f>IFERROR(VLOOKUP($F595&amp;"-"&amp;$J595,#REF!,#REF!+6,0),0)</f>
        <v>0</v>
      </c>
      <c r="AL595" s="162">
        <f>IFERROR(VLOOKUP($F595&amp;"-"&amp;$J595,#REF!,#REF!+6,0),0)</f>
        <v>0</v>
      </c>
      <c r="AM595" s="162">
        <f>IFERROR(VLOOKUP($F595&amp;"-"&amp;$J595,#REF!,#REF!+6,0),0)</f>
        <v>0</v>
      </c>
      <c r="AN595" s="162">
        <f>IFERROR(VLOOKUP($F595&amp;"-"&amp;$J595,#REF!,#REF!+6,0),0)</f>
        <v>0</v>
      </c>
      <c r="AO595" s="162">
        <f>IFERROR(VLOOKUP($F595&amp;"-"&amp;$J595,#REF!,#REF!+6,0),0)</f>
        <v>0</v>
      </c>
      <c r="AP595" s="162">
        <f>IFERROR(VLOOKUP($F595&amp;"-"&amp;$J595,#REF!,#REF!+6,0),0)</f>
        <v>0</v>
      </c>
      <c r="AQ595" s="162">
        <f>IFERROR(VLOOKUP($F595&amp;"-"&amp;$J595,#REF!,#REF!+6,0),0)</f>
        <v>0</v>
      </c>
      <c r="AR595" s="163">
        <f t="shared" si="197"/>
        <v>0</v>
      </c>
    </row>
    <row r="596" spans="2:59" x14ac:dyDescent="0.25">
      <c r="B596" s="15" t="s">
        <v>226</v>
      </c>
      <c r="C596" s="83">
        <f t="shared" si="194"/>
        <v>0</v>
      </c>
      <c r="F596" s="164"/>
      <c r="G596" s="149" t="str">
        <f>IFERROR(VLOOKUP(F596,#REF!,2,0),"")</f>
        <v/>
      </c>
      <c r="H596" s="184" t="str">
        <f>IFERROR(VLOOKUP(F596,#REF!,3,0),"")</f>
        <v/>
      </c>
      <c r="I596" s="165"/>
      <c r="J596" s="165"/>
      <c r="K596" s="166"/>
      <c r="L596" s="167"/>
      <c r="M596" s="168"/>
      <c r="N596" s="165"/>
      <c r="O596" s="169"/>
      <c r="P596" s="170"/>
      <c r="Q596" s="170"/>
      <c r="R596" s="170"/>
      <c r="S596" s="170"/>
      <c r="T596" s="170"/>
      <c r="U596" s="170"/>
      <c r="V596" s="170"/>
      <c r="W596" s="170"/>
      <c r="X596" s="170"/>
      <c r="Y596" s="170"/>
      <c r="Z596" s="170"/>
      <c r="AA596" s="170"/>
      <c r="AB596" s="171">
        <f t="shared" si="195"/>
        <v>0</v>
      </c>
      <c r="AC596" s="172"/>
      <c r="AE596" s="173" t="str">
        <f t="shared" si="196"/>
        <v/>
      </c>
      <c r="AF596" s="174">
        <f>IFERROR(VLOOKUP($F596&amp;"-"&amp;$J596,#REF!,#REF!+6,0),0)</f>
        <v>0</v>
      </c>
      <c r="AG596" s="175">
        <f>IFERROR(VLOOKUP($F596&amp;"-"&amp;$J596,#REF!,#REF!+6,0),0)</f>
        <v>0</v>
      </c>
      <c r="AH596" s="175">
        <f>IFERROR(VLOOKUP($F596&amp;"-"&amp;$J596,#REF!,#REF!+6,0),0)</f>
        <v>0</v>
      </c>
      <c r="AI596" s="175">
        <f>IFERROR(VLOOKUP($F596&amp;"-"&amp;$J596,#REF!,#REF!+6,0),0)</f>
        <v>0</v>
      </c>
      <c r="AJ596" s="175">
        <f>IFERROR(VLOOKUP($F596&amp;"-"&amp;$J596,#REF!,#REF!+6,0),0)</f>
        <v>0</v>
      </c>
      <c r="AK596" s="175">
        <f>IFERROR(VLOOKUP($F596&amp;"-"&amp;$J596,#REF!,#REF!+6,0),0)</f>
        <v>0</v>
      </c>
      <c r="AL596" s="175">
        <f>IFERROR(VLOOKUP($F596&amp;"-"&amp;$J596,#REF!,#REF!+6,0),0)</f>
        <v>0</v>
      </c>
      <c r="AM596" s="175">
        <f>IFERROR(VLOOKUP($F596&amp;"-"&amp;$J596,#REF!,#REF!+6,0),0)</f>
        <v>0</v>
      </c>
      <c r="AN596" s="175">
        <f>IFERROR(VLOOKUP($F596&amp;"-"&amp;$J596,#REF!,#REF!+6,0),0)</f>
        <v>0</v>
      </c>
      <c r="AO596" s="175">
        <f>IFERROR(VLOOKUP($F596&amp;"-"&amp;$J596,#REF!,#REF!+6,0),0)</f>
        <v>0</v>
      </c>
      <c r="AP596" s="175">
        <f>IFERROR(VLOOKUP($F596&amp;"-"&amp;$J596,#REF!,#REF!+6,0),0)</f>
        <v>0</v>
      </c>
      <c r="AQ596" s="175">
        <f>IFERROR(VLOOKUP($F596&amp;"-"&amp;$J596,#REF!,#REF!+6,0),0)</f>
        <v>0</v>
      </c>
      <c r="AR596" s="176">
        <f t="shared" si="197"/>
        <v>0</v>
      </c>
    </row>
    <row r="597" spans="2:59" ht="38.25" x14ac:dyDescent="0.25">
      <c r="C597" s="83"/>
      <c r="F597" s="137" t="s">
        <v>228</v>
      </c>
      <c r="G597" s="138"/>
      <c r="H597" s="139" t="s">
        <v>217</v>
      </c>
      <c r="I597" s="139" t="s">
        <v>218</v>
      </c>
      <c r="J597" s="139" t="s">
        <v>229</v>
      </c>
      <c r="K597" s="139" t="s">
        <v>230</v>
      </c>
      <c r="L597" s="143" t="s">
        <v>231</v>
      </c>
      <c r="M597" s="142" t="s">
        <v>232</v>
      </c>
      <c r="N597" s="142" t="s">
        <v>233</v>
      </c>
      <c r="O597" s="143" t="s">
        <v>222</v>
      </c>
      <c r="P597" s="35">
        <v>46113</v>
      </c>
      <c r="Q597" s="35">
        <v>46143</v>
      </c>
      <c r="R597" s="35">
        <v>46174</v>
      </c>
      <c r="S597" s="35">
        <v>46204</v>
      </c>
      <c r="T597" s="35">
        <v>46235</v>
      </c>
      <c r="U597" s="35">
        <v>46266</v>
      </c>
      <c r="V597" s="35">
        <v>46296</v>
      </c>
      <c r="W597" s="35">
        <v>46327</v>
      </c>
      <c r="X597" s="35">
        <v>46357</v>
      </c>
      <c r="Y597" s="35">
        <v>46388</v>
      </c>
      <c r="Z597" s="35">
        <v>46419</v>
      </c>
      <c r="AA597" s="35">
        <v>46447</v>
      </c>
      <c r="AB597" s="177" t="s">
        <v>223</v>
      </c>
      <c r="AC597" s="82" t="s">
        <v>192</v>
      </c>
      <c r="AE597" s="146" t="s">
        <v>222</v>
      </c>
      <c r="AF597" s="147">
        <f t="shared" ref="AF597:AQ597" si="198">P597</f>
        <v>46113</v>
      </c>
      <c r="AG597" s="35">
        <f t="shared" si="198"/>
        <v>46143</v>
      </c>
      <c r="AH597" s="35">
        <f t="shared" si="198"/>
        <v>46174</v>
      </c>
      <c r="AI597" s="35">
        <f t="shared" si="198"/>
        <v>46204</v>
      </c>
      <c r="AJ597" s="35">
        <f t="shared" si="198"/>
        <v>46235</v>
      </c>
      <c r="AK597" s="35">
        <f t="shared" si="198"/>
        <v>46266</v>
      </c>
      <c r="AL597" s="35">
        <f t="shared" si="198"/>
        <v>46296</v>
      </c>
      <c r="AM597" s="35">
        <f t="shared" si="198"/>
        <v>46327</v>
      </c>
      <c r="AN597" s="35">
        <f t="shared" si="198"/>
        <v>46357</v>
      </c>
      <c r="AO597" s="35">
        <f t="shared" si="198"/>
        <v>46388</v>
      </c>
      <c r="AP597" s="35">
        <f t="shared" si="198"/>
        <v>46419</v>
      </c>
      <c r="AQ597" s="35">
        <f t="shared" si="198"/>
        <v>46447</v>
      </c>
      <c r="AR597" s="81" t="s">
        <v>223</v>
      </c>
      <c r="AT597" s="178" t="s">
        <v>231</v>
      </c>
      <c r="AU597" s="35">
        <v>46113</v>
      </c>
      <c r="AV597" s="35">
        <v>46143</v>
      </c>
      <c r="AW597" s="35">
        <v>46174</v>
      </c>
      <c r="AX597" s="35">
        <v>46204</v>
      </c>
      <c r="AY597" s="35">
        <v>46235</v>
      </c>
      <c r="AZ597" s="35">
        <v>46266</v>
      </c>
      <c r="BA597" s="35">
        <v>46296</v>
      </c>
      <c r="BB597" s="35">
        <v>46327</v>
      </c>
      <c r="BC597" s="35">
        <v>46357</v>
      </c>
      <c r="BD597" s="35">
        <v>46388</v>
      </c>
      <c r="BE597" s="35">
        <v>46419</v>
      </c>
      <c r="BF597" s="35">
        <v>46447</v>
      </c>
      <c r="BG597" s="179" t="s">
        <v>225</v>
      </c>
    </row>
    <row r="598" spans="2:59" x14ac:dyDescent="0.25">
      <c r="B598" s="15" t="str">
        <f t="shared" ref="B598:B638" si="199">"IND_OPER_"&amp;F598&amp;"_"&amp;J598</f>
        <v>IND_OPER_1018_</v>
      </c>
      <c r="C598" s="83" t="str">
        <f t="shared" si="194"/>
        <v>PLANCP</v>
      </c>
      <c r="D598" s="15" t="str">
        <f>IFERROR("QTD_REC_"&amp;VLOOKUP($J598,#REF!,7,0),"")</f>
        <v/>
      </c>
      <c r="F598" s="148">
        <v>1018</v>
      </c>
      <c r="G598" s="149" t="str">
        <f>IFERROR(VLOOKUP(F598,#REF!,2,0),"")</f>
        <v/>
      </c>
      <c r="H598" s="150" t="str">
        <f>IFERROR(VLOOKUP(F598,#REF!,3,0),"")</f>
        <v/>
      </c>
      <c r="I598" s="151" t="s">
        <v>275</v>
      </c>
      <c r="J598" s="151"/>
      <c r="K598" s="150" t="str">
        <f>IFERROR(VLOOKUP($J598,#REF!,2,0),"")</f>
        <v/>
      </c>
      <c r="L598" s="150" t="str">
        <f t="shared" ref="L598:L638" si="200">IF(K598="","",IF(H598=K598,K598,H598&amp;"/"&amp;K598))</f>
        <v/>
      </c>
      <c r="M598" s="154"/>
      <c r="N598" s="182"/>
      <c r="O598" s="155">
        <v>1</v>
      </c>
      <c r="P598" s="236">
        <v>300</v>
      </c>
      <c r="Q598" s="236">
        <v>110</v>
      </c>
      <c r="R598" s="156">
        <v>0</v>
      </c>
      <c r="S598" s="156">
        <v>0</v>
      </c>
      <c r="T598" s="156">
        <v>80</v>
      </c>
      <c r="U598" s="156">
        <v>330</v>
      </c>
      <c r="V598" s="156">
        <v>330</v>
      </c>
      <c r="W598" s="156">
        <v>50</v>
      </c>
      <c r="X598" s="156">
        <v>0</v>
      </c>
      <c r="Y598" s="156">
        <v>0</v>
      </c>
      <c r="Z598" s="156">
        <v>200</v>
      </c>
      <c r="AA598" s="156">
        <v>400</v>
      </c>
      <c r="AB598" s="158">
        <f t="shared" ref="AB598:AB638" si="201">SUM(P598:AA598)</f>
        <v>1800</v>
      </c>
      <c r="AC598" s="159"/>
      <c r="AE598" s="160" t="str">
        <f>IF(J598="","",J598&amp;" - "&amp;K598&amp;" ("&amp;F598&amp;" - "&amp;G598&amp;")")</f>
        <v/>
      </c>
      <c r="AF598" s="161">
        <f>IFERROR(P598/AU598,0)</f>
        <v>0</v>
      </c>
      <c r="AG598" s="162">
        <f t="shared" ref="AG598:AQ598" si="202">IFERROR(Q598/AV598,0)</f>
        <v>0</v>
      </c>
      <c r="AH598" s="162">
        <f t="shared" si="202"/>
        <v>0</v>
      </c>
      <c r="AI598" s="162">
        <f t="shared" si="202"/>
        <v>0</v>
      </c>
      <c r="AJ598" s="162">
        <f t="shared" si="202"/>
        <v>0</v>
      </c>
      <c r="AK598" s="162">
        <f t="shared" si="202"/>
        <v>0</v>
      </c>
      <c r="AL598" s="162">
        <f t="shared" si="202"/>
        <v>0</v>
      </c>
      <c r="AM598" s="162">
        <f t="shared" si="202"/>
        <v>0</v>
      </c>
      <c r="AN598" s="162">
        <f t="shared" si="202"/>
        <v>0</v>
      </c>
      <c r="AO598" s="162">
        <f t="shared" si="202"/>
        <v>0</v>
      </c>
      <c r="AP598" s="162">
        <f t="shared" si="202"/>
        <v>0</v>
      </c>
      <c r="AQ598" s="162">
        <f t="shared" si="202"/>
        <v>0</v>
      </c>
      <c r="AR598" s="163">
        <f>SUM(AF598:AQ598)</f>
        <v>0</v>
      </c>
      <c r="AT598" s="181" t="str">
        <f>L598</f>
        <v/>
      </c>
      <c r="AU598" s="156">
        <f>M598</f>
        <v>0</v>
      </c>
      <c r="AV598" s="156">
        <f>AU598</f>
        <v>0</v>
      </c>
      <c r="AW598" s="156">
        <f t="shared" ref="AW598:BF613" si="203">AV598</f>
        <v>0</v>
      </c>
      <c r="AX598" s="156">
        <f t="shared" si="203"/>
        <v>0</v>
      </c>
      <c r="AY598" s="156">
        <f t="shared" si="203"/>
        <v>0</v>
      </c>
      <c r="AZ598" s="156">
        <f t="shared" si="203"/>
        <v>0</v>
      </c>
      <c r="BA598" s="156">
        <f t="shared" si="203"/>
        <v>0</v>
      </c>
      <c r="BB598" s="156">
        <f t="shared" si="203"/>
        <v>0</v>
      </c>
      <c r="BC598" s="156">
        <f t="shared" si="203"/>
        <v>0</v>
      </c>
      <c r="BD598" s="156">
        <f t="shared" si="203"/>
        <v>0</v>
      </c>
      <c r="BE598" s="156">
        <f t="shared" si="203"/>
        <v>0</v>
      </c>
      <c r="BF598" s="156">
        <f t="shared" si="203"/>
        <v>0</v>
      </c>
      <c r="BG598" s="158">
        <f>IFERROR(SUM(AU598:BF598)/COUNTIF(AU598:BF598,"&gt;0"),0)</f>
        <v>0</v>
      </c>
    </row>
    <row r="599" spans="2:59" x14ac:dyDescent="0.25">
      <c r="B599" s="15" t="str">
        <f t="shared" si="199"/>
        <v>IND_OPER_1023_</v>
      </c>
      <c r="C599" s="83" t="str">
        <f t="shared" si="194"/>
        <v>PLANCP</v>
      </c>
      <c r="D599" s="15" t="str">
        <f>IFERROR("QTD_REC_"&amp;VLOOKUP($J599,#REF!,7,0),"")</f>
        <v/>
      </c>
      <c r="F599" s="148">
        <v>1023</v>
      </c>
      <c r="G599" s="149" t="str">
        <f>IFERROR(VLOOKUP(F599,#REF!,2,0),"")</f>
        <v/>
      </c>
      <c r="H599" s="150" t="str">
        <f>IFERROR(VLOOKUP(F599,#REF!,3,0),"")</f>
        <v/>
      </c>
      <c r="I599" s="151" t="s">
        <v>275</v>
      </c>
      <c r="J599" s="151"/>
      <c r="K599" s="150" t="str">
        <f>IFERROR(VLOOKUP($J599,#REF!,2,0),"")</f>
        <v/>
      </c>
      <c r="L599" s="150" t="str">
        <f t="shared" si="200"/>
        <v/>
      </c>
      <c r="M599" s="154"/>
      <c r="N599" s="182"/>
      <c r="O599" s="155">
        <v>1</v>
      </c>
      <c r="P599" s="236">
        <v>300</v>
      </c>
      <c r="Q599" s="236">
        <v>110</v>
      </c>
      <c r="R599" s="156">
        <v>0</v>
      </c>
      <c r="S599" s="156">
        <v>0</v>
      </c>
      <c r="T599" s="156">
        <v>80</v>
      </c>
      <c r="U599" s="156">
        <v>330</v>
      </c>
      <c r="V599" s="156">
        <v>330</v>
      </c>
      <c r="W599" s="156">
        <v>50</v>
      </c>
      <c r="X599" s="156">
        <v>0</v>
      </c>
      <c r="Y599" s="156">
        <v>0</v>
      </c>
      <c r="Z599" s="156">
        <v>200</v>
      </c>
      <c r="AA599" s="156">
        <v>400</v>
      </c>
      <c r="AB599" s="158">
        <f t="shared" si="201"/>
        <v>1800</v>
      </c>
      <c r="AC599" s="159"/>
      <c r="AE599" s="160" t="str">
        <f t="shared" ref="AE599:AE638" si="204">IF(J599="","",J599&amp;" - "&amp;K599&amp;" ("&amp;F599&amp;" - "&amp;G599&amp;")")</f>
        <v/>
      </c>
      <c r="AF599" s="161">
        <f t="shared" ref="AF599:AQ614" si="205">IFERROR(P599/AU599,0)</f>
        <v>0</v>
      </c>
      <c r="AG599" s="162">
        <f t="shared" si="205"/>
        <v>0</v>
      </c>
      <c r="AH599" s="162">
        <f t="shared" si="205"/>
        <v>0</v>
      </c>
      <c r="AI599" s="162">
        <f t="shared" si="205"/>
        <v>0</v>
      </c>
      <c r="AJ599" s="162">
        <f t="shared" si="205"/>
        <v>0</v>
      </c>
      <c r="AK599" s="162">
        <f t="shared" si="205"/>
        <v>0</v>
      </c>
      <c r="AL599" s="162">
        <f t="shared" si="205"/>
        <v>0</v>
      </c>
      <c r="AM599" s="162">
        <f t="shared" si="205"/>
        <v>0</v>
      </c>
      <c r="AN599" s="162">
        <f t="shared" si="205"/>
        <v>0</v>
      </c>
      <c r="AO599" s="162">
        <f t="shared" si="205"/>
        <v>0</v>
      </c>
      <c r="AP599" s="162">
        <f t="shared" si="205"/>
        <v>0</v>
      </c>
      <c r="AQ599" s="162">
        <f t="shared" si="205"/>
        <v>0</v>
      </c>
      <c r="AR599" s="163">
        <f t="shared" ref="AR599:AR638" si="206">SUM(AF599:AQ599)</f>
        <v>0</v>
      </c>
      <c r="AT599" s="181" t="str">
        <f t="shared" ref="AT599:AU638" si="207">L599</f>
        <v/>
      </c>
      <c r="AU599" s="156">
        <f t="shared" si="207"/>
        <v>0</v>
      </c>
      <c r="AV599" s="156">
        <f t="shared" ref="AV599:BF635" si="208">AU599</f>
        <v>0</v>
      </c>
      <c r="AW599" s="156">
        <f t="shared" si="203"/>
        <v>0</v>
      </c>
      <c r="AX599" s="156">
        <f t="shared" si="203"/>
        <v>0</v>
      </c>
      <c r="AY599" s="156">
        <f t="shared" si="203"/>
        <v>0</v>
      </c>
      <c r="AZ599" s="156">
        <f t="shared" si="203"/>
        <v>0</v>
      </c>
      <c r="BA599" s="156">
        <f t="shared" si="203"/>
        <v>0</v>
      </c>
      <c r="BB599" s="156">
        <f t="shared" si="203"/>
        <v>0</v>
      </c>
      <c r="BC599" s="156">
        <f t="shared" si="203"/>
        <v>0</v>
      </c>
      <c r="BD599" s="156">
        <f t="shared" si="203"/>
        <v>0</v>
      </c>
      <c r="BE599" s="156">
        <f t="shared" si="203"/>
        <v>0</v>
      </c>
      <c r="BF599" s="156">
        <f t="shared" si="203"/>
        <v>0</v>
      </c>
      <c r="BG599" s="158">
        <f t="shared" ref="BG599:BG638" si="209">IFERROR(SUM(AU599:BF599)/COUNTIF(AU599:BF599,"&gt;0"),0)</f>
        <v>0</v>
      </c>
    </row>
    <row r="600" spans="2:59" x14ac:dyDescent="0.25">
      <c r="B600" s="15" t="str">
        <f t="shared" si="199"/>
        <v>IND_OPER_1018_</v>
      </c>
      <c r="C600" s="83" t="str">
        <f t="shared" si="194"/>
        <v>PLANCF</v>
      </c>
      <c r="D600" s="15" t="str">
        <f>IFERROR("QTD_REC_"&amp;VLOOKUP($J600,#REF!,7,0),"")</f>
        <v/>
      </c>
      <c r="F600" s="148">
        <v>1018</v>
      </c>
      <c r="G600" s="149" t="str">
        <f>IFERROR(VLOOKUP(F600,#REF!,2,0),"")</f>
        <v/>
      </c>
      <c r="H600" s="150" t="str">
        <f>IFERROR(VLOOKUP(F600,#REF!,3,0),"")</f>
        <v/>
      </c>
      <c r="I600" s="151" t="s">
        <v>276</v>
      </c>
      <c r="J600" s="151"/>
      <c r="K600" s="150" t="str">
        <f>IFERROR(VLOOKUP($J600,#REF!,2,0),"")</f>
        <v/>
      </c>
      <c r="L600" s="150" t="str">
        <f t="shared" si="200"/>
        <v/>
      </c>
      <c r="M600" s="154"/>
      <c r="N600" s="182"/>
      <c r="O600" s="155">
        <v>1</v>
      </c>
      <c r="P600" s="156">
        <v>0</v>
      </c>
      <c r="Q600" s="156">
        <v>0</v>
      </c>
      <c r="R600" s="156">
        <v>0</v>
      </c>
      <c r="S600" s="156">
        <v>0</v>
      </c>
      <c r="T600" s="156">
        <v>0</v>
      </c>
      <c r="U600" s="156">
        <v>0</v>
      </c>
      <c r="V600" s="156">
        <v>0</v>
      </c>
      <c r="W600" s="156">
        <v>0</v>
      </c>
      <c r="X600" s="156">
        <v>0</v>
      </c>
      <c r="Y600" s="156">
        <v>0</v>
      </c>
      <c r="Z600" s="156">
        <v>0</v>
      </c>
      <c r="AA600" s="156">
        <v>0</v>
      </c>
      <c r="AB600" s="158">
        <f>SUM(P600:AA600)</f>
        <v>0</v>
      </c>
      <c r="AC600" s="159"/>
      <c r="AE600" s="160" t="str">
        <f t="shared" si="204"/>
        <v/>
      </c>
      <c r="AF600" s="161">
        <f t="shared" si="205"/>
        <v>0</v>
      </c>
      <c r="AG600" s="162">
        <f t="shared" si="205"/>
        <v>0</v>
      </c>
      <c r="AH600" s="162">
        <f t="shared" si="205"/>
        <v>0</v>
      </c>
      <c r="AI600" s="162">
        <f t="shared" si="205"/>
        <v>0</v>
      </c>
      <c r="AJ600" s="162">
        <f t="shared" si="205"/>
        <v>0</v>
      </c>
      <c r="AK600" s="162">
        <f t="shared" si="205"/>
        <v>0</v>
      </c>
      <c r="AL600" s="162">
        <f t="shared" si="205"/>
        <v>0</v>
      </c>
      <c r="AM600" s="162">
        <f t="shared" si="205"/>
        <v>0</v>
      </c>
      <c r="AN600" s="162">
        <f t="shared" si="205"/>
        <v>0</v>
      </c>
      <c r="AO600" s="162">
        <f t="shared" si="205"/>
        <v>0</v>
      </c>
      <c r="AP600" s="162">
        <f t="shared" si="205"/>
        <v>0</v>
      </c>
      <c r="AQ600" s="162">
        <f t="shared" si="205"/>
        <v>0</v>
      </c>
      <c r="AR600" s="163">
        <f t="shared" si="206"/>
        <v>0</v>
      </c>
      <c r="AT600" s="181" t="str">
        <f t="shared" si="207"/>
        <v/>
      </c>
      <c r="AU600" s="156">
        <f t="shared" si="207"/>
        <v>0</v>
      </c>
      <c r="AV600" s="156">
        <f t="shared" si="208"/>
        <v>0</v>
      </c>
      <c r="AW600" s="156">
        <f t="shared" si="203"/>
        <v>0</v>
      </c>
      <c r="AX600" s="156">
        <f t="shared" si="203"/>
        <v>0</v>
      </c>
      <c r="AY600" s="156">
        <f t="shared" si="203"/>
        <v>0</v>
      </c>
      <c r="AZ600" s="156">
        <f t="shared" si="203"/>
        <v>0</v>
      </c>
      <c r="BA600" s="156">
        <f t="shared" si="203"/>
        <v>0</v>
      </c>
      <c r="BB600" s="156">
        <f t="shared" si="203"/>
        <v>0</v>
      </c>
      <c r="BC600" s="156">
        <f t="shared" si="203"/>
        <v>0</v>
      </c>
      <c r="BD600" s="156">
        <f t="shared" si="203"/>
        <v>0</v>
      </c>
      <c r="BE600" s="156">
        <f t="shared" si="203"/>
        <v>0</v>
      </c>
      <c r="BF600" s="156">
        <f t="shared" si="203"/>
        <v>0</v>
      </c>
      <c r="BG600" s="158">
        <f t="shared" si="209"/>
        <v>0</v>
      </c>
    </row>
    <row r="601" spans="2:59" x14ac:dyDescent="0.25">
      <c r="B601" s="15" t="str">
        <f t="shared" si="199"/>
        <v>IND_OPER_1023_</v>
      </c>
      <c r="C601" s="83" t="str">
        <f t="shared" si="194"/>
        <v>PLANCF</v>
      </c>
      <c r="D601" s="15" t="str">
        <f>IFERROR("QTD_REC_"&amp;VLOOKUP($J601,#REF!,7,0),"")</f>
        <v/>
      </c>
      <c r="F601" s="148">
        <v>1023</v>
      </c>
      <c r="G601" s="149" t="str">
        <f>IFERROR(VLOOKUP(F601,#REF!,2,0),"")</f>
        <v/>
      </c>
      <c r="H601" s="150" t="str">
        <f>IFERROR(VLOOKUP(F601,#REF!,3,0),"")</f>
        <v/>
      </c>
      <c r="I601" s="151" t="s">
        <v>276</v>
      </c>
      <c r="J601" s="151"/>
      <c r="K601" s="150" t="str">
        <f>IFERROR(VLOOKUP($J601,#REF!,2,0),"")</f>
        <v/>
      </c>
      <c r="L601" s="150" t="str">
        <f t="shared" si="200"/>
        <v/>
      </c>
      <c r="M601" s="154"/>
      <c r="N601" s="182"/>
      <c r="O601" s="155">
        <v>1</v>
      </c>
      <c r="P601" s="156">
        <v>0</v>
      </c>
      <c r="Q601" s="156">
        <v>0</v>
      </c>
      <c r="R601" s="156">
        <v>0</v>
      </c>
      <c r="S601" s="156">
        <v>0</v>
      </c>
      <c r="T601" s="156">
        <v>0</v>
      </c>
      <c r="U601" s="156">
        <v>0</v>
      </c>
      <c r="V601" s="156">
        <v>0</v>
      </c>
      <c r="W601" s="156">
        <v>0</v>
      </c>
      <c r="X601" s="156">
        <v>0</v>
      </c>
      <c r="Y601" s="156">
        <v>0</v>
      </c>
      <c r="Z601" s="156">
        <v>0</v>
      </c>
      <c r="AA601" s="156">
        <v>0</v>
      </c>
      <c r="AB601" s="158">
        <f t="shared" si="201"/>
        <v>0</v>
      </c>
      <c r="AC601" s="159"/>
      <c r="AE601" s="160" t="str">
        <f t="shared" si="204"/>
        <v/>
      </c>
      <c r="AF601" s="161">
        <f t="shared" si="205"/>
        <v>0</v>
      </c>
      <c r="AG601" s="162">
        <f t="shared" si="205"/>
        <v>0</v>
      </c>
      <c r="AH601" s="162">
        <f t="shared" si="205"/>
        <v>0</v>
      </c>
      <c r="AI601" s="162">
        <f t="shared" si="205"/>
        <v>0</v>
      </c>
      <c r="AJ601" s="162">
        <f t="shared" si="205"/>
        <v>0</v>
      </c>
      <c r="AK601" s="162">
        <f t="shared" si="205"/>
        <v>0</v>
      </c>
      <c r="AL601" s="162">
        <f t="shared" si="205"/>
        <v>0</v>
      </c>
      <c r="AM601" s="162">
        <f t="shared" si="205"/>
        <v>0</v>
      </c>
      <c r="AN601" s="162">
        <f t="shared" si="205"/>
        <v>0</v>
      </c>
      <c r="AO601" s="162">
        <f t="shared" si="205"/>
        <v>0</v>
      </c>
      <c r="AP601" s="162">
        <f t="shared" si="205"/>
        <v>0</v>
      </c>
      <c r="AQ601" s="162">
        <f t="shared" si="205"/>
        <v>0</v>
      </c>
      <c r="AR601" s="163">
        <f t="shared" si="206"/>
        <v>0</v>
      </c>
      <c r="AT601" s="181" t="str">
        <f t="shared" si="207"/>
        <v/>
      </c>
      <c r="AU601" s="156">
        <f t="shared" si="207"/>
        <v>0</v>
      </c>
      <c r="AV601" s="156">
        <f t="shared" si="208"/>
        <v>0</v>
      </c>
      <c r="AW601" s="156">
        <f t="shared" si="203"/>
        <v>0</v>
      </c>
      <c r="AX601" s="156">
        <f t="shared" si="203"/>
        <v>0</v>
      </c>
      <c r="AY601" s="156">
        <f t="shared" si="203"/>
        <v>0</v>
      </c>
      <c r="AZ601" s="156">
        <f t="shared" si="203"/>
        <v>0</v>
      </c>
      <c r="BA601" s="156">
        <f t="shared" si="203"/>
        <v>0</v>
      </c>
      <c r="BB601" s="156">
        <f t="shared" si="203"/>
        <v>0</v>
      </c>
      <c r="BC601" s="156">
        <f t="shared" si="203"/>
        <v>0</v>
      </c>
      <c r="BD601" s="156">
        <f t="shared" si="203"/>
        <v>0</v>
      </c>
      <c r="BE601" s="156">
        <f t="shared" si="203"/>
        <v>0</v>
      </c>
      <c r="BF601" s="156">
        <f t="shared" si="203"/>
        <v>0</v>
      </c>
      <c r="BG601" s="158">
        <f t="shared" si="209"/>
        <v>0</v>
      </c>
    </row>
    <row r="602" spans="2:59" x14ac:dyDescent="0.25">
      <c r="B602" s="15" t="str">
        <f t="shared" si="199"/>
        <v>IND_OPER_1044_</v>
      </c>
      <c r="C602" s="83" t="str">
        <f t="shared" si="194"/>
        <v>PLANMP</v>
      </c>
      <c r="D602" s="15" t="str">
        <f>IFERROR("QTD_REC_"&amp;VLOOKUP($J602,#REF!,7,0),"")</f>
        <v/>
      </c>
      <c r="F602" s="148">
        <v>1044</v>
      </c>
      <c r="G602" s="149" t="str">
        <f>IFERROR(VLOOKUP(F602,#REF!,2,0),"")</f>
        <v/>
      </c>
      <c r="H602" s="150" t="str">
        <f>IFERROR(VLOOKUP(F602,#REF!,3,0),"")</f>
        <v/>
      </c>
      <c r="I602" s="151" t="s">
        <v>277</v>
      </c>
      <c r="J602" s="151"/>
      <c r="K602" s="150" t="str">
        <f>IFERROR(VLOOKUP($J602,#REF!,2,0),"")</f>
        <v/>
      </c>
      <c r="L602" s="150" t="str">
        <f t="shared" si="200"/>
        <v/>
      </c>
      <c r="M602" s="154"/>
      <c r="N602" s="182"/>
      <c r="O602" s="155">
        <v>1</v>
      </c>
      <c r="P602" s="156">
        <v>0</v>
      </c>
      <c r="Q602" s="156">
        <v>0</v>
      </c>
      <c r="R602" s="156">
        <v>0</v>
      </c>
      <c r="S602" s="156">
        <v>0</v>
      </c>
      <c r="T602" s="156">
        <v>0</v>
      </c>
      <c r="U602" s="156">
        <v>0</v>
      </c>
      <c r="V602" s="156">
        <v>0</v>
      </c>
      <c r="W602" s="156">
        <v>0</v>
      </c>
      <c r="X602" s="156">
        <v>0</v>
      </c>
      <c r="Y602" s="156">
        <v>0</v>
      </c>
      <c r="Z602" s="156">
        <v>0</v>
      </c>
      <c r="AA602" s="156">
        <v>200</v>
      </c>
      <c r="AB602" s="158">
        <f>SUM(P602:AA602)</f>
        <v>200</v>
      </c>
      <c r="AC602" s="159"/>
      <c r="AE602" s="160" t="str">
        <f t="shared" si="204"/>
        <v/>
      </c>
      <c r="AF602" s="161">
        <f t="shared" si="205"/>
        <v>0</v>
      </c>
      <c r="AG602" s="162">
        <f t="shared" si="205"/>
        <v>0</v>
      </c>
      <c r="AH602" s="162">
        <f t="shared" si="205"/>
        <v>0</v>
      </c>
      <c r="AI602" s="162">
        <f t="shared" si="205"/>
        <v>0</v>
      </c>
      <c r="AJ602" s="162">
        <f t="shared" si="205"/>
        <v>0</v>
      </c>
      <c r="AK602" s="162">
        <f t="shared" si="205"/>
        <v>0</v>
      </c>
      <c r="AL602" s="162">
        <f t="shared" si="205"/>
        <v>0</v>
      </c>
      <c r="AM602" s="162">
        <f t="shared" si="205"/>
        <v>0</v>
      </c>
      <c r="AN602" s="162">
        <f t="shared" si="205"/>
        <v>0</v>
      </c>
      <c r="AO602" s="162">
        <f t="shared" si="205"/>
        <v>0</v>
      </c>
      <c r="AP602" s="162">
        <f t="shared" si="205"/>
        <v>0</v>
      </c>
      <c r="AQ602" s="162">
        <f t="shared" si="205"/>
        <v>0</v>
      </c>
      <c r="AR602" s="163">
        <f t="shared" si="206"/>
        <v>0</v>
      </c>
      <c r="AT602" s="181" t="str">
        <f t="shared" si="207"/>
        <v/>
      </c>
      <c r="AU602" s="156">
        <f t="shared" si="207"/>
        <v>0</v>
      </c>
      <c r="AV602" s="156">
        <f t="shared" si="208"/>
        <v>0</v>
      </c>
      <c r="AW602" s="156">
        <f t="shared" si="203"/>
        <v>0</v>
      </c>
      <c r="AX602" s="156">
        <f t="shared" si="203"/>
        <v>0</v>
      </c>
      <c r="AY602" s="156">
        <f t="shared" si="203"/>
        <v>0</v>
      </c>
      <c r="AZ602" s="156">
        <f t="shared" si="203"/>
        <v>0</v>
      </c>
      <c r="BA602" s="156">
        <f t="shared" si="203"/>
        <v>0</v>
      </c>
      <c r="BB602" s="156">
        <f t="shared" si="203"/>
        <v>0</v>
      </c>
      <c r="BC602" s="156">
        <f t="shared" si="203"/>
        <v>0</v>
      </c>
      <c r="BD602" s="156">
        <f t="shared" si="203"/>
        <v>0</v>
      </c>
      <c r="BE602" s="156">
        <f t="shared" si="203"/>
        <v>0</v>
      </c>
      <c r="BF602" s="156">
        <f t="shared" si="203"/>
        <v>0</v>
      </c>
      <c r="BG602" s="158">
        <f t="shared" si="209"/>
        <v>0</v>
      </c>
    </row>
    <row r="603" spans="2:59" x14ac:dyDescent="0.25">
      <c r="B603" s="15" t="str">
        <f t="shared" si="199"/>
        <v>IND_OPER_1033_</v>
      </c>
      <c r="C603" s="83" t="str">
        <f t="shared" si="194"/>
        <v>PLANCP</v>
      </c>
      <c r="D603" s="15" t="str">
        <f>IFERROR("QTD_REC_"&amp;VLOOKUP($J603,#REF!,7,0),"")</f>
        <v/>
      </c>
      <c r="F603" s="148">
        <v>1033</v>
      </c>
      <c r="G603" s="149" t="str">
        <f>IFERROR(VLOOKUP(F603,#REF!,2,0),"")</f>
        <v/>
      </c>
      <c r="H603" s="150" t="str">
        <f>IFERROR(VLOOKUP(F603,#REF!,3,0),"")</f>
        <v/>
      </c>
      <c r="I603" s="151" t="s">
        <v>275</v>
      </c>
      <c r="J603" s="151"/>
      <c r="K603" s="150" t="str">
        <f>IFERROR(VLOOKUP($J603,#REF!,2,0),"")</f>
        <v/>
      </c>
      <c r="L603" s="150" t="str">
        <f t="shared" si="200"/>
        <v/>
      </c>
      <c r="M603" s="154"/>
      <c r="N603" s="182"/>
      <c r="O603" s="155">
        <v>1</v>
      </c>
      <c r="P603" s="156">
        <v>0</v>
      </c>
      <c r="Q603" s="156">
        <v>0</v>
      </c>
      <c r="R603" s="156">
        <v>0</v>
      </c>
      <c r="S603" s="156">
        <v>0</v>
      </c>
      <c r="T603" s="156">
        <v>0</v>
      </c>
      <c r="U603" s="156">
        <v>0</v>
      </c>
      <c r="V603" s="156">
        <v>0</v>
      </c>
      <c r="W603" s="156">
        <v>0</v>
      </c>
      <c r="X603" s="156">
        <v>0</v>
      </c>
      <c r="Y603" s="156">
        <v>0</v>
      </c>
      <c r="Z603" s="156">
        <v>0</v>
      </c>
      <c r="AA603" s="156">
        <v>200</v>
      </c>
      <c r="AB603" s="158">
        <f t="shared" si="201"/>
        <v>200</v>
      </c>
      <c r="AC603" s="159"/>
      <c r="AE603" s="160" t="str">
        <f t="shared" si="204"/>
        <v/>
      </c>
      <c r="AF603" s="161">
        <f t="shared" si="205"/>
        <v>0</v>
      </c>
      <c r="AG603" s="162">
        <f t="shared" si="205"/>
        <v>0</v>
      </c>
      <c r="AH603" s="162">
        <f t="shared" si="205"/>
        <v>0</v>
      </c>
      <c r="AI603" s="162">
        <f t="shared" si="205"/>
        <v>0</v>
      </c>
      <c r="AJ603" s="162">
        <f t="shared" si="205"/>
        <v>0</v>
      </c>
      <c r="AK603" s="162">
        <f t="shared" si="205"/>
        <v>0</v>
      </c>
      <c r="AL603" s="162">
        <f t="shared" si="205"/>
        <v>0</v>
      </c>
      <c r="AM603" s="162">
        <f t="shared" si="205"/>
        <v>0</v>
      </c>
      <c r="AN603" s="162">
        <f t="shared" si="205"/>
        <v>0</v>
      </c>
      <c r="AO603" s="162">
        <f t="shared" si="205"/>
        <v>0</v>
      </c>
      <c r="AP603" s="162">
        <f t="shared" si="205"/>
        <v>0</v>
      </c>
      <c r="AQ603" s="162">
        <f t="shared" si="205"/>
        <v>0</v>
      </c>
      <c r="AR603" s="163">
        <f t="shared" si="206"/>
        <v>0</v>
      </c>
      <c r="AT603" s="181" t="str">
        <f t="shared" si="207"/>
        <v/>
      </c>
      <c r="AU603" s="156">
        <f t="shared" si="207"/>
        <v>0</v>
      </c>
      <c r="AV603" s="156">
        <f t="shared" si="208"/>
        <v>0</v>
      </c>
      <c r="AW603" s="156">
        <f t="shared" si="203"/>
        <v>0</v>
      </c>
      <c r="AX603" s="156">
        <f t="shared" si="203"/>
        <v>0</v>
      </c>
      <c r="AY603" s="156">
        <f t="shared" si="203"/>
        <v>0</v>
      </c>
      <c r="AZ603" s="156">
        <f t="shared" si="203"/>
        <v>0</v>
      </c>
      <c r="BA603" s="156">
        <f t="shared" si="203"/>
        <v>0</v>
      </c>
      <c r="BB603" s="156">
        <f t="shared" si="203"/>
        <v>0</v>
      </c>
      <c r="BC603" s="156">
        <f t="shared" si="203"/>
        <v>0</v>
      </c>
      <c r="BD603" s="156">
        <f t="shared" si="203"/>
        <v>0</v>
      </c>
      <c r="BE603" s="156">
        <f t="shared" si="203"/>
        <v>0</v>
      </c>
      <c r="BF603" s="156">
        <f t="shared" si="203"/>
        <v>0</v>
      </c>
      <c r="BG603" s="158">
        <f t="shared" si="209"/>
        <v>0</v>
      </c>
    </row>
    <row r="604" spans="2:59" x14ac:dyDescent="0.25">
      <c r="B604" s="15" t="str">
        <f t="shared" si="199"/>
        <v>IND_OPER__</v>
      </c>
      <c r="C604" s="83">
        <f t="shared" si="194"/>
        <v>0</v>
      </c>
      <c r="D604" s="15" t="str">
        <f>IFERROR("QTD_REC_"&amp;VLOOKUP($J604,#REF!,7,0),"")</f>
        <v/>
      </c>
      <c r="F604" s="148"/>
      <c r="G604" s="149" t="str">
        <f>IFERROR(VLOOKUP(F604,#REF!,2,0),"")</f>
        <v/>
      </c>
      <c r="H604" s="150" t="str">
        <f>IFERROR(VLOOKUP(F604,#REF!,3,0),"")</f>
        <v/>
      </c>
      <c r="I604" s="151"/>
      <c r="J604" s="151"/>
      <c r="K604" s="150" t="str">
        <f>IFERROR(VLOOKUP($J604,#REF!,2,0),"")</f>
        <v/>
      </c>
      <c r="L604" s="150" t="str">
        <f t="shared" si="200"/>
        <v/>
      </c>
      <c r="M604" s="154"/>
      <c r="N604" s="182"/>
      <c r="O604" s="155"/>
      <c r="P604" s="156"/>
      <c r="Q604" s="156"/>
      <c r="R604" s="156"/>
      <c r="S604" s="156"/>
      <c r="T604" s="156"/>
      <c r="U604" s="156"/>
      <c r="V604" s="156"/>
      <c r="W604" s="156"/>
      <c r="X604" s="156"/>
      <c r="Y604" s="156"/>
      <c r="Z604" s="156"/>
      <c r="AA604" s="156"/>
      <c r="AB604" s="158">
        <f t="shared" si="201"/>
        <v>0</v>
      </c>
      <c r="AC604" s="159"/>
      <c r="AE604" s="160" t="str">
        <f t="shared" si="204"/>
        <v/>
      </c>
      <c r="AF604" s="161">
        <f t="shared" si="205"/>
        <v>0</v>
      </c>
      <c r="AG604" s="162">
        <f t="shared" si="205"/>
        <v>0</v>
      </c>
      <c r="AH604" s="162">
        <f t="shared" si="205"/>
        <v>0</v>
      </c>
      <c r="AI604" s="162">
        <f t="shared" si="205"/>
        <v>0</v>
      </c>
      <c r="AJ604" s="162">
        <f t="shared" si="205"/>
        <v>0</v>
      </c>
      <c r="AK604" s="162">
        <f t="shared" si="205"/>
        <v>0</v>
      </c>
      <c r="AL604" s="162">
        <f t="shared" si="205"/>
        <v>0</v>
      </c>
      <c r="AM604" s="162">
        <f t="shared" si="205"/>
        <v>0</v>
      </c>
      <c r="AN604" s="162">
        <f t="shared" si="205"/>
        <v>0</v>
      </c>
      <c r="AO604" s="162">
        <f t="shared" si="205"/>
        <v>0</v>
      </c>
      <c r="AP604" s="162">
        <f t="shared" si="205"/>
        <v>0</v>
      </c>
      <c r="AQ604" s="162">
        <f t="shared" si="205"/>
        <v>0</v>
      </c>
      <c r="AR604" s="163">
        <f t="shared" si="206"/>
        <v>0</v>
      </c>
      <c r="AT604" s="181" t="str">
        <f t="shared" si="207"/>
        <v/>
      </c>
      <c r="AU604" s="156">
        <f t="shared" si="207"/>
        <v>0</v>
      </c>
      <c r="AV604" s="156">
        <f t="shared" si="208"/>
        <v>0</v>
      </c>
      <c r="AW604" s="156">
        <f t="shared" si="203"/>
        <v>0</v>
      </c>
      <c r="AX604" s="156">
        <f t="shared" si="203"/>
        <v>0</v>
      </c>
      <c r="AY604" s="156">
        <f t="shared" si="203"/>
        <v>0</v>
      </c>
      <c r="AZ604" s="156">
        <f t="shared" si="203"/>
        <v>0</v>
      </c>
      <c r="BA604" s="156">
        <f t="shared" si="203"/>
        <v>0</v>
      </c>
      <c r="BB604" s="156">
        <f t="shared" si="203"/>
        <v>0</v>
      </c>
      <c r="BC604" s="156">
        <f t="shared" si="203"/>
        <v>0</v>
      </c>
      <c r="BD604" s="156">
        <f t="shared" si="203"/>
        <v>0</v>
      </c>
      <c r="BE604" s="156">
        <f t="shared" si="203"/>
        <v>0</v>
      </c>
      <c r="BF604" s="156">
        <f t="shared" si="203"/>
        <v>0</v>
      </c>
      <c r="BG604" s="158">
        <f t="shared" si="209"/>
        <v>0</v>
      </c>
    </row>
    <row r="605" spans="2:59" x14ac:dyDescent="0.25">
      <c r="B605" s="15" t="str">
        <f t="shared" si="199"/>
        <v>IND_OPER__</v>
      </c>
      <c r="C605" s="83">
        <f t="shared" si="194"/>
        <v>0</v>
      </c>
      <c r="D605" s="15" t="str">
        <f>IFERROR("QTD_REC_"&amp;VLOOKUP($J605,#REF!,7,0),"")</f>
        <v/>
      </c>
      <c r="F605" s="148"/>
      <c r="G605" s="149" t="str">
        <f>IFERROR(VLOOKUP(F605,#REF!,2,0),"")</f>
        <v/>
      </c>
      <c r="H605" s="150" t="str">
        <f>IFERROR(VLOOKUP(F605,#REF!,3,0),"")</f>
        <v/>
      </c>
      <c r="I605" s="151"/>
      <c r="J605" s="151"/>
      <c r="K605" s="150" t="str">
        <f>IFERROR(VLOOKUP($J605,#REF!,2,0),"")</f>
        <v/>
      </c>
      <c r="L605" s="150" t="str">
        <f t="shared" si="200"/>
        <v/>
      </c>
      <c r="M605" s="154"/>
      <c r="N605" s="182"/>
      <c r="O605" s="155"/>
      <c r="P605" s="156"/>
      <c r="Q605" s="156"/>
      <c r="R605" s="156"/>
      <c r="S605" s="156"/>
      <c r="T605" s="156"/>
      <c r="U605" s="156"/>
      <c r="V605" s="156"/>
      <c r="W605" s="156"/>
      <c r="X605" s="156"/>
      <c r="Y605" s="156"/>
      <c r="Z605" s="156"/>
      <c r="AA605" s="156"/>
      <c r="AB605" s="158">
        <f t="shared" si="201"/>
        <v>0</v>
      </c>
      <c r="AC605" s="159"/>
      <c r="AE605" s="160" t="str">
        <f t="shared" si="204"/>
        <v/>
      </c>
      <c r="AF605" s="161">
        <f t="shared" si="205"/>
        <v>0</v>
      </c>
      <c r="AG605" s="162">
        <f t="shared" si="205"/>
        <v>0</v>
      </c>
      <c r="AH605" s="162">
        <f t="shared" si="205"/>
        <v>0</v>
      </c>
      <c r="AI605" s="162">
        <f t="shared" si="205"/>
        <v>0</v>
      </c>
      <c r="AJ605" s="162">
        <f t="shared" si="205"/>
        <v>0</v>
      </c>
      <c r="AK605" s="162">
        <f t="shared" si="205"/>
        <v>0</v>
      </c>
      <c r="AL605" s="162">
        <f t="shared" si="205"/>
        <v>0</v>
      </c>
      <c r="AM605" s="162">
        <f t="shared" si="205"/>
        <v>0</v>
      </c>
      <c r="AN605" s="162">
        <f t="shared" si="205"/>
        <v>0</v>
      </c>
      <c r="AO605" s="162">
        <f t="shared" si="205"/>
        <v>0</v>
      </c>
      <c r="AP605" s="162">
        <f t="shared" si="205"/>
        <v>0</v>
      </c>
      <c r="AQ605" s="162">
        <f t="shared" si="205"/>
        <v>0</v>
      </c>
      <c r="AR605" s="163">
        <f t="shared" si="206"/>
        <v>0</v>
      </c>
      <c r="AT605" s="181" t="str">
        <f t="shared" si="207"/>
        <v/>
      </c>
      <c r="AU605" s="156">
        <f t="shared" si="207"/>
        <v>0</v>
      </c>
      <c r="AV605" s="156">
        <f t="shared" si="208"/>
        <v>0</v>
      </c>
      <c r="AW605" s="156">
        <f t="shared" si="203"/>
        <v>0</v>
      </c>
      <c r="AX605" s="156">
        <f t="shared" si="203"/>
        <v>0</v>
      </c>
      <c r="AY605" s="156">
        <f t="shared" si="203"/>
        <v>0</v>
      </c>
      <c r="AZ605" s="156">
        <f t="shared" si="203"/>
        <v>0</v>
      </c>
      <c r="BA605" s="156">
        <f t="shared" si="203"/>
        <v>0</v>
      </c>
      <c r="BB605" s="156">
        <f t="shared" si="203"/>
        <v>0</v>
      </c>
      <c r="BC605" s="156">
        <f t="shared" si="203"/>
        <v>0</v>
      </c>
      <c r="BD605" s="156">
        <f t="shared" si="203"/>
        <v>0</v>
      </c>
      <c r="BE605" s="156">
        <f t="shared" si="203"/>
        <v>0</v>
      </c>
      <c r="BF605" s="156">
        <f t="shared" si="203"/>
        <v>0</v>
      </c>
      <c r="BG605" s="158">
        <f t="shared" si="209"/>
        <v>0</v>
      </c>
    </row>
    <row r="606" spans="2:59" x14ac:dyDescent="0.25">
      <c r="B606" s="15" t="str">
        <f t="shared" si="199"/>
        <v>IND_OPER__</v>
      </c>
      <c r="C606" s="83">
        <f t="shared" si="194"/>
        <v>0</v>
      </c>
      <c r="D606" s="15" t="str">
        <f>IFERROR("QTD_REC_"&amp;VLOOKUP($J606,#REF!,7,0),"")</f>
        <v/>
      </c>
      <c r="F606" s="148"/>
      <c r="G606" s="149" t="str">
        <f>IFERROR(VLOOKUP(F606,#REF!,2,0),"")</f>
        <v/>
      </c>
      <c r="H606" s="150" t="str">
        <f>IFERROR(VLOOKUP(F606,#REF!,3,0),"")</f>
        <v/>
      </c>
      <c r="I606" s="151"/>
      <c r="J606" s="151"/>
      <c r="K606" s="150" t="str">
        <f>IFERROR(VLOOKUP($J606,#REF!,2,0),"")</f>
        <v/>
      </c>
      <c r="L606" s="150" t="str">
        <f t="shared" si="200"/>
        <v/>
      </c>
      <c r="M606" s="154"/>
      <c r="N606" s="182"/>
      <c r="O606" s="155"/>
      <c r="P606" s="156"/>
      <c r="Q606" s="156"/>
      <c r="R606" s="156"/>
      <c r="S606" s="156"/>
      <c r="T606" s="156"/>
      <c r="U606" s="156"/>
      <c r="V606" s="156"/>
      <c r="W606" s="156"/>
      <c r="X606" s="156"/>
      <c r="Y606" s="156"/>
      <c r="Z606" s="156"/>
      <c r="AA606" s="156"/>
      <c r="AB606" s="158">
        <f t="shared" si="201"/>
        <v>0</v>
      </c>
      <c r="AC606" s="159"/>
      <c r="AE606" s="160" t="str">
        <f t="shared" si="204"/>
        <v/>
      </c>
      <c r="AF606" s="161">
        <f t="shared" si="205"/>
        <v>0</v>
      </c>
      <c r="AG606" s="162">
        <f t="shared" si="205"/>
        <v>0</v>
      </c>
      <c r="AH606" s="162">
        <f t="shared" si="205"/>
        <v>0</v>
      </c>
      <c r="AI606" s="162">
        <f t="shared" si="205"/>
        <v>0</v>
      </c>
      <c r="AJ606" s="162">
        <f t="shared" si="205"/>
        <v>0</v>
      </c>
      <c r="AK606" s="162">
        <f t="shared" si="205"/>
        <v>0</v>
      </c>
      <c r="AL606" s="162">
        <f t="shared" si="205"/>
        <v>0</v>
      </c>
      <c r="AM606" s="162">
        <f t="shared" si="205"/>
        <v>0</v>
      </c>
      <c r="AN606" s="162">
        <f t="shared" si="205"/>
        <v>0</v>
      </c>
      <c r="AO606" s="162">
        <f t="shared" si="205"/>
        <v>0</v>
      </c>
      <c r="AP606" s="162">
        <f t="shared" si="205"/>
        <v>0</v>
      </c>
      <c r="AQ606" s="162">
        <f t="shared" si="205"/>
        <v>0</v>
      </c>
      <c r="AR606" s="163">
        <f t="shared" si="206"/>
        <v>0</v>
      </c>
      <c r="AT606" s="181" t="str">
        <f t="shared" si="207"/>
        <v/>
      </c>
      <c r="AU606" s="156">
        <f t="shared" si="207"/>
        <v>0</v>
      </c>
      <c r="AV606" s="156">
        <f t="shared" si="208"/>
        <v>0</v>
      </c>
      <c r="AW606" s="156">
        <f t="shared" si="203"/>
        <v>0</v>
      </c>
      <c r="AX606" s="156">
        <f t="shared" si="203"/>
        <v>0</v>
      </c>
      <c r="AY606" s="156">
        <f t="shared" si="203"/>
        <v>0</v>
      </c>
      <c r="AZ606" s="156">
        <f t="shared" si="203"/>
        <v>0</v>
      </c>
      <c r="BA606" s="156">
        <f t="shared" si="203"/>
        <v>0</v>
      </c>
      <c r="BB606" s="156">
        <f t="shared" si="203"/>
        <v>0</v>
      </c>
      <c r="BC606" s="156">
        <f t="shared" si="203"/>
        <v>0</v>
      </c>
      <c r="BD606" s="156">
        <f t="shared" si="203"/>
        <v>0</v>
      </c>
      <c r="BE606" s="156">
        <f t="shared" si="203"/>
        <v>0</v>
      </c>
      <c r="BF606" s="156">
        <f t="shared" si="203"/>
        <v>0</v>
      </c>
      <c r="BG606" s="158">
        <f t="shared" si="209"/>
        <v>0</v>
      </c>
    </row>
    <row r="607" spans="2:59" x14ac:dyDescent="0.25">
      <c r="B607" s="15" t="str">
        <f t="shared" si="199"/>
        <v>IND_OPER__</v>
      </c>
      <c r="C607" s="83">
        <f t="shared" si="194"/>
        <v>0</v>
      </c>
      <c r="D607" s="15" t="str">
        <f>IFERROR("QTD_REC_"&amp;VLOOKUP($J607,#REF!,7,0),"")</f>
        <v/>
      </c>
      <c r="F607" s="148"/>
      <c r="G607" s="149" t="str">
        <f>IFERROR(VLOOKUP(F607,#REF!,2,0),"")</f>
        <v/>
      </c>
      <c r="H607" s="150" t="str">
        <f>IFERROR(VLOOKUP(F607,#REF!,3,0),"")</f>
        <v/>
      </c>
      <c r="I607" s="151"/>
      <c r="J607" s="151"/>
      <c r="K607" s="150" t="str">
        <f>IFERROR(VLOOKUP($J607,#REF!,2,0),"")</f>
        <v/>
      </c>
      <c r="L607" s="150" t="str">
        <f t="shared" si="200"/>
        <v/>
      </c>
      <c r="M607" s="154"/>
      <c r="N607" s="182"/>
      <c r="O607" s="155"/>
      <c r="P607" s="156"/>
      <c r="Q607" s="156"/>
      <c r="R607" s="156"/>
      <c r="S607" s="156"/>
      <c r="T607" s="156"/>
      <c r="U607" s="156"/>
      <c r="V607" s="156"/>
      <c r="W607" s="156"/>
      <c r="X607" s="156"/>
      <c r="Y607" s="156"/>
      <c r="Z607" s="156"/>
      <c r="AA607" s="156"/>
      <c r="AB607" s="158">
        <f t="shared" si="201"/>
        <v>0</v>
      </c>
      <c r="AC607" s="159"/>
      <c r="AE607" s="160" t="str">
        <f t="shared" si="204"/>
        <v/>
      </c>
      <c r="AF607" s="161">
        <f t="shared" si="205"/>
        <v>0</v>
      </c>
      <c r="AG607" s="162">
        <f t="shared" si="205"/>
        <v>0</v>
      </c>
      <c r="AH607" s="162">
        <f t="shared" si="205"/>
        <v>0</v>
      </c>
      <c r="AI607" s="162">
        <f t="shared" si="205"/>
        <v>0</v>
      </c>
      <c r="AJ607" s="162">
        <f t="shared" si="205"/>
        <v>0</v>
      </c>
      <c r="AK607" s="162">
        <f t="shared" si="205"/>
        <v>0</v>
      </c>
      <c r="AL607" s="162">
        <f t="shared" si="205"/>
        <v>0</v>
      </c>
      <c r="AM607" s="162">
        <f t="shared" si="205"/>
        <v>0</v>
      </c>
      <c r="AN607" s="162">
        <f t="shared" si="205"/>
        <v>0</v>
      </c>
      <c r="AO607" s="162">
        <f t="shared" si="205"/>
        <v>0</v>
      </c>
      <c r="AP607" s="162">
        <f t="shared" si="205"/>
        <v>0</v>
      </c>
      <c r="AQ607" s="162">
        <f t="shared" si="205"/>
        <v>0</v>
      </c>
      <c r="AR607" s="163">
        <f t="shared" si="206"/>
        <v>0</v>
      </c>
      <c r="AT607" s="181" t="str">
        <f t="shared" si="207"/>
        <v/>
      </c>
      <c r="AU607" s="156">
        <f t="shared" si="207"/>
        <v>0</v>
      </c>
      <c r="AV607" s="156">
        <f t="shared" si="208"/>
        <v>0</v>
      </c>
      <c r="AW607" s="156">
        <f t="shared" si="203"/>
        <v>0</v>
      </c>
      <c r="AX607" s="156">
        <f t="shared" si="203"/>
        <v>0</v>
      </c>
      <c r="AY607" s="156">
        <f t="shared" si="203"/>
        <v>0</v>
      </c>
      <c r="AZ607" s="156">
        <f t="shared" si="203"/>
        <v>0</v>
      </c>
      <c r="BA607" s="156">
        <f t="shared" si="203"/>
        <v>0</v>
      </c>
      <c r="BB607" s="156">
        <f t="shared" si="203"/>
        <v>0</v>
      </c>
      <c r="BC607" s="156">
        <f t="shared" si="203"/>
        <v>0</v>
      </c>
      <c r="BD607" s="156">
        <f t="shared" si="203"/>
        <v>0</v>
      </c>
      <c r="BE607" s="156">
        <f t="shared" si="203"/>
        <v>0</v>
      </c>
      <c r="BF607" s="156">
        <f t="shared" si="203"/>
        <v>0</v>
      </c>
      <c r="BG607" s="158">
        <f t="shared" si="209"/>
        <v>0</v>
      </c>
    </row>
    <row r="608" spans="2:59" x14ac:dyDescent="0.25">
      <c r="B608" s="15" t="str">
        <f t="shared" si="199"/>
        <v>IND_OPER__</v>
      </c>
      <c r="C608" s="83">
        <f t="shared" si="194"/>
        <v>0</v>
      </c>
      <c r="D608" s="15" t="str">
        <f>IFERROR("QTD_REC_"&amp;VLOOKUP($J608,#REF!,7,0),"")</f>
        <v/>
      </c>
      <c r="F608" s="148"/>
      <c r="G608" s="149" t="str">
        <f>IFERROR(VLOOKUP(F608,#REF!,2,0),"")</f>
        <v/>
      </c>
      <c r="H608" s="150" t="str">
        <f>IFERROR(VLOOKUP(F608,#REF!,3,0),"")</f>
        <v/>
      </c>
      <c r="I608" s="151"/>
      <c r="J608" s="151"/>
      <c r="K608" s="150" t="str">
        <f>IFERROR(VLOOKUP($J608,#REF!,2,0),"")</f>
        <v/>
      </c>
      <c r="L608" s="150" t="str">
        <f t="shared" si="200"/>
        <v/>
      </c>
      <c r="M608" s="154"/>
      <c r="N608" s="182"/>
      <c r="O608" s="155"/>
      <c r="P608" s="156"/>
      <c r="Q608" s="156"/>
      <c r="R608" s="156"/>
      <c r="S608" s="156"/>
      <c r="T608" s="156"/>
      <c r="U608" s="156"/>
      <c r="V608" s="156"/>
      <c r="W608" s="156"/>
      <c r="X608" s="156"/>
      <c r="Y608" s="156"/>
      <c r="Z608" s="156"/>
      <c r="AA608" s="156"/>
      <c r="AB608" s="158">
        <f t="shared" si="201"/>
        <v>0</v>
      </c>
      <c r="AC608" s="159"/>
      <c r="AE608" s="160" t="str">
        <f t="shared" si="204"/>
        <v/>
      </c>
      <c r="AF608" s="161">
        <f t="shared" si="205"/>
        <v>0</v>
      </c>
      <c r="AG608" s="162">
        <f t="shared" si="205"/>
        <v>0</v>
      </c>
      <c r="AH608" s="162">
        <f t="shared" si="205"/>
        <v>0</v>
      </c>
      <c r="AI608" s="162">
        <f t="shared" si="205"/>
        <v>0</v>
      </c>
      <c r="AJ608" s="162">
        <f t="shared" si="205"/>
        <v>0</v>
      </c>
      <c r="AK608" s="162">
        <f t="shared" si="205"/>
        <v>0</v>
      </c>
      <c r="AL608" s="162">
        <f t="shared" si="205"/>
        <v>0</v>
      </c>
      <c r="AM608" s="162">
        <f t="shared" si="205"/>
        <v>0</v>
      </c>
      <c r="AN608" s="162">
        <f t="shared" si="205"/>
        <v>0</v>
      </c>
      <c r="AO608" s="162">
        <f t="shared" si="205"/>
        <v>0</v>
      </c>
      <c r="AP608" s="162">
        <f t="shared" si="205"/>
        <v>0</v>
      </c>
      <c r="AQ608" s="162">
        <f t="shared" si="205"/>
        <v>0</v>
      </c>
      <c r="AR608" s="163">
        <f t="shared" si="206"/>
        <v>0</v>
      </c>
      <c r="AT608" s="181" t="str">
        <f t="shared" si="207"/>
        <v/>
      </c>
      <c r="AU608" s="156">
        <f t="shared" si="207"/>
        <v>0</v>
      </c>
      <c r="AV608" s="156">
        <f t="shared" si="208"/>
        <v>0</v>
      </c>
      <c r="AW608" s="156">
        <f t="shared" si="203"/>
        <v>0</v>
      </c>
      <c r="AX608" s="156">
        <f t="shared" si="203"/>
        <v>0</v>
      </c>
      <c r="AY608" s="156">
        <f t="shared" si="203"/>
        <v>0</v>
      </c>
      <c r="AZ608" s="156">
        <f t="shared" si="203"/>
        <v>0</v>
      </c>
      <c r="BA608" s="156">
        <f t="shared" si="203"/>
        <v>0</v>
      </c>
      <c r="BB608" s="156">
        <f t="shared" si="203"/>
        <v>0</v>
      </c>
      <c r="BC608" s="156">
        <f t="shared" si="203"/>
        <v>0</v>
      </c>
      <c r="BD608" s="156">
        <f t="shared" si="203"/>
        <v>0</v>
      </c>
      <c r="BE608" s="156">
        <f t="shared" si="203"/>
        <v>0</v>
      </c>
      <c r="BF608" s="156">
        <f t="shared" si="203"/>
        <v>0</v>
      </c>
      <c r="BG608" s="158">
        <f t="shared" si="209"/>
        <v>0</v>
      </c>
    </row>
    <row r="609" spans="1:59" x14ac:dyDescent="0.25">
      <c r="B609" s="15" t="str">
        <f t="shared" si="199"/>
        <v>IND_OPER__</v>
      </c>
      <c r="C609" s="83">
        <f t="shared" si="194"/>
        <v>0</v>
      </c>
      <c r="D609" s="15" t="str">
        <f>IFERROR("QTD_REC_"&amp;VLOOKUP($J609,#REF!,7,0),"")</f>
        <v/>
      </c>
      <c r="F609" s="148"/>
      <c r="G609" s="149" t="str">
        <f>IFERROR(VLOOKUP(F609,#REF!,2,0),"")</f>
        <v/>
      </c>
      <c r="H609" s="150" t="str">
        <f>IFERROR(VLOOKUP(F609,#REF!,3,0),"")</f>
        <v/>
      </c>
      <c r="I609" s="151"/>
      <c r="J609" s="151"/>
      <c r="K609" s="150" t="str">
        <f>IFERROR(VLOOKUP($J609,#REF!,2,0),"")</f>
        <v/>
      </c>
      <c r="L609" s="150" t="str">
        <f t="shared" si="200"/>
        <v/>
      </c>
      <c r="M609" s="154"/>
      <c r="N609" s="182"/>
      <c r="O609" s="155"/>
      <c r="P609" s="156"/>
      <c r="Q609" s="156"/>
      <c r="R609" s="156"/>
      <c r="S609" s="156"/>
      <c r="T609" s="156"/>
      <c r="U609" s="156"/>
      <c r="V609" s="156"/>
      <c r="W609" s="156"/>
      <c r="X609" s="156"/>
      <c r="Y609" s="156"/>
      <c r="Z609" s="156"/>
      <c r="AA609" s="156"/>
      <c r="AB609" s="158">
        <f t="shared" si="201"/>
        <v>0</v>
      </c>
      <c r="AC609" s="159"/>
      <c r="AE609" s="160" t="str">
        <f t="shared" si="204"/>
        <v/>
      </c>
      <c r="AF609" s="161">
        <f t="shared" si="205"/>
        <v>0</v>
      </c>
      <c r="AG609" s="162">
        <f t="shared" si="205"/>
        <v>0</v>
      </c>
      <c r="AH609" s="162">
        <f t="shared" si="205"/>
        <v>0</v>
      </c>
      <c r="AI609" s="162">
        <f t="shared" si="205"/>
        <v>0</v>
      </c>
      <c r="AJ609" s="162">
        <f t="shared" si="205"/>
        <v>0</v>
      </c>
      <c r="AK609" s="162">
        <f t="shared" si="205"/>
        <v>0</v>
      </c>
      <c r="AL609" s="162">
        <f t="shared" si="205"/>
        <v>0</v>
      </c>
      <c r="AM609" s="162">
        <f t="shared" si="205"/>
        <v>0</v>
      </c>
      <c r="AN609" s="162">
        <f t="shared" si="205"/>
        <v>0</v>
      </c>
      <c r="AO609" s="162">
        <f t="shared" si="205"/>
        <v>0</v>
      </c>
      <c r="AP609" s="162">
        <f t="shared" si="205"/>
        <v>0</v>
      </c>
      <c r="AQ609" s="162">
        <f t="shared" si="205"/>
        <v>0</v>
      </c>
      <c r="AR609" s="163">
        <f t="shared" si="206"/>
        <v>0</v>
      </c>
      <c r="AT609" s="181" t="str">
        <f t="shared" si="207"/>
        <v/>
      </c>
      <c r="AU609" s="156">
        <f t="shared" si="207"/>
        <v>0</v>
      </c>
      <c r="AV609" s="156">
        <f t="shared" si="208"/>
        <v>0</v>
      </c>
      <c r="AW609" s="156">
        <f t="shared" si="203"/>
        <v>0</v>
      </c>
      <c r="AX609" s="156">
        <f t="shared" si="203"/>
        <v>0</v>
      </c>
      <c r="AY609" s="156">
        <f t="shared" si="203"/>
        <v>0</v>
      </c>
      <c r="AZ609" s="156">
        <f t="shared" si="203"/>
        <v>0</v>
      </c>
      <c r="BA609" s="156">
        <f t="shared" si="203"/>
        <v>0</v>
      </c>
      <c r="BB609" s="156">
        <f t="shared" si="203"/>
        <v>0</v>
      </c>
      <c r="BC609" s="156">
        <f t="shared" si="203"/>
        <v>0</v>
      </c>
      <c r="BD609" s="156">
        <f t="shared" si="203"/>
        <v>0</v>
      </c>
      <c r="BE609" s="156">
        <f t="shared" si="203"/>
        <v>0</v>
      </c>
      <c r="BF609" s="156">
        <f t="shared" si="203"/>
        <v>0</v>
      </c>
      <c r="BG609" s="158">
        <f t="shared" si="209"/>
        <v>0</v>
      </c>
    </row>
    <row r="610" spans="1:59" x14ac:dyDescent="0.25">
      <c r="B610" s="15" t="str">
        <f t="shared" si="199"/>
        <v>IND_OPER__</v>
      </c>
      <c r="C610" s="83">
        <f t="shared" si="194"/>
        <v>0</v>
      </c>
      <c r="D610" s="15" t="str">
        <f>IFERROR("QTD_REC_"&amp;VLOOKUP($J610,#REF!,7,0),"")</f>
        <v/>
      </c>
      <c r="F610" s="148"/>
      <c r="G610" s="149" t="str">
        <f>IFERROR(VLOOKUP(F610,#REF!,2,0),"")</f>
        <v/>
      </c>
      <c r="H610" s="150" t="str">
        <f>IFERROR(VLOOKUP(F610,#REF!,3,0),"")</f>
        <v/>
      </c>
      <c r="I610" s="151"/>
      <c r="J610" s="151"/>
      <c r="K610" s="150" t="str">
        <f>IFERROR(VLOOKUP($J610,#REF!,2,0),"")</f>
        <v/>
      </c>
      <c r="L610" s="150" t="str">
        <f t="shared" si="200"/>
        <v/>
      </c>
      <c r="M610" s="154"/>
      <c r="N610" s="182"/>
      <c r="O610" s="155"/>
      <c r="P610" s="156"/>
      <c r="Q610" s="156"/>
      <c r="R610" s="156"/>
      <c r="S610" s="156"/>
      <c r="T610" s="156"/>
      <c r="U610" s="156"/>
      <c r="V610" s="156"/>
      <c r="W610" s="156"/>
      <c r="X610" s="156"/>
      <c r="Y610" s="156"/>
      <c r="Z610" s="156"/>
      <c r="AA610" s="156"/>
      <c r="AB610" s="158">
        <f t="shared" si="201"/>
        <v>0</v>
      </c>
      <c r="AC610" s="159"/>
      <c r="AE610" s="160" t="str">
        <f t="shared" si="204"/>
        <v/>
      </c>
      <c r="AF610" s="161">
        <f t="shared" si="205"/>
        <v>0</v>
      </c>
      <c r="AG610" s="162">
        <f t="shared" si="205"/>
        <v>0</v>
      </c>
      <c r="AH610" s="162">
        <f t="shared" si="205"/>
        <v>0</v>
      </c>
      <c r="AI610" s="162">
        <f t="shared" si="205"/>
        <v>0</v>
      </c>
      <c r="AJ610" s="162">
        <f t="shared" si="205"/>
        <v>0</v>
      </c>
      <c r="AK610" s="162">
        <f t="shared" si="205"/>
        <v>0</v>
      </c>
      <c r="AL610" s="162">
        <f t="shared" si="205"/>
        <v>0</v>
      </c>
      <c r="AM610" s="162">
        <f t="shared" si="205"/>
        <v>0</v>
      </c>
      <c r="AN610" s="162">
        <f t="shared" si="205"/>
        <v>0</v>
      </c>
      <c r="AO610" s="162">
        <f t="shared" si="205"/>
        <v>0</v>
      </c>
      <c r="AP610" s="162">
        <f t="shared" si="205"/>
        <v>0</v>
      </c>
      <c r="AQ610" s="162">
        <f t="shared" si="205"/>
        <v>0</v>
      </c>
      <c r="AR610" s="163">
        <f t="shared" si="206"/>
        <v>0</v>
      </c>
      <c r="AT610" s="181" t="str">
        <f t="shared" si="207"/>
        <v/>
      </c>
      <c r="AU610" s="156">
        <f t="shared" si="207"/>
        <v>0</v>
      </c>
      <c r="AV610" s="156">
        <f t="shared" si="208"/>
        <v>0</v>
      </c>
      <c r="AW610" s="156">
        <f t="shared" si="203"/>
        <v>0</v>
      </c>
      <c r="AX610" s="156">
        <f t="shared" si="203"/>
        <v>0</v>
      </c>
      <c r="AY610" s="156">
        <f t="shared" si="203"/>
        <v>0</v>
      </c>
      <c r="AZ610" s="156">
        <f t="shared" si="203"/>
        <v>0</v>
      </c>
      <c r="BA610" s="156">
        <f t="shared" si="203"/>
        <v>0</v>
      </c>
      <c r="BB610" s="156">
        <f t="shared" si="203"/>
        <v>0</v>
      </c>
      <c r="BC610" s="156">
        <f t="shared" si="203"/>
        <v>0</v>
      </c>
      <c r="BD610" s="156">
        <f t="shared" si="203"/>
        <v>0</v>
      </c>
      <c r="BE610" s="156">
        <f t="shared" si="203"/>
        <v>0</v>
      </c>
      <c r="BF610" s="156">
        <f t="shared" si="203"/>
        <v>0</v>
      </c>
      <c r="BG610" s="158">
        <f t="shared" si="209"/>
        <v>0</v>
      </c>
    </row>
    <row r="611" spans="1:59" x14ac:dyDescent="0.25">
      <c r="B611" s="15" t="str">
        <f t="shared" si="199"/>
        <v>IND_OPER__</v>
      </c>
      <c r="C611" s="83">
        <f t="shared" si="194"/>
        <v>0</v>
      </c>
      <c r="D611" s="15" t="str">
        <f>IFERROR("QTD_REC_"&amp;VLOOKUP($J611,#REF!,7,0),"")</f>
        <v/>
      </c>
      <c r="F611" s="148"/>
      <c r="G611" s="149" t="str">
        <f>IFERROR(VLOOKUP(F611,#REF!,2,0),"")</f>
        <v/>
      </c>
      <c r="H611" s="150" t="str">
        <f>IFERROR(VLOOKUP(F611,#REF!,3,0),"")</f>
        <v/>
      </c>
      <c r="I611" s="151"/>
      <c r="J611" s="151"/>
      <c r="K611" s="150" t="str">
        <f>IFERROR(VLOOKUP($J611,#REF!,2,0),"")</f>
        <v/>
      </c>
      <c r="L611" s="150" t="str">
        <f t="shared" si="200"/>
        <v/>
      </c>
      <c r="M611" s="154"/>
      <c r="N611" s="182"/>
      <c r="O611" s="155"/>
      <c r="P611" s="156"/>
      <c r="Q611" s="156"/>
      <c r="R611" s="156"/>
      <c r="S611" s="156"/>
      <c r="T611" s="156"/>
      <c r="U611" s="156"/>
      <c r="V611" s="156"/>
      <c r="W611" s="156"/>
      <c r="X611" s="156"/>
      <c r="Y611" s="156"/>
      <c r="Z611" s="156"/>
      <c r="AA611" s="156"/>
      <c r="AB611" s="158">
        <f t="shared" si="201"/>
        <v>0</v>
      </c>
      <c r="AC611" s="159"/>
      <c r="AE611" s="160" t="str">
        <f t="shared" si="204"/>
        <v/>
      </c>
      <c r="AF611" s="161">
        <f t="shared" si="205"/>
        <v>0</v>
      </c>
      <c r="AG611" s="162">
        <f t="shared" si="205"/>
        <v>0</v>
      </c>
      <c r="AH611" s="162">
        <f t="shared" si="205"/>
        <v>0</v>
      </c>
      <c r="AI611" s="162">
        <f t="shared" si="205"/>
        <v>0</v>
      </c>
      <c r="AJ611" s="162">
        <f t="shared" si="205"/>
        <v>0</v>
      </c>
      <c r="AK611" s="162">
        <f t="shared" si="205"/>
        <v>0</v>
      </c>
      <c r="AL611" s="162">
        <f t="shared" si="205"/>
        <v>0</v>
      </c>
      <c r="AM611" s="162">
        <f t="shared" si="205"/>
        <v>0</v>
      </c>
      <c r="AN611" s="162">
        <f t="shared" si="205"/>
        <v>0</v>
      </c>
      <c r="AO611" s="162">
        <f t="shared" si="205"/>
        <v>0</v>
      </c>
      <c r="AP611" s="162">
        <f t="shared" si="205"/>
        <v>0</v>
      </c>
      <c r="AQ611" s="162">
        <f t="shared" si="205"/>
        <v>0</v>
      </c>
      <c r="AR611" s="163">
        <f t="shared" si="206"/>
        <v>0</v>
      </c>
      <c r="AT611" s="181" t="str">
        <f t="shared" si="207"/>
        <v/>
      </c>
      <c r="AU611" s="156">
        <f t="shared" si="207"/>
        <v>0</v>
      </c>
      <c r="AV611" s="156">
        <f t="shared" si="208"/>
        <v>0</v>
      </c>
      <c r="AW611" s="156">
        <f t="shared" si="203"/>
        <v>0</v>
      </c>
      <c r="AX611" s="156">
        <f t="shared" si="203"/>
        <v>0</v>
      </c>
      <c r="AY611" s="156">
        <f t="shared" si="203"/>
        <v>0</v>
      </c>
      <c r="AZ611" s="156">
        <f t="shared" si="203"/>
        <v>0</v>
      </c>
      <c r="BA611" s="156">
        <f t="shared" si="203"/>
        <v>0</v>
      </c>
      <c r="BB611" s="156">
        <f t="shared" si="203"/>
        <v>0</v>
      </c>
      <c r="BC611" s="156">
        <f t="shared" si="203"/>
        <v>0</v>
      </c>
      <c r="BD611" s="156">
        <f t="shared" si="203"/>
        <v>0</v>
      </c>
      <c r="BE611" s="156">
        <f t="shared" si="203"/>
        <v>0</v>
      </c>
      <c r="BF611" s="156">
        <f t="shared" si="203"/>
        <v>0</v>
      </c>
      <c r="BG611" s="158">
        <f t="shared" si="209"/>
        <v>0</v>
      </c>
    </row>
    <row r="612" spans="1:59" x14ac:dyDescent="0.25">
      <c r="B612" s="15" t="str">
        <f t="shared" si="199"/>
        <v>IND_OPER__</v>
      </c>
      <c r="C612" s="83">
        <f t="shared" si="194"/>
        <v>0</v>
      </c>
      <c r="D612" s="15" t="str">
        <f>IFERROR("QTD_REC_"&amp;VLOOKUP($J612,#REF!,7,0),"")</f>
        <v/>
      </c>
      <c r="F612" s="148"/>
      <c r="G612" s="149" t="str">
        <f>IFERROR(VLOOKUP(F612,#REF!,2,0),"")</f>
        <v/>
      </c>
      <c r="H612" s="150" t="str">
        <f>IFERROR(VLOOKUP(F612,#REF!,3,0),"")</f>
        <v/>
      </c>
      <c r="I612" s="151"/>
      <c r="J612" s="151"/>
      <c r="K612" s="150" t="str">
        <f>IFERROR(VLOOKUP($J612,#REF!,2,0),"")</f>
        <v/>
      </c>
      <c r="L612" s="150" t="str">
        <f t="shared" si="200"/>
        <v/>
      </c>
      <c r="M612" s="154"/>
      <c r="N612" s="182"/>
      <c r="O612" s="155"/>
      <c r="P612" s="156"/>
      <c r="Q612" s="156"/>
      <c r="R612" s="156"/>
      <c r="S612" s="156"/>
      <c r="T612" s="156"/>
      <c r="U612" s="156"/>
      <c r="V612" s="156"/>
      <c r="W612" s="156"/>
      <c r="X612" s="156"/>
      <c r="Y612" s="156"/>
      <c r="Z612" s="156"/>
      <c r="AA612" s="156"/>
      <c r="AB612" s="158">
        <f t="shared" si="201"/>
        <v>0</v>
      </c>
      <c r="AC612" s="159"/>
      <c r="AE612" s="160" t="str">
        <f t="shared" si="204"/>
        <v/>
      </c>
      <c r="AF612" s="161">
        <f t="shared" si="205"/>
        <v>0</v>
      </c>
      <c r="AG612" s="162">
        <f t="shared" si="205"/>
        <v>0</v>
      </c>
      <c r="AH612" s="162">
        <f t="shared" si="205"/>
        <v>0</v>
      </c>
      <c r="AI612" s="162">
        <f t="shared" si="205"/>
        <v>0</v>
      </c>
      <c r="AJ612" s="162">
        <f t="shared" si="205"/>
        <v>0</v>
      </c>
      <c r="AK612" s="162">
        <f t="shared" si="205"/>
        <v>0</v>
      </c>
      <c r="AL612" s="162">
        <f t="shared" si="205"/>
        <v>0</v>
      </c>
      <c r="AM612" s="162">
        <f t="shared" si="205"/>
        <v>0</v>
      </c>
      <c r="AN612" s="162">
        <f t="shared" si="205"/>
        <v>0</v>
      </c>
      <c r="AO612" s="162">
        <f t="shared" si="205"/>
        <v>0</v>
      </c>
      <c r="AP612" s="162">
        <f t="shared" si="205"/>
        <v>0</v>
      </c>
      <c r="AQ612" s="162">
        <f t="shared" si="205"/>
        <v>0</v>
      </c>
      <c r="AR612" s="163">
        <f t="shared" si="206"/>
        <v>0</v>
      </c>
      <c r="AT612" s="181" t="str">
        <f t="shared" si="207"/>
        <v/>
      </c>
      <c r="AU612" s="156">
        <f t="shared" si="207"/>
        <v>0</v>
      </c>
      <c r="AV612" s="156">
        <f t="shared" si="208"/>
        <v>0</v>
      </c>
      <c r="AW612" s="156">
        <f t="shared" si="203"/>
        <v>0</v>
      </c>
      <c r="AX612" s="156">
        <f t="shared" si="203"/>
        <v>0</v>
      </c>
      <c r="AY612" s="156">
        <f t="shared" si="203"/>
        <v>0</v>
      </c>
      <c r="AZ612" s="156">
        <f t="shared" si="203"/>
        <v>0</v>
      </c>
      <c r="BA612" s="156">
        <f t="shared" si="203"/>
        <v>0</v>
      </c>
      <c r="BB612" s="156">
        <f t="shared" si="203"/>
        <v>0</v>
      </c>
      <c r="BC612" s="156">
        <f t="shared" si="203"/>
        <v>0</v>
      </c>
      <c r="BD612" s="156">
        <f t="shared" si="203"/>
        <v>0</v>
      </c>
      <c r="BE612" s="156">
        <f t="shared" si="203"/>
        <v>0</v>
      </c>
      <c r="BF612" s="156">
        <f t="shared" si="203"/>
        <v>0</v>
      </c>
      <c r="BG612" s="158">
        <f t="shared" si="209"/>
        <v>0</v>
      </c>
    </row>
    <row r="613" spans="1:59" x14ac:dyDescent="0.25">
      <c r="B613" s="15" t="str">
        <f t="shared" si="199"/>
        <v>IND_OPER__</v>
      </c>
      <c r="C613" s="83">
        <f t="shared" si="194"/>
        <v>0</v>
      </c>
      <c r="D613" s="15" t="str">
        <f>IFERROR("QTD_REC_"&amp;VLOOKUP($J613,#REF!,7,0),"")</f>
        <v/>
      </c>
      <c r="F613" s="148"/>
      <c r="G613" s="149" t="str">
        <f>IFERROR(VLOOKUP(F613,#REF!,2,0),"")</f>
        <v/>
      </c>
      <c r="H613" s="150" t="str">
        <f>IFERROR(VLOOKUP(F613,#REF!,3,0),"")</f>
        <v/>
      </c>
      <c r="I613" s="151"/>
      <c r="J613" s="151"/>
      <c r="K613" s="150" t="str">
        <f>IFERROR(VLOOKUP($J613,#REF!,2,0),"")</f>
        <v/>
      </c>
      <c r="L613" s="150" t="str">
        <f t="shared" si="200"/>
        <v/>
      </c>
      <c r="M613" s="154"/>
      <c r="N613" s="182"/>
      <c r="O613" s="155"/>
      <c r="P613" s="156"/>
      <c r="Q613" s="156"/>
      <c r="R613" s="156"/>
      <c r="S613" s="156"/>
      <c r="T613" s="156"/>
      <c r="U613" s="156"/>
      <c r="V613" s="156"/>
      <c r="W613" s="156"/>
      <c r="X613" s="156"/>
      <c r="Y613" s="156"/>
      <c r="Z613" s="156"/>
      <c r="AA613" s="156"/>
      <c r="AB613" s="158">
        <f t="shared" si="201"/>
        <v>0</v>
      </c>
      <c r="AC613" s="159"/>
      <c r="AE613" s="160" t="str">
        <f t="shared" si="204"/>
        <v/>
      </c>
      <c r="AF613" s="161">
        <f t="shared" si="205"/>
        <v>0</v>
      </c>
      <c r="AG613" s="162">
        <f t="shared" si="205"/>
        <v>0</v>
      </c>
      <c r="AH613" s="162">
        <f t="shared" si="205"/>
        <v>0</v>
      </c>
      <c r="AI613" s="162">
        <f t="shared" si="205"/>
        <v>0</v>
      </c>
      <c r="AJ613" s="162">
        <f t="shared" si="205"/>
        <v>0</v>
      </c>
      <c r="AK613" s="162">
        <f t="shared" si="205"/>
        <v>0</v>
      </c>
      <c r="AL613" s="162">
        <f t="shared" si="205"/>
        <v>0</v>
      </c>
      <c r="AM613" s="162">
        <f t="shared" si="205"/>
        <v>0</v>
      </c>
      <c r="AN613" s="162">
        <f t="shared" si="205"/>
        <v>0</v>
      </c>
      <c r="AO613" s="162">
        <f t="shared" si="205"/>
        <v>0</v>
      </c>
      <c r="AP613" s="162">
        <f t="shared" si="205"/>
        <v>0</v>
      </c>
      <c r="AQ613" s="162">
        <f t="shared" si="205"/>
        <v>0</v>
      </c>
      <c r="AR613" s="163">
        <f t="shared" si="206"/>
        <v>0</v>
      </c>
      <c r="AT613" s="181" t="str">
        <f t="shared" si="207"/>
        <v/>
      </c>
      <c r="AU613" s="156">
        <f t="shared" si="207"/>
        <v>0</v>
      </c>
      <c r="AV613" s="156">
        <f t="shared" si="208"/>
        <v>0</v>
      </c>
      <c r="AW613" s="156">
        <f t="shared" si="203"/>
        <v>0</v>
      </c>
      <c r="AX613" s="156">
        <f t="shared" si="203"/>
        <v>0</v>
      </c>
      <c r="AY613" s="156">
        <f t="shared" si="203"/>
        <v>0</v>
      </c>
      <c r="AZ613" s="156">
        <f t="shared" si="203"/>
        <v>0</v>
      </c>
      <c r="BA613" s="156">
        <f t="shared" si="203"/>
        <v>0</v>
      </c>
      <c r="BB613" s="156">
        <f t="shared" si="203"/>
        <v>0</v>
      </c>
      <c r="BC613" s="156">
        <f t="shared" si="203"/>
        <v>0</v>
      </c>
      <c r="BD613" s="156">
        <f t="shared" si="203"/>
        <v>0</v>
      </c>
      <c r="BE613" s="156">
        <f t="shared" si="203"/>
        <v>0</v>
      </c>
      <c r="BF613" s="156">
        <f t="shared" si="203"/>
        <v>0</v>
      </c>
      <c r="BG613" s="158">
        <f t="shared" si="209"/>
        <v>0</v>
      </c>
    </row>
    <row r="614" spans="1:59" x14ac:dyDescent="0.25">
      <c r="B614" s="15" t="str">
        <f t="shared" si="199"/>
        <v>IND_OPER__</v>
      </c>
      <c r="C614" s="83">
        <f t="shared" si="194"/>
        <v>0</v>
      </c>
      <c r="D614" s="15" t="str">
        <f>IFERROR("QTD_REC_"&amp;VLOOKUP($J614,#REF!,7,0),"")</f>
        <v/>
      </c>
      <c r="F614" s="148"/>
      <c r="G614" s="149" t="str">
        <f>IFERROR(VLOOKUP(F614,#REF!,2,0),"")</f>
        <v/>
      </c>
      <c r="H614" s="150" t="str">
        <f>IFERROR(VLOOKUP(F614,#REF!,3,0),"")</f>
        <v/>
      </c>
      <c r="I614" s="151"/>
      <c r="J614" s="151"/>
      <c r="K614" s="150" t="str">
        <f>IFERROR(VLOOKUP($J614,#REF!,2,0),"")</f>
        <v/>
      </c>
      <c r="L614" s="150" t="str">
        <f t="shared" si="200"/>
        <v/>
      </c>
      <c r="M614" s="154"/>
      <c r="N614" s="182"/>
      <c r="O614" s="155"/>
      <c r="P614" s="156"/>
      <c r="Q614" s="156"/>
      <c r="R614" s="156"/>
      <c r="S614" s="156"/>
      <c r="T614" s="156"/>
      <c r="U614" s="156"/>
      <c r="V614" s="156"/>
      <c r="W614" s="156"/>
      <c r="X614" s="156"/>
      <c r="Y614" s="156"/>
      <c r="Z614" s="156"/>
      <c r="AA614" s="156"/>
      <c r="AB614" s="158">
        <f t="shared" si="201"/>
        <v>0</v>
      </c>
      <c r="AC614" s="159"/>
      <c r="AE614" s="160" t="str">
        <f t="shared" si="204"/>
        <v/>
      </c>
      <c r="AF614" s="161">
        <f t="shared" si="205"/>
        <v>0</v>
      </c>
      <c r="AG614" s="162">
        <f t="shared" si="205"/>
        <v>0</v>
      </c>
      <c r="AH614" s="162">
        <f t="shared" si="205"/>
        <v>0</v>
      </c>
      <c r="AI614" s="162">
        <f t="shared" si="205"/>
        <v>0</v>
      </c>
      <c r="AJ614" s="162">
        <f t="shared" si="205"/>
        <v>0</v>
      </c>
      <c r="AK614" s="162">
        <f t="shared" si="205"/>
        <v>0</v>
      </c>
      <c r="AL614" s="162">
        <f t="shared" si="205"/>
        <v>0</v>
      </c>
      <c r="AM614" s="162">
        <f t="shared" si="205"/>
        <v>0</v>
      </c>
      <c r="AN614" s="162">
        <f t="shared" si="205"/>
        <v>0</v>
      </c>
      <c r="AO614" s="162">
        <f t="shared" si="205"/>
        <v>0</v>
      </c>
      <c r="AP614" s="162">
        <f t="shared" si="205"/>
        <v>0</v>
      </c>
      <c r="AQ614" s="162">
        <f t="shared" si="205"/>
        <v>0</v>
      </c>
      <c r="AR614" s="163">
        <f t="shared" si="206"/>
        <v>0</v>
      </c>
      <c r="AT614" s="181" t="str">
        <f t="shared" si="207"/>
        <v/>
      </c>
      <c r="AU614" s="156">
        <f t="shared" si="207"/>
        <v>0</v>
      </c>
      <c r="AV614" s="156">
        <f t="shared" si="208"/>
        <v>0</v>
      </c>
      <c r="AW614" s="156">
        <f t="shared" si="208"/>
        <v>0</v>
      </c>
      <c r="AX614" s="156">
        <f t="shared" si="208"/>
        <v>0</v>
      </c>
      <c r="AY614" s="156">
        <f t="shared" si="208"/>
        <v>0</v>
      </c>
      <c r="AZ614" s="156">
        <f t="shared" si="208"/>
        <v>0</v>
      </c>
      <c r="BA614" s="156">
        <f t="shared" si="208"/>
        <v>0</v>
      </c>
      <c r="BB614" s="156">
        <f t="shared" si="208"/>
        <v>0</v>
      </c>
      <c r="BC614" s="156">
        <f t="shared" si="208"/>
        <v>0</v>
      </c>
      <c r="BD614" s="156">
        <f t="shared" si="208"/>
        <v>0</v>
      </c>
      <c r="BE614" s="156">
        <f t="shared" si="208"/>
        <v>0</v>
      </c>
      <c r="BF614" s="156">
        <f t="shared" si="208"/>
        <v>0</v>
      </c>
      <c r="BG614" s="158">
        <f t="shared" si="209"/>
        <v>0</v>
      </c>
    </row>
    <row r="615" spans="1:59" x14ac:dyDescent="0.25">
      <c r="B615" s="15" t="str">
        <f t="shared" si="199"/>
        <v>IND_OPER__</v>
      </c>
      <c r="C615" s="83">
        <f t="shared" si="194"/>
        <v>0</v>
      </c>
      <c r="D615" s="15" t="str">
        <f>IFERROR("QTD_REC_"&amp;VLOOKUP($J615,#REF!,7,0),"")</f>
        <v/>
      </c>
      <c r="F615" s="148"/>
      <c r="G615" s="149" t="str">
        <f>IFERROR(VLOOKUP(F615,#REF!,2,0),"")</f>
        <v/>
      </c>
      <c r="H615" s="150" t="str">
        <f>IFERROR(VLOOKUP(F615,#REF!,3,0),"")</f>
        <v/>
      </c>
      <c r="I615" s="151"/>
      <c r="J615" s="151"/>
      <c r="K615" s="150" t="str">
        <f>IFERROR(VLOOKUP($J615,#REF!,2,0),"")</f>
        <v/>
      </c>
      <c r="L615" s="150" t="str">
        <f t="shared" si="200"/>
        <v/>
      </c>
      <c r="M615" s="154"/>
      <c r="N615" s="182"/>
      <c r="O615" s="155"/>
      <c r="P615" s="156"/>
      <c r="Q615" s="156"/>
      <c r="R615" s="156"/>
      <c r="S615" s="156"/>
      <c r="T615" s="156"/>
      <c r="U615" s="156"/>
      <c r="V615" s="156"/>
      <c r="W615" s="156"/>
      <c r="X615" s="156"/>
      <c r="Y615" s="156"/>
      <c r="Z615" s="156"/>
      <c r="AA615" s="156"/>
      <c r="AB615" s="158">
        <f t="shared" si="201"/>
        <v>0</v>
      </c>
      <c r="AC615" s="159"/>
      <c r="AE615" s="160" t="str">
        <f t="shared" si="204"/>
        <v/>
      </c>
      <c r="AF615" s="161">
        <f t="shared" ref="AF615:AQ630" si="210">IFERROR(P615/AU615,0)</f>
        <v>0</v>
      </c>
      <c r="AG615" s="162">
        <f t="shared" si="210"/>
        <v>0</v>
      </c>
      <c r="AH615" s="162">
        <f t="shared" si="210"/>
        <v>0</v>
      </c>
      <c r="AI615" s="162">
        <f t="shared" si="210"/>
        <v>0</v>
      </c>
      <c r="AJ615" s="162">
        <f t="shared" si="210"/>
        <v>0</v>
      </c>
      <c r="AK615" s="162">
        <f t="shared" si="210"/>
        <v>0</v>
      </c>
      <c r="AL615" s="162">
        <f t="shared" si="210"/>
        <v>0</v>
      </c>
      <c r="AM615" s="162">
        <f t="shared" si="210"/>
        <v>0</v>
      </c>
      <c r="AN615" s="162">
        <f t="shared" si="210"/>
        <v>0</v>
      </c>
      <c r="AO615" s="162">
        <f t="shared" si="210"/>
        <v>0</v>
      </c>
      <c r="AP615" s="162">
        <f t="shared" si="210"/>
        <v>0</v>
      </c>
      <c r="AQ615" s="162">
        <f t="shared" si="210"/>
        <v>0</v>
      </c>
      <c r="AR615" s="163">
        <f t="shared" si="206"/>
        <v>0</v>
      </c>
      <c r="AT615" s="181" t="str">
        <f t="shared" si="207"/>
        <v/>
      </c>
      <c r="AU615" s="156">
        <f t="shared" si="207"/>
        <v>0</v>
      </c>
      <c r="AV615" s="156">
        <f t="shared" si="208"/>
        <v>0</v>
      </c>
      <c r="AW615" s="156">
        <f t="shared" si="208"/>
        <v>0</v>
      </c>
      <c r="AX615" s="156">
        <f t="shared" si="208"/>
        <v>0</v>
      </c>
      <c r="AY615" s="156">
        <f t="shared" si="208"/>
        <v>0</v>
      </c>
      <c r="AZ615" s="156">
        <f t="shared" si="208"/>
        <v>0</v>
      </c>
      <c r="BA615" s="156">
        <f t="shared" si="208"/>
        <v>0</v>
      </c>
      <c r="BB615" s="156">
        <f t="shared" si="208"/>
        <v>0</v>
      </c>
      <c r="BC615" s="156">
        <f t="shared" si="208"/>
        <v>0</v>
      </c>
      <c r="BD615" s="156">
        <f t="shared" si="208"/>
        <v>0</v>
      </c>
      <c r="BE615" s="156">
        <f t="shared" si="208"/>
        <v>0</v>
      </c>
      <c r="BF615" s="156">
        <f t="shared" si="208"/>
        <v>0</v>
      </c>
      <c r="BG615" s="158">
        <f t="shared" si="209"/>
        <v>0</v>
      </c>
    </row>
    <row r="616" spans="1:59" x14ac:dyDescent="0.25">
      <c r="B616" s="15" t="str">
        <f t="shared" si="199"/>
        <v>IND_OPER__</v>
      </c>
      <c r="C616" s="83">
        <f t="shared" si="194"/>
        <v>0</v>
      </c>
      <c r="D616" s="15" t="str">
        <f>IFERROR("QTD_REC_"&amp;VLOOKUP($J616,#REF!,7,0),"")</f>
        <v/>
      </c>
      <c r="F616" s="148"/>
      <c r="G616" s="149" t="str">
        <f>IFERROR(VLOOKUP(F616,#REF!,2,0),"")</f>
        <v/>
      </c>
      <c r="H616" s="150" t="str">
        <f>IFERROR(VLOOKUP(F616,#REF!,3,0),"")</f>
        <v/>
      </c>
      <c r="I616" s="151"/>
      <c r="J616" s="151"/>
      <c r="K616" s="150" t="str">
        <f>IFERROR(VLOOKUP($J616,#REF!,2,0),"")</f>
        <v/>
      </c>
      <c r="L616" s="150" t="str">
        <f t="shared" si="200"/>
        <v/>
      </c>
      <c r="M616" s="154"/>
      <c r="N616" s="182"/>
      <c r="O616" s="155"/>
      <c r="P616" s="156"/>
      <c r="Q616" s="156"/>
      <c r="R616" s="156"/>
      <c r="S616" s="156"/>
      <c r="T616" s="156"/>
      <c r="U616" s="156"/>
      <c r="V616" s="156"/>
      <c r="W616" s="156"/>
      <c r="X616" s="156"/>
      <c r="Y616" s="156"/>
      <c r="Z616" s="156"/>
      <c r="AA616" s="156"/>
      <c r="AB616" s="158">
        <f t="shared" si="201"/>
        <v>0</v>
      </c>
      <c r="AC616" s="159"/>
      <c r="AE616" s="160" t="str">
        <f t="shared" si="204"/>
        <v/>
      </c>
      <c r="AF616" s="161">
        <f t="shared" si="210"/>
        <v>0</v>
      </c>
      <c r="AG616" s="162">
        <f t="shared" si="210"/>
        <v>0</v>
      </c>
      <c r="AH616" s="162">
        <f t="shared" si="210"/>
        <v>0</v>
      </c>
      <c r="AI616" s="162">
        <f t="shared" si="210"/>
        <v>0</v>
      </c>
      <c r="AJ616" s="162">
        <f t="shared" si="210"/>
        <v>0</v>
      </c>
      <c r="AK616" s="162">
        <f t="shared" si="210"/>
        <v>0</v>
      </c>
      <c r="AL616" s="162">
        <f t="shared" si="210"/>
        <v>0</v>
      </c>
      <c r="AM616" s="162">
        <f t="shared" si="210"/>
        <v>0</v>
      </c>
      <c r="AN616" s="162">
        <f t="shared" si="210"/>
        <v>0</v>
      </c>
      <c r="AO616" s="162">
        <f t="shared" si="210"/>
        <v>0</v>
      </c>
      <c r="AP616" s="162">
        <f t="shared" si="210"/>
        <v>0</v>
      </c>
      <c r="AQ616" s="162">
        <f t="shared" si="210"/>
        <v>0</v>
      </c>
      <c r="AR616" s="163">
        <f t="shared" si="206"/>
        <v>0</v>
      </c>
      <c r="AT616" s="181" t="str">
        <f t="shared" si="207"/>
        <v/>
      </c>
      <c r="AU616" s="156">
        <f t="shared" si="207"/>
        <v>0</v>
      </c>
      <c r="AV616" s="156">
        <f t="shared" si="208"/>
        <v>0</v>
      </c>
      <c r="AW616" s="156">
        <f t="shared" si="208"/>
        <v>0</v>
      </c>
      <c r="AX616" s="156">
        <f t="shared" si="208"/>
        <v>0</v>
      </c>
      <c r="AY616" s="156">
        <f t="shared" si="208"/>
        <v>0</v>
      </c>
      <c r="AZ616" s="156">
        <f t="shared" si="208"/>
        <v>0</v>
      </c>
      <c r="BA616" s="156">
        <f t="shared" si="208"/>
        <v>0</v>
      </c>
      <c r="BB616" s="156">
        <f t="shared" si="208"/>
        <v>0</v>
      </c>
      <c r="BC616" s="156">
        <f t="shared" si="208"/>
        <v>0</v>
      </c>
      <c r="BD616" s="156">
        <f t="shared" si="208"/>
        <v>0</v>
      </c>
      <c r="BE616" s="156">
        <f t="shared" si="208"/>
        <v>0</v>
      </c>
      <c r="BF616" s="156">
        <f t="shared" si="208"/>
        <v>0</v>
      </c>
      <c r="BG616" s="158">
        <f t="shared" si="209"/>
        <v>0</v>
      </c>
    </row>
    <row r="617" spans="1:59" x14ac:dyDescent="0.25">
      <c r="B617" s="15" t="str">
        <f t="shared" si="199"/>
        <v>IND_OPER__</v>
      </c>
      <c r="C617" s="83">
        <f t="shared" si="194"/>
        <v>0</v>
      </c>
      <c r="D617" s="15" t="str">
        <f>IFERROR("QTD_REC_"&amp;VLOOKUP($J617,#REF!,7,0),"")</f>
        <v/>
      </c>
      <c r="F617" s="148"/>
      <c r="G617" s="149" t="str">
        <f>IFERROR(VLOOKUP(F617,#REF!,2,0),"")</f>
        <v/>
      </c>
      <c r="H617" s="150" t="str">
        <f>IFERROR(VLOOKUP(F617,#REF!,3,0),"")</f>
        <v/>
      </c>
      <c r="I617" s="151"/>
      <c r="J617" s="151"/>
      <c r="K617" s="150" t="str">
        <f>IFERROR(VLOOKUP($J617,#REF!,2,0),"")</f>
        <v/>
      </c>
      <c r="L617" s="150" t="str">
        <f t="shared" si="200"/>
        <v/>
      </c>
      <c r="M617" s="154"/>
      <c r="N617" s="182"/>
      <c r="O617" s="155"/>
      <c r="P617" s="156"/>
      <c r="Q617" s="156"/>
      <c r="R617" s="156"/>
      <c r="S617" s="156"/>
      <c r="T617" s="156"/>
      <c r="U617" s="156"/>
      <c r="V617" s="156"/>
      <c r="W617" s="156"/>
      <c r="X617" s="156"/>
      <c r="Y617" s="156"/>
      <c r="Z617" s="156"/>
      <c r="AA617" s="156"/>
      <c r="AB617" s="158">
        <f t="shared" ref="AB617:AB619" si="211">SUM(P617:AA617)</f>
        <v>0</v>
      </c>
      <c r="AC617" s="159"/>
      <c r="AE617" s="160" t="str">
        <f t="shared" si="204"/>
        <v/>
      </c>
      <c r="AF617" s="161">
        <f t="shared" si="210"/>
        <v>0</v>
      </c>
      <c r="AG617" s="162">
        <f t="shared" si="210"/>
        <v>0</v>
      </c>
      <c r="AH617" s="162">
        <f t="shared" si="210"/>
        <v>0</v>
      </c>
      <c r="AI617" s="162">
        <f t="shared" si="210"/>
        <v>0</v>
      </c>
      <c r="AJ617" s="162">
        <f t="shared" si="210"/>
        <v>0</v>
      </c>
      <c r="AK617" s="162">
        <f t="shared" si="210"/>
        <v>0</v>
      </c>
      <c r="AL617" s="162">
        <f t="shared" si="210"/>
        <v>0</v>
      </c>
      <c r="AM617" s="162">
        <f t="shared" si="210"/>
        <v>0</v>
      </c>
      <c r="AN617" s="162">
        <f t="shared" si="210"/>
        <v>0</v>
      </c>
      <c r="AO617" s="162">
        <f t="shared" si="210"/>
        <v>0</v>
      </c>
      <c r="AP617" s="162">
        <f t="shared" si="210"/>
        <v>0</v>
      </c>
      <c r="AQ617" s="162">
        <f t="shared" si="210"/>
        <v>0</v>
      </c>
      <c r="AR617" s="163">
        <f t="shared" si="206"/>
        <v>0</v>
      </c>
      <c r="AT617" s="181" t="str">
        <f t="shared" si="207"/>
        <v/>
      </c>
      <c r="AU617" s="156">
        <f t="shared" si="207"/>
        <v>0</v>
      </c>
      <c r="AV617" s="156">
        <f t="shared" si="208"/>
        <v>0</v>
      </c>
      <c r="AW617" s="156">
        <f t="shared" si="208"/>
        <v>0</v>
      </c>
      <c r="AX617" s="156">
        <f t="shared" si="208"/>
        <v>0</v>
      </c>
      <c r="AY617" s="156">
        <f t="shared" si="208"/>
        <v>0</v>
      </c>
      <c r="AZ617" s="156">
        <f t="shared" si="208"/>
        <v>0</v>
      </c>
      <c r="BA617" s="156">
        <f t="shared" si="208"/>
        <v>0</v>
      </c>
      <c r="BB617" s="156">
        <f t="shared" si="208"/>
        <v>0</v>
      </c>
      <c r="BC617" s="156">
        <f t="shared" si="208"/>
        <v>0</v>
      </c>
      <c r="BD617" s="156">
        <f t="shared" si="208"/>
        <v>0</v>
      </c>
      <c r="BE617" s="156">
        <f t="shared" si="208"/>
        <v>0</v>
      </c>
      <c r="BF617" s="156">
        <f t="shared" si="208"/>
        <v>0</v>
      </c>
      <c r="BG617" s="158">
        <f t="shared" si="209"/>
        <v>0</v>
      </c>
    </row>
    <row r="618" spans="1:59" x14ac:dyDescent="0.25">
      <c r="B618" s="15" t="str">
        <f t="shared" si="199"/>
        <v>IND_OPER__</v>
      </c>
      <c r="C618" s="83">
        <f t="shared" ref="C618:C638" si="212">I618</f>
        <v>0</v>
      </c>
      <c r="D618" s="15" t="str">
        <f>IFERROR("QTD_REC_"&amp;VLOOKUP($J618,#REF!,7,0),"")</f>
        <v/>
      </c>
      <c r="F618" s="148"/>
      <c r="G618" s="149" t="str">
        <f>IFERROR(VLOOKUP(F618,#REF!,2,0),"")</f>
        <v/>
      </c>
      <c r="H618" s="150" t="str">
        <f>IFERROR(VLOOKUP(F618,#REF!,3,0),"")</f>
        <v/>
      </c>
      <c r="I618" s="151"/>
      <c r="J618" s="151"/>
      <c r="K618" s="150" t="str">
        <f>IFERROR(VLOOKUP($J618,#REF!,2,0),"")</f>
        <v/>
      </c>
      <c r="L618" s="150" t="str">
        <f t="shared" si="200"/>
        <v/>
      </c>
      <c r="M618" s="154"/>
      <c r="N618" s="182"/>
      <c r="O618" s="155"/>
      <c r="P618" s="156"/>
      <c r="Q618" s="156"/>
      <c r="R618" s="156"/>
      <c r="S618" s="156"/>
      <c r="T618" s="156"/>
      <c r="U618" s="156"/>
      <c r="V618" s="156"/>
      <c r="W618" s="156"/>
      <c r="X618" s="156"/>
      <c r="Y618" s="156"/>
      <c r="Z618" s="156"/>
      <c r="AA618" s="156"/>
      <c r="AB618" s="158">
        <f t="shared" si="211"/>
        <v>0</v>
      </c>
      <c r="AC618" s="159"/>
      <c r="AE618" s="160" t="str">
        <f t="shared" si="204"/>
        <v/>
      </c>
      <c r="AF618" s="161">
        <f t="shared" si="210"/>
        <v>0</v>
      </c>
      <c r="AG618" s="162">
        <f t="shared" si="210"/>
        <v>0</v>
      </c>
      <c r="AH618" s="162">
        <f t="shared" si="210"/>
        <v>0</v>
      </c>
      <c r="AI618" s="162">
        <f t="shared" si="210"/>
        <v>0</v>
      </c>
      <c r="AJ618" s="162">
        <f t="shared" si="210"/>
        <v>0</v>
      </c>
      <c r="AK618" s="162">
        <f t="shared" si="210"/>
        <v>0</v>
      </c>
      <c r="AL618" s="162">
        <f t="shared" si="210"/>
        <v>0</v>
      </c>
      <c r="AM618" s="162">
        <f t="shared" si="210"/>
        <v>0</v>
      </c>
      <c r="AN618" s="162">
        <f t="shared" si="210"/>
        <v>0</v>
      </c>
      <c r="AO618" s="162">
        <f t="shared" si="210"/>
        <v>0</v>
      </c>
      <c r="AP618" s="162">
        <f t="shared" si="210"/>
        <v>0</v>
      </c>
      <c r="AQ618" s="162">
        <f t="shared" si="210"/>
        <v>0</v>
      </c>
      <c r="AR618" s="163">
        <f t="shared" si="206"/>
        <v>0</v>
      </c>
      <c r="AT618" s="181" t="str">
        <f t="shared" si="207"/>
        <v/>
      </c>
      <c r="AU618" s="156">
        <f t="shared" si="207"/>
        <v>0</v>
      </c>
      <c r="AV618" s="156">
        <f t="shared" si="208"/>
        <v>0</v>
      </c>
      <c r="AW618" s="156">
        <f t="shared" si="208"/>
        <v>0</v>
      </c>
      <c r="AX618" s="156">
        <f t="shared" si="208"/>
        <v>0</v>
      </c>
      <c r="AY618" s="156">
        <f t="shared" si="208"/>
        <v>0</v>
      </c>
      <c r="AZ618" s="156">
        <f t="shared" si="208"/>
        <v>0</v>
      </c>
      <c r="BA618" s="156">
        <f t="shared" si="208"/>
        <v>0</v>
      </c>
      <c r="BB618" s="156">
        <f t="shared" si="208"/>
        <v>0</v>
      </c>
      <c r="BC618" s="156">
        <f t="shared" si="208"/>
        <v>0</v>
      </c>
      <c r="BD618" s="156">
        <f t="shared" si="208"/>
        <v>0</v>
      </c>
      <c r="BE618" s="156">
        <f t="shared" si="208"/>
        <v>0</v>
      </c>
      <c r="BF618" s="156">
        <f t="shared" si="208"/>
        <v>0</v>
      </c>
      <c r="BG618" s="158">
        <f t="shared" si="209"/>
        <v>0</v>
      </c>
    </row>
    <row r="619" spans="1:59" x14ac:dyDescent="0.25">
      <c r="B619" s="15" t="str">
        <f t="shared" si="199"/>
        <v>IND_OPER__</v>
      </c>
      <c r="C619" s="83">
        <f t="shared" si="212"/>
        <v>0</v>
      </c>
      <c r="D619" s="15" t="str">
        <f>IFERROR("QTD_REC_"&amp;VLOOKUP($J619,#REF!,7,0),"")</f>
        <v/>
      </c>
      <c r="F619" s="148"/>
      <c r="G619" s="149" t="str">
        <f>IFERROR(VLOOKUP(F619,#REF!,2,0),"")</f>
        <v/>
      </c>
      <c r="H619" s="150" t="str">
        <f>IFERROR(VLOOKUP(F619,#REF!,3,0),"")</f>
        <v/>
      </c>
      <c r="I619" s="151"/>
      <c r="J619" s="151"/>
      <c r="K619" s="150" t="str">
        <f>IFERROR(VLOOKUP($J619,#REF!,2,0),"")</f>
        <v/>
      </c>
      <c r="L619" s="150" t="str">
        <f t="shared" si="200"/>
        <v/>
      </c>
      <c r="M619" s="154"/>
      <c r="N619" s="182"/>
      <c r="O619" s="155"/>
      <c r="P619" s="156"/>
      <c r="Q619" s="156"/>
      <c r="R619" s="156"/>
      <c r="S619" s="156"/>
      <c r="T619" s="156"/>
      <c r="U619" s="156"/>
      <c r="V619" s="156"/>
      <c r="W619" s="156"/>
      <c r="X619" s="156"/>
      <c r="Y619" s="156"/>
      <c r="Z619" s="156"/>
      <c r="AA619" s="156"/>
      <c r="AB619" s="158">
        <f t="shared" si="211"/>
        <v>0</v>
      </c>
      <c r="AC619" s="159"/>
      <c r="AE619" s="160" t="str">
        <f t="shared" si="204"/>
        <v/>
      </c>
      <c r="AF619" s="161">
        <f t="shared" si="210"/>
        <v>0</v>
      </c>
      <c r="AG619" s="162">
        <f t="shared" si="210"/>
        <v>0</v>
      </c>
      <c r="AH619" s="162">
        <f t="shared" si="210"/>
        <v>0</v>
      </c>
      <c r="AI619" s="162">
        <f t="shared" si="210"/>
        <v>0</v>
      </c>
      <c r="AJ619" s="162">
        <f t="shared" si="210"/>
        <v>0</v>
      </c>
      <c r="AK619" s="162">
        <f t="shared" si="210"/>
        <v>0</v>
      </c>
      <c r="AL619" s="162">
        <f t="shared" si="210"/>
        <v>0</v>
      </c>
      <c r="AM619" s="162">
        <f t="shared" si="210"/>
        <v>0</v>
      </c>
      <c r="AN619" s="162">
        <f t="shared" si="210"/>
        <v>0</v>
      </c>
      <c r="AO619" s="162">
        <f t="shared" si="210"/>
        <v>0</v>
      </c>
      <c r="AP619" s="162">
        <f t="shared" si="210"/>
        <v>0</v>
      </c>
      <c r="AQ619" s="162">
        <f t="shared" si="210"/>
        <v>0</v>
      </c>
      <c r="AR619" s="163">
        <f t="shared" si="206"/>
        <v>0</v>
      </c>
      <c r="AT619" s="181" t="str">
        <f t="shared" si="207"/>
        <v/>
      </c>
      <c r="AU619" s="156">
        <f t="shared" si="207"/>
        <v>0</v>
      </c>
      <c r="AV619" s="156">
        <f t="shared" si="208"/>
        <v>0</v>
      </c>
      <c r="AW619" s="156">
        <f t="shared" si="208"/>
        <v>0</v>
      </c>
      <c r="AX619" s="156">
        <f t="shared" si="208"/>
        <v>0</v>
      </c>
      <c r="AY619" s="156">
        <f t="shared" si="208"/>
        <v>0</v>
      </c>
      <c r="AZ619" s="156">
        <f t="shared" si="208"/>
        <v>0</v>
      </c>
      <c r="BA619" s="156">
        <f t="shared" si="208"/>
        <v>0</v>
      </c>
      <c r="BB619" s="156">
        <f t="shared" si="208"/>
        <v>0</v>
      </c>
      <c r="BC619" s="156">
        <f t="shared" si="208"/>
        <v>0</v>
      </c>
      <c r="BD619" s="156">
        <f t="shared" si="208"/>
        <v>0</v>
      </c>
      <c r="BE619" s="156">
        <f t="shared" si="208"/>
        <v>0</v>
      </c>
      <c r="BF619" s="156">
        <f t="shared" si="208"/>
        <v>0</v>
      </c>
      <c r="BG619" s="158">
        <f t="shared" si="209"/>
        <v>0</v>
      </c>
    </row>
    <row r="620" spans="1:59" x14ac:dyDescent="0.25">
      <c r="B620" s="15" t="str">
        <f t="shared" si="199"/>
        <v>IND_OPER__</v>
      </c>
      <c r="C620" s="83">
        <f t="shared" si="212"/>
        <v>0</v>
      </c>
      <c r="D620" s="15" t="str">
        <f>IFERROR("QTD_REC_"&amp;VLOOKUP($J620,#REF!,7,0),"")</f>
        <v/>
      </c>
      <c r="F620" s="148"/>
      <c r="G620" s="149" t="str">
        <f>IFERROR(VLOOKUP(F620,#REF!,2,0),"")</f>
        <v/>
      </c>
      <c r="H620" s="150" t="str">
        <f>IFERROR(VLOOKUP(F620,#REF!,3,0),"")</f>
        <v/>
      </c>
      <c r="I620" s="151"/>
      <c r="J620" s="151"/>
      <c r="K620" s="150" t="str">
        <f>IFERROR(VLOOKUP($J620,#REF!,2,0),"")</f>
        <v/>
      </c>
      <c r="L620" s="150" t="str">
        <f t="shared" si="200"/>
        <v/>
      </c>
      <c r="M620" s="154"/>
      <c r="N620" s="182"/>
      <c r="O620" s="155"/>
      <c r="P620" s="156"/>
      <c r="Q620" s="156"/>
      <c r="R620" s="156"/>
      <c r="S620" s="156"/>
      <c r="T620" s="156"/>
      <c r="U620" s="156"/>
      <c r="V620" s="156"/>
      <c r="W620" s="156"/>
      <c r="X620" s="156"/>
      <c r="Y620" s="156"/>
      <c r="Z620" s="156"/>
      <c r="AA620" s="156"/>
      <c r="AB620" s="158">
        <f t="shared" si="201"/>
        <v>0</v>
      </c>
      <c r="AC620" s="159"/>
      <c r="AE620" s="160" t="str">
        <f t="shared" si="204"/>
        <v/>
      </c>
      <c r="AF620" s="161">
        <f t="shared" si="210"/>
        <v>0</v>
      </c>
      <c r="AG620" s="162">
        <f t="shared" si="210"/>
        <v>0</v>
      </c>
      <c r="AH620" s="162">
        <f t="shared" si="210"/>
        <v>0</v>
      </c>
      <c r="AI620" s="162">
        <f t="shared" si="210"/>
        <v>0</v>
      </c>
      <c r="AJ620" s="162">
        <f t="shared" si="210"/>
        <v>0</v>
      </c>
      <c r="AK620" s="162">
        <f t="shared" si="210"/>
        <v>0</v>
      </c>
      <c r="AL620" s="162">
        <f t="shared" si="210"/>
        <v>0</v>
      </c>
      <c r="AM620" s="162">
        <f t="shared" si="210"/>
        <v>0</v>
      </c>
      <c r="AN620" s="162">
        <f t="shared" si="210"/>
        <v>0</v>
      </c>
      <c r="AO620" s="162">
        <f t="shared" si="210"/>
        <v>0</v>
      </c>
      <c r="AP620" s="162">
        <f t="shared" si="210"/>
        <v>0</v>
      </c>
      <c r="AQ620" s="162">
        <f t="shared" si="210"/>
        <v>0</v>
      </c>
      <c r="AR620" s="163">
        <f t="shared" si="206"/>
        <v>0</v>
      </c>
      <c r="AT620" s="181" t="str">
        <f t="shared" si="207"/>
        <v/>
      </c>
      <c r="AU620" s="156">
        <f t="shared" si="207"/>
        <v>0</v>
      </c>
      <c r="AV620" s="156">
        <f t="shared" si="208"/>
        <v>0</v>
      </c>
      <c r="AW620" s="156">
        <f t="shared" si="208"/>
        <v>0</v>
      </c>
      <c r="AX620" s="156">
        <f t="shared" si="208"/>
        <v>0</v>
      </c>
      <c r="AY620" s="156">
        <f t="shared" si="208"/>
        <v>0</v>
      </c>
      <c r="AZ620" s="156">
        <f t="shared" si="208"/>
        <v>0</v>
      </c>
      <c r="BA620" s="156">
        <f t="shared" si="208"/>
        <v>0</v>
      </c>
      <c r="BB620" s="156">
        <f t="shared" si="208"/>
        <v>0</v>
      </c>
      <c r="BC620" s="156">
        <f t="shared" si="208"/>
        <v>0</v>
      </c>
      <c r="BD620" s="156">
        <f t="shared" si="208"/>
        <v>0</v>
      </c>
      <c r="BE620" s="156">
        <f t="shared" si="208"/>
        <v>0</v>
      </c>
      <c r="BF620" s="156">
        <f t="shared" si="208"/>
        <v>0</v>
      </c>
      <c r="BG620" s="158">
        <f t="shared" si="209"/>
        <v>0</v>
      </c>
    </row>
    <row r="621" spans="1:59" x14ac:dyDescent="0.25">
      <c r="A621" s="14"/>
      <c r="B621" s="15" t="str">
        <f t="shared" si="199"/>
        <v>IND_OPER__</v>
      </c>
      <c r="C621" s="83">
        <f t="shared" si="212"/>
        <v>0</v>
      </c>
      <c r="D621" s="15" t="str">
        <f>IFERROR("QTD_REC_"&amp;VLOOKUP($J621,#REF!,7,0),"")</f>
        <v/>
      </c>
      <c r="E621" s="14"/>
      <c r="F621" s="148"/>
      <c r="G621" s="149" t="str">
        <f>IFERROR(VLOOKUP(F621,#REF!,2,0),"")</f>
        <v/>
      </c>
      <c r="H621" s="150" t="str">
        <f>IFERROR(VLOOKUP(F621,#REF!,3,0),"")</f>
        <v/>
      </c>
      <c r="I621" s="151"/>
      <c r="J621" s="151"/>
      <c r="K621" s="150" t="str">
        <f>IFERROR(VLOOKUP($J621,#REF!,2,0),"")</f>
        <v/>
      </c>
      <c r="L621" s="150" t="str">
        <f t="shared" si="200"/>
        <v/>
      </c>
      <c r="M621" s="154"/>
      <c r="N621" s="182"/>
      <c r="O621" s="155"/>
      <c r="P621" s="156"/>
      <c r="Q621" s="156"/>
      <c r="R621" s="156"/>
      <c r="S621" s="156"/>
      <c r="T621" s="156"/>
      <c r="U621" s="156"/>
      <c r="V621" s="156"/>
      <c r="W621" s="156"/>
      <c r="X621" s="156"/>
      <c r="Y621" s="156"/>
      <c r="Z621" s="156"/>
      <c r="AA621" s="156"/>
      <c r="AB621" s="158">
        <f t="shared" si="201"/>
        <v>0</v>
      </c>
      <c r="AC621" s="159"/>
      <c r="AE621" s="160" t="str">
        <f t="shared" si="204"/>
        <v/>
      </c>
      <c r="AF621" s="161">
        <f t="shared" si="210"/>
        <v>0</v>
      </c>
      <c r="AG621" s="162">
        <f t="shared" si="210"/>
        <v>0</v>
      </c>
      <c r="AH621" s="162">
        <f t="shared" si="210"/>
        <v>0</v>
      </c>
      <c r="AI621" s="162">
        <f t="shared" si="210"/>
        <v>0</v>
      </c>
      <c r="AJ621" s="162">
        <f t="shared" si="210"/>
        <v>0</v>
      </c>
      <c r="AK621" s="162">
        <f t="shared" si="210"/>
        <v>0</v>
      </c>
      <c r="AL621" s="162">
        <f t="shared" si="210"/>
        <v>0</v>
      </c>
      <c r="AM621" s="162">
        <f t="shared" si="210"/>
        <v>0</v>
      </c>
      <c r="AN621" s="162">
        <f t="shared" si="210"/>
        <v>0</v>
      </c>
      <c r="AO621" s="162">
        <f t="shared" si="210"/>
        <v>0</v>
      </c>
      <c r="AP621" s="162">
        <f t="shared" si="210"/>
        <v>0</v>
      </c>
      <c r="AQ621" s="162">
        <f t="shared" si="210"/>
        <v>0</v>
      </c>
      <c r="AR621" s="163">
        <f t="shared" si="206"/>
        <v>0</v>
      </c>
      <c r="AT621" s="181" t="str">
        <f t="shared" si="207"/>
        <v/>
      </c>
      <c r="AU621" s="156">
        <f t="shared" si="207"/>
        <v>0</v>
      </c>
      <c r="AV621" s="156">
        <f t="shared" si="208"/>
        <v>0</v>
      </c>
      <c r="AW621" s="156">
        <f t="shared" si="208"/>
        <v>0</v>
      </c>
      <c r="AX621" s="156">
        <f t="shared" si="208"/>
        <v>0</v>
      </c>
      <c r="AY621" s="156">
        <f t="shared" si="208"/>
        <v>0</v>
      </c>
      <c r="AZ621" s="156">
        <f t="shared" si="208"/>
        <v>0</v>
      </c>
      <c r="BA621" s="156">
        <f t="shared" si="208"/>
        <v>0</v>
      </c>
      <c r="BB621" s="156">
        <f t="shared" si="208"/>
        <v>0</v>
      </c>
      <c r="BC621" s="156">
        <f t="shared" si="208"/>
        <v>0</v>
      </c>
      <c r="BD621" s="156">
        <f t="shared" si="208"/>
        <v>0</v>
      </c>
      <c r="BE621" s="156">
        <f t="shared" si="208"/>
        <v>0</v>
      </c>
      <c r="BF621" s="156">
        <f t="shared" si="208"/>
        <v>0</v>
      </c>
      <c r="BG621" s="158">
        <f t="shared" si="209"/>
        <v>0</v>
      </c>
    </row>
    <row r="622" spans="1:59" x14ac:dyDescent="0.25">
      <c r="A622" s="14"/>
      <c r="B622" s="15" t="str">
        <f t="shared" si="199"/>
        <v>IND_OPER__</v>
      </c>
      <c r="C622" s="83">
        <f t="shared" si="212"/>
        <v>0</v>
      </c>
      <c r="D622" s="15" t="str">
        <f>IFERROR("QTD_REC_"&amp;VLOOKUP($J622,#REF!,7,0),"")</f>
        <v/>
      </c>
      <c r="E622" s="14"/>
      <c r="F622" s="148"/>
      <c r="G622" s="149" t="str">
        <f>IFERROR(VLOOKUP(F622,#REF!,2,0),"")</f>
        <v/>
      </c>
      <c r="H622" s="150" t="str">
        <f>IFERROR(VLOOKUP(F622,#REF!,3,0),"")</f>
        <v/>
      </c>
      <c r="I622" s="151"/>
      <c r="J622" s="151"/>
      <c r="K622" s="150" t="str">
        <f>IFERROR(VLOOKUP($J622,#REF!,2,0),"")</f>
        <v/>
      </c>
      <c r="L622" s="150" t="str">
        <f t="shared" si="200"/>
        <v/>
      </c>
      <c r="M622" s="154"/>
      <c r="N622" s="182"/>
      <c r="O622" s="155"/>
      <c r="P622" s="156"/>
      <c r="Q622" s="156"/>
      <c r="R622" s="156"/>
      <c r="S622" s="156"/>
      <c r="T622" s="156"/>
      <c r="U622" s="156"/>
      <c r="V622" s="156"/>
      <c r="W622" s="156"/>
      <c r="X622" s="156"/>
      <c r="Y622" s="156"/>
      <c r="Z622" s="156"/>
      <c r="AA622" s="156"/>
      <c r="AB622" s="158">
        <f t="shared" si="201"/>
        <v>0</v>
      </c>
      <c r="AC622" s="159"/>
      <c r="AE622" s="160" t="str">
        <f t="shared" si="204"/>
        <v/>
      </c>
      <c r="AF622" s="161">
        <f t="shared" si="210"/>
        <v>0</v>
      </c>
      <c r="AG622" s="162">
        <f t="shared" si="210"/>
        <v>0</v>
      </c>
      <c r="AH622" s="162">
        <f t="shared" si="210"/>
        <v>0</v>
      </c>
      <c r="AI622" s="162">
        <f t="shared" si="210"/>
        <v>0</v>
      </c>
      <c r="AJ622" s="162">
        <f t="shared" si="210"/>
        <v>0</v>
      </c>
      <c r="AK622" s="162">
        <f t="shared" si="210"/>
        <v>0</v>
      </c>
      <c r="AL622" s="162">
        <f t="shared" si="210"/>
        <v>0</v>
      </c>
      <c r="AM622" s="162">
        <f t="shared" si="210"/>
        <v>0</v>
      </c>
      <c r="AN622" s="162">
        <f t="shared" si="210"/>
        <v>0</v>
      </c>
      <c r="AO622" s="162">
        <f t="shared" si="210"/>
        <v>0</v>
      </c>
      <c r="AP622" s="162">
        <f t="shared" si="210"/>
        <v>0</v>
      </c>
      <c r="AQ622" s="162">
        <f t="shared" si="210"/>
        <v>0</v>
      </c>
      <c r="AR622" s="163">
        <f t="shared" si="206"/>
        <v>0</v>
      </c>
      <c r="AT622" s="181" t="str">
        <f t="shared" si="207"/>
        <v/>
      </c>
      <c r="AU622" s="156">
        <f t="shared" si="207"/>
        <v>0</v>
      </c>
      <c r="AV622" s="156">
        <f t="shared" si="208"/>
        <v>0</v>
      </c>
      <c r="AW622" s="156">
        <f t="shared" si="208"/>
        <v>0</v>
      </c>
      <c r="AX622" s="156">
        <f t="shared" si="208"/>
        <v>0</v>
      </c>
      <c r="AY622" s="156">
        <f t="shared" si="208"/>
        <v>0</v>
      </c>
      <c r="AZ622" s="156">
        <f t="shared" si="208"/>
        <v>0</v>
      </c>
      <c r="BA622" s="156">
        <f t="shared" si="208"/>
        <v>0</v>
      </c>
      <c r="BB622" s="156">
        <f t="shared" si="208"/>
        <v>0</v>
      </c>
      <c r="BC622" s="156">
        <f t="shared" si="208"/>
        <v>0</v>
      </c>
      <c r="BD622" s="156">
        <f t="shared" si="208"/>
        <v>0</v>
      </c>
      <c r="BE622" s="156">
        <f t="shared" si="208"/>
        <v>0</v>
      </c>
      <c r="BF622" s="156">
        <f t="shared" si="208"/>
        <v>0</v>
      </c>
      <c r="BG622" s="158">
        <f t="shared" si="209"/>
        <v>0</v>
      </c>
    </row>
    <row r="623" spans="1:59" x14ac:dyDescent="0.25">
      <c r="A623" s="14"/>
      <c r="B623" s="15" t="str">
        <f t="shared" si="199"/>
        <v>IND_OPER__</v>
      </c>
      <c r="C623" s="83">
        <f t="shared" si="212"/>
        <v>0</v>
      </c>
      <c r="D623" s="15" t="str">
        <f>IFERROR("QTD_REC_"&amp;VLOOKUP($J623,#REF!,7,0),"")</f>
        <v/>
      </c>
      <c r="E623" s="14"/>
      <c r="F623" s="148"/>
      <c r="G623" s="149" t="str">
        <f>IFERROR(VLOOKUP(F623,#REF!,2,0),"")</f>
        <v/>
      </c>
      <c r="H623" s="150" t="str">
        <f>IFERROR(VLOOKUP(F623,#REF!,3,0),"")</f>
        <v/>
      </c>
      <c r="I623" s="151"/>
      <c r="J623" s="151"/>
      <c r="K623" s="150" t="str">
        <f>IFERROR(VLOOKUP($J623,#REF!,2,0),"")</f>
        <v/>
      </c>
      <c r="L623" s="150" t="str">
        <f t="shared" si="200"/>
        <v/>
      </c>
      <c r="M623" s="154"/>
      <c r="N623" s="182"/>
      <c r="O623" s="155"/>
      <c r="P623" s="156"/>
      <c r="Q623" s="156"/>
      <c r="R623" s="156"/>
      <c r="S623" s="156"/>
      <c r="T623" s="156"/>
      <c r="U623" s="156"/>
      <c r="V623" s="156"/>
      <c r="W623" s="156"/>
      <c r="X623" s="156"/>
      <c r="Y623" s="156"/>
      <c r="Z623" s="156"/>
      <c r="AA623" s="156"/>
      <c r="AB623" s="158">
        <f t="shared" si="201"/>
        <v>0</v>
      </c>
      <c r="AC623" s="159"/>
      <c r="AE623" s="160" t="str">
        <f t="shared" si="204"/>
        <v/>
      </c>
      <c r="AF623" s="161">
        <f t="shared" si="210"/>
        <v>0</v>
      </c>
      <c r="AG623" s="162">
        <f t="shared" si="210"/>
        <v>0</v>
      </c>
      <c r="AH623" s="162">
        <f t="shared" si="210"/>
        <v>0</v>
      </c>
      <c r="AI623" s="162">
        <f t="shared" si="210"/>
        <v>0</v>
      </c>
      <c r="AJ623" s="162">
        <f t="shared" si="210"/>
        <v>0</v>
      </c>
      <c r="AK623" s="162">
        <f t="shared" si="210"/>
        <v>0</v>
      </c>
      <c r="AL623" s="162">
        <f t="shared" si="210"/>
        <v>0</v>
      </c>
      <c r="AM623" s="162">
        <f t="shared" si="210"/>
        <v>0</v>
      </c>
      <c r="AN623" s="162">
        <f t="shared" si="210"/>
        <v>0</v>
      </c>
      <c r="AO623" s="162">
        <f t="shared" si="210"/>
        <v>0</v>
      </c>
      <c r="AP623" s="162">
        <f t="shared" si="210"/>
        <v>0</v>
      </c>
      <c r="AQ623" s="162">
        <f t="shared" si="210"/>
        <v>0</v>
      </c>
      <c r="AR623" s="163">
        <f t="shared" si="206"/>
        <v>0</v>
      </c>
      <c r="AT623" s="181" t="str">
        <f t="shared" si="207"/>
        <v/>
      </c>
      <c r="AU623" s="156">
        <f t="shared" si="207"/>
        <v>0</v>
      </c>
      <c r="AV623" s="156">
        <f t="shared" si="208"/>
        <v>0</v>
      </c>
      <c r="AW623" s="156">
        <f t="shared" si="208"/>
        <v>0</v>
      </c>
      <c r="AX623" s="156">
        <f t="shared" si="208"/>
        <v>0</v>
      </c>
      <c r="AY623" s="156">
        <f t="shared" si="208"/>
        <v>0</v>
      </c>
      <c r="AZ623" s="156">
        <f t="shared" si="208"/>
        <v>0</v>
      </c>
      <c r="BA623" s="156">
        <f t="shared" si="208"/>
        <v>0</v>
      </c>
      <c r="BB623" s="156">
        <f t="shared" si="208"/>
        <v>0</v>
      </c>
      <c r="BC623" s="156">
        <f t="shared" si="208"/>
        <v>0</v>
      </c>
      <c r="BD623" s="156">
        <f t="shared" si="208"/>
        <v>0</v>
      </c>
      <c r="BE623" s="156">
        <f t="shared" si="208"/>
        <v>0</v>
      </c>
      <c r="BF623" s="156">
        <f t="shared" si="208"/>
        <v>0</v>
      </c>
      <c r="BG623" s="158">
        <f t="shared" si="209"/>
        <v>0</v>
      </c>
    </row>
    <row r="624" spans="1:59" x14ac:dyDescent="0.25">
      <c r="A624" s="14"/>
      <c r="B624" s="15" t="str">
        <f t="shared" si="199"/>
        <v>IND_OPER__</v>
      </c>
      <c r="C624" s="83">
        <f t="shared" si="212"/>
        <v>0</v>
      </c>
      <c r="D624" s="15" t="str">
        <f>IFERROR("QTD_REC_"&amp;VLOOKUP($J624,#REF!,7,0),"")</f>
        <v/>
      </c>
      <c r="E624" s="14"/>
      <c r="F624" s="148"/>
      <c r="G624" s="149" t="str">
        <f>IFERROR(VLOOKUP(F624,#REF!,2,0),"")</f>
        <v/>
      </c>
      <c r="H624" s="150" t="str">
        <f>IFERROR(VLOOKUP(F624,#REF!,3,0),"")</f>
        <v/>
      </c>
      <c r="I624" s="151"/>
      <c r="J624" s="151"/>
      <c r="K624" s="150" t="str">
        <f>IFERROR(VLOOKUP($J624,#REF!,2,0),"")</f>
        <v/>
      </c>
      <c r="L624" s="150" t="str">
        <f t="shared" si="200"/>
        <v/>
      </c>
      <c r="M624" s="154"/>
      <c r="N624" s="182"/>
      <c r="O624" s="155"/>
      <c r="P624" s="156"/>
      <c r="Q624" s="156"/>
      <c r="R624" s="156"/>
      <c r="S624" s="156"/>
      <c r="T624" s="156"/>
      <c r="U624" s="156"/>
      <c r="V624" s="156"/>
      <c r="W624" s="156"/>
      <c r="X624" s="156"/>
      <c r="Y624" s="156"/>
      <c r="Z624" s="156"/>
      <c r="AA624" s="156"/>
      <c r="AB624" s="158">
        <f t="shared" si="201"/>
        <v>0</v>
      </c>
      <c r="AC624" s="159"/>
      <c r="AE624" s="160" t="str">
        <f t="shared" si="204"/>
        <v/>
      </c>
      <c r="AF624" s="161">
        <f t="shared" si="210"/>
        <v>0</v>
      </c>
      <c r="AG624" s="162">
        <f t="shared" si="210"/>
        <v>0</v>
      </c>
      <c r="AH624" s="162">
        <f t="shared" si="210"/>
        <v>0</v>
      </c>
      <c r="AI624" s="162">
        <f t="shared" si="210"/>
        <v>0</v>
      </c>
      <c r="AJ624" s="162">
        <f t="shared" si="210"/>
        <v>0</v>
      </c>
      <c r="AK624" s="162">
        <f t="shared" si="210"/>
        <v>0</v>
      </c>
      <c r="AL624" s="162">
        <f t="shared" si="210"/>
        <v>0</v>
      </c>
      <c r="AM624" s="162">
        <f t="shared" si="210"/>
        <v>0</v>
      </c>
      <c r="AN624" s="162">
        <f t="shared" si="210"/>
        <v>0</v>
      </c>
      <c r="AO624" s="162">
        <f t="shared" si="210"/>
        <v>0</v>
      </c>
      <c r="AP624" s="162">
        <f t="shared" si="210"/>
        <v>0</v>
      </c>
      <c r="AQ624" s="162">
        <f t="shared" si="210"/>
        <v>0</v>
      </c>
      <c r="AR624" s="163">
        <f t="shared" si="206"/>
        <v>0</v>
      </c>
      <c r="AT624" s="181" t="str">
        <f t="shared" si="207"/>
        <v/>
      </c>
      <c r="AU624" s="156">
        <f t="shared" si="207"/>
        <v>0</v>
      </c>
      <c r="AV624" s="156">
        <f t="shared" si="208"/>
        <v>0</v>
      </c>
      <c r="AW624" s="156">
        <f t="shared" si="208"/>
        <v>0</v>
      </c>
      <c r="AX624" s="156">
        <f t="shared" si="208"/>
        <v>0</v>
      </c>
      <c r="AY624" s="156">
        <f t="shared" si="208"/>
        <v>0</v>
      </c>
      <c r="AZ624" s="156">
        <f t="shared" si="208"/>
        <v>0</v>
      </c>
      <c r="BA624" s="156">
        <f t="shared" si="208"/>
        <v>0</v>
      </c>
      <c r="BB624" s="156">
        <f t="shared" si="208"/>
        <v>0</v>
      </c>
      <c r="BC624" s="156">
        <f t="shared" si="208"/>
        <v>0</v>
      </c>
      <c r="BD624" s="156">
        <f t="shared" si="208"/>
        <v>0</v>
      </c>
      <c r="BE624" s="156">
        <f t="shared" si="208"/>
        <v>0</v>
      </c>
      <c r="BF624" s="156">
        <f t="shared" si="208"/>
        <v>0</v>
      </c>
      <c r="BG624" s="158">
        <f t="shared" si="209"/>
        <v>0</v>
      </c>
    </row>
    <row r="625" spans="1:59" x14ac:dyDescent="0.25">
      <c r="A625" s="14"/>
      <c r="B625" s="15" t="str">
        <f t="shared" si="199"/>
        <v>IND_OPER__</v>
      </c>
      <c r="C625" s="83">
        <f t="shared" si="212"/>
        <v>0</v>
      </c>
      <c r="D625" s="15" t="str">
        <f>IFERROR("QTD_REC_"&amp;VLOOKUP($J625,#REF!,7,0),"")</f>
        <v/>
      </c>
      <c r="E625" s="14"/>
      <c r="F625" s="148"/>
      <c r="G625" s="149" t="str">
        <f>IFERROR(VLOOKUP(F625,#REF!,2,0),"")</f>
        <v/>
      </c>
      <c r="H625" s="150" t="str">
        <f>IFERROR(VLOOKUP(F625,#REF!,3,0),"")</f>
        <v/>
      </c>
      <c r="I625" s="151"/>
      <c r="J625" s="151"/>
      <c r="K625" s="150" t="str">
        <f>IFERROR(VLOOKUP($J625,#REF!,2,0),"")</f>
        <v/>
      </c>
      <c r="L625" s="150" t="str">
        <f t="shared" si="200"/>
        <v/>
      </c>
      <c r="M625" s="154"/>
      <c r="N625" s="182"/>
      <c r="O625" s="155"/>
      <c r="P625" s="156"/>
      <c r="Q625" s="156"/>
      <c r="R625" s="156"/>
      <c r="S625" s="156"/>
      <c r="T625" s="156"/>
      <c r="U625" s="156"/>
      <c r="V625" s="156"/>
      <c r="W625" s="156"/>
      <c r="X625" s="156"/>
      <c r="Y625" s="156"/>
      <c r="Z625" s="156"/>
      <c r="AA625" s="156"/>
      <c r="AB625" s="158">
        <f t="shared" si="201"/>
        <v>0</v>
      </c>
      <c r="AC625" s="159"/>
      <c r="AE625" s="160" t="str">
        <f t="shared" si="204"/>
        <v/>
      </c>
      <c r="AF625" s="161">
        <f t="shared" si="210"/>
        <v>0</v>
      </c>
      <c r="AG625" s="162">
        <f t="shared" si="210"/>
        <v>0</v>
      </c>
      <c r="AH625" s="162">
        <f t="shared" si="210"/>
        <v>0</v>
      </c>
      <c r="AI625" s="162">
        <f t="shared" si="210"/>
        <v>0</v>
      </c>
      <c r="AJ625" s="162">
        <f t="shared" si="210"/>
        <v>0</v>
      </c>
      <c r="AK625" s="162">
        <f t="shared" si="210"/>
        <v>0</v>
      </c>
      <c r="AL625" s="162">
        <f t="shared" si="210"/>
        <v>0</v>
      </c>
      <c r="AM625" s="162">
        <f t="shared" si="210"/>
        <v>0</v>
      </c>
      <c r="AN625" s="162">
        <f t="shared" si="210"/>
        <v>0</v>
      </c>
      <c r="AO625" s="162">
        <f t="shared" si="210"/>
        <v>0</v>
      </c>
      <c r="AP625" s="162">
        <f t="shared" si="210"/>
        <v>0</v>
      </c>
      <c r="AQ625" s="162">
        <f t="shared" si="210"/>
        <v>0</v>
      </c>
      <c r="AR625" s="163">
        <f t="shared" si="206"/>
        <v>0</v>
      </c>
      <c r="AT625" s="181" t="str">
        <f t="shared" si="207"/>
        <v/>
      </c>
      <c r="AU625" s="156">
        <f t="shared" si="207"/>
        <v>0</v>
      </c>
      <c r="AV625" s="156">
        <f t="shared" si="208"/>
        <v>0</v>
      </c>
      <c r="AW625" s="156">
        <f t="shared" si="208"/>
        <v>0</v>
      </c>
      <c r="AX625" s="156">
        <f t="shared" si="208"/>
        <v>0</v>
      </c>
      <c r="AY625" s="156">
        <f t="shared" si="208"/>
        <v>0</v>
      </c>
      <c r="AZ625" s="156">
        <f t="shared" si="208"/>
        <v>0</v>
      </c>
      <c r="BA625" s="156">
        <f t="shared" si="208"/>
        <v>0</v>
      </c>
      <c r="BB625" s="156">
        <f t="shared" si="208"/>
        <v>0</v>
      </c>
      <c r="BC625" s="156">
        <f t="shared" si="208"/>
        <v>0</v>
      </c>
      <c r="BD625" s="156">
        <f t="shared" si="208"/>
        <v>0</v>
      </c>
      <c r="BE625" s="156">
        <f t="shared" si="208"/>
        <v>0</v>
      </c>
      <c r="BF625" s="156">
        <f t="shared" si="208"/>
        <v>0</v>
      </c>
      <c r="BG625" s="158">
        <f t="shared" si="209"/>
        <v>0</v>
      </c>
    </row>
    <row r="626" spans="1:59" x14ac:dyDescent="0.25">
      <c r="A626" s="14"/>
      <c r="B626" s="15" t="str">
        <f t="shared" si="199"/>
        <v>IND_OPER__</v>
      </c>
      <c r="C626" s="83">
        <f t="shared" si="212"/>
        <v>0</v>
      </c>
      <c r="D626" s="15" t="str">
        <f>IFERROR("QTD_REC_"&amp;VLOOKUP($J626,#REF!,7,0),"")</f>
        <v/>
      </c>
      <c r="E626" s="14"/>
      <c r="F626" s="148"/>
      <c r="G626" s="149" t="str">
        <f>IFERROR(VLOOKUP(F626,#REF!,2,0),"")</f>
        <v/>
      </c>
      <c r="H626" s="150" t="str">
        <f>IFERROR(VLOOKUP(F626,#REF!,3,0),"")</f>
        <v/>
      </c>
      <c r="I626" s="151"/>
      <c r="J626" s="151"/>
      <c r="K626" s="150" t="str">
        <f>IFERROR(VLOOKUP($J626,#REF!,2,0),"")</f>
        <v/>
      </c>
      <c r="L626" s="150" t="str">
        <f t="shared" si="200"/>
        <v/>
      </c>
      <c r="M626" s="154"/>
      <c r="N626" s="182"/>
      <c r="O626" s="155"/>
      <c r="P626" s="156"/>
      <c r="Q626" s="156"/>
      <c r="R626" s="156"/>
      <c r="S626" s="156"/>
      <c r="T626" s="156"/>
      <c r="U626" s="156"/>
      <c r="V626" s="156"/>
      <c r="W626" s="156"/>
      <c r="X626" s="156"/>
      <c r="Y626" s="156"/>
      <c r="Z626" s="156"/>
      <c r="AA626" s="156"/>
      <c r="AB626" s="158">
        <f t="shared" si="201"/>
        <v>0</v>
      </c>
      <c r="AC626" s="159"/>
      <c r="AE626" s="160" t="str">
        <f t="shared" si="204"/>
        <v/>
      </c>
      <c r="AF626" s="161">
        <f t="shared" si="210"/>
        <v>0</v>
      </c>
      <c r="AG626" s="162">
        <f t="shared" si="210"/>
        <v>0</v>
      </c>
      <c r="AH626" s="162">
        <f t="shared" si="210"/>
        <v>0</v>
      </c>
      <c r="AI626" s="162">
        <f t="shared" si="210"/>
        <v>0</v>
      </c>
      <c r="AJ626" s="162">
        <f t="shared" si="210"/>
        <v>0</v>
      </c>
      <c r="AK626" s="162">
        <f t="shared" si="210"/>
        <v>0</v>
      </c>
      <c r="AL626" s="162">
        <f t="shared" si="210"/>
        <v>0</v>
      </c>
      <c r="AM626" s="162">
        <f t="shared" si="210"/>
        <v>0</v>
      </c>
      <c r="AN626" s="162">
        <f t="shared" si="210"/>
        <v>0</v>
      </c>
      <c r="AO626" s="162">
        <f t="shared" si="210"/>
        <v>0</v>
      </c>
      <c r="AP626" s="162">
        <f t="shared" si="210"/>
        <v>0</v>
      </c>
      <c r="AQ626" s="162">
        <f t="shared" si="210"/>
        <v>0</v>
      </c>
      <c r="AR626" s="163">
        <f t="shared" si="206"/>
        <v>0</v>
      </c>
      <c r="AT626" s="181" t="str">
        <f t="shared" si="207"/>
        <v/>
      </c>
      <c r="AU626" s="156">
        <f t="shared" si="207"/>
        <v>0</v>
      </c>
      <c r="AV626" s="156">
        <f t="shared" si="208"/>
        <v>0</v>
      </c>
      <c r="AW626" s="156">
        <f t="shared" si="208"/>
        <v>0</v>
      </c>
      <c r="AX626" s="156">
        <f t="shared" si="208"/>
        <v>0</v>
      </c>
      <c r="AY626" s="156">
        <f t="shared" si="208"/>
        <v>0</v>
      </c>
      <c r="AZ626" s="156">
        <f t="shared" si="208"/>
        <v>0</v>
      </c>
      <c r="BA626" s="156">
        <f t="shared" si="208"/>
        <v>0</v>
      </c>
      <c r="BB626" s="156">
        <f t="shared" si="208"/>
        <v>0</v>
      </c>
      <c r="BC626" s="156">
        <f t="shared" si="208"/>
        <v>0</v>
      </c>
      <c r="BD626" s="156">
        <f t="shared" si="208"/>
        <v>0</v>
      </c>
      <c r="BE626" s="156">
        <f t="shared" si="208"/>
        <v>0</v>
      </c>
      <c r="BF626" s="156">
        <f t="shared" si="208"/>
        <v>0</v>
      </c>
      <c r="BG626" s="158">
        <f t="shared" si="209"/>
        <v>0</v>
      </c>
    </row>
    <row r="627" spans="1:59" x14ac:dyDescent="0.25">
      <c r="A627" s="14"/>
      <c r="B627" s="15" t="str">
        <f t="shared" si="199"/>
        <v>IND_OPER__</v>
      </c>
      <c r="C627" s="83">
        <f t="shared" si="212"/>
        <v>0</v>
      </c>
      <c r="D627" s="15" t="str">
        <f>IFERROR("QTD_REC_"&amp;VLOOKUP($J627,#REF!,7,0),"")</f>
        <v/>
      </c>
      <c r="E627" s="14"/>
      <c r="F627" s="148"/>
      <c r="G627" s="149" t="str">
        <f>IFERROR(VLOOKUP(F627,#REF!,2,0),"")</f>
        <v/>
      </c>
      <c r="H627" s="150" t="str">
        <f>IFERROR(VLOOKUP(F627,#REF!,3,0),"")</f>
        <v/>
      </c>
      <c r="I627" s="151"/>
      <c r="J627" s="151"/>
      <c r="K627" s="150" t="str">
        <f>IFERROR(VLOOKUP($J627,#REF!,2,0),"")</f>
        <v/>
      </c>
      <c r="L627" s="150" t="str">
        <f t="shared" si="200"/>
        <v/>
      </c>
      <c r="M627" s="154"/>
      <c r="N627" s="182"/>
      <c r="O627" s="155"/>
      <c r="P627" s="156"/>
      <c r="Q627" s="156"/>
      <c r="R627" s="156"/>
      <c r="S627" s="156"/>
      <c r="T627" s="156"/>
      <c r="U627" s="156"/>
      <c r="V627" s="156"/>
      <c r="W627" s="156"/>
      <c r="X627" s="156"/>
      <c r="Y627" s="156"/>
      <c r="Z627" s="156"/>
      <c r="AA627" s="156"/>
      <c r="AB627" s="158">
        <f t="shared" si="201"/>
        <v>0</v>
      </c>
      <c r="AC627" s="159"/>
      <c r="AE627" s="160" t="str">
        <f t="shared" si="204"/>
        <v/>
      </c>
      <c r="AF627" s="161">
        <f t="shared" si="210"/>
        <v>0</v>
      </c>
      <c r="AG627" s="162">
        <f t="shared" si="210"/>
        <v>0</v>
      </c>
      <c r="AH627" s="162">
        <f t="shared" si="210"/>
        <v>0</v>
      </c>
      <c r="AI627" s="162">
        <f t="shared" si="210"/>
        <v>0</v>
      </c>
      <c r="AJ627" s="162">
        <f t="shared" si="210"/>
        <v>0</v>
      </c>
      <c r="AK627" s="162">
        <f t="shared" si="210"/>
        <v>0</v>
      </c>
      <c r="AL627" s="162">
        <f t="shared" si="210"/>
        <v>0</v>
      </c>
      <c r="AM627" s="162">
        <f t="shared" si="210"/>
        <v>0</v>
      </c>
      <c r="AN627" s="162">
        <f t="shared" si="210"/>
        <v>0</v>
      </c>
      <c r="AO627" s="162">
        <f t="shared" si="210"/>
        <v>0</v>
      </c>
      <c r="AP627" s="162">
        <f t="shared" si="210"/>
        <v>0</v>
      </c>
      <c r="AQ627" s="162">
        <f t="shared" si="210"/>
        <v>0</v>
      </c>
      <c r="AR627" s="163">
        <f t="shared" si="206"/>
        <v>0</v>
      </c>
      <c r="AT627" s="181" t="str">
        <f t="shared" si="207"/>
        <v/>
      </c>
      <c r="AU627" s="156">
        <f t="shared" si="207"/>
        <v>0</v>
      </c>
      <c r="AV627" s="156">
        <f t="shared" si="208"/>
        <v>0</v>
      </c>
      <c r="AW627" s="156">
        <f t="shared" si="208"/>
        <v>0</v>
      </c>
      <c r="AX627" s="156">
        <f t="shared" si="208"/>
        <v>0</v>
      </c>
      <c r="AY627" s="156">
        <f t="shared" si="208"/>
        <v>0</v>
      </c>
      <c r="AZ627" s="156">
        <f t="shared" si="208"/>
        <v>0</v>
      </c>
      <c r="BA627" s="156">
        <f t="shared" si="208"/>
        <v>0</v>
      </c>
      <c r="BB627" s="156">
        <f t="shared" si="208"/>
        <v>0</v>
      </c>
      <c r="BC627" s="156">
        <f t="shared" si="208"/>
        <v>0</v>
      </c>
      <c r="BD627" s="156">
        <f t="shared" si="208"/>
        <v>0</v>
      </c>
      <c r="BE627" s="156">
        <f t="shared" si="208"/>
        <v>0</v>
      </c>
      <c r="BF627" s="156">
        <f t="shared" si="208"/>
        <v>0</v>
      </c>
      <c r="BG627" s="158">
        <f t="shared" si="209"/>
        <v>0</v>
      </c>
    </row>
    <row r="628" spans="1:59" x14ac:dyDescent="0.25">
      <c r="A628" s="14"/>
      <c r="B628" s="15" t="str">
        <f t="shared" si="199"/>
        <v>IND_OPER__</v>
      </c>
      <c r="C628" s="83">
        <f t="shared" si="212"/>
        <v>0</v>
      </c>
      <c r="D628" s="15" t="str">
        <f>IFERROR("QTD_REC_"&amp;VLOOKUP($J628,#REF!,7,0),"")</f>
        <v/>
      </c>
      <c r="E628" s="14"/>
      <c r="F628" s="148"/>
      <c r="G628" s="149" t="str">
        <f>IFERROR(VLOOKUP(F628,#REF!,2,0),"")</f>
        <v/>
      </c>
      <c r="H628" s="150" t="str">
        <f>IFERROR(VLOOKUP(F628,#REF!,3,0),"")</f>
        <v/>
      </c>
      <c r="I628" s="151"/>
      <c r="J628" s="151"/>
      <c r="K628" s="150" t="str">
        <f>IFERROR(VLOOKUP($J628,#REF!,2,0),"")</f>
        <v/>
      </c>
      <c r="L628" s="150" t="str">
        <f t="shared" si="200"/>
        <v/>
      </c>
      <c r="M628" s="154"/>
      <c r="N628" s="182"/>
      <c r="O628" s="155"/>
      <c r="P628" s="156"/>
      <c r="Q628" s="156"/>
      <c r="R628" s="156"/>
      <c r="S628" s="156"/>
      <c r="T628" s="156"/>
      <c r="U628" s="156"/>
      <c r="V628" s="156"/>
      <c r="W628" s="156"/>
      <c r="X628" s="156"/>
      <c r="Y628" s="156"/>
      <c r="Z628" s="156"/>
      <c r="AA628" s="156"/>
      <c r="AB628" s="158">
        <f t="shared" si="201"/>
        <v>0</v>
      </c>
      <c r="AC628" s="159"/>
      <c r="AE628" s="160" t="str">
        <f t="shared" si="204"/>
        <v/>
      </c>
      <c r="AF628" s="161">
        <f t="shared" si="210"/>
        <v>0</v>
      </c>
      <c r="AG628" s="162">
        <f t="shared" si="210"/>
        <v>0</v>
      </c>
      <c r="AH628" s="162">
        <f t="shared" si="210"/>
        <v>0</v>
      </c>
      <c r="AI628" s="162">
        <f t="shared" si="210"/>
        <v>0</v>
      </c>
      <c r="AJ628" s="162">
        <f t="shared" si="210"/>
        <v>0</v>
      </c>
      <c r="AK628" s="162">
        <f t="shared" si="210"/>
        <v>0</v>
      </c>
      <c r="AL628" s="162">
        <f t="shared" si="210"/>
        <v>0</v>
      </c>
      <c r="AM628" s="162">
        <f t="shared" si="210"/>
        <v>0</v>
      </c>
      <c r="AN628" s="162">
        <f t="shared" si="210"/>
        <v>0</v>
      </c>
      <c r="AO628" s="162">
        <f t="shared" si="210"/>
        <v>0</v>
      </c>
      <c r="AP628" s="162">
        <f t="shared" si="210"/>
        <v>0</v>
      </c>
      <c r="AQ628" s="162">
        <f t="shared" si="210"/>
        <v>0</v>
      </c>
      <c r="AR628" s="163">
        <f t="shared" si="206"/>
        <v>0</v>
      </c>
      <c r="AT628" s="181" t="str">
        <f t="shared" si="207"/>
        <v/>
      </c>
      <c r="AU628" s="156">
        <f t="shared" si="207"/>
        <v>0</v>
      </c>
      <c r="AV628" s="156">
        <f t="shared" si="208"/>
        <v>0</v>
      </c>
      <c r="AW628" s="156">
        <f t="shared" si="208"/>
        <v>0</v>
      </c>
      <c r="AX628" s="156">
        <f t="shared" si="208"/>
        <v>0</v>
      </c>
      <c r="AY628" s="156">
        <f t="shared" si="208"/>
        <v>0</v>
      </c>
      <c r="AZ628" s="156">
        <f t="shared" si="208"/>
        <v>0</v>
      </c>
      <c r="BA628" s="156">
        <f t="shared" si="208"/>
        <v>0</v>
      </c>
      <c r="BB628" s="156">
        <f t="shared" si="208"/>
        <v>0</v>
      </c>
      <c r="BC628" s="156">
        <f t="shared" si="208"/>
        <v>0</v>
      </c>
      <c r="BD628" s="156">
        <f t="shared" si="208"/>
        <v>0</v>
      </c>
      <c r="BE628" s="156">
        <f t="shared" si="208"/>
        <v>0</v>
      </c>
      <c r="BF628" s="156">
        <f t="shared" si="208"/>
        <v>0</v>
      </c>
      <c r="BG628" s="158">
        <f t="shared" si="209"/>
        <v>0</v>
      </c>
    </row>
    <row r="629" spans="1:59" x14ac:dyDescent="0.25">
      <c r="A629" s="14"/>
      <c r="B629" s="15" t="str">
        <f t="shared" si="199"/>
        <v>IND_OPER__</v>
      </c>
      <c r="C629" s="83">
        <f t="shared" si="212"/>
        <v>0</v>
      </c>
      <c r="D629" s="15" t="str">
        <f>IFERROR("QTD_REC_"&amp;VLOOKUP($J629,#REF!,7,0),"")</f>
        <v/>
      </c>
      <c r="E629" s="14"/>
      <c r="F629" s="148"/>
      <c r="G629" s="149" t="str">
        <f>IFERROR(VLOOKUP(F629,#REF!,2,0),"")</f>
        <v/>
      </c>
      <c r="H629" s="150" t="str">
        <f>IFERROR(VLOOKUP(F629,#REF!,3,0),"")</f>
        <v/>
      </c>
      <c r="I629" s="151"/>
      <c r="J629" s="151"/>
      <c r="K629" s="150" t="str">
        <f>IFERROR(VLOOKUP($J629,#REF!,2,0),"")</f>
        <v/>
      </c>
      <c r="L629" s="150" t="str">
        <f t="shared" si="200"/>
        <v/>
      </c>
      <c r="M629" s="154"/>
      <c r="N629" s="182"/>
      <c r="O629" s="155"/>
      <c r="P629" s="156"/>
      <c r="Q629" s="156"/>
      <c r="R629" s="156"/>
      <c r="S629" s="156"/>
      <c r="T629" s="156"/>
      <c r="U629" s="156"/>
      <c r="V629" s="156"/>
      <c r="W629" s="156"/>
      <c r="X629" s="156"/>
      <c r="Y629" s="156"/>
      <c r="Z629" s="156"/>
      <c r="AA629" s="156"/>
      <c r="AB629" s="158">
        <f t="shared" si="201"/>
        <v>0</v>
      </c>
      <c r="AC629" s="159"/>
      <c r="AE629" s="160" t="str">
        <f t="shared" si="204"/>
        <v/>
      </c>
      <c r="AF629" s="161">
        <f t="shared" si="210"/>
        <v>0</v>
      </c>
      <c r="AG629" s="162">
        <f t="shared" si="210"/>
        <v>0</v>
      </c>
      <c r="AH629" s="162">
        <f t="shared" si="210"/>
        <v>0</v>
      </c>
      <c r="AI629" s="162">
        <f t="shared" si="210"/>
        <v>0</v>
      </c>
      <c r="AJ629" s="162">
        <f t="shared" si="210"/>
        <v>0</v>
      </c>
      <c r="AK629" s="162">
        <f t="shared" si="210"/>
        <v>0</v>
      </c>
      <c r="AL629" s="162">
        <f t="shared" si="210"/>
        <v>0</v>
      </c>
      <c r="AM629" s="162">
        <f t="shared" si="210"/>
        <v>0</v>
      </c>
      <c r="AN629" s="162">
        <f t="shared" si="210"/>
        <v>0</v>
      </c>
      <c r="AO629" s="162">
        <f t="shared" si="210"/>
        <v>0</v>
      </c>
      <c r="AP629" s="162">
        <f t="shared" si="210"/>
        <v>0</v>
      </c>
      <c r="AQ629" s="162">
        <f t="shared" si="210"/>
        <v>0</v>
      </c>
      <c r="AR629" s="163">
        <f t="shared" si="206"/>
        <v>0</v>
      </c>
      <c r="AT629" s="181" t="str">
        <f t="shared" si="207"/>
        <v/>
      </c>
      <c r="AU629" s="156">
        <f t="shared" si="207"/>
        <v>0</v>
      </c>
      <c r="AV629" s="156">
        <f t="shared" si="208"/>
        <v>0</v>
      </c>
      <c r="AW629" s="156">
        <f t="shared" si="208"/>
        <v>0</v>
      </c>
      <c r="AX629" s="156">
        <f t="shared" si="208"/>
        <v>0</v>
      </c>
      <c r="AY629" s="156">
        <f t="shared" si="208"/>
        <v>0</v>
      </c>
      <c r="AZ629" s="156">
        <f t="shared" si="208"/>
        <v>0</v>
      </c>
      <c r="BA629" s="156">
        <f t="shared" si="208"/>
        <v>0</v>
      </c>
      <c r="BB629" s="156">
        <f t="shared" si="208"/>
        <v>0</v>
      </c>
      <c r="BC629" s="156">
        <f t="shared" si="208"/>
        <v>0</v>
      </c>
      <c r="BD629" s="156">
        <f t="shared" si="208"/>
        <v>0</v>
      </c>
      <c r="BE629" s="156">
        <f t="shared" si="208"/>
        <v>0</v>
      </c>
      <c r="BF629" s="156">
        <f t="shared" si="208"/>
        <v>0</v>
      </c>
      <c r="BG629" s="158">
        <f t="shared" si="209"/>
        <v>0</v>
      </c>
    </row>
    <row r="630" spans="1:59" x14ac:dyDescent="0.25">
      <c r="A630" s="14"/>
      <c r="B630" s="15" t="str">
        <f t="shared" si="199"/>
        <v>IND_OPER__</v>
      </c>
      <c r="C630" s="83">
        <f t="shared" si="212"/>
        <v>0</v>
      </c>
      <c r="D630" s="15" t="str">
        <f>IFERROR("QTD_REC_"&amp;VLOOKUP($J630,#REF!,7,0),"")</f>
        <v/>
      </c>
      <c r="E630" s="14"/>
      <c r="F630" s="148"/>
      <c r="G630" s="149" t="str">
        <f>IFERROR(VLOOKUP(F630,#REF!,2,0),"")</f>
        <v/>
      </c>
      <c r="H630" s="150" t="str">
        <f>IFERROR(VLOOKUP(F630,#REF!,3,0),"")</f>
        <v/>
      </c>
      <c r="I630" s="151"/>
      <c r="J630" s="151"/>
      <c r="K630" s="150" t="str">
        <f>IFERROR(VLOOKUP($J630,#REF!,2,0),"")</f>
        <v/>
      </c>
      <c r="L630" s="150" t="str">
        <f t="shared" si="200"/>
        <v/>
      </c>
      <c r="M630" s="154"/>
      <c r="N630" s="182"/>
      <c r="O630" s="155"/>
      <c r="P630" s="156"/>
      <c r="Q630" s="156"/>
      <c r="R630" s="156"/>
      <c r="S630" s="156"/>
      <c r="T630" s="156"/>
      <c r="U630" s="156"/>
      <c r="V630" s="156"/>
      <c r="W630" s="156"/>
      <c r="X630" s="156"/>
      <c r="Y630" s="156"/>
      <c r="Z630" s="156"/>
      <c r="AA630" s="156"/>
      <c r="AB630" s="158">
        <f t="shared" si="201"/>
        <v>0</v>
      </c>
      <c r="AC630" s="159"/>
      <c r="AE630" s="160" t="str">
        <f t="shared" si="204"/>
        <v/>
      </c>
      <c r="AF630" s="161">
        <f t="shared" si="210"/>
        <v>0</v>
      </c>
      <c r="AG630" s="162">
        <f t="shared" si="210"/>
        <v>0</v>
      </c>
      <c r="AH630" s="162">
        <f t="shared" si="210"/>
        <v>0</v>
      </c>
      <c r="AI630" s="162">
        <f t="shared" si="210"/>
        <v>0</v>
      </c>
      <c r="AJ630" s="162">
        <f t="shared" si="210"/>
        <v>0</v>
      </c>
      <c r="AK630" s="162">
        <f t="shared" si="210"/>
        <v>0</v>
      </c>
      <c r="AL630" s="162">
        <f t="shared" si="210"/>
        <v>0</v>
      </c>
      <c r="AM630" s="162">
        <f t="shared" si="210"/>
        <v>0</v>
      </c>
      <c r="AN630" s="162">
        <f t="shared" si="210"/>
        <v>0</v>
      </c>
      <c r="AO630" s="162">
        <f t="shared" si="210"/>
        <v>0</v>
      </c>
      <c r="AP630" s="162">
        <f t="shared" si="210"/>
        <v>0</v>
      </c>
      <c r="AQ630" s="162">
        <f t="shared" si="210"/>
        <v>0</v>
      </c>
      <c r="AR630" s="163">
        <f t="shared" si="206"/>
        <v>0</v>
      </c>
      <c r="AT630" s="181" t="str">
        <f t="shared" si="207"/>
        <v/>
      </c>
      <c r="AU630" s="156">
        <f t="shared" si="207"/>
        <v>0</v>
      </c>
      <c r="AV630" s="156">
        <f t="shared" si="208"/>
        <v>0</v>
      </c>
      <c r="AW630" s="156">
        <f t="shared" si="208"/>
        <v>0</v>
      </c>
      <c r="AX630" s="156">
        <f t="shared" si="208"/>
        <v>0</v>
      </c>
      <c r="AY630" s="156">
        <f t="shared" si="208"/>
        <v>0</v>
      </c>
      <c r="AZ630" s="156">
        <f t="shared" si="208"/>
        <v>0</v>
      </c>
      <c r="BA630" s="156">
        <f t="shared" si="208"/>
        <v>0</v>
      </c>
      <c r="BB630" s="156">
        <f t="shared" si="208"/>
        <v>0</v>
      </c>
      <c r="BC630" s="156">
        <f t="shared" si="208"/>
        <v>0</v>
      </c>
      <c r="BD630" s="156">
        <f t="shared" si="208"/>
        <v>0</v>
      </c>
      <c r="BE630" s="156">
        <f t="shared" si="208"/>
        <v>0</v>
      </c>
      <c r="BF630" s="156">
        <f t="shared" si="208"/>
        <v>0</v>
      </c>
      <c r="BG630" s="158">
        <f t="shared" si="209"/>
        <v>0</v>
      </c>
    </row>
    <row r="631" spans="1:59" x14ac:dyDescent="0.25">
      <c r="A631" s="14"/>
      <c r="B631" s="15" t="str">
        <f t="shared" si="199"/>
        <v>IND_OPER__</v>
      </c>
      <c r="C631" s="83">
        <f t="shared" si="212"/>
        <v>0</v>
      </c>
      <c r="D631" s="15" t="str">
        <f>IFERROR("QTD_REC_"&amp;VLOOKUP($J631,#REF!,7,0),"")</f>
        <v/>
      </c>
      <c r="E631" s="14"/>
      <c r="F631" s="148"/>
      <c r="G631" s="149" t="str">
        <f>IFERROR(VLOOKUP(F631,#REF!,2,0),"")</f>
        <v/>
      </c>
      <c r="H631" s="150" t="str">
        <f>IFERROR(VLOOKUP(F631,#REF!,3,0),"")</f>
        <v/>
      </c>
      <c r="I631" s="151"/>
      <c r="J631" s="151"/>
      <c r="K631" s="150" t="str">
        <f>IFERROR(VLOOKUP($J631,#REF!,2,0),"")</f>
        <v/>
      </c>
      <c r="L631" s="150" t="str">
        <f t="shared" si="200"/>
        <v/>
      </c>
      <c r="M631" s="154"/>
      <c r="N631" s="182"/>
      <c r="O631" s="155"/>
      <c r="P631" s="156"/>
      <c r="Q631" s="156"/>
      <c r="R631" s="156"/>
      <c r="S631" s="156"/>
      <c r="T631" s="156"/>
      <c r="U631" s="156"/>
      <c r="V631" s="156"/>
      <c r="W631" s="156"/>
      <c r="X631" s="156"/>
      <c r="Y631" s="156"/>
      <c r="Z631" s="156"/>
      <c r="AA631" s="156"/>
      <c r="AB631" s="158">
        <f t="shared" si="201"/>
        <v>0</v>
      </c>
      <c r="AC631" s="159"/>
      <c r="AE631" s="160" t="str">
        <f t="shared" si="204"/>
        <v/>
      </c>
      <c r="AF631" s="161">
        <f t="shared" ref="AF631:AQ638" si="213">IFERROR(P631/AU631,0)</f>
        <v>0</v>
      </c>
      <c r="AG631" s="162">
        <f t="shared" si="213"/>
        <v>0</v>
      </c>
      <c r="AH631" s="162">
        <f t="shared" si="213"/>
        <v>0</v>
      </c>
      <c r="AI631" s="162">
        <f t="shared" si="213"/>
        <v>0</v>
      </c>
      <c r="AJ631" s="162">
        <f t="shared" si="213"/>
        <v>0</v>
      </c>
      <c r="AK631" s="162">
        <f t="shared" si="213"/>
        <v>0</v>
      </c>
      <c r="AL631" s="162">
        <f t="shared" si="213"/>
        <v>0</v>
      </c>
      <c r="AM631" s="162">
        <f t="shared" si="213"/>
        <v>0</v>
      </c>
      <c r="AN631" s="162">
        <f t="shared" si="213"/>
        <v>0</v>
      </c>
      <c r="AO631" s="162">
        <f t="shared" si="213"/>
        <v>0</v>
      </c>
      <c r="AP631" s="162">
        <f t="shared" si="213"/>
        <v>0</v>
      </c>
      <c r="AQ631" s="162">
        <f t="shared" si="213"/>
        <v>0</v>
      </c>
      <c r="AR631" s="163">
        <f t="shared" si="206"/>
        <v>0</v>
      </c>
      <c r="AT631" s="181" t="str">
        <f t="shared" si="207"/>
        <v/>
      </c>
      <c r="AU631" s="156">
        <f t="shared" si="207"/>
        <v>0</v>
      </c>
      <c r="AV631" s="156">
        <f t="shared" si="208"/>
        <v>0</v>
      </c>
      <c r="AW631" s="156">
        <f t="shared" si="208"/>
        <v>0</v>
      </c>
      <c r="AX631" s="156">
        <f t="shared" si="208"/>
        <v>0</v>
      </c>
      <c r="AY631" s="156">
        <f t="shared" si="208"/>
        <v>0</v>
      </c>
      <c r="AZ631" s="156">
        <f t="shared" si="208"/>
        <v>0</v>
      </c>
      <c r="BA631" s="156">
        <f t="shared" si="208"/>
        <v>0</v>
      </c>
      <c r="BB631" s="156">
        <f t="shared" si="208"/>
        <v>0</v>
      </c>
      <c r="BC631" s="156">
        <f t="shared" si="208"/>
        <v>0</v>
      </c>
      <c r="BD631" s="156">
        <f t="shared" si="208"/>
        <v>0</v>
      </c>
      <c r="BE631" s="156">
        <f t="shared" si="208"/>
        <v>0</v>
      </c>
      <c r="BF631" s="156">
        <f t="shared" si="208"/>
        <v>0</v>
      </c>
      <c r="BG631" s="158">
        <f t="shared" si="209"/>
        <v>0</v>
      </c>
    </row>
    <row r="632" spans="1:59" x14ac:dyDescent="0.25">
      <c r="A632" s="14"/>
      <c r="B632" s="15" t="str">
        <f t="shared" si="199"/>
        <v>IND_OPER__</v>
      </c>
      <c r="C632" s="83">
        <f t="shared" si="212"/>
        <v>0</v>
      </c>
      <c r="D632" s="15" t="str">
        <f>IFERROR("QTD_REC_"&amp;VLOOKUP($J632,#REF!,7,0),"")</f>
        <v/>
      </c>
      <c r="E632" s="14"/>
      <c r="F632" s="148"/>
      <c r="G632" s="149" t="str">
        <f>IFERROR(VLOOKUP(F632,#REF!,2,0),"")</f>
        <v/>
      </c>
      <c r="H632" s="150" t="str">
        <f>IFERROR(VLOOKUP(F632,#REF!,3,0),"")</f>
        <v/>
      </c>
      <c r="I632" s="151"/>
      <c r="J632" s="151"/>
      <c r="K632" s="150" t="str">
        <f>IFERROR(VLOOKUP($J632,#REF!,2,0),"")</f>
        <v/>
      </c>
      <c r="L632" s="150" t="str">
        <f t="shared" si="200"/>
        <v/>
      </c>
      <c r="M632" s="154"/>
      <c r="N632" s="182"/>
      <c r="O632" s="155"/>
      <c r="P632" s="156"/>
      <c r="Q632" s="156"/>
      <c r="R632" s="156"/>
      <c r="S632" s="156"/>
      <c r="T632" s="156"/>
      <c r="U632" s="156"/>
      <c r="V632" s="156"/>
      <c r="W632" s="156"/>
      <c r="X632" s="156"/>
      <c r="Y632" s="156"/>
      <c r="Z632" s="156"/>
      <c r="AA632" s="156"/>
      <c r="AB632" s="158">
        <f t="shared" si="201"/>
        <v>0</v>
      </c>
      <c r="AC632" s="159"/>
      <c r="AE632" s="160" t="str">
        <f t="shared" si="204"/>
        <v/>
      </c>
      <c r="AF632" s="161">
        <f t="shared" si="213"/>
        <v>0</v>
      </c>
      <c r="AG632" s="162">
        <f t="shared" si="213"/>
        <v>0</v>
      </c>
      <c r="AH632" s="162">
        <f t="shared" si="213"/>
        <v>0</v>
      </c>
      <c r="AI632" s="162">
        <f t="shared" si="213"/>
        <v>0</v>
      </c>
      <c r="AJ632" s="162">
        <f t="shared" si="213"/>
        <v>0</v>
      </c>
      <c r="AK632" s="162">
        <f t="shared" si="213"/>
        <v>0</v>
      </c>
      <c r="AL632" s="162">
        <f t="shared" si="213"/>
        <v>0</v>
      </c>
      <c r="AM632" s="162">
        <f t="shared" si="213"/>
        <v>0</v>
      </c>
      <c r="AN632" s="162">
        <f t="shared" si="213"/>
        <v>0</v>
      </c>
      <c r="AO632" s="162">
        <f t="shared" si="213"/>
        <v>0</v>
      </c>
      <c r="AP632" s="162">
        <f t="shared" si="213"/>
        <v>0</v>
      </c>
      <c r="AQ632" s="162">
        <f t="shared" si="213"/>
        <v>0</v>
      </c>
      <c r="AR632" s="163">
        <f t="shared" si="206"/>
        <v>0</v>
      </c>
      <c r="AT632" s="181" t="str">
        <f t="shared" si="207"/>
        <v/>
      </c>
      <c r="AU632" s="156">
        <f t="shared" si="207"/>
        <v>0</v>
      </c>
      <c r="AV632" s="156">
        <f t="shared" si="208"/>
        <v>0</v>
      </c>
      <c r="AW632" s="156">
        <f t="shared" si="208"/>
        <v>0</v>
      </c>
      <c r="AX632" s="156">
        <f t="shared" si="208"/>
        <v>0</v>
      </c>
      <c r="AY632" s="156">
        <f t="shared" si="208"/>
        <v>0</v>
      </c>
      <c r="AZ632" s="156">
        <f t="shared" si="208"/>
        <v>0</v>
      </c>
      <c r="BA632" s="156">
        <f t="shared" si="208"/>
        <v>0</v>
      </c>
      <c r="BB632" s="156">
        <f t="shared" si="208"/>
        <v>0</v>
      </c>
      <c r="BC632" s="156">
        <f t="shared" si="208"/>
        <v>0</v>
      </c>
      <c r="BD632" s="156">
        <f t="shared" si="208"/>
        <v>0</v>
      </c>
      <c r="BE632" s="156">
        <f t="shared" si="208"/>
        <v>0</v>
      </c>
      <c r="BF632" s="156">
        <f t="shared" si="208"/>
        <v>0</v>
      </c>
      <c r="BG632" s="158">
        <f t="shared" si="209"/>
        <v>0</v>
      </c>
    </row>
    <row r="633" spans="1:59" x14ac:dyDescent="0.25">
      <c r="A633" s="14"/>
      <c r="B633" s="15" t="str">
        <f t="shared" si="199"/>
        <v>IND_OPER__</v>
      </c>
      <c r="C633" s="83">
        <f t="shared" si="212"/>
        <v>0</v>
      </c>
      <c r="D633" s="15" t="str">
        <f>IFERROR("QTD_REC_"&amp;VLOOKUP($J633,#REF!,7,0),"")</f>
        <v/>
      </c>
      <c r="E633" s="14"/>
      <c r="F633" s="148"/>
      <c r="G633" s="149" t="str">
        <f>IFERROR(VLOOKUP(F633,#REF!,2,0),"")</f>
        <v/>
      </c>
      <c r="H633" s="150" t="str">
        <f>IFERROR(VLOOKUP(F633,#REF!,3,0),"")</f>
        <v/>
      </c>
      <c r="I633" s="151"/>
      <c r="J633" s="151"/>
      <c r="K633" s="150" t="str">
        <f>IFERROR(VLOOKUP($J633,#REF!,2,0),"")</f>
        <v/>
      </c>
      <c r="L633" s="150" t="str">
        <f t="shared" si="200"/>
        <v/>
      </c>
      <c r="M633" s="154"/>
      <c r="N633" s="182"/>
      <c r="O633" s="155"/>
      <c r="P633" s="156"/>
      <c r="Q633" s="156"/>
      <c r="R633" s="156"/>
      <c r="S633" s="156"/>
      <c r="T633" s="156"/>
      <c r="U633" s="156"/>
      <c r="V633" s="156"/>
      <c r="W633" s="156"/>
      <c r="X633" s="156"/>
      <c r="Y633" s="156"/>
      <c r="Z633" s="156"/>
      <c r="AA633" s="156"/>
      <c r="AB633" s="158">
        <f t="shared" si="201"/>
        <v>0</v>
      </c>
      <c r="AC633" s="159"/>
      <c r="AE633" s="160" t="str">
        <f t="shared" si="204"/>
        <v/>
      </c>
      <c r="AF633" s="161">
        <f t="shared" si="213"/>
        <v>0</v>
      </c>
      <c r="AG633" s="162">
        <f t="shared" si="213"/>
        <v>0</v>
      </c>
      <c r="AH633" s="162">
        <f t="shared" si="213"/>
        <v>0</v>
      </c>
      <c r="AI633" s="162">
        <f t="shared" si="213"/>
        <v>0</v>
      </c>
      <c r="AJ633" s="162">
        <f t="shared" si="213"/>
        <v>0</v>
      </c>
      <c r="AK633" s="162">
        <f t="shared" si="213"/>
        <v>0</v>
      </c>
      <c r="AL633" s="162">
        <f t="shared" si="213"/>
        <v>0</v>
      </c>
      <c r="AM633" s="162">
        <f t="shared" si="213"/>
        <v>0</v>
      </c>
      <c r="AN633" s="162">
        <f t="shared" si="213"/>
        <v>0</v>
      </c>
      <c r="AO633" s="162">
        <f t="shared" si="213"/>
        <v>0</v>
      </c>
      <c r="AP633" s="162">
        <f t="shared" si="213"/>
        <v>0</v>
      </c>
      <c r="AQ633" s="162">
        <f t="shared" si="213"/>
        <v>0</v>
      </c>
      <c r="AR633" s="163">
        <f t="shared" si="206"/>
        <v>0</v>
      </c>
      <c r="AT633" s="181" t="str">
        <f t="shared" si="207"/>
        <v/>
      </c>
      <c r="AU633" s="156">
        <f t="shared" si="207"/>
        <v>0</v>
      </c>
      <c r="AV633" s="156">
        <f t="shared" si="208"/>
        <v>0</v>
      </c>
      <c r="AW633" s="156">
        <f t="shared" si="208"/>
        <v>0</v>
      </c>
      <c r="AX633" s="156">
        <f t="shared" si="208"/>
        <v>0</v>
      </c>
      <c r="AY633" s="156">
        <f t="shared" si="208"/>
        <v>0</v>
      </c>
      <c r="AZ633" s="156">
        <f t="shared" si="208"/>
        <v>0</v>
      </c>
      <c r="BA633" s="156">
        <f t="shared" si="208"/>
        <v>0</v>
      </c>
      <c r="BB633" s="156">
        <f t="shared" si="208"/>
        <v>0</v>
      </c>
      <c r="BC633" s="156">
        <f t="shared" si="208"/>
        <v>0</v>
      </c>
      <c r="BD633" s="156">
        <f t="shared" si="208"/>
        <v>0</v>
      </c>
      <c r="BE633" s="156">
        <f t="shared" si="208"/>
        <v>0</v>
      </c>
      <c r="BF633" s="156">
        <f t="shared" si="208"/>
        <v>0</v>
      </c>
      <c r="BG633" s="158">
        <f t="shared" si="209"/>
        <v>0</v>
      </c>
    </row>
    <row r="634" spans="1:59" x14ac:dyDescent="0.25">
      <c r="A634" s="14"/>
      <c r="B634" s="15" t="str">
        <f t="shared" si="199"/>
        <v>IND_OPER__</v>
      </c>
      <c r="C634" s="83">
        <f t="shared" si="212"/>
        <v>0</v>
      </c>
      <c r="D634" s="15" t="str">
        <f>IFERROR("QTD_REC_"&amp;VLOOKUP($J634,#REF!,7,0),"")</f>
        <v/>
      </c>
      <c r="E634" s="14"/>
      <c r="F634" s="148"/>
      <c r="G634" s="149" t="str">
        <f>IFERROR(VLOOKUP(F634,#REF!,2,0),"")</f>
        <v/>
      </c>
      <c r="H634" s="150" t="str">
        <f>IFERROR(VLOOKUP(F634,#REF!,3,0),"")</f>
        <v/>
      </c>
      <c r="I634" s="151"/>
      <c r="J634" s="151"/>
      <c r="K634" s="150" t="str">
        <f>IFERROR(VLOOKUP($J634,#REF!,2,0),"")</f>
        <v/>
      </c>
      <c r="L634" s="150" t="str">
        <f t="shared" si="200"/>
        <v/>
      </c>
      <c r="M634" s="154"/>
      <c r="N634" s="182"/>
      <c r="O634" s="155"/>
      <c r="P634" s="156"/>
      <c r="Q634" s="156"/>
      <c r="R634" s="156"/>
      <c r="S634" s="156"/>
      <c r="T634" s="156"/>
      <c r="U634" s="156"/>
      <c r="V634" s="156"/>
      <c r="W634" s="156"/>
      <c r="X634" s="156"/>
      <c r="Y634" s="156"/>
      <c r="Z634" s="156"/>
      <c r="AA634" s="156"/>
      <c r="AB634" s="158">
        <f t="shared" si="201"/>
        <v>0</v>
      </c>
      <c r="AC634" s="159"/>
      <c r="AE634" s="160" t="str">
        <f t="shared" si="204"/>
        <v/>
      </c>
      <c r="AF634" s="161">
        <f t="shared" si="213"/>
        <v>0</v>
      </c>
      <c r="AG634" s="162">
        <f t="shared" si="213"/>
        <v>0</v>
      </c>
      <c r="AH634" s="162">
        <f t="shared" si="213"/>
        <v>0</v>
      </c>
      <c r="AI634" s="162">
        <f t="shared" si="213"/>
        <v>0</v>
      </c>
      <c r="AJ634" s="162">
        <f t="shared" si="213"/>
        <v>0</v>
      </c>
      <c r="AK634" s="162">
        <f t="shared" si="213"/>
        <v>0</v>
      </c>
      <c r="AL634" s="162">
        <f t="shared" si="213"/>
        <v>0</v>
      </c>
      <c r="AM634" s="162">
        <f t="shared" si="213"/>
        <v>0</v>
      </c>
      <c r="AN634" s="162">
        <f t="shared" si="213"/>
        <v>0</v>
      </c>
      <c r="AO634" s="162">
        <f t="shared" si="213"/>
        <v>0</v>
      </c>
      <c r="AP634" s="162">
        <f t="shared" si="213"/>
        <v>0</v>
      </c>
      <c r="AQ634" s="162">
        <f t="shared" si="213"/>
        <v>0</v>
      </c>
      <c r="AR634" s="163">
        <f t="shared" si="206"/>
        <v>0</v>
      </c>
      <c r="AT634" s="181" t="str">
        <f t="shared" si="207"/>
        <v/>
      </c>
      <c r="AU634" s="156">
        <f t="shared" si="207"/>
        <v>0</v>
      </c>
      <c r="AV634" s="156">
        <f t="shared" si="208"/>
        <v>0</v>
      </c>
      <c r="AW634" s="156">
        <f t="shared" si="208"/>
        <v>0</v>
      </c>
      <c r="AX634" s="156">
        <f t="shared" si="208"/>
        <v>0</v>
      </c>
      <c r="AY634" s="156">
        <f t="shared" si="208"/>
        <v>0</v>
      </c>
      <c r="AZ634" s="156">
        <f t="shared" si="208"/>
        <v>0</v>
      </c>
      <c r="BA634" s="156">
        <f t="shared" si="208"/>
        <v>0</v>
      </c>
      <c r="BB634" s="156">
        <f t="shared" si="208"/>
        <v>0</v>
      </c>
      <c r="BC634" s="156">
        <f t="shared" si="208"/>
        <v>0</v>
      </c>
      <c r="BD634" s="156">
        <f t="shared" si="208"/>
        <v>0</v>
      </c>
      <c r="BE634" s="156">
        <f t="shared" si="208"/>
        <v>0</v>
      </c>
      <c r="BF634" s="156">
        <f t="shared" si="208"/>
        <v>0</v>
      </c>
      <c r="BG634" s="158">
        <f t="shared" si="209"/>
        <v>0</v>
      </c>
    </row>
    <row r="635" spans="1:59" x14ac:dyDescent="0.25">
      <c r="A635" s="14"/>
      <c r="B635" s="15" t="str">
        <f t="shared" si="199"/>
        <v>IND_OPER__</v>
      </c>
      <c r="C635" s="83">
        <f t="shared" si="212"/>
        <v>0</v>
      </c>
      <c r="D635" s="15" t="str">
        <f>IFERROR("QTD_REC_"&amp;VLOOKUP($J635,#REF!,7,0),"")</f>
        <v/>
      </c>
      <c r="E635" s="14"/>
      <c r="F635" s="148"/>
      <c r="G635" s="149" t="str">
        <f>IFERROR(VLOOKUP(F635,#REF!,2,0),"")</f>
        <v/>
      </c>
      <c r="H635" s="150" t="str">
        <f>IFERROR(VLOOKUP(F635,#REF!,3,0),"")</f>
        <v/>
      </c>
      <c r="I635" s="151"/>
      <c r="J635" s="151"/>
      <c r="K635" s="150" t="str">
        <f>IFERROR(VLOOKUP($J635,#REF!,2,0),"")</f>
        <v/>
      </c>
      <c r="L635" s="150" t="str">
        <f t="shared" si="200"/>
        <v/>
      </c>
      <c r="M635" s="154"/>
      <c r="N635" s="182"/>
      <c r="O635" s="155"/>
      <c r="P635" s="156"/>
      <c r="Q635" s="156"/>
      <c r="R635" s="156"/>
      <c r="S635" s="156"/>
      <c r="T635" s="156"/>
      <c r="U635" s="156"/>
      <c r="V635" s="156"/>
      <c r="W635" s="156"/>
      <c r="X635" s="156"/>
      <c r="Y635" s="156"/>
      <c r="Z635" s="156"/>
      <c r="AA635" s="156"/>
      <c r="AB635" s="158">
        <f t="shared" si="201"/>
        <v>0</v>
      </c>
      <c r="AC635" s="159"/>
      <c r="AE635" s="160" t="str">
        <f t="shared" si="204"/>
        <v/>
      </c>
      <c r="AF635" s="161">
        <f t="shared" si="213"/>
        <v>0</v>
      </c>
      <c r="AG635" s="162">
        <f t="shared" si="213"/>
        <v>0</v>
      </c>
      <c r="AH635" s="162">
        <f t="shared" si="213"/>
        <v>0</v>
      </c>
      <c r="AI635" s="162">
        <f t="shared" si="213"/>
        <v>0</v>
      </c>
      <c r="AJ635" s="162">
        <f t="shared" si="213"/>
        <v>0</v>
      </c>
      <c r="AK635" s="162">
        <f t="shared" si="213"/>
        <v>0</v>
      </c>
      <c r="AL635" s="162">
        <f t="shared" si="213"/>
        <v>0</v>
      </c>
      <c r="AM635" s="162">
        <f t="shared" si="213"/>
        <v>0</v>
      </c>
      <c r="AN635" s="162">
        <f t="shared" si="213"/>
        <v>0</v>
      </c>
      <c r="AO635" s="162">
        <f t="shared" si="213"/>
        <v>0</v>
      </c>
      <c r="AP635" s="162">
        <f t="shared" si="213"/>
        <v>0</v>
      </c>
      <c r="AQ635" s="162">
        <f t="shared" si="213"/>
        <v>0</v>
      </c>
      <c r="AR635" s="163">
        <f t="shared" si="206"/>
        <v>0</v>
      </c>
      <c r="AT635" s="181" t="str">
        <f t="shared" si="207"/>
        <v/>
      </c>
      <c r="AU635" s="156">
        <f t="shared" si="207"/>
        <v>0</v>
      </c>
      <c r="AV635" s="156">
        <f t="shared" si="208"/>
        <v>0</v>
      </c>
      <c r="AW635" s="156">
        <f t="shared" si="208"/>
        <v>0</v>
      </c>
      <c r="AX635" s="156">
        <f t="shared" si="208"/>
        <v>0</v>
      </c>
      <c r="AY635" s="156">
        <f t="shared" si="208"/>
        <v>0</v>
      </c>
      <c r="AZ635" s="156">
        <f t="shared" si="208"/>
        <v>0</v>
      </c>
      <c r="BA635" s="156">
        <f t="shared" si="208"/>
        <v>0</v>
      </c>
      <c r="BB635" s="156">
        <f t="shared" si="208"/>
        <v>0</v>
      </c>
      <c r="BC635" s="156">
        <f t="shared" si="208"/>
        <v>0</v>
      </c>
      <c r="BD635" s="156">
        <f t="shared" si="208"/>
        <v>0</v>
      </c>
      <c r="BE635" s="156">
        <f t="shared" ref="BE635:BF638" si="214">BD635</f>
        <v>0</v>
      </c>
      <c r="BF635" s="156">
        <f t="shared" si="214"/>
        <v>0</v>
      </c>
      <c r="BG635" s="158">
        <f t="shared" si="209"/>
        <v>0</v>
      </c>
    </row>
    <row r="636" spans="1:59" x14ac:dyDescent="0.25">
      <c r="A636" s="14"/>
      <c r="B636" s="15" t="str">
        <f t="shared" si="199"/>
        <v>IND_OPER__</v>
      </c>
      <c r="C636" s="83">
        <f t="shared" si="212"/>
        <v>0</v>
      </c>
      <c r="D636" s="15" t="str">
        <f>IFERROR("QTD_REC_"&amp;VLOOKUP($J636,#REF!,7,0),"")</f>
        <v/>
      </c>
      <c r="E636" s="14"/>
      <c r="F636" s="148"/>
      <c r="G636" s="149" t="str">
        <f>IFERROR(VLOOKUP(F636,#REF!,2,0),"")</f>
        <v/>
      </c>
      <c r="H636" s="150" t="str">
        <f>IFERROR(VLOOKUP(F636,#REF!,3,0),"")</f>
        <v/>
      </c>
      <c r="I636" s="151"/>
      <c r="J636" s="151"/>
      <c r="K636" s="150" t="str">
        <f>IFERROR(VLOOKUP($J636,#REF!,2,0),"")</f>
        <v/>
      </c>
      <c r="L636" s="150" t="str">
        <f t="shared" si="200"/>
        <v/>
      </c>
      <c r="M636" s="154"/>
      <c r="N636" s="182"/>
      <c r="O636" s="155"/>
      <c r="P636" s="156"/>
      <c r="Q636" s="156"/>
      <c r="R636" s="156"/>
      <c r="S636" s="156"/>
      <c r="T636" s="156"/>
      <c r="U636" s="156"/>
      <c r="V636" s="156"/>
      <c r="W636" s="156"/>
      <c r="X636" s="156"/>
      <c r="Y636" s="156"/>
      <c r="Z636" s="156"/>
      <c r="AA636" s="156"/>
      <c r="AB636" s="158">
        <f t="shared" si="201"/>
        <v>0</v>
      </c>
      <c r="AC636" s="159"/>
      <c r="AE636" s="160" t="str">
        <f t="shared" si="204"/>
        <v/>
      </c>
      <c r="AF636" s="161">
        <f t="shared" si="213"/>
        <v>0</v>
      </c>
      <c r="AG636" s="162">
        <f t="shared" si="213"/>
        <v>0</v>
      </c>
      <c r="AH636" s="162">
        <f t="shared" si="213"/>
        <v>0</v>
      </c>
      <c r="AI636" s="162">
        <f t="shared" si="213"/>
        <v>0</v>
      </c>
      <c r="AJ636" s="162">
        <f t="shared" si="213"/>
        <v>0</v>
      </c>
      <c r="AK636" s="162">
        <f t="shared" si="213"/>
        <v>0</v>
      </c>
      <c r="AL636" s="162">
        <f t="shared" si="213"/>
        <v>0</v>
      </c>
      <c r="AM636" s="162">
        <f t="shared" si="213"/>
        <v>0</v>
      </c>
      <c r="AN636" s="162">
        <f t="shared" si="213"/>
        <v>0</v>
      </c>
      <c r="AO636" s="162">
        <f t="shared" si="213"/>
        <v>0</v>
      </c>
      <c r="AP636" s="162">
        <f t="shared" si="213"/>
        <v>0</v>
      </c>
      <c r="AQ636" s="162">
        <f t="shared" si="213"/>
        <v>0</v>
      </c>
      <c r="AR636" s="163">
        <f t="shared" si="206"/>
        <v>0</v>
      </c>
      <c r="AT636" s="181" t="str">
        <f t="shared" si="207"/>
        <v/>
      </c>
      <c r="AU636" s="156">
        <f t="shared" si="207"/>
        <v>0</v>
      </c>
      <c r="AV636" s="156">
        <f t="shared" ref="AV636:BD638" si="215">AU636</f>
        <v>0</v>
      </c>
      <c r="AW636" s="156">
        <f t="shared" si="215"/>
        <v>0</v>
      </c>
      <c r="AX636" s="156">
        <f t="shared" si="215"/>
        <v>0</v>
      </c>
      <c r="AY636" s="156">
        <f t="shared" si="215"/>
        <v>0</v>
      </c>
      <c r="AZ636" s="156">
        <f t="shared" si="215"/>
        <v>0</v>
      </c>
      <c r="BA636" s="156">
        <f t="shared" si="215"/>
        <v>0</v>
      </c>
      <c r="BB636" s="156">
        <f t="shared" si="215"/>
        <v>0</v>
      </c>
      <c r="BC636" s="156">
        <f t="shared" si="215"/>
        <v>0</v>
      </c>
      <c r="BD636" s="156">
        <f t="shared" si="215"/>
        <v>0</v>
      </c>
      <c r="BE636" s="156">
        <f t="shared" si="214"/>
        <v>0</v>
      </c>
      <c r="BF636" s="156">
        <f t="shared" si="214"/>
        <v>0</v>
      </c>
      <c r="BG636" s="158">
        <f t="shared" si="209"/>
        <v>0</v>
      </c>
    </row>
    <row r="637" spans="1:59" x14ac:dyDescent="0.25">
      <c r="A637" s="14"/>
      <c r="B637" s="15" t="str">
        <f t="shared" si="199"/>
        <v>IND_OPER__</v>
      </c>
      <c r="C637" s="83">
        <f t="shared" si="212"/>
        <v>0</v>
      </c>
      <c r="D637" s="15" t="str">
        <f>IFERROR("QTD_REC_"&amp;VLOOKUP($J637,#REF!,7,0),"")</f>
        <v/>
      </c>
      <c r="E637" s="14"/>
      <c r="F637" s="148"/>
      <c r="G637" s="149" t="str">
        <f>IFERROR(VLOOKUP(F637,#REF!,2,0),"")</f>
        <v/>
      </c>
      <c r="H637" s="150" t="str">
        <f>IFERROR(VLOOKUP(F637,#REF!,3,0),"")</f>
        <v/>
      </c>
      <c r="I637" s="151"/>
      <c r="J637" s="151"/>
      <c r="K637" s="150" t="str">
        <f>IFERROR(VLOOKUP($J637,#REF!,2,0),"")</f>
        <v/>
      </c>
      <c r="L637" s="150" t="str">
        <f t="shared" si="200"/>
        <v/>
      </c>
      <c r="M637" s="154"/>
      <c r="N637" s="182"/>
      <c r="O637" s="155"/>
      <c r="P637" s="156"/>
      <c r="Q637" s="156"/>
      <c r="R637" s="156"/>
      <c r="S637" s="156"/>
      <c r="T637" s="156"/>
      <c r="U637" s="156"/>
      <c r="V637" s="156"/>
      <c r="W637" s="156"/>
      <c r="X637" s="156"/>
      <c r="Y637" s="156"/>
      <c r="Z637" s="156"/>
      <c r="AA637" s="156"/>
      <c r="AB637" s="158">
        <f t="shared" si="201"/>
        <v>0</v>
      </c>
      <c r="AC637" s="159"/>
      <c r="AE637" s="160" t="str">
        <f t="shared" si="204"/>
        <v/>
      </c>
      <c r="AF637" s="161">
        <f t="shared" si="213"/>
        <v>0</v>
      </c>
      <c r="AG637" s="162">
        <f t="shared" si="213"/>
        <v>0</v>
      </c>
      <c r="AH637" s="162">
        <f t="shared" si="213"/>
        <v>0</v>
      </c>
      <c r="AI637" s="162">
        <f t="shared" si="213"/>
        <v>0</v>
      </c>
      <c r="AJ637" s="162">
        <f t="shared" si="213"/>
        <v>0</v>
      </c>
      <c r="AK637" s="162">
        <f t="shared" si="213"/>
        <v>0</v>
      </c>
      <c r="AL637" s="162">
        <f t="shared" si="213"/>
        <v>0</v>
      </c>
      <c r="AM637" s="162">
        <f t="shared" si="213"/>
        <v>0</v>
      </c>
      <c r="AN637" s="162">
        <f t="shared" si="213"/>
        <v>0</v>
      </c>
      <c r="AO637" s="162">
        <f t="shared" si="213"/>
        <v>0</v>
      </c>
      <c r="AP637" s="162">
        <f t="shared" si="213"/>
        <v>0</v>
      </c>
      <c r="AQ637" s="162">
        <f t="shared" si="213"/>
        <v>0</v>
      </c>
      <c r="AR637" s="163">
        <f t="shared" si="206"/>
        <v>0</v>
      </c>
      <c r="AT637" s="181" t="str">
        <f t="shared" si="207"/>
        <v/>
      </c>
      <c r="AU637" s="156">
        <f t="shared" si="207"/>
        <v>0</v>
      </c>
      <c r="AV637" s="156">
        <f t="shared" si="215"/>
        <v>0</v>
      </c>
      <c r="AW637" s="156">
        <f t="shared" si="215"/>
        <v>0</v>
      </c>
      <c r="AX637" s="156">
        <f t="shared" si="215"/>
        <v>0</v>
      </c>
      <c r="AY637" s="156">
        <f t="shared" si="215"/>
        <v>0</v>
      </c>
      <c r="AZ637" s="156">
        <f t="shared" si="215"/>
        <v>0</v>
      </c>
      <c r="BA637" s="156">
        <f t="shared" si="215"/>
        <v>0</v>
      </c>
      <c r="BB637" s="156">
        <f t="shared" si="215"/>
        <v>0</v>
      </c>
      <c r="BC637" s="156">
        <f t="shared" si="215"/>
        <v>0</v>
      </c>
      <c r="BD637" s="156">
        <f t="shared" si="215"/>
        <v>0</v>
      </c>
      <c r="BE637" s="156">
        <f t="shared" si="214"/>
        <v>0</v>
      </c>
      <c r="BF637" s="156">
        <f t="shared" si="214"/>
        <v>0</v>
      </c>
      <c r="BG637" s="158">
        <f t="shared" si="209"/>
        <v>0</v>
      </c>
    </row>
    <row r="638" spans="1:59" x14ac:dyDescent="0.25">
      <c r="A638" s="14"/>
      <c r="B638" s="15" t="str">
        <f t="shared" si="199"/>
        <v>IND_OPER__</v>
      </c>
      <c r="C638" s="83">
        <f t="shared" si="212"/>
        <v>0</v>
      </c>
      <c r="D638" s="15" t="str">
        <f>IFERROR("QTD_REC_"&amp;VLOOKUP($J638,#REF!,7,0),"")</f>
        <v/>
      </c>
      <c r="F638" s="164"/>
      <c r="G638" s="183" t="str">
        <f>IFERROR(VLOOKUP(F638,#REF!,2,0),"")</f>
        <v/>
      </c>
      <c r="H638" s="184" t="str">
        <f>IFERROR(VLOOKUP(F638,#REF!,3,0),"")</f>
        <v/>
      </c>
      <c r="I638" s="165"/>
      <c r="J638" s="165"/>
      <c r="K638" s="184" t="str">
        <f>IFERROR(VLOOKUP($J638,#REF!,2,0),"")</f>
        <v/>
      </c>
      <c r="L638" s="184" t="str">
        <f t="shared" si="200"/>
        <v/>
      </c>
      <c r="M638" s="168"/>
      <c r="N638" s="237"/>
      <c r="O638" s="238"/>
      <c r="P638" s="170"/>
      <c r="Q638" s="170"/>
      <c r="R638" s="170"/>
      <c r="S638" s="170"/>
      <c r="T638" s="170"/>
      <c r="U638" s="170"/>
      <c r="V638" s="170"/>
      <c r="W638" s="170"/>
      <c r="X638" s="170"/>
      <c r="Y638" s="170"/>
      <c r="Z638" s="170"/>
      <c r="AA638" s="170"/>
      <c r="AB638" s="171">
        <f t="shared" si="201"/>
        <v>0</v>
      </c>
      <c r="AC638" s="186"/>
      <c r="AE638" s="173" t="str">
        <f t="shared" si="204"/>
        <v/>
      </c>
      <c r="AF638" s="174">
        <f t="shared" si="213"/>
        <v>0</v>
      </c>
      <c r="AG638" s="175">
        <f t="shared" si="213"/>
        <v>0</v>
      </c>
      <c r="AH638" s="175">
        <f t="shared" si="213"/>
        <v>0</v>
      </c>
      <c r="AI638" s="175">
        <f t="shared" si="213"/>
        <v>0</v>
      </c>
      <c r="AJ638" s="175">
        <f t="shared" si="213"/>
        <v>0</v>
      </c>
      <c r="AK638" s="175">
        <f t="shared" si="213"/>
        <v>0</v>
      </c>
      <c r="AL638" s="175">
        <f t="shared" si="213"/>
        <v>0</v>
      </c>
      <c r="AM638" s="175">
        <f t="shared" si="213"/>
        <v>0</v>
      </c>
      <c r="AN638" s="175">
        <f t="shared" si="213"/>
        <v>0</v>
      </c>
      <c r="AO638" s="175">
        <f t="shared" si="213"/>
        <v>0</v>
      </c>
      <c r="AP638" s="175">
        <f t="shared" si="213"/>
        <v>0</v>
      </c>
      <c r="AQ638" s="175">
        <f t="shared" si="213"/>
        <v>0</v>
      </c>
      <c r="AR638" s="176">
        <f t="shared" si="206"/>
        <v>0</v>
      </c>
      <c r="AT638" s="187" t="str">
        <f t="shared" si="207"/>
        <v/>
      </c>
      <c r="AU638" s="170">
        <f t="shared" si="207"/>
        <v>0</v>
      </c>
      <c r="AV638" s="170">
        <f t="shared" si="215"/>
        <v>0</v>
      </c>
      <c r="AW638" s="170">
        <f t="shared" si="215"/>
        <v>0</v>
      </c>
      <c r="AX638" s="170">
        <f t="shared" si="215"/>
        <v>0</v>
      </c>
      <c r="AY638" s="170">
        <f t="shared" si="215"/>
        <v>0</v>
      </c>
      <c r="AZ638" s="170">
        <f t="shared" si="215"/>
        <v>0</v>
      </c>
      <c r="BA638" s="170">
        <f t="shared" si="215"/>
        <v>0</v>
      </c>
      <c r="BB638" s="170">
        <f t="shared" si="215"/>
        <v>0</v>
      </c>
      <c r="BC638" s="170">
        <f t="shared" si="215"/>
        <v>0</v>
      </c>
      <c r="BD638" s="170">
        <f t="shared" si="215"/>
        <v>0</v>
      </c>
      <c r="BE638" s="170">
        <f t="shared" si="214"/>
        <v>0</v>
      </c>
      <c r="BF638" s="170">
        <f t="shared" si="214"/>
        <v>0</v>
      </c>
      <c r="BG638" s="171">
        <f t="shared" si="209"/>
        <v>0</v>
      </c>
    </row>
    <row r="639" spans="1:59" x14ac:dyDescent="0.25">
      <c r="A639" s="14"/>
      <c r="F639" s="105"/>
      <c r="G639" s="188"/>
      <c r="AE639" s="15"/>
      <c r="AF639" s="18"/>
      <c r="AG639" s="18"/>
      <c r="AH639" s="18"/>
      <c r="AI639" s="18"/>
      <c r="AJ639" s="18"/>
      <c r="AK639" s="18"/>
      <c r="AL639" s="19"/>
      <c r="AM639" s="18"/>
      <c r="AN639" s="18"/>
      <c r="AO639" s="18"/>
      <c r="AP639" s="18"/>
      <c r="AQ639" s="18"/>
      <c r="AR639" s="18"/>
    </row>
    <row r="640" spans="1:59" ht="38.25" x14ac:dyDescent="0.25">
      <c r="A640" s="14"/>
      <c r="F640" s="137" t="s">
        <v>244</v>
      </c>
      <c r="G640" s="138"/>
      <c r="H640" s="139" t="s">
        <v>217</v>
      </c>
      <c r="I640" s="139" t="s">
        <v>218</v>
      </c>
      <c r="J640" s="139" t="s">
        <v>229</v>
      </c>
      <c r="K640" s="139" t="s">
        <v>245</v>
      </c>
      <c r="L640" s="143" t="s">
        <v>246</v>
      </c>
      <c r="M640" s="142" t="s">
        <v>233</v>
      </c>
      <c r="N640" s="142" t="s">
        <v>233</v>
      </c>
      <c r="O640" s="143" t="s">
        <v>222</v>
      </c>
      <c r="P640" s="35">
        <f t="shared" ref="P640:AA640" si="216">P$9</f>
        <v>46113</v>
      </c>
      <c r="Q640" s="35">
        <f t="shared" si="216"/>
        <v>46143</v>
      </c>
      <c r="R640" s="35">
        <f t="shared" si="216"/>
        <v>46174</v>
      </c>
      <c r="S640" s="35">
        <f t="shared" si="216"/>
        <v>46204</v>
      </c>
      <c r="T640" s="35">
        <f t="shared" si="216"/>
        <v>46235</v>
      </c>
      <c r="U640" s="35">
        <f t="shared" si="216"/>
        <v>46266</v>
      </c>
      <c r="V640" s="35">
        <f t="shared" si="216"/>
        <v>46296</v>
      </c>
      <c r="W640" s="35">
        <f t="shared" si="216"/>
        <v>46327</v>
      </c>
      <c r="X640" s="35">
        <f t="shared" si="216"/>
        <v>46357</v>
      </c>
      <c r="Y640" s="35">
        <f t="shared" si="216"/>
        <v>46388</v>
      </c>
      <c r="Z640" s="35">
        <f t="shared" si="216"/>
        <v>46419</v>
      </c>
      <c r="AA640" s="35">
        <f t="shared" si="216"/>
        <v>46447</v>
      </c>
      <c r="AB640" s="81" t="s">
        <v>225</v>
      </c>
      <c r="AC640" s="82" t="s">
        <v>192</v>
      </c>
      <c r="AE640" s="189" t="s">
        <v>247</v>
      </c>
      <c r="AF640" s="35">
        <f t="shared" ref="AF640:AQ640" si="217">P640</f>
        <v>46113</v>
      </c>
      <c r="AG640" s="35">
        <f t="shared" si="217"/>
        <v>46143</v>
      </c>
      <c r="AH640" s="35">
        <f t="shared" si="217"/>
        <v>46174</v>
      </c>
      <c r="AI640" s="35">
        <f t="shared" si="217"/>
        <v>46204</v>
      </c>
      <c r="AJ640" s="35">
        <f t="shared" si="217"/>
        <v>46235</v>
      </c>
      <c r="AK640" s="35">
        <f t="shared" si="217"/>
        <v>46266</v>
      </c>
      <c r="AL640" s="35">
        <f t="shared" si="217"/>
        <v>46296</v>
      </c>
      <c r="AM640" s="35">
        <f t="shared" si="217"/>
        <v>46327</v>
      </c>
      <c r="AN640" s="35">
        <f t="shared" si="217"/>
        <v>46357</v>
      </c>
      <c r="AO640" s="35">
        <f t="shared" si="217"/>
        <v>46388</v>
      </c>
      <c r="AP640" s="35">
        <f t="shared" si="217"/>
        <v>46419</v>
      </c>
      <c r="AQ640" s="35">
        <f t="shared" si="217"/>
        <v>46447</v>
      </c>
      <c r="AR640" s="81" t="s">
        <v>85</v>
      </c>
    </row>
    <row r="641" spans="1:44" x14ac:dyDescent="0.25">
      <c r="A641" s="14"/>
      <c r="B641" s="15" t="str">
        <f>"IND_COMB_"&amp;F641&amp;"_"&amp;J641</f>
        <v>IND_COMB_1018_0</v>
      </c>
      <c r="F641" s="190">
        <f t="shared" ref="F641:J656" si="218">F598</f>
        <v>1018</v>
      </c>
      <c r="G641" s="149" t="str">
        <f t="shared" si="218"/>
        <v/>
      </c>
      <c r="H641" s="150" t="str">
        <f t="shared" si="218"/>
        <v/>
      </c>
      <c r="I641" s="150" t="str">
        <f t="shared" si="218"/>
        <v>PLANCP</v>
      </c>
      <c r="J641" s="150">
        <f t="shared" si="218"/>
        <v>0</v>
      </c>
      <c r="K641" s="150" t="str">
        <f>IFERROR(VLOOKUP($J641,#REF!,3,0),"")</f>
        <v/>
      </c>
      <c r="L641" s="150" t="str">
        <f>IFERROR(VLOOKUP($J641,#REF!,5,0),"")</f>
        <v/>
      </c>
      <c r="M641" s="191">
        <f>N598</f>
        <v>0</v>
      </c>
      <c r="N641" s="192">
        <f t="shared" ref="N641:O656" si="219">N598</f>
        <v>0</v>
      </c>
      <c r="O641" s="193">
        <f t="shared" si="219"/>
        <v>1</v>
      </c>
      <c r="P641" s="162">
        <f t="shared" ref="P641:AA656" si="220">$M641</f>
        <v>0</v>
      </c>
      <c r="Q641" s="162">
        <f t="shared" si="220"/>
        <v>0</v>
      </c>
      <c r="R641" s="162">
        <f t="shared" si="220"/>
        <v>0</v>
      </c>
      <c r="S641" s="162">
        <f t="shared" si="220"/>
        <v>0</v>
      </c>
      <c r="T641" s="162">
        <f t="shared" si="220"/>
        <v>0</v>
      </c>
      <c r="U641" s="162">
        <f t="shared" si="220"/>
        <v>0</v>
      </c>
      <c r="V641" s="162">
        <f t="shared" si="220"/>
        <v>0</v>
      </c>
      <c r="W641" s="162">
        <f t="shared" si="220"/>
        <v>0</v>
      </c>
      <c r="X641" s="162">
        <f t="shared" si="220"/>
        <v>0</v>
      </c>
      <c r="Y641" s="162">
        <f t="shared" si="220"/>
        <v>0</v>
      </c>
      <c r="Z641" s="162">
        <f t="shared" si="220"/>
        <v>0</v>
      </c>
      <c r="AA641" s="162">
        <f t="shared" si="220"/>
        <v>0</v>
      </c>
      <c r="AB641" s="163">
        <f t="shared" ref="AB641:AB685" si="221">AVERAGE(P641:AA641)</f>
        <v>0</v>
      </c>
      <c r="AC641" s="159"/>
      <c r="AE641" s="194" t="str">
        <f>IF(J641="","",J641&amp;" - "&amp;"LTS"&amp;" ("&amp;F641&amp;" - "&amp;G641&amp;")")</f>
        <v>0 - LTS (1018 - )</v>
      </c>
      <c r="AF641" s="161">
        <f t="shared" ref="AF641:AQ654" si="222">IFERROR(IF($L641="LTS/HS",P641*AF598,IF($L641="KM/LTS",AF598/P641,0)),0)</f>
        <v>0</v>
      </c>
      <c r="AG641" s="162">
        <f t="shared" si="222"/>
        <v>0</v>
      </c>
      <c r="AH641" s="162">
        <f t="shared" si="222"/>
        <v>0</v>
      </c>
      <c r="AI641" s="162">
        <f t="shared" si="222"/>
        <v>0</v>
      </c>
      <c r="AJ641" s="162">
        <f t="shared" si="222"/>
        <v>0</v>
      </c>
      <c r="AK641" s="162">
        <f t="shared" si="222"/>
        <v>0</v>
      </c>
      <c r="AL641" s="162">
        <f t="shared" si="222"/>
        <v>0</v>
      </c>
      <c r="AM641" s="162">
        <f t="shared" si="222"/>
        <v>0</v>
      </c>
      <c r="AN641" s="162">
        <f t="shared" si="222"/>
        <v>0</v>
      </c>
      <c r="AO641" s="162">
        <f t="shared" si="222"/>
        <v>0</v>
      </c>
      <c r="AP641" s="162">
        <f t="shared" si="222"/>
        <v>0</v>
      </c>
      <c r="AQ641" s="162">
        <f t="shared" si="222"/>
        <v>0</v>
      </c>
      <c r="AR641" s="163">
        <f>SUM(AF641:AQ641)</f>
        <v>0</v>
      </c>
    </row>
    <row r="642" spans="1:44" x14ac:dyDescent="0.25">
      <c r="A642" s="14"/>
      <c r="B642" s="15" t="str">
        <f t="shared" ref="B642:B685" si="223">"IND_COMB_"&amp;F642&amp;"_"&amp;J642</f>
        <v>IND_COMB_1023_0</v>
      </c>
      <c r="F642" s="190">
        <f t="shared" si="218"/>
        <v>1023</v>
      </c>
      <c r="G642" s="149" t="str">
        <f t="shared" si="218"/>
        <v/>
      </c>
      <c r="H642" s="150" t="str">
        <f t="shared" si="218"/>
        <v/>
      </c>
      <c r="I642" s="150" t="str">
        <f t="shared" si="218"/>
        <v>PLANCP</v>
      </c>
      <c r="J642" s="150">
        <f t="shared" si="218"/>
        <v>0</v>
      </c>
      <c r="K642" s="150" t="str">
        <f>IFERROR(VLOOKUP($J642,#REF!,3,0),"")</f>
        <v/>
      </c>
      <c r="L642" s="150" t="str">
        <f>IFERROR(VLOOKUP($J642,#REF!,5,0),"")</f>
        <v/>
      </c>
      <c r="M642" s="191">
        <f>N599</f>
        <v>0</v>
      </c>
      <c r="N642" s="192">
        <f t="shared" si="219"/>
        <v>0</v>
      </c>
      <c r="O642" s="193">
        <f t="shared" si="219"/>
        <v>1</v>
      </c>
      <c r="P642" s="162">
        <f t="shared" si="220"/>
        <v>0</v>
      </c>
      <c r="Q642" s="162">
        <f t="shared" si="220"/>
        <v>0</v>
      </c>
      <c r="R642" s="162">
        <f t="shared" si="220"/>
        <v>0</v>
      </c>
      <c r="S642" s="162">
        <f t="shared" si="220"/>
        <v>0</v>
      </c>
      <c r="T642" s="162">
        <f t="shared" si="220"/>
        <v>0</v>
      </c>
      <c r="U642" s="162">
        <f t="shared" si="220"/>
        <v>0</v>
      </c>
      <c r="V642" s="162">
        <f t="shared" si="220"/>
        <v>0</v>
      </c>
      <c r="W642" s="162">
        <f t="shared" si="220"/>
        <v>0</v>
      </c>
      <c r="X642" s="162">
        <f t="shared" si="220"/>
        <v>0</v>
      </c>
      <c r="Y642" s="162">
        <f t="shared" si="220"/>
        <v>0</v>
      </c>
      <c r="Z642" s="162">
        <f t="shared" si="220"/>
        <v>0</v>
      </c>
      <c r="AA642" s="162">
        <f t="shared" si="220"/>
        <v>0</v>
      </c>
      <c r="AB642" s="163">
        <f t="shared" si="221"/>
        <v>0</v>
      </c>
      <c r="AC642" s="159"/>
      <c r="AE642" s="194" t="str">
        <f t="shared" ref="AE642:AE685" si="224">IF(J642="","",J642&amp;" - "&amp;"LTS"&amp;" ("&amp;F642&amp;" - "&amp;G642&amp;")")</f>
        <v>0 - LTS (1023 - )</v>
      </c>
      <c r="AF642" s="161">
        <f t="shared" si="222"/>
        <v>0</v>
      </c>
      <c r="AG642" s="162">
        <f t="shared" si="222"/>
        <v>0</v>
      </c>
      <c r="AH642" s="162">
        <f t="shared" si="222"/>
        <v>0</v>
      </c>
      <c r="AI642" s="162">
        <f t="shared" si="222"/>
        <v>0</v>
      </c>
      <c r="AJ642" s="162">
        <f t="shared" si="222"/>
        <v>0</v>
      </c>
      <c r="AK642" s="162">
        <f t="shared" si="222"/>
        <v>0</v>
      </c>
      <c r="AL642" s="162">
        <f t="shared" si="222"/>
        <v>0</v>
      </c>
      <c r="AM642" s="162">
        <f t="shared" si="222"/>
        <v>0</v>
      </c>
      <c r="AN642" s="162">
        <f t="shared" si="222"/>
        <v>0</v>
      </c>
      <c r="AO642" s="162">
        <f t="shared" si="222"/>
        <v>0</v>
      </c>
      <c r="AP642" s="162">
        <f t="shared" si="222"/>
        <v>0</v>
      </c>
      <c r="AQ642" s="162">
        <f t="shared" si="222"/>
        <v>0</v>
      </c>
      <c r="AR642" s="163">
        <f t="shared" ref="AR642:AR685" si="225">SUM(AF642:AQ642)</f>
        <v>0</v>
      </c>
    </row>
    <row r="643" spans="1:44" x14ac:dyDescent="0.25">
      <c r="A643" s="14"/>
      <c r="B643" s="15" t="str">
        <f t="shared" si="223"/>
        <v>IND_COMB_1018_0</v>
      </c>
      <c r="F643" s="190">
        <f t="shared" si="218"/>
        <v>1018</v>
      </c>
      <c r="G643" s="149" t="str">
        <f t="shared" si="218"/>
        <v/>
      </c>
      <c r="H643" s="150" t="str">
        <f t="shared" si="218"/>
        <v/>
      </c>
      <c r="I643" s="150" t="str">
        <f t="shared" si="218"/>
        <v>PLANCF</v>
      </c>
      <c r="J643" s="150">
        <f t="shared" si="218"/>
        <v>0</v>
      </c>
      <c r="K643" s="150" t="str">
        <f>IFERROR(VLOOKUP($J643,#REF!,3,0),"")</f>
        <v/>
      </c>
      <c r="L643" s="150" t="str">
        <f>IFERROR(VLOOKUP($J643,#REF!,5,0),"")</f>
        <v/>
      </c>
      <c r="M643" s="191">
        <f>N600</f>
        <v>0</v>
      </c>
      <c r="N643" s="192">
        <f t="shared" si="219"/>
        <v>0</v>
      </c>
      <c r="O643" s="193">
        <f t="shared" si="219"/>
        <v>1</v>
      </c>
      <c r="P643" s="162">
        <f t="shared" si="220"/>
        <v>0</v>
      </c>
      <c r="Q643" s="162">
        <f t="shared" si="220"/>
        <v>0</v>
      </c>
      <c r="R643" s="162">
        <f t="shared" si="220"/>
        <v>0</v>
      </c>
      <c r="S643" s="162">
        <f t="shared" si="220"/>
        <v>0</v>
      </c>
      <c r="T643" s="162">
        <f t="shared" si="220"/>
        <v>0</v>
      </c>
      <c r="U643" s="162">
        <f t="shared" si="220"/>
        <v>0</v>
      </c>
      <c r="V643" s="162">
        <f t="shared" si="220"/>
        <v>0</v>
      </c>
      <c r="W643" s="162">
        <f t="shared" si="220"/>
        <v>0</v>
      </c>
      <c r="X643" s="162">
        <f t="shared" si="220"/>
        <v>0</v>
      </c>
      <c r="Y643" s="162">
        <f t="shared" si="220"/>
        <v>0</v>
      </c>
      <c r="Z643" s="162">
        <f t="shared" si="220"/>
        <v>0</v>
      </c>
      <c r="AA643" s="162">
        <f t="shared" si="220"/>
        <v>0</v>
      </c>
      <c r="AB643" s="163">
        <f t="shared" si="221"/>
        <v>0</v>
      </c>
      <c r="AC643" s="159"/>
      <c r="AE643" s="194" t="str">
        <f t="shared" si="224"/>
        <v>0 - LTS (1018 - )</v>
      </c>
      <c r="AF643" s="161">
        <f t="shared" si="222"/>
        <v>0</v>
      </c>
      <c r="AG643" s="162">
        <f t="shared" si="222"/>
        <v>0</v>
      </c>
      <c r="AH643" s="162">
        <f t="shared" si="222"/>
        <v>0</v>
      </c>
      <c r="AI643" s="162">
        <f t="shared" si="222"/>
        <v>0</v>
      </c>
      <c r="AJ643" s="162">
        <f t="shared" si="222"/>
        <v>0</v>
      </c>
      <c r="AK643" s="162">
        <f t="shared" si="222"/>
        <v>0</v>
      </c>
      <c r="AL643" s="162">
        <f t="shared" si="222"/>
        <v>0</v>
      </c>
      <c r="AM643" s="162">
        <f t="shared" si="222"/>
        <v>0</v>
      </c>
      <c r="AN643" s="162">
        <f t="shared" si="222"/>
        <v>0</v>
      </c>
      <c r="AO643" s="162">
        <f t="shared" si="222"/>
        <v>0</v>
      </c>
      <c r="AP643" s="162">
        <f t="shared" si="222"/>
        <v>0</v>
      </c>
      <c r="AQ643" s="162">
        <f t="shared" si="222"/>
        <v>0</v>
      </c>
      <c r="AR643" s="163">
        <f t="shared" si="225"/>
        <v>0</v>
      </c>
    </row>
    <row r="644" spans="1:44" x14ac:dyDescent="0.25">
      <c r="A644" s="14"/>
      <c r="B644" s="15" t="str">
        <f t="shared" si="223"/>
        <v>IND_COMB_1023_0</v>
      </c>
      <c r="F644" s="190">
        <f t="shared" si="218"/>
        <v>1023</v>
      </c>
      <c r="G644" s="149" t="str">
        <f t="shared" si="218"/>
        <v/>
      </c>
      <c r="H644" s="150" t="str">
        <f t="shared" si="218"/>
        <v/>
      </c>
      <c r="I644" s="150" t="str">
        <f t="shared" si="218"/>
        <v>PLANCF</v>
      </c>
      <c r="J644" s="150">
        <f t="shared" si="218"/>
        <v>0</v>
      </c>
      <c r="K644" s="150" t="str">
        <f>IFERROR(VLOOKUP($J644,#REF!,3,0),"")</f>
        <v/>
      </c>
      <c r="L644" s="150" t="str">
        <f>IFERROR(VLOOKUP($J644,#REF!,5,0),"")</f>
        <v/>
      </c>
      <c r="M644" s="191">
        <f>N601</f>
        <v>0</v>
      </c>
      <c r="N644" s="192">
        <f t="shared" si="219"/>
        <v>0</v>
      </c>
      <c r="O644" s="193">
        <f t="shared" si="219"/>
        <v>1</v>
      </c>
      <c r="P644" s="162">
        <f t="shared" si="220"/>
        <v>0</v>
      </c>
      <c r="Q644" s="162">
        <f t="shared" si="220"/>
        <v>0</v>
      </c>
      <c r="R644" s="162">
        <f t="shared" si="220"/>
        <v>0</v>
      </c>
      <c r="S644" s="162">
        <f t="shared" si="220"/>
        <v>0</v>
      </c>
      <c r="T644" s="162">
        <f t="shared" si="220"/>
        <v>0</v>
      </c>
      <c r="U644" s="162">
        <f t="shared" si="220"/>
        <v>0</v>
      </c>
      <c r="V644" s="162">
        <f t="shared" si="220"/>
        <v>0</v>
      </c>
      <c r="W644" s="162">
        <f t="shared" si="220"/>
        <v>0</v>
      </c>
      <c r="X644" s="162">
        <f t="shared" si="220"/>
        <v>0</v>
      </c>
      <c r="Y644" s="162">
        <f t="shared" si="220"/>
        <v>0</v>
      </c>
      <c r="Z644" s="162">
        <f t="shared" si="220"/>
        <v>0</v>
      </c>
      <c r="AA644" s="162">
        <f t="shared" si="220"/>
        <v>0</v>
      </c>
      <c r="AB644" s="163">
        <f t="shared" si="221"/>
        <v>0</v>
      </c>
      <c r="AC644" s="159"/>
      <c r="AE644" s="194" t="str">
        <f t="shared" si="224"/>
        <v>0 - LTS (1023 - )</v>
      </c>
      <c r="AF644" s="161">
        <f t="shared" si="222"/>
        <v>0</v>
      </c>
      <c r="AG644" s="162">
        <f t="shared" si="222"/>
        <v>0</v>
      </c>
      <c r="AH644" s="162">
        <f t="shared" si="222"/>
        <v>0</v>
      </c>
      <c r="AI644" s="162">
        <f t="shared" si="222"/>
        <v>0</v>
      </c>
      <c r="AJ644" s="162">
        <f t="shared" si="222"/>
        <v>0</v>
      </c>
      <c r="AK644" s="162">
        <f t="shared" si="222"/>
        <v>0</v>
      </c>
      <c r="AL644" s="162">
        <f t="shared" si="222"/>
        <v>0</v>
      </c>
      <c r="AM644" s="162">
        <f t="shared" si="222"/>
        <v>0</v>
      </c>
      <c r="AN644" s="162">
        <f t="shared" si="222"/>
        <v>0</v>
      </c>
      <c r="AO644" s="162">
        <f t="shared" si="222"/>
        <v>0</v>
      </c>
      <c r="AP644" s="162">
        <f t="shared" si="222"/>
        <v>0</v>
      </c>
      <c r="AQ644" s="162">
        <f t="shared" si="222"/>
        <v>0</v>
      </c>
      <c r="AR644" s="163">
        <f t="shared" si="225"/>
        <v>0</v>
      </c>
    </row>
    <row r="645" spans="1:44" x14ac:dyDescent="0.25">
      <c r="A645" s="14"/>
      <c r="B645" s="15" t="str">
        <f t="shared" si="223"/>
        <v>IND_COMB_1044_0</v>
      </c>
      <c r="F645" s="190">
        <f t="shared" si="218"/>
        <v>1044</v>
      </c>
      <c r="G645" s="149" t="str">
        <f t="shared" si="218"/>
        <v/>
      </c>
      <c r="H645" s="150" t="str">
        <f t="shared" si="218"/>
        <v/>
      </c>
      <c r="I645" s="150" t="str">
        <f t="shared" si="218"/>
        <v>PLANMP</v>
      </c>
      <c r="J645" s="150">
        <f t="shared" si="218"/>
        <v>0</v>
      </c>
      <c r="K645" s="150" t="str">
        <f>IFERROR(VLOOKUP($J645,#REF!,3,0),"")</f>
        <v/>
      </c>
      <c r="L645" s="150" t="str">
        <f>IFERROR(VLOOKUP($J645,#REF!,5,0),"")</f>
        <v/>
      </c>
      <c r="M645" s="191">
        <f>N602</f>
        <v>0</v>
      </c>
      <c r="N645" s="192">
        <f t="shared" si="219"/>
        <v>0</v>
      </c>
      <c r="O645" s="193">
        <f t="shared" si="219"/>
        <v>1</v>
      </c>
      <c r="P645" s="162">
        <f t="shared" si="220"/>
        <v>0</v>
      </c>
      <c r="Q645" s="162">
        <f t="shared" si="220"/>
        <v>0</v>
      </c>
      <c r="R645" s="162">
        <f t="shared" si="220"/>
        <v>0</v>
      </c>
      <c r="S645" s="162">
        <f t="shared" si="220"/>
        <v>0</v>
      </c>
      <c r="T645" s="162">
        <f t="shared" si="220"/>
        <v>0</v>
      </c>
      <c r="U645" s="162">
        <f t="shared" si="220"/>
        <v>0</v>
      </c>
      <c r="V645" s="162">
        <f t="shared" si="220"/>
        <v>0</v>
      </c>
      <c r="W645" s="162">
        <f t="shared" si="220"/>
        <v>0</v>
      </c>
      <c r="X645" s="162">
        <f t="shared" si="220"/>
        <v>0</v>
      </c>
      <c r="Y645" s="162">
        <f t="shared" si="220"/>
        <v>0</v>
      </c>
      <c r="Z645" s="162">
        <f t="shared" si="220"/>
        <v>0</v>
      </c>
      <c r="AA645" s="162">
        <f t="shared" si="220"/>
        <v>0</v>
      </c>
      <c r="AB645" s="163">
        <f t="shared" si="221"/>
        <v>0</v>
      </c>
      <c r="AC645" s="159"/>
      <c r="AE645" s="194" t="str">
        <f t="shared" si="224"/>
        <v>0 - LTS (1044 - )</v>
      </c>
      <c r="AF645" s="161">
        <f t="shared" si="222"/>
        <v>0</v>
      </c>
      <c r="AG645" s="162">
        <f t="shared" si="222"/>
        <v>0</v>
      </c>
      <c r="AH645" s="162">
        <f t="shared" si="222"/>
        <v>0</v>
      </c>
      <c r="AI645" s="162">
        <f t="shared" si="222"/>
        <v>0</v>
      </c>
      <c r="AJ645" s="162">
        <f t="shared" si="222"/>
        <v>0</v>
      </c>
      <c r="AK645" s="162">
        <f t="shared" si="222"/>
        <v>0</v>
      </c>
      <c r="AL645" s="162">
        <f t="shared" si="222"/>
        <v>0</v>
      </c>
      <c r="AM645" s="162">
        <f t="shared" si="222"/>
        <v>0</v>
      </c>
      <c r="AN645" s="162">
        <f t="shared" si="222"/>
        <v>0</v>
      </c>
      <c r="AO645" s="162">
        <f t="shared" si="222"/>
        <v>0</v>
      </c>
      <c r="AP645" s="162">
        <f t="shared" si="222"/>
        <v>0</v>
      </c>
      <c r="AQ645" s="162">
        <f t="shared" si="222"/>
        <v>0</v>
      </c>
      <c r="AR645" s="163">
        <f t="shared" si="225"/>
        <v>0</v>
      </c>
    </row>
    <row r="646" spans="1:44" x14ac:dyDescent="0.25">
      <c r="A646" s="14"/>
      <c r="B646" s="15" t="str">
        <f t="shared" si="223"/>
        <v>IND_COMB_1033_0</v>
      </c>
      <c r="F646" s="190">
        <f t="shared" si="218"/>
        <v>1033</v>
      </c>
      <c r="G646" s="149" t="str">
        <f t="shared" si="218"/>
        <v/>
      </c>
      <c r="H646" s="150" t="str">
        <f t="shared" si="218"/>
        <v/>
      </c>
      <c r="I646" s="150" t="str">
        <f t="shared" si="218"/>
        <v>PLANCP</v>
      </c>
      <c r="J646" s="150">
        <f t="shared" si="218"/>
        <v>0</v>
      </c>
      <c r="K646" s="150" t="str">
        <f>IFERROR(VLOOKUP($J646,#REF!,3,0),"")</f>
        <v/>
      </c>
      <c r="L646" s="150" t="str">
        <f>IFERROR(VLOOKUP($J646,#REF!,5,0),"")</f>
        <v/>
      </c>
      <c r="M646" s="191">
        <f t="shared" ref="M646:M658" si="226">N603</f>
        <v>0</v>
      </c>
      <c r="N646" s="192">
        <f t="shared" si="219"/>
        <v>0</v>
      </c>
      <c r="O646" s="193">
        <f t="shared" si="219"/>
        <v>1</v>
      </c>
      <c r="P646" s="162">
        <f t="shared" si="220"/>
        <v>0</v>
      </c>
      <c r="Q646" s="162">
        <f t="shared" si="220"/>
        <v>0</v>
      </c>
      <c r="R646" s="162">
        <f t="shared" si="220"/>
        <v>0</v>
      </c>
      <c r="S646" s="162">
        <f t="shared" si="220"/>
        <v>0</v>
      </c>
      <c r="T646" s="162">
        <f t="shared" si="220"/>
        <v>0</v>
      </c>
      <c r="U646" s="162">
        <f t="shared" si="220"/>
        <v>0</v>
      </c>
      <c r="V646" s="162">
        <f t="shared" si="220"/>
        <v>0</v>
      </c>
      <c r="W646" s="162">
        <f t="shared" si="220"/>
        <v>0</v>
      </c>
      <c r="X646" s="162">
        <f t="shared" si="220"/>
        <v>0</v>
      </c>
      <c r="Y646" s="162">
        <f t="shared" si="220"/>
        <v>0</v>
      </c>
      <c r="Z646" s="162">
        <f t="shared" si="220"/>
        <v>0</v>
      </c>
      <c r="AA646" s="162">
        <f t="shared" si="220"/>
        <v>0</v>
      </c>
      <c r="AB646" s="163">
        <f t="shared" si="221"/>
        <v>0</v>
      </c>
      <c r="AC646" s="159"/>
      <c r="AE646" s="194" t="str">
        <f t="shared" si="224"/>
        <v>0 - LTS (1033 - )</v>
      </c>
      <c r="AF646" s="161">
        <f t="shared" si="222"/>
        <v>0</v>
      </c>
      <c r="AG646" s="162">
        <f t="shared" si="222"/>
        <v>0</v>
      </c>
      <c r="AH646" s="162">
        <f t="shared" si="222"/>
        <v>0</v>
      </c>
      <c r="AI646" s="162">
        <f t="shared" si="222"/>
        <v>0</v>
      </c>
      <c r="AJ646" s="162">
        <f t="shared" si="222"/>
        <v>0</v>
      </c>
      <c r="AK646" s="162">
        <f t="shared" si="222"/>
        <v>0</v>
      </c>
      <c r="AL646" s="162">
        <f t="shared" si="222"/>
        <v>0</v>
      </c>
      <c r="AM646" s="162">
        <f t="shared" si="222"/>
        <v>0</v>
      </c>
      <c r="AN646" s="162">
        <f t="shared" si="222"/>
        <v>0</v>
      </c>
      <c r="AO646" s="162">
        <f t="shared" si="222"/>
        <v>0</v>
      </c>
      <c r="AP646" s="162">
        <f t="shared" si="222"/>
        <v>0</v>
      </c>
      <c r="AQ646" s="162">
        <f t="shared" si="222"/>
        <v>0</v>
      </c>
      <c r="AR646" s="163">
        <f t="shared" si="225"/>
        <v>0</v>
      </c>
    </row>
    <row r="647" spans="1:44" x14ac:dyDescent="0.25">
      <c r="A647" s="14"/>
      <c r="B647" s="15" t="str">
        <f t="shared" si="223"/>
        <v>IND_COMB_0_0</v>
      </c>
      <c r="F647" s="190">
        <f t="shared" si="218"/>
        <v>0</v>
      </c>
      <c r="G647" s="149" t="str">
        <f t="shared" si="218"/>
        <v/>
      </c>
      <c r="H647" s="150" t="str">
        <f t="shared" si="218"/>
        <v/>
      </c>
      <c r="I647" s="150">
        <f t="shared" si="218"/>
        <v>0</v>
      </c>
      <c r="J647" s="150">
        <f t="shared" si="218"/>
        <v>0</v>
      </c>
      <c r="K647" s="150" t="str">
        <f>IFERROR(VLOOKUP($J647,#REF!,3,0),"")</f>
        <v/>
      </c>
      <c r="L647" s="150" t="str">
        <f>IFERROR(VLOOKUP($J647,#REF!,5,0),"")</f>
        <v/>
      </c>
      <c r="M647" s="191">
        <f t="shared" si="226"/>
        <v>0</v>
      </c>
      <c r="N647" s="192">
        <f t="shared" si="219"/>
        <v>0</v>
      </c>
      <c r="O647" s="193">
        <f t="shared" si="219"/>
        <v>0</v>
      </c>
      <c r="P647" s="162">
        <f t="shared" si="220"/>
        <v>0</v>
      </c>
      <c r="Q647" s="162">
        <f t="shared" si="220"/>
        <v>0</v>
      </c>
      <c r="R647" s="162">
        <f t="shared" si="220"/>
        <v>0</v>
      </c>
      <c r="S647" s="162">
        <f t="shared" si="220"/>
        <v>0</v>
      </c>
      <c r="T647" s="162">
        <f t="shared" si="220"/>
        <v>0</v>
      </c>
      <c r="U647" s="162">
        <f t="shared" si="220"/>
        <v>0</v>
      </c>
      <c r="V647" s="162">
        <f t="shared" si="220"/>
        <v>0</v>
      </c>
      <c r="W647" s="162">
        <f t="shared" si="220"/>
        <v>0</v>
      </c>
      <c r="X647" s="162">
        <f t="shared" si="220"/>
        <v>0</v>
      </c>
      <c r="Y647" s="162">
        <f t="shared" si="220"/>
        <v>0</v>
      </c>
      <c r="Z647" s="162">
        <f t="shared" si="220"/>
        <v>0</v>
      </c>
      <c r="AA647" s="162">
        <f t="shared" si="220"/>
        <v>0</v>
      </c>
      <c r="AB647" s="163">
        <f t="shared" si="221"/>
        <v>0</v>
      </c>
      <c r="AC647" s="159"/>
      <c r="AE647" s="194" t="str">
        <f t="shared" si="224"/>
        <v>0 - LTS (0 - )</v>
      </c>
      <c r="AF647" s="161">
        <f t="shared" si="222"/>
        <v>0</v>
      </c>
      <c r="AG647" s="162">
        <f t="shared" si="222"/>
        <v>0</v>
      </c>
      <c r="AH647" s="162">
        <f t="shared" si="222"/>
        <v>0</v>
      </c>
      <c r="AI647" s="162">
        <f t="shared" si="222"/>
        <v>0</v>
      </c>
      <c r="AJ647" s="162">
        <f t="shared" si="222"/>
        <v>0</v>
      </c>
      <c r="AK647" s="162">
        <f t="shared" si="222"/>
        <v>0</v>
      </c>
      <c r="AL647" s="162">
        <f t="shared" si="222"/>
        <v>0</v>
      </c>
      <c r="AM647" s="162">
        <f t="shared" si="222"/>
        <v>0</v>
      </c>
      <c r="AN647" s="162">
        <f t="shared" si="222"/>
        <v>0</v>
      </c>
      <c r="AO647" s="162">
        <f t="shared" si="222"/>
        <v>0</v>
      </c>
      <c r="AP647" s="162">
        <f t="shared" si="222"/>
        <v>0</v>
      </c>
      <c r="AQ647" s="162">
        <f t="shared" si="222"/>
        <v>0</v>
      </c>
      <c r="AR647" s="163">
        <f t="shared" si="225"/>
        <v>0</v>
      </c>
    </row>
    <row r="648" spans="1:44" x14ac:dyDescent="0.25">
      <c r="A648" s="14"/>
      <c r="B648" s="15" t="str">
        <f t="shared" si="223"/>
        <v>IND_COMB_0_0</v>
      </c>
      <c r="F648" s="190">
        <f t="shared" si="218"/>
        <v>0</v>
      </c>
      <c r="G648" s="149" t="str">
        <f t="shared" si="218"/>
        <v/>
      </c>
      <c r="H648" s="150" t="str">
        <f t="shared" si="218"/>
        <v/>
      </c>
      <c r="I648" s="150">
        <f t="shared" si="218"/>
        <v>0</v>
      </c>
      <c r="J648" s="150">
        <f t="shared" si="218"/>
        <v>0</v>
      </c>
      <c r="K648" s="150" t="str">
        <f>IFERROR(VLOOKUP($J648,#REF!,3,0),"")</f>
        <v/>
      </c>
      <c r="L648" s="150" t="str">
        <f>IFERROR(VLOOKUP($J648,#REF!,5,0),"")</f>
        <v/>
      </c>
      <c r="M648" s="191">
        <f t="shared" si="226"/>
        <v>0</v>
      </c>
      <c r="N648" s="192">
        <f t="shared" si="219"/>
        <v>0</v>
      </c>
      <c r="O648" s="193">
        <f t="shared" si="219"/>
        <v>0</v>
      </c>
      <c r="P648" s="162">
        <f t="shared" si="220"/>
        <v>0</v>
      </c>
      <c r="Q648" s="162">
        <f t="shared" si="220"/>
        <v>0</v>
      </c>
      <c r="R648" s="162">
        <f t="shared" si="220"/>
        <v>0</v>
      </c>
      <c r="S648" s="162">
        <f t="shared" si="220"/>
        <v>0</v>
      </c>
      <c r="T648" s="162">
        <f t="shared" si="220"/>
        <v>0</v>
      </c>
      <c r="U648" s="162">
        <f t="shared" si="220"/>
        <v>0</v>
      </c>
      <c r="V648" s="162">
        <f t="shared" si="220"/>
        <v>0</v>
      </c>
      <c r="W648" s="162">
        <f t="shared" si="220"/>
        <v>0</v>
      </c>
      <c r="X648" s="162">
        <f t="shared" si="220"/>
        <v>0</v>
      </c>
      <c r="Y648" s="162">
        <f t="shared" si="220"/>
        <v>0</v>
      </c>
      <c r="Z648" s="162">
        <f t="shared" si="220"/>
        <v>0</v>
      </c>
      <c r="AA648" s="162">
        <f t="shared" si="220"/>
        <v>0</v>
      </c>
      <c r="AB648" s="163">
        <f t="shared" si="221"/>
        <v>0</v>
      </c>
      <c r="AC648" s="159"/>
      <c r="AE648" s="194" t="str">
        <f t="shared" si="224"/>
        <v>0 - LTS (0 - )</v>
      </c>
      <c r="AF648" s="161">
        <f t="shared" si="222"/>
        <v>0</v>
      </c>
      <c r="AG648" s="162">
        <f t="shared" si="222"/>
        <v>0</v>
      </c>
      <c r="AH648" s="162">
        <f t="shared" si="222"/>
        <v>0</v>
      </c>
      <c r="AI648" s="162">
        <f t="shared" si="222"/>
        <v>0</v>
      </c>
      <c r="AJ648" s="162">
        <f t="shared" si="222"/>
        <v>0</v>
      </c>
      <c r="AK648" s="162">
        <f t="shared" si="222"/>
        <v>0</v>
      </c>
      <c r="AL648" s="162">
        <f t="shared" si="222"/>
        <v>0</v>
      </c>
      <c r="AM648" s="162">
        <f t="shared" si="222"/>
        <v>0</v>
      </c>
      <c r="AN648" s="162">
        <f t="shared" si="222"/>
        <v>0</v>
      </c>
      <c r="AO648" s="162">
        <f t="shared" si="222"/>
        <v>0</v>
      </c>
      <c r="AP648" s="162">
        <f t="shared" si="222"/>
        <v>0</v>
      </c>
      <c r="AQ648" s="162">
        <f t="shared" si="222"/>
        <v>0</v>
      </c>
      <c r="AR648" s="163">
        <f t="shared" si="225"/>
        <v>0</v>
      </c>
    </row>
    <row r="649" spans="1:44" x14ac:dyDescent="0.25">
      <c r="A649" s="14"/>
      <c r="B649" s="15" t="str">
        <f t="shared" si="223"/>
        <v>IND_COMB_0_0</v>
      </c>
      <c r="F649" s="190">
        <f t="shared" si="218"/>
        <v>0</v>
      </c>
      <c r="G649" s="149" t="str">
        <f t="shared" si="218"/>
        <v/>
      </c>
      <c r="H649" s="150" t="str">
        <f t="shared" si="218"/>
        <v/>
      </c>
      <c r="I649" s="150">
        <f t="shared" si="218"/>
        <v>0</v>
      </c>
      <c r="J649" s="150">
        <f t="shared" si="218"/>
        <v>0</v>
      </c>
      <c r="K649" s="150" t="str">
        <f>IFERROR(VLOOKUP($J649,#REF!,3,0),"")</f>
        <v/>
      </c>
      <c r="L649" s="150" t="str">
        <f>IFERROR(VLOOKUP($J649,#REF!,5,0),"")</f>
        <v/>
      </c>
      <c r="M649" s="191">
        <f t="shared" si="226"/>
        <v>0</v>
      </c>
      <c r="N649" s="192">
        <f t="shared" si="219"/>
        <v>0</v>
      </c>
      <c r="O649" s="193">
        <f t="shared" si="219"/>
        <v>0</v>
      </c>
      <c r="P649" s="162">
        <f t="shared" si="220"/>
        <v>0</v>
      </c>
      <c r="Q649" s="162">
        <f t="shared" si="220"/>
        <v>0</v>
      </c>
      <c r="R649" s="162">
        <f t="shared" si="220"/>
        <v>0</v>
      </c>
      <c r="S649" s="162">
        <f t="shared" si="220"/>
        <v>0</v>
      </c>
      <c r="T649" s="162">
        <f t="shared" si="220"/>
        <v>0</v>
      </c>
      <c r="U649" s="162">
        <f t="shared" si="220"/>
        <v>0</v>
      </c>
      <c r="V649" s="162">
        <f t="shared" si="220"/>
        <v>0</v>
      </c>
      <c r="W649" s="162">
        <f t="shared" si="220"/>
        <v>0</v>
      </c>
      <c r="X649" s="162">
        <f t="shared" si="220"/>
        <v>0</v>
      </c>
      <c r="Y649" s="162">
        <f t="shared" si="220"/>
        <v>0</v>
      </c>
      <c r="Z649" s="162">
        <f t="shared" si="220"/>
        <v>0</v>
      </c>
      <c r="AA649" s="162">
        <f t="shared" si="220"/>
        <v>0</v>
      </c>
      <c r="AB649" s="163">
        <f t="shared" si="221"/>
        <v>0</v>
      </c>
      <c r="AC649" s="159"/>
      <c r="AE649" s="194" t="str">
        <f t="shared" si="224"/>
        <v>0 - LTS (0 - )</v>
      </c>
      <c r="AF649" s="161">
        <f t="shared" si="222"/>
        <v>0</v>
      </c>
      <c r="AG649" s="162">
        <f t="shared" si="222"/>
        <v>0</v>
      </c>
      <c r="AH649" s="162">
        <f t="shared" si="222"/>
        <v>0</v>
      </c>
      <c r="AI649" s="162">
        <f t="shared" si="222"/>
        <v>0</v>
      </c>
      <c r="AJ649" s="162">
        <f t="shared" si="222"/>
        <v>0</v>
      </c>
      <c r="AK649" s="162">
        <f t="shared" si="222"/>
        <v>0</v>
      </c>
      <c r="AL649" s="162">
        <f t="shared" si="222"/>
        <v>0</v>
      </c>
      <c r="AM649" s="162">
        <f t="shared" si="222"/>
        <v>0</v>
      </c>
      <c r="AN649" s="162">
        <f t="shared" si="222"/>
        <v>0</v>
      </c>
      <c r="AO649" s="162">
        <f t="shared" si="222"/>
        <v>0</v>
      </c>
      <c r="AP649" s="162">
        <f t="shared" si="222"/>
        <v>0</v>
      </c>
      <c r="AQ649" s="162">
        <f t="shared" si="222"/>
        <v>0</v>
      </c>
      <c r="AR649" s="163">
        <f t="shared" si="225"/>
        <v>0</v>
      </c>
    </row>
    <row r="650" spans="1:44" x14ac:dyDescent="0.25">
      <c r="A650" s="14"/>
      <c r="B650" s="15" t="str">
        <f t="shared" si="223"/>
        <v>IND_COMB_0_0</v>
      </c>
      <c r="F650" s="190">
        <f t="shared" si="218"/>
        <v>0</v>
      </c>
      <c r="G650" s="149" t="str">
        <f t="shared" si="218"/>
        <v/>
      </c>
      <c r="H650" s="150" t="str">
        <f t="shared" si="218"/>
        <v/>
      </c>
      <c r="I650" s="150">
        <f t="shared" si="218"/>
        <v>0</v>
      </c>
      <c r="J650" s="150">
        <f t="shared" si="218"/>
        <v>0</v>
      </c>
      <c r="K650" s="150" t="str">
        <f>IFERROR(VLOOKUP($J650,#REF!,3,0),"")</f>
        <v/>
      </c>
      <c r="L650" s="150" t="str">
        <f>IFERROR(VLOOKUP($J650,#REF!,5,0),"")</f>
        <v/>
      </c>
      <c r="M650" s="191">
        <f t="shared" si="226"/>
        <v>0</v>
      </c>
      <c r="N650" s="192">
        <f t="shared" si="219"/>
        <v>0</v>
      </c>
      <c r="O650" s="193">
        <f t="shared" si="219"/>
        <v>0</v>
      </c>
      <c r="P650" s="162">
        <f t="shared" si="220"/>
        <v>0</v>
      </c>
      <c r="Q650" s="162">
        <f t="shared" si="220"/>
        <v>0</v>
      </c>
      <c r="R650" s="162">
        <f t="shared" si="220"/>
        <v>0</v>
      </c>
      <c r="S650" s="162">
        <f t="shared" si="220"/>
        <v>0</v>
      </c>
      <c r="T650" s="162">
        <f t="shared" si="220"/>
        <v>0</v>
      </c>
      <c r="U650" s="162">
        <f t="shared" si="220"/>
        <v>0</v>
      </c>
      <c r="V650" s="162">
        <f t="shared" si="220"/>
        <v>0</v>
      </c>
      <c r="W650" s="162">
        <f t="shared" si="220"/>
        <v>0</v>
      </c>
      <c r="X650" s="162">
        <f t="shared" si="220"/>
        <v>0</v>
      </c>
      <c r="Y650" s="162">
        <f t="shared" si="220"/>
        <v>0</v>
      </c>
      <c r="Z650" s="162">
        <f t="shared" si="220"/>
        <v>0</v>
      </c>
      <c r="AA650" s="162">
        <f t="shared" si="220"/>
        <v>0</v>
      </c>
      <c r="AB650" s="163">
        <f t="shared" si="221"/>
        <v>0</v>
      </c>
      <c r="AC650" s="159"/>
      <c r="AE650" s="194" t="str">
        <f t="shared" si="224"/>
        <v>0 - LTS (0 - )</v>
      </c>
      <c r="AF650" s="161">
        <f t="shared" si="222"/>
        <v>0</v>
      </c>
      <c r="AG650" s="162">
        <f t="shared" si="222"/>
        <v>0</v>
      </c>
      <c r="AH650" s="162">
        <f t="shared" si="222"/>
        <v>0</v>
      </c>
      <c r="AI650" s="162">
        <f t="shared" si="222"/>
        <v>0</v>
      </c>
      <c r="AJ650" s="162">
        <f t="shared" si="222"/>
        <v>0</v>
      </c>
      <c r="AK650" s="162">
        <f t="shared" si="222"/>
        <v>0</v>
      </c>
      <c r="AL650" s="162">
        <f t="shared" si="222"/>
        <v>0</v>
      </c>
      <c r="AM650" s="162">
        <f t="shared" si="222"/>
        <v>0</v>
      </c>
      <c r="AN650" s="162">
        <f t="shared" si="222"/>
        <v>0</v>
      </c>
      <c r="AO650" s="162">
        <f t="shared" si="222"/>
        <v>0</v>
      </c>
      <c r="AP650" s="162">
        <f t="shared" si="222"/>
        <v>0</v>
      </c>
      <c r="AQ650" s="162">
        <f t="shared" si="222"/>
        <v>0</v>
      </c>
      <c r="AR650" s="163">
        <f t="shared" si="225"/>
        <v>0</v>
      </c>
    </row>
    <row r="651" spans="1:44" x14ac:dyDescent="0.25">
      <c r="A651" s="14"/>
      <c r="B651" s="15" t="str">
        <f t="shared" si="223"/>
        <v>IND_COMB_0_0</v>
      </c>
      <c r="F651" s="190">
        <f t="shared" si="218"/>
        <v>0</v>
      </c>
      <c r="G651" s="149" t="str">
        <f t="shared" si="218"/>
        <v/>
      </c>
      <c r="H651" s="150" t="str">
        <f t="shared" si="218"/>
        <v/>
      </c>
      <c r="I651" s="150">
        <f t="shared" si="218"/>
        <v>0</v>
      </c>
      <c r="J651" s="150">
        <f t="shared" si="218"/>
        <v>0</v>
      </c>
      <c r="K651" s="150" t="str">
        <f>IFERROR(VLOOKUP($J651,#REF!,3,0),"")</f>
        <v/>
      </c>
      <c r="L651" s="150" t="str">
        <f>IFERROR(VLOOKUP($J651,#REF!,5,0),"")</f>
        <v/>
      </c>
      <c r="M651" s="191">
        <f t="shared" si="226"/>
        <v>0</v>
      </c>
      <c r="N651" s="192">
        <f t="shared" si="219"/>
        <v>0</v>
      </c>
      <c r="O651" s="193">
        <f t="shared" si="219"/>
        <v>0</v>
      </c>
      <c r="P651" s="162">
        <f t="shared" si="220"/>
        <v>0</v>
      </c>
      <c r="Q651" s="162">
        <f t="shared" si="220"/>
        <v>0</v>
      </c>
      <c r="R651" s="162">
        <f t="shared" si="220"/>
        <v>0</v>
      </c>
      <c r="S651" s="162">
        <f t="shared" si="220"/>
        <v>0</v>
      </c>
      <c r="T651" s="162">
        <f t="shared" si="220"/>
        <v>0</v>
      </c>
      <c r="U651" s="162">
        <f t="shared" si="220"/>
        <v>0</v>
      </c>
      <c r="V651" s="162">
        <f t="shared" si="220"/>
        <v>0</v>
      </c>
      <c r="W651" s="162">
        <f t="shared" si="220"/>
        <v>0</v>
      </c>
      <c r="X651" s="162">
        <f t="shared" si="220"/>
        <v>0</v>
      </c>
      <c r="Y651" s="162">
        <f t="shared" si="220"/>
        <v>0</v>
      </c>
      <c r="Z651" s="162">
        <f t="shared" si="220"/>
        <v>0</v>
      </c>
      <c r="AA651" s="162">
        <f t="shared" si="220"/>
        <v>0</v>
      </c>
      <c r="AB651" s="163">
        <f t="shared" si="221"/>
        <v>0</v>
      </c>
      <c r="AC651" s="159"/>
      <c r="AE651" s="194" t="str">
        <f t="shared" si="224"/>
        <v>0 - LTS (0 - )</v>
      </c>
      <c r="AF651" s="161">
        <f t="shared" si="222"/>
        <v>0</v>
      </c>
      <c r="AG651" s="162">
        <f t="shared" si="222"/>
        <v>0</v>
      </c>
      <c r="AH651" s="162">
        <f t="shared" si="222"/>
        <v>0</v>
      </c>
      <c r="AI651" s="162">
        <f t="shared" si="222"/>
        <v>0</v>
      </c>
      <c r="AJ651" s="162">
        <f t="shared" si="222"/>
        <v>0</v>
      </c>
      <c r="AK651" s="162">
        <f t="shared" si="222"/>
        <v>0</v>
      </c>
      <c r="AL651" s="162">
        <f t="shared" si="222"/>
        <v>0</v>
      </c>
      <c r="AM651" s="162">
        <f t="shared" si="222"/>
        <v>0</v>
      </c>
      <c r="AN651" s="162">
        <f t="shared" si="222"/>
        <v>0</v>
      </c>
      <c r="AO651" s="162">
        <f t="shared" si="222"/>
        <v>0</v>
      </c>
      <c r="AP651" s="162">
        <f t="shared" si="222"/>
        <v>0</v>
      </c>
      <c r="AQ651" s="162">
        <f t="shared" si="222"/>
        <v>0</v>
      </c>
      <c r="AR651" s="163">
        <f t="shared" si="225"/>
        <v>0</v>
      </c>
    </row>
    <row r="652" spans="1:44" x14ac:dyDescent="0.25">
      <c r="A652" s="14"/>
      <c r="B652" s="15" t="str">
        <f t="shared" si="223"/>
        <v>IND_COMB_0_0</v>
      </c>
      <c r="F652" s="190">
        <f t="shared" si="218"/>
        <v>0</v>
      </c>
      <c r="G652" s="149" t="str">
        <f t="shared" si="218"/>
        <v/>
      </c>
      <c r="H652" s="150" t="str">
        <f t="shared" si="218"/>
        <v/>
      </c>
      <c r="I652" s="150">
        <f t="shared" si="218"/>
        <v>0</v>
      </c>
      <c r="J652" s="150">
        <f t="shared" si="218"/>
        <v>0</v>
      </c>
      <c r="K652" s="150" t="str">
        <f>IFERROR(VLOOKUP($J652,#REF!,3,0),"")</f>
        <v/>
      </c>
      <c r="L652" s="150" t="str">
        <f>IFERROR(VLOOKUP($J652,#REF!,5,0),"")</f>
        <v/>
      </c>
      <c r="M652" s="191">
        <f t="shared" si="226"/>
        <v>0</v>
      </c>
      <c r="N652" s="192">
        <f t="shared" si="219"/>
        <v>0</v>
      </c>
      <c r="O652" s="193">
        <f t="shared" si="219"/>
        <v>0</v>
      </c>
      <c r="P652" s="162">
        <f t="shared" si="220"/>
        <v>0</v>
      </c>
      <c r="Q652" s="162">
        <f t="shared" si="220"/>
        <v>0</v>
      </c>
      <c r="R652" s="162">
        <f t="shared" si="220"/>
        <v>0</v>
      </c>
      <c r="S652" s="162">
        <f t="shared" si="220"/>
        <v>0</v>
      </c>
      <c r="T652" s="162">
        <f t="shared" si="220"/>
        <v>0</v>
      </c>
      <c r="U652" s="162">
        <f t="shared" si="220"/>
        <v>0</v>
      </c>
      <c r="V652" s="162">
        <f t="shared" si="220"/>
        <v>0</v>
      </c>
      <c r="W652" s="162">
        <f t="shared" si="220"/>
        <v>0</v>
      </c>
      <c r="X652" s="162">
        <f t="shared" si="220"/>
        <v>0</v>
      </c>
      <c r="Y652" s="162">
        <f t="shared" si="220"/>
        <v>0</v>
      </c>
      <c r="Z652" s="162">
        <f t="shared" si="220"/>
        <v>0</v>
      </c>
      <c r="AA652" s="162">
        <f t="shared" si="220"/>
        <v>0</v>
      </c>
      <c r="AB652" s="163">
        <f t="shared" si="221"/>
        <v>0</v>
      </c>
      <c r="AC652" s="159"/>
      <c r="AE652" s="194" t="str">
        <f t="shared" si="224"/>
        <v>0 - LTS (0 - )</v>
      </c>
      <c r="AF652" s="161">
        <f t="shared" si="222"/>
        <v>0</v>
      </c>
      <c r="AG652" s="162">
        <f t="shared" si="222"/>
        <v>0</v>
      </c>
      <c r="AH652" s="162">
        <f t="shared" si="222"/>
        <v>0</v>
      </c>
      <c r="AI652" s="162">
        <f t="shared" si="222"/>
        <v>0</v>
      </c>
      <c r="AJ652" s="162">
        <f t="shared" si="222"/>
        <v>0</v>
      </c>
      <c r="AK652" s="162">
        <f t="shared" si="222"/>
        <v>0</v>
      </c>
      <c r="AL652" s="162">
        <f t="shared" si="222"/>
        <v>0</v>
      </c>
      <c r="AM652" s="162">
        <f t="shared" si="222"/>
        <v>0</v>
      </c>
      <c r="AN652" s="162">
        <f t="shared" si="222"/>
        <v>0</v>
      </c>
      <c r="AO652" s="162">
        <f t="shared" si="222"/>
        <v>0</v>
      </c>
      <c r="AP652" s="162">
        <f t="shared" si="222"/>
        <v>0</v>
      </c>
      <c r="AQ652" s="162">
        <f t="shared" si="222"/>
        <v>0</v>
      </c>
      <c r="AR652" s="163">
        <f t="shared" si="225"/>
        <v>0</v>
      </c>
    </row>
    <row r="653" spans="1:44" x14ac:dyDescent="0.25">
      <c r="A653" s="14"/>
      <c r="B653" s="15" t="str">
        <f t="shared" si="223"/>
        <v>IND_COMB_0_0</v>
      </c>
      <c r="F653" s="190">
        <f t="shared" si="218"/>
        <v>0</v>
      </c>
      <c r="G653" s="149" t="str">
        <f t="shared" si="218"/>
        <v/>
      </c>
      <c r="H653" s="150" t="str">
        <f t="shared" si="218"/>
        <v/>
      </c>
      <c r="I653" s="150">
        <f t="shared" si="218"/>
        <v>0</v>
      </c>
      <c r="J653" s="150">
        <f t="shared" si="218"/>
        <v>0</v>
      </c>
      <c r="K653" s="150" t="str">
        <f>IFERROR(VLOOKUP($J653,#REF!,3,0),"")</f>
        <v/>
      </c>
      <c r="L653" s="150" t="str">
        <f>IFERROR(VLOOKUP($J653,#REF!,5,0),"")</f>
        <v/>
      </c>
      <c r="M653" s="191">
        <f t="shared" si="226"/>
        <v>0</v>
      </c>
      <c r="N653" s="192">
        <f t="shared" si="219"/>
        <v>0</v>
      </c>
      <c r="O653" s="193">
        <f t="shared" si="219"/>
        <v>0</v>
      </c>
      <c r="P653" s="162">
        <f t="shared" si="220"/>
        <v>0</v>
      </c>
      <c r="Q653" s="162">
        <f t="shared" si="220"/>
        <v>0</v>
      </c>
      <c r="R653" s="162">
        <f t="shared" si="220"/>
        <v>0</v>
      </c>
      <c r="S653" s="162">
        <f t="shared" si="220"/>
        <v>0</v>
      </c>
      <c r="T653" s="162">
        <f t="shared" si="220"/>
        <v>0</v>
      </c>
      <c r="U653" s="162">
        <f t="shared" si="220"/>
        <v>0</v>
      </c>
      <c r="V653" s="162">
        <f t="shared" si="220"/>
        <v>0</v>
      </c>
      <c r="W653" s="162">
        <f t="shared" si="220"/>
        <v>0</v>
      </c>
      <c r="X653" s="162">
        <f t="shared" si="220"/>
        <v>0</v>
      </c>
      <c r="Y653" s="162">
        <f t="shared" si="220"/>
        <v>0</v>
      </c>
      <c r="Z653" s="162">
        <f t="shared" si="220"/>
        <v>0</v>
      </c>
      <c r="AA653" s="162">
        <f t="shared" si="220"/>
        <v>0</v>
      </c>
      <c r="AB653" s="163">
        <f t="shared" si="221"/>
        <v>0</v>
      </c>
      <c r="AC653" s="159"/>
      <c r="AE653" s="194" t="str">
        <f t="shared" si="224"/>
        <v>0 - LTS (0 - )</v>
      </c>
      <c r="AF653" s="161">
        <f t="shared" si="222"/>
        <v>0</v>
      </c>
      <c r="AG653" s="162">
        <f t="shared" si="222"/>
        <v>0</v>
      </c>
      <c r="AH653" s="162">
        <f t="shared" si="222"/>
        <v>0</v>
      </c>
      <c r="AI653" s="162">
        <f t="shared" si="222"/>
        <v>0</v>
      </c>
      <c r="AJ653" s="162">
        <f t="shared" si="222"/>
        <v>0</v>
      </c>
      <c r="AK653" s="162">
        <f t="shared" si="222"/>
        <v>0</v>
      </c>
      <c r="AL653" s="162">
        <f t="shared" si="222"/>
        <v>0</v>
      </c>
      <c r="AM653" s="162">
        <f t="shared" si="222"/>
        <v>0</v>
      </c>
      <c r="AN653" s="162">
        <f t="shared" si="222"/>
        <v>0</v>
      </c>
      <c r="AO653" s="162">
        <f t="shared" si="222"/>
        <v>0</v>
      </c>
      <c r="AP653" s="162">
        <f t="shared" si="222"/>
        <v>0</v>
      </c>
      <c r="AQ653" s="162">
        <f t="shared" si="222"/>
        <v>0</v>
      </c>
      <c r="AR653" s="163">
        <f t="shared" si="225"/>
        <v>0</v>
      </c>
    </row>
    <row r="654" spans="1:44" x14ac:dyDescent="0.25">
      <c r="A654" s="14"/>
      <c r="B654" s="15" t="str">
        <f t="shared" si="223"/>
        <v>IND_COMB_0_0</v>
      </c>
      <c r="F654" s="190">
        <f t="shared" si="218"/>
        <v>0</v>
      </c>
      <c r="G654" s="149" t="str">
        <f t="shared" si="218"/>
        <v/>
      </c>
      <c r="H654" s="150" t="str">
        <f t="shared" si="218"/>
        <v/>
      </c>
      <c r="I654" s="150">
        <f t="shared" si="218"/>
        <v>0</v>
      </c>
      <c r="J654" s="150">
        <f t="shared" si="218"/>
        <v>0</v>
      </c>
      <c r="K654" s="150" t="str">
        <f>IFERROR(VLOOKUP($J654,#REF!,3,0),"")</f>
        <v/>
      </c>
      <c r="L654" s="150" t="str">
        <f>IFERROR(VLOOKUP($J654,#REF!,5,0),"")</f>
        <v/>
      </c>
      <c r="M654" s="191">
        <f t="shared" si="226"/>
        <v>0</v>
      </c>
      <c r="N654" s="192">
        <f t="shared" si="219"/>
        <v>0</v>
      </c>
      <c r="O654" s="193">
        <f t="shared" si="219"/>
        <v>0</v>
      </c>
      <c r="P654" s="162">
        <f t="shared" si="220"/>
        <v>0</v>
      </c>
      <c r="Q654" s="162">
        <f t="shared" si="220"/>
        <v>0</v>
      </c>
      <c r="R654" s="162">
        <f t="shared" si="220"/>
        <v>0</v>
      </c>
      <c r="S654" s="162">
        <f t="shared" si="220"/>
        <v>0</v>
      </c>
      <c r="T654" s="162">
        <f t="shared" si="220"/>
        <v>0</v>
      </c>
      <c r="U654" s="162">
        <f t="shared" si="220"/>
        <v>0</v>
      </c>
      <c r="V654" s="162">
        <f t="shared" si="220"/>
        <v>0</v>
      </c>
      <c r="W654" s="162">
        <f t="shared" si="220"/>
        <v>0</v>
      </c>
      <c r="X654" s="162">
        <f t="shared" si="220"/>
        <v>0</v>
      </c>
      <c r="Y654" s="162">
        <f t="shared" si="220"/>
        <v>0</v>
      </c>
      <c r="Z654" s="162">
        <f t="shared" si="220"/>
        <v>0</v>
      </c>
      <c r="AA654" s="162">
        <f t="shared" si="220"/>
        <v>0</v>
      </c>
      <c r="AB654" s="163">
        <f t="shared" si="221"/>
        <v>0</v>
      </c>
      <c r="AC654" s="159"/>
      <c r="AE654" s="194" t="str">
        <f t="shared" si="224"/>
        <v>0 - LTS (0 - )</v>
      </c>
      <c r="AF654" s="161">
        <f t="shared" si="222"/>
        <v>0</v>
      </c>
      <c r="AG654" s="162">
        <f t="shared" si="222"/>
        <v>0</v>
      </c>
      <c r="AH654" s="162">
        <f t="shared" si="222"/>
        <v>0</v>
      </c>
      <c r="AI654" s="162">
        <f t="shared" si="222"/>
        <v>0</v>
      </c>
      <c r="AJ654" s="162">
        <f t="shared" si="222"/>
        <v>0</v>
      </c>
      <c r="AK654" s="162">
        <f t="shared" si="222"/>
        <v>0</v>
      </c>
      <c r="AL654" s="162">
        <f t="shared" si="222"/>
        <v>0</v>
      </c>
      <c r="AM654" s="162">
        <f t="shared" si="222"/>
        <v>0</v>
      </c>
      <c r="AN654" s="162">
        <f t="shared" si="222"/>
        <v>0</v>
      </c>
      <c r="AO654" s="162">
        <f t="shared" si="222"/>
        <v>0</v>
      </c>
      <c r="AP654" s="162">
        <f t="shared" si="222"/>
        <v>0</v>
      </c>
      <c r="AQ654" s="162">
        <f t="shared" si="222"/>
        <v>0</v>
      </c>
      <c r="AR654" s="163">
        <f t="shared" si="225"/>
        <v>0</v>
      </c>
    </row>
    <row r="655" spans="1:44" x14ac:dyDescent="0.25">
      <c r="A655" s="14"/>
      <c r="B655" s="15" t="str">
        <f t="shared" si="223"/>
        <v>IND_COMB_0_0</v>
      </c>
      <c r="F655" s="190">
        <f t="shared" si="218"/>
        <v>0</v>
      </c>
      <c r="G655" s="149" t="str">
        <f t="shared" si="218"/>
        <v/>
      </c>
      <c r="H655" s="150" t="str">
        <f t="shared" si="218"/>
        <v/>
      </c>
      <c r="I655" s="150">
        <f t="shared" si="218"/>
        <v>0</v>
      </c>
      <c r="J655" s="150">
        <f t="shared" si="218"/>
        <v>0</v>
      </c>
      <c r="K655" s="150" t="str">
        <f>IFERROR(VLOOKUP($J655,#REF!,3,0),"")</f>
        <v/>
      </c>
      <c r="L655" s="150" t="str">
        <f>IFERROR(VLOOKUP($J655,#REF!,5,0),"")</f>
        <v/>
      </c>
      <c r="M655" s="191">
        <f t="shared" si="226"/>
        <v>0</v>
      </c>
      <c r="N655" s="192">
        <f t="shared" si="219"/>
        <v>0</v>
      </c>
      <c r="O655" s="193">
        <f t="shared" si="219"/>
        <v>0</v>
      </c>
      <c r="P655" s="162">
        <f t="shared" si="220"/>
        <v>0</v>
      </c>
      <c r="Q655" s="162">
        <f t="shared" si="220"/>
        <v>0</v>
      </c>
      <c r="R655" s="162">
        <f t="shared" si="220"/>
        <v>0</v>
      </c>
      <c r="S655" s="162">
        <f t="shared" si="220"/>
        <v>0</v>
      </c>
      <c r="T655" s="162">
        <f t="shared" si="220"/>
        <v>0</v>
      </c>
      <c r="U655" s="162">
        <f t="shared" si="220"/>
        <v>0</v>
      </c>
      <c r="V655" s="162">
        <f t="shared" si="220"/>
        <v>0</v>
      </c>
      <c r="W655" s="162">
        <f t="shared" si="220"/>
        <v>0</v>
      </c>
      <c r="X655" s="162">
        <f t="shared" si="220"/>
        <v>0</v>
      </c>
      <c r="Y655" s="162">
        <f t="shared" si="220"/>
        <v>0</v>
      </c>
      <c r="Z655" s="162">
        <f t="shared" si="220"/>
        <v>0</v>
      </c>
      <c r="AA655" s="162">
        <f t="shared" si="220"/>
        <v>0</v>
      </c>
      <c r="AB655" s="163">
        <f t="shared" si="221"/>
        <v>0</v>
      </c>
      <c r="AC655" s="159"/>
      <c r="AE655" s="194" t="str">
        <f t="shared" si="224"/>
        <v>0 - LTS (0 - )</v>
      </c>
      <c r="AF655" s="161">
        <f>IFERROR(IF($L655="LTS/HS",P655*#REF!,IF($L655="KM/LTS",#REF!/P655,0)),0)</f>
        <v>0</v>
      </c>
      <c r="AG655" s="162">
        <f>IFERROR(IF($L655="LTS/HS",Q655*#REF!,IF($L655="KM/LTS",#REF!/Q655,0)),0)</f>
        <v>0</v>
      </c>
      <c r="AH655" s="162">
        <f>IFERROR(IF($L655="LTS/HS",R655*#REF!,IF($L655="KM/LTS",#REF!/R655,0)),0)</f>
        <v>0</v>
      </c>
      <c r="AI655" s="162">
        <f>IFERROR(IF($L655="LTS/HS",S655*#REF!,IF($L655="KM/LTS",#REF!/S655,0)),0)</f>
        <v>0</v>
      </c>
      <c r="AJ655" s="162">
        <f>IFERROR(IF($L655="LTS/HS",T655*#REF!,IF($L655="KM/LTS",#REF!/T655,0)),0)</f>
        <v>0</v>
      </c>
      <c r="AK655" s="162">
        <f>IFERROR(IF($L655="LTS/HS",U655*#REF!,IF($L655="KM/LTS",#REF!/U655,0)),0)</f>
        <v>0</v>
      </c>
      <c r="AL655" s="162">
        <f>IFERROR(IF($L655="LTS/HS",V655*#REF!,IF($L655="KM/LTS",#REF!/V655,0)),0)</f>
        <v>0</v>
      </c>
      <c r="AM655" s="162">
        <f>IFERROR(IF($L655="LTS/HS",W655*#REF!,IF($L655="KM/LTS",#REF!/W655,0)),0)</f>
        <v>0</v>
      </c>
      <c r="AN655" s="162">
        <f>IFERROR(IF($L655="LTS/HS",X655*#REF!,IF($L655="KM/LTS",#REF!/X655,0)),0)</f>
        <v>0</v>
      </c>
      <c r="AO655" s="162">
        <f>IFERROR(IF($L655="LTS/HS",Y655*#REF!,IF($L655="KM/LTS",#REF!/Y655,0)),0)</f>
        <v>0</v>
      </c>
      <c r="AP655" s="162">
        <f>IFERROR(IF($L655="LTS/HS",Z655*#REF!,IF($L655="KM/LTS",#REF!/Z655,0)),0)</f>
        <v>0</v>
      </c>
      <c r="AQ655" s="162">
        <f>IFERROR(IF($L655="LTS/HS",AA655*#REF!,IF($L655="KM/LTS",#REF!/AA655,0)),0)</f>
        <v>0</v>
      </c>
      <c r="AR655" s="163">
        <f t="shared" si="225"/>
        <v>0</v>
      </c>
    </row>
    <row r="656" spans="1:44" x14ac:dyDescent="0.25">
      <c r="A656" s="14"/>
      <c r="B656" s="15" t="str">
        <f t="shared" si="223"/>
        <v>IND_COMB_0_0</v>
      </c>
      <c r="F656" s="190">
        <f t="shared" si="218"/>
        <v>0</v>
      </c>
      <c r="G656" s="149" t="str">
        <f t="shared" si="218"/>
        <v/>
      </c>
      <c r="H656" s="150" t="str">
        <f t="shared" si="218"/>
        <v/>
      </c>
      <c r="I656" s="150">
        <f t="shared" si="218"/>
        <v>0</v>
      </c>
      <c r="J656" s="150">
        <f t="shared" si="218"/>
        <v>0</v>
      </c>
      <c r="K656" s="150" t="str">
        <f>IFERROR(VLOOKUP($J656,#REF!,3,0),"")</f>
        <v/>
      </c>
      <c r="L656" s="150" t="str">
        <f>IFERROR(VLOOKUP($J656,#REF!,5,0),"")</f>
        <v/>
      </c>
      <c r="M656" s="191">
        <f t="shared" si="226"/>
        <v>0</v>
      </c>
      <c r="N656" s="192">
        <f t="shared" si="219"/>
        <v>0</v>
      </c>
      <c r="O656" s="193">
        <f t="shared" si="219"/>
        <v>0</v>
      </c>
      <c r="P656" s="162">
        <f t="shared" si="220"/>
        <v>0</v>
      </c>
      <c r="Q656" s="162">
        <f t="shared" si="220"/>
        <v>0</v>
      </c>
      <c r="R656" s="162">
        <f t="shared" si="220"/>
        <v>0</v>
      </c>
      <c r="S656" s="162">
        <f t="shared" si="220"/>
        <v>0</v>
      </c>
      <c r="T656" s="162">
        <f t="shared" si="220"/>
        <v>0</v>
      </c>
      <c r="U656" s="162">
        <f t="shared" si="220"/>
        <v>0</v>
      </c>
      <c r="V656" s="162">
        <f t="shared" si="220"/>
        <v>0</v>
      </c>
      <c r="W656" s="162">
        <f t="shared" si="220"/>
        <v>0</v>
      </c>
      <c r="X656" s="162">
        <f t="shared" si="220"/>
        <v>0</v>
      </c>
      <c r="Y656" s="162">
        <f t="shared" si="220"/>
        <v>0</v>
      </c>
      <c r="Z656" s="162">
        <f t="shared" si="220"/>
        <v>0</v>
      </c>
      <c r="AA656" s="162">
        <f t="shared" si="220"/>
        <v>0</v>
      </c>
      <c r="AB656" s="163">
        <f t="shared" si="221"/>
        <v>0</v>
      </c>
      <c r="AC656" s="159"/>
      <c r="AE656" s="194" t="str">
        <f t="shared" si="224"/>
        <v>0 - LTS (0 - )</v>
      </c>
      <c r="AF656" s="161">
        <f>IFERROR(IF($L656="LTS/HS",P656*#REF!,IF($L656="KM/LTS",#REF!/P656,0)),0)</f>
        <v>0</v>
      </c>
      <c r="AG656" s="162">
        <f>IFERROR(IF($L656="LTS/HS",Q656*#REF!,IF($L656="KM/LTS",#REF!/Q656,0)),0)</f>
        <v>0</v>
      </c>
      <c r="AH656" s="162">
        <f>IFERROR(IF($L656="LTS/HS",R656*#REF!,IF($L656="KM/LTS",#REF!/R656,0)),0)</f>
        <v>0</v>
      </c>
      <c r="AI656" s="162">
        <f>IFERROR(IF($L656="LTS/HS",S656*#REF!,IF($L656="KM/LTS",#REF!/S656,0)),0)</f>
        <v>0</v>
      </c>
      <c r="AJ656" s="162">
        <f>IFERROR(IF($L656="LTS/HS",T656*#REF!,IF($L656="KM/LTS",#REF!/T656,0)),0)</f>
        <v>0</v>
      </c>
      <c r="AK656" s="162">
        <f>IFERROR(IF($L656="LTS/HS",U656*#REF!,IF($L656="KM/LTS",#REF!/U656,0)),0)</f>
        <v>0</v>
      </c>
      <c r="AL656" s="162">
        <f>IFERROR(IF($L656="LTS/HS",V656*#REF!,IF($L656="KM/LTS",#REF!/V656,0)),0)</f>
        <v>0</v>
      </c>
      <c r="AM656" s="162">
        <f>IFERROR(IF($L656="LTS/HS",W656*#REF!,IF($L656="KM/LTS",#REF!/W656,0)),0)</f>
        <v>0</v>
      </c>
      <c r="AN656" s="162">
        <f>IFERROR(IF($L656="LTS/HS",X656*#REF!,IF($L656="KM/LTS",#REF!/X656,0)),0)</f>
        <v>0</v>
      </c>
      <c r="AO656" s="162">
        <f>IFERROR(IF($L656="LTS/HS",Y656*#REF!,IF($L656="KM/LTS",#REF!/Y656,0)),0)</f>
        <v>0</v>
      </c>
      <c r="AP656" s="162">
        <f>IFERROR(IF($L656="LTS/HS",Z656*#REF!,IF($L656="KM/LTS",#REF!/Z656,0)),0)</f>
        <v>0</v>
      </c>
      <c r="AQ656" s="162">
        <f>IFERROR(IF($L656="LTS/HS",AA656*#REF!,IF($L656="KM/LTS",#REF!/AA656,0)),0)</f>
        <v>0</v>
      </c>
      <c r="AR656" s="163">
        <f t="shared" si="225"/>
        <v>0</v>
      </c>
    </row>
    <row r="657" spans="1:44" x14ac:dyDescent="0.25">
      <c r="A657" s="14"/>
      <c r="B657" s="15" t="str">
        <f t="shared" si="223"/>
        <v>IND_COMB_0_0</v>
      </c>
      <c r="F657" s="190">
        <f t="shared" ref="F657:J658" si="227">F614</f>
        <v>0</v>
      </c>
      <c r="G657" s="149" t="str">
        <f t="shared" si="227"/>
        <v/>
      </c>
      <c r="H657" s="150" t="str">
        <f t="shared" si="227"/>
        <v/>
      </c>
      <c r="I657" s="150">
        <f t="shared" si="227"/>
        <v>0</v>
      </c>
      <c r="J657" s="150">
        <f t="shared" si="227"/>
        <v>0</v>
      </c>
      <c r="K657" s="150" t="str">
        <f>IFERROR(VLOOKUP($J657,#REF!,3,0),"")</f>
        <v/>
      </c>
      <c r="L657" s="150" t="str">
        <f>IFERROR(VLOOKUP($J657,#REF!,5,0),"")</f>
        <v/>
      </c>
      <c r="M657" s="191">
        <f t="shared" si="226"/>
        <v>0</v>
      </c>
      <c r="N657" s="192">
        <f t="shared" ref="N657:O658" si="228">N614</f>
        <v>0</v>
      </c>
      <c r="O657" s="193">
        <f t="shared" si="228"/>
        <v>0</v>
      </c>
      <c r="P657" s="162">
        <f t="shared" ref="P657:AA672" si="229">$M657</f>
        <v>0</v>
      </c>
      <c r="Q657" s="162">
        <f t="shared" si="229"/>
        <v>0</v>
      </c>
      <c r="R657" s="162">
        <f t="shared" si="229"/>
        <v>0</v>
      </c>
      <c r="S657" s="162">
        <f t="shared" si="229"/>
        <v>0</v>
      </c>
      <c r="T657" s="162">
        <f t="shared" si="229"/>
        <v>0</v>
      </c>
      <c r="U657" s="162">
        <f t="shared" si="229"/>
        <v>0</v>
      </c>
      <c r="V657" s="162">
        <f t="shared" si="229"/>
        <v>0</v>
      </c>
      <c r="W657" s="162">
        <f t="shared" si="229"/>
        <v>0</v>
      </c>
      <c r="X657" s="162">
        <f t="shared" si="229"/>
        <v>0</v>
      </c>
      <c r="Y657" s="162">
        <f t="shared" si="229"/>
        <v>0</v>
      </c>
      <c r="Z657" s="162">
        <f t="shared" si="229"/>
        <v>0</v>
      </c>
      <c r="AA657" s="162">
        <f t="shared" si="229"/>
        <v>0</v>
      </c>
      <c r="AB657" s="163">
        <f t="shared" si="221"/>
        <v>0</v>
      </c>
      <c r="AC657" s="159"/>
      <c r="AE657" s="194" t="str">
        <f t="shared" si="224"/>
        <v>0 - LTS (0 - )</v>
      </c>
      <c r="AF657" s="161">
        <f>IFERROR(IF($L657="LTS/HS",P657*#REF!,IF($L657="KM/LTS",#REF!/P657,0)),0)</f>
        <v>0</v>
      </c>
      <c r="AG657" s="162">
        <f>IFERROR(IF($L657="LTS/HS",Q657*#REF!,IF($L657="KM/LTS",#REF!/Q657,0)),0)</f>
        <v>0</v>
      </c>
      <c r="AH657" s="162">
        <f>IFERROR(IF($L657="LTS/HS",R657*#REF!,IF($L657="KM/LTS",#REF!/R657,0)),0)</f>
        <v>0</v>
      </c>
      <c r="AI657" s="162">
        <f>IFERROR(IF($L657="LTS/HS",S657*#REF!,IF($L657="KM/LTS",#REF!/S657,0)),0)</f>
        <v>0</v>
      </c>
      <c r="AJ657" s="162">
        <f>IFERROR(IF($L657="LTS/HS",T657*#REF!,IF($L657="KM/LTS",#REF!/T657,0)),0)</f>
        <v>0</v>
      </c>
      <c r="AK657" s="162">
        <f>IFERROR(IF($L657="LTS/HS",U657*#REF!,IF($L657="KM/LTS",#REF!/U657,0)),0)</f>
        <v>0</v>
      </c>
      <c r="AL657" s="162">
        <f>IFERROR(IF($L657="LTS/HS",V657*#REF!,IF($L657="KM/LTS",#REF!/V657,0)),0)</f>
        <v>0</v>
      </c>
      <c r="AM657" s="162">
        <f>IFERROR(IF($L657="LTS/HS",W657*#REF!,IF($L657="KM/LTS",#REF!/W657,0)),0)</f>
        <v>0</v>
      </c>
      <c r="AN657" s="162">
        <f>IFERROR(IF($L657="LTS/HS",X657*#REF!,IF($L657="KM/LTS",#REF!/X657,0)),0)</f>
        <v>0</v>
      </c>
      <c r="AO657" s="162">
        <f>IFERROR(IF($L657="LTS/HS",Y657*#REF!,IF($L657="KM/LTS",#REF!/Y657,0)),0)</f>
        <v>0</v>
      </c>
      <c r="AP657" s="162">
        <f>IFERROR(IF($L657="LTS/HS",Z657*#REF!,IF($L657="KM/LTS",#REF!/Z657,0)),0)</f>
        <v>0</v>
      </c>
      <c r="AQ657" s="162">
        <f>IFERROR(IF($L657="LTS/HS",AA657*#REF!,IF($L657="KM/LTS",#REF!/AA657,0)),0)</f>
        <v>0</v>
      </c>
      <c r="AR657" s="163">
        <f t="shared" si="225"/>
        <v>0</v>
      </c>
    </row>
    <row r="658" spans="1:44" x14ac:dyDescent="0.25">
      <c r="A658" s="14"/>
      <c r="B658" s="15" t="str">
        <f t="shared" si="223"/>
        <v>IND_COMB_0_0</v>
      </c>
      <c r="F658" s="190">
        <f t="shared" si="227"/>
        <v>0</v>
      </c>
      <c r="G658" s="149" t="str">
        <f t="shared" si="227"/>
        <v/>
      </c>
      <c r="H658" s="150" t="str">
        <f t="shared" si="227"/>
        <v/>
      </c>
      <c r="I658" s="150">
        <f t="shared" si="227"/>
        <v>0</v>
      </c>
      <c r="J658" s="150">
        <f t="shared" si="227"/>
        <v>0</v>
      </c>
      <c r="K658" s="150" t="str">
        <f>IFERROR(VLOOKUP($J658,#REF!,3,0),"")</f>
        <v/>
      </c>
      <c r="L658" s="150" t="str">
        <f>IFERROR(VLOOKUP($J658,#REF!,5,0),"")</f>
        <v/>
      </c>
      <c r="M658" s="191">
        <f t="shared" si="226"/>
        <v>0</v>
      </c>
      <c r="N658" s="192">
        <f t="shared" si="228"/>
        <v>0</v>
      </c>
      <c r="O658" s="193">
        <f t="shared" si="228"/>
        <v>0</v>
      </c>
      <c r="P658" s="162">
        <f t="shared" si="229"/>
        <v>0</v>
      </c>
      <c r="Q658" s="162">
        <f t="shared" si="229"/>
        <v>0</v>
      </c>
      <c r="R658" s="162">
        <f t="shared" si="229"/>
        <v>0</v>
      </c>
      <c r="S658" s="162">
        <f t="shared" si="229"/>
        <v>0</v>
      </c>
      <c r="T658" s="162">
        <f t="shared" si="229"/>
        <v>0</v>
      </c>
      <c r="U658" s="162">
        <f t="shared" si="229"/>
        <v>0</v>
      </c>
      <c r="V658" s="162">
        <f t="shared" si="229"/>
        <v>0</v>
      </c>
      <c r="W658" s="162">
        <f t="shared" si="229"/>
        <v>0</v>
      </c>
      <c r="X658" s="162">
        <f t="shared" si="229"/>
        <v>0</v>
      </c>
      <c r="Y658" s="162">
        <f t="shared" si="229"/>
        <v>0</v>
      </c>
      <c r="Z658" s="162">
        <f t="shared" si="229"/>
        <v>0</v>
      </c>
      <c r="AA658" s="162">
        <f t="shared" si="229"/>
        <v>0</v>
      </c>
      <c r="AB658" s="163">
        <f t="shared" si="221"/>
        <v>0</v>
      </c>
      <c r="AC658" s="159"/>
      <c r="AE658" s="194" t="str">
        <f t="shared" si="224"/>
        <v>0 - LTS (0 - )</v>
      </c>
      <c r="AF658" s="161">
        <f>IFERROR(IF($L658="LTS/HS",P658*#REF!,IF($L658="KM/LTS",#REF!/P658,0)),0)</f>
        <v>0</v>
      </c>
      <c r="AG658" s="162">
        <f>IFERROR(IF($L658="LTS/HS",Q658*#REF!,IF($L658="KM/LTS",#REF!/Q658,0)),0)</f>
        <v>0</v>
      </c>
      <c r="AH658" s="162">
        <f>IFERROR(IF($L658="LTS/HS",R658*#REF!,IF($L658="KM/LTS",#REF!/R658,0)),0)</f>
        <v>0</v>
      </c>
      <c r="AI658" s="162">
        <f>IFERROR(IF($L658="LTS/HS",S658*#REF!,IF($L658="KM/LTS",#REF!/S658,0)),0)</f>
        <v>0</v>
      </c>
      <c r="AJ658" s="162">
        <f>IFERROR(IF($L658="LTS/HS",T658*#REF!,IF($L658="KM/LTS",#REF!/T658,0)),0)</f>
        <v>0</v>
      </c>
      <c r="AK658" s="162">
        <f>IFERROR(IF($L658="LTS/HS",U658*#REF!,IF($L658="KM/LTS",#REF!/U658,0)),0)</f>
        <v>0</v>
      </c>
      <c r="AL658" s="162">
        <f>IFERROR(IF($L658="LTS/HS",V658*#REF!,IF($L658="KM/LTS",#REF!/V658,0)),0)</f>
        <v>0</v>
      </c>
      <c r="AM658" s="162">
        <f>IFERROR(IF($L658="LTS/HS",W658*#REF!,IF($L658="KM/LTS",#REF!/W658,0)),0)</f>
        <v>0</v>
      </c>
      <c r="AN658" s="162">
        <f>IFERROR(IF($L658="LTS/HS",X658*#REF!,IF($L658="KM/LTS",#REF!/X658,0)),0)</f>
        <v>0</v>
      </c>
      <c r="AO658" s="162">
        <f>IFERROR(IF($L658="LTS/HS",Y658*#REF!,IF($L658="KM/LTS",#REF!/Y658,0)),0)</f>
        <v>0</v>
      </c>
      <c r="AP658" s="162">
        <f>IFERROR(IF($L658="LTS/HS",Z658*#REF!,IF($L658="KM/LTS",#REF!/Z658,0)),0)</f>
        <v>0</v>
      </c>
      <c r="AQ658" s="162">
        <f>IFERROR(IF($L658="LTS/HS",AA658*#REF!,IF($L658="KM/LTS",#REF!/AA658,0)),0)</f>
        <v>0</v>
      </c>
      <c r="AR658" s="163">
        <f t="shared" si="225"/>
        <v>0</v>
      </c>
    </row>
    <row r="659" spans="1:44" x14ac:dyDescent="0.25">
      <c r="A659" s="14"/>
      <c r="B659" s="15" t="str">
        <f t="shared" si="223"/>
        <v>IND_COMB_0_0</v>
      </c>
      <c r="F659" s="190">
        <f t="shared" ref="F659:J674" si="230">F612</f>
        <v>0</v>
      </c>
      <c r="G659" s="149" t="str">
        <f t="shared" si="230"/>
        <v/>
      </c>
      <c r="H659" s="150" t="str">
        <f t="shared" si="230"/>
        <v/>
      </c>
      <c r="I659" s="150">
        <f t="shared" si="230"/>
        <v>0</v>
      </c>
      <c r="J659" s="150">
        <f t="shared" si="230"/>
        <v>0</v>
      </c>
      <c r="K659" s="150" t="str">
        <f>IFERROR(VLOOKUP($J659,#REF!,3,0),"")</f>
        <v/>
      </c>
      <c r="L659" s="150" t="str">
        <f>IFERROR(VLOOKUP($J659,#REF!,5,0),"")</f>
        <v/>
      </c>
      <c r="M659" s="191">
        <f t="shared" ref="M659:M685" si="231">N612</f>
        <v>0</v>
      </c>
      <c r="N659" s="192">
        <f t="shared" ref="N659:O674" si="232">N612</f>
        <v>0</v>
      </c>
      <c r="O659" s="193">
        <f t="shared" si="232"/>
        <v>0</v>
      </c>
      <c r="P659" s="162">
        <f t="shared" si="229"/>
        <v>0</v>
      </c>
      <c r="Q659" s="162">
        <f t="shared" si="229"/>
        <v>0</v>
      </c>
      <c r="R659" s="162">
        <f t="shared" si="229"/>
        <v>0</v>
      </c>
      <c r="S659" s="162">
        <f t="shared" si="229"/>
        <v>0</v>
      </c>
      <c r="T659" s="162">
        <f t="shared" si="229"/>
        <v>0</v>
      </c>
      <c r="U659" s="162">
        <f t="shared" si="229"/>
        <v>0</v>
      </c>
      <c r="V659" s="162">
        <f t="shared" si="229"/>
        <v>0</v>
      </c>
      <c r="W659" s="162">
        <f t="shared" si="229"/>
        <v>0</v>
      </c>
      <c r="X659" s="162">
        <f t="shared" si="229"/>
        <v>0</v>
      </c>
      <c r="Y659" s="162">
        <f t="shared" si="229"/>
        <v>0</v>
      </c>
      <c r="Z659" s="162">
        <f t="shared" si="229"/>
        <v>0</v>
      </c>
      <c r="AA659" s="162">
        <f t="shared" si="229"/>
        <v>0</v>
      </c>
      <c r="AB659" s="163">
        <f t="shared" si="221"/>
        <v>0</v>
      </c>
      <c r="AC659" s="159"/>
      <c r="AE659" s="194" t="str">
        <f t="shared" si="224"/>
        <v>0 - LTS (0 - )</v>
      </c>
      <c r="AF659" s="161">
        <f t="shared" ref="AF659:AQ674" si="233">IFERROR(IF($L659="LTS/HS",P659*AF612,IF($L659="KM/LTS",AF612/P659,0)),0)</f>
        <v>0</v>
      </c>
      <c r="AG659" s="162">
        <f t="shared" si="233"/>
        <v>0</v>
      </c>
      <c r="AH659" s="162">
        <f t="shared" si="233"/>
        <v>0</v>
      </c>
      <c r="AI659" s="162">
        <f t="shared" si="233"/>
        <v>0</v>
      </c>
      <c r="AJ659" s="162">
        <f t="shared" si="233"/>
        <v>0</v>
      </c>
      <c r="AK659" s="162">
        <f t="shared" si="233"/>
        <v>0</v>
      </c>
      <c r="AL659" s="162">
        <f t="shared" si="233"/>
        <v>0</v>
      </c>
      <c r="AM659" s="162">
        <f t="shared" si="233"/>
        <v>0</v>
      </c>
      <c r="AN659" s="162">
        <f t="shared" si="233"/>
        <v>0</v>
      </c>
      <c r="AO659" s="162">
        <f t="shared" si="233"/>
        <v>0</v>
      </c>
      <c r="AP659" s="162">
        <f t="shared" si="233"/>
        <v>0</v>
      </c>
      <c r="AQ659" s="162">
        <f t="shared" si="233"/>
        <v>0</v>
      </c>
      <c r="AR659" s="163">
        <f t="shared" si="225"/>
        <v>0</v>
      </c>
    </row>
    <row r="660" spans="1:44" x14ac:dyDescent="0.25">
      <c r="A660" s="14"/>
      <c r="B660" s="15" t="str">
        <f t="shared" si="223"/>
        <v>IND_COMB_0_0</v>
      </c>
      <c r="F660" s="190">
        <f t="shared" si="230"/>
        <v>0</v>
      </c>
      <c r="G660" s="149" t="str">
        <f t="shared" si="230"/>
        <v/>
      </c>
      <c r="H660" s="150" t="str">
        <f t="shared" si="230"/>
        <v/>
      </c>
      <c r="I660" s="150">
        <f t="shared" si="230"/>
        <v>0</v>
      </c>
      <c r="J660" s="150">
        <f t="shared" si="230"/>
        <v>0</v>
      </c>
      <c r="K660" s="150" t="str">
        <f>IFERROR(VLOOKUP($J660,#REF!,3,0),"")</f>
        <v/>
      </c>
      <c r="L660" s="150" t="str">
        <f>IFERROR(VLOOKUP($J660,#REF!,5,0),"")</f>
        <v/>
      </c>
      <c r="M660" s="191">
        <f t="shared" si="231"/>
        <v>0</v>
      </c>
      <c r="N660" s="192">
        <f t="shared" si="232"/>
        <v>0</v>
      </c>
      <c r="O660" s="193">
        <f t="shared" si="232"/>
        <v>0</v>
      </c>
      <c r="P660" s="162">
        <f t="shared" si="229"/>
        <v>0</v>
      </c>
      <c r="Q660" s="162">
        <f t="shared" si="229"/>
        <v>0</v>
      </c>
      <c r="R660" s="162">
        <f t="shared" si="229"/>
        <v>0</v>
      </c>
      <c r="S660" s="162">
        <f t="shared" si="229"/>
        <v>0</v>
      </c>
      <c r="T660" s="162">
        <f t="shared" si="229"/>
        <v>0</v>
      </c>
      <c r="U660" s="162">
        <f t="shared" si="229"/>
        <v>0</v>
      </c>
      <c r="V660" s="162">
        <f t="shared" si="229"/>
        <v>0</v>
      </c>
      <c r="W660" s="162">
        <f t="shared" si="229"/>
        <v>0</v>
      </c>
      <c r="X660" s="162">
        <f t="shared" si="229"/>
        <v>0</v>
      </c>
      <c r="Y660" s="162">
        <f t="shared" si="229"/>
        <v>0</v>
      </c>
      <c r="Z660" s="162">
        <f t="shared" si="229"/>
        <v>0</v>
      </c>
      <c r="AA660" s="162">
        <f t="shared" si="229"/>
        <v>0</v>
      </c>
      <c r="AB660" s="163">
        <f t="shared" si="221"/>
        <v>0</v>
      </c>
      <c r="AC660" s="159"/>
      <c r="AE660" s="194" t="str">
        <f t="shared" si="224"/>
        <v>0 - LTS (0 - )</v>
      </c>
      <c r="AF660" s="161">
        <f t="shared" si="233"/>
        <v>0</v>
      </c>
      <c r="AG660" s="162">
        <f t="shared" si="233"/>
        <v>0</v>
      </c>
      <c r="AH660" s="162">
        <f t="shared" si="233"/>
        <v>0</v>
      </c>
      <c r="AI660" s="162">
        <f t="shared" si="233"/>
        <v>0</v>
      </c>
      <c r="AJ660" s="162">
        <f t="shared" si="233"/>
        <v>0</v>
      </c>
      <c r="AK660" s="162">
        <f t="shared" si="233"/>
        <v>0</v>
      </c>
      <c r="AL660" s="162">
        <f t="shared" si="233"/>
        <v>0</v>
      </c>
      <c r="AM660" s="162">
        <f t="shared" si="233"/>
        <v>0</v>
      </c>
      <c r="AN660" s="162">
        <f t="shared" si="233"/>
        <v>0</v>
      </c>
      <c r="AO660" s="162">
        <f t="shared" si="233"/>
        <v>0</v>
      </c>
      <c r="AP660" s="162">
        <f t="shared" si="233"/>
        <v>0</v>
      </c>
      <c r="AQ660" s="162">
        <f t="shared" si="233"/>
        <v>0</v>
      </c>
      <c r="AR660" s="163">
        <f t="shared" si="225"/>
        <v>0</v>
      </c>
    </row>
    <row r="661" spans="1:44" x14ac:dyDescent="0.25">
      <c r="A661" s="14"/>
      <c r="B661" s="15" t="str">
        <f t="shared" si="223"/>
        <v>IND_COMB_0_0</v>
      </c>
      <c r="F661" s="190">
        <f t="shared" si="230"/>
        <v>0</v>
      </c>
      <c r="G661" s="149" t="str">
        <f t="shared" si="230"/>
        <v/>
      </c>
      <c r="H661" s="150" t="str">
        <f t="shared" si="230"/>
        <v/>
      </c>
      <c r="I661" s="150">
        <f t="shared" si="230"/>
        <v>0</v>
      </c>
      <c r="J661" s="150">
        <f t="shared" si="230"/>
        <v>0</v>
      </c>
      <c r="K661" s="150" t="str">
        <f>IFERROR(VLOOKUP($J661,#REF!,3,0),"")</f>
        <v/>
      </c>
      <c r="L661" s="150" t="str">
        <f>IFERROR(VLOOKUP($J661,#REF!,5,0),"")</f>
        <v/>
      </c>
      <c r="M661" s="191">
        <f t="shared" si="231"/>
        <v>0</v>
      </c>
      <c r="N661" s="192">
        <f t="shared" si="232"/>
        <v>0</v>
      </c>
      <c r="O661" s="193">
        <f t="shared" si="232"/>
        <v>0</v>
      </c>
      <c r="P661" s="162">
        <f t="shared" si="229"/>
        <v>0</v>
      </c>
      <c r="Q661" s="162">
        <f t="shared" si="229"/>
        <v>0</v>
      </c>
      <c r="R661" s="162">
        <f t="shared" si="229"/>
        <v>0</v>
      </c>
      <c r="S661" s="162">
        <f t="shared" si="229"/>
        <v>0</v>
      </c>
      <c r="T661" s="162">
        <f t="shared" si="229"/>
        <v>0</v>
      </c>
      <c r="U661" s="162">
        <f t="shared" si="229"/>
        <v>0</v>
      </c>
      <c r="V661" s="162">
        <f t="shared" si="229"/>
        <v>0</v>
      </c>
      <c r="W661" s="162">
        <f t="shared" si="229"/>
        <v>0</v>
      </c>
      <c r="X661" s="162">
        <f t="shared" si="229"/>
        <v>0</v>
      </c>
      <c r="Y661" s="162">
        <f t="shared" si="229"/>
        <v>0</v>
      </c>
      <c r="Z661" s="162">
        <f t="shared" si="229"/>
        <v>0</v>
      </c>
      <c r="AA661" s="162">
        <f t="shared" si="229"/>
        <v>0</v>
      </c>
      <c r="AB661" s="163">
        <f t="shared" si="221"/>
        <v>0</v>
      </c>
      <c r="AC661" s="159"/>
      <c r="AE661" s="194" t="str">
        <f t="shared" si="224"/>
        <v>0 - LTS (0 - )</v>
      </c>
      <c r="AF661" s="161">
        <f t="shared" si="233"/>
        <v>0</v>
      </c>
      <c r="AG661" s="162">
        <f t="shared" si="233"/>
        <v>0</v>
      </c>
      <c r="AH661" s="162">
        <f t="shared" si="233"/>
        <v>0</v>
      </c>
      <c r="AI661" s="162">
        <f t="shared" si="233"/>
        <v>0</v>
      </c>
      <c r="AJ661" s="162">
        <f t="shared" si="233"/>
        <v>0</v>
      </c>
      <c r="AK661" s="162">
        <f t="shared" si="233"/>
        <v>0</v>
      </c>
      <c r="AL661" s="162">
        <f t="shared" si="233"/>
        <v>0</v>
      </c>
      <c r="AM661" s="162">
        <f t="shared" si="233"/>
        <v>0</v>
      </c>
      <c r="AN661" s="162">
        <f t="shared" si="233"/>
        <v>0</v>
      </c>
      <c r="AO661" s="162">
        <f t="shared" si="233"/>
        <v>0</v>
      </c>
      <c r="AP661" s="162">
        <f t="shared" si="233"/>
        <v>0</v>
      </c>
      <c r="AQ661" s="162">
        <f t="shared" si="233"/>
        <v>0</v>
      </c>
      <c r="AR661" s="163">
        <f t="shared" si="225"/>
        <v>0</v>
      </c>
    </row>
    <row r="662" spans="1:44" x14ac:dyDescent="0.25">
      <c r="A662" s="14"/>
      <c r="B662" s="15" t="str">
        <f t="shared" si="223"/>
        <v>IND_COMB_0_0</v>
      </c>
      <c r="F662" s="190">
        <f t="shared" si="230"/>
        <v>0</v>
      </c>
      <c r="G662" s="149" t="str">
        <f t="shared" si="230"/>
        <v/>
      </c>
      <c r="H662" s="150" t="str">
        <f t="shared" si="230"/>
        <v/>
      </c>
      <c r="I662" s="150">
        <f t="shared" si="230"/>
        <v>0</v>
      </c>
      <c r="J662" s="150">
        <f t="shared" si="230"/>
        <v>0</v>
      </c>
      <c r="K662" s="150" t="str">
        <f>IFERROR(VLOOKUP($J662,#REF!,3,0),"")</f>
        <v/>
      </c>
      <c r="L662" s="150" t="str">
        <f>IFERROR(VLOOKUP($J662,#REF!,5,0),"")</f>
        <v/>
      </c>
      <c r="M662" s="191">
        <f t="shared" si="231"/>
        <v>0</v>
      </c>
      <c r="N662" s="192">
        <f t="shared" si="232"/>
        <v>0</v>
      </c>
      <c r="O662" s="193">
        <f t="shared" si="232"/>
        <v>0</v>
      </c>
      <c r="P662" s="162">
        <f t="shared" si="229"/>
        <v>0</v>
      </c>
      <c r="Q662" s="162">
        <f t="shared" si="229"/>
        <v>0</v>
      </c>
      <c r="R662" s="162">
        <f t="shared" si="229"/>
        <v>0</v>
      </c>
      <c r="S662" s="162">
        <f t="shared" si="229"/>
        <v>0</v>
      </c>
      <c r="T662" s="162">
        <f t="shared" si="229"/>
        <v>0</v>
      </c>
      <c r="U662" s="162">
        <f t="shared" si="229"/>
        <v>0</v>
      </c>
      <c r="V662" s="162">
        <f t="shared" si="229"/>
        <v>0</v>
      </c>
      <c r="W662" s="162">
        <f t="shared" si="229"/>
        <v>0</v>
      </c>
      <c r="X662" s="162">
        <f t="shared" si="229"/>
        <v>0</v>
      </c>
      <c r="Y662" s="162">
        <f t="shared" si="229"/>
        <v>0</v>
      </c>
      <c r="Z662" s="162">
        <f t="shared" si="229"/>
        <v>0</v>
      </c>
      <c r="AA662" s="162">
        <f t="shared" si="229"/>
        <v>0</v>
      </c>
      <c r="AB662" s="163">
        <f t="shared" si="221"/>
        <v>0</v>
      </c>
      <c r="AC662" s="159"/>
      <c r="AE662" s="194" t="str">
        <f t="shared" si="224"/>
        <v>0 - LTS (0 - )</v>
      </c>
      <c r="AF662" s="161">
        <f t="shared" si="233"/>
        <v>0</v>
      </c>
      <c r="AG662" s="162">
        <f t="shared" si="233"/>
        <v>0</v>
      </c>
      <c r="AH662" s="162">
        <f t="shared" si="233"/>
        <v>0</v>
      </c>
      <c r="AI662" s="162">
        <f t="shared" si="233"/>
        <v>0</v>
      </c>
      <c r="AJ662" s="162">
        <f t="shared" si="233"/>
        <v>0</v>
      </c>
      <c r="AK662" s="162">
        <f t="shared" si="233"/>
        <v>0</v>
      </c>
      <c r="AL662" s="162">
        <f t="shared" si="233"/>
        <v>0</v>
      </c>
      <c r="AM662" s="162">
        <f t="shared" si="233"/>
        <v>0</v>
      </c>
      <c r="AN662" s="162">
        <f t="shared" si="233"/>
        <v>0</v>
      </c>
      <c r="AO662" s="162">
        <f t="shared" si="233"/>
        <v>0</v>
      </c>
      <c r="AP662" s="162">
        <f t="shared" si="233"/>
        <v>0</v>
      </c>
      <c r="AQ662" s="162">
        <f t="shared" si="233"/>
        <v>0</v>
      </c>
      <c r="AR662" s="163">
        <f t="shared" si="225"/>
        <v>0</v>
      </c>
    </row>
    <row r="663" spans="1:44" x14ac:dyDescent="0.25">
      <c r="A663" s="14"/>
      <c r="B663" s="15" t="str">
        <f t="shared" si="223"/>
        <v>IND_COMB_0_0</v>
      </c>
      <c r="F663" s="190">
        <f t="shared" si="230"/>
        <v>0</v>
      </c>
      <c r="G663" s="149" t="str">
        <f t="shared" si="230"/>
        <v/>
      </c>
      <c r="H663" s="150" t="str">
        <f t="shared" si="230"/>
        <v/>
      </c>
      <c r="I663" s="150">
        <f t="shared" si="230"/>
        <v>0</v>
      </c>
      <c r="J663" s="150">
        <f t="shared" si="230"/>
        <v>0</v>
      </c>
      <c r="K663" s="150" t="str">
        <f>IFERROR(VLOOKUP($J663,#REF!,3,0),"")</f>
        <v/>
      </c>
      <c r="L663" s="150" t="str">
        <f>IFERROR(VLOOKUP($J663,#REF!,5,0),"")</f>
        <v/>
      </c>
      <c r="M663" s="191">
        <f t="shared" si="231"/>
        <v>0</v>
      </c>
      <c r="N663" s="192">
        <f t="shared" si="232"/>
        <v>0</v>
      </c>
      <c r="O663" s="193">
        <f t="shared" si="232"/>
        <v>0</v>
      </c>
      <c r="P663" s="162">
        <f t="shared" si="229"/>
        <v>0</v>
      </c>
      <c r="Q663" s="162">
        <f t="shared" si="229"/>
        <v>0</v>
      </c>
      <c r="R663" s="162">
        <f t="shared" si="229"/>
        <v>0</v>
      </c>
      <c r="S663" s="162">
        <f t="shared" si="229"/>
        <v>0</v>
      </c>
      <c r="T663" s="162">
        <f t="shared" si="229"/>
        <v>0</v>
      </c>
      <c r="U663" s="162">
        <f t="shared" si="229"/>
        <v>0</v>
      </c>
      <c r="V663" s="162">
        <f t="shared" si="229"/>
        <v>0</v>
      </c>
      <c r="W663" s="162">
        <f t="shared" si="229"/>
        <v>0</v>
      </c>
      <c r="X663" s="162">
        <f t="shared" si="229"/>
        <v>0</v>
      </c>
      <c r="Y663" s="162">
        <f t="shared" si="229"/>
        <v>0</v>
      </c>
      <c r="Z663" s="162">
        <f t="shared" si="229"/>
        <v>0</v>
      </c>
      <c r="AA663" s="162">
        <f t="shared" si="229"/>
        <v>0</v>
      </c>
      <c r="AB663" s="163">
        <f t="shared" si="221"/>
        <v>0</v>
      </c>
      <c r="AC663" s="159"/>
      <c r="AE663" s="194" t="str">
        <f t="shared" si="224"/>
        <v>0 - LTS (0 - )</v>
      </c>
      <c r="AF663" s="161">
        <f t="shared" si="233"/>
        <v>0</v>
      </c>
      <c r="AG663" s="162">
        <f t="shared" si="233"/>
        <v>0</v>
      </c>
      <c r="AH663" s="162">
        <f t="shared" si="233"/>
        <v>0</v>
      </c>
      <c r="AI663" s="162">
        <f t="shared" si="233"/>
        <v>0</v>
      </c>
      <c r="AJ663" s="162">
        <f t="shared" si="233"/>
        <v>0</v>
      </c>
      <c r="AK663" s="162">
        <f t="shared" si="233"/>
        <v>0</v>
      </c>
      <c r="AL663" s="162">
        <f t="shared" si="233"/>
        <v>0</v>
      </c>
      <c r="AM663" s="162">
        <f t="shared" si="233"/>
        <v>0</v>
      </c>
      <c r="AN663" s="162">
        <f t="shared" si="233"/>
        <v>0</v>
      </c>
      <c r="AO663" s="162">
        <f t="shared" si="233"/>
        <v>0</v>
      </c>
      <c r="AP663" s="162">
        <f t="shared" si="233"/>
        <v>0</v>
      </c>
      <c r="AQ663" s="162">
        <f t="shared" si="233"/>
        <v>0</v>
      </c>
      <c r="AR663" s="163">
        <f t="shared" si="225"/>
        <v>0</v>
      </c>
    </row>
    <row r="664" spans="1:44" x14ac:dyDescent="0.25">
      <c r="A664" s="14"/>
      <c r="B664" s="15" t="str">
        <f t="shared" si="223"/>
        <v>IND_COMB_0_0</v>
      </c>
      <c r="F664" s="190">
        <f t="shared" si="230"/>
        <v>0</v>
      </c>
      <c r="G664" s="149" t="str">
        <f t="shared" si="230"/>
        <v/>
      </c>
      <c r="H664" s="150" t="str">
        <f t="shared" si="230"/>
        <v/>
      </c>
      <c r="I664" s="150">
        <f t="shared" si="230"/>
        <v>0</v>
      </c>
      <c r="J664" s="150">
        <f t="shared" si="230"/>
        <v>0</v>
      </c>
      <c r="K664" s="150" t="str">
        <f>IFERROR(VLOOKUP($J664,#REF!,3,0),"")</f>
        <v/>
      </c>
      <c r="L664" s="150" t="str">
        <f>IFERROR(VLOOKUP($J664,#REF!,5,0),"")</f>
        <v/>
      </c>
      <c r="M664" s="191">
        <f t="shared" si="231"/>
        <v>0</v>
      </c>
      <c r="N664" s="192">
        <f t="shared" si="232"/>
        <v>0</v>
      </c>
      <c r="O664" s="193">
        <f t="shared" si="232"/>
        <v>0</v>
      </c>
      <c r="P664" s="162">
        <f t="shared" si="229"/>
        <v>0</v>
      </c>
      <c r="Q664" s="162">
        <f t="shared" si="229"/>
        <v>0</v>
      </c>
      <c r="R664" s="162">
        <f t="shared" si="229"/>
        <v>0</v>
      </c>
      <c r="S664" s="162">
        <f t="shared" si="229"/>
        <v>0</v>
      </c>
      <c r="T664" s="162">
        <f t="shared" si="229"/>
        <v>0</v>
      </c>
      <c r="U664" s="162">
        <f t="shared" si="229"/>
        <v>0</v>
      </c>
      <c r="V664" s="162">
        <f t="shared" si="229"/>
        <v>0</v>
      </c>
      <c r="W664" s="162">
        <f t="shared" si="229"/>
        <v>0</v>
      </c>
      <c r="X664" s="162">
        <f t="shared" si="229"/>
        <v>0</v>
      </c>
      <c r="Y664" s="162">
        <f t="shared" si="229"/>
        <v>0</v>
      </c>
      <c r="Z664" s="162">
        <f t="shared" si="229"/>
        <v>0</v>
      </c>
      <c r="AA664" s="162">
        <f t="shared" si="229"/>
        <v>0</v>
      </c>
      <c r="AB664" s="163">
        <f t="shared" si="221"/>
        <v>0</v>
      </c>
      <c r="AC664" s="159"/>
      <c r="AE664" s="194" t="str">
        <f t="shared" si="224"/>
        <v>0 - LTS (0 - )</v>
      </c>
      <c r="AF664" s="161">
        <f t="shared" si="233"/>
        <v>0</v>
      </c>
      <c r="AG664" s="162">
        <f t="shared" si="233"/>
        <v>0</v>
      </c>
      <c r="AH664" s="162">
        <f t="shared" si="233"/>
        <v>0</v>
      </c>
      <c r="AI664" s="162">
        <f t="shared" si="233"/>
        <v>0</v>
      </c>
      <c r="AJ664" s="162">
        <f t="shared" si="233"/>
        <v>0</v>
      </c>
      <c r="AK664" s="162">
        <f t="shared" si="233"/>
        <v>0</v>
      </c>
      <c r="AL664" s="162">
        <f t="shared" si="233"/>
        <v>0</v>
      </c>
      <c r="AM664" s="162">
        <f t="shared" si="233"/>
        <v>0</v>
      </c>
      <c r="AN664" s="162">
        <f t="shared" si="233"/>
        <v>0</v>
      </c>
      <c r="AO664" s="162">
        <f t="shared" si="233"/>
        <v>0</v>
      </c>
      <c r="AP664" s="162">
        <f t="shared" si="233"/>
        <v>0</v>
      </c>
      <c r="AQ664" s="162">
        <f t="shared" si="233"/>
        <v>0</v>
      </c>
      <c r="AR664" s="163">
        <f t="shared" si="225"/>
        <v>0</v>
      </c>
    </row>
    <row r="665" spans="1:44" x14ac:dyDescent="0.25">
      <c r="A665" s="14"/>
      <c r="B665" s="15" t="str">
        <f t="shared" si="223"/>
        <v>IND_COMB_0_0</v>
      </c>
      <c r="F665" s="190">
        <f t="shared" si="230"/>
        <v>0</v>
      </c>
      <c r="G665" s="149" t="str">
        <f t="shared" si="230"/>
        <v/>
      </c>
      <c r="H665" s="150" t="str">
        <f t="shared" si="230"/>
        <v/>
      </c>
      <c r="I665" s="150">
        <f t="shared" si="230"/>
        <v>0</v>
      </c>
      <c r="J665" s="150">
        <f t="shared" si="230"/>
        <v>0</v>
      </c>
      <c r="K665" s="150" t="str">
        <f>IFERROR(VLOOKUP($J665,#REF!,3,0),"")</f>
        <v/>
      </c>
      <c r="L665" s="150" t="str">
        <f>IFERROR(VLOOKUP($J665,#REF!,5,0),"")</f>
        <v/>
      </c>
      <c r="M665" s="191">
        <f t="shared" si="231"/>
        <v>0</v>
      </c>
      <c r="N665" s="192">
        <f t="shared" si="232"/>
        <v>0</v>
      </c>
      <c r="O665" s="193">
        <f t="shared" si="232"/>
        <v>0</v>
      </c>
      <c r="P665" s="162">
        <f t="shared" si="229"/>
        <v>0</v>
      </c>
      <c r="Q665" s="162">
        <f t="shared" si="229"/>
        <v>0</v>
      </c>
      <c r="R665" s="162">
        <f t="shared" si="229"/>
        <v>0</v>
      </c>
      <c r="S665" s="162">
        <f t="shared" si="229"/>
        <v>0</v>
      </c>
      <c r="T665" s="162">
        <f t="shared" si="229"/>
        <v>0</v>
      </c>
      <c r="U665" s="162">
        <f t="shared" si="229"/>
        <v>0</v>
      </c>
      <c r="V665" s="162">
        <f t="shared" si="229"/>
        <v>0</v>
      </c>
      <c r="W665" s="162">
        <f t="shared" si="229"/>
        <v>0</v>
      </c>
      <c r="X665" s="162">
        <f t="shared" si="229"/>
        <v>0</v>
      </c>
      <c r="Y665" s="162">
        <f t="shared" si="229"/>
        <v>0</v>
      </c>
      <c r="Z665" s="162">
        <f t="shared" si="229"/>
        <v>0</v>
      </c>
      <c r="AA665" s="162">
        <f t="shared" si="229"/>
        <v>0</v>
      </c>
      <c r="AB665" s="163">
        <f t="shared" si="221"/>
        <v>0</v>
      </c>
      <c r="AC665" s="159"/>
      <c r="AE665" s="194" t="str">
        <f t="shared" si="224"/>
        <v>0 - LTS (0 - )</v>
      </c>
      <c r="AF665" s="161">
        <f t="shared" si="233"/>
        <v>0</v>
      </c>
      <c r="AG665" s="162">
        <f t="shared" si="233"/>
        <v>0</v>
      </c>
      <c r="AH665" s="162">
        <f t="shared" si="233"/>
        <v>0</v>
      </c>
      <c r="AI665" s="162">
        <f t="shared" si="233"/>
        <v>0</v>
      </c>
      <c r="AJ665" s="162">
        <f t="shared" si="233"/>
        <v>0</v>
      </c>
      <c r="AK665" s="162">
        <f t="shared" si="233"/>
        <v>0</v>
      </c>
      <c r="AL665" s="162">
        <f t="shared" si="233"/>
        <v>0</v>
      </c>
      <c r="AM665" s="162">
        <f t="shared" si="233"/>
        <v>0</v>
      </c>
      <c r="AN665" s="162">
        <f t="shared" si="233"/>
        <v>0</v>
      </c>
      <c r="AO665" s="162">
        <f t="shared" si="233"/>
        <v>0</v>
      </c>
      <c r="AP665" s="162">
        <f t="shared" si="233"/>
        <v>0</v>
      </c>
      <c r="AQ665" s="162">
        <f t="shared" si="233"/>
        <v>0</v>
      </c>
      <c r="AR665" s="163">
        <f t="shared" si="225"/>
        <v>0</v>
      </c>
    </row>
    <row r="666" spans="1:44" x14ac:dyDescent="0.25">
      <c r="A666" s="14"/>
      <c r="B666" s="15" t="str">
        <f t="shared" si="223"/>
        <v>IND_COMB_0_0</v>
      </c>
      <c r="F666" s="190">
        <f t="shared" si="230"/>
        <v>0</v>
      </c>
      <c r="G666" s="149" t="str">
        <f t="shared" si="230"/>
        <v/>
      </c>
      <c r="H666" s="150" t="str">
        <f t="shared" si="230"/>
        <v/>
      </c>
      <c r="I666" s="150">
        <f t="shared" si="230"/>
        <v>0</v>
      </c>
      <c r="J666" s="150">
        <f t="shared" si="230"/>
        <v>0</v>
      </c>
      <c r="K666" s="150" t="str">
        <f>IFERROR(VLOOKUP($J666,#REF!,3,0),"")</f>
        <v/>
      </c>
      <c r="L666" s="150" t="str">
        <f>IFERROR(VLOOKUP($J666,#REF!,5,0),"")</f>
        <v/>
      </c>
      <c r="M666" s="191">
        <f t="shared" si="231"/>
        <v>0</v>
      </c>
      <c r="N666" s="192">
        <f t="shared" si="232"/>
        <v>0</v>
      </c>
      <c r="O666" s="193">
        <f t="shared" si="232"/>
        <v>0</v>
      </c>
      <c r="P666" s="162">
        <f t="shared" si="229"/>
        <v>0</v>
      </c>
      <c r="Q666" s="162">
        <f t="shared" si="229"/>
        <v>0</v>
      </c>
      <c r="R666" s="162">
        <f t="shared" si="229"/>
        <v>0</v>
      </c>
      <c r="S666" s="162">
        <f t="shared" si="229"/>
        <v>0</v>
      </c>
      <c r="T666" s="162">
        <f t="shared" si="229"/>
        <v>0</v>
      </c>
      <c r="U666" s="162">
        <f t="shared" si="229"/>
        <v>0</v>
      </c>
      <c r="V666" s="162">
        <f t="shared" si="229"/>
        <v>0</v>
      </c>
      <c r="W666" s="162">
        <f t="shared" si="229"/>
        <v>0</v>
      </c>
      <c r="X666" s="162">
        <f t="shared" si="229"/>
        <v>0</v>
      </c>
      <c r="Y666" s="162">
        <f t="shared" si="229"/>
        <v>0</v>
      </c>
      <c r="Z666" s="162">
        <f t="shared" si="229"/>
        <v>0</v>
      </c>
      <c r="AA666" s="162">
        <f t="shared" si="229"/>
        <v>0</v>
      </c>
      <c r="AB666" s="163">
        <f t="shared" si="221"/>
        <v>0</v>
      </c>
      <c r="AC666" s="159"/>
      <c r="AE666" s="194" t="str">
        <f t="shared" si="224"/>
        <v>0 - LTS (0 - )</v>
      </c>
      <c r="AF666" s="161">
        <f t="shared" si="233"/>
        <v>0</v>
      </c>
      <c r="AG666" s="162">
        <f t="shared" si="233"/>
        <v>0</v>
      </c>
      <c r="AH666" s="162">
        <f t="shared" si="233"/>
        <v>0</v>
      </c>
      <c r="AI666" s="162">
        <f t="shared" si="233"/>
        <v>0</v>
      </c>
      <c r="AJ666" s="162">
        <f t="shared" si="233"/>
        <v>0</v>
      </c>
      <c r="AK666" s="162">
        <f t="shared" si="233"/>
        <v>0</v>
      </c>
      <c r="AL666" s="162">
        <f t="shared" si="233"/>
        <v>0</v>
      </c>
      <c r="AM666" s="162">
        <f t="shared" si="233"/>
        <v>0</v>
      </c>
      <c r="AN666" s="162">
        <f t="shared" si="233"/>
        <v>0</v>
      </c>
      <c r="AO666" s="162">
        <f t="shared" si="233"/>
        <v>0</v>
      </c>
      <c r="AP666" s="162">
        <f t="shared" si="233"/>
        <v>0</v>
      </c>
      <c r="AQ666" s="162">
        <f t="shared" si="233"/>
        <v>0</v>
      </c>
      <c r="AR666" s="163">
        <f t="shared" si="225"/>
        <v>0</v>
      </c>
    </row>
    <row r="667" spans="1:44" x14ac:dyDescent="0.25">
      <c r="A667" s="14"/>
      <c r="B667" s="15" t="str">
        <f t="shared" si="223"/>
        <v>IND_COMB_0_0</v>
      </c>
      <c r="F667" s="190">
        <f t="shared" si="230"/>
        <v>0</v>
      </c>
      <c r="G667" s="149" t="str">
        <f t="shared" si="230"/>
        <v/>
      </c>
      <c r="H667" s="150" t="str">
        <f t="shared" si="230"/>
        <v/>
      </c>
      <c r="I667" s="150">
        <f t="shared" si="230"/>
        <v>0</v>
      </c>
      <c r="J667" s="150">
        <f t="shared" si="230"/>
        <v>0</v>
      </c>
      <c r="K667" s="150" t="str">
        <f>IFERROR(VLOOKUP($J667,#REF!,3,0),"")</f>
        <v/>
      </c>
      <c r="L667" s="150" t="str">
        <f>IFERROR(VLOOKUP($J667,#REF!,5,0),"")</f>
        <v/>
      </c>
      <c r="M667" s="191">
        <f t="shared" si="231"/>
        <v>0</v>
      </c>
      <c r="N667" s="192">
        <f t="shared" si="232"/>
        <v>0</v>
      </c>
      <c r="O667" s="193">
        <f t="shared" si="232"/>
        <v>0</v>
      </c>
      <c r="P667" s="162">
        <f t="shared" si="229"/>
        <v>0</v>
      </c>
      <c r="Q667" s="162">
        <f t="shared" si="229"/>
        <v>0</v>
      </c>
      <c r="R667" s="162">
        <f t="shared" si="229"/>
        <v>0</v>
      </c>
      <c r="S667" s="162">
        <f t="shared" si="229"/>
        <v>0</v>
      </c>
      <c r="T667" s="162">
        <f t="shared" si="229"/>
        <v>0</v>
      </c>
      <c r="U667" s="162">
        <f t="shared" si="229"/>
        <v>0</v>
      </c>
      <c r="V667" s="162">
        <f t="shared" si="229"/>
        <v>0</v>
      </c>
      <c r="W667" s="162">
        <f t="shared" si="229"/>
        <v>0</v>
      </c>
      <c r="X667" s="162">
        <f t="shared" si="229"/>
        <v>0</v>
      </c>
      <c r="Y667" s="162">
        <f t="shared" si="229"/>
        <v>0</v>
      </c>
      <c r="Z667" s="162">
        <f t="shared" si="229"/>
        <v>0</v>
      </c>
      <c r="AA667" s="162">
        <f t="shared" si="229"/>
        <v>0</v>
      </c>
      <c r="AB667" s="163">
        <f t="shared" si="221"/>
        <v>0</v>
      </c>
      <c r="AC667" s="159"/>
      <c r="AE667" s="194" t="str">
        <f t="shared" si="224"/>
        <v>0 - LTS (0 - )</v>
      </c>
      <c r="AF667" s="161">
        <f t="shared" si="233"/>
        <v>0</v>
      </c>
      <c r="AG667" s="162">
        <f t="shared" si="233"/>
        <v>0</v>
      </c>
      <c r="AH667" s="162">
        <f t="shared" si="233"/>
        <v>0</v>
      </c>
      <c r="AI667" s="162">
        <f t="shared" si="233"/>
        <v>0</v>
      </c>
      <c r="AJ667" s="162">
        <f t="shared" si="233"/>
        <v>0</v>
      </c>
      <c r="AK667" s="162">
        <f t="shared" si="233"/>
        <v>0</v>
      </c>
      <c r="AL667" s="162">
        <f t="shared" si="233"/>
        <v>0</v>
      </c>
      <c r="AM667" s="162">
        <f t="shared" si="233"/>
        <v>0</v>
      </c>
      <c r="AN667" s="162">
        <f t="shared" si="233"/>
        <v>0</v>
      </c>
      <c r="AO667" s="162">
        <f t="shared" si="233"/>
        <v>0</v>
      </c>
      <c r="AP667" s="162">
        <f t="shared" si="233"/>
        <v>0</v>
      </c>
      <c r="AQ667" s="162">
        <f t="shared" si="233"/>
        <v>0</v>
      </c>
      <c r="AR667" s="163">
        <f t="shared" si="225"/>
        <v>0</v>
      </c>
    </row>
    <row r="668" spans="1:44" x14ac:dyDescent="0.25">
      <c r="A668" s="14"/>
      <c r="B668" s="15" t="str">
        <f t="shared" si="223"/>
        <v>IND_COMB_0_0</v>
      </c>
      <c r="F668" s="190">
        <f t="shared" si="230"/>
        <v>0</v>
      </c>
      <c r="G668" s="149" t="str">
        <f t="shared" si="230"/>
        <v/>
      </c>
      <c r="H668" s="150" t="str">
        <f t="shared" si="230"/>
        <v/>
      </c>
      <c r="I668" s="150">
        <f t="shared" si="230"/>
        <v>0</v>
      </c>
      <c r="J668" s="150">
        <f t="shared" si="230"/>
        <v>0</v>
      </c>
      <c r="K668" s="150" t="str">
        <f>IFERROR(VLOOKUP($J668,#REF!,3,0),"")</f>
        <v/>
      </c>
      <c r="L668" s="150" t="str">
        <f>IFERROR(VLOOKUP($J668,#REF!,5,0),"")</f>
        <v/>
      </c>
      <c r="M668" s="191">
        <f t="shared" si="231"/>
        <v>0</v>
      </c>
      <c r="N668" s="192">
        <f t="shared" si="232"/>
        <v>0</v>
      </c>
      <c r="O668" s="193">
        <f t="shared" si="232"/>
        <v>0</v>
      </c>
      <c r="P668" s="162">
        <f t="shared" si="229"/>
        <v>0</v>
      </c>
      <c r="Q668" s="162">
        <f t="shared" si="229"/>
        <v>0</v>
      </c>
      <c r="R668" s="162">
        <f t="shared" si="229"/>
        <v>0</v>
      </c>
      <c r="S668" s="162">
        <f t="shared" si="229"/>
        <v>0</v>
      </c>
      <c r="T668" s="162">
        <f t="shared" si="229"/>
        <v>0</v>
      </c>
      <c r="U668" s="162">
        <f t="shared" si="229"/>
        <v>0</v>
      </c>
      <c r="V668" s="162">
        <f t="shared" si="229"/>
        <v>0</v>
      </c>
      <c r="W668" s="162">
        <f t="shared" si="229"/>
        <v>0</v>
      </c>
      <c r="X668" s="162">
        <f t="shared" si="229"/>
        <v>0</v>
      </c>
      <c r="Y668" s="162">
        <f t="shared" si="229"/>
        <v>0</v>
      </c>
      <c r="Z668" s="162">
        <f t="shared" si="229"/>
        <v>0</v>
      </c>
      <c r="AA668" s="162">
        <f t="shared" si="229"/>
        <v>0</v>
      </c>
      <c r="AB668" s="163">
        <f t="shared" si="221"/>
        <v>0</v>
      </c>
      <c r="AC668" s="159"/>
      <c r="AE668" s="194" t="str">
        <f t="shared" si="224"/>
        <v>0 - LTS (0 - )</v>
      </c>
      <c r="AF668" s="161">
        <f t="shared" si="233"/>
        <v>0</v>
      </c>
      <c r="AG668" s="162">
        <f t="shared" si="233"/>
        <v>0</v>
      </c>
      <c r="AH668" s="162">
        <f t="shared" si="233"/>
        <v>0</v>
      </c>
      <c r="AI668" s="162">
        <f t="shared" si="233"/>
        <v>0</v>
      </c>
      <c r="AJ668" s="162">
        <f t="shared" si="233"/>
        <v>0</v>
      </c>
      <c r="AK668" s="162">
        <f t="shared" si="233"/>
        <v>0</v>
      </c>
      <c r="AL668" s="162">
        <f t="shared" si="233"/>
        <v>0</v>
      </c>
      <c r="AM668" s="162">
        <f t="shared" si="233"/>
        <v>0</v>
      </c>
      <c r="AN668" s="162">
        <f t="shared" si="233"/>
        <v>0</v>
      </c>
      <c r="AO668" s="162">
        <f t="shared" si="233"/>
        <v>0</v>
      </c>
      <c r="AP668" s="162">
        <f t="shared" si="233"/>
        <v>0</v>
      </c>
      <c r="AQ668" s="162">
        <f t="shared" si="233"/>
        <v>0</v>
      </c>
      <c r="AR668" s="163">
        <f t="shared" si="225"/>
        <v>0</v>
      </c>
    </row>
    <row r="669" spans="1:44" x14ac:dyDescent="0.25">
      <c r="A669" s="14"/>
      <c r="B669" s="15" t="str">
        <f t="shared" si="223"/>
        <v>IND_COMB_0_0</v>
      </c>
      <c r="F669" s="190">
        <f t="shared" si="230"/>
        <v>0</v>
      </c>
      <c r="G669" s="149" t="str">
        <f t="shared" si="230"/>
        <v/>
      </c>
      <c r="H669" s="150" t="str">
        <f t="shared" si="230"/>
        <v/>
      </c>
      <c r="I669" s="150">
        <f t="shared" si="230"/>
        <v>0</v>
      </c>
      <c r="J669" s="150">
        <f t="shared" si="230"/>
        <v>0</v>
      </c>
      <c r="K669" s="150" t="str">
        <f>IFERROR(VLOOKUP($J669,#REF!,3,0),"")</f>
        <v/>
      </c>
      <c r="L669" s="150" t="str">
        <f>IFERROR(VLOOKUP($J669,#REF!,5,0),"")</f>
        <v/>
      </c>
      <c r="M669" s="191">
        <f t="shared" si="231"/>
        <v>0</v>
      </c>
      <c r="N669" s="192">
        <f t="shared" si="232"/>
        <v>0</v>
      </c>
      <c r="O669" s="193">
        <f t="shared" si="232"/>
        <v>0</v>
      </c>
      <c r="P669" s="162">
        <f t="shared" si="229"/>
        <v>0</v>
      </c>
      <c r="Q669" s="162">
        <f t="shared" si="229"/>
        <v>0</v>
      </c>
      <c r="R669" s="162">
        <f t="shared" si="229"/>
        <v>0</v>
      </c>
      <c r="S669" s="162">
        <f t="shared" si="229"/>
        <v>0</v>
      </c>
      <c r="T669" s="162">
        <f t="shared" si="229"/>
        <v>0</v>
      </c>
      <c r="U669" s="162">
        <f t="shared" si="229"/>
        <v>0</v>
      </c>
      <c r="V669" s="162">
        <f t="shared" si="229"/>
        <v>0</v>
      </c>
      <c r="W669" s="162">
        <f t="shared" si="229"/>
        <v>0</v>
      </c>
      <c r="X669" s="162">
        <f t="shared" si="229"/>
        <v>0</v>
      </c>
      <c r="Y669" s="162">
        <f t="shared" si="229"/>
        <v>0</v>
      </c>
      <c r="Z669" s="162">
        <f t="shared" si="229"/>
        <v>0</v>
      </c>
      <c r="AA669" s="162">
        <f t="shared" si="229"/>
        <v>0</v>
      </c>
      <c r="AB669" s="163">
        <f t="shared" si="221"/>
        <v>0</v>
      </c>
      <c r="AC669" s="159"/>
      <c r="AE669" s="194" t="str">
        <f t="shared" si="224"/>
        <v>0 - LTS (0 - )</v>
      </c>
      <c r="AF669" s="161">
        <f t="shared" si="233"/>
        <v>0</v>
      </c>
      <c r="AG669" s="162">
        <f t="shared" si="233"/>
        <v>0</v>
      </c>
      <c r="AH669" s="162">
        <f t="shared" si="233"/>
        <v>0</v>
      </c>
      <c r="AI669" s="162">
        <f t="shared" si="233"/>
        <v>0</v>
      </c>
      <c r="AJ669" s="162">
        <f t="shared" si="233"/>
        <v>0</v>
      </c>
      <c r="AK669" s="162">
        <f t="shared" si="233"/>
        <v>0</v>
      </c>
      <c r="AL669" s="162">
        <f t="shared" si="233"/>
        <v>0</v>
      </c>
      <c r="AM669" s="162">
        <f t="shared" si="233"/>
        <v>0</v>
      </c>
      <c r="AN669" s="162">
        <f t="shared" si="233"/>
        <v>0</v>
      </c>
      <c r="AO669" s="162">
        <f t="shared" si="233"/>
        <v>0</v>
      </c>
      <c r="AP669" s="162">
        <f t="shared" si="233"/>
        <v>0</v>
      </c>
      <c r="AQ669" s="162">
        <f t="shared" si="233"/>
        <v>0</v>
      </c>
      <c r="AR669" s="163">
        <f t="shared" si="225"/>
        <v>0</v>
      </c>
    </row>
    <row r="670" spans="1:44" x14ac:dyDescent="0.25">
      <c r="A670" s="14"/>
      <c r="B670" s="15" t="str">
        <f t="shared" si="223"/>
        <v>IND_COMB_0_0</v>
      </c>
      <c r="F670" s="190">
        <f t="shared" si="230"/>
        <v>0</v>
      </c>
      <c r="G670" s="149" t="str">
        <f t="shared" si="230"/>
        <v/>
      </c>
      <c r="H670" s="150" t="str">
        <f t="shared" si="230"/>
        <v/>
      </c>
      <c r="I670" s="150">
        <f t="shared" si="230"/>
        <v>0</v>
      </c>
      <c r="J670" s="150">
        <f t="shared" si="230"/>
        <v>0</v>
      </c>
      <c r="K670" s="150" t="str">
        <f>IFERROR(VLOOKUP($J670,#REF!,3,0),"")</f>
        <v/>
      </c>
      <c r="L670" s="150" t="str">
        <f>IFERROR(VLOOKUP($J670,#REF!,5,0),"")</f>
        <v/>
      </c>
      <c r="M670" s="191">
        <f t="shared" si="231"/>
        <v>0</v>
      </c>
      <c r="N670" s="192">
        <f t="shared" si="232"/>
        <v>0</v>
      </c>
      <c r="O670" s="193">
        <f t="shared" si="232"/>
        <v>0</v>
      </c>
      <c r="P670" s="162">
        <f t="shared" si="229"/>
        <v>0</v>
      </c>
      <c r="Q670" s="162">
        <f t="shared" si="229"/>
        <v>0</v>
      </c>
      <c r="R670" s="162">
        <f t="shared" si="229"/>
        <v>0</v>
      </c>
      <c r="S670" s="162">
        <f t="shared" si="229"/>
        <v>0</v>
      </c>
      <c r="T670" s="162">
        <f t="shared" si="229"/>
        <v>0</v>
      </c>
      <c r="U670" s="162">
        <f t="shared" si="229"/>
        <v>0</v>
      </c>
      <c r="V670" s="162">
        <f t="shared" si="229"/>
        <v>0</v>
      </c>
      <c r="W670" s="162">
        <f t="shared" si="229"/>
        <v>0</v>
      </c>
      <c r="X670" s="162">
        <f t="shared" si="229"/>
        <v>0</v>
      </c>
      <c r="Y670" s="162">
        <f t="shared" si="229"/>
        <v>0</v>
      </c>
      <c r="Z670" s="162">
        <f t="shared" si="229"/>
        <v>0</v>
      </c>
      <c r="AA670" s="162">
        <f t="shared" si="229"/>
        <v>0</v>
      </c>
      <c r="AB670" s="163">
        <f t="shared" si="221"/>
        <v>0</v>
      </c>
      <c r="AC670" s="159"/>
      <c r="AE670" s="194" t="str">
        <f t="shared" si="224"/>
        <v>0 - LTS (0 - )</v>
      </c>
      <c r="AF670" s="161">
        <f t="shared" si="233"/>
        <v>0</v>
      </c>
      <c r="AG670" s="162">
        <f t="shared" si="233"/>
        <v>0</v>
      </c>
      <c r="AH670" s="162">
        <f t="shared" si="233"/>
        <v>0</v>
      </c>
      <c r="AI670" s="162">
        <f t="shared" si="233"/>
        <v>0</v>
      </c>
      <c r="AJ670" s="162">
        <f t="shared" si="233"/>
        <v>0</v>
      </c>
      <c r="AK670" s="162">
        <f t="shared" si="233"/>
        <v>0</v>
      </c>
      <c r="AL670" s="162">
        <f t="shared" si="233"/>
        <v>0</v>
      </c>
      <c r="AM670" s="162">
        <f t="shared" si="233"/>
        <v>0</v>
      </c>
      <c r="AN670" s="162">
        <f t="shared" si="233"/>
        <v>0</v>
      </c>
      <c r="AO670" s="162">
        <f t="shared" si="233"/>
        <v>0</v>
      </c>
      <c r="AP670" s="162">
        <f t="shared" si="233"/>
        <v>0</v>
      </c>
      <c r="AQ670" s="162">
        <f t="shared" si="233"/>
        <v>0</v>
      </c>
      <c r="AR670" s="163">
        <f t="shared" si="225"/>
        <v>0</v>
      </c>
    </row>
    <row r="671" spans="1:44" x14ac:dyDescent="0.25">
      <c r="A671" s="14"/>
      <c r="B671" s="15" t="str">
        <f t="shared" si="223"/>
        <v>IND_COMB_0_0</v>
      </c>
      <c r="F671" s="190">
        <f t="shared" si="230"/>
        <v>0</v>
      </c>
      <c r="G671" s="149" t="str">
        <f t="shared" si="230"/>
        <v/>
      </c>
      <c r="H671" s="150" t="str">
        <f t="shared" si="230"/>
        <v/>
      </c>
      <c r="I671" s="150">
        <f t="shared" si="230"/>
        <v>0</v>
      </c>
      <c r="J671" s="150">
        <f t="shared" si="230"/>
        <v>0</v>
      </c>
      <c r="K671" s="150" t="str">
        <f>IFERROR(VLOOKUP($J671,#REF!,3,0),"")</f>
        <v/>
      </c>
      <c r="L671" s="150" t="str">
        <f>IFERROR(VLOOKUP($J671,#REF!,5,0),"")</f>
        <v/>
      </c>
      <c r="M671" s="191">
        <f t="shared" si="231"/>
        <v>0</v>
      </c>
      <c r="N671" s="192">
        <f t="shared" si="232"/>
        <v>0</v>
      </c>
      <c r="O671" s="193">
        <f t="shared" si="232"/>
        <v>0</v>
      </c>
      <c r="P671" s="162">
        <f t="shared" si="229"/>
        <v>0</v>
      </c>
      <c r="Q671" s="162">
        <f t="shared" si="229"/>
        <v>0</v>
      </c>
      <c r="R671" s="162">
        <f t="shared" si="229"/>
        <v>0</v>
      </c>
      <c r="S671" s="162">
        <f t="shared" si="229"/>
        <v>0</v>
      </c>
      <c r="T671" s="162">
        <f t="shared" si="229"/>
        <v>0</v>
      </c>
      <c r="U671" s="162">
        <f t="shared" si="229"/>
        <v>0</v>
      </c>
      <c r="V671" s="162">
        <f t="shared" si="229"/>
        <v>0</v>
      </c>
      <c r="W671" s="162">
        <f t="shared" si="229"/>
        <v>0</v>
      </c>
      <c r="X671" s="162">
        <f t="shared" si="229"/>
        <v>0</v>
      </c>
      <c r="Y671" s="162">
        <f t="shared" si="229"/>
        <v>0</v>
      </c>
      <c r="Z671" s="162">
        <f t="shared" si="229"/>
        <v>0</v>
      </c>
      <c r="AA671" s="162">
        <f t="shared" si="229"/>
        <v>0</v>
      </c>
      <c r="AB671" s="163">
        <f t="shared" si="221"/>
        <v>0</v>
      </c>
      <c r="AC671" s="159"/>
      <c r="AE671" s="194" t="str">
        <f t="shared" si="224"/>
        <v>0 - LTS (0 - )</v>
      </c>
      <c r="AF671" s="161">
        <f t="shared" si="233"/>
        <v>0</v>
      </c>
      <c r="AG671" s="162">
        <f t="shared" si="233"/>
        <v>0</v>
      </c>
      <c r="AH671" s="162">
        <f t="shared" si="233"/>
        <v>0</v>
      </c>
      <c r="AI671" s="162">
        <f t="shared" si="233"/>
        <v>0</v>
      </c>
      <c r="AJ671" s="162">
        <f t="shared" si="233"/>
        <v>0</v>
      </c>
      <c r="AK671" s="162">
        <f t="shared" si="233"/>
        <v>0</v>
      </c>
      <c r="AL671" s="162">
        <f t="shared" si="233"/>
        <v>0</v>
      </c>
      <c r="AM671" s="162">
        <f t="shared" si="233"/>
        <v>0</v>
      </c>
      <c r="AN671" s="162">
        <f t="shared" si="233"/>
        <v>0</v>
      </c>
      <c r="AO671" s="162">
        <f t="shared" si="233"/>
        <v>0</v>
      </c>
      <c r="AP671" s="162">
        <f t="shared" si="233"/>
        <v>0</v>
      </c>
      <c r="AQ671" s="162">
        <f t="shared" si="233"/>
        <v>0</v>
      </c>
      <c r="AR671" s="163">
        <f t="shared" si="225"/>
        <v>0</v>
      </c>
    </row>
    <row r="672" spans="1:44" x14ac:dyDescent="0.25">
      <c r="A672" s="14"/>
      <c r="B672" s="15" t="str">
        <f t="shared" si="223"/>
        <v>IND_COMB_0_0</v>
      </c>
      <c r="F672" s="190">
        <f t="shared" si="230"/>
        <v>0</v>
      </c>
      <c r="G672" s="149" t="str">
        <f t="shared" si="230"/>
        <v/>
      </c>
      <c r="H672" s="150" t="str">
        <f t="shared" si="230"/>
        <v/>
      </c>
      <c r="I672" s="150">
        <f t="shared" si="230"/>
        <v>0</v>
      </c>
      <c r="J672" s="150">
        <f t="shared" si="230"/>
        <v>0</v>
      </c>
      <c r="K672" s="150" t="str">
        <f>IFERROR(VLOOKUP($J672,#REF!,3,0),"")</f>
        <v/>
      </c>
      <c r="L672" s="150" t="str">
        <f>IFERROR(VLOOKUP($J672,#REF!,5,0),"")</f>
        <v/>
      </c>
      <c r="M672" s="191">
        <f t="shared" si="231"/>
        <v>0</v>
      </c>
      <c r="N672" s="192">
        <f t="shared" si="232"/>
        <v>0</v>
      </c>
      <c r="O672" s="193">
        <f t="shared" si="232"/>
        <v>0</v>
      </c>
      <c r="P672" s="162">
        <f t="shared" si="229"/>
        <v>0</v>
      </c>
      <c r="Q672" s="162">
        <f t="shared" si="229"/>
        <v>0</v>
      </c>
      <c r="R672" s="162">
        <f t="shared" si="229"/>
        <v>0</v>
      </c>
      <c r="S672" s="162">
        <f t="shared" si="229"/>
        <v>0</v>
      </c>
      <c r="T672" s="162">
        <f t="shared" si="229"/>
        <v>0</v>
      </c>
      <c r="U672" s="162">
        <f t="shared" si="229"/>
        <v>0</v>
      </c>
      <c r="V672" s="162">
        <f t="shared" si="229"/>
        <v>0</v>
      </c>
      <c r="W672" s="162">
        <f t="shared" si="229"/>
        <v>0</v>
      </c>
      <c r="X672" s="162">
        <f t="shared" si="229"/>
        <v>0</v>
      </c>
      <c r="Y672" s="162">
        <f t="shared" si="229"/>
        <v>0</v>
      </c>
      <c r="Z672" s="162">
        <f t="shared" si="229"/>
        <v>0</v>
      </c>
      <c r="AA672" s="162">
        <f t="shared" si="229"/>
        <v>0</v>
      </c>
      <c r="AB672" s="163">
        <f t="shared" si="221"/>
        <v>0</v>
      </c>
      <c r="AC672" s="159"/>
      <c r="AE672" s="194" t="str">
        <f t="shared" si="224"/>
        <v>0 - LTS (0 - )</v>
      </c>
      <c r="AF672" s="161">
        <f t="shared" si="233"/>
        <v>0</v>
      </c>
      <c r="AG672" s="162">
        <f t="shared" si="233"/>
        <v>0</v>
      </c>
      <c r="AH672" s="162">
        <f t="shared" si="233"/>
        <v>0</v>
      </c>
      <c r="AI672" s="162">
        <f t="shared" si="233"/>
        <v>0</v>
      </c>
      <c r="AJ672" s="162">
        <f t="shared" si="233"/>
        <v>0</v>
      </c>
      <c r="AK672" s="162">
        <f t="shared" si="233"/>
        <v>0</v>
      </c>
      <c r="AL672" s="162">
        <f t="shared" si="233"/>
        <v>0</v>
      </c>
      <c r="AM672" s="162">
        <f t="shared" si="233"/>
        <v>0</v>
      </c>
      <c r="AN672" s="162">
        <f t="shared" si="233"/>
        <v>0</v>
      </c>
      <c r="AO672" s="162">
        <f t="shared" si="233"/>
        <v>0</v>
      </c>
      <c r="AP672" s="162">
        <f t="shared" si="233"/>
        <v>0</v>
      </c>
      <c r="AQ672" s="162">
        <f t="shared" si="233"/>
        <v>0</v>
      </c>
      <c r="AR672" s="163">
        <f t="shared" si="225"/>
        <v>0</v>
      </c>
    </row>
    <row r="673" spans="1:44" x14ac:dyDescent="0.25">
      <c r="A673" s="14"/>
      <c r="B673" s="15" t="str">
        <f t="shared" si="223"/>
        <v>IND_COMB_0_0</v>
      </c>
      <c r="F673" s="190">
        <f t="shared" si="230"/>
        <v>0</v>
      </c>
      <c r="G673" s="149" t="str">
        <f t="shared" si="230"/>
        <v/>
      </c>
      <c r="H673" s="150" t="str">
        <f t="shared" si="230"/>
        <v/>
      </c>
      <c r="I673" s="150">
        <f t="shared" si="230"/>
        <v>0</v>
      </c>
      <c r="J673" s="150">
        <f t="shared" si="230"/>
        <v>0</v>
      </c>
      <c r="K673" s="150" t="str">
        <f>IFERROR(VLOOKUP($J673,#REF!,3,0),"")</f>
        <v/>
      </c>
      <c r="L673" s="150" t="str">
        <f>IFERROR(VLOOKUP($J673,#REF!,5,0),"")</f>
        <v/>
      </c>
      <c r="M673" s="191">
        <f t="shared" si="231"/>
        <v>0</v>
      </c>
      <c r="N673" s="192">
        <f t="shared" si="232"/>
        <v>0</v>
      </c>
      <c r="O673" s="193">
        <f t="shared" si="232"/>
        <v>0</v>
      </c>
      <c r="P673" s="162">
        <f t="shared" ref="P673:AA685" si="234">$M673</f>
        <v>0</v>
      </c>
      <c r="Q673" s="162">
        <f t="shared" si="234"/>
        <v>0</v>
      </c>
      <c r="R673" s="162">
        <f t="shared" si="234"/>
        <v>0</v>
      </c>
      <c r="S673" s="162">
        <f t="shared" si="234"/>
        <v>0</v>
      </c>
      <c r="T673" s="162">
        <f t="shared" si="234"/>
        <v>0</v>
      </c>
      <c r="U673" s="162">
        <f t="shared" si="234"/>
        <v>0</v>
      </c>
      <c r="V673" s="162">
        <f t="shared" si="234"/>
        <v>0</v>
      </c>
      <c r="W673" s="162">
        <f t="shared" si="234"/>
        <v>0</v>
      </c>
      <c r="X673" s="162">
        <f t="shared" si="234"/>
        <v>0</v>
      </c>
      <c r="Y673" s="162">
        <f t="shared" si="234"/>
        <v>0</v>
      </c>
      <c r="Z673" s="162">
        <f t="shared" si="234"/>
        <v>0</v>
      </c>
      <c r="AA673" s="162">
        <f t="shared" si="234"/>
        <v>0</v>
      </c>
      <c r="AB673" s="163">
        <f t="shared" si="221"/>
        <v>0</v>
      </c>
      <c r="AC673" s="159"/>
      <c r="AE673" s="194" t="str">
        <f t="shared" si="224"/>
        <v>0 - LTS (0 - )</v>
      </c>
      <c r="AF673" s="161">
        <f t="shared" si="233"/>
        <v>0</v>
      </c>
      <c r="AG673" s="162">
        <f t="shared" si="233"/>
        <v>0</v>
      </c>
      <c r="AH673" s="162">
        <f t="shared" si="233"/>
        <v>0</v>
      </c>
      <c r="AI673" s="162">
        <f t="shared" si="233"/>
        <v>0</v>
      </c>
      <c r="AJ673" s="162">
        <f t="shared" si="233"/>
        <v>0</v>
      </c>
      <c r="AK673" s="162">
        <f t="shared" si="233"/>
        <v>0</v>
      </c>
      <c r="AL673" s="162">
        <f t="shared" si="233"/>
        <v>0</v>
      </c>
      <c r="AM673" s="162">
        <f t="shared" si="233"/>
        <v>0</v>
      </c>
      <c r="AN673" s="162">
        <f t="shared" si="233"/>
        <v>0</v>
      </c>
      <c r="AO673" s="162">
        <f t="shared" si="233"/>
        <v>0</v>
      </c>
      <c r="AP673" s="162">
        <f t="shared" si="233"/>
        <v>0</v>
      </c>
      <c r="AQ673" s="162">
        <f t="shared" si="233"/>
        <v>0</v>
      </c>
      <c r="AR673" s="163">
        <f t="shared" si="225"/>
        <v>0</v>
      </c>
    </row>
    <row r="674" spans="1:44" x14ac:dyDescent="0.25">
      <c r="A674" s="14"/>
      <c r="B674" s="15" t="str">
        <f t="shared" si="223"/>
        <v>IND_COMB_0_0</v>
      </c>
      <c r="F674" s="190">
        <f t="shared" si="230"/>
        <v>0</v>
      </c>
      <c r="G674" s="149" t="str">
        <f t="shared" si="230"/>
        <v/>
      </c>
      <c r="H674" s="150" t="str">
        <f t="shared" si="230"/>
        <v/>
      </c>
      <c r="I674" s="150">
        <f t="shared" si="230"/>
        <v>0</v>
      </c>
      <c r="J674" s="150">
        <f t="shared" si="230"/>
        <v>0</v>
      </c>
      <c r="K674" s="150" t="str">
        <f>IFERROR(VLOOKUP($J674,#REF!,3,0),"")</f>
        <v/>
      </c>
      <c r="L674" s="150" t="str">
        <f>IFERROR(VLOOKUP($J674,#REF!,5,0),"")</f>
        <v/>
      </c>
      <c r="M674" s="191">
        <f t="shared" si="231"/>
        <v>0</v>
      </c>
      <c r="N674" s="192">
        <f t="shared" si="232"/>
        <v>0</v>
      </c>
      <c r="O674" s="193">
        <f t="shared" si="232"/>
        <v>0</v>
      </c>
      <c r="P674" s="162">
        <f t="shared" si="234"/>
        <v>0</v>
      </c>
      <c r="Q674" s="162">
        <f t="shared" si="234"/>
        <v>0</v>
      </c>
      <c r="R674" s="162">
        <f t="shared" si="234"/>
        <v>0</v>
      </c>
      <c r="S674" s="162">
        <f t="shared" si="234"/>
        <v>0</v>
      </c>
      <c r="T674" s="162">
        <f t="shared" si="234"/>
        <v>0</v>
      </c>
      <c r="U674" s="162">
        <f t="shared" si="234"/>
        <v>0</v>
      </c>
      <c r="V674" s="162">
        <f t="shared" si="234"/>
        <v>0</v>
      </c>
      <c r="W674" s="162">
        <f t="shared" si="234"/>
        <v>0</v>
      </c>
      <c r="X674" s="162">
        <f t="shared" si="234"/>
        <v>0</v>
      </c>
      <c r="Y674" s="162">
        <f t="shared" si="234"/>
        <v>0</v>
      </c>
      <c r="Z674" s="162">
        <f t="shared" si="234"/>
        <v>0</v>
      </c>
      <c r="AA674" s="162">
        <f t="shared" si="234"/>
        <v>0</v>
      </c>
      <c r="AB674" s="163">
        <f t="shared" si="221"/>
        <v>0</v>
      </c>
      <c r="AC674" s="159"/>
      <c r="AE674" s="194" t="str">
        <f t="shared" si="224"/>
        <v>0 - LTS (0 - )</v>
      </c>
      <c r="AF674" s="161">
        <f t="shared" si="233"/>
        <v>0</v>
      </c>
      <c r="AG674" s="162">
        <f t="shared" si="233"/>
        <v>0</v>
      </c>
      <c r="AH674" s="162">
        <f t="shared" si="233"/>
        <v>0</v>
      </c>
      <c r="AI674" s="162">
        <f t="shared" si="233"/>
        <v>0</v>
      </c>
      <c r="AJ674" s="162">
        <f t="shared" si="233"/>
        <v>0</v>
      </c>
      <c r="AK674" s="162">
        <f t="shared" si="233"/>
        <v>0</v>
      </c>
      <c r="AL674" s="162">
        <f t="shared" si="233"/>
        <v>0</v>
      </c>
      <c r="AM674" s="162">
        <f t="shared" si="233"/>
        <v>0</v>
      </c>
      <c r="AN674" s="162">
        <f t="shared" si="233"/>
        <v>0</v>
      </c>
      <c r="AO674" s="162">
        <f t="shared" si="233"/>
        <v>0</v>
      </c>
      <c r="AP674" s="162">
        <f t="shared" si="233"/>
        <v>0</v>
      </c>
      <c r="AQ674" s="162">
        <f t="shared" si="233"/>
        <v>0</v>
      </c>
      <c r="AR674" s="163">
        <f t="shared" si="225"/>
        <v>0</v>
      </c>
    </row>
    <row r="675" spans="1:44" x14ac:dyDescent="0.25">
      <c r="A675" s="14"/>
      <c r="B675" s="15" t="str">
        <f t="shared" si="223"/>
        <v>IND_COMB_0_0</v>
      </c>
      <c r="F675" s="190">
        <f t="shared" ref="F675:J685" si="235">F628</f>
        <v>0</v>
      </c>
      <c r="G675" s="149" t="str">
        <f t="shared" si="235"/>
        <v/>
      </c>
      <c r="H675" s="150" t="str">
        <f t="shared" si="235"/>
        <v/>
      </c>
      <c r="I675" s="150">
        <f t="shared" si="235"/>
        <v>0</v>
      </c>
      <c r="J675" s="150">
        <f t="shared" si="235"/>
        <v>0</v>
      </c>
      <c r="K675" s="150" t="str">
        <f>IFERROR(VLOOKUP($J675,#REF!,3,0),"")</f>
        <v/>
      </c>
      <c r="L675" s="150" t="str">
        <f>IFERROR(VLOOKUP($J675,#REF!,5,0),"")</f>
        <v/>
      </c>
      <c r="M675" s="191">
        <f t="shared" si="231"/>
        <v>0</v>
      </c>
      <c r="N675" s="192">
        <f t="shared" ref="N675:O685" si="236">N628</f>
        <v>0</v>
      </c>
      <c r="O675" s="193">
        <f t="shared" si="236"/>
        <v>0</v>
      </c>
      <c r="P675" s="162">
        <f t="shared" si="234"/>
        <v>0</v>
      </c>
      <c r="Q675" s="162">
        <f t="shared" si="234"/>
        <v>0</v>
      </c>
      <c r="R675" s="162">
        <f t="shared" si="234"/>
        <v>0</v>
      </c>
      <c r="S675" s="162">
        <f t="shared" si="234"/>
        <v>0</v>
      </c>
      <c r="T675" s="162">
        <f t="shared" si="234"/>
        <v>0</v>
      </c>
      <c r="U675" s="162">
        <f t="shared" si="234"/>
        <v>0</v>
      </c>
      <c r="V675" s="162">
        <f t="shared" si="234"/>
        <v>0</v>
      </c>
      <c r="W675" s="162">
        <f t="shared" si="234"/>
        <v>0</v>
      </c>
      <c r="X675" s="162">
        <f t="shared" si="234"/>
        <v>0</v>
      </c>
      <c r="Y675" s="162">
        <f t="shared" si="234"/>
        <v>0</v>
      </c>
      <c r="Z675" s="162">
        <f t="shared" si="234"/>
        <v>0</v>
      </c>
      <c r="AA675" s="162">
        <f t="shared" si="234"/>
        <v>0</v>
      </c>
      <c r="AB675" s="163">
        <f t="shared" si="221"/>
        <v>0</v>
      </c>
      <c r="AC675" s="159"/>
      <c r="AE675" s="194" t="str">
        <f t="shared" si="224"/>
        <v>0 - LTS (0 - )</v>
      </c>
      <c r="AF675" s="161">
        <f t="shared" ref="AF675:AQ685" si="237">IFERROR(IF($L675="LTS/HS",P675*AF628,IF($L675="KM/LTS",AF628/P675,0)),0)</f>
        <v>0</v>
      </c>
      <c r="AG675" s="162">
        <f t="shared" si="237"/>
        <v>0</v>
      </c>
      <c r="AH675" s="162">
        <f t="shared" si="237"/>
        <v>0</v>
      </c>
      <c r="AI675" s="162">
        <f t="shared" si="237"/>
        <v>0</v>
      </c>
      <c r="AJ675" s="162">
        <f t="shared" si="237"/>
        <v>0</v>
      </c>
      <c r="AK675" s="162">
        <f t="shared" si="237"/>
        <v>0</v>
      </c>
      <c r="AL675" s="162">
        <f t="shared" si="237"/>
        <v>0</v>
      </c>
      <c r="AM675" s="162">
        <f t="shared" si="237"/>
        <v>0</v>
      </c>
      <c r="AN675" s="162">
        <f t="shared" si="237"/>
        <v>0</v>
      </c>
      <c r="AO675" s="162">
        <f t="shared" si="237"/>
        <v>0</v>
      </c>
      <c r="AP675" s="162">
        <f t="shared" si="237"/>
        <v>0</v>
      </c>
      <c r="AQ675" s="162">
        <f t="shared" si="237"/>
        <v>0</v>
      </c>
      <c r="AR675" s="163">
        <f t="shared" si="225"/>
        <v>0</v>
      </c>
    </row>
    <row r="676" spans="1:44" x14ac:dyDescent="0.25">
      <c r="A676" s="14"/>
      <c r="B676" s="15" t="str">
        <f t="shared" si="223"/>
        <v>IND_COMB_0_0</v>
      </c>
      <c r="F676" s="190">
        <f t="shared" si="235"/>
        <v>0</v>
      </c>
      <c r="G676" s="149" t="str">
        <f t="shared" si="235"/>
        <v/>
      </c>
      <c r="H676" s="150" t="str">
        <f t="shared" si="235"/>
        <v/>
      </c>
      <c r="I676" s="150">
        <f t="shared" si="235"/>
        <v>0</v>
      </c>
      <c r="J676" s="150">
        <f t="shared" si="235"/>
        <v>0</v>
      </c>
      <c r="K676" s="150" t="str">
        <f>IFERROR(VLOOKUP($J676,#REF!,3,0),"")</f>
        <v/>
      </c>
      <c r="L676" s="150" t="str">
        <f>IFERROR(VLOOKUP($J676,#REF!,5,0),"")</f>
        <v/>
      </c>
      <c r="M676" s="191">
        <f t="shared" si="231"/>
        <v>0</v>
      </c>
      <c r="N676" s="192">
        <f t="shared" si="236"/>
        <v>0</v>
      </c>
      <c r="O676" s="193">
        <f t="shared" si="236"/>
        <v>0</v>
      </c>
      <c r="P676" s="162">
        <f t="shared" si="234"/>
        <v>0</v>
      </c>
      <c r="Q676" s="162">
        <f t="shared" si="234"/>
        <v>0</v>
      </c>
      <c r="R676" s="162">
        <f t="shared" si="234"/>
        <v>0</v>
      </c>
      <c r="S676" s="162">
        <f t="shared" si="234"/>
        <v>0</v>
      </c>
      <c r="T676" s="162">
        <f t="shared" si="234"/>
        <v>0</v>
      </c>
      <c r="U676" s="162">
        <f t="shared" si="234"/>
        <v>0</v>
      </c>
      <c r="V676" s="162">
        <f t="shared" si="234"/>
        <v>0</v>
      </c>
      <c r="W676" s="162">
        <f t="shared" si="234"/>
        <v>0</v>
      </c>
      <c r="X676" s="162">
        <f t="shared" si="234"/>
        <v>0</v>
      </c>
      <c r="Y676" s="162">
        <f t="shared" si="234"/>
        <v>0</v>
      </c>
      <c r="Z676" s="162">
        <f t="shared" si="234"/>
        <v>0</v>
      </c>
      <c r="AA676" s="162">
        <f t="shared" si="234"/>
        <v>0</v>
      </c>
      <c r="AB676" s="163">
        <f t="shared" si="221"/>
        <v>0</v>
      </c>
      <c r="AC676" s="159"/>
      <c r="AE676" s="194" t="str">
        <f t="shared" si="224"/>
        <v>0 - LTS (0 - )</v>
      </c>
      <c r="AF676" s="161">
        <f t="shared" si="237"/>
        <v>0</v>
      </c>
      <c r="AG676" s="162">
        <f t="shared" si="237"/>
        <v>0</v>
      </c>
      <c r="AH676" s="162">
        <f t="shared" si="237"/>
        <v>0</v>
      </c>
      <c r="AI676" s="162">
        <f t="shared" si="237"/>
        <v>0</v>
      </c>
      <c r="AJ676" s="162">
        <f t="shared" si="237"/>
        <v>0</v>
      </c>
      <c r="AK676" s="162">
        <f t="shared" si="237"/>
        <v>0</v>
      </c>
      <c r="AL676" s="162">
        <f t="shared" si="237"/>
        <v>0</v>
      </c>
      <c r="AM676" s="162">
        <f t="shared" si="237"/>
        <v>0</v>
      </c>
      <c r="AN676" s="162">
        <f t="shared" si="237"/>
        <v>0</v>
      </c>
      <c r="AO676" s="162">
        <f t="shared" si="237"/>
        <v>0</v>
      </c>
      <c r="AP676" s="162">
        <f t="shared" si="237"/>
        <v>0</v>
      </c>
      <c r="AQ676" s="162">
        <f t="shared" si="237"/>
        <v>0</v>
      </c>
      <c r="AR676" s="163">
        <f t="shared" si="225"/>
        <v>0</v>
      </c>
    </row>
    <row r="677" spans="1:44" x14ac:dyDescent="0.25">
      <c r="A677" s="14"/>
      <c r="B677" s="15" t="str">
        <f t="shared" si="223"/>
        <v>IND_COMB_0_0</v>
      </c>
      <c r="F677" s="190">
        <f t="shared" si="235"/>
        <v>0</v>
      </c>
      <c r="G677" s="149" t="str">
        <f t="shared" si="235"/>
        <v/>
      </c>
      <c r="H677" s="150" t="str">
        <f t="shared" si="235"/>
        <v/>
      </c>
      <c r="I677" s="150">
        <f t="shared" si="235"/>
        <v>0</v>
      </c>
      <c r="J677" s="150">
        <f t="shared" si="235"/>
        <v>0</v>
      </c>
      <c r="K677" s="150" t="str">
        <f>IFERROR(VLOOKUP($J677,#REF!,3,0),"")</f>
        <v/>
      </c>
      <c r="L677" s="150" t="str">
        <f>IFERROR(VLOOKUP($J677,#REF!,5,0),"")</f>
        <v/>
      </c>
      <c r="M677" s="191">
        <f t="shared" si="231"/>
        <v>0</v>
      </c>
      <c r="N677" s="192">
        <f t="shared" si="236"/>
        <v>0</v>
      </c>
      <c r="O677" s="193">
        <f t="shared" si="236"/>
        <v>0</v>
      </c>
      <c r="P677" s="162">
        <f t="shared" si="234"/>
        <v>0</v>
      </c>
      <c r="Q677" s="162">
        <f t="shared" si="234"/>
        <v>0</v>
      </c>
      <c r="R677" s="162">
        <f t="shared" si="234"/>
        <v>0</v>
      </c>
      <c r="S677" s="162">
        <f t="shared" si="234"/>
        <v>0</v>
      </c>
      <c r="T677" s="162">
        <f t="shared" si="234"/>
        <v>0</v>
      </c>
      <c r="U677" s="162">
        <f t="shared" si="234"/>
        <v>0</v>
      </c>
      <c r="V677" s="162">
        <f t="shared" si="234"/>
        <v>0</v>
      </c>
      <c r="W677" s="162">
        <f t="shared" si="234"/>
        <v>0</v>
      </c>
      <c r="X677" s="162">
        <f t="shared" si="234"/>
        <v>0</v>
      </c>
      <c r="Y677" s="162">
        <f t="shared" si="234"/>
        <v>0</v>
      </c>
      <c r="Z677" s="162">
        <f t="shared" si="234"/>
        <v>0</v>
      </c>
      <c r="AA677" s="162">
        <f t="shared" si="234"/>
        <v>0</v>
      </c>
      <c r="AB677" s="163">
        <f t="shared" si="221"/>
        <v>0</v>
      </c>
      <c r="AC677" s="159"/>
      <c r="AE677" s="194" t="str">
        <f t="shared" si="224"/>
        <v>0 - LTS (0 - )</v>
      </c>
      <c r="AF677" s="161">
        <f t="shared" si="237"/>
        <v>0</v>
      </c>
      <c r="AG677" s="162">
        <f t="shared" si="237"/>
        <v>0</v>
      </c>
      <c r="AH677" s="162">
        <f t="shared" si="237"/>
        <v>0</v>
      </c>
      <c r="AI677" s="162">
        <f t="shared" si="237"/>
        <v>0</v>
      </c>
      <c r="AJ677" s="162">
        <f t="shared" si="237"/>
        <v>0</v>
      </c>
      <c r="AK677" s="162">
        <f t="shared" si="237"/>
        <v>0</v>
      </c>
      <c r="AL677" s="162">
        <f t="shared" si="237"/>
        <v>0</v>
      </c>
      <c r="AM677" s="162">
        <f t="shared" si="237"/>
        <v>0</v>
      </c>
      <c r="AN677" s="162">
        <f t="shared" si="237"/>
        <v>0</v>
      </c>
      <c r="AO677" s="162">
        <f t="shared" si="237"/>
        <v>0</v>
      </c>
      <c r="AP677" s="162">
        <f t="shared" si="237"/>
        <v>0</v>
      </c>
      <c r="AQ677" s="162">
        <f t="shared" si="237"/>
        <v>0</v>
      </c>
      <c r="AR677" s="163">
        <f t="shared" si="225"/>
        <v>0</v>
      </c>
    </row>
    <row r="678" spans="1:44" x14ac:dyDescent="0.25">
      <c r="A678" s="14"/>
      <c r="B678" s="15" t="str">
        <f t="shared" si="223"/>
        <v>IND_COMB_0_0</v>
      </c>
      <c r="F678" s="190">
        <f t="shared" si="235"/>
        <v>0</v>
      </c>
      <c r="G678" s="149" t="str">
        <f t="shared" si="235"/>
        <v/>
      </c>
      <c r="H678" s="150" t="str">
        <f t="shared" si="235"/>
        <v/>
      </c>
      <c r="I678" s="150">
        <f t="shared" si="235"/>
        <v>0</v>
      </c>
      <c r="J678" s="150">
        <f t="shared" si="235"/>
        <v>0</v>
      </c>
      <c r="K678" s="150" t="str">
        <f>IFERROR(VLOOKUP($J678,#REF!,3,0),"")</f>
        <v/>
      </c>
      <c r="L678" s="150" t="str">
        <f>IFERROR(VLOOKUP($J678,#REF!,5,0),"")</f>
        <v/>
      </c>
      <c r="M678" s="191">
        <f t="shared" si="231"/>
        <v>0</v>
      </c>
      <c r="N678" s="192">
        <f t="shared" si="236"/>
        <v>0</v>
      </c>
      <c r="O678" s="193">
        <f t="shared" si="236"/>
        <v>0</v>
      </c>
      <c r="P678" s="162">
        <f t="shared" si="234"/>
        <v>0</v>
      </c>
      <c r="Q678" s="162">
        <f t="shared" si="234"/>
        <v>0</v>
      </c>
      <c r="R678" s="162">
        <f t="shared" si="234"/>
        <v>0</v>
      </c>
      <c r="S678" s="162">
        <f t="shared" si="234"/>
        <v>0</v>
      </c>
      <c r="T678" s="162">
        <f t="shared" si="234"/>
        <v>0</v>
      </c>
      <c r="U678" s="162">
        <f t="shared" si="234"/>
        <v>0</v>
      </c>
      <c r="V678" s="162">
        <f t="shared" si="234"/>
        <v>0</v>
      </c>
      <c r="W678" s="162">
        <f t="shared" si="234"/>
        <v>0</v>
      </c>
      <c r="X678" s="162">
        <f t="shared" si="234"/>
        <v>0</v>
      </c>
      <c r="Y678" s="162">
        <f t="shared" si="234"/>
        <v>0</v>
      </c>
      <c r="Z678" s="162">
        <f t="shared" si="234"/>
        <v>0</v>
      </c>
      <c r="AA678" s="162">
        <f t="shared" si="234"/>
        <v>0</v>
      </c>
      <c r="AB678" s="163">
        <f t="shared" si="221"/>
        <v>0</v>
      </c>
      <c r="AC678" s="159"/>
      <c r="AE678" s="194" t="str">
        <f t="shared" si="224"/>
        <v>0 - LTS (0 - )</v>
      </c>
      <c r="AF678" s="161">
        <f t="shared" si="237"/>
        <v>0</v>
      </c>
      <c r="AG678" s="162">
        <f t="shared" si="237"/>
        <v>0</v>
      </c>
      <c r="AH678" s="162">
        <f t="shared" si="237"/>
        <v>0</v>
      </c>
      <c r="AI678" s="162">
        <f t="shared" si="237"/>
        <v>0</v>
      </c>
      <c r="AJ678" s="162">
        <f t="shared" si="237"/>
        <v>0</v>
      </c>
      <c r="AK678" s="162">
        <f t="shared" si="237"/>
        <v>0</v>
      </c>
      <c r="AL678" s="162">
        <f t="shared" si="237"/>
        <v>0</v>
      </c>
      <c r="AM678" s="162">
        <f t="shared" si="237"/>
        <v>0</v>
      </c>
      <c r="AN678" s="162">
        <f t="shared" si="237"/>
        <v>0</v>
      </c>
      <c r="AO678" s="162">
        <f t="shared" si="237"/>
        <v>0</v>
      </c>
      <c r="AP678" s="162">
        <f t="shared" si="237"/>
        <v>0</v>
      </c>
      <c r="AQ678" s="162">
        <f t="shared" si="237"/>
        <v>0</v>
      </c>
      <c r="AR678" s="163">
        <f t="shared" si="225"/>
        <v>0</v>
      </c>
    </row>
    <row r="679" spans="1:44" x14ac:dyDescent="0.25">
      <c r="A679" s="14"/>
      <c r="B679" s="15" t="str">
        <f t="shared" si="223"/>
        <v>IND_COMB_0_0</v>
      </c>
      <c r="F679" s="190">
        <f t="shared" si="235"/>
        <v>0</v>
      </c>
      <c r="G679" s="149" t="str">
        <f t="shared" si="235"/>
        <v/>
      </c>
      <c r="H679" s="150" t="str">
        <f t="shared" si="235"/>
        <v/>
      </c>
      <c r="I679" s="150">
        <f t="shared" si="235"/>
        <v>0</v>
      </c>
      <c r="J679" s="150">
        <f t="shared" si="235"/>
        <v>0</v>
      </c>
      <c r="K679" s="150" t="str">
        <f>IFERROR(VLOOKUP($J679,#REF!,3,0),"")</f>
        <v/>
      </c>
      <c r="L679" s="150" t="str">
        <f>IFERROR(VLOOKUP($J679,#REF!,5,0),"")</f>
        <v/>
      </c>
      <c r="M679" s="191">
        <f t="shared" si="231"/>
        <v>0</v>
      </c>
      <c r="N679" s="192">
        <f t="shared" si="236"/>
        <v>0</v>
      </c>
      <c r="O679" s="193">
        <f t="shared" si="236"/>
        <v>0</v>
      </c>
      <c r="P679" s="162">
        <f t="shared" si="234"/>
        <v>0</v>
      </c>
      <c r="Q679" s="162">
        <f t="shared" si="234"/>
        <v>0</v>
      </c>
      <c r="R679" s="162">
        <f t="shared" si="234"/>
        <v>0</v>
      </c>
      <c r="S679" s="162">
        <f t="shared" si="234"/>
        <v>0</v>
      </c>
      <c r="T679" s="162">
        <f t="shared" si="234"/>
        <v>0</v>
      </c>
      <c r="U679" s="162">
        <f t="shared" si="234"/>
        <v>0</v>
      </c>
      <c r="V679" s="162">
        <f t="shared" si="234"/>
        <v>0</v>
      </c>
      <c r="W679" s="162">
        <f t="shared" si="234"/>
        <v>0</v>
      </c>
      <c r="X679" s="162">
        <f t="shared" si="234"/>
        <v>0</v>
      </c>
      <c r="Y679" s="162">
        <f t="shared" si="234"/>
        <v>0</v>
      </c>
      <c r="Z679" s="162">
        <f t="shared" si="234"/>
        <v>0</v>
      </c>
      <c r="AA679" s="162">
        <f t="shared" si="234"/>
        <v>0</v>
      </c>
      <c r="AB679" s="163">
        <f t="shared" si="221"/>
        <v>0</v>
      </c>
      <c r="AC679" s="159"/>
      <c r="AE679" s="194" t="str">
        <f t="shared" si="224"/>
        <v>0 - LTS (0 - )</v>
      </c>
      <c r="AF679" s="161">
        <f t="shared" si="237"/>
        <v>0</v>
      </c>
      <c r="AG679" s="162">
        <f t="shared" si="237"/>
        <v>0</v>
      </c>
      <c r="AH679" s="162">
        <f t="shared" si="237"/>
        <v>0</v>
      </c>
      <c r="AI679" s="162">
        <f t="shared" si="237"/>
        <v>0</v>
      </c>
      <c r="AJ679" s="162">
        <f t="shared" si="237"/>
        <v>0</v>
      </c>
      <c r="AK679" s="162">
        <f t="shared" si="237"/>
        <v>0</v>
      </c>
      <c r="AL679" s="162">
        <f t="shared" si="237"/>
        <v>0</v>
      </c>
      <c r="AM679" s="162">
        <f t="shared" si="237"/>
        <v>0</v>
      </c>
      <c r="AN679" s="162">
        <f t="shared" si="237"/>
        <v>0</v>
      </c>
      <c r="AO679" s="162">
        <f t="shared" si="237"/>
        <v>0</v>
      </c>
      <c r="AP679" s="162">
        <f t="shared" si="237"/>
        <v>0</v>
      </c>
      <c r="AQ679" s="162">
        <f t="shared" si="237"/>
        <v>0</v>
      </c>
      <c r="AR679" s="163">
        <f t="shared" si="225"/>
        <v>0</v>
      </c>
    </row>
    <row r="680" spans="1:44" x14ac:dyDescent="0.25">
      <c r="A680" s="14"/>
      <c r="B680" s="15" t="str">
        <f t="shared" si="223"/>
        <v>IND_COMB_0_0</v>
      </c>
      <c r="F680" s="190">
        <f t="shared" si="235"/>
        <v>0</v>
      </c>
      <c r="G680" s="149" t="str">
        <f t="shared" si="235"/>
        <v/>
      </c>
      <c r="H680" s="150" t="str">
        <f t="shared" si="235"/>
        <v/>
      </c>
      <c r="I680" s="150">
        <f t="shared" si="235"/>
        <v>0</v>
      </c>
      <c r="J680" s="150">
        <f t="shared" si="235"/>
        <v>0</v>
      </c>
      <c r="K680" s="150" t="str">
        <f>IFERROR(VLOOKUP($J680,#REF!,3,0),"")</f>
        <v/>
      </c>
      <c r="L680" s="150" t="str">
        <f>IFERROR(VLOOKUP($J680,#REF!,5,0),"")</f>
        <v/>
      </c>
      <c r="M680" s="191">
        <f t="shared" si="231"/>
        <v>0</v>
      </c>
      <c r="N680" s="192">
        <f t="shared" si="236"/>
        <v>0</v>
      </c>
      <c r="O680" s="193">
        <f t="shared" si="236"/>
        <v>0</v>
      </c>
      <c r="P680" s="162">
        <f t="shared" si="234"/>
        <v>0</v>
      </c>
      <c r="Q680" s="162">
        <f t="shared" si="234"/>
        <v>0</v>
      </c>
      <c r="R680" s="162">
        <f t="shared" si="234"/>
        <v>0</v>
      </c>
      <c r="S680" s="162">
        <f t="shared" si="234"/>
        <v>0</v>
      </c>
      <c r="T680" s="162">
        <f t="shared" si="234"/>
        <v>0</v>
      </c>
      <c r="U680" s="162">
        <f t="shared" si="234"/>
        <v>0</v>
      </c>
      <c r="V680" s="162">
        <f t="shared" si="234"/>
        <v>0</v>
      </c>
      <c r="W680" s="162">
        <f t="shared" si="234"/>
        <v>0</v>
      </c>
      <c r="X680" s="162">
        <f t="shared" si="234"/>
        <v>0</v>
      </c>
      <c r="Y680" s="162">
        <f t="shared" si="234"/>
        <v>0</v>
      </c>
      <c r="Z680" s="162">
        <f t="shared" si="234"/>
        <v>0</v>
      </c>
      <c r="AA680" s="162">
        <f t="shared" si="234"/>
        <v>0</v>
      </c>
      <c r="AB680" s="163">
        <f t="shared" si="221"/>
        <v>0</v>
      </c>
      <c r="AC680" s="159"/>
      <c r="AE680" s="194" t="str">
        <f t="shared" si="224"/>
        <v>0 - LTS (0 - )</v>
      </c>
      <c r="AF680" s="161">
        <f t="shared" si="237"/>
        <v>0</v>
      </c>
      <c r="AG680" s="162">
        <f t="shared" si="237"/>
        <v>0</v>
      </c>
      <c r="AH680" s="162">
        <f t="shared" si="237"/>
        <v>0</v>
      </c>
      <c r="AI680" s="162">
        <f t="shared" si="237"/>
        <v>0</v>
      </c>
      <c r="AJ680" s="162">
        <f t="shared" si="237"/>
        <v>0</v>
      </c>
      <c r="AK680" s="162">
        <f t="shared" si="237"/>
        <v>0</v>
      </c>
      <c r="AL680" s="162">
        <f t="shared" si="237"/>
        <v>0</v>
      </c>
      <c r="AM680" s="162">
        <f t="shared" si="237"/>
        <v>0</v>
      </c>
      <c r="AN680" s="162">
        <f t="shared" si="237"/>
        <v>0</v>
      </c>
      <c r="AO680" s="162">
        <f t="shared" si="237"/>
        <v>0</v>
      </c>
      <c r="AP680" s="162">
        <f t="shared" si="237"/>
        <v>0</v>
      </c>
      <c r="AQ680" s="162">
        <f t="shared" si="237"/>
        <v>0</v>
      </c>
      <c r="AR680" s="163">
        <f t="shared" si="225"/>
        <v>0</v>
      </c>
    </row>
    <row r="681" spans="1:44" x14ac:dyDescent="0.25">
      <c r="A681" s="14"/>
      <c r="B681" s="15" t="str">
        <f t="shared" si="223"/>
        <v>IND_COMB_0_0</v>
      </c>
      <c r="F681" s="190">
        <f t="shared" si="235"/>
        <v>0</v>
      </c>
      <c r="G681" s="149" t="str">
        <f t="shared" si="235"/>
        <v/>
      </c>
      <c r="H681" s="150" t="str">
        <f t="shared" si="235"/>
        <v/>
      </c>
      <c r="I681" s="150">
        <f t="shared" si="235"/>
        <v>0</v>
      </c>
      <c r="J681" s="150">
        <f t="shared" si="235"/>
        <v>0</v>
      </c>
      <c r="K681" s="150" t="str">
        <f>IFERROR(VLOOKUP($J681,#REF!,3,0),"")</f>
        <v/>
      </c>
      <c r="L681" s="150" t="str">
        <f>IFERROR(VLOOKUP($J681,#REF!,5,0),"")</f>
        <v/>
      </c>
      <c r="M681" s="191">
        <f t="shared" si="231"/>
        <v>0</v>
      </c>
      <c r="N681" s="192">
        <f t="shared" si="236"/>
        <v>0</v>
      </c>
      <c r="O681" s="193">
        <f>O634</f>
        <v>0</v>
      </c>
      <c r="P681" s="162">
        <f t="shared" si="234"/>
        <v>0</v>
      </c>
      <c r="Q681" s="162">
        <f t="shared" si="234"/>
        <v>0</v>
      </c>
      <c r="R681" s="162">
        <f t="shared" si="234"/>
        <v>0</v>
      </c>
      <c r="S681" s="162">
        <f t="shared" si="234"/>
        <v>0</v>
      </c>
      <c r="T681" s="162">
        <f t="shared" si="234"/>
        <v>0</v>
      </c>
      <c r="U681" s="162">
        <f t="shared" si="234"/>
        <v>0</v>
      </c>
      <c r="V681" s="162">
        <f t="shared" si="234"/>
        <v>0</v>
      </c>
      <c r="W681" s="162">
        <f t="shared" si="234"/>
        <v>0</v>
      </c>
      <c r="X681" s="162">
        <f t="shared" si="234"/>
        <v>0</v>
      </c>
      <c r="Y681" s="162">
        <f t="shared" si="234"/>
        <v>0</v>
      </c>
      <c r="Z681" s="162">
        <f t="shared" si="234"/>
        <v>0</v>
      </c>
      <c r="AA681" s="162">
        <f t="shared" si="234"/>
        <v>0</v>
      </c>
      <c r="AB681" s="163">
        <f t="shared" si="221"/>
        <v>0</v>
      </c>
      <c r="AC681" s="159"/>
      <c r="AE681" s="194" t="str">
        <f t="shared" si="224"/>
        <v>0 - LTS (0 - )</v>
      </c>
      <c r="AF681" s="161">
        <f t="shared" si="237"/>
        <v>0</v>
      </c>
      <c r="AG681" s="162">
        <f t="shared" si="237"/>
        <v>0</v>
      </c>
      <c r="AH681" s="162">
        <f t="shared" si="237"/>
        <v>0</v>
      </c>
      <c r="AI681" s="162">
        <f t="shared" si="237"/>
        <v>0</v>
      </c>
      <c r="AJ681" s="162">
        <f t="shared" si="237"/>
        <v>0</v>
      </c>
      <c r="AK681" s="162">
        <f t="shared" si="237"/>
        <v>0</v>
      </c>
      <c r="AL681" s="162">
        <f t="shared" si="237"/>
        <v>0</v>
      </c>
      <c r="AM681" s="162">
        <f t="shared" si="237"/>
        <v>0</v>
      </c>
      <c r="AN681" s="162">
        <f t="shared" si="237"/>
        <v>0</v>
      </c>
      <c r="AO681" s="162">
        <f t="shared" si="237"/>
        <v>0</v>
      </c>
      <c r="AP681" s="162">
        <f t="shared" si="237"/>
        <v>0</v>
      </c>
      <c r="AQ681" s="162">
        <f t="shared" si="237"/>
        <v>0</v>
      </c>
      <c r="AR681" s="163">
        <f t="shared" si="225"/>
        <v>0</v>
      </c>
    </row>
    <row r="682" spans="1:44" x14ac:dyDescent="0.25">
      <c r="A682" s="14"/>
      <c r="B682" s="15" t="str">
        <f t="shared" si="223"/>
        <v>IND_COMB_0_0</v>
      </c>
      <c r="F682" s="190">
        <f t="shared" si="235"/>
        <v>0</v>
      </c>
      <c r="G682" s="149" t="str">
        <f t="shared" si="235"/>
        <v/>
      </c>
      <c r="H682" s="150" t="str">
        <f t="shared" si="235"/>
        <v/>
      </c>
      <c r="I682" s="150">
        <f t="shared" si="235"/>
        <v>0</v>
      </c>
      <c r="J682" s="150">
        <f t="shared" si="235"/>
        <v>0</v>
      </c>
      <c r="K682" s="150" t="str">
        <f>IFERROR(VLOOKUP($J682,#REF!,3,0),"")</f>
        <v/>
      </c>
      <c r="L682" s="150" t="str">
        <f>IFERROR(VLOOKUP($J682,#REF!,5,0),"")</f>
        <v/>
      </c>
      <c r="M682" s="191">
        <f t="shared" si="231"/>
        <v>0</v>
      </c>
      <c r="N682" s="192">
        <f t="shared" si="236"/>
        <v>0</v>
      </c>
      <c r="O682" s="193">
        <f>O635</f>
        <v>0</v>
      </c>
      <c r="P682" s="162">
        <f t="shared" si="234"/>
        <v>0</v>
      </c>
      <c r="Q682" s="162">
        <f t="shared" si="234"/>
        <v>0</v>
      </c>
      <c r="R682" s="162">
        <f t="shared" si="234"/>
        <v>0</v>
      </c>
      <c r="S682" s="162">
        <f t="shared" si="234"/>
        <v>0</v>
      </c>
      <c r="T682" s="162">
        <f t="shared" si="234"/>
        <v>0</v>
      </c>
      <c r="U682" s="162">
        <f t="shared" si="234"/>
        <v>0</v>
      </c>
      <c r="V682" s="162">
        <f t="shared" si="234"/>
        <v>0</v>
      </c>
      <c r="W682" s="162">
        <f t="shared" si="234"/>
        <v>0</v>
      </c>
      <c r="X682" s="162">
        <f t="shared" si="234"/>
        <v>0</v>
      </c>
      <c r="Y682" s="162">
        <f t="shared" si="234"/>
        <v>0</v>
      </c>
      <c r="Z682" s="162">
        <f t="shared" si="234"/>
        <v>0</v>
      </c>
      <c r="AA682" s="162">
        <f t="shared" si="234"/>
        <v>0</v>
      </c>
      <c r="AB682" s="163">
        <f t="shared" si="221"/>
        <v>0</v>
      </c>
      <c r="AC682" s="159"/>
      <c r="AE682" s="194" t="str">
        <f t="shared" si="224"/>
        <v>0 - LTS (0 - )</v>
      </c>
      <c r="AF682" s="161">
        <f t="shared" si="237"/>
        <v>0</v>
      </c>
      <c r="AG682" s="162">
        <f t="shared" si="237"/>
        <v>0</v>
      </c>
      <c r="AH682" s="162">
        <f t="shared" si="237"/>
        <v>0</v>
      </c>
      <c r="AI682" s="162">
        <f t="shared" si="237"/>
        <v>0</v>
      </c>
      <c r="AJ682" s="162">
        <f t="shared" si="237"/>
        <v>0</v>
      </c>
      <c r="AK682" s="162">
        <f t="shared" si="237"/>
        <v>0</v>
      </c>
      <c r="AL682" s="162">
        <f t="shared" si="237"/>
        <v>0</v>
      </c>
      <c r="AM682" s="162">
        <f t="shared" si="237"/>
        <v>0</v>
      </c>
      <c r="AN682" s="162">
        <f t="shared" si="237"/>
        <v>0</v>
      </c>
      <c r="AO682" s="162">
        <f t="shared" si="237"/>
        <v>0</v>
      </c>
      <c r="AP682" s="162">
        <f t="shared" si="237"/>
        <v>0</v>
      </c>
      <c r="AQ682" s="162">
        <f t="shared" si="237"/>
        <v>0</v>
      </c>
      <c r="AR682" s="163">
        <f t="shared" si="225"/>
        <v>0</v>
      </c>
    </row>
    <row r="683" spans="1:44" x14ac:dyDescent="0.25">
      <c r="A683" s="14"/>
      <c r="B683" s="15" t="str">
        <f t="shared" si="223"/>
        <v>IND_COMB_0_0</v>
      </c>
      <c r="F683" s="190">
        <f t="shared" si="235"/>
        <v>0</v>
      </c>
      <c r="G683" s="149" t="str">
        <f t="shared" si="235"/>
        <v/>
      </c>
      <c r="H683" s="150" t="str">
        <f t="shared" si="235"/>
        <v/>
      </c>
      <c r="I683" s="150">
        <f t="shared" si="235"/>
        <v>0</v>
      </c>
      <c r="J683" s="150">
        <f t="shared" si="235"/>
        <v>0</v>
      </c>
      <c r="K683" s="150" t="str">
        <f>IFERROR(VLOOKUP($J683,#REF!,3,0),"")</f>
        <v/>
      </c>
      <c r="L683" s="150" t="str">
        <f>IFERROR(VLOOKUP($J683,#REF!,5,0),"")</f>
        <v/>
      </c>
      <c r="M683" s="191">
        <f t="shared" si="231"/>
        <v>0</v>
      </c>
      <c r="N683" s="192">
        <f t="shared" si="236"/>
        <v>0</v>
      </c>
      <c r="O683" s="193">
        <f>O636</f>
        <v>0</v>
      </c>
      <c r="P683" s="162">
        <f t="shared" si="234"/>
        <v>0</v>
      </c>
      <c r="Q683" s="162">
        <f t="shared" si="234"/>
        <v>0</v>
      </c>
      <c r="R683" s="162">
        <f t="shared" si="234"/>
        <v>0</v>
      </c>
      <c r="S683" s="162">
        <f t="shared" si="234"/>
        <v>0</v>
      </c>
      <c r="T683" s="162">
        <f t="shared" si="234"/>
        <v>0</v>
      </c>
      <c r="U683" s="162">
        <f t="shared" si="234"/>
        <v>0</v>
      </c>
      <c r="V683" s="162">
        <f t="shared" si="234"/>
        <v>0</v>
      </c>
      <c r="W683" s="162">
        <f t="shared" si="234"/>
        <v>0</v>
      </c>
      <c r="X683" s="162">
        <f t="shared" si="234"/>
        <v>0</v>
      </c>
      <c r="Y683" s="162">
        <f t="shared" si="234"/>
        <v>0</v>
      </c>
      <c r="Z683" s="162">
        <f t="shared" si="234"/>
        <v>0</v>
      </c>
      <c r="AA683" s="162">
        <f t="shared" si="234"/>
        <v>0</v>
      </c>
      <c r="AB683" s="163">
        <f t="shared" si="221"/>
        <v>0</v>
      </c>
      <c r="AC683" s="159"/>
      <c r="AE683" s="194" t="str">
        <f t="shared" si="224"/>
        <v>0 - LTS (0 - )</v>
      </c>
      <c r="AF683" s="161">
        <f t="shared" si="237"/>
        <v>0</v>
      </c>
      <c r="AG683" s="162">
        <f t="shared" si="237"/>
        <v>0</v>
      </c>
      <c r="AH683" s="162">
        <f t="shared" si="237"/>
        <v>0</v>
      </c>
      <c r="AI683" s="162">
        <f t="shared" si="237"/>
        <v>0</v>
      </c>
      <c r="AJ683" s="162">
        <f t="shared" si="237"/>
        <v>0</v>
      </c>
      <c r="AK683" s="162">
        <f t="shared" si="237"/>
        <v>0</v>
      </c>
      <c r="AL683" s="162">
        <f t="shared" si="237"/>
        <v>0</v>
      </c>
      <c r="AM683" s="162">
        <f t="shared" si="237"/>
        <v>0</v>
      </c>
      <c r="AN683" s="162">
        <f t="shared" si="237"/>
        <v>0</v>
      </c>
      <c r="AO683" s="162">
        <f t="shared" si="237"/>
        <v>0</v>
      </c>
      <c r="AP683" s="162">
        <f t="shared" si="237"/>
        <v>0</v>
      </c>
      <c r="AQ683" s="162">
        <f t="shared" si="237"/>
        <v>0</v>
      </c>
      <c r="AR683" s="163">
        <f t="shared" si="225"/>
        <v>0</v>
      </c>
    </row>
    <row r="684" spans="1:44" x14ac:dyDescent="0.25">
      <c r="A684" s="14"/>
      <c r="B684" s="15" t="str">
        <f t="shared" si="223"/>
        <v>IND_COMB_0_0</v>
      </c>
      <c r="F684" s="190">
        <f t="shared" si="235"/>
        <v>0</v>
      </c>
      <c r="G684" s="149" t="str">
        <f t="shared" si="235"/>
        <v/>
      </c>
      <c r="H684" s="150" t="str">
        <f t="shared" si="235"/>
        <v/>
      </c>
      <c r="I684" s="150">
        <f t="shared" si="235"/>
        <v>0</v>
      </c>
      <c r="J684" s="150">
        <f t="shared" si="235"/>
        <v>0</v>
      </c>
      <c r="K684" s="150" t="str">
        <f>IFERROR(VLOOKUP($J684,#REF!,3,0),"")</f>
        <v/>
      </c>
      <c r="L684" s="150" t="str">
        <f>IFERROR(VLOOKUP($J684,#REF!,5,0),"")</f>
        <v/>
      </c>
      <c r="M684" s="191">
        <f t="shared" si="231"/>
        <v>0</v>
      </c>
      <c r="N684" s="192">
        <f t="shared" si="236"/>
        <v>0</v>
      </c>
      <c r="O684" s="193">
        <f>O637</f>
        <v>0</v>
      </c>
      <c r="P684" s="162">
        <f t="shared" si="234"/>
        <v>0</v>
      </c>
      <c r="Q684" s="162">
        <f t="shared" si="234"/>
        <v>0</v>
      </c>
      <c r="R684" s="162">
        <f t="shared" si="234"/>
        <v>0</v>
      </c>
      <c r="S684" s="162">
        <f t="shared" si="234"/>
        <v>0</v>
      </c>
      <c r="T684" s="162">
        <f t="shared" si="234"/>
        <v>0</v>
      </c>
      <c r="U684" s="162">
        <f t="shared" si="234"/>
        <v>0</v>
      </c>
      <c r="V684" s="162">
        <f t="shared" si="234"/>
        <v>0</v>
      </c>
      <c r="W684" s="162">
        <f t="shared" si="234"/>
        <v>0</v>
      </c>
      <c r="X684" s="162">
        <f t="shared" si="234"/>
        <v>0</v>
      </c>
      <c r="Y684" s="162">
        <f t="shared" si="234"/>
        <v>0</v>
      </c>
      <c r="Z684" s="162">
        <f t="shared" si="234"/>
        <v>0</v>
      </c>
      <c r="AA684" s="162">
        <f t="shared" si="234"/>
        <v>0</v>
      </c>
      <c r="AB684" s="163">
        <f t="shared" si="221"/>
        <v>0</v>
      </c>
      <c r="AC684" s="159"/>
      <c r="AE684" s="194" t="str">
        <f t="shared" si="224"/>
        <v>0 - LTS (0 - )</v>
      </c>
      <c r="AF684" s="161">
        <f t="shared" si="237"/>
        <v>0</v>
      </c>
      <c r="AG684" s="162">
        <f t="shared" si="237"/>
        <v>0</v>
      </c>
      <c r="AH684" s="162">
        <f t="shared" si="237"/>
        <v>0</v>
      </c>
      <c r="AI684" s="162">
        <f t="shared" si="237"/>
        <v>0</v>
      </c>
      <c r="AJ684" s="162">
        <f t="shared" si="237"/>
        <v>0</v>
      </c>
      <c r="AK684" s="162">
        <f t="shared" si="237"/>
        <v>0</v>
      </c>
      <c r="AL684" s="162">
        <f t="shared" si="237"/>
        <v>0</v>
      </c>
      <c r="AM684" s="162">
        <f t="shared" si="237"/>
        <v>0</v>
      </c>
      <c r="AN684" s="162">
        <f t="shared" si="237"/>
        <v>0</v>
      </c>
      <c r="AO684" s="162">
        <f t="shared" si="237"/>
        <v>0</v>
      </c>
      <c r="AP684" s="162">
        <f t="shared" si="237"/>
        <v>0</v>
      </c>
      <c r="AQ684" s="162">
        <f t="shared" si="237"/>
        <v>0</v>
      </c>
      <c r="AR684" s="163">
        <f t="shared" si="225"/>
        <v>0</v>
      </c>
    </row>
    <row r="685" spans="1:44" x14ac:dyDescent="0.25">
      <c r="A685" s="14"/>
      <c r="B685" s="15" t="str">
        <f t="shared" si="223"/>
        <v>IND_COMB_0_0</v>
      </c>
      <c r="F685" s="209">
        <f t="shared" si="235"/>
        <v>0</v>
      </c>
      <c r="G685" s="183" t="str">
        <f t="shared" si="235"/>
        <v/>
      </c>
      <c r="H685" s="184" t="str">
        <f t="shared" si="235"/>
        <v/>
      </c>
      <c r="I685" s="184">
        <f t="shared" si="235"/>
        <v>0</v>
      </c>
      <c r="J685" s="184">
        <f t="shared" si="235"/>
        <v>0</v>
      </c>
      <c r="K685" s="184" t="str">
        <f>IFERROR(VLOOKUP($J685,#REF!,3,0),"")</f>
        <v/>
      </c>
      <c r="L685" s="184" t="str">
        <f>IFERROR(VLOOKUP($J685,#REF!,5,0),"")</f>
        <v/>
      </c>
      <c r="M685" s="212">
        <f t="shared" si="231"/>
        <v>0</v>
      </c>
      <c r="N685" s="239">
        <f t="shared" si="236"/>
        <v>0</v>
      </c>
      <c r="O685" s="213">
        <f>O638</f>
        <v>0</v>
      </c>
      <c r="P685" s="175">
        <f t="shared" si="234"/>
        <v>0</v>
      </c>
      <c r="Q685" s="175">
        <f t="shared" si="234"/>
        <v>0</v>
      </c>
      <c r="R685" s="175">
        <f t="shared" si="234"/>
        <v>0</v>
      </c>
      <c r="S685" s="175">
        <f t="shared" si="234"/>
        <v>0</v>
      </c>
      <c r="T685" s="175">
        <f t="shared" si="234"/>
        <v>0</v>
      </c>
      <c r="U685" s="175">
        <f t="shared" si="234"/>
        <v>0</v>
      </c>
      <c r="V685" s="175">
        <f t="shared" si="234"/>
        <v>0</v>
      </c>
      <c r="W685" s="175">
        <f t="shared" si="234"/>
        <v>0</v>
      </c>
      <c r="X685" s="175">
        <f t="shared" si="234"/>
        <v>0</v>
      </c>
      <c r="Y685" s="175">
        <f t="shared" si="234"/>
        <v>0</v>
      </c>
      <c r="Z685" s="175">
        <f t="shared" si="234"/>
        <v>0</v>
      </c>
      <c r="AA685" s="175">
        <f t="shared" si="234"/>
        <v>0</v>
      </c>
      <c r="AB685" s="176">
        <f t="shared" si="221"/>
        <v>0</v>
      </c>
      <c r="AC685" s="186"/>
      <c r="AE685" s="195" t="str">
        <f t="shared" si="224"/>
        <v>0 - LTS (0 - )</v>
      </c>
      <c r="AF685" s="174">
        <f t="shared" si="237"/>
        <v>0</v>
      </c>
      <c r="AG685" s="175">
        <f t="shared" si="237"/>
        <v>0</v>
      </c>
      <c r="AH685" s="175">
        <f t="shared" si="237"/>
        <v>0</v>
      </c>
      <c r="AI685" s="175">
        <f t="shared" si="237"/>
        <v>0</v>
      </c>
      <c r="AJ685" s="175">
        <f t="shared" si="237"/>
        <v>0</v>
      </c>
      <c r="AK685" s="175">
        <f t="shared" si="237"/>
        <v>0</v>
      </c>
      <c r="AL685" s="175">
        <f t="shared" si="237"/>
        <v>0</v>
      </c>
      <c r="AM685" s="175">
        <f t="shared" si="237"/>
        <v>0</v>
      </c>
      <c r="AN685" s="175">
        <f t="shared" si="237"/>
        <v>0</v>
      </c>
      <c r="AO685" s="175">
        <f t="shared" si="237"/>
        <v>0</v>
      </c>
      <c r="AP685" s="175">
        <f t="shared" si="237"/>
        <v>0</v>
      </c>
      <c r="AQ685" s="175">
        <f t="shared" si="237"/>
        <v>0</v>
      </c>
      <c r="AR685" s="176">
        <f t="shared" si="225"/>
        <v>0</v>
      </c>
    </row>
    <row r="686" spans="1:44" x14ac:dyDescent="0.25">
      <c r="A686" s="14"/>
    </row>
    <row r="687" spans="1:44" hidden="1" outlineLevel="1" x14ac:dyDescent="0.25">
      <c r="A687" s="14"/>
      <c r="F687" s="136" t="s">
        <v>278</v>
      </c>
      <c r="G687" s="70"/>
      <c r="H687" s="106"/>
      <c r="I687" s="106"/>
      <c r="J687" s="106"/>
      <c r="K687" s="106"/>
      <c r="L687" s="106"/>
      <c r="M687" s="107"/>
      <c r="N687" s="106"/>
    </row>
    <row r="688" spans="1:44" hidden="1" outlineLevel="1" x14ac:dyDescent="0.25">
      <c r="A688" s="14"/>
      <c r="F688" s="134"/>
      <c r="G688" s="70"/>
    </row>
    <row r="689" spans="1:29" hidden="1" outlineLevel="1" x14ac:dyDescent="0.25">
      <c r="A689" s="14"/>
      <c r="B689" s="15" t="s">
        <v>250</v>
      </c>
      <c r="C689" s="15" t="s">
        <v>251</v>
      </c>
      <c r="D689" s="15" t="s">
        <v>219</v>
      </c>
      <c r="F689" s="137" t="s">
        <v>279</v>
      </c>
      <c r="G689" s="138"/>
      <c r="H689" s="139" t="s">
        <v>217</v>
      </c>
      <c r="I689" s="139" t="s">
        <v>218</v>
      </c>
      <c r="J689" s="139" t="s">
        <v>219</v>
      </c>
      <c r="K689" s="140"/>
      <c r="L689" s="141"/>
      <c r="M689" s="142" t="s">
        <v>220</v>
      </c>
      <c r="N689" s="139" t="s">
        <v>221</v>
      </c>
      <c r="O689" s="143" t="s">
        <v>222</v>
      </c>
      <c r="P689" s="35">
        <f t="shared" ref="P689:AA689" si="238">P$9</f>
        <v>46113</v>
      </c>
      <c r="Q689" s="35">
        <f t="shared" si="238"/>
        <v>46143</v>
      </c>
      <c r="R689" s="35">
        <f t="shared" si="238"/>
        <v>46174</v>
      </c>
      <c r="S689" s="35">
        <f t="shared" si="238"/>
        <v>46204</v>
      </c>
      <c r="T689" s="35">
        <f t="shared" si="238"/>
        <v>46235</v>
      </c>
      <c r="U689" s="35">
        <f t="shared" si="238"/>
        <v>46266</v>
      </c>
      <c r="V689" s="35">
        <f t="shared" si="238"/>
        <v>46296</v>
      </c>
      <c r="W689" s="35">
        <f t="shared" si="238"/>
        <v>46327</v>
      </c>
      <c r="X689" s="35">
        <f t="shared" si="238"/>
        <v>46357</v>
      </c>
      <c r="Y689" s="35">
        <f t="shared" si="238"/>
        <v>46388</v>
      </c>
      <c r="Z689" s="35">
        <f t="shared" si="238"/>
        <v>46419</v>
      </c>
      <c r="AA689" s="35">
        <f t="shared" si="238"/>
        <v>46447</v>
      </c>
      <c r="AB689" s="81" t="s">
        <v>223</v>
      </c>
      <c r="AC689" s="82" t="s">
        <v>192</v>
      </c>
    </row>
    <row r="690" spans="1:29" hidden="1" outlineLevel="1" x14ac:dyDescent="0.25">
      <c r="A690" s="14" t="str">
        <f t="shared" ref="A690:A753" si="239">"TERC_OPER_"&amp;C690&amp;"_"&amp;E690</f>
        <v>TERC_OPER__1</v>
      </c>
      <c r="B690" s="15" t="str">
        <f t="shared" ref="B690:B734" si="240">"TERC_OPER_"&amp;C690&amp;"_"&amp;F690&amp;"_"&amp;J690</f>
        <v>TERC_OPER__1018_1</v>
      </c>
      <c r="C690" s="83"/>
      <c r="D690" s="15">
        <f t="shared" ref="D690:D734" si="241">J690</f>
        <v>1</v>
      </c>
      <c r="E690" s="15">
        <v>1</v>
      </c>
      <c r="F690" s="190">
        <f t="shared" ref="F690:O693" si="242">F553</f>
        <v>1018</v>
      </c>
      <c r="G690" s="149" t="str">
        <f t="shared" si="242"/>
        <v/>
      </c>
      <c r="H690" s="150" t="str">
        <f t="shared" si="242"/>
        <v/>
      </c>
      <c r="I690" s="150" t="str">
        <f t="shared" si="242"/>
        <v>PLANCP</v>
      </c>
      <c r="J690" s="150">
        <f t="shared" si="242"/>
        <v>1</v>
      </c>
      <c r="K690" s="196">
        <f t="shared" si="242"/>
        <v>0</v>
      </c>
      <c r="L690" s="197">
        <f t="shared" si="242"/>
        <v>0</v>
      </c>
      <c r="M690" s="191">
        <f t="shared" si="242"/>
        <v>0</v>
      </c>
      <c r="N690" s="150">
        <f t="shared" si="242"/>
        <v>0</v>
      </c>
      <c r="O690" s="193">
        <f t="shared" si="242"/>
        <v>1</v>
      </c>
      <c r="P690" s="162">
        <f t="shared" ref="P690:AA693" si="243">IFERROR(SUMIF($B$483:$B$547,$C690&amp;$I690,P$483:P$547)/SUMIF($D$483:$D$547,$I690,P$483:P$547)*P553,0)</f>
        <v>0</v>
      </c>
      <c r="Q690" s="162">
        <f t="shared" si="243"/>
        <v>0</v>
      </c>
      <c r="R690" s="162">
        <f t="shared" si="243"/>
        <v>0</v>
      </c>
      <c r="S690" s="162">
        <f t="shared" si="243"/>
        <v>0</v>
      </c>
      <c r="T690" s="162">
        <f t="shared" si="243"/>
        <v>0</v>
      </c>
      <c r="U690" s="162">
        <f t="shared" si="243"/>
        <v>0</v>
      </c>
      <c r="V690" s="162">
        <f t="shared" si="243"/>
        <v>0</v>
      </c>
      <c r="W690" s="162">
        <f t="shared" si="243"/>
        <v>0</v>
      </c>
      <c r="X690" s="162">
        <f t="shared" si="243"/>
        <v>0</v>
      </c>
      <c r="Y690" s="162">
        <f t="shared" si="243"/>
        <v>0</v>
      </c>
      <c r="Z690" s="162">
        <f t="shared" si="243"/>
        <v>0</v>
      </c>
      <c r="AA690" s="162">
        <f t="shared" si="243"/>
        <v>0</v>
      </c>
      <c r="AB690" s="163">
        <f t="shared" ref="AB690:AB734" si="244">SUM(P690:AA690)</f>
        <v>0</v>
      </c>
      <c r="AC690" s="198"/>
    </row>
    <row r="691" spans="1:29" hidden="1" outlineLevel="1" x14ac:dyDescent="0.25">
      <c r="A691" s="14" t="str">
        <f t="shared" si="239"/>
        <v>TERC_OPER__2</v>
      </c>
      <c r="B691" s="15" t="str">
        <f t="shared" si="240"/>
        <v>TERC_OPER__1023_1</v>
      </c>
      <c r="C691" s="83"/>
      <c r="D691" s="15">
        <f t="shared" si="241"/>
        <v>1</v>
      </c>
      <c r="E691" s="15">
        <v>2</v>
      </c>
      <c r="F691" s="190">
        <f t="shared" si="242"/>
        <v>1023</v>
      </c>
      <c r="G691" s="149" t="str">
        <f t="shared" si="242"/>
        <v/>
      </c>
      <c r="H691" s="150" t="str">
        <f t="shared" si="242"/>
        <v/>
      </c>
      <c r="I691" s="150" t="str">
        <f t="shared" si="242"/>
        <v>PLANCP</v>
      </c>
      <c r="J691" s="150">
        <f t="shared" si="242"/>
        <v>1</v>
      </c>
      <c r="K691" s="196">
        <f t="shared" si="242"/>
        <v>0</v>
      </c>
      <c r="L691" s="197">
        <f t="shared" si="242"/>
        <v>0</v>
      </c>
      <c r="M691" s="191">
        <f t="shared" si="242"/>
        <v>0</v>
      </c>
      <c r="N691" s="150">
        <f t="shared" si="242"/>
        <v>0</v>
      </c>
      <c r="O691" s="193">
        <f t="shared" si="242"/>
        <v>1</v>
      </c>
      <c r="P691" s="162">
        <f t="shared" si="243"/>
        <v>0</v>
      </c>
      <c r="Q691" s="162">
        <f t="shared" si="243"/>
        <v>0</v>
      </c>
      <c r="R691" s="162">
        <f t="shared" si="243"/>
        <v>0</v>
      </c>
      <c r="S691" s="162">
        <f t="shared" si="243"/>
        <v>0</v>
      </c>
      <c r="T691" s="162">
        <f t="shared" si="243"/>
        <v>0</v>
      </c>
      <c r="U691" s="162">
        <f t="shared" si="243"/>
        <v>0</v>
      </c>
      <c r="V691" s="162">
        <f t="shared" si="243"/>
        <v>0</v>
      </c>
      <c r="W691" s="162">
        <f t="shared" si="243"/>
        <v>0</v>
      </c>
      <c r="X691" s="162">
        <f t="shared" si="243"/>
        <v>0</v>
      </c>
      <c r="Y691" s="162">
        <f t="shared" si="243"/>
        <v>0</v>
      </c>
      <c r="Z691" s="162">
        <f t="shared" si="243"/>
        <v>0</v>
      </c>
      <c r="AA691" s="162">
        <f t="shared" si="243"/>
        <v>0</v>
      </c>
      <c r="AB691" s="163">
        <f t="shared" si="244"/>
        <v>0</v>
      </c>
      <c r="AC691" s="198"/>
    </row>
    <row r="692" spans="1:29" hidden="1" outlineLevel="1" x14ac:dyDescent="0.25">
      <c r="A692" s="14" t="str">
        <f t="shared" si="239"/>
        <v>TERC_OPER__3</v>
      </c>
      <c r="B692" s="15" t="str">
        <f t="shared" si="240"/>
        <v>TERC_OPER__1018_1</v>
      </c>
      <c r="C692" s="83"/>
      <c r="D692" s="15">
        <f t="shared" si="241"/>
        <v>1</v>
      </c>
      <c r="E692" s="15">
        <v>3</v>
      </c>
      <c r="F692" s="190">
        <f t="shared" si="242"/>
        <v>1018</v>
      </c>
      <c r="G692" s="149" t="str">
        <f t="shared" si="242"/>
        <v/>
      </c>
      <c r="H692" s="150" t="str">
        <f t="shared" si="242"/>
        <v/>
      </c>
      <c r="I692" s="150" t="str">
        <f t="shared" si="242"/>
        <v>PLANCF</v>
      </c>
      <c r="J692" s="150">
        <f t="shared" si="242"/>
        <v>1</v>
      </c>
      <c r="K692" s="196">
        <f t="shared" si="242"/>
        <v>0</v>
      </c>
      <c r="L692" s="197">
        <f t="shared" si="242"/>
        <v>0</v>
      </c>
      <c r="M692" s="191">
        <f t="shared" si="242"/>
        <v>0</v>
      </c>
      <c r="N692" s="150">
        <f t="shared" si="242"/>
        <v>0</v>
      </c>
      <c r="O692" s="193">
        <f t="shared" si="242"/>
        <v>1</v>
      </c>
      <c r="P692" s="162">
        <f t="shared" si="243"/>
        <v>0</v>
      </c>
      <c r="Q692" s="162">
        <f t="shared" si="243"/>
        <v>0</v>
      </c>
      <c r="R692" s="162">
        <f t="shared" si="243"/>
        <v>0</v>
      </c>
      <c r="S692" s="162">
        <f t="shared" si="243"/>
        <v>0</v>
      </c>
      <c r="T692" s="162">
        <f t="shared" si="243"/>
        <v>0</v>
      </c>
      <c r="U692" s="162">
        <f t="shared" si="243"/>
        <v>0</v>
      </c>
      <c r="V692" s="162">
        <f t="shared" si="243"/>
        <v>0</v>
      </c>
      <c r="W692" s="162">
        <f t="shared" si="243"/>
        <v>0</v>
      </c>
      <c r="X692" s="162">
        <f t="shared" si="243"/>
        <v>0</v>
      </c>
      <c r="Y692" s="162">
        <f t="shared" si="243"/>
        <v>0</v>
      </c>
      <c r="Z692" s="162">
        <f t="shared" si="243"/>
        <v>0</v>
      </c>
      <c r="AA692" s="162">
        <f t="shared" si="243"/>
        <v>0</v>
      </c>
      <c r="AB692" s="163">
        <f t="shared" si="244"/>
        <v>0</v>
      </c>
      <c r="AC692" s="198"/>
    </row>
    <row r="693" spans="1:29" hidden="1" outlineLevel="1" x14ac:dyDescent="0.25">
      <c r="A693" s="14" t="str">
        <f t="shared" si="239"/>
        <v>TERC_OPER__4</v>
      </c>
      <c r="B693" s="15" t="str">
        <f t="shared" si="240"/>
        <v>TERC_OPER__1023_1</v>
      </c>
      <c r="C693" s="83"/>
      <c r="D693" s="15">
        <f t="shared" si="241"/>
        <v>1</v>
      </c>
      <c r="E693" s="15">
        <v>4</v>
      </c>
      <c r="F693" s="190">
        <f t="shared" si="242"/>
        <v>1023</v>
      </c>
      <c r="G693" s="149" t="str">
        <f t="shared" si="242"/>
        <v/>
      </c>
      <c r="H693" s="150" t="str">
        <f t="shared" si="242"/>
        <v/>
      </c>
      <c r="I693" s="150" t="str">
        <f t="shared" si="242"/>
        <v>PLANCF</v>
      </c>
      <c r="J693" s="150">
        <f t="shared" si="242"/>
        <v>1</v>
      </c>
      <c r="K693" s="196">
        <f t="shared" si="242"/>
        <v>0</v>
      </c>
      <c r="L693" s="197">
        <f t="shared" si="242"/>
        <v>0</v>
      </c>
      <c r="M693" s="191">
        <f t="shared" si="242"/>
        <v>0</v>
      </c>
      <c r="N693" s="150">
        <f t="shared" si="242"/>
        <v>0</v>
      </c>
      <c r="O693" s="193">
        <f t="shared" si="242"/>
        <v>1</v>
      </c>
      <c r="P693" s="162">
        <f t="shared" si="243"/>
        <v>0</v>
      </c>
      <c r="Q693" s="162">
        <f t="shared" si="243"/>
        <v>0</v>
      </c>
      <c r="R693" s="162">
        <f t="shared" si="243"/>
        <v>0</v>
      </c>
      <c r="S693" s="162">
        <f t="shared" si="243"/>
        <v>0</v>
      </c>
      <c r="T693" s="162">
        <f t="shared" si="243"/>
        <v>0</v>
      </c>
      <c r="U693" s="162">
        <f t="shared" si="243"/>
        <v>0</v>
      </c>
      <c r="V693" s="162">
        <f t="shared" si="243"/>
        <v>0</v>
      </c>
      <c r="W693" s="162">
        <f t="shared" si="243"/>
        <v>0</v>
      </c>
      <c r="X693" s="162">
        <f t="shared" si="243"/>
        <v>0</v>
      </c>
      <c r="Y693" s="162">
        <f t="shared" si="243"/>
        <v>0</v>
      </c>
      <c r="Z693" s="162">
        <f t="shared" si="243"/>
        <v>0</v>
      </c>
      <c r="AA693" s="162">
        <f t="shared" si="243"/>
        <v>0</v>
      </c>
      <c r="AB693" s="163">
        <f t="shared" si="244"/>
        <v>0</v>
      </c>
      <c r="AC693" s="159"/>
    </row>
    <row r="694" spans="1:29" hidden="1" outlineLevel="1" x14ac:dyDescent="0.25">
      <c r="A694" s="14" t="str">
        <f t="shared" si="239"/>
        <v>TERC_OPER__5</v>
      </c>
      <c r="B694" s="15" t="e">
        <f t="shared" si="240"/>
        <v>#REF!</v>
      </c>
      <c r="C694" s="83"/>
      <c r="D694" s="15" t="e">
        <f t="shared" si="241"/>
        <v>#REF!</v>
      </c>
      <c r="E694" s="15">
        <v>5</v>
      </c>
      <c r="F694" s="190" t="e">
        <f>#REF!</f>
        <v>#REF!</v>
      </c>
      <c r="G694" s="149" t="e">
        <f>#REF!</f>
        <v>#REF!</v>
      </c>
      <c r="H694" s="150" t="e">
        <f>#REF!</f>
        <v>#REF!</v>
      </c>
      <c r="I694" s="150" t="e">
        <f>#REF!</f>
        <v>#REF!</v>
      </c>
      <c r="J694" s="150" t="e">
        <f>#REF!</f>
        <v>#REF!</v>
      </c>
      <c r="K694" s="196" t="e">
        <f>#REF!</f>
        <v>#REF!</v>
      </c>
      <c r="L694" s="197" t="e">
        <f>#REF!</f>
        <v>#REF!</v>
      </c>
      <c r="M694" s="191" t="e">
        <f>#REF!</f>
        <v>#REF!</v>
      </c>
      <c r="N694" s="150" t="e">
        <f>#REF!</f>
        <v>#REF!</v>
      </c>
      <c r="O694" s="193" t="e">
        <f>#REF!</f>
        <v>#REF!</v>
      </c>
      <c r="P694" s="162">
        <f>IFERROR(SUMIF($B$483:$B$547,$C694&amp;$I694,P$483:P$547)/SUMIF($D$483:$D$547,$I694,P$483:P$547)*#REF!,0)</f>
        <v>0</v>
      </c>
      <c r="Q694" s="162">
        <f>IFERROR(SUMIF($B$483:$B$547,$C694&amp;$I694,Q$483:Q$547)/SUMIF($D$483:$D$547,$I694,Q$483:Q$547)*#REF!,0)</f>
        <v>0</v>
      </c>
      <c r="R694" s="162">
        <f>IFERROR(SUMIF($B$483:$B$547,$C694&amp;$I694,R$483:R$547)/SUMIF($D$483:$D$547,$I694,R$483:R$547)*#REF!,0)</f>
        <v>0</v>
      </c>
      <c r="S694" s="162">
        <f>IFERROR(SUMIF($B$483:$B$547,$C694&amp;$I694,S$483:S$547)/SUMIF($D$483:$D$547,$I694,S$483:S$547)*#REF!,0)</f>
        <v>0</v>
      </c>
      <c r="T694" s="162">
        <f>IFERROR(SUMIF($B$483:$B$547,$C694&amp;$I694,T$483:T$547)/SUMIF($D$483:$D$547,$I694,T$483:T$547)*#REF!,0)</f>
        <v>0</v>
      </c>
      <c r="U694" s="162">
        <f>IFERROR(SUMIF($B$483:$B$547,$C694&amp;$I694,U$483:U$547)/SUMIF($D$483:$D$547,$I694,U$483:U$547)*#REF!,0)</f>
        <v>0</v>
      </c>
      <c r="V694" s="162">
        <f>IFERROR(SUMIF($B$483:$B$547,$C694&amp;$I694,V$483:V$547)/SUMIF($D$483:$D$547,$I694,V$483:V$547)*#REF!,0)</f>
        <v>0</v>
      </c>
      <c r="W694" s="162">
        <f>IFERROR(SUMIF($B$483:$B$547,$C694&amp;$I694,W$483:W$547)/SUMIF($D$483:$D$547,$I694,W$483:W$547)*#REF!,0)</f>
        <v>0</v>
      </c>
      <c r="X694" s="162">
        <f>IFERROR(SUMIF($B$483:$B$547,$C694&amp;$I694,X$483:X$547)/SUMIF($D$483:$D$547,$I694,X$483:X$547)*#REF!,0)</f>
        <v>0</v>
      </c>
      <c r="Y694" s="162">
        <f>IFERROR(SUMIF($B$483:$B$547,$C694&amp;$I694,Y$483:Y$547)/SUMIF($D$483:$D$547,$I694,Y$483:Y$547)*#REF!,0)</f>
        <v>0</v>
      </c>
      <c r="Z694" s="162">
        <f>IFERROR(SUMIF($B$483:$B$547,$C694&amp;$I694,Z$483:Z$547)/SUMIF($D$483:$D$547,$I694,Z$483:Z$547)*#REF!,0)</f>
        <v>0</v>
      </c>
      <c r="AA694" s="162">
        <f>IFERROR(SUMIF($B$483:$B$547,$C694&amp;$I694,AA$483:AA$547)/SUMIF($D$483:$D$547,$I694,AA$483:AA$547)*#REF!,0)</f>
        <v>0</v>
      </c>
      <c r="AB694" s="163">
        <f t="shared" si="244"/>
        <v>0</v>
      </c>
      <c r="AC694" s="159"/>
    </row>
    <row r="695" spans="1:29" hidden="1" outlineLevel="1" x14ac:dyDescent="0.25">
      <c r="A695" s="14" t="str">
        <f t="shared" si="239"/>
        <v>TERC_OPER__6</v>
      </c>
      <c r="B695" s="15" t="str">
        <f t="shared" si="240"/>
        <v>TERC_OPER__1033_1</v>
      </c>
      <c r="C695" s="83"/>
      <c r="D695" s="15">
        <f t="shared" si="241"/>
        <v>1</v>
      </c>
      <c r="E695" s="15">
        <v>6</v>
      </c>
      <c r="F695" s="190">
        <f t="shared" ref="F695:O710" si="245">F557</f>
        <v>1033</v>
      </c>
      <c r="G695" s="149" t="str">
        <f t="shared" si="245"/>
        <v/>
      </c>
      <c r="H695" s="150" t="str">
        <f t="shared" si="245"/>
        <v/>
      </c>
      <c r="I695" s="150" t="str">
        <f t="shared" si="245"/>
        <v>PLANCP</v>
      </c>
      <c r="J695" s="150">
        <f t="shared" si="245"/>
        <v>1</v>
      </c>
      <c r="K695" s="196">
        <f t="shared" si="245"/>
        <v>0</v>
      </c>
      <c r="L695" s="197">
        <f t="shared" si="245"/>
        <v>0</v>
      </c>
      <c r="M695" s="191">
        <f t="shared" si="245"/>
        <v>0</v>
      </c>
      <c r="N695" s="150">
        <f t="shared" si="245"/>
        <v>0</v>
      </c>
      <c r="O695" s="193">
        <f t="shared" si="245"/>
        <v>1</v>
      </c>
      <c r="P695" s="162">
        <f t="shared" ref="P695:AA710" si="246">IFERROR(SUMIF($B$483:$B$547,$C695&amp;$I695,P$483:P$547)/SUMIF($D$483:$D$547,$I695,P$483:P$547)*P557,0)</f>
        <v>0</v>
      </c>
      <c r="Q695" s="162">
        <f t="shared" si="246"/>
        <v>0</v>
      </c>
      <c r="R695" s="162">
        <f t="shared" si="246"/>
        <v>0</v>
      </c>
      <c r="S695" s="162">
        <f t="shared" si="246"/>
        <v>0</v>
      </c>
      <c r="T695" s="162">
        <f t="shared" si="246"/>
        <v>0</v>
      </c>
      <c r="U695" s="162">
        <f t="shared" si="246"/>
        <v>0</v>
      </c>
      <c r="V695" s="162">
        <f t="shared" si="246"/>
        <v>0</v>
      </c>
      <c r="W695" s="162">
        <f t="shared" si="246"/>
        <v>0</v>
      </c>
      <c r="X695" s="162">
        <f t="shared" si="246"/>
        <v>0</v>
      </c>
      <c r="Y695" s="162">
        <f t="shared" si="246"/>
        <v>0</v>
      </c>
      <c r="Z695" s="162">
        <f t="shared" si="246"/>
        <v>0</v>
      </c>
      <c r="AA695" s="162">
        <f t="shared" si="246"/>
        <v>0</v>
      </c>
      <c r="AB695" s="163">
        <f t="shared" si="244"/>
        <v>0</v>
      </c>
      <c r="AC695" s="159"/>
    </row>
    <row r="696" spans="1:29" hidden="1" outlineLevel="1" x14ac:dyDescent="0.25">
      <c r="A696" s="14" t="str">
        <f t="shared" si="239"/>
        <v>TERC_OPER__7</v>
      </c>
      <c r="B696" s="15" t="str">
        <f t="shared" si="240"/>
        <v>TERC_OPER__1044_1</v>
      </c>
      <c r="C696" s="83"/>
      <c r="D696" s="15">
        <f t="shared" si="241"/>
        <v>1</v>
      </c>
      <c r="E696" s="15">
        <v>7</v>
      </c>
      <c r="F696" s="190">
        <f t="shared" si="245"/>
        <v>1044</v>
      </c>
      <c r="G696" s="149" t="str">
        <f t="shared" si="245"/>
        <v/>
      </c>
      <c r="H696" s="150" t="str">
        <f t="shared" si="245"/>
        <v/>
      </c>
      <c r="I696" s="150" t="str">
        <f t="shared" si="245"/>
        <v>PLANCP</v>
      </c>
      <c r="J696" s="150">
        <f t="shared" si="245"/>
        <v>1</v>
      </c>
      <c r="K696" s="196">
        <f t="shared" si="245"/>
        <v>0</v>
      </c>
      <c r="L696" s="197">
        <f t="shared" si="245"/>
        <v>0</v>
      </c>
      <c r="M696" s="191">
        <f t="shared" si="245"/>
        <v>0</v>
      </c>
      <c r="N696" s="150">
        <f t="shared" si="245"/>
        <v>0</v>
      </c>
      <c r="O696" s="193">
        <f t="shared" si="245"/>
        <v>1</v>
      </c>
      <c r="P696" s="162">
        <f t="shared" si="246"/>
        <v>0</v>
      </c>
      <c r="Q696" s="162">
        <f t="shared" si="246"/>
        <v>0</v>
      </c>
      <c r="R696" s="162">
        <f t="shared" si="246"/>
        <v>0</v>
      </c>
      <c r="S696" s="162">
        <f t="shared" si="246"/>
        <v>0</v>
      </c>
      <c r="T696" s="162">
        <f t="shared" si="246"/>
        <v>0</v>
      </c>
      <c r="U696" s="162">
        <f t="shared" si="246"/>
        <v>0</v>
      </c>
      <c r="V696" s="162">
        <f t="shared" si="246"/>
        <v>0</v>
      </c>
      <c r="W696" s="162">
        <f t="shared" si="246"/>
        <v>0</v>
      </c>
      <c r="X696" s="162">
        <f t="shared" si="246"/>
        <v>0</v>
      </c>
      <c r="Y696" s="162">
        <f t="shared" si="246"/>
        <v>0</v>
      </c>
      <c r="Z696" s="162">
        <f t="shared" si="246"/>
        <v>0</v>
      </c>
      <c r="AA696" s="162">
        <f t="shared" si="246"/>
        <v>0</v>
      </c>
      <c r="AB696" s="163">
        <f t="shared" si="244"/>
        <v>0</v>
      </c>
      <c r="AC696" s="159"/>
    </row>
    <row r="697" spans="1:29" hidden="1" outlineLevel="1" x14ac:dyDescent="0.25">
      <c r="A697" s="14" t="str">
        <f t="shared" si="239"/>
        <v>TERC_OPER__8</v>
      </c>
      <c r="B697" s="15" t="str">
        <f t="shared" si="240"/>
        <v>TERC_OPER__0_0</v>
      </c>
      <c r="C697" s="83"/>
      <c r="D697" s="15">
        <f t="shared" si="241"/>
        <v>0</v>
      </c>
      <c r="E697" s="15">
        <v>8</v>
      </c>
      <c r="F697" s="190">
        <f t="shared" si="245"/>
        <v>0</v>
      </c>
      <c r="G697" s="149" t="str">
        <f t="shared" si="245"/>
        <v/>
      </c>
      <c r="H697" s="150" t="str">
        <f t="shared" si="245"/>
        <v/>
      </c>
      <c r="I697" s="150">
        <f t="shared" si="245"/>
        <v>0</v>
      </c>
      <c r="J697" s="150">
        <f t="shared" si="245"/>
        <v>0</v>
      </c>
      <c r="K697" s="196">
        <f t="shared" si="245"/>
        <v>0</v>
      </c>
      <c r="L697" s="197">
        <f t="shared" si="245"/>
        <v>0</v>
      </c>
      <c r="M697" s="191">
        <f t="shared" si="245"/>
        <v>0</v>
      </c>
      <c r="N697" s="150">
        <f t="shared" si="245"/>
        <v>0</v>
      </c>
      <c r="O697" s="193">
        <f t="shared" si="245"/>
        <v>0</v>
      </c>
      <c r="P697" s="162">
        <f t="shared" si="246"/>
        <v>0</v>
      </c>
      <c r="Q697" s="162">
        <f t="shared" si="246"/>
        <v>0</v>
      </c>
      <c r="R697" s="162">
        <f t="shared" si="246"/>
        <v>0</v>
      </c>
      <c r="S697" s="162">
        <f t="shared" si="246"/>
        <v>0</v>
      </c>
      <c r="T697" s="162">
        <f t="shared" si="246"/>
        <v>0</v>
      </c>
      <c r="U697" s="162">
        <f t="shared" si="246"/>
        <v>0</v>
      </c>
      <c r="V697" s="162">
        <f t="shared" si="246"/>
        <v>0</v>
      </c>
      <c r="W697" s="162">
        <f t="shared" si="246"/>
        <v>0</v>
      </c>
      <c r="X697" s="162">
        <f t="shared" si="246"/>
        <v>0</v>
      </c>
      <c r="Y697" s="162">
        <f t="shared" si="246"/>
        <v>0</v>
      </c>
      <c r="Z697" s="162">
        <f t="shared" si="246"/>
        <v>0</v>
      </c>
      <c r="AA697" s="162">
        <f t="shared" si="246"/>
        <v>0</v>
      </c>
      <c r="AB697" s="163">
        <f t="shared" si="244"/>
        <v>0</v>
      </c>
      <c r="AC697" s="159"/>
    </row>
    <row r="698" spans="1:29" hidden="1" outlineLevel="1" x14ac:dyDescent="0.25">
      <c r="A698" s="14" t="str">
        <f t="shared" si="239"/>
        <v>TERC_OPER__9</v>
      </c>
      <c r="B698" s="15" t="str">
        <f t="shared" si="240"/>
        <v>TERC_OPER__0_0</v>
      </c>
      <c r="C698" s="83"/>
      <c r="D698" s="15">
        <f t="shared" si="241"/>
        <v>0</v>
      </c>
      <c r="E698" s="15">
        <v>9</v>
      </c>
      <c r="F698" s="190">
        <f t="shared" si="245"/>
        <v>0</v>
      </c>
      <c r="G698" s="149" t="str">
        <f t="shared" si="245"/>
        <v/>
      </c>
      <c r="H698" s="150" t="str">
        <f t="shared" si="245"/>
        <v/>
      </c>
      <c r="I698" s="150">
        <f t="shared" si="245"/>
        <v>0</v>
      </c>
      <c r="J698" s="150">
        <f t="shared" si="245"/>
        <v>0</v>
      </c>
      <c r="K698" s="196">
        <f t="shared" si="245"/>
        <v>0</v>
      </c>
      <c r="L698" s="197">
        <f t="shared" si="245"/>
        <v>0</v>
      </c>
      <c r="M698" s="191">
        <f t="shared" si="245"/>
        <v>0</v>
      </c>
      <c r="N698" s="150">
        <f t="shared" si="245"/>
        <v>0</v>
      </c>
      <c r="O698" s="193">
        <f t="shared" si="245"/>
        <v>0</v>
      </c>
      <c r="P698" s="162">
        <f t="shared" si="246"/>
        <v>0</v>
      </c>
      <c r="Q698" s="162">
        <f t="shared" si="246"/>
        <v>0</v>
      </c>
      <c r="R698" s="162">
        <f t="shared" si="246"/>
        <v>0</v>
      </c>
      <c r="S698" s="162">
        <f t="shared" si="246"/>
        <v>0</v>
      </c>
      <c r="T698" s="162">
        <f t="shared" si="246"/>
        <v>0</v>
      </c>
      <c r="U698" s="162">
        <f t="shared" si="246"/>
        <v>0</v>
      </c>
      <c r="V698" s="162">
        <f t="shared" si="246"/>
        <v>0</v>
      </c>
      <c r="W698" s="162">
        <f t="shared" si="246"/>
        <v>0</v>
      </c>
      <c r="X698" s="162">
        <f t="shared" si="246"/>
        <v>0</v>
      </c>
      <c r="Y698" s="162">
        <f t="shared" si="246"/>
        <v>0</v>
      </c>
      <c r="Z698" s="162">
        <f t="shared" si="246"/>
        <v>0</v>
      </c>
      <c r="AA698" s="162">
        <f t="shared" si="246"/>
        <v>0</v>
      </c>
      <c r="AB698" s="163">
        <f t="shared" si="244"/>
        <v>0</v>
      </c>
      <c r="AC698" s="159"/>
    </row>
    <row r="699" spans="1:29" hidden="1" outlineLevel="1" x14ac:dyDescent="0.25">
      <c r="A699" s="14" t="str">
        <f t="shared" si="239"/>
        <v>TERC_OPER__10</v>
      </c>
      <c r="B699" s="15" t="str">
        <f t="shared" si="240"/>
        <v>TERC_OPER__0_0</v>
      </c>
      <c r="C699" s="83"/>
      <c r="D699" s="15">
        <f t="shared" si="241"/>
        <v>0</v>
      </c>
      <c r="E699" s="15">
        <v>10</v>
      </c>
      <c r="F699" s="190">
        <f t="shared" si="245"/>
        <v>0</v>
      </c>
      <c r="G699" s="149" t="str">
        <f t="shared" si="245"/>
        <v/>
      </c>
      <c r="H699" s="150" t="str">
        <f t="shared" si="245"/>
        <v/>
      </c>
      <c r="I699" s="150">
        <f t="shared" si="245"/>
        <v>0</v>
      </c>
      <c r="J699" s="150">
        <f t="shared" si="245"/>
        <v>0</v>
      </c>
      <c r="K699" s="196">
        <f t="shared" si="245"/>
        <v>0</v>
      </c>
      <c r="L699" s="197">
        <f t="shared" si="245"/>
        <v>0</v>
      </c>
      <c r="M699" s="191">
        <f t="shared" si="245"/>
        <v>0</v>
      </c>
      <c r="N699" s="150">
        <f t="shared" si="245"/>
        <v>0</v>
      </c>
      <c r="O699" s="193">
        <f t="shared" si="245"/>
        <v>0</v>
      </c>
      <c r="P699" s="162">
        <f t="shared" si="246"/>
        <v>0</v>
      </c>
      <c r="Q699" s="162">
        <f t="shared" si="246"/>
        <v>0</v>
      </c>
      <c r="R699" s="162">
        <f t="shared" si="246"/>
        <v>0</v>
      </c>
      <c r="S699" s="162">
        <f t="shared" si="246"/>
        <v>0</v>
      </c>
      <c r="T699" s="162">
        <f t="shared" si="246"/>
        <v>0</v>
      </c>
      <c r="U699" s="162">
        <f t="shared" si="246"/>
        <v>0</v>
      </c>
      <c r="V699" s="162">
        <f t="shared" si="246"/>
        <v>0</v>
      </c>
      <c r="W699" s="162">
        <f t="shared" si="246"/>
        <v>0</v>
      </c>
      <c r="X699" s="162">
        <f t="shared" si="246"/>
        <v>0</v>
      </c>
      <c r="Y699" s="162">
        <f t="shared" si="246"/>
        <v>0</v>
      </c>
      <c r="Z699" s="162">
        <f t="shared" si="246"/>
        <v>0</v>
      </c>
      <c r="AA699" s="162">
        <f t="shared" si="246"/>
        <v>0</v>
      </c>
      <c r="AB699" s="163">
        <f t="shared" si="244"/>
        <v>0</v>
      </c>
      <c r="AC699" s="159"/>
    </row>
    <row r="700" spans="1:29" hidden="1" outlineLevel="1" x14ac:dyDescent="0.25">
      <c r="A700" s="14" t="str">
        <f t="shared" si="239"/>
        <v>TERC_OPER__11</v>
      </c>
      <c r="B700" s="15" t="str">
        <f t="shared" si="240"/>
        <v>TERC_OPER__0_0</v>
      </c>
      <c r="C700" s="83"/>
      <c r="D700" s="15">
        <f t="shared" si="241"/>
        <v>0</v>
      </c>
      <c r="E700" s="15">
        <v>11</v>
      </c>
      <c r="F700" s="190">
        <f t="shared" si="245"/>
        <v>0</v>
      </c>
      <c r="G700" s="149" t="str">
        <f t="shared" si="245"/>
        <v/>
      </c>
      <c r="H700" s="150" t="str">
        <f t="shared" si="245"/>
        <v/>
      </c>
      <c r="I700" s="150">
        <f t="shared" si="245"/>
        <v>0</v>
      </c>
      <c r="J700" s="150">
        <f t="shared" si="245"/>
        <v>0</v>
      </c>
      <c r="K700" s="196">
        <f t="shared" si="245"/>
        <v>0</v>
      </c>
      <c r="L700" s="197">
        <f t="shared" si="245"/>
        <v>0</v>
      </c>
      <c r="M700" s="191">
        <f t="shared" si="245"/>
        <v>0</v>
      </c>
      <c r="N700" s="150">
        <f t="shared" si="245"/>
        <v>0</v>
      </c>
      <c r="O700" s="193">
        <f t="shared" si="245"/>
        <v>0</v>
      </c>
      <c r="P700" s="162">
        <f t="shared" si="246"/>
        <v>0</v>
      </c>
      <c r="Q700" s="162">
        <f t="shared" si="246"/>
        <v>0</v>
      </c>
      <c r="R700" s="162">
        <f t="shared" si="246"/>
        <v>0</v>
      </c>
      <c r="S700" s="162">
        <f t="shared" si="246"/>
        <v>0</v>
      </c>
      <c r="T700" s="162">
        <f t="shared" si="246"/>
        <v>0</v>
      </c>
      <c r="U700" s="162">
        <f t="shared" si="246"/>
        <v>0</v>
      </c>
      <c r="V700" s="162">
        <f t="shared" si="246"/>
        <v>0</v>
      </c>
      <c r="W700" s="162">
        <f t="shared" si="246"/>
        <v>0</v>
      </c>
      <c r="X700" s="162">
        <f t="shared" si="246"/>
        <v>0</v>
      </c>
      <c r="Y700" s="162">
        <f t="shared" si="246"/>
        <v>0</v>
      </c>
      <c r="Z700" s="162">
        <f t="shared" si="246"/>
        <v>0</v>
      </c>
      <c r="AA700" s="162">
        <f t="shared" si="246"/>
        <v>0</v>
      </c>
      <c r="AB700" s="163">
        <f t="shared" si="244"/>
        <v>0</v>
      </c>
      <c r="AC700" s="198"/>
    </row>
    <row r="701" spans="1:29" hidden="1" outlineLevel="1" x14ac:dyDescent="0.25">
      <c r="A701" s="14" t="str">
        <f t="shared" si="239"/>
        <v>TERC_OPER__12</v>
      </c>
      <c r="B701" s="15" t="str">
        <f t="shared" si="240"/>
        <v>TERC_OPER__0_0</v>
      </c>
      <c r="C701" s="83"/>
      <c r="D701" s="15">
        <f t="shared" si="241"/>
        <v>0</v>
      </c>
      <c r="E701" s="15">
        <v>12</v>
      </c>
      <c r="F701" s="190">
        <f t="shared" si="245"/>
        <v>0</v>
      </c>
      <c r="G701" s="149" t="str">
        <f t="shared" si="245"/>
        <v/>
      </c>
      <c r="H701" s="150" t="str">
        <f t="shared" si="245"/>
        <v/>
      </c>
      <c r="I701" s="150">
        <f t="shared" si="245"/>
        <v>0</v>
      </c>
      <c r="J701" s="150">
        <f t="shared" si="245"/>
        <v>0</v>
      </c>
      <c r="K701" s="196">
        <f t="shared" si="245"/>
        <v>0</v>
      </c>
      <c r="L701" s="197">
        <f t="shared" si="245"/>
        <v>0</v>
      </c>
      <c r="M701" s="191">
        <f t="shared" si="245"/>
        <v>0</v>
      </c>
      <c r="N701" s="150">
        <f t="shared" si="245"/>
        <v>0</v>
      </c>
      <c r="O701" s="193">
        <f t="shared" si="245"/>
        <v>0</v>
      </c>
      <c r="P701" s="162">
        <f t="shared" si="246"/>
        <v>0</v>
      </c>
      <c r="Q701" s="162">
        <f t="shared" si="246"/>
        <v>0</v>
      </c>
      <c r="R701" s="162">
        <f t="shared" si="246"/>
        <v>0</v>
      </c>
      <c r="S701" s="162">
        <f t="shared" si="246"/>
        <v>0</v>
      </c>
      <c r="T701" s="162">
        <f t="shared" si="246"/>
        <v>0</v>
      </c>
      <c r="U701" s="162">
        <f t="shared" si="246"/>
        <v>0</v>
      </c>
      <c r="V701" s="162">
        <f t="shared" si="246"/>
        <v>0</v>
      </c>
      <c r="W701" s="162">
        <f t="shared" si="246"/>
        <v>0</v>
      </c>
      <c r="X701" s="162">
        <f t="shared" si="246"/>
        <v>0</v>
      </c>
      <c r="Y701" s="162">
        <f t="shared" si="246"/>
        <v>0</v>
      </c>
      <c r="Z701" s="162">
        <f t="shared" si="246"/>
        <v>0</v>
      </c>
      <c r="AA701" s="162">
        <f t="shared" si="246"/>
        <v>0</v>
      </c>
      <c r="AB701" s="163">
        <f t="shared" si="244"/>
        <v>0</v>
      </c>
      <c r="AC701" s="198"/>
    </row>
    <row r="702" spans="1:29" hidden="1" outlineLevel="1" x14ac:dyDescent="0.25">
      <c r="A702" s="14" t="str">
        <f t="shared" si="239"/>
        <v>TERC_OPER__13</v>
      </c>
      <c r="B702" s="15" t="str">
        <f t="shared" si="240"/>
        <v>TERC_OPER__0_0</v>
      </c>
      <c r="C702" s="83"/>
      <c r="D702" s="15">
        <f t="shared" si="241"/>
        <v>0</v>
      </c>
      <c r="E702" s="15">
        <v>13</v>
      </c>
      <c r="F702" s="190">
        <f t="shared" si="245"/>
        <v>0</v>
      </c>
      <c r="G702" s="149" t="str">
        <f t="shared" si="245"/>
        <v/>
      </c>
      <c r="H702" s="150" t="str">
        <f t="shared" si="245"/>
        <v/>
      </c>
      <c r="I702" s="150">
        <f t="shared" si="245"/>
        <v>0</v>
      </c>
      <c r="J702" s="150">
        <f t="shared" si="245"/>
        <v>0</v>
      </c>
      <c r="K702" s="196">
        <f t="shared" si="245"/>
        <v>0</v>
      </c>
      <c r="L702" s="197">
        <f t="shared" si="245"/>
        <v>0</v>
      </c>
      <c r="M702" s="191">
        <f t="shared" si="245"/>
        <v>0</v>
      </c>
      <c r="N702" s="150">
        <f t="shared" si="245"/>
        <v>0</v>
      </c>
      <c r="O702" s="193">
        <f t="shared" si="245"/>
        <v>0</v>
      </c>
      <c r="P702" s="162">
        <f t="shared" si="246"/>
        <v>0</v>
      </c>
      <c r="Q702" s="162">
        <f t="shared" si="246"/>
        <v>0</v>
      </c>
      <c r="R702" s="162">
        <f t="shared" si="246"/>
        <v>0</v>
      </c>
      <c r="S702" s="162">
        <f t="shared" si="246"/>
        <v>0</v>
      </c>
      <c r="T702" s="162">
        <f t="shared" si="246"/>
        <v>0</v>
      </c>
      <c r="U702" s="162">
        <f t="shared" si="246"/>
        <v>0</v>
      </c>
      <c r="V702" s="162">
        <f t="shared" si="246"/>
        <v>0</v>
      </c>
      <c r="W702" s="162">
        <f t="shared" si="246"/>
        <v>0</v>
      </c>
      <c r="X702" s="162">
        <f t="shared" si="246"/>
        <v>0</v>
      </c>
      <c r="Y702" s="162">
        <f t="shared" si="246"/>
        <v>0</v>
      </c>
      <c r="Z702" s="162">
        <f t="shared" si="246"/>
        <v>0</v>
      </c>
      <c r="AA702" s="162">
        <f t="shared" si="246"/>
        <v>0</v>
      </c>
      <c r="AB702" s="163">
        <f t="shared" si="244"/>
        <v>0</v>
      </c>
      <c r="AC702" s="198"/>
    </row>
    <row r="703" spans="1:29" hidden="1" outlineLevel="1" x14ac:dyDescent="0.25">
      <c r="A703" s="14" t="str">
        <f t="shared" si="239"/>
        <v>TERC_OPER__14</v>
      </c>
      <c r="B703" s="15" t="str">
        <f t="shared" si="240"/>
        <v>TERC_OPER__0_0</v>
      </c>
      <c r="C703" s="83"/>
      <c r="D703" s="15">
        <f t="shared" si="241"/>
        <v>0</v>
      </c>
      <c r="E703" s="15">
        <v>14</v>
      </c>
      <c r="F703" s="190">
        <f t="shared" si="245"/>
        <v>0</v>
      </c>
      <c r="G703" s="149" t="str">
        <f t="shared" si="245"/>
        <v/>
      </c>
      <c r="H703" s="150" t="str">
        <f t="shared" si="245"/>
        <v/>
      </c>
      <c r="I703" s="150">
        <f t="shared" si="245"/>
        <v>0</v>
      </c>
      <c r="J703" s="150">
        <f t="shared" si="245"/>
        <v>0</v>
      </c>
      <c r="K703" s="196">
        <f t="shared" si="245"/>
        <v>0</v>
      </c>
      <c r="L703" s="197">
        <f t="shared" si="245"/>
        <v>0</v>
      </c>
      <c r="M703" s="191">
        <f t="shared" si="245"/>
        <v>0</v>
      </c>
      <c r="N703" s="150">
        <f t="shared" si="245"/>
        <v>0</v>
      </c>
      <c r="O703" s="193">
        <f t="shared" si="245"/>
        <v>0</v>
      </c>
      <c r="P703" s="162">
        <f t="shared" si="246"/>
        <v>0</v>
      </c>
      <c r="Q703" s="162">
        <f t="shared" si="246"/>
        <v>0</v>
      </c>
      <c r="R703" s="162">
        <f t="shared" si="246"/>
        <v>0</v>
      </c>
      <c r="S703" s="162">
        <f t="shared" si="246"/>
        <v>0</v>
      </c>
      <c r="T703" s="162">
        <f t="shared" si="246"/>
        <v>0</v>
      </c>
      <c r="U703" s="162">
        <f t="shared" si="246"/>
        <v>0</v>
      </c>
      <c r="V703" s="162">
        <f t="shared" si="246"/>
        <v>0</v>
      </c>
      <c r="W703" s="162">
        <f t="shared" si="246"/>
        <v>0</v>
      </c>
      <c r="X703" s="162">
        <f t="shared" si="246"/>
        <v>0</v>
      </c>
      <c r="Y703" s="162">
        <f t="shared" si="246"/>
        <v>0</v>
      </c>
      <c r="Z703" s="162">
        <f t="shared" si="246"/>
        <v>0</v>
      </c>
      <c r="AA703" s="162">
        <f t="shared" si="246"/>
        <v>0</v>
      </c>
      <c r="AB703" s="163">
        <f t="shared" si="244"/>
        <v>0</v>
      </c>
      <c r="AC703" s="198"/>
    </row>
    <row r="704" spans="1:29" hidden="1" outlineLevel="1" x14ac:dyDescent="0.25">
      <c r="A704" s="14" t="str">
        <f t="shared" si="239"/>
        <v>TERC_OPER__15</v>
      </c>
      <c r="B704" s="15" t="str">
        <f t="shared" si="240"/>
        <v>TERC_OPER__0_0</v>
      </c>
      <c r="C704" s="83"/>
      <c r="D704" s="15">
        <f t="shared" si="241"/>
        <v>0</v>
      </c>
      <c r="E704" s="15">
        <v>15</v>
      </c>
      <c r="F704" s="190">
        <f t="shared" si="245"/>
        <v>0</v>
      </c>
      <c r="G704" s="149" t="str">
        <f t="shared" si="245"/>
        <v/>
      </c>
      <c r="H704" s="150" t="str">
        <f t="shared" si="245"/>
        <v/>
      </c>
      <c r="I704" s="150">
        <f t="shared" si="245"/>
        <v>0</v>
      </c>
      <c r="J704" s="150">
        <f t="shared" si="245"/>
        <v>0</v>
      </c>
      <c r="K704" s="196">
        <f t="shared" si="245"/>
        <v>0</v>
      </c>
      <c r="L704" s="197">
        <f t="shared" si="245"/>
        <v>0</v>
      </c>
      <c r="M704" s="191">
        <f t="shared" si="245"/>
        <v>0</v>
      </c>
      <c r="N704" s="150">
        <f t="shared" si="245"/>
        <v>0</v>
      </c>
      <c r="O704" s="193">
        <f t="shared" si="245"/>
        <v>0</v>
      </c>
      <c r="P704" s="162">
        <f t="shared" si="246"/>
        <v>0</v>
      </c>
      <c r="Q704" s="162">
        <f t="shared" si="246"/>
        <v>0</v>
      </c>
      <c r="R704" s="162">
        <f t="shared" si="246"/>
        <v>0</v>
      </c>
      <c r="S704" s="162">
        <f t="shared" si="246"/>
        <v>0</v>
      </c>
      <c r="T704" s="162">
        <f t="shared" si="246"/>
        <v>0</v>
      </c>
      <c r="U704" s="162">
        <f t="shared" si="246"/>
        <v>0</v>
      </c>
      <c r="V704" s="162">
        <f t="shared" si="246"/>
        <v>0</v>
      </c>
      <c r="W704" s="162">
        <f t="shared" si="246"/>
        <v>0</v>
      </c>
      <c r="X704" s="162">
        <f t="shared" si="246"/>
        <v>0</v>
      </c>
      <c r="Y704" s="162">
        <f t="shared" si="246"/>
        <v>0</v>
      </c>
      <c r="Z704" s="162">
        <f t="shared" si="246"/>
        <v>0</v>
      </c>
      <c r="AA704" s="162">
        <f t="shared" si="246"/>
        <v>0</v>
      </c>
      <c r="AB704" s="163">
        <f t="shared" si="244"/>
        <v>0</v>
      </c>
      <c r="AC704" s="198"/>
    </row>
    <row r="705" spans="1:29" hidden="1" outlineLevel="1" x14ac:dyDescent="0.25">
      <c r="A705" s="14" t="str">
        <f t="shared" si="239"/>
        <v>TERC_OPER__16</v>
      </c>
      <c r="B705" s="15" t="str">
        <f t="shared" si="240"/>
        <v>TERC_OPER__0_0</v>
      </c>
      <c r="C705" s="83"/>
      <c r="D705" s="15">
        <f t="shared" si="241"/>
        <v>0</v>
      </c>
      <c r="E705" s="15">
        <v>16</v>
      </c>
      <c r="F705" s="190">
        <f t="shared" si="245"/>
        <v>0</v>
      </c>
      <c r="G705" s="149" t="str">
        <f t="shared" si="245"/>
        <v/>
      </c>
      <c r="H705" s="150" t="str">
        <f t="shared" si="245"/>
        <v/>
      </c>
      <c r="I705" s="150">
        <f t="shared" si="245"/>
        <v>0</v>
      </c>
      <c r="J705" s="150">
        <f t="shared" si="245"/>
        <v>0</v>
      </c>
      <c r="K705" s="196">
        <f t="shared" si="245"/>
        <v>0</v>
      </c>
      <c r="L705" s="197">
        <f t="shared" si="245"/>
        <v>0</v>
      </c>
      <c r="M705" s="191">
        <f t="shared" si="245"/>
        <v>0</v>
      </c>
      <c r="N705" s="150">
        <f t="shared" si="245"/>
        <v>0</v>
      </c>
      <c r="O705" s="193">
        <f t="shared" si="245"/>
        <v>0</v>
      </c>
      <c r="P705" s="162">
        <f t="shared" si="246"/>
        <v>0</v>
      </c>
      <c r="Q705" s="162">
        <f t="shared" si="246"/>
        <v>0</v>
      </c>
      <c r="R705" s="162">
        <f t="shared" si="246"/>
        <v>0</v>
      </c>
      <c r="S705" s="162">
        <f t="shared" si="246"/>
        <v>0</v>
      </c>
      <c r="T705" s="162">
        <f t="shared" si="246"/>
        <v>0</v>
      </c>
      <c r="U705" s="162">
        <f t="shared" si="246"/>
        <v>0</v>
      </c>
      <c r="V705" s="162">
        <f t="shared" si="246"/>
        <v>0</v>
      </c>
      <c r="W705" s="162">
        <f t="shared" si="246"/>
        <v>0</v>
      </c>
      <c r="X705" s="162">
        <f t="shared" si="246"/>
        <v>0</v>
      </c>
      <c r="Y705" s="162">
        <f t="shared" si="246"/>
        <v>0</v>
      </c>
      <c r="Z705" s="162">
        <f t="shared" si="246"/>
        <v>0</v>
      </c>
      <c r="AA705" s="162">
        <f t="shared" si="246"/>
        <v>0</v>
      </c>
      <c r="AB705" s="163">
        <f t="shared" si="244"/>
        <v>0</v>
      </c>
      <c r="AC705" s="198"/>
    </row>
    <row r="706" spans="1:29" hidden="1" outlineLevel="1" x14ac:dyDescent="0.25">
      <c r="A706" s="14" t="str">
        <f t="shared" si="239"/>
        <v>TERC_OPER__17</v>
      </c>
      <c r="B706" s="15" t="str">
        <f t="shared" si="240"/>
        <v>TERC_OPER__0_0</v>
      </c>
      <c r="C706" s="83"/>
      <c r="D706" s="15">
        <f t="shared" si="241"/>
        <v>0</v>
      </c>
      <c r="E706" s="15">
        <v>17</v>
      </c>
      <c r="F706" s="190">
        <f t="shared" si="245"/>
        <v>0</v>
      </c>
      <c r="G706" s="149" t="str">
        <f t="shared" si="245"/>
        <v/>
      </c>
      <c r="H706" s="150" t="str">
        <f t="shared" si="245"/>
        <v/>
      </c>
      <c r="I706" s="150">
        <f t="shared" si="245"/>
        <v>0</v>
      </c>
      <c r="J706" s="150">
        <f t="shared" si="245"/>
        <v>0</v>
      </c>
      <c r="K706" s="196">
        <f t="shared" si="245"/>
        <v>0</v>
      </c>
      <c r="L706" s="197">
        <f t="shared" si="245"/>
        <v>0</v>
      </c>
      <c r="M706" s="191">
        <f t="shared" si="245"/>
        <v>0</v>
      </c>
      <c r="N706" s="150">
        <f t="shared" si="245"/>
        <v>0</v>
      </c>
      <c r="O706" s="193">
        <f t="shared" si="245"/>
        <v>0</v>
      </c>
      <c r="P706" s="162">
        <f t="shared" si="246"/>
        <v>0</v>
      </c>
      <c r="Q706" s="162">
        <f t="shared" si="246"/>
        <v>0</v>
      </c>
      <c r="R706" s="162">
        <f t="shared" si="246"/>
        <v>0</v>
      </c>
      <c r="S706" s="162">
        <f t="shared" si="246"/>
        <v>0</v>
      </c>
      <c r="T706" s="162">
        <f t="shared" si="246"/>
        <v>0</v>
      </c>
      <c r="U706" s="162">
        <f t="shared" si="246"/>
        <v>0</v>
      </c>
      <c r="V706" s="162">
        <f t="shared" si="246"/>
        <v>0</v>
      </c>
      <c r="W706" s="162">
        <f t="shared" si="246"/>
        <v>0</v>
      </c>
      <c r="X706" s="162">
        <f t="shared" si="246"/>
        <v>0</v>
      </c>
      <c r="Y706" s="162">
        <f t="shared" si="246"/>
        <v>0</v>
      </c>
      <c r="Z706" s="162">
        <f t="shared" si="246"/>
        <v>0</v>
      </c>
      <c r="AA706" s="162">
        <f t="shared" si="246"/>
        <v>0</v>
      </c>
      <c r="AB706" s="163">
        <f t="shared" si="244"/>
        <v>0</v>
      </c>
      <c r="AC706" s="198"/>
    </row>
    <row r="707" spans="1:29" hidden="1" outlineLevel="1" x14ac:dyDescent="0.25">
      <c r="A707" s="14" t="str">
        <f t="shared" si="239"/>
        <v>TERC_OPER__18</v>
      </c>
      <c r="B707" s="15" t="str">
        <f t="shared" si="240"/>
        <v>TERC_OPER__0_0</v>
      </c>
      <c r="C707" s="83"/>
      <c r="D707" s="15">
        <f t="shared" si="241"/>
        <v>0</v>
      </c>
      <c r="E707" s="15">
        <v>18</v>
      </c>
      <c r="F707" s="190">
        <f t="shared" si="245"/>
        <v>0</v>
      </c>
      <c r="G707" s="149" t="str">
        <f t="shared" si="245"/>
        <v/>
      </c>
      <c r="H707" s="150" t="str">
        <f t="shared" si="245"/>
        <v/>
      </c>
      <c r="I707" s="150">
        <f t="shared" si="245"/>
        <v>0</v>
      </c>
      <c r="J707" s="150">
        <f t="shared" si="245"/>
        <v>0</v>
      </c>
      <c r="K707" s="196">
        <f t="shared" si="245"/>
        <v>0</v>
      </c>
      <c r="L707" s="197">
        <f t="shared" si="245"/>
        <v>0</v>
      </c>
      <c r="M707" s="191">
        <f t="shared" si="245"/>
        <v>0</v>
      </c>
      <c r="N707" s="150">
        <f t="shared" si="245"/>
        <v>0</v>
      </c>
      <c r="O707" s="193">
        <f t="shared" si="245"/>
        <v>0</v>
      </c>
      <c r="P707" s="162">
        <f t="shared" si="246"/>
        <v>0</v>
      </c>
      <c r="Q707" s="162">
        <f t="shared" si="246"/>
        <v>0</v>
      </c>
      <c r="R707" s="162">
        <f t="shared" si="246"/>
        <v>0</v>
      </c>
      <c r="S707" s="162">
        <f t="shared" si="246"/>
        <v>0</v>
      </c>
      <c r="T707" s="162">
        <f t="shared" si="246"/>
        <v>0</v>
      </c>
      <c r="U707" s="162">
        <f t="shared" si="246"/>
        <v>0</v>
      </c>
      <c r="V707" s="162">
        <f t="shared" si="246"/>
        <v>0</v>
      </c>
      <c r="W707" s="162">
        <f t="shared" si="246"/>
        <v>0</v>
      </c>
      <c r="X707" s="162">
        <f t="shared" si="246"/>
        <v>0</v>
      </c>
      <c r="Y707" s="162">
        <f t="shared" si="246"/>
        <v>0</v>
      </c>
      <c r="Z707" s="162">
        <f t="shared" si="246"/>
        <v>0</v>
      </c>
      <c r="AA707" s="162">
        <f t="shared" si="246"/>
        <v>0</v>
      </c>
      <c r="AB707" s="163">
        <f t="shared" si="244"/>
        <v>0</v>
      </c>
      <c r="AC707" s="198"/>
    </row>
    <row r="708" spans="1:29" hidden="1" outlineLevel="1" x14ac:dyDescent="0.25">
      <c r="A708" s="14" t="str">
        <f t="shared" si="239"/>
        <v>TERC_OPER__19</v>
      </c>
      <c r="B708" s="15" t="str">
        <f t="shared" si="240"/>
        <v>TERC_OPER__0_0</v>
      </c>
      <c r="C708" s="83"/>
      <c r="D708" s="15">
        <f t="shared" si="241"/>
        <v>0</v>
      </c>
      <c r="E708" s="15">
        <v>19</v>
      </c>
      <c r="F708" s="190">
        <f t="shared" si="245"/>
        <v>0</v>
      </c>
      <c r="G708" s="149" t="str">
        <f t="shared" si="245"/>
        <v/>
      </c>
      <c r="H708" s="150" t="str">
        <f t="shared" si="245"/>
        <v/>
      </c>
      <c r="I708" s="150">
        <f t="shared" si="245"/>
        <v>0</v>
      </c>
      <c r="J708" s="150">
        <f t="shared" si="245"/>
        <v>0</v>
      </c>
      <c r="K708" s="196">
        <f t="shared" si="245"/>
        <v>0</v>
      </c>
      <c r="L708" s="197">
        <f t="shared" si="245"/>
        <v>0</v>
      </c>
      <c r="M708" s="191">
        <f t="shared" si="245"/>
        <v>0</v>
      </c>
      <c r="N708" s="150">
        <f t="shared" si="245"/>
        <v>0</v>
      </c>
      <c r="O708" s="193">
        <f t="shared" si="245"/>
        <v>0</v>
      </c>
      <c r="P708" s="162">
        <f t="shared" si="246"/>
        <v>0</v>
      </c>
      <c r="Q708" s="162">
        <f t="shared" si="246"/>
        <v>0</v>
      </c>
      <c r="R708" s="162">
        <f t="shared" si="246"/>
        <v>0</v>
      </c>
      <c r="S708" s="162">
        <f t="shared" si="246"/>
        <v>0</v>
      </c>
      <c r="T708" s="162">
        <f t="shared" si="246"/>
        <v>0</v>
      </c>
      <c r="U708" s="162">
        <f t="shared" si="246"/>
        <v>0</v>
      </c>
      <c r="V708" s="162">
        <f t="shared" si="246"/>
        <v>0</v>
      </c>
      <c r="W708" s="162">
        <f t="shared" si="246"/>
        <v>0</v>
      </c>
      <c r="X708" s="162">
        <f t="shared" si="246"/>
        <v>0</v>
      </c>
      <c r="Y708" s="162">
        <f t="shared" si="246"/>
        <v>0</v>
      </c>
      <c r="Z708" s="162">
        <f t="shared" si="246"/>
        <v>0</v>
      </c>
      <c r="AA708" s="162">
        <f t="shared" si="246"/>
        <v>0</v>
      </c>
      <c r="AB708" s="163">
        <f t="shared" si="244"/>
        <v>0</v>
      </c>
      <c r="AC708" s="198"/>
    </row>
    <row r="709" spans="1:29" hidden="1" outlineLevel="1" x14ac:dyDescent="0.25">
      <c r="A709" s="14" t="str">
        <f t="shared" si="239"/>
        <v>TERC_OPER__20</v>
      </c>
      <c r="B709" s="15" t="str">
        <f t="shared" si="240"/>
        <v>TERC_OPER__0_0</v>
      </c>
      <c r="C709" s="83"/>
      <c r="D709" s="15">
        <f t="shared" si="241"/>
        <v>0</v>
      </c>
      <c r="E709" s="15">
        <v>20</v>
      </c>
      <c r="F709" s="190">
        <f t="shared" si="245"/>
        <v>0</v>
      </c>
      <c r="G709" s="149" t="str">
        <f t="shared" si="245"/>
        <v/>
      </c>
      <c r="H709" s="150" t="str">
        <f t="shared" si="245"/>
        <v/>
      </c>
      <c r="I709" s="150">
        <f t="shared" si="245"/>
        <v>0</v>
      </c>
      <c r="J709" s="150">
        <f t="shared" si="245"/>
        <v>0</v>
      </c>
      <c r="K709" s="196">
        <f t="shared" si="245"/>
        <v>0</v>
      </c>
      <c r="L709" s="197">
        <f t="shared" si="245"/>
        <v>0</v>
      </c>
      <c r="M709" s="191">
        <f t="shared" si="245"/>
        <v>0</v>
      </c>
      <c r="N709" s="150">
        <f t="shared" si="245"/>
        <v>0</v>
      </c>
      <c r="O709" s="193">
        <f t="shared" si="245"/>
        <v>0</v>
      </c>
      <c r="P709" s="162">
        <f t="shared" si="246"/>
        <v>0</v>
      </c>
      <c r="Q709" s="162">
        <f t="shared" si="246"/>
        <v>0</v>
      </c>
      <c r="R709" s="162">
        <f t="shared" si="246"/>
        <v>0</v>
      </c>
      <c r="S709" s="162">
        <f t="shared" si="246"/>
        <v>0</v>
      </c>
      <c r="T709" s="162">
        <f t="shared" si="246"/>
        <v>0</v>
      </c>
      <c r="U709" s="162">
        <f t="shared" si="246"/>
        <v>0</v>
      </c>
      <c r="V709" s="162">
        <f t="shared" si="246"/>
        <v>0</v>
      </c>
      <c r="W709" s="162">
        <f t="shared" si="246"/>
        <v>0</v>
      </c>
      <c r="X709" s="162">
        <f t="shared" si="246"/>
        <v>0</v>
      </c>
      <c r="Y709" s="162">
        <f t="shared" si="246"/>
        <v>0</v>
      </c>
      <c r="Z709" s="162">
        <f t="shared" si="246"/>
        <v>0</v>
      </c>
      <c r="AA709" s="162">
        <f t="shared" si="246"/>
        <v>0</v>
      </c>
      <c r="AB709" s="163">
        <f t="shared" si="244"/>
        <v>0</v>
      </c>
      <c r="AC709" s="198"/>
    </row>
    <row r="710" spans="1:29" hidden="1" outlineLevel="1" x14ac:dyDescent="0.25">
      <c r="A710" s="14" t="str">
        <f t="shared" si="239"/>
        <v>TERC_OPER__21</v>
      </c>
      <c r="B710" s="15" t="str">
        <f t="shared" si="240"/>
        <v>TERC_OPER__0_0</v>
      </c>
      <c r="C710" s="83"/>
      <c r="D710" s="15">
        <f t="shared" si="241"/>
        <v>0</v>
      </c>
      <c r="E710" s="15">
        <v>21</v>
      </c>
      <c r="F710" s="190">
        <f t="shared" si="245"/>
        <v>0</v>
      </c>
      <c r="G710" s="149" t="str">
        <f t="shared" si="245"/>
        <v/>
      </c>
      <c r="H710" s="150" t="str">
        <f t="shared" si="245"/>
        <v/>
      </c>
      <c r="I710" s="150">
        <f t="shared" si="245"/>
        <v>0</v>
      </c>
      <c r="J710" s="150">
        <f t="shared" si="245"/>
        <v>0</v>
      </c>
      <c r="K710" s="196">
        <f t="shared" si="245"/>
        <v>0</v>
      </c>
      <c r="L710" s="197">
        <f t="shared" si="245"/>
        <v>0</v>
      </c>
      <c r="M710" s="191">
        <f t="shared" si="245"/>
        <v>0</v>
      </c>
      <c r="N710" s="150">
        <f t="shared" si="245"/>
        <v>0</v>
      </c>
      <c r="O710" s="193">
        <f t="shared" si="245"/>
        <v>0</v>
      </c>
      <c r="P710" s="162">
        <f t="shared" si="246"/>
        <v>0</v>
      </c>
      <c r="Q710" s="162">
        <f t="shared" si="246"/>
        <v>0</v>
      </c>
      <c r="R710" s="162">
        <f t="shared" si="246"/>
        <v>0</v>
      </c>
      <c r="S710" s="162">
        <f t="shared" si="246"/>
        <v>0</v>
      </c>
      <c r="T710" s="162">
        <f t="shared" si="246"/>
        <v>0</v>
      </c>
      <c r="U710" s="162">
        <f t="shared" si="246"/>
        <v>0</v>
      </c>
      <c r="V710" s="162">
        <f t="shared" si="246"/>
        <v>0</v>
      </c>
      <c r="W710" s="162">
        <f t="shared" si="246"/>
        <v>0</v>
      </c>
      <c r="X710" s="162">
        <f t="shared" si="246"/>
        <v>0</v>
      </c>
      <c r="Y710" s="162">
        <f t="shared" si="246"/>
        <v>0</v>
      </c>
      <c r="Z710" s="162">
        <f t="shared" si="246"/>
        <v>0</v>
      </c>
      <c r="AA710" s="162">
        <f t="shared" si="246"/>
        <v>0</v>
      </c>
      <c r="AB710" s="163">
        <f t="shared" si="244"/>
        <v>0</v>
      </c>
      <c r="AC710" s="198"/>
    </row>
    <row r="711" spans="1:29" hidden="1" outlineLevel="1" x14ac:dyDescent="0.25">
      <c r="A711" s="14" t="str">
        <f t="shared" si="239"/>
        <v>TERC_OPER__22</v>
      </c>
      <c r="B711" s="15" t="str">
        <f t="shared" si="240"/>
        <v>TERC_OPER__0_0</v>
      </c>
      <c r="C711" s="83"/>
      <c r="D711" s="15">
        <f t="shared" si="241"/>
        <v>0</v>
      </c>
      <c r="E711" s="15">
        <v>22</v>
      </c>
      <c r="F711" s="190">
        <f t="shared" ref="F711:O726" si="247">F573</f>
        <v>0</v>
      </c>
      <c r="G711" s="149" t="str">
        <f t="shared" si="247"/>
        <v/>
      </c>
      <c r="H711" s="150" t="str">
        <f t="shared" si="247"/>
        <v/>
      </c>
      <c r="I711" s="150">
        <f t="shared" si="247"/>
        <v>0</v>
      </c>
      <c r="J711" s="150">
        <f t="shared" si="247"/>
        <v>0</v>
      </c>
      <c r="K711" s="196">
        <f t="shared" si="247"/>
        <v>0</v>
      </c>
      <c r="L711" s="197">
        <f t="shared" si="247"/>
        <v>0</v>
      </c>
      <c r="M711" s="191">
        <f t="shared" si="247"/>
        <v>0</v>
      </c>
      <c r="N711" s="150">
        <f t="shared" si="247"/>
        <v>0</v>
      </c>
      <c r="O711" s="193">
        <f t="shared" si="247"/>
        <v>0</v>
      </c>
      <c r="P711" s="162">
        <f t="shared" ref="P711:AA726" si="248">IFERROR(SUMIF($B$483:$B$547,$C711&amp;$I711,P$483:P$547)/SUMIF($D$483:$D$547,$I711,P$483:P$547)*P573,0)</f>
        <v>0</v>
      </c>
      <c r="Q711" s="162">
        <f t="shared" si="248"/>
        <v>0</v>
      </c>
      <c r="R711" s="162">
        <f t="shared" si="248"/>
        <v>0</v>
      </c>
      <c r="S711" s="162">
        <f t="shared" si="248"/>
        <v>0</v>
      </c>
      <c r="T711" s="162">
        <f t="shared" si="248"/>
        <v>0</v>
      </c>
      <c r="U711" s="162">
        <f t="shared" si="248"/>
        <v>0</v>
      </c>
      <c r="V711" s="162">
        <f t="shared" si="248"/>
        <v>0</v>
      </c>
      <c r="W711" s="162">
        <f t="shared" si="248"/>
        <v>0</v>
      </c>
      <c r="X711" s="162">
        <f t="shared" si="248"/>
        <v>0</v>
      </c>
      <c r="Y711" s="162">
        <f t="shared" si="248"/>
        <v>0</v>
      </c>
      <c r="Z711" s="162">
        <f t="shared" si="248"/>
        <v>0</v>
      </c>
      <c r="AA711" s="162">
        <f t="shared" si="248"/>
        <v>0</v>
      </c>
      <c r="AB711" s="163">
        <f t="shared" si="244"/>
        <v>0</v>
      </c>
      <c r="AC711" s="198"/>
    </row>
    <row r="712" spans="1:29" hidden="1" outlineLevel="1" x14ac:dyDescent="0.25">
      <c r="A712" s="14" t="str">
        <f t="shared" si="239"/>
        <v>TERC_OPER__23</v>
      </c>
      <c r="B712" s="15" t="str">
        <f t="shared" si="240"/>
        <v>TERC_OPER__0_0</v>
      </c>
      <c r="C712" s="83"/>
      <c r="D712" s="15">
        <f t="shared" si="241"/>
        <v>0</v>
      </c>
      <c r="E712" s="15">
        <v>23</v>
      </c>
      <c r="F712" s="190">
        <f t="shared" si="247"/>
        <v>0</v>
      </c>
      <c r="G712" s="149" t="str">
        <f t="shared" si="247"/>
        <v/>
      </c>
      <c r="H712" s="150" t="str">
        <f t="shared" si="247"/>
        <v/>
      </c>
      <c r="I712" s="150">
        <f t="shared" si="247"/>
        <v>0</v>
      </c>
      <c r="J712" s="150">
        <f t="shared" si="247"/>
        <v>0</v>
      </c>
      <c r="K712" s="196">
        <f t="shared" si="247"/>
        <v>0</v>
      </c>
      <c r="L712" s="197">
        <f t="shared" si="247"/>
        <v>0</v>
      </c>
      <c r="M712" s="191">
        <f t="shared" si="247"/>
        <v>0</v>
      </c>
      <c r="N712" s="150">
        <f t="shared" si="247"/>
        <v>0</v>
      </c>
      <c r="O712" s="193">
        <f t="shared" si="247"/>
        <v>0</v>
      </c>
      <c r="P712" s="162">
        <f t="shared" si="248"/>
        <v>0</v>
      </c>
      <c r="Q712" s="162">
        <f t="shared" si="248"/>
        <v>0</v>
      </c>
      <c r="R712" s="162">
        <f t="shared" si="248"/>
        <v>0</v>
      </c>
      <c r="S712" s="162">
        <f t="shared" si="248"/>
        <v>0</v>
      </c>
      <c r="T712" s="162">
        <f t="shared" si="248"/>
        <v>0</v>
      </c>
      <c r="U712" s="162">
        <f t="shared" si="248"/>
        <v>0</v>
      </c>
      <c r="V712" s="162">
        <f t="shared" si="248"/>
        <v>0</v>
      </c>
      <c r="W712" s="162">
        <f t="shared" si="248"/>
        <v>0</v>
      </c>
      <c r="X712" s="162">
        <f t="shared" si="248"/>
        <v>0</v>
      </c>
      <c r="Y712" s="162">
        <f t="shared" si="248"/>
        <v>0</v>
      </c>
      <c r="Z712" s="162">
        <f t="shared" si="248"/>
        <v>0</v>
      </c>
      <c r="AA712" s="162">
        <f t="shared" si="248"/>
        <v>0</v>
      </c>
      <c r="AB712" s="163">
        <f t="shared" si="244"/>
        <v>0</v>
      </c>
      <c r="AC712" s="198"/>
    </row>
    <row r="713" spans="1:29" hidden="1" outlineLevel="1" x14ac:dyDescent="0.25">
      <c r="A713" s="14" t="str">
        <f t="shared" si="239"/>
        <v>TERC_OPER__24</v>
      </c>
      <c r="B713" s="15" t="str">
        <f t="shared" si="240"/>
        <v>TERC_OPER__0_0</v>
      </c>
      <c r="C713" s="83"/>
      <c r="D713" s="15">
        <f t="shared" si="241"/>
        <v>0</v>
      </c>
      <c r="E713" s="15">
        <v>24</v>
      </c>
      <c r="F713" s="190">
        <f t="shared" si="247"/>
        <v>0</v>
      </c>
      <c r="G713" s="149" t="str">
        <f t="shared" si="247"/>
        <v/>
      </c>
      <c r="H713" s="150" t="str">
        <f t="shared" si="247"/>
        <v/>
      </c>
      <c r="I713" s="150">
        <f t="shared" si="247"/>
        <v>0</v>
      </c>
      <c r="J713" s="150">
        <f t="shared" si="247"/>
        <v>0</v>
      </c>
      <c r="K713" s="196">
        <f t="shared" si="247"/>
        <v>0</v>
      </c>
      <c r="L713" s="197">
        <f t="shared" si="247"/>
        <v>0</v>
      </c>
      <c r="M713" s="191">
        <f t="shared" si="247"/>
        <v>0</v>
      </c>
      <c r="N713" s="150">
        <f t="shared" si="247"/>
        <v>0</v>
      </c>
      <c r="O713" s="193">
        <f t="shared" si="247"/>
        <v>0</v>
      </c>
      <c r="P713" s="162">
        <f t="shared" si="248"/>
        <v>0</v>
      </c>
      <c r="Q713" s="162">
        <f t="shared" si="248"/>
        <v>0</v>
      </c>
      <c r="R713" s="162">
        <f t="shared" si="248"/>
        <v>0</v>
      </c>
      <c r="S713" s="162">
        <f t="shared" si="248"/>
        <v>0</v>
      </c>
      <c r="T713" s="162">
        <f t="shared" si="248"/>
        <v>0</v>
      </c>
      <c r="U713" s="162">
        <f t="shared" si="248"/>
        <v>0</v>
      </c>
      <c r="V713" s="162">
        <f t="shared" si="248"/>
        <v>0</v>
      </c>
      <c r="W713" s="162">
        <f t="shared" si="248"/>
        <v>0</v>
      </c>
      <c r="X713" s="162">
        <f t="shared" si="248"/>
        <v>0</v>
      </c>
      <c r="Y713" s="162">
        <f t="shared" si="248"/>
        <v>0</v>
      </c>
      <c r="Z713" s="162">
        <f t="shared" si="248"/>
        <v>0</v>
      </c>
      <c r="AA713" s="162">
        <f t="shared" si="248"/>
        <v>0</v>
      </c>
      <c r="AB713" s="163">
        <f t="shared" si="244"/>
        <v>0</v>
      </c>
      <c r="AC713" s="198"/>
    </row>
    <row r="714" spans="1:29" hidden="1" outlineLevel="1" x14ac:dyDescent="0.25">
      <c r="A714" s="14" t="str">
        <f t="shared" si="239"/>
        <v>TERC_OPER__25</v>
      </c>
      <c r="B714" s="15" t="str">
        <f t="shared" si="240"/>
        <v>TERC_OPER__0_0</v>
      </c>
      <c r="C714" s="83"/>
      <c r="D714" s="15">
        <f t="shared" si="241"/>
        <v>0</v>
      </c>
      <c r="E714" s="15">
        <v>25</v>
      </c>
      <c r="F714" s="190">
        <f t="shared" si="247"/>
        <v>0</v>
      </c>
      <c r="G714" s="149" t="str">
        <f t="shared" si="247"/>
        <v/>
      </c>
      <c r="H714" s="150" t="str">
        <f t="shared" si="247"/>
        <v/>
      </c>
      <c r="I714" s="150">
        <f t="shared" si="247"/>
        <v>0</v>
      </c>
      <c r="J714" s="150">
        <f t="shared" si="247"/>
        <v>0</v>
      </c>
      <c r="K714" s="196">
        <f t="shared" si="247"/>
        <v>0</v>
      </c>
      <c r="L714" s="197">
        <f t="shared" si="247"/>
        <v>0</v>
      </c>
      <c r="M714" s="191">
        <f t="shared" si="247"/>
        <v>0</v>
      </c>
      <c r="N714" s="150">
        <f t="shared" si="247"/>
        <v>0</v>
      </c>
      <c r="O714" s="193">
        <f t="shared" si="247"/>
        <v>0</v>
      </c>
      <c r="P714" s="162">
        <f t="shared" si="248"/>
        <v>0</v>
      </c>
      <c r="Q714" s="162">
        <f t="shared" si="248"/>
        <v>0</v>
      </c>
      <c r="R714" s="162">
        <f t="shared" si="248"/>
        <v>0</v>
      </c>
      <c r="S714" s="162">
        <f t="shared" si="248"/>
        <v>0</v>
      </c>
      <c r="T714" s="162">
        <f t="shared" si="248"/>
        <v>0</v>
      </c>
      <c r="U714" s="162">
        <f t="shared" si="248"/>
        <v>0</v>
      </c>
      <c r="V714" s="162">
        <f t="shared" si="248"/>
        <v>0</v>
      </c>
      <c r="W714" s="162">
        <f t="shared" si="248"/>
        <v>0</v>
      </c>
      <c r="X714" s="162">
        <f t="shared" si="248"/>
        <v>0</v>
      </c>
      <c r="Y714" s="162">
        <f t="shared" si="248"/>
        <v>0</v>
      </c>
      <c r="Z714" s="162">
        <f t="shared" si="248"/>
        <v>0</v>
      </c>
      <c r="AA714" s="162">
        <f t="shared" si="248"/>
        <v>0</v>
      </c>
      <c r="AB714" s="163">
        <f t="shared" si="244"/>
        <v>0</v>
      </c>
      <c r="AC714" s="198"/>
    </row>
    <row r="715" spans="1:29" hidden="1" outlineLevel="1" x14ac:dyDescent="0.25">
      <c r="A715" s="14" t="str">
        <f t="shared" si="239"/>
        <v>TERC_OPER__26</v>
      </c>
      <c r="B715" s="15" t="str">
        <f t="shared" si="240"/>
        <v>TERC_OPER__0_0</v>
      </c>
      <c r="C715" s="83"/>
      <c r="D715" s="15">
        <f t="shared" si="241"/>
        <v>0</v>
      </c>
      <c r="E715" s="15">
        <v>26</v>
      </c>
      <c r="F715" s="190">
        <f t="shared" si="247"/>
        <v>0</v>
      </c>
      <c r="G715" s="149" t="str">
        <f t="shared" si="247"/>
        <v/>
      </c>
      <c r="H715" s="150" t="str">
        <f t="shared" si="247"/>
        <v/>
      </c>
      <c r="I715" s="150">
        <f t="shared" si="247"/>
        <v>0</v>
      </c>
      <c r="J715" s="150">
        <f t="shared" si="247"/>
        <v>0</v>
      </c>
      <c r="K715" s="196">
        <f t="shared" si="247"/>
        <v>0</v>
      </c>
      <c r="L715" s="197">
        <f t="shared" si="247"/>
        <v>0</v>
      </c>
      <c r="M715" s="191">
        <f t="shared" si="247"/>
        <v>0</v>
      </c>
      <c r="N715" s="150">
        <f t="shared" si="247"/>
        <v>0</v>
      </c>
      <c r="O715" s="193">
        <f t="shared" si="247"/>
        <v>0</v>
      </c>
      <c r="P715" s="162">
        <f t="shared" si="248"/>
        <v>0</v>
      </c>
      <c r="Q715" s="162">
        <f t="shared" si="248"/>
        <v>0</v>
      </c>
      <c r="R715" s="162">
        <f t="shared" si="248"/>
        <v>0</v>
      </c>
      <c r="S715" s="162">
        <f t="shared" si="248"/>
        <v>0</v>
      </c>
      <c r="T715" s="162">
        <f t="shared" si="248"/>
        <v>0</v>
      </c>
      <c r="U715" s="162">
        <f t="shared" si="248"/>
        <v>0</v>
      </c>
      <c r="V715" s="162">
        <f t="shared" si="248"/>
        <v>0</v>
      </c>
      <c r="W715" s="162">
        <f t="shared" si="248"/>
        <v>0</v>
      </c>
      <c r="X715" s="162">
        <f t="shared" si="248"/>
        <v>0</v>
      </c>
      <c r="Y715" s="162">
        <f t="shared" si="248"/>
        <v>0</v>
      </c>
      <c r="Z715" s="162">
        <f t="shared" si="248"/>
        <v>0</v>
      </c>
      <c r="AA715" s="162">
        <f t="shared" si="248"/>
        <v>0</v>
      </c>
      <c r="AB715" s="163">
        <f t="shared" si="244"/>
        <v>0</v>
      </c>
      <c r="AC715" s="198"/>
    </row>
    <row r="716" spans="1:29" hidden="1" outlineLevel="1" x14ac:dyDescent="0.25">
      <c r="A716" s="14" t="str">
        <f t="shared" si="239"/>
        <v>TERC_OPER__27</v>
      </c>
      <c r="B716" s="15" t="str">
        <f t="shared" si="240"/>
        <v>TERC_OPER__0_0</v>
      </c>
      <c r="C716" s="83"/>
      <c r="D716" s="15">
        <f t="shared" si="241"/>
        <v>0</v>
      </c>
      <c r="E716" s="15">
        <v>27</v>
      </c>
      <c r="F716" s="190">
        <f t="shared" si="247"/>
        <v>0</v>
      </c>
      <c r="G716" s="149" t="str">
        <f t="shared" si="247"/>
        <v/>
      </c>
      <c r="H716" s="150" t="str">
        <f t="shared" si="247"/>
        <v/>
      </c>
      <c r="I716" s="150">
        <f t="shared" si="247"/>
        <v>0</v>
      </c>
      <c r="J716" s="150">
        <f t="shared" si="247"/>
        <v>0</v>
      </c>
      <c r="K716" s="196">
        <f t="shared" si="247"/>
        <v>0</v>
      </c>
      <c r="L716" s="197">
        <f t="shared" si="247"/>
        <v>0</v>
      </c>
      <c r="M716" s="191">
        <f t="shared" si="247"/>
        <v>0</v>
      </c>
      <c r="N716" s="150">
        <f t="shared" si="247"/>
        <v>0</v>
      </c>
      <c r="O716" s="193">
        <f t="shared" si="247"/>
        <v>0</v>
      </c>
      <c r="P716" s="162">
        <f t="shared" si="248"/>
        <v>0</v>
      </c>
      <c r="Q716" s="162">
        <f t="shared" si="248"/>
        <v>0</v>
      </c>
      <c r="R716" s="162">
        <f t="shared" si="248"/>
        <v>0</v>
      </c>
      <c r="S716" s="162">
        <f t="shared" si="248"/>
        <v>0</v>
      </c>
      <c r="T716" s="162">
        <f t="shared" si="248"/>
        <v>0</v>
      </c>
      <c r="U716" s="162">
        <f t="shared" si="248"/>
        <v>0</v>
      </c>
      <c r="V716" s="162">
        <f t="shared" si="248"/>
        <v>0</v>
      </c>
      <c r="W716" s="162">
        <f t="shared" si="248"/>
        <v>0</v>
      </c>
      <c r="X716" s="162">
        <f t="shared" si="248"/>
        <v>0</v>
      </c>
      <c r="Y716" s="162">
        <f t="shared" si="248"/>
        <v>0</v>
      </c>
      <c r="Z716" s="162">
        <f t="shared" si="248"/>
        <v>0</v>
      </c>
      <c r="AA716" s="162">
        <f t="shared" si="248"/>
        <v>0</v>
      </c>
      <c r="AB716" s="163">
        <f t="shared" si="244"/>
        <v>0</v>
      </c>
      <c r="AC716" s="198"/>
    </row>
    <row r="717" spans="1:29" hidden="1" outlineLevel="1" x14ac:dyDescent="0.25">
      <c r="A717" s="14" t="str">
        <f t="shared" si="239"/>
        <v>TERC_OPER__28</v>
      </c>
      <c r="B717" s="15" t="str">
        <f t="shared" si="240"/>
        <v>TERC_OPER__0_0</v>
      </c>
      <c r="C717" s="83"/>
      <c r="D717" s="15">
        <f t="shared" si="241"/>
        <v>0</v>
      </c>
      <c r="E717" s="15">
        <v>28</v>
      </c>
      <c r="F717" s="190">
        <f t="shared" si="247"/>
        <v>0</v>
      </c>
      <c r="G717" s="149" t="str">
        <f t="shared" si="247"/>
        <v/>
      </c>
      <c r="H717" s="150" t="str">
        <f t="shared" si="247"/>
        <v/>
      </c>
      <c r="I717" s="150">
        <f t="shared" si="247"/>
        <v>0</v>
      </c>
      <c r="J717" s="150">
        <f t="shared" si="247"/>
        <v>0</v>
      </c>
      <c r="K717" s="196">
        <f t="shared" si="247"/>
        <v>0</v>
      </c>
      <c r="L717" s="197">
        <f t="shared" si="247"/>
        <v>0</v>
      </c>
      <c r="M717" s="191">
        <f t="shared" si="247"/>
        <v>0</v>
      </c>
      <c r="N717" s="150">
        <f t="shared" si="247"/>
        <v>0</v>
      </c>
      <c r="O717" s="193">
        <f t="shared" si="247"/>
        <v>0</v>
      </c>
      <c r="P717" s="162">
        <f t="shared" si="248"/>
        <v>0</v>
      </c>
      <c r="Q717" s="162">
        <f t="shared" si="248"/>
        <v>0</v>
      </c>
      <c r="R717" s="162">
        <f t="shared" si="248"/>
        <v>0</v>
      </c>
      <c r="S717" s="162">
        <f t="shared" si="248"/>
        <v>0</v>
      </c>
      <c r="T717" s="162">
        <f t="shared" si="248"/>
        <v>0</v>
      </c>
      <c r="U717" s="162">
        <f t="shared" si="248"/>
        <v>0</v>
      </c>
      <c r="V717" s="162">
        <f t="shared" si="248"/>
        <v>0</v>
      </c>
      <c r="W717" s="162">
        <f t="shared" si="248"/>
        <v>0</v>
      </c>
      <c r="X717" s="162">
        <f t="shared" si="248"/>
        <v>0</v>
      </c>
      <c r="Y717" s="162">
        <f t="shared" si="248"/>
        <v>0</v>
      </c>
      <c r="Z717" s="162">
        <f t="shared" si="248"/>
        <v>0</v>
      </c>
      <c r="AA717" s="162">
        <f t="shared" si="248"/>
        <v>0</v>
      </c>
      <c r="AB717" s="163">
        <f t="shared" si="244"/>
        <v>0</v>
      </c>
      <c r="AC717" s="198"/>
    </row>
    <row r="718" spans="1:29" hidden="1" outlineLevel="1" x14ac:dyDescent="0.25">
      <c r="A718" s="14" t="str">
        <f t="shared" si="239"/>
        <v>TERC_OPER__29</v>
      </c>
      <c r="B718" s="15" t="str">
        <f t="shared" si="240"/>
        <v>TERC_OPER__0_0</v>
      </c>
      <c r="C718" s="83"/>
      <c r="D718" s="15">
        <f t="shared" si="241"/>
        <v>0</v>
      </c>
      <c r="E718" s="15">
        <v>29</v>
      </c>
      <c r="F718" s="190">
        <f t="shared" si="247"/>
        <v>0</v>
      </c>
      <c r="G718" s="149" t="str">
        <f t="shared" si="247"/>
        <v/>
      </c>
      <c r="H718" s="150" t="str">
        <f t="shared" si="247"/>
        <v/>
      </c>
      <c r="I718" s="150">
        <f t="shared" si="247"/>
        <v>0</v>
      </c>
      <c r="J718" s="150">
        <f t="shared" si="247"/>
        <v>0</v>
      </c>
      <c r="K718" s="196">
        <f t="shared" si="247"/>
        <v>0</v>
      </c>
      <c r="L718" s="197">
        <f t="shared" si="247"/>
        <v>0</v>
      </c>
      <c r="M718" s="191">
        <f t="shared" si="247"/>
        <v>0</v>
      </c>
      <c r="N718" s="150">
        <f t="shared" si="247"/>
        <v>0</v>
      </c>
      <c r="O718" s="193">
        <f t="shared" si="247"/>
        <v>0</v>
      </c>
      <c r="P718" s="162">
        <f t="shared" si="248"/>
        <v>0</v>
      </c>
      <c r="Q718" s="162">
        <f t="shared" si="248"/>
        <v>0</v>
      </c>
      <c r="R718" s="162">
        <f t="shared" si="248"/>
        <v>0</v>
      </c>
      <c r="S718" s="162">
        <f t="shared" si="248"/>
        <v>0</v>
      </c>
      <c r="T718" s="162">
        <f t="shared" si="248"/>
        <v>0</v>
      </c>
      <c r="U718" s="162">
        <f t="shared" si="248"/>
        <v>0</v>
      </c>
      <c r="V718" s="162">
        <f t="shared" si="248"/>
        <v>0</v>
      </c>
      <c r="W718" s="162">
        <f t="shared" si="248"/>
        <v>0</v>
      </c>
      <c r="X718" s="162">
        <f t="shared" si="248"/>
        <v>0</v>
      </c>
      <c r="Y718" s="162">
        <f t="shared" si="248"/>
        <v>0</v>
      </c>
      <c r="Z718" s="162">
        <f t="shared" si="248"/>
        <v>0</v>
      </c>
      <c r="AA718" s="162">
        <f t="shared" si="248"/>
        <v>0</v>
      </c>
      <c r="AB718" s="163">
        <f t="shared" si="244"/>
        <v>0</v>
      </c>
      <c r="AC718" s="198"/>
    </row>
    <row r="719" spans="1:29" hidden="1" outlineLevel="1" x14ac:dyDescent="0.25">
      <c r="A719" s="14" t="str">
        <f t="shared" si="239"/>
        <v>TERC_OPER__30</v>
      </c>
      <c r="B719" s="15" t="str">
        <f t="shared" si="240"/>
        <v>TERC_OPER__0_0</v>
      </c>
      <c r="C719" s="83"/>
      <c r="D719" s="15">
        <f t="shared" si="241"/>
        <v>0</v>
      </c>
      <c r="E719" s="15">
        <v>30</v>
      </c>
      <c r="F719" s="190">
        <f t="shared" si="247"/>
        <v>0</v>
      </c>
      <c r="G719" s="149" t="str">
        <f t="shared" si="247"/>
        <v/>
      </c>
      <c r="H719" s="150" t="str">
        <f t="shared" si="247"/>
        <v/>
      </c>
      <c r="I719" s="150">
        <f t="shared" si="247"/>
        <v>0</v>
      </c>
      <c r="J719" s="150">
        <f t="shared" si="247"/>
        <v>0</v>
      </c>
      <c r="K719" s="196">
        <f t="shared" si="247"/>
        <v>0</v>
      </c>
      <c r="L719" s="197">
        <f t="shared" si="247"/>
        <v>0</v>
      </c>
      <c r="M719" s="191">
        <f t="shared" si="247"/>
        <v>0</v>
      </c>
      <c r="N719" s="150">
        <f t="shared" si="247"/>
        <v>0</v>
      </c>
      <c r="O719" s="193">
        <f t="shared" si="247"/>
        <v>0</v>
      </c>
      <c r="P719" s="162">
        <f t="shared" si="248"/>
        <v>0</v>
      </c>
      <c r="Q719" s="162">
        <f t="shared" si="248"/>
        <v>0</v>
      </c>
      <c r="R719" s="162">
        <f t="shared" si="248"/>
        <v>0</v>
      </c>
      <c r="S719" s="162">
        <f t="shared" si="248"/>
        <v>0</v>
      </c>
      <c r="T719" s="162">
        <f t="shared" si="248"/>
        <v>0</v>
      </c>
      <c r="U719" s="162">
        <f t="shared" si="248"/>
        <v>0</v>
      </c>
      <c r="V719" s="162">
        <f t="shared" si="248"/>
        <v>0</v>
      </c>
      <c r="W719" s="162">
        <f t="shared" si="248"/>
        <v>0</v>
      </c>
      <c r="X719" s="162">
        <f t="shared" si="248"/>
        <v>0</v>
      </c>
      <c r="Y719" s="162">
        <f t="shared" si="248"/>
        <v>0</v>
      </c>
      <c r="Z719" s="162">
        <f t="shared" si="248"/>
        <v>0</v>
      </c>
      <c r="AA719" s="162">
        <f t="shared" si="248"/>
        <v>0</v>
      </c>
      <c r="AB719" s="163">
        <f t="shared" si="244"/>
        <v>0</v>
      </c>
      <c r="AC719" s="198"/>
    </row>
    <row r="720" spans="1:29" hidden="1" outlineLevel="1" x14ac:dyDescent="0.25">
      <c r="A720" s="14" t="str">
        <f t="shared" si="239"/>
        <v>TERC_OPER__31</v>
      </c>
      <c r="B720" s="15" t="str">
        <f t="shared" si="240"/>
        <v>TERC_OPER__0_0</v>
      </c>
      <c r="C720" s="83"/>
      <c r="D720" s="15">
        <f t="shared" si="241"/>
        <v>0</v>
      </c>
      <c r="E720" s="15">
        <v>31</v>
      </c>
      <c r="F720" s="190">
        <f t="shared" si="247"/>
        <v>0</v>
      </c>
      <c r="G720" s="149" t="str">
        <f t="shared" si="247"/>
        <v/>
      </c>
      <c r="H720" s="150" t="str">
        <f t="shared" si="247"/>
        <v/>
      </c>
      <c r="I720" s="150">
        <f t="shared" si="247"/>
        <v>0</v>
      </c>
      <c r="J720" s="150">
        <f t="shared" si="247"/>
        <v>0</v>
      </c>
      <c r="K720" s="196">
        <f t="shared" si="247"/>
        <v>0</v>
      </c>
      <c r="L720" s="197">
        <f t="shared" si="247"/>
        <v>0</v>
      </c>
      <c r="M720" s="191">
        <f t="shared" si="247"/>
        <v>0</v>
      </c>
      <c r="N720" s="150">
        <f t="shared" si="247"/>
        <v>0</v>
      </c>
      <c r="O720" s="193">
        <f t="shared" si="247"/>
        <v>0</v>
      </c>
      <c r="P720" s="162">
        <f t="shared" si="248"/>
        <v>0</v>
      </c>
      <c r="Q720" s="162">
        <f t="shared" si="248"/>
        <v>0</v>
      </c>
      <c r="R720" s="162">
        <f t="shared" si="248"/>
        <v>0</v>
      </c>
      <c r="S720" s="162">
        <f t="shared" si="248"/>
        <v>0</v>
      </c>
      <c r="T720" s="162">
        <f t="shared" si="248"/>
        <v>0</v>
      </c>
      <c r="U720" s="162">
        <f t="shared" si="248"/>
        <v>0</v>
      </c>
      <c r="V720" s="162">
        <f t="shared" si="248"/>
        <v>0</v>
      </c>
      <c r="W720" s="162">
        <f t="shared" si="248"/>
        <v>0</v>
      </c>
      <c r="X720" s="162">
        <f t="shared" si="248"/>
        <v>0</v>
      </c>
      <c r="Y720" s="162">
        <f t="shared" si="248"/>
        <v>0</v>
      </c>
      <c r="Z720" s="162">
        <f t="shared" si="248"/>
        <v>0</v>
      </c>
      <c r="AA720" s="162">
        <f t="shared" si="248"/>
        <v>0</v>
      </c>
      <c r="AB720" s="163">
        <f t="shared" si="244"/>
        <v>0</v>
      </c>
      <c r="AC720" s="198"/>
    </row>
    <row r="721" spans="1:29" hidden="1" outlineLevel="1" x14ac:dyDescent="0.25">
      <c r="A721" s="14" t="str">
        <f t="shared" si="239"/>
        <v>TERC_OPER__32</v>
      </c>
      <c r="B721" s="15" t="str">
        <f t="shared" si="240"/>
        <v>TERC_OPER__0_0</v>
      </c>
      <c r="C721" s="83"/>
      <c r="D721" s="15">
        <f t="shared" si="241"/>
        <v>0</v>
      </c>
      <c r="E721" s="15">
        <v>32</v>
      </c>
      <c r="F721" s="190">
        <f t="shared" si="247"/>
        <v>0</v>
      </c>
      <c r="G721" s="149" t="str">
        <f t="shared" si="247"/>
        <v/>
      </c>
      <c r="H721" s="150" t="str">
        <f t="shared" si="247"/>
        <v/>
      </c>
      <c r="I721" s="150">
        <f t="shared" si="247"/>
        <v>0</v>
      </c>
      <c r="J721" s="150">
        <f t="shared" si="247"/>
        <v>0</v>
      </c>
      <c r="K721" s="196">
        <f t="shared" si="247"/>
        <v>0</v>
      </c>
      <c r="L721" s="197">
        <f t="shared" si="247"/>
        <v>0</v>
      </c>
      <c r="M721" s="191">
        <f t="shared" si="247"/>
        <v>0</v>
      </c>
      <c r="N721" s="150">
        <f t="shared" si="247"/>
        <v>0</v>
      </c>
      <c r="O721" s="193">
        <f t="shared" si="247"/>
        <v>0</v>
      </c>
      <c r="P721" s="162">
        <f t="shared" si="248"/>
        <v>0</v>
      </c>
      <c r="Q721" s="162">
        <f t="shared" si="248"/>
        <v>0</v>
      </c>
      <c r="R721" s="162">
        <f t="shared" si="248"/>
        <v>0</v>
      </c>
      <c r="S721" s="162">
        <f t="shared" si="248"/>
        <v>0</v>
      </c>
      <c r="T721" s="162">
        <f t="shared" si="248"/>
        <v>0</v>
      </c>
      <c r="U721" s="162">
        <f t="shared" si="248"/>
        <v>0</v>
      </c>
      <c r="V721" s="162">
        <f t="shared" si="248"/>
        <v>0</v>
      </c>
      <c r="W721" s="162">
        <f t="shared" si="248"/>
        <v>0</v>
      </c>
      <c r="X721" s="162">
        <f t="shared" si="248"/>
        <v>0</v>
      </c>
      <c r="Y721" s="162">
        <f t="shared" si="248"/>
        <v>0</v>
      </c>
      <c r="Z721" s="162">
        <f t="shared" si="248"/>
        <v>0</v>
      </c>
      <c r="AA721" s="162">
        <f t="shared" si="248"/>
        <v>0</v>
      </c>
      <c r="AB721" s="163">
        <f t="shared" si="244"/>
        <v>0</v>
      </c>
      <c r="AC721" s="198"/>
    </row>
    <row r="722" spans="1:29" hidden="1" outlineLevel="1" x14ac:dyDescent="0.25">
      <c r="A722" s="14" t="str">
        <f t="shared" si="239"/>
        <v>TERC_OPER__33</v>
      </c>
      <c r="B722" s="15" t="str">
        <f t="shared" si="240"/>
        <v>TERC_OPER__0_0</v>
      </c>
      <c r="C722" s="83"/>
      <c r="D722" s="15">
        <f t="shared" si="241"/>
        <v>0</v>
      </c>
      <c r="E722" s="15">
        <v>33</v>
      </c>
      <c r="F722" s="190">
        <f t="shared" si="247"/>
        <v>0</v>
      </c>
      <c r="G722" s="149" t="str">
        <f t="shared" si="247"/>
        <v/>
      </c>
      <c r="H722" s="150" t="str">
        <f t="shared" si="247"/>
        <v/>
      </c>
      <c r="I722" s="150">
        <f t="shared" si="247"/>
        <v>0</v>
      </c>
      <c r="J722" s="150">
        <f t="shared" si="247"/>
        <v>0</v>
      </c>
      <c r="K722" s="196">
        <f t="shared" si="247"/>
        <v>0</v>
      </c>
      <c r="L722" s="197">
        <f t="shared" si="247"/>
        <v>0</v>
      </c>
      <c r="M722" s="191">
        <f t="shared" si="247"/>
        <v>0</v>
      </c>
      <c r="N722" s="150">
        <f t="shared" si="247"/>
        <v>0</v>
      </c>
      <c r="O722" s="193">
        <f t="shared" si="247"/>
        <v>0</v>
      </c>
      <c r="P722" s="162">
        <f t="shared" si="248"/>
        <v>0</v>
      </c>
      <c r="Q722" s="162">
        <f t="shared" si="248"/>
        <v>0</v>
      </c>
      <c r="R722" s="162">
        <f t="shared" si="248"/>
        <v>0</v>
      </c>
      <c r="S722" s="162">
        <f t="shared" si="248"/>
        <v>0</v>
      </c>
      <c r="T722" s="162">
        <f t="shared" si="248"/>
        <v>0</v>
      </c>
      <c r="U722" s="162">
        <f t="shared" si="248"/>
        <v>0</v>
      </c>
      <c r="V722" s="162">
        <f t="shared" si="248"/>
        <v>0</v>
      </c>
      <c r="W722" s="162">
        <f t="shared" si="248"/>
        <v>0</v>
      </c>
      <c r="X722" s="162">
        <f t="shared" si="248"/>
        <v>0</v>
      </c>
      <c r="Y722" s="162">
        <f t="shared" si="248"/>
        <v>0</v>
      </c>
      <c r="Z722" s="162">
        <f t="shared" si="248"/>
        <v>0</v>
      </c>
      <c r="AA722" s="162">
        <f t="shared" si="248"/>
        <v>0</v>
      </c>
      <c r="AB722" s="163">
        <f t="shared" si="244"/>
        <v>0</v>
      </c>
      <c r="AC722" s="198"/>
    </row>
    <row r="723" spans="1:29" hidden="1" outlineLevel="1" x14ac:dyDescent="0.25">
      <c r="A723" s="14" t="str">
        <f t="shared" si="239"/>
        <v>TERC_OPER__34</v>
      </c>
      <c r="B723" s="15" t="str">
        <f t="shared" si="240"/>
        <v>TERC_OPER__0_0</v>
      </c>
      <c r="C723" s="83"/>
      <c r="D723" s="15">
        <f t="shared" si="241"/>
        <v>0</v>
      </c>
      <c r="E723" s="15">
        <v>34</v>
      </c>
      <c r="F723" s="190">
        <f t="shared" si="247"/>
        <v>0</v>
      </c>
      <c r="G723" s="149" t="str">
        <f t="shared" si="247"/>
        <v/>
      </c>
      <c r="H723" s="150" t="str">
        <f t="shared" si="247"/>
        <v/>
      </c>
      <c r="I723" s="150">
        <f t="shared" si="247"/>
        <v>0</v>
      </c>
      <c r="J723" s="150">
        <f t="shared" si="247"/>
        <v>0</v>
      </c>
      <c r="K723" s="196">
        <f t="shared" si="247"/>
        <v>0</v>
      </c>
      <c r="L723" s="197">
        <f t="shared" si="247"/>
        <v>0</v>
      </c>
      <c r="M723" s="191">
        <f t="shared" si="247"/>
        <v>0</v>
      </c>
      <c r="N723" s="150">
        <f t="shared" si="247"/>
        <v>0</v>
      </c>
      <c r="O723" s="193">
        <f t="shared" si="247"/>
        <v>0</v>
      </c>
      <c r="P723" s="162">
        <f t="shared" si="248"/>
        <v>0</v>
      </c>
      <c r="Q723" s="162">
        <f t="shared" si="248"/>
        <v>0</v>
      </c>
      <c r="R723" s="162">
        <f t="shared" si="248"/>
        <v>0</v>
      </c>
      <c r="S723" s="162">
        <f t="shared" si="248"/>
        <v>0</v>
      </c>
      <c r="T723" s="162">
        <f t="shared" si="248"/>
        <v>0</v>
      </c>
      <c r="U723" s="162">
        <f t="shared" si="248"/>
        <v>0</v>
      </c>
      <c r="V723" s="162">
        <f t="shared" si="248"/>
        <v>0</v>
      </c>
      <c r="W723" s="162">
        <f t="shared" si="248"/>
        <v>0</v>
      </c>
      <c r="X723" s="162">
        <f t="shared" si="248"/>
        <v>0</v>
      </c>
      <c r="Y723" s="162">
        <f t="shared" si="248"/>
        <v>0</v>
      </c>
      <c r="Z723" s="162">
        <f t="shared" si="248"/>
        <v>0</v>
      </c>
      <c r="AA723" s="162">
        <f t="shared" si="248"/>
        <v>0</v>
      </c>
      <c r="AB723" s="163">
        <f t="shared" si="244"/>
        <v>0</v>
      </c>
      <c r="AC723" s="198"/>
    </row>
    <row r="724" spans="1:29" hidden="1" outlineLevel="1" x14ac:dyDescent="0.25">
      <c r="A724" s="14" t="str">
        <f t="shared" si="239"/>
        <v>TERC_OPER__35</v>
      </c>
      <c r="B724" s="15" t="str">
        <f t="shared" si="240"/>
        <v>TERC_OPER__0_0</v>
      </c>
      <c r="C724" s="83"/>
      <c r="D724" s="15">
        <f t="shared" si="241"/>
        <v>0</v>
      </c>
      <c r="E724" s="15">
        <v>35</v>
      </c>
      <c r="F724" s="190">
        <f t="shared" si="247"/>
        <v>0</v>
      </c>
      <c r="G724" s="149" t="str">
        <f t="shared" si="247"/>
        <v/>
      </c>
      <c r="H724" s="150" t="str">
        <f t="shared" si="247"/>
        <v/>
      </c>
      <c r="I724" s="150">
        <f t="shared" si="247"/>
        <v>0</v>
      </c>
      <c r="J724" s="150">
        <f t="shared" si="247"/>
        <v>0</v>
      </c>
      <c r="K724" s="196">
        <f t="shared" si="247"/>
        <v>0</v>
      </c>
      <c r="L724" s="197">
        <f t="shared" si="247"/>
        <v>0</v>
      </c>
      <c r="M724" s="191">
        <f t="shared" si="247"/>
        <v>0</v>
      </c>
      <c r="N724" s="150">
        <f t="shared" si="247"/>
        <v>0</v>
      </c>
      <c r="O724" s="193">
        <f t="shared" si="247"/>
        <v>0</v>
      </c>
      <c r="P724" s="162">
        <f t="shared" si="248"/>
        <v>0</v>
      </c>
      <c r="Q724" s="162">
        <f t="shared" si="248"/>
        <v>0</v>
      </c>
      <c r="R724" s="162">
        <f t="shared" si="248"/>
        <v>0</v>
      </c>
      <c r="S724" s="162">
        <f t="shared" si="248"/>
        <v>0</v>
      </c>
      <c r="T724" s="162">
        <f t="shared" si="248"/>
        <v>0</v>
      </c>
      <c r="U724" s="162">
        <f t="shared" si="248"/>
        <v>0</v>
      </c>
      <c r="V724" s="162">
        <f t="shared" si="248"/>
        <v>0</v>
      </c>
      <c r="W724" s="162">
        <f t="shared" si="248"/>
        <v>0</v>
      </c>
      <c r="X724" s="162">
        <f t="shared" si="248"/>
        <v>0</v>
      </c>
      <c r="Y724" s="162">
        <f t="shared" si="248"/>
        <v>0</v>
      </c>
      <c r="Z724" s="162">
        <f t="shared" si="248"/>
        <v>0</v>
      </c>
      <c r="AA724" s="162">
        <f t="shared" si="248"/>
        <v>0</v>
      </c>
      <c r="AB724" s="163">
        <f t="shared" si="244"/>
        <v>0</v>
      </c>
      <c r="AC724" s="198"/>
    </row>
    <row r="725" spans="1:29" hidden="1" outlineLevel="1" x14ac:dyDescent="0.25">
      <c r="A725" s="14" t="str">
        <f t="shared" si="239"/>
        <v>TERC_OPER__36</v>
      </c>
      <c r="B725" s="15" t="str">
        <f t="shared" si="240"/>
        <v>TERC_OPER__0_0</v>
      </c>
      <c r="C725" s="83"/>
      <c r="D725" s="15">
        <f t="shared" si="241"/>
        <v>0</v>
      </c>
      <c r="E725" s="15">
        <v>36</v>
      </c>
      <c r="F725" s="190">
        <f t="shared" si="247"/>
        <v>0</v>
      </c>
      <c r="G725" s="149" t="str">
        <f t="shared" si="247"/>
        <v/>
      </c>
      <c r="H725" s="150" t="str">
        <f t="shared" si="247"/>
        <v/>
      </c>
      <c r="I725" s="150">
        <f t="shared" si="247"/>
        <v>0</v>
      </c>
      <c r="J725" s="150">
        <f t="shared" si="247"/>
        <v>0</v>
      </c>
      <c r="K725" s="196">
        <f t="shared" si="247"/>
        <v>0</v>
      </c>
      <c r="L725" s="197">
        <f t="shared" si="247"/>
        <v>0</v>
      </c>
      <c r="M725" s="191">
        <f t="shared" si="247"/>
        <v>0</v>
      </c>
      <c r="N725" s="150">
        <f t="shared" si="247"/>
        <v>0</v>
      </c>
      <c r="O725" s="193">
        <f t="shared" si="247"/>
        <v>0</v>
      </c>
      <c r="P725" s="162">
        <f t="shared" si="248"/>
        <v>0</v>
      </c>
      <c r="Q725" s="162">
        <f t="shared" si="248"/>
        <v>0</v>
      </c>
      <c r="R725" s="162">
        <f t="shared" si="248"/>
        <v>0</v>
      </c>
      <c r="S725" s="162">
        <f t="shared" si="248"/>
        <v>0</v>
      </c>
      <c r="T725" s="162">
        <f t="shared" si="248"/>
        <v>0</v>
      </c>
      <c r="U725" s="162">
        <f t="shared" si="248"/>
        <v>0</v>
      </c>
      <c r="V725" s="162">
        <f t="shared" si="248"/>
        <v>0</v>
      </c>
      <c r="W725" s="162">
        <f t="shared" si="248"/>
        <v>0</v>
      </c>
      <c r="X725" s="162">
        <f t="shared" si="248"/>
        <v>0</v>
      </c>
      <c r="Y725" s="162">
        <f t="shared" si="248"/>
        <v>0</v>
      </c>
      <c r="Z725" s="162">
        <f t="shared" si="248"/>
        <v>0</v>
      </c>
      <c r="AA725" s="162">
        <f t="shared" si="248"/>
        <v>0</v>
      </c>
      <c r="AB725" s="163">
        <f t="shared" si="244"/>
        <v>0</v>
      </c>
      <c r="AC725" s="198"/>
    </row>
    <row r="726" spans="1:29" hidden="1" outlineLevel="1" x14ac:dyDescent="0.25">
      <c r="A726" s="14" t="str">
        <f t="shared" si="239"/>
        <v>TERC_OPER__37</v>
      </c>
      <c r="B726" s="15" t="str">
        <f t="shared" si="240"/>
        <v>TERC_OPER__0_0</v>
      </c>
      <c r="C726" s="83"/>
      <c r="D726" s="15">
        <f t="shared" si="241"/>
        <v>0</v>
      </c>
      <c r="E726" s="15">
        <v>37</v>
      </c>
      <c r="F726" s="190">
        <f t="shared" si="247"/>
        <v>0</v>
      </c>
      <c r="G726" s="149" t="str">
        <f t="shared" si="247"/>
        <v/>
      </c>
      <c r="H726" s="150" t="str">
        <f t="shared" si="247"/>
        <v/>
      </c>
      <c r="I726" s="150">
        <f t="shared" si="247"/>
        <v>0</v>
      </c>
      <c r="J726" s="150">
        <f t="shared" si="247"/>
        <v>0</v>
      </c>
      <c r="K726" s="196">
        <f t="shared" si="247"/>
        <v>0</v>
      </c>
      <c r="L726" s="197">
        <f t="shared" si="247"/>
        <v>0</v>
      </c>
      <c r="M726" s="191">
        <f t="shared" si="247"/>
        <v>0</v>
      </c>
      <c r="N726" s="150">
        <f t="shared" si="247"/>
        <v>0</v>
      </c>
      <c r="O726" s="193">
        <f t="shared" si="247"/>
        <v>0</v>
      </c>
      <c r="P726" s="162">
        <f t="shared" si="248"/>
        <v>0</v>
      </c>
      <c r="Q726" s="162">
        <f t="shared" si="248"/>
        <v>0</v>
      </c>
      <c r="R726" s="162">
        <f t="shared" si="248"/>
        <v>0</v>
      </c>
      <c r="S726" s="162">
        <f t="shared" si="248"/>
        <v>0</v>
      </c>
      <c r="T726" s="162">
        <f t="shared" si="248"/>
        <v>0</v>
      </c>
      <c r="U726" s="162">
        <f t="shared" si="248"/>
        <v>0</v>
      </c>
      <c r="V726" s="162">
        <f t="shared" si="248"/>
        <v>0</v>
      </c>
      <c r="W726" s="162">
        <f t="shared" si="248"/>
        <v>0</v>
      </c>
      <c r="X726" s="162">
        <f t="shared" si="248"/>
        <v>0</v>
      </c>
      <c r="Y726" s="162">
        <f t="shared" si="248"/>
        <v>0</v>
      </c>
      <c r="Z726" s="162">
        <f t="shared" si="248"/>
        <v>0</v>
      </c>
      <c r="AA726" s="162">
        <f t="shared" si="248"/>
        <v>0</v>
      </c>
      <c r="AB726" s="163">
        <f t="shared" si="244"/>
        <v>0</v>
      </c>
      <c r="AC726" s="198"/>
    </row>
    <row r="727" spans="1:29" hidden="1" outlineLevel="1" x14ac:dyDescent="0.25">
      <c r="A727" s="14" t="str">
        <f t="shared" si="239"/>
        <v>TERC_OPER__38</v>
      </c>
      <c r="B727" s="15" t="str">
        <f t="shared" si="240"/>
        <v>TERC_OPER__0_0</v>
      </c>
      <c r="C727" s="83"/>
      <c r="D727" s="15">
        <f t="shared" si="241"/>
        <v>0</v>
      </c>
      <c r="E727" s="15">
        <v>38</v>
      </c>
      <c r="F727" s="190">
        <f t="shared" ref="F727:O734" si="249">F589</f>
        <v>0</v>
      </c>
      <c r="G727" s="149" t="str">
        <f t="shared" si="249"/>
        <v/>
      </c>
      <c r="H727" s="150" t="str">
        <f t="shared" si="249"/>
        <v/>
      </c>
      <c r="I727" s="150">
        <f t="shared" si="249"/>
        <v>0</v>
      </c>
      <c r="J727" s="150">
        <f t="shared" si="249"/>
        <v>0</v>
      </c>
      <c r="K727" s="196">
        <f t="shared" si="249"/>
        <v>0</v>
      </c>
      <c r="L727" s="197">
        <f t="shared" si="249"/>
        <v>0</v>
      </c>
      <c r="M727" s="191">
        <f t="shared" si="249"/>
        <v>0</v>
      </c>
      <c r="N727" s="150">
        <f t="shared" si="249"/>
        <v>0</v>
      </c>
      <c r="O727" s="193">
        <f t="shared" si="249"/>
        <v>0</v>
      </c>
      <c r="P727" s="162">
        <f t="shared" ref="P727:AA734" si="250">IFERROR(SUMIF($B$483:$B$547,$C727&amp;$I727,P$483:P$547)/SUMIF($D$483:$D$547,$I727,P$483:P$547)*P589,0)</f>
        <v>0</v>
      </c>
      <c r="Q727" s="162">
        <f t="shared" si="250"/>
        <v>0</v>
      </c>
      <c r="R727" s="162">
        <f t="shared" si="250"/>
        <v>0</v>
      </c>
      <c r="S727" s="162">
        <f t="shared" si="250"/>
        <v>0</v>
      </c>
      <c r="T727" s="162">
        <f t="shared" si="250"/>
        <v>0</v>
      </c>
      <c r="U727" s="162">
        <f t="shared" si="250"/>
        <v>0</v>
      </c>
      <c r="V727" s="162">
        <f t="shared" si="250"/>
        <v>0</v>
      </c>
      <c r="W727" s="162">
        <f t="shared" si="250"/>
        <v>0</v>
      </c>
      <c r="X727" s="162">
        <f t="shared" si="250"/>
        <v>0</v>
      </c>
      <c r="Y727" s="162">
        <f t="shared" si="250"/>
        <v>0</v>
      </c>
      <c r="Z727" s="162">
        <f t="shared" si="250"/>
        <v>0</v>
      </c>
      <c r="AA727" s="162">
        <f t="shared" si="250"/>
        <v>0</v>
      </c>
      <c r="AB727" s="163">
        <f t="shared" si="244"/>
        <v>0</v>
      </c>
      <c r="AC727" s="198"/>
    </row>
    <row r="728" spans="1:29" hidden="1" outlineLevel="1" x14ac:dyDescent="0.25">
      <c r="A728" s="14" t="str">
        <f t="shared" si="239"/>
        <v>TERC_OPER__39</v>
      </c>
      <c r="B728" s="15" t="str">
        <f t="shared" si="240"/>
        <v>TERC_OPER__0_0</v>
      </c>
      <c r="C728" s="83"/>
      <c r="D728" s="15">
        <f t="shared" si="241"/>
        <v>0</v>
      </c>
      <c r="E728" s="15">
        <v>39</v>
      </c>
      <c r="F728" s="190">
        <f t="shared" si="249"/>
        <v>0</v>
      </c>
      <c r="G728" s="149" t="str">
        <f t="shared" si="249"/>
        <v/>
      </c>
      <c r="H728" s="150" t="str">
        <f t="shared" si="249"/>
        <v/>
      </c>
      <c r="I728" s="150">
        <f t="shared" si="249"/>
        <v>0</v>
      </c>
      <c r="J728" s="150">
        <f t="shared" si="249"/>
        <v>0</v>
      </c>
      <c r="K728" s="196">
        <f t="shared" si="249"/>
        <v>0</v>
      </c>
      <c r="L728" s="197">
        <f t="shared" si="249"/>
        <v>0</v>
      </c>
      <c r="M728" s="191">
        <f t="shared" si="249"/>
        <v>0</v>
      </c>
      <c r="N728" s="150">
        <f t="shared" si="249"/>
        <v>0</v>
      </c>
      <c r="O728" s="193">
        <f t="shared" si="249"/>
        <v>0</v>
      </c>
      <c r="P728" s="162">
        <f t="shared" si="250"/>
        <v>0</v>
      </c>
      <c r="Q728" s="162">
        <f t="shared" si="250"/>
        <v>0</v>
      </c>
      <c r="R728" s="162">
        <f t="shared" si="250"/>
        <v>0</v>
      </c>
      <c r="S728" s="162">
        <f t="shared" si="250"/>
        <v>0</v>
      </c>
      <c r="T728" s="162">
        <f t="shared" si="250"/>
        <v>0</v>
      </c>
      <c r="U728" s="162">
        <f t="shared" si="250"/>
        <v>0</v>
      </c>
      <c r="V728" s="162">
        <f t="shared" si="250"/>
        <v>0</v>
      </c>
      <c r="W728" s="162">
        <f t="shared" si="250"/>
        <v>0</v>
      </c>
      <c r="X728" s="162">
        <f t="shared" si="250"/>
        <v>0</v>
      </c>
      <c r="Y728" s="162">
        <f t="shared" si="250"/>
        <v>0</v>
      </c>
      <c r="Z728" s="162">
        <f t="shared" si="250"/>
        <v>0</v>
      </c>
      <c r="AA728" s="162">
        <f t="shared" si="250"/>
        <v>0</v>
      </c>
      <c r="AB728" s="163">
        <f t="shared" si="244"/>
        <v>0</v>
      </c>
      <c r="AC728" s="198"/>
    </row>
    <row r="729" spans="1:29" hidden="1" outlineLevel="1" x14ac:dyDescent="0.25">
      <c r="A729" s="14" t="str">
        <f t="shared" si="239"/>
        <v>TERC_OPER__40</v>
      </c>
      <c r="B729" s="15" t="str">
        <f t="shared" si="240"/>
        <v>TERC_OPER__0_0</v>
      </c>
      <c r="C729" s="83"/>
      <c r="D729" s="15">
        <f t="shared" si="241"/>
        <v>0</v>
      </c>
      <c r="E729" s="15">
        <v>40</v>
      </c>
      <c r="F729" s="190">
        <f t="shared" si="249"/>
        <v>0</v>
      </c>
      <c r="G729" s="149" t="str">
        <f t="shared" si="249"/>
        <v/>
      </c>
      <c r="H729" s="150" t="str">
        <f t="shared" si="249"/>
        <v/>
      </c>
      <c r="I729" s="150">
        <f t="shared" si="249"/>
        <v>0</v>
      </c>
      <c r="J729" s="150">
        <f t="shared" si="249"/>
        <v>0</v>
      </c>
      <c r="K729" s="196">
        <f t="shared" si="249"/>
        <v>0</v>
      </c>
      <c r="L729" s="197">
        <f t="shared" si="249"/>
        <v>0</v>
      </c>
      <c r="M729" s="191">
        <f t="shared" si="249"/>
        <v>0</v>
      </c>
      <c r="N729" s="150">
        <f t="shared" si="249"/>
        <v>0</v>
      </c>
      <c r="O729" s="193">
        <f t="shared" si="249"/>
        <v>0</v>
      </c>
      <c r="P729" s="162">
        <f t="shared" si="250"/>
        <v>0</v>
      </c>
      <c r="Q729" s="162">
        <f t="shared" si="250"/>
        <v>0</v>
      </c>
      <c r="R729" s="162">
        <f t="shared" si="250"/>
        <v>0</v>
      </c>
      <c r="S729" s="162">
        <f t="shared" si="250"/>
        <v>0</v>
      </c>
      <c r="T729" s="162">
        <f t="shared" si="250"/>
        <v>0</v>
      </c>
      <c r="U729" s="162">
        <f t="shared" si="250"/>
        <v>0</v>
      </c>
      <c r="V729" s="162">
        <f t="shared" si="250"/>
        <v>0</v>
      </c>
      <c r="W729" s="162">
        <f t="shared" si="250"/>
        <v>0</v>
      </c>
      <c r="X729" s="162">
        <f t="shared" si="250"/>
        <v>0</v>
      </c>
      <c r="Y729" s="162">
        <f t="shared" si="250"/>
        <v>0</v>
      </c>
      <c r="Z729" s="162">
        <f t="shared" si="250"/>
        <v>0</v>
      </c>
      <c r="AA729" s="162">
        <f t="shared" si="250"/>
        <v>0</v>
      </c>
      <c r="AB729" s="163">
        <f t="shared" si="244"/>
        <v>0</v>
      </c>
      <c r="AC729" s="198"/>
    </row>
    <row r="730" spans="1:29" hidden="1" outlineLevel="1" x14ac:dyDescent="0.25">
      <c r="A730" s="14" t="str">
        <f t="shared" si="239"/>
        <v>TERC_OPER__41</v>
      </c>
      <c r="B730" s="15" t="str">
        <f t="shared" si="240"/>
        <v>TERC_OPER__0_0</v>
      </c>
      <c r="C730" s="83"/>
      <c r="D730" s="15">
        <f t="shared" si="241"/>
        <v>0</v>
      </c>
      <c r="E730" s="15">
        <v>41</v>
      </c>
      <c r="F730" s="190">
        <f t="shared" si="249"/>
        <v>0</v>
      </c>
      <c r="G730" s="149" t="str">
        <f t="shared" si="249"/>
        <v/>
      </c>
      <c r="H730" s="150" t="str">
        <f t="shared" si="249"/>
        <v/>
      </c>
      <c r="I730" s="150">
        <f t="shared" si="249"/>
        <v>0</v>
      </c>
      <c r="J730" s="150">
        <f t="shared" si="249"/>
        <v>0</v>
      </c>
      <c r="K730" s="196">
        <f t="shared" si="249"/>
        <v>0</v>
      </c>
      <c r="L730" s="197">
        <f t="shared" si="249"/>
        <v>0</v>
      </c>
      <c r="M730" s="191">
        <f t="shared" si="249"/>
        <v>0</v>
      </c>
      <c r="N730" s="150">
        <f t="shared" si="249"/>
        <v>0</v>
      </c>
      <c r="O730" s="193">
        <f t="shared" si="249"/>
        <v>0</v>
      </c>
      <c r="P730" s="162">
        <f t="shared" si="250"/>
        <v>0</v>
      </c>
      <c r="Q730" s="162">
        <f t="shared" si="250"/>
        <v>0</v>
      </c>
      <c r="R730" s="162">
        <f t="shared" si="250"/>
        <v>0</v>
      </c>
      <c r="S730" s="162">
        <f t="shared" si="250"/>
        <v>0</v>
      </c>
      <c r="T730" s="162">
        <f t="shared" si="250"/>
        <v>0</v>
      </c>
      <c r="U730" s="162">
        <f t="shared" si="250"/>
        <v>0</v>
      </c>
      <c r="V730" s="162">
        <f t="shared" si="250"/>
        <v>0</v>
      </c>
      <c r="W730" s="162">
        <f t="shared" si="250"/>
        <v>0</v>
      </c>
      <c r="X730" s="162">
        <f t="shared" si="250"/>
        <v>0</v>
      </c>
      <c r="Y730" s="162">
        <f t="shared" si="250"/>
        <v>0</v>
      </c>
      <c r="Z730" s="162">
        <f t="shared" si="250"/>
        <v>0</v>
      </c>
      <c r="AA730" s="162">
        <f t="shared" si="250"/>
        <v>0</v>
      </c>
      <c r="AB730" s="163">
        <f t="shared" si="244"/>
        <v>0</v>
      </c>
      <c r="AC730" s="198"/>
    </row>
    <row r="731" spans="1:29" hidden="1" outlineLevel="1" x14ac:dyDescent="0.25">
      <c r="A731" s="14" t="str">
        <f t="shared" si="239"/>
        <v>TERC_OPER__42</v>
      </c>
      <c r="B731" s="15" t="str">
        <f t="shared" si="240"/>
        <v>TERC_OPER__0_0</v>
      </c>
      <c r="C731" s="83"/>
      <c r="D731" s="15">
        <f t="shared" si="241"/>
        <v>0</v>
      </c>
      <c r="E731" s="15">
        <v>42</v>
      </c>
      <c r="F731" s="190">
        <f t="shared" si="249"/>
        <v>0</v>
      </c>
      <c r="G731" s="149" t="str">
        <f t="shared" si="249"/>
        <v/>
      </c>
      <c r="H731" s="150" t="str">
        <f t="shared" si="249"/>
        <v/>
      </c>
      <c r="I731" s="150">
        <f t="shared" si="249"/>
        <v>0</v>
      </c>
      <c r="J731" s="150">
        <f t="shared" si="249"/>
        <v>0</v>
      </c>
      <c r="K731" s="196">
        <f t="shared" si="249"/>
        <v>0</v>
      </c>
      <c r="L731" s="197">
        <f t="shared" si="249"/>
        <v>0</v>
      </c>
      <c r="M731" s="191">
        <f t="shared" si="249"/>
        <v>0</v>
      </c>
      <c r="N731" s="150">
        <f t="shared" si="249"/>
        <v>0</v>
      </c>
      <c r="O731" s="193">
        <f t="shared" si="249"/>
        <v>0</v>
      </c>
      <c r="P731" s="162">
        <f t="shared" si="250"/>
        <v>0</v>
      </c>
      <c r="Q731" s="162">
        <f t="shared" si="250"/>
        <v>0</v>
      </c>
      <c r="R731" s="162">
        <f t="shared" si="250"/>
        <v>0</v>
      </c>
      <c r="S731" s="162">
        <f t="shared" si="250"/>
        <v>0</v>
      </c>
      <c r="T731" s="162">
        <f t="shared" si="250"/>
        <v>0</v>
      </c>
      <c r="U731" s="162">
        <f t="shared" si="250"/>
        <v>0</v>
      </c>
      <c r="V731" s="162">
        <f t="shared" si="250"/>
        <v>0</v>
      </c>
      <c r="W731" s="162">
        <f t="shared" si="250"/>
        <v>0</v>
      </c>
      <c r="X731" s="162">
        <f t="shared" si="250"/>
        <v>0</v>
      </c>
      <c r="Y731" s="162">
        <f t="shared" si="250"/>
        <v>0</v>
      </c>
      <c r="Z731" s="162">
        <f t="shared" si="250"/>
        <v>0</v>
      </c>
      <c r="AA731" s="162">
        <f t="shared" si="250"/>
        <v>0</v>
      </c>
      <c r="AB731" s="163">
        <f t="shared" si="244"/>
        <v>0</v>
      </c>
      <c r="AC731" s="198"/>
    </row>
    <row r="732" spans="1:29" hidden="1" outlineLevel="1" x14ac:dyDescent="0.25">
      <c r="A732" s="14" t="str">
        <f t="shared" si="239"/>
        <v>TERC_OPER__43</v>
      </c>
      <c r="B732" s="15" t="str">
        <f t="shared" si="240"/>
        <v>TERC_OPER__0_0</v>
      </c>
      <c r="C732" s="83"/>
      <c r="D732" s="15">
        <f t="shared" si="241"/>
        <v>0</v>
      </c>
      <c r="E732" s="15">
        <v>43</v>
      </c>
      <c r="F732" s="190">
        <f t="shared" si="249"/>
        <v>0</v>
      </c>
      <c r="G732" s="149" t="str">
        <f t="shared" si="249"/>
        <v/>
      </c>
      <c r="H732" s="150" t="str">
        <f t="shared" si="249"/>
        <v/>
      </c>
      <c r="I732" s="150">
        <f t="shared" si="249"/>
        <v>0</v>
      </c>
      <c r="J732" s="150">
        <f t="shared" si="249"/>
        <v>0</v>
      </c>
      <c r="K732" s="196">
        <f t="shared" si="249"/>
        <v>0</v>
      </c>
      <c r="L732" s="197">
        <f t="shared" si="249"/>
        <v>0</v>
      </c>
      <c r="M732" s="191">
        <f t="shared" si="249"/>
        <v>0</v>
      </c>
      <c r="N732" s="150">
        <f t="shared" si="249"/>
        <v>0</v>
      </c>
      <c r="O732" s="193">
        <f t="shared" si="249"/>
        <v>0</v>
      </c>
      <c r="P732" s="162">
        <f t="shared" si="250"/>
        <v>0</v>
      </c>
      <c r="Q732" s="162">
        <f t="shared" si="250"/>
        <v>0</v>
      </c>
      <c r="R732" s="162">
        <f t="shared" si="250"/>
        <v>0</v>
      </c>
      <c r="S732" s="162">
        <f t="shared" si="250"/>
        <v>0</v>
      </c>
      <c r="T732" s="162">
        <f t="shared" si="250"/>
        <v>0</v>
      </c>
      <c r="U732" s="162">
        <f t="shared" si="250"/>
        <v>0</v>
      </c>
      <c r="V732" s="162">
        <f t="shared" si="250"/>
        <v>0</v>
      </c>
      <c r="W732" s="162">
        <f t="shared" si="250"/>
        <v>0</v>
      </c>
      <c r="X732" s="162">
        <f t="shared" si="250"/>
        <v>0</v>
      </c>
      <c r="Y732" s="162">
        <f t="shared" si="250"/>
        <v>0</v>
      </c>
      <c r="Z732" s="162">
        <f t="shared" si="250"/>
        <v>0</v>
      </c>
      <c r="AA732" s="162">
        <f t="shared" si="250"/>
        <v>0</v>
      </c>
      <c r="AB732" s="163">
        <f t="shared" si="244"/>
        <v>0</v>
      </c>
      <c r="AC732" s="198"/>
    </row>
    <row r="733" spans="1:29" hidden="1" outlineLevel="1" x14ac:dyDescent="0.25">
      <c r="A733" s="14" t="str">
        <f t="shared" si="239"/>
        <v>TERC_OPER__44</v>
      </c>
      <c r="B733" s="15" t="str">
        <f t="shared" si="240"/>
        <v>TERC_OPER__0_0</v>
      </c>
      <c r="C733" s="83"/>
      <c r="D733" s="15">
        <f t="shared" si="241"/>
        <v>0</v>
      </c>
      <c r="E733" s="15">
        <v>44</v>
      </c>
      <c r="F733" s="190">
        <f t="shared" si="249"/>
        <v>0</v>
      </c>
      <c r="G733" s="149" t="str">
        <f t="shared" si="249"/>
        <v/>
      </c>
      <c r="H733" s="150" t="str">
        <f t="shared" si="249"/>
        <v/>
      </c>
      <c r="I733" s="150">
        <f t="shared" si="249"/>
        <v>0</v>
      </c>
      <c r="J733" s="150">
        <f t="shared" si="249"/>
        <v>0</v>
      </c>
      <c r="K733" s="196">
        <f t="shared" si="249"/>
        <v>0</v>
      </c>
      <c r="L733" s="197">
        <f t="shared" si="249"/>
        <v>0</v>
      </c>
      <c r="M733" s="191">
        <f t="shared" si="249"/>
        <v>0</v>
      </c>
      <c r="N733" s="150">
        <f t="shared" si="249"/>
        <v>0</v>
      </c>
      <c r="O733" s="193">
        <f t="shared" si="249"/>
        <v>0</v>
      </c>
      <c r="P733" s="162">
        <f t="shared" si="250"/>
        <v>0</v>
      </c>
      <c r="Q733" s="162">
        <f t="shared" si="250"/>
        <v>0</v>
      </c>
      <c r="R733" s="162">
        <f t="shared" si="250"/>
        <v>0</v>
      </c>
      <c r="S733" s="162">
        <f t="shared" si="250"/>
        <v>0</v>
      </c>
      <c r="T733" s="162">
        <f t="shared" si="250"/>
        <v>0</v>
      </c>
      <c r="U733" s="162">
        <f t="shared" si="250"/>
        <v>0</v>
      </c>
      <c r="V733" s="162">
        <f t="shared" si="250"/>
        <v>0</v>
      </c>
      <c r="W733" s="162">
        <f t="shared" si="250"/>
        <v>0</v>
      </c>
      <c r="X733" s="162">
        <f t="shared" si="250"/>
        <v>0</v>
      </c>
      <c r="Y733" s="162">
        <f t="shared" si="250"/>
        <v>0</v>
      </c>
      <c r="Z733" s="162">
        <f t="shared" si="250"/>
        <v>0</v>
      </c>
      <c r="AA733" s="162">
        <f t="shared" si="250"/>
        <v>0</v>
      </c>
      <c r="AB733" s="163">
        <f t="shared" si="244"/>
        <v>0</v>
      </c>
      <c r="AC733" s="198"/>
    </row>
    <row r="734" spans="1:29" hidden="1" outlineLevel="1" x14ac:dyDescent="0.25">
      <c r="A734" s="14" t="str">
        <f t="shared" si="239"/>
        <v>TERC_OPER__45</v>
      </c>
      <c r="B734" s="15" t="str">
        <f t="shared" si="240"/>
        <v>TERC_OPER__0_0</v>
      </c>
      <c r="C734" s="83"/>
      <c r="D734" s="15">
        <f t="shared" si="241"/>
        <v>0</v>
      </c>
      <c r="E734" s="15">
        <v>45</v>
      </c>
      <c r="F734" s="209">
        <f t="shared" si="249"/>
        <v>0</v>
      </c>
      <c r="G734" s="183" t="str">
        <f t="shared" si="249"/>
        <v/>
      </c>
      <c r="H734" s="184" t="str">
        <f t="shared" si="249"/>
        <v/>
      </c>
      <c r="I734" s="184">
        <f t="shared" si="249"/>
        <v>0</v>
      </c>
      <c r="J734" s="184">
        <f t="shared" si="249"/>
        <v>0</v>
      </c>
      <c r="K734" s="210">
        <f t="shared" si="249"/>
        <v>0</v>
      </c>
      <c r="L734" s="211">
        <f t="shared" si="249"/>
        <v>0</v>
      </c>
      <c r="M734" s="212">
        <f t="shared" si="249"/>
        <v>0</v>
      </c>
      <c r="N734" s="184">
        <f t="shared" si="249"/>
        <v>0</v>
      </c>
      <c r="O734" s="213">
        <f t="shared" si="249"/>
        <v>0</v>
      </c>
      <c r="P734" s="175">
        <f t="shared" si="250"/>
        <v>0</v>
      </c>
      <c r="Q734" s="175">
        <f t="shared" si="250"/>
        <v>0</v>
      </c>
      <c r="R734" s="175">
        <f t="shared" si="250"/>
        <v>0</v>
      </c>
      <c r="S734" s="175">
        <f t="shared" si="250"/>
        <v>0</v>
      </c>
      <c r="T734" s="175">
        <f t="shared" si="250"/>
        <v>0</v>
      </c>
      <c r="U734" s="175">
        <f t="shared" si="250"/>
        <v>0</v>
      </c>
      <c r="V734" s="175">
        <f t="shared" si="250"/>
        <v>0</v>
      </c>
      <c r="W734" s="175">
        <f t="shared" si="250"/>
        <v>0</v>
      </c>
      <c r="X734" s="175">
        <f t="shared" si="250"/>
        <v>0</v>
      </c>
      <c r="Y734" s="175">
        <f t="shared" si="250"/>
        <v>0</v>
      </c>
      <c r="Z734" s="175">
        <f t="shared" si="250"/>
        <v>0</v>
      </c>
      <c r="AA734" s="175">
        <f t="shared" si="250"/>
        <v>0</v>
      </c>
      <c r="AB734" s="176">
        <f t="shared" si="244"/>
        <v>0</v>
      </c>
      <c r="AC734" s="172"/>
    </row>
    <row r="735" spans="1:29" hidden="1" outlineLevel="1" x14ac:dyDescent="0.25">
      <c r="A735" s="14" t="str">
        <f t="shared" si="239"/>
        <v>TERC_OPER__</v>
      </c>
      <c r="F735" s="137" t="s">
        <v>280</v>
      </c>
      <c r="G735" s="138"/>
      <c r="H735" s="139" t="s">
        <v>217</v>
      </c>
      <c r="I735" s="139" t="s">
        <v>218</v>
      </c>
      <c r="J735" s="139" t="s">
        <v>219</v>
      </c>
      <c r="K735" s="140"/>
      <c r="L735" s="141"/>
      <c r="M735" s="142" t="s">
        <v>220</v>
      </c>
      <c r="N735" s="139" t="s">
        <v>221</v>
      </c>
      <c r="O735" s="143" t="s">
        <v>222</v>
      </c>
      <c r="P735" s="35">
        <f t="shared" ref="P735:AA735" si="251">P$9</f>
        <v>46113</v>
      </c>
      <c r="Q735" s="35">
        <f t="shared" si="251"/>
        <v>46143</v>
      </c>
      <c r="R735" s="35">
        <f t="shared" si="251"/>
        <v>46174</v>
      </c>
      <c r="S735" s="35">
        <f t="shared" si="251"/>
        <v>46204</v>
      </c>
      <c r="T735" s="35">
        <f t="shared" si="251"/>
        <v>46235</v>
      </c>
      <c r="U735" s="35">
        <f t="shared" si="251"/>
        <v>46266</v>
      </c>
      <c r="V735" s="35">
        <f t="shared" si="251"/>
        <v>46296</v>
      </c>
      <c r="W735" s="35">
        <f t="shared" si="251"/>
        <v>46327</v>
      </c>
      <c r="X735" s="35">
        <f t="shared" si="251"/>
        <v>46357</v>
      </c>
      <c r="Y735" s="35">
        <f t="shared" si="251"/>
        <v>46388</v>
      </c>
      <c r="Z735" s="35">
        <f t="shared" si="251"/>
        <v>46419</v>
      </c>
      <c r="AA735" s="35">
        <f t="shared" si="251"/>
        <v>46447</v>
      </c>
      <c r="AB735" s="81" t="s">
        <v>223</v>
      </c>
      <c r="AC735" s="82" t="s">
        <v>192</v>
      </c>
    </row>
    <row r="736" spans="1:29" hidden="1" outlineLevel="1" x14ac:dyDescent="0.25">
      <c r="A736" s="14" t="str">
        <f t="shared" si="239"/>
        <v>TERC_OPER__1</v>
      </c>
      <c r="B736" s="15" t="str">
        <f t="shared" ref="B736:B780" si="252">"TERC_OPER_"&amp;C736&amp;"_"&amp;F736&amp;"_"&amp;J736</f>
        <v>TERC_OPER__1018_1</v>
      </c>
      <c r="C736" s="83"/>
      <c r="D736" s="15">
        <f t="shared" ref="D736:D780" si="253">J736</f>
        <v>1</v>
      </c>
      <c r="E736" s="15">
        <v>1</v>
      </c>
      <c r="F736" s="190">
        <f t="shared" ref="F736:O751" si="254">F690</f>
        <v>1018</v>
      </c>
      <c r="G736" s="149" t="str">
        <f t="shared" si="254"/>
        <v/>
      </c>
      <c r="H736" s="150" t="str">
        <f t="shared" si="254"/>
        <v/>
      </c>
      <c r="I736" s="150" t="str">
        <f t="shared" si="254"/>
        <v>PLANCP</v>
      </c>
      <c r="J736" s="150">
        <f t="shared" si="254"/>
        <v>1</v>
      </c>
      <c r="K736" s="196">
        <f t="shared" si="254"/>
        <v>0</v>
      </c>
      <c r="L736" s="197">
        <f t="shared" si="254"/>
        <v>0</v>
      </c>
      <c r="M736" s="191">
        <f t="shared" si="254"/>
        <v>0</v>
      </c>
      <c r="N736" s="150">
        <f t="shared" si="254"/>
        <v>0</v>
      </c>
      <c r="O736" s="193">
        <f t="shared" si="254"/>
        <v>1</v>
      </c>
      <c r="P736" s="162">
        <f t="shared" ref="P736:AA739" si="255">IFERROR(SUMIF($B$483:$B$547,$C736&amp;$I736,P$483:P$547)/SUMIF($D$483:$D$547,$I736,P$483:P$547)*P553,0)</f>
        <v>0</v>
      </c>
      <c r="Q736" s="162">
        <f t="shared" si="255"/>
        <v>0</v>
      </c>
      <c r="R736" s="162">
        <f t="shared" si="255"/>
        <v>0</v>
      </c>
      <c r="S736" s="162">
        <f t="shared" si="255"/>
        <v>0</v>
      </c>
      <c r="T736" s="162">
        <f t="shared" si="255"/>
        <v>0</v>
      </c>
      <c r="U736" s="162">
        <f t="shared" si="255"/>
        <v>0</v>
      </c>
      <c r="V736" s="162">
        <f t="shared" si="255"/>
        <v>0</v>
      </c>
      <c r="W736" s="162">
        <f t="shared" si="255"/>
        <v>0</v>
      </c>
      <c r="X736" s="162">
        <f t="shared" si="255"/>
        <v>0</v>
      </c>
      <c r="Y736" s="162">
        <f t="shared" si="255"/>
        <v>0</v>
      </c>
      <c r="Z736" s="162">
        <f t="shared" si="255"/>
        <v>0</v>
      </c>
      <c r="AA736" s="162">
        <f t="shared" si="255"/>
        <v>0</v>
      </c>
      <c r="AB736" s="163">
        <f t="shared" ref="AB736:AB780" si="256">SUM(P736:AA736)</f>
        <v>0</v>
      </c>
      <c r="AC736" s="198"/>
    </row>
    <row r="737" spans="1:29" hidden="1" outlineLevel="1" x14ac:dyDescent="0.25">
      <c r="A737" s="14" t="str">
        <f t="shared" si="239"/>
        <v>TERC_OPER__2</v>
      </c>
      <c r="B737" s="15" t="str">
        <f t="shared" si="252"/>
        <v>TERC_OPER__1023_1</v>
      </c>
      <c r="C737" s="83"/>
      <c r="D737" s="15">
        <f t="shared" si="253"/>
        <v>1</v>
      </c>
      <c r="E737" s="15">
        <v>2</v>
      </c>
      <c r="F737" s="190">
        <f t="shared" si="254"/>
        <v>1023</v>
      </c>
      <c r="G737" s="149" t="str">
        <f t="shared" si="254"/>
        <v/>
      </c>
      <c r="H737" s="150" t="str">
        <f t="shared" si="254"/>
        <v/>
      </c>
      <c r="I737" s="150" t="str">
        <f t="shared" si="254"/>
        <v>PLANCP</v>
      </c>
      <c r="J737" s="150">
        <f t="shared" si="254"/>
        <v>1</v>
      </c>
      <c r="K737" s="196">
        <f t="shared" si="254"/>
        <v>0</v>
      </c>
      <c r="L737" s="197">
        <f t="shared" si="254"/>
        <v>0</v>
      </c>
      <c r="M737" s="191">
        <f t="shared" si="254"/>
        <v>0</v>
      </c>
      <c r="N737" s="150">
        <f t="shared" si="254"/>
        <v>0</v>
      </c>
      <c r="O737" s="193">
        <f t="shared" si="254"/>
        <v>1</v>
      </c>
      <c r="P737" s="162">
        <f t="shared" si="255"/>
        <v>0</v>
      </c>
      <c r="Q737" s="162">
        <f t="shared" si="255"/>
        <v>0</v>
      </c>
      <c r="R737" s="162">
        <f t="shared" si="255"/>
        <v>0</v>
      </c>
      <c r="S737" s="162">
        <f t="shared" si="255"/>
        <v>0</v>
      </c>
      <c r="T737" s="162">
        <f t="shared" si="255"/>
        <v>0</v>
      </c>
      <c r="U737" s="162">
        <f t="shared" si="255"/>
        <v>0</v>
      </c>
      <c r="V737" s="162">
        <f t="shared" si="255"/>
        <v>0</v>
      </c>
      <c r="W737" s="162">
        <f t="shared" si="255"/>
        <v>0</v>
      </c>
      <c r="X737" s="162">
        <f t="shared" si="255"/>
        <v>0</v>
      </c>
      <c r="Y737" s="162">
        <f t="shared" si="255"/>
        <v>0</v>
      </c>
      <c r="Z737" s="162">
        <f t="shared" si="255"/>
        <v>0</v>
      </c>
      <c r="AA737" s="162">
        <f t="shared" si="255"/>
        <v>0</v>
      </c>
      <c r="AB737" s="163">
        <f t="shared" si="256"/>
        <v>0</v>
      </c>
      <c r="AC737" s="198"/>
    </row>
    <row r="738" spans="1:29" hidden="1" outlineLevel="1" x14ac:dyDescent="0.25">
      <c r="A738" s="14" t="str">
        <f t="shared" si="239"/>
        <v>TERC_OPER__3</v>
      </c>
      <c r="B738" s="15" t="str">
        <f t="shared" si="252"/>
        <v>TERC_OPER__1018_1</v>
      </c>
      <c r="C738" s="83"/>
      <c r="D738" s="15">
        <f t="shared" si="253"/>
        <v>1</v>
      </c>
      <c r="E738" s="15">
        <v>3</v>
      </c>
      <c r="F738" s="190">
        <f t="shared" si="254"/>
        <v>1018</v>
      </c>
      <c r="G738" s="149" t="str">
        <f t="shared" si="254"/>
        <v/>
      </c>
      <c r="H738" s="150" t="str">
        <f t="shared" si="254"/>
        <v/>
      </c>
      <c r="I738" s="150" t="str">
        <f t="shared" si="254"/>
        <v>PLANCF</v>
      </c>
      <c r="J738" s="150">
        <f t="shared" si="254"/>
        <v>1</v>
      </c>
      <c r="K738" s="196">
        <f t="shared" si="254"/>
        <v>0</v>
      </c>
      <c r="L738" s="197">
        <f t="shared" si="254"/>
        <v>0</v>
      </c>
      <c r="M738" s="191">
        <f t="shared" si="254"/>
        <v>0</v>
      </c>
      <c r="N738" s="150">
        <f t="shared" si="254"/>
        <v>0</v>
      </c>
      <c r="O738" s="193">
        <f t="shared" si="254"/>
        <v>1</v>
      </c>
      <c r="P738" s="162">
        <f t="shared" si="255"/>
        <v>0</v>
      </c>
      <c r="Q738" s="162">
        <f t="shared" si="255"/>
        <v>0</v>
      </c>
      <c r="R738" s="162">
        <f t="shared" si="255"/>
        <v>0</v>
      </c>
      <c r="S738" s="162">
        <f t="shared" si="255"/>
        <v>0</v>
      </c>
      <c r="T738" s="162">
        <f t="shared" si="255"/>
        <v>0</v>
      </c>
      <c r="U738" s="162">
        <f t="shared" si="255"/>
        <v>0</v>
      </c>
      <c r="V738" s="162">
        <f t="shared" si="255"/>
        <v>0</v>
      </c>
      <c r="W738" s="162">
        <f t="shared" si="255"/>
        <v>0</v>
      </c>
      <c r="X738" s="162">
        <f t="shared" si="255"/>
        <v>0</v>
      </c>
      <c r="Y738" s="162">
        <f t="shared" si="255"/>
        <v>0</v>
      </c>
      <c r="Z738" s="162">
        <f t="shared" si="255"/>
        <v>0</v>
      </c>
      <c r="AA738" s="162">
        <f t="shared" si="255"/>
        <v>0</v>
      </c>
      <c r="AB738" s="163">
        <f t="shared" si="256"/>
        <v>0</v>
      </c>
      <c r="AC738" s="198"/>
    </row>
    <row r="739" spans="1:29" hidden="1" outlineLevel="1" x14ac:dyDescent="0.25">
      <c r="A739" s="14" t="str">
        <f t="shared" si="239"/>
        <v>TERC_OPER__4</v>
      </c>
      <c r="B739" s="15" t="str">
        <f t="shared" si="252"/>
        <v>TERC_OPER__1023_1</v>
      </c>
      <c r="C739" s="83"/>
      <c r="D739" s="15">
        <f t="shared" si="253"/>
        <v>1</v>
      </c>
      <c r="E739" s="15">
        <v>4</v>
      </c>
      <c r="F739" s="190">
        <f t="shared" si="254"/>
        <v>1023</v>
      </c>
      <c r="G739" s="149" t="str">
        <f t="shared" si="254"/>
        <v/>
      </c>
      <c r="H739" s="150" t="str">
        <f t="shared" si="254"/>
        <v/>
      </c>
      <c r="I739" s="150" t="str">
        <f t="shared" si="254"/>
        <v>PLANCF</v>
      </c>
      <c r="J739" s="150">
        <f t="shared" si="254"/>
        <v>1</v>
      </c>
      <c r="K739" s="196">
        <f t="shared" si="254"/>
        <v>0</v>
      </c>
      <c r="L739" s="197">
        <f t="shared" si="254"/>
        <v>0</v>
      </c>
      <c r="M739" s="191">
        <f t="shared" si="254"/>
        <v>0</v>
      </c>
      <c r="N739" s="150">
        <f t="shared" si="254"/>
        <v>0</v>
      </c>
      <c r="O739" s="193">
        <f t="shared" si="254"/>
        <v>1</v>
      </c>
      <c r="P739" s="162">
        <f t="shared" si="255"/>
        <v>0</v>
      </c>
      <c r="Q739" s="162">
        <f t="shared" si="255"/>
        <v>0</v>
      </c>
      <c r="R739" s="162">
        <f t="shared" si="255"/>
        <v>0</v>
      </c>
      <c r="S739" s="162">
        <f t="shared" si="255"/>
        <v>0</v>
      </c>
      <c r="T739" s="162">
        <f t="shared" si="255"/>
        <v>0</v>
      </c>
      <c r="U739" s="162">
        <f t="shared" si="255"/>
        <v>0</v>
      </c>
      <c r="V739" s="162">
        <f t="shared" si="255"/>
        <v>0</v>
      </c>
      <c r="W739" s="162">
        <f t="shared" si="255"/>
        <v>0</v>
      </c>
      <c r="X739" s="162">
        <f t="shared" si="255"/>
        <v>0</v>
      </c>
      <c r="Y739" s="162">
        <f t="shared" si="255"/>
        <v>0</v>
      </c>
      <c r="Z739" s="162">
        <f t="shared" si="255"/>
        <v>0</v>
      </c>
      <c r="AA739" s="162">
        <f t="shared" si="255"/>
        <v>0</v>
      </c>
      <c r="AB739" s="163">
        <f t="shared" si="256"/>
        <v>0</v>
      </c>
      <c r="AC739" s="159"/>
    </row>
    <row r="740" spans="1:29" hidden="1" outlineLevel="1" x14ac:dyDescent="0.25">
      <c r="A740" s="14" t="str">
        <f t="shared" si="239"/>
        <v>TERC_OPER__5</v>
      </c>
      <c r="B740" s="15" t="e">
        <f t="shared" si="252"/>
        <v>#REF!</v>
      </c>
      <c r="C740" s="83"/>
      <c r="D740" s="15" t="e">
        <f t="shared" si="253"/>
        <v>#REF!</v>
      </c>
      <c r="E740" s="15">
        <v>5</v>
      </c>
      <c r="F740" s="190" t="e">
        <f t="shared" si="254"/>
        <v>#REF!</v>
      </c>
      <c r="G740" s="149" t="e">
        <f t="shared" si="254"/>
        <v>#REF!</v>
      </c>
      <c r="H740" s="150" t="e">
        <f t="shared" si="254"/>
        <v>#REF!</v>
      </c>
      <c r="I740" s="150" t="e">
        <f t="shared" si="254"/>
        <v>#REF!</v>
      </c>
      <c r="J740" s="150" t="e">
        <f t="shared" si="254"/>
        <v>#REF!</v>
      </c>
      <c r="K740" s="196" t="e">
        <f t="shared" si="254"/>
        <v>#REF!</v>
      </c>
      <c r="L740" s="197" t="e">
        <f t="shared" si="254"/>
        <v>#REF!</v>
      </c>
      <c r="M740" s="191" t="e">
        <f t="shared" si="254"/>
        <v>#REF!</v>
      </c>
      <c r="N740" s="150" t="e">
        <f t="shared" si="254"/>
        <v>#REF!</v>
      </c>
      <c r="O740" s="193" t="e">
        <f t="shared" si="254"/>
        <v>#REF!</v>
      </c>
      <c r="P740" s="162">
        <f>IFERROR(SUMIF($B$483:$B$547,$C740&amp;$I740,P$483:P$547)/SUMIF($D$483:$D$547,$I740,P$483:P$547)*#REF!,0)</f>
        <v>0</v>
      </c>
      <c r="Q740" s="162">
        <f>IFERROR(SUMIF($B$483:$B$547,$C740&amp;$I740,Q$483:Q$547)/SUMIF($D$483:$D$547,$I740,Q$483:Q$547)*#REF!,0)</f>
        <v>0</v>
      </c>
      <c r="R740" s="162">
        <f>IFERROR(SUMIF($B$483:$B$547,$C740&amp;$I740,R$483:R$547)/SUMIF($D$483:$D$547,$I740,R$483:R$547)*#REF!,0)</f>
        <v>0</v>
      </c>
      <c r="S740" s="162">
        <f>IFERROR(SUMIF($B$483:$B$547,$C740&amp;$I740,S$483:S$547)/SUMIF($D$483:$D$547,$I740,S$483:S$547)*#REF!,0)</f>
        <v>0</v>
      </c>
      <c r="T740" s="162">
        <f>IFERROR(SUMIF($B$483:$B$547,$C740&amp;$I740,T$483:T$547)/SUMIF($D$483:$D$547,$I740,T$483:T$547)*#REF!,0)</f>
        <v>0</v>
      </c>
      <c r="U740" s="162">
        <f>IFERROR(SUMIF($B$483:$B$547,$C740&amp;$I740,U$483:U$547)/SUMIF($D$483:$D$547,$I740,U$483:U$547)*#REF!,0)</f>
        <v>0</v>
      </c>
      <c r="V740" s="162">
        <f>IFERROR(SUMIF($B$483:$B$547,$C740&amp;$I740,V$483:V$547)/SUMIF($D$483:$D$547,$I740,V$483:V$547)*#REF!,0)</f>
        <v>0</v>
      </c>
      <c r="W740" s="162">
        <f>IFERROR(SUMIF($B$483:$B$547,$C740&amp;$I740,W$483:W$547)/SUMIF($D$483:$D$547,$I740,W$483:W$547)*#REF!,0)</f>
        <v>0</v>
      </c>
      <c r="X740" s="162">
        <f>IFERROR(SUMIF($B$483:$B$547,$C740&amp;$I740,X$483:X$547)/SUMIF($D$483:$D$547,$I740,X$483:X$547)*#REF!,0)</f>
        <v>0</v>
      </c>
      <c r="Y740" s="162">
        <f>IFERROR(SUMIF($B$483:$B$547,$C740&amp;$I740,Y$483:Y$547)/SUMIF($D$483:$D$547,$I740,Y$483:Y$547)*#REF!,0)</f>
        <v>0</v>
      </c>
      <c r="Z740" s="162">
        <f>IFERROR(SUMIF($B$483:$B$547,$C740&amp;$I740,Z$483:Z$547)/SUMIF($D$483:$D$547,$I740,Z$483:Z$547)*#REF!,0)</f>
        <v>0</v>
      </c>
      <c r="AA740" s="162">
        <f>IFERROR(SUMIF($B$483:$B$547,$C740&amp;$I740,AA$483:AA$547)/SUMIF($D$483:$D$547,$I740,AA$483:AA$547)*#REF!,0)</f>
        <v>0</v>
      </c>
      <c r="AB740" s="163">
        <f t="shared" si="256"/>
        <v>0</v>
      </c>
      <c r="AC740" s="159"/>
    </row>
    <row r="741" spans="1:29" hidden="1" outlineLevel="1" x14ac:dyDescent="0.25">
      <c r="A741" s="14" t="str">
        <f t="shared" si="239"/>
        <v>TERC_OPER__6</v>
      </c>
      <c r="B741" s="15" t="str">
        <f t="shared" si="252"/>
        <v>TERC_OPER__1033_1</v>
      </c>
      <c r="C741" s="83"/>
      <c r="D741" s="15">
        <f t="shared" si="253"/>
        <v>1</v>
      </c>
      <c r="E741" s="15">
        <v>6</v>
      </c>
      <c r="F741" s="190">
        <f t="shared" si="254"/>
        <v>1033</v>
      </c>
      <c r="G741" s="149" t="str">
        <f t="shared" si="254"/>
        <v/>
      </c>
      <c r="H741" s="150" t="str">
        <f t="shared" si="254"/>
        <v/>
      </c>
      <c r="I741" s="150" t="str">
        <f t="shared" si="254"/>
        <v>PLANCP</v>
      </c>
      <c r="J741" s="150">
        <f t="shared" si="254"/>
        <v>1</v>
      </c>
      <c r="K741" s="196">
        <f t="shared" si="254"/>
        <v>0</v>
      </c>
      <c r="L741" s="197">
        <f t="shared" si="254"/>
        <v>0</v>
      </c>
      <c r="M741" s="191">
        <f t="shared" si="254"/>
        <v>0</v>
      </c>
      <c r="N741" s="150">
        <f t="shared" si="254"/>
        <v>0</v>
      </c>
      <c r="O741" s="193">
        <f t="shared" si="254"/>
        <v>1</v>
      </c>
      <c r="P741" s="162">
        <f t="shared" ref="P741:AA756" si="257">IFERROR(SUMIF($B$483:$B$547,$C741&amp;$I741,P$483:P$547)/SUMIF($D$483:$D$547,$I741,P$483:P$547)*P557,0)</f>
        <v>0</v>
      </c>
      <c r="Q741" s="162">
        <f t="shared" si="257"/>
        <v>0</v>
      </c>
      <c r="R741" s="162">
        <f t="shared" si="257"/>
        <v>0</v>
      </c>
      <c r="S741" s="162">
        <f t="shared" si="257"/>
        <v>0</v>
      </c>
      <c r="T741" s="162">
        <f t="shared" si="257"/>
        <v>0</v>
      </c>
      <c r="U741" s="162">
        <f t="shared" si="257"/>
        <v>0</v>
      </c>
      <c r="V741" s="162">
        <f t="shared" si="257"/>
        <v>0</v>
      </c>
      <c r="W741" s="162">
        <f t="shared" si="257"/>
        <v>0</v>
      </c>
      <c r="X741" s="162">
        <f t="shared" si="257"/>
        <v>0</v>
      </c>
      <c r="Y741" s="162">
        <f t="shared" si="257"/>
        <v>0</v>
      </c>
      <c r="Z741" s="162">
        <f t="shared" si="257"/>
        <v>0</v>
      </c>
      <c r="AA741" s="162">
        <f t="shared" si="257"/>
        <v>0</v>
      </c>
      <c r="AB741" s="163">
        <f t="shared" si="256"/>
        <v>0</v>
      </c>
      <c r="AC741" s="159"/>
    </row>
    <row r="742" spans="1:29" hidden="1" outlineLevel="1" x14ac:dyDescent="0.25">
      <c r="A742" s="14" t="str">
        <f t="shared" si="239"/>
        <v>TERC_OPER__7</v>
      </c>
      <c r="B742" s="15" t="str">
        <f t="shared" si="252"/>
        <v>TERC_OPER__1044_1</v>
      </c>
      <c r="C742" s="83"/>
      <c r="D742" s="15">
        <f t="shared" si="253"/>
        <v>1</v>
      </c>
      <c r="E742" s="15">
        <v>7</v>
      </c>
      <c r="F742" s="190">
        <f t="shared" si="254"/>
        <v>1044</v>
      </c>
      <c r="G742" s="149" t="str">
        <f t="shared" si="254"/>
        <v/>
      </c>
      <c r="H742" s="150" t="str">
        <f t="shared" si="254"/>
        <v/>
      </c>
      <c r="I742" s="150" t="str">
        <f t="shared" si="254"/>
        <v>PLANCP</v>
      </c>
      <c r="J742" s="150">
        <f t="shared" si="254"/>
        <v>1</v>
      </c>
      <c r="K742" s="196">
        <f t="shared" si="254"/>
        <v>0</v>
      </c>
      <c r="L742" s="197">
        <f t="shared" si="254"/>
        <v>0</v>
      </c>
      <c r="M742" s="191">
        <f t="shared" si="254"/>
        <v>0</v>
      </c>
      <c r="N742" s="150">
        <f t="shared" si="254"/>
        <v>0</v>
      </c>
      <c r="O742" s="193">
        <f t="shared" si="254"/>
        <v>1</v>
      </c>
      <c r="P742" s="162">
        <f t="shared" si="257"/>
        <v>0</v>
      </c>
      <c r="Q742" s="162">
        <f t="shared" si="257"/>
        <v>0</v>
      </c>
      <c r="R742" s="162">
        <f t="shared" si="257"/>
        <v>0</v>
      </c>
      <c r="S742" s="162">
        <f t="shared" si="257"/>
        <v>0</v>
      </c>
      <c r="T742" s="162">
        <f t="shared" si="257"/>
        <v>0</v>
      </c>
      <c r="U742" s="162">
        <f t="shared" si="257"/>
        <v>0</v>
      </c>
      <c r="V742" s="162">
        <f t="shared" si="257"/>
        <v>0</v>
      </c>
      <c r="W742" s="162">
        <f t="shared" si="257"/>
        <v>0</v>
      </c>
      <c r="X742" s="162">
        <f t="shared" si="257"/>
        <v>0</v>
      </c>
      <c r="Y742" s="162">
        <f t="shared" si="257"/>
        <v>0</v>
      </c>
      <c r="Z742" s="162">
        <f t="shared" si="257"/>
        <v>0</v>
      </c>
      <c r="AA742" s="162">
        <f t="shared" si="257"/>
        <v>0</v>
      </c>
      <c r="AB742" s="163">
        <f t="shared" si="256"/>
        <v>0</v>
      </c>
      <c r="AC742" s="159"/>
    </row>
    <row r="743" spans="1:29" hidden="1" outlineLevel="1" x14ac:dyDescent="0.25">
      <c r="A743" s="14" t="str">
        <f t="shared" si="239"/>
        <v>TERC_OPER__8</v>
      </c>
      <c r="B743" s="15" t="str">
        <f t="shared" si="252"/>
        <v>TERC_OPER__0_0</v>
      </c>
      <c r="C743" s="83"/>
      <c r="D743" s="15">
        <f t="shared" si="253"/>
        <v>0</v>
      </c>
      <c r="E743" s="15">
        <v>8</v>
      </c>
      <c r="F743" s="190">
        <f t="shared" si="254"/>
        <v>0</v>
      </c>
      <c r="G743" s="149" t="str">
        <f t="shared" si="254"/>
        <v/>
      </c>
      <c r="H743" s="150" t="str">
        <f t="shared" si="254"/>
        <v/>
      </c>
      <c r="I743" s="150">
        <f t="shared" si="254"/>
        <v>0</v>
      </c>
      <c r="J743" s="150">
        <f t="shared" si="254"/>
        <v>0</v>
      </c>
      <c r="K743" s="196">
        <f t="shared" si="254"/>
        <v>0</v>
      </c>
      <c r="L743" s="197">
        <f t="shared" si="254"/>
        <v>0</v>
      </c>
      <c r="M743" s="191">
        <f t="shared" si="254"/>
        <v>0</v>
      </c>
      <c r="N743" s="150">
        <f t="shared" si="254"/>
        <v>0</v>
      </c>
      <c r="O743" s="193">
        <f t="shared" si="254"/>
        <v>0</v>
      </c>
      <c r="P743" s="162">
        <f t="shared" si="257"/>
        <v>0</v>
      </c>
      <c r="Q743" s="162">
        <f t="shared" si="257"/>
        <v>0</v>
      </c>
      <c r="R743" s="162">
        <f t="shared" si="257"/>
        <v>0</v>
      </c>
      <c r="S743" s="162">
        <f t="shared" si="257"/>
        <v>0</v>
      </c>
      <c r="T743" s="162">
        <f t="shared" si="257"/>
        <v>0</v>
      </c>
      <c r="U743" s="162">
        <f t="shared" si="257"/>
        <v>0</v>
      </c>
      <c r="V743" s="162">
        <f t="shared" si="257"/>
        <v>0</v>
      </c>
      <c r="W743" s="162">
        <f t="shared" si="257"/>
        <v>0</v>
      </c>
      <c r="X743" s="162">
        <f t="shared" si="257"/>
        <v>0</v>
      </c>
      <c r="Y743" s="162">
        <f t="shared" si="257"/>
        <v>0</v>
      </c>
      <c r="Z743" s="162">
        <f t="shared" si="257"/>
        <v>0</v>
      </c>
      <c r="AA743" s="162">
        <f t="shared" si="257"/>
        <v>0</v>
      </c>
      <c r="AB743" s="163">
        <f t="shared" si="256"/>
        <v>0</v>
      </c>
      <c r="AC743" s="159"/>
    </row>
    <row r="744" spans="1:29" hidden="1" outlineLevel="1" x14ac:dyDescent="0.25">
      <c r="A744" s="14" t="str">
        <f t="shared" si="239"/>
        <v>TERC_OPER__9</v>
      </c>
      <c r="B744" s="15" t="str">
        <f t="shared" si="252"/>
        <v>TERC_OPER__0_0</v>
      </c>
      <c r="C744" s="83"/>
      <c r="D744" s="15">
        <f t="shared" si="253"/>
        <v>0</v>
      </c>
      <c r="E744" s="15">
        <v>9</v>
      </c>
      <c r="F744" s="190">
        <f t="shared" si="254"/>
        <v>0</v>
      </c>
      <c r="G744" s="149" t="str">
        <f t="shared" si="254"/>
        <v/>
      </c>
      <c r="H744" s="150" t="str">
        <f t="shared" si="254"/>
        <v/>
      </c>
      <c r="I744" s="150">
        <f t="shared" si="254"/>
        <v>0</v>
      </c>
      <c r="J744" s="150">
        <f t="shared" si="254"/>
        <v>0</v>
      </c>
      <c r="K744" s="196">
        <f t="shared" si="254"/>
        <v>0</v>
      </c>
      <c r="L744" s="197">
        <f t="shared" si="254"/>
        <v>0</v>
      </c>
      <c r="M744" s="191">
        <f t="shared" si="254"/>
        <v>0</v>
      </c>
      <c r="N744" s="150">
        <f t="shared" si="254"/>
        <v>0</v>
      </c>
      <c r="O744" s="193">
        <f t="shared" si="254"/>
        <v>0</v>
      </c>
      <c r="P744" s="162">
        <f t="shared" si="257"/>
        <v>0</v>
      </c>
      <c r="Q744" s="162">
        <f t="shared" si="257"/>
        <v>0</v>
      </c>
      <c r="R744" s="162">
        <f t="shared" si="257"/>
        <v>0</v>
      </c>
      <c r="S744" s="162">
        <f t="shared" si="257"/>
        <v>0</v>
      </c>
      <c r="T744" s="162">
        <f t="shared" si="257"/>
        <v>0</v>
      </c>
      <c r="U744" s="162">
        <f t="shared" si="257"/>
        <v>0</v>
      </c>
      <c r="V744" s="162">
        <f t="shared" si="257"/>
        <v>0</v>
      </c>
      <c r="W744" s="162">
        <f t="shared" si="257"/>
        <v>0</v>
      </c>
      <c r="X744" s="162">
        <f t="shared" si="257"/>
        <v>0</v>
      </c>
      <c r="Y744" s="162">
        <f t="shared" si="257"/>
        <v>0</v>
      </c>
      <c r="Z744" s="162">
        <f t="shared" si="257"/>
        <v>0</v>
      </c>
      <c r="AA744" s="162">
        <f t="shared" si="257"/>
        <v>0</v>
      </c>
      <c r="AB744" s="163">
        <f t="shared" si="256"/>
        <v>0</v>
      </c>
      <c r="AC744" s="159"/>
    </row>
    <row r="745" spans="1:29" hidden="1" outlineLevel="1" x14ac:dyDescent="0.25">
      <c r="A745" s="14" t="str">
        <f t="shared" si="239"/>
        <v>TERC_OPER__10</v>
      </c>
      <c r="B745" s="15" t="str">
        <f t="shared" si="252"/>
        <v>TERC_OPER__0_0</v>
      </c>
      <c r="C745" s="83"/>
      <c r="D745" s="15">
        <f t="shared" si="253"/>
        <v>0</v>
      </c>
      <c r="E745" s="15">
        <v>10</v>
      </c>
      <c r="F745" s="190">
        <f t="shared" si="254"/>
        <v>0</v>
      </c>
      <c r="G745" s="149" t="str">
        <f t="shared" si="254"/>
        <v/>
      </c>
      <c r="H745" s="150" t="str">
        <f t="shared" si="254"/>
        <v/>
      </c>
      <c r="I745" s="150">
        <f t="shared" si="254"/>
        <v>0</v>
      </c>
      <c r="J745" s="150">
        <f t="shared" si="254"/>
        <v>0</v>
      </c>
      <c r="K745" s="196">
        <f t="shared" si="254"/>
        <v>0</v>
      </c>
      <c r="L745" s="197">
        <f t="shared" si="254"/>
        <v>0</v>
      </c>
      <c r="M745" s="191">
        <f t="shared" si="254"/>
        <v>0</v>
      </c>
      <c r="N745" s="150">
        <f t="shared" si="254"/>
        <v>0</v>
      </c>
      <c r="O745" s="193">
        <f t="shared" si="254"/>
        <v>0</v>
      </c>
      <c r="P745" s="162">
        <f t="shared" si="257"/>
        <v>0</v>
      </c>
      <c r="Q745" s="162">
        <f t="shared" si="257"/>
        <v>0</v>
      </c>
      <c r="R745" s="162">
        <f t="shared" si="257"/>
        <v>0</v>
      </c>
      <c r="S745" s="162">
        <f t="shared" si="257"/>
        <v>0</v>
      </c>
      <c r="T745" s="162">
        <f t="shared" si="257"/>
        <v>0</v>
      </c>
      <c r="U745" s="162">
        <f t="shared" si="257"/>
        <v>0</v>
      </c>
      <c r="V745" s="162">
        <f t="shared" si="257"/>
        <v>0</v>
      </c>
      <c r="W745" s="162">
        <f t="shared" si="257"/>
        <v>0</v>
      </c>
      <c r="X745" s="162">
        <f t="shared" si="257"/>
        <v>0</v>
      </c>
      <c r="Y745" s="162">
        <f t="shared" si="257"/>
        <v>0</v>
      </c>
      <c r="Z745" s="162">
        <f t="shared" si="257"/>
        <v>0</v>
      </c>
      <c r="AA745" s="162">
        <f t="shared" si="257"/>
        <v>0</v>
      </c>
      <c r="AB745" s="163">
        <f t="shared" si="256"/>
        <v>0</v>
      </c>
      <c r="AC745" s="159"/>
    </row>
    <row r="746" spans="1:29" hidden="1" outlineLevel="1" x14ac:dyDescent="0.25">
      <c r="A746" s="14" t="str">
        <f t="shared" si="239"/>
        <v>TERC_OPER__11</v>
      </c>
      <c r="B746" s="15" t="str">
        <f t="shared" si="252"/>
        <v>TERC_OPER__0_0</v>
      </c>
      <c r="C746" s="83"/>
      <c r="D746" s="15">
        <f t="shared" si="253"/>
        <v>0</v>
      </c>
      <c r="E746" s="15">
        <v>11</v>
      </c>
      <c r="F746" s="190">
        <f t="shared" si="254"/>
        <v>0</v>
      </c>
      <c r="G746" s="149" t="str">
        <f t="shared" si="254"/>
        <v/>
      </c>
      <c r="H746" s="150" t="str">
        <f t="shared" si="254"/>
        <v/>
      </c>
      <c r="I746" s="150">
        <f t="shared" si="254"/>
        <v>0</v>
      </c>
      <c r="J746" s="150">
        <f t="shared" si="254"/>
        <v>0</v>
      </c>
      <c r="K746" s="196">
        <f t="shared" si="254"/>
        <v>0</v>
      </c>
      <c r="L746" s="197">
        <f t="shared" si="254"/>
        <v>0</v>
      </c>
      <c r="M746" s="191">
        <f t="shared" si="254"/>
        <v>0</v>
      </c>
      <c r="N746" s="150">
        <f t="shared" si="254"/>
        <v>0</v>
      </c>
      <c r="O746" s="193">
        <f t="shared" si="254"/>
        <v>0</v>
      </c>
      <c r="P746" s="162">
        <f t="shared" si="257"/>
        <v>0</v>
      </c>
      <c r="Q746" s="162">
        <f t="shared" si="257"/>
        <v>0</v>
      </c>
      <c r="R746" s="162">
        <f t="shared" si="257"/>
        <v>0</v>
      </c>
      <c r="S746" s="162">
        <f t="shared" si="257"/>
        <v>0</v>
      </c>
      <c r="T746" s="162">
        <f t="shared" si="257"/>
        <v>0</v>
      </c>
      <c r="U746" s="162">
        <f t="shared" si="257"/>
        <v>0</v>
      </c>
      <c r="V746" s="162">
        <f t="shared" si="257"/>
        <v>0</v>
      </c>
      <c r="W746" s="162">
        <f t="shared" si="257"/>
        <v>0</v>
      </c>
      <c r="X746" s="162">
        <f t="shared" si="257"/>
        <v>0</v>
      </c>
      <c r="Y746" s="162">
        <f t="shared" si="257"/>
        <v>0</v>
      </c>
      <c r="Z746" s="162">
        <f t="shared" si="257"/>
        <v>0</v>
      </c>
      <c r="AA746" s="162">
        <f t="shared" si="257"/>
        <v>0</v>
      </c>
      <c r="AB746" s="163">
        <f t="shared" si="256"/>
        <v>0</v>
      </c>
      <c r="AC746" s="198"/>
    </row>
    <row r="747" spans="1:29" hidden="1" outlineLevel="1" x14ac:dyDescent="0.25">
      <c r="A747" s="14" t="str">
        <f t="shared" si="239"/>
        <v>TERC_OPER__12</v>
      </c>
      <c r="B747" s="15" t="str">
        <f t="shared" si="252"/>
        <v>TERC_OPER__0_0</v>
      </c>
      <c r="C747" s="83"/>
      <c r="D747" s="15">
        <f t="shared" si="253"/>
        <v>0</v>
      </c>
      <c r="E747" s="15">
        <v>12</v>
      </c>
      <c r="F747" s="190">
        <f t="shared" si="254"/>
        <v>0</v>
      </c>
      <c r="G747" s="149" t="str">
        <f t="shared" si="254"/>
        <v/>
      </c>
      <c r="H747" s="150" t="str">
        <f t="shared" si="254"/>
        <v/>
      </c>
      <c r="I747" s="150">
        <f t="shared" si="254"/>
        <v>0</v>
      </c>
      <c r="J747" s="150">
        <f t="shared" si="254"/>
        <v>0</v>
      </c>
      <c r="K747" s="196">
        <f t="shared" si="254"/>
        <v>0</v>
      </c>
      <c r="L747" s="197">
        <f t="shared" si="254"/>
        <v>0</v>
      </c>
      <c r="M747" s="191">
        <f t="shared" si="254"/>
        <v>0</v>
      </c>
      <c r="N747" s="150">
        <f t="shared" si="254"/>
        <v>0</v>
      </c>
      <c r="O747" s="193">
        <f t="shared" si="254"/>
        <v>0</v>
      </c>
      <c r="P747" s="162">
        <f t="shared" si="257"/>
        <v>0</v>
      </c>
      <c r="Q747" s="162">
        <f t="shared" si="257"/>
        <v>0</v>
      </c>
      <c r="R747" s="162">
        <f t="shared" si="257"/>
        <v>0</v>
      </c>
      <c r="S747" s="162">
        <f t="shared" si="257"/>
        <v>0</v>
      </c>
      <c r="T747" s="162">
        <f t="shared" si="257"/>
        <v>0</v>
      </c>
      <c r="U747" s="162">
        <f t="shared" si="257"/>
        <v>0</v>
      </c>
      <c r="V747" s="162">
        <f t="shared" si="257"/>
        <v>0</v>
      </c>
      <c r="W747" s="162">
        <f t="shared" si="257"/>
        <v>0</v>
      </c>
      <c r="X747" s="162">
        <f t="shared" si="257"/>
        <v>0</v>
      </c>
      <c r="Y747" s="162">
        <f t="shared" si="257"/>
        <v>0</v>
      </c>
      <c r="Z747" s="162">
        <f t="shared" si="257"/>
        <v>0</v>
      </c>
      <c r="AA747" s="162">
        <f t="shared" si="257"/>
        <v>0</v>
      </c>
      <c r="AB747" s="163">
        <f t="shared" si="256"/>
        <v>0</v>
      </c>
      <c r="AC747" s="198"/>
    </row>
    <row r="748" spans="1:29" hidden="1" outlineLevel="1" x14ac:dyDescent="0.25">
      <c r="A748" s="14" t="str">
        <f t="shared" si="239"/>
        <v>TERC_OPER__13</v>
      </c>
      <c r="B748" s="15" t="str">
        <f t="shared" si="252"/>
        <v>TERC_OPER__0_0</v>
      </c>
      <c r="C748" s="83"/>
      <c r="D748" s="15">
        <f t="shared" si="253"/>
        <v>0</v>
      </c>
      <c r="E748" s="15">
        <v>13</v>
      </c>
      <c r="F748" s="190">
        <f t="shared" si="254"/>
        <v>0</v>
      </c>
      <c r="G748" s="149" t="str">
        <f t="shared" si="254"/>
        <v/>
      </c>
      <c r="H748" s="150" t="str">
        <f t="shared" si="254"/>
        <v/>
      </c>
      <c r="I748" s="150">
        <f t="shared" si="254"/>
        <v>0</v>
      </c>
      <c r="J748" s="150">
        <f t="shared" si="254"/>
        <v>0</v>
      </c>
      <c r="K748" s="196">
        <f t="shared" si="254"/>
        <v>0</v>
      </c>
      <c r="L748" s="197">
        <f t="shared" si="254"/>
        <v>0</v>
      </c>
      <c r="M748" s="191">
        <f t="shared" si="254"/>
        <v>0</v>
      </c>
      <c r="N748" s="150">
        <f t="shared" si="254"/>
        <v>0</v>
      </c>
      <c r="O748" s="193">
        <f t="shared" si="254"/>
        <v>0</v>
      </c>
      <c r="P748" s="162">
        <f t="shared" si="257"/>
        <v>0</v>
      </c>
      <c r="Q748" s="162">
        <f t="shared" si="257"/>
        <v>0</v>
      </c>
      <c r="R748" s="162">
        <f t="shared" si="257"/>
        <v>0</v>
      </c>
      <c r="S748" s="162">
        <f t="shared" si="257"/>
        <v>0</v>
      </c>
      <c r="T748" s="162">
        <f t="shared" si="257"/>
        <v>0</v>
      </c>
      <c r="U748" s="162">
        <f t="shared" si="257"/>
        <v>0</v>
      </c>
      <c r="V748" s="162">
        <f t="shared" si="257"/>
        <v>0</v>
      </c>
      <c r="W748" s="162">
        <f t="shared" si="257"/>
        <v>0</v>
      </c>
      <c r="X748" s="162">
        <f t="shared" si="257"/>
        <v>0</v>
      </c>
      <c r="Y748" s="162">
        <f t="shared" si="257"/>
        <v>0</v>
      </c>
      <c r="Z748" s="162">
        <f t="shared" si="257"/>
        <v>0</v>
      </c>
      <c r="AA748" s="162">
        <f t="shared" si="257"/>
        <v>0</v>
      </c>
      <c r="AB748" s="163">
        <f t="shared" si="256"/>
        <v>0</v>
      </c>
      <c r="AC748" s="198"/>
    </row>
    <row r="749" spans="1:29" hidden="1" outlineLevel="1" x14ac:dyDescent="0.25">
      <c r="A749" s="14" t="str">
        <f t="shared" si="239"/>
        <v>TERC_OPER__14</v>
      </c>
      <c r="B749" s="15" t="str">
        <f t="shared" si="252"/>
        <v>TERC_OPER__0_0</v>
      </c>
      <c r="C749" s="83"/>
      <c r="D749" s="15">
        <f t="shared" si="253"/>
        <v>0</v>
      </c>
      <c r="E749" s="15">
        <v>14</v>
      </c>
      <c r="F749" s="190">
        <f t="shared" si="254"/>
        <v>0</v>
      </c>
      <c r="G749" s="149" t="str">
        <f t="shared" si="254"/>
        <v/>
      </c>
      <c r="H749" s="150" t="str">
        <f t="shared" si="254"/>
        <v/>
      </c>
      <c r="I749" s="150">
        <f t="shared" si="254"/>
        <v>0</v>
      </c>
      <c r="J749" s="150">
        <f t="shared" si="254"/>
        <v>0</v>
      </c>
      <c r="K749" s="196">
        <f t="shared" si="254"/>
        <v>0</v>
      </c>
      <c r="L749" s="197">
        <f t="shared" si="254"/>
        <v>0</v>
      </c>
      <c r="M749" s="191">
        <f t="shared" si="254"/>
        <v>0</v>
      </c>
      <c r="N749" s="150">
        <f t="shared" si="254"/>
        <v>0</v>
      </c>
      <c r="O749" s="193">
        <f t="shared" si="254"/>
        <v>0</v>
      </c>
      <c r="P749" s="162">
        <f t="shared" si="257"/>
        <v>0</v>
      </c>
      <c r="Q749" s="162">
        <f t="shared" si="257"/>
        <v>0</v>
      </c>
      <c r="R749" s="162">
        <f t="shared" si="257"/>
        <v>0</v>
      </c>
      <c r="S749" s="162">
        <f t="shared" si="257"/>
        <v>0</v>
      </c>
      <c r="T749" s="162">
        <f t="shared" si="257"/>
        <v>0</v>
      </c>
      <c r="U749" s="162">
        <f t="shared" si="257"/>
        <v>0</v>
      </c>
      <c r="V749" s="162">
        <f t="shared" si="257"/>
        <v>0</v>
      </c>
      <c r="W749" s="162">
        <f t="shared" si="257"/>
        <v>0</v>
      </c>
      <c r="X749" s="162">
        <f t="shared" si="257"/>
        <v>0</v>
      </c>
      <c r="Y749" s="162">
        <f t="shared" si="257"/>
        <v>0</v>
      </c>
      <c r="Z749" s="162">
        <f t="shared" si="257"/>
        <v>0</v>
      </c>
      <c r="AA749" s="162">
        <f t="shared" si="257"/>
        <v>0</v>
      </c>
      <c r="AB749" s="163">
        <f t="shared" si="256"/>
        <v>0</v>
      </c>
      <c r="AC749" s="198"/>
    </row>
    <row r="750" spans="1:29" hidden="1" outlineLevel="1" x14ac:dyDescent="0.25">
      <c r="A750" s="14" t="str">
        <f t="shared" si="239"/>
        <v>TERC_OPER__15</v>
      </c>
      <c r="B750" s="15" t="str">
        <f t="shared" si="252"/>
        <v>TERC_OPER__0_0</v>
      </c>
      <c r="C750" s="83"/>
      <c r="D750" s="15">
        <f t="shared" si="253"/>
        <v>0</v>
      </c>
      <c r="E750" s="15">
        <v>15</v>
      </c>
      <c r="F750" s="190">
        <f t="shared" si="254"/>
        <v>0</v>
      </c>
      <c r="G750" s="149" t="str">
        <f t="shared" si="254"/>
        <v/>
      </c>
      <c r="H750" s="150" t="str">
        <f t="shared" si="254"/>
        <v/>
      </c>
      <c r="I750" s="150">
        <f t="shared" si="254"/>
        <v>0</v>
      </c>
      <c r="J750" s="150">
        <f t="shared" si="254"/>
        <v>0</v>
      </c>
      <c r="K750" s="196">
        <f t="shared" si="254"/>
        <v>0</v>
      </c>
      <c r="L750" s="197">
        <f t="shared" si="254"/>
        <v>0</v>
      </c>
      <c r="M750" s="191">
        <f t="shared" si="254"/>
        <v>0</v>
      </c>
      <c r="N750" s="150">
        <f t="shared" si="254"/>
        <v>0</v>
      </c>
      <c r="O750" s="193">
        <f t="shared" si="254"/>
        <v>0</v>
      </c>
      <c r="P750" s="162">
        <f t="shared" si="257"/>
        <v>0</v>
      </c>
      <c r="Q750" s="162">
        <f t="shared" si="257"/>
        <v>0</v>
      </c>
      <c r="R750" s="162">
        <f t="shared" si="257"/>
        <v>0</v>
      </c>
      <c r="S750" s="162">
        <f t="shared" si="257"/>
        <v>0</v>
      </c>
      <c r="T750" s="162">
        <f t="shared" si="257"/>
        <v>0</v>
      </c>
      <c r="U750" s="162">
        <f t="shared" si="257"/>
        <v>0</v>
      </c>
      <c r="V750" s="162">
        <f t="shared" si="257"/>
        <v>0</v>
      </c>
      <c r="W750" s="162">
        <f t="shared" si="257"/>
        <v>0</v>
      </c>
      <c r="X750" s="162">
        <f t="shared" si="257"/>
        <v>0</v>
      </c>
      <c r="Y750" s="162">
        <f t="shared" si="257"/>
        <v>0</v>
      </c>
      <c r="Z750" s="162">
        <f t="shared" si="257"/>
        <v>0</v>
      </c>
      <c r="AA750" s="162">
        <f t="shared" si="257"/>
        <v>0</v>
      </c>
      <c r="AB750" s="163">
        <f t="shared" si="256"/>
        <v>0</v>
      </c>
      <c r="AC750" s="198"/>
    </row>
    <row r="751" spans="1:29" hidden="1" outlineLevel="1" x14ac:dyDescent="0.25">
      <c r="A751" s="14" t="str">
        <f t="shared" si="239"/>
        <v>TERC_OPER__16</v>
      </c>
      <c r="B751" s="15" t="str">
        <f t="shared" si="252"/>
        <v>TERC_OPER__0_0</v>
      </c>
      <c r="C751" s="83"/>
      <c r="D751" s="15">
        <f t="shared" si="253"/>
        <v>0</v>
      </c>
      <c r="E751" s="15">
        <v>16</v>
      </c>
      <c r="F751" s="190">
        <f t="shared" si="254"/>
        <v>0</v>
      </c>
      <c r="G751" s="149" t="str">
        <f t="shared" si="254"/>
        <v/>
      </c>
      <c r="H751" s="150" t="str">
        <f t="shared" si="254"/>
        <v/>
      </c>
      <c r="I751" s="150">
        <f t="shared" si="254"/>
        <v>0</v>
      </c>
      <c r="J751" s="150">
        <f t="shared" si="254"/>
        <v>0</v>
      </c>
      <c r="K751" s="196">
        <f t="shared" si="254"/>
        <v>0</v>
      </c>
      <c r="L751" s="197">
        <f t="shared" si="254"/>
        <v>0</v>
      </c>
      <c r="M751" s="191">
        <f t="shared" si="254"/>
        <v>0</v>
      </c>
      <c r="N751" s="150">
        <f t="shared" si="254"/>
        <v>0</v>
      </c>
      <c r="O751" s="193">
        <f t="shared" si="254"/>
        <v>0</v>
      </c>
      <c r="P751" s="162">
        <f t="shared" si="257"/>
        <v>0</v>
      </c>
      <c r="Q751" s="162">
        <f t="shared" si="257"/>
        <v>0</v>
      </c>
      <c r="R751" s="162">
        <f t="shared" si="257"/>
        <v>0</v>
      </c>
      <c r="S751" s="162">
        <f t="shared" si="257"/>
        <v>0</v>
      </c>
      <c r="T751" s="162">
        <f t="shared" si="257"/>
        <v>0</v>
      </c>
      <c r="U751" s="162">
        <f t="shared" si="257"/>
        <v>0</v>
      </c>
      <c r="V751" s="162">
        <f t="shared" si="257"/>
        <v>0</v>
      </c>
      <c r="W751" s="162">
        <f t="shared" si="257"/>
        <v>0</v>
      </c>
      <c r="X751" s="162">
        <f t="shared" si="257"/>
        <v>0</v>
      </c>
      <c r="Y751" s="162">
        <f t="shared" si="257"/>
        <v>0</v>
      </c>
      <c r="Z751" s="162">
        <f t="shared" si="257"/>
        <v>0</v>
      </c>
      <c r="AA751" s="162">
        <f t="shared" si="257"/>
        <v>0</v>
      </c>
      <c r="AB751" s="163">
        <f t="shared" si="256"/>
        <v>0</v>
      </c>
      <c r="AC751" s="198"/>
    </row>
    <row r="752" spans="1:29" hidden="1" outlineLevel="1" x14ac:dyDescent="0.25">
      <c r="A752" s="14" t="str">
        <f t="shared" si="239"/>
        <v>TERC_OPER__17</v>
      </c>
      <c r="B752" s="15" t="str">
        <f t="shared" si="252"/>
        <v>TERC_OPER__0_0</v>
      </c>
      <c r="C752" s="83"/>
      <c r="D752" s="15">
        <f t="shared" si="253"/>
        <v>0</v>
      </c>
      <c r="E752" s="15">
        <v>17</v>
      </c>
      <c r="F752" s="190">
        <f t="shared" ref="F752:O767" si="258">F706</f>
        <v>0</v>
      </c>
      <c r="G752" s="149" t="str">
        <f t="shared" si="258"/>
        <v/>
      </c>
      <c r="H752" s="150" t="str">
        <f t="shared" si="258"/>
        <v/>
      </c>
      <c r="I752" s="150">
        <f t="shared" si="258"/>
        <v>0</v>
      </c>
      <c r="J752" s="150">
        <f t="shared" si="258"/>
        <v>0</v>
      </c>
      <c r="K752" s="196">
        <f t="shared" si="258"/>
        <v>0</v>
      </c>
      <c r="L752" s="197">
        <f t="shared" si="258"/>
        <v>0</v>
      </c>
      <c r="M752" s="191">
        <f t="shared" si="258"/>
        <v>0</v>
      </c>
      <c r="N752" s="150">
        <f t="shared" si="258"/>
        <v>0</v>
      </c>
      <c r="O752" s="193">
        <f t="shared" si="258"/>
        <v>0</v>
      </c>
      <c r="P752" s="162">
        <f t="shared" si="257"/>
        <v>0</v>
      </c>
      <c r="Q752" s="162">
        <f t="shared" si="257"/>
        <v>0</v>
      </c>
      <c r="R752" s="162">
        <f t="shared" si="257"/>
        <v>0</v>
      </c>
      <c r="S752" s="162">
        <f t="shared" si="257"/>
        <v>0</v>
      </c>
      <c r="T752" s="162">
        <f t="shared" si="257"/>
        <v>0</v>
      </c>
      <c r="U752" s="162">
        <f t="shared" si="257"/>
        <v>0</v>
      </c>
      <c r="V752" s="162">
        <f t="shared" si="257"/>
        <v>0</v>
      </c>
      <c r="W752" s="162">
        <f t="shared" si="257"/>
        <v>0</v>
      </c>
      <c r="X752" s="162">
        <f t="shared" si="257"/>
        <v>0</v>
      </c>
      <c r="Y752" s="162">
        <f t="shared" si="257"/>
        <v>0</v>
      </c>
      <c r="Z752" s="162">
        <f t="shared" si="257"/>
        <v>0</v>
      </c>
      <c r="AA752" s="162">
        <f t="shared" si="257"/>
        <v>0</v>
      </c>
      <c r="AB752" s="163">
        <f t="shared" si="256"/>
        <v>0</v>
      </c>
      <c r="AC752" s="198"/>
    </row>
    <row r="753" spans="1:29" hidden="1" outlineLevel="1" x14ac:dyDescent="0.25">
      <c r="A753" s="14" t="str">
        <f t="shared" si="239"/>
        <v>TERC_OPER__18</v>
      </c>
      <c r="B753" s="15" t="str">
        <f t="shared" si="252"/>
        <v>TERC_OPER__0_0</v>
      </c>
      <c r="C753" s="83"/>
      <c r="D753" s="15">
        <f t="shared" si="253"/>
        <v>0</v>
      </c>
      <c r="E753" s="15">
        <v>18</v>
      </c>
      <c r="F753" s="190">
        <f t="shared" si="258"/>
        <v>0</v>
      </c>
      <c r="G753" s="149" t="str">
        <f t="shared" si="258"/>
        <v/>
      </c>
      <c r="H753" s="150" t="str">
        <f t="shared" si="258"/>
        <v/>
      </c>
      <c r="I753" s="150">
        <f t="shared" si="258"/>
        <v>0</v>
      </c>
      <c r="J753" s="150">
        <f t="shared" si="258"/>
        <v>0</v>
      </c>
      <c r="K753" s="196">
        <f t="shared" si="258"/>
        <v>0</v>
      </c>
      <c r="L753" s="197">
        <f t="shared" si="258"/>
        <v>0</v>
      </c>
      <c r="M753" s="191">
        <f t="shared" si="258"/>
        <v>0</v>
      </c>
      <c r="N753" s="150">
        <f t="shared" si="258"/>
        <v>0</v>
      </c>
      <c r="O753" s="193">
        <f t="shared" si="258"/>
        <v>0</v>
      </c>
      <c r="P753" s="162">
        <f t="shared" si="257"/>
        <v>0</v>
      </c>
      <c r="Q753" s="162">
        <f t="shared" si="257"/>
        <v>0</v>
      </c>
      <c r="R753" s="162">
        <f t="shared" si="257"/>
        <v>0</v>
      </c>
      <c r="S753" s="162">
        <f t="shared" si="257"/>
        <v>0</v>
      </c>
      <c r="T753" s="162">
        <f t="shared" si="257"/>
        <v>0</v>
      </c>
      <c r="U753" s="162">
        <f t="shared" si="257"/>
        <v>0</v>
      </c>
      <c r="V753" s="162">
        <f t="shared" si="257"/>
        <v>0</v>
      </c>
      <c r="W753" s="162">
        <f t="shared" si="257"/>
        <v>0</v>
      </c>
      <c r="X753" s="162">
        <f t="shared" si="257"/>
        <v>0</v>
      </c>
      <c r="Y753" s="162">
        <f t="shared" si="257"/>
        <v>0</v>
      </c>
      <c r="Z753" s="162">
        <f t="shared" si="257"/>
        <v>0</v>
      </c>
      <c r="AA753" s="162">
        <f t="shared" si="257"/>
        <v>0</v>
      </c>
      <c r="AB753" s="163">
        <f t="shared" si="256"/>
        <v>0</v>
      </c>
      <c r="AC753" s="198"/>
    </row>
    <row r="754" spans="1:29" hidden="1" outlineLevel="1" x14ac:dyDescent="0.25">
      <c r="A754" s="14" t="str">
        <f t="shared" ref="A754:A817" si="259">"TERC_OPER_"&amp;C754&amp;"_"&amp;E754</f>
        <v>TERC_OPER__19</v>
      </c>
      <c r="B754" s="15" t="str">
        <f t="shared" si="252"/>
        <v>TERC_OPER__0_0</v>
      </c>
      <c r="C754" s="83"/>
      <c r="D754" s="15">
        <f t="shared" si="253"/>
        <v>0</v>
      </c>
      <c r="E754" s="15">
        <v>19</v>
      </c>
      <c r="F754" s="190">
        <f t="shared" si="258"/>
        <v>0</v>
      </c>
      <c r="G754" s="149" t="str">
        <f t="shared" si="258"/>
        <v/>
      </c>
      <c r="H754" s="150" t="str">
        <f t="shared" si="258"/>
        <v/>
      </c>
      <c r="I754" s="150">
        <f t="shared" si="258"/>
        <v>0</v>
      </c>
      <c r="J754" s="150">
        <f t="shared" si="258"/>
        <v>0</v>
      </c>
      <c r="K754" s="196">
        <f t="shared" si="258"/>
        <v>0</v>
      </c>
      <c r="L754" s="197">
        <f t="shared" si="258"/>
        <v>0</v>
      </c>
      <c r="M754" s="191">
        <f t="shared" si="258"/>
        <v>0</v>
      </c>
      <c r="N754" s="150">
        <f t="shared" si="258"/>
        <v>0</v>
      </c>
      <c r="O754" s="193">
        <f t="shared" si="258"/>
        <v>0</v>
      </c>
      <c r="P754" s="162">
        <f t="shared" si="257"/>
        <v>0</v>
      </c>
      <c r="Q754" s="162">
        <f t="shared" si="257"/>
        <v>0</v>
      </c>
      <c r="R754" s="162">
        <f t="shared" si="257"/>
        <v>0</v>
      </c>
      <c r="S754" s="162">
        <f t="shared" si="257"/>
        <v>0</v>
      </c>
      <c r="T754" s="162">
        <f t="shared" si="257"/>
        <v>0</v>
      </c>
      <c r="U754" s="162">
        <f t="shared" si="257"/>
        <v>0</v>
      </c>
      <c r="V754" s="162">
        <f t="shared" si="257"/>
        <v>0</v>
      </c>
      <c r="W754" s="162">
        <f t="shared" si="257"/>
        <v>0</v>
      </c>
      <c r="X754" s="162">
        <f t="shared" si="257"/>
        <v>0</v>
      </c>
      <c r="Y754" s="162">
        <f t="shared" si="257"/>
        <v>0</v>
      </c>
      <c r="Z754" s="162">
        <f t="shared" si="257"/>
        <v>0</v>
      </c>
      <c r="AA754" s="162">
        <f t="shared" si="257"/>
        <v>0</v>
      </c>
      <c r="AB754" s="163">
        <f t="shared" si="256"/>
        <v>0</v>
      </c>
      <c r="AC754" s="198"/>
    </row>
    <row r="755" spans="1:29" hidden="1" outlineLevel="1" x14ac:dyDescent="0.25">
      <c r="A755" s="14" t="str">
        <f t="shared" si="259"/>
        <v>TERC_OPER__20</v>
      </c>
      <c r="B755" s="15" t="str">
        <f t="shared" si="252"/>
        <v>TERC_OPER__0_0</v>
      </c>
      <c r="C755" s="83"/>
      <c r="D755" s="15">
        <f t="shared" si="253"/>
        <v>0</v>
      </c>
      <c r="E755" s="15">
        <v>20</v>
      </c>
      <c r="F755" s="190">
        <f t="shared" si="258"/>
        <v>0</v>
      </c>
      <c r="G755" s="149" t="str">
        <f t="shared" si="258"/>
        <v/>
      </c>
      <c r="H755" s="150" t="str">
        <f t="shared" si="258"/>
        <v/>
      </c>
      <c r="I755" s="150">
        <f t="shared" si="258"/>
        <v>0</v>
      </c>
      <c r="J755" s="150">
        <f t="shared" si="258"/>
        <v>0</v>
      </c>
      <c r="K755" s="196">
        <f t="shared" si="258"/>
        <v>0</v>
      </c>
      <c r="L755" s="197">
        <f t="shared" si="258"/>
        <v>0</v>
      </c>
      <c r="M755" s="191">
        <f t="shared" si="258"/>
        <v>0</v>
      </c>
      <c r="N755" s="150">
        <f t="shared" si="258"/>
        <v>0</v>
      </c>
      <c r="O755" s="193">
        <f t="shared" si="258"/>
        <v>0</v>
      </c>
      <c r="P755" s="162">
        <f t="shared" si="257"/>
        <v>0</v>
      </c>
      <c r="Q755" s="162">
        <f t="shared" si="257"/>
        <v>0</v>
      </c>
      <c r="R755" s="162">
        <f t="shared" si="257"/>
        <v>0</v>
      </c>
      <c r="S755" s="162">
        <f t="shared" si="257"/>
        <v>0</v>
      </c>
      <c r="T755" s="162">
        <f t="shared" si="257"/>
        <v>0</v>
      </c>
      <c r="U755" s="162">
        <f t="shared" si="257"/>
        <v>0</v>
      </c>
      <c r="V755" s="162">
        <f t="shared" si="257"/>
        <v>0</v>
      </c>
      <c r="W755" s="162">
        <f t="shared" si="257"/>
        <v>0</v>
      </c>
      <c r="X755" s="162">
        <f t="shared" si="257"/>
        <v>0</v>
      </c>
      <c r="Y755" s="162">
        <f t="shared" si="257"/>
        <v>0</v>
      </c>
      <c r="Z755" s="162">
        <f t="shared" si="257"/>
        <v>0</v>
      </c>
      <c r="AA755" s="162">
        <f t="shared" si="257"/>
        <v>0</v>
      </c>
      <c r="AB755" s="163">
        <f t="shared" si="256"/>
        <v>0</v>
      </c>
      <c r="AC755" s="198"/>
    </row>
    <row r="756" spans="1:29" hidden="1" outlineLevel="1" x14ac:dyDescent="0.25">
      <c r="A756" s="14" t="str">
        <f t="shared" si="259"/>
        <v>TERC_OPER__21</v>
      </c>
      <c r="B756" s="15" t="str">
        <f t="shared" si="252"/>
        <v>TERC_OPER__0_0</v>
      </c>
      <c r="C756" s="83"/>
      <c r="D756" s="15">
        <f t="shared" si="253"/>
        <v>0</v>
      </c>
      <c r="E756" s="15">
        <v>21</v>
      </c>
      <c r="F756" s="190">
        <f t="shared" si="258"/>
        <v>0</v>
      </c>
      <c r="G756" s="149" t="str">
        <f t="shared" si="258"/>
        <v/>
      </c>
      <c r="H756" s="150" t="str">
        <f t="shared" si="258"/>
        <v/>
      </c>
      <c r="I756" s="150">
        <f t="shared" si="258"/>
        <v>0</v>
      </c>
      <c r="J756" s="150">
        <f t="shared" si="258"/>
        <v>0</v>
      </c>
      <c r="K756" s="196">
        <f t="shared" si="258"/>
        <v>0</v>
      </c>
      <c r="L756" s="197">
        <f t="shared" si="258"/>
        <v>0</v>
      </c>
      <c r="M756" s="191">
        <f t="shared" si="258"/>
        <v>0</v>
      </c>
      <c r="N756" s="150">
        <f t="shared" si="258"/>
        <v>0</v>
      </c>
      <c r="O756" s="193">
        <f t="shared" si="258"/>
        <v>0</v>
      </c>
      <c r="P756" s="162">
        <f t="shared" si="257"/>
        <v>0</v>
      </c>
      <c r="Q756" s="162">
        <f t="shared" si="257"/>
        <v>0</v>
      </c>
      <c r="R756" s="162">
        <f t="shared" si="257"/>
        <v>0</v>
      </c>
      <c r="S756" s="162">
        <f t="shared" si="257"/>
        <v>0</v>
      </c>
      <c r="T756" s="162">
        <f t="shared" si="257"/>
        <v>0</v>
      </c>
      <c r="U756" s="162">
        <f t="shared" si="257"/>
        <v>0</v>
      </c>
      <c r="V756" s="162">
        <f t="shared" si="257"/>
        <v>0</v>
      </c>
      <c r="W756" s="162">
        <f t="shared" si="257"/>
        <v>0</v>
      </c>
      <c r="X756" s="162">
        <f t="shared" si="257"/>
        <v>0</v>
      </c>
      <c r="Y756" s="162">
        <f t="shared" si="257"/>
        <v>0</v>
      </c>
      <c r="Z756" s="162">
        <f t="shared" si="257"/>
        <v>0</v>
      </c>
      <c r="AA756" s="162">
        <f t="shared" si="257"/>
        <v>0</v>
      </c>
      <c r="AB756" s="163">
        <f t="shared" si="256"/>
        <v>0</v>
      </c>
      <c r="AC756" s="198"/>
    </row>
    <row r="757" spans="1:29" hidden="1" outlineLevel="1" x14ac:dyDescent="0.25">
      <c r="A757" s="14" t="str">
        <f t="shared" si="259"/>
        <v>TERC_OPER__22</v>
      </c>
      <c r="B757" s="15" t="str">
        <f t="shared" si="252"/>
        <v>TERC_OPER__0_0</v>
      </c>
      <c r="C757" s="83"/>
      <c r="D757" s="15">
        <f t="shared" si="253"/>
        <v>0</v>
      </c>
      <c r="E757" s="15">
        <v>22</v>
      </c>
      <c r="F757" s="190">
        <f t="shared" si="258"/>
        <v>0</v>
      </c>
      <c r="G757" s="149" t="str">
        <f t="shared" si="258"/>
        <v/>
      </c>
      <c r="H757" s="150" t="str">
        <f t="shared" si="258"/>
        <v/>
      </c>
      <c r="I757" s="150">
        <f t="shared" si="258"/>
        <v>0</v>
      </c>
      <c r="J757" s="150">
        <f t="shared" si="258"/>
        <v>0</v>
      </c>
      <c r="K757" s="196">
        <f t="shared" si="258"/>
        <v>0</v>
      </c>
      <c r="L757" s="197">
        <f t="shared" si="258"/>
        <v>0</v>
      </c>
      <c r="M757" s="191">
        <f t="shared" si="258"/>
        <v>0</v>
      </c>
      <c r="N757" s="150">
        <f t="shared" si="258"/>
        <v>0</v>
      </c>
      <c r="O757" s="193">
        <f t="shared" si="258"/>
        <v>0</v>
      </c>
      <c r="P757" s="162">
        <f t="shared" ref="P757:AA772" si="260">IFERROR(SUMIF($B$483:$B$547,$C757&amp;$I757,P$483:P$547)/SUMIF($D$483:$D$547,$I757,P$483:P$547)*P573,0)</f>
        <v>0</v>
      </c>
      <c r="Q757" s="162">
        <f t="shared" si="260"/>
        <v>0</v>
      </c>
      <c r="R757" s="162">
        <f t="shared" si="260"/>
        <v>0</v>
      </c>
      <c r="S757" s="162">
        <f t="shared" si="260"/>
        <v>0</v>
      </c>
      <c r="T757" s="162">
        <f t="shared" si="260"/>
        <v>0</v>
      </c>
      <c r="U757" s="162">
        <f t="shared" si="260"/>
        <v>0</v>
      </c>
      <c r="V757" s="162">
        <f t="shared" si="260"/>
        <v>0</v>
      </c>
      <c r="W757" s="162">
        <f t="shared" si="260"/>
        <v>0</v>
      </c>
      <c r="X757" s="162">
        <f t="shared" si="260"/>
        <v>0</v>
      </c>
      <c r="Y757" s="162">
        <f t="shared" si="260"/>
        <v>0</v>
      </c>
      <c r="Z757" s="162">
        <f t="shared" si="260"/>
        <v>0</v>
      </c>
      <c r="AA757" s="162">
        <f t="shared" si="260"/>
        <v>0</v>
      </c>
      <c r="AB757" s="163">
        <f t="shared" si="256"/>
        <v>0</v>
      </c>
      <c r="AC757" s="198"/>
    </row>
    <row r="758" spans="1:29" hidden="1" outlineLevel="1" x14ac:dyDescent="0.25">
      <c r="A758" s="14" t="str">
        <f t="shared" si="259"/>
        <v>TERC_OPER__23</v>
      </c>
      <c r="B758" s="15" t="str">
        <f t="shared" si="252"/>
        <v>TERC_OPER__0_0</v>
      </c>
      <c r="C758" s="83"/>
      <c r="D758" s="15">
        <f t="shared" si="253"/>
        <v>0</v>
      </c>
      <c r="E758" s="15">
        <v>23</v>
      </c>
      <c r="F758" s="190">
        <f t="shared" si="258"/>
        <v>0</v>
      </c>
      <c r="G758" s="149" t="str">
        <f t="shared" si="258"/>
        <v/>
      </c>
      <c r="H758" s="150" t="str">
        <f t="shared" si="258"/>
        <v/>
      </c>
      <c r="I758" s="150">
        <f t="shared" si="258"/>
        <v>0</v>
      </c>
      <c r="J758" s="150">
        <f t="shared" si="258"/>
        <v>0</v>
      </c>
      <c r="K758" s="196">
        <f t="shared" si="258"/>
        <v>0</v>
      </c>
      <c r="L758" s="197">
        <f t="shared" si="258"/>
        <v>0</v>
      </c>
      <c r="M758" s="191">
        <f t="shared" si="258"/>
        <v>0</v>
      </c>
      <c r="N758" s="150">
        <f t="shared" si="258"/>
        <v>0</v>
      </c>
      <c r="O758" s="193">
        <f t="shared" si="258"/>
        <v>0</v>
      </c>
      <c r="P758" s="162">
        <f t="shared" si="260"/>
        <v>0</v>
      </c>
      <c r="Q758" s="162">
        <f t="shared" si="260"/>
        <v>0</v>
      </c>
      <c r="R758" s="162">
        <f t="shared" si="260"/>
        <v>0</v>
      </c>
      <c r="S758" s="162">
        <f t="shared" si="260"/>
        <v>0</v>
      </c>
      <c r="T758" s="162">
        <f t="shared" si="260"/>
        <v>0</v>
      </c>
      <c r="U758" s="162">
        <f t="shared" si="260"/>
        <v>0</v>
      </c>
      <c r="V758" s="162">
        <f t="shared" si="260"/>
        <v>0</v>
      </c>
      <c r="W758" s="162">
        <f t="shared" si="260"/>
        <v>0</v>
      </c>
      <c r="X758" s="162">
        <f t="shared" si="260"/>
        <v>0</v>
      </c>
      <c r="Y758" s="162">
        <f t="shared" si="260"/>
        <v>0</v>
      </c>
      <c r="Z758" s="162">
        <f t="shared" si="260"/>
        <v>0</v>
      </c>
      <c r="AA758" s="162">
        <f t="shared" si="260"/>
        <v>0</v>
      </c>
      <c r="AB758" s="163">
        <f t="shared" si="256"/>
        <v>0</v>
      </c>
      <c r="AC758" s="198"/>
    </row>
    <row r="759" spans="1:29" hidden="1" outlineLevel="1" x14ac:dyDescent="0.25">
      <c r="A759" s="14" t="str">
        <f t="shared" si="259"/>
        <v>TERC_OPER__24</v>
      </c>
      <c r="B759" s="15" t="str">
        <f t="shared" si="252"/>
        <v>TERC_OPER__0_0</v>
      </c>
      <c r="C759" s="83"/>
      <c r="D759" s="15">
        <f t="shared" si="253"/>
        <v>0</v>
      </c>
      <c r="E759" s="15">
        <v>24</v>
      </c>
      <c r="F759" s="190">
        <f t="shared" si="258"/>
        <v>0</v>
      </c>
      <c r="G759" s="149" t="str">
        <f t="shared" si="258"/>
        <v/>
      </c>
      <c r="H759" s="150" t="str">
        <f t="shared" si="258"/>
        <v/>
      </c>
      <c r="I759" s="150">
        <f t="shared" si="258"/>
        <v>0</v>
      </c>
      <c r="J759" s="150">
        <f t="shared" si="258"/>
        <v>0</v>
      </c>
      <c r="K759" s="196">
        <f t="shared" si="258"/>
        <v>0</v>
      </c>
      <c r="L759" s="197">
        <f t="shared" si="258"/>
        <v>0</v>
      </c>
      <c r="M759" s="191">
        <f t="shared" si="258"/>
        <v>0</v>
      </c>
      <c r="N759" s="150">
        <f t="shared" si="258"/>
        <v>0</v>
      </c>
      <c r="O759" s="193">
        <f t="shared" si="258"/>
        <v>0</v>
      </c>
      <c r="P759" s="162">
        <f t="shared" si="260"/>
        <v>0</v>
      </c>
      <c r="Q759" s="162">
        <f t="shared" si="260"/>
        <v>0</v>
      </c>
      <c r="R759" s="162">
        <f t="shared" si="260"/>
        <v>0</v>
      </c>
      <c r="S759" s="162">
        <f t="shared" si="260"/>
        <v>0</v>
      </c>
      <c r="T759" s="162">
        <f t="shared" si="260"/>
        <v>0</v>
      </c>
      <c r="U759" s="162">
        <f t="shared" si="260"/>
        <v>0</v>
      </c>
      <c r="V759" s="162">
        <f t="shared" si="260"/>
        <v>0</v>
      </c>
      <c r="W759" s="162">
        <f t="shared" si="260"/>
        <v>0</v>
      </c>
      <c r="X759" s="162">
        <f t="shared" si="260"/>
        <v>0</v>
      </c>
      <c r="Y759" s="162">
        <f t="shared" si="260"/>
        <v>0</v>
      </c>
      <c r="Z759" s="162">
        <f t="shared" si="260"/>
        <v>0</v>
      </c>
      <c r="AA759" s="162">
        <f t="shared" si="260"/>
        <v>0</v>
      </c>
      <c r="AB759" s="163">
        <f t="shared" si="256"/>
        <v>0</v>
      </c>
      <c r="AC759" s="198"/>
    </row>
    <row r="760" spans="1:29" hidden="1" outlineLevel="1" x14ac:dyDescent="0.25">
      <c r="A760" s="14" t="str">
        <f t="shared" si="259"/>
        <v>TERC_OPER__25</v>
      </c>
      <c r="B760" s="15" t="str">
        <f t="shared" si="252"/>
        <v>TERC_OPER__0_0</v>
      </c>
      <c r="C760" s="83"/>
      <c r="D760" s="15">
        <f t="shared" si="253"/>
        <v>0</v>
      </c>
      <c r="E760" s="15">
        <v>25</v>
      </c>
      <c r="F760" s="190">
        <f t="shared" si="258"/>
        <v>0</v>
      </c>
      <c r="G760" s="149" t="str">
        <f t="shared" si="258"/>
        <v/>
      </c>
      <c r="H760" s="150" t="str">
        <f t="shared" si="258"/>
        <v/>
      </c>
      <c r="I760" s="150">
        <f t="shared" si="258"/>
        <v>0</v>
      </c>
      <c r="J760" s="150">
        <f t="shared" si="258"/>
        <v>0</v>
      </c>
      <c r="K760" s="196">
        <f t="shared" si="258"/>
        <v>0</v>
      </c>
      <c r="L760" s="197">
        <f t="shared" si="258"/>
        <v>0</v>
      </c>
      <c r="M760" s="191">
        <f t="shared" si="258"/>
        <v>0</v>
      </c>
      <c r="N760" s="150">
        <f t="shared" si="258"/>
        <v>0</v>
      </c>
      <c r="O760" s="193">
        <f t="shared" si="258"/>
        <v>0</v>
      </c>
      <c r="P760" s="162">
        <f t="shared" si="260"/>
        <v>0</v>
      </c>
      <c r="Q760" s="162">
        <f t="shared" si="260"/>
        <v>0</v>
      </c>
      <c r="R760" s="162">
        <f t="shared" si="260"/>
        <v>0</v>
      </c>
      <c r="S760" s="162">
        <f t="shared" si="260"/>
        <v>0</v>
      </c>
      <c r="T760" s="162">
        <f t="shared" si="260"/>
        <v>0</v>
      </c>
      <c r="U760" s="162">
        <f t="shared" si="260"/>
        <v>0</v>
      </c>
      <c r="V760" s="162">
        <f t="shared" si="260"/>
        <v>0</v>
      </c>
      <c r="W760" s="162">
        <f t="shared" si="260"/>
        <v>0</v>
      </c>
      <c r="X760" s="162">
        <f t="shared" si="260"/>
        <v>0</v>
      </c>
      <c r="Y760" s="162">
        <f t="shared" si="260"/>
        <v>0</v>
      </c>
      <c r="Z760" s="162">
        <f t="shared" si="260"/>
        <v>0</v>
      </c>
      <c r="AA760" s="162">
        <f t="shared" si="260"/>
        <v>0</v>
      </c>
      <c r="AB760" s="163">
        <f t="shared" si="256"/>
        <v>0</v>
      </c>
      <c r="AC760" s="198"/>
    </row>
    <row r="761" spans="1:29" hidden="1" outlineLevel="1" x14ac:dyDescent="0.25">
      <c r="A761" s="14" t="str">
        <f t="shared" si="259"/>
        <v>TERC_OPER__26</v>
      </c>
      <c r="B761" s="15" t="str">
        <f t="shared" si="252"/>
        <v>TERC_OPER__0_0</v>
      </c>
      <c r="C761" s="83"/>
      <c r="D761" s="15">
        <f t="shared" si="253"/>
        <v>0</v>
      </c>
      <c r="E761" s="15">
        <v>26</v>
      </c>
      <c r="F761" s="190">
        <f t="shared" si="258"/>
        <v>0</v>
      </c>
      <c r="G761" s="149" t="str">
        <f t="shared" si="258"/>
        <v/>
      </c>
      <c r="H761" s="150" t="str">
        <f t="shared" si="258"/>
        <v/>
      </c>
      <c r="I761" s="150">
        <f t="shared" si="258"/>
        <v>0</v>
      </c>
      <c r="J761" s="150">
        <f t="shared" si="258"/>
        <v>0</v>
      </c>
      <c r="K761" s="196">
        <f t="shared" si="258"/>
        <v>0</v>
      </c>
      <c r="L761" s="197">
        <f t="shared" si="258"/>
        <v>0</v>
      </c>
      <c r="M761" s="191">
        <f t="shared" si="258"/>
        <v>0</v>
      </c>
      <c r="N761" s="150">
        <f t="shared" si="258"/>
        <v>0</v>
      </c>
      <c r="O761" s="193">
        <f t="shared" si="258"/>
        <v>0</v>
      </c>
      <c r="P761" s="162">
        <f t="shared" si="260"/>
        <v>0</v>
      </c>
      <c r="Q761" s="162">
        <f t="shared" si="260"/>
        <v>0</v>
      </c>
      <c r="R761" s="162">
        <f t="shared" si="260"/>
        <v>0</v>
      </c>
      <c r="S761" s="162">
        <f t="shared" si="260"/>
        <v>0</v>
      </c>
      <c r="T761" s="162">
        <f t="shared" si="260"/>
        <v>0</v>
      </c>
      <c r="U761" s="162">
        <f t="shared" si="260"/>
        <v>0</v>
      </c>
      <c r="V761" s="162">
        <f t="shared" si="260"/>
        <v>0</v>
      </c>
      <c r="W761" s="162">
        <f t="shared" si="260"/>
        <v>0</v>
      </c>
      <c r="X761" s="162">
        <f t="shared" si="260"/>
        <v>0</v>
      </c>
      <c r="Y761" s="162">
        <f t="shared" si="260"/>
        <v>0</v>
      </c>
      <c r="Z761" s="162">
        <f t="shared" si="260"/>
        <v>0</v>
      </c>
      <c r="AA761" s="162">
        <f t="shared" si="260"/>
        <v>0</v>
      </c>
      <c r="AB761" s="163">
        <f t="shared" si="256"/>
        <v>0</v>
      </c>
      <c r="AC761" s="198"/>
    </row>
    <row r="762" spans="1:29" hidden="1" outlineLevel="1" x14ac:dyDescent="0.25">
      <c r="A762" s="14" t="str">
        <f t="shared" si="259"/>
        <v>TERC_OPER__27</v>
      </c>
      <c r="B762" s="15" t="str">
        <f t="shared" si="252"/>
        <v>TERC_OPER__0_0</v>
      </c>
      <c r="C762" s="83"/>
      <c r="D762" s="15">
        <f t="shared" si="253"/>
        <v>0</v>
      </c>
      <c r="E762" s="15">
        <v>27</v>
      </c>
      <c r="F762" s="190">
        <f t="shared" si="258"/>
        <v>0</v>
      </c>
      <c r="G762" s="149" t="str">
        <f t="shared" si="258"/>
        <v/>
      </c>
      <c r="H762" s="150" t="str">
        <f t="shared" si="258"/>
        <v/>
      </c>
      <c r="I762" s="150">
        <f t="shared" si="258"/>
        <v>0</v>
      </c>
      <c r="J762" s="150">
        <f t="shared" si="258"/>
        <v>0</v>
      </c>
      <c r="K762" s="196">
        <f t="shared" si="258"/>
        <v>0</v>
      </c>
      <c r="L762" s="197">
        <f t="shared" si="258"/>
        <v>0</v>
      </c>
      <c r="M762" s="191">
        <f t="shared" si="258"/>
        <v>0</v>
      </c>
      <c r="N762" s="150">
        <f t="shared" si="258"/>
        <v>0</v>
      </c>
      <c r="O762" s="193">
        <f t="shared" si="258"/>
        <v>0</v>
      </c>
      <c r="P762" s="162">
        <f t="shared" si="260"/>
        <v>0</v>
      </c>
      <c r="Q762" s="162">
        <f t="shared" si="260"/>
        <v>0</v>
      </c>
      <c r="R762" s="162">
        <f t="shared" si="260"/>
        <v>0</v>
      </c>
      <c r="S762" s="162">
        <f t="shared" si="260"/>
        <v>0</v>
      </c>
      <c r="T762" s="162">
        <f t="shared" si="260"/>
        <v>0</v>
      </c>
      <c r="U762" s="162">
        <f t="shared" si="260"/>
        <v>0</v>
      </c>
      <c r="V762" s="162">
        <f t="shared" si="260"/>
        <v>0</v>
      </c>
      <c r="W762" s="162">
        <f t="shared" si="260"/>
        <v>0</v>
      </c>
      <c r="X762" s="162">
        <f t="shared" si="260"/>
        <v>0</v>
      </c>
      <c r="Y762" s="162">
        <f t="shared" si="260"/>
        <v>0</v>
      </c>
      <c r="Z762" s="162">
        <f t="shared" si="260"/>
        <v>0</v>
      </c>
      <c r="AA762" s="162">
        <f t="shared" si="260"/>
        <v>0</v>
      </c>
      <c r="AB762" s="163">
        <f t="shared" si="256"/>
        <v>0</v>
      </c>
      <c r="AC762" s="198"/>
    </row>
    <row r="763" spans="1:29" hidden="1" outlineLevel="1" x14ac:dyDescent="0.25">
      <c r="A763" s="14" t="str">
        <f t="shared" si="259"/>
        <v>TERC_OPER__28</v>
      </c>
      <c r="B763" s="15" t="str">
        <f t="shared" si="252"/>
        <v>TERC_OPER__0_0</v>
      </c>
      <c r="C763" s="83"/>
      <c r="D763" s="15">
        <f t="shared" si="253"/>
        <v>0</v>
      </c>
      <c r="E763" s="15">
        <v>28</v>
      </c>
      <c r="F763" s="190">
        <f t="shared" si="258"/>
        <v>0</v>
      </c>
      <c r="G763" s="149" t="str">
        <f t="shared" si="258"/>
        <v/>
      </c>
      <c r="H763" s="150" t="str">
        <f t="shared" si="258"/>
        <v/>
      </c>
      <c r="I763" s="150">
        <f t="shared" si="258"/>
        <v>0</v>
      </c>
      <c r="J763" s="150">
        <f t="shared" si="258"/>
        <v>0</v>
      </c>
      <c r="K763" s="196">
        <f t="shared" si="258"/>
        <v>0</v>
      </c>
      <c r="L763" s="197">
        <f t="shared" si="258"/>
        <v>0</v>
      </c>
      <c r="M763" s="191">
        <f t="shared" si="258"/>
        <v>0</v>
      </c>
      <c r="N763" s="150">
        <f t="shared" si="258"/>
        <v>0</v>
      </c>
      <c r="O763" s="193">
        <f t="shared" si="258"/>
        <v>0</v>
      </c>
      <c r="P763" s="162">
        <f t="shared" si="260"/>
        <v>0</v>
      </c>
      <c r="Q763" s="162">
        <f t="shared" si="260"/>
        <v>0</v>
      </c>
      <c r="R763" s="162">
        <f t="shared" si="260"/>
        <v>0</v>
      </c>
      <c r="S763" s="162">
        <f t="shared" si="260"/>
        <v>0</v>
      </c>
      <c r="T763" s="162">
        <f t="shared" si="260"/>
        <v>0</v>
      </c>
      <c r="U763" s="162">
        <f t="shared" si="260"/>
        <v>0</v>
      </c>
      <c r="V763" s="162">
        <f t="shared" si="260"/>
        <v>0</v>
      </c>
      <c r="W763" s="162">
        <f t="shared" si="260"/>
        <v>0</v>
      </c>
      <c r="X763" s="162">
        <f t="shared" si="260"/>
        <v>0</v>
      </c>
      <c r="Y763" s="162">
        <f t="shared" si="260"/>
        <v>0</v>
      </c>
      <c r="Z763" s="162">
        <f t="shared" si="260"/>
        <v>0</v>
      </c>
      <c r="AA763" s="162">
        <f t="shared" si="260"/>
        <v>0</v>
      </c>
      <c r="AB763" s="163">
        <f t="shared" si="256"/>
        <v>0</v>
      </c>
      <c r="AC763" s="198"/>
    </row>
    <row r="764" spans="1:29" hidden="1" outlineLevel="1" x14ac:dyDescent="0.25">
      <c r="A764" s="14" t="str">
        <f t="shared" si="259"/>
        <v>TERC_OPER__29</v>
      </c>
      <c r="B764" s="15" t="str">
        <f t="shared" si="252"/>
        <v>TERC_OPER__0_0</v>
      </c>
      <c r="C764" s="83"/>
      <c r="D764" s="15">
        <f t="shared" si="253"/>
        <v>0</v>
      </c>
      <c r="E764" s="15">
        <v>29</v>
      </c>
      <c r="F764" s="190">
        <f t="shared" si="258"/>
        <v>0</v>
      </c>
      <c r="G764" s="149" t="str">
        <f t="shared" si="258"/>
        <v/>
      </c>
      <c r="H764" s="150" t="str">
        <f t="shared" si="258"/>
        <v/>
      </c>
      <c r="I764" s="150">
        <f t="shared" si="258"/>
        <v>0</v>
      </c>
      <c r="J764" s="150">
        <f t="shared" si="258"/>
        <v>0</v>
      </c>
      <c r="K764" s="196">
        <f t="shared" si="258"/>
        <v>0</v>
      </c>
      <c r="L764" s="197">
        <f t="shared" si="258"/>
        <v>0</v>
      </c>
      <c r="M764" s="191">
        <f t="shared" si="258"/>
        <v>0</v>
      </c>
      <c r="N764" s="150">
        <f t="shared" si="258"/>
        <v>0</v>
      </c>
      <c r="O764" s="193">
        <f t="shared" si="258"/>
        <v>0</v>
      </c>
      <c r="P764" s="162">
        <f t="shared" si="260"/>
        <v>0</v>
      </c>
      <c r="Q764" s="162">
        <f t="shared" si="260"/>
        <v>0</v>
      </c>
      <c r="R764" s="162">
        <f t="shared" si="260"/>
        <v>0</v>
      </c>
      <c r="S764" s="162">
        <f t="shared" si="260"/>
        <v>0</v>
      </c>
      <c r="T764" s="162">
        <f t="shared" si="260"/>
        <v>0</v>
      </c>
      <c r="U764" s="162">
        <f t="shared" si="260"/>
        <v>0</v>
      </c>
      <c r="V764" s="162">
        <f t="shared" si="260"/>
        <v>0</v>
      </c>
      <c r="W764" s="162">
        <f t="shared" si="260"/>
        <v>0</v>
      </c>
      <c r="X764" s="162">
        <f t="shared" si="260"/>
        <v>0</v>
      </c>
      <c r="Y764" s="162">
        <f t="shared" si="260"/>
        <v>0</v>
      </c>
      <c r="Z764" s="162">
        <f t="shared" si="260"/>
        <v>0</v>
      </c>
      <c r="AA764" s="162">
        <f t="shared" si="260"/>
        <v>0</v>
      </c>
      <c r="AB764" s="163">
        <f t="shared" si="256"/>
        <v>0</v>
      </c>
      <c r="AC764" s="198"/>
    </row>
    <row r="765" spans="1:29" hidden="1" outlineLevel="1" x14ac:dyDescent="0.25">
      <c r="A765" s="14" t="str">
        <f t="shared" si="259"/>
        <v>TERC_OPER__30</v>
      </c>
      <c r="B765" s="15" t="str">
        <f t="shared" si="252"/>
        <v>TERC_OPER__0_0</v>
      </c>
      <c r="C765" s="83"/>
      <c r="D765" s="15">
        <f t="shared" si="253"/>
        <v>0</v>
      </c>
      <c r="E765" s="15">
        <v>30</v>
      </c>
      <c r="F765" s="190">
        <f t="shared" si="258"/>
        <v>0</v>
      </c>
      <c r="G765" s="149" t="str">
        <f t="shared" si="258"/>
        <v/>
      </c>
      <c r="H765" s="150" t="str">
        <f t="shared" si="258"/>
        <v/>
      </c>
      <c r="I765" s="150">
        <f t="shared" si="258"/>
        <v>0</v>
      </c>
      <c r="J765" s="150">
        <f t="shared" si="258"/>
        <v>0</v>
      </c>
      <c r="K765" s="196">
        <f t="shared" si="258"/>
        <v>0</v>
      </c>
      <c r="L765" s="197">
        <f t="shared" si="258"/>
        <v>0</v>
      </c>
      <c r="M765" s="191">
        <f t="shared" si="258"/>
        <v>0</v>
      </c>
      <c r="N765" s="150">
        <f t="shared" si="258"/>
        <v>0</v>
      </c>
      <c r="O765" s="193">
        <f t="shared" si="258"/>
        <v>0</v>
      </c>
      <c r="P765" s="162">
        <f t="shared" si="260"/>
        <v>0</v>
      </c>
      <c r="Q765" s="162">
        <f t="shared" si="260"/>
        <v>0</v>
      </c>
      <c r="R765" s="162">
        <f t="shared" si="260"/>
        <v>0</v>
      </c>
      <c r="S765" s="162">
        <f t="shared" si="260"/>
        <v>0</v>
      </c>
      <c r="T765" s="162">
        <f t="shared" si="260"/>
        <v>0</v>
      </c>
      <c r="U765" s="162">
        <f t="shared" si="260"/>
        <v>0</v>
      </c>
      <c r="V765" s="162">
        <f t="shared" si="260"/>
        <v>0</v>
      </c>
      <c r="W765" s="162">
        <f t="shared" si="260"/>
        <v>0</v>
      </c>
      <c r="X765" s="162">
        <f t="shared" si="260"/>
        <v>0</v>
      </c>
      <c r="Y765" s="162">
        <f t="shared" si="260"/>
        <v>0</v>
      </c>
      <c r="Z765" s="162">
        <f t="shared" si="260"/>
        <v>0</v>
      </c>
      <c r="AA765" s="162">
        <f t="shared" si="260"/>
        <v>0</v>
      </c>
      <c r="AB765" s="163">
        <f t="shared" si="256"/>
        <v>0</v>
      </c>
      <c r="AC765" s="198"/>
    </row>
    <row r="766" spans="1:29" hidden="1" outlineLevel="1" x14ac:dyDescent="0.25">
      <c r="A766" s="14" t="str">
        <f t="shared" si="259"/>
        <v>TERC_OPER__31</v>
      </c>
      <c r="B766" s="15" t="str">
        <f t="shared" si="252"/>
        <v>TERC_OPER__0_0</v>
      </c>
      <c r="C766" s="83"/>
      <c r="D766" s="15">
        <f t="shared" si="253"/>
        <v>0</v>
      </c>
      <c r="E766" s="15">
        <v>31</v>
      </c>
      <c r="F766" s="190">
        <f t="shared" si="258"/>
        <v>0</v>
      </c>
      <c r="G766" s="149" t="str">
        <f t="shared" si="258"/>
        <v/>
      </c>
      <c r="H766" s="150" t="str">
        <f t="shared" si="258"/>
        <v/>
      </c>
      <c r="I766" s="150">
        <f t="shared" si="258"/>
        <v>0</v>
      </c>
      <c r="J766" s="150">
        <f t="shared" si="258"/>
        <v>0</v>
      </c>
      <c r="K766" s="196">
        <f t="shared" si="258"/>
        <v>0</v>
      </c>
      <c r="L766" s="197">
        <f t="shared" si="258"/>
        <v>0</v>
      </c>
      <c r="M766" s="191">
        <f t="shared" si="258"/>
        <v>0</v>
      </c>
      <c r="N766" s="150">
        <f t="shared" si="258"/>
        <v>0</v>
      </c>
      <c r="O766" s="193">
        <f t="shared" si="258"/>
        <v>0</v>
      </c>
      <c r="P766" s="162">
        <f t="shared" si="260"/>
        <v>0</v>
      </c>
      <c r="Q766" s="162">
        <f t="shared" si="260"/>
        <v>0</v>
      </c>
      <c r="R766" s="162">
        <f t="shared" si="260"/>
        <v>0</v>
      </c>
      <c r="S766" s="162">
        <f t="shared" si="260"/>
        <v>0</v>
      </c>
      <c r="T766" s="162">
        <f t="shared" si="260"/>
        <v>0</v>
      </c>
      <c r="U766" s="162">
        <f t="shared" si="260"/>
        <v>0</v>
      </c>
      <c r="V766" s="162">
        <f t="shared" si="260"/>
        <v>0</v>
      </c>
      <c r="W766" s="162">
        <f t="shared" si="260"/>
        <v>0</v>
      </c>
      <c r="X766" s="162">
        <f t="shared" si="260"/>
        <v>0</v>
      </c>
      <c r="Y766" s="162">
        <f t="shared" si="260"/>
        <v>0</v>
      </c>
      <c r="Z766" s="162">
        <f t="shared" si="260"/>
        <v>0</v>
      </c>
      <c r="AA766" s="162">
        <f t="shared" si="260"/>
        <v>0</v>
      </c>
      <c r="AB766" s="163">
        <f t="shared" si="256"/>
        <v>0</v>
      </c>
      <c r="AC766" s="198"/>
    </row>
    <row r="767" spans="1:29" hidden="1" outlineLevel="1" x14ac:dyDescent="0.25">
      <c r="A767" s="14" t="str">
        <f t="shared" si="259"/>
        <v>TERC_OPER__32</v>
      </c>
      <c r="B767" s="15" t="str">
        <f t="shared" si="252"/>
        <v>TERC_OPER__0_0</v>
      </c>
      <c r="C767" s="83"/>
      <c r="D767" s="15">
        <f t="shared" si="253"/>
        <v>0</v>
      </c>
      <c r="E767" s="15">
        <v>32</v>
      </c>
      <c r="F767" s="190">
        <f t="shared" si="258"/>
        <v>0</v>
      </c>
      <c r="G767" s="149" t="str">
        <f t="shared" si="258"/>
        <v/>
      </c>
      <c r="H767" s="150" t="str">
        <f t="shared" si="258"/>
        <v/>
      </c>
      <c r="I767" s="150">
        <f t="shared" si="258"/>
        <v>0</v>
      </c>
      <c r="J767" s="150">
        <f t="shared" si="258"/>
        <v>0</v>
      </c>
      <c r="K767" s="196">
        <f t="shared" si="258"/>
        <v>0</v>
      </c>
      <c r="L767" s="197">
        <f t="shared" si="258"/>
        <v>0</v>
      </c>
      <c r="M767" s="191">
        <f t="shared" si="258"/>
        <v>0</v>
      </c>
      <c r="N767" s="150">
        <f t="shared" si="258"/>
        <v>0</v>
      </c>
      <c r="O767" s="193">
        <f t="shared" si="258"/>
        <v>0</v>
      </c>
      <c r="P767" s="162">
        <f t="shared" si="260"/>
        <v>0</v>
      </c>
      <c r="Q767" s="162">
        <f t="shared" si="260"/>
        <v>0</v>
      </c>
      <c r="R767" s="162">
        <f t="shared" si="260"/>
        <v>0</v>
      </c>
      <c r="S767" s="162">
        <f t="shared" si="260"/>
        <v>0</v>
      </c>
      <c r="T767" s="162">
        <f t="shared" si="260"/>
        <v>0</v>
      </c>
      <c r="U767" s="162">
        <f t="shared" si="260"/>
        <v>0</v>
      </c>
      <c r="V767" s="162">
        <f t="shared" si="260"/>
        <v>0</v>
      </c>
      <c r="W767" s="162">
        <f t="shared" si="260"/>
        <v>0</v>
      </c>
      <c r="X767" s="162">
        <f t="shared" si="260"/>
        <v>0</v>
      </c>
      <c r="Y767" s="162">
        <f t="shared" si="260"/>
        <v>0</v>
      </c>
      <c r="Z767" s="162">
        <f t="shared" si="260"/>
        <v>0</v>
      </c>
      <c r="AA767" s="162">
        <f t="shared" si="260"/>
        <v>0</v>
      </c>
      <c r="AB767" s="163">
        <f t="shared" si="256"/>
        <v>0</v>
      </c>
      <c r="AC767" s="198"/>
    </row>
    <row r="768" spans="1:29" hidden="1" outlineLevel="1" x14ac:dyDescent="0.25">
      <c r="A768" s="14" t="str">
        <f t="shared" si="259"/>
        <v>TERC_OPER__33</v>
      </c>
      <c r="B768" s="15" t="str">
        <f t="shared" si="252"/>
        <v>TERC_OPER__0_0</v>
      </c>
      <c r="C768" s="83"/>
      <c r="D768" s="15">
        <f t="shared" si="253"/>
        <v>0</v>
      </c>
      <c r="E768" s="15">
        <v>33</v>
      </c>
      <c r="F768" s="190">
        <f t="shared" ref="F768:O780" si="261">F722</f>
        <v>0</v>
      </c>
      <c r="G768" s="149" t="str">
        <f t="shared" si="261"/>
        <v/>
      </c>
      <c r="H768" s="150" t="str">
        <f t="shared" si="261"/>
        <v/>
      </c>
      <c r="I768" s="150">
        <f t="shared" si="261"/>
        <v>0</v>
      </c>
      <c r="J768" s="150">
        <f t="shared" si="261"/>
        <v>0</v>
      </c>
      <c r="K768" s="196">
        <f t="shared" si="261"/>
        <v>0</v>
      </c>
      <c r="L768" s="197">
        <f t="shared" si="261"/>
        <v>0</v>
      </c>
      <c r="M768" s="191">
        <f t="shared" si="261"/>
        <v>0</v>
      </c>
      <c r="N768" s="150">
        <f t="shared" si="261"/>
        <v>0</v>
      </c>
      <c r="O768" s="193">
        <f t="shared" si="261"/>
        <v>0</v>
      </c>
      <c r="P768" s="162">
        <f t="shared" si="260"/>
        <v>0</v>
      </c>
      <c r="Q768" s="162">
        <f t="shared" si="260"/>
        <v>0</v>
      </c>
      <c r="R768" s="162">
        <f t="shared" si="260"/>
        <v>0</v>
      </c>
      <c r="S768" s="162">
        <f t="shared" si="260"/>
        <v>0</v>
      </c>
      <c r="T768" s="162">
        <f t="shared" si="260"/>
        <v>0</v>
      </c>
      <c r="U768" s="162">
        <f t="shared" si="260"/>
        <v>0</v>
      </c>
      <c r="V768" s="162">
        <f t="shared" si="260"/>
        <v>0</v>
      </c>
      <c r="W768" s="162">
        <f t="shared" si="260"/>
        <v>0</v>
      </c>
      <c r="X768" s="162">
        <f t="shared" si="260"/>
        <v>0</v>
      </c>
      <c r="Y768" s="162">
        <f t="shared" si="260"/>
        <v>0</v>
      </c>
      <c r="Z768" s="162">
        <f t="shared" si="260"/>
        <v>0</v>
      </c>
      <c r="AA768" s="162">
        <f t="shared" si="260"/>
        <v>0</v>
      </c>
      <c r="AB768" s="163">
        <f t="shared" si="256"/>
        <v>0</v>
      </c>
      <c r="AC768" s="198"/>
    </row>
    <row r="769" spans="1:29" hidden="1" outlineLevel="1" x14ac:dyDescent="0.25">
      <c r="A769" s="14" t="str">
        <f t="shared" si="259"/>
        <v>TERC_OPER__34</v>
      </c>
      <c r="B769" s="15" t="str">
        <f t="shared" si="252"/>
        <v>TERC_OPER__0_0</v>
      </c>
      <c r="C769" s="83"/>
      <c r="D769" s="15">
        <f t="shared" si="253"/>
        <v>0</v>
      </c>
      <c r="E769" s="15">
        <v>34</v>
      </c>
      <c r="F769" s="190">
        <f t="shared" si="261"/>
        <v>0</v>
      </c>
      <c r="G769" s="149" t="str">
        <f t="shared" si="261"/>
        <v/>
      </c>
      <c r="H769" s="150" t="str">
        <f t="shared" si="261"/>
        <v/>
      </c>
      <c r="I769" s="150">
        <f t="shared" si="261"/>
        <v>0</v>
      </c>
      <c r="J769" s="150">
        <f t="shared" si="261"/>
        <v>0</v>
      </c>
      <c r="K769" s="196">
        <f t="shared" si="261"/>
        <v>0</v>
      </c>
      <c r="L769" s="197">
        <f t="shared" si="261"/>
        <v>0</v>
      </c>
      <c r="M769" s="191">
        <f t="shared" si="261"/>
        <v>0</v>
      </c>
      <c r="N769" s="150">
        <f t="shared" si="261"/>
        <v>0</v>
      </c>
      <c r="O769" s="193">
        <f t="shared" si="261"/>
        <v>0</v>
      </c>
      <c r="P769" s="162">
        <f t="shared" si="260"/>
        <v>0</v>
      </c>
      <c r="Q769" s="162">
        <f t="shared" si="260"/>
        <v>0</v>
      </c>
      <c r="R769" s="162">
        <f t="shared" si="260"/>
        <v>0</v>
      </c>
      <c r="S769" s="162">
        <f t="shared" si="260"/>
        <v>0</v>
      </c>
      <c r="T769" s="162">
        <f t="shared" si="260"/>
        <v>0</v>
      </c>
      <c r="U769" s="162">
        <f t="shared" si="260"/>
        <v>0</v>
      </c>
      <c r="V769" s="162">
        <f t="shared" si="260"/>
        <v>0</v>
      </c>
      <c r="W769" s="162">
        <f t="shared" si="260"/>
        <v>0</v>
      </c>
      <c r="X769" s="162">
        <f t="shared" si="260"/>
        <v>0</v>
      </c>
      <c r="Y769" s="162">
        <f t="shared" si="260"/>
        <v>0</v>
      </c>
      <c r="Z769" s="162">
        <f t="shared" si="260"/>
        <v>0</v>
      </c>
      <c r="AA769" s="162">
        <f t="shared" si="260"/>
        <v>0</v>
      </c>
      <c r="AB769" s="163">
        <f t="shared" si="256"/>
        <v>0</v>
      </c>
      <c r="AC769" s="198"/>
    </row>
    <row r="770" spans="1:29" hidden="1" outlineLevel="1" x14ac:dyDescent="0.25">
      <c r="A770" s="14" t="str">
        <f t="shared" si="259"/>
        <v>TERC_OPER__35</v>
      </c>
      <c r="B770" s="15" t="str">
        <f t="shared" si="252"/>
        <v>TERC_OPER__0_0</v>
      </c>
      <c r="C770" s="83"/>
      <c r="D770" s="15">
        <f t="shared" si="253"/>
        <v>0</v>
      </c>
      <c r="E770" s="15">
        <v>35</v>
      </c>
      <c r="F770" s="190">
        <f t="shared" si="261"/>
        <v>0</v>
      </c>
      <c r="G770" s="149" t="str">
        <f t="shared" si="261"/>
        <v/>
      </c>
      <c r="H770" s="150" t="str">
        <f t="shared" si="261"/>
        <v/>
      </c>
      <c r="I770" s="150">
        <f t="shared" si="261"/>
        <v>0</v>
      </c>
      <c r="J770" s="150">
        <f t="shared" si="261"/>
        <v>0</v>
      </c>
      <c r="K770" s="196">
        <f t="shared" si="261"/>
        <v>0</v>
      </c>
      <c r="L770" s="197">
        <f t="shared" si="261"/>
        <v>0</v>
      </c>
      <c r="M770" s="191">
        <f t="shared" si="261"/>
        <v>0</v>
      </c>
      <c r="N770" s="150">
        <f t="shared" si="261"/>
        <v>0</v>
      </c>
      <c r="O770" s="193">
        <f t="shared" si="261"/>
        <v>0</v>
      </c>
      <c r="P770" s="162">
        <f t="shared" si="260"/>
        <v>0</v>
      </c>
      <c r="Q770" s="162">
        <f t="shared" si="260"/>
        <v>0</v>
      </c>
      <c r="R770" s="162">
        <f t="shared" si="260"/>
        <v>0</v>
      </c>
      <c r="S770" s="162">
        <f t="shared" si="260"/>
        <v>0</v>
      </c>
      <c r="T770" s="162">
        <f t="shared" si="260"/>
        <v>0</v>
      </c>
      <c r="U770" s="162">
        <f t="shared" si="260"/>
        <v>0</v>
      </c>
      <c r="V770" s="162">
        <f t="shared" si="260"/>
        <v>0</v>
      </c>
      <c r="W770" s="162">
        <f t="shared" si="260"/>
        <v>0</v>
      </c>
      <c r="X770" s="162">
        <f t="shared" si="260"/>
        <v>0</v>
      </c>
      <c r="Y770" s="162">
        <f t="shared" si="260"/>
        <v>0</v>
      </c>
      <c r="Z770" s="162">
        <f t="shared" si="260"/>
        <v>0</v>
      </c>
      <c r="AA770" s="162">
        <f t="shared" si="260"/>
        <v>0</v>
      </c>
      <c r="AB770" s="163">
        <f t="shared" si="256"/>
        <v>0</v>
      </c>
      <c r="AC770" s="198"/>
    </row>
    <row r="771" spans="1:29" hidden="1" outlineLevel="1" x14ac:dyDescent="0.25">
      <c r="A771" s="14" t="str">
        <f t="shared" si="259"/>
        <v>TERC_OPER__36</v>
      </c>
      <c r="B771" s="15" t="str">
        <f t="shared" si="252"/>
        <v>TERC_OPER__0_0</v>
      </c>
      <c r="C771" s="83"/>
      <c r="D771" s="15">
        <f t="shared" si="253"/>
        <v>0</v>
      </c>
      <c r="E771" s="15">
        <v>36</v>
      </c>
      <c r="F771" s="190">
        <f t="shared" si="261"/>
        <v>0</v>
      </c>
      <c r="G771" s="149" t="str">
        <f t="shared" si="261"/>
        <v/>
      </c>
      <c r="H771" s="150" t="str">
        <f t="shared" si="261"/>
        <v/>
      </c>
      <c r="I771" s="150">
        <f t="shared" si="261"/>
        <v>0</v>
      </c>
      <c r="J771" s="150">
        <f t="shared" si="261"/>
        <v>0</v>
      </c>
      <c r="K771" s="196">
        <f t="shared" si="261"/>
        <v>0</v>
      </c>
      <c r="L771" s="197">
        <f t="shared" si="261"/>
        <v>0</v>
      </c>
      <c r="M771" s="191">
        <f t="shared" si="261"/>
        <v>0</v>
      </c>
      <c r="N771" s="150">
        <f t="shared" si="261"/>
        <v>0</v>
      </c>
      <c r="O771" s="193">
        <f t="shared" si="261"/>
        <v>0</v>
      </c>
      <c r="P771" s="162">
        <f t="shared" si="260"/>
        <v>0</v>
      </c>
      <c r="Q771" s="162">
        <f t="shared" si="260"/>
        <v>0</v>
      </c>
      <c r="R771" s="162">
        <f t="shared" si="260"/>
        <v>0</v>
      </c>
      <c r="S771" s="162">
        <f t="shared" si="260"/>
        <v>0</v>
      </c>
      <c r="T771" s="162">
        <f t="shared" si="260"/>
        <v>0</v>
      </c>
      <c r="U771" s="162">
        <f t="shared" si="260"/>
        <v>0</v>
      </c>
      <c r="V771" s="162">
        <f t="shared" si="260"/>
        <v>0</v>
      </c>
      <c r="W771" s="162">
        <f t="shared" si="260"/>
        <v>0</v>
      </c>
      <c r="X771" s="162">
        <f t="shared" si="260"/>
        <v>0</v>
      </c>
      <c r="Y771" s="162">
        <f t="shared" si="260"/>
        <v>0</v>
      </c>
      <c r="Z771" s="162">
        <f t="shared" si="260"/>
        <v>0</v>
      </c>
      <c r="AA771" s="162">
        <f t="shared" si="260"/>
        <v>0</v>
      </c>
      <c r="AB771" s="163">
        <f t="shared" si="256"/>
        <v>0</v>
      </c>
      <c r="AC771" s="198"/>
    </row>
    <row r="772" spans="1:29" hidden="1" outlineLevel="1" x14ac:dyDescent="0.25">
      <c r="A772" s="14" t="str">
        <f t="shared" si="259"/>
        <v>TERC_OPER__37</v>
      </c>
      <c r="B772" s="15" t="str">
        <f t="shared" si="252"/>
        <v>TERC_OPER__0_0</v>
      </c>
      <c r="C772" s="83"/>
      <c r="D772" s="15">
        <f t="shared" si="253"/>
        <v>0</v>
      </c>
      <c r="E772" s="15">
        <v>37</v>
      </c>
      <c r="F772" s="190">
        <f t="shared" si="261"/>
        <v>0</v>
      </c>
      <c r="G772" s="149" t="str">
        <f t="shared" si="261"/>
        <v/>
      </c>
      <c r="H772" s="150" t="str">
        <f t="shared" si="261"/>
        <v/>
      </c>
      <c r="I772" s="150">
        <f t="shared" si="261"/>
        <v>0</v>
      </c>
      <c r="J772" s="150">
        <f t="shared" si="261"/>
        <v>0</v>
      </c>
      <c r="K772" s="196">
        <f t="shared" si="261"/>
        <v>0</v>
      </c>
      <c r="L772" s="197">
        <f t="shared" si="261"/>
        <v>0</v>
      </c>
      <c r="M772" s="191">
        <f t="shared" si="261"/>
        <v>0</v>
      </c>
      <c r="N772" s="150">
        <f t="shared" si="261"/>
        <v>0</v>
      </c>
      <c r="O772" s="193">
        <f t="shared" si="261"/>
        <v>0</v>
      </c>
      <c r="P772" s="162">
        <f t="shared" si="260"/>
        <v>0</v>
      </c>
      <c r="Q772" s="162">
        <f t="shared" si="260"/>
        <v>0</v>
      </c>
      <c r="R772" s="162">
        <f t="shared" si="260"/>
        <v>0</v>
      </c>
      <c r="S772" s="162">
        <f t="shared" si="260"/>
        <v>0</v>
      </c>
      <c r="T772" s="162">
        <f t="shared" si="260"/>
        <v>0</v>
      </c>
      <c r="U772" s="162">
        <f t="shared" si="260"/>
        <v>0</v>
      </c>
      <c r="V772" s="162">
        <f t="shared" si="260"/>
        <v>0</v>
      </c>
      <c r="W772" s="162">
        <f t="shared" si="260"/>
        <v>0</v>
      </c>
      <c r="X772" s="162">
        <f t="shared" si="260"/>
        <v>0</v>
      </c>
      <c r="Y772" s="162">
        <f t="shared" si="260"/>
        <v>0</v>
      </c>
      <c r="Z772" s="162">
        <f t="shared" si="260"/>
        <v>0</v>
      </c>
      <c r="AA772" s="162">
        <f t="shared" si="260"/>
        <v>0</v>
      </c>
      <c r="AB772" s="163">
        <f t="shared" si="256"/>
        <v>0</v>
      </c>
      <c r="AC772" s="198"/>
    </row>
    <row r="773" spans="1:29" hidden="1" outlineLevel="1" x14ac:dyDescent="0.25">
      <c r="A773" s="14" t="str">
        <f t="shared" si="259"/>
        <v>TERC_OPER__38</v>
      </c>
      <c r="B773" s="15" t="str">
        <f t="shared" si="252"/>
        <v>TERC_OPER__0_0</v>
      </c>
      <c r="C773" s="83"/>
      <c r="D773" s="15">
        <f t="shared" si="253"/>
        <v>0</v>
      </c>
      <c r="E773" s="15">
        <v>38</v>
      </c>
      <c r="F773" s="190">
        <f t="shared" si="261"/>
        <v>0</v>
      </c>
      <c r="G773" s="149" t="str">
        <f t="shared" si="261"/>
        <v/>
      </c>
      <c r="H773" s="150" t="str">
        <f t="shared" si="261"/>
        <v/>
      </c>
      <c r="I773" s="150">
        <f t="shared" si="261"/>
        <v>0</v>
      </c>
      <c r="J773" s="150">
        <f t="shared" si="261"/>
        <v>0</v>
      </c>
      <c r="K773" s="196">
        <f t="shared" si="261"/>
        <v>0</v>
      </c>
      <c r="L773" s="197">
        <f t="shared" si="261"/>
        <v>0</v>
      </c>
      <c r="M773" s="191">
        <f t="shared" si="261"/>
        <v>0</v>
      </c>
      <c r="N773" s="150">
        <f t="shared" si="261"/>
        <v>0</v>
      </c>
      <c r="O773" s="193">
        <f t="shared" si="261"/>
        <v>0</v>
      </c>
      <c r="P773" s="162">
        <f t="shared" ref="P773:AA780" si="262">IFERROR(SUMIF($B$483:$B$547,$C773&amp;$I773,P$483:P$547)/SUMIF($D$483:$D$547,$I773,P$483:P$547)*P589,0)</f>
        <v>0</v>
      </c>
      <c r="Q773" s="162">
        <f t="shared" si="262"/>
        <v>0</v>
      </c>
      <c r="R773" s="162">
        <f t="shared" si="262"/>
        <v>0</v>
      </c>
      <c r="S773" s="162">
        <f t="shared" si="262"/>
        <v>0</v>
      </c>
      <c r="T773" s="162">
        <f t="shared" si="262"/>
        <v>0</v>
      </c>
      <c r="U773" s="162">
        <f t="shared" si="262"/>
        <v>0</v>
      </c>
      <c r="V773" s="162">
        <f t="shared" si="262"/>
        <v>0</v>
      </c>
      <c r="W773" s="162">
        <f t="shared" si="262"/>
        <v>0</v>
      </c>
      <c r="X773" s="162">
        <f t="shared" si="262"/>
        <v>0</v>
      </c>
      <c r="Y773" s="162">
        <f t="shared" si="262"/>
        <v>0</v>
      </c>
      <c r="Z773" s="162">
        <f t="shared" si="262"/>
        <v>0</v>
      </c>
      <c r="AA773" s="162">
        <f t="shared" si="262"/>
        <v>0</v>
      </c>
      <c r="AB773" s="163">
        <f t="shared" si="256"/>
        <v>0</v>
      </c>
      <c r="AC773" s="198"/>
    </row>
    <row r="774" spans="1:29" hidden="1" outlineLevel="1" x14ac:dyDescent="0.25">
      <c r="A774" s="14" t="str">
        <f t="shared" si="259"/>
        <v>TERC_OPER__39</v>
      </c>
      <c r="B774" s="15" t="str">
        <f t="shared" si="252"/>
        <v>TERC_OPER__0_0</v>
      </c>
      <c r="C774" s="83"/>
      <c r="D774" s="15">
        <f t="shared" si="253"/>
        <v>0</v>
      </c>
      <c r="E774" s="15">
        <v>39</v>
      </c>
      <c r="F774" s="190">
        <f t="shared" si="261"/>
        <v>0</v>
      </c>
      <c r="G774" s="149" t="str">
        <f t="shared" si="261"/>
        <v/>
      </c>
      <c r="H774" s="150" t="str">
        <f t="shared" si="261"/>
        <v/>
      </c>
      <c r="I774" s="150">
        <f t="shared" si="261"/>
        <v>0</v>
      </c>
      <c r="J774" s="150">
        <f t="shared" si="261"/>
        <v>0</v>
      </c>
      <c r="K774" s="196">
        <f t="shared" si="261"/>
        <v>0</v>
      </c>
      <c r="L774" s="197">
        <f t="shared" si="261"/>
        <v>0</v>
      </c>
      <c r="M774" s="191">
        <f t="shared" si="261"/>
        <v>0</v>
      </c>
      <c r="N774" s="150">
        <f t="shared" si="261"/>
        <v>0</v>
      </c>
      <c r="O774" s="193">
        <f t="shared" si="261"/>
        <v>0</v>
      </c>
      <c r="P774" s="162">
        <f t="shared" si="262"/>
        <v>0</v>
      </c>
      <c r="Q774" s="162">
        <f t="shared" si="262"/>
        <v>0</v>
      </c>
      <c r="R774" s="162">
        <f t="shared" si="262"/>
        <v>0</v>
      </c>
      <c r="S774" s="162">
        <f t="shared" si="262"/>
        <v>0</v>
      </c>
      <c r="T774" s="162">
        <f t="shared" si="262"/>
        <v>0</v>
      </c>
      <c r="U774" s="162">
        <f t="shared" si="262"/>
        <v>0</v>
      </c>
      <c r="V774" s="162">
        <f t="shared" si="262"/>
        <v>0</v>
      </c>
      <c r="W774" s="162">
        <f t="shared" si="262"/>
        <v>0</v>
      </c>
      <c r="X774" s="162">
        <f t="shared" si="262"/>
        <v>0</v>
      </c>
      <c r="Y774" s="162">
        <f t="shared" si="262"/>
        <v>0</v>
      </c>
      <c r="Z774" s="162">
        <f t="shared" si="262"/>
        <v>0</v>
      </c>
      <c r="AA774" s="162">
        <f t="shared" si="262"/>
        <v>0</v>
      </c>
      <c r="AB774" s="163">
        <f t="shared" si="256"/>
        <v>0</v>
      </c>
      <c r="AC774" s="198"/>
    </row>
    <row r="775" spans="1:29" hidden="1" outlineLevel="1" x14ac:dyDescent="0.25">
      <c r="A775" s="14" t="str">
        <f t="shared" si="259"/>
        <v>TERC_OPER__40</v>
      </c>
      <c r="B775" s="15" t="str">
        <f t="shared" si="252"/>
        <v>TERC_OPER__0_0</v>
      </c>
      <c r="C775" s="83"/>
      <c r="D775" s="15">
        <f t="shared" si="253"/>
        <v>0</v>
      </c>
      <c r="E775" s="15">
        <v>40</v>
      </c>
      <c r="F775" s="190">
        <f t="shared" si="261"/>
        <v>0</v>
      </c>
      <c r="G775" s="149" t="str">
        <f t="shared" si="261"/>
        <v/>
      </c>
      <c r="H775" s="150" t="str">
        <f t="shared" si="261"/>
        <v/>
      </c>
      <c r="I775" s="150">
        <f t="shared" si="261"/>
        <v>0</v>
      </c>
      <c r="J775" s="150">
        <f t="shared" si="261"/>
        <v>0</v>
      </c>
      <c r="K775" s="196">
        <f t="shared" si="261"/>
        <v>0</v>
      </c>
      <c r="L775" s="197">
        <f t="shared" si="261"/>
        <v>0</v>
      </c>
      <c r="M775" s="191">
        <f t="shared" si="261"/>
        <v>0</v>
      </c>
      <c r="N775" s="150">
        <f t="shared" si="261"/>
        <v>0</v>
      </c>
      <c r="O775" s="193">
        <f t="shared" si="261"/>
        <v>0</v>
      </c>
      <c r="P775" s="162">
        <f t="shared" si="262"/>
        <v>0</v>
      </c>
      <c r="Q775" s="162">
        <f t="shared" si="262"/>
        <v>0</v>
      </c>
      <c r="R775" s="162">
        <f t="shared" si="262"/>
        <v>0</v>
      </c>
      <c r="S775" s="162">
        <f t="shared" si="262"/>
        <v>0</v>
      </c>
      <c r="T775" s="162">
        <f t="shared" si="262"/>
        <v>0</v>
      </c>
      <c r="U775" s="162">
        <f t="shared" si="262"/>
        <v>0</v>
      </c>
      <c r="V775" s="162">
        <f t="shared" si="262"/>
        <v>0</v>
      </c>
      <c r="W775" s="162">
        <f t="shared" si="262"/>
        <v>0</v>
      </c>
      <c r="X775" s="162">
        <f t="shared" si="262"/>
        <v>0</v>
      </c>
      <c r="Y775" s="162">
        <f t="shared" si="262"/>
        <v>0</v>
      </c>
      <c r="Z775" s="162">
        <f t="shared" si="262"/>
        <v>0</v>
      </c>
      <c r="AA775" s="162">
        <f t="shared" si="262"/>
        <v>0</v>
      </c>
      <c r="AB775" s="163">
        <f t="shared" si="256"/>
        <v>0</v>
      </c>
      <c r="AC775" s="198"/>
    </row>
    <row r="776" spans="1:29" hidden="1" outlineLevel="1" x14ac:dyDescent="0.25">
      <c r="A776" s="14" t="str">
        <f t="shared" si="259"/>
        <v>TERC_OPER__41</v>
      </c>
      <c r="B776" s="15" t="str">
        <f t="shared" si="252"/>
        <v>TERC_OPER__0_0</v>
      </c>
      <c r="C776" s="83"/>
      <c r="D776" s="15">
        <f t="shared" si="253"/>
        <v>0</v>
      </c>
      <c r="E776" s="15">
        <v>41</v>
      </c>
      <c r="F776" s="190">
        <f t="shared" si="261"/>
        <v>0</v>
      </c>
      <c r="G776" s="149" t="str">
        <f t="shared" si="261"/>
        <v/>
      </c>
      <c r="H776" s="150" t="str">
        <f t="shared" si="261"/>
        <v/>
      </c>
      <c r="I776" s="150">
        <f t="shared" si="261"/>
        <v>0</v>
      </c>
      <c r="J776" s="150">
        <f t="shared" si="261"/>
        <v>0</v>
      </c>
      <c r="K776" s="196">
        <f t="shared" si="261"/>
        <v>0</v>
      </c>
      <c r="L776" s="197">
        <f t="shared" si="261"/>
        <v>0</v>
      </c>
      <c r="M776" s="191">
        <f t="shared" si="261"/>
        <v>0</v>
      </c>
      <c r="N776" s="150">
        <f t="shared" si="261"/>
        <v>0</v>
      </c>
      <c r="O776" s="193">
        <f t="shared" si="261"/>
        <v>0</v>
      </c>
      <c r="P776" s="162">
        <f t="shared" si="262"/>
        <v>0</v>
      </c>
      <c r="Q776" s="162">
        <f t="shared" si="262"/>
        <v>0</v>
      </c>
      <c r="R776" s="162">
        <f t="shared" si="262"/>
        <v>0</v>
      </c>
      <c r="S776" s="162">
        <f t="shared" si="262"/>
        <v>0</v>
      </c>
      <c r="T776" s="162">
        <f t="shared" si="262"/>
        <v>0</v>
      </c>
      <c r="U776" s="162">
        <f t="shared" si="262"/>
        <v>0</v>
      </c>
      <c r="V776" s="162">
        <f t="shared" si="262"/>
        <v>0</v>
      </c>
      <c r="W776" s="162">
        <f t="shared" si="262"/>
        <v>0</v>
      </c>
      <c r="X776" s="162">
        <f t="shared" si="262"/>
        <v>0</v>
      </c>
      <c r="Y776" s="162">
        <f t="shared" si="262"/>
        <v>0</v>
      </c>
      <c r="Z776" s="162">
        <f t="shared" si="262"/>
        <v>0</v>
      </c>
      <c r="AA776" s="162">
        <f t="shared" si="262"/>
        <v>0</v>
      </c>
      <c r="AB776" s="163">
        <f t="shared" si="256"/>
        <v>0</v>
      </c>
      <c r="AC776" s="198"/>
    </row>
    <row r="777" spans="1:29" hidden="1" outlineLevel="1" x14ac:dyDescent="0.25">
      <c r="A777" s="14" t="str">
        <f t="shared" si="259"/>
        <v>TERC_OPER__42</v>
      </c>
      <c r="B777" s="15" t="str">
        <f t="shared" si="252"/>
        <v>TERC_OPER__0_0</v>
      </c>
      <c r="C777" s="83"/>
      <c r="D777" s="15">
        <f t="shared" si="253"/>
        <v>0</v>
      </c>
      <c r="E777" s="15">
        <v>42</v>
      </c>
      <c r="F777" s="190">
        <f t="shared" si="261"/>
        <v>0</v>
      </c>
      <c r="G777" s="149" t="str">
        <f t="shared" si="261"/>
        <v/>
      </c>
      <c r="H777" s="150" t="str">
        <f t="shared" si="261"/>
        <v/>
      </c>
      <c r="I777" s="150">
        <f t="shared" si="261"/>
        <v>0</v>
      </c>
      <c r="J777" s="150">
        <f t="shared" si="261"/>
        <v>0</v>
      </c>
      <c r="K777" s="196">
        <f t="shared" si="261"/>
        <v>0</v>
      </c>
      <c r="L777" s="197">
        <f t="shared" si="261"/>
        <v>0</v>
      </c>
      <c r="M777" s="191">
        <f t="shared" si="261"/>
        <v>0</v>
      </c>
      <c r="N777" s="150">
        <f t="shared" si="261"/>
        <v>0</v>
      </c>
      <c r="O777" s="193">
        <f t="shared" si="261"/>
        <v>0</v>
      </c>
      <c r="P777" s="162">
        <f t="shared" si="262"/>
        <v>0</v>
      </c>
      <c r="Q777" s="162">
        <f t="shared" si="262"/>
        <v>0</v>
      </c>
      <c r="R777" s="162">
        <f t="shared" si="262"/>
        <v>0</v>
      </c>
      <c r="S777" s="162">
        <f t="shared" si="262"/>
        <v>0</v>
      </c>
      <c r="T777" s="162">
        <f t="shared" si="262"/>
        <v>0</v>
      </c>
      <c r="U777" s="162">
        <f t="shared" si="262"/>
        <v>0</v>
      </c>
      <c r="V777" s="162">
        <f t="shared" si="262"/>
        <v>0</v>
      </c>
      <c r="W777" s="162">
        <f t="shared" si="262"/>
        <v>0</v>
      </c>
      <c r="X777" s="162">
        <f t="shared" si="262"/>
        <v>0</v>
      </c>
      <c r="Y777" s="162">
        <f t="shared" si="262"/>
        <v>0</v>
      </c>
      <c r="Z777" s="162">
        <f t="shared" si="262"/>
        <v>0</v>
      </c>
      <c r="AA777" s="162">
        <f t="shared" si="262"/>
        <v>0</v>
      </c>
      <c r="AB777" s="163">
        <f t="shared" si="256"/>
        <v>0</v>
      </c>
      <c r="AC777" s="198"/>
    </row>
    <row r="778" spans="1:29" hidden="1" outlineLevel="1" x14ac:dyDescent="0.25">
      <c r="A778" s="14" t="str">
        <f t="shared" si="259"/>
        <v>TERC_OPER__43</v>
      </c>
      <c r="B778" s="15" t="str">
        <f t="shared" si="252"/>
        <v>TERC_OPER__0_0</v>
      </c>
      <c r="C778" s="83"/>
      <c r="D778" s="15">
        <f t="shared" si="253"/>
        <v>0</v>
      </c>
      <c r="E778" s="15">
        <v>43</v>
      </c>
      <c r="F778" s="190">
        <f t="shared" si="261"/>
        <v>0</v>
      </c>
      <c r="G778" s="149" t="str">
        <f t="shared" si="261"/>
        <v/>
      </c>
      <c r="H778" s="150" t="str">
        <f t="shared" si="261"/>
        <v/>
      </c>
      <c r="I778" s="150">
        <f t="shared" si="261"/>
        <v>0</v>
      </c>
      <c r="J778" s="150">
        <f t="shared" si="261"/>
        <v>0</v>
      </c>
      <c r="K778" s="196">
        <f t="shared" si="261"/>
        <v>0</v>
      </c>
      <c r="L778" s="197">
        <f t="shared" si="261"/>
        <v>0</v>
      </c>
      <c r="M778" s="191">
        <f t="shared" si="261"/>
        <v>0</v>
      </c>
      <c r="N778" s="150">
        <f t="shared" si="261"/>
        <v>0</v>
      </c>
      <c r="O778" s="193">
        <f t="shared" si="261"/>
        <v>0</v>
      </c>
      <c r="P778" s="162">
        <f t="shared" si="262"/>
        <v>0</v>
      </c>
      <c r="Q778" s="162">
        <f t="shared" si="262"/>
        <v>0</v>
      </c>
      <c r="R778" s="162">
        <f t="shared" si="262"/>
        <v>0</v>
      </c>
      <c r="S778" s="162">
        <f t="shared" si="262"/>
        <v>0</v>
      </c>
      <c r="T778" s="162">
        <f t="shared" si="262"/>
        <v>0</v>
      </c>
      <c r="U778" s="162">
        <f t="shared" si="262"/>
        <v>0</v>
      </c>
      <c r="V778" s="162">
        <f t="shared" si="262"/>
        <v>0</v>
      </c>
      <c r="W778" s="162">
        <f t="shared" si="262"/>
        <v>0</v>
      </c>
      <c r="X778" s="162">
        <f t="shared" si="262"/>
        <v>0</v>
      </c>
      <c r="Y778" s="162">
        <f t="shared" si="262"/>
        <v>0</v>
      </c>
      <c r="Z778" s="162">
        <f t="shared" si="262"/>
        <v>0</v>
      </c>
      <c r="AA778" s="162">
        <f t="shared" si="262"/>
        <v>0</v>
      </c>
      <c r="AB778" s="163">
        <f t="shared" si="256"/>
        <v>0</v>
      </c>
      <c r="AC778" s="198"/>
    </row>
    <row r="779" spans="1:29" hidden="1" outlineLevel="1" x14ac:dyDescent="0.25">
      <c r="A779" s="14" t="str">
        <f t="shared" si="259"/>
        <v>TERC_OPER__44</v>
      </c>
      <c r="B779" s="15" t="str">
        <f t="shared" si="252"/>
        <v>TERC_OPER__0_0</v>
      </c>
      <c r="C779" s="83"/>
      <c r="D779" s="15">
        <f t="shared" si="253"/>
        <v>0</v>
      </c>
      <c r="E779" s="15">
        <v>44</v>
      </c>
      <c r="F779" s="190">
        <f t="shared" si="261"/>
        <v>0</v>
      </c>
      <c r="G779" s="149" t="str">
        <f t="shared" si="261"/>
        <v/>
      </c>
      <c r="H779" s="150" t="str">
        <f t="shared" si="261"/>
        <v/>
      </c>
      <c r="I779" s="150">
        <f t="shared" si="261"/>
        <v>0</v>
      </c>
      <c r="J779" s="150">
        <f t="shared" si="261"/>
        <v>0</v>
      </c>
      <c r="K779" s="196">
        <f t="shared" si="261"/>
        <v>0</v>
      </c>
      <c r="L779" s="197">
        <f t="shared" si="261"/>
        <v>0</v>
      </c>
      <c r="M779" s="191">
        <f t="shared" si="261"/>
        <v>0</v>
      </c>
      <c r="N779" s="150">
        <f t="shared" si="261"/>
        <v>0</v>
      </c>
      <c r="O779" s="193">
        <f t="shared" si="261"/>
        <v>0</v>
      </c>
      <c r="P779" s="162">
        <f t="shared" si="262"/>
        <v>0</v>
      </c>
      <c r="Q779" s="162">
        <f t="shared" si="262"/>
        <v>0</v>
      </c>
      <c r="R779" s="162">
        <f t="shared" si="262"/>
        <v>0</v>
      </c>
      <c r="S779" s="162">
        <f t="shared" si="262"/>
        <v>0</v>
      </c>
      <c r="T779" s="162">
        <f t="shared" si="262"/>
        <v>0</v>
      </c>
      <c r="U779" s="162">
        <f t="shared" si="262"/>
        <v>0</v>
      </c>
      <c r="V779" s="162">
        <f t="shared" si="262"/>
        <v>0</v>
      </c>
      <c r="W779" s="162">
        <f t="shared" si="262"/>
        <v>0</v>
      </c>
      <c r="X779" s="162">
        <f t="shared" si="262"/>
        <v>0</v>
      </c>
      <c r="Y779" s="162">
        <f t="shared" si="262"/>
        <v>0</v>
      </c>
      <c r="Z779" s="162">
        <f t="shared" si="262"/>
        <v>0</v>
      </c>
      <c r="AA779" s="162">
        <f t="shared" si="262"/>
        <v>0</v>
      </c>
      <c r="AB779" s="163">
        <f t="shared" si="256"/>
        <v>0</v>
      </c>
      <c r="AC779" s="198"/>
    </row>
    <row r="780" spans="1:29" hidden="1" outlineLevel="1" x14ac:dyDescent="0.25">
      <c r="A780" s="14" t="str">
        <f t="shared" si="259"/>
        <v>TERC_OPER__45</v>
      </c>
      <c r="B780" s="15" t="str">
        <f t="shared" si="252"/>
        <v>TERC_OPER__0_0</v>
      </c>
      <c r="C780" s="83"/>
      <c r="D780" s="15">
        <f t="shared" si="253"/>
        <v>0</v>
      </c>
      <c r="E780" s="15">
        <v>45</v>
      </c>
      <c r="F780" s="209">
        <f t="shared" si="261"/>
        <v>0</v>
      </c>
      <c r="G780" s="183" t="str">
        <f t="shared" si="261"/>
        <v/>
      </c>
      <c r="H780" s="184" t="str">
        <f t="shared" si="261"/>
        <v/>
      </c>
      <c r="I780" s="184">
        <f t="shared" si="261"/>
        <v>0</v>
      </c>
      <c r="J780" s="184">
        <f t="shared" si="261"/>
        <v>0</v>
      </c>
      <c r="K780" s="210">
        <f t="shared" si="261"/>
        <v>0</v>
      </c>
      <c r="L780" s="211">
        <f t="shared" si="261"/>
        <v>0</v>
      </c>
      <c r="M780" s="212">
        <f t="shared" si="261"/>
        <v>0</v>
      </c>
      <c r="N780" s="184">
        <f t="shared" si="261"/>
        <v>0</v>
      </c>
      <c r="O780" s="213">
        <f t="shared" si="261"/>
        <v>0</v>
      </c>
      <c r="P780" s="175">
        <f t="shared" si="262"/>
        <v>0</v>
      </c>
      <c r="Q780" s="175">
        <f t="shared" si="262"/>
        <v>0</v>
      </c>
      <c r="R780" s="175">
        <f t="shared" si="262"/>
        <v>0</v>
      </c>
      <c r="S780" s="175">
        <f t="shared" si="262"/>
        <v>0</v>
      </c>
      <c r="T780" s="175">
        <f t="shared" si="262"/>
        <v>0</v>
      </c>
      <c r="U780" s="175">
        <f t="shared" si="262"/>
        <v>0</v>
      </c>
      <c r="V780" s="175">
        <f t="shared" si="262"/>
        <v>0</v>
      </c>
      <c r="W780" s="175">
        <f t="shared" si="262"/>
        <v>0</v>
      </c>
      <c r="X780" s="175">
        <f t="shared" si="262"/>
        <v>0</v>
      </c>
      <c r="Y780" s="175">
        <f t="shared" si="262"/>
        <v>0</v>
      </c>
      <c r="Z780" s="175">
        <f t="shared" si="262"/>
        <v>0</v>
      </c>
      <c r="AA780" s="175">
        <f t="shared" si="262"/>
        <v>0</v>
      </c>
      <c r="AB780" s="176">
        <f t="shared" si="256"/>
        <v>0</v>
      </c>
      <c r="AC780" s="172"/>
    </row>
    <row r="781" spans="1:29" hidden="1" outlineLevel="1" x14ac:dyDescent="0.25">
      <c r="A781" s="14" t="str">
        <f t="shared" si="259"/>
        <v>TERC_OPER__</v>
      </c>
      <c r="F781" s="137" t="s">
        <v>281</v>
      </c>
      <c r="G781" s="138"/>
      <c r="H781" s="139" t="s">
        <v>217</v>
      </c>
      <c r="I781" s="139" t="s">
        <v>218</v>
      </c>
      <c r="J781" s="139" t="s">
        <v>219</v>
      </c>
      <c r="K781" s="140"/>
      <c r="L781" s="141"/>
      <c r="M781" s="142" t="s">
        <v>220</v>
      </c>
      <c r="N781" s="139" t="s">
        <v>221</v>
      </c>
      <c r="O781" s="143" t="s">
        <v>222</v>
      </c>
      <c r="P781" s="35">
        <f t="shared" ref="P781:AA781" si="263">P$9</f>
        <v>46113</v>
      </c>
      <c r="Q781" s="35">
        <f t="shared" si="263"/>
        <v>46143</v>
      </c>
      <c r="R781" s="35">
        <f t="shared" si="263"/>
        <v>46174</v>
      </c>
      <c r="S781" s="35">
        <f t="shared" si="263"/>
        <v>46204</v>
      </c>
      <c r="T781" s="35">
        <f t="shared" si="263"/>
        <v>46235</v>
      </c>
      <c r="U781" s="35">
        <f t="shared" si="263"/>
        <v>46266</v>
      </c>
      <c r="V781" s="35">
        <f t="shared" si="263"/>
        <v>46296</v>
      </c>
      <c r="W781" s="35">
        <f t="shared" si="263"/>
        <v>46327</v>
      </c>
      <c r="X781" s="35">
        <f t="shared" si="263"/>
        <v>46357</v>
      </c>
      <c r="Y781" s="35">
        <f t="shared" si="263"/>
        <v>46388</v>
      </c>
      <c r="Z781" s="35">
        <f t="shared" si="263"/>
        <v>46419</v>
      </c>
      <c r="AA781" s="35">
        <f t="shared" si="263"/>
        <v>46447</v>
      </c>
      <c r="AB781" s="81" t="s">
        <v>223</v>
      </c>
      <c r="AC781" s="82" t="s">
        <v>192</v>
      </c>
    </row>
    <row r="782" spans="1:29" hidden="1" outlineLevel="1" x14ac:dyDescent="0.25">
      <c r="A782" s="14" t="str">
        <f t="shared" si="259"/>
        <v>TERC_OPER__1</v>
      </c>
      <c r="B782" s="15" t="str">
        <f t="shared" ref="B782:B826" si="264">"TERC_OPER_"&amp;C782&amp;"_"&amp;F782&amp;"_"&amp;J782</f>
        <v>TERC_OPER__1018_1</v>
      </c>
      <c r="C782" s="83"/>
      <c r="D782" s="15">
        <f t="shared" ref="D782:D826" si="265">J782</f>
        <v>1</v>
      </c>
      <c r="E782" s="15">
        <v>1</v>
      </c>
      <c r="F782" s="190">
        <f t="shared" ref="F782:O797" si="266">F736</f>
        <v>1018</v>
      </c>
      <c r="G782" s="149" t="str">
        <f t="shared" si="266"/>
        <v/>
      </c>
      <c r="H782" s="150" t="str">
        <f t="shared" si="266"/>
        <v/>
      </c>
      <c r="I782" s="150" t="str">
        <f t="shared" si="266"/>
        <v>PLANCP</v>
      </c>
      <c r="J782" s="150">
        <f t="shared" si="266"/>
        <v>1</v>
      </c>
      <c r="K782" s="196">
        <f t="shared" si="266"/>
        <v>0</v>
      </c>
      <c r="L782" s="197">
        <f t="shared" si="266"/>
        <v>0</v>
      </c>
      <c r="M782" s="191">
        <f t="shared" si="266"/>
        <v>0</v>
      </c>
      <c r="N782" s="150">
        <f t="shared" si="266"/>
        <v>0</v>
      </c>
      <c r="O782" s="193">
        <f t="shared" si="266"/>
        <v>1</v>
      </c>
      <c r="P782" s="162">
        <f t="shared" ref="P782:AA785" si="267">IFERROR(SUMIF($B$483:$B$547,$C782&amp;$I782,P$483:P$547)/SUMIF($D$483:$D$547,$I782,P$483:P$547)*P553,0)</f>
        <v>0</v>
      </c>
      <c r="Q782" s="162">
        <f t="shared" si="267"/>
        <v>0</v>
      </c>
      <c r="R782" s="162">
        <f t="shared" si="267"/>
        <v>0</v>
      </c>
      <c r="S782" s="162">
        <f t="shared" si="267"/>
        <v>0</v>
      </c>
      <c r="T782" s="162">
        <f t="shared" si="267"/>
        <v>0</v>
      </c>
      <c r="U782" s="162">
        <f t="shared" si="267"/>
        <v>0</v>
      </c>
      <c r="V782" s="162">
        <f t="shared" si="267"/>
        <v>0</v>
      </c>
      <c r="W782" s="162">
        <f t="shared" si="267"/>
        <v>0</v>
      </c>
      <c r="X782" s="162">
        <f t="shared" si="267"/>
        <v>0</v>
      </c>
      <c r="Y782" s="162">
        <f t="shared" si="267"/>
        <v>0</v>
      </c>
      <c r="Z782" s="162">
        <f t="shared" si="267"/>
        <v>0</v>
      </c>
      <c r="AA782" s="162">
        <f t="shared" si="267"/>
        <v>0</v>
      </c>
      <c r="AB782" s="163">
        <f t="shared" ref="AB782:AB826" si="268">SUM(P782:AA782)</f>
        <v>0</v>
      </c>
      <c r="AC782" s="198"/>
    </row>
    <row r="783" spans="1:29" hidden="1" outlineLevel="1" x14ac:dyDescent="0.25">
      <c r="A783" s="14" t="str">
        <f t="shared" si="259"/>
        <v>TERC_OPER__2</v>
      </c>
      <c r="B783" s="15" t="str">
        <f t="shared" si="264"/>
        <v>TERC_OPER__1023_1</v>
      </c>
      <c r="C783" s="83"/>
      <c r="D783" s="15">
        <f t="shared" si="265"/>
        <v>1</v>
      </c>
      <c r="E783" s="15">
        <v>2</v>
      </c>
      <c r="F783" s="190">
        <f t="shared" si="266"/>
        <v>1023</v>
      </c>
      <c r="G783" s="149" t="str">
        <f t="shared" si="266"/>
        <v/>
      </c>
      <c r="H783" s="150" t="str">
        <f t="shared" si="266"/>
        <v/>
      </c>
      <c r="I783" s="150" t="str">
        <f t="shared" si="266"/>
        <v>PLANCP</v>
      </c>
      <c r="J783" s="150">
        <f t="shared" si="266"/>
        <v>1</v>
      </c>
      <c r="K783" s="196">
        <f t="shared" si="266"/>
        <v>0</v>
      </c>
      <c r="L783" s="197">
        <f t="shared" si="266"/>
        <v>0</v>
      </c>
      <c r="M783" s="191">
        <f t="shared" si="266"/>
        <v>0</v>
      </c>
      <c r="N783" s="150">
        <f t="shared" si="266"/>
        <v>0</v>
      </c>
      <c r="O783" s="193">
        <f t="shared" si="266"/>
        <v>1</v>
      </c>
      <c r="P783" s="162">
        <f t="shared" si="267"/>
        <v>0</v>
      </c>
      <c r="Q783" s="162">
        <f t="shared" si="267"/>
        <v>0</v>
      </c>
      <c r="R783" s="162">
        <f t="shared" si="267"/>
        <v>0</v>
      </c>
      <c r="S783" s="162">
        <f t="shared" si="267"/>
        <v>0</v>
      </c>
      <c r="T783" s="162">
        <f t="shared" si="267"/>
        <v>0</v>
      </c>
      <c r="U783" s="162">
        <f t="shared" si="267"/>
        <v>0</v>
      </c>
      <c r="V783" s="162">
        <f t="shared" si="267"/>
        <v>0</v>
      </c>
      <c r="W783" s="162">
        <f t="shared" si="267"/>
        <v>0</v>
      </c>
      <c r="X783" s="162">
        <f t="shared" si="267"/>
        <v>0</v>
      </c>
      <c r="Y783" s="162">
        <f t="shared" si="267"/>
        <v>0</v>
      </c>
      <c r="Z783" s="162">
        <f t="shared" si="267"/>
        <v>0</v>
      </c>
      <c r="AA783" s="162">
        <f t="shared" si="267"/>
        <v>0</v>
      </c>
      <c r="AB783" s="163">
        <f t="shared" si="268"/>
        <v>0</v>
      </c>
      <c r="AC783" s="198"/>
    </row>
    <row r="784" spans="1:29" hidden="1" outlineLevel="1" x14ac:dyDescent="0.25">
      <c r="A784" s="14" t="str">
        <f t="shared" si="259"/>
        <v>TERC_OPER__3</v>
      </c>
      <c r="B784" s="15" t="str">
        <f t="shared" si="264"/>
        <v>TERC_OPER__1018_1</v>
      </c>
      <c r="C784" s="83"/>
      <c r="D784" s="15">
        <f t="shared" si="265"/>
        <v>1</v>
      </c>
      <c r="E784" s="15">
        <v>3</v>
      </c>
      <c r="F784" s="190">
        <f t="shared" si="266"/>
        <v>1018</v>
      </c>
      <c r="G784" s="149" t="str">
        <f t="shared" si="266"/>
        <v/>
      </c>
      <c r="H784" s="150" t="str">
        <f t="shared" si="266"/>
        <v/>
      </c>
      <c r="I784" s="150" t="str">
        <f t="shared" si="266"/>
        <v>PLANCF</v>
      </c>
      <c r="J784" s="150">
        <f t="shared" si="266"/>
        <v>1</v>
      </c>
      <c r="K784" s="196">
        <f t="shared" si="266"/>
        <v>0</v>
      </c>
      <c r="L784" s="197">
        <f t="shared" si="266"/>
        <v>0</v>
      </c>
      <c r="M784" s="191">
        <f t="shared" si="266"/>
        <v>0</v>
      </c>
      <c r="N784" s="150">
        <f t="shared" si="266"/>
        <v>0</v>
      </c>
      <c r="O784" s="193">
        <f t="shared" si="266"/>
        <v>1</v>
      </c>
      <c r="P784" s="162">
        <f t="shared" si="267"/>
        <v>0</v>
      </c>
      <c r="Q784" s="162">
        <f t="shared" si="267"/>
        <v>0</v>
      </c>
      <c r="R784" s="162">
        <f t="shared" si="267"/>
        <v>0</v>
      </c>
      <c r="S784" s="162">
        <f t="shared" si="267"/>
        <v>0</v>
      </c>
      <c r="T784" s="162">
        <f t="shared" si="267"/>
        <v>0</v>
      </c>
      <c r="U784" s="162">
        <f t="shared" si="267"/>
        <v>0</v>
      </c>
      <c r="V784" s="162">
        <f t="shared" si="267"/>
        <v>0</v>
      </c>
      <c r="W784" s="162">
        <f t="shared" si="267"/>
        <v>0</v>
      </c>
      <c r="X784" s="162">
        <f t="shared" si="267"/>
        <v>0</v>
      </c>
      <c r="Y784" s="162">
        <f t="shared" si="267"/>
        <v>0</v>
      </c>
      <c r="Z784" s="162">
        <f t="shared" si="267"/>
        <v>0</v>
      </c>
      <c r="AA784" s="162">
        <f t="shared" si="267"/>
        <v>0</v>
      </c>
      <c r="AB784" s="163">
        <f t="shared" si="268"/>
        <v>0</v>
      </c>
      <c r="AC784" s="198"/>
    </row>
    <row r="785" spans="1:29" hidden="1" outlineLevel="1" x14ac:dyDescent="0.25">
      <c r="A785" s="14" t="str">
        <f t="shared" si="259"/>
        <v>TERC_OPER__4</v>
      </c>
      <c r="B785" s="15" t="str">
        <f t="shared" si="264"/>
        <v>TERC_OPER__1023_1</v>
      </c>
      <c r="C785" s="83"/>
      <c r="D785" s="15">
        <f t="shared" si="265"/>
        <v>1</v>
      </c>
      <c r="E785" s="15">
        <v>4</v>
      </c>
      <c r="F785" s="190">
        <f t="shared" si="266"/>
        <v>1023</v>
      </c>
      <c r="G785" s="149" t="str">
        <f t="shared" si="266"/>
        <v/>
      </c>
      <c r="H785" s="150" t="str">
        <f t="shared" si="266"/>
        <v/>
      </c>
      <c r="I785" s="150" t="str">
        <f t="shared" si="266"/>
        <v>PLANCF</v>
      </c>
      <c r="J785" s="150">
        <f t="shared" si="266"/>
        <v>1</v>
      </c>
      <c r="K785" s="196">
        <f t="shared" si="266"/>
        <v>0</v>
      </c>
      <c r="L785" s="197">
        <f t="shared" si="266"/>
        <v>0</v>
      </c>
      <c r="M785" s="191">
        <f t="shared" si="266"/>
        <v>0</v>
      </c>
      <c r="N785" s="150">
        <f t="shared" si="266"/>
        <v>0</v>
      </c>
      <c r="O785" s="193">
        <f t="shared" si="266"/>
        <v>1</v>
      </c>
      <c r="P785" s="162">
        <f t="shared" si="267"/>
        <v>0</v>
      </c>
      <c r="Q785" s="162">
        <f t="shared" si="267"/>
        <v>0</v>
      </c>
      <c r="R785" s="162">
        <f t="shared" si="267"/>
        <v>0</v>
      </c>
      <c r="S785" s="162">
        <f t="shared" si="267"/>
        <v>0</v>
      </c>
      <c r="T785" s="162">
        <f t="shared" si="267"/>
        <v>0</v>
      </c>
      <c r="U785" s="162">
        <f t="shared" si="267"/>
        <v>0</v>
      </c>
      <c r="V785" s="162">
        <f t="shared" si="267"/>
        <v>0</v>
      </c>
      <c r="W785" s="162">
        <f t="shared" si="267"/>
        <v>0</v>
      </c>
      <c r="X785" s="162">
        <f t="shared" si="267"/>
        <v>0</v>
      </c>
      <c r="Y785" s="162">
        <f t="shared" si="267"/>
        <v>0</v>
      </c>
      <c r="Z785" s="162">
        <f t="shared" si="267"/>
        <v>0</v>
      </c>
      <c r="AA785" s="162">
        <f t="shared" si="267"/>
        <v>0</v>
      </c>
      <c r="AB785" s="163">
        <f t="shared" si="268"/>
        <v>0</v>
      </c>
      <c r="AC785" s="159"/>
    </row>
    <row r="786" spans="1:29" hidden="1" outlineLevel="1" x14ac:dyDescent="0.25">
      <c r="A786" s="14" t="str">
        <f t="shared" si="259"/>
        <v>TERC_OPER__5</v>
      </c>
      <c r="B786" s="15" t="e">
        <f t="shared" si="264"/>
        <v>#REF!</v>
      </c>
      <c r="C786" s="83"/>
      <c r="D786" s="15" t="e">
        <f t="shared" si="265"/>
        <v>#REF!</v>
      </c>
      <c r="E786" s="15">
        <v>5</v>
      </c>
      <c r="F786" s="190" t="e">
        <f t="shared" si="266"/>
        <v>#REF!</v>
      </c>
      <c r="G786" s="149" t="e">
        <f t="shared" si="266"/>
        <v>#REF!</v>
      </c>
      <c r="H786" s="150" t="e">
        <f t="shared" si="266"/>
        <v>#REF!</v>
      </c>
      <c r="I786" s="150" t="e">
        <f t="shared" si="266"/>
        <v>#REF!</v>
      </c>
      <c r="J786" s="150" t="e">
        <f t="shared" si="266"/>
        <v>#REF!</v>
      </c>
      <c r="K786" s="196" t="e">
        <f t="shared" si="266"/>
        <v>#REF!</v>
      </c>
      <c r="L786" s="197" t="e">
        <f t="shared" si="266"/>
        <v>#REF!</v>
      </c>
      <c r="M786" s="191" t="e">
        <f t="shared" si="266"/>
        <v>#REF!</v>
      </c>
      <c r="N786" s="150" t="e">
        <f t="shared" si="266"/>
        <v>#REF!</v>
      </c>
      <c r="O786" s="193" t="e">
        <f t="shared" si="266"/>
        <v>#REF!</v>
      </c>
      <c r="P786" s="162">
        <f>IFERROR(SUMIF($B$483:$B$547,$C786&amp;$I786,P$483:P$547)/SUMIF($D$483:$D$547,$I786,P$483:P$547)*#REF!,0)</f>
        <v>0</v>
      </c>
      <c r="Q786" s="162">
        <f>IFERROR(SUMIF($B$483:$B$547,$C786&amp;$I786,Q$483:Q$547)/SUMIF($D$483:$D$547,$I786,Q$483:Q$547)*#REF!,0)</f>
        <v>0</v>
      </c>
      <c r="R786" s="162">
        <f>IFERROR(SUMIF($B$483:$B$547,$C786&amp;$I786,R$483:R$547)/SUMIF($D$483:$D$547,$I786,R$483:R$547)*#REF!,0)</f>
        <v>0</v>
      </c>
      <c r="S786" s="162">
        <f>IFERROR(SUMIF($B$483:$B$547,$C786&amp;$I786,S$483:S$547)/SUMIF($D$483:$D$547,$I786,S$483:S$547)*#REF!,0)</f>
        <v>0</v>
      </c>
      <c r="T786" s="162">
        <f>IFERROR(SUMIF($B$483:$B$547,$C786&amp;$I786,T$483:T$547)/SUMIF($D$483:$D$547,$I786,T$483:T$547)*#REF!,0)</f>
        <v>0</v>
      </c>
      <c r="U786" s="162">
        <f>IFERROR(SUMIF($B$483:$B$547,$C786&amp;$I786,U$483:U$547)/SUMIF($D$483:$D$547,$I786,U$483:U$547)*#REF!,0)</f>
        <v>0</v>
      </c>
      <c r="V786" s="162">
        <f>IFERROR(SUMIF($B$483:$B$547,$C786&amp;$I786,V$483:V$547)/SUMIF($D$483:$D$547,$I786,V$483:V$547)*#REF!,0)</f>
        <v>0</v>
      </c>
      <c r="W786" s="162">
        <f>IFERROR(SUMIF($B$483:$B$547,$C786&amp;$I786,W$483:W$547)/SUMIF($D$483:$D$547,$I786,W$483:W$547)*#REF!,0)</f>
        <v>0</v>
      </c>
      <c r="X786" s="162">
        <f>IFERROR(SUMIF($B$483:$B$547,$C786&amp;$I786,X$483:X$547)/SUMIF($D$483:$D$547,$I786,X$483:X$547)*#REF!,0)</f>
        <v>0</v>
      </c>
      <c r="Y786" s="162">
        <f>IFERROR(SUMIF($B$483:$B$547,$C786&amp;$I786,Y$483:Y$547)/SUMIF($D$483:$D$547,$I786,Y$483:Y$547)*#REF!,0)</f>
        <v>0</v>
      </c>
      <c r="Z786" s="162">
        <f>IFERROR(SUMIF($B$483:$B$547,$C786&amp;$I786,Z$483:Z$547)/SUMIF($D$483:$D$547,$I786,Z$483:Z$547)*#REF!,0)</f>
        <v>0</v>
      </c>
      <c r="AA786" s="162">
        <f>IFERROR(SUMIF($B$483:$B$547,$C786&amp;$I786,AA$483:AA$547)/SUMIF($D$483:$D$547,$I786,AA$483:AA$547)*#REF!,0)</f>
        <v>0</v>
      </c>
      <c r="AB786" s="163">
        <f t="shared" si="268"/>
        <v>0</v>
      </c>
      <c r="AC786" s="159"/>
    </row>
    <row r="787" spans="1:29" hidden="1" outlineLevel="1" x14ac:dyDescent="0.25">
      <c r="A787" s="14" t="str">
        <f t="shared" si="259"/>
        <v>TERC_OPER__6</v>
      </c>
      <c r="B787" s="15" t="str">
        <f t="shared" si="264"/>
        <v>TERC_OPER__1033_1</v>
      </c>
      <c r="C787" s="83"/>
      <c r="D787" s="15">
        <f t="shared" si="265"/>
        <v>1</v>
      </c>
      <c r="E787" s="15">
        <v>6</v>
      </c>
      <c r="F787" s="190">
        <f t="shared" si="266"/>
        <v>1033</v>
      </c>
      <c r="G787" s="149" t="str">
        <f t="shared" si="266"/>
        <v/>
      </c>
      <c r="H787" s="150" t="str">
        <f t="shared" si="266"/>
        <v/>
      </c>
      <c r="I787" s="150" t="str">
        <f t="shared" si="266"/>
        <v>PLANCP</v>
      </c>
      <c r="J787" s="150">
        <f t="shared" si="266"/>
        <v>1</v>
      </c>
      <c r="K787" s="196">
        <f t="shared" si="266"/>
        <v>0</v>
      </c>
      <c r="L787" s="197">
        <f t="shared" si="266"/>
        <v>0</v>
      </c>
      <c r="M787" s="191">
        <f t="shared" si="266"/>
        <v>0</v>
      </c>
      <c r="N787" s="150">
        <f t="shared" si="266"/>
        <v>0</v>
      </c>
      <c r="O787" s="193">
        <f t="shared" si="266"/>
        <v>1</v>
      </c>
      <c r="P787" s="162">
        <f t="shared" ref="P787:AA802" si="269">IFERROR(SUMIF($B$483:$B$547,$C787&amp;$I787,P$483:P$547)/SUMIF($D$483:$D$547,$I787,P$483:P$547)*P557,0)</f>
        <v>0</v>
      </c>
      <c r="Q787" s="162">
        <f t="shared" si="269"/>
        <v>0</v>
      </c>
      <c r="R787" s="162">
        <f t="shared" si="269"/>
        <v>0</v>
      </c>
      <c r="S787" s="162">
        <f t="shared" si="269"/>
        <v>0</v>
      </c>
      <c r="T787" s="162">
        <f t="shared" si="269"/>
        <v>0</v>
      </c>
      <c r="U787" s="162">
        <f t="shared" si="269"/>
        <v>0</v>
      </c>
      <c r="V787" s="162">
        <f t="shared" si="269"/>
        <v>0</v>
      </c>
      <c r="W787" s="162">
        <f t="shared" si="269"/>
        <v>0</v>
      </c>
      <c r="X787" s="162">
        <f t="shared" si="269"/>
        <v>0</v>
      </c>
      <c r="Y787" s="162">
        <f t="shared" si="269"/>
        <v>0</v>
      </c>
      <c r="Z787" s="162">
        <f t="shared" si="269"/>
        <v>0</v>
      </c>
      <c r="AA787" s="162">
        <f t="shared" si="269"/>
        <v>0</v>
      </c>
      <c r="AB787" s="163">
        <f t="shared" si="268"/>
        <v>0</v>
      </c>
      <c r="AC787" s="159"/>
    </row>
    <row r="788" spans="1:29" hidden="1" outlineLevel="1" x14ac:dyDescent="0.25">
      <c r="A788" s="14" t="str">
        <f t="shared" si="259"/>
        <v>TERC_OPER__7</v>
      </c>
      <c r="B788" s="15" t="str">
        <f t="shared" si="264"/>
        <v>TERC_OPER__1044_1</v>
      </c>
      <c r="C788" s="83"/>
      <c r="D788" s="15">
        <f t="shared" si="265"/>
        <v>1</v>
      </c>
      <c r="E788" s="15">
        <v>7</v>
      </c>
      <c r="F788" s="190">
        <f t="shared" si="266"/>
        <v>1044</v>
      </c>
      <c r="G788" s="149" t="str">
        <f t="shared" si="266"/>
        <v/>
      </c>
      <c r="H788" s="150" t="str">
        <f t="shared" si="266"/>
        <v/>
      </c>
      <c r="I788" s="150" t="str">
        <f t="shared" si="266"/>
        <v>PLANCP</v>
      </c>
      <c r="J788" s="150">
        <f t="shared" si="266"/>
        <v>1</v>
      </c>
      <c r="K788" s="196">
        <f t="shared" si="266"/>
        <v>0</v>
      </c>
      <c r="L788" s="197">
        <f t="shared" si="266"/>
        <v>0</v>
      </c>
      <c r="M788" s="191">
        <f t="shared" si="266"/>
        <v>0</v>
      </c>
      <c r="N788" s="150">
        <f t="shared" si="266"/>
        <v>0</v>
      </c>
      <c r="O788" s="193">
        <f t="shared" si="266"/>
        <v>1</v>
      </c>
      <c r="P788" s="162">
        <f t="shared" si="269"/>
        <v>0</v>
      </c>
      <c r="Q788" s="162">
        <f t="shared" si="269"/>
        <v>0</v>
      </c>
      <c r="R788" s="162">
        <f t="shared" si="269"/>
        <v>0</v>
      </c>
      <c r="S788" s="162">
        <f t="shared" si="269"/>
        <v>0</v>
      </c>
      <c r="T788" s="162">
        <f t="shared" si="269"/>
        <v>0</v>
      </c>
      <c r="U788" s="162">
        <f t="shared" si="269"/>
        <v>0</v>
      </c>
      <c r="V788" s="162">
        <f t="shared" si="269"/>
        <v>0</v>
      </c>
      <c r="W788" s="162">
        <f t="shared" si="269"/>
        <v>0</v>
      </c>
      <c r="X788" s="162">
        <f t="shared" si="269"/>
        <v>0</v>
      </c>
      <c r="Y788" s="162">
        <f t="shared" si="269"/>
        <v>0</v>
      </c>
      <c r="Z788" s="162">
        <f t="shared" si="269"/>
        <v>0</v>
      </c>
      <c r="AA788" s="162">
        <f t="shared" si="269"/>
        <v>0</v>
      </c>
      <c r="AB788" s="163">
        <f t="shared" si="268"/>
        <v>0</v>
      </c>
      <c r="AC788" s="159"/>
    </row>
    <row r="789" spans="1:29" hidden="1" outlineLevel="1" x14ac:dyDescent="0.25">
      <c r="A789" s="14" t="str">
        <f t="shared" si="259"/>
        <v>TERC_OPER__8</v>
      </c>
      <c r="B789" s="15" t="str">
        <f t="shared" si="264"/>
        <v>TERC_OPER__0_0</v>
      </c>
      <c r="C789" s="83"/>
      <c r="D789" s="15">
        <f t="shared" si="265"/>
        <v>0</v>
      </c>
      <c r="E789" s="15">
        <v>8</v>
      </c>
      <c r="F789" s="190">
        <f t="shared" si="266"/>
        <v>0</v>
      </c>
      <c r="G789" s="149" t="str">
        <f t="shared" si="266"/>
        <v/>
      </c>
      <c r="H789" s="150" t="str">
        <f t="shared" si="266"/>
        <v/>
      </c>
      <c r="I789" s="150">
        <f t="shared" si="266"/>
        <v>0</v>
      </c>
      <c r="J789" s="150">
        <f t="shared" si="266"/>
        <v>0</v>
      </c>
      <c r="K789" s="196">
        <f t="shared" si="266"/>
        <v>0</v>
      </c>
      <c r="L789" s="197">
        <f t="shared" si="266"/>
        <v>0</v>
      </c>
      <c r="M789" s="191">
        <f t="shared" si="266"/>
        <v>0</v>
      </c>
      <c r="N789" s="150">
        <f t="shared" si="266"/>
        <v>0</v>
      </c>
      <c r="O789" s="193">
        <f t="shared" si="266"/>
        <v>0</v>
      </c>
      <c r="P789" s="162">
        <f t="shared" si="269"/>
        <v>0</v>
      </c>
      <c r="Q789" s="162">
        <f t="shared" si="269"/>
        <v>0</v>
      </c>
      <c r="R789" s="162">
        <f t="shared" si="269"/>
        <v>0</v>
      </c>
      <c r="S789" s="162">
        <f t="shared" si="269"/>
        <v>0</v>
      </c>
      <c r="T789" s="162">
        <f t="shared" si="269"/>
        <v>0</v>
      </c>
      <c r="U789" s="162">
        <f t="shared" si="269"/>
        <v>0</v>
      </c>
      <c r="V789" s="162">
        <f t="shared" si="269"/>
        <v>0</v>
      </c>
      <c r="W789" s="162">
        <f t="shared" si="269"/>
        <v>0</v>
      </c>
      <c r="X789" s="162">
        <f t="shared" si="269"/>
        <v>0</v>
      </c>
      <c r="Y789" s="162">
        <f t="shared" si="269"/>
        <v>0</v>
      </c>
      <c r="Z789" s="162">
        <f t="shared" si="269"/>
        <v>0</v>
      </c>
      <c r="AA789" s="162">
        <f t="shared" si="269"/>
        <v>0</v>
      </c>
      <c r="AB789" s="163">
        <f t="shared" si="268"/>
        <v>0</v>
      </c>
      <c r="AC789" s="159"/>
    </row>
    <row r="790" spans="1:29" hidden="1" outlineLevel="1" x14ac:dyDescent="0.25">
      <c r="A790" s="14" t="str">
        <f t="shared" si="259"/>
        <v>TERC_OPER__9</v>
      </c>
      <c r="B790" s="15" t="str">
        <f t="shared" si="264"/>
        <v>TERC_OPER__0_0</v>
      </c>
      <c r="C790" s="83"/>
      <c r="D790" s="15">
        <f t="shared" si="265"/>
        <v>0</v>
      </c>
      <c r="E790" s="15">
        <v>9</v>
      </c>
      <c r="F790" s="190">
        <f t="shared" si="266"/>
        <v>0</v>
      </c>
      <c r="G790" s="149" t="str">
        <f t="shared" si="266"/>
        <v/>
      </c>
      <c r="H790" s="150" t="str">
        <f t="shared" si="266"/>
        <v/>
      </c>
      <c r="I790" s="150">
        <f t="shared" si="266"/>
        <v>0</v>
      </c>
      <c r="J790" s="150">
        <f t="shared" si="266"/>
        <v>0</v>
      </c>
      <c r="K790" s="196">
        <f t="shared" si="266"/>
        <v>0</v>
      </c>
      <c r="L790" s="197">
        <f t="shared" si="266"/>
        <v>0</v>
      </c>
      <c r="M790" s="191">
        <f t="shared" si="266"/>
        <v>0</v>
      </c>
      <c r="N790" s="150">
        <f t="shared" si="266"/>
        <v>0</v>
      </c>
      <c r="O790" s="193">
        <f t="shared" si="266"/>
        <v>0</v>
      </c>
      <c r="P790" s="162">
        <f t="shared" si="269"/>
        <v>0</v>
      </c>
      <c r="Q790" s="162">
        <f t="shared" si="269"/>
        <v>0</v>
      </c>
      <c r="R790" s="162">
        <f t="shared" si="269"/>
        <v>0</v>
      </c>
      <c r="S790" s="162">
        <f t="shared" si="269"/>
        <v>0</v>
      </c>
      <c r="T790" s="162">
        <f t="shared" si="269"/>
        <v>0</v>
      </c>
      <c r="U790" s="162">
        <f t="shared" si="269"/>
        <v>0</v>
      </c>
      <c r="V790" s="162">
        <f t="shared" si="269"/>
        <v>0</v>
      </c>
      <c r="W790" s="162">
        <f t="shared" si="269"/>
        <v>0</v>
      </c>
      <c r="X790" s="162">
        <f t="shared" si="269"/>
        <v>0</v>
      </c>
      <c r="Y790" s="162">
        <f t="shared" si="269"/>
        <v>0</v>
      </c>
      <c r="Z790" s="162">
        <f t="shared" si="269"/>
        <v>0</v>
      </c>
      <c r="AA790" s="162">
        <f t="shared" si="269"/>
        <v>0</v>
      </c>
      <c r="AB790" s="163">
        <f t="shared" si="268"/>
        <v>0</v>
      </c>
      <c r="AC790" s="159"/>
    </row>
    <row r="791" spans="1:29" hidden="1" outlineLevel="1" x14ac:dyDescent="0.25">
      <c r="A791" s="14" t="str">
        <f t="shared" si="259"/>
        <v>TERC_OPER__10</v>
      </c>
      <c r="B791" s="15" t="str">
        <f t="shared" si="264"/>
        <v>TERC_OPER__0_0</v>
      </c>
      <c r="C791" s="83"/>
      <c r="D791" s="15">
        <f t="shared" si="265"/>
        <v>0</v>
      </c>
      <c r="E791" s="15">
        <v>10</v>
      </c>
      <c r="F791" s="190">
        <f t="shared" si="266"/>
        <v>0</v>
      </c>
      <c r="G791" s="149" t="str">
        <f t="shared" si="266"/>
        <v/>
      </c>
      <c r="H791" s="150" t="str">
        <f t="shared" si="266"/>
        <v/>
      </c>
      <c r="I791" s="150">
        <f t="shared" si="266"/>
        <v>0</v>
      </c>
      <c r="J791" s="150">
        <f t="shared" si="266"/>
        <v>0</v>
      </c>
      <c r="K791" s="196">
        <f t="shared" si="266"/>
        <v>0</v>
      </c>
      <c r="L791" s="197">
        <f t="shared" si="266"/>
        <v>0</v>
      </c>
      <c r="M791" s="191">
        <f t="shared" si="266"/>
        <v>0</v>
      </c>
      <c r="N791" s="150">
        <f t="shared" si="266"/>
        <v>0</v>
      </c>
      <c r="O791" s="193">
        <f t="shared" si="266"/>
        <v>0</v>
      </c>
      <c r="P791" s="162">
        <f t="shared" si="269"/>
        <v>0</v>
      </c>
      <c r="Q791" s="162">
        <f t="shared" si="269"/>
        <v>0</v>
      </c>
      <c r="R791" s="162">
        <f t="shared" si="269"/>
        <v>0</v>
      </c>
      <c r="S791" s="162">
        <f t="shared" si="269"/>
        <v>0</v>
      </c>
      <c r="T791" s="162">
        <f t="shared" si="269"/>
        <v>0</v>
      </c>
      <c r="U791" s="162">
        <f t="shared" si="269"/>
        <v>0</v>
      </c>
      <c r="V791" s="162">
        <f t="shared" si="269"/>
        <v>0</v>
      </c>
      <c r="W791" s="162">
        <f t="shared" si="269"/>
        <v>0</v>
      </c>
      <c r="X791" s="162">
        <f t="shared" si="269"/>
        <v>0</v>
      </c>
      <c r="Y791" s="162">
        <f t="shared" si="269"/>
        <v>0</v>
      </c>
      <c r="Z791" s="162">
        <f t="shared" si="269"/>
        <v>0</v>
      </c>
      <c r="AA791" s="162">
        <f t="shared" si="269"/>
        <v>0</v>
      </c>
      <c r="AB791" s="163">
        <f t="shared" si="268"/>
        <v>0</v>
      </c>
      <c r="AC791" s="159"/>
    </row>
    <row r="792" spans="1:29" hidden="1" outlineLevel="1" x14ac:dyDescent="0.25">
      <c r="A792" s="14" t="str">
        <f t="shared" si="259"/>
        <v>TERC_OPER__11</v>
      </c>
      <c r="B792" s="15" t="str">
        <f t="shared" si="264"/>
        <v>TERC_OPER__0_0</v>
      </c>
      <c r="C792" s="83"/>
      <c r="D792" s="15">
        <f t="shared" si="265"/>
        <v>0</v>
      </c>
      <c r="E792" s="15">
        <v>11</v>
      </c>
      <c r="F792" s="190">
        <f t="shared" si="266"/>
        <v>0</v>
      </c>
      <c r="G792" s="149" t="str">
        <f t="shared" si="266"/>
        <v/>
      </c>
      <c r="H792" s="150" t="str">
        <f t="shared" si="266"/>
        <v/>
      </c>
      <c r="I792" s="150">
        <f t="shared" si="266"/>
        <v>0</v>
      </c>
      <c r="J792" s="150">
        <f t="shared" si="266"/>
        <v>0</v>
      </c>
      <c r="K792" s="196">
        <f t="shared" si="266"/>
        <v>0</v>
      </c>
      <c r="L792" s="197">
        <f t="shared" si="266"/>
        <v>0</v>
      </c>
      <c r="M792" s="191">
        <f t="shared" si="266"/>
        <v>0</v>
      </c>
      <c r="N792" s="150">
        <f t="shared" si="266"/>
        <v>0</v>
      </c>
      <c r="O792" s="193">
        <f t="shared" si="266"/>
        <v>0</v>
      </c>
      <c r="P792" s="162">
        <f t="shared" si="269"/>
        <v>0</v>
      </c>
      <c r="Q792" s="162">
        <f t="shared" si="269"/>
        <v>0</v>
      </c>
      <c r="R792" s="162">
        <f t="shared" si="269"/>
        <v>0</v>
      </c>
      <c r="S792" s="162">
        <f t="shared" si="269"/>
        <v>0</v>
      </c>
      <c r="T792" s="162">
        <f t="shared" si="269"/>
        <v>0</v>
      </c>
      <c r="U792" s="162">
        <f t="shared" si="269"/>
        <v>0</v>
      </c>
      <c r="V792" s="162">
        <f t="shared" si="269"/>
        <v>0</v>
      </c>
      <c r="W792" s="162">
        <f t="shared" si="269"/>
        <v>0</v>
      </c>
      <c r="X792" s="162">
        <f t="shared" si="269"/>
        <v>0</v>
      </c>
      <c r="Y792" s="162">
        <f t="shared" si="269"/>
        <v>0</v>
      </c>
      <c r="Z792" s="162">
        <f t="shared" si="269"/>
        <v>0</v>
      </c>
      <c r="AA792" s="162">
        <f t="shared" si="269"/>
        <v>0</v>
      </c>
      <c r="AB792" s="163">
        <f t="shared" si="268"/>
        <v>0</v>
      </c>
      <c r="AC792" s="198"/>
    </row>
    <row r="793" spans="1:29" hidden="1" outlineLevel="1" x14ac:dyDescent="0.25">
      <c r="A793" s="14" t="str">
        <f t="shared" si="259"/>
        <v>TERC_OPER__12</v>
      </c>
      <c r="B793" s="15" t="str">
        <f t="shared" si="264"/>
        <v>TERC_OPER__0_0</v>
      </c>
      <c r="C793" s="83"/>
      <c r="D793" s="15">
        <f t="shared" si="265"/>
        <v>0</v>
      </c>
      <c r="E793" s="15">
        <v>12</v>
      </c>
      <c r="F793" s="190">
        <f t="shared" si="266"/>
        <v>0</v>
      </c>
      <c r="G793" s="149" t="str">
        <f t="shared" si="266"/>
        <v/>
      </c>
      <c r="H793" s="150" t="str">
        <f t="shared" si="266"/>
        <v/>
      </c>
      <c r="I793" s="150">
        <f t="shared" si="266"/>
        <v>0</v>
      </c>
      <c r="J793" s="150">
        <f t="shared" si="266"/>
        <v>0</v>
      </c>
      <c r="K793" s="196">
        <f t="shared" si="266"/>
        <v>0</v>
      </c>
      <c r="L793" s="197">
        <f t="shared" si="266"/>
        <v>0</v>
      </c>
      <c r="M793" s="191">
        <f t="shared" si="266"/>
        <v>0</v>
      </c>
      <c r="N793" s="150">
        <f t="shared" si="266"/>
        <v>0</v>
      </c>
      <c r="O793" s="193">
        <f t="shared" si="266"/>
        <v>0</v>
      </c>
      <c r="P793" s="162">
        <f t="shared" si="269"/>
        <v>0</v>
      </c>
      <c r="Q793" s="162">
        <f t="shared" si="269"/>
        <v>0</v>
      </c>
      <c r="R793" s="162">
        <f t="shared" si="269"/>
        <v>0</v>
      </c>
      <c r="S793" s="162">
        <f t="shared" si="269"/>
        <v>0</v>
      </c>
      <c r="T793" s="162">
        <f t="shared" si="269"/>
        <v>0</v>
      </c>
      <c r="U793" s="162">
        <f t="shared" si="269"/>
        <v>0</v>
      </c>
      <c r="V793" s="162">
        <f t="shared" si="269"/>
        <v>0</v>
      </c>
      <c r="W793" s="162">
        <f t="shared" si="269"/>
        <v>0</v>
      </c>
      <c r="X793" s="162">
        <f t="shared" si="269"/>
        <v>0</v>
      </c>
      <c r="Y793" s="162">
        <f t="shared" si="269"/>
        <v>0</v>
      </c>
      <c r="Z793" s="162">
        <f t="shared" si="269"/>
        <v>0</v>
      </c>
      <c r="AA793" s="162">
        <f t="shared" si="269"/>
        <v>0</v>
      </c>
      <c r="AB793" s="163">
        <f t="shared" si="268"/>
        <v>0</v>
      </c>
      <c r="AC793" s="198"/>
    </row>
    <row r="794" spans="1:29" hidden="1" outlineLevel="1" x14ac:dyDescent="0.25">
      <c r="A794" s="14" t="str">
        <f t="shared" si="259"/>
        <v>TERC_OPER__13</v>
      </c>
      <c r="B794" s="15" t="str">
        <f t="shared" si="264"/>
        <v>TERC_OPER__0_0</v>
      </c>
      <c r="C794" s="83"/>
      <c r="D794" s="15">
        <f t="shared" si="265"/>
        <v>0</v>
      </c>
      <c r="E794" s="15">
        <v>13</v>
      </c>
      <c r="F794" s="190">
        <f t="shared" si="266"/>
        <v>0</v>
      </c>
      <c r="G794" s="149" t="str">
        <f t="shared" si="266"/>
        <v/>
      </c>
      <c r="H794" s="150" t="str">
        <f t="shared" si="266"/>
        <v/>
      </c>
      <c r="I794" s="150">
        <f t="shared" si="266"/>
        <v>0</v>
      </c>
      <c r="J794" s="150">
        <f t="shared" si="266"/>
        <v>0</v>
      </c>
      <c r="K794" s="196">
        <f t="shared" si="266"/>
        <v>0</v>
      </c>
      <c r="L794" s="197">
        <f t="shared" si="266"/>
        <v>0</v>
      </c>
      <c r="M794" s="191">
        <f t="shared" si="266"/>
        <v>0</v>
      </c>
      <c r="N794" s="150">
        <f t="shared" si="266"/>
        <v>0</v>
      </c>
      <c r="O794" s="193">
        <f t="shared" si="266"/>
        <v>0</v>
      </c>
      <c r="P794" s="162">
        <f t="shared" si="269"/>
        <v>0</v>
      </c>
      <c r="Q794" s="162">
        <f t="shared" si="269"/>
        <v>0</v>
      </c>
      <c r="R794" s="162">
        <f t="shared" si="269"/>
        <v>0</v>
      </c>
      <c r="S794" s="162">
        <f t="shared" si="269"/>
        <v>0</v>
      </c>
      <c r="T794" s="162">
        <f t="shared" si="269"/>
        <v>0</v>
      </c>
      <c r="U794" s="162">
        <f t="shared" si="269"/>
        <v>0</v>
      </c>
      <c r="V794" s="162">
        <f t="shared" si="269"/>
        <v>0</v>
      </c>
      <c r="W794" s="162">
        <f t="shared" si="269"/>
        <v>0</v>
      </c>
      <c r="X794" s="162">
        <f t="shared" si="269"/>
        <v>0</v>
      </c>
      <c r="Y794" s="162">
        <f t="shared" si="269"/>
        <v>0</v>
      </c>
      <c r="Z794" s="162">
        <f t="shared" si="269"/>
        <v>0</v>
      </c>
      <c r="AA794" s="162">
        <f t="shared" si="269"/>
        <v>0</v>
      </c>
      <c r="AB794" s="163">
        <f t="shared" si="268"/>
        <v>0</v>
      </c>
      <c r="AC794" s="198"/>
    </row>
    <row r="795" spans="1:29" hidden="1" outlineLevel="1" x14ac:dyDescent="0.25">
      <c r="A795" s="14" t="str">
        <f t="shared" si="259"/>
        <v>TERC_OPER__14</v>
      </c>
      <c r="B795" s="15" t="str">
        <f t="shared" si="264"/>
        <v>TERC_OPER__0_0</v>
      </c>
      <c r="C795" s="83"/>
      <c r="D795" s="15">
        <f t="shared" si="265"/>
        <v>0</v>
      </c>
      <c r="E795" s="15">
        <v>14</v>
      </c>
      <c r="F795" s="190">
        <f t="shared" si="266"/>
        <v>0</v>
      </c>
      <c r="G795" s="149" t="str">
        <f t="shared" si="266"/>
        <v/>
      </c>
      <c r="H795" s="150" t="str">
        <f t="shared" si="266"/>
        <v/>
      </c>
      <c r="I795" s="150">
        <f t="shared" si="266"/>
        <v>0</v>
      </c>
      <c r="J795" s="150">
        <f t="shared" si="266"/>
        <v>0</v>
      </c>
      <c r="K795" s="196">
        <f t="shared" si="266"/>
        <v>0</v>
      </c>
      <c r="L795" s="197">
        <f t="shared" si="266"/>
        <v>0</v>
      </c>
      <c r="M795" s="191">
        <f t="shared" si="266"/>
        <v>0</v>
      </c>
      <c r="N795" s="150">
        <f t="shared" si="266"/>
        <v>0</v>
      </c>
      <c r="O795" s="193">
        <f t="shared" si="266"/>
        <v>0</v>
      </c>
      <c r="P795" s="162">
        <f t="shared" si="269"/>
        <v>0</v>
      </c>
      <c r="Q795" s="162">
        <f t="shared" si="269"/>
        <v>0</v>
      </c>
      <c r="R795" s="162">
        <f t="shared" si="269"/>
        <v>0</v>
      </c>
      <c r="S795" s="162">
        <f t="shared" si="269"/>
        <v>0</v>
      </c>
      <c r="T795" s="162">
        <f t="shared" si="269"/>
        <v>0</v>
      </c>
      <c r="U795" s="162">
        <f t="shared" si="269"/>
        <v>0</v>
      </c>
      <c r="V795" s="162">
        <f t="shared" si="269"/>
        <v>0</v>
      </c>
      <c r="W795" s="162">
        <f t="shared" si="269"/>
        <v>0</v>
      </c>
      <c r="X795" s="162">
        <f t="shared" si="269"/>
        <v>0</v>
      </c>
      <c r="Y795" s="162">
        <f t="shared" si="269"/>
        <v>0</v>
      </c>
      <c r="Z795" s="162">
        <f t="shared" si="269"/>
        <v>0</v>
      </c>
      <c r="AA795" s="162">
        <f t="shared" si="269"/>
        <v>0</v>
      </c>
      <c r="AB795" s="163">
        <f t="shared" si="268"/>
        <v>0</v>
      </c>
      <c r="AC795" s="198"/>
    </row>
    <row r="796" spans="1:29" hidden="1" outlineLevel="1" x14ac:dyDescent="0.25">
      <c r="A796" s="14" t="str">
        <f t="shared" si="259"/>
        <v>TERC_OPER__15</v>
      </c>
      <c r="B796" s="15" t="str">
        <f t="shared" si="264"/>
        <v>TERC_OPER__0_0</v>
      </c>
      <c r="C796" s="83"/>
      <c r="D796" s="15">
        <f t="shared" si="265"/>
        <v>0</v>
      </c>
      <c r="E796" s="15">
        <v>15</v>
      </c>
      <c r="F796" s="190">
        <f t="shared" si="266"/>
        <v>0</v>
      </c>
      <c r="G796" s="149" t="str">
        <f t="shared" si="266"/>
        <v/>
      </c>
      <c r="H796" s="150" t="str">
        <f t="shared" si="266"/>
        <v/>
      </c>
      <c r="I796" s="150">
        <f t="shared" si="266"/>
        <v>0</v>
      </c>
      <c r="J796" s="150">
        <f t="shared" si="266"/>
        <v>0</v>
      </c>
      <c r="K796" s="196">
        <f t="shared" si="266"/>
        <v>0</v>
      </c>
      <c r="L796" s="197">
        <f t="shared" si="266"/>
        <v>0</v>
      </c>
      <c r="M796" s="191">
        <f t="shared" si="266"/>
        <v>0</v>
      </c>
      <c r="N796" s="150">
        <f t="shared" si="266"/>
        <v>0</v>
      </c>
      <c r="O796" s="193">
        <f t="shared" si="266"/>
        <v>0</v>
      </c>
      <c r="P796" s="162">
        <f t="shared" si="269"/>
        <v>0</v>
      </c>
      <c r="Q796" s="162">
        <f t="shared" si="269"/>
        <v>0</v>
      </c>
      <c r="R796" s="162">
        <f t="shared" si="269"/>
        <v>0</v>
      </c>
      <c r="S796" s="162">
        <f t="shared" si="269"/>
        <v>0</v>
      </c>
      <c r="T796" s="162">
        <f t="shared" si="269"/>
        <v>0</v>
      </c>
      <c r="U796" s="162">
        <f t="shared" si="269"/>
        <v>0</v>
      </c>
      <c r="V796" s="162">
        <f t="shared" si="269"/>
        <v>0</v>
      </c>
      <c r="W796" s="162">
        <f t="shared" si="269"/>
        <v>0</v>
      </c>
      <c r="X796" s="162">
        <f t="shared" si="269"/>
        <v>0</v>
      </c>
      <c r="Y796" s="162">
        <f t="shared" si="269"/>
        <v>0</v>
      </c>
      <c r="Z796" s="162">
        <f t="shared" si="269"/>
        <v>0</v>
      </c>
      <c r="AA796" s="162">
        <f t="shared" si="269"/>
        <v>0</v>
      </c>
      <c r="AB796" s="163">
        <f t="shared" si="268"/>
        <v>0</v>
      </c>
      <c r="AC796" s="198"/>
    </row>
    <row r="797" spans="1:29" hidden="1" outlineLevel="1" x14ac:dyDescent="0.25">
      <c r="A797" s="14" t="str">
        <f t="shared" si="259"/>
        <v>TERC_OPER__16</v>
      </c>
      <c r="B797" s="15" t="str">
        <f t="shared" si="264"/>
        <v>TERC_OPER__0_0</v>
      </c>
      <c r="C797" s="83"/>
      <c r="D797" s="15">
        <f t="shared" si="265"/>
        <v>0</v>
      </c>
      <c r="E797" s="15">
        <v>16</v>
      </c>
      <c r="F797" s="190">
        <f t="shared" si="266"/>
        <v>0</v>
      </c>
      <c r="G797" s="149" t="str">
        <f t="shared" si="266"/>
        <v/>
      </c>
      <c r="H797" s="150" t="str">
        <f t="shared" si="266"/>
        <v/>
      </c>
      <c r="I797" s="150">
        <f t="shared" si="266"/>
        <v>0</v>
      </c>
      <c r="J797" s="150">
        <f t="shared" si="266"/>
        <v>0</v>
      </c>
      <c r="K797" s="196">
        <f t="shared" si="266"/>
        <v>0</v>
      </c>
      <c r="L797" s="197">
        <f t="shared" si="266"/>
        <v>0</v>
      </c>
      <c r="M797" s="191">
        <f t="shared" si="266"/>
        <v>0</v>
      </c>
      <c r="N797" s="150">
        <f t="shared" si="266"/>
        <v>0</v>
      </c>
      <c r="O797" s="193">
        <f t="shared" si="266"/>
        <v>0</v>
      </c>
      <c r="P797" s="162">
        <f t="shared" si="269"/>
        <v>0</v>
      </c>
      <c r="Q797" s="162">
        <f t="shared" si="269"/>
        <v>0</v>
      </c>
      <c r="R797" s="162">
        <f t="shared" si="269"/>
        <v>0</v>
      </c>
      <c r="S797" s="162">
        <f t="shared" si="269"/>
        <v>0</v>
      </c>
      <c r="T797" s="162">
        <f t="shared" si="269"/>
        <v>0</v>
      </c>
      <c r="U797" s="162">
        <f t="shared" si="269"/>
        <v>0</v>
      </c>
      <c r="V797" s="162">
        <f t="shared" si="269"/>
        <v>0</v>
      </c>
      <c r="W797" s="162">
        <f t="shared" si="269"/>
        <v>0</v>
      </c>
      <c r="X797" s="162">
        <f t="shared" si="269"/>
        <v>0</v>
      </c>
      <c r="Y797" s="162">
        <f t="shared" si="269"/>
        <v>0</v>
      </c>
      <c r="Z797" s="162">
        <f t="shared" si="269"/>
        <v>0</v>
      </c>
      <c r="AA797" s="162">
        <f t="shared" si="269"/>
        <v>0</v>
      </c>
      <c r="AB797" s="163">
        <f t="shared" si="268"/>
        <v>0</v>
      </c>
      <c r="AC797" s="198"/>
    </row>
    <row r="798" spans="1:29" hidden="1" outlineLevel="1" x14ac:dyDescent="0.25">
      <c r="A798" s="14" t="str">
        <f t="shared" si="259"/>
        <v>TERC_OPER__17</v>
      </c>
      <c r="B798" s="15" t="str">
        <f t="shared" si="264"/>
        <v>TERC_OPER__0_0</v>
      </c>
      <c r="C798" s="83"/>
      <c r="D798" s="15">
        <f t="shared" si="265"/>
        <v>0</v>
      </c>
      <c r="E798" s="15">
        <v>17</v>
      </c>
      <c r="F798" s="190">
        <f t="shared" ref="F798:O813" si="270">F752</f>
        <v>0</v>
      </c>
      <c r="G798" s="149" t="str">
        <f t="shared" si="270"/>
        <v/>
      </c>
      <c r="H798" s="150" t="str">
        <f t="shared" si="270"/>
        <v/>
      </c>
      <c r="I798" s="150">
        <f t="shared" si="270"/>
        <v>0</v>
      </c>
      <c r="J798" s="150">
        <f t="shared" si="270"/>
        <v>0</v>
      </c>
      <c r="K798" s="196">
        <f t="shared" si="270"/>
        <v>0</v>
      </c>
      <c r="L798" s="197">
        <f t="shared" si="270"/>
        <v>0</v>
      </c>
      <c r="M798" s="191">
        <f t="shared" si="270"/>
        <v>0</v>
      </c>
      <c r="N798" s="150">
        <f t="shared" si="270"/>
        <v>0</v>
      </c>
      <c r="O798" s="193">
        <f t="shared" si="270"/>
        <v>0</v>
      </c>
      <c r="P798" s="162">
        <f t="shared" si="269"/>
        <v>0</v>
      </c>
      <c r="Q798" s="162">
        <f t="shared" si="269"/>
        <v>0</v>
      </c>
      <c r="R798" s="162">
        <f t="shared" si="269"/>
        <v>0</v>
      </c>
      <c r="S798" s="162">
        <f t="shared" si="269"/>
        <v>0</v>
      </c>
      <c r="T798" s="162">
        <f t="shared" si="269"/>
        <v>0</v>
      </c>
      <c r="U798" s="162">
        <f t="shared" si="269"/>
        <v>0</v>
      </c>
      <c r="V798" s="162">
        <f t="shared" si="269"/>
        <v>0</v>
      </c>
      <c r="W798" s="162">
        <f t="shared" si="269"/>
        <v>0</v>
      </c>
      <c r="X798" s="162">
        <f t="shared" si="269"/>
        <v>0</v>
      </c>
      <c r="Y798" s="162">
        <f t="shared" si="269"/>
        <v>0</v>
      </c>
      <c r="Z798" s="162">
        <f t="shared" si="269"/>
        <v>0</v>
      </c>
      <c r="AA798" s="162">
        <f t="shared" si="269"/>
        <v>0</v>
      </c>
      <c r="AB798" s="163">
        <f t="shared" si="268"/>
        <v>0</v>
      </c>
      <c r="AC798" s="198"/>
    </row>
    <row r="799" spans="1:29" hidden="1" outlineLevel="1" x14ac:dyDescent="0.25">
      <c r="A799" s="14" t="str">
        <f t="shared" si="259"/>
        <v>TERC_OPER__18</v>
      </c>
      <c r="B799" s="15" t="str">
        <f t="shared" si="264"/>
        <v>TERC_OPER__0_0</v>
      </c>
      <c r="C799" s="83"/>
      <c r="D799" s="15">
        <f t="shared" si="265"/>
        <v>0</v>
      </c>
      <c r="E799" s="15">
        <v>18</v>
      </c>
      <c r="F799" s="190">
        <f t="shared" si="270"/>
        <v>0</v>
      </c>
      <c r="G799" s="149" t="str">
        <f t="shared" si="270"/>
        <v/>
      </c>
      <c r="H799" s="150" t="str">
        <f t="shared" si="270"/>
        <v/>
      </c>
      <c r="I799" s="150">
        <f t="shared" si="270"/>
        <v>0</v>
      </c>
      <c r="J799" s="150">
        <f t="shared" si="270"/>
        <v>0</v>
      </c>
      <c r="K799" s="196">
        <f t="shared" si="270"/>
        <v>0</v>
      </c>
      <c r="L799" s="197">
        <f t="shared" si="270"/>
        <v>0</v>
      </c>
      <c r="M799" s="191">
        <f t="shared" si="270"/>
        <v>0</v>
      </c>
      <c r="N799" s="150">
        <f t="shared" si="270"/>
        <v>0</v>
      </c>
      <c r="O799" s="193">
        <f t="shared" si="270"/>
        <v>0</v>
      </c>
      <c r="P799" s="162">
        <f t="shared" si="269"/>
        <v>0</v>
      </c>
      <c r="Q799" s="162">
        <f t="shared" si="269"/>
        <v>0</v>
      </c>
      <c r="R799" s="162">
        <f t="shared" si="269"/>
        <v>0</v>
      </c>
      <c r="S799" s="162">
        <f t="shared" si="269"/>
        <v>0</v>
      </c>
      <c r="T799" s="162">
        <f t="shared" si="269"/>
        <v>0</v>
      </c>
      <c r="U799" s="162">
        <f t="shared" si="269"/>
        <v>0</v>
      </c>
      <c r="V799" s="162">
        <f t="shared" si="269"/>
        <v>0</v>
      </c>
      <c r="W799" s="162">
        <f t="shared" si="269"/>
        <v>0</v>
      </c>
      <c r="X799" s="162">
        <f t="shared" si="269"/>
        <v>0</v>
      </c>
      <c r="Y799" s="162">
        <f t="shared" si="269"/>
        <v>0</v>
      </c>
      <c r="Z799" s="162">
        <f t="shared" si="269"/>
        <v>0</v>
      </c>
      <c r="AA799" s="162">
        <f t="shared" si="269"/>
        <v>0</v>
      </c>
      <c r="AB799" s="163">
        <f t="shared" si="268"/>
        <v>0</v>
      </c>
      <c r="AC799" s="198"/>
    </row>
    <row r="800" spans="1:29" hidden="1" outlineLevel="1" x14ac:dyDescent="0.25">
      <c r="A800" s="14" t="str">
        <f t="shared" si="259"/>
        <v>TERC_OPER__19</v>
      </c>
      <c r="B800" s="15" t="str">
        <f t="shared" si="264"/>
        <v>TERC_OPER__0_0</v>
      </c>
      <c r="C800" s="83"/>
      <c r="D800" s="15">
        <f t="shared" si="265"/>
        <v>0</v>
      </c>
      <c r="E800" s="15">
        <v>19</v>
      </c>
      <c r="F800" s="190">
        <f t="shared" si="270"/>
        <v>0</v>
      </c>
      <c r="G800" s="149" t="str">
        <f t="shared" si="270"/>
        <v/>
      </c>
      <c r="H800" s="150" t="str">
        <f t="shared" si="270"/>
        <v/>
      </c>
      <c r="I800" s="150">
        <f t="shared" si="270"/>
        <v>0</v>
      </c>
      <c r="J800" s="150">
        <f t="shared" si="270"/>
        <v>0</v>
      </c>
      <c r="K800" s="196">
        <f t="shared" si="270"/>
        <v>0</v>
      </c>
      <c r="L800" s="197">
        <f t="shared" si="270"/>
        <v>0</v>
      </c>
      <c r="M800" s="191">
        <f t="shared" si="270"/>
        <v>0</v>
      </c>
      <c r="N800" s="150">
        <f t="shared" si="270"/>
        <v>0</v>
      </c>
      <c r="O800" s="193">
        <f t="shared" si="270"/>
        <v>0</v>
      </c>
      <c r="P800" s="162">
        <f t="shared" si="269"/>
        <v>0</v>
      </c>
      <c r="Q800" s="162">
        <f t="shared" si="269"/>
        <v>0</v>
      </c>
      <c r="R800" s="162">
        <f t="shared" si="269"/>
        <v>0</v>
      </c>
      <c r="S800" s="162">
        <f t="shared" si="269"/>
        <v>0</v>
      </c>
      <c r="T800" s="162">
        <f t="shared" si="269"/>
        <v>0</v>
      </c>
      <c r="U800" s="162">
        <f t="shared" si="269"/>
        <v>0</v>
      </c>
      <c r="V800" s="162">
        <f t="shared" si="269"/>
        <v>0</v>
      </c>
      <c r="W800" s="162">
        <f t="shared" si="269"/>
        <v>0</v>
      </c>
      <c r="X800" s="162">
        <f t="shared" si="269"/>
        <v>0</v>
      </c>
      <c r="Y800" s="162">
        <f t="shared" si="269"/>
        <v>0</v>
      </c>
      <c r="Z800" s="162">
        <f t="shared" si="269"/>
        <v>0</v>
      </c>
      <c r="AA800" s="162">
        <f t="shared" si="269"/>
        <v>0</v>
      </c>
      <c r="AB800" s="163">
        <f t="shared" si="268"/>
        <v>0</v>
      </c>
      <c r="AC800" s="198"/>
    </row>
    <row r="801" spans="1:29" hidden="1" outlineLevel="1" x14ac:dyDescent="0.25">
      <c r="A801" s="14" t="str">
        <f t="shared" si="259"/>
        <v>TERC_OPER__20</v>
      </c>
      <c r="B801" s="15" t="str">
        <f t="shared" si="264"/>
        <v>TERC_OPER__0_0</v>
      </c>
      <c r="C801" s="83"/>
      <c r="D801" s="15">
        <f t="shared" si="265"/>
        <v>0</v>
      </c>
      <c r="E801" s="15">
        <v>20</v>
      </c>
      <c r="F801" s="190">
        <f t="shared" si="270"/>
        <v>0</v>
      </c>
      <c r="G801" s="149" t="str">
        <f t="shared" si="270"/>
        <v/>
      </c>
      <c r="H801" s="150" t="str">
        <f t="shared" si="270"/>
        <v/>
      </c>
      <c r="I801" s="150">
        <f t="shared" si="270"/>
        <v>0</v>
      </c>
      <c r="J801" s="150">
        <f t="shared" si="270"/>
        <v>0</v>
      </c>
      <c r="K801" s="196">
        <f t="shared" si="270"/>
        <v>0</v>
      </c>
      <c r="L801" s="197">
        <f t="shared" si="270"/>
        <v>0</v>
      </c>
      <c r="M801" s="191">
        <f t="shared" si="270"/>
        <v>0</v>
      </c>
      <c r="N801" s="150">
        <f t="shared" si="270"/>
        <v>0</v>
      </c>
      <c r="O801" s="193">
        <f t="shared" si="270"/>
        <v>0</v>
      </c>
      <c r="P801" s="162">
        <f t="shared" si="269"/>
        <v>0</v>
      </c>
      <c r="Q801" s="162">
        <f t="shared" si="269"/>
        <v>0</v>
      </c>
      <c r="R801" s="162">
        <f t="shared" si="269"/>
        <v>0</v>
      </c>
      <c r="S801" s="162">
        <f t="shared" si="269"/>
        <v>0</v>
      </c>
      <c r="T801" s="162">
        <f t="shared" si="269"/>
        <v>0</v>
      </c>
      <c r="U801" s="162">
        <f t="shared" si="269"/>
        <v>0</v>
      </c>
      <c r="V801" s="162">
        <f t="shared" si="269"/>
        <v>0</v>
      </c>
      <c r="W801" s="162">
        <f t="shared" si="269"/>
        <v>0</v>
      </c>
      <c r="X801" s="162">
        <f t="shared" si="269"/>
        <v>0</v>
      </c>
      <c r="Y801" s="162">
        <f t="shared" si="269"/>
        <v>0</v>
      </c>
      <c r="Z801" s="162">
        <f t="shared" si="269"/>
        <v>0</v>
      </c>
      <c r="AA801" s="162">
        <f t="shared" si="269"/>
        <v>0</v>
      </c>
      <c r="AB801" s="163">
        <f t="shared" si="268"/>
        <v>0</v>
      </c>
      <c r="AC801" s="198"/>
    </row>
    <row r="802" spans="1:29" hidden="1" outlineLevel="1" x14ac:dyDescent="0.25">
      <c r="A802" s="14" t="str">
        <f t="shared" si="259"/>
        <v>TERC_OPER__21</v>
      </c>
      <c r="B802" s="15" t="str">
        <f t="shared" si="264"/>
        <v>TERC_OPER__0_0</v>
      </c>
      <c r="C802" s="83"/>
      <c r="D802" s="15">
        <f t="shared" si="265"/>
        <v>0</v>
      </c>
      <c r="E802" s="15">
        <v>21</v>
      </c>
      <c r="F802" s="190">
        <f t="shared" si="270"/>
        <v>0</v>
      </c>
      <c r="G802" s="149" t="str">
        <f t="shared" si="270"/>
        <v/>
      </c>
      <c r="H802" s="150" t="str">
        <f t="shared" si="270"/>
        <v/>
      </c>
      <c r="I802" s="150">
        <f t="shared" si="270"/>
        <v>0</v>
      </c>
      <c r="J802" s="150">
        <f t="shared" si="270"/>
        <v>0</v>
      </c>
      <c r="K802" s="196">
        <f t="shared" si="270"/>
        <v>0</v>
      </c>
      <c r="L802" s="197">
        <f t="shared" si="270"/>
        <v>0</v>
      </c>
      <c r="M802" s="191">
        <f t="shared" si="270"/>
        <v>0</v>
      </c>
      <c r="N802" s="150">
        <f t="shared" si="270"/>
        <v>0</v>
      </c>
      <c r="O802" s="193">
        <f t="shared" si="270"/>
        <v>0</v>
      </c>
      <c r="P802" s="162">
        <f t="shared" si="269"/>
        <v>0</v>
      </c>
      <c r="Q802" s="162">
        <f t="shared" si="269"/>
        <v>0</v>
      </c>
      <c r="R802" s="162">
        <f t="shared" si="269"/>
        <v>0</v>
      </c>
      <c r="S802" s="162">
        <f t="shared" si="269"/>
        <v>0</v>
      </c>
      <c r="T802" s="162">
        <f t="shared" si="269"/>
        <v>0</v>
      </c>
      <c r="U802" s="162">
        <f t="shared" si="269"/>
        <v>0</v>
      </c>
      <c r="V802" s="162">
        <f t="shared" si="269"/>
        <v>0</v>
      </c>
      <c r="W802" s="162">
        <f t="shared" si="269"/>
        <v>0</v>
      </c>
      <c r="X802" s="162">
        <f t="shared" si="269"/>
        <v>0</v>
      </c>
      <c r="Y802" s="162">
        <f t="shared" si="269"/>
        <v>0</v>
      </c>
      <c r="Z802" s="162">
        <f t="shared" si="269"/>
        <v>0</v>
      </c>
      <c r="AA802" s="162">
        <f t="shared" si="269"/>
        <v>0</v>
      </c>
      <c r="AB802" s="163">
        <f t="shared" si="268"/>
        <v>0</v>
      </c>
      <c r="AC802" s="198"/>
    </row>
    <row r="803" spans="1:29" hidden="1" outlineLevel="1" x14ac:dyDescent="0.25">
      <c r="A803" s="14" t="str">
        <f t="shared" si="259"/>
        <v>TERC_OPER__22</v>
      </c>
      <c r="B803" s="15" t="str">
        <f t="shared" si="264"/>
        <v>TERC_OPER__0_0</v>
      </c>
      <c r="C803" s="83"/>
      <c r="D803" s="15">
        <f t="shared" si="265"/>
        <v>0</v>
      </c>
      <c r="E803" s="15">
        <v>22</v>
      </c>
      <c r="F803" s="190">
        <f t="shared" si="270"/>
        <v>0</v>
      </c>
      <c r="G803" s="149" t="str">
        <f t="shared" si="270"/>
        <v/>
      </c>
      <c r="H803" s="150" t="str">
        <f t="shared" si="270"/>
        <v/>
      </c>
      <c r="I803" s="150">
        <f t="shared" si="270"/>
        <v>0</v>
      </c>
      <c r="J803" s="150">
        <f t="shared" si="270"/>
        <v>0</v>
      </c>
      <c r="K803" s="196">
        <f t="shared" si="270"/>
        <v>0</v>
      </c>
      <c r="L803" s="197">
        <f t="shared" si="270"/>
        <v>0</v>
      </c>
      <c r="M803" s="191">
        <f t="shared" si="270"/>
        <v>0</v>
      </c>
      <c r="N803" s="150">
        <f t="shared" si="270"/>
        <v>0</v>
      </c>
      <c r="O803" s="193">
        <f t="shared" si="270"/>
        <v>0</v>
      </c>
      <c r="P803" s="162">
        <f t="shared" ref="P803:AA818" si="271">IFERROR(SUMIF($B$483:$B$547,$C803&amp;$I803,P$483:P$547)/SUMIF($D$483:$D$547,$I803,P$483:P$547)*P573,0)</f>
        <v>0</v>
      </c>
      <c r="Q803" s="162">
        <f t="shared" si="271"/>
        <v>0</v>
      </c>
      <c r="R803" s="162">
        <f t="shared" si="271"/>
        <v>0</v>
      </c>
      <c r="S803" s="162">
        <f t="shared" si="271"/>
        <v>0</v>
      </c>
      <c r="T803" s="162">
        <f t="shared" si="271"/>
        <v>0</v>
      </c>
      <c r="U803" s="162">
        <f t="shared" si="271"/>
        <v>0</v>
      </c>
      <c r="V803" s="162">
        <f t="shared" si="271"/>
        <v>0</v>
      </c>
      <c r="W803" s="162">
        <f t="shared" si="271"/>
        <v>0</v>
      </c>
      <c r="X803" s="162">
        <f t="shared" si="271"/>
        <v>0</v>
      </c>
      <c r="Y803" s="162">
        <f t="shared" si="271"/>
        <v>0</v>
      </c>
      <c r="Z803" s="162">
        <f t="shared" si="271"/>
        <v>0</v>
      </c>
      <c r="AA803" s="162">
        <f t="shared" si="271"/>
        <v>0</v>
      </c>
      <c r="AB803" s="163">
        <f t="shared" si="268"/>
        <v>0</v>
      </c>
      <c r="AC803" s="198"/>
    </row>
    <row r="804" spans="1:29" hidden="1" outlineLevel="1" x14ac:dyDescent="0.25">
      <c r="A804" s="14" t="str">
        <f t="shared" si="259"/>
        <v>TERC_OPER__23</v>
      </c>
      <c r="B804" s="15" t="str">
        <f t="shared" si="264"/>
        <v>TERC_OPER__0_0</v>
      </c>
      <c r="C804" s="83"/>
      <c r="D804" s="15">
        <f t="shared" si="265"/>
        <v>0</v>
      </c>
      <c r="E804" s="15">
        <v>23</v>
      </c>
      <c r="F804" s="190">
        <f t="shared" si="270"/>
        <v>0</v>
      </c>
      <c r="G804" s="149" t="str">
        <f t="shared" si="270"/>
        <v/>
      </c>
      <c r="H804" s="150" t="str">
        <f t="shared" si="270"/>
        <v/>
      </c>
      <c r="I804" s="150">
        <f t="shared" si="270"/>
        <v>0</v>
      </c>
      <c r="J804" s="150">
        <f t="shared" si="270"/>
        <v>0</v>
      </c>
      <c r="K804" s="196">
        <f t="shared" si="270"/>
        <v>0</v>
      </c>
      <c r="L804" s="197">
        <f t="shared" si="270"/>
        <v>0</v>
      </c>
      <c r="M804" s="191">
        <f t="shared" si="270"/>
        <v>0</v>
      </c>
      <c r="N804" s="150">
        <f t="shared" si="270"/>
        <v>0</v>
      </c>
      <c r="O804" s="193">
        <f t="shared" si="270"/>
        <v>0</v>
      </c>
      <c r="P804" s="162">
        <f t="shared" si="271"/>
        <v>0</v>
      </c>
      <c r="Q804" s="162">
        <f t="shared" si="271"/>
        <v>0</v>
      </c>
      <c r="R804" s="162">
        <f t="shared" si="271"/>
        <v>0</v>
      </c>
      <c r="S804" s="162">
        <f t="shared" si="271"/>
        <v>0</v>
      </c>
      <c r="T804" s="162">
        <f t="shared" si="271"/>
        <v>0</v>
      </c>
      <c r="U804" s="162">
        <f t="shared" si="271"/>
        <v>0</v>
      </c>
      <c r="V804" s="162">
        <f t="shared" si="271"/>
        <v>0</v>
      </c>
      <c r="W804" s="162">
        <f t="shared" si="271"/>
        <v>0</v>
      </c>
      <c r="X804" s="162">
        <f t="shared" si="271"/>
        <v>0</v>
      </c>
      <c r="Y804" s="162">
        <f t="shared" si="271"/>
        <v>0</v>
      </c>
      <c r="Z804" s="162">
        <f t="shared" si="271"/>
        <v>0</v>
      </c>
      <c r="AA804" s="162">
        <f t="shared" si="271"/>
        <v>0</v>
      </c>
      <c r="AB804" s="163">
        <f t="shared" si="268"/>
        <v>0</v>
      </c>
      <c r="AC804" s="198"/>
    </row>
    <row r="805" spans="1:29" hidden="1" outlineLevel="1" x14ac:dyDescent="0.25">
      <c r="A805" s="14" t="str">
        <f t="shared" si="259"/>
        <v>TERC_OPER__24</v>
      </c>
      <c r="B805" s="15" t="str">
        <f t="shared" si="264"/>
        <v>TERC_OPER__0_0</v>
      </c>
      <c r="C805" s="83"/>
      <c r="D805" s="15">
        <f t="shared" si="265"/>
        <v>0</v>
      </c>
      <c r="E805" s="15">
        <v>24</v>
      </c>
      <c r="F805" s="190">
        <f t="shared" si="270"/>
        <v>0</v>
      </c>
      <c r="G805" s="149" t="str">
        <f t="shared" si="270"/>
        <v/>
      </c>
      <c r="H805" s="150" t="str">
        <f t="shared" si="270"/>
        <v/>
      </c>
      <c r="I805" s="150">
        <f t="shared" si="270"/>
        <v>0</v>
      </c>
      <c r="J805" s="150">
        <f t="shared" si="270"/>
        <v>0</v>
      </c>
      <c r="K805" s="196">
        <f t="shared" si="270"/>
        <v>0</v>
      </c>
      <c r="L805" s="197">
        <f t="shared" si="270"/>
        <v>0</v>
      </c>
      <c r="M805" s="191">
        <f t="shared" si="270"/>
        <v>0</v>
      </c>
      <c r="N805" s="150">
        <f t="shared" si="270"/>
        <v>0</v>
      </c>
      <c r="O805" s="193">
        <f t="shared" si="270"/>
        <v>0</v>
      </c>
      <c r="P805" s="162">
        <f t="shared" si="271"/>
        <v>0</v>
      </c>
      <c r="Q805" s="162">
        <f t="shared" si="271"/>
        <v>0</v>
      </c>
      <c r="R805" s="162">
        <f t="shared" si="271"/>
        <v>0</v>
      </c>
      <c r="S805" s="162">
        <f t="shared" si="271"/>
        <v>0</v>
      </c>
      <c r="T805" s="162">
        <f t="shared" si="271"/>
        <v>0</v>
      </c>
      <c r="U805" s="162">
        <f t="shared" si="271"/>
        <v>0</v>
      </c>
      <c r="V805" s="162">
        <f t="shared" si="271"/>
        <v>0</v>
      </c>
      <c r="W805" s="162">
        <f t="shared" si="271"/>
        <v>0</v>
      </c>
      <c r="X805" s="162">
        <f t="shared" si="271"/>
        <v>0</v>
      </c>
      <c r="Y805" s="162">
        <f t="shared" si="271"/>
        <v>0</v>
      </c>
      <c r="Z805" s="162">
        <f t="shared" si="271"/>
        <v>0</v>
      </c>
      <c r="AA805" s="162">
        <f t="shared" si="271"/>
        <v>0</v>
      </c>
      <c r="AB805" s="163">
        <f t="shared" si="268"/>
        <v>0</v>
      </c>
      <c r="AC805" s="198"/>
    </row>
    <row r="806" spans="1:29" hidden="1" outlineLevel="1" x14ac:dyDescent="0.25">
      <c r="A806" s="14" t="str">
        <f t="shared" si="259"/>
        <v>TERC_OPER__25</v>
      </c>
      <c r="B806" s="15" t="str">
        <f t="shared" si="264"/>
        <v>TERC_OPER__0_0</v>
      </c>
      <c r="C806" s="83"/>
      <c r="D806" s="15">
        <f t="shared" si="265"/>
        <v>0</v>
      </c>
      <c r="E806" s="15">
        <v>25</v>
      </c>
      <c r="F806" s="190">
        <f t="shared" si="270"/>
        <v>0</v>
      </c>
      <c r="G806" s="149" t="str">
        <f t="shared" si="270"/>
        <v/>
      </c>
      <c r="H806" s="150" t="str">
        <f t="shared" si="270"/>
        <v/>
      </c>
      <c r="I806" s="150">
        <f t="shared" si="270"/>
        <v>0</v>
      </c>
      <c r="J806" s="150">
        <f t="shared" si="270"/>
        <v>0</v>
      </c>
      <c r="K806" s="196">
        <f t="shared" si="270"/>
        <v>0</v>
      </c>
      <c r="L806" s="197">
        <f t="shared" si="270"/>
        <v>0</v>
      </c>
      <c r="M806" s="191">
        <f t="shared" si="270"/>
        <v>0</v>
      </c>
      <c r="N806" s="150">
        <f t="shared" si="270"/>
        <v>0</v>
      </c>
      <c r="O806" s="193">
        <f t="shared" si="270"/>
        <v>0</v>
      </c>
      <c r="P806" s="162">
        <f t="shared" si="271"/>
        <v>0</v>
      </c>
      <c r="Q806" s="162">
        <f t="shared" si="271"/>
        <v>0</v>
      </c>
      <c r="R806" s="162">
        <f t="shared" si="271"/>
        <v>0</v>
      </c>
      <c r="S806" s="162">
        <f t="shared" si="271"/>
        <v>0</v>
      </c>
      <c r="T806" s="162">
        <f t="shared" si="271"/>
        <v>0</v>
      </c>
      <c r="U806" s="162">
        <f t="shared" si="271"/>
        <v>0</v>
      </c>
      <c r="V806" s="162">
        <f t="shared" si="271"/>
        <v>0</v>
      </c>
      <c r="W806" s="162">
        <f t="shared" si="271"/>
        <v>0</v>
      </c>
      <c r="X806" s="162">
        <f t="shared" si="271"/>
        <v>0</v>
      </c>
      <c r="Y806" s="162">
        <f t="shared" si="271"/>
        <v>0</v>
      </c>
      <c r="Z806" s="162">
        <f t="shared" si="271"/>
        <v>0</v>
      </c>
      <c r="AA806" s="162">
        <f t="shared" si="271"/>
        <v>0</v>
      </c>
      <c r="AB806" s="163">
        <f t="shared" si="268"/>
        <v>0</v>
      </c>
      <c r="AC806" s="198"/>
    </row>
    <row r="807" spans="1:29" hidden="1" outlineLevel="1" x14ac:dyDescent="0.25">
      <c r="A807" s="14" t="str">
        <f t="shared" si="259"/>
        <v>TERC_OPER__26</v>
      </c>
      <c r="B807" s="15" t="str">
        <f t="shared" si="264"/>
        <v>TERC_OPER__0_0</v>
      </c>
      <c r="C807" s="83"/>
      <c r="D807" s="15">
        <f t="shared" si="265"/>
        <v>0</v>
      </c>
      <c r="E807" s="15">
        <v>26</v>
      </c>
      <c r="F807" s="190">
        <f t="shared" si="270"/>
        <v>0</v>
      </c>
      <c r="G807" s="149" t="str">
        <f t="shared" si="270"/>
        <v/>
      </c>
      <c r="H807" s="150" t="str">
        <f t="shared" si="270"/>
        <v/>
      </c>
      <c r="I807" s="150">
        <f t="shared" si="270"/>
        <v>0</v>
      </c>
      <c r="J807" s="150">
        <f t="shared" si="270"/>
        <v>0</v>
      </c>
      <c r="K807" s="196">
        <f t="shared" si="270"/>
        <v>0</v>
      </c>
      <c r="L807" s="197">
        <f t="shared" si="270"/>
        <v>0</v>
      </c>
      <c r="M807" s="191">
        <f t="shared" si="270"/>
        <v>0</v>
      </c>
      <c r="N807" s="150">
        <f t="shared" si="270"/>
        <v>0</v>
      </c>
      <c r="O807" s="193">
        <f t="shared" si="270"/>
        <v>0</v>
      </c>
      <c r="P807" s="162">
        <f t="shared" si="271"/>
        <v>0</v>
      </c>
      <c r="Q807" s="162">
        <f t="shared" si="271"/>
        <v>0</v>
      </c>
      <c r="R807" s="162">
        <f t="shared" si="271"/>
        <v>0</v>
      </c>
      <c r="S807" s="162">
        <f t="shared" si="271"/>
        <v>0</v>
      </c>
      <c r="T807" s="162">
        <f t="shared" si="271"/>
        <v>0</v>
      </c>
      <c r="U807" s="162">
        <f t="shared" si="271"/>
        <v>0</v>
      </c>
      <c r="V807" s="162">
        <f t="shared" si="271"/>
        <v>0</v>
      </c>
      <c r="W807" s="162">
        <f t="shared" si="271"/>
        <v>0</v>
      </c>
      <c r="X807" s="162">
        <f t="shared" si="271"/>
        <v>0</v>
      </c>
      <c r="Y807" s="162">
        <f t="shared" si="271"/>
        <v>0</v>
      </c>
      <c r="Z807" s="162">
        <f t="shared" si="271"/>
        <v>0</v>
      </c>
      <c r="AA807" s="162">
        <f t="shared" si="271"/>
        <v>0</v>
      </c>
      <c r="AB807" s="163">
        <f t="shared" si="268"/>
        <v>0</v>
      </c>
      <c r="AC807" s="198"/>
    </row>
    <row r="808" spans="1:29" hidden="1" outlineLevel="1" x14ac:dyDescent="0.25">
      <c r="A808" s="14" t="str">
        <f t="shared" si="259"/>
        <v>TERC_OPER__27</v>
      </c>
      <c r="B808" s="15" t="str">
        <f t="shared" si="264"/>
        <v>TERC_OPER__0_0</v>
      </c>
      <c r="C808" s="83"/>
      <c r="D808" s="15">
        <f t="shared" si="265"/>
        <v>0</v>
      </c>
      <c r="E808" s="15">
        <v>27</v>
      </c>
      <c r="F808" s="190">
        <f t="shared" si="270"/>
        <v>0</v>
      </c>
      <c r="G808" s="149" t="str">
        <f t="shared" si="270"/>
        <v/>
      </c>
      <c r="H808" s="150" t="str">
        <f t="shared" si="270"/>
        <v/>
      </c>
      <c r="I808" s="150">
        <f t="shared" si="270"/>
        <v>0</v>
      </c>
      <c r="J808" s="150">
        <f t="shared" si="270"/>
        <v>0</v>
      </c>
      <c r="K808" s="196">
        <f t="shared" si="270"/>
        <v>0</v>
      </c>
      <c r="L808" s="197">
        <f t="shared" si="270"/>
        <v>0</v>
      </c>
      <c r="M808" s="191">
        <f t="shared" si="270"/>
        <v>0</v>
      </c>
      <c r="N808" s="150">
        <f t="shared" si="270"/>
        <v>0</v>
      </c>
      <c r="O808" s="193">
        <f t="shared" si="270"/>
        <v>0</v>
      </c>
      <c r="P808" s="162">
        <f t="shared" si="271"/>
        <v>0</v>
      </c>
      <c r="Q808" s="162">
        <f t="shared" si="271"/>
        <v>0</v>
      </c>
      <c r="R808" s="162">
        <f t="shared" si="271"/>
        <v>0</v>
      </c>
      <c r="S808" s="162">
        <f t="shared" si="271"/>
        <v>0</v>
      </c>
      <c r="T808" s="162">
        <f t="shared" si="271"/>
        <v>0</v>
      </c>
      <c r="U808" s="162">
        <f t="shared" si="271"/>
        <v>0</v>
      </c>
      <c r="V808" s="162">
        <f t="shared" si="271"/>
        <v>0</v>
      </c>
      <c r="W808" s="162">
        <f t="shared" si="271"/>
        <v>0</v>
      </c>
      <c r="X808" s="162">
        <f t="shared" si="271"/>
        <v>0</v>
      </c>
      <c r="Y808" s="162">
        <f t="shared" si="271"/>
        <v>0</v>
      </c>
      <c r="Z808" s="162">
        <f t="shared" si="271"/>
        <v>0</v>
      </c>
      <c r="AA808" s="162">
        <f t="shared" si="271"/>
        <v>0</v>
      </c>
      <c r="AB808" s="163">
        <f t="shared" si="268"/>
        <v>0</v>
      </c>
      <c r="AC808" s="198"/>
    </row>
    <row r="809" spans="1:29" hidden="1" outlineLevel="1" x14ac:dyDescent="0.25">
      <c r="A809" s="14" t="str">
        <f t="shared" si="259"/>
        <v>TERC_OPER__28</v>
      </c>
      <c r="B809" s="15" t="str">
        <f t="shared" si="264"/>
        <v>TERC_OPER__0_0</v>
      </c>
      <c r="C809" s="83"/>
      <c r="D809" s="15">
        <f t="shared" si="265"/>
        <v>0</v>
      </c>
      <c r="E809" s="15">
        <v>28</v>
      </c>
      <c r="F809" s="190">
        <f t="shared" si="270"/>
        <v>0</v>
      </c>
      <c r="G809" s="149" t="str">
        <f t="shared" si="270"/>
        <v/>
      </c>
      <c r="H809" s="150" t="str">
        <f t="shared" si="270"/>
        <v/>
      </c>
      <c r="I809" s="150">
        <f t="shared" si="270"/>
        <v>0</v>
      </c>
      <c r="J809" s="150">
        <f t="shared" si="270"/>
        <v>0</v>
      </c>
      <c r="K809" s="196">
        <f t="shared" si="270"/>
        <v>0</v>
      </c>
      <c r="L809" s="197">
        <f t="shared" si="270"/>
        <v>0</v>
      </c>
      <c r="M809" s="191">
        <f t="shared" si="270"/>
        <v>0</v>
      </c>
      <c r="N809" s="150">
        <f t="shared" si="270"/>
        <v>0</v>
      </c>
      <c r="O809" s="193">
        <f t="shared" si="270"/>
        <v>0</v>
      </c>
      <c r="P809" s="162">
        <f t="shared" si="271"/>
        <v>0</v>
      </c>
      <c r="Q809" s="162">
        <f t="shared" si="271"/>
        <v>0</v>
      </c>
      <c r="R809" s="162">
        <f t="shared" si="271"/>
        <v>0</v>
      </c>
      <c r="S809" s="162">
        <f t="shared" si="271"/>
        <v>0</v>
      </c>
      <c r="T809" s="162">
        <f t="shared" si="271"/>
        <v>0</v>
      </c>
      <c r="U809" s="162">
        <f t="shared" si="271"/>
        <v>0</v>
      </c>
      <c r="V809" s="162">
        <f t="shared" si="271"/>
        <v>0</v>
      </c>
      <c r="W809" s="162">
        <f t="shared" si="271"/>
        <v>0</v>
      </c>
      <c r="X809" s="162">
        <f t="shared" si="271"/>
        <v>0</v>
      </c>
      <c r="Y809" s="162">
        <f t="shared" si="271"/>
        <v>0</v>
      </c>
      <c r="Z809" s="162">
        <f t="shared" si="271"/>
        <v>0</v>
      </c>
      <c r="AA809" s="162">
        <f t="shared" si="271"/>
        <v>0</v>
      </c>
      <c r="AB809" s="163">
        <f t="shared" si="268"/>
        <v>0</v>
      </c>
      <c r="AC809" s="198"/>
    </row>
    <row r="810" spans="1:29" hidden="1" outlineLevel="1" x14ac:dyDescent="0.25">
      <c r="A810" s="14" t="str">
        <f t="shared" si="259"/>
        <v>TERC_OPER__29</v>
      </c>
      <c r="B810" s="15" t="str">
        <f t="shared" si="264"/>
        <v>TERC_OPER__0_0</v>
      </c>
      <c r="C810" s="83"/>
      <c r="D810" s="15">
        <f t="shared" si="265"/>
        <v>0</v>
      </c>
      <c r="E810" s="15">
        <v>29</v>
      </c>
      <c r="F810" s="190">
        <f t="shared" si="270"/>
        <v>0</v>
      </c>
      <c r="G810" s="149" t="str">
        <f t="shared" si="270"/>
        <v/>
      </c>
      <c r="H810" s="150" t="str">
        <f t="shared" si="270"/>
        <v/>
      </c>
      <c r="I810" s="150">
        <f t="shared" si="270"/>
        <v>0</v>
      </c>
      <c r="J810" s="150">
        <f t="shared" si="270"/>
        <v>0</v>
      </c>
      <c r="K810" s="196">
        <f t="shared" si="270"/>
        <v>0</v>
      </c>
      <c r="L810" s="197">
        <f t="shared" si="270"/>
        <v>0</v>
      </c>
      <c r="M810" s="191">
        <f t="shared" si="270"/>
        <v>0</v>
      </c>
      <c r="N810" s="150">
        <f t="shared" si="270"/>
        <v>0</v>
      </c>
      <c r="O810" s="193">
        <f t="shared" si="270"/>
        <v>0</v>
      </c>
      <c r="P810" s="162">
        <f t="shared" si="271"/>
        <v>0</v>
      </c>
      <c r="Q810" s="162">
        <f t="shared" si="271"/>
        <v>0</v>
      </c>
      <c r="R810" s="162">
        <f t="shared" si="271"/>
        <v>0</v>
      </c>
      <c r="S810" s="162">
        <f t="shared" si="271"/>
        <v>0</v>
      </c>
      <c r="T810" s="162">
        <f t="shared" si="271"/>
        <v>0</v>
      </c>
      <c r="U810" s="162">
        <f t="shared" si="271"/>
        <v>0</v>
      </c>
      <c r="V810" s="162">
        <f t="shared" si="271"/>
        <v>0</v>
      </c>
      <c r="W810" s="162">
        <f t="shared" si="271"/>
        <v>0</v>
      </c>
      <c r="X810" s="162">
        <f t="shared" si="271"/>
        <v>0</v>
      </c>
      <c r="Y810" s="162">
        <f t="shared" si="271"/>
        <v>0</v>
      </c>
      <c r="Z810" s="162">
        <f t="shared" si="271"/>
        <v>0</v>
      </c>
      <c r="AA810" s="162">
        <f t="shared" si="271"/>
        <v>0</v>
      </c>
      <c r="AB810" s="163">
        <f t="shared" si="268"/>
        <v>0</v>
      </c>
      <c r="AC810" s="198"/>
    </row>
    <row r="811" spans="1:29" hidden="1" outlineLevel="1" x14ac:dyDescent="0.25">
      <c r="A811" s="14" t="str">
        <f t="shared" si="259"/>
        <v>TERC_OPER__30</v>
      </c>
      <c r="B811" s="15" t="str">
        <f t="shared" si="264"/>
        <v>TERC_OPER__0_0</v>
      </c>
      <c r="C811" s="83"/>
      <c r="D811" s="15">
        <f t="shared" si="265"/>
        <v>0</v>
      </c>
      <c r="E811" s="15">
        <v>30</v>
      </c>
      <c r="F811" s="190">
        <f t="shared" si="270"/>
        <v>0</v>
      </c>
      <c r="G811" s="149" t="str">
        <f t="shared" si="270"/>
        <v/>
      </c>
      <c r="H811" s="150" t="str">
        <f t="shared" si="270"/>
        <v/>
      </c>
      <c r="I811" s="150">
        <f t="shared" si="270"/>
        <v>0</v>
      </c>
      <c r="J811" s="150">
        <f t="shared" si="270"/>
        <v>0</v>
      </c>
      <c r="K811" s="196">
        <f t="shared" si="270"/>
        <v>0</v>
      </c>
      <c r="L811" s="197">
        <f t="shared" si="270"/>
        <v>0</v>
      </c>
      <c r="M811" s="191">
        <f t="shared" si="270"/>
        <v>0</v>
      </c>
      <c r="N811" s="150">
        <f t="shared" si="270"/>
        <v>0</v>
      </c>
      <c r="O811" s="193">
        <f t="shared" si="270"/>
        <v>0</v>
      </c>
      <c r="P811" s="162">
        <f t="shared" si="271"/>
        <v>0</v>
      </c>
      <c r="Q811" s="162">
        <f t="shared" si="271"/>
        <v>0</v>
      </c>
      <c r="R811" s="162">
        <f t="shared" si="271"/>
        <v>0</v>
      </c>
      <c r="S811" s="162">
        <f t="shared" si="271"/>
        <v>0</v>
      </c>
      <c r="T811" s="162">
        <f t="shared" si="271"/>
        <v>0</v>
      </c>
      <c r="U811" s="162">
        <f t="shared" si="271"/>
        <v>0</v>
      </c>
      <c r="V811" s="162">
        <f t="shared" si="271"/>
        <v>0</v>
      </c>
      <c r="W811" s="162">
        <f t="shared" si="271"/>
        <v>0</v>
      </c>
      <c r="X811" s="162">
        <f t="shared" si="271"/>
        <v>0</v>
      </c>
      <c r="Y811" s="162">
        <f t="shared" si="271"/>
        <v>0</v>
      </c>
      <c r="Z811" s="162">
        <f t="shared" si="271"/>
        <v>0</v>
      </c>
      <c r="AA811" s="162">
        <f t="shared" si="271"/>
        <v>0</v>
      </c>
      <c r="AB811" s="163">
        <f t="shared" si="268"/>
        <v>0</v>
      </c>
      <c r="AC811" s="198"/>
    </row>
    <row r="812" spans="1:29" hidden="1" outlineLevel="1" x14ac:dyDescent="0.25">
      <c r="A812" s="14" t="str">
        <f t="shared" si="259"/>
        <v>TERC_OPER__31</v>
      </c>
      <c r="B812" s="15" t="str">
        <f t="shared" si="264"/>
        <v>TERC_OPER__0_0</v>
      </c>
      <c r="C812" s="83"/>
      <c r="D812" s="15">
        <f t="shared" si="265"/>
        <v>0</v>
      </c>
      <c r="E812" s="15">
        <v>31</v>
      </c>
      <c r="F812" s="190">
        <f t="shared" si="270"/>
        <v>0</v>
      </c>
      <c r="G812" s="149" t="str">
        <f t="shared" si="270"/>
        <v/>
      </c>
      <c r="H812" s="150" t="str">
        <f t="shared" si="270"/>
        <v/>
      </c>
      <c r="I812" s="150">
        <f t="shared" si="270"/>
        <v>0</v>
      </c>
      <c r="J812" s="150">
        <f t="shared" si="270"/>
        <v>0</v>
      </c>
      <c r="K812" s="196">
        <f t="shared" si="270"/>
        <v>0</v>
      </c>
      <c r="L812" s="197">
        <f t="shared" si="270"/>
        <v>0</v>
      </c>
      <c r="M812" s="191">
        <f t="shared" si="270"/>
        <v>0</v>
      </c>
      <c r="N812" s="150">
        <f t="shared" si="270"/>
        <v>0</v>
      </c>
      <c r="O812" s="193">
        <f t="shared" si="270"/>
        <v>0</v>
      </c>
      <c r="P812" s="162">
        <f t="shared" si="271"/>
        <v>0</v>
      </c>
      <c r="Q812" s="162">
        <f t="shared" si="271"/>
        <v>0</v>
      </c>
      <c r="R812" s="162">
        <f t="shared" si="271"/>
        <v>0</v>
      </c>
      <c r="S812" s="162">
        <f t="shared" si="271"/>
        <v>0</v>
      </c>
      <c r="T812" s="162">
        <f t="shared" si="271"/>
        <v>0</v>
      </c>
      <c r="U812" s="162">
        <f t="shared" si="271"/>
        <v>0</v>
      </c>
      <c r="V812" s="162">
        <f t="shared" si="271"/>
        <v>0</v>
      </c>
      <c r="W812" s="162">
        <f t="shared" si="271"/>
        <v>0</v>
      </c>
      <c r="X812" s="162">
        <f t="shared" si="271"/>
        <v>0</v>
      </c>
      <c r="Y812" s="162">
        <f t="shared" si="271"/>
        <v>0</v>
      </c>
      <c r="Z812" s="162">
        <f t="shared" si="271"/>
        <v>0</v>
      </c>
      <c r="AA812" s="162">
        <f t="shared" si="271"/>
        <v>0</v>
      </c>
      <c r="AB812" s="163">
        <f t="shared" si="268"/>
        <v>0</v>
      </c>
      <c r="AC812" s="198"/>
    </row>
    <row r="813" spans="1:29" hidden="1" outlineLevel="1" x14ac:dyDescent="0.25">
      <c r="A813" s="14" t="str">
        <f t="shared" si="259"/>
        <v>TERC_OPER__32</v>
      </c>
      <c r="B813" s="15" t="str">
        <f t="shared" si="264"/>
        <v>TERC_OPER__0_0</v>
      </c>
      <c r="C813" s="83"/>
      <c r="D813" s="15">
        <f t="shared" si="265"/>
        <v>0</v>
      </c>
      <c r="E813" s="15">
        <v>32</v>
      </c>
      <c r="F813" s="190">
        <f t="shared" si="270"/>
        <v>0</v>
      </c>
      <c r="G813" s="149" t="str">
        <f t="shared" si="270"/>
        <v/>
      </c>
      <c r="H813" s="150" t="str">
        <f t="shared" si="270"/>
        <v/>
      </c>
      <c r="I813" s="150">
        <f t="shared" si="270"/>
        <v>0</v>
      </c>
      <c r="J813" s="150">
        <f t="shared" si="270"/>
        <v>0</v>
      </c>
      <c r="K813" s="196">
        <f t="shared" si="270"/>
        <v>0</v>
      </c>
      <c r="L813" s="197">
        <f t="shared" si="270"/>
        <v>0</v>
      </c>
      <c r="M813" s="191">
        <f t="shared" si="270"/>
        <v>0</v>
      </c>
      <c r="N813" s="150">
        <f t="shared" si="270"/>
        <v>0</v>
      </c>
      <c r="O813" s="193">
        <f t="shared" si="270"/>
        <v>0</v>
      </c>
      <c r="P813" s="162">
        <f t="shared" si="271"/>
        <v>0</v>
      </c>
      <c r="Q813" s="162">
        <f t="shared" si="271"/>
        <v>0</v>
      </c>
      <c r="R813" s="162">
        <f t="shared" si="271"/>
        <v>0</v>
      </c>
      <c r="S813" s="162">
        <f t="shared" si="271"/>
        <v>0</v>
      </c>
      <c r="T813" s="162">
        <f t="shared" si="271"/>
        <v>0</v>
      </c>
      <c r="U813" s="162">
        <f t="shared" si="271"/>
        <v>0</v>
      </c>
      <c r="V813" s="162">
        <f t="shared" si="271"/>
        <v>0</v>
      </c>
      <c r="W813" s="162">
        <f t="shared" si="271"/>
        <v>0</v>
      </c>
      <c r="X813" s="162">
        <f t="shared" si="271"/>
        <v>0</v>
      </c>
      <c r="Y813" s="162">
        <f t="shared" si="271"/>
        <v>0</v>
      </c>
      <c r="Z813" s="162">
        <f t="shared" si="271"/>
        <v>0</v>
      </c>
      <c r="AA813" s="162">
        <f t="shared" si="271"/>
        <v>0</v>
      </c>
      <c r="AB813" s="163">
        <f t="shared" si="268"/>
        <v>0</v>
      </c>
      <c r="AC813" s="198"/>
    </row>
    <row r="814" spans="1:29" hidden="1" outlineLevel="1" x14ac:dyDescent="0.25">
      <c r="A814" s="14" t="str">
        <f t="shared" si="259"/>
        <v>TERC_OPER__33</v>
      </c>
      <c r="B814" s="15" t="str">
        <f t="shared" si="264"/>
        <v>TERC_OPER__0_0</v>
      </c>
      <c r="C814" s="83"/>
      <c r="D814" s="15">
        <f t="shared" si="265"/>
        <v>0</v>
      </c>
      <c r="E814" s="15">
        <v>33</v>
      </c>
      <c r="F814" s="190">
        <f t="shared" ref="F814:O826" si="272">F768</f>
        <v>0</v>
      </c>
      <c r="G814" s="149" t="str">
        <f t="shared" si="272"/>
        <v/>
      </c>
      <c r="H814" s="150" t="str">
        <f t="shared" si="272"/>
        <v/>
      </c>
      <c r="I814" s="150">
        <f t="shared" si="272"/>
        <v>0</v>
      </c>
      <c r="J814" s="150">
        <f t="shared" si="272"/>
        <v>0</v>
      </c>
      <c r="K814" s="196">
        <f t="shared" si="272"/>
        <v>0</v>
      </c>
      <c r="L814" s="197">
        <f t="shared" si="272"/>
        <v>0</v>
      </c>
      <c r="M814" s="191">
        <f t="shared" si="272"/>
        <v>0</v>
      </c>
      <c r="N814" s="150">
        <f t="shared" si="272"/>
        <v>0</v>
      </c>
      <c r="O814" s="193">
        <f t="shared" si="272"/>
        <v>0</v>
      </c>
      <c r="P814" s="162">
        <f t="shared" si="271"/>
        <v>0</v>
      </c>
      <c r="Q814" s="162">
        <f t="shared" si="271"/>
        <v>0</v>
      </c>
      <c r="R814" s="162">
        <f t="shared" si="271"/>
        <v>0</v>
      </c>
      <c r="S814" s="162">
        <f t="shared" si="271"/>
        <v>0</v>
      </c>
      <c r="T814" s="162">
        <f t="shared" si="271"/>
        <v>0</v>
      </c>
      <c r="U814" s="162">
        <f t="shared" si="271"/>
        <v>0</v>
      </c>
      <c r="V814" s="162">
        <f t="shared" si="271"/>
        <v>0</v>
      </c>
      <c r="W814" s="162">
        <f t="shared" si="271"/>
        <v>0</v>
      </c>
      <c r="X814" s="162">
        <f t="shared" si="271"/>
        <v>0</v>
      </c>
      <c r="Y814" s="162">
        <f t="shared" si="271"/>
        <v>0</v>
      </c>
      <c r="Z814" s="162">
        <f t="shared" si="271"/>
        <v>0</v>
      </c>
      <c r="AA814" s="162">
        <f t="shared" si="271"/>
        <v>0</v>
      </c>
      <c r="AB814" s="163">
        <f t="shared" si="268"/>
        <v>0</v>
      </c>
      <c r="AC814" s="198"/>
    </row>
    <row r="815" spans="1:29" hidden="1" outlineLevel="1" x14ac:dyDescent="0.25">
      <c r="A815" s="14" t="str">
        <f t="shared" si="259"/>
        <v>TERC_OPER__34</v>
      </c>
      <c r="B815" s="15" t="str">
        <f t="shared" si="264"/>
        <v>TERC_OPER__0_0</v>
      </c>
      <c r="C815" s="83"/>
      <c r="D815" s="15">
        <f t="shared" si="265"/>
        <v>0</v>
      </c>
      <c r="E815" s="15">
        <v>34</v>
      </c>
      <c r="F815" s="190">
        <f t="shared" si="272"/>
        <v>0</v>
      </c>
      <c r="G815" s="149" t="str">
        <f t="shared" si="272"/>
        <v/>
      </c>
      <c r="H815" s="150" t="str">
        <f t="shared" si="272"/>
        <v/>
      </c>
      <c r="I815" s="150">
        <f t="shared" si="272"/>
        <v>0</v>
      </c>
      <c r="J815" s="150">
        <f t="shared" si="272"/>
        <v>0</v>
      </c>
      <c r="K815" s="196">
        <f t="shared" si="272"/>
        <v>0</v>
      </c>
      <c r="L815" s="197">
        <f t="shared" si="272"/>
        <v>0</v>
      </c>
      <c r="M815" s="191">
        <f t="shared" si="272"/>
        <v>0</v>
      </c>
      <c r="N815" s="150">
        <f t="shared" si="272"/>
        <v>0</v>
      </c>
      <c r="O815" s="193">
        <f t="shared" si="272"/>
        <v>0</v>
      </c>
      <c r="P815" s="162">
        <f t="shared" si="271"/>
        <v>0</v>
      </c>
      <c r="Q815" s="162">
        <f t="shared" si="271"/>
        <v>0</v>
      </c>
      <c r="R815" s="162">
        <f t="shared" si="271"/>
        <v>0</v>
      </c>
      <c r="S815" s="162">
        <f t="shared" si="271"/>
        <v>0</v>
      </c>
      <c r="T815" s="162">
        <f t="shared" si="271"/>
        <v>0</v>
      </c>
      <c r="U815" s="162">
        <f t="shared" si="271"/>
        <v>0</v>
      </c>
      <c r="V815" s="162">
        <f t="shared" si="271"/>
        <v>0</v>
      </c>
      <c r="W815" s="162">
        <f t="shared" si="271"/>
        <v>0</v>
      </c>
      <c r="X815" s="162">
        <f t="shared" si="271"/>
        <v>0</v>
      </c>
      <c r="Y815" s="162">
        <f t="shared" si="271"/>
        <v>0</v>
      </c>
      <c r="Z815" s="162">
        <f t="shared" si="271"/>
        <v>0</v>
      </c>
      <c r="AA815" s="162">
        <f t="shared" si="271"/>
        <v>0</v>
      </c>
      <c r="AB815" s="163">
        <f t="shared" si="268"/>
        <v>0</v>
      </c>
      <c r="AC815" s="198"/>
    </row>
    <row r="816" spans="1:29" hidden="1" outlineLevel="1" x14ac:dyDescent="0.25">
      <c r="A816" s="14" t="str">
        <f t="shared" si="259"/>
        <v>TERC_OPER__35</v>
      </c>
      <c r="B816" s="15" t="str">
        <f t="shared" si="264"/>
        <v>TERC_OPER__0_0</v>
      </c>
      <c r="C816" s="83"/>
      <c r="D816" s="15">
        <f t="shared" si="265"/>
        <v>0</v>
      </c>
      <c r="E816" s="15">
        <v>35</v>
      </c>
      <c r="F816" s="190">
        <f t="shared" si="272"/>
        <v>0</v>
      </c>
      <c r="G816" s="149" t="str">
        <f t="shared" si="272"/>
        <v/>
      </c>
      <c r="H816" s="150" t="str">
        <f t="shared" si="272"/>
        <v/>
      </c>
      <c r="I816" s="150">
        <f t="shared" si="272"/>
        <v>0</v>
      </c>
      <c r="J816" s="150">
        <f t="shared" si="272"/>
        <v>0</v>
      </c>
      <c r="K816" s="196">
        <f t="shared" si="272"/>
        <v>0</v>
      </c>
      <c r="L816" s="197">
        <f t="shared" si="272"/>
        <v>0</v>
      </c>
      <c r="M816" s="191">
        <f t="shared" si="272"/>
        <v>0</v>
      </c>
      <c r="N816" s="150">
        <f t="shared" si="272"/>
        <v>0</v>
      </c>
      <c r="O816" s="193">
        <f t="shared" si="272"/>
        <v>0</v>
      </c>
      <c r="P816" s="162">
        <f t="shared" si="271"/>
        <v>0</v>
      </c>
      <c r="Q816" s="162">
        <f t="shared" si="271"/>
        <v>0</v>
      </c>
      <c r="R816" s="162">
        <f t="shared" si="271"/>
        <v>0</v>
      </c>
      <c r="S816" s="162">
        <f t="shared" si="271"/>
        <v>0</v>
      </c>
      <c r="T816" s="162">
        <f t="shared" si="271"/>
        <v>0</v>
      </c>
      <c r="U816" s="162">
        <f t="shared" si="271"/>
        <v>0</v>
      </c>
      <c r="V816" s="162">
        <f t="shared" si="271"/>
        <v>0</v>
      </c>
      <c r="W816" s="162">
        <f t="shared" si="271"/>
        <v>0</v>
      </c>
      <c r="X816" s="162">
        <f t="shared" si="271"/>
        <v>0</v>
      </c>
      <c r="Y816" s="162">
        <f t="shared" si="271"/>
        <v>0</v>
      </c>
      <c r="Z816" s="162">
        <f t="shared" si="271"/>
        <v>0</v>
      </c>
      <c r="AA816" s="162">
        <f t="shared" si="271"/>
        <v>0</v>
      </c>
      <c r="AB816" s="163">
        <f t="shared" si="268"/>
        <v>0</v>
      </c>
      <c r="AC816" s="198"/>
    </row>
    <row r="817" spans="1:29" hidden="1" outlineLevel="1" x14ac:dyDescent="0.25">
      <c r="A817" s="14" t="str">
        <f t="shared" si="259"/>
        <v>TERC_OPER__36</v>
      </c>
      <c r="B817" s="15" t="str">
        <f t="shared" si="264"/>
        <v>TERC_OPER__0_0</v>
      </c>
      <c r="C817" s="83"/>
      <c r="D817" s="15">
        <f t="shared" si="265"/>
        <v>0</v>
      </c>
      <c r="E817" s="15">
        <v>36</v>
      </c>
      <c r="F817" s="190">
        <f t="shared" si="272"/>
        <v>0</v>
      </c>
      <c r="G817" s="149" t="str">
        <f t="shared" si="272"/>
        <v/>
      </c>
      <c r="H817" s="150" t="str">
        <f t="shared" si="272"/>
        <v/>
      </c>
      <c r="I817" s="150">
        <f t="shared" si="272"/>
        <v>0</v>
      </c>
      <c r="J817" s="150">
        <f t="shared" si="272"/>
        <v>0</v>
      </c>
      <c r="K817" s="196">
        <f t="shared" si="272"/>
        <v>0</v>
      </c>
      <c r="L817" s="197">
        <f t="shared" si="272"/>
        <v>0</v>
      </c>
      <c r="M817" s="191">
        <f t="shared" si="272"/>
        <v>0</v>
      </c>
      <c r="N817" s="150">
        <f t="shared" si="272"/>
        <v>0</v>
      </c>
      <c r="O817" s="193">
        <f t="shared" si="272"/>
        <v>0</v>
      </c>
      <c r="P817" s="162">
        <f t="shared" si="271"/>
        <v>0</v>
      </c>
      <c r="Q817" s="162">
        <f t="shared" si="271"/>
        <v>0</v>
      </c>
      <c r="R817" s="162">
        <f t="shared" si="271"/>
        <v>0</v>
      </c>
      <c r="S817" s="162">
        <f t="shared" si="271"/>
        <v>0</v>
      </c>
      <c r="T817" s="162">
        <f t="shared" si="271"/>
        <v>0</v>
      </c>
      <c r="U817" s="162">
        <f t="shared" si="271"/>
        <v>0</v>
      </c>
      <c r="V817" s="162">
        <f t="shared" si="271"/>
        <v>0</v>
      </c>
      <c r="W817" s="162">
        <f t="shared" si="271"/>
        <v>0</v>
      </c>
      <c r="X817" s="162">
        <f t="shared" si="271"/>
        <v>0</v>
      </c>
      <c r="Y817" s="162">
        <f t="shared" si="271"/>
        <v>0</v>
      </c>
      <c r="Z817" s="162">
        <f t="shared" si="271"/>
        <v>0</v>
      </c>
      <c r="AA817" s="162">
        <f t="shared" si="271"/>
        <v>0</v>
      </c>
      <c r="AB817" s="163">
        <f t="shared" si="268"/>
        <v>0</v>
      </c>
      <c r="AC817" s="198"/>
    </row>
    <row r="818" spans="1:29" hidden="1" outlineLevel="1" x14ac:dyDescent="0.25">
      <c r="A818" s="14" t="str">
        <f t="shared" ref="A818:A927" si="273">"TERC_OPER_"&amp;C818&amp;"_"&amp;E818</f>
        <v>TERC_OPER__37</v>
      </c>
      <c r="B818" s="15" t="str">
        <f t="shared" si="264"/>
        <v>TERC_OPER__0_0</v>
      </c>
      <c r="C818" s="83"/>
      <c r="D818" s="15">
        <f t="shared" si="265"/>
        <v>0</v>
      </c>
      <c r="E818" s="15">
        <v>37</v>
      </c>
      <c r="F818" s="190">
        <f t="shared" si="272"/>
        <v>0</v>
      </c>
      <c r="G818" s="149" t="str">
        <f t="shared" si="272"/>
        <v/>
      </c>
      <c r="H818" s="150" t="str">
        <f t="shared" si="272"/>
        <v/>
      </c>
      <c r="I818" s="150">
        <f t="shared" si="272"/>
        <v>0</v>
      </c>
      <c r="J818" s="150">
        <f t="shared" si="272"/>
        <v>0</v>
      </c>
      <c r="K818" s="196">
        <f t="shared" si="272"/>
        <v>0</v>
      </c>
      <c r="L818" s="197">
        <f t="shared" si="272"/>
        <v>0</v>
      </c>
      <c r="M818" s="191">
        <f t="shared" si="272"/>
        <v>0</v>
      </c>
      <c r="N818" s="150">
        <f t="shared" si="272"/>
        <v>0</v>
      </c>
      <c r="O818" s="193">
        <f t="shared" si="272"/>
        <v>0</v>
      </c>
      <c r="P818" s="162">
        <f t="shared" si="271"/>
        <v>0</v>
      </c>
      <c r="Q818" s="162">
        <f t="shared" si="271"/>
        <v>0</v>
      </c>
      <c r="R818" s="162">
        <f t="shared" si="271"/>
        <v>0</v>
      </c>
      <c r="S818" s="162">
        <f t="shared" si="271"/>
        <v>0</v>
      </c>
      <c r="T818" s="162">
        <f t="shared" si="271"/>
        <v>0</v>
      </c>
      <c r="U818" s="162">
        <f t="shared" si="271"/>
        <v>0</v>
      </c>
      <c r="V818" s="162">
        <f t="shared" si="271"/>
        <v>0</v>
      </c>
      <c r="W818" s="162">
        <f t="shared" si="271"/>
        <v>0</v>
      </c>
      <c r="X818" s="162">
        <f t="shared" si="271"/>
        <v>0</v>
      </c>
      <c r="Y818" s="162">
        <f t="shared" si="271"/>
        <v>0</v>
      </c>
      <c r="Z818" s="162">
        <f t="shared" si="271"/>
        <v>0</v>
      </c>
      <c r="AA818" s="162">
        <f t="shared" si="271"/>
        <v>0</v>
      </c>
      <c r="AB818" s="163">
        <f t="shared" si="268"/>
        <v>0</v>
      </c>
      <c r="AC818" s="198"/>
    </row>
    <row r="819" spans="1:29" hidden="1" outlineLevel="1" x14ac:dyDescent="0.25">
      <c r="A819" s="14" t="str">
        <f t="shared" si="273"/>
        <v>TERC_OPER__38</v>
      </c>
      <c r="B819" s="15" t="str">
        <f t="shared" si="264"/>
        <v>TERC_OPER__0_0</v>
      </c>
      <c r="C819" s="83"/>
      <c r="D819" s="15">
        <f t="shared" si="265"/>
        <v>0</v>
      </c>
      <c r="E819" s="15">
        <v>38</v>
      </c>
      <c r="F819" s="190">
        <f t="shared" si="272"/>
        <v>0</v>
      </c>
      <c r="G819" s="149" t="str">
        <f t="shared" si="272"/>
        <v/>
      </c>
      <c r="H819" s="150" t="str">
        <f t="shared" si="272"/>
        <v/>
      </c>
      <c r="I819" s="150">
        <f t="shared" si="272"/>
        <v>0</v>
      </c>
      <c r="J819" s="150">
        <f t="shared" si="272"/>
        <v>0</v>
      </c>
      <c r="K819" s="196">
        <f t="shared" si="272"/>
        <v>0</v>
      </c>
      <c r="L819" s="197">
        <f t="shared" si="272"/>
        <v>0</v>
      </c>
      <c r="M819" s="191">
        <f t="shared" si="272"/>
        <v>0</v>
      </c>
      <c r="N819" s="150">
        <f t="shared" si="272"/>
        <v>0</v>
      </c>
      <c r="O819" s="193">
        <f t="shared" si="272"/>
        <v>0</v>
      </c>
      <c r="P819" s="162">
        <f t="shared" ref="P819:AA826" si="274">IFERROR(SUMIF($B$483:$B$547,$C819&amp;$I819,P$483:P$547)/SUMIF($D$483:$D$547,$I819,P$483:P$547)*P589,0)</f>
        <v>0</v>
      </c>
      <c r="Q819" s="162">
        <f t="shared" si="274"/>
        <v>0</v>
      </c>
      <c r="R819" s="162">
        <f t="shared" si="274"/>
        <v>0</v>
      </c>
      <c r="S819" s="162">
        <f t="shared" si="274"/>
        <v>0</v>
      </c>
      <c r="T819" s="162">
        <f t="shared" si="274"/>
        <v>0</v>
      </c>
      <c r="U819" s="162">
        <f t="shared" si="274"/>
        <v>0</v>
      </c>
      <c r="V819" s="162">
        <f t="shared" si="274"/>
        <v>0</v>
      </c>
      <c r="W819" s="162">
        <f t="shared" si="274"/>
        <v>0</v>
      </c>
      <c r="X819" s="162">
        <f t="shared" si="274"/>
        <v>0</v>
      </c>
      <c r="Y819" s="162">
        <f t="shared" si="274"/>
        <v>0</v>
      </c>
      <c r="Z819" s="162">
        <f t="shared" si="274"/>
        <v>0</v>
      </c>
      <c r="AA819" s="162">
        <f t="shared" si="274"/>
        <v>0</v>
      </c>
      <c r="AB819" s="163">
        <f t="shared" si="268"/>
        <v>0</v>
      </c>
      <c r="AC819" s="198"/>
    </row>
    <row r="820" spans="1:29" hidden="1" outlineLevel="1" x14ac:dyDescent="0.25">
      <c r="A820" s="14" t="str">
        <f t="shared" si="273"/>
        <v>TERC_OPER__39</v>
      </c>
      <c r="B820" s="15" t="str">
        <f t="shared" si="264"/>
        <v>TERC_OPER__0_0</v>
      </c>
      <c r="C820" s="83"/>
      <c r="D820" s="15">
        <f t="shared" si="265"/>
        <v>0</v>
      </c>
      <c r="E820" s="15">
        <v>39</v>
      </c>
      <c r="F820" s="190">
        <f t="shared" si="272"/>
        <v>0</v>
      </c>
      <c r="G820" s="149" t="str">
        <f t="shared" si="272"/>
        <v/>
      </c>
      <c r="H820" s="150" t="str">
        <f t="shared" si="272"/>
        <v/>
      </c>
      <c r="I820" s="150">
        <f t="shared" si="272"/>
        <v>0</v>
      </c>
      <c r="J820" s="150">
        <f t="shared" si="272"/>
        <v>0</v>
      </c>
      <c r="K820" s="196">
        <f t="shared" si="272"/>
        <v>0</v>
      </c>
      <c r="L820" s="197">
        <f t="shared" si="272"/>
        <v>0</v>
      </c>
      <c r="M820" s="191">
        <f t="shared" si="272"/>
        <v>0</v>
      </c>
      <c r="N820" s="150">
        <f t="shared" si="272"/>
        <v>0</v>
      </c>
      <c r="O820" s="193">
        <f t="shared" si="272"/>
        <v>0</v>
      </c>
      <c r="P820" s="162">
        <f t="shared" si="274"/>
        <v>0</v>
      </c>
      <c r="Q820" s="162">
        <f t="shared" si="274"/>
        <v>0</v>
      </c>
      <c r="R820" s="162">
        <f t="shared" si="274"/>
        <v>0</v>
      </c>
      <c r="S820" s="162">
        <f t="shared" si="274"/>
        <v>0</v>
      </c>
      <c r="T820" s="162">
        <f t="shared" si="274"/>
        <v>0</v>
      </c>
      <c r="U820" s="162">
        <f t="shared" si="274"/>
        <v>0</v>
      </c>
      <c r="V820" s="162">
        <f t="shared" si="274"/>
        <v>0</v>
      </c>
      <c r="W820" s="162">
        <f t="shared" si="274"/>
        <v>0</v>
      </c>
      <c r="X820" s="162">
        <f t="shared" si="274"/>
        <v>0</v>
      </c>
      <c r="Y820" s="162">
        <f t="shared" si="274"/>
        <v>0</v>
      </c>
      <c r="Z820" s="162">
        <f t="shared" si="274"/>
        <v>0</v>
      </c>
      <c r="AA820" s="162">
        <f t="shared" si="274"/>
        <v>0</v>
      </c>
      <c r="AB820" s="163">
        <f t="shared" si="268"/>
        <v>0</v>
      </c>
      <c r="AC820" s="198"/>
    </row>
    <row r="821" spans="1:29" hidden="1" outlineLevel="1" x14ac:dyDescent="0.25">
      <c r="A821" s="14" t="str">
        <f t="shared" si="273"/>
        <v>TERC_OPER__40</v>
      </c>
      <c r="B821" s="15" t="str">
        <f t="shared" si="264"/>
        <v>TERC_OPER__0_0</v>
      </c>
      <c r="C821" s="83"/>
      <c r="D821" s="15">
        <f t="shared" si="265"/>
        <v>0</v>
      </c>
      <c r="E821" s="15">
        <v>40</v>
      </c>
      <c r="F821" s="190">
        <f t="shared" si="272"/>
        <v>0</v>
      </c>
      <c r="G821" s="149" t="str">
        <f t="shared" si="272"/>
        <v/>
      </c>
      <c r="H821" s="150" t="str">
        <f t="shared" si="272"/>
        <v/>
      </c>
      <c r="I821" s="150">
        <f t="shared" si="272"/>
        <v>0</v>
      </c>
      <c r="J821" s="150">
        <f t="shared" si="272"/>
        <v>0</v>
      </c>
      <c r="K821" s="196">
        <f t="shared" si="272"/>
        <v>0</v>
      </c>
      <c r="L821" s="197">
        <f t="shared" si="272"/>
        <v>0</v>
      </c>
      <c r="M821" s="191">
        <f t="shared" si="272"/>
        <v>0</v>
      </c>
      <c r="N821" s="150">
        <f t="shared" si="272"/>
        <v>0</v>
      </c>
      <c r="O821" s="193">
        <f t="shared" si="272"/>
        <v>0</v>
      </c>
      <c r="P821" s="162">
        <f t="shared" si="274"/>
        <v>0</v>
      </c>
      <c r="Q821" s="162">
        <f t="shared" si="274"/>
        <v>0</v>
      </c>
      <c r="R821" s="162">
        <f t="shared" si="274"/>
        <v>0</v>
      </c>
      <c r="S821" s="162">
        <f t="shared" si="274"/>
        <v>0</v>
      </c>
      <c r="T821" s="162">
        <f t="shared" si="274"/>
        <v>0</v>
      </c>
      <c r="U821" s="162">
        <f t="shared" si="274"/>
        <v>0</v>
      </c>
      <c r="V821" s="162">
        <f t="shared" si="274"/>
        <v>0</v>
      </c>
      <c r="W821" s="162">
        <f t="shared" si="274"/>
        <v>0</v>
      </c>
      <c r="X821" s="162">
        <f t="shared" si="274"/>
        <v>0</v>
      </c>
      <c r="Y821" s="162">
        <f t="shared" si="274"/>
        <v>0</v>
      </c>
      <c r="Z821" s="162">
        <f t="shared" si="274"/>
        <v>0</v>
      </c>
      <c r="AA821" s="162">
        <f t="shared" si="274"/>
        <v>0</v>
      </c>
      <c r="AB821" s="163">
        <f t="shared" si="268"/>
        <v>0</v>
      </c>
      <c r="AC821" s="198"/>
    </row>
    <row r="822" spans="1:29" hidden="1" outlineLevel="1" x14ac:dyDescent="0.25">
      <c r="A822" s="14" t="str">
        <f t="shared" si="273"/>
        <v>TERC_OPER__41</v>
      </c>
      <c r="B822" s="15" t="str">
        <f t="shared" si="264"/>
        <v>TERC_OPER__0_0</v>
      </c>
      <c r="C822" s="83"/>
      <c r="D822" s="15">
        <f t="shared" si="265"/>
        <v>0</v>
      </c>
      <c r="E822" s="15">
        <v>41</v>
      </c>
      <c r="F822" s="190">
        <f t="shared" si="272"/>
        <v>0</v>
      </c>
      <c r="G822" s="149" t="str">
        <f t="shared" si="272"/>
        <v/>
      </c>
      <c r="H822" s="150" t="str">
        <f t="shared" si="272"/>
        <v/>
      </c>
      <c r="I822" s="150">
        <f t="shared" si="272"/>
        <v>0</v>
      </c>
      <c r="J822" s="150">
        <f t="shared" si="272"/>
        <v>0</v>
      </c>
      <c r="K822" s="196">
        <f t="shared" si="272"/>
        <v>0</v>
      </c>
      <c r="L822" s="197">
        <f t="shared" si="272"/>
        <v>0</v>
      </c>
      <c r="M822" s="191">
        <f t="shared" si="272"/>
        <v>0</v>
      </c>
      <c r="N822" s="150">
        <f t="shared" si="272"/>
        <v>0</v>
      </c>
      <c r="O822" s="193">
        <f t="shared" si="272"/>
        <v>0</v>
      </c>
      <c r="P822" s="162">
        <f t="shared" si="274"/>
        <v>0</v>
      </c>
      <c r="Q822" s="162">
        <f t="shared" si="274"/>
        <v>0</v>
      </c>
      <c r="R822" s="162">
        <f t="shared" si="274"/>
        <v>0</v>
      </c>
      <c r="S822" s="162">
        <f t="shared" si="274"/>
        <v>0</v>
      </c>
      <c r="T822" s="162">
        <f t="shared" si="274"/>
        <v>0</v>
      </c>
      <c r="U822" s="162">
        <f t="shared" si="274"/>
        <v>0</v>
      </c>
      <c r="V822" s="162">
        <f t="shared" si="274"/>
        <v>0</v>
      </c>
      <c r="W822" s="162">
        <f t="shared" si="274"/>
        <v>0</v>
      </c>
      <c r="X822" s="162">
        <f t="shared" si="274"/>
        <v>0</v>
      </c>
      <c r="Y822" s="162">
        <f t="shared" si="274"/>
        <v>0</v>
      </c>
      <c r="Z822" s="162">
        <f t="shared" si="274"/>
        <v>0</v>
      </c>
      <c r="AA822" s="162">
        <f t="shared" si="274"/>
        <v>0</v>
      </c>
      <c r="AB822" s="163">
        <f t="shared" si="268"/>
        <v>0</v>
      </c>
      <c r="AC822" s="198"/>
    </row>
    <row r="823" spans="1:29" hidden="1" outlineLevel="1" x14ac:dyDescent="0.25">
      <c r="A823" s="14" t="str">
        <f t="shared" si="273"/>
        <v>TERC_OPER__42</v>
      </c>
      <c r="B823" s="15" t="str">
        <f t="shared" si="264"/>
        <v>TERC_OPER__0_0</v>
      </c>
      <c r="C823" s="83"/>
      <c r="D823" s="15">
        <f t="shared" si="265"/>
        <v>0</v>
      </c>
      <c r="E823" s="15">
        <v>42</v>
      </c>
      <c r="F823" s="190">
        <f t="shared" si="272"/>
        <v>0</v>
      </c>
      <c r="G823" s="149" t="str">
        <f t="shared" si="272"/>
        <v/>
      </c>
      <c r="H823" s="150" t="str">
        <f t="shared" si="272"/>
        <v/>
      </c>
      <c r="I823" s="150">
        <f t="shared" si="272"/>
        <v>0</v>
      </c>
      <c r="J823" s="150">
        <f t="shared" si="272"/>
        <v>0</v>
      </c>
      <c r="K823" s="196">
        <f t="shared" si="272"/>
        <v>0</v>
      </c>
      <c r="L823" s="197">
        <f t="shared" si="272"/>
        <v>0</v>
      </c>
      <c r="M823" s="191">
        <f t="shared" si="272"/>
        <v>0</v>
      </c>
      <c r="N823" s="150">
        <f t="shared" si="272"/>
        <v>0</v>
      </c>
      <c r="O823" s="193">
        <f t="shared" si="272"/>
        <v>0</v>
      </c>
      <c r="P823" s="162">
        <f t="shared" si="274"/>
        <v>0</v>
      </c>
      <c r="Q823" s="162">
        <f t="shared" si="274"/>
        <v>0</v>
      </c>
      <c r="R823" s="162">
        <f t="shared" si="274"/>
        <v>0</v>
      </c>
      <c r="S823" s="162">
        <f t="shared" si="274"/>
        <v>0</v>
      </c>
      <c r="T823" s="162">
        <f t="shared" si="274"/>
        <v>0</v>
      </c>
      <c r="U823" s="162">
        <f t="shared" si="274"/>
        <v>0</v>
      </c>
      <c r="V823" s="162">
        <f t="shared" si="274"/>
        <v>0</v>
      </c>
      <c r="W823" s="162">
        <f t="shared" si="274"/>
        <v>0</v>
      </c>
      <c r="X823" s="162">
        <f t="shared" si="274"/>
        <v>0</v>
      </c>
      <c r="Y823" s="162">
        <f t="shared" si="274"/>
        <v>0</v>
      </c>
      <c r="Z823" s="162">
        <f t="shared" si="274"/>
        <v>0</v>
      </c>
      <c r="AA823" s="162">
        <f t="shared" si="274"/>
        <v>0</v>
      </c>
      <c r="AB823" s="163">
        <f t="shared" si="268"/>
        <v>0</v>
      </c>
      <c r="AC823" s="198"/>
    </row>
    <row r="824" spans="1:29" hidden="1" outlineLevel="1" x14ac:dyDescent="0.25">
      <c r="A824" s="14" t="str">
        <f t="shared" si="273"/>
        <v>TERC_OPER__43</v>
      </c>
      <c r="B824" s="15" t="str">
        <f t="shared" si="264"/>
        <v>TERC_OPER__0_0</v>
      </c>
      <c r="C824" s="83"/>
      <c r="D824" s="15">
        <f t="shared" si="265"/>
        <v>0</v>
      </c>
      <c r="E824" s="15">
        <v>43</v>
      </c>
      <c r="F824" s="190">
        <f t="shared" si="272"/>
        <v>0</v>
      </c>
      <c r="G824" s="149" t="str">
        <f t="shared" si="272"/>
        <v/>
      </c>
      <c r="H824" s="150" t="str">
        <f t="shared" si="272"/>
        <v/>
      </c>
      <c r="I824" s="150">
        <f t="shared" si="272"/>
        <v>0</v>
      </c>
      <c r="J824" s="150">
        <f t="shared" si="272"/>
        <v>0</v>
      </c>
      <c r="K824" s="196">
        <f t="shared" si="272"/>
        <v>0</v>
      </c>
      <c r="L824" s="197">
        <f t="shared" si="272"/>
        <v>0</v>
      </c>
      <c r="M824" s="191">
        <f t="shared" si="272"/>
        <v>0</v>
      </c>
      <c r="N824" s="150">
        <f t="shared" si="272"/>
        <v>0</v>
      </c>
      <c r="O824" s="193">
        <f t="shared" si="272"/>
        <v>0</v>
      </c>
      <c r="P824" s="162">
        <f t="shared" si="274"/>
        <v>0</v>
      </c>
      <c r="Q824" s="162">
        <f t="shared" si="274"/>
        <v>0</v>
      </c>
      <c r="R824" s="162">
        <f t="shared" si="274"/>
        <v>0</v>
      </c>
      <c r="S824" s="162">
        <f t="shared" si="274"/>
        <v>0</v>
      </c>
      <c r="T824" s="162">
        <f t="shared" si="274"/>
        <v>0</v>
      </c>
      <c r="U824" s="162">
        <f t="shared" si="274"/>
        <v>0</v>
      </c>
      <c r="V824" s="162">
        <f t="shared" si="274"/>
        <v>0</v>
      </c>
      <c r="W824" s="162">
        <f t="shared" si="274"/>
        <v>0</v>
      </c>
      <c r="X824" s="162">
        <f t="shared" si="274"/>
        <v>0</v>
      </c>
      <c r="Y824" s="162">
        <f t="shared" si="274"/>
        <v>0</v>
      </c>
      <c r="Z824" s="162">
        <f t="shared" si="274"/>
        <v>0</v>
      </c>
      <c r="AA824" s="162">
        <f t="shared" si="274"/>
        <v>0</v>
      </c>
      <c r="AB824" s="163">
        <f t="shared" si="268"/>
        <v>0</v>
      </c>
      <c r="AC824" s="198"/>
    </row>
    <row r="825" spans="1:29" hidden="1" outlineLevel="1" x14ac:dyDescent="0.25">
      <c r="A825" s="14" t="str">
        <f t="shared" si="273"/>
        <v>TERC_OPER__44</v>
      </c>
      <c r="B825" s="15" t="str">
        <f t="shared" si="264"/>
        <v>TERC_OPER__0_0</v>
      </c>
      <c r="C825" s="83"/>
      <c r="D825" s="15">
        <f t="shared" si="265"/>
        <v>0</v>
      </c>
      <c r="E825" s="15">
        <v>44</v>
      </c>
      <c r="F825" s="190">
        <f t="shared" si="272"/>
        <v>0</v>
      </c>
      <c r="G825" s="149" t="str">
        <f t="shared" si="272"/>
        <v/>
      </c>
      <c r="H825" s="150" t="str">
        <f t="shared" si="272"/>
        <v/>
      </c>
      <c r="I825" s="150">
        <f t="shared" si="272"/>
        <v>0</v>
      </c>
      <c r="J825" s="150">
        <f t="shared" si="272"/>
        <v>0</v>
      </c>
      <c r="K825" s="196">
        <f t="shared" si="272"/>
        <v>0</v>
      </c>
      <c r="L825" s="197">
        <f t="shared" si="272"/>
        <v>0</v>
      </c>
      <c r="M825" s="191">
        <f t="shared" si="272"/>
        <v>0</v>
      </c>
      <c r="N825" s="150">
        <f t="shared" si="272"/>
        <v>0</v>
      </c>
      <c r="O825" s="193">
        <f t="shared" si="272"/>
        <v>0</v>
      </c>
      <c r="P825" s="162">
        <f t="shared" si="274"/>
        <v>0</v>
      </c>
      <c r="Q825" s="162">
        <f t="shared" si="274"/>
        <v>0</v>
      </c>
      <c r="R825" s="162">
        <f t="shared" si="274"/>
        <v>0</v>
      </c>
      <c r="S825" s="162">
        <f t="shared" si="274"/>
        <v>0</v>
      </c>
      <c r="T825" s="162">
        <f t="shared" si="274"/>
        <v>0</v>
      </c>
      <c r="U825" s="162">
        <f t="shared" si="274"/>
        <v>0</v>
      </c>
      <c r="V825" s="162">
        <f t="shared" si="274"/>
        <v>0</v>
      </c>
      <c r="W825" s="162">
        <f t="shared" si="274"/>
        <v>0</v>
      </c>
      <c r="X825" s="162">
        <f t="shared" si="274"/>
        <v>0</v>
      </c>
      <c r="Y825" s="162">
        <f t="shared" si="274"/>
        <v>0</v>
      </c>
      <c r="Z825" s="162">
        <f t="shared" si="274"/>
        <v>0</v>
      </c>
      <c r="AA825" s="162">
        <f t="shared" si="274"/>
        <v>0</v>
      </c>
      <c r="AB825" s="163">
        <f t="shared" si="268"/>
        <v>0</v>
      </c>
      <c r="AC825" s="198"/>
    </row>
    <row r="826" spans="1:29" hidden="1" outlineLevel="1" x14ac:dyDescent="0.25">
      <c r="A826" s="14" t="str">
        <f t="shared" si="273"/>
        <v>TERC_OPER__45</v>
      </c>
      <c r="B826" s="15" t="str">
        <f t="shared" si="264"/>
        <v>TERC_OPER__0_0</v>
      </c>
      <c r="C826" s="83"/>
      <c r="D826" s="15">
        <f t="shared" si="265"/>
        <v>0</v>
      </c>
      <c r="E826" s="15">
        <v>45</v>
      </c>
      <c r="F826" s="209">
        <f t="shared" si="272"/>
        <v>0</v>
      </c>
      <c r="G826" s="183" t="str">
        <f t="shared" si="272"/>
        <v/>
      </c>
      <c r="H826" s="184" t="str">
        <f t="shared" si="272"/>
        <v/>
      </c>
      <c r="I826" s="184">
        <f t="shared" si="272"/>
        <v>0</v>
      </c>
      <c r="J826" s="184">
        <f t="shared" si="272"/>
        <v>0</v>
      </c>
      <c r="K826" s="210">
        <f t="shared" si="272"/>
        <v>0</v>
      </c>
      <c r="L826" s="211">
        <f t="shared" si="272"/>
        <v>0</v>
      </c>
      <c r="M826" s="212">
        <f t="shared" si="272"/>
        <v>0</v>
      </c>
      <c r="N826" s="184">
        <f t="shared" si="272"/>
        <v>0</v>
      </c>
      <c r="O826" s="213">
        <f t="shared" si="272"/>
        <v>0</v>
      </c>
      <c r="P826" s="175">
        <f t="shared" si="274"/>
        <v>0</v>
      </c>
      <c r="Q826" s="175">
        <f t="shared" si="274"/>
        <v>0</v>
      </c>
      <c r="R826" s="175">
        <f t="shared" si="274"/>
        <v>0</v>
      </c>
      <c r="S826" s="175">
        <f t="shared" si="274"/>
        <v>0</v>
      </c>
      <c r="T826" s="175">
        <f t="shared" si="274"/>
        <v>0</v>
      </c>
      <c r="U826" s="175">
        <f t="shared" si="274"/>
        <v>0</v>
      </c>
      <c r="V826" s="175">
        <f t="shared" si="274"/>
        <v>0</v>
      </c>
      <c r="W826" s="175">
        <f t="shared" si="274"/>
        <v>0</v>
      </c>
      <c r="X826" s="175">
        <f t="shared" si="274"/>
        <v>0</v>
      </c>
      <c r="Y826" s="175">
        <f t="shared" si="274"/>
        <v>0</v>
      </c>
      <c r="Z826" s="175">
        <f t="shared" si="274"/>
        <v>0</v>
      </c>
      <c r="AA826" s="175">
        <f t="shared" si="274"/>
        <v>0</v>
      </c>
      <c r="AB826" s="176">
        <f t="shared" si="268"/>
        <v>0</v>
      </c>
      <c r="AC826" s="172"/>
    </row>
    <row r="827" spans="1:29" hidden="1" outlineLevel="1" x14ac:dyDescent="0.25">
      <c r="A827" s="14" t="str">
        <f t="shared" si="273"/>
        <v>TERC_OPER__</v>
      </c>
      <c r="F827" s="137" t="s">
        <v>282</v>
      </c>
      <c r="G827" s="138"/>
      <c r="H827" s="139" t="s">
        <v>217</v>
      </c>
      <c r="I827" s="139" t="s">
        <v>218</v>
      </c>
      <c r="J827" s="139" t="s">
        <v>219</v>
      </c>
      <c r="K827" s="140"/>
      <c r="L827" s="141"/>
      <c r="M827" s="142" t="s">
        <v>220</v>
      </c>
      <c r="N827" s="139" t="s">
        <v>221</v>
      </c>
      <c r="O827" s="143" t="s">
        <v>222</v>
      </c>
      <c r="P827" s="35">
        <f t="shared" ref="P827:AA827" si="275">P$9</f>
        <v>46113</v>
      </c>
      <c r="Q827" s="35">
        <f t="shared" si="275"/>
        <v>46143</v>
      </c>
      <c r="R827" s="35">
        <f t="shared" si="275"/>
        <v>46174</v>
      </c>
      <c r="S827" s="35">
        <f t="shared" si="275"/>
        <v>46204</v>
      </c>
      <c r="T827" s="35">
        <f t="shared" si="275"/>
        <v>46235</v>
      </c>
      <c r="U827" s="35">
        <f t="shared" si="275"/>
        <v>46266</v>
      </c>
      <c r="V827" s="35">
        <f t="shared" si="275"/>
        <v>46296</v>
      </c>
      <c r="W827" s="35">
        <f t="shared" si="275"/>
        <v>46327</v>
      </c>
      <c r="X827" s="35">
        <f t="shared" si="275"/>
        <v>46357</v>
      </c>
      <c r="Y827" s="35">
        <f t="shared" si="275"/>
        <v>46388</v>
      </c>
      <c r="Z827" s="35">
        <f t="shared" si="275"/>
        <v>46419</v>
      </c>
      <c r="AA827" s="35">
        <f t="shared" si="275"/>
        <v>46447</v>
      </c>
      <c r="AB827" s="81" t="s">
        <v>223</v>
      </c>
      <c r="AC827" s="82" t="s">
        <v>192</v>
      </c>
    </row>
    <row r="828" spans="1:29" hidden="1" outlineLevel="1" x14ac:dyDescent="0.25">
      <c r="A828" s="14" t="str">
        <f t="shared" si="273"/>
        <v>TERC_OPER__1</v>
      </c>
      <c r="B828" s="15" t="str">
        <f t="shared" ref="B828:B872" si="276">"TERC_OPER_"&amp;C828&amp;"_"&amp;F828&amp;"_"&amp;J828</f>
        <v>TERC_OPER__1018_1</v>
      </c>
      <c r="C828" s="83"/>
      <c r="D828" s="15">
        <f t="shared" ref="D828:D872" si="277">J828</f>
        <v>1</v>
      </c>
      <c r="E828" s="15">
        <v>1</v>
      </c>
      <c r="F828" s="190">
        <f>F782</f>
        <v>1018</v>
      </c>
      <c r="G828" s="149" t="str">
        <f t="shared" ref="G828:O828" si="278">G782</f>
        <v/>
      </c>
      <c r="H828" s="150" t="str">
        <f t="shared" si="278"/>
        <v/>
      </c>
      <c r="I828" s="150" t="str">
        <f t="shared" si="278"/>
        <v>PLANCP</v>
      </c>
      <c r="J828" s="150">
        <f t="shared" si="278"/>
        <v>1</v>
      </c>
      <c r="K828" s="196">
        <f t="shared" si="278"/>
        <v>0</v>
      </c>
      <c r="L828" s="197">
        <f t="shared" si="278"/>
        <v>0</v>
      </c>
      <c r="M828" s="191">
        <f t="shared" si="278"/>
        <v>0</v>
      </c>
      <c r="N828" s="150">
        <f t="shared" si="278"/>
        <v>0</v>
      </c>
      <c r="O828" s="193">
        <f t="shared" si="278"/>
        <v>1</v>
      </c>
      <c r="P828" s="162">
        <f t="shared" ref="P828:AA831" si="279">IFERROR(SUMIF($B$483:$B$547,$C828&amp;$I828,P$483:P$547)/SUMIF($D$483:$D$547,$I828,P$483:P$547)*P553,0)</f>
        <v>0</v>
      </c>
      <c r="Q828" s="162">
        <f t="shared" si="279"/>
        <v>0</v>
      </c>
      <c r="R828" s="162">
        <f t="shared" si="279"/>
        <v>0</v>
      </c>
      <c r="S828" s="162">
        <f t="shared" si="279"/>
        <v>0</v>
      </c>
      <c r="T828" s="162">
        <f t="shared" si="279"/>
        <v>0</v>
      </c>
      <c r="U828" s="162">
        <f t="shared" si="279"/>
        <v>0</v>
      </c>
      <c r="V828" s="162">
        <f t="shared" si="279"/>
        <v>0</v>
      </c>
      <c r="W828" s="162">
        <f t="shared" si="279"/>
        <v>0</v>
      </c>
      <c r="X828" s="162">
        <f t="shared" si="279"/>
        <v>0</v>
      </c>
      <c r="Y828" s="162">
        <f t="shared" si="279"/>
        <v>0</v>
      </c>
      <c r="Z828" s="162">
        <f t="shared" si="279"/>
        <v>0</v>
      </c>
      <c r="AA828" s="162">
        <f t="shared" si="279"/>
        <v>0</v>
      </c>
      <c r="AB828" s="163">
        <f t="shared" ref="AB828:AB872" si="280">SUM(P828:AA828)</f>
        <v>0</v>
      </c>
      <c r="AC828" s="198"/>
    </row>
    <row r="829" spans="1:29" hidden="1" outlineLevel="1" x14ac:dyDescent="0.25">
      <c r="A829" s="14" t="str">
        <f t="shared" si="273"/>
        <v>TERC_OPER__2</v>
      </c>
      <c r="B829" s="15" t="str">
        <f t="shared" si="276"/>
        <v>TERC_OPER__1023_1</v>
      </c>
      <c r="C829" s="83"/>
      <c r="D829" s="15">
        <f t="shared" si="277"/>
        <v>1</v>
      </c>
      <c r="E829" s="15">
        <v>2</v>
      </c>
      <c r="F829" s="190">
        <f t="shared" ref="F829:O844" si="281">F783</f>
        <v>1023</v>
      </c>
      <c r="G829" s="149" t="str">
        <f t="shared" si="281"/>
        <v/>
      </c>
      <c r="H829" s="150" t="str">
        <f t="shared" si="281"/>
        <v/>
      </c>
      <c r="I829" s="150" t="str">
        <f t="shared" si="281"/>
        <v>PLANCP</v>
      </c>
      <c r="J829" s="150">
        <f t="shared" si="281"/>
        <v>1</v>
      </c>
      <c r="K829" s="196">
        <f t="shared" si="281"/>
        <v>0</v>
      </c>
      <c r="L829" s="197">
        <f t="shared" si="281"/>
        <v>0</v>
      </c>
      <c r="M829" s="191">
        <f t="shared" si="281"/>
        <v>0</v>
      </c>
      <c r="N829" s="150">
        <f t="shared" si="281"/>
        <v>0</v>
      </c>
      <c r="O829" s="193">
        <f t="shared" si="281"/>
        <v>1</v>
      </c>
      <c r="P829" s="162">
        <f t="shared" si="279"/>
        <v>0</v>
      </c>
      <c r="Q829" s="162">
        <f t="shared" si="279"/>
        <v>0</v>
      </c>
      <c r="R829" s="162">
        <f t="shared" si="279"/>
        <v>0</v>
      </c>
      <c r="S829" s="162">
        <f t="shared" si="279"/>
        <v>0</v>
      </c>
      <c r="T829" s="162">
        <f t="shared" si="279"/>
        <v>0</v>
      </c>
      <c r="U829" s="162">
        <f t="shared" si="279"/>
        <v>0</v>
      </c>
      <c r="V829" s="162">
        <f t="shared" si="279"/>
        <v>0</v>
      </c>
      <c r="W829" s="162">
        <f t="shared" si="279"/>
        <v>0</v>
      </c>
      <c r="X829" s="162">
        <f t="shared" si="279"/>
        <v>0</v>
      </c>
      <c r="Y829" s="162">
        <f t="shared" si="279"/>
        <v>0</v>
      </c>
      <c r="Z829" s="162">
        <f t="shared" si="279"/>
        <v>0</v>
      </c>
      <c r="AA829" s="162">
        <f t="shared" si="279"/>
        <v>0</v>
      </c>
      <c r="AB829" s="163">
        <f t="shared" si="280"/>
        <v>0</v>
      </c>
      <c r="AC829" s="198"/>
    </row>
    <row r="830" spans="1:29" hidden="1" outlineLevel="1" x14ac:dyDescent="0.25">
      <c r="A830" s="14" t="str">
        <f t="shared" si="273"/>
        <v>TERC_OPER__3</v>
      </c>
      <c r="B830" s="15" t="str">
        <f t="shared" si="276"/>
        <v>TERC_OPER__1018_1</v>
      </c>
      <c r="C830" s="83"/>
      <c r="D830" s="15">
        <f t="shared" si="277"/>
        <v>1</v>
      </c>
      <c r="E830" s="15">
        <v>3</v>
      </c>
      <c r="F830" s="190">
        <f t="shared" si="281"/>
        <v>1018</v>
      </c>
      <c r="G830" s="149" t="str">
        <f t="shared" si="281"/>
        <v/>
      </c>
      <c r="H830" s="150" t="str">
        <f t="shared" si="281"/>
        <v/>
      </c>
      <c r="I830" s="150" t="str">
        <f t="shared" si="281"/>
        <v>PLANCF</v>
      </c>
      <c r="J830" s="150">
        <f t="shared" si="281"/>
        <v>1</v>
      </c>
      <c r="K830" s="196">
        <f t="shared" si="281"/>
        <v>0</v>
      </c>
      <c r="L830" s="197">
        <f t="shared" si="281"/>
        <v>0</v>
      </c>
      <c r="M830" s="191">
        <f t="shared" si="281"/>
        <v>0</v>
      </c>
      <c r="N830" s="150">
        <f t="shared" si="281"/>
        <v>0</v>
      </c>
      <c r="O830" s="193">
        <f t="shared" si="281"/>
        <v>1</v>
      </c>
      <c r="P830" s="162">
        <f t="shared" si="279"/>
        <v>0</v>
      </c>
      <c r="Q830" s="162">
        <f t="shared" si="279"/>
        <v>0</v>
      </c>
      <c r="R830" s="162">
        <f t="shared" si="279"/>
        <v>0</v>
      </c>
      <c r="S830" s="162">
        <f t="shared" si="279"/>
        <v>0</v>
      </c>
      <c r="T830" s="162">
        <f t="shared" si="279"/>
        <v>0</v>
      </c>
      <c r="U830" s="162">
        <f t="shared" si="279"/>
        <v>0</v>
      </c>
      <c r="V830" s="162">
        <f t="shared" si="279"/>
        <v>0</v>
      </c>
      <c r="W830" s="162">
        <f t="shared" si="279"/>
        <v>0</v>
      </c>
      <c r="X830" s="162">
        <f t="shared" si="279"/>
        <v>0</v>
      </c>
      <c r="Y830" s="162">
        <f t="shared" si="279"/>
        <v>0</v>
      </c>
      <c r="Z830" s="162">
        <f t="shared" si="279"/>
        <v>0</v>
      </c>
      <c r="AA830" s="162">
        <f t="shared" si="279"/>
        <v>0</v>
      </c>
      <c r="AB830" s="163">
        <f t="shared" si="280"/>
        <v>0</v>
      </c>
      <c r="AC830" s="198"/>
    </row>
    <row r="831" spans="1:29" hidden="1" outlineLevel="1" x14ac:dyDescent="0.25">
      <c r="A831" s="14" t="str">
        <f t="shared" si="273"/>
        <v>TERC_OPER__4</v>
      </c>
      <c r="B831" s="15" t="str">
        <f t="shared" si="276"/>
        <v>TERC_OPER__1023_1</v>
      </c>
      <c r="C831" s="83"/>
      <c r="D831" s="15">
        <f t="shared" si="277"/>
        <v>1</v>
      </c>
      <c r="E831" s="15">
        <v>4</v>
      </c>
      <c r="F831" s="190">
        <f t="shared" si="281"/>
        <v>1023</v>
      </c>
      <c r="G831" s="149" t="str">
        <f t="shared" si="281"/>
        <v/>
      </c>
      <c r="H831" s="150" t="str">
        <f t="shared" si="281"/>
        <v/>
      </c>
      <c r="I831" s="150" t="str">
        <f t="shared" si="281"/>
        <v>PLANCF</v>
      </c>
      <c r="J831" s="150">
        <f t="shared" si="281"/>
        <v>1</v>
      </c>
      <c r="K831" s="196">
        <f t="shared" si="281"/>
        <v>0</v>
      </c>
      <c r="L831" s="197">
        <f t="shared" si="281"/>
        <v>0</v>
      </c>
      <c r="M831" s="191">
        <f t="shared" si="281"/>
        <v>0</v>
      </c>
      <c r="N831" s="150">
        <f t="shared" si="281"/>
        <v>0</v>
      </c>
      <c r="O831" s="193">
        <f t="shared" si="281"/>
        <v>1</v>
      </c>
      <c r="P831" s="162">
        <f t="shared" si="279"/>
        <v>0</v>
      </c>
      <c r="Q831" s="162">
        <f t="shared" si="279"/>
        <v>0</v>
      </c>
      <c r="R831" s="162">
        <f t="shared" si="279"/>
        <v>0</v>
      </c>
      <c r="S831" s="162">
        <f t="shared" si="279"/>
        <v>0</v>
      </c>
      <c r="T831" s="162">
        <f t="shared" si="279"/>
        <v>0</v>
      </c>
      <c r="U831" s="162">
        <f t="shared" si="279"/>
        <v>0</v>
      </c>
      <c r="V831" s="162">
        <f t="shared" si="279"/>
        <v>0</v>
      </c>
      <c r="W831" s="162">
        <f t="shared" si="279"/>
        <v>0</v>
      </c>
      <c r="X831" s="162">
        <f t="shared" si="279"/>
        <v>0</v>
      </c>
      <c r="Y831" s="162">
        <f t="shared" si="279"/>
        <v>0</v>
      </c>
      <c r="Z831" s="162">
        <f t="shared" si="279"/>
        <v>0</v>
      </c>
      <c r="AA831" s="162">
        <f t="shared" si="279"/>
        <v>0</v>
      </c>
      <c r="AB831" s="163">
        <f t="shared" si="280"/>
        <v>0</v>
      </c>
      <c r="AC831" s="159"/>
    </row>
    <row r="832" spans="1:29" hidden="1" outlineLevel="1" x14ac:dyDescent="0.25">
      <c r="A832" s="14" t="str">
        <f t="shared" si="273"/>
        <v>TERC_OPER__5</v>
      </c>
      <c r="B832" s="15" t="e">
        <f t="shared" si="276"/>
        <v>#REF!</v>
      </c>
      <c r="C832" s="83"/>
      <c r="D832" s="15" t="e">
        <f t="shared" si="277"/>
        <v>#REF!</v>
      </c>
      <c r="E832" s="15">
        <v>5</v>
      </c>
      <c r="F832" s="190" t="e">
        <f t="shared" si="281"/>
        <v>#REF!</v>
      </c>
      <c r="G832" s="149" t="e">
        <f t="shared" si="281"/>
        <v>#REF!</v>
      </c>
      <c r="H832" s="150" t="e">
        <f t="shared" si="281"/>
        <v>#REF!</v>
      </c>
      <c r="I832" s="150" t="e">
        <f t="shared" si="281"/>
        <v>#REF!</v>
      </c>
      <c r="J832" s="150" t="e">
        <f t="shared" si="281"/>
        <v>#REF!</v>
      </c>
      <c r="K832" s="196" t="e">
        <f t="shared" si="281"/>
        <v>#REF!</v>
      </c>
      <c r="L832" s="197" t="e">
        <f t="shared" si="281"/>
        <v>#REF!</v>
      </c>
      <c r="M832" s="191" t="e">
        <f t="shared" si="281"/>
        <v>#REF!</v>
      </c>
      <c r="N832" s="150" t="e">
        <f t="shared" si="281"/>
        <v>#REF!</v>
      </c>
      <c r="O832" s="193" t="e">
        <f t="shared" si="281"/>
        <v>#REF!</v>
      </c>
      <c r="P832" s="162">
        <f>IFERROR(SUMIF($B$483:$B$547,$C832&amp;$I832,P$483:P$547)/SUMIF($D$483:$D$547,$I832,P$483:P$547)*#REF!,0)</f>
        <v>0</v>
      </c>
      <c r="Q832" s="162">
        <f>IFERROR(SUMIF($B$483:$B$547,$C832&amp;$I832,Q$483:Q$547)/SUMIF($D$483:$D$547,$I832,Q$483:Q$547)*#REF!,0)</f>
        <v>0</v>
      </c>
      <c r="R832" s="162">
        <f>IFERROR(SUMIF($B$483:$B$547,$C832&amp;$I832,R$483:R$547)/SUMIF($D$483:$D$547,$I832,R$483:R$547)*#REF!,0)</f>
        <v>0</v>
      </c>
      <c r="S832" s="162">
        <f>IFERROR(SUMIF($B$483:$B$547,$C832&amp;$I832,S$483:S$547)/SUMIF($D$483:$D$547,$I832,S$483:S$547)*#REF!,0)</f>
        <v>0</v>
      </c>
      <c r="T832" s="162">
        <f>IFERROR(SUMIF($B$483:$B$547,$C832&amp;$I832,T$483:T$547)/SUMIF($D$483:$D$547,$I832,T$483:T$547)*#REF!,0)</f>
        <v>0</v>
      </c>
      <c r="U832" s="162">
        <f>IFERROR(SUMIF($B$483:$B$547,$C832&amp;$I832,U$483:U$547)/SUMIF($D$483:$D$547,$I832,U$483:U$547)*#REF!,0)</f>
        <v>0</v>
      </c>
      <c r="V832" s="162">
        <f>IFERROR(SUMIF($B$483:$B$547,$C832&amp;$I832,V$483:V$547)/SUMIF($D$483:$D$547,$I832,V$483:V$547)*#REF!,0)</f>
        <v>0</v>
      </c>
      <c r="W832" s="162">
        <f>IFERROR(SUMIF($B$483:$B$547,$C832&amp;$I832,W$483:W$547)/SUMIF($D$483:$D$547,$I832,W$483:W$547)*#REF!,0)</f>
        <v>0</v>
      </c>
      <c r="X832" s="162">
        <f>IFERROR(SUMIF($B$483:$B$547,$C832&amp;$I832,X$483:X$547)/SUMIF($D$483:$D$547,$I832,X$483:X$547)*#REF!,0)</f>
        <v>0</v>
      </c>
      <c r="Y832" s="162">
        <f>IFERROR(SUMIF($B$483:$B$547,$C832&amp;$I832,Y$483:Y$547)/SUMIF($D$483:$D$547,$I832,Y$483:Y$547)*#REF!,0)</f>
        <v>0</v>
      </c>
      <c r="Z832" s="162">
        <f>IFERROR(SUMIF($B$483:$B$547,$C832&amp;$I832,Z$483:Z$547)/SUMIF($D$483:$D$547,$I832,Z$483:Z$547)*#REF!,0)</f>
        <v>0</v>
      </c>
      <c r="AA832" s="162">
        <f>IFERROR(SUMIF($B$483:$B$547,$C832&amp;$I832,AA$483:AA$547)/SUMIF($D$483:$D$547,$I832,AA$483:AA$547)*#REF!,0)</f>
        <v>0</v>
      </c>
      <c r="AB832" s="163">
        <f t="shared" si="280"/>
        <v>0</v>
      </c>
      <c r="AC832" s="159"/>
    </row>
    <row r="833" spans="1:29" hidden="1" outlineLevel="1" x14ac:dyDescent="0.25">
      <c r="A833" s="14" t="str">
        <f t="shared" si="273"/>
        <v>TERC_OPER__6</v>
      </c>
      <c r="B833" s="15" t="str">
        <f t="shared" si="276"/>
        <v>TERC_OPER__1033_1</v>
      </c>
      <c r="C833" s="83"/>
      <c r="D833" s="15">
        <f t="shared" si="277"/>
        <v>1</v>
      </c>
      <c r="E833" s="15">
        <v>6</v>
      </c>
      <c r="F833" s="190">
        <f t="shared" si="281"/>
        <v>1033</v>
      </c>
      <c r="G833" s="149" t="str">
        <f t="shared" si="281"/>
        <v/>
      </c>
      <c r="H833" s="150" t="str">
        <f t="shared" si="281"/>
        <v/>
      </c>
      <c r="I833" s="150" t="str">
        <f t="shared" si="281"/>
        <v>PLANCP</v>
      </c>
      <c r="J833" s="150">
        <f t="shared" si="281"/>
        <v>1</v>
      </c>
      <c r="K833" s="196">
        <f t="shared" si="281"/>
        <v>0</v>
      </c>
      <c r="L833" s="197">
        <f t="shared" si="281"/>
        <v>0</v>
      </c>
      <c r="M833" s="191">
        <f t="shared" si="281"/>
        <v>0</v>
      </c>
      <c r="N833" s="150">
        <f t="shared" si="281"/>
        <v>0</v>
      </c>
      <c r="O833" s="193">
        <f t="shared" si="281"/>
        <v>1</v>
      </c>
      <c r="P833" s="162">
        <f t="shared" ref="P833:AA848" si="282">IFERROR(SUMIF($B$483:$B$547,$C833&amp;$I833,P$483:P$547)/SUMIF($D$483:$D$547,$I833,P$483:P$547)*P557,0)</f>
        <v>0</v>
      </c>
      <c r="Q833" s="162">
        <f t="shared" si="282"/>
        <v>0</v>
      </c>
      <c r="R833" s="162">
        <f t="shared" si="282"/>
        <v>0</v>
      </c>
      <c r="S833" s="162">
        <f t="shared" si="282"/>
        <v>0</v>
      </c>
      <c r="T833" s="162">
        <f t="shared" si="282"/>
        <v>0</v>
      </c>
      <c r="U833" s="162">
        <f t="shared" si="282"/>
        <v>0</v>
      </c>
      <c r="V833" s="162">
        <f t="shared" si="282"/>
        <v>0</v>
      </c>
      <c r="W833" s="162">
        <f t="shared" si="282"/>
        <v>0</v>
      </c>
      <c r="X833" s="162">
        <f t="shared" si="282"/>
        <v>0</v>
      </c>
      <c r="Y833" s="162">
        <f t="shared" si="282"/>
        <v>0</v>
      </c>
      <c r="Z833" s="162">
        <f t="shared" si="282"/>
        <v>0</v>
      </c>
      <c r="AA833" s="162">
        <f t="shared" si="282"/>
        <v>0</v>
      </c>
      <c r="AB833" s="163">
        <f t="shared" si="280"/>
        <v>0</v>
      </c>
      <c r="AC833" s="159"/>
    </row>
    <row r="834" spans="1:29" hidden="1" outlineLevel="1" x14ac:dyDescent="0.25">
      <c r="A834" s="14" t="str">
        <f t="shared" si="273"/>
        <v>TERC_OPER__7</v>
      </c>
      <c r="B834" s="15" t="str">
        <f t="shared" si="276"/>
        <v>TERC_OPER__1044_1</v>
      </c>
      <c r="C834" s="83"/>
      <c r="D834" s="15">
        <f t="shared" si="277"/>
        <v>1</v>
      </c>
      <c r="E834" s="15">
        <v>7</v>
      </c>
      <c r="F834" s="190">
        <f t="shared" si="281"/>
        <v>1044</v>
      </c>
      <c r="G834" s="149" t="str">
        <f t="shared" si="281"/>
        <v/>
      </c>
      <c r="H834" s="150" t="str">
        <f t="shared" si="281"/>
        <v/>
      </c>
      <c r="I834" s="150" t="str">
        <f t="shared" si="281"/>
        <v>PLANCP</v>
      </c>
      <c r="J834" s="150">
        <f t="shared" si="281"/>
        <v>1</v>
      </c>
      <c r="K834" s="196">
        <f t="shared" si="281"/>
        <v>0</v>
      </c>
      <c r="L834" s="197">
        <f t="shared" si="281"/>
        <v>0</v>
      </c>
      <c r="M834" s="191">
        <f t="shared" si="281"/>
        <v>0</v>
      </c>
      <c r="N834" s="150">
        <f t="shared" si="281"/>
        <v>0</v>
      </c>
      <c r="O834" s="193">
        <f t="shared" si="281"/>
        <v>1</v>
      </c>
      <c r="P834" s="162">
        <f t="shared" si="282"/>
        <v>0</v>
      </c>
      <c r="Q834" s="162">
        <f t="shared" si="282"/>
        <v>0</v>
      </c>
      <c r="R834" s="162">
        <f t="shared" si="282"/>
        <v>0</v>
      </c>
      <c r="S834" s="162">
        <f t="shared" si="282"/>
        <v>0</v>
      </c>
      <c r="T834" s="162">
        <f t="shared" si="282"/>
        <v>0</v>
      </c>
      <c r="U834" s="162">
        <f t="shared" si="282"/>
        <v>0</v>
      </c>
      <c r="V834" s="162">
        <f t="shared" si="282"/>
        <v>0</v>
      </c>
      <c r="W834" s="162">
        <f t="shared" si="282"/>
        <v>0</v>
      </c>
      <c r="X834" s="162">
        <f t="shared" si="282"/>
        <v>0</v>
      </c>
      <c r="Y834" s="162">
        <f t="shared" si="282"/>
        <v>0</v>
      </c>
      <c r="Z834" s="162">
        <f t="shared" si="282"/>
        <v>0</v>
      </c>
      <c r="AA834" s="162">
        <f t="shared" si="282"/>
        <v>0</v>
      </c>
      <c r="AB834" s="163">
        <f t="shared" si="280"/>
        <v>0</v>
      </c>
      <c r="AC834" s="159"/>
    </row>
    <row r="835" spans="1:29" hidden="1" outlineLevel="1" x14ac:dyDescent="0.25">
      <c r="A835" s="14" t="str">
        <f t="shared" si="273"/>
        <v>TERC_OPER__8</v>
      </c>
      <c r="B835" s="15" t="str">
        <f t="shared" si="276"/>
        <v>TERC_OPER__0_0</v>
      </c>
      <c r="C835" s="83"/>
      <c r="D835" s="15">
        <f t="shared" si="277"/>
        <v>0</v>
      </c>
      <c r="E835" s="15">
        <v>8</v>
      </c>
      <c r="F835" s="190">
        <f t="shared" si="281"/>
        <v>0</v>
      </c>
      <c r="G835" s="149" t="str">
        <f t="shared" si="281"/>
        <v/>
      </c>
      <c r="H835" s="150" t="str">
        <f t="shared" si="281"/>
        <v/>
      </c>
      <c r="I835" s="150">
        <f t="shared" si="281"/>
        <v>0</v>
      </c>
      <c r="J835" s="150">
        <f t="shared" si="281"/>
        <v>0</v>
      </c>
      <c r="K835" s="196">
        <f t="shared" si="281"/>
        <v>0</v>
      </c>
      <c r="L835" s="197">
        <f t="shared" si="281"/>
        <v>0</v>
      </c>
      <c r="M835" s="191">
        <f t="shared" si="281"/>
        <v>0</v>
      </c>
      <c r="N835" s="150">
        <f t="shared" si="281"/>
        <v>0</v>
      </c>
      <c r="O835" s="193">
        <f t="shared" si="281"/>
        <v>0</v>
      </c>
      <c r="P835" s="162">
        <f t="shared" si="282"/>
        <v>0</v>
      </c>
      <c r="Q835" s="162">
        <f t="shared" si="282"/>
        <v>0</v>
      </c>
      <c r="R835" s="162">
        <f t="shared" si="282"/>
        <v>0</v>
      </c>
      <c r="S835" s="162">
        <f t="shared" si="282"/>
        <v>0</v>
      </c>
      <c r="T835" s="162">
        <f t="shared" si="282"/>
        <v>0</v>
      </c>
      <c r="U835" s="162">
        <f t="shared" si="282"/>
        <v>0</v>
      </c>
      <c r="V835" s="162">
        <f t="shared" si="282"/>
        <v>0</v>
      </c>
      <c r="W835" s="162">
        <f t="shared" si="282"/>
        <v>0</v>
      </c>
      <c r="X835" s="162">
        <f t="shared" si="282"/>
        <v>0</v>
      </c>
      <c r="Y835" s="162">
        <f t="shared" si="282"/>
        <v>0</v>
      </c>
      <c r="Z835" s="162">
        <f t="shared" si="282"/>
        <v>0</v>
      </c>
      <c r="AA835" s="162">
        <f t="shared" si="282"/>
        <v>0</v>
      </c>
      <c r="AB835" s="163">
        <f t="shared" si="280"/>
        <v>0</v>
      </c>
      <c r="AC835" s="159"/>
    </row>
    <row r="836" spans="1:29" hidden="1" outlineLevel="1" x14ac:dyDescent="0.25">
      <c r="A836" s="14" t="str">
        <f t="shared" si="273"/>
        <v>TERC_OPER__9</v>
      </c>
      <c r="B836" s="15" t="str">
        <f t="shared" si="276"/>
        <v>TERC_OPER__0_0</v>
      </c>
      <c r="C836" s="83"/>
      <c r="D836" s="15">
        <f t="shared" si="277"/>
        <v>0</v>
      </c>
      <c r="E836" s="15">
        <v>9</v>
      </c>
      <c r="F836" s="190">
        <f t="shared" si="281"/>
        <v>0</v>
      </c>
      <c r="G836" s="149" t="str">
        <f t="shared" si="281"/>
        <v/>
      </c>
      <c r="H836" s="150" t="str">
        <f t="shared" si="281"/>
        <v/>
      </c>
      <c r="I836" s="150">
        <f t="shared" si="281"/>
        <v>0</v>
      </c>
      <c r="J836" s="150">
        <f t="shared" si="281"/>
        <v>0</v>
      </c>
      <c r="K836" s="196">
        <f t="shared" si="281"/>
        <v>0</v>
      </c>
      <c r="L836" s="197">
        <f t="shared" si="281"/>
        <v>0</v>
      </c>
      <c r="M836" s="191">
        <f t="shared" si="281"/>
        <v>0</v>
      </c>
      <c r="N836" s="150">
        <f t="shared" si="281"/>
        <v>0</v>
      </c>
      <c r="O836" s="193">
        <f t="shared" si="281"/>
        <v>0</v>
      </c>
      <c r="P836" s="162">
        <f t="shared" si="282"/>
        <v>0</v>
      </c>
      <c r="Q836" s="162">
        <f t="shared" si="282"/>
        <v>0</v>
      </c>
      <c r="R836" s="162">
        <f t="shared" si="282"/>
        <v>0</v>
      </c>
      <c r="S836" s="162">
        <f t="shared" si="282"/>
        <v>0</v>
      </c>
      <c r="T836" s="162">
        <f t="shared" si="282"/>
        <v>0</v>
      </c>
      <c r="U836" s="162">
        <f t="shared" si="282"/>
        <v>0</v>
      </c>
      <c r="V836" s="162">
        <f t="shared" si="282"/>
        <v>0</v>
      </c>
      <c r="W836" s="162">
        <f t="shared" si="282"/>
        <v>0</v>
      </c>
      <c r="X836" s="162">
        <f t="shared" si="282"/>
        <v>0</v>
      </c>
      <c r="Y836" s="162">
        <f t="shared" si="282"/>
        <v>0</v>
      </c>
      <c r="Z836" s="162">
        <f t="shared" si="282"/>
        <v>0</v>
      </c>
      <c r="AA836" s="162">
        <f t="shared" si="282"/>
        <v>0</v>
      </c>
      <c r="AB836" s="163">
        <f t="shared" si="280"/>
        <v>0</v>
      </c>
      <c r="AC836" s="159"/>
    </row>
    <row r="837" spans="1:29" hidden="1" outlineLevel="1" x14ac:dyDescent="0.25">
      <c r="A837" s="14" t="str">
        <f t="shared" si="273"/>
        <v>TERC_OPER__10</v>
      </c>
      <c r="B837" s="15" t="str">
        <f t="shared" si="276"/>
        <v>TERC_OPER__0_0</v>
      </c>
      <c r="C837" s="83"/>
      <c r="D837" s="15">
        <f t="shared" si="277"/>
        <v>0</v>
      </c>
      <c r="E837" s="15">
        <v>10</v>
      </c>
      <c r="F837" s="190">
        <f t="shared" si="281"/>
        <v>0</v>
      </c>
      <c r="G837" s="149" t="str">
        <f t="shared" si="281"/>
        <v/>
      </c>
      <c r="H837" s="150" t="str">
        <f t="shared" si="281"/>
        <v/>
      </c>
      <c r="I837" s="150">
        <f t="shared" si="281"/>
        <v>0</v>
      </c>
      <c r="J837" s="150">
        <f t="shared" si="281"/>
        <v>0</v>
      </c>
      <c r="K837" s="196">
        <f t="shared" si="281"/>
        <v>0</v>
      </c>
      <c r="L837" s="197">
        <f t="shared" si="281"/>
        <v>0</v>
      </c>
      <c r="M837" s="191">
        <f t="shared" si="281"/>
        <v>0</v>
      </c>
      <c r="N837" s="150">
        <f t="shared" si="281"/>
        <v>0</v>
      </c>
      <c r="O837" s="193">
        <f t="shared" si="281"/>
        <v>0</v>
      </c>
      <c r="P837" s="162">
        <f t="shared" si="282"/>
        <v>0</v>
      </c>
      <c r="Q837" s="162">
        <f t="shared" si="282"/>
        <v>0</v>
      </c>
      <c r="R837" s="162">
        <f t="shared" si="282"/>
        <v>0</v>
      </c>
      <c r="S837" s="162">
        <f t="shared" si="282"/>
        <v>0</v>
      </c>
      <c r="T837" s="162">
        <f t="shared" si="282"/>
        <v>0</v>
      </c>
      <c r="U837" s="162">
        <f t="shared" si="282"/>
        <v>0</v>
      </c>
      <c r="V837" s="162">
        <f t="shared" si="282"/>
        <v>0</v>
      </c>
      <c r="W837" s="162">
        <f t="shared" si="282"/>
        <v>0</v>
      </c>
      <c r="X837" s="162">
        <f t="shared" si="282"/>
        <v>0</v>
      </c>
      <c r="Y837" s="162">
        <f t="shared" si="282"/>
        <v>0</v>
      </c>
      <c r="Z837" s="162">
        <f t="shared" si="282"/>
        <v>0</v>
      </c>
      <c r="AA837" s="162">
        <f t="shared" si="282"/>
        <v>0</v>
      </c>
      <c r="AB837" s="163">
        <f t="shared" si="280"/>
        <v>0</v>
      </c>
      <c r="AC837" s="159"/>
    </row>
    <row r="838" spans="1:29" hidden="1" outlineLevel="1" x14ac:dyDescent="0.25">
      <c r="A838" s="14" t="str">
        <f t="shared" si="273"/>
        <v>TERC_OPER__11</v>
      </c>
      <c r="B838" s="15" t="str">
        <f t="shared" si="276"/>
        <v>TERC_OPER__0_0</v>
      </c>
      <c r="C838" s="83"/>
      <c r="D838" s="15">
        <f t="shared" si="277"/>
        <v>0</v>
      </c>
      <c r="E838" s="15">
        <v>11</v>
      </c>
      <c r="F838" s="190">
        <f t="shared" si="281"/>
        <v>0</v>
      </c>
      <c r="G838" s="149" t="str">
        <f t="shared" si="281"/>
        <v/>
      </c>
      <c r="H838" s="150" t="str">
        <f t="shared" si="281"/>
        <v/>
      </c>
      <c r="I838" s="150">
        <f t="shared" si="281"/>
        <v>0</v>
      </c>
      <c r="J838" s="150">
        <f t="shared" si="281"/>
        <v>0</v>
      </c>
      <c r="K838" s="196">
        <f t="shared" si="281"/>
        <v>0</v>
      </c>
      <c r="L838" s="197">
        <f t="shared" si="281"/>
        <v>0</v>
      </c>
      <c r="M838" s="191">
        <f t="shared" si="281"/>
        <v>0</v>
      </c>
      <c r="N838" s="150">
        <f t="shared" si="281"/>
        <v>0</v>
      </c>
      <c r="O838" s="193">
        <f t="shared" si="281"/>
        <v>0</v>
      </c>
      <c r="P838" s="162">
        <f t="shared" si="282"/>
        <v>0</v>
      </c>
      <c r="Q838" s="162">
        <f t="shared" si="282"/>
        <v>0</v>
      </c>
      <c r="R838" s="162">
        <f t="shared" si="282"/>
        <v>0</v>
      </c>
      <c r="S838" s="162">
        <f t="shared" si="282"/>
        <v>0</v>
      </c>
      <c r="T838" s="162">
        <f t="shared" si="282"/>
        <v>0</v>
      </c>
      <c r="U838" s="162">
        <f t="shared" si="282"/>
        <v>0</v>
      </c>
      <c r="V838" s="162">
        <f t="shared" si="282"/>
        <v>0</v>
      </c>
      <c r="W838" s="162">
        <f t="shared" si="282"/>
        <v>0</v>
      </c>
      <c r="X838" s="162">
        <f t="shared" si="282"/>
        <v>0</v>
      </c>
      <c r="Y838" s="162">
        <f t="shared" si="282"/>
        <v>0</v>
      </c>
      <c r="Z838" s="162">
        <f t="shared" si="282"/>
        <v>0</v>
      </c>
      <c r="AA838" s="162">
        <f t="shared" si="282"/>
        <v>0</v>
      </c>
      <c r="AB838" s="163">
        <f t="shared" si="280"/>
        <v>0</v>
      </c>
      <c r="AC838" s="198"/>
    </row>
    <row r="839" spans="1:29" hidden="1" outlineLevel="1" x14ac:dyDescent="0.25">
      <c r="A839" s="14" t="str">
        <f t="shared" si="273"/>
        <v>TERC_OPER__12</v>
      </c>
      <c r="B839" s="15" t="str">
        <f t="shared" si="276"/>
        <v>TERC_OPER__0_0</v>
      </c>
      <c r="C839" s="83"/>
      <c r="D839" s="15">
        <f t="shared" si="277"/>
        <v>0</v>
      </c>
      <c r="E839" s="15">
        <v>12</v>
      </c>
      <c r="F839" s="190">
        <f t="shared" si="281"/>
        <v>0</v>
      </c>
      <c r="G839" s="149" t="str">
        <f t="shared" si="281"/>
        <v/>
      </c>
      <c r="H839" s="150" t="str">
        <f t="shared" si="281"/>
        <v/>
      </c>
      <c r="I839" s="150">
        <f t="shared" si="281"/>
        <v>0</v>
      </c>
      <c r="J839" s="150">
        <f t="shared" si="281"/>
        <v>0</v>
      </c>
      <c r="K839" s="196">
        <f t="shared" si="281"/>
        <v>0</v>
      </c>
      <c r="L839" s="197">
        <f t="shared" si="281"/>
        <v>0</v>
      </c>
      <c r="M839" s="191">
        <f t="shared" si="281"/>
        <v>0</v>
      </c>
      <c r="N839" s="150">
        <f t="shared" si="281"/>
        <v>0</v>
      </c>
      <c r="O839" s="193">
        <f t="shared" si="281"/>
        <v>0</v>
      </c>
      <c r="P839" s="162">
        <f t="shared" si="282"/>
        <v>0</v>
      </c>
      <c r="Q839" s="162">
        <f t="shared" si="282"/>
        <v>0</v>
      </c>
      <c r="R839" s="162">
        <f t="shared" si="282"/>
        <v>0</v>
      </c>
      <c r="S839" s="162">
        <f t="shared" si="282"/>
        <v>0</v>
      </c>
      <c r="T839" s="162">
        <f t="shared" si="282"/>
        <v>0</v>
      </c>
      <c r="U839" s="162">
        <f t="shared" si="282"/>
        <v>0</v>
      </c>
      <c r="V839" s="162">
        <f t="shared" si="282"/>
        <v>0</v>
      </c>
      <c r="W839" s="162">
        <f t="shared" si="282"/>
        <v>0</v>
      </c>
      <c r="X839" s="162">
        <f t="shared" si="282"/>
        <v>0</v>
      </c>
      <c r="Y839" s="162">
        <f t="shared" si="282"/>
        <v>0</v>
      </c>
      <c r="Z839" s="162">
        <f t="shared" si="282"/>
        <v>0</v>
      </c>
      <c r="AA839" s="162">
        <f t="shared" si="282"/>
        <v>0</v>
      </c>
      <c r="AB839" s="163">
        <f t="shared" si="280"/>
        <v>0</v>
      </c>
      <c r="AC839" s="198"/>
    </row>
    <row r="840" spans="1:29" hidden="1" outlineLevel="1" x14ac:dyDescent="0.25">
      <c r="A840" s="14" t="str">
        <f t="shared" si="273"/>
        <v>TERC_OPER__13</v>
      </c>
      <c r="B840" s="15" t="str">
        <f t="shared" si="276"/>
        <v>TERC_OPER__0_0</v>
      </c>
      <c r="C840" s="83"/>
      <c r="D840" s="15">
        <f t="shared" si="277"/>
        <v>0</v>
      </c>
      <c r="E840" s="15">
        <v>13</v>
      </c>
      <c r="F840" s="190">
        <f t="shared" si="281"/>
        <v>0</v>
      </c>
      <c r="G840" s="149" t="str">
        <f t="shared" si="281"/>
        <v/>
      </c>
      <c r="H840" s="150" t="str">
        <f t="shared" si="281"/>
        <v/>
      </c>
      <c r="I840" s="150">
        <f t="shared" si="281"/>
        <v>0</v>
      </c>
      <c r="J840" s="150">
        <f t="shared" si="281"/>
        <v>0</v>
      </c>
      <c r="K840" s="196">
        <f t="shared" si="281"/>
        <v>0</v>
      </c>
      <c r="L840" s="197">
        <f t="shared" si="281"/>
        <v>0</v>
      </c>
      <c r="M840" s="191">
        <f t="shared" si="281"/>
        <v>0</v>
      </c>
      <c r="N840" s="150">
        <f t="shared" si="281"/>
        <v>0</v>
      </c>
      <c r="O840" s="193">
        <f t="shared" si="281"/>
        <v>0</v>
      </c>
      <c r="P840" s="162">
        <f t="shared" si="282"/>
        <v>0</v>
      </c>
      <c r="Q840" s="162">
        <f t="shared" si="282"/>
        <v>0</v>
      </c>
      <c r="R840" s="162">
        <f t="shared" si="282"/>
        <v>0</v>
      </c>
      <c r="S840" s="162">
        <f t="shared" si="282"/>
        <v>0</v>
      </c>
      <c r="T840" s="162">
        <f t="shared" si="282"/>
        <v>0</v>
      </c>
      <c r="U840" s="162">
        <f t="shared" si="282"/>
        <v>0</v>
      </c>
      <c r="V840" s="162">
        <f t="shared" si="282"/>
        <v>0</v>
      </c>
      <c r="W840" s="162">
        <f t="shared" si="282"/>
        <v>0</v>
      </c>
      <c r="X840" s="162">
        <f t="shared" si="282"/>
        <v>0</v>
      </c>
      <c r="Y840" s="162">
        <f t="shared" si="282"/>
        <v>0</v>
      </c>
      <c r="Z840" s="162">
        <f t="shared" si="282"/>
        <v>0</v>
      </c>
      <c r="AA840" s="162">
        <f t="shared" si="282"/>
        <v>0</v>
      </c>
      <c r="AB840" s="163">
        <f t="shared" si="280"/>
        <v>0</v>
      </c>
      <c r="AC840" s="198"/>
    </row>
    <row r="841" spans="1:29" hidden="1" outlineLevel="1" x14ac:dyDescent="0.25">
      <c r="A841" s="14" t="str">
        <f t="shared" si="273"/>
        <v>TERC_OPER__14</v>
      </c>
      <c r="B841" s="15" t="str">
        <f t="shared" si="276"/>
        <v>TERC_OPER__0_0</v>
      </c>
      <c r="C841" s="83"/>
      <c r="D841" s="15">
        <f t="shared" si="277"/>
        <v>0</v>
      </c>
      <c r="E841" s="15">
        <v>14</v>
      </c>
      <c r="F841" s="190">
        <f t="shared" si="281"/>
        <v>0</v>
      </c>
      <c r="G841" s="149" t="str">
        <f t="shared" si="281"/>
        <v/>
      </c>
      <c r="H841" s="150" t="str">
        <f t="shared" si="281"/>
        <v/>
      </c>
      <c r="I841" s="150">
        <f t="shared" si="281"/>
        <v>0</v>
      </c>
      <c r="J841" s="150">
        <f t="shared" si="281"/>
        <v>0</v>
      </c>
      <c r="K841" s="196">
        <f t="shared" si="281"/>
        <v>0</v>
      </c>
      <c r="L841" s="197">
        <f t="shared" si="281"/>
        <v>0</v>
      </c>
      <c r="M841" s="191">
        <f t="shared" si="281"/>
        <v>0</v>
      </c>
      <c r="N841" s="150">
        <f t="shared" si="281"/>
        <v>0</v>
      </c>
      <c r="O841" s="193">
        <f t="shared" si="281"/>
        <v>0</v>
      </c>
      <c r="P841" s="162">
        <f t="shared" si="282"/>
        <v>0</v>
      </c>
      <c r="Q841" s="162">
        <f t="shared" si="282"/>
        <v>0</v>
      </c>
      <c r="R841" s="162">
        <f t="shared" si="282"/>
        <v>0</v>
      </c>
      <c r="S841" s="162">
        <f t="shared" si="282"/>
        <v>0</v>
      </c>
      <c r="T841" s="162">
        <f t="shared" si="282"/>
        <v>0</v>
      </c>
      <c r="U841" s="162">
        <f t="shared" si="282"/>
        <v>0</v>
      </c>
      <c r="V841" s="162">
        <f t="shared" si="282"/>
        <v>0</v>
      </c>
      <c r="W841" s="162">
        <f t="shared" si="282"/>
        <v>0</v>
      </c>
      <c r="X841" s="162">
        <f t="shared" si="282"/>
        <v>0</v>
      </c>
      <c r="Y841" s="162">
        <f t="shared" si="282"/>
        <v>0</v>
      </c>
      <c r="Z841" s="162">
        <f t="shared" si="282"/>
        <v>0</v>
      </c>
      <c r="AA841" s="162">
        <f t="shared" si="282"/>
        <v>0</v>
      </c>
      <c r="AB841" s="163">
        <f t="shared" si="280"/>
        <v>0</v>
      </c>
      <c r="AC841" s="198"/>
    </row>
    <row r="842" spans="1:29" hidden="1" outlineLevel="1" x14ac:dyDescent="0.25">
      <c r="A842" s="14" t="str">
        <f t="shared" si="273"/>
        <v>TERC_OPER__15</v>
      </c>
      <c r="B842" s="15" t="str">
        <f t="shared" si="276"/>
        <v>TERC_OPER__0_0</v>
      </c>
      <c r="C842" s="83"/>
      <c r="D842" s="15">
        <f t="shared" si="277"/>
        <v>0</v>
      </c>
      <c r="E842" s="15">
        <v>15</v>
      </c>
      <c r="F842" s="190">
        <f t="shared" si="281"/>
        <v>0</v>
      </c>
      <c r="G842" s="149" t="str">
        <f t="shared" si="281"/>
        <v/>
      </c>
      <c r="H842" s="150" t="str">
        <f t="shared" si="281"/>
        <v/>
      </c>
      <c r="I842" s="150">
        <f t="shared" si="281"/>
        <v>0</v>
      </c>
      <c r="J842" s="150">
        <f t="shared" si="281"/>
        <v>0</v>
      </c>
      <c r="K842" s="196">
        <f t="shared" si="281"/>
        <v>0</v>
      </c>
      <c r="L842" s="197">
        <f t="shared" si="281"/>
        <v>0</v>
      </c>
      <c r="M842" s="191">
        <f t="shared" si="281"/>
        <v>0</v>
      </c>
      <c r="N842" s="150">
        <f t="shared" si="281"/>
        <v>0</v>
      </c>
      <c r="O842" s="193">
        <f t="shared" si="281"/>
        <v>0</v>
      </c>
      <c r="P842" s="162">
        <f t="shared" si="282"/>
        <v>0</v>
      </c>
      <c r="Q842" s="162">
        <f t="shared" si="282"/>
        <v>0</v>
      </c>
      <c r="R842" s="162">
        <f t="shared" si="282"/>
        <v>0</v>
      </c>
      <c r="S842" s="162">
        <f t="shared" si="282"/>
        <v>0</v>
      </c>
      <c r="T842" s="162">
        <f t="shared" si="282"/>
        <v>0</v>
      </c>
      <c r="U842" s="162">
        <f t="shared" si="282"/>
        <v>0</v>
      </c>
      <c r="V842" s="162">
        <f t="shared" si="282"/>
        <v>0</v>
      </c>
      <c r="W842" s="162">
        <f t="shared" si="282"/>
        <v>0</v>
      </c>
      <c r="X842" s="162">
        <f t="shared" si="282"/>
        <v>0</v>
      </c>
      <c r="Y842" s="162">
        <f t="shared" si="282"/>
        <v>0</v>
      </c>
      <c r="Z842" s="162">
        <f t="shared" si="282"/>
        <v>0</v>
      </c>
      <c r="AA842" s="162">
        <f t="shared" si="282"/>
        <v>0</v>
      </c>
      <c r="AB842" s="163">
        <f t="shared" si="280"/>
        <v>0</v>
      </c>
      <c r="AC842" s="198"/>
    </row>
    <row r="843" spans="1:29" hidden="1" outlineLevel="1" x14ac:dyDescent="0.25">
      <c r="A843" s="14" t="str">
        <f t="shared" si="273"/>
        <v>TERC_OPER__16</v>
      </c>
      <c r="B843" s="15" t="str">
        <f t="shared" si="276"/>
        <v>TERC_OPER__0_0</v>
      </c>
      <c r="C843" s="83"/>
      <c r="D843" s="15">
        <f t="shared" si="277"/>
        <v>0</v>
      </c>
      <c r="E843" s="15">
        <v>16</v>
      </c>
      <c r="F843" s="190">
        <f t="shared" si="281"/>
        <v>0</v>
      </c>
      <c r="G843" s="149" t="str">
        <f t="shared" si="281"/>
        <v/>
      </c>
      <c r="H843" s="150" t="str">
        <f t="shared" si="281"/>
        <v/>
      </c>
      <c r="I843" s="150">
        <f t="shared" si="281"/>
        <v>0</v>
      </c>
      <c r="J843" s="150">
        <f t="shared" si="281"/>
        <v>0</v>
      </c>
      <c r="K843" s="196">
        <f t="shared" si="281"/>
        <v>0</v>
      </c>
      <c r="L843" s="197">
        <f t="shared" si="281"/>
        <v>0</v>
      </c>
      <c r="M843" s="191">
        <f t="shared" si="281"/>
        <v>0</v>
      </c>
      <c r="N843" s="150">
        <f t="shared" si="281"/>
        <v>0</v>
      </c>
      <c r="O843" s="193">
        <f t="shared" si="281"/>
        <v>0</v>
      </c>
      <c r="P843" s="162">
        <f t="shared" si="282"/>
        <v>0</v>
      </c>
      <c r="Q843" s="162">
        <f t="shared" si="282"/>
        <v>0</v>
      </c>
      <c r="R843" s="162">
        <f t="shared" si="282"/>
        <v>0</v>
      </c>
      <c r="S843" s="162">
        <f t="shared" si="282"/>
        <v>0</v>
      </c>
      <c r="T843" s="162">
        <f t="shared" si="282"/>
        <v>0</v>
      </c>
      <c r="U843" s="162">
        <f t="shared" si="282"/>
        <v>0</v>
      </c>
      <c r="V843" s="162">
        <f t="shared" si="282"/>
        <v>0</v>
      </c>
      <c r="W843" s="162">
        <f t="shared" si="282"/>
        <v>0</v>
      </c>
      <c r="X843" s="162">
        <f t="shared" si="282"/>
        <v>0</v>
      </c>
      <c r="Y843" s="162">
        <f t="shared" si="282"/>
        <v>0</v>
      </c>
      <c r="Z843" s="162">
        <f t="shared" si="282"/>
        <v>0</v>
      </c>
      <c r="AA843" s="162">
        <f t="shared" si="282"/>
        <v>0</v>
      </c>
      <c r="AB843" s="163">
        <f t="shared" si="280"/>
        <v>0</v>
      </c>
      <c r="AC843" s="198"/>
    </row>
    <row r="844" spans="1:29" hidden="1" outlineLevel="1" x14ac:dyDescent="0.25">
      <c r="A844" s="14" t="str">
        <f t="shared" si="273"/>
        <v>TERC_OPER__17</v>
      </c>
      <c r="B844" s="15" t="str">
        <f t="shared" si="276"/>
        <v>TERC_OPER__0_0</v>
      </c>
      <c r="C844" s="83"/>
      <c r="D844" s="15">
        <f t="shared" si="277"/>
        <v>0</v>
      </c>
      <c r="E844" s="15">
        <v>17</v>
      </c>
      <c r="F844" s="190">
        <f t="shared" si="281"/>
        <v>0</v>
      </c>
      <c r="G844" s="149" t="str">
        <f t="shared" si="281"/>
        <v/>
      </c>
      <c r="H844" s="150" t="str">
        <f t="shared" si="281"/>
        <v/>
      </c>
      <c r="I844" s="150">
        <f t="shared" si="281"/>
        <v>0</v>
      </c>
      <c r="J844" s="150">
        <f t="shared" si="281"/>
        <v>0</v>
      </c>
      <c r="K844" s="196">
        <f t="shared" si="281"/>
        <v>0</v>
      </c>
      <c r="L844" s="197">
        <f t="shared" si="281"/>
        <v>0</v>
      </c>
      <c r="M844" s="191">
        <f t="shared" si="281"/>
        <v>0</v>
      </c>
      <c r="N844" s="150">
        <f t="shared" si="281"/>
        <v>0</v>
      </c>
      <c r="O844" s="193">
        <f t="shared" si="281"/>
        <v>0</v>
      </c>
      <c r="P844" s="162">
        <f t="shared" si="282"/>
        <v>0</v>
      </c>
      <c r="Q844" s="162">
        <f t="shared" si="282"/>
        <v>0</v>
      </c>
      <c r="R844" s="162">
        <f t="shared" si="282"/>
        <v>0</v>
      </c>
      <c r="S844" s="162">
        <f t="shared" si="282"/>
        <v>0</v>
      </c>
      <c r="T844" s="162">
        <f t="shared" si="282"/>
        <v>0</v>
      </c>
      <c r="U844" s="162">
        <f t="shared" si="282"/>
        <v>0</v>
      </c>
      <c r="V844" s="162">
        <f t="shared" si="282"/>
        <v>0</v>
      </c>
      <c r="W844" s="162">
        <f t="shared" si="282"/>
        <v>0</v>
      </c>
      <c r="X844" s="162">
        <f t="shared" si="282"/>
        <v>0</v>
      </c>
      <c r="Y844" s="162">
        <f t="shared" si="282"/>
        <v>0</v>
      </c>
      <c r="Z844" s="162">
        <f t="shared" si="282"/>
        <v>0</v>
      </c>
      <c r="AA844" s="162">
        <f t="shared" si="282"/>
        <v>0</v>
      </c>
      <c r="AB844" s="163">
        <f t="shared" si="280"/>
        <v>0</v>
      </c>
      <c r="AC844" s="198"/>
    </row>
    <row r="845" spans="1:29" hidden="1" outlineLevel="1" x14ac:dyDescent="0.25">
      <c r="A845" s="14" t="str">
        <f t="shared" si="273"/>
        <v>TERC_OPER__18</v>
      </c>
      <c r="B845" s="15" t="str">
        <f t="shared" si="276"/>
        <v>TERC_OPER__0_0</v>
      </c>
      <c r="C845" s="83"/>
      <c r="D845" s="15">
        <f t="shared" si="277"/>
        <v>0</v>
      </c>
      <c r="E845" s="15">
        <v>18</v>
      </c>
      <c r="F845" s="190">
        <f t="shared" ref="F845:O860" si="283">F799</f>
        <v>0</v>
      </c>
      <c r="G845" s="149" t="str">
        <f t="shared" si="283"/>
        <v/>
      </c>
      <c r="H845" s="150" t="str">
        <f t="shared" si="283"/>
        <v/>
      </c>
      <c r="I845" s="150">
        <f t="shared" si="283"/>
        <v>0</v>
      </c>
      <c r="J845" s="150">
        <f t="shared" si="283"/>
        <v>0</v>
      </c>
      <c r="K845" s="196">
        <f t="shared" si="283"/>
        <v>0</v>
      </c>
      <c r="L845" s="197">
        <f t="shared" si="283"/>
        <v>0</v>
      </c>
      <c r="M845" s="191">
        <f t="shared" si="283"/>
        <v>0</v>
      </c>
      <c r="N845" s="150">
        <f t="shared" si="283"/>
        <v>0</v>
      </c>
      <c r="O845" s="193">
        <f t="shared" si="283"/>
        <v>0</v>
      </c>
      <c r="P845" s="162">
        <f t="shared" si="282"/>
        <v>0</v>
      </c>
      <c r="Q845" s="162">
        <f t="shared" si="282"/>
        <v>0</v>
      </c>
      <c r="R845" s="162">
        <f t="shared" si="282"/>
        <v>0</v>
      </c>
      <c r="S845" s="162">
        <f t="shared" si="282"/>
        <v>0</v>
      </c>
      <c r="T845" s="162">
        <f t="shared" si="282"/>
        <v>0</v>
      </c>
      <c r="U845" s="162">
        <f t="shared" si="282"/>
        <v>0</v>
      </c>
      <c r="V845" s="162">
        <f t="shared" si="282"/>
        <v>0</v>
      </c>
      <c r="W845" s="162">
        <f t="shared" si="282"/>
        <v>0</v>
      </c>
      <c r="X845" s="162">
        <f t="shared" si="282"/>
        <v>0</v>
      </c>
      <c r="Y845" s="162">
        <f t="shared" si="282"/>
        <v>0</v>
      </c>
      <c r="Z845" s="162">
        <f t="shared" si="282"/>
        <v>0</v>
      </c>
      <c r="AA845" s="162">
        <f t="shared" si="282"/>
        <v>0</v>
      </c>
      <c r="AB845" s="163">
        <f t="shared" si="280"/>
        <v>0</v>
      </c>
      <c r="AC845" s="198"/>
    </row>
    <row r="846" spans="1:29" hidden="1" outlineLevel="1" x14ac:dyDescent="0.25">
      <c r="A846" s="14" t="str">
        <f t="shared" si="273"/>
        <v>TERC_OPER__19</v>
      </c>
      <c r="B846" s="15" t="str">
        <f t="shared" si="276"/>
        <v>TERC_OPER__0_0</v>
      </c>
      <c r="C846" s="83"/>
      <c r="D846" s="15">
        <f t="shared" si="277"/>
        <v>0</v>
      </c>
      <c r="E846" s="15">
        <v>19</v>
      </c>
      <c r="F846" s="190">
        <f t="shared" si="283"/>
        <v>0</v>
      </c>
      <c r="G846" s="149" t="str">
        <f t="shared" si="283"/>
        <v/>
      </c>
      <c r="H846" s="150" t="str">
        <f t="shared" si="283"/>
        <v/>
      </c>
      <c r="I846" s="150">
        <f t="shared" si="283"/>
        <v>0</v>
      </c>
      <c r="J846" s="150">
        <f t="shared" si="283"/>
        <v>0</v>
      </c>
      <c r="K846" s="196">
        <f t="shared" si="283"/>
        <v>0</v>
      </c>
      <c r="L846" s="197">
        <f t="shared" si="283"/>
        <v>0</v>
      </c>
      <c r="M846" s="191">
        <f t="shared" si="283"/>
        <v>0</v>
      </c>
      <c r="N846" s="150">
        <f t="shared" si="283"/>
        <v>0</v>
      </c>
      <c r="O846" s="193">
        <f t="shared" si="283"/>
        <v>0</v>
      </c>
      <c r="P846" s="162">
        <f t="shared" si="282"/>
        <v>0</v>
      </c>
      <c r="Q846" s="162">
        <f t="shared" si="282"/>
        <v>0</v>
      </c>
      <c r="R846" s="162">
        <f t="shared" si="282"/>
        <v>0</v>
      </c>
      <c r="S846" s="162">
        <f t="shared" si="282"/>
        <v>0</v>
      </c>
      <c r="T846" s="162">
        <f t="shared" si="282"/>
        <v>0</v>
      </c>
      <c r="U846" s="162">
        <f t="shared" si="282"/>
        <v>0</v>
      </c>
      <c r="V846" s="162">
        <f t="shared" si="282"/>
        <v>0</v>
      </c>
      <c r="W846" s="162">
        <f t="shared" si="282"/>
        <v>0</v>
      </c>
      <c r="X846" s="162">
        <f t="shared" si="282"/>
        <v>0</v>
      </c>
      <c r="Y846" s="162">
        <f t="shared" si="282"/>
        <v>0</v>
      </c>
      <c r="Z846" s="162">
        <f t="shared" si="282"/>
        <v>0</v>
      </c>
      <c r="AA846" s="162">
        <f t="shared" si="282"/>
        <v>0</v>
      </c>
      <c r="AB846" s="163">
        <f t="shared" si="280"/>
        <v>0</v>
      </c>
      <c r="AC846" s="198"/>
    </row>
    <row r="847" spans="1:29" hidden="1" outlineLevel="1" x14ac:dyDescent="0.25">
      <c r="A847" s="14" t="str">
        <f t="shared" si="273"/>
        <v>TERC_OPER__20</v>
      </c>
      <c r="B847" s="15" t="str">
        <f t="shared" si="276"/>
        <v>TERC_OPER__0_0</v>
      </c>
      <c r="C847" s="83"/>
      <c r="D847" s="15">
        <f t="shared" si="277"/>
        <v>0</v>
      </c>
      <c r="E847" s="15">
        <v>20</v>
      </c>
      <c r="F847" s="190">
        <f t="shared" si="283"/>
        <v>0</v>
      </c>
      <c r="G847" s="149" t="str">
        <f t="shared" si="283"/>
        <v/>
      </c>
      <c r="H847" s="150" t="str">
        <f t="shared" si="283"/>
        <v/>
      </c>
      <c r="I847" s="150">
        <f t="shared" si="283"/>
        <v>0</v>
      </c>
      <c r="J847" s="150">
        <f t="shared" si="283"/>
        <v>0</v>
      </c>
      <c r="K847" s="196">
        <f t="shared" si="283"/>
        <v>0</v>
      </c>
      <c r="L847" s="197">
        <f t="shared" si="283"/>
        <v>0</v>
      </c>
      <c r="M847" s="191">
        <f t="shared" si="283"/>
        <v>0</v>
      </c>
      <c r="N847" s="150">
        <f t="shared" si="283"/>
        <v>0</v>
      </c>
      <c r="O847" s="193">
        <f t="shared" si="283"/>
        <v>0</v>
      </c>
      <c r="P847" s="162">
        <f t="shared" si="282"/>
        <v>0</v>
      </c>
      <c r="Q847" s="162">
        <f t="shared" si="282"/>
        <v>0</v>
      </c>
      <c r="R847" s="162">
        <f t="shared" si="282"/>
        <v>0</v>
      </c>
      <c r="S847" s="162">
        <f t="shared" si="282"/>
        <v>0</v>
      </c>
      <c r="T847" s="162">
        <f t="shared" si="282"/>
        <v>0</v>
      </c>
      <c r="U847" s="162">
        <f t="shared" si="282"/>
        <v>0</v>
      </c>
      <c r="V847" s="162">
        <f t="shared" si="282"/>
        <v>0</v>
      </c>
      <c r="W847" s="162">
        <f t="shared" si="282"/>
        <v>0</v>
      </c>
      <c r="X847" s="162">
        <f t="shared" si="282"/>
        <v>0</v>
      </c>
      <c r="Y847" s="162">
        <f t="shared" si="282"/>
        <v>0</v>
      </c>
      <c r="Z847" s="162">
        <f t="shared" si="282"/>
        <v>0</v>
      </c>
      <c r="AA847" s="162">
        <f t="shared" si="282"/>
        <v>0</v>
      </c>
      <c r="AB847" s="163">
        <f t="shared" si="280"/>
        <v>0</v>
      </c>
      <c r="AC847" s="198"/>
    </row>
    <row r="848" spans="1:29" hidden="1" outlineLevel="1" x14ac:dyDescent="0.25">
      <c r="A848" s="14" t="str">
        <f t="shared" si="273"/>
        <v>TERC_OPER__21</v>
      </c>
      <c r="B848" s="15" t="str">
        <f t="shared" si="276"/>
        <v>TERC_OPER__0_0</v>
      </c>
      <c r="C848" s="83"/>
      <c r="D848" s="15">
        <f t="shared" si="277"/>
        <v>0</v>
      </c>
      <c r="E848" s="15">
        <v>21</v>
      </c>
      <c r="F848" s="190">
        <f t="shared" si="283"/>
        <v>0</v>
      </c>
      <c r="G848" s="149" t="str">
        <f t="shared" si="283"/>
        <v/>
      </c>
      <c r="H848" s="150" t="str">
        <f t="shared" si="283"/>
        <v/>
      </c>
      <c r="I848" s="150">
        <f t="shared" si="283"/>
        <v>0</v>
      </c>
      <c r="J848" s="150">
        <f t="shared" si="283"/>
        <v>0</v>
      </c>
      <c r="K848" s="196">
        <f t="shared" si="283"/>
        <v>0</v>
      </c>
      <c r="L848" s="197">
        <f t="shared" si="283"/>
        <v>0</v>
      </c>
      <c r="M848" s="191">
        <f t="shared" si="283"/>
        <v>0</v>
      </c>
      <c r="N848" s="150">
        <f t="shared" si="283"/>
        <v>0</v>
      </c>
      <c r="O848" s="193">
        <f t="shared" si="283"/>
        <v>0</v>
      </c>
      <c r="P848" s="162">
        <f t="shared" si="282"/>
        <v>0</v>
      </c>
      <c r="Q848" s="162">
        <f t="shared" si="282"/>
        <v>0</v>
      </c>
      <c r="R848" s="162">
        <f t="shared" si="282"/>
        <v>0</v>
      </c>
      <c r="S848" s="162">
        <f t="shared" si="282"/>
        <v>0</v>
      </c>
      <c r="T848" s="162">
        <f t="shared" si="282"/>
        <v>0</v>
      </c>
      <c r="U848" s="162">
        <f t="shared" si="282"/>
        <v>0</v>
      </c>
      <c r="V848" s="162">
        <f t="shared" si="282"/>
        <v>0</v>
      </c>
      <c r="W848" s="162">
        <f t="shared" si="282"/>
        <v>0</v>
      </c>
      <c r="X848" s="162">
        <f t="shared" si="282"/>
        <v>0</v>
      </c>
      <c r="Y848" s="162">
        <f t="shared" si="282"/>
        <v>0</v>
      </c>
      <c r="Z848" s="162">
        <f t="shared" si="282"/>
        <v>0</v>
      </c>
      <c r="AA848" s="162">
        <f t="shared" si="282"/>
        <v>0</v>
      </c>
      <c r="AB848" s="163">
        <f t="shared" si="280"/>
        <v>0</v>
      </c>
      <c r="AC848" s="198"/>
    </row>
    <row r="849" spans="1:29" hidden="1" outlineLevel="1" x14ac:dyDescent="0.25">
      <c r="A849" s="14" t="str">
        <f t="shared" si="273"/>
        <v>TERC_OPER__22</v>
      </c>
      <c r="B849" s="15" t="str">
        <f t="shared" si="276"/>
        <v>TERC_OPER__0_0</v>
      </c>
      <c r="C849" s="83"/>
      <c r="D849" s="15">
        <f t="shared" si="277"/>
        <v>0</v>
      </c>
      <c r="E849" s="15">
        <v>22</v>
      </c>
      <c r="F849" s="190">
        <f t="shared" si="283"/>
        <v>0</v>
      </c>
      <c r="G849" s="149" t="str">
        <f t="shared" si="283"/>
        <v/>
      </c>
      <c r="H849" s="150" t="str">
        <f t="shared" si="283"/>
        <v/>
      </c>
      <c r="I849" s="150">
        <f t="shared" si="283"/>
        <v>0</v>
      </c>
      <c r="J849" s="150">
        <f t="shared" si="283"/>
        <v>0</v>
      </c>
      <c r="K849" s="196">
        <f t="shared" si="283"/>
        <v>0</v>
      </c>
      <c r="L849" s="197">
        <f t="shared" si="283"/>
        <v>0</v>
      </c>
      <c r="M849" s="191">
        <f t="shared" si="283"/>
        <v>0</v>
      </c>
      <c r="N849" s="150">
        <f t="shared" si="283"/>
        <v>0</v>
      </c>
      <c r="O849" s="193">
        <f t="shared" si="283"/>
        <v>0</v>
      </c>
      <c r="P849" s="162">
        <f t="shared" ref="P849:AA864" si="284">IFERROR(SUMIF($B$483:$B$547,$C849&amp;$I849,P$483:P$547)/SUMIF($D$483:$D$547,$I849,P$483:P$547)*P573,0)</f>
        <v>0</v>
      </c>
      <c r="Q849" s="162">
        <f t="shared" si="284"/>
        <v>0</v>
      </c>
      <c r="R849" s="162">
        <f t="shared" si="284"/>
        <v>0</v>
      </c>
      <c r="S849" s="162">
        <f t="shared" si="284"/>
        <v>0</v>
      </c>
      <c r="T849" s="162">
        <f t="shared" si="284"/>
        <v>0</v>
      </c>
      <c r="U849" s="162">
        <f t="shared" si="284"/>
        <v>0</v>
      </c>
      <c r="V849" s="162">
        <f t="shared" si="284"/>
        <v>0</v>
      </c>
      <c r="W849" s="162">
        <f t="shared" si="284"/>
        <v>0</v>
      </c>
      <c r="X849" s="162">
        <f t="shared" si="284"/>
        <v>0</v>
      </c>
      <c r="Y849" s="162">
        <f t="shared" si="284"/>
        <v>0</v>
      </c>
      <c r="Z849" s="162">
        <f t="shared" si="284"/>
        <v>0</v>
      </c>
      <c r="AA849" s="162">
        <f t="shared" si="284"/>
        <v>0</v>
      </c>
      <c r="AB849" s="163">
        <f t="shared" si="280"/>
        <v>0</v>
      </c>
      <c r="AC849" s="198"/>
    </row>
    <row r="850" spans="1:29" hidden="1" outlineLevel="1" x14ac:dyDescent="0.25">
      <c r="A850" s="14" t="str">
        <f t="shared" si="273"/>
        <v>TERC_OPER__23</v>
      </c>
      <c r="B850" s="15" t="str">
        <f t="shared" si="276"/>
        <v>TERC_OPER__0_0</v>
      </c>
      <c r="C850" s="83"/>
      <c r="D850" s="15">
        <f t="shared" si="277"/>
        <v>0</v>
      </c>
      <c r="E850" s="15">
        <v>23</v>
      </c>
      <c r="F850" s="190">
        <f t="shared" si="283"/>
        <v>0</v>
      </c>
      <c r="G850" s="149" t="str">
        <f t="shared" si="283"/>
        <v/>
      </c>
      <c r="H850" s="150" t="str">
        <f t="shared" si="283"/>
        <v/>
      </c>
      <c r="I850" s="150">
        <f t="shared" si="283"/>
        <v>0</v>
      </c>
      <c r="J850" s="150">
        <f t="shared" si="283"/>
        <v>0</v>
      </c>
      <c r="K850" s="196">
        <f t="shared" si="283"/>
        <v>0</v>
      </c>
      <c r="L850" s="197">
        <f t="shared" si="283"/>
        <v>0</v>
      </c>
      <c r="M850" s="191">
        <f t="shared" si="283"/>
        <v>0</v>
      </c>
      <c r="N850" s="150">
        <f t="shared" si="283"/>
        <v>0</v>
      </c>
      <c r="O850" s="193">
        <f t="shared" si="283"/>
        <v>0</v>
      </c>
      <c r="P850" s="162">
        <f t="shared" si="284"/>
        <v>0</v>
      </c>
      <c r="Q850" s="162">
        <f t="shared" si="284"/>
        <v>0</v>
      </c>
      <c r="R850" s="162">
        <f t="shared" si="284"/>
        <v>0</v>
      </c>
      <c r="S850" s="162">
        <f t="shared" si="284"/>
        <v>0</v>
      </c>
      <c r="T850" s="162">
        <f t="shared" si="284"/>
        <v>0</v>
      </c>
      <c r="U850" s="162">
        <f t="shared" si="284"/>
        <v>0</v>
      </c>
      <c r="V850" s="162">
        <f t="shared" si="284"/>
        <v>0</v>
      </c>
      <c r="W850" s="162">
        <f t="shared" si="284"/>
        <v>0</v>
      </c>
      <c r="X850" s="162">
        <f t="shared" si="284"/>
        <v>0</v>
      </c>
      <c r="Y850" s="162">
        <f t="shared" si="284"/>
        <v>0</v>
      </c>
      <c r="Z850" s="162">
        <f t="shared" si="284"/>
        <v>0</v>
      </c>
      <c r="AA850" s="162">
        <f t="shared" si="284"/>
        <v>0</v>
      </c>
      <c r="AB850" s="163">
        <f t="shared" si="280"/>
        <v>0</v>
      </c>
      <c r="AC850" s="198"/>
    </row>
    <row r="851" spans="1:29" hidden="1" outlineLevel="1" x14ac:dyDescent="0.25">
      <c r="A851" s="14" t="str">
        <f t="shared" si="273"/>
        <v>TERC_OPER__24</v>
      </c>
      <c r="B851" s="15" t="str">
        <f t="shared" si="276"/>
        <v>TERC_OPER__0_0</v>
      </c>
      <c r="C851" s="83"/>
      <c r="D851" s="15">
        <f t="shared" si="277"/>
        <v>0</v>
      </c>
      <c r="E851" s="15">
        <v>24</v>
      </c>
      <c r="F851" s="190">
        <f t="shared" si="283"/>
        <v>0</v>
      </c>
      <c r="G851" s="149" t="str">
        <f t="shared" si="283"/>
        <v/>
      </c>
      <c r="H851" s="150" t="str">
        <f t="shared" si="283"/>
        <v/>
      </c>
      <c r="I851" s="150">
        <f t="shared" si="283"/>
        <v>0</v>
      </c>
      <c r="J851" s="150">
        <f t="shared" si="283"/>
        <v>0</v>
      </c>
      <c r="K851" s="196">
        <f t="shared" si="283"/>
        <v>0</v>
      </c>
      <c r="L851" s="197">
        <f t="shared" si="283"/>
        <v>0</v>
      </c>
      <c r="M851" s="191">
        <f t="shared" si="283"/>
        <v>0</v>
      </c>
      <c r="N851" s="150">
        <f t="shared" si="283"/>
        <v>0</v>
      </c>
      <c r="O851" s="193">
        <f t="shared" si="283"/>
        <v>0</v>
      </c>
      <c r="P851" s="162">
        <f t="shared" si="284"/>
        <v>0</v>
      </c>
      <c r="Q851" s="162">
        <f t="shared" si="284"/>
        <v>0</v>
      </c>
      <c r="R851" s="162">
        <f t="shared" si="284"/>
        <v>0</v>
      </c>
      <c r="S851" s="162">
        <f t="shared" si="284"/>
        <v>0</v>
      </c>
      <c r="T851" s="162">
        <f t="shared" si="284"/>
        <v>0</v>
      </c>
      <c r="U851" s="162">
        <f t="shared" si="284"/>
        <v>0</v>
      </c>
      <c r="V851" s="162">
        <f t="shared" si="284"/>
        <v>0</v>
      </c>
      <c r="W851" s="162">
        <f t="shared" si="284"/>
        <v>0</v>
      </c>
      <c r="X851" s="162">
        <f t="shared" si="284"/>
        <v>0</v>
      </c>
      <c r="Y851" s="162">
        <f t="shared" si="284"/>
        <v>0</v>
      </c>
      <c r="Z851" s="162">
        <f t="shared" si="284"/>
        <v>0</v>
      </c>
      <c r="AA851" s="162">
        <f t="shared" si="284"/>
        <v>0</v>
      </c>
      <c r="AB851" s="163">
        <f t="shared" si="280"/>
        <v>0</v>
      </c>
      <c r="AC851" s="198"/>
    </row>
    <row r="852" spans="1:29" hidden="1" outlineLevel="1" x14ac:dyDescent="0.25">
      <c r="A852" s="14" t="str">
        <f t="shared" si="273"/>
        <v>TERC_OPER__25</v>
      </c>
      <c r="B852" s="15" t="str">
        <f t="shared" si="276"/>
        <v>TERC_OPER__0_0</v>
      </c>
      <c r="C852" s="83"/>
      <c r="D852" s="15">
        <f t="shared" si="277"/>
        <v>0</v>
      </c>
      <c r="E852" s="15">
        <v>25</v>
      </c>
      <c r="F852" s="190">
        <f t="shared" si="283"/>
        <v>0</v>
      </c>
      <c r="G852" s="149" t="str">
        <f t="shared" si="283"/>
        <v/>
      </c>
      <c r="H852" s="150" t="str">
        <f t="shared" si="283"/>
        <v/>
      </c>
      <c r="I852" s="150">
        <f t="shared" si="283"/>
        <v>0</v>
      </c>
      <c r="J852" s="150">
        <f t="shared" si="283"/>
        <v>0</v>
      </c>
      <c r="K852" s="196">
        <f t="shared" si="283"/>
        <v>0</v>
      </c>
      <c r="L852" s="197">
        <f t="shared" si="283"/>
        <v>0</v>
      </c>
      <c r="M852" s="191">
        <f t="shared" si="283"/>
        <v>0</v>
      </c>
      <c r="N852" s="150">
        <f t="shared" si="283"/>
        <v>0</v>
      </c>
      <c r="O852" s="193">
        <f t="shared" si="283"/>
        <v>0</v>
      </c>
      <c r="P852" s="162">
        <f t="shared" si="284"/>
        <v>0</v>
      </c>
      <c r="Q852" s="162">
        <f t="shared" si="284"/>
        <v>0</v>
      </c>
      <c r="R852" s="162">
        <f t="shared" si="284"/>
        <v>0</v>
      </c>
      <c r="S852" s="162">
        <f t="shared" si="284"/>
        <v>0</v>
      </c>
      <c r="T852" s="162">
        <f t="shared" si="284"/>
        <v>0</v>
      </c>
      <c r="U852" s="162">
        <f t="shared" si="284"/>
        <v>0</v>
      </c>
      <c r="V852" s="162">
        <f t="shared" si="284"/>
        <v>0</v>
      </c>
      <c r="W852" s="162">
        <f t="shared" si="284"/>
        <v>0</v>
      </c>
      <c r="X852" s="162">
        <f t="shared" si="284"/>
        <v>0</v>
      </c>
      <c r="Y852" s="162">
        <f t="shared" si="284"/>
        <v>0</v>
      </c>
      <c r="Z852" s="162">
        <f t="shared" si="284"/>
        <v>0</v>
      </c>
      <c r="AA852" s="162">
        <f t="shared" si="284"/>
        <v>0</v>
      </c>
      <c r="AB852" s="163">
        <f t="shared" si="280"/>
        <v>0</v>
      </c>
      <c r="AC852" s="198"/>
    </row>
    <row r="853" spans="1:29" hidden="1" outlineLevel="1" x14ac:dyDescent="0.25">
      <c r="A853" s="14" t="str">
        <f t="shared" si="273"/>
        <v>TERC_OPER__26</v>
      </c>
      <c r="B853" s="15" t="str">
        <f t="shared" si="276"/>
        <v>TERC_OPER__0_0</v>
      </c>
      <c r="C853" s="83"/>
      <c r="D853" s="15">
        <f t="shared" si="277"/>
        <v>0</v>
      </c>
      <c r="E853" s="15">
        <v>26</v>
      </c>
      <c r="F853" s="190">
        <f t="shared" si="283"/>
        <v>0</v>
      </c>
      <c r="G853" s="149" t="str">
        <f t="shared" si="283"/>
        <v/>
      </c>
      <c r="H853" s="150" t="str">
        <f t="shared" si="283"/>
        <v/>
      </c>
      <c r="I853" s="150">
        <f t="shared" si="283"/>
        <v>0</v>
      </c>
      <c r="J853" s="150">
        <f t="shared" si="283"/>
        <v>0</v>
      </c>
      <c r="K853" s="196">
        <f t="shared" si="283"/>
        <v>0</v>
      </c>
      <c r="L853" s="197">
        <f t="shared" si="283"/>
        <v>0</v>
      </c>
      <c r="M853" s="191">
        <f t="shared" si="283"/>
        <v>0</v>
      </c>
      <c r="N853" s="150">
        <f t="shared" si="283"/>
        <v>0</v>
      </c>
      <c r="O853" s="193">
        <f t="shared" si="283"/>
        <v>0</v>
      </c>
      <c r="P853" s="162">
        <f t="shared" si="284"/>
        <v>0</v>
      </c>
      <c r="Q853" s="162">
        <f t="shared" si="284"/>
        <v>0</v>
      </c>
      <c r="R853" s="162">
        <f t="shared" si="284"/>
        <v>0</v>
      </c>
      <c r="S853" s="162">
        <f t="shared" si="284"/>
        <v>0</v>
      </c>
      <c r="T853" s="162">
        <f t="shared" si="284"/>
        <v>0</v>
      </c>
      <c r="U853" s="162">
        <f t="shared" si="284"/>
        <v>0</v>
      </c>
      <c r="V853" s="162">
        <f t="shared" si="284"/>
        <v>0</v>
      </c>
      <c r="W853" s="162">
        <f t="shared" si="284"/>
        <v>0</v>
      </c>
      <c r="X853" s="162">
        <f t="shared" si="284"/>
        <v>0</v>
      </c>
      <c r="Y853" s="162">
        <f t="shared" si="284"/>
        <v>0</v>
      </c>
      <c r="Z853" s="162">
        <f t="shared" si="284"/>
        <v>0</v>
      </c>
      <c r="AA853" s="162">
        <f t="shared" si="284"/>
        <v>0</v>
      </c>
      <c r="AB853" s="163">
        <f t="shared" si="280"/>
        <v>0</v>
      </c>
      <c r="AC853" s="198"/>
    </row>
    <row r="854" spans="1:29" hidden="1" outlineLevel="1" x14ac:dyDescent="0.25">
      <c r="A854" s="14" t="str">
        <f t="shared" si="273"/>
        <v>TERC_OPER__27</v>
      </c>
      <c r="B854" s="15" t="str">
        <f t="shared" si="276"/>
        <v>TERC_OPER__0_0</v>
      </c>
      <c r="C854" s="83"/>
      <c r="D854" s="15">
        <f t="shared" si="277"/>
        <v>0</v>
      </c>
      <c r="E854" s="15">
        <v>27</v>
      </c>
      <c r="F854" s="190">
        <f t="shared" si="283"/>
        <v>0</v>
      </c>
      <c r="G854" s="149" t="str">
        <f t="shared" si="283"/>
        <v/>
      </c>
      <c r="H854" s="150" t="str">
        <f t="shared" si="283"/>
        <v/>
      </c>
      <c r="I854" s="150">
        <f t="shared" si="283"/>
        <v>0</v>
      </c>
      <c r="J854" s="150">
        <f t="shared" si="283"/>
        <v>0</v>
      </c>
      <c r="K854" s="196">
        <f t="shared" si="283"/>
        <v>0</v>
      </c>
      <c r="L854" s="197">
        <f t="shared" si="283"/>
        <v>0</v>
      </c>
      <c r="M854" s="191">
        <f t="shared" si="283"/>
        <v>0</v>
      </c>
      <c r="N854" s="150">
        <f t="shared" si="283"/>
        <v>0</v>
      </c>
      <c r="O854" s="193">
        <f t="shared" si="283"/>
        <v>0</v>
      </c>
      <c r="P854" s="162">
        <f t="shared" si="284"/>
        <v>0</v>
      </c>
      <c r="Q854" s="162">
        <f t="shared" si="284"/>
        <v>0</v>
      </c>
      <c r="R854" s="162">
        <f t="shared" si="284"/>
        <v>0</v>
      </c>
      <c r="S854" s="162">
        <f t="shared" si="284"/>
        <v>0</v>
      </c>
      <c r="T854" s="162">
        <f t="shared" si="284"/>
        <v>0</v>
      </c>
      <c r="U854" s="162">
        <f t="shared" si="284"/>
        <v>0</v>
      </c>
      <c r="V854" s="162">
        <f t="shared" si="284"/>
        <v>0</v>
      </c>
      <c r="W854" s="162">
        <f t="shared" si="284"/>
        <v>0</v>
      </c>
      <c r="X854" s="162">
        <f t="shared" si="284"/>
        <v>0</v>
      </c>
      <c r="Y854" s="162">
        <f t="shared" si="284"/>
        <v>0</v>
      </c>
      <c r="Z854" s="162">
        <f t="shared" si="284"/>
        <v>0</v>
      </c>
      <c r="AA854" s="162">
        <f t="shared" si="284"/>
        <v>0</v>
      </c>
      <c r="AB854" s="163">
        <f t="shared" si="280"/>
        <v>0</v>
      </c>
      <c r="AC854" s="198"/>
    </row>
    <row r="855" spans="1:29" hidden="1" outlineLevel="1" x14ac:dyDescent="0.25">
      <c r="A855" s="14" t="str">
        <f t="shared" si="273"/>
        <v>TERC_OPER__28</v>
      </c>
      <c r="B855" s="15" t="str">
        <f t="shared" si="276"/>
        <v>TERC_OPER__0_0</v>
      </c>
      <c r="C855" s="83"/>
      <c r="D855" s="15">
        <f t="shared" si="277"/>
        <v>0</v>
      </c>
      <c r="E855" s="15">
        <v>28</v>
      </c>
      <c r="F855" s="190">
        <f t="shared" si="283"/>
        <v>0</v>
      </c>
      <c r="G855" s="149" t="str">
        <f t="shared" si="283"/>
        <v/>
      </c>
      <c r="H855" s="150" t="str">
        <f t="shared" si="283"/>
        <v/>
      </c>
      <c r="I855" s="150">
        <f t="shared" si="283"/>
        <v>0</v>
      </c>
      <c r="J855" s="150">
        <f t="shared" si="283"/>
        <v>0</v>
      </c>
      <c r="K855" s="196">
        <f t="shared" si="283"/>
        <v>0</v>
      </c>
      <c r="L855" s="197">
        <f t="shared" si="283"/>
        <v>0</v>
      </c>
      <c r="M855" s="191">
        <f t="shared" si="283"/>
        <v>0</v>
      </c>
      <c r="N855" s="150">
        <f t="shared" si="283"/>
        <v>0</v>
      </c>
      <c r="O855" s="193">
        <f t="shared" si="283"/>
        <v>0</v>
      </c>
      <c r="P855" s="162">
        <f t="shared" si="284"/>
        <v>0</v>
      </c>
      <c r="Q855" s="162">
        <f t="shared" si="284"/>
        <v>0</v>
      </c>
      <c r="R855" s="162">
        <f t="shared" si="284"/>
        <v>0</v>
      </c>
      <c r="S855" s="162">
        <f t="shared" si="284"/>
        <v>0</v>
      </c>
      <c r="T855" s="162">
        <f t="shared" si="284"/>
        <v>0</v>
      </c>
      <c r="U855" s="162">
        <f t="shared" si="284"/>
        <v>0</v>
      </c>
      <c r="V855" s="162">
        <f t="shared" si="284"/>
        <v>0</v>
      </c>
      <c r="W855" s="162">
        <f t="shared" si="284"/>
        <v>0</v>
      </c>
      <c r="X855" s="162">
        <f t="shared" si="284"/>
        <v>0</v>
      </c>
      <c r="Y855" s="162">
        <f t="shared" si="284"/>
        <v>0</v>
      </c>
      <c r="Z855" s="162">
        <f t="shared" si="284"/>
        <v>0</v>
      </c>
      <c r="AA855" s="162">
        <f t="shared" si="284"/>
        <v>0</v>
      </c>
      <c r="AB855" s="163">
        <f t="shared" si="280"/>
        <v>0</v>
      </c>
      <c r="AC855" s="198"/>
    </row>
    <row r="856" spans="1:29" hidden="1" outlineLevel="1" x14ac:dyDescent="0.25">
      <c r="A856" s="14" t="str">
        <f t="shared" si="273"/>
        <v>TERC_OPER__29</v>
      </c>
      <c r="B856" s="15" t="str">
        <f t="shared" si="276"/>
        <v>TERC_OPER__0_0</v>
      </c>
      <c r="C856" s="83"/>
      <c r="D856" s="15">
        <f t="shared" si="277"/>
        <v>0</v>
      </c>
      <c r="E856" s="15">
        <v>29</v>
      </c>
      <c r="F856" s="190">
        <f t="shared" si="283"/>
        <v>0</v>
      </c>
      <c r="G856" s="149" t="str">
        <f t="shared" si="283"/>
        <v/>
      </c>
      <c r="H856" s="150" t="str">
        <f t="shared" si="283"/>
        <v/>
      </c>
      <c r="I856" s="150">
        <f t="shared" si="283"/>
        <v>0</v>
      </c>
      <c r="J856" s="150">
        <f t="shared" si="283"/>
        <v>0</v>
      </c>
      <c r="K856" s="196">
        <f t="shared" si="283"/>
        <v>0</v>
      </c>
      <c r="L856" s="197">
        <f t="shared" si="283"/>
        <v>0</v>
      </c>
      <c r="M856" s="191">
        <f t="shared" si="283"/>
        <v>0</v>
      </c>
      <c r="N856" s="150">
        <f t="shared" si="283"/>
        <v>0</v>
      </c>
      <c r="O856" s="193">
        <f t="shared" si="283"/>
        <v>0</v>
      </c>
      <c r="P856" s="162">
        <f t="shared" si="284"/>
        <v>0</v>
      </c>
      <c r="Q856" s="162">
        <f t="shared" si="284"/>
        <v>0</v>
      </c>
      <c r="R856" s="162">
        <f t="shared" si="284"/>
        <v>0</v>
      </c>
      <c r="S856" s="162">
        <f t="shared" si="284"/>
        <v>0</v>
      </c>
      <c r="T856" s="162">
        <f t="shared" si="284"/>
        <v>0</v>
      </c>
      <c r="U856" s="162">
        <f t="shared" si="284"/>
        <v>0</v>
      </c>
      <c r="V856" s="162">
        <f t="shared" si="284"/>
        <v>0</v>
      </c>
      <c r="W856" s="162">
        <f t="shared" si="284"/>
        <v>0</v>
      </c>
      <c r="X856" s="162">
        <f t="shared" si="284"/>
        <v>0</v>
      </c>
      <c r="Y856" s="162">
        <f t="shared" si="284"/>
        <v>0</v>
      </c>
      <c r="Z856" s="162">
        <f t="shared" si="284"/>
        <v>0</v>
      </c>
      <c r="AA856" s="162">
        <f t="shared" si="284"/>
        <v>0</v>
      </c>
      <c r="AB856" s="163">
        <f t="shared" si="280"/>
        <v>0</v>
      </c>
      <c r="AC856" s="198"/>
    </row>
    <row r="857" spans="1:29" hidden="1" outlineLevel="1" x14ac:dyDescent="0.25">
      <c r="A857" s="14" t="str">
        <f t="shared" si="273"/>
        <v>TERC_OPER__30</v>
      </c>
      <c r="B857" s="15" t="str">
        <f t="shared" si="276"/>
        <v>TERC_OPER__0_0</v>
      </c>
      <c r="C857" s="83"/>
      <c r="D857" s="15">
        <f t="shared" si="277"/>
        <v>0</v>
      </c>
      <c r="E857" s="15">
        <v>30</v>
      </c>
      <c r="F857" s="190">
        <f t="shared" si="283"/>
        <v>0</v>
      </c>
      <c r="G857" s="149" t="str">
        <f t="shared" si="283"/>
        <v/>
      </c>
      <c r="H857" s="150" t="str">
        <f t="shared" si="283"/>
        <v/>
      </c>
      <c r="I857" s="150">
        <f t="shared" si="283"/>
        <v>0</v>
      </c>
      <c r="J857" s="150">
        <f t="shared" si="283"/>
        <v>0</v>
      </c>
      <c r="K857" s="196">
        <f t="shared" si="283"/>
        <v>0</v>
      </c>
      <c r="L857" s="197">
        <f t="shared" si="283"/>
        <v>0</v>
      </c>
      <c r="M857" s="191">
        <f t="shared" si="283"/>
        <v>0</v>
      </c>
      <c r="N857" s="150">
        <f t="shared" si="283"/>
        <v>0</v>
      </c>
      <c r="O857" s="193">
        <f t="shared" si="283"/>
        <v>0</v>
      </c>
      <c r="P857" s="162">
        <f t="shared" si="284"/>
        <v>0</v>
      </c>
      <c r="Q857" s="162">
        <f t="shared" si="284"/>
        <v>0</v>
      </c>
      <c r="R857" s="162">
        <f t="shared" si="284"/>
        <v>0</v>
      </c>
      <c r="S857" s="162">
        <f t="shared" si="284"/>
        <v>0</v>
      </c>
      <c r="T857" s="162">
        <f t="shared" si="284"/>
        <v>0</v>
      </c>
      <c r="U857" s="162">
        <f t="shared" si="284"/>
        <v>0</v>
      </c>
      <c r="V857" s="162">
        <f t="shared" si="284"/>
        <v>0</v>
      </c>
      <c r="W857" s="162">
        <f t="shared" si="284"/>
        <v>0</v>
      </c>
      <c r="X857" s="162">
        <f t="shared" si="284"/>
        <v>0</v>
      </c>
      <c r="Y857" s="162">
        <f t="shared" si="284"/>
        <v>0</v>
      </c>
      <c r="Z857" s="162">
        <f t="shared" si="284"/>
        <v>0</v>
      </c>
      <c r="AA857" s="162">
        <f t="shared" si="284"/>
        <v>0</v>
      </c>
      <c r="AB857" s="163">
        <f t="shared" si="280"/>
        <v>0</v>
      </c>
      <c r="AC857" s="198"/>
    </row>
    <row r="858" spans="1:29" hidden="1" outlineLevel="1" x14ac:dyDescent="0.25">
      <c r="A858" s="14" t="str">
        <f t="shared" si="273"/>
        <v>TERC_OPER__31</v>
      </c>
      <c r="B858" s="15" t="str">
        <f t="shared" si="276"/>
        <v>TERC_OPER__0_0</v>
      </c>
      <c r="C858" s="83"/>
      <c r="D858" s="15">
        <f t="shared" si="277"/>
        <v>0</v>
      </c>
      <c r="E858" s="15">
        <v>31</v>
      </c>
      <c r="F858" s="190">
        <f t="shared" si="283"/>
        <v>0</v>
      </c>
      <c r="G858" s="149" t="str">
        <f t="shared" si="283"/>
        <v/>
      </c>
      <c r="H858" s="150" t="str">
        <f t="shared" si="283"/>
        <v/>
      </c>
      <c r="I858" s="150">
        <f t="shared" si="283"/>
        <v>0</v>
      </c>
      <c r="J858" s="150">
        <f t="shared" si="283"/>
        <v>0</v>
      </c>
      <c r="K858" s="196">
        <f t="shared" si="283"/>
        <v>0</v>
      </c>
      <c r="L858" s="197">
        <f t="shared" si="283"/>
        <v>0</v>
      </c>
      <c r="M858" s="191">
        <f t="shared" si="283"/>
        <v>0</v>
      </c>
      <c r="N858" s="150">
        <f t="shared" si="283"/>
        <v>0</v>
      </c>
      <c r="O858" s="193">
        <f t="shared" si="283"/>
        <v>0</v>
      </c>
      <c r="P858" s="162">
        <f t="shared" si="284"/>
        <v>0</v>
      </c>
      <c r="Q858" s="162">
        <f t="shared" si="284"/>
        <v>0</v>
      </c>
      <c r="R858" s="162">
        <f t="shared" si="284"/>
        <v>0</v>
      </c>
      <c r="S858" s="162">
        <f t="shared" si="284"/>
        <v>0</v>
      </c>
      <c r="T858" s="162">
        <f t="shared" si="284"/>
        <v>0</v>
      </c>
      <c r="U858" s="162">
        <f t="shared" si="284"/>
        <v>0</v>
      </c>
      <c r="V858" s="162">
        <f t="shared" si="284"/>
        <v>0</v>
      </c>
      <c r="W858" s="162">
        <f t="shared" si="284"/>
        <v>0</v>
      </c>
      <c r="X858" s="162">
        <f t="shared" si="284"/>
        <v>0</v>
      </c>
      <c r="Y858" s="162">
        <f t="shared" si="284"/>
        <v>0</v>
      </c>
      <c r="Z858" s="162">
        <f t="shared" si="284"/>
        <v>0</v>
      </c>
      <c r="AA858" s="162">
        <f t="shared" si="284"/>
        <v>0</v>
      </c>
      <c r="AB858" s="163">
        <f t="shared" si="280"/>
        <v>0</v>
      </c>
      <c r="AC858" s="198"/>
    </row>
    <row r="859" spans="1:29" hidden="1" outlineLevel="1" x14ac:dyDescent="0.25">
      <c r="A859" s="14" t="str">
        <f t="shared" si="273"/>
        <v>TERC_OPER__32</v>
      </c>
      <c r="B859" s="15" t="str">
        <f t="shared" si="276"/>
        <v>TERC_OPER__0_0</v>
      </c>
      <c r="C859" s="83"/>
      <c r="D859" s="15">
        <f t="shared" si="277"/>
        <v>0</v>
      </c>
      <c r="E859" s="15">
        <v>32</v>
      </c>
      <c r="F859" s="190">
        <f t="shared" si="283"/>
        <v>0</v>
      </c>
      <c r="G859" s="149" t="str">
        <f t="shared" si="283"/>
        <v/>
      </c>
      <c r="H859" s="150" t="str">
        <f t="shared" si="283"/>
        <v/>
      </c>
      <c r="I859" s="150">
        <f t="shared" si="283"/>
        <v>0</v>
      </c>
      <c r="J859" s="150">
        <f t="shared" si="283"/>
        <v>0</v>
      </c>
      <c r="K859" s="196">
        <f t="shared" si="283"/>
        <v>0</v>
      </c>
      <c r="L859" s="197">
        <f t="shared" si="283"/>
        <v>0</v>
      </c>
      <c r="M859" s="191">
        <f t="shared" si="283"/>
        <v>0</v>
      </c>
      <c r="N859" s="150">
        <f t="shared" si="283"/>
        <v>0</v>
      </c>
      <c r="O859" s="193">
        <f t="shared" si="283"/>
        <v>0</v>
      </c>
      <c r="P859" s="162">
        <f t="shared" si="284"/>
        <v>0</v>
      </c>
      <c r="Q859" s="162">
        <f t="shared" si="284"/>
        <v>0</v>
      </c>
      <c r="R859" s="162">
        <f t="shared" si="284"/>
        <v>0</v>
      </c>
      <c r="S859" s="162">
        <f t="shared" si="284"/>
        <v>0</v>
      </c>
      <c r="T859" s="162">
        <f t="shared" si="284"/>
        <v>0</v>
      </c>
      <c r="U859" s="162">
        <f t="shared" si="284"/>
        <v>0</v>
      </c>
      <c r="V859" s="162">
        <f t="shared" si="284"/>
        <v>0</v>
      </c>
      <c r="W859" s="162">
        <f t="shared" si="284"/>
        <v>0</v>
      </c>
      <c r="X859" s="162">
        <f t="shared" si="284"/>
        <v>0</v>
      </c>
      <c r="Y859" s="162">
        <f t="shared" si="284"/>
        <v>0</v>
      </c>
      <c r="Z859" s="162">
        <f t="shared" si="284"/>
        <v>0</v>
      </c>
      <c r="AA859" s="162">
        <f t="shared" si="284"/>
        <v>0</v>
      </c>
      <c r="AB859" s="163">
        <f t="shared" si="280"/>
        <v>0</v>
      </c>
      <c r="AC859" s="198"/>
    </row>
    <row r="860" spans="1:29" hidden="1" outlineLevel="1" x14ac:dyDescent="0.25">
      <c r="A860" s="14" t="str">
        <f t="shared" si="273"/>
        <v>TERC_OPER__33</v>
      </c>
      <c r="B860" s="15" t="str">
        <f t="shared" si="276"/>
        <v>TERC_OPER__0_0</v>
      </c>
      <c r="C860" s="83"/>
      <c r="D860" s="15">
        <f t="shared" si="277"/>
        <v>0</v>
      </c>
      <c r="E860" s="15">
        <v>33</v>
      </c>
      <c r="F860" s="190">
        <f t="shared" si="283"/>
        <v>0</v>
      </c>
      <c r="G860" s="149" t="str">
        <f t="shared" si="283"/>
        <v/>
      </c>
      <c r="H860" s="150" t="str">
        <f t="shared" si="283"/>
        <v/>
      </c>
      <c r="I860" s="150">
        <f t="shared" si="283"/>
        <v>0</v>
      </c>
      <c r="J860" s="150">
        <f t="shared" si="283"/>
        <v>0</v>
      </c>
      <c r="K860" s="196">
        <f t="shared" si="283"/>
        <v>0</v>
      </c>
      <c r="L860" s="197">
        <f t="shared" si="283"/>
        <v>0</v>
      </c>
      <c r="M860" s="191">
        <f t="shared" si="283"/>
        <v>0</v>
      </c>
      <c r="N860" s="150">
        <f t="shared" si="283"/>
        <v>0</v>
      </c>
      <c r="O860" s="193">
        <f t="shared" si="283"/>
        <v>0</v>
      </c>
      <c r="P860" s="162">
        <f t="shared" si="284"/>
        <v>0</v>
      </c>
      <c r="Q860" s="162">
        <f t="shared" si="284"/>
        <v>0</v>
      </c>
      <c r="R860" s="162">
        <f t="shared" si="284"/>
        <v>0</v>
      </c>
      <c r="S860" s="162">
        <f t="shared" si="284"/>
        <v>0</v>
      </c>
      <c r="T860" s="162">
        <f t="shared" si="284"/>
        <v>0</v>
      </c>
      <c r="U860" s="162">
        <f t="shared" si="284"/>
        <v>0</v>
      </c>
      <c r="V860" s="162">
        <f t="shared" si="284"/>
        <v>0</v>
      </c>
      <c r="W860" s="162">
        <f t="shared" si="284"/>
        <v>0</v>
      </c>
      <c r="X860" s="162">
        <f t="shared" si="284"/>
        <v>0</v>
      </c>
      <c r="Y860" s="162">
        <f t="shared" si="284"/>
        <v>0</v>
      </c>
      <c r="Z860" s="162">
        <f t="shared" si="284"/>
        <v>0</v>
      </c>
      <c r="AA860" s="162">
        <f t="shared" si="284"/>
        <v>0</v>
      </c>
      <c r="AB860" s="163">
        <f t="shared" si="280"/>
        <v>0</v>
      </c>
      <c r="AC860" s="198"/>
    </row>
    <row r="861" spans="1:29" hidden="1" outlineLevel="1" x14ac:dyDescent="0.25">
      <c r="A861" s="14" t="str">
        <f t="shared" si="273"/>
        <v>TERC_OPER__34</v>
      </c>
      <c r="B861" s="15" t="str">
        <f t="shared" si="276"/>
        <v>TERC_OPER__0_0</v>
      </c>
      <c r="C861" s="83"/>
      <c r="D861" s="15">
        <f t="shared" si="277"/>
        <v>0</v>
      </c>
      <c r="E861" s="15">
        <v>34</v>
      </c>
      <c r="F861" s="190">
        <f t="shared" ref="F861:O872" si="285">F815</f>
        <v>0</v>
      </c>
      <c r="G861" s="149" t="str">
        <f t="shared" si="285"/>
        <v/>
      </c>
      <c r="H861" s="150" t="str">
        <f t="shared" si="285"/>
        <v/>
      </c>
      <c r="I861" s="150">
        <f t="shared" si="285"/>
        <v>0</v>
      </c>
      <c r="J861" s="150">
        <f t="shared" si="285"/>
        <v>0</v>
      </c>
      <c r="K861" s="196">
        <f t="shared" si="285"/>
        <v>0</v>
      </c>
      <c r="L861" s="197">
        <f t="shared" si="285"/>
        <v>0</v>
      </c>
      <c r="M861" s="191">
        <f t="shared" si="285"/>
        <v>0</v>
      </c>
      <c r="N861" s="150">
        <f t="shared" si="285"/>
        <v>0</v>
      </c>
      <c r="O861" s="193">
        <f t="shared" si="285"/>
        <v>0</v>
      </c>
      <c r="P861" s="162">
        <f t="shared" si="284"/>
        <v>0</v>
      </c>
      <c r="Q861" s="162">
        <f t="shared" si="284"/>
        <v>0</v>
      </c>
      <c r="R861" s="162">
        <f t="shared" si="284"/>
        <v>0</v>
      </c>
      <c r="S861" s="162">
        <f t="shared" si="284"/>
        <v>0</v>
      </c>
      <c r="T861" s="162">
        <f t="shared" si="284"/>
        <v>0</v>
      </c>
      <c r="U861" s="162">
        <f t="shared" si="284"/>
        <v>0</v>
      </c>
      <c r="V861" s="162">
        <f t="shared" si="284"/>
        <v>0</v>
      </c>
      <c r="W861" s="162">
        <f t="shared" si="284"/>
        <v>0</v>
      </c>
      <c r="X861" s="162">
        <f t="shared" si="284"/>
        <v>0</v>
      </c>
      <c r="Y861" s="162">
        <f t="shared" si="284"/>
        <v>0</v>
      </c>
      <c r="Z861" s="162">
        <f t="shared" si="284"/>
        <v>0</v>
      </c>
      <c r="AA861" s="162">
        <f t="shared" si="284"/>
        <v>0</v>
      </c>
      <c r="AB861" s="163">
        <f t="shared" si="280"/>
        <v>0</v>
      </c>
      <c r="AC861" s="198"/>
    </row>
    <row r="862" spans="1:29" hidden="1" outlineLevel="1" x14ac:dyDescent="0.25">
      <c r="A862" s="14" t="str">
        <f t="shared" si="273"/>
        <v>TERC_OPER__35</v>
      </c>
      <c r="B862" s="15" t="str">
        <f t="shared" si="276"/>
        <v>TERC_OPER__0_0</v>
      </c>
      <c r="C862" s="83"/>
      <c r="D862" s="15">
        <f t="shared" si="277"/>
        <v>0</v>
      </c>
      <c r="E862" s="15">
        <v>35</v>
      </c>
      <c r="F862" s="190">
        <f t="shared" si="285"/>
        <v>0</v>
      </c>
      <c r="G862" s="149" t="str">
        <f t="shared" si="285"/>
        <v/>
      </c>
      <c r="H862" s="150" t="str">
        <f t="shared" si="285"/>
        <v/>
      </c>
      <c r="I862" s="150">
        <f t="shared" si="285"/>
        <v>0</v>
      </c>
      <c r="J862" s="150">
        <f t="shared" si="285"/>
        <v>0</v>
      </c>
      <c r="K862" s="196">
        <f t="shared" si="285"/>
        <v>0</v>
      </c>
      <c r="L862" s="197">
        <f t="shared" si="285"/>
        <v>0</v>
      </c>
      <c r="M862" s="191">
        <f t="shared" si="285"/>
        <v>0</v>
      </c>
      <c r="N862" s="150">
        <f t="shared" si="285"/>
        <v>0</v>
      </c>
      <c r="O862" s="193">
        <f t="shared" si="285"/>
        <v>0</v>
      </c>
      <c r="P862" s="162">
        <f t="shared" si="284"/>
        <v>0</v>
      </c>
      <c r="Q862" s="162">
        <f t="shared" si="284"/>
        <v>0</v>
      </c>
      <c r="R862" s="162">
        <f t="shared" si="284"/>
        <v>0</v>
      </c>
      <c r="S862" s="162">
        <f t="shared" si="284"/>
        <v>0</v>
      </c>
      <c r="T862" s="162">
        <f t="shared" si="284"/>
        <v>0</v>
      </c>
      <c r="U862" s="162">
        <f t="shared" si="284"/>
        <v>0</v>
      </c>
      <c r="V862" s="162">
        <f t="shared" si="284"/>
        <v>0</v>
      </c>
      <c r="W862" s="162">
        <f t="shared" si="284"/>
        <v>0</v>
      </c>
      <c r="X862" s="162">
        <f t="shared" si="284"/>
        <v>0</v>
      </c>
      <c r="Y862" s="162">
        <f t="shared" si="284"/>
        <v>0</v>
      </c>
      <c r="Z862" s="162">
        <f t="shared" si="284"/>
        <v>0</v>
      </c>
      <c r="AA862" s="162">
        <f t="shared" si="284"/>
        <v>0</v>
      </c>
      <c r="AB862" s="163">
        <f t="shared" si="280"/>
        <v>0</v>
      </c>
      <c r="AC862" s="198"/>
    </row>
    <row r="863" spans="1:29" hidden="1" outlineLevel="1" x14ac:dyDescent="0.25">
      <c r="A863" s="14" t="str">
        <f t="shared" si="273"/>
        <v>TERC_OPER__36</v>
      </c>
      <c r="B863" s="15" t="str">
        <f t="shared" si="276"/>
        <v>TERC_OPER__0_0</v>
      </c>
      <c r="C863" s="83"/>
      <c r="D863" s="15">
        <f t="shared" si="277"/>
        <v>0</v>
      </c>
      <c r="E863" s="15">
        <v>36</v>
      </c>
      <c r="F863" s="190">
        <f t="shared" si="285"/>
        <v>0</v>
      </c>
      <c r="G863" s="149" t="str">
        <f t="shared" si="285"/>
        <v/>
      </c>
      <c r="H863" s="150" t="str">
        <f t="shared" si="285"/>
        <v/>
      </c>
      <c r="I863" s="150">
        <f t="shared" si="285"/>
        <v>0</v>
      </c>
      <c r="J863" s="150">
        <f t="shared" si="285"/>
        <v>0</v>
      </c>
      <c r="K863" s="196">
        <f t="shared" si="285"/>
        <v>0</v>
      </c>
      <c r="L863" s="197">
        <f t="shared" si="285"/>
        <v>0</v>
      </c>
      <c r="M863" s="191">
        <f t="shared" si="285"/>
        <v>0</v>
      </c>
      <c r="N863" s="150">
        <f t="shared" si="285"/>
        <v>0</v>
      </c>
      <c r="O863" s="193">
        <f t="shared" si="285"/>
        <v>0</v>
      </c>
      <c r="P863" s="162">
        <f t="shared" si="284"/>
        <v>0</v>
      </c>
      <c r="Q863" s="162">
        <f t="shared" si="284"/>
        <v>0</v>
      </c>
      <c r="R863" s="162">
        <f t="shared" si="284"/>
        <v>0</v>
      </c>
      <c r="S863" s="162">
        <f t="shared" si="284"/>
        <v>0</v>
      </c>
      <c r="T863" s="162">
        <f t="shared" si="284"/>
        <v>0</v>
      </c>
      <c r="U863" s="162">
        <f t="shared" si="284"/>
        <v>0</v>
      </c>
      <c r="V863" s="162">
        <f t="shared" si="284"/>
        <v>0</v>
      </c>
      <c r="W863" s="162">
        <f t="shared" si="284"/>
        <v>0</v>
      </c>
      <c r="X863" s="162">
        <f t="shared" si="284"/>
        <v>0</v>
      </c>
      <c r="Y863" s="162">
        <f t="shared" si="284"/>
        <v>0</v>
      </c>
      <c r="Z863" s="162">
        <f t="shared" si="284"/>
        <v>0</v>
      </c>
      <c r="AA863" s="162">
        <f t="shared" si="284"/>
        <v>0</v>
      </c>
      <c r="AB863" s="163">
        <f t="shared" si="280"/>
        <v>0</v>
      </c>
      <c r="AC863" s="198"/>
    </row>
    <row r="864" spans="1:29" hidden="1" outlineLevel="1" x14ac:dyDescent="0.25">
      <c r="A864" s="14" t="str">
        <f t="shared" si="273"/>
        <v>TERC_OPER__37</v>
      </c>
      <c r="B864" s="15" t="str">
        <f t="shared" si="276"/>
        <v>TERC_OPER__0_0</v>
      </c>
      <c r="C864" s="83"/>
      <c r="D864" s="15">
        <f t="shared" si="277"/>
        <v>0</v>
      </c>
      <c r="E864" s="15">
        <v>37</v>
      </c>
      <c r="F864" s="190">
        <f t="shared" si="285"/>
        <v>0</v>
      </c>
      <c r="G864" s="149" t="str">
        <f t="shared" si="285"/>
        <v/>
      </c>
      <c r="H864" s="150" t="str">
        <f t="shared" si="285"/>
        <v/>
      </c>
      <c r="I864" s="150">
        <f t="shared" si="285"/>
        <v>0</v>
      </c>
      <c r="J864" s="150">
        <f t="shared" si="285"/>
        <v>0</v>
      </c>
      <c r="K864" s="196">
        <f t="shared" si="285"/>
        <v>0</v>
      </c>
      <c r="L864" s="197">
        <f t="shared" si="285"/>
        <v>0</v>
      </c>
      <c r="M864" s="191">
        <f t="shared" si="285"/>
        <v>0</v>
      </c>
      <c r="N864" s="150">
        <f t="shared" si="285"/>
        <v>0</v>
      </c>
      <c r="O864" s="193">
        <f t="shared" si="285"/>
        <v>0</v>
      </c>
      <c r="P864" s="162">
        <f t="shared" si="284"/>
        <v>0</v>
      </c>
      <c r="Q864" s="162">
        <f t="shared" si="284"/>
        <v>0</v>
      </c>
      <c r="R864" s="162">
        <f t="shared" si="284"/>
        <v>0</v>
      </c>
      <c r="S864" s="162">
        <f t="shared" si="284"/>
        <v>0</v>
      </c>
      <c r="T864" s="162">
        <f t="shared" si="284"/>
        <v>0</v>
      </c>
      <c r="U864" s="162">
        <f t="shared" si="284"/>
        <v>0</v>
      </c>
      <c r="V864" s="162">
        <f t="shared" si="284"/>
        <v>0</v>
      </c>
      <c r="W864" s="162">
        <f t="shared" si="284"/>
        <v>0</v>
      </c>
      <c r="X864" s="162">
        <f t="shared" si="284"/>
        <v>0</v>
      </c>
      <c r="Y864" s="162">
        <f t="shared" si="284"/>
        <v>0</v>
      </c>
      <c r="Z864" s="162">
        <f t="shared" si="284"/>
        <v>0</v>
      </c>
      <c r="AA864" s="162">
        <f t="shared" si="284"/>
        <v>0</v>
      </c>
      <c r="AB864" s="163">
        <f t="shared" si="280"/>
        <v>0</v>
      </c>
      <c r="AC864" s="198"/>
    </row>
    <row r="865" spans="1:29" hidden="1" outlineLevel="1" x14ac:dyDescent="0.25">
      <c r="A865" s="14" t="str">
        <f t="shared" si="273"/>
        <v>TERC_OPER__38</v>
      </c>
      <c r="B865" s="15" t="str">
        <f t="shared" si="276"/>
        <v>TERC_OPER__0_0</v>
      </c>
      <c r="C865" s="83"/>
      <c r="D865" s="15">
        <f t="shared" si="277"/>
        <v>0</v>
      </c>
      <c r="E865" s="15">
        <v>38</v>
      </c>
      <c r="F865" s="190">
        <f t="shared" si="285"/>
        <v>0</v>
      </c>
      <c r="G865" s="149" t="str">
        <f t="shared" si="285"/>
        <v/>
      </c>
      <c r="H865" s="150" t="str">
        <f t="shared" si="285"/>
        <v/>
      </c>
      <c r="I865" s="150">
        <f t="shared" si="285"/>
        <v>0</v>
      </c>
      <c r="J865" s="150">
        <f t="shared" si="285"/>
        <v>0</v>
      </c>
      <c r="K865" s="196">
        <f t="shared" si="285"/>
        <v>0</v>
      </c>
      <c r="L865" s="197">
        <f t="shared" si="285"/>
        <v>0</v>
      </c>
      <c r="M865" s="191">
        <f t="shared" si="285"/>
        <v>0</v>
      </c>
      <c r="N865" s="150">
        <f t="shared" si="285"/>
        <v>0</v>
      </c>
      <c r="O865" s="193">
        <f t="shared" si="285"/>
        <v>0</v>
      </c>
      <c r="P865" s="162">
        <f t="shared" ref="P865:AA872" si="286">IFERROR(SUMIF($B$483:$B$547,$C865&amp;$I865,P$483:P$547)/SUMIF($D$483:$D$547,$I865,P$483:P$547)*P589,0)</f>
        <v>0</v>
      </c>
      <c r="Q865" s="162">
        <f t="shared" si="286"/>
        <v>0</v>
      </c>
      <c r="R865" s="162">
        <f t="shared" si="286"/>
        <v>0</v>
      </c>
      <c r="S865" s="162">
        <f t="shared" si="286"/>
        <v>0</v>
      </c>
      <c r="T865" s="162">
        <f t="shared" si="286"/>
        <v>0</v>
      </c>
      <c r="U865" s="162">
        <f t="shared" si="286"/>
        <v>0</v>
      </c>
      <c r="V865" s="162">
        <f t="shared" si="286"/>
        <v>0</v>
      </c>
      <c r="W865" s="162">
        <f t="shared" si="286"/>
        <v>0</v>
      </c>
      <c r="X865" s="162">
        <f t="shared" si="286"/>
        <v>0</v>
      </c>
      <c r="Y865" s="162">
        <f t="shared" si="286"/>
        <v>0</v>
      </c>
      <c r="Z865" s="162">
        <f t="shared" si="286"/>
        <v>0</v>
      </c>
      <c r="AA865" s="162">
        <f t="shared" si="286"/>
        <v>0</v>
      </c>
      <c r="AB865" s="163">
        <f t="shared" si="280"/>
        <v>0</v>
      </c>
      <c r="AC865" s="198"/>
    </row>
    <row r="866" spans="1:29" hidden="1" outlineLevel="1" x14ac:dyDescent="0.25">
      <c r="A866" s="14" t="str">
        <f t="shared" si="273"/>
        <v>TERC_OPER__39</v>
      </c>
      <c r="B866" s="15" t="str">
        <f t="shared" si="276"/>
        <v>TERC_OPER__0_0</v>
      </c>
      <c r="C866" s="83"/>
      <c r="D866" s="15">
        <f t="shared" si="277"/>
        <v>0</v>
      </c>
      <c r="E866" s="15">
        <v>39</v>
      </c>
      <c r="F866" s="190">
        <f t="shared" si="285"/>
        <v>0</v>
      </c>
      <c r="G866" s="149" t="str">
        <f t="shared" si="285"/>
        <v/>
      </c>
      <c r="H866" s="150" t="str">
        <f t="shared" si="285"/>
        <v/>
      </c>
      <c r="I866" s="150">
        <f t="shared" si="285"/>
        <v>0</v>
      </c>
      <c r="J866" s="150">
        <f t="shared" si="285"/>
        <v>0</v>
      </c>
      <c r="K866" s="196">
        <f t="shared" si="285"/>
        <v>0</v>
      </c>
      <c r="L866" s="197">
        <f t="shared" si="285"/>
        <v>0</v>
      </c>
      <c r="M866" s="191">
        <f t="shared" si="285"/>
        <v>0</v>
      </c>
      <c r="N866" s="150">
        <f t="shared" si="285"/>
        <v>0</v>
      </c>
      <c r="O866" s="193">
        <f t="shared" si="285"/>
        <v>0</v>
      </c>
      <c r="P866" s="162">
        <f t="shared" si="286"/>
        <v>0</v>
      </c>
      <c r="Q866" s="162">
        <f t="shared" si="286"/>
        <v>0</v>
      </c>
      <c r="R866" s="162">
        <f t="shared" si="286"/>
        <v>0</v>
      </c>
      <c r="S866" s="162">
        <f t="shared" si="286"/>
        <v>0</v>
      </c>
      <c r="T866" s="162">
        <f t="shared" si="286"/>
        <v>0</v>
      </c>
      <c r="U866" s="162">
        <f t="shared" si="286"/>
        <v>0</v>
      </c>
      <c r="V866" s="162">
        <f t="shared" si="286"/>
        <v>0</v>
      </c>
      <c r="W866" s="162">
        <f t="shared" si="286"/>
        <v>0</v>
      </c>
      <c r="X866" s="162">
        <f t="shared" si="286"/>
        <v>0</v>
      </c>
      <c r="Y866" s="162">
        <f t="shared" si="286"/>
        <v>0</v>
      </c>
      <c r="Z866" s="162">
        <f t="shared" si="286"/>
        <v>0</v>
      </c>
      <c r="AA866" s="162">
        <f t="shared" si="286"/>
        <v>0</v>
      </c>
      <c r="AB866" s="163">
        <f t="shared" si="280"/>
        <v>0</v>
      </c>
      <c r="AC866" s="198"/>
    </row>
    <row r="867" spans="1:29" hidden="1" outlineLevel="1" x14ac:dyDescent="0.25">
      <c r="A867" s="14" t="str">
        <f t="shared" si="273"/>
        <v>TERC_OPER__40</v>
      </c>
      <c r="B867" s="15" t="str">
        <f t="shared" si="276"/>
        <v>TERC_OPER__0_0</v>
      </c>
      <c r="C867" s="83"/>
      <c r="D867" s="15">
        <f t="shared" si="277"/>
        <v>0</v>
      </c>
      <c r="E867" s="15">
        <v>40</v>
      </c>
      <c r="F867" s="190">
        <f t="shared" si="285"/>
        <v>0</v>
      </c>
      <c r="G867" s="149" t="str">
        <f t="shared" si="285"/>
        <v/>
      </c>
      <c r="H867" s="150" t="str">
        <f t="shared" si="285"/>
        <v/>
      </c>
      <c r="I867" s="150">
        <f t="shared" si="285"/>
        <v>0</v>
      </c>
      <c r="J867" s="150">
        <f t="shared" si="285"/>
        <v>0</v>
      </c>
      <c r="K867" s="196">
        <f t="shared" si="285"/>
        <v>0</v>
      </c>
      <c r="L867" s="197">
        <f t="shared" si="285"/>
        <v>0</v>
      </c>
      <c r="M867" s="191">
        <f t="shared" si="285"/>
        <v>0</v>
      </c>
      <c r="N867" s="150">
        <f t="shared" si="285"/>
        <v>0</v>
      </c>
      <c r="O867" s="193">
        <f t="shared" si="285"/>
        <v>0</v>
      </c>
      <c r="P867" s="162">
        <f t="shared" si="286"/>
        <v>0</v>
      </c>
      <c r="Q867" s="162">
        <f t="shared" si="286"/>
        <v>0</v>
      </c>
      <c r="R867" s="162">
        <f t="shared" si="286"/>
        <v>0</v>
      </c>
      <c r="S867" s="162">
        <f t="shared" si="286"/>
        <v>0</v>
      </c>
      <c r="T867" s="162">
        <f t="shared" si="286"/>
        <v>0</v>
      </c>
      <c r="U867" s="162">
        <f t="shared" si="286"/>
        <v>0</v>
      </c>
      <c r="V867" s="162">
        <f t="shared" si="286"/>
        <v>0</v>
      </c>
      <c r="W867" s="162">
        <f t="shared" si="286"/>
        <v>0</v>
      </c>
      <c r="X867" s="162">
        <f t="shared" si="286"/>
        <v>0</v>
      </c>
      <c r="Y867" s="162">
        <f t="shared" si="286"/>
        <v>0</v>
      </c>
      <c r="Z867" s="162">
        <f t="shared" si="286"/>
        <v>0</v>
      </c>
      <c r="AA867" s="162">
        <f t="shared" si="286"/>
        <v>0</v>
      </c>
      <c r="AB867" s="163">
        <f t="shared" si="280"/>
        <v>0</v>
      </c>
      <c r="AC867" s="198"/>
    </row>
    <row r="868" spans="1:29" hidden="1" outlineLevel="1" x14ac:dyDescent="0.25">
      <c r="A868" s="14" t="str">
        <f t="shared" si="273"/>
        <v>TERC_OPER__41</v>
      </c>
      <c r="B868" s="15" t="str">
        <f t="shared" si="276"/>
        <v>TERC_OPER__0_0</v>
      </c>
      <c r="C868" s="83"/>
      <c r="D868" s="15">
        <f t="shared" si="277"/>
        <v>0</v>
      </c>
      <c r="E868" s="15">
        <v>41</v>
      </c>
      <c r="F868" s="190">
        <f t="shared" si="285"/>
        <v>0</v>
      </c>
      <c r="G868" s="149" t="str">
        <f t="shared" si="285"/>
        <v/>
      </c>
      <c r="H868" s="150" t="str">
        <f t="shared" si="285"/>
        <v/>
      </c>
      <c r="I868" s="150">
        <f t="shared" si="285"/>
        <v>0</v>
      </c>
      <c r="J868" s="150">
        <f t="shared" si="285"/>
        <v>0</v>
      </c>
      <c r="K868" s="196">
        <f t="shared" si="285"/>
        <v>0</v>
      </c>
      <c r="L868" s="197">
        <f t="shared" si="285"/>
        <v>0</v>
      </c>
      <c r="M868" s="191">
        <f t="shared" si="285"/>
        <v>0</v>
      </c>
      <c r="N868" s="150">
        <f t="shared" si="285"/>
        <v>0</v>
      </c>
      <c r="O868" s="193">
        <f t="shared" si="285"/>
        <v>0</v>
      </c>
      <c r="P868" s="162">
        <f t="shared" si="286"/>
        <v>0</v>
      </c>
      <c r="Q868" s="162">
        <f t="shared" si="286"/>
        <v>0</v>
      </c>
      <c r="R868" s="162">
        <f t="shared" si="286"/>
        <v>0</v>
      </c>
      <c r="S868" s="162">
        <f t="shared" si="286"/>
        <v>0</v>
      </c>
      <c r="T868" s="162">
        <f t="shared" si="286"/>
        <v>0</v>
      </c>
      <c r="U868" s="162">
        <f t="shared" si="286"/>
        <v>0</v>
      </c>
      <c r="V868" s="162">
        <f t="shared" si="286"/>
        <v>0</v>
      </c>
      <c r="W868" s="162">
        <f t="shared" si="286"/>
        <v>0</v>
      </c>
      <c r="X868" s="162">
        <f t="shared" si="286"/>
        <v>0</v>
      </c>
      <c r="Y868" s="162">
        <f t="shared" si="286"/>
        <v>0</v>
      </c>
      <c r="Z868" s="162">
        <f t="shared" si="286"/>
        <v>0</v>
      </c>
      <c r="AA868" s="162">
        <f t="shared" si="286"/>
        <v>0</v>
      </c>
      <c r="AB868" s="163">
        <f t="shared" si="280"/>
        <v>0</v>
      </c>
      <c r="AC868" s="198"/>
    </row>
    <row r="869" spans="1:29" hidden="1" outlineLevel="1" x14ac:dyDescent="0.25">
      <c r="A869" s="14" t="str">
        <f t="shared" si="273"/>
        <v>TERC_OPER__42</v>
      </c>
      <c r="B869" s="15" t="str">
        <f t="shared" si="276"/>
        <v>TERC_OPER__0_0</v>
      </c>
      <c r="C869" s="83"/>
      <c r="D869" s="15">
        <f t="shared" si="277"/>
        <v>0</v>
      </c>
      <c r="E869" s="15">
        <v>42</v>
      </c>
      <c r="F869" s="190">
        <f t="shared" si="285"/>
        <v>0</v>
      </c>
      <c r="G869" s="149" t="str">
        <f t="shared" si="285"/>
        <v/>
      </c>
      <c r="H869" s="150" t="str">
        <f t="shared" si="285"/>
        <v/>
      </c>
      <c r="I869" s="150">
        <f t="shared" si="285"/>
        <v>0</v>
      </c>
      <c r="J869" s="150">
        <f t="shared" si="285"/>
        <v>0</v>
      </c>
      <c r="K869" s="196">
        <f t="shared" si="285"/>
        <v>0</v>
      </c>
      <c r="L869" s="197">
        <f t="shared" si="285"/>
        <v>0</v>
      </c>
      <c r="M869" s="191">
        <f t="shared" si="285"/>
        <v>0</v>
      </c>
      <c r="N869" s="150">
        <f t="shared" si="285"/>
        <v>0</v>
      </c>
      <c r="O869" s="193">
        <f t="shared" si="285"/>
        <v>0</v>
      </c>
      <c r="P869" s="162">
        <f t="shared" si="286"/>
        <v>0</v>
      </c>
      <c r="Q869" s="162">
        <f t="shared" si="286"/>
        <v>0</v>
      </c>
      <c r="R869" s="162">
        <f t="shared" si="286"/>
        <v>0</v>
      </c>
      <c r="S869" s="162">
        <f t="shared" si="286"/>
        <v>0</v>
      </c>
      <c r="T869" s="162">
        <f t="shared" si="286"/>
        <v>0</v>
      </c>
      <c r="U869" s="162">
        <f t="shared" si="286"/>
        <v>0</v>
      </c>
      <c r="V869" s="162">
        <f t="shared" si="286"/>
        <v>0</v>
      </c>
      <c r="W869" s="162">
        <f t="shared" si="286"/>
        <v>0</v>
      </c>
      <c r="X869" s="162">
        <f t="shared" si="286"/>
        <v>0</v>
      </c>
      <c r="Y869" s="162">
        <f t="shared" si="286"/>
        <v>0</v>
      </c>
      <c r="Z869" s="162">
        <f t="shared" si="286"/>
        <v>0</v>
      </c>
      <c r="AA869" s="162">
        <f t="shared" si="286"/>
        <v>0</v>
      </c>
      <c r="AB869" s="163">
        <f t="shared" si="280"/>
        <v>0</v>
      </c>
      <c r="AC869" s="198"/>
    </row>
    <row r="870" spans="1:29" hidden="1" outlineLevel="1" x14ac:dyDescent="0.25">
      <c r="A870" s="14" t="str">
        <f t="shared" si="273"/>
        <v>TERC_OPER__43</v>
      </c>
      <c r="B870" s="15" t="str">
        <f t="shared" si="276"/>
        <v>TERC_OPER__0_0</v>
      </c>
      <c r="C870" s="83"/>
      <c r="D870" s="15">
        <f t="shared" si="277"/>
        <v>0</v>
      </c>
      <c r="E870" s="15">
        <v>43</v>
      </c>
      <c r="F870" s="190">
        <f t="shared" si="285"/>
        <v>0</v>
      </c>
      <c r="G870" s="149" t="str">
        <f t="shared" si="285"/>
        <v/>
      </c>
      <c r="H870" s="150" t="str">
        <f t="shared" si="285"/>
        <v/>
      </c>
      <c r="I870" s="150">
        <f t="shared" si="285"/>
        <v>0</v>
      </c>
      <c r="J870" s="150">
        <f t="shared" si="285"/>
        <v>0</v>
      </c>
      <c r="K870" s="196">
        <f t="shared" si="285"/>
        <v>0</v>
      </c>
      <c r="L870" s="197">
        <f t="shared" si="285"/>
        <v>0</v>
      </c>
      <c r="M870" s="191">
        <f t="shared" si="285"/>
        <v>0</v>
      </c>
      <c r="N870" s="150">
        <f t="shared" si="285"/>
        <v>0</v>
      </c>
      <c r="O870" s="193">
        <f t="shared" si="285"/>
        <v>0</v>
      </c>
      <c r="P870" s="162">
        <f t="shared" si="286"/>
        <v>0</v>
      </c>
      <c r="Q870" s="162">
        <f t="shared" si="286"/>
        <v>0</v>
      </c>
      <c r="R870" s="162">
        <f t="shared" si="286"/>
        <v>0</v>
      </c>
      <c r="S870" s="162">
        <f t="shared" si="286"/>
        <v>0</v>
      </c>
      <c r="T870" s="162">
        <f t="shared" si="286"/>
        <v>0</v>
      </c>
      <c r="U870" s="162">
        <f t="shared" si="286"/>
        <v>0</v>
      </c>
      <c r="V870" s="162">
        <f t="shared" si="286"/>
        <v>0</v>
      </c>
      <c r="W870" s="162">
        <f t="shared" si="286"/>
        <v>0</v>
      </c>
      <c r="X870" s="162">
        <f t="shared" si="286"/>
        <v>0</v>
      </c>
      <c r="Y870" s="162">
        <f t="shared" si="286"/>
        <v>0</v>
      </c>
      <c r="Z870" s="162">
        <f t="shared" si="286"/>
        <v>0</v>
      </c>
      <c r="AA870" s="162">
        <f t="shared" si="286"/>
        <v>0</v>
      </c>
      <c r="AB870" s="163">
        <f t="shared" si="280"/>
        <v>0</v>
      </c>
      <c r="AC870" s="198"/>
    </row>
    <row r="871" spans="1:29" hidden="1" outlineLevel="1" x14ac:dyDescent="0.25">
      <c r="A871" s="14" t="str">
        <f t="shared" si="273"/>
        <v>TERC_OPER__44</v>
      </c>
      <c r="B871" s="15" t="str">
        <f t="shared" si="276"/>
        <v>TERC_OPER__0_0</v>
      </c>
      <c r="C871" s="83"/>
      <c r="D871" s="15">
        <f t="shared" si="277"/>
        <v>0</v>
      </c>
      <c r="E871" s="15">
        <v>44</v>
      </c>
      <c r="F871" s="190">
        <f t="shared" si="285"/>
        <v>0</v>
      </c>
      <c r="G871" s="149" t="str">
        <f t="shared" si="285"/>
        <v/>
      </c>
      <c r="H871" s="150" t="str">
        <f t="shared" si="285"/>
        <v/>
      </c>
      <c r="I871" s="150">
        <f t="shared" si="285"/>
        <v>0</v>
      </c>
      <c r="J871" s="150">
        <f t="shared" si="285"/>
        <v>0</v>
      </c>
      <c r="K871" s="196">
        <f t="shared" si="285"/>
        <v>0</v>
      </c>
      <c r="L871" s="197">
        <f t="shared" si="285"/>
        <v>0</v>
      </c>
      <c r="M871" s="191">
        <f t="shared" si="285"/>
        <v>0</v>
      </c>
      <c r="N871" s="150">
        <f t="shared" si="285"/>
        <v>0</v>
      </c>
      <c r="O871" s="193">
        <f t="shared" si="285"/>
        <v>0</v>
      </c>
      <c r="P871" s="162">
        <f t="shared" si="286"/>
        <v>0</v>
      </c>
      <c r="Q871" s="162">
        <f t="shared" si="286"/>
        <v>0</v>
      </c>
      <c r="R871" s="162">
        <f t="shared" si="286"/>
        <v>0</v>
      </c>
      <c r="S871" s="162">
        <f t="shared" si="286"/>
        <v>0</v>
      </c>
      <c r="T871" s="162">
        <f t="shared" si="286"/>
        <v>0</v>
      </c>
      <c r="U871" s="162">
        <f t="shared" si="286"/>
        <v>0</v>
      </c>
      <c r="V871" s="162">
        <f t="shared" si="286"/>
        <v>0</v>
      </c>
      <c r="W871" s="162">
        <f t="shared" si="286"/>
        <v>0</v>
      </c>
      <c r="X871" s="162">
        <f t="shared" si="286"/>
        <v>0</v>
      </c>
      <c r="Y871" s="162">
        <f t="shared" si="286"/>
        <v>0</v>
      </c>
      <c r="Z871" s="162">
        <f t="shared" si="286"/>
        <v>0</v>
      </c>
      <c r="AA871" s="162">
        <f t="shared" si="286"/>
        <v>0</v>
      </c>
      <c r="AB871" s="163">
        <f t="shared" si="280"/>
        <v>0</v>
      </c>
      <c r="AC871" s="198"/>
    </row>
    <row r="872" spans="1:29" hidden="1" outlineLevel="1" x14ac:dyDescent="0.25">
      <c r="A872" s="14" t="str">
        <f t="shared" si="273"/>
        <v>TERC_OPER__45</v>
      </c>
      <c r="B872" s="15" t="str">
        <f t="shared" si="276"/>
        <v>TERC_OPER__0_0</v>
      </c>
      <c r="C872" s="83"/>
      <c r="D872" s="15">
        <f t="shared" si="277"/>
        <v>0</v>
      </c>
      <c r="E872" s="15">
        <v>45</v>
      </c>
      <c r="F872" s="209">
        <f t="shared" si="285"/>
        <v>0</v>
      </c>
      <c r="G872" s="183" t="str">
        <f t="shared" si="285"/>
        <v/>
      </c>
      <c r="H872" s="184" t="str">
        <f t="shared" si="285"/>
        <v/>
      </c>
      <c r="I872" s="184">
        <f t="shared" si="285"/>
        <v>0</v>
      </c>
      <c r="J872" s="184">
        <f t="shared" si="285"/>
        <v>0</v>
      </c>
      <c r="K872" s="210">
        <f t="shared" si="285"/>
        <v>0</v>
      </c>
      <c r="L872" s="211">
        <f t="shared" si="285"/>
        <v>0</v>
      </c>
      <c r="M872" s="212">
        <f t="shared" si="285"/>
        <v>0</v>
      </c>
      <c r="N872" s="184">
        <f t="shared" si="285"/>
        <v>0</v>
      </c>
      <c r="O872" s="213">
        <f t="shared" si="285"/>
        <v>0</v>
      </c>
      <c r="P872" s="175">
        <f t="shared" si="286"/>
        <v>0</v>
      </c>
      <c r="Q872" s="175">
        <f t="shared" si="286"/>
        <v>0</v>
      </c>
      <c r="R872" s="175">
        <f t="shared" si="286"/>
        <v>0</v>
      </c>
      <c r="S872" s="175">
        <f t="shared" si="286"/>
        <v>0</v>
      </c>
      <c r="T872" s="175">
        <f t="shared" si="286"/>
        <v>0</v>
      </c>
      <c r="U872" s="175">
        <f t="shared" si="286"/>
        <v>0</v>
      </c>
      <c r="V872" s="175">
        <f t="shared" si="286"/>
        <v>0</v>
      </c>
      <c r="W872" s="175">
        <f t="shared" si="286"/>
        <v>0</v>
      </c>
      <c r="X872" s="175">
        <f t="shared" si="286"/>
        <v>0</v>
      </c>
      <c r="Y872" s="175">
        <f t="shared" si="286"/>
        <v>0</v>
      </c>
      <c r="Z872" s="175">
        <f t="shared" si="286"/>
        <v>0</v>
      </c>
      <c r="AA872" s="175">
        <f t="shared" si="286"/>
        <v>0</v>
      </c>
      <c r="AB872" s="176">
        <f t="shared" si="280"/>
        <v>0</v>
      </c>
      <c r="AC872" s="172"/>
    </row>
    <row r="873" spans="1:29" hidden="1" outlineLevel="1" x14ac:dyDescent="0.25">
      <c r="A873" s="14" t="str">
        <f t="shared" si="273"/>
        <v>TERC_OPER__</v>
      </c>
      <c r="F873" s="137" t="s">
        <v>283</v>
      </c>
      <c r="G873" s="138"/>
      <c r="H873" s="139" t="s">
        <v>217</v>
      </c>
      <c r="I873" s="139" t="s">
        <v>218</v>
      </c>
      <c r="J873" s="139" t="s">
        <v>219</v>
      </c>
      <c r="K873" s="140"/>
      <c r="L873" s="141"/>
      <c r="M873" s="142" t="s">
        <v>220</v>
      </c>
      <c r="N873" s="139" t="s">
        <v>221</v>
      </c>
      <c r="O873" s="143" t="s">
        <v>222</v>
      </c>
      <c r="P873" s="35">
        <f>P$9</f>
        <v>46113</v>
      </c>
      <c r="Q873" s="35">
        <f t="shared" ref="Q873:AA873" si="287">Q$9</f>
        <v>46143</v>
      </c>
      <c r="R873" s="35">
        <f t="shared" si="287"/>
        <v>46174</v>
      </c>
      <c r="S873" s="35">
        <f t="shared" si="287"/>
        <v>46204</v>
      </c>
      <c r="T873" s="35">
        <f t="shared" si="287"/>
        <v>46235</v>
      </c>
      <c r="U873" s="35">
        <f t="shared" si="287"/>
        <v>46266</v>
      </c>
      <c r="V873" s="35">
        <f t="shared" si="287"/>
        <v>46296</v>
      </c>
      <c r="W873" s="35">
        <f t="shared" si="287"/>
        <v>46327</v>
      </c>
      <c r="X873" s="35">
        <f t="shared" si="287"/>
        <v>46357</v>
      </c>
      <c r="Y873" s="35">
        <f t="shared" si="287"/>
        <v>46388</v>
      </c>
      <c r="Z873" s="35">
        <f t="shared" si="287"/>
        <v>46419</v>
      </c>
      <c r="AA873" s="35">
        <f t="shared" si="287"/>
        <v>46447</v>
      </c>
      <c r="AB873" s="81" t="s">
        <v>223</v>
      </c>
      <c r="AC873" s="82" t="s">
        <v>192</v>
      </c>
    </row>
    <row r="874" spans="1:29" hidden="1" outlineLevel="1" x14ac:dyDescent="0.25">
      <c r="A874" s="14" t="str">
        <f t="shared" si="273"/>
        <v>TERC_OPER__1</v>
      </c>
      <c r="B874" s="15" t="str">
        <f t="shared" ref="B874:B918" si="288">"TERC_OPER_"&amp;C874&amp;"_"&amp;F874&amp;"_"&amp;J874</f>
        <v>TERC_OPER__1018_1</v>
      </c>
      <c r="C874" s="83"/>
      <c r="D874" s="15">
        <f t="shared" ref="D874:D918" si="289">J874</f>
        <v>1</v>
      </c>
      <c r="E874" s="15">
        <v>1</v>
      </c>
      <c r="F874" s="190">
        <f>F828</f>
        <v>1018</v>
      </c>
      <c r="G874" s="149" t="str">
        <f t="shared" ref="G874:O874" si="290">G828</f>
        <v/>
      </c>
      <c r="H874" s="150" t="str">
        <f t="shared" si="290"/>
        <v/>
      </c>
      <c r="I874" s="150" t="str">
        <f t="shared" si="290"/>
        <v>PLANCP</v>
      </c>
      <c r="J874" s="150">
        <f t="shared" si="290"/>
        <v>1</v>
      </c>
      <c r="K874" s="196">
        <f t="shared" si="290"/>
        <v>0</v>
      </c>
      <c r="L874" s="197">
        <f t="shared" si="290"/>
        <v>0</v>
      </c>
      <c r="M874" s="191">
        <f t="shared" si="290"/>
        <v>0</v>
      </c>
      <c r="N874" s="150">
        <f t="shared" si="290"/>
        <v>0</v>
      </c>
      <c r="O874" s="193">
        <f t="shared" si="290"/>
        <v>1</v>
      </c>
      <c r="P874" s="162">
        <f t="shared" ref="P874:AA877" si="291">IFERROR(SUMIF($B$483:$B$547,$C874&amp;$I874,P$483:P$547)/SUMIF($D$483:$D$547,$I874,P$483:P$547)*P553,0)</f>
        <v>0</v>
      </c>
      <c r="Q874" s="162">
        <f t="shared" si="291"/>
        <v>0</v>
      </c>
      <c r="R874" s="162">
        <f t="shared" si="291"/>
        <v>0</v>
      </c>
      <c r="S874" s="162">
        <f t="shared" si="291"/>
        <v>0</v>
      </c>
      <c r="T874" s="162">
        <f t="shared" si="291"/>
        <v>0</v>
      </c>
      <c r="U874" s="162">
        <f t="shared" si="291"/>
        <v>0</v>
      </c>
      <c r="V874" s="162">
        <f t="shared" si="291"/>
        <v>0</v>
      </c>
      <c r="W874" s="162">
        <f t="shared" si="291"/>
        <v>0</v>
      </c>
      <c r="X874" s="162">
        <f t="shared" si="291"/>
        <v>0</v>
      </c>
      <c r="Y874" s="162">
        <f t="shared" si="291"/>
        <v>0</v>
      </c>
      <c r="Z874" s="162">
        <f t="shared" si="291"/>
        <v>0</v>
      </c>
      <c r="AA874" s="162">
        <f t="shared" si="291"/>
        <v>0</v>
      </c>
      <c r="AB874" s="163">
        <f t="shared" ref="AB874:AB918" si="292">SUM(P874:AA874)</f>
        <v>0</v>
      </c>
      <c r="AC874" s="198"/>
    </row>
    <row r="875" spans="1:29" hidden="1" outlineLevel="1" x14ac:dyDescent="0.25">
      <c r="A875" s="14" t="str">
        <f t="shared" si="273"/>
        <v>TERC_OPER__2</v>
      </c>
      <c r="B875" s="15" t="str">
        <f t="shared" si="288"/>
        <v>TERC_OPER__1023_1</v>
      </c>
      <c r="C875" s="83"/>
      <c r="D875" s="15">
        <f t="shared" si="289"/>
        <v>1</v>
      </c>
      <c r="E875" s="15">
        <v>2</v>
      </c>
      <c r="F875" s="190">
        <f t="shared" ref="F875:O890" si="293">F829</f>
        <v>1023</v>
      </c>
      <c r="G875" s="149" t="str">
        <f t="shared" si="293"/>
        <v/>
      </c>
      <c r="H875" s="150" t="str">
        <f t="shared" si="293"/>
        <v/>
      </c>
      <c r="I875" s="150" t="str">
        <f t="shared" si="293"/>
        <v>PLANCP</v>
      </c>
      <c r="J875" s="150">
        <f t="shared" si="293"/>
        <v>1</v>
      </c>
      <c r="K875" s="196">
        <f t="shared" si="293"/>
        <v>0</v>
      </c>
      <c r="L875" s="197">
        <f t="shared" si="293"/>
        <v>0</v>
      </c>
      <c r="M875" s="191">
        <f t="shared" si="293"/>
        <v>0</v>
      </c>
      <c r="N875" s="150">
        <f t="shared" si="293"/>
        <v>0</v>
      </c>
      <c r="O875" s="193">
        <f t="shared" si="293"/>
        <v>1</v>
      </c>
      <c r="P875" s="162">
        <f t="shared" si="291"/>
        <v>0</v>
      </c>
      <c r="Q875" s="162">
        <f t="shared" si="291"/>
        <v>0</v>
      </c>
      <c r="R875" s="162">
        <f t="shared" si="291"/>
        <v>0</v>
      </c>
      <c r="S875" s="162">
        <f t="shared" si="291"/>
        <v>0</v>
      </c>
      <c r="T875" s="162">
        <f t="shared" si="291"/>
        <v>0</v>
      </c>
      <c r="U875" s="162">
        <f t="shared" si="291"/>
        <v>0</v>
      </c>
      <c r="V875" s="162">
        <f t="shared" si="291"/>
        <v>0</v>
      </c>
      <c r="W875" s="162">
        <f t="shared" si="291"/>
        <v>0</v>
      </c>
      <c r="X875" s="162">
        <f t="shared" si="291"/>
        <v>0</v>
      </c>
      <c r="Y875" s="162">
        <f t="shared" si="291"/>
        <v>0</v>
      </c>
      <c r="Z875" s="162">
        <f t="shared" si="291"/>
        <v>0</v>
      </c>
      <c r="AA875" s="162">
        <f t="shared" si="291"/>
        <v>0</v>
      </c>
      <c r="AB875" s="163">
        <f t="shared" si="292"/>
        <v>0</v>
      </c>
      <c r="AC875" s="198"/>
    </row>
    <row r="876" spans="1:29" hidden="1" outlineLevel="1" x14ac:dyDescent="0.25">
      <c r="A876" s="14" t="str">
        <f t="shared" si="273"/>
        <v>TERC_OPER__3</v>
      </c>
      <c r="B876" s="15" t="str">
        <f t="shared" si="288"/>
        <v>TERC_OPER__1018_1</v>
      </c>
      <c r="C876" s="83"/>
      <c r="D876" s="15">
        <f t="shared" si="289"/>
        <v>1</v>
      </c>
      <c r="E876" s="15">
        <v>3</v>
      </c>
      <c r="F876" s="190">
        <f t="shared" si="293"/>
        <v>1018</v>
      </c>
      <c r="G876" s="149" t="str">
        <f t="shared" si="293"/>
        <v/>
      </c>
      <c r="H876" s="150" t="str">
        <f t="shared" si="293"/>
        <v/>
      </c>
      <c r="I876" s="150" t="str">
        <f t="shared" si="293"/>
        <v>PLANCF</v>
      </c>
      <c r="J876" s="150">
        <f t="shared" si="293"/>
        <v>1</v>
      </c>
      <c r="K876" s="196">
        <f t="shared" si="293"/>
        <v>0</v>
      </c>
      <c r="L876" s="197">
        <f t="shared" si="293"/>
        <v>0</v>
      </c>
      <c r="M876" s="191">
        <f t="shared" si="293"/>
        <v>0</v>
      </c>
      <c r="N876" s="150">
        <f t="shared" si="293"/>
        <v>0</v>
      </c>
      <c r="O876" s="193">
        <f t="shared" si="293"/>
        <v>1</v>
      </c>
      <c r="P876" s="162">
        <f t="shared" si="291"/>
        <v>0</v>
      </c>
      <c r="Q876" s="162">
        <f t="shared" si="291"/>
        <v>0</v>
      </c>
      <c r="R876" s="162">
        <f t="shared" si="291"/>
        <v>0</v>
      </c>
      <c r="S876" s="162">
        <f t="shared" si="291"/>
        <v>0</v>
      </c>
      <c r="T876" s="162">
        <f t="shared" si="291"/>
        <v>0</v>
      </c>
      <c r="U876" s="162">
        <f t="shared" si="291"/>
        <v>0</v>
      </c>
      <c r="V876" s="162">
        <f t="shared" si="291"/>
        <v>0</v>
      </c>
      <c r="W876" s="162">
        <f t="shared" si="291"/>
        <v>0</v>
      </c>
      <c r="X876" s="162">
        <f t="shared" si="291"/>
        <v>0</v>
      </c>
      <c r="Y876" s="162">
        <f t="shared" si="291"/>
        <v>0</v>
      </c>
      <c r="Z876" s="162">
        <f t="shared" si="291"/>
        <v>0</v>
      </c>
      <c r="AA876" s="162">
        <f t="shared" si="291"/>
        <v>0</v>
      </c>
      <c r="AB876" s="163">
        <f t="shared" si="292"/>
        <v>0</v>
      </c>
      <c r="AC876" s="198"/>
    </row>
    <row r="877" spans="1:29" hidden="1" outlineLevel="1" x14ac:dyDescent="0.25">
      <c r="A877" s="14" t="str">
        <f t="shared" si="273"/>
        <v>TERC_OPER__4</v>
      </c>
      <c r="B877" s="15" t="str">
        <f t="shared" si="288"/>
        <v>TERC_OPER__1023_1</v>
      </c>
      <c r="C877" s="83"/>
      <c r="D877" s="15">
        <f t="shared" si="289"/>
        <v>1</v>
      </c>
      <c r="E877" s="15">
        <v>4</v>
      </c>
      <c r="F877" s="190">
        <f t="shared" si="293"/>
        <v>1023</v>
      </c>
      <c r="G877" s="149" t="str">
        <f t="shared" si="293"/>
        <v/>
      </c>
      <c r="H877" s="150" t="str">
        <f t="shared" si="293"/>
        <v/>
      </c>
      <c r="I877" s="150" t="str">
        <f t="shared" si="293"/>
        <v>PLANCF</v>
      </c>
      <c r="J877" s="150">
        <f t="shared" si="293"/>
        <v>1</v>
      </c>
      <c r="K877" s="196">
        <f t="shared" si="293"/>
        <v>0</v>
      </c>
      <c r="L877" s="197">
        <f t="shared" si="293"/>
        <v>0</v>
      </c>
      <c r="M877" s="191">
        <f t="shared" si="293"/>
        <v>0</v>
      </c>
      <c r="N877" s="150">
        <f t="shared" si="293"/>
        <v>0</v>
      </c>
      <c r="O877" s="193">
        <f t="shared" si="293"/>
        <v>1</v>
      </c>
      <c r="P877" s="162">
        <f t="shared" si="291"/>
        <v>0</v>
      </c>
      <c r="Q877" s="162">
        <f t="shared" si="291"/>
        <v>0</v>
      </c>
      <c r="R877" s="162">
        <f t="shared" si="291"/>
        <v>0</v>
      </c>
      <c r="S877" s="162">
        <f t="shared" si="291"/>
        <v>0</v>
      </c>
      <c r="T877" s="162">
        <f t="shared" si="291"/>
        <v>0</v>
      </c>
      <c r="U877" s="162">
        <f t="shared" si="291"/>
        <v>0</v>
      </c>
      <c r="V877" s="162">
        <f t="shared" si="291"/>
        <v>0</v>
      </c>
      <c r="W877" s="162">
        <f t="shared" si="291"/>
        <v>0</v>
      </c>
      <c r="X877" s="162">
        <f t="shared" si="291"/>
        <v>0</v>
      </c>
      <c r="Y877" s="162">
        <f t="shared" si="291"/>
        <v>0</v>
      </c>
      <c r="Z877" s="162">
        <f t="shared" si="291"/>
        <v>0</v>
      </c>
      <c r="AA877" s="162">
        <f t="shared" si="291"/>
        <v>0</v>
      </c>
      <c r="AB877" s="163">
        <f t="shared" si="292"/>
        <v>0</v>
      </c>
      <c r="AC877" s="159"/>
    </row>
    <row r="878" spans="1:29" hidden="1" outlineLevel="1" x14ac:dyDescent="0.25">
      <c r="A878" s="14" t="str">
        <f t="shared" si="273"/>
        <v>TERC_OPER__5</v>
      </c>
      <c r="B878" s="15" t="e">
        <f t="shared" si="288"/>
        <v>#REF!</v>
      </c>
      <c r="C878" s="83"/>
      <c r="D878" s="15" t="e">
        <f t="shared" si="289"/>
        <v>#REF!</v>
      </c>
      <c r="E878" s="15">
        <v>5</v>
      </c>
      <c r="F878" s="190" t="e">
        <f t="shared" si="293"/>
        <v>#REF!</v>
      </c>
      <c r="G878" s="149" t="e">
        <f t="shared" si="293"/>
        <v>#REF!</v>
      </c>
      <c r="H878" s="150" t="e">
        <f t="shared" si="293"/>
        <v>#REF!</v>
      </c>
      <c r="I878" s="150" t="e">
        <f t="shared" si="293"/>
        <v>#REF!</v>
      </c>
      <c r="J878" s="150" t="e">
        <f t="shared" si="293"/>
        <v>#REF!</v>
      </c>
      <c r="K878" s="196" t="e">
        <f t="shared" si="293"/>
        <v>#REF!</v>
      </c>
      <c r="L878" s="197" t="e">
        <f t="shared" si="293"/>
        <v>#REF!</v>
      </c>
      <c r="M878" s="191" t="e">
        <f t="shared" si="293"/>
        <v>#REF!</v>
      </c>
      <c r="N878" s="150" t="e">
        <f t="shared" si="293"/>
        <v>#REF!</v>
      </c>
      <c r="O878" s="193" t="e">
        <f t="shared" si="293"/>
        <v>#REF!</v>
      </c>
      <c r="P878" s="162">
        <f>IFERROR(SUMIF($B$483:$B$547,$C878&amp;$I878,P$483:P$547)/SUMIF($D$483:$D$547,$I878,P$483:P$547)*#REF!,0)</f>
        <v>0</v>
      </c>
      <c r="Q878" s="162">
        <f>IFERROR(SUMIF($B$483:$B$547,$C878&amp;$I878,Q$483:Q$547)/SUMIF($D$483:$D$547,$I878,Q$483:Q$547)*#REF!,0)</f>
        <v>0</v>
      </c>
      <c r="R878" s="162">
        <f>IFERROR(SUMIF($B$483:$B$547,$C878&amp;$I878,R$483:R$547)/SUMIF($D$483:$D$547,$I878,R$483:R$547)*#REF!,0)</f>
        <v>0</v>
      </c>
      <c r="S878" s="162">
        <f>IFERROR(SUMIF($B$483:$B$547,$C878&amp;$I878,S$483:S$547)/SUMIF($D$483:$D$547,$I878,S$483:S$547)*#REF!,0)</f>
        <v>0</v>
      </c>
      <c r="T878" s="162">
        <f>IFERROR(SUMIF($B$483:$B$547,$C878&amp;$I878,T$483:T$547)/SUMIF($D$483:$D$547,$I878,T$483:T$547)*#REF!,0)</f>
        <v>0</v>
      </c>
      <c r="U878" s="162">
        <f>IFERROR(SUMIF($B$483:$B$547,$C878&amp;$I878,U$483:U$547)/SUMIF($D$483:$D$547,$I878,U$483:U$547)*#REF!,0)</f>
        <v>0</v>
      </c>
      <c r="V878" s="162">
        <f>IFERROR(SUMIF($B$483:$B$547,$C878&amp;$I878,V$483:V$547)/SUMIF($D$483:$D$547,$I878,V$483:V$547)*#REF!,0)</f>
        <v>0</v>
      </c>
      <c r="W878" s="162">
        <f>IFERROR(SUMIF($B$483:$B$547,$C878&amp;$I878,W$483:W$547)/SUMIF($D$483:$D$547,$I878,W$483:W$547)*#REF!,0)</f>
        <v>0</v>
      </c>
      <c r="X878" s="162">
        <f>IFERROR(SUMIF($B$483:$B$547,$C878&amp;$I878,X$483:X$547)/SUMIF($D$483:$D$547,$I878,X$483:X$547)*#REF!,0)</f>
        <v>0</v>
      </c>
      <c r="Y878" s="162">
        <f>IFERROR(SUMIF($B$483:$B$547,$C878&amp;$I878,Y$483:Y$547)/SUMIF($D$483:$D$547,$I878,Y$483:Y$547)*#REF!,0)</f>
        <v>0</v>
      </c>
      <c r="Z878" s="162">
        <f>IFERROR(SUMIF($B$483:$B$547,$C878&amp;$I878,Z$483:Z$547)/SUMIF($D$483:$D$547,$I878,Z$483:Z$547)*#REF!,0)</f>
        <v>0</v>
      </c>
      <c r="AA878" s="162">
        <f>IFERROR(SUMIF($B$483:$B$547,$C878&amp;$I878,AA$483:AA$547)/SUMIF($D$483:$D$547,$I878,AA$483:AA$547)*#REF!,0)</f>
        <v>0</v>
      </c>
      <c r="AB878" s="163">
        <f t="shared" si="292"/>
        <v>0</v>
      </c>
      <c r="AC878" s="159"/>
    </row>
    <row r="879" spans="1:29" hidden="1" outlineLevel="1" x14ac:dyDescent="0.25">
      <c r="A879" s="14" t="str">
        <f t="shared" si="273"/>
        <v>TERC_OPER__6</v>
      </c>
      <c r="B879" s="15" t="str">
        <f t="shared" si="288"/>
        <v>TERC_OPER__1033_1</v>
      </c>
      <c r="C879" s="83"/>
      <c r="D879" s="15">
        <f t="shared" si="289"/>
        <v>1</v>
      </c>
      <c r="E879" s="15">
        <v>6</v>
      </c>
      <c r="F879" s="190">
        <f t="shared" si="293"/>
        <v>1033</v>
      </c>
      <c r="G879" s="149" t="str">
        <f t="shared" si="293"/>
        <v/>
      </c>
      <c r="H879" s="150" t="str">
        <f t="shared" si="293"/>
        <v/>
      </c>
      <c r="I879" s="150" t="str">
        <f t="shared" si="293"/>
        <v>PLANCP</v>
      </c>
      <c r="J879" s="150">
        <f t="shared" si="293"/>
        <v>1</v>
      </c>
      <c r="K879" s="196">
        <f t="shared" si="293"/>
        <v>0</v>
      </c>
      <c r="L879" s="197">
        <f t="shared" si="293"/>
        <v>0</v>
      </c>
      <c r="M879" s="191">
        <f t="shared" si="293"/>
        <v>0</v>
      </c>
      <c r="N879" s="150">
        <f t="shared" si="293"/>
        <v>0</v>
      </c>
      <c r="O879" s="193">
        <f t="shared" si="293"/>
        <v>1</v>
      </c>
      <c r="P879" s="162">
        <f t="shared" ref="P879:AA894" si="294">IFERROR(SUMIF($B$483:$B$547,$C879&amp;$I879,P$483:P$547)/SUMIF($D$483:$D$547,$I879,P$483:P$547)*P557,0)</f>
        <v>0</v>
      </c>
      <c r="Q879" s="162">
        <f t="shared" si="294"/>
        <v>0</v>
      </c>
      <c r="R879" s="162">
        <f t="shared" si="294"/>
        <v>0</v>
      </c>
      <c r="S879" s="162">
        <f t="shared" si="294"/>
        <v>0</v>
      </c>
      <c r="T879" s="162">
        <f t="shared" si="294"/>
        <v>0</v>
      </c>
      <c r="U879" s="162">
        <f t="shared" si="294"/>
        <v>0</v>
      </c>
      <c r="V879" s="162">
        <f t="shared" si="294"/>
        <v>0</v>
      </c>
      <c r="W879" s="162">
        <f t="shared" si="294"/>
        <v>0</v>
      </c>
      <c r="X879" s="162">
        <f t="shared" si="294"/>
        <v>0</v>
      </c>
      <c r="Y879" s="162">
        <f t="shared" si="294"/>
        <v>0</v>
      </c>
      <c r="Z879" s="162">
        <f t="shared" si="294"/>
        <v>0</v>
      </c>
      <c r="AA879" s="162">
        <f t="shared" si="294"/>
        <v>0</v>
      </c>
      <c r="AB879" s="163">
        <f t="shared" si="292"/>
        <v>0</v>
      </c>
      <c r="AC879" s="159"/>
    </row>
    <row r="880" spans="1:29" hidden="1" outlineLevel="1" x14ac:dyDescent="0.25">
      <c r="A880" s="14" t="str">
        <f t="shared" si="273"/>
        <v>TERC_OPER__7</v>
      </c>
      <c r="B880" s="15" t="str">
        <f t="shared" si="288"/>
        <v>TERC_OPER__1044_1</v>
      </c>
      <c r="C880" s="83"/>
      <c r="D880" s="15">
        <f t="shared" si="289"/>
        <v>1</v>
      </c>
      <c r="E880" s="15">
        <v>7</v>
      </c>
      <c r="F880" s="190">
        <f t="shared" si="293"/>
        <v>1044</v>
      </c>
      <c r="G880" s="149" t="str">
        <f t="shared" si="293"/>
        <v/>
      </c>
      <c r="H880" s="150" t="str">
        <f t="shared" si="293"/>
        <v/>
      </c>
      <c r="I880" s="150" t="str">
        <f t="shared" si="293"/>
        <v>PLANCP</v>
      </c>
      <c r="J880" s="150">
        <f t="shared" si="293"/>
        <v>1</v>
      </c>
      <c r="K880" s="196">
        <f t="shared" si="293"/>
        <v>0</v>
      </c>
      <c r="L880" s="197">
        <f t="shared" si="293"/>
        <v>0</v>
      </c>
      <c r="M880" s="191">
        <f t="shared" si="293"/>
        <v>0</v>
      </c>
      <c r="N880" s="150">
        <f t="shared" si="293"/>
        <v>0</v>
      </c>
      <c r="O880" s="193">
        <f t="shared" si="293"/>
        <v>1</v>
      </c>
      <c r="P880" s="162">
        <f t="shared" si="294"/>
        <v>0</v>
      </c>
      <c r="Q880" s="162">
        <f t="shared" si="294"/>
        <v>0</v>
      </c>
      <c r="R880" s="162">
        <f t="shared" si="294"/>
        <v>0</v>
      </c>
      <c r="S880" s="162">
        <f t="shared" si="294"/>
        <v>0</v>
      </c>
      <c r="T880" s="162">
        <f t="shared" si="294"/>
        <v>0</v>
      </c>
      <c r="U880" s="162">
        <f t="shared" si="294"/>
        <v>0</v>
      </c>
      <c r="V880" s="162">
        <f t="shared" si="294"/>
        <v>0</v>
      </c>
      <c r="W880" s="162">
        <f t="shared" si="294"/>
        <v>0</v>
      </c>
      <c r="X880" s="162">
        <f t="shared" si="294"/>
        <v>0</v>
      </c>
      <c r="Y880" s="162">
        <f t="shared" si="294"/>
        <v>0</v>
      </c>
      <c r="Z880" s="162">
        <f t="shared" si="294"/>
        <v>0</v>
      </c>
      <c r="AA880" s="162">
        <f t="shared" si="294"/>
        <v>0</v>
      </c>
      <c r="AB880" s="163">
        <f t="shared" si="292"/>
        <v>0</v>
      </c>
      <c r="AC880" s="159"/>
    </row>
    <row r="881" spans="1:29" hidden="1" outlineLevel="1" x14ac:dyDescent="0.25">
      <c r="A881" s="14" t="str">
        <f t="shared" si="273"/>
        <v>TERC_OPER__8</v>
      </c>
      <c r="B881" s="15" t="str">
        <f t="shared" si="288"/>
        <v>TERC_OPER__0_0</v>
      </c>
      <c r="C881" s="83"/>
      <c r="D881" s="15">
        <f t="shared" si="289"/>
        <v>0</v>
      </c>
      <c r="E881" s="15">
        <v>8</v>
      </c>
      <c r="F881" s="190">
        <f t="shared" si="293"/>
        <v>0</v>
      </c>
      <c r="G881" s="149" t="str">
        <f t="shared" si="293"/>
        <v/>
      </c>
      <c r="H881" s="150" t="str">
        <f t="shared" si="293"/>
        <v/>
      </c>
      <c r="I881" s="150">
        <f t="shared" si="293"/>
        <v>0</v>
      </c>
      <c r="J881" s="150">
        <f t="shared" si="293"/>
        <v>0</v>
      </c>
      <c r="K881" s="196">
        <f t="shared" si="293"/>
        <v>0</v>
      </c>
      <c r="L881" s="197">
        <f t="shared" si="293"/>
        <v>0</v>
      </c>
      <c r="M881" s="191">
        <f t="shared" si="293"/>
        <v>0</v>
      </c>
      <c r="N881" s="150">
        <f t="shared" si="293"/>
        <v>0</v>
      </c>
      <c r="O881" s="193">
        <f t="shared" si="293"/>
        <v>0</v>
      </c>
      <c r="P881" s="162">
        <f t="shared" si="294"/>
        <v>0</v>
      </c>
      <c r="Q881" s="162">
        <f t="shared" si="294"/>
        <v>0</v>
      </c>
      <c r="R881" s="162">
        <f t="shared" si="294"/>
        <v>0</v>
      </c>
      <c r="S881" s="162">
        <f t="shared" si="294"/>
        <v>0</v>
      </c>
      <c r="T881" s="162">
        <f t="shared" si="294"/>
        <v>0</v>
      </c>
      <c r="U881" s="162">
        <f t="shared" si="294"/>
        <v>0</v>
      </c>
      <c r="V881" s="162">
        <f t="shared" si="294"/>
        <v>0</v>
      </c>
      <c r="W881" s="162">
        <f t="shared" si="294"/>
        <v>0</v>
      </c>
      <c r="X881" s="162">
        <f t="shared" si="294"/>
        <v>0</v>
      </c>
      <c r="Y881" s="162">
        <f t="shared" si="294"/>
        <v>0</v>
      </c>
      <c r="Z881" s="162">
        <f t="shared" si="294"/>
        <v>0</v>
      </c>
      <c r="AA881" s="162">
        <f t="shared" si="294"/>
        <v>0</v>
      </c>
      <c r="AB881" s="163">
        <f t="shared" si="292"/>
        <v>0</v>
      </c>
      <c r="AC881" s="159"/>
    </row>
    <row r="882" spans="1:29" hidden="1" outlineLevel="1" x14ac:dyDescent="0.25">
      <c r="A882" s="14" t="str">
        <f t="shared" si="273"/>
        <v>TERC_OPER__9</v>
      </c>
      <c r="B882" s="15" t="str">
        <f t="shared" si="288"/>
        <v>TERC_OPER__0_0</v>
      </c>
      <c r="C882" s="83"/>
      <c r="D882" s="15">
        <f t="shared" si="289"/>
        <v>0</v>
      </c>
      <c r="E882" s="15">
        <v>9</v>
      </c>
      <c r="F882" s="190">
        <f t="shared" si="293"/>
        <v>0</v>
      </c>
      <c r="G882" s="149" t="str">
        <f t="shared" si="293"/>
        <v/>
      </c>
      <c r="H882" s="150" t="str">
        <f t="shared" si="293"/>
        <v/>
      </c>
      <c r="I882" s="150">
        <f t="shared" si="293"/>
        <v>0</v>
      </c>
      <c r="J882" s="150">
        <f t="shared" si="293"/>
        <v>0</v>
      </c>
      <c r="K882" s="196">
        <f t="shared" si="293"/>
        <v>0</v>
      </c>
      <c r="L882" s="197">
        <f t="shared" si="293"/>
        <v>0</v>
      </c>
      <c r="M882" s="191">
        <f t="shared" si="293"/>
        <v>0</v>
      </c>
      <c r="N882" s="150">
        <f t="shared" si="293"/>
        <v>0</v>
      </c>
      <c r="O882" s="193">
        <f t="shared" si="293"/>
        <v>0</v>
      </c>
      <c r="P882" s="162">
        <f t="shared" si="294"/>
        <v>0</v>
      </c>
      <c r="Q882" s="162">
        <f t="shared" si="294"/>
        <v>0</v>
      </c>
      <c r="R882" s="162">
        <f t="shared" si="294"/>
        <v>0</v>
      </c>
      <c r="S882" s="162">
        <f t="shared" si="294"/>
        <v>0</v>
      </c>
      <c r="T882" s="162">
        <f t="shared" si="294"/>
        <v>0</v>
      </c>
      <c r="U882" s="162">
        <f t="shared" si="294"/>
        <v>0</v>
      </c>
      <c r="V882" s="162">
        <f t="shared" si="294"/>
        <v>0</v>
      </c>
      <c r="W882" s="162">
        <f t="shared" si="294"/>
        <v>0</v>
      </c>
      <c r="X882" s="162">
        <f t="shared" si="294"/>
        <v>0</v>
      </c>
      <c r="Y882" s="162">
        <f t="shared" si="294"/>
        <v>0</v>
      </c>
      <c r="Z882" s="162">
        <f t="shared" si="294"/>
        <v>0</v>
      </c>
      <c r="AA882" s="162">
        <f t="shared" si="294"/>
        <v>0</v>
      </c>
      <c r="AB882" s="163">
        <f t="shared" si="292"/>
        <v>0</v>
      </c>
      <c r="AC882" s="159"/>
    </row>
    <row r="883" spans="1:29" hidden="1" outlineLevel="1" x14ac:dyDescent="0.25">
      <c r="A883" s="14" t="str">
        <f t="shared" si="273"/>
        <v>TERC_OPER__10</v>
      </c>
      <c r="B883" s="15" t="str">
        <f t="shared" si="288"/>
        <v>TERC_OPER__0_0</v>
      </c>
      <c r="C883" s="83"/>
      <c r="D883" s="15">
        <f t="shared" si="289"/>
        <v>0</v>
      </c>
      <c r="E883" s="15">
        <v>10</v>
      </c>
      <c r="F883" s="190">
        <f t="shared" si="293"/>
        <v>0</v>
      </c>
      <c r="G883" s="149" t="str">
        <f t="shared" si="293"/>
        <v/>
      </c>
      <c r="H883" s="150" t="str">
        <f t="shared" si="293"/>
        <v/>
      </c>
      <c r="I883" s="150">
        <f t="shared" si="293"/>
        <v>0</v>
      </c>
      <c r="J883" s="150">
        <f t="shared" si="293"/>
        <v>0</v>
      </c>
      <c r="K883" s="196">
        <f t="shared" si="293"/>
        <v>0</v>
      </c>
      <c r="L883" s="197">
        <f t="shared" si="293"/>
        <v>0</v>
      </c>
      <c r="M883" s="191">
        <f t="shared" si="293"/>
        <v>0</v>
      </c>
      <c r="N883" s="150">
        <f t="shared" si="293"/>
        <v>0</v>
      </c>
      <c r="O883" s="193">
        <f t="shared" si="293"/>
        <v>0</v>
      </c>
      <c r="P883" s="162">
        <f t="shared" si="294"/>
        <v>0</v>
      </c>
      <c r="Q883" s="162">
        <f t="shared" si="294"/>
        <v>0</v>
      </c>
      <c r="R883" s="162">
        <f t="shared" si="294"/>
        <v>0</v>
      </c>
      <c r="S883" s="162">
        <f t="shared" si="294"/>
        <v>0</v>
      </c>
      <c r="T883" s="162">
        <f t="shared" si="294"/>
        <v>0</v>
      </c>
      <c r="U883" s="162">
        <f t="shared" si="294"/>
        <v>0</v>
      </c>
      <c r="V883" s="162">
        <f t="shared" si="294"/>
        <v>0</v>
      </c>
      <c r="W883" s="162">
        <f t="shared" si="294"/>
        <v>0</v>
      </c>
      <c r="X883" s="162">
        <f t="shared" si="294"/>
        <v>0</v>
      </c>
      <c r="Y883" s="162">
        <f t="shared" si="294"/>
        <v>0</v>
      </c>
      <c r="Z883" s="162">
        <f t="shared" si="294"/>
        <v>0</v>
      </c>
      <c r="AA883" s="162">
        <f t="shared" si="294"/>
        <v>0</v>
      </c>
      <c r="AB883" s="163">
        <f t="shared" si="292"/>
        <v>0</v>
      </c>
      <c r="AC883" s="159"/>
    </row>
    <row r="884" spans="1:29" hidden="1" outlineLevel="1" x14ac:dyDescent="0.25">
      <c r="A884" s="14" t="str">
        <f t="shared" si="273"/>
        <v>TERC_OPER__11</v>
      </c>
      <c r="B884" s="15" t="str">
        <f t="shared" si="288"/>
        <v>TERC_OPER__0_0</v>
      </c>
      <c r="C884" s="83"/>
      <c r="D884" s="15">
        <f t="shared" si="289"/>
        <v>0</v>
      </c>
      <c r="E884" s="15">
        <v>11</v>
      </c>
      <c r="F884" s="190">
        <f t="shared" si="293"/>
        <v>0</v>
      </c>
      <c r="G884" s="149" t="str">
        <f t="shared" si="293"/>
        <v/>
      </c>
      <c r="H884" s="150" t="str">
        <f t="shared" si="293"/>
        <v/>
      </c>
      <c r="I884" s="150">
        <f t="shared" si="293"/>
        <v>0</v>
      </c>
      <c r="J884" s="150">
        <f t="shared" si="293"/>
        <v>0</v>
      </c>
      <c r="K884" s="196">
        <f t="shared" si="293"/>
        <v>0</v>
      </c>
      <c r="L884" s="197">
        <f t="shared" si="293"/>
        <v>0</v>
      </c>
      <c r="M884" s="191">
        <f t="shared" si="293"/>
        <v>0</v>
      </c>
      <c r="N884" s="150">
        <f t="shared" si="293"/>
        <v>0</v>
      </c>
      <c r="O884" s="193">
        <f t="shared" si="293"/>
        <v>0</v>
      </c>
      <c r="P884" s="162">
        <f t="shared" si="294"/>
        <v>0</v>
      </c>
      <c r="Q884" s="162">
        <f t="shared" si="294"/>
        <v>0</v>
      </c>
      <c r="R884" s="162">
        <f t="shared" si="294"/>
        <v>0</v>
      </c>
      <c r="S884" s="162">
        <f t="shared" si="294"/>
        <v>0</v>
      </c>
      <c r="T884" s="162">
        <f t="shared" si="294"/>
        <v>0</v>
      </c>
      <c r="U884" s="162">
        <f t="shared" si="294"/>
        <v>0</v>
      </c>
      <c r="V884" s="162">
        <f t="shared" si="294"/>
        <v>0</v>
      </c>
      <c r="W884" s="162">
        <f t="shared" si="294"/>
        <v>0</v>
      </c>
      <c r="X884" s="162">
        <f t="shared" si="294"/>
        <v>0</v>
      </c>
      <c r="Y884" s="162">
        <f t="shared" si="294"/>
        <v>0</v>
      </c>
      <c r="Z884" s="162">
        <f t="shared" si="294"/>
        <v>0</v>
      </c>
      <c r="AA884" s="162">
        <f t="shared" si="294"/>
        <v>0</v>
      </c>
      <c r="AB884" s="163">
        <f t="shared" si="292"/>
        <v>0</v>
      </c>
      <c r="AC884" s="198"/>
    </row>
    <row r="885" spans="1:29" hidden="1" outlineLevel="1" x14ac:dyDescent="0.25">
      <c r="A885" s="14" t="str">
        <f t="shared" si="273"/>
        <v>TERC_OPER__12</v>
      </c>
      <c r="B885" s="15" t="str">
        <f t="shared" si="288"/>
        <v>TERC_OPER__0_0</v>
      </c>
      <c r="C885" s="83"/>
      <c r="D885" s="15">
        <f t="shared" si="289"/>
        <v>0</v>
      </c>
      <c r="E885" s="15">
        <v>12</v>
      </c>
      <c r="F885" s="190">
        <f t="shared" si="293"/>
        <v>0</v>
      </c>
      <c r="G885" s="149" t="str">
        <f t="shared" si="293"/>
        <v/>
      </c>
      <c r="H885" s="150" t="str">
        <f t="shared" si="293"/>
        <v/>
      </c>
      <c r="I885" s="150">
        <f t="shared" si="293"/>
        <v>0</v>
      </c>
      <c r="J885" s="150">
        <f t="shared" si="293"/>
        <v>0</v>
      </c>
      <c r="K885" s="196">
        <f t="shared" si="293"/>
        <v>0</v>
      </c>
      <c r="L885" s="197">
        <f t="shared" si="293"/>
        <v>0</v>
      </c>
      <c r="M885" s="191">
        <f t="shared" si="293"/>
        <v>0</v>
      </c>
      <c r="N885" s="150">
        <f t="shared" si="293"/>
        <v>0</v>
      </c>
      <c r="O885" s="193">
        <f t="shared" si="293"/>
        <v>0</v>
      </c>
      <c r="P885" s="162">
        <f t="shared" si="294"/>
        <v>0</v>
      </c>
      <c r="Q885" s="162">
        <f t="shared" si="294"/>
        <v>0</v>
      </c>
      <c r="R885" s="162">
        <f t="shared" si="294"/>
        <v>0</v>
      </c>
      <c r="S885" s="162">
        <f t="shared" si="294"/>
        <v>0</v>
      </c>
      <c r="T885" s="162">
        <f t="shared" si="294"/>
        <v>0</v>
      </c>
      <c r="U885" s="162">
        <f t="shared" si="294"/>
        <v>0</v>
      </c>
      <c r="V885" s="162">
        <f t="shared" si="294"/>
        <v>0</v>
      </c>
      <c r="W885" s="162">
        <f t="shared" si="294"/>
        <v>0</v>
      </c>
      <c r="X885" s="162">
        <f t="shared" si="294"/>
        <v>0</v>
      </c>
      <c r="Y885" s="162">
        <f t="shared" si="294"/>
        <v>0</v>
      </c>
      <c r="Z885" s="162">
        <f t="shared" si="294"/>
        <v>0</v>
      </c>
      <c r="AA885" s="162">
        <f t="shared" si="294"/>
        <v>0</v>
      </c>
      <c r="AB885" s="163">
        <f t="shared" si="292"/>
        <v>0</v>
      </c>
      <c r="AC885" s="198"/>
    </row>
    <row r="886" spans="1:29" hidden="1" outlineLevel="1" x14ac:dyDescent="0.25">
      <c r="A886" s="14" t="str">
        <f t="shared" si="273"/>
        <v>TERC_OPER__13</v>
      </c>
      <c r="B886" s="15" t="str">
        <f t="shared" si="288"/>
        <v>TERC_OPER__0_0</v>
      </c>
      <c r="C886" s="83"/>
      <c r="D886" s="15">
        <f t="shared" si="289"/>
        <v>0</v>
      </c>
      <c r="E886" s="15">
        <v>13</v>
      </c>
      <c r="F886" s="190">
        <f t="shared" si="293"/>
        <v>0</v>
      </c>
      <c r="G886" s="149" t="str">
        <f t="shared" si="293"/>
        <v/>
      </c>
      <c r="H886" s="150" t="str">
        <f t="shared" si="293"/>
        <v/>
      </c>
      <c r="I886" s="150">
        <f t="shared" si="293"/>
        <v>0</v>
      </c>
      <c r="J886" s="150">
        <f t="shared" si="293"/>
        <v>0</v>
      </c>
      <c r="K886" s="196">
        <f t="shared" si="293"/>
        <v>0</v>
      </c>
      <c r="L886" s="197">
        <f t="shared" si="293"/>
        <v>0</v>
      </c>
      <c r="M886" s="191">
        <f t="shared" si="293"/>
        <v>0</v>
      </c>
      <c r="N886" s="150">
        <f t="shared" si="293"/>
        <v>0</v>
      </c>
      <c r="O886" s="193">
        <f t="shared" si="293"/>
        <v>0</v>
      </c>
      <c r="P886" s="162">
        <f t="shared" si="294"/>
        <v>0</v>
      </c>
      <c r="Q886" s="162">
        <f t="shared" si="294"/>
        <v>0</v>
      </c>
      <c r="R886" s="162">
        <f t="shared" si="294"/>
        <v>0</v>
      </c>
      <c r="S886" s="162">
        <f t="shared" si="294"/>
        <v>0</v>
      </c>
      <c r="T886" s="162">
        <f t="shared" si="294"/>
        <v>0</v>
      </c>
      <c r="U886" s="162">
        <f t="shared" si="294"/>
        <v>0</v>
      </c>
      <c r="V886" s="162">
        <f t="shared" si="294"/>
        <v>0</v>
      </c>
      <c r="W886" s="162">
        <f t="shared" si="294"/>
        <v>0</v>
      </c>
      <c r="X886" s="162">
        <f t="shared" si="294"/>
        <v>0</v>
      </c>
      <c r="Y886" s="162">
        <f t="shared" si="294"/>
        <v>0</v>
      </c>
      <c r="Z886" s="162">
        <f t="shared" si="294"/>
        <v>0</v>
      </c>
      <c r="AA886" s="162">
        <f t="shared" si="294"/>
        <v>0</v>
      </c>
      <c r="AB886" s="163">
        <f t="shared" si="292"/>
        <v>0</v>
      </c>
      <c r="AC886" s="198"/>
    </row>
    <row r="887" spans="1:29" hidden="1" outlineLevel="1" x14ac:dyDescent="0.25">
      <c r="A887" s="14" t="str">
        <f t="shared" si="273"/>
        <v>TERC_OPER__14</v>
      </c>
      <c r="B887" s="15" t="str">
        <f t="shared" si="288"/>
        <v>TERC_OPER__0_0</v>
      </c>
      <c r="C887" s="83"/>
      <c r="D887" s="15">
        <f t="shared" si="289"/>
        <v>0</v>
      </c>
      <c r="E887" s="15">
        <v>14</v>
      </c>
      <c r="F887" s="190">
        <f t="shared" si="293"/>
        <v>0</v>
      </c>
      <c r="G887" s="149" t="str">
        <f t="shared" si="293"/>
        <v/>
      </c>
      <c r="H887" s="150" t="str">
        <f t="shared" si="293"/>
        <v/>
      </c>
      <c r="I887" s="150">
        <f t="shared" si="293"/>
        <v>0</v>
      </c>
      <c r="J887" s="150">
        <f t="shared" si="293"/>
        <v>0</v>
      </c>
      <c r="K887" s="196">
        <f t="shared" si="293"/>
        <v>0</v>
      </c>
      <c r="L887" s="197">
        <f t="shared" si="293"/>
        <v>0</v>
      </c>
      <c r="M887" s="191">
        <f t="shared" si="293"/>
        <v>0</v>
      </c>
      <c r="N887" s="150">
        <f t="shared" si="293"/>
        <v>0</v>
      </c>
      <c r="O887" s="193">
        <f t="shared" si="293"/>
        <v>0</v>
      </c>
      <c r="P887" s="162">
        <f t="shared" si="294"/>
        <v>0</v>
      </c>
      <c r="Q887" s="162">
        <f t="shared" si="294"/>
        <v>0</v>
      </c>
      <c r="R887" s="162">
        <f t="shared" si="294"/>
        <v>0</v>
      </c>
      <c r="S887" s="162">
        <f t="shared" si="294"/>
        <v>0</v>
      </c>
      <c r="T887" s="162">
        <f t="shared" si="294"/>
        <v>0</v>
      </c>
      <c r="U887" s="162">
        <f t="shared" si="294"/>
        <v>0</v>
      </c>
      <c r="V887" s="162">
        <f t="shared" si="294"/>
        <v>0</v>
      </c>
      <c r="W887" s="162">
        <f t="shared" si="294"/>
        <v>0</v>
      </c>
      <c r="X887" s="162">
        <f t="shared" si="294"/>
        <v>0</v>
      </c>
      <c r="Y887" s="162">
        <f t="shared" si="294"/>
        <v>0</v>
      </c>
      <c r="Z887" s="162">
        <f t="shared" si="294"/>
        <v>0</v>
      </c>
      <c r="AA887" s="162">
        <f t="shared" si="294"/>
        <v>0</v>
      </c>
      <c r="AB887" s="163">
        <f t="shared" si="292"/>
        <v>0</v>
      </c>
      <c r="AC887" s="198"/>
    </row>
    <row r="888" spans="1:29" hidden="1" outlineLevel="1" x14ac:dyDescent="0.25">
      <c r="A888" s="14" t="str">
        <f t="shared" si="273"/>
        <v>TERC_OPER__15</v>
      </c>
      <c r="B888" s="15" t="str">
        <f t="shared" si="288"/>
        <v>TERC_OPER__0_0</v>
      </c>
      <c r="C888" s="83"/>
      <c r="D888" s="15">
        <f t="shared" si="289"/>
        <v>0</v>
      </c>
      <c r="E888" s="15">
        <v>15</v>
      </c>
      <c r="F888" s="190">
        <f t="shared" si="293"/>
        <v>0</v>
      </c>
      <c r="G888" s="149" t="str">
        <f t="shared" si="293"/>
        <v/>
      </c>
      <c r="H888" s="150" t="str">
        <f t="shared" si="293"/>
        <v/>
      </c>
      <c r="I888" s="150">
        <f t="shared" si="293"/>
        <v>0</v>
      </c>
      <c r="J888" s="150">
        <f t="shared" si="293"/>
        <v>0</v>
      </c>
      <c r="K888" s="196">
        <f t="shared" si="293"/>
        <v>0</v>
      </c>
      <c r="L888" s="197">
        <f t="shared" si="293"/>
        <v>0</v>
      </c>
      <c r="M888" s="191">
        <f t="shared" si="293"/>
        <v>0</v>
      </c>
      <c r="N888" s="150">
        <f t="shared" si="293"/>
        <v>0</v>
      </c>
      <c r="O888" s="193">
        <f t="shared" si="293"/>
        <v>0</v>
      </c>
      <c r="P888" s="162">
        <f t="shared" si="294"/>
        <v>0</v>
      </c>
      <c r="Q888" s="162">
        <f t="shared" si="294"/>
        <v>0</v>
      </c>
      <c r="R888" s="162">
        <f t="shared" si="294"/>
        <v>0</v>
      </c>
      <c r="S888" s="162">
        <f t="shared" si="294"/>
        <v>0</v>
      </c>
      <c r="T888" s="162">
        <f t="shared" si="294"/>
        <v>0</v>
      </c>
      <c r="U888" s="162">
        <f t="shared" si="294"/>
        <v>0</v>
      </c>
      <c r="V888" s="162">
        <f t="shared" si="294"/>
        <v>0</v>
      </c>
      <c r="W888" s="162">
        <f t="shared" si="294"/>
        <v>0</v>
      </c>
      <c r="X888" s="162">
        <f t="shared" si="294"/>
        <v>0</v>
      </c>
      <c r="Y888" s="162">
        <f t="shared" si="294"/>
        <v>0</v>
      </c>
      <c r="Z888" s="162">
        <f t="shared" si="294"/>
        <v>0</v>
      </c>
      <c r="AA888" s="162">
        <f t="shared" si="294"/>
        <v>0</v>
      </c>
      <c r="AB888" s="163">
        <f t="shared" si="292"/>
        <v>0</v>
      </c>
      <c r="AC888" s="198"/>
    </row>
    <row r="889" spans="1:29" hidden="1" outlineLevel="1" x14ac:dyDescent="0.25">
      <c r="A889" s="14" t="str">
        <f t="shared" si="273"/>
        <v>TERC_OPER__16</v>
      </c>
      <c r="B889" s="15" t="str">
        <f t="shared" si="288"/>
        <v>TERC_OPER__0_0</v>
      </c>
      <c r="C889" s="83"/>
      <c r="D889" s="15">
        <f t="shared" si="289"/>
        <v>0</v>
      </c>
      <c r="E889" s="15">
        <v>16</v>
      </c>
      <c r="F889" s="190">
        <f t="shared" si="293"/>
        <v>0</v>
      </c>
      <c r="G889" s="149" t="str">
        <f t="shared" si="293"/>
        <v/>
      </c>
      <c r="H889" s="150" t="str">
        <f t="shared" si="293"/>
        <v/>
      </c>
      <c r="I889" s="150">
        <f t="shared" si="293"/>
        <v>0</v>
      </c>
      <c r="J889" s="150">
        <f t="shared" si="293"/>
        <v>0</v>
      </c>
      <c r="K889" s="196">
        <f t="shared" si="293"/>
        <v>0</v>
      </c>
      <c r="L889" s="197">
        <f t="shared" si="293"/>
        <v>0</v>
      </c>
      <c r="M889" s="191">
        <f t="shared" si="293"/>
        <v>0</v>
      </c>
      <c r="N889" s="150">
        <f t="shared" si="293"/>
        <v>0</v>
      </c>
      <c r="O889" s="193">
        <f t="shared" si="293"/>
        <v>0</v>
      </c>
      <c r="P889" s="162">
        <f t="shared" si="294"/>
        <v>0</v>
      </c>
      <c r="Q889" s="162">
        <f t="shared" si="294"/>
        <v>0</v>
      </c>
      <c r="R889" s="162">
        <f t="shared" si="294"/>
        <v>0</v>
      </c>
      <c r="S889" s="162">
        <f t="shared" si="294"/>
        <v>0</v>
      </c>
      <c r="T889" s="162">
        <f t="shared" si="294"/>
        <v>0</v>
      </c>
      <c r="U889" s="162">
        <f t="shared" si="294"/>
        <v>0</v>
      </c>
      <c r="V889" s="162">
        <f t="shared" si="294"/>
        <v>0</v>
      </c>
      <c r="W889" s="162">
        <f t="shared" si="294"/>
        <v>0</v>
      </c>
      <c r="X889" s="162">
        <f t="shared" si="294"/>
        <v>0</v>
      </c>
      <c r="Y889" s="162">
        <f t="shared" si="294"/>
        <v>0</v>
      </c>
      <c r="Z889" s="162">
        <f t="shared" si="294"/>
        <v>0</v>
      </c>
      <c r="AA889" s="162">
        <f t="shared" si="294"/>
        <v>0</v>
      </c>
      <c r="AB889" s="163">
        <f t="shared" si="292"/>
        <v>0</v>
      </c>
      <c r="AC889" s="198"/>
    </row>
    <row r="890" spans="1:29" hidden="1" outlineLevel="1" x14ac:dyDescent="0.25">
      <c r="A890" s="14" t="str">
        <f t="shared" si="273"/>
        <v>TERC_OPER__17</v>
      </c>
      <c r="B890" s="15" t="str">
        <f t="shared" si="288"/>
        <v>TERC_OPER__0_0</v>
      </c>
      <c r="C890" s="83"/>
      <c r="D890" s="15">
        <f t="shared" si="289"/>
        <v>0</v>
      </c>
      <c r="E890" s="15">
        <v>17</v>
      </c>
      <c r="F890" s="190">
        <f t="shared" si="293"/>
        <v>0</v>
      </c>
      <c r="G890" s="149" t="str">
        <f t="shared" si="293"/>
        <v/>
      </c>
      <c r="H890" s="150" t="str">
        <f t="shared" si="293"/>
        <v/>
      </c>
      <c r="I890" s="150">
        <f t="shared" si="293"/>
        <v>0</v>
      </c>
      <c r="J890" s="150">
        <f t="shared" si="293"/>
        <v>0</v>
      </c>
      <c r="K890" s="196">
        <f t="shared" si="293"/>
        <v>0</v>
      </c>
      <c r="L890" s="197">
        <f t="shared" si="293"/>
        <v>0</v>
      </c>
      <c r="M890" s="191">
        <f t="shared" si="293"/>
        <v>0</v>
      </c>
      <c r="N890" s="150">
        <f t="shared" si="293"/>
        <v>0</v>
      </c>
      <c r="O890" s="193">
        <f t="shared" si="293"/>
        <v>0</v>
      </c>
      <c r="P890" s="162">
        <f t="shared" si="294"/>
        <v>0</v>
      </c>
      <c r="Q890" s="162">
        <f t="shared" si="294"/>
        <v>0</v>
      </c>
      <c r="R890" s="162">
        <f t="shared" si="294"/>
        <v>0</v>
      </c>
      <c r="S890" s="162">
        <f t="shared" si="294"/>
        <v>0</v>
      </c>
      <c r="T890" s="162">
        <f t="shared" si="294"/>
        <v>0</v>
      </c>
      <c r="U890" s="162">
        <f t="shared" si="294"/>
        <v>0</v>
      </c>
      <c r="V890" s="162">
        <f t="shared" si="294"/>
        <v>0</v>
      </c>
      <c r="W890" s="162">
        <f t="shared" si="294"/>
        <v>0</v>
      </c>
      <c r="X890" s="162">
        <f t="shared" si="294"/>
        <v>0</v>
      </c>
      <c r="Y890" s="162">
        <f t="shared" si="294"/>
        <v>0</v>
      </c>
      <c r="Z890" s="162">
        <f t="shared" si="294"/>
        <v>0</v>
      </c>
      <c r="AA890" s="162">
        <f t="shared" si="294"/>
        <v>0</v>
      </c>
      <c r="AB890" s="163">
        <f t="shared" si="292"/>
        <v>0</v>
      </c>
      <c r="AC890" s="198"/>
    </row>
    <row r="891" spans="1:29" hidden="1" outlineLevel="1" x14ac:dyDescent="0.25">
      <c r="A891" s="14" t="str">
        <f t="shared" si="273"/>
        <v>TERC_OPER__18</v>
      </c>
      <c r="B891" s="15" t="str">
        <f t="shared" si="288"/>
        <v>TERC_OPER__0_0</v>
      </c>
      <c r="C891" s="83"/>
      <c r="D891" s="15">
        <f t="shared" si="289"/>
        <v>0</v>
      </c>
      <c r="E891" s="15">
        <v>18</v>
      </c>
      <c r="F891" s="190">
        <f t="shared" ref="F891:O906" si="295">F845</f>
        <v>0</v>
      </c>
      <c r="G891" s="149" t="str">
        <f t="shared" si="295"/>
        <v/>
      </c>
      <c r="H891" s="150" t="str">
        <f t="shared" si="295"/>
        <v/>
      </c>
      <c r="I891" s="150">
        <f t="shared" si="295"/>
        <v>0</v>
      </c>
      <c r="J891" s="150">
        <f t="shared" si="295"/>
        <v>0</v>
      </c>
      <c r="K891" s="196">
        <f t="shared" si="295"/>
        <v>0</v>
      </c>
      <c r="L891" s="197">
        <f t="shared" si="295"/>
        <v>0</v>
      </c>
      <c r="M891" s="191">
        <f t="shared" si="295"/>
        <v>0</v>
      </c>
      <c r="N891" s="150">
        <f t="shared" si="295"/>
        <v>0</v>
      </c>
      <c r="O891" s="193">
        <f t="shared" si="295"/>
        <v>0</v>
      </c>
      <c r="P891" s="162">
        <f t="shared" si="294"/>
        <v>0</v>
      </c>
      <c r="Q891" s="162">
        <f t="shared" si="294"/>
        <v>0</v>
      </c>
      <c r="R891" s="162">
        <f t="shared" si="294"/>
        <v>0</v>
      </c>
      <c r="S891" s="162">
        <f t="shared" si="294"/>
        <v>0</v>
      </c>
      <c r="T891" s="162">
        <f t="shared" si="294"/>
        <v>0</v>
      </c>
      <c r="U891" s="162">
        <f t="shared" si="294"/>
        <v>0</v>
      </c>
      <c r="V891" s="162">
        <f t="shared" si="294"/>
        <v>0</v>
      </c>
      <c r="W891" s="162">
        <f t="shared" si="294"/>
        <v>0</v>
      </c>
      <c r="X891" s="162">
        <f t="shared" si="294"/>
        <v>0</v>
      </c>
      <c r="Y891" s="162">
        <f t="shared" si="294"/>
        <v>0</v>
      </c>
      <c r="Z891" s="162">
        <f t="shared" si="294"/>
        <v>0</v>
      </c>
      <c r="AA891" s="162">
        <f t="shared" si="294"/>
        <v>0</v>
      </c>
      <c r="AB891" s="163">
        <f t="shared" si="292"/>
        <v>0</v>
      </c>
      <c r="AC891" s="198"/>
    </row>
    <row r="892" spans="1:29" hidden="1" outlineLevel="1" x14ac:dyDescent="0.25">
      <c r="A892" s="14" t="str">
        <f t="shared" si="273"/>
        <v>TERC_OPER__19</v>
      </c>
      <c r="B892" s="15" t="str">
        <f t="shared" si="288"/>
        <v>TERC_OPER__0_0</v>
      </c>
      <c r="C892" s="83"/>
      <c r="D892" s="15">
        <f t="shared" si="289"/>
        <v>0</v>
      </c>
      <c r="E892" s="15">
        <v>19</v>
      </c>
      <c r="F892" s="190">
        <f t="shared" si="295"/>
        <v>0</v>
      </c>
      <c r="G892" s="149" t="str">
        <f t="shared" si="295"/>
        <v/>
      </c>
      <c r="H892" s="150" t="str">
        <f t="shared" si="295"/>
        <v/>
      </c>
      <c r="I892" s="150">
        <f t="shared" si="295"/>
        <v>0</v>
      </c>
      <c r="J892" s="150">
        <f t="shared" si="295"/>
        <v>0</v>
      </c>
      <c r="K892" s="196">
        <f t="shared" si="295"/>
        <v>0</v>
      </c>
      <c r="L892" s="197">
        <f t="shared" si="295"/>
        <v>0</v>
      </c>
      <c r="M892" s="191">
        <f t="shared" si="295"/>
        <v>0</v>
      </c>
      <c r="N892" s="150">
        <f t="shared" si="295"/>
        <v>0</v>
      </c>
      <c r="O892" s="193">
        <f t="shared" si="295"/>
        <v>0</v>
      </c>
      <c r="P892" s="162">
        <f t="shared" si="294"/>
        <v>0</v>
      </c>
      <c r="Q892" s="162">
        <f t="shared" si="294"/>
        <v>0</v>
      </c>
      <c r="R892" s="162">
        <f t="shared" si="294"/>
        <v>0</v>
      </c>
      <c r="S892" s="162">
        <f t="shared" si="294"/>
        <v>0</v>
      </c>
      <c r="T892" s="162">
        <f t="shared" si="294"/>
        <v>0</v>
      </c>
      <c r="U892" s="162">
        <f t="shared" si="294"/>
        <v>0</v>
      </c>
      <c r="V892" s="162">
        <f t="shared" si="294"/>
        <v>0</v>
      </c>
      <c r="W892" s="162">
        <f t="shared" si="294"/>
        <v>0</v>
      </c>
      <c r="X892" s="162">
        <f t="shared" si="294"/>
        <v>0</v>
      </c>
      <c r="Y892" s="162">
        <f t="shared" si="294"/>
        <v>0</v>
      </c>
      <c r="Z892" s="162">
        <f t="shared" si="294"/>
        <v>0</v>
      </c>
      <c r="AA892" s="162">
        <f t="shared" si="294"/>
        <v>0</v>
      </c>
      <c r="AB892" s="163">
        <f t="shared" si="292"/>
        <v>0</v>
      </c>
      <c r="AC892" s="198"/>
    </row>
    <row r="893" spans="1:29" hidden="1" outlineLevel="1" x14ac:dyDescent="0.25">
      <c r="A893" s="14" t="str">
        <f t="shared" si="273"/>
        <v>TERC_OPER__20</v>
      </c>
      <c r="B893" s="15" t="str">
        <f t="shared" si="288"/>
        <v>TERC_OPER__0_0</v>
      </c>
      <c r="C893" s="83"/>
      <c r="D893" s="15">
        <f t="shared" si="289"/>
        <v>0</v>
      </c>
      <c r="E893" s="15">
        <v>20</v>
      </c>
      <c r="F893" s="190">
        <f t="shared" si="295"/>
        <v>0</v>
      </c>
      <c r="G893" s="149" t="str">
        <f t="shared" si="295"/>
        <v/>
      </c>
      <c r="H893" s="150" t="str">
        <f t="shared" si="295"/>
        <v/>
      </c>
      <c r="I893" s="150">
        <f t="shared" si="295"/>
        <v>0</v>
      </c>
      <c r="J893" s="150">
        <f t="shared" si="295"/>
        <v>0</v>
      </c>
      <c r="K893" s="196">
        <f t="shared" si="295"/>
        <v>0</v>
      </c>
      <c r="L893" s="197">
        <f t="shared" si="295"/>
        <v>0</v>
      </c>
      <c r="M893" s="191">
        <f t="shared" si="295"/>
        <v>0</v>
      </c>
      <c r="N893" s="150">
        <f t="shared" si="295"/>
        <v>0</v>
      </c>
      <c r="O893" s="193">
        <f t="shared" si="295"/>
        <v>0</v>
      </c>
      <c r="P893" s="162">
        <f t="shared" si="294"/>
        <v>0</v>
      </c>
      <c r="Q893" s="162">
        <f t="shared" si="294"/>
        <v>0</v>
      </c>
      <c r="R893" s="162">
        <f t="shared" si="294"/>
        <v>0</v>
      </c>
      <c r="S893" s="162">
        <f t="shared" si="294"/>
        <v>0</v>
      </c>
      <c r="T893" s="162">
        <f t="shared" si="294"/>
        <v>0</v>
      </c>
      <c r="U893" s="162">
        <f t="shared" si="294"/>
        <v>0</v>
      </c>
      <c r="V893" s="162">
        <f t="shared" si="294"/>
        <v>0</v>
      </c>
      <c r="W893" s="162">
        <f t="shared" si="294"/>
        <v>0</v>
      </c>
      <c r="X893" s="162">
        <f t="shared" si="294"/>
        <v>0</v>
      </c>
      <c r="Y893" s="162">
        <f t="shared" si="294"/>
        <v>0</v>
      </c>
      <c r="Z893" s="162">
        <f t="shared" si="294"/>
        <v>0</v>
      </c>
      <c r="AA893" s="162">
        <f t="shared" si="294"/>
        <v>0</v>
      </c>
      <c r="AB893" s="163">
        <f t="shared" si="292"/>
        <v>0</v>
      </c>
      <c r="AC893" s="198"/>
    </row>
    <row r="894" spans="1:29" hidden="1" outlineLevel="1" x14ac:dyDescent="0.25">
      <c r="A894" s="14" t="str">
        <f t="shared" si="273"/>
        <v>TERC_OPER__21</v>
      </c>
      <c r="B894" s="15" t="str">
        <f t="shared" si="288"/>
        <v>TERC_OPER__0_0</v>
      </c>
      <c r="C894" s="83"/>
      <c r="D894" s="15">
        <f t="shared" si="289"/>
        <v>0</v>
      </c>
      <c r="E894" s="15">
        <v>21</v>
      </c>
      <c r="F894" s="190">
        <f t="shared" si="295"/>
        <v>0</v>
      </c>
      <c r="G894" s="149" t="str">
        <f t="shared" si="295"/>
        <v/>
      </c>
      <c r="H894" s="150" t="str">
        <f t="shared" si="295"/>
        <v/>
      </c>
      <c r="I894" s="150">
        <f t="shared" si="295"/>
        <v>0</v>
      </c>
      <c r="J894" s="150">
        <f t="shared" si="295"/>
        <v>0</v>
      </c>
      <c r="K894" s="196">
        <f t="shared" si="295"/>
        <v>0</v>
      </c>
      <c r="L894" s="197">
        <f t="shared" si="295"/>
        <v>0</v>
      </c>
      <c r="M894" s="191">
        <f t="shared" si="295"/>
        <v>0</v>
      </c>
      <c r="N894" s="150">
        <f t="shared" si="295"/>
        <v>0</v>
      </c>
      <c r="O894" s="193">
        <f t="shared" si="295"/>
        <v>0</v>
      </c>
      <c r="P894" s="162">
        <f t="shared" si="294"/>
        <v>0</v>
      </c>
      <c r="Q894" s="162">
        <f t="shared" si="294"/>
        <v>0</v>
      </c>
      <c r="R894" s="162">
        <f t="shared" si="294"/>
        <v>0</v>
      </c>
      <c r="S894" s="162">
        <f t="shared" si="294"/>
        <v>0</v>
      </c>
      <c r="T894" s="162">
        <f t="shared" si="294"/>
        <v>0</v>
      </c>
      <c r="U894" s="162">
        <f t="shared" si="294"/>
        <v>0</v>
      </c>
      <c r="V894" s="162">
        <f t="shared" si="294"/>
        <v>0</v>
      </c>
      <c r="W894" s="162">
        <f t="shared" si="294"/>
        <v>0</v>
      </c>
      <c r="X894" s="162">
        <f t="shared" si="294"/>
        <v>0</v>
      </c>
      <c r="Y894" s="162">
        <f t="shared" si="294"/>
        <v>0</v>
      </c>
      <c r="Z894" s="162">
        <f t="shared" si="294"/>
        <v>0</v>
      </c>
      <c r="AA894" s="162">
        <f t="shared" si="294"/>
        <v>0</v>
      </c>
      <c r="AB894" s="163">
        <f t="shared" si="292"/>
        <v>0</v>
      </c>
      <c r="AC894" s="198"/>
    </row>
    <row r="895" spans="1:29" hidden="1" outlineLevel="1" x14ac:dyDescent="0.25">
      <c r="A895" s="14" t="str">
        <f t="shared" si="273"/>
        <v>TERC_OPER__22</v>
      </c>
      <c r="B895" s="15" t="str">
        <f t="shared" si="288"/>
        <v>TERC_OPER__0_0</v>
      </c>
      <c r="C895" s="83"/>
      <c r="D895" s="15">
        <f t="shared" si="289"/>
        <v>0</v>
      </c>
      <c r="E895" s="15">
        <v>22</v>
      </c>
      <c r="F895" s="190">
        <f t="shared" si="295"/>
        <v>0</v>
      </c>
      <c r="G895" s="149" t="str">
        <f t="shared" si="295"/>
        <v/>
      </c>
      <c r="H895" s="150" t="str">
        <f t="shared" si="295"/>
        <v/>
      </c>
      <c r="I895" s="150">
        <f t="shared" si="295"/>
        <v>0</v>
      </c>
      <c r="J895" s="150">
        <f t="shared" si="295"/>
        <v>0</v>
      </c>
      <c r="K895" s="196">
        <f t="shared" si="295"/>
        <v>0</v>
      </c>
      <c r="L895" s="197">
        <f t="shared" si="295"/>
        <v>0</v>
      </c>
      <c r="M895" s="191">
        <f t="shared" si="295"/>
        <v>0</v>
      </c>
      <c r="N895" s="150">
        <f t="shared" si="295"/>
        <v>0</v>
      </c>
      <c r="O895" s="193">
        <f t="shared" si="295"/>
        <v>0</v>
      </c>
      <c r="P895" s="162">
        <f t="shared" ref="P895:AA910" si="296">IFERROR(SUMIF($B$483:$B$547,$C895&amp;$I895,P$483:P$547)/SUMIF($D$483:$D$547,$I895,P$483:P$547)*P573,0)</f>
        <v>0</v>
      </c>
      <c r="Q895" s="162">
        <f t="shared" si="296"/>
        <v>0</v>
      </c>
      <c r="R895" s="162">
        <f t="shared" si="296"/>
        <v>0</v>
      </c>
      <c r="S895" s="162">
        <f t="shared" si="296"/>
        <v>0</v>
      </c>
      <c r="T895" s="162">
        <f t="shared" si="296"/>
        <v>0</v>
      </c>
      <c r="U895" s="162">
        <f t="shared" si="296"/>
        <v>0</v>
      </c>
      <c r="V895" s="162">
        <f t="shared" si="296"/>
        <v>0</v>
      </c>
      <c r="W895" s="162">
        <f t="shared" si="296"/>
        <v>0</v>
      </c>
      <c r="X895" s="162">
        <f t="shared" si="296"/>
        <v>0</v>
      </c>
      <c r="Y895" s="162">
        <f t="shared" si="296"/>
        <v>0</v>
      </c>
      <c r="Z895" s="162">
        <f t="shared" si="296"/>
        <v>0</v>
      </c>
      <c r="AA895" s="162">
        <f t="shared" si="296"/>
        <v>0</v>
      </c>
      <c r="AB895" s="163">
        <f t="shared" si="292"/>
        <v>0</v>
      </c>
      <c r="AC895" s="198"/>
    </row>
    <row r="896" spans="1:29" hidden="1" outlineLevel="1" x14ac:dyDescent="0.25">
      <c r="A896" s="14" t="str">
        <f t="shared" si="273"/>
        <v>TERC_OPER__23</v>
      </c>
      <c r="B896" s="15" t="str">
        <f t="shared" si="288"/>
        <v>TERC_OPER__0_0</v>
      </c>
      <c r="C896" s="83"/>
      <c r="D896" s="15">
        <f t="shared" si="289"/>
        <v>0</v>
      </c>
      <c r="E896" s="15">
        <v>23</v>
      </c>
      <c r="F896" s="190">
        <f t="shared" si="295"/>
        <v>0</v>
      </c>
      <c r="G896" s="149" t="str">
        <f t="shared" si="295"/>
        <v/>
      </c>
      <c r="H896" s="150" t="str">
        <f t="shared" si="295"/>
        <v/>
      </c>
      <c r="I896" s="150">
        <f t="shared" si="295"/>
        <v>0</v>
      </c>
      <c r="J896" s="150">
        <f t="shared" si="295"/>
        <v>0</v>
      </c>
      <c r="K896" s="196">
        <f t="shared" si="295"/>
        <v>0</v>
      </c>
      <c r="L896" s="197">
        <f t="shared" si="295"/>
        <v>0</v>
      </c>
      <c r="M896" s="191">
        <f t="shared" si="295"/>
        <v>0</v>
      </c>
      <c r="N896" s="150">
        <f t="shared" si="295"/>
        <v>0</v>
      </c>
      <c r="O896" s="193">
        <f t="shared" si="295"/>
        <v>0</v>
      </c>
      <c r="P896" s="162">
        <f t="shared" si="296"/>
        <v>0</v>
      </c>
      <c r="Q896" s="162">
        <f t="shared" si="296"/>
        <v>0</v>
      </c>
      <c r="R896" s="162">
        <f t="shared" si="296"/>
        <v>0</v>
      </c>
      <c r="S896" s="162">
        <f t="shared" si="296"/>
        <v>0</v>
      </c>
      <c r="T896" s="162">
        <f t="shared" si="296"/>
        <v>0</v>
      </c>
      <c r="U896" s="162">
        <f t="shared" si="296"/>
        <v>0</v>
      </c>
      <c r="V896" s="162">
        <f t="shared" si="296"/>
        <v>0</v>
      </c>
      <c r="W896" s="162">
        <f t="shared" si="296"/>
        <v>0</v>
      </c>
      <c r="X896" s="162">
        <f t="shared" si="296"/>
        <v>0</v>
      </c>
      <c r="Y896" s="162">
        <f t="shared" si="296"/>
        <v>0</v>
      </c>
      <c r="Z896" s="162">
        <f t="shared" si="296"/>
        <v>0</v>
      </c>
      <c r="AA896" s="162">
        <f t="shared" si="296"/>
        <v>0</v>
      </c>
      <c r="AB896" s="163">
        <f t="shared" si="292"/>
        <v>0</v>
      </c>
      <c r="AC896" s="198"/>
    </row>
    <row r="897" spans="1:29" hidden="1" outlineLevel="1" x14ac:dyDescent="0.25">
      <c r="A897" s="14" t="str">
        <f t="shared" si="273"/>
        <v>TERC_OPER__24</v>
      </c>
      <c r="B897" s="15" t="str">
        <f t="shared" si="288"/>
        <v>TERC_OPER__0_0</v>
      </c>
      <c r="C897" s="83"/>
      <c r="D897" s="15">
        <f t="shared" si="289"/>
        <v>0</v>
      </c>
      <c r="E897" s="15">
        <v>24</v>
      </c>
      <c r="F897" s="190">
        <f t="shared" si="295"/>
        <v>0</v>
      </c>
      <c r="G897" s="149" t="str">
        <f t="shared" si="295"/>
        <v/>
      </c>
      <c r="H897" s="150" t="str">
        <f t="shared" si="295"/>
        <v/>
      </c>
      <c r="I897" s="150">
        <f t="shared" si="295"/>
        <v>0</v>
      </c>
      <c r="J897" s="150">
        <f t="shared" si="295"/>
        <v>0</v>
      </c>
      <c r="K897" s="196">
        <f t="shared" si="295"/>
        <v>0</v>
      </c>
      <c r="L897" s="197">
        <f t="shared" si="295"/>
        <v>0</v>
      </c>
      <c r="M897" s="191">
        <f t="shared" si="295"/>
        <v>0</v>
      </c>
      <c r="N897" s="150">
        <f t="shared" si="295"/>
        <v>0</v>
      </c>
      <c r="O897" s="193">
        <f t="shared" si="295"/>
        <v>0</v>
      </c>
      <c r="P897" s="162">
        <f t="shared" si="296"/>
        <v>0</v>
      </c>
      <c r="Q897" s="162">
        <f t="shared" si="296"/>
        <v>0</v>
      </c>
      <c r="R897" s="162">
        <f t="shared" si="296"/>
        <v>0</v>
      </c>
      <c r="S897" s="162">
        <f t="shared" si="296"/>
        <v>0</v>
      </c>
      <c r="T897" s="162">
        <f t="shared" si="296"/>
        <v>0</v>
      </c>
      <c r="U897" s="162">
        <f t="shared" si="296"/>
        <v>0</v>
      </c>
      <c r="V897" s="162">
        <f t="shared" si="296"/>
        <v>0</v>
      </c>
      <c r="W897" s="162">
        <f t="shared" si="296"/>
        <v>0</v>
      </c>
      <c r="X897" s="162">
        <f t="shared" si="296"/>
        <v>0</v>
      </c>
      <c r="Y897" s="162">
        <f t="shared" si="296"/>
        <v>0</v>
      </c>
      <c r="Z897" s="162">
        <f t="shared" si="296"/>
        <v>0</v>
      </c>
      <c r="AA897" s="162">
        <f t="shared" si="296"/>
        <v>0</v>
      </c>
      <c r="AB897" s="163">
        <f t="shared" si="292"/>
        <v>0</v>
      </c>
      <c r="AC897" s="198"/>
    </row>
    <row r="898" spans="1:29" hidden="1" outlineLevel="1" x14ac:dyDescent="0.25">
      <c r="A898" s="14" t="str">
        <f t="shared" si="273"/>
        <v>TERC_OPER__25</v>
      </c>
      <c r="B898" s="15" t="str">
        <f t="shared" si="288"/>
        <v>TERC_OPER__0_0</v>
      </c>
      <c r="C898" s="83"/>
      <c r="D898" s="15">
        <f t="shared" si="289"/>
        <v>0</v>
      </c>
      <c r="E898" s="15">
        <v>25</v>
      </c>
      <c r="F898" s="190">
        <f t="shared" si="295"/>
        <v>0</v>
      </c>
      <c r="G898" s="149" t="str">
        <f t="shared" si="295"/>
        <v/>
      </c>
      <c r="H898" s="150" t="str">
        <f t="shared" si="295"/>
        <v/>
      </c>
      <c r="I898" s="150">
        <f t="shared" si="295"/>
        <v>0</v>
      </c>
      <c r="J898" s="150">
        <f t="shared" si="295"/>
        <v>0</v>
      </c>
      <c r="K898" s="196">
        <f t="shared" si="295"/>
        <v>0</v>
      </c>
      <c r="L898" s="197">
        <f t="shared" si="295"/>
        <v>0</v>
      </c>
      <c r="M898" s="191">
        <f t="shared" si="295"/>
        <v>0</v>
      </c>
      <c r="N898" s="150">
        <f t="shared" si="295"/>
        <v>0</v>
      </c>
      <c r="O898" s="193">
        <f t="shared" si="295"/>
        <v>0</v>
      </c>
      <c r="P898" s="162">
        <f t="shared" si="296"/>
        <v>0</v>
      </c>
      <c r="Q898" s="162">
        <f t="shared" si="296"/>
        <v>0</v>
      </c>
      <c r="R898" s="162">
        <f t="shared" si="296"/>
        <v>0</v>
      </c>
      <c r="S898" s="162">
        <f t="shared" si="296"/>
        <v>0</v>
      </c>
      <c r="T898" s="162">
        <f t="shared" si="296"/>
        <v>0</v>
      </c>
      <c r="U898" s="162">
        <f t="shared" si="296"/>
        <v>0</v>
      </c>
      <c r="V898" s="162">
        <f t="shared" si="296"/>
        <v>0</v>
      </c>
      <c r="W898" s="162">
        <f t="shared" si="296"/>
        <v>0</v>
      </c>
      <c r="X898" s="162">
        <f t="shared" si="296"/>
        <v>0</v>
      </c>
      <c r="Y898" s="162">
        <f t="shared" si="296"/>
        <v>0</v>
      </c>
      <c r="Z898" s="162">
        <f t="shared" si="296"/>
        <v>0</v>
      </c>
      <c r="AA898" s="162">
        <f t="shared" si="296"/>
        <v>0</v>
      </c>
      <c r="AB898" s="163">
        <f t="shared" si="292"/>
        <v>0</v>
      </c>
      <c r="AC898" s="198"/>
    </row>
    <row r="899" spans="1:29" hidden="1" outlineLevel="1" x14ac:dyDescent="0.25">
      <c r="A899" s="14" t="str">
        <f t="shared" si="273"/>
        <v>TERC_OPER__26</v>
      </c>
      <c r="B899" s="15" t="str">
        <f t="shared" si="288"/>
        <v>TERC_OPER__0_0</v>
      </c>
      <c r="C899" s="83"/>
      <c r="D899" s="15">
        <f t="shared" si="289"/>
        <v>0</v>
      </c>
      <c r="E899" s="15">
        <v>26</v>
      </c>
      <c r="F899" s="190">
        <f t="shared" si="295"/>
        <v>0</v>
      </c>
      <c r="G899" s="149" t="str">
        <f t="shared" si="295"/>
        <v/>
      </c>
      <c r="H899" s="150" t="str">
        <f t="shared" si="295"/>
        <v/>
      </c>
      <c r="I899" s="150">
        <f t="shared" si="295"/>
        <v>0</v>
      </c>
      <c r="J899" s="150">
        <f t="shared" si="295"/>
        <v>0</v>
      </c>
      <c r="K899" s="196">
        <f t="shared" si="295"/>
        <v>0</v>
      </c>
      <c r="L899" s="197">
        <f t="shared" si="295"/>
        <v>0</v>
      </c>
      <c r="M899" s="191">
        <f t="shared" si="295"/>
        <v>0</v>
      </c>
      <c r="N899" s="150">
        <f t="shared" si="295"/>
        <v>0</v>
      </c>
      <c r="O899" s="193">
        <f t="shared" si="295"/>
        <v>0</v>
      </c>
      <c r="P899" s="162">
        <f t="shared" si="296"/>
        <v>0</v>
      </c>
      <c r="Q899" s="162">
        <f t="shared" si="296"/>
        <v>0</v>
      </c>
      <c r="R899" s="162">
        <f t="shared" si="296"/>
        <v>0</v>
      </c>
      <c r="S899" s="162">
        <f t="shared" si="296"/>
        <v>0</v>
      </c>
      <c r="T899" s="162">
        <f t="shared" si="296"/>
        <v>0</v>
      </c>
      <c r="U899" s="162">
        <f t="shared" si="296"/>
        <v>0</v>
      </c>
      <c r="V899" s="162">
        <f t="shared" si="296"/>
        <v>0</v>
      </c>
      <c r="W899" s="162">
        <f t="shared" si="296"/>
        <v>0</v>
      </c>
      <c r="X899" s="162">
        <f t="shared" si="296"/>
        <v>0</v>
      </c>
      <c r="Y899" s="162">
        <f t="shared" si="296"/>
        <v>0</v>
      </c>
      <c r="Z899" s="162">
        <f t="shared" si="296"/>
        <v>0</v>
      </c>
      <c r="AA899" s="162">
        <f t="shared" si="296"/>
        <v>0</v>
      </c>
      <c r="AB899" s="163">
        <f t="shared" si="292"/>
        <v>0</v>
      </c>
      <c r="AC899" s="198"/>
    </row>
    <row r="900" spans="1:29" hidden="1" outlineLevel="1" x14ac:dyDescent="0.25">
      <c r="A900" s="14" t="str">
        <f t="shared" si="273"/>
        <v>TERC_OPER__27</v>
      </c>
      <c r="B900" s="15" t="str">
        <f t="shared" si="288"/>
        <v>TERC_OPER__0_0</v>
      </c>
      <c r="C900" s="83"/>
      <c r="D900" s="15">
        <f t="shared" si="289"/>
        <v>0</v>
      </c>
      <c r="E900" s="15">
        <v>27</v>
      </c>
      <c r="F900" s="190">
        <f t="shared" si="295"/>
        <v>0</v>
      </c>
      <c r="G900" s="149" t="str">
        <f t="shared" si="295"/>
        <v/>
      </c>
      <c r="H900" s="150" t="str">
        <f t="shared" si="295"/>
        <v/>
      </c>
      <c r="I900" s="150">
        <f t="shared" si="295"/>
        <v>0</v>
      </c>
      <c r="J900" s="150">
        <f t="shared" si="295"/>
        <v>0</v>
      </c>
      <c r="K900" s="196">
        <f t="shared" si="295"/>
        <v>0</v>
      </c>
      <c r="L900" s="197">
        <f t="shared" si="295"/>
        <v>0</v>
      </c>
      <c r="M900" s="191">
        <f t="shared" si="295"/>
        <v>0</v>
      </c>
      <c r="N900" s="150">
        <f t="shared" si="295"/>
        <v>0</v>
      </c>
      <c r="O900" s="193">
        <f t="shared" si="295"/>
        <v>0</v>
      </c>
      <c r="P900" s="162">
        <f t="shared" si="296"/>
        <v>0</v>
      </c>
      <c r="Q900" s="162">
        <f t="shared" si="296"/>
        <v>0</v>
      </c>
      <c r="R900" s="162">
        <f t="shared" si="296"/>
        <v>0</v>
      </c>
      <c r="S900" s="162">
        <f t="shared" si="296"/>
        <v>0</v>
      </c>
      <c r="T900" s="162">
        <f t="shared" si="296"/>
        <v>0</v>
      </c>
      <c r="U900" s="162">
        <f t="shared" si="296"/>
        <v>0</v>
      </c>
      <c r="V900" s="162">
        <f t="shared" si="296"/>
        <v>0</v>
      </c>
      <c r="W900" s="162">
        <f t="shared" si="296"/>
        <v>0</v>
      </c>
      <c r="X900" s="162">
        <f t="shared" si="296"/>
        <v>0</v>
      </c>
      <c r="Y900" s="162">
        <f t="shared" si="296"/>
        <v>0</v>
      </c>
      <c r="Z900" s="162">
        <f t="shared" si="296"/>
        <v>0</v>
      </c>
      <c r="AA900" s="162">
        <f t="shared" si="296"/>
        <v>0</v>
      </c>
      <c r="AB900" s="163">
        <f t="shared" si="292"/>
        <v>0</v>
      </c>
      <c r="AC900" s="198"/>
    </row>
    <row r="901" spans="1:29" hidden="1" outlineLevel="1" x14ac:dyDescent="0.25">
      <c r="A901" s="14" t="str">
        <f t="shared" si="273"/>
        <v>TERC_OPER__28</v>
      </c>
      <c r="B901" s="15" t="str">
        <f t="shared" si="288"/>
        <v>TERC_OPER__0_0</v>
      </c>
      <c r="C901" s="83"/>
      <c r="D901" s="15">
        <f t="shared" si="289"/>
        <v>0</v>
      </c>
      <c r="E901" s="15">
        <v>28</v>
      </c>
      <c r="F901" s="190">
        <f t="shared" si="295"/>
        <v>0</v>
      </c>
      <c r="G901" s="149" t="str">
        <f t="shared" si="295"/>
        <v/>
      </c>
      <c r="H901" s="150" t="str">
        <f t="shared" si="295"/>
        <v/>
      </c>
      <c r="I901" s="150">
        <f t="shared" si="295"/>
        <v>0</v>
      </c>
      <c r="J901" s="150">
        <f t="shared" si="295"/>
        <v>0</v>
      </c>
      <c r="K901" s="196">
        <f t="shared" si="295"/>
        <v>0</v>
      </c>
      <c r="L901" s="197">
        <f t="shared" si="295"/>
        <v>0</v>
      </c>
      <c r="M901" s="191">
        <f t="shared" si="295"/>
        <v>0</v>
      </c>
      <c r="N901" s="150">
        <f t="shared" si="295"/>
        <v>0</v>
      </c>
      <c r="O901" s="193">
        <f t="shared" si="295"/>
        <v>0</v>
      </c>
      <c r="P901" s="162">
        <f t="shared" si="296"/>
        <v>0</v>
      </c>
      <c r="Q901" s="162">
        <f t="shared" si="296"/>
        <v>0</v>
      </c>
      <c r="R901" s="162">
        <f t="shared" si="296"/>
        <v>0</v>
      </c>
      <c r="S901" s="162">
        <f t="shared" si="296"/>
        <v>0</v>
      </c>
      <c r="T901" s="162">
        <f t="shared" si="296"/>
        <v>0</v>
      </c>
      <c r="U901" s="162">
        <f t="shared" si="296"/>
        <v>0</v>
      </c>
      <c r="V901" s="162">
        <f t="shared" si="296"/>
        <v>0</v>
      </c>
      <c r="W901" s="162">
        <f t="shared" si="296"/>
        <v>0</v>
      </c>
      <c r="X901" s="162">
        <f t="shared" si="296"/>
        <v>0</v>
      </c>
      <c r="Y901" s="162">
        <f t="shared" si="296"/>
        <v>0</v>
      </c>
      <c r="Z901" s="162">
        <f t="shared" si="296"/>
        <v>0</v>
      </c>
      <c r="AA901" s="162">
        <f t="shared" si="296"/>
        <v>0</v>
      </c>
      <c r="AB901" s="163">
        <f t="shared" si="292"/>
        <v>0</v>
      </c>
      <c r="AC901" s="198"/>
    </row>
    <row r="902" spans="1:29" hidden="1" outlineLevel="1" x14ac:dyDescent="0.25">
      <c r="A902" s="14" t="str">
        <f t="shared" si="273"/>
        <v>TERC_OPER__29</v>
      </c>
      <c r="B902" s="15" t="str">
        <f t="shared" si="288"/>
        <v>TERC_OPER__0_0</v>
      </c>
      <c r="C902" s="83"/>
      <c r="D902" s="15">
        <f t="shared" si="289"/>
        <v>0</v>
      </c>
      <c r="E902" s="15">
        <v>29</v>
      </c>
      <c r="F902" s="190">
        <f t="shared" si="295"/>
        <v>0</v>
      </c>
      <c r="G902" s="149" t="str">
        <f t="shared" si="295"/>
        <v/>
      </c>
      <c r="H902" s="150" t="str">
        <f t="shared" si="295"/>
        <v/>
      </c>
      <c r="I902" s="150">
        <f t="shared" si="295"/>
        <v>0</v>
      </c>
      <c r="J902" s="150">
        <f t="shared" si="295"/>
        <v>0</v>
      </c>
      <c r="K902" s="196">
        <f t="shared" si="295"/>
        <v>0</v>
      </c>
      <c r="L902" s="197">
        <f t="shared" si="295"/>
        <v>0</v>
      </c>
      <c r="M902" s="191">
        <f t="shared" si="295"/>
        <v>0</v>
      </c>
      <c r="N902" s="150">
        <f t="shared" si="295"/>
        <v>0</v>
      </c>
      <c r="O902" s="193">
        <f t="shared" si="295"/>
        <v>0</v>
      </c>
      <c r="P902" s="162">
        <f t="shared" si="296"/>
        <v>0</v>
      </c>
      <c r="Q902" s="162">
        <f t="shared" si="296"/>
        <v>0</v>
      </c>
      <c r="R902" s="162">
        <f t="shared" si="296"/>
        <v>0</v>
      </c>
      <c r="S902" s="162">
        <f t="shared" si="296"/>
        <v>0</v>
      </c>
      <c r="T902" s="162">
        <f t="shared" si="296"/>
        <v>0</v>
      </c>
      <c r="U902" s="162">
        <f t="shared" si="296"/>
        <v>0</v>
      </c>
      <c r="V902" s="162">
        <f t="shared" si="296"/>
        <v>0</v>
      </c>
      <c r="W902" s="162">
        <f t="shared" si="296"/>
        <v>0</v>
      </c>
      <c r="X902" s="162">
        <f t="shared" si="296"/>
        <v>0</v>
      </c>
      <c r="Y902" s="162">
        <f t="shared" si="296"/>
        <v>0</v>
      </c>
      <c r="Z902" s="162">
        <f t="shared" si="296"/>
        <v>0</v>
      </c>
      <c r="AA902" s="162">
        <f t="shared" si="296"/>
        <v>0</v>
      </c>
      <c r="AB902" s="163">
        <f t="shared" si="292"/>
        <v>0</v>
      </c>
      <c r="AC902" s="198"/>
    </row>
    <row r="903" spans="1:29" hidden="1" outlineLevel="1" x14ac:dyDescent="0.25">
      <c r="A903" s="14" t="str">
        <f t="shared" si="273"/>
        <v>TERC_OPER__30</v>
      </c>
      <c r="B903" s="15" t="str">
        <f t="shared" si="288"/>
        <v>TERC_OPER__0_0</v>
      </c>
      <c r="C903" s="83"/>
      <c r="D903" s="15">
        <f t="shared" si="289"/>
        <v>0</v>
      </c>
      <c r="E903" s="15">
        <v>30</v>
      </c>
      <c r="F903" s="190">
        <f t="shared" si="295"/>
        <v>0</v>
      </c>
      <c r="G903" s="149" t="str">
        <f t="shared" si="295"/>
        <v/>
      </c>
      <c r="H903" s="150" t="str">
        <f t="shared" si="295"/>
        <v/>
      </c>
      <c r="I903" s="150">
        <f t="shared" si="295"/>
        <v>0</v>
      </c>
      <c r="J903" s="150">
        <f t="shared" si="295"/>
        <v>0</v>
      </c>
      <c r="K903" s="196">
        <f t="shared" si="295"/>
        <v>0</v>
      </c>
      <c r="L903" s="197">
        <f t="shared" si="295"/>
        <v>0</v>
      </c>
      <c r="M903" s="191">
        <f t="shared" si="295"/>
        <v>0</v>
      </c>
      <c r="N903" s="150">
        <f t="shared" si="295"/>
        <v>0</v>
      </c>
      <c r="O903" s="193">
        <f t="shared" si="295"/>
        <v>0</v>
      </c>
      <c r="P903" s="162">
        <f t="shared" si="296"/>
        <v>0</v>
      </c>
      <c r="Q903" s="162">
        <f t="shared" si="296"/>
        <v>0</v>
      </c>
      <c r="R903" s="162">
        <f t="shared" si="296"/>
        <v>0</v>
      </c>
      <c r="S903" s="162">
        <f t="shared" si="296"/>
        <v>0</v>
      </c>
      <c r="T903" s="162">
        <f t="shared" si="296"/>
        <v>0</v>
      </c>
      <c r="U903" s="162">
        <f t="shared" si="296"/>
        <v>0</v>
      </c>
      <c r="V903" s="162">
        <f t="shared" si="296"/>
        <v>0</v>
      </c>
      <c r="W903" s="162">
        <f t="shared" si="296"/>
        <v>0</v>
      </c>
      <c r="X903" s="162">
        <f t="shared" si="296"/>
        <v>0</v>
      </c>
      <c r="Y903" s="162">
        <f t="shared" si="296"/>
        <v>0</v>
      </c>
      <c r="Z903" s="162">
        <f t="shared" si="296"/>
        <v>0</v>
      </c>
      <c r="AA903" s="162">
        <f t="shared" si="296"/>
        <v>0</v>
      </c>
      <c r="AB903" s="163">
        <f t="shared" si="292"/>
        <v>0</v>
      </c>
      <c r="AC903" s="198"/>
    </row>
    <row r="904" spans="1:29" hidden="1" outlineLevel="1" x14ac:dyDescent="0.25">
      <c r="A904" s="14" t="str">
        <f t="shared" si="273"/>
        <v>TERC_OPER__31</v>
      </c>
      <c r="B904" s="15" t="str">
        <f t="shared" si="288"/>
        <v>TERC_OPER__0_0</v>
      </c>
      <c r="C904" s="83"/>
      <c r="D904" s="15">
        <f t="shared" si="289"/>
        <v>0</v>
      </c>
      <c r="E904" s="15">
        <v>31</v>
      </c>
      <c r="F904" s="190">
        <f t="shared" si="295"/>
        <v>0</v>
      </c>
      <c r="G904" s="149" t="str">
        <f t="shared" si="295"/>
        <v/>
      </c>
      <c r="H904" s="150" t="str">
        <f t="shared" si="295"/>
        <v/>
      </c>
      <c r="I904" s="150">
        <f t="shared" si="295"/>
        <v>0</v>
      </c>
      <c r="J904" s="150">
        <f t="shared" si="295"/>
        <v>0</v>
      </c>
      <c r="K904" s="196">
        <f t="shared" si="295"/>
        <v>0</v>
      </c>
      <c r="L904" s="197">
        <f t="shared" si="295"/>
        <v>0</v>
      </c>
      <c r="M904" s="191">
        <f t="shared" si="295"/>
        <v>0</v>
      </c>
      <c r="N904" s="150">
        <f t="shared" si="295"/>
        <v>0</v>
      </c>
      <c r="O904" s="193">
        <f t="shared" si="295"/>
        <v>0</v>
      </c>
      <c r="P904" s="162">
        <f t="shared" si="296"/>
        <v>0</v>
      </c>
      <c r="Q904" s="162">
        <f t="shared" si="296"/>
        <v>0</v>
      </c>
      <c r="R904" s="162">
        <f t="shared" si="296"/>
        <v>0</v>
      </c>
      <c r="S904" s="162">
        <f t="shared" si="296"/>
        <v>0</v>
      </c>
      <c r="T904" s="162">
        <f t="shared" si="296"/>
        <v>0</v>
      </c>
      <c r="U904" s="162">
        <f t="shared" si="296"/>
        <v>0</v>
      </c>
      <c r="V904" s="162">
        <f t="shared" si="296"/>
        <v>0</v>
      </c>
      <c r="W904" s="162">
        <f t="shared" si="296"/>
        <v>0</v>
      </c>
      <c r="X904" s="162">
        <f t="shared" si="296"/>
        <v>0</v>
      </c>
      <c r="Y904" s="162">
        <f t="shared" si="296"/>
        <v>0</v>
      </c>
      <c r="Z904" s="162">
        <f t="shared" si="296"/>
        <v>0</v>
      </c>
      <c r="AA904" s="162">
        <f t="shared" si="296"/>
        <v>0</v>
      </c>
      <c r="AB904" s="163">
        <f t="shared" si="292"/>
        <v>0</v>
      </c>
      <c r="AC904" s="198"/>
    </row>
    <row r="905" spans="1:29" hidden="1" outlineLevel="1" x14ac:dyDescent="0.25">
      <c r="A905" s="14" t="str">
        <f t="shared" si="273"/>
        <v>TERC_OPER__32</v>
      </c>
      <c r="B905" s="15" t="str">
        <f t="shared" si="288"/>
        <v>TERC_OPER__0_0</v>
      </c>
      <c r="C905" s="83"/>
      <c r="D905" s="15">
        <f t="shared" si="289"/>
        <v>0</v>
      </c>
      <c r="E905" s="15">
        <v>32</v>
      </c>
      <c r="F905" s="190">
        <f t="shared" si="295"/>
        <v>0</v>
      </c>
      <c r="G905" s="149" t="str">
        <f t="shared" si="295"/>
        <v/>
      </c>
      <c r="H905" s="150" t="str">
        <f t="shared" si="295"/>
        <v/>
      </c>
      <c r="I905" s="150">
        <f t="shared" si="295"/>
        <v>0</v>
      </c>
      <c r="J905" s="150">
        <f t="shared" si="295"/>
        <v>0</v>
      </c>
      <c r="K905" s="196">
        <f t="shared" si="295"/>
        <v>0</v>
      </c>
      <c r="L905" s="197">
        <f t="shared" si="295"/>
        <v>0</v>
      </c>
      <c r="M905" s="191">
        <f t="shared" si="295"/>
        <v>0</v>
      </c>
      <c r="N905" s="150">
        <f t="shared" si="295"/>
        <v>0</v>
      </c>
      <c r="O905" s="193">
        <f t="shared" si="295"/>
        <v>0</v>
      </c>
      <c r="P905" s="162">
        <f t="shared" si="296"/>
        <v>0</v>
      </c>
      <c r="Q905" s="162">
        <f t="shared" si="296"/>
        <v>0</v>
      </c>
      <c r="R905" s="162">
        <f t="shared" si="296"/>
        <v>0</v>
      </c>
      <c r="S905" s="162">
        <f t="shared" si="296"/>
        <v>0</v>
      </c>
      <c r="T905" s="162">
        <f t="shared" si="296"/>
        <v>0</v>
      </c>
      <c r="U905" s="162">
        <f t="shared" si="296"/>
        <v>0</v>
      </c>
      <c r="V905" s="162">
        <f t="shared" si="296"/>
        <v>0</v>
      </c>
      <c r="W905" s="162">
        <f t="shared" si="296"/>
        <v>0</v>
      </c>
      <c r="X905" s="162">
        <f t="shared" si="296"/>
        <v>0</v>
      </c>
      <c r="Y905" s="162">
        <f t="shared" si="296"/>
        <v>0</v>
      </c>
      <c r="Z905" s="162">
        <f t="shared" si="296"/>
        <v>0</v>
      </c>
      <c r="AA905" s="162">
        <f t="shared" si="296"/>
        <v>0</v>
      </c>
      <c r="AB905" s="163">
        <f t="shared" si="292"/>
        <v>0</v>
      </c>
      <c r="AC905" s="198"/>
    </row>
    <row r="906" spans="1:29" hidden="1" outlineLevel="1" x14ac:dyDescent="0.25">
      <c r="A906" s="14" t="str">
        <f t="shared" si="273"/>
        <v>TERC_OPER__33</v>
      </c>
      <c r="B906" s="15" t="str">
        <f t="shared" si="288"/>
        <v>TERC_OPER__0_0</v>
      </c>
      <c r="C906" s="83"/>
      <c r="D906" s="15">
        <f t="shared" si="289"/>
        <v>0</v>
      </c>
      <c r="E906" s="15">
        <v>33</v>
      </c>
      <c r="F906" s="190">
        <f t="shared" si="295"/>
        <v>0</v>
      </c>
      <c r="G906" s="149" t="str">
        <f t="shared" si="295"/>
        <v/>
      </c>
      <c r="H906" s="150" t="str">
        <f t="shared" si="295"/>
        <v/>
      </c>
      <c r="I906" s="150">
        <f t="shared" si="295"/>
        <v>0</v>
      </c>
      <c r="J906" s="150">
        <f t="shared" si="295"/>
        <v>0</v>
      </c>
      <c r="K906" s="196">
        <f t="shared" si="295"/>
        <v>0</v>
      </c>
      <c r="L906" s="197">
        <f t="shared" si="295"/>
        <v>0</v>
      </c>
      <c r="M906" s="191">
        <f t="shared" si="295"/>
        <v>0</v>
      </c>
      <c r="N906" s="150">
        <f t="shared" si="295"/>
        <v>0</v>
      </c>
      <c r="O906" s="193">
        <f t="shared" si="295"/>
        <v>0</v>
      </c>
      <c r="P906" s="162">
        <f t="shared" si="296"/>
        <v>0</v>
      </c>
      <c r="Q906" s="162">
        <f t="shared" si="296"/>
        <v>0</v>
      </c>
      <c r="R906" s="162">
        <f t="shared" si="296"/>
        <v>0</v>
      </c>
      <c r="S906" s="162">
        <f t="shared" si="296"/>
        <v>0</v>
      </c>
      <c r="T906" s="162">
        <f t="shared" si="296"/>
        <v>0</v>
      </c>
      <c r="U906" s="162">
        <f t="shared" si="296"/>
        <v>0</v>
      </c>
      <c r="V906" s="162">
        <f t="shared" si="296"/>
        <v>0</v>
      </c>
      <c r="W906" s="162">
        <f t="shared" si="296"/>
        <v>0</v>
      </c>
      <c r="X906" s="162">
        <f t="shared" si="296"/>
        <v>0</v>
      </c>
      <c r="Y906" s="162">
        <f t="shared" si="296"/>
        <v>0</v>
      </c>
      <c r="Z906" s="162">
        <f t="shared" si="296"/>
        <v>0</v>
      </c>
      <c r="AA906" s="162">
        <f t="shared" si="296"/>
        <v>0</v>
      </c>
      <c r="AB906" s="163">
        <f t="shared" si="292"/>
        <v>0</v>
      </c>
      <c r="AC906" s="198"/>
    </row>
    <row r="907" spans="1:29" hidden="1" outlineLevel="1" x14ac:dyDescent="0.25">
      <c r="A907" s="14" t="str">
        <f t="shared" si="273"/>
        <v>TERC_OPER__34</v>
      </c>
      <c r="B907" s="15" t="str">
        <f t="shared" si="288"/>
        <v>TERC_OPER__0_0</v>
      </c>
      <c r="C907" s="83"/>
      <c r="D907" s="15">
        <f t="shared" si="289"/>
        <v>0</v>
      </c>
      <c r="E907" s="15">
        <v>34</v>
      </c>
      <c r="F907" s="190">
        <f t="shared" ref="F907:O918" si="297">F861</f>
        <v>0</v>
      </c>
      <c r="G907" s="149" t="str">
        <f t="shared" si="297"/>
        <v/>
      </c>
      <c r="H907" s="150" t="str">
        <f t="shared" si="297"/>
        <v/>
      </c>
      <c r="I907" s="150">
        <f t="shared" si="297"/>
        <v>0</v>
      </c>
      <c r="J907" s="150">
        <f t="shared" si="297"/>
        <v>0</v>
      </c>
      <c r="K907" s="196">
        <f t="shared" si="297"/>
        <v>0</v>
      </c>
      <c r="L907" s="197">
        <f t="shared" si="297"/>
        <v>0</v>
      </c>
      <c r="M907" s="191">
        <f t="shared" si="297"/>
        <v>0</v>
      </c>
      <c r="N907" s="150">
        <f t="shared" si="297"/>
        <v>0</v>
      </c>
      <c r="O907" s="193">
        <f t="shared" si="297"/>
        <v>0</v>
      </c>
      <c r="P907" s="162">
        <f t="shared" si="296"/>
        <v>0</v>
      </c>
      <c r="Q907" s="162">
        <f t="shared" si="296"/>
        <v>0</v>
      </c>
      <c r="R907" s="162">
        <f t="shared" si="296"/>
        <v>0</v>
      </c>
      <c r="S907" s="162">
        <f t="shared" si="296"/>
        <v>0</v>
      </c>
      <c r="T907" s="162">
        <f t="shared" si="296"/>
        <v>0</v>
      </c>
      <c r="U907" s="162">
        <f t="shared" si="296"/>
        <v>0</v>
      </c>
      <c r="V907" s="162">
        <f t="shared" si="296"/>
        <v>0</v>
      </c>
      <c r="W907" s="162">
        <f t="shared" si="296"/>
        <v>0</v>
      </c>
      <c r="X907" s="162">
        <f t="shared" si="296"/>
        <v>0</v>
      </c>
      <c r="Y907" s="162">
        <f t="shared" si="296"/>
        <v>0</v>
      </c>
      <c r="Z907" s="162">
        <f t="shared" si="296"/>
        <v>0</v>
      </c>
      <c r="AA907" s="162">
        <f t="shared" si="296"/>
        <v>0</v>
      </c>
      <c r="AB907" s="163">
        <f t="shared" si="292"/>
        <v>0</v>
      </c>
      <c r="AC907" s="198"/>
    </row>
    <row r="908" spans="1:29" hidden="1" outlineLevel="1" x14ac:dyDescent="0.25">
      <c r="A908" s="14" t="str">
        <f t="shared" si="273"/>
        <v>TERC_OPER__35</v>
      </c>
      <c r="B908" s="15" t="str">
        <f t="shared" si="288"/>
        <v>TERC_OPER__0_0</v>
      </c>
      <c r="C908" s="83"/>
      <c r="D908" s="15">
        <f t="shared" si="289"/>
        <v>0</v>
      </c>
      <c r="E908" s="15">
        <v>35</v>
      </c>
      <c r="F908" s="190">
        <f t="shared" si="297"/>
        <v>0</v>
      </c>
      <c r="G908" s="149" t="str">
        <f t="shared" si="297"/>
        <v/>
      </c>
      <c r="H908" s="150" t="str">
        <f t="shared" si="297"/>
        <v/>
      </c>
      <c r="I908" s="150">
        <f t="shared" si="297"/>
        <v>0</v>
      </c>
      <c r="J908" s="150">
        <f t="shared" si="297"/>
        <v>0</v>
      </c>
      <c r="K908" s="196">
        <f t="shared" si="297"/>
        <v>0</v>
      </c>
      <c r="L908" s="197">
        <f t="shared" si="297"/>
        <v>0</v>
      </c>
      <c r="M908" s="191">
        <f t="shared" si="297"/>
        <v>0</v>
      </c>
      <c r="N908" s="150">
        <f t="shared" si="297"/>
        <v>0</v>
      </c>
      <c r="O908" s="193">
        <f t="shared" si="297"/>
        <v>0</v>
      </c>
      <c r="P908" s="162">
        <f t="shared" si="296"/>
        <v>0</v>
      </c>
      <c r="Q908" s="162">
        <f t="shared" si="296"/>
        <v>0</v>
      </c>
      <c r="R908" s="162">
        <f t="shared" si="296"/>
        <v>0</v>
      </c>
      <c r="S908" s="162">
        <f t="shared" si="296"/>
        <v>0</v>
      </c>
      <c r="T908" s="162">
        <f t="shared" si="296"/>
        <v>0</v>
      </c>
      <c r="U908" s="162">
        <f t="shared" si="296"/>
        <v>0</v>
      </c>
      <c r="V908" s="162">
        <f t="shared" si="296"/>
        <v>0</v>
      </c>
      <c r="W908" s="162">
        <f t="shared" si="296"/>
        <v>0</v>
      </c>
      <c r="X908" s="162">
        <f t="shared" si="296"/>
        <v>0</v>
      </c>
      <c r="Y908" s="162">
        <f t="shared" si="296"/>
        <v>0</v>
      </c>
      <c r="Z908" s="162">
        <f t="shared" si="296"/>
        <v>0</v>
      </c>
      <c r="AA908" s="162">
        <f t="shared" si="296"/>
        <v>0</v>
      </c>
      <c r="AB908" s="163">
        <f t="shared" si="292"/>
        <v>0</v>
      </c>
      <c r="AC908" s="198"/>
    </row>
    <row r="909" spans="1:29" hidden="1" outlineLevel="1" x14ac:dyDescent="0.25">
      <c r="A909" s="14" t="str">
        <f t="shared" si="273"/>
        <v>TERC_OPER__36</v>
      </c>
      <c r="B909" s="15" t="str">
        <f t="shared" si="288"/>
        <v>TERC_OPER__0_0</v>
      </c>
      <c r="C909" s="83"/>
      <c r="D909" s="15">
        <f t="shared" si="289"/>
        <v>0</v>
      </c>
      <c r="E909" s="15">
        <v>36</v>
      </c>
      <c r="F909" s="190">
        <f t="shared" si="297"/>
        <v>0</v>
      </c>
      <c r="G909" s="149" t="str">
        <f t="shared" si="297"/>
        <v/>
      </c>
      <c r="H909" s="150" t="str">
        <f t="shared" si="297"/>
        <v/>
      </c>
      <c r="I909" s="150">
        <f t="shared" si="297"/>
        <v>0</v>
      </c>
      <c r="J909" s="150">
        <f t="shared" si="297"/>
        <v>0</v>
      </c>
      <c r="K909" s="196">
        <f t="shared" si="297"/>
        <v>0</v>
      </c>
      <c r="L909" s="197">
        <f t="shared" si="297"/>
        <v>0</v>
      </c>
      <c r="M909" s="191">
        <f t="shared" si="297"/>
        <v>0</v>
      </c>
      <c r="N909" s="150">
        <f t="shared" si="297"/>
        <v>0</v>
      </c>
      <c r="O909" s="193">
        <f t="shared" si="297"/>
        <v>0</v>
      </c>
      <c r="P909" s="162">
        <f t="shared" si="296"/>
        <v>0</v>
      </c>
      <c r="Q909" s="162">
        <f t="shared" si="296"/>
        <v>0</v>
      </c>
      <c r="R909" s="162">
        <f t="shared" si="296"/>
        <v>0</v>
      </c>
      <c r="S909" s="162">
        <f t="shared" si="296"/>
        <v>0</v>
      </c>
      <c r="T909" s="162">
        <f t="shared" si="296"/>
        <v>0</v>
      </c>
      <c r="U909" s="162">
        <f t="shared" si="296"/>
        <v>0</v>
      </c>
      <c r="V909" s="162">
        <f t="shared" si="296"/>
        <v>0</v>
      </c>
      <c r="W909" s="162">
        <f t="shared" si="296"/>
        <v>0</v>
      </c>
      <c r="X909" s="162">
        <f t="shared" si="296"/>
        <v>0</v>
      </c>
      <c r="Y909" s="162">
        <f t="shared" si="296"/>
        <v>0</v>
      </c>
      <c r="Z909" s="162">
        <f t="shared" si="296"/>
        <v>0</v>
      </c>
      <c r="AA909" s="162">
        <f t="shared" si="296"/>
        <v>0</v>
      </c>
      <c r="AB909" s="163">
        <f t="shared" si="292"/>
        <v>0</v>
      </c>
      <c r="AC909" s="198"/>
    </row>
    <row r="910" spans="1:29" hidden="1" outlineLevel="1" x14ac:dyDescent="0.25">
      <c r="A910" s="14" t="str">
        <f t="shared" si="273"/>
        <v>TERC_OPER__37</v>
      </c>
      <c r="B910" s="15" t="str">
        <f t="shared" si="288"/>
        <v>TERC_OPER__0_0</v>
      </c>
      <c r="C910" s="83"/>
      <c r="D910" s="15">
        <f t="shared" si="289"/>
        <v>0</v>
      </c>
      <c r="E910" s="15">
        <v>37</v>
      </c>
      <c r="F910" s="190">
        <f t="shared" si="297"/>
        <v>0</v>
      </c>
      <c r="G910" s="149" t="str">
        <f t="shared" si="297"/>
        <v/>
      </c>
      <c r="H910" s="150" t="str">
        <f t="shared" si="297"/>
        <v/>
      </c>
      <c r="I910" s="150">
        <f t="shared" si="297"/>
        <v>0</v>
      </c>
      <c r="J910" s="150">
        <f t="shared" si="297"/>
        <v>0</v>
      </c>
      <c r="K910" s="196">
        <f t="shared" si="297"/>
        <v>0</v>
      </c>
      <c r="L910" s="197">
        <f t="shared" si="297"/>
        <v>0</v>
      </c>
      <c r="M910" s="191">
        <f t="shared" si="297"/>
        <v>0</v>
      </c>
      <c r="N910" s="150">
        <f t="shared" si="297"/>
        <v>0</v>
      </c>
      <c r="O910" s="193">
        <f t="shared" si="297"/>
        <v>0</v>
      </c>
      <c r="P910" s="162">
        <f t="shared" si="296"/>
        <v>0</v>
      </c>
      <c r="Q910" s="162">
        <f t="shared" si="296"/>
        <v>0</v>
      </c>
      <c r="R910" s="162">
        <f t="shared" si="296"/>
        <v>0</v>
      </c>
      <c r="S910" s="162">
        <f t="shared" si="296"/>
        <v>0</v>
      </c>
      <c r="T910" s="162">
        <f t="shared" si="296"/>
        <v>0</v>
      </c>
      <c r="U910" s="162">
        <f t="shared" si="296"/>
        <v>0</v>
      </c>
      <c r="V910" s="162">
        <f t="shared" si="296"/>
        <v>0</v>
      </c>
      <c r="W910" s="162">
        <f t="shared" si="296"/>
        <v>0</v>
      </c>
      <c r="X910" s="162">
        <f t="shared" si="296"/>
        <v>0</v>
      </c>
      <c r="Y910" s="162">
        <f t="shared" si="296"/>
        <v>0</v>
      </c>
      <c r="Z910" s="162">
        <f t="shared" si="296"/>
        <v>0</v>
      </c>
      <c r="AA910" s="162">
        <f t="shared" si="296"/>
        <v>0</v>
      </c>
      <c r="AB910" s="163">
        <f t="shared" si="292"/>
        <v>0</v>
      </c>
      <c r="AC910" s="198"/>
    </row>
    <row r="911" spans="1:29" hidden="1" outlineLevel="1" x14ac:dyDescent="0.25">
      <c r="A911" s="14" t="str">
        <f t="shared" si="273"/>
        <v>TERC_OPER__38</v>
      </c>
      <c r="B911" s="15" t="str">
        <f t="shared" si="288"/>
        <v>TERC_OPER__0_0</v>
      </c>
      <c r="C911" s="83"/>
      <c r="D911" s="15">
        <f t="shared" si="289"/>
        <v>0</v>
      </c>
      <c r="E911" s="15">
        <v>38</v>
      </c>
      <c r="F911" s="190">
        <f t="shared" si="297"/>
        <v>0</v>
      </c>
      <c r="G911" s="149" t="str">
        <f t="shared" si="297"/>
        <v/>
      </c>
      <c r="H911" s="150" t="str">
        <f t="shared" si="297"/>
        <v/>
      </c>
      <c r="I911" s="150">
        <f t="shared" si="297"/>
        <v>0</v>
      </c>
      <c r="J911" s="150">
        <f t="shared" si="297"/>
        <v>0</v>
      </c>
      <c r="K911" s="196">
        <f t="shared" si="297"/>
        <v>0</v>
      </c>
      <c r="L911" s="197">
        <f t="shared" si="297"/>
        <v>0</v>
      </c>
      <c r="M911" s="191">
        <f t="shared" si="297"/>
        <v>0</v>
      </c>
      <c r="N911" s="150">
        <f t="shared" si="297"/>
        <v>0</v>
      </c>
      <c r="O911" s="193">
        <f t="shared" si="297"/>
        <v>0</v>
      </c>
      <c r="P911" s="162">
        <f t="shared" ref="P911:AA918" si="298">IFERROR(SUMIF($B$483:$B$547,$C911&amp;$I911,P$483:P$547)/SUMIF($D$483:$D$547,$I911,P$483:P$547)*P589,0)</f>
        <v>0</v>
      </c>
      <c r="Q911" s="162">
        <f t="shared" si="298"/>
        <v>0</v>
      </c>
      <c r="R911" s="162">
        <f t="shared" si="298"/>
        <v>0</v>
      </c>
      <c r="S911" s="162">
        <f t="shared" si="298"/>
        <v>0</v>
      </c>
      <c r="T911" s="162">
        <f t="shared" si="298"/>
        <v>0</v>
      </c>
      <c r="U911" s="162">
        <f t="shared" si="298"/>
        <v>0</v>
      </c>
      <c r="V911" s="162">
        <f t="shared" si="298"/>
        <v>0</v>
      </c>
      <c r="W911" s="162">
        <f t="shared" si="298"/>
        <v>0</v>
      </c>
      <c r="X911" s="162">
        <f t="shared" si="298"/>
        <v>0</v>
      </c>
      <c r="Y911" s="162">
        <f t="shared" si="298"/>
        <v>0</v>
      </c>
      <c r="Z911" s="162">
        <f t="shared" si="298"/>
        <v>0</v>
      </c>
      <c r="AA911" s="162">
        <f t="shared" si="298"/>
        <v>0</v>
      </c>
      <c r="AB911" s="163">
        <f t="shared" si="292"/>
        <v>0</v>
      </c>
      <c r="AC911" s="198"/>
    </row>
    <row r="912" spans="1:29" hidden="1" outlineLevel="1" x14ac:dyDescent="0.25">
      <c r="A912" s="14" t="str">
        <f t="shared" si="273"/>
        <v>TERC_OPER__39</v>
      </c>
      <c r="B912" s="15" t="str">
        <f t="shared" si="288"/>
        <v>TERC_OPER__0_0</v>
      </c>
      <c r="C912" s="83"/>
      <c r="D912" s="15">
        <f t="shared" si="289"/>
        <v>0</v>
      </c>
      <c r="E912" s="15">
        <v>39</v>
      </c>
      <c r="F912" s="190">
        <f t="shared" si="297"/>
        <v>0</v>
      </c>
      <c r="G912" s="149" t="str">
        <f t="shared" si="297"/>
        <v/>
      </c>
      <c r="H912" s="150" t="str">
        <f t="shared" si="297"/>
        <v/>
      </c>
      <c r="I912" s="150">
        <f t="shared" si="297"/>
        <v>0</v>
      </c>
      <c r="J912" s="150">
        <f t="shared" si="297"/>
        <v>0</v>
      </c>
      <c r="K912" s="196">
        <f t="shared" si="297"/>
        <v>0</v>
      </c>
      <c r="L912" s="197">
        <f t="shared" si="297"/>
        <v>0</v>
      </c>
      <c r="M912" s="191">
        <f t="shared" si="297"/>
        <v>0</v>
      </c>
      <c r="N912" s="150">
        <f t="shared" si="297"/>
        <v>0</v>
      </c>
      <c r="O912" s="193">
        <f t="shared" si="297"/>
        <v>0</v>
      </c>
      <c r="P912" s="162">
        <f t="shared" si="298"/>
        <v>0</v>
      </c>
      <c r="Q912" s="162">
        <f t="shared" si="298"/>
        <v>0</v>
      </c>
      <c r="R912" s="162">
        <f t="shared" si="298"/>
        <v>0</v>
      </c>
      <c r="S912" s="162">
        <f t="shared" si="298"/>
        <v>0</v>
      </c>
      <c r="T912" s="162">
        <f t="shared" si="298"/>
        <v>0</v>
      </c>
      <c r="U912" s="162">
        <f t="shared" si="298"/>
        <v>0</v>
      </c>
      <c r="V912" s="162">
        <f t="shared" si="298"/>
        <v>0</v>
      </c>
      <c r="W912" s="162">
        <f t="shared" si="298"/>
        <v>0</v>
      </c>
      <c r="X912" s="162">
        <f t="shared" si="298"/>
        <v>0</v>
      </c>
      <c r="Y912" s="162">
        <f t="shared" si="298"/>
        <v>0</v>
      </c>
      <c r="Z912" s="162">
        <f t="shared" si="298"/>
        <v>0</v>
      </c>
      <c r="AA912" s="162">
        <f t="shared" si="298"/>
        <v>0</v>
      </c>
      <c r="AB912" s="163">
        <f t="shared" si="292"/>
        <v>0</v>
      </c>
      <c r="AC912" s="198"/>
    </row>
    <row r="913" spans="1:29" hidden="1" outlineLevel="1" x14ac:dyDescent="0.25">
      <c r="A913" s="14" t="str">
        <f t="shared" si="273"/>
        <v>TERC_OPER__40</v>
      </c>
      <c r="B913" s="15" t="str">
        <f t="shared" si="288"/>
        <v>TERC_OPER__0_0</v>
      </c>
      <c r="C913" s="83"/>
      <c r="D913" s="15">
        <f t="shared" si="289"/>
        <v>0</v>
      </c>
      <c r="E913" s="15">
        <v>40</v>
      </c>
      <c r="F913" s="190">
        <f t="shared" si="297"/>
        <v>0</v>
      </c>
      <c r="G913" s="149" t="str">
        <f t="shared" si="297"/>
        <v/>
      </c>
      <c r="H913" s="150" t="str">
        <f t="shared" si="297"/>
        <v/>
      </c>
      <c r="I913" s="150">
        <f t="shared" si="297"/>
        <v>0</v>
      </c>
      <c r="J913" s="150">
        <f t="shared" si="297"/>
        <v>0</v>
      </c>
      <c r="K913" s="196">
        <f t="shared" si="297"/>
        <v>0</v>
      </c>
      <c r="L913" s="197">
        <f t="shared" si="297"/>
        <v>0</v>
      </c>
      <c r="M913" s="191">
        <f t="shared" si="297"/>
        <v>0</v>
      </c>
      <c r="N913" s="150">
        <f t="shared" si="297"/>
        <v>0</v>
      </c>
      <c r="O913" s="193">
        <f t="shared" si="297"/>
        <v>0</v>
      </c>
      <c r="P913" s="162">
        <f t="shared" si="298"/>
        <v>0</v>
      </c>
      <c r="Q913" s="162">
        <f t="shared" si="298"/>
        <v>0</v>
      </c>
      <c r="R913" s="162">
        <f t="shared" si="298"/>
        <v>0</v>
      </c>
      <c r="S913" s="162">
        <f t="shared" si="298"/>
        <v>0</v>
      </c>
      <c r="T913" s="162">
        <f t="shared" si="298"/>
        <v>0</v>
      </c>
      <c r="U913" s="162">
        <f t="shared" si="298"/>
        <v>0</v>
      </c>
      <c r="V913" s="162">
        <f t="shared" si="298"/>
        <v>0</v>
      </c>
      <c r="W913" s="162">
        <f t="shared" si="298"/>
        <v>0</v>
      </c>
      <c r="X913" s="162">
        <f t="shared" si="298"/>
        <v>0</v>
      </c>
      <c r="Y913" s="162">
        <f t="shared" si="298"/>
        <v>0</v>
      </c>
      <c r="Z913" s="162">
        <f t="shared" si="298"/>
        <v>0</v>
      </c>
      <c r="AA913" s="162">
        <f t="shared" si="298"/>
        <v>0</v>
      </c>
      <c r="AB913" s="163">
        <f t="shared" si="292"/>
        <v>0</v>
      </c>
      <c r="AC913" s="198"/>
    </row>
    <row r="914" spans="1:29" hidden="1" outlineLevel="1" x14ac:dyDescent="0.25">
      <c r="A914" s="14" t="str">
        <f t="shared" si="273"/>
        <v>TERC_OPER__41</v>
      </c>
      <c r="B914" s="15" t="str">
        <f t="shared" si="288"/>
        <v>TERC_OPER__0_0</v>
      </c>
      <c r="C914" s="83"/>
      <c r="D914" s="15">
        <f t="shared" si="289"/>
        <v>0</v>
      </c>
      <c r="E914" s="15">
        <v>41</v>
      </c>
      <c r="F914" s="190">
        <f t="shared" si="297"/>
        <v>0</v>
      </c>
      <c r="G914" s="149" t="str">
        <f t="shared" si="297"/>
        <v/>
      </c>
      <c r="H914" s="150" t="str">
        <f t="shared" si="297"/>
        <v/>
      </c>
      <c r="I914" s="150">
        <f t="shared" si="297"/>
        <v>0</v>
      </c>
      <c r="J914" s="150">
        <f t="shared" si="297"/>
        <v>0</v>
      </c>
      <c r="K914" s="196">
        <f t="shared" si="297"/>
        <v>0</v>
      </c>
      <c r="L914" s="197">
        <f t="shared" si="297"/>
        <v>0</v>
      </c>
      <c r="M914" s="191">
        <f t="shared" si="297"/>
        <v>0</v>
      </c>
      <c r="N914" s="150">
        <f t="shared" si="297"/>
        <v>0</v>
      </c>
      <c r="O914" s="193">
        <f t="shared" si="297"/>
        <v>0</v>
      </c>
      <c r="P914" s="162">
        <f t="shared" si="298"/>
        <v>0</v>
      </c>
      <c r="Q914" s="162">
        <f t="shared" si="298"/>
        <v>0</v>
      </c>
      <c r="R914" s="162">
        <f t="shared" si="298"/>
        <v>0</v>
      </c>
      <c r="S914" s="162">
        <f t="shared" si="298"/>
        <v>0</v>
      </c>
      <c r="T914" s="162">
        <f t="shared" si="298"/>
        <v>0</v>
      </c>
      <c r="U914" s="162">
        <f t="shared" si="298"/>
        <v>0</v>
      </c>
      <c r="V914" s="162">
        <f t="shared" si="298"/>
        <v>0</v>
      </c>
      <c r="W914" s="162">
        <f t="shared" si="298"/>
        <v>0</v>
      </c>
      <c r="X914" s="162">
        <f t="shared" si="298"/>
        <v>0</v>
      </c>
      <c r="Y914" s="162">
        <f t="shared" si="298"/>
        <v>0</v>
      </c>
      <c r="Z914" s="162">
        <f t="shared" si="298"/>
        <v>0</v>
      </c>
      <c r="AA914" s="162">
        <f t="shared" si="298"/>
        <v>0</v>
      </c>
      <c r="AB914" s="163">
        <f t="shared" si="292"/>
        <v>0</v>
      </c>
      <c r="AC914" s="198"/>
    </row>
    <row r="915" spans="1:29" hidden="1" outlineLevel="1" x14ac:dyDescent="0.25">
      <c r="A915" s="14" t="str">
        <f t="shared" si="273"/>
        <v>TERC_OPER__42</v>
      </c>
      <c r="B915" s="15" t="str">
        <f t="shared" si="288"/>
        <v>TERC_OPER__0_0</v>
      </c>
      <c r="C915" s="83"/>
      <c r="D915" s="15">
        <f t="shared" si="289"/>
        <v>0</v>
      </c>
      <c r="E915" s="15">
        <v>42</v>
      </c>
      <c r="F915" s="190">
        <f t="shared" si="297"/>
        <v>0</v>
      </c>
      <c r="G915" s="149" t="str">
        <f t="shared" si="297"/>
        <v/>
      </c>
      <c r="H915" s="150" t="str">
        <f t="shared" si="297"/>
        <v/>
      </c>
      <c r="I915" s="150">
        <f t="shared" si="297"/>
        <v>0</v>
      </c>
      <c r="J915" s="150">
        <f t="shared" si="297"/>
        <v>0</v>
      </c>
      <c r="K915" s="196">
        <f t="shared" si="297"/>
        <v>0</v>
      </c>
      <c r="L915" s="197">
        <f t="shared" si="297"/>
        <v>0</v>
      </c>
      <c r="M915" s="191">
        <f t="shared" si="297"/>
        <v>0</v>
      </c>
      <c r="N915" s="150">
        <f t="shared" si="297"/>
        <v>0</v>
      </c>
      <c r="O915" s="193">
        <f t="shared" si="297"/>
        <v>0</v>
      </c>
      <c r="P915" s="162">
        <f t="shared" si="298"/>
        <v>0</v>
      </c>
      <c r="Q915" s="162">
        <f t="shared" si="298"/>
        <v>0</v>
      </c>
      <c r="R915" s="162">
        <f t="shared" si="298"/>
        <v>0</v>
      </c>
      <c r="S915" s="162">
        <f t="shared" si="298"/>
        <v>0</v>
      </c>
      <c r="T915" s="162">
        <f t="shared" si="298"/>
        <v>0</v>
      </c>
      <c r="U915" s="162">
        <f t="shared" si="298"/>
        <v>0</v>
      </c>
      <c r="V915" s="162">
        <f t="shared" si="298"/>
        <v>0</v>
      </c>
      <c r="W915" s="162">
        <f t="shared" si="298"/>
        <v>0</v>
      </c>
      <c r="X915" s="162">
        <f t="shared" si="298"/>
        <v>0</v>
      </c>
      <c r="Y915" s="162">
        <f t="shared" si="298"/>
        <v>0</v>
      </c>
      <c r="Z915" s="162">
        <f t="shared" si="298"/>
        <v>0</v>
      </c>
      <c r="AA915" s="162">
        <f t="shared" si="298"/>
        <v>0</v>
      </c>
      <c r="AB915" s="163">
        <f t="shared" si="292"/>
        <v>0</v>
      </c>
      <c r="AC915" s="198"/>
    </row>
    <row r="916" spans="1:29" hidden="1" outlineLevel="1" x14ac:dyDescent="0.25">
      <c r="A916" s="14" t="str">
        <f t="shared" si="273"/>
        <v>TERC_OPER__43</v>
      </c>
      <c r="B916" s="15" t="str">
        <f t="shared" si="288"/>
        <v>TERC_OPER__0_0</v>
      </c>
      <c r="C916" s="83"/>
      <c r="D916" s="15">
        <f t="shared" si="289"/>
        <v>0</v>
      </c>
      <c r="E916" s="15">
        <v>43</v>
      </c>
      <c r="F916" s="190">
        <f t="shared" si="297"/>
        <v>0</v>
      </c>
      <c r="G916" s="149" t="str">
        <f t="shared" si="297"/>
        <v/>
      </c>
      <c r="H916" s="150" t="str">
        <f t="shared" si="297"/>
        <v/>
      </c>
      <c r="I916" s="150">
        <f t="shared" si="297"/>
        <v>0</v>
      </c>
      <c r="J916" s="150">
        <f t="shared" si="297"/>
        <v>0</v>
      </c>
      <c r="K916" s="196">
        <f t="shared" si="297"/>
        <v>0</v>
      </c>
      <c r="L916" s="197">
        <f t="shared" si="297"/>
        <v>0</v>
      </c>
      <c r="M916" s="191">
        <f t="shared" si="297"/>
        <v>0</v>
      </c>
      <c r="N916" s="150">
        <f t="shared" si="297"/>
        <v>0</v>
      </c>
      <c r="O916" s="193">
        <f t="shared" si="297"/>
        <v>0</v>
      </c>
      <c r="P916" s="162">
        <f t="shared" si="298"/>
        <v>0</v>
      </c>
      <c r="Q916" s="162">
        <f t="shared" si="298"/>
        <v>0</v>
      </c>
      <c r="R916" s="162">
        <f t="shared" si="298"/>
        <v>0</v>
      </c>
      <c r="S916" s="162">
        <f t="shared" si="298"/>
        <v>0</v>
      </c>
      <c r="T916" s="162">
        <f t="shared" si="298"/>
        <v>0</v>
      </c>
      <c r="U916" s="162">
        <f t="shared" si="298"/>
        <v>0</v>
      </c>
      <c r="V916" s="162">
        <f t="shared" si="298"/>
        <v>0</v>
      </c>
      <c r="W916" s="162">
        <f t="shared" si="298"/>
        <v>0</v>
      </c>
      <c r="X916" s="162">
        <f t="shared" si="298"/>
        <v>0</v>
      </c>
      <c r="Y916" s="162">
        <f t="shared" si="298"/>
        <v>0</v>
      </c>
      <c r="Z916" s="162">
        <f t="shared" si="298"/>
        <v>0</v>
      </c>
      <c r="AA916" s="162">
        <f t="shared" si="298"/>
        <v>0</v>
      </c>
      <c r="AB916" s="163">
        <f t="shared" si="292"/>
        <v>0</v>
      </c>
      <c r="AC916" s="198"/>
    </row>
    <row r="917" spans="1:29" hidden="1" outlineLevel="1" x14ac:dyDescent="0.25">
      <c r="A917" s="14" t="str">
        <f t="shared" si="273"/>
        <v>TERC_OPER__44</v>
      </c>
      <c r="B917" s="15" t="str">
        <f t="shared" si="288"/>
        <v>TERC_OPER__0_0</v>
      </c>
      <c r="C917" s="83"/>
      <c r="D917" s="15">
        <f t="shared" si="289"/>
        <v>0</v>
      </c>
      <c r="E917" s="15">
        <v>44</v>
      </c>
      <c r="F917" s="190">
        <f t="shared" si="297"/>
        <v>0</v>
      </c>
      <c r="G917" s="149" t="str">
        <f t="shared" si="297"/>
        <v/>
      </c>
      <c r="H917" s="150" t="str">
        <f t="shared" si="297"/>
        <v/>
      </c>
      <c r="I917" s="150">
        <f t="shared" si="297"/>
        <v>0</v>
      </c>
      <c r="J917" s="150">
        <f t="shared" si="297"/>
        <v>0</v>
      </c>
      <c r="K917" s="196">
        <f t="shared" si="297"/>
        <v>0</v>
      </c>
      <c r="L917" s="197">
        <f t="shared" si="297"/>
        <v>0</v>
      </c>
      <c r="M917" s="191">
        <f t="shared" si="297"/>
        <v>0</v>
      </c>
      <c r="N917" s="150">
        <f t="shared" si="297"/>
        <v>0</v>
      </c>
      <c r="O917" s="193">
        <f t="shared" si="297"/>
        <v>0</v>
      </c>
      <c r="P917" s="162">
        <f t="shared" si="298"/>
        <v>0</v>
      </c>
      <c r="Q917" s="162">
        <f t="shared" si="298"/>
        <v>0</v>
      </c>
      <c r="R917" s="162">
        <f t="shared" si="298"/>
        <v>0</v>
      </c>
      <c r="S917" s="162">
        <f t="shared" si="298"/>
        <v>0</v>
      </c>
      <c r="T917" s="162">
        <f t="shared" si="298"/>
        <v>0</v>
      </c>
      <c r="U917" s="162">
        <f t="shared" si="298"/>
        <v>0</v>
      </c>
      <c r="V917" s="162">
        <f t="shared" si="298"/>
        <v>0</v>
      </c>
      <c r="W917" s="162">
        <f t="shared" si="298"/>
        <v>0</v>
      </c>
      <c r="X917" s="162">
        <f t="shared" si="298"/>
        <v>0</v>
      </c>
      <c r="Y917" s="162">
        <f t="shared" si="298"/>
        <v>0</v>
      </c>
      <c r="Z917" s="162">
        <f t="shared" si="298"/>
        <v>0</v>
      </c>
      <c r="AA917" s="162">
        <f t="shared" si="298"/>
        <v>0</v>
      </c>
      <c r="AB917" s="163">
        <f t="shared" si="292"/>
        <v>0</v>
      </c>
      <c r="AC917" s="198"/>
    </row>
    <row r="918" spans="1:29" hidden="1" outlineLevel="1" x14ac:dyDescent="0.25">
      <c r="A918" s="14" t="str">
        <f t="shared" si="273"/>
        <v>TERC_OPER__45</v>
      </c>
      <c r="B918" s="15" t="str">
        <f t="shared" si="288"/>
        <v>TERC_OPER__0_0</v>
      </c>
      <c r="C918" s="83"/>
      <c r="D918" s="15">
        <f t="shared" si="289"/>
        <v>0</v>
      </c>
      <c r="E918" s="15">
        <v>45</v>
      </c>
      <c r="F918" s="209">
        <f t="shared" si="297"/>
        <v>0</v>
      </c>
      <c r="G918" s="183" t="str">
        <f t="shared" si="297"/>
        <v/>
      </c>
      <c r="H918" s="184" t="str">
        <f t="shared" si="297"/>
        <v/>
      </c>
      <c r="I918" s="184">
        <f t="shared" si="297"/>
        <v>0</v>
      </c>
      <c r="J918" s="184">
        <f t="shared" si="297"/>
        <v>0</v>
      </c>
      <c r="K918" s="210">
        <f t="shared" si="297"/>
        <v>0</v>
      </c>
      <c r="L918" s="211">
        <f t="shared" si="297"/>
        <v>0</v>
      </c>
      <c r="M918" s="212">
        <f t="shared" si="297"/>
        <v>0</v>
      </c>
      <c r="N918" s="184">
        <f t="shared" si="297"/>
        <v>0</v>
      </c>
      <c r="O918" s="213">
        <f t="shared" si="297"/>
        <v>0</v>
      </c>
      <c r="P918" s="175">
        <f t="shared" si="298"/>
        <v>0</v>
      </c>
      <c r="Q918" s="175">
        <f t="shared" si="298"/>
        <v>0</v>
      </c>
      <c r="R918" s="175">
        <f t="shared" si="298"/>
        <v>0</v>
      </c>
      <c r="S918" s="175">
        <f t="shared" si="298"/>
        <v>0</v>
      </c>
      <c r="T918" s="175">
        <f t="shared" si="298"/>
        <v>0</v>
      </c>
      <c r="U918" s="175">
        <f t="shared" si="298"/>
        <v>0</v>
      </c>
      <c r="V918" s="175">
        <f t="shared" si="298"/>
        <v>0</v>
      </c>
      <c r="W918" s="175">
        <f t="shared" si="298"/>
        <v>0</v>
      </c>
      <c r="X918" s="175">
        <f t="shared" si="298"/>
        <v>0</v>
      </c>
      <c r="Y918" s="175">
        <f t="shared" si="298"/>
        <v>0</v>
      </c>
      <c r="Z918" s="175">
        <f t="shared" si="298"/>
        <v>0</v>
      </c>
      <c r="AA918" s="175">
        <f t="shared" si="298"/>
        <v>0</v>
      </c>
      <c r="AB918" s="176">
        <f t="shared" si="292"/>
        <v>0</v>
      </c>
      <c r="AC918" s="172"/>
    </row>
    <row r="919" spans="1:29" hidden="1" outlineLevel="1" x14ac:dyDescent="0.25">
      <c r="A919" s="14" t="str">
        <f t="shared" si="273"/>
        <v>TERC_OPER__</v>
      </c>
      <c r="F919" s="137" t="s">
        <v>284</v>
      </c>
      <c r="G919" s="138"/>
      <c r="H919" s="139" t="s">
        <v>217</v>
      </c>
      <c r="I919" s="139" t="s">
        <v>218</v>
      </c>
      <c r="J919" s="139" t="s">
        <v>219</v>
      </c>
      <c r="K919" s="140"/>
      <c r="L919" s="141"/>
      <c r="M919" s="142" t="s">
        <v>220</v>
      </c>
      <c r="N919" s="139" t="s">
        <v>221</v>
      </c>
      <c r="O919" s="143" t="s">
        <v>222</v>
      </c>
      <c r="P919" s="35">
        <f>P$9</f>
        <v>46113</v>
      </c>
      <c r="Q919" s="35">
        <f t="shared" ref="Q919:AA919" si="299">Q$9</f>
        <v>46143</v>
      </c>
      <c r="R919" s="35">
        <f t="shared" si="299"/>
        <v>46174</v>
      </c>
      <c r="S919" s="35">
        <f t="shared" si="299"/>
        <v>46204</v>
      </c>
      <c r="T919" s="35">
        <f t="shared" si="299"/>
        <v>46235</v>
      </c>
      <c r="U919" s="35">
        <f t="shared" si="299"/>
        <v>46266</v>
      </c>
      <c r="V919" s="35">
        <f t="shared" si="299"/>
        <v>46296</v>
      </c>
      <c r="W919" s="35">
        <f t="shared" si="299"/>
        <v>46327</v>
      </c>
      <c r="X919" s="35">
        <f t="shared" si="299"/>
        <v>46357</v>
      </c>
      <c r="Y919" s="35">
        <f t="shared" si="299"/>
        <v>46388</v>
      </c>
      <c r="Z919" s="35">
        <f t="shared" si="299"/>
        <v>46419</v>
      </c>
      <c r="AA919" s="35">
        <f t="shared" si="299"/>
        <v>46447</v>
      </c>
      <c r="AB919" s="81" t="s">
        <v>223</v>
      </c>
      <c r="AC919" s="82" t="s">
        <v>192</v>
      </c>
    </row>
    <row r="920" spans="1:29" hidden="1" outlineLevel="1" x14ac:dyDescent="0.25">
      <c r="A920" s="14" t="str">
        <f t="shared" si="273"/>
        <v>TERC_OPER__1</v>
      </c>
      <c r="B920" s="15" t="str">
        <f t="shared" ref="B920:B964" si="300">"TERC_OPER_"&amp;C920&amp;"_"&amp;F920&amp;"_"&amp;J920</f>
        <v>TERC_OPER__1018_1</v>
      </c>
      <c r="C920" s="83"/>
      <c r="D920" s="15">
        <f t="shared" ref="D920:D964" si="301">J920</f>
        <v>1</v>
      </c>
      <c r="E920" s="15">
        <v>1</v>
      </c>
      <c r="F920" s="190">
        <f t="shared" ref="F920:O935" si="302">F874</f>
        <v>1018</v>
      </c>
      <c r="G920" s="149" t="str">
        <f t="shared" si="302"/>
        <v/>
      </c>
      <c r="H920" s="150" t="str">
        <f t="shared" si="302"/>
        <v/>
      </c>
      <c r="I920" s="150" t="str">
        <f t="shared" si="302"/>
        <v>PLANCP</v>
      </c>
      <c r="J920" s="150">
        <f t="shared" si="302"/>
        <v>1</v>
      </c>
      <c r="K920" s="196">
        <f t="shared" si="302"/>
        <v>0</v>
      </c>
      <c r="L920" s="197">
        <f t="shared" si="302"/>
        <v>0</v>
      </c>
      <c r="M920" s="191">
        <f t="shared" si="302"/>
        <v>0</v>
      </c>
      <c r="N920" s="150">
        <f t="shared" si="302"/>
        <v>0</v>
      </c>
      <c r="O920" s="193">
        <f t="shared" si="302"/>
        <v>1</v>
      </c>
      <c r="P920" s="162">
        <f t="shared" ref="P920:AA923" si="303">IFERROR(SUMIF($B$483:$B$547,$C920&amp;$I920,P$483:P$547)/SUMIF($D$483:$D$547,$I920,P$483:P$547)*P553,0)</f>
        <v>0</v>
      </c>
      <c r="Q920" s="162">
        <f t="shared" si="303"/>
        <v>0</v>
      </c>
      <c r="R920" s="162">
        <f t="shared" si="303"/>
        <v>0</v>
      </c>
      <c r="S920" s="162">
        <f t="shared" si="303"/>
        <v>0</v>
      </c>
      <c r="T920" s="162">
        <f t="shared" si="303"/>
        <v>0</v>
      </c>
      <c r="U920" s="162">
        <f t="shared" si="303"/>
        <v>0</v>
      </c>
      <c r="V920" s="162">
        <f t="shared" si="303"/>
        <v>0</v>
      </c>
      <c r="W920" s="162">
        <f t="shared" si="303"/>
        <v>0</v>
      </c>
      <c r="X920" s="162">
        <f t="shared" si="303"/>
        <v>0</v>
      </c>
      <c r="Y920" s="162">
        <f t="shared" si="303"/>
        <v>0</v>
      </c>
      <c r="Z920" s="162">
        <f t="shared" si="303"/>
        <v>0</v>
      </c>
      <c r="AA920" s="162">
        <f t="shared" si="303"/>
        <v>0</v>
      </c>
      <c r="AB920" s="163">
        <f t="shared" ref="AB920:AB964" si="304">SUM(P920:AA920)</f>
        <v>0</v>
      </c>
      <c r="AC920" s="198"/>
    </row>
    <row r="921" spans="1:29" hidden="1" outlineLevel="1" x14ac:dyDescent="0.25">
      <c r="A921" s="14" t="str">
        <f t="shared" si="273"/>
        <v>TERC_OPER__2</v>
      </c>
      <c r="B921" s="15" t="str">
        <f t="shared" si="300"/>
        <v>TERC_OPER__1023_1</v>
      </c>
      <c r="C921" s="83"/>
      <c r="D921" s="15">
        <f t="shared" si="301"/>
        <v>1</v>
      </c>
      <c r="E921" s="15">
        <v>2</v>
      </c>
      <c r="F921" s="190">
        <f t="shared" si="302"/>
        <v>1023</v>
      </c>
      <c r="G921" s="149" t="str">
        <f t="shared" si="302"/>
        <v/>
      </c>
      <c r="H921" s="150" t="str">
        <f t="shared" si="302"/>
        <v/>
      </c>
      <c r="I921" s="150" t="str">
        <f t="shared" si="302"/>
        <v>PLANCP</v>
      </c>
      <c r="J921" s="150">
        <f t="shared" si="302"/>
        <v>1</v>
      </c>
      <c r="K921" s="196">
        <f t="shared" si="302"/>
        <v>0</v>
      </c>
      <c r="L921" s="197">
        <f t="shared" si="302"/>
        <v>0</v>
      </c>
      <c r="M921" s="191">
        <f t="shared" si="302"/>
        <v>0</v>
      </c>
      <c r="N921" s="150">
        <f t="shared" si="302"/>
        <v>0</v>
      </c>
      <c r="O921" s="193">
        <f t="shared" si="302"/>
        <v>1</v>
      </c>
      <c r="P921" s="162">
        <f t="shared" si="303"/>
        <v>0</v>
      </c>
      <c r="Q921" s="162">
        <f t="shared" si="303"/>
        <v>0</v>
      </c>
      <c r="R921" s="162">
        <f t="shared" si="303"/>
        <v>0</v>
      </c>
      <c r="S921" s="162">
        <f t="shared" si="303"/>
        <v>0</v>
      </c>
      <c r="T921" s="162">
        <f t="shared" si="303"/>
        <v>0</v>
      </c>
      <c r="U921" s="162">
        <f t="shared" si="303"/>
        <v>0</v>
      </c>
      <c r="V921" s="162">
        <f t="shared" si="303"/>
        <v>0</v>
      </c>
      <c r="W921" s="162">
        <f t="shared" si="303"/>
        <v>0</v>
      </c>
      <c r="X921" s="162">
        <f t="shared" si="303"/>
        <v>0</v>
      </c>
      <c r="Y921" s="162">
        <f t="shared" si="303"/>
        <v>0</v>
      </c>
      <c r="Z921" s="162">
        <f t="shared" si="303"/>
        <v>0</v>
      </c>
      <c r="AA921" s="162">
        <f t="shared" si="303"/>
        <v>0</v>
      </c>
      <c r="AB921" s="163">
        <f t="shared" si="304"/>
        <v>0</v>
      </c>
      <c r="AC921" s="198"/>
    </row>
    <row r="922" spans="1:29" hidden="1" outlineLevel="1" x14ac:dyDescent="0.25">
      <c r="A922" s="14" t="str">
        <f t="shared" si="273"/>
        <v>TERC_OPER__3</v>
      </c>
      <c r="B922" s="15" t="str">
        <f t="shared" si="300"/>
        <v>TERC_OPER__1018_1</v>
      </c>
      <c r="C922" s="83"/>
      <c r="D922" s="15">
        <f t="shared" si="301"/>
        <v>1</v>
      </c>
      <c r="E922" s="15">
        <v>3</v>
      </c>
      <c r="F922" s="190">
        <f t="shared" si="302"/>
        <v>1018</v>
      </c>
      <c r="G922" s="149" t="str">
        <f t="shared" si="302"/>
        <v/>
      </c>
      <c r="H922" s="150" t="str">
        <f t="shared" si="302"/>
        <v/>
      </c>
      <c r="I922" s="150" t="str">
        <f t="shared" si="302"/>
        <v>PLANCF</v>
      </c>
      <c r="J922" s="150">
        <f t="shared" si="302"/>
        <v>1</v>
      </c>
      <c r="K922" s="196">
        <f t="shared" si="302"/>
        <v>0</v>
      </c>
      <c r="L922" s="197">
        <f t="shared" si="302"/>
        <v>0</v>
      </c>
      <c r="M922" s="191">
        <f t="shared" si="302"/>
        <v>0</v>
      </c>
      <c r="N922" s="150">
        <f t="shared" si="302"/>
        <v>0</v>
      </c>
      <c r="O922" s="193">
        <f t="shared" si="302"/>
        <v>1</v>
      </c>
      <c r="P922" s="162">
        <f t="shared" si="303"/>
        <v>0</v>
      </c>
      <c r="Q922" s="162">
        <f t="shared" si="303"/>
        <v>0</v>
      </c>
      <c r="R922" s="162">
        <f t="shared" si="303"/>
        <v>0</v>
      </c>
      <c r="S922" s="162">
        <f t="shared" si="303"/>
        <v>0</v>
      </c>
      <c r="T922" s="162">
        <f t="shared" si="303"/>
        <v>0</v>
      </c>
      <c r="U922" s="162">
        <f t="shared" si="303"/>
        <v>0</v>
      </c>
      <c r="V922" s="162">
        <f t="shared" si="303"/>
        <v>0</v>
      </c>
      <c r="W922" s="162">
        <f t="shared" si="303"/>
        <v>0</v>
      </c>
      <c r="X922" s="162">
        <f t="shared" si="303"/>
        <v>0</v>
      </c>
      <c r="Y922" s="162">
        <f t="shared" si="303"/>
        <v>0</v>
      </c>
      <c r="Z922" s="162">
        <f t="shared" si="303"/>
        <v>0</v>
      </c>
      <c r="AA922" s="162">
        <f t="shared" si="303"/>
        <v>0</v>
      </c>
      <c r="AB922" s="163">
        <f t="shared" si="304"/>
        <v>0</v>
      </c>
      <c r="AC922" s="198"/>
    </row>
    <row r="923" spans="1:29" hidden="1" outlineLevel="1" x14ac:dyDescent="0.25">
      <c r="A923" s="14" t="str">
        <f t="shared" si="273"/>
        <v>TERC_OPER__4</v>
      </c>
      <c r="B923" s="15" t="str">
        <f t="shared" si="300"/>
        <v>TERC_OPER__1023_1</v>
      </c>
      <c r="C923" s="83"/>
      <c r="D923" s="15">
        <f t="shared" si="301"/>
        <v>1</v>
      </c>
      <c r="E923" s="15">
        <v>4</v>
      </c>
      <c r="F923" s="190">
        <f t="shared" si="302"/>
        <v>1023</v>
      </c>
      <c r="G923" s="149" t="str">
        <f t="shared" si="302"/>
        <v/>
      </c>
      <c r="H923" s="150" t="str">
        <f t="shared" si="302"/>
        <v/>
      </c>
      <c r="I923" s="150" t="str">
        <f t="shared" si="302"/>
        <v>PLANCF</v>
      </c>
      <c r="J923" s="150">
        <f t="shared" si="302"/>
        <v>1</v>
      </c>
      <c r="K923" s="196">
        <f t="shared" si="302"/>
        <v>0</v>
      </c>
      <c r="L923" s="197">
        <f t="shared" si="302"/>
        <v>0</v>
      </c>
      <c r="M923" s="191">
        <f t="shared" si="302"/>
        <v>0</v>
      </c>
      <c r="N923" s="150">
        <f t="shared" si="302"/>
        <v>0</v>
      </c>
      <c r="O923" s="193">
        <f t="shared" si="302"/>
        <v>1</v>
      </c>
      <c r="P923" s="162">
        <f t="shared" si="303"/>
        <v>0</v>
      </c>
      <c r="Q923" s="162">
        <f t="shared" si="303"/>
        <v>0</v>
      </c>
      <c r="R923" s="162">
        <f t="shared" si="303"/>
        <v>0</v>
      </c>
      <c r="S923" s="162">
        <f t="shared" si="303"/>
        <v>0</v>
      </c>
      <c r="T923" s="162">
        <f t="shared" si="303"/>
        <v>0</v>
      </c>
      <c r="U923" s="162">
        <f t="shared" si="303"/>
        <v>0</v>
      </c>
      <c r="V923" s="162">
        <f t="shared" si="303"/>
        <v>0</v>
      </c>
      <c r="W923" s="162">
        <f t="shared" si="303"/>
        <v>0</v>
      </c>
      <c r="X923" s="162">
        <f t="shared" si="303"/>
        <v>0</v>
      </c>
      <c r="Y923" s="162">
        <f t="shared" si="303"/>
        <v>0</v>
      </c>
      <c r="Z923" s="162">
        <f t="shared" si="303"/>
        <v>0</v>
      </c>
      <c r="AA923" s="162">
        <f t="shared" si="303"/>
        <v>0</v>
      </c>
      <c r="AB923" s="163">
        <f t="shared" si="304"/>
        <v>0</v>
      </c>
      <c r="AC923" s="159"/>
    </row>
    <row r="924" spans="1:29" hidden="1" outlineLevel="1" x14ac:dyDescent="0.25">
      <c r="A924" s="14" t="str">
        <f t="shared" si="273"/>
        <v>TERC_OPER__5</v>
      </c>
      <c r="B924" s="15" t="e">
        <f t="shared" si="300"/>
        <v>#REF!</v>
      </c>
      <c r="C924" s="83"/>
      <c r="D924" s="15" t="e">
        <f t="shared" si="301"/>
        <v>#REF!</v>
      </c>
      <c r="E924" s="15">
        <v>5</v>
      </c>
      <c r="F924" s="190" t="e">
        <f t="shared" si="302"/>
        <v>#REF!</v>
      </c>
      <c r="G924" s="149" t="e">
        <f t="shared" si="302"/>
        <v>#REF!</v>
      </c>
      <c r="H924" s="150" t="e">
        <f t="shared" si="302"/>
        <v>#REF!</v>
      </c>
      <c r="I924" s="150" t="e">
        <f t="shared" si="302"/>
        <v>#REF!</v>
      </c>
      <c r="J924" s="150" t="e">
        <f t="shared" si="302"/>
        <v>#REF!</v>
      </c>
      <c r="K924" s="196" t="e">
        <f t="shared" si="302"/>
        <v>#REF!</v>
      </c>
      <c r="L924" s="197" t="e">
        <f t="shared" si="302"/>
        <v>#REF!</v>
      </c>
      <c r="M924" s="191" t="e">
        <f t="shared" si="302"/>
        <v>#REF!</v>
      </c>
      <c r="N924" s="150" t="e">
        <f t="shared" si="302"/>
        <v>#REF!</v>
      </c>
      <c r="O924" s="193" t="e">
        <f t="shared" si="302"/>
        <v>#REF!</v>
      </c>
      <c r="P924" s="162">
        <f>IFERROR(SUMIF($B$483:$B$547,$C924&amp;$I924,P$483:P$547)/SUMIF($D$483:$D$547,$I924,P$483:P$547)*#REF!,0)</f>
        <v>0</v>
      </c>
      <c r="Q924" s="162">
        <f>IFERROR(SUMIF($B$483:$B$547,$C924&amp;$I924,Q$483:Q$547)/SUMIF($D$483:$D$547,$I924,Q$483:Q$547)*#REF!,0)</f>
        <v>0</v>
      </c>
      <c r="R924" s="162">
        <f>IFERROR(SUMIF($B$483:$B$547,$C924&amp;$I924,R$483:R$547)/SUMIF($D$483:$D$547,$I924,R$483:R$547)*#REF!,0)</f>
        <v>0</v>
      </c>
      <c r="S924" s="162">
        <f>IFERROR(SUMIF($B$483:$B$547,$C924&amp;$I924,S$483:S$547)/SUMIF($D$483:$D$547,$I924,S$483:S$547)*#REF!,0)</f>
        <v>0</v>
      </c>
      <c r="T924" s="162">
        <f>IFERROR(SUMIF($B$483:$B$547,$C924&amp;$I924,T$483:T$547)/SUMIF($D$483:$D$547,$I924,T$483:T$547)*#REF!,0)</f>
        <v>0</v>
      </c>
      <c r="U924" s="162">
        <f>IFERROR(SUMIF($B$483:$B$547,$C924&amp;$I924,U$483:U$547)/SUMIF($D$483:$D$547,$I924,U$483:U$547)*#REF!,0)</f>
        <v>0</v>
      </c>
      <c r="V924" s="162">
        <f>IFERROR(SUMIF($B$483:$B$547,$C924&amp;$I924,V$483:V$547)/SUMIF($D$483:$D$547,$I924,V$483:V$547)*#REF!,0)</f>
        <v>0</v>
      </c>
      <c r="W924" s="162">
        <f>IFERROR(SUMIF($B$483:$B$547,$C924&amp;$I924,W$483:W$547)/SUMIF($D$483:$D$547,$I924,W$483:W$547)*#REF!,0)</f>
        <v>0</v>
      </c>
      <c r="X924" s="162">
        <f>IFERROR(SUMIF($B$483:$B$547,$C924&amp;$I924,X$483:X$547)/SUMIF($D$483:$D$547,$I924,X$483:X$547)*#REF!,0)</f>
        <v>0</v>
      </c>
      <c r="Y924" s="162">
        <f>IFERROR(SUMIF($B$483:$B$547,$C924&amp;$I924,Y$483:Y$547)/SUMIF($D$483:$D$547,$I924,Y$483:Y$547)*#REF!,0)</f>
        <v>0</v>
      </c>
      <c r="Z924" s="162">
        <f>IFERROR(SUMIF($B$483:$B$547,$C924&amp;$I924,Z$483:Z$547)/SUMIF($D$483:$D$547,$I924,Z$483:Z$547)*#REF!,0)</f>
        <v>0</v>
      </c>
      <c r="AA924" s="162">
        <f>IFERROR(SUMIF($B$483:$B$547,$C924&amp;$I924,AA$483:AA$547)/SUMIF($D$483:$D$547,$I924,AA$483:AA$547)*#REF!,0)</f>
        <v>0</v>
      </c>
      <c r="AB924" s="163">
        <f t="shared" si="304"/>
        <v>0</v>
      </c>
      <c r="AC924" s="159"/>
    </row>
    <row r="925" spans="1:29" hidden="1" outlineLevel="1" x14ac:dyDescent="0.25">
      <c r="A925" s="14" t="str">
        <f t="shared" si="273"/>
        <v>TERC_OPER__6</v>
      </c>
      <c r="B925" s="15" t="str">
        <f t="shared" si="300"/>
        <v>TERC_OPER__1033_1</v>
      </c>
      <c r="C925" s="83"/>
      <c r="D925" s="15">
        <f t="shared" si="301"/>
        <v>1</v>
      </c>
      <c r="E925" s="15">
        <v>6</v>
      </c>
      <c r="F925" s="190">
        <f t="shared" si="302"/>
        <v>1033</v>
      </c>
      <c r="G925" s="149" t="str">
        <f t="shared" si="302"/>
        <v/>
      </c>
      <c r="H925" s="150" t="str">
        <f t="shared" si="302"/>
        <v/>
      </c>
      <c r="I925" s="150" t="str">
        <f t="shared" si="302"/>
        <v>PLANCP</v>
      </c>
      <c r="J925" s="150">
        <f t="shared" si="302"/>
        <v>1</v>
      </c>
      <c r="K925" s="196">
        <f t="shared" si="302"/>
        <v>0</v>
      </c>
      <c r="L925" s="197">
        <f t="shared" si="302"/>
        <v>0</v>
      </c>
      <c r="M925" s="191">
        <f t="shared" si="302"/>
        <v>0</v>
      </c>
      <c r="N925" s="150">
        <f t="shared" si="302"/>
        <v>0</v>
      </c>
      <c r="O925" s="193">
        <f t="shared" si="302"/>
        <v>1</v>
      </c>
      <c r="P925" s="162">
        <f t="shared" ref="P925:AA940" si="305">IFERROR(SUMIF($B$483:$B$547,$C925&amp;$I925,P$483:P$547)/SUMIF($D$483:$D$547,$I925,P$483:P$547)*P557,0)</f>
        <v>0</v>
      </c>
      <c r="Q925" s="162">
        <f t="shared" si="305"/>
        <v>0</v>
      </c>
      <c r="R925" s="162">
        <f t="shared" si="305"/>
        <v>0</v>
      </c>
      <c r="S925" s="162">
        <f t="shared" si="305"/>
        <v>0</v>
      </c>
      <c r="T925" s="162">
        <f t="shared" si="305"/>
        <v>0</v>
      </c>
      <c r="U925" s="162">
        <f t="shared" si="305"/>
        <v>0</v>
      </c>
      <c r="V925" s="162">
        <f t="shared" si="305"/>
        <v>0</v>
      </c>
      <c r="W925" s="162">
        <f t="shared" si="305"/>
        <v>0</v>
      </c>
      <c r="X925" s="162">
        <f t="shared" si="305"/>
        <v>0</v>
      </c>
      <c r="Y925" s="162">
        <f t="shared" si="305"/>
        <v>0</v>
      </c>
      <c r="Z925" s="162">
        <f t="shared" si="305"/>
        <v>0</v>
      </c>
      <c r="AA925" s="162">
        <f t="shared" si="305"/>
        <v>0</v>
      </c>
      <c r="AB925" s="163">
        <f t="shared" si="304"/>
        <v>0</v>
      </c>
      <c r="AC925" s="159"/>
    </row>
    <row r="926" spans="1:29" hidden="1" outlineLevel="1" x14ac:dyDescent="0.25">
      <c r="A926" s="14" t="str">
        <f t="shared" si="273"/>
        <v>TERC_OPER__7</v>
      </c>
      <c r="B926" s="15" t="str">
        <f t="shared" si="300"/>
        <v>TERC_OPER__1044_1</v>
      </c>
      <c r="C926" s="83"/>
      <c r="D926" s="15">
        <f t="shared" si="301"/>
        <v>1</v>
      </c>
      <c r="E926" s="15">
        <v>7</v>
      </c>
      <c r="F926" s="190">
        <f t="shared" si="302"/>
        <v>1044</v>
      </c>
      <c r="G926" s="149" t="str">
        <f t="shared" si="302"/>
        <v/>
      </c>
      <c r="H926" s="150" t="str">
        <f t="shared" si="302"/>
        <v/>
      </c>
      <c r="I926" s="150" t="str">
        <f t="shared" si="302"/>
        <v>PLANCP</v>
      </c>
      <c r="J926" s="150">
        <f t="shared" si="302"/>
        <v>1</v>
      </c>
      <c r="K926" s="196">
        <f t="shared" si="302"/>
        <v>0</v>
      </c>
      <c r="L926" s="197">
        <f t="shared" si="302"/>
        <v>0</v>
      </c>
      <c r="M926" s="191">
        <f t="shared" si="302"/>
        <v>0</v>
      </c>
      <c r="N926" s="150">
        <f t="shared" si="302"/>
        <v>0</v>
      </c>
      <c r="O926" s="193">
        <f t="shared" si="302"/>
        <v>1</v>
      </c>
      <c r="P926" s="162">
        <f t="shared" si="305"/>
        <v>0</v>
      </c>
      <c r="Q926" s="162">
        <f t="shared" si="305"/>
        <v>0</v>
      </c>
      <c r="R926" s="162">
        <f t="shared" si="305"/>
        <v>0</v>
      </c>
      <c r="S926" s="162">
        <f t="shared" si="305"/>
        <v>0</v>
      </c>
      <c r="T926" s="162">
        <f t="shared" si="305"/>
        <v>0</v>
      </c>
      <c r="U926" s="162">
        <f t="shared" si="305"/>
        <v>0</v>
      </c>
      <c r="V926" s="162">
        <f t="shared" si="305"/>
        <v>0</v>
      </c>
      <c r="W926" s="162">
        <f t="shared" si="305"/>
        <v>0</v>
      </c>
      <c r="X926" s="162">
        <f t="shared" si="305"/>
        <v>0</v>
      </c>
      <c r="Y926" s="162">
        <f t="shared" si="305"/>
        <v>0</v>
      </c>
      <c r="Z926" s="162">
        <f t="shared" si="305"/>
        <v>0</v>
      </c>
      <c r="AA926" s="162">
        <f t="shared" si="305"/>
        <v>0</v>
      </c>
      <c r="AB926" s="163">
        <f t="shared" si="304"/>
        <v>0</v>
      </c>
      <c r="AC926" s="159"/>
    </row>
    <row r="927" spans="1:29" hidden="1" outlineLevel="1" x14ac:dyDescent="0.25">
      <c r="A927" s="14" t="str">
        <f t="shared" si="273"/>
        <v>TERC_OPER__8</v>
      </c>
      <c r="B927" s="15" t="str">
        <f t="shared" si="300"/>
        <v>TERC_OPER__0_0</v>
      </c>
      <c r="C927" s="83"/>
      <c r="D927" s="15">
        <f t="shared" si="301"/>
        <v>0</v>
      </c>
      <c r="E927" s="15">
        <v>8</v>
      </c>
      <c r="F927" s="190">
        <f t="shared" si="302"/>
        <v>0</v>
      </c>
      <c r="G927" s="149" t="str">
        <f t="shared" si="302"/>
        <v/>
      </c>
      <c r="H927" s="150" t="str">
        <f t="shared" si="302"/>
        <v/>
      </c>
      <c r="I927" s="150">
        <f t="shared" si="302"/>
        <v>0</v>
      </c>
      <c r="J927" s="150">
        <f t="shared" si="302"/>
        <v>0</v>
      </c>
      <c r="K927" s="196">
        <f t="shared" si="302"/>
        <v>0</v>
      </c>
      <c r="L927" s="197">
        <f t="shared" si="302"/>
        <v>0</v>
      </c>
      <c r="M927" s="191">
        <f t="shared" si="302"/>
        <v>0</v>
      </c>
      <c r="N927" s="150">
        <f t="shared" si="302"/>
        <v>0</v>
      </c>
      <c r="O927" s="193">
        <f t="shared" si="302"/>
        <v>0</v>
      </c>
      <c r="P927" s="162">
        <f t="shared" si="305"/>
        <v>0</v>
      </c>
      <c r="Q927" s="162">
        <f t="shared" si="305"/>
        <v>0</v>
      </c>
      <c r="R927" s="162">
        <f t="shared" si="305"/>
        <v>0</v>
      </c>
      <c r="S927" s="162">
        <f t="shared" si="305"/>
        <v>0</v>
      </c>
      <c r="T927" s="162">
        <f t="shared" si="305"/>
        <v>0</v>
      </c>
      <c r="U927" s="162">
        <f t="shared" si="305"/>
        <v>0</v>
      </c>
      <c r="V927" s="162">
        <f t="shared" si="305"/>
        <v>0</v>
      </c>
      <c r="W927" s="162">
        <f t="shared" si="305"/>
        <v>0</v>
      </c>
      <c r="X927" s="162">
        <f t="shared" si="305"/>
        <v>0</v>
      </c>
      <c r="Y927" s="162">
        <f t="shared" si="305"/>
        <v>0</v>
      </c>
      <c r="Z927" s="162">
        <f t="shared" si="305"/>
        <v>0</v>
      </c>
      <c r="AA927" s="162">
        <f t="shared" si="305"/>
        <v>0</v>
      </c>
      <c r="AB927" s="163">
        <f t="shared" si="304"/>
        <v>0</v>
      </c>
      <c r="AC927" s="159"/>
    </row>
    <row r="928" spans="1:29" hidden="1" outlineLevel="1" x14ac:dyDescent="0.25">
      <c r="A928" s="14" t="str">
        <f t="shared" ref="A928:A991" si="306">"TERC_OPER_"&amp;C928&amp;"_"&amp;E928</f>
        <v>TERC_OPER__9</v>
      </c>
      <c r="B928" s="15" t="str">
        <f t="shared" si="300"/>
        <v>TERC_OPER__0_0</v>
      </c>
      <c r="C928" s="83"/>
      <c r="D928" s="15">
        <f t="shared" si="301"/>
        <v>0</v>
      </c>
      <c r="E928" s="15">
        <v>9</v>
      </c>
      <c r="F928" s="190">
        <f t="shared" si="302"/>
        <v>0</v>
      </c>
      <c r="G928" s="149" t="str">
        <f t="shared" si="302"/>
        <v/>
      </c>
      <c r="H928" s="150" t="str">
        <f t="shared" si="302"/>
        <v/>
      </c>
      <c r="I928" s="150">
        <f t="shared" si="302"/>
        <v>0</v>
      </c>
      <c r="J928" s="150">
        <f t="shared" si="302"/>
        <v>0</v>
      </c>
      <c r="K928" s="196">
        <f t="shared" si="302"/>
        <v>0</v>
      </c>
      <c r="L928" s="197">
        <f t="shared" si="302"/>
        <v>0</v>
      </c>
      <c r="M928" s="191">
        <f t="shared" si="302"/>
        <v>0</v>
      </c>
      <c r="N928" s="150">
        <f t="shared" si="302"/>
        <v>0</v>
      </c>
      <c r="O928" s="193">
        <f t="shared" si="302"/>
        <v>0</v>
      </c>
      <c r="P928" s="162">
        <f t="shared" si="305"/>
        <v>0</v>
      </c>
      <c r="Q928" s="162">
        <f t="shared" si="305"/>
        <v>0</v>
      </c>
      <c r="R928" s="162">
        <f t="shared" si="305"/>
        <v>0</v>
      </c>
      <c r="S928" s="162">
        <f t="shared" si="305"/>
        <v>0</v>
      </c>
      <c r="T928" s="162">
        <f t="shared" si="305"/>
        <v>0</v>
      </c>
      <c r="U928" s="162">
        <f t="shared" si="305"/>
        <v>0</v>
      </c>
      <c r="V928" s="162">
        <f t="shared" si="305"/>
        <v>0</v>
      </c>
      <c r="W928" s="162">
        <f t="shared" si="305"/>
        <v>0</v>
      </c>
      <c r="X928" s="162">
        <f t="shared" si="305"/>
        <v>0</v>
      </c>
      <c r="Y928" s="162">
        <f t="shared" si="305"/>
        <v>0</v>
      </c>
      <c r="Z928" s="162">
        <f t="shared" si="305"/>
        <v>0</v>
      </c>
      <c r="AA928" s="162">
        <f t="shared" si="305"/>
        <v>0</v>
      </c>
      <c r="AB928" s="163">
        <f t="shared" si="304"/>
        <v>0</v>
      </c>
      <c r="AC928" s="159"/>
    </row>
    <row r="929" spans="1:29" hidden="1" outlineLevel="1" x14ac:dyDescent="0.25">
      <c r="A929" s="14" t="str">
        <f t="shared" si="306"/>
        <v>TERC_OPER__10</v>
      </c>
      <c r="B929" s="15" t="str">
        <f t="shared" si="300"/>
        <v>TERC_OPER__0_0</v>
      </c>
      <c r="C929" s="83"/>
      <c r="D929" s="15">
        <f t="shared" si="301"/>
        <v>0</v>
      </c>
      <c r="E929" s="15">
        <v>10</v>
      </c>
      <c r="F929" s="190">
        <f t="shared" si="302"/>
        <v>0</v>
      </c>
      <c r="G929" s="149" t="str">
        <f t="shared" si="302"/>
        <v/>
      </c>
      <c r="H929" s="150" t="str">
        <f t="shared" si="302"/>
        <v/>
      </c>
      <c r="I929" s="150">
        <f t="shared" si="302"/>
        <v>0</v>
      </c>
      <c r="J929" s="150">
        <f t="shared" si="302"/>
        <v>0</v>
      </c>
      <c r="K929" s="196">
        <f t="shared" si="302"/>
        <v>0</v>
      </c>
      <c r="L929" s="197">
        <f t="shared" si="302"/>
        <v>0</v>
      </c>
      <c r="M929" s="191">
        <f t="shared" si="302"/>
        <v>0</v>
      </c>
      <c r="N929" s="150">
        <f t="shared" si="302"/>
        <v>0</v>
      </c>
      <c r="O929" s="193">
        <f t="shared" si="302"/>
        <v>0</v>
      </c>
      <c r="P929" s="162">
        <f t="shared" si="305"/>
        <v>0</v>
      </c>
      <c r="Q929" s="162">
        <f t="shared" si="305"/>
        <v>0</v>
      </c>
      <c r="R929" s="162">
        <f t="shared" si="305"/>
        <v>0</v>
      </c>
      <c r="S929" s="162">
        <f t="shared" si="305"/>
        <v>0</v>
      </c>
      <c r="T929" s="162">
        <f t="shared" si="305"/>
        <v>0</v>
      </c>
      <c r="U929" s="162">
        <f t="shared" si="305"/>
        <v>0</v>
      </c>
      <c r="V929" s="162">
        <f t="shared" si="305"/>
        <v>0</v>
      </c>
      <c r="W929" s="162">
        <f t="shared" si="305"/>
        <v>0</v>
      </c>
      <c r="X929" s="162">
        <f t="shared" si="305"/>
        <v>0</v>
      </c>
      <c r="Y929" s="162">
        <f t="shared" si="305"/>
        <v>0</v>
      </c>
      <c r="Z929" s="162">
        <f t="shared" si="305"/>
        <v>0</v>
      </c>
      <c r="AA929" s="162">
        <f t="shared" si="305"/>
        <v>0</v>
      </c>
      <c r="AB929" s="163">
        <f t="shared" si="304"/>
        <v>0</v>
      </c>
      <c r="AC929" s="159"/>
    </row>
    <row r="930" spans="1:29" hidden="1" outlineLevel="1" x14ac:dyDescent="0.25">
      <c r="A930" s="14" t="str">
        <f t="shared" si="306"/>
        <v>TERC_OPER__11</v>
      </c>
      <c r="B930" s="15" t="str">
        <f t="shared" si="300"/>
        <v>TERC_OPER__0_0</v>
      </c>
      <c r="C930" s="83"/>
      <c r="D930" s="15">
        <f t="shared" si="301"/>
        <v>0</v>
      </c>
      <c r="E930" s="15">
        <v>11</v>
      </c>
      <c r="F930" s="190">
        <f t="shared" si="302"/>
        <v>0</v>
      </c>
      <c r="G930" s="149" t="str">
        <f t="shared" si="302"/>
        <v/>
      </c>
      <c r="H930" s="150" t="str">
        <f t="shared" si="302"/>
        <v/>
      </c>
      <c r="I930" s="150">
        <f t="shared" si="302"/>
        <v>0</v>
      </c>
      <c r="J930" s="150">
        <f t="shared" si="302"/>
        <v>0</v>
      </c>
      <c r="K930" s="196">
        <f t="shared" si="302"/>
        <v>0</v>
      </c>
      <c r="L930" s="197">
        <f t="shared" si="302"/>
        <v>0</v>
      </c>
      <c r="M930" s="191">
        <f t="shared" si="302"/>
        <v>0</v>
      </c>
      <c r="N930" s="150">
        <f t="shared" si="302"/>
        <v>0</v>
      </c>
      <c r="O930" s="193">
        <f t="shared" si="302"/>
        <v>0</v>
      </c>
      <c r="P930" s="162">
        <f t="shared" si="305"/>
        <v>0</v>
      </c>
      <c r="Q930" s="162">
        <f t="shared" si="305"/>
        <v>0</v>
      </c>
      <c r="R930" s="162">
        <f t="shared" si="305"/>
        <v>0</v>
      </c>
      <c r="S930" s="162">
        <f t="shared" si="305"/>
        <v>0</v>
      </c>
      <c r="T930" s="162">
        <f t="shared" si="305"/>
        <v>0</v>
      </c>
      <c r="U930" s="162">
        <f t="shared" si="305"/>
        <v>0</v>
      </c>
      <c r="V930" s="162">
        <f t="shared" si="305"/>
        <v>0</v>
      </c>
      <c r="W930" s="162">
        <f t="shared" si="305"/>
        <v>0</v>
      </c>
      <c r="X930" s="162">
        <f t="shared" si="305"/>
        <v>0</v>
      </c>
      <c r="Y930" s="162">
        <f t="shared" si="305"/>
        <v>0</v>
      </c>
      <c r="Z930" s="162">
        <f t="shared" si="305"/>
        <v>0</v>
      </c>
      <c r="AA930" s="162">
        <f t="shared" si="305"/>
        <v>0</v>
      </c>
      <c r="AB930" s="163">
        <f t="shared" si="304"/>
        <v>0</v>
      </c>
      <c r="AC930" s="198"/>
    </row>
    <row r="931" spans="1:29" hidden="1" outlineLevel="1" x14ac:dyDescent="0.25">
      <c r="A931" s="14" t="str">
        <f t="shared" si="306"/>
        <v>TERC_OPER__12</v>
      </c>
      <c r="B931" s="15" t="str">
        <f t="shared" si="300"/>
        <v>TERC_OPER__0_0</v>
      </c>
      <c r="C931" s="83"/>
      <c r="D931" s="15">
        <f t="shared" si="301"/>
        <v>0</v>
      </c>
      <c r="E931" s="15">
        <v>12</v>
      </c>
      <c r="F931" s="190">
        <f t="shared" si="302"/>
        <v>0</v>
      </c>
      <c r="G931" s="149" t="str">
        <f t="shared" si="302"/>
        <v/>
      </c>
      <c r="H931" s="150" t="str">
        <f t="shared" si="302"/>
        <v/>
      </c>
      <c r="I931" s="150">
        <f t="shared" si="302"/>
        <v>0</v>
      </c>
      <c r="J931" s="150">
        <f t="shared" si="302"/>
        <v>0</v>
      </c>
      <c r="K931" s="196">
        <f t="shared" si="302"/>
        <v>0</v>
      </c>
      <c r="L931" s="197">
        <f t="shared" si="302"/>
        <v>0</v>
      </c>
      <c r="M931" s="191">
        <f t="shared" si="302"/>
        <v>0</v>
      </c>
      <c r="N931" s="150">
        <f t="shared" si="302"/>
        <v>0</v>
      </c>
      <c r="O931" s="193">
        <f t="shared" si="302"/>
        <v>0</v>
      </c>
      <c r="P931" s="162">
        <f t="shared" si="305"/>
        <v>0</v>
      </c>
      <c r="Q931" s="162">
        <f t="shared" si="305"/>
        <v>0</v>
      </c>
      <c r="R931" s="162">
        <f t="shared" si="305"/>
        <v>0</v>
      </c>
      <c r="S931" s="162">
        <f t="shared" si="305"/>
        <v>0</v>
      </c>
      <c r="T931" s="162">
        <f t="shared" si="305"/>
        <v>0</v>
      </c>
      <c r="U931" s="162">
        <f t="shared" si="305"/>
        <v>0</v>
      </c>
      <c r="V931" s="162">
        <f t="shared" si="305"/>
        <v>0</v>
      </c>
      <c r="W931" s="162">
        <f t="shared" si="305"/>
        <v>0</v>
      </c>
      <c r="X931" s="162">
        <f t="shared" si="305"/>
        <v>0</v>
      </c>
      <c r="Y931" s="162">
        <f t="shared" si="305"/>
        <v>0</v>
      </c>
      <c r="Z931" s="162">
        <f t="shared" si="305"/>
        <v>0</v>
      </c>
      <c r="AA931" s="162">
        <f t="shared" si="305"/>
        <v>0</v>
      </c>
      <c r="AB931" s="163">
        <f t="shared" si="304"/>
        <v>0</v>
      </c>
      <c r="AC931" s="198"/>
    </row>
    <row r="932" spans="1:29" hidden="1" outlineLevel="1" x14ac:dyDescent="0.25">
      <c r="A932" s="14" t="str">
        <f t="shared" si="306"/>
        <v>TERC_OPER__13</v>
      </c>
      <c r="B932" s="15" t="str">
        <f t="shared" si="300"/>
        <v>TERC_OPER__0_0</v>
      </c>
      <c r="C932" s="83"/>
      <c r="D932" s="15">
        <f t="shared" si="301"/>
        <v>0</v>
      </c>
      <c r="E932" s="15">
        <v>13</v>
      </c>
      <c r="F932" s="190">
        <f t="shared" si="302"/>
        <v>0</v>
      </c>
      <c r="G932" s="149" t="str">
        <f t="shared" si="302"/>
        <v/>
      </c>
      <c r="H932" s="150" t="str">
        <f t="shared" si="302"/>
        <v/>
      </c>
      <c r="I932" s="150">
        <f t="shared" si="302"/>
        <v>0</v>
      </c>
      <c r="J932" s="150">
        <f t="shared" si="302"/>
        <v>0</v>
      </c>
      <c r="K932" s="196">
        <f t="shared" si="302"/>
        <v>0</v>
      </c>
      <c r="L932" s="197">
        <f t="shared" si="302"/>
        <v>0</v>
      </c>
      <c r="M932" s="191">
        <f t="shared" si="302"/>
        <v>0</v>
      </c>
      <c r="N932" s="150">
        <f t="shared" si="302"/>
        <v>0</v>
      </c>
      <c r="O932" s="193">
        <f t="shared" si="302"/>
        <v>0</v>
      </c>
      <c r="P932" s="162">
        <f t="shared" si="305"/>
        <v>0</v>
      </c>
      <c r="Q932" s="162">
        <f t="shared" si="305"/>
        <v>0</v>
      </c>
      <c r="R932" s="162">
        <f t="shared" si="305"/>
        <v>0</v>
      </c>
      <c r="S932" s="162">
        <f t="shared" si="305"/>
        <v>0</v>
      </c>
      <c r="T932" s="162">
        <f t="shared" si="305"/>
        <v>0</v>
      </c>
      <c r="U932" s="162">
        <f t="shared" si="305"/>
        <v>0</v>
      </c>
      <c r="V932" s="162">
        <f t="shared" si="305"/>
        <v>0</v>
      </c>
      <c r="W932" s="162">
        <f t="shared" si="305"/>
        <v>0</v>
      </c>
      <c r="X932" s="162">
        <f t="shared" si="305"/>
        <v>0</v>
      </c>
      <c r="Y932" s="162">
        <f t="shared" si="305"/>
        <v>0</v>
      </c>
      <c r="Z932" s="162">
        <f t="shared" si="305"/>
        <v>0</v>
      </c>
      <c r="AA932" s="162">
        <f t="shared" si="305"/>
        <v>0</v>
      </c>
      <c r="AB932" s="163">
        <f t="shared" si="304"/>
        <v>0</v>
      </c>
      <c r="AC932" s="198"/>
    </row>
    <row r="933" spans="1:29" hidden="1" outlineLevel="1" x14ac:dyDescent="0.25">
      <c r="A933" s="14" t="str">
        <f t="shared" si="306"/>
        <v>TERC_OPER__14</v>
      </c>
      <c r="B933" s="15" t="str">
        <f t="shared" si="300"/>
        <v>TERC_OPER__0_0</v>
      </c>
      <c r="C933" s="83"/>
      <c r="D933" s="15">
        <f t="shared" si="301"/>
        <v>0</v>
      </c>
      <c r="E933" s="15">
        <v>14</v>
      </c>
      <c r="F933" s="190">
        <f t="shared" si="302"/>
        <v>0</v>
      </c>
      <c r="G933" s="149" t="str">
        <f t="shared" si="302"/>
        <v/>
      </c>
      <c r="H933" s="150" t="str">
        <f t="shared" si="302"/>
        <v/>
      </c>
      <c r="I933" s="150">
        <f t="shared" si="302"/>
        <v>0</v>
      </c>
      <c r="J933" s="150">
        <f t="shared" si="302"/>
        <v>0</v>
      </c>
      <c r="K933" s="196">
        <f t="shared" si="302"/>
        <v>0</v>
      </c>
      <c r="L933" s="197">
        <f t="shared" si="302"/>
        <v>0</v>
      </c>
      <c r="M933" s="191">
        <f t="shared" si="302"/>
        <v>0</v>
      </c>
      <c r="N933" s="150">
        <f t="shared" si="302"/>
        <v>0</v>
      </c>
      <c r="O933" s="193">
        <f t="shared" si="302"/>
        <v>0</v>
      </c>
      <c r="P933" s="162">
        <f t="shared" si="305"/>
        <v>0</v>
      </c>
      <c r="Q933" s="162">
        <f t="shared" si="305"/>
        <v>0</v>
      </c>
      <c r="R933" s="162">
        <f t="shared" si="305"/>
        <v>0</v>
      </c>
      <c r="S933" s="162">
        <f t="shared" si="305"/>
        <v>0</v>
      </c>
      <c r="T933" s="162">
        <f t="shared" si="305"/>
        <v>0</v>
      </c>
      <c r="U933" s="162">
        <f t="shared" si="305"/>
        <v>0</v>
      </c>
      <c r="V933" s="162">
        <f t="shared" si="305"/>
        <v>0</v>
      </c>
      <c r="W933" s="162">
        <f t="shared" si="305"/>
        <v>0</v>
      </c>
      <c r="X933" s="162">
        <f t="shared" si="305"/>
        <v>0</v>
      </c>
      <c r="Y933" s="162">
        <f t="shared" si="305"/>
        <v>0</v>
      </c>
      <c r="Z933" s="162">
        <f t="shared" si="305"/>
        <v>0</v>
      </c>
      <c r="AA933" s="162">
        <f t="shared" si="305"/>
        <v>0</v>
      </c>
      <c r="AB933" s="163">
        <f t="shared" si="304"/>
        <v>0</v>
      </c>
      <c r="AC933" s="198"/>
    </row>
    <row r="934" spans="1:29" hidden="1" outlineLevel="1" x14ac:dyDescent="0.25">
      <c r="A934" s="14" t="str">
        <f t="shared" si="306"/>
        <v>TERC_OPER__15</v>
      </c>
      <c r="B934" s="15" t="str">
        <f t="shared" si="300"/>
        <v>TERC_OPER__0_0</v>
      </c>
      <c r="C934" s="83"/>
      <c r="D934" s="15">
        <f t="shared" si="301"/>
        <v>0</v>
      </c>
      <c r="E934" s="15">
        <v>15</v>
      </c>
      <c r="F934" s="190">
        <f t="shared" si="302"/>
        <v>0</v>
      </c>
      <c r="G934" s="149" t="str">
        <f t="shared" si="302"/>
        <v/>
      </c>
      <c r="H934" s="150" t="str">
        <f t="shared" si="302"/>
        <v/>
      </c>
      <c r="I934" s="150">
        <f t="shared" si="302"/>
        <v>0</v>
      </c>
      <c r="J934" s="150">
        <f t="shared" si="302"/>
        <v>0</v>
      </c>
      <c r="K934" s="196">
        <f t="shared" si="302"/>
        <v>0</v>
      </c>
      <c r="L934" s="197">
        <f t="shared" si="302"/>
        <v>0</v>
      </c>
      <c r="M934" s="191">
        <f t="shared" si="302"/>
        <v>0</v>
      </c>
      <c r="N934" s="150">
        <f t="shared" si="302"/>
        <v>0</v>
      </c>
      <c r="O934" s="193">
        <f t="shared" si="302"/>
        <v>0</v>
      </c>
      <c r="P934" s="162">
        <f t="shared" si="305"/>
        <v>0</v>
      </c>
      <c r="Q934" s="162">
        <f t="shared" si="305"/>
        <v>0</v>
      </c>
      <c r="R934" s="162">
        <f t="shared" si="305"/>
        <v>0</v>
      </c>
      <c r="S934" s="162">
        <f t="shared" si="305"/>
        <v>0</v>
      </c>
      <c r="T934" s="162">
        <f t="shared" si="305"/>
        <v>0</v>
      </c>
      <c r="U934" s="162">
        <f t="shared" si="305"/>
        <v>0</v>
      </c>
      <c r="V934" s="162">
        <f t="shared" si="305"/>
        <v>0</v>
      </c>
      <c r="W934" s="162">
        <f t="shared" si="305"/>
        <v>0</v>
      </c>
      <c r="X934" s="162">
        <f t="shared" si="305"/>
        <v>0</v>
      </c>
      <c r="Y934" s="162">
        <f t="shared" si="305"/>
        <v>0</v>
      </c>
      <c r="Z934" s="162">
        <f t="shared" si="305"/>
        <v>0</v>
      </c>
      <c r="AA934" s="162">
        <f t="shared" si="305"/>
        <v>0</v>
      </c>
      <c r="AB934" s="163">
        <f t="shared" si="304"/>
        <v>0</v>
      </c>
      <c r="AC934" s="198"/>
    </row>
    <row r="935" spans="1:29" hidden="1" outlineLevel="1" x14ac:dyDescent="0.25">
      <c r="A935" s="14" t="str">
        <f t="shared" si="306"/>
        <v>TERC_OPER__16</v>
      </c>
      <c r="B935" s="15" t="str">
        <f t="shared" si="300"/>
        <v>TERC_OPER__0_0</v>
      </c>
      <c r="C935" s="83"/>
      <c r="D935" s="15">
        <f t="shared" si="301"/>
        <v>0</v>
      </c>
      <c r="E935" s="15">
        <v>16</v>
      </c>
      <c r="F935" s="190">
        <f t="shared" si="302"/>
        <v>0</v>
      </c>
      <c r="G935" s="149" t="str">
        <f t="shared" si="302"/>
        <v/>
      </c>
      <c r="H935" s="150" t="str">
        <f t="shared" si="302"/>
        <v/>
      </c>
      <c r="I935" s="150">
        <f t="shared" si="302"/>
        <v>0</v>
      </c>
      <c r="J935" s="150">
        <f t="shared" si="302"/>
        <v>0</v>
      </c>
      <c r="K935" s="196">
        <f t="shared" si="302"/>
        <v>0</v>
      </c>
      <c r="L935" s="197">
        <f t="shared" si="302"/>
        <v>0</v>
      </c>
      <c r="M935" s="191">
        <f t="shared" si="302"/>
        <v>0</v>
      </c>
      <c r="N935" s="150">
        <f t="shared" si="302"/>
        <v>0</v>
      </c>
      <c r="O935" s="193">
        <f t="shared" si="302"/>
        <v>0</v>
      </c>
      <c r="P935" s="162">
        <f t="shared" si="305"/>
        <v>0</v>
      </c>
      <c r="Q935" s="162">
        <f t="shared" si="305"/>
        <v>0</v>
      </c>
      <c r="R935" s="162">
        <f t="shared" si="305"/>
        <v>0</v>
      </c>
      <c r="S935" s="162">
        <f t="shared" si="305"/>
        <v>0</v>
      </c>
      <c r="T935" s="162">
        <f t="shared" si="305"/>
        <v>0</v>
      </c>
      <c r="U935" s="162">
        <f t="shared" si="305"/>
        <v>0</v>
      </c>
      <c r="V935" s="162">
        <f t="shared" si="305"/>
        <v>0</v>
      </c>
      <c r="W935" s="162">
        <f t="shared" si="305"/>
        <v>0</v>
      </c>
      <c r="X935" s="162">
        <f t="shared" si="305"/>
        <v>0</v>
      </c>
      <c r="Y935" s="162">
        <f t="shared" si="305"/>
        <v>0</v>
      </c>
      <c r="Z935" s="162">
        <f t="shared" si="305"/>
        <v>0</v>
      </c>
      <c r="AA935" s="162">
        <f t="shared" si="305"/>
        <v>0</v>
      </c>
      <c r="AB935" s="163">
        <f t="shared" si="304"/>
        <v>0</v>
      </c>
      <c r="AC935" s="198"/>
    </row>
    <row r="936" spans="1:29" hidden="1" outlineLevel="1" x14ac:dyDescent="0.25">
      <c r="A936" s="14" t="str">
        <f t="shared" si="306"/>
        <v>TERC_OPER__17</v>
      </c>
      <c r="B936" s="15" t="str">
        <f t="shared" si="300"/>
        <v>TERC_OPER__0_0</v>
      </c>
      <c r="C936" s="83"/>
      <c r="D936" s="15">
        <f t="shared" si="301"/>
        <v>0</v>
      </c>
      <c r="E936" s="15">
        <v>17</v>
      </c>
      <c r="F936" s="190">
        <f t="shared" ref="F936:O951" si="307">F890</f>
        <v>0</v>
      </c>
      <c r="G936" s="149" t="str">
        <f t="shared" si="307"/>
        <v/>
      </c>
      <c r="H936" s="150" t="str">
        <f t="shared" si="307"/>
        <v/>
      </c>
      <c r="I936" s="150">
        <f t="shared" si="307"/>
        <v>0</v>
      </c>
      <c r="J936" s="150">
        <f t="shared" si="307"/>
        <v>0</v>
      </c>
      <c r="K936" s="196">
        <f t="shared" si="307"/>
        <v>0</v>
      </c>
      <c r="L936" s="197">
        <f t="shared" si="307"/>
        <v>0</v>
      </c>
      <c r="M936" s="191">
        <f t="shared" si="307"/>
        <v>0</v>
      </c>
      <c r="N936" s="150">
        <f t="shared" si="307"/>
        <v>0</v>
      </c>
      <c r="O936" s="193">
        <f t="shared" si="307"/>
        <v>0</v>
      </c>
      <c r="P936" s="162">
        <f t="shared" si="305"/>
        <v>0</v>
      </c>
      <c r="Q936" s="162">
        <f t="shared" si="305"/>
        <v>0</v>
      </c>
      <c r="R936" s="162">
        <f t="shared" si="305"/>
        <v>0</v>
      </c>
      <c r="S936" s="162">
        <f t="shared" si="305"/>
        <v>0</v>
      </c>
      <c r="T936" s="162">
        <f t="shared" si="305"/>
        <v>0</v>
      </c>
      <c r="U936" s="162">
        <f t="shared" si="305"/>
        <v>0</v>
      </c>
      <c r="V936" s="162">
        <f t="shared" si="305"/>
        <v>0</v>
      </c>
      <c r="W936" s="162">
        <f t="shared" si="305"/>
        <v>0</v>
      </c>
      <c r="X936" s="162">
        <f t="shared" si="305"/>
        <v>0</v>
      </c>
      <c r="Y936" s="162">
        <f t="shared" si="305"/>
        <v>0</v>
      </c>
      <c r="Z936" s="162">
        <f t="shared" si="305"/>
        <v>0</v>
      </c>
      <c r="AA936" s="162">
        <f t="shared" si="305"/>
        <v>0</v>
      </c>
      <c r="AB936" s="163">
        <f t="shared" si="304"/>
        <v>0</v>
      </c>
      <c r="AC936" s="198"/>
    </row>
    <row r="937" spans="1:29" hidden="1" outlineLevel="1" x14ac:dyDescent="0.25">
      <c r="A937" s="14" t="str">
        <f t="shared" si="306"/>
        <v>TERC_OPER__18</v>
      </c>
      <c r="B937" s="15" t="str">
        <f t="shared" si="300"/>
        <v>TERC_OPER__0_0</v>
      </c>
      <c r="C937" s="83"/>
      <c r="D937" s="15">
        <f t="shared" si="301"/>
        <v>0</v>
      </c>
      <c r="E937" s="15">
        <v>18</v>
      </c>
      <c r="F937" s="190">
        <f t="shared" si="307"/>
        <v>0</v>
      </c>
      <c r="G937" s="149" t="str">
        <f t="shared" si="307"/>
        <v/>
      </c>
      <c r="H937" s="150" t="str">
        <f t="shared" si="307"/>
        <v/>
      </c>
      <c r="I937" s="150">
        <f t="shared" si="307"/>
        <v>0</v>
      </c>
      <c r="J937" s="150">
        <f t="shared" si="307"/>
        <v>0</v>
      </c>
      <c r="K937" s="196">
        <f t="shared" si="307"/>
        <v>0</v>
      </c>
      <c r="L937" s="197">
        <f t="shared" si="307"/>
        <v>0</v>
      </c>
      <c r="M937" s="191">
        <f t="shared" si="307"/>
        <v>0</v>
      </c>
      <c r="N937" s="150">
        <f t="shared" si="307"/>
        <v>0</v>
      </c>
      <c r="O937" s="193">
        <f t="shared" si="307"/>
        <v>0</v>
      </c>
      <c r="P937" s="162">
        <f t="shared" si="305"/>
        <v>0</v>
      </c>
      <c r="Q937" s="162">
        <f t="shared" si="305"/>
        <v>0</v>
      </c>
      <c r="R937" s="162">
        <f t="shared" si="305"/>
        <v>0</v>
      </c>
      <c r="S937" s="162">
        <f t="shared" si="305"/>
        <v>0</v>
      </c>
      <c r="T937" s="162">
        <f t="shared" si="305"/>
        <v>0</v>
      </c>
      <c r="U937" s="162">
        <f t="shared" si="305"/>
        <v>0</v>
      </c>
      <c r="V937" s="162">
        <f t="shared" si="305"/>
        <v>0</v>
      </c>
      <c r="W937" s="162">
        <f t="shared" si="305"/>
        <v>0</v>
      </c>
      <c r="X937" s="162">
        <f t="shared" si="305"/>
        <v>0</v>
      </c>
      <c r="Y937" s="162">
        <f t="shared" si="305"/>
        <v>0</v>
      </c>
      <c r="Z937" s="162">
        <f t="shared" si="305"/>
        <v>0</v>
      </c>
      <c r="AA937" s="162">
        <f t="shared" si="305"/>
        <v>0</v>
      </c>
      <c r="AB937" s="163">
        <f t="shared" si="304"/>
        <v>0</v>
      </c>
      <c r="AC937" s="198"/>
    </row>
    <row r="938" spans="1:29" hidden="1" outlineLevel="1" x14ac:dyDescent="0.25">
      <c r="A938" s="14" t="str">
        <f t="shared" si="306"/>
        <v>TERC_OPER__19</v>
      </c>
      <c r="B938" s="15" t="str">
        <f t="shared" si="300"/>
        <v>TERC_OPER__0_0</v>
      </c>
      <c r="C938" s="83"/>
      <c r="D938" s="15">
        <f t="shared" si="301"/>
        <v>0</v>
      </c>
      <c r="E938" s="15">
        <v>19</v>
      </c>
      <c r="F938" s="190">
        <f t="shared" si="307"/>
        <v>0</v>
      </c>
      <c r="G938" s="149" t="str">
        <f t="shared" si="307"/>
        <v/>
      </c>
      <c r="H938" s="150" t="str">
        <f t="shared" si="307"/>
        <v/>
      </c>
      <c r="I938" s="150">
        <f t="shared" si="307"/>
        <v>0</v>
      </c>
      <c r="J938" s="150">
        <f t="shared" si="307"/>
        <v>0</v>
      </c>
      <c r="K938" s="196">
        <f t="shared" si="307"/>
        <v>0</v>
      </c>
      <c r="L938" s="197">
        <f t="shared" si="307"/>
        <v>0</v>
      </c>
      <c r="M938" s="191">
        <f t="shared" si="307"/>
        <v>0</v>
      </c>
      <c r="N938" s="150">
        <f t="shared" si="307"/>
        <v>0</v>
      </c>
      <c r="O938" s="193">
        <f t="shared" si="307"/>
        <v>0</v>
      </c>
      <c r="P938" s="162">
        <f t="shared" si="305"/>
        <v>0</v>
      </c>
      <c r="Q938" s="162">
        <f t="shared" si="305"/>
        <v>0</v>
      </c>
      <c r="R938" s="162">
        <f t="shared" si="305"/>
        <v>0</v>
      </c>
      <c r="S938" s="162">
        <f t="shared" si="305"/>
        <v>0</v>
      </c>
      <c r="T938" s="162">
        <f t="shared" si="305"/>
        <v>0</v>
      </c>
      <c r="U938" s="162">
        <f t="shared" si="305"/>
        <v>0</v>
      </c>
      <c r="V938" s="162">
        <f t="shared" si="305"/>
        <v>0</v>
      </c>
      <c r="W938" s="162">
        <f t="shared" si="305"/>
        <v>0</v>
      </c>
      <c r="X938" s="162">
        <f t="shared" si="305"/>
        <v>0</v>
      </c>
      <c r="Y938" s="162">
        <f t="shared" si="305"/>
        <v>0</v>
      </c>
      <c r="Z938" s="162">
        <f t="shared" si="305"/>
        <v>0</v>
      </c>
      <c r="AA938" s="162">
        <f t="shared" si="305"/>
        <v>0</v>
      </c>
      <c r="AB938" s="163">
        <f t="shared" si="304"/>
        <v>0</v>
      </c>
      <c r="AC938" s="198"/>
    </row>
    <row r="939" spans="1:29" hidden="1" outlineLevel="1" x14ac:dyDescent="0.25">
      <c r="A939" s="14" t="str">
        <f t="shared" si="306"/>
        <v>TERC_OPER__20</v>
      </c>
      <c r="B939" s="15" t="str">
        <f t="shared" si="300"/>
        <v>TERC_OPER__0_0</v>
      </c>
      <c r="C939" s="83"/>
      <c r="D939" s="15">
        <f t="shared" si="301"/>
        <v>0</v>
      </c>
      <c r="E939" s="15">
        <v>20</v>
      </c>
      <c r="F939" s="190">
        <f t="shared" si="307"/>
        <v>0</v>
      </c>
      <c r="G939" s="149" t="str">
        <f t="shared" si="307"/>
        <v/>
      </c>
      <c r="H939" s="150" t="str">
        <f t="shared" si="307"/>
        <v/>
      </c>
      <c r="I939" s="150">
        <f t="shared" si="307"/>
        <v>0</v>
      </c>
      <c r="J939" s="150">
        <f t="shared" si="307"/>
        <v>0</v>
      </c>
      <c r="K939" s="196">
        <f t="shared" si="307"/>
        <v>0</v>
      </c>
      <c r="L939" s="197">
        <f t="shared" si="307"/>
        <v>0</v>
      </c>
      <c r="M939" s="191">
        <f t="shared" si="307"/>
        <v>0</v>
      </c>
      <c r="N939" s="150">
        <f t="shared" si="307"/>
        <v>0</v>
      </c>
      <c r="O939" s="193">
        <f t="shared" si="307"/>
        <v>0</v>
      </c>
      <c r="P939" s="162">
        <f t="shared" si="305"/>
        <v>0</v>
      </c>
      <c r="Q939" s="162">
        <f t="shared" si="305"/>
        <v>0</v>
      </c>
      <c r="R939" s="162">
        <f t="shared" si="305"/>
        <v>0</v>
      </c>
      <c r="S939" s="162">
        <f t="shared" si="305"/>
        <v>0</v>
      </c>
      <c r="T939" s="162">
        <f t="shared" si="305"/>
        <v>0</v>
      </c>
      <c r="U939" s="162">
        <f t="shared" si="305"/>
        <v>0</v>
      </c>
      <c r="V939" s="162">
        <f t="shared" si="305"/>
        <v>0</v>
      </c>
      <c r="W939" s="162">
        <f t="shared" si="305"/>
        <v>0</v>
      </c>
      <c r="X939" s="162">
        <f t="shared" si="305"/>
        <v>0</v>
      </c>
      <c r="Y939" s="162">
        <f t="shared" si="305"/>
        <v>0</v>
      </c>
      <c r="Z939" s="162">
        <f t="shared" si="305"/>
        <v>0</v>
      </c>
      <c r="AA939" s="162">
        <f t="shared" si="305"/>
        <v>0</v>
      </c>
      <c r="AB939" s="163">
        <f t="shared" si="304"/>
        <v>0</v>
      </c>
      <c r="AC939" s="198"/>
    </row>
    <row r="940" spans="1:29" hidden="1" outlineLevel="1" x14ac:dyDescent="0.25">
      <c r="A940" s="14" t="str">
        <f t="shared" si="306"/>
        <v>TERC_OPER__21</v>
      </c>
      <c r="B940" s="15" t="str">
        <f t="shared" si="300"/>
        <v>TERC_OPER__0_0</v>
      </c>
      <c r="C940" s="83"/>
      <c r="D940" s="15">
        <f t="shared" si="301"/>
        <v>0</v>
      </c>
      <c r="E940" s="15">
        <v>21</v>
      </c>
      <c r="F940" s="190">
        <f t="shared" si="307"/>
        <v>0</v>
      </c>
      <c r="G940" s="149" t="str">
        <f t="shared" si="307"/>
        <v/>
      </c>
      <c r="H940" s="150" t="str">
        <f t="shared" si="307"/>
        <v/>
      </c>
      <c r="I940" s="150">
        <f t="shared" si="307"/>
        <v>0</v>
      </c>
      <c r="J940" s="150">
        <f t="shared" si="307"/>
        <v>0</v>
      </c>
      <c r="K940" s="196">
        <f t="shared" si="307"/>
        <v>0</v>
      </c>
      <c r="L940" s="197">
        <f t="shared" si="307"/>
        <v>0</v>
      </c>
      <c r="M940" s="191">
        <f t="shared" si="307"/>
        <v>0</v>
      </c>
      <c r="N940" s="150">
        <f t="shared" si="307"/>
        <v>0</v>
      </c>
      <c r="O940" s="193">
        <f t="shared" si="307"/>
        <v>0</v>
      </c>
      <c r="P940" s="162">
        <f t="shared" si="305"/>
        <v>0</v>
      </c>
      <c r="Q940" s="162">
        <f t="shared" si="305"/>
        <v>0</v>
      </c>
      <c r="R940" s="162">
        <f t="shared" si="305"/>
        <v>0</v>
      </c>
      <c r="S940" s="162">
        <f t="shared" si="305"/>
        <v>0</v>
      </c>
      <c r="T940" s="162">
        <f t="shared" si="305"/>
        <v>0</v>
      </c>
      <c r="U940" s="162">
        <f t="shared" si="305"/>
        <v>0</v>
      </c>
      <c r="V940" s="162">
        <f t="shared" si="305"/>
        <v>0</v>
      </c>
      <c r="W940" s="162">
        <f t="shared" si="305"/>
        <v>0</v>
      </c>
      <c r="X940" s="162">
        <f t="shared" si="305"/>
        <v>0</v>
      </c>
      <c r="Y940" s="162">
        <f t="shared" si="305"/>
        <v>0</v>
      </c>
      <c r="Z940" s="162">
        <f t="shared" si="305"/>
        <v>0</v>
      </c>
      <c r="AA940" s="162">
        <f t="shared" si="305"/>
        <v>0</v>
      </c>
      <c r="AB940" s="163">
        <f t="shared" si="304"/>
        <v>0</v>
      </c>
      <c r="AC940" s="198"/>
    </row>
    <row r="941" spans="1:29" hidden="1" outlineLevel="1" x14ac:dyDescent="0.25">
      <c r="A941" s="14" t="str">
        <f t="shared" si="306"/>
        <v>TERC_OPER__22</v>
      </c>
      <c r="B941" s="15" t="str">
        <f t="shared" si="300"/>
        <v>TERC_OPER__0_0</v>
      </c>
      <c r="C941" s="83"/>
      <c r="D941" s="15">
        <f t="shared" si="301"/>
        <v>0</v>
      </c>
      <c r="E941" s="15">
        <v>22</v>
      </c>
      <c r="F941" s="190">
        <f t="shared" si="307"/>
        <v>0</v>
      </c>
      <c r="G941" s="149" t="str">
        <f t="shared" si="307"/>
        <v/>
      </c>
      <c r="H941" s="150" t="str">
        <f t="shared" si="307"/>
        <v/>
      </c>
      <c r="I941" s="150">
        <f t="shared" si="307"/>
        <v>0</v>
      </c>
      <c r="J941" s="150">
        <f t="shared" si="307"/>
        <v>0</v>
      </c>
      <c r="K941" s="196">
        <f t="shared" si="307"/>
        <v>0</v>
      </c>
      <c r="L941" s="197">
        <f t="shared" si="307"/>
        <v>0</v>
      </c>
      <c r="M941" s="191">
        <f t="shared" si="307"/>
        <v>0</v>
      </c>
      <c r="N941" s="150">
        <f t="shared" si="307"/>
        <v>0</v>
      </c>
      <c r="O941" s="193">
        <f t="shared" si="307"/>
        <v>0</v>
      </c>
      <c r="P941" s="162">
        <f t="shared" ref="P941:AA956" si="308">IFERROR(SUMIF($B$483:$B$547,$C941&amp;$I941,P$483:P$547)/SUMIF($D$483:$D$547,$I941,P$483:P$547)*P573,0)</f>
        <v>0</v>
      </c>
      <c r="Q941" s="162">
        <f t="shared" si="308"/>
        <v>0</v>
      </c>
      <c r="R941" s="162">
        <f t="shared" si="308"/>
        <v>0</v>
      </c>
      <c r="S941" s="162">
        <f t="shared" si="308"/>
        <v>0</v>
      </c>
      <c r="T941" s="162">
        <f t="shared" si="308"/>
        <v>0</v>
      </c>
      <c r="U941" s="162">
        <f t="shared" si="308"/>
        <v>0</v>
      </c>
      <c r="V941" s="162">
        <f t="shared" si="308"/>
        <v>0</v>
      </c>
      <c r="W941" s="162">
        <f t="shared" si="308"/>
        <v>0</v>
      </c>
      <c r="X941" s="162">
        <f t="shared" si="308"/>
        <v>0</v>
      </c>
      <c r="Y941" s="162">
        <f t="shared" si="308"/>
        <v>0</v>
      </c>
      <c r="Z941" s="162">
        <f t="shared" si="308"/>
        <v>0</v>
      </c>
      <c r="AA941" s="162">
        <f t="shared" si="308"/>
        <v>0</v>
      </c>
      <c r="AB941" s="163">
        <f t="shared" si="304"/>
        <v>0</v>
      </c>
      <c r="AC941" s="198"/>
    </row>
    <row r="942" spans="1:29" hidden="1" outlineLevel="1" x14ac:dyDescent="0.25">
      <c r="A942" s="14" t="str">
        <f t="shared" si="306"/>
        <v>TERC_OPER__23</v>
      </c>
      <c r="B942" s="15" t="str">
        <f t="shared" si="300"/>
        <v>TERC_OPER__0_0</v>
      </c>
      <c r="C942" s="83"/>
      <c r="D942" s="15">
        <f t="shared" si="301"/>
        <v>0</v>
      </c>
      <c r="E942" s="15">
        <v>23</v>
      </c>
      <c r="F942" s="190">
        <f t="shared" si="307"/>
        <v>0</v>
      </c>
      <c r="G942" s="149" t="str">
        <f t="shared" si="307"/>
        <v/>
      </c>
      <c r="H942" s="150" t="str">
        <f t="shared" si="307"/>
        <v/>
      </c>
      <c r="I942" s="150">
        <f t="shared" si="307"/>
        <v>0</v>
      </c>
      <c r="J942" s="150">
        <f t="shared" si="307"/>
        <v>0</v>
      </c>
      <c r="K942" s="196">
        <f t="shared" si="307"/>
        <v>0</v>
      </c>
      <c r="L942" s="197">
        <f t="shared" si="307"/>
        <v>0</v>
      </c>
      <c r="M942" s="191">
        <f t="shared" si="307"/>
        <v>0</v>
      </c>
      <c r="N942" s="150">
        <f t="shared" si="307"/>
        <v>0</v>
      </c>
      <c r="O942" s="193">
        <f t="shared" si="307"/>
        <v>0</v>
      </c>
      <c r="P942" s="162">
        <f t="shared" si="308"/>
        <v>0</v>
      </c>
      <c r="Q942" s="162">
        <f t="shared" si="308"/>
        <v>0</v>
      </c>
      <c r="R942" s="162">
        <f t="shared" si="308"/>
        <v>0</v>
      </c>
      <c r="S942" s="162">
        <f t="shared" si="308"/>
        <v>0</v>
      </c>
      <c r="T942" s="162">
        <f t="shared" si="308"/>
        <v>0</v>
      </c>
      <c r="U942" s="162">
        <f t="shared" si="308"/>
        <v>0</v>
      </c>
      <c r="V942" s="162">
        <f t="shared" si="308"/>
        <v>0</v>
      </c>
      <c r="W942" s="162">
        <f t="shared" si="308"/>
        <v>0</v>
      </c>
      <c r="X942" s="162">
        <f t="shared" si="308"/>
        <v>0</v>
      </c>
      <c r="Y942" s="162">
        <f t="shared" si="308"/>
        <v>0</v>
      </c>
      <c r="Z942" s="162">
        <f t="shared" si="308"/>
        <v>0</v>
      </c>
      <c r="AA942" s="162">
        <f t="shared" si="308"/>
        <v>0</v>
      </c>
      <c r="AB942" s="163">
        <f t="shared" si="304"/>
        <v>0</v>
      </c>
      <c r="AC942" s="198"/>
    </row>
    <row r="943" spans="1:29" hidden="1" outlineLevel="1" x14ac:dyDescent="0.25">
      <c r="A943" s="14" t="str">
        <f t="shared" si="306"/>
        <v>TERC_OPER__24</v>
      </c>
      <c r="B943" s="15" t="str">
        <f t="shared" si="300"/>
        <v>TERC_OPER__0_0</v>
      </c>
      <c r="C943" s="83"/>
      <c r="D943" s="15">
        <f t="shared" si="301"/>
        <v>0</v>
      </c>
      <c r="E943" s="15">
        <v>24</v>
      </c>
      <c r="F943" s="190">
        <f t="shared" si="307"/>
        <v>0</v>
      </c>
      <c r="G943" s="149" t="str">
        <f t="shared" si="307"/>
        <v/>
      </c>
      <c r="H943" s="150" t="str">
        <f t="shared" si="307"/>
        <v/>
      </c>
      <c r="I943" s="150">
        <f t="shared" si="307"/>
        <v>0</v>
      </c>
      <c r="J943" s="150">
        <f t="shared" si="307"/>
        <v>0</v>
      </c>
      <c r="K943" s="196">
        <f t="shared" si="307"/>
        <v>0</v>
      </c>
      <c r="L943" s="197">
        <f t="shared" si="307"/>
        <v>0</v>
      </c>
      <c r="M943" s="191">
        <f t="shared" si="307"/>
        <v>0</v>
      </c>
      <c r="N943" s="150">
        <f t="shared" si="307"/>
        <v>0</v>
      </c>
      <c r="O943" s="193">
        <f t="shared" si="307"/>
        <v>0</v>
      </c>
      <c r="P943" s="162">
        <f t="shared" si="308"/>
        <v>0</v>
      </c>
      <c r="Q943" s="162">
        <f t="shared" si="308"/>
        <v>0</v>
      </c>
      <c r="R943" s="162">
        <f t="shared" si="308"/>
        <v>0</v>
      </c>
      <c r="S943" s="162">
        <f t="shared" si="308"/>
        <v>0</v>
      </c>
      <c r="T943" s="162">
        <f t="shared" si="308"/>
        <v>0</v>
      </c>
      <c r="U943" s="162">
        <f t="shared" si="308"/>
        <v>0</v>
      </c>
      <c r="V943" s="162">
        <f t="shared" si="308"/>
        <v>0</v>
      </c>
      <c r="W943" s="162">
        <f t="shared" si="308"/>
        <v>0</v>
      </c>
      <c r="X943" s="162">
        <f t="shared" si="308"/>
        <v>0</v>
      </c>
      <c r="Y943" s="162">
        <f t="shared" si="308"/>
        <v>0</v>
      </c>
      <c r="Z943" s="162">
        <f t="shared" si="308"/>
        <v>0</v>
      </c>
      <c r="AA943" s="162">
        <f t="shared" si="308"/>
        <v>0</v>
      </c>
      <c r="AB943" s="163">
        <f t="shared" si="304"/>
        <v>0</v>
      </c>
      <c r="AC943" s="198"/>
    </row>
    <row r="944" spans="1:29" hidden="1" outlineLevel="1" x14ac:dyDescent="0.25">
      <c r="A944" s="14" t="str">
        <f t="shared" si="306"/>
        <v>TERC_OPER__25</v>
      </c>
      <c r="B944" s="15" t="str">
        <f t="shared" si="300"/>
        <v>TERC_OPER__0_0</v>
      </c>
      <c r="C944" s="83"/>
      <c r="D944" s="15">
        <f t="shared" si="301"/>
        <v>0</v>
      </c>
      <c r="E944" s="15">
        <v>25</v>
      </c>
      <c r="F944" s="190">
        <f t="shared" si="307"/>
        <v>0</v>
      </c>
      <c r="G944" s="149" t="str">
        <f t="shared" si="307"/>
        <v/>
      </c>
      <c r="H944" s="150" t="str">
        <f t="shared" si="307"/>
        <v/>
      </c>
      <c r="I944" s="150">
        <f t="shared" si="307"/>
        <v>0</v>
      </c>
      <c r="J944" s="150">
        <f t="shared" si="307"/>
        <v>0</v>
      </c>
      <c r="K944" s="196">
        <f t="shared" si="307"/>
        <v>0</v>
      </c>
      <c r="L944" s="197">
        <f t="shared" si="307"/>
        <v>0</v>
      </c>
      <c r="M944" s="191">
        <f t="shared" si="307"/>
        <v>0</v>
      </c>
      <c r="N944" s="150">
        <f t="shared" si="307"/>
        <v>0</v>
      </c>
      <c r="O944" s="193">
        <f t="shared" si="307"/>
        <v>0</v>
      </c>
      <c r="P944" s="162">
        <f t="shared" si="308"/>
        <v>0</v>
      </c>
      <c r="Q944" s="162">
        <f t="shared" si="308"/>
        <v>0</v>
      </c>
      <c r="R944" s="162">
        <f t="shared" si="308"/>
        <v>0</v>
      </c>
      <c r="S944" s="162">
        <f t="shared" si="308"/>
        <v>0</v>
      </c>
      <c r="T944" s="162">
        <f t="shared" si="308"/>
        <v>0</v>
      </c>
      <c r="U944" s="162">
        <f t="shared" si="308"/>
        <v>0</v>
      </c>
      <c r="V944" s="162">
        <f t="shared" si="308"/>
        <v>0</v>
      </c>
      <c r="W944" s="162">
        <f t="shared" si="308"/>
        <v>0</v>
      </c>
      <c r="X944" s="162">
        <f t="shared" si="308"/>
        <v>0</v>
      </c>
      <c r="Y944" s="162">
        <f t="shared" si="308"/>
        <v>0</v>
      </c>
      <c r="Z944" s="162">
        <f t="shared" si="308"/>
        <v>0</v>
      </c>
      <c r="AA944" s="162">
        <f t="shared" si="308"/>
        <v>0</v>
      </c>
      <c r="AB944" s="163">
        <f t="shared" si="304"/>
        <v>0</v>
      </c>
      <c r="AC944" s="198"/>
    </row>
    <row r="945" spans="1:29" hidden="1" outlineLevel="1" x14ac:dyDescent="0.25">
      <c r="A945" s="14" t="str">
        <f t="shared" si="306"/>
        <v>TERC_OPER__26</v>
      </c>
      <c r="B945" s="15" t="str">
        <f t="shared" si="300"/>
        <v>TERC_OPER__0_0</v>
      </c>
      <c r="C945" s="83"/>
      <c r="D945" s="15">
        <f t="shared" si="301"/>
        <v>0</v>
      </c>
      <c r="E945" s="15">
        <v>26</v>
      </c>
      <c r="F945" s="190">
        <f t="shared" si="307"/>
        <v>0</v>
      </c>
      <c r="G945" s="149" t="str">
        <f t="shared" si="307"/>
        <v/>
      </c>
      <c r="H945" s="150" t="str">
        <f t="shared" si="307"/>
        <v/>
      </c>
      <c r="I945" s="150">
        <f t="shared" si="307"/>
        <v>0</v>
      </c>
      <c r="J945" s="150">
        <f t="shared" si="307"/>
        <v>0</v>
      </c>
      <c r="K945" s="196">
        <f t="shared" si="307"/>
        <v>0</v>
      </c>
      <c r="L945" s="197">
        <f t="shared" si="307"/>
        <v>0</v>
      </c>
      <c r="M945" s="191">
        <f t="shared" si="307"/>
        <v>0</v>
      </c>
      <c r="N945" s="150">
        <f t="shared" si="307"/>
        <v>0</v>
      </c>
      <c r="O945" s="193">
        <f t="shared" si="307"/>
        <v>0</v>
      </c>
      <c r="P945" s="162">
        <f t="shared" si="308"/>
        <v>0</v>
      </c>
      <c r="Q945" s="162">
        <f t="shared" si="308"/>
        <v>0</v>
      </c>
      <c r="R945" s="162">
        <f t="shared" si="308"/>
        <v>0</v>
      </c>
      <c r="S945" s="162">
        <f t="shared" si="308"/>
        <v>0</v>
      </c>
      <c r="T945" s="162">
        <f t="shared" si="308"/>
        <v>0</v>
      </c>
      <c r="U945" s="162">
        <f t="shared" si="308"/>
        <v>0</v>
      </c>
      <c r="V945" s="162">
        <f t="shared" si="308"/>
        <v>0</v>
      </c>
      <c r="W945" s="162">
        <f t="shared" si="308"/>
        <v>0</v>
      </c>
      <c r="X945" s="162">
        <f t="shared" si="308"/>
        <v>0</v>
      </c>
      <c r="Y945" s="162">
        <f t="shared" si="308"/>
        <v>0</v>
      </c>
      <c r="Z945" s="162">
        <f t="shared" si="308"/>
        <v>0</v>
      </c>
      <c r="AA945" s="162">
        <f t="shared" si="308"/>
        <v>0</v>
      </c>
      <c r="AB945" s="163">
        <f t="shared" si="304"/>
        <v>0</v>
      </c>
      <c r="AC945" s="198"/>
    </row>
    <row r="946" spans="1:29" hidden="1" outlineLevel="1" x14ac:dyDescent="0.25">
      <c r="A946" s="14" t="str">
        <f t="shared" si="306"/>
        <v>TERC_OPER__27</v>
      </c>
      <c r="B946" s="15" t="str">
        <f t="shared" si="300"/>
        <v>TERC_OPER__0_0</v>
      </c>
      <c r="C946" s="83"/>
      <c r="D946" s="15">
        <f t="shared" si="301"/>
        <v>0</v>
      </c>
      <c r="E946" s="15">
        <v>27</v>
      </c>
      <c r="F946" s="190">
        <f t="shared" si="307"/>
        <v>0</v>
      </c>
      <c r="G946" s="149" t="str">
        <f t="shared" si="307"/>
        <v/>
      </c>
      <c r="H946" s="150" t="str">
        <f t="shared" si="307"/>
        <v/>
      </c>
      <c r="I946" s="150">
        <f t="shared" si="307"/>
        <v>0</v>
      </c>
      <c r="J946" s="150">
        <f t="shared" si="307"/>
        <v>0</v>
      </c>
      <c r="K946" s="196">
        <f t="shared" si="307"/>
        <v>0</v>
      </c>
      <c r="L946" s="197">
        <f t="shared" si="307"/>
        <v>0</v>
      </c>
      <c r="M946" s="191">
        <f t="shared" si="307"/>
        <v>0</v>
      </c>
      <c r="N946" s="150">
        <f t="shared" si="307"/>
        <v>0</v>
      </c>
      <c r="O946" s="193">
        <f t="shared" si="307"/>
        <v>0</v>
      </c>
      <c r="P946" s="162">
        <f t="shared" si="308"/>
        <v>0</v>
      </c>
      <c r="Q946" s="162">
        <f t="shared" si="308"/>
        <v>0</v>
      </c>
      <c r="R946" s="162">
        <f t="shared" si="308"/>
        <v>0</v>
      </c>
      <c r="S946" s="162">
        <f t="shared" si="308"/>
        <v>0</v>
      </c>
      <c r="T946" s="162">
        <f t="shared" si="308"/>
        <v>0</v>
      </c>
      <c r="U946" s="162">
        <f t="shared" si="308"/>
        <v>0</v>
      </c>
      <c r="V946" s="162">
        <f t="shared" si="308"/>
        <v>0</v>
      </c>
      <c r="W946" s="162">
        <f t="shared" si="308"/>
        <v>0</v>
      </c>
      <c r="X946" s="162">
        <f t="shared" si="308"/>
        <v>0</v>
      </c>
      <c r="Y946" s="162">
        <f t="shared" si="308"/>
        <v>0</v>
      </c>
      <c r="Z946" s="162">
        <f t="shared" si="308"/>
        <v>0</v>
      </c>
      <c r="AA946" s="162">
        <f t="shared" si="308"/>
        <v>0</v>
      </c>
      <c r="AB946" s="163">
        <f t="shared" si="304"/>
        <v>0</v>
      </c>
      <c r="AC946" s="198"/>
    </row>
    <row r="947" spans="1:29" hidden="1" outlineLevel="1" x14ac:dyDescent="0.25">
      <c r="A947" s="14" t="str">
        <f t="shared" si="306"/>
        <v>TERC_OPER__28</v>
      </c>
      <c r="B947" s="15" t="str">
        <f t="shared" si="300"/>
        <v>TERC_OPER__0_0</v>
      </c>
      <c r="C947" s="83"/>
      <c r="D947" s="15">
        <f t="shared" si="301"/>
        <v>0</v>
      </c>
      <c r="E947" s="15">
        <v>28</v>
      </c>
      <c r="F947" s="190">
        <f t="shared" si="307"/>
        <v>0</v>
      </c>
      <c r="G947" s="149" t="str">
        <f t="shared" si="307"/>
        <v/>
      </c>
      <c r="H947" s="150" t="str">
        <f t="shared" si="307"/>
        <v/>
      </c>
      <c r="I947" s="150">
        <f t="shared" si="307"/>
        <v>0</v>
      </c>
      <c r="J947" s="150">
        <f t="shared" si="307"/>
        <v>0</v>
      </c>
      <c r="K947" s="196">
        <f t="shared" si="307"/>
        <v>0</v>
      </c>
      <c r="L947" s="197">
        <f t="shared" si="307"/>
        <v>0</v>
      </c>
      <c r="M947" s="191">
        <f t="shared" si="307"/>
        <v>0</v>
      </c>
      <c r="N947" s="150">
        <f t="shared" si="307"/>
        <v>0</v>
      </c>
      <c r="O947" s="193">
        <f t="shared" si="307"/>
        <v>0</v>
      </c>
      <c r="P947" s="162">
        <f t="shared" si="308"/>
        <v>0</v>
      </c>
      <c r="Q947" s="162">
        <f t="shared" si="308"/>
        <v>0</v>
      </c>
      <c r="R947" s="162">
        <f t="shared" si="308"/>
        <v>0</v>
      </c>
      <c r="S947" s="162">
        <f t="shared" si="308"/>
        <v>0</v>
      </c>
      <c r="T947" s="162">
        <f t="shared" si="308"/>
        <v>0</v>
      </c>
      <c r="U947" s="162">
        <f t="shared" si="308"/>
        <v>0</v>
      </c>
      <c r="V947" s="162">
        <f t="shared" si="308"/>
        <v>0</v>
      </c>
      <c r="W947" s="162">
        <f t="shared" si="308"/>
        <v>0</v>
      </c>
      <c r="X947" s="162">
        <f t="shared" si="308"/>
        <v>0</v>
      </c>
      <c r="Y947" s="162">
        <f t="shared" si="308"/>
        <v>0</v>
      </c>
      <c r="Z947" s="162">
        <f t="shared" si="308"/>
        <v>0</v>
      </c>
      <c r="AA947" s="162">
        <f t="shared" si="308"/>
        <v>0</v>
      </c>
      <c r="AB947" s="163">
        <f t="shared" si="304"/>
        <v>0</v>
      </c>
      <c r="AC947" s="198"/>
    </row>
    <row r="948" spans="1:29" hidden="1" outlineLevel="1" x14ac:dyDescent="0.25">
      <c r="A948" s="14" t="str">
        <f t="shared" si="306"/>
        <v>TERC_OPER__29</v>
      </c>
      <c r="B948" s="15" t="str">
        <f t="shared" si="300"/>
        <v>TERC_OPER__0_0</v>
      </c>
      <c r="C948" s="83"/>
      <c r="D948" s="15">
        <f t="shared" si="301"/>
        <v>0</v>
      </c>
      <c r="E948" s="15">
        <v>29</v>
      </c>
      <c r="F948" s="190">
        <f t="shared" si="307"/>
        <v>0</v>
      </c>
      <c r="G948" s="149" t="str">
        <f t="shared" si="307"/>
        <v/>
      </c>
      <c r="H948" s="150" t="str">
        <f t="shared" si="307"/>
        <v/>
      </c>
      <c r="I948" s="150">
        <f t="shared" si="307"/>
        <v>0</v>
      </c>
      <c r="J948" s="150">
        <f t="shared" si="307"/>
        <v>0</v>
      </c>
      <c r="K948" s="196">
        <f t="shared" si="307"/>
        <v>0</v>
      </c>
      <c r="L948" s="197">
        <f t="shared" si="307"/>
        <v>0</v>
      </c>
      <c r="M948" s="191">
        <f t="shared" si="307"/>
        <v>0</v>
      </c>
      <c r="N948" s="150">
        <f t="shared" si="307"/>
        <v>0</v>
      </c>
      <c r="O948" s="193">
        <f t="shared" si="307"/>
        <v>0</v>
      </c>
      <c r="P948" s="162">
        <f t="shared" si="308"/>
        <v>0</v>
      </c>
      <c r="Q948" s="162">
        <f t="shared" si="308"/>
        <v>0</v>
      </c>
      <c r="R948" s="162">
        <f t="shared" si="308"/>
        <v>0</v>
      </c>
      <c r="S948" s="162">
        <f t="shared" si="308"/>
        <v>0</v>
      </c>
      <c r="T948" s="162">
        <f t="shared" si="308"/>
        <v>0</v>
      </c>
      <c r="U948" s="162">
        <f t="shared" si="308"/>
        <v>0</v>
      </c>
      <c r="V948" s="162">
        <f t="shared" si="308"/>
        <v>0</v>
      </c>
      <c r="W948" s="162">
        <f t="shared" si="308"/>
        <v>0</v>
      </c>
      <c r="X948" s="162">
        <f t="shared" si="308"/>
        <v>0</v>
      </c>
      <c r="Y948" s="162">
        <f t="shared" si="308"/>
        <v>0</v>
      </c>
      <c r="Z948" s="162">
        <f t="shared" si="308"/>
        <v>0</v>
      </c>
      <c r="AA948" s="162">
        <f t="shared" si="308"/>
        <v>0</v>
      </c>
      <c r="AB948" s="163">
        <f t="shared" si="304"/>
        <v>0</v>
      </c>
      <c r="AC948" s="198"/>
    </row>
    <row r="949" spans="1:29" hidden="1" outlineLevel="1" x14ac:dyDescent="0.25">
      <c r="A949" s="14" t="str">
        <f t="shared" si="306"/>
        <v>TERC_OPER__30</v>
      </c>
      <c r="B949" s="15" t="str">
        <f t="shared" si="300"/>
        <v>TERC_OPER__0_0</v>
      </c>
      <c r="C949" s="83"/>
      <c r="D949" s="15">
        <f t="shared" si="301"/>
        <v>0</v>
      </c>
      <c r="E949" s="15">
        <v>30</v>
      </c>
      <c r="F949" s="190">
        <f t="shared" si="307"/>
        <v>0</v>
      </c>
      <c r="G949" s="149" t="str">
        <f t="shared" si="307"/>
        <v/>
      </c>
      <c r="H949" s="150" t="str">
        <f t="shared" si="307"/>
        <v/>
      </c>
      <c r="I949" s="150">
        <f t="shared" si="307"/>
        <v>0</v>
      </c>
      <c r="J949" s="150">
        <f t="shared" si="307"/>
        <v>0</v>
      </c>
      <c r="K949" s="196">
        <f t="shared" si="307"/>
        <v>0</v>
      </c>
      <c r="L949" s="197">
        <f t="shared" si="307"/>
        <v>0</v>
      </c>
      <c r="M949" s="191">
        <f t="shared" si="307"/>
        <v>0</v>
      </c>
      <c r="N949" s="150">
        <f t="shared" si="307"/>
        <v>0</v>
      </c>
      <c r="O949" s="193">
        <f t="shared" si="307"/>
        <v>0</v>
      </c>
      <c r="P949" s="162">
        <f t="shared" si="308"/>
        <v>0</v>
      </c>
      <c r="Q949" s="162">
        <f t="shared" si="308"/>
        <v>0</v>
      </c>
      <c r="R949" s="162">
        <f t="shared" si="308"/>
        <v>0</v>
      </c>
      <c r="S949" s="162">
        <f t="shared" si="308"/>
        <v>0</v>
      </c>
      <c r="T949" s="162">
        <f t="shared" si="308"/>
        <v>0</v>
      </c>
      <c r="U949" s="162">
        <f t="shared" si="308"/>
        <v>0</v>
      </c>
      <c r="V949" s="162">
        <f t="shared" si="308"/>
        <v>0</v>
      </c>
      <c r="W949" s="162">
        <f t="shared" si="308"/>
        <v>0</v>
      </c>
      <c r="X949" s="162">
        <f t="shared" si="308"/>
        <v>0</v>
      </c>
      <c r="Y949" s="162">
        <f t="shared" si="308"/>
        <v>0</v>
      </c>
      <c r="Z949" s="162">
        <f t="shared" si="308"/>
        <v>0</v>
      </c>
      <c r="AA949" s="162">
        <f t="shared" si="308"/>
        <v>0</v>
      </c>
      <c r="AB949" s="163">
        <f t="shared" si="304"/>
        <v>0</v>
      </c>
      <c r="AC949" s="198"/>
    </row>
    <row r="950" spans="1:29" hidden="1" outlineLevel="1" x14ac:dyDescent="0.25">
      <c r="A950" s="14" t="str">
        <f t="shared" si="306"/>
        <v>TERC_OPER__31</v>
      </c>
      <c r="B950" s="15" t="str">
        <f t="shared" si="300"/>
        <v>TERC_OPER__0_0</v>
      </c>
      <c r="C950" s="83"/>
      <c r="D950" s="15">
        <f t="shared" si="301"/>
        <v>0</v>
      </c>
      <c r="E950" s="15">
        <v>31</v>
      </c>
      <c r="F950" s="190">
        <f t="shared" si="307"/>
        <v>0</v>
      </c>
      <c r="G950" s="149" t="str">
        <f t="shared" si="307"/>
        <v/>
      </c>
      <c r="H950" s="150" t="str">
        <f t="shared" si="307"/>
        <v/>
      </c>
      <c r="I950" s="150">
        <f t="shared" si="307"/>
        <v>0</v>
      </c>
      <c r="J950" s="150">
        <f t="shared" si="307"/>
        <v>0</v>
      </c>
      <c r="K950" s="196">
        <f t="shared" si="307"/>
        <v>0</v>
      </c>
      <c r="L950" s="197">
        <f t="shared" si="307"/>
        <v>0</v>
      </c>
      <c r="M950" s="191">
        <f t="shared" si="307"/>
        <v>0</v>
      </c>
      <c r="N950" s="150">
        <f t="shared" si="307"/>
        <v>0</v>
      </c>
      <c r="O950" s="193">
        <f t="shared" si="307"/>
        <v>0</v>
      </c>
      <c r="P950" s="162">
        <f t="shared" si="308"/>
        <v>0</v>
      </c>
      <c r="Q950" s="162">
        <f t="shared" si="308"/>
        <v>0</v>
      </c>
      <c r="R950" s="162">
        <f t="shared" si="308"/>
        <v>0</v>
      </c>
      <c r="S950" s="162">
        <f t="shared" si="308"/>
        <v>0</v>
      </c>
      <c r="T950" s="162">
        <f t="shared" si="308"/>
        <v>0</v>
      </c>
      <c r="U950" s="162">
        <f t="shared" si="308"/>
        <v>0</v>
      </c>
      <c r="V950" s="162">
        <f t="shared" si="308"/>
        <v>0</v>
      </c>
      <c r="W950" s="162">
        <f t="shared" si="308"/>
        <v>0</v>
      </c>
      <c r="X950" s="162">
        <f t="shared" si="308"/>
        <v>0</v>
      </c>
      <c r="Y950" s="162">
        <f t="shared" si="308"/>
        <v>0</v>
      </c>
      <c r="Z950" s="162">
        <f t="shared" si="308"/>
        <v>0</v>
      </c>
      <c r="AA950" s="162">
        <f t="shared" si="308"/>
        <v>0</v>
      </c>
      <c r="AB950" s="163">
        <f t="shared" si="304"/>
        <v>0</v>
      </c>
      <c r="AC950" s="198"/>
    </row>
    <row r="951" spans="1:29" hidden="1" outlineLevel="1" x14ac:dyDescent="0.25">
      <c r="A951" s="14" t="str">
        <f t="shared" si="306"/>
        <v>TERC_OPER__32</v>
      </c>
      <c r="B951" s="15" t="str">
        <f t="shared" si="300"/>
        <v>TERC_OPER__0_0</v>
      </c>
      <c r="C951" s="83"/>
      <c r="D951" s="15">
        <f t="shared" si="301"/>
        <v>0</v>
      </c>
      <c r="E951" s="15">
        <v>32</v>
      </c>
      <c r="F951" s="190">
        <f t="shared" si="307"/>
        <v>0</v>
      </c>
      <c r="G951" s="149" t="str">
        <f t="shared" si="307"/>
        <v/>
      </c>
      <c r="H951" s="150" t="str">
        <f t="shared" si="307"/>
        <v/>
      </c>
      <c r="I951" s="150">
        <f t="shared" si="307"/>
        <v>0</v>
      </c>
      <c r="J951" s="150">
        <f t="shared" si="307"/>
        <v>0</v>
      </c>
      <c r="K951" s="196">
        <f t="shared" si="307"/>
        <v>0</v>
      </c>
      <c r="L951" s="197">
        <f t="shared" si="307"/>
        <v>0</v>
      </c>
      <c r="M951" s="191">
        <f t="shared" si="307"/>
        <v>0</v>
      </c>
      <c r="N951" s="150">
        <f t="shared" si="307"/>
        <v>0</v>
      </c>
      <c r="O951" s="193">
        <f t="shared" si="307"/>
        <v>0</v>
      </c>
      <c r="P951" s="162">
        <f t="shared" si="308"/>
        <v>0</v>
      </c>
      <c r="Q951" s="162">
        <f t="shared" si="308"/>
        <v>0</v>
      </c>
      <c r="R951" s="162">
        <f t="shared" si="308"/>
        <v>0</v>
      </c>
      <c r="S951" s="162">
        <f t="shared" si="308"/>
        <v>0</v>
      </c>
      <c r="T951" s="162">
        <f t="shared" si="308"/>
        <v>0</v>
      </c>
      <c r="U951" s="162">
        <f t="shared" si="308"/>
        <v>0</v>
      </c>
      <c r="V951" s="162">
        <f t="shared" si="308"/>
        <v>0</v>
      </c>
      <c r="W951" s="162">
        <f t="shared" si="308"/>
        <v>0</v>
      </c>
      <c r="X951" s="162">
        <f t="shared" si="308"/>
        <v>0</v>
      </c>
      <c r="Y951" s="162">
        <f t="shared" si="308"/>
        <v>0</v>
      </c>
      <c r="Z951" s="162">
        <f t="shared" si="308"/>
        <v>0</v>
      </c>
      <c r="AA951" s="162">
        <f t="shared" si="308"/>
        <v>0</v>
      </c>
      <c r="AB951" s="163">
        <f t="shared" si="304"/>
        <v>0</v>
      </c>
      <c r="AC951" s="198"/>
    </row>
    <row r="952" spans="1:29" hidden="1" outlineLevel="1" x14ac:dyDescent="0.25">
      <c r="A952" s="14" t="str">
        <f t="shared" si="306"/>
        <v>TERC_OPER__33</v>
      </c>
      <c r="B952" s="15" t="str">
        <f t="shared" si="300"/>
        <v>TERC_OPER__0_0</v>
      </c>
      <c r="C952" s="83"/>
      <c r="D952" s="15">
        <f t="shared" si="301"/>
        <v>0</v>
      </c>
      <c r="E952" s="15">
        <v>33</v>
      </c>
      <c r="F952" s="190">
        <f t="shared" ref="F952:O964" si="309">F906</f>
        <v>0</v>
      </c>
      <c r="G952" s="149" t="str">
        <f t="shared" si="309"/>
        <v/>
      </c>
      <c r="H952" s="150" t="str">
        <f t="shared" si="309"/>
        <v/>
      </c>
      <c r="I952" s="150">
        <f t="shared" si="309"/>
        <v>0</v>
      </c>
      <c r="J952" s="150">
        <f t="shared" si="309"/>
        <v>0</v>
      </c>
      <c r="K952" s="196">
        <f t="shared" si="309"/>
        <v>0</v>
      </c>
      <c r="L952" s="197">
        <f t="shared" si="309"/>
        <v>0</v>
      </c>
      <c r="M952" s="191">
        <f t="shared" si="309"/>
        <v>0</v>
      </c>
      <c r="N952" s="150">
        <f t="shared" si="309"/>
        <v>0</v>
      </c>
      <c r="O952" s="193">
        <f t="shared" si="309"/>
        <v>0</v>
      </c>
      <c r="P952" s="162">
        <f t="shared" si="308"/>
        <v>0</v>
      </c>
      <c r="Q952" s="162">
        <f t="shared" si="308"/>
        <v>0</v>
      </c>
      <c r="R952" s="162">
        <f t="shared" si="308"/>
        <v>0</v>
      </c>
      <c r="S952" s="162">
        <f t="shared" si="308"/>
        <v>0</v>
      </c>
      <c r="T952" s="162">
        <f t="shared" si="308"/>
        <v>0</v>
      </c>
      <c r="U952" s="162">
        <f t="shared" si="308"/>
        <v>0</v>
      </c>
      <c r="V952" s="162">
        <f t="shared" si="308"/>
        <v>0</v>
      </c>
      <c r="W952" s="162">
        <f t="shared" si="308"/>
        <v>0</v>
      </c>
      <c r="X952" s="162">
        <f t="shared" si="308"/>
        <v>0</v>
      </c>
      <c r="Y952" s="162">
        <f t="shared" si="308"/>
        <v>0</v>
      </c>
      <c r="Z952" s="162">
        <f t="shared" si="308"/>
        <v>0</v>
      </c>
      <c r="AA952" s="162">
        <f t="shared" si="308"/>
        <v>0</v>
      </c>
      <c r="AB952" s="163">
        <f t="shared" si="304"/>
        <v>0</v>
      </c>
      <c r="AC952" s="198"/>
    </row>
    <row r="953" spans="1:29" hidden="1" outlineLevel="1" x14ac:dyDescent="0.25">
      <c r="A953" s="14" t="str">
        <f t="shared" si="306"/>
        <v>TERC_OPER__34</v>
      </c>
      <c r="B953" s="15" t="str">
        <f t="shared" si="300"/>
        <v>TERC_OPER__0_0</v>
      </c>
      <c r="C953" s="83"/>
      <c r="D953" s="15">
        <f t="shared" si="301"/>
        <v>0</v>
      </c>
      <c r="E953" s="15">
        <v>34</v>
      </c>
      <c r="F953" s="190">
        <f t="shared" si="309"/>
        <v>0</v>
      </c>
      <c r="G953" s="149" t="str">
        <f t="shared" si="309"/>
        <v/>
      </c>
      <c r="H953" s="150" t="str">
        <f t="shared" si="309"/>
        <v/>
      </c>
      <c r="I953" s="150">
        <f t="shared" si="309"/>
        <v>0</v>
      </c>
      <c r="J953" s="150">
        <f t="shared" si="309"/>
        <v>0</v>
      </c>
      <c r="K953" s="196">
        <f t="shared" si="309"/>
        <v>0</v>
      </c>
      <c r="L953" s="197">
        <f t="shared" si="309"/>
        <v>0</v>
      </c>
      <c r="M953" s="191">
        <f t="shared" si="309"/>
        <v>0</v>
      </c>
      <c r="N953" s="150">
        <f t="shared" si="309"/>
        <v>0</v>
      </c>
      <c r="O953" s="193">
        <f t="shared" si="309"/>
        <v>0</v>
      </c>
      <c r="P953" s="162">
        <f t="shared" si="308"/>
        <v>0</v>
      </c>
      <c r="Q953" s="162">
        <f t="shared" si="308"/>
        <v>0</v>
      </c>
      <c r="R953" s="162">
        <f t="shared" si="308"/>
        <v>0</v>
      </c>
      <c r="S953" s="162">
        <f t="shared" si="308"/>
        <v>0</v>
      </c>
      <c r="T953" s="162">
        <f t="shared" si="308"/>
        <v>0</v>
      </c>
      <c r="U953" s="162">
        <f t="shared" si="308"/>
        <v>0</v>
      </c>
      <c r="V953" s="162">
        <f t="shared" si="308"/>
        <v>0</v>
      </c>
      <c r="W953" s="162">
        <f t="shared" si="308"/>
        <v>0</v>
      </c>
      <c r="X953" s="162">
        <f t="shared" si="308"/>
        <v>0</v>
      </c>
      <c r="Y953" s="162">
        <f t="shared" si="308"/>
        <v>0</v>
      </c>
      <c r="Z953" s="162">
        <f t="shared" si="308"/>
        <v>0</v>
      </c>
      <c r="AA953" s="162">
        <f t="shared" si="308"/>
        <v>0</v>
      </c>
      <c r="AB953" s="163">
        <f t="shared" si="304"/>
        <v>0</v>
      </c>
      <c r="AC953" s="198"/>
    </row>
    <row r="954" spans="1:29" hidden="1" outlineLevel="1" x14ac:dyDescent="0.25">
      <c r="A954" s="14" t="str">
        <f t="shared" si="306"/>
        <v>TERC_OPER__35</v>
      </c>
      <c r="B954" s="15" t="str">
        <f t="shared" si="300"/>
        <v>TERC_OPER__0_0</v>
      </c>
      <c r="C954" s="83"/>
      <c r="D954" s="15">
        <f t="shared" si="301"/>
        <v>0</v>
      </c>
      <c r="E954" s="15">
        <v>35</v>
      </c>
      <c r="F954" s="190">
        <f t="shared" si="309"/>
        <v>0</v>
      </c>
      <c r="G954" s="149" t="str">
        <f t="shared" si="309"/>
        <v/>
      </c>
      <c r="H954" s="150" t="str">
        <f t="shared" si="309"/>
        <v/>
      </c>
      <c r="I954" s="150">
        <f t="shared" si="309"/>
        <v>0</v>
      </c>
      <c r="J954" s="150">
        <f t="shared" si="309"/>
        <v>0</v>
      </c>
      <c r="K954" s="196">
        <f t="shared" si="309"/>
        <v>0</v>
      </c>
      <c r="L954" s="197">
        <f t="shared" si="309"/>
        <v>0</v>
      </c>
      <c r="M954" s="191">
        <f t="shared" si="309"/>
        <v>0</v>
      </c>
      <c r="N954" s="150">
        <f t="shared" si="309"/>
        <v>0</v>
      </c>
      <c r="O954" s="193">
        <f t="shared" si="309"/>
        <v>0</v>
      </c>
      <c r="P954" s="162">
        <f t="shared" si="308"/>
        <v>0</v>
      </c>
      <c r="Q954" s="162">
        <f t="shared" si="308"/>
        <v>0</v>
      </c>
      <c r="R954" s="162">
        <f t="shared" si="308"/>
        <v>0</v>
      </c>
      <c r="S954" s="162">
        <f t="shared" si="308"/>
        <v>0</v>
      </c>
      <c r="T954" s="162">
        <f t="shared" si="308"/>
        <v>0</v>
      </c>
      <c r="U954" s="162">
        <f t="shared" si="308"/>
        <v>0</v>
      </c>
      <c r="V954" s="162">
        <f t="shared" si="308"/>
        <v>0</v>
      </c>
      <c r="W954" s="162">
        <f t="shared" si="308"/>
        <v>0</v>
      </c>
      <c r="X954" s="162">
        <f t="shared" si="308"/>
        <v>0</v>
      </c>
      <c r="Y954" s="162">
        <f t="shared" si="308"/>
        <v>0</v>
      </c>
      <c r="Z954" s="162">
        <f t="shared" si="308"/>
        <v>0</v>
      </c>
      <c r="AA954" s="162">
        <f t="shared" si="308"/>
        <v>0</v>
      </c>
      <c r="AB954" s="163">
        <f t="shared" si="304"/>
        <v>0</v>
      </c>
      <c r="AC954" s="198"/>
    </row>
    <row r="955" spans="1:29" hidden="1" outlineLevel="1" x14ac:dyDescent="0.25">
      <c r="A955" s="14" t="str">
        <f t="shared" si="306"/>
        <v>TERC_OPER__36</v>
      </c>
      <c r="B955" s="15" t="str">
        <f t="shared" si="300"/>
        <v>TERC_OPER__0_0</v>
      </c>
      <c r="C955" s="83"/>
      <c r="D955" s="15">
        <f t="shared" si="301"/>
        <v>0</v>
      </c>
      <c r="E955" s="15">
        <v>36</v>
      </c>
      <c r="F955" s="190">
        <f t="shared" si="309"/>
        <v>0</v>
      </c>
      <c r="G955" s="149" t="str">
        <f t="shared" si="309"/>
        <v/>
      </c>
      <c r="H955" s="150" t="str">
        <f t="shared" si="309"/>
        <v/>
      </c>
      <c r="I955" s="150">
        <f t="shared" si="309"/>
        <v>0</v>
      </c>
      <c r="J955" s="150">
        <f t="shared" si="309"/>
        <v>0</v>
      </c>
      <c r="K955" s="196">
        <f t="shared" si="309"/>
        <v>0</v>
      </c>
      <c r="L955" s="197">
        <f t="shared" si="309"/>
        <v>0</v>
      </c>
      <c r="M955" s="191">
        <f t="shared" si="309"/>
        <v>0</v>
      </c>
      <c r="N955" s="150">
        <f t="shared" si="309"/>
        <v>0</v>
      </c>
      <c r="O955" s="193">
        <f t="shared" si="309"/>
        <v>0</v>
      </c>
      <c r="P955" s="162">
        <f t="shared" si="308"/>
        <v>0</v>
      </c>
      <c r="Q955" s="162">
        <f t="shared" si="308"/>
        <v>0</v>
      </c>
      <c r="R955" s="162">
        <f t="shared" si="308"/>
        <v>0</v>
      </c>
      <c r="S955" s="162">
        <f t="shared" si="308"/>
        <v>0</v>
      </c>
      <c r="T955" s="162">
        <f t="shared" si="308"/>
        <v>0</v>
      </c>
      <c r="U955" s="162">
        <f t="shared" si="308"/>
        <v>0</v>
      </c>
      <c r="V955" s="162">
        <f t="shared" si="308"/>
        <v>0</v>
      </c>
      <c r="W955" s="162">
        <f t="shared" si="308"/>
        <v>0</v>
      </c>
      <c r="X955" s="162">
        <f t="shared" si="308"/>
        <v>0</v>
      </c>
      <c r="Y955" s="162">
        <f t="shared" si="308"/>
        <v>0</v>
      </c>
      <c r="Z955" s="162">
        <f t="shared" si="308"/>
        <v>0</v>
      </c>
      <c r="AA955" s="162">
        <f t="shared" si="308"/>
        <v>0</v>
      </c>
      <c r="AB955" s="163">
        <f t="shared" si="304"/>
        <v>0</v>
      </c>
      <c r="AC955" s="198"/>
    </row>
    <row r="956" spans="1:29" hidden="1" outlineLevel="1" x14ac:dyDescent="0.25">
      <c r="A956" s="14" t="str">
        <f t="shared" si="306"/>
        <v>TERC_OPER__37</v>
      </c>
      <c r="B956" s="15" t="str">
        <f t="shared" si="300"/>
        <v>TERC_OPER__0_0</v>
      </c>
      <c r="C956" s="83"/>
      <c r="D956" s="15">
        <f t="shared" si="301"/>
        <v>0</v>
      </c>
      <c r="E956" s="15">
        <v>37</v>
      </c>
      <c r="F956" s="190">
        <f t="shared" si="309"/>
        <v>0</v>
      </c>
      <c r="G956" s="149" t="str">
        <f t="shared" si="309"/>
        <v/>
      </c>
      <c r="H956" s="150" t="str">
        <f t="shared" si="309"/>
        <v/>
      </c>
      <c r="I956" s="150">
        <f t="shared" si="309"/>
        <v>0</v>
      </c>
      <c r="J956" s="150">
        <f t="shared" si="309"/>
        <v>0</v>
      </c>
      <c r="K956" s="196">
        <f t="shared" si="309"/>
        <v>0</v>
      </c>
      <c r="L956" s="197">
        <f t="shared" si="309"/>
        <v>0</v>
      </c>
      <c r="M956" s="191">
        <f t="shared" si="309"/>
        <v>0</v>
      </c>
      <c r="N956" s="150">
        <f t="shared" si="309"/>
        <v>0</v>
      </c>
      <c r="O956" s="193">
        <f t="shared" si="309"/>
        <v>0</v>
      </c>
      <c r="P956" s="162">
        <f t="shared" si="308"/>
        <v>0</v>
      </c>
      <c r="Q956" s="162">
        <f t="shared" si="308"/>
        <v>0</v>
      </c>
      <c r="R956" s="162">
        <f t="shared" si="308"/>
        <v>0</v>
      </c>
      <c r="S956" s="162">
        <f t="shared" si="308"/>
        <v>0</v>
      </c>
      <c r="T956" s="162">
        <f t="shared" si="308"/>
        <v>0</v>
      </c>
      <c r="U956" s="162">
        <f t="shared" si="308"/>
        <v>0</v>
      </c>
      <c r="V956" s="162">
        <f t="shared" si="308"/>
        <v>0</v>
      </c>
      <c r="W956" s="162">
        <f t="shared" si="308"/>
        <v>0</v>
      </c>
      <c r="X956" s="162">
        <f t="shared" si="308"/>
        <v>0</v>
      </c>
      <c r="Y956" s="162">
        <f t="shared" si="308"/>
        <v>0</v>
      </c>
      <c r="Z956" s="162">
        <f t="shared" si="308"/>
        <v>0</v>
      </c>
      <c r="AA956" s="162">
        <f t="shared" si="308"/>
        <v>0</v>
      </c>
      <c r="AB956" s="163">
        <f t="shared" si="304"/>
        <v>0</v>
      </c>
      <c r="AC956" s="198"/>
    </row>
    <row r="957" spans="1:29" hidden="1" outlineLevel="1" x14ac:dyDescent="0.25">
      <c r="A957" s="14" t="str">
        <f t="shared" si="306"/>
        <v>TERC_OPER__38</v>
      </c>
      <c r="B957" s="15" t="str">
        <f t="shared" si="300"/>
        <v>TERC_OPER__0_0</v>
      </c>
      <c r="C957" s="83"/>
      <c r="D957" s="15">
        <f t="shared" si="301"/>
        <v>0</v>
      </c>
      <c r="E957" s="15">
        <v>38</v>
      </c>
      <c r="F957" s="190">
        <f t="shared" si="309"/>
        <v>0</v>
      </c>
      <c r="G957" s="149" t="str">
        <f t="shared" si="309"/>
        <v/>
      </c>
      <c r="H957" s="150" t="str">
        <f t="shared" si="309"/>
        <v/>
      </c>
      <c r="I957" s="150">
        <f t="shared" si="309"/>
        <v>0</v>
      </c>
      <c r="J957" s="150">
        <f t="shared" si="309"/>
        <v>0</v>
      </c>
      <c r="K957" s="196">
        <f t="shared" si="309"/>
        <v>0</v>
      </c>
      <c r="L957" s="197">
        <f t="shared" si="309"/>
        <v>0</v>
      </c>
      <c r="M957" s="191">
        <f t="shared" si="309"/>
        <v>0</v>
      </c>
      <c r="N957" s="150">
        <f t="shared" si="309"/>
        <v>0</v>
      </c>
      <c r="O957" s="193">
        <f t="shared" si="309"/>
        <v>0</v>
      </c>
      <c r="P957" s="162">
        <f t="shared" ref="P957:AA964" si="310">IFERROR(SUMIF($B$483:$B$547,$C957&amp;$I957,P$483:P$547)/SUMIF($D$483:$D$547,$I957,P$483:P$547)*P589,0)</f>
        <v>0</v>
      </c>
      <c r="Q957" s="162">
        <f t="shared" si="310"/>
        <v>0</v>
      </c>
      <c r="R957" s="162">
        <f t="shared" si="310"/>
        <v>0</v>
      </c>
      <c r="S957" s="162">
        <f t="shared" si="310"/>
        <v>0</v>
      </c>
      <c r="T957" s="162">
        <f t="shared" si="310"/>
        <v>0</v>
      </c>
      <c r="U957" s="162">
        <f t="shared" si="310"/>
        <v>0</v>
      </c>
      <c r="V957" s="162">
        <f t="shared" si="310"/>
        <v>0</v>
      </c>
      <c r="W957" s="162">
        <f t="shared" si="310"/>
        <v>0</v>
      </c>
      <c r="X957" s="162">
        <f t="shared" si="310"/>
        <v>0</v>
      </c>
      <c r="Y957" s="162">
        <f t="shared" si="310"/>
        <v>0</v>
      </c>
      <c r="Z957" s="162">
        <f t="shared" si="310"/>
        <v>0</v>
      </c>
      <c r="AA957" s="162">
        <f t="shared" si="310"/>
        <v>0</v>
      </c>
      <c r="AB957" s="163">
        <f t="shared" si="304"/>
        <v>0</v>
      </c>
      <c r="AC957" s="198"/>
    </row>
    <row r="958" spans="1:29" hidden="1" outlineLevel="1" x14ac:dyDescent="0.25">
      <c r="A958" s="14" t="str">
        <f t="shared" si="306"/>
        <v>TERC_OPER__39</v>
      </c>
      <c r="B958" s="15" t="str">
        <f t="shared" si="300"/>
        <v>TERC_OPER__0_0</v>
      </c>
      <c r="C958" s="83"/>
      <c r="D958" s="15">
        <f t="shared" si="301"/>
        <v>0</v>
      </c>
      <c r="E958" s="15">
        <v>39</v>
      </c>
      <c r="F958" s="190">
        <f t="shared" si="309"/>
        <v>0</v>
      </c>
      <c r="G958" s="149" t="str">
        <f t="shared" si="309"/>
        <v/>
      </c>
      <c r="H958" s="150" t="str">
        <f t="shared" si="309"/>
        <v/>
      </c>
      <c r="I958" s="150">
        <f t="shared" si="309"/>
        <v>0</v>
      </c>
      <c r="J958" s="150">
        <f t="shared" si="309"/>
        <v>0</v>
      </c>
      <c r="K958" s="196">
        <f t="shared" si="309"/>
        <v>0</v>
      </c>
      <c r="L958" s="197">
        <f t="shared" si="309"/>
        <v>0</v>
      </c>
      <c r="M958" s="191">
        <f t="shared" si="309"/>
        <v>0</v>
      </c>
      <c r="N958" s="150">
        <f t="shared" si="309"/>
        <v>0</v>
      </c>
      <c r="O958" s="193">
        <f t="shared" si="309"/>
        <v>0</v>
      </c>
      <c r="P958" s="162">
        <f t="shared" si="310"/>
        <v>0</v>
      </c>
      <c r="Q958" s="162">
        <f t="shared" si="310"/>
        <v>0</v>
      </c>
      <c r="R958" s="162">
        <f t="shared" si="310"/>
        <v>0</v>
      </c>
      <c r="S958" s="162">
        <f t="shared" si="310"/>
        <v>0</v>
      </c>
      <c r="T958" s="162">
        <f t="shared" si="310"/>
        <v>0</v>
      </c>
      <c r="U958" s="162">
        <f t="shared" si="310"/>
        <v>0</v>
      </c>
      <c r="V958" s="162">
        <f t="shared" si="310"/>
        <v>0</v>
      </c>
      <c r="W958" s="162">
        <f t="shared" si="310"/>
        <v>0</v>
      </c>
      <c r="X958" s="162">
        <f t="shared" si="310"/>
        <v>0</v>
      </c>
      <c r="Y958" s="162">
        <f t="shared" si="310"/>
        <v>0</v>
      </c>
      <c r="Z958" s="162">
        <f t="shared" si="310"/>
        <v>0</v>
      </c>
      <c r="AA958" s="162">
        <f t="shared" si="310"/>
        <v>0</v>
      </c>
      <c r="AB958" s="163">
        <f t="shared" si="304"/>
        <v>0</v>
      </c>
      <c r="AC958" s="198"/>
    </row>
    <row r="959" spans="1:29" hidden="1" outlineLevel="1" x14ac:dyDescent="0.25">
      <c r="A959" s="14" t="str">
        <f t="shared" si="306"/>
        <v>TERC_OPER__40</v>
      </c>
      <c r="B959" s="15" t="str">
        <f t="shared" si="300"/>
        <v>TERC_OPER__0_0</v>
      </c>
      <c r="C959" s="83"/>
      <c r="D959" s="15">
        <f t="shared" si="301"/>
        <v>0</v>
      </c>
      <c r="E959" s="15">
        <v>40</v>
      </c>
      <c r="F959" s="190">
        <f t="shared" si="309"/>
        <v>0</v>
      </c>
      <c r="G959" s="149" t="str">
        <f t="shared" si="309"/>
        <v/>
      </c>
      <c r="H959" s="150" t="str">
        <f t="shared" si="309"/>
        <v/>
      </c>
      <c r="I959" s="150">
        <f t="shared" si="309"/>
        <v>0</v>
      </c>
      <c r="J959" s="150">
        <f t="shared" si="309"/>
        <v>0</v>
      </c>
      <c r="K959" s="196">
        <f t="shared" si="309"/>
        <v>0</v>
      </c>
      <c r="L959" s="197">
        <f t="shared" si="309"/>
        <v>0</v>
      </c>
      <c r="M959" s="191">
        <f t="shared" si="309"/>
        <v>0</v>
      </c>
      <c r="N959" s="150">
        <f t="shared" si="309"/>
        <v>0</v>
      </c>
      <c r="O959" s="193">
        <f t="shared" si="309"/>
        <v>0</v>
      </c>
      <c r="P959" s="162">
        <f t="shared" si="310"/>
        <v>0</v>
      </c>
      <c r="Q959" s="162">
        <f t="shared" si="310"/>
        <v>0</v>
      </c>
      <c r="R959" s="162">
        <f t="shared" si="310"/>
        <v>0</v>
      </c>
      <c r="S959" s="162">
        <f t="shared" si="310"/>
        <v>0</v>
      </c>
      <c r="T959" s="162">
        <f t="shared" si="310"/>
        <v>0</v>
      </c>
      <c r="U959" s="162">
        <f t="shared" si="310"/>
        <v>0</v>
      </c>
      <c r="V959" s="162">
        <f t="shared" si="310"/>
        <v>0</v>
      </c>
      <c r="W959" s="162">
        <f t="shared" si="310"/>
        <v>0</v>
      </c>
      <c r="X959" s="162">
        <f t="shared" si="310"/>
        <v>0</v>
      </c>
      <c r="Y959" s="162">
        <f t="shared" si="310"/>
        <v>0</v>
      </c>
      <c r="Z959" s="162">
        <f t="shared" si="310"/>
        <v>0</v>
      </c>
      <c r="AA959" s="162">
        <f t="shared" si="310"/>
        <v>0</v>
      </c>
      <c r="AB959" s="163">
        <f t="shared" si="304"/>
        <v>0</v>
      </c>
      <c r="AC959" s="198"/>
    </row>
    <row r="960" spans="1:29" hidden="1" outlineLevel="1" x14ac:dyDescent="0.25">
      <c r="A960" s="14" t="str">
        <f t="shared" si="306"/>
        <v>TERC_OPER__41</v>
      </c>
      <c r="B960" s="15" t="str">
        <f t="shared" si="300"/>
        <v>TERC_OPER__0_0</v>
      </c>
      <c r="C960" s="83"/>
      <c r="D960" s="15">
        <f t="shared" si="301"/>
        <v>0</v>
      </c>
      <c r="E960" s="15">
        <v>41</v>
      </c>
      <c r="F960" s="190">
        <f t="shared" si="309"/>
        <v>0</v>
      </c>
      <c r="G960" s="149" t="str">
        <f t="shared" si="309"/>
        <v/>
      </c>
      <c r="H960" s="150" t="str">
        <f t="shared" si="309"/>
        <v/>
      </c>
      <c r="I960" s="150">
        <f t="shared" si="309"/>
        <v>0</v>
      </c>
      <c r="J960" s="150">
        <f t="shared" si="309"/>
        <v>0</v>
      </c>
      <c r="K960" s="196">
        <f t="shared" si="309"/>
        <v>0</v>
      </c>
      <c r="L960" s="197">
        <f t="shared" si="309"/>
        <v>0</v>
      </c>
      <c r="M960" s="191">
        <f t="shared" si="309"/>
        <v>0</v>
      </c>
      <c r="N960" s="150">
        <f t="shared" si="309"/>
        <v>0</v>
      </c>
      <c r="O960" s="193">
        <f t="shared" si="309"/>
        <v>0</v>
      </c>
      <c r="P960" s="162">
        <f t="shared" si="310"/>
        <v>0</v>
      </c>
      <c r="Q960" s="162">
        <f t="shared" si="310"/>
        <v>0</v>
      </c>
      <c r="R960" s="162">
        <f t="shared" si="310"/>
        <v>0</v>
      </c>
      <c r="S960" s="162">
        <f t="shared" si="310"/>
        <v>0</v>
      </c>
      <c r="T960" s="162">
        <f t="shared" si="310"/>
        <v>0</v>
      </c>
      <c r="U960" s="162">
        <f t="shared" si="310"/>
        <v>0</v>
      </c>
      <c r="V960" s="162">
        <f t="shared" si="310"/>
        <v>0</v>
      </c>
      <c r="W960" s="162">
        <f t="shared" si="310"/>
        <v>0</v>
      </c>
      <c r="X960" s="162">
        <f t="shared" si="310"/>
        <v>0</v>
      </c>
      <c r="Y960" s="162">
        <f t="shared" si="310"/>
        <v>0</v>
      </c>
      <c r="Z960" s="162">
        <f t="shared" si="310"/>
        <v>0</v>
      </c>
      <c r="AA960" s="162">
        <f t="shared" si="310"/>
        <v>0</v>
      </c>
      <c r="AB960" s="163">
        <f t="shared" si="304"/>
        <v>0</v>
      </c>
      <c r="AC960" s="198"/>
    </row>
    <row r="961" spans="1:29" hidden="1" outlineLevel="1" x14ac:dyDescent="0.25">
      <c r="A961" s="14" t="str">
        <f t="shared" si="306"/>
        <v>TERC_OPER__42</v>
      </c>
      <c r="B961" s="15" t="str">
        <f t="shared" si="300"/>
        <v>TERC_OPER__0_0</v>
      </c>
      <c r="C961" s="83"/>
      <c r="D961" s="15">
        <f t="shared" si="301"/>
        <v>0</v>
      </c>
      <c r="E961" s="15">
        <v>42</v>
      </c>
      <c r="F961" s="190">
        <f t="shared" si="309"/>
        <v>0</v>
      </c>
      <c r="G961" s="149" t="str">
        <f t="shared" si="309"/>
        <v/>
      </c>
      <c r="H961" s="150" t="str">
        <f t="shared" si="309"/>
        <v/>
      </c>
      <c r="I961" s="150">
        <f t="shared" si="309"/>
        <v>0</v>
      </c>
      <c r="J961" s="150">
        <f t="shared" si="309"/>
        <v>0</v>
      </c>
      <c r="K961" s="196">
        <f t="shared" si="309"/>
        <v>0</v>
      </c>
      <c r="L961" s="197">
        <f t="shared" si="309"/>
        <v>0</v>
      </c>
      <c r="M961" s="191">
        <f t="shared" si="309"/>
        <v>0</v>
      </c>
      <c r="N961" s="150">
        <f t="shared" si="309"/>
        <v>0</v>
      </c>
      <c r="O961" s="193">
        <f t="shared" si="309"/>
        <v>0</v>
      </c>
      <c r="P961" s="162">
        <f t="shared" si="310"/>
        <v>0</v>
      </c>
      <c r="Q961" s="162">
        <f t="shared" si="310"/>
        <v>0</v>
      </c>
      <c r="R961" s="162">
        <f t="shared" si="310"/>
        <v>0</v>
      </c>
      <c r="S961" s="162">
        <f t="shared" si="310"/>
        <v>0</v>
      </c>
      <c r="T961" s="162">
        <f t="shared" si="310"/>
        <v>0</v>
      </c>
      <c r="U961" s="162">
        <f t="shared" si="310"/>
        <v>0</v>
      </c>
      <c r="V961" s="162">
        <f t="shared" si="310"/>
        <v>0</v>
      </c>
      <c r="W961" s="162">
        <f t="shared" si="310"/>
        <v>0</v>
      </c>
      <c r="X961" s="162">
        <f t="shared" si="310"/>
        <v>0</v>
      </c>
      <c r="Y961" s="162">
        <f t="shared" si="310"/>
        <v>0</v>
      </c>
      <c r="Z961" s="162">
        <f t="shared" si="310"/>
        <v>0</v>
      </c>
      <c r="AA961" s="162">
        <f t="shared" si="310"/>
        <v>0</v>
      </c>
      <c r="AB961" s="163">
        <f t="shared" si="304"/>
        <v>0</v>
      </c>
      <c r="AC961" s="198"/>
    </row>
    <row r="962" spans="1:29" hidden="1" outlineLevel="1" x14ac:dyDescent="0.25">
      <c r="A962" s="14" t="str">
        <f t="shared" si="306"/>
        <v>TERC_OPER__43</v>
      </c>
      <c r="B962" s="15" t="str">
        <f t="shared" si="300"/>
        <v>TERC_OPER__0_0</v>
      </c>
      <c r="C962" s="83"/>
      <c r="D962" s="15">
        <f t="shared" si="301"/>
        <v>0</v>
      </c>
      <c r="E962" s="15">
        <v>43</v>
      </c>
      <c r="F962" s="190">
        <f t="shared" si="309"/>
        <v>0</v>
      </c>
      <c r="G962" s="149" t="str">
        <f t="shared" si="309"/>
        <v/>
      </c>
      <c r="H962" s="150" t="str">
        <f t="shared" si="309"/>
        <v/>
      </c>
      <c r="I962" s="150">
        <f t="shared" si="309"/>
        <v>0</v>
      </c>
      <c r="J962" s="150">
        <f t="shared" si="309"/>
        <v>0</v>
      </c>
      <c r="K962" s="196">
        <f t="shared" si="309"/>
        <v>0</v>
      </c>
      <c r="L962" s="197">
        <f t="shared" si="309"/>
        <v>0</v>
      </c>
      <c r="M962" s="191">
        <f t="shared" si="309"/>
        <v>0</v>
      </c>
      <c r="N962" s="150">
        <f t="shared" si="309"/>
        <v>0</v>
      </c>
      <c r="O962" s="193">
        <f t="shared" si="309"/>
        <v>0</v>
      </c>
      <c r="P962" s="162">
        <f t="shared" si="310"/>
        <v>0</v>
      </c>
      <c r="Q962" s="162">
        <f t="shared" si="310"/>
        <v>0</v>
      </c>
      <c r="R962" s="162">
        <f t="shared" si="310"/>
        <v>0</v>
      </c>
      <c r="S962" s="162">
        <f t="shared" si="310"/>
        <v>0</v>
      </c>
      <c r="T962" s="162">
        <f t="shared" si="310"/>
        <v>0</v>
      </c>
      <c r="U962" s="162">
        <f t="shared" si="310"/>
        <v>0</v>
      </c>
      <c r="V962" s="162">
        <f t="shared" si="310"/>
        <v>0</v>
      </c>
      <c r="W962" s="162">
        <f t="shared" si="310"/>
        <v>0</v>
      </c>
      <c r="X962" s="162">
        <f t="shared" si="310"/>
        <v>0</v>
      </c>
      <c r="Y962" s="162">
        <f t="shared" si="310"/>
        <v>0</v>
      </c>
      <c r="Z962" s="162">
        <f t="shared" si="310"/>
        <v>0</v>
      </c>
      <c r="AA962" s="162">
        <f t="shared" si="310"/>
        <v>0</v>
      </c>
      <c r="AB962" s="163">
        <f t="shared" si="304"/>
        <v>0</v>
      </c>
      <c r="AC962" s="198"/>
    </row>
    <row r="963" spans="1:29" hidden="1" outlineLevel="1" x14ac:dyDescent="0.25">
      <c r="A963" s="14" t="str">
        <f t="shared" si="306"/>
        <v>TERC_OPER__44</v>
      </c>
      <c r="B963" s="15" t="str">
        <f t="shared" si="300"/>
        <v>TERC_OPER__0_0</v>
      </c>
      <c r="C963" s="83"/>
      <c r="D963" s="15">
        <f t="shared" si="301"/>
        <v>0</v>
      </c>
      <c r="E963" s="15">
        <v>44</v>
      </c>
      <c r="F963" s="190">
        <f t="shared" si="309"/>
        <v>0</v>
      </c>
      <c r="G963" s="149" t="str">
        <f t="shared" si="309"/>
        <v/>
      </c>
      <c r="H963" s="150" t="str">
        <f t="shared" si="309"/>
        <v/>
      </c>
      <c r="I963" s="150">
        <f t="shared" si="309"/>
        <v>0</v>
      </c>
      <c r="J963" s="150">
        <f t="shared" si="309"/>
        <v>0</v>
      </c>
      <c r="K963" s="196">
        <f t="shared" si="309"/>
        <v>0</v>
      </c>
      <c r="L963" s="197">
        <f t="shared" si="309"/>
        <v>0</v>
      </c>
      <c r="M963" s="191">
        <f t="shared" si="309"/>
        <v>0</v>
      </c>
      <c r="N963" s="150">
        <f t="shared" si="309"/>
        <v>0</v>
      </c>
      <c r="O963" s="193">
        <f t="shared" si="309"/>
        <v>0</v>
      </c>
      <c r="P963" s="162">
        <f t="shared" si="310"/>
        <v>0</v>
      </c>
      <c r="Q963" s="162">
        <f t="shared" si="310"/>
        <v>0</v>
      </c>
      <c r="R963" s="162">
        <f t="shared" si="310"/>
        <v>0</v>
      </c>
      <c r="S963" s="162">
        <f t="shared" si="310"/>
        <v>0</v>
      </c>
      <c r="T963" s="162">
        <f t="shared" si="310"/>
        <v>0</v>
      </c>
      <c r="U963" s="162">
        <f t="shared" si="310"/>
        <v>0</v>
      </c>
      <c r="V963" s="162">
        <f t="shared" si="310"/>
        <v>0</v>
      </c>
      <c r="W963" s="162">
        <f t="shared" si="310"/>
        <v>0</v>
      </c>
      <c r="X963" s="162">
        <f t="shared" si="310"/>
        <v>0</v>
      </c>
      <c r="Y963" s="162">
        <f t="shared" si="310"/>
        <v>0</v>
      </c>
      <c r="Z963" s="162">
        <f t="shared" si="310"/>
        <v>0</v>
      </c>
      <c r="AA963" s="162">
        <f t="shared" si="310"/>
        <v>0</v>
      </c>
      <c r="AB963" s="163">
        <f t="shared" si="304"/>
        <v>0</v>
      </c>
      <c r="AC963" s="198"/>
    </row>
    <row r="964" spans="1:29" hidden="1" outlineLevel="1" x14ac:dyDescent="0.25">
      <c r="A964" s="14" t="str">
        <f t="shared" si="306"/>
        <v>TERC_OPER__45</v>
      </c>
      <c r="B964" s="15" t="str">
        <f t="shared" si="300"/>
        <v>TERC_OPER__0_0</v>
      </c>
      <c r="C964" s="83"/>
      <c r="D964" s="15">
        <f t="shared" si="301"/>
        <v>0</v>
      </c>
      <c r="E964" s="15">
        <v>45</v>
      </c>
      <c r="F964" s="209">
        <f t="shared" si="309"/>
        <v>0</v>
      </c>
      <c r="G964" s="183" t="str">
        <f t="shared" si="309"/>
        <v/>
      </c>
      <c r="H964" s="184" t="str">
        <f t="shared" si="309"/>
        <v/>
      </c>
      <c r="I964" s="184">
        <f t="shared" si="309"/>
        <v>0</v>
      </c>
      <c r="J964" s="184">
        <f t="shared" si="309"/>
        <v>0</v>
      </c>
      <c r="K964" s="210">
        <f t="shared" si="309"/>
        <v>0</v>
      </c>
      <c r="L964" s="211">
        <f t="shared" si="309"/>
        <v>0</v>
      </c>
      <c r="M964" s="212">
        <f t="shared" si="309"/>
        <v>0</v>
      </c>
      <c r="N964" s="184">
        <f t="shared" si="309"/>
        <v>0</v>
      </c>
      <c r="O964" s="213">
        <f t="shared" si="309"/>
        <v>0</v>
      </c>
      <c r="P964" s="175">
        <f t="shared" si="310"/>
        <v>0</v>
      </c>
      <c r="Q964" s="175">
        <f t="shared" si="310"/>
        <v>0</v>
      </c>
      <c r="R964" s="175">
        <f t="shared" si="310"/>
        <v>0</v>
      </c>
      <c r="S964" s="175">
        <f t="shared" si="310"/>
        <v>0</v>
      </c>
      <c r="T964" s="175">
        <f t="shared" si="310"/>
        <v>0</v>
      </c>
      <c r="U964" s="175">
        <f t="shared" si="310"/>
        <v>0</v>
      </c>
      <c r="V964" s="175">
        <f t="shared" si="310"/>
        <v>0</v>
      </c>
      <c r="W964" s="175">
        <f t="shared" si="310"/>
        <v>0</v>
      </c>
      <c r="X964" s="175">
        <f t="shared" si="310"/>
        <v>0</v>
      </c>
      <c r="Y964" s="175">
        <f t="shared" si="310"/>
        <v>0</v>
      </c>
      <c r="Z964" s="175">
        <f t="shared" si="310"/>
        <v>0</v>
      </c>
      <c r="AA964" s="175">
        <f t="shared" si="310"/>
        <v>0</v>
      </c>
      <c r="AB964" s="176">
        <f t="shared" si="304"/>
        <v>0</v>
      </c>
      <c r="AC964" s="172"/>
    </row>
    <row r="965" spans="1:29" hidden="1" outlineLevel="1" x14ac:dyDescent="0.25">
      <c r="A965" s="14" t="str">
        <f t="shared" si="306"/>
        <v>TERC_OPER__</v>
      </c>
      <c r="F965" s="137" t="s">
        <v>285</v>
      </c>
      <c r="G965" s="138"/>
      <c r="H965" s="139" t="s">
        <v>217</v>
      </c>
      <c r="I965" s="139" t="s">
        <v>218</v>
      </c>
      <c r="J965" s="139" t="s">
        <v>219</v>
      </c>
      <c r="K965" s="140"/>
      <c r="L965" s="141"/>
      <c r="M965" s="142" t="s">
        <v>220</v>
      </c>
      <c r="N965" s="139" t="s">
        <v>221</v>
      </c>
      <c r="O965" s="143" t="s">
        <v>222</v>
      </c>
      <c r="P965" s="35">
        <f>P$9</f>
        <v>46113</v>
      </c>
      <c r="Q965" s="35">
        <f t="shared" ref="Q965:AA965" si="311">Q$9</f>
        <v>46143</v>
      </c>
      <c r="R965" s="35">
        <f t="shared" si="311"/>
        <v>46174</v>
      </c>
      <c r="S965" s="35">
        <f t="shared" si="311"/>
        <v>46204</v>
      </c>
      <c r="T965" s="35">
        <f t="shared" si="311"/>
        <v>46235</v>
      </c>
      <c r="U965" s="35">
        <f t="shared" si="311"/>
        <v>46266</v>
      </c>
      <c r="V965" s="35">
        <f t="shared" si="311"/>
        <v>46296</v>
      </c>
      <c r="W965" s="35">
        <f t="shared" si="311"/>
        <v>46327</v>
      </c>
      <c r="X965" s="35">
        <f t="shared" si="311"/>
        <v>46357</v>
      </c>
      <c r="Y965" s="35">
        <f t="shared" si="311"/>
        <v>46388</v>
      </c>
      <c r="Z965" s="35">
        <f t="shared" si="311"/>
        <v>46419</v>
      </c>
      <c r="AA965" s="35">
        <f t="shared" si="311"/>
        <v>46447</v>
      </c>
      <c r="AB965" s="81" t="s">
        <v>223</v>
      </c>
      <c r="AC965" s="82" t="s">
        <v>192</v>
      </c>
    </row>
    <row r="966" spans="1:29" hidden="1" outlineLevel="1" x14ac:dyDescent="0.25">
      <c r="A966" s="14" t="str">
        <f t="shared" si="306"/>
        <v>TERC_OPER__1</v>
      </c>
      <c r="B966" s="15" t="str">
        <f t="shared" ref="B966:B1010" si="312">"TERC_OPER_"&amp;C966&amp;"_"&amp;F966&amp;"_"&amp;J966</f>
        <v>TERC_OPER__1018_1</v>
      </c>
      <c r="C966" s="83"/>
      <c r="D966" s="15">
        <f t="shared" ref="D966:D1010" si="313">J966</f>
        <v>1</v>
      </c>
      <c r="E966" s="15">
        <v>1</v>
      </c>
      <c r="F966" s="190">
        <f t="shared" ref="F966:O981" si="314">F920</f>
        <v>1018</v>
      </c>
      <c r="G966" s="149" t="str">
        <f t="shared" si="314"/>
        <v/>
      </c>
      <c r="H966" s="150" t="str">
        <f t="shared" si="314"/>
        <v/>
      </c>
      <c r="I966" s="150" t="str">
        <f t="shared" si="314"/>
        <v>PLANCP</v>
      </c>
      <c r="J966" s="150">
        <f t="shared" si="314"/>
        <v>1</v>
      </c>
      <c r="K966" s="196">
        <f t="shared" si="314"/>
        <v>0</v>
      </c>
      <c r="L966" s="197">
        <f t="shared" si="314"/>
        <v>0</v>
      </c>
      <c r="M966" s="191">
        <f t="shared" si="314"/>
        <v>0</v>
      </c>
      <c r="N966" s="150">
        <f t="shared" si="314"/>
        <v>0</v>
      </c>
      <c r="O966" s="193">
        <f t="shared" si="314"/>
        <v>1</v>
      </c>
      <c r="P966" s="162">
        <f t="shared" ref="P966:AA969" si="315">IFERROR(SUMIF($B$483:$B$547,$C966&amp;$I966,P$483:P$547)/SUMIF($D$483:$D$547,$I966,P$483:P$547)*P553,0)</f>
        <v>0</v>
      </c>
      <c r="Q966" s="162">
        <f t="shared" si="315"/>
        <v>0</v>
      </c>
      <c r="R966" s="162">
        <f t="shared" si="315"/>
        <v>0</v>
      </c>
      <c r="S966" s="162">
        <f t="shared" si="315"/>
        <v>0</v>
      </c>
      <c r="T966" s="162">
        <f t="shared" si="315"/>
        <v>0</v>
      </c>
      <c r="U966" s="162">
        <f t="shared" si="315"/>
        <v>0</v>
      </c>
      <c r="V966" s="162">
        <f t="shared" si="315"/>
        <v>0</v>
      </c>
      <c r="W966" s="162">
        <f t="shared" si="315"/>
        <v>0</v>
      </c>
      <c r="X966" s="162">
        <f t="shared" si="315"/>
        <v>0</v>
      </c>
      <c r="Y966" s="162">
        <f t="shared" si="315"/>
        <v>0</v>
      </c>
      <c r="Z966" s="162">
        <f t="shared" si="315"/>
        <v>0</v>
      </c>
      <c r="AA966" s="162">
        <f t="shared" si="315"/>
        <v>0</v>
      </c>
      <c r="AB966" s="163">
        <f t="shared" ref="AB966:AB1010" si="316">SUM(P966:AA966)</f>
        <v>0</v>
      </c>
      <c r="AC966" s="198"/>
    </row>
    <row r="967" spans="1:29" hidden="1" outlineLevel="1" x14ac:dyDescent="0.25">
      <c r="A967" s="14" t="str">
        <f t="shared" si="306"/>
        <v>TERC_OPER__2</v>
      </c>
      <c r="B967" s="15" t="str">
        <f t="shared" si="312"/>
        <v>TERC_OPER__1023_1</v>
      </c>
      <c r="C967" s="83"/>
      <c r="D967" s="15">
        <f t="shared" si="313"/>
        <v>1</v>
      </c>
      <c r="E967" s="15">
        <v>2</v>
      </c>
      <c r="F967" s="190">
        <f t="shared" si="314"/>
        <v>1023</v>
      </c>
      <c r="G967" s="149" t="str">
        <f t="shared" si="314"/>
        <v/>
      </c>
      <c r="H967" s="150" t="str">
        <f t="shared" si="314"/>
        <v/>
      </c>
      <c r="I967" s="150" t="str">
        <f t="shared" si="314"/>
        <v>PLANCP</v>
      </c>
      <c r="J967" s="150">
        <f t="shared" si="314"/>
        <v>1</v>
      </c>
      <c r="K967" s="196">
        <f t="shared" si="314"/>
        <v>0</v>
      </c>
      <c r="L967" s="197">
        <f t="shared" si="314"/>
        <v>0</v>
      </c>
      <c r="M967" s="191">
        <f t="shared" si="314"/>
        <v>0</v>
      </c>
      <c r="N967" s="150">
        <f t="shared" si="314"/>
        <v>0</v>
      </c>
      <c r="O967" s="193">
        <f t="shared" si="314"/>
        <v>1</v>
      </c>
      <c r="P967" s="162">
        <f t="shared" si="315"/>
        <v>0</v>
      </c>
      <c r="Q967" s="162">
        <f t="shared" si="315"/>
        <v>0</v>
      </c>
      <c r="R967" s="162">
        <f t="shared" si="315"/>
        <v>0</v>
      </c>
      <c r="S967" s="162">
        <f t="shared" si="315"/>
        <v>0</v>
      </c>
      <c r="T967" s="162">
        <f t="shared" si="315"/>
        <v>0</v>
      </c>
      <c r="U967" s="162">
        <f t="shared" si="315"/>
        <v>0</v>
      </c>
      <c r="V967" s="162">
        <f t="shared" si="315"/>
        <v>0</v>
      </c>
      <c r="W967" s="162">
        <f t="shared" si="315"/>
        <v>0</v>
      </c>
      <c r="X967" s="162">
        <f t="shared" si="315"/>
        <v>0</v>
      </c>
      <c r="Y967" s="162">
        <f t="shared" si="315"/>
        <v>0</v>
      </c>
      <c r="Z967" s="162">
        <f t="shared" si="315"/>
        <v>0</v>
      </c>
      <c r="AA967" s="162">
        <f t="shared" si="315"/>
        <v>0</v>
      </c>
      <c r="AB967" s="163">
        <f t="shared" si="316"/>
        <v>0</v>
      </c>
      <c r="AC967" s="198"/>
    </row>
    <row r="968" spans="1:29" hidden="1" outlineLevel="1" x14ac:dyDescent="0.25">
      <c r="A968" s="14" t="str">
        <f t="shared" si="306"/>
        <v>TERC_OPER__3</v>
      </c>
      <c r="B968" s="15" t="str">
        <f t="shared" si="312"/>
        <v>TERC_OPER__1018_1</v>
      </c>
      <c r="C968" s="83"/>
      <c r="D968" s="15">
        <f t="shared" si="313"/>
        <v>1</v>
      </c>
      <c r="E968" s="15">
        <v>3</v>
      </c>
      <c r="F968" s="190">
        <f t="shared" si="314"/>
        <v>1018</v>
      </c>
      <c r="G968" s="149" t="str">
        <f t="shared" si="314"/>
        <v/>
      </c>
      <c r="H968" s="150" t="str">
        <f t="shared" si="314"/>
        <v/>
      </c>
      <c r="I968" s="150" t="str">
        <f t="shared" si="314"/>
        <v>PLANCF</v>
      </c>
      <c r="J968" s="150">
        <f t="shared" si="314"/>
        <v>1</v>
      </c>
      <c r="K968" s="196">
        <f t="shared" si="314"/>
        <v>0</v>
      </c>
      <c r="L968" s="197">
        <f t="shared" si="314"/>
        <v>0</v>
      </c>
      <c r="M968" s="191">
        <f t="shared" si="314"/>
        <v>0</v>
      </c>
      <c r="N968" s="150">
        <f t="shared" si="314"/>
        <v>0</v>
      </c>
      <c r="O968" s="193">
        <f t="shared" si="314"/>
        <v>1</v>
      </c>
      <c r="P968" s="162">
        <f t="shared" si="315"/>
        <v>0</v>
      </c>
      <c r="Q968" s="162">
        <f t="shared" si="315"/>
        <v>0</v>
      </c>
      <c r="R968" s="162">
        <f t="shared" si="315"/>
        <v>0</v>
      </c>
      <c r="S968" s="162">
        <f t="shared" si="315"/>
        <v>0</v>
      </c>
      <c r="T968" s="162">
        <f t="shared" si="315"/>
        <v>0</v>
      </c>
      <c r="U968" s="162">
        <f t="shared" si="315"/>
        <v>0</v>
      </c>
      <c r="V968" s="162">
        <f t="shared" si="315"/>
        <v>0</v>
      </c>
      <c r="W968" s="162">
        <f t="shared" si="315"/>
        <v>0</v>
      </c>
      <c r="X968" s="162">
        <f t="shared" si="315"/>
        <v>0</v>
      </c>
      <c r="Y968" s="162">
        <f t="shared" si="315"/>
        <v>0</v>
      </c>
      <c r="Z968" s="162">
        <f t="shared" si="315"/>
        <v>0</v>
      </c>
      <c r="AA968" s="162">
        <f t="shared" si="315"/>
        <v>0</v>
      </c>
      <c r="AB968" s="163">
        <f t="shared" si="316"/>
        <v>0</v>
      </c>
      <c r="AC968" s="198"/>
    </row>
    <row r="969" spans="1:29" hidden="1" outlineLevel="1" x14ac:dyDescent="0.25">
      <c r="A969" s="14" t="str">
        <f t="shared" si="306"/>
        <v>TERC_OPER__4</v>
      </c>
      <c r="B969" s="15" t="str">
        <f t="shared" si="312"/>
        <v>TERC_OPER__1023_1</v>
      </c>
      <c r="C969" s="83"/>
      <c r="D969" s="15">
        <f t="shared" si="313"/>
        <v>1</v>
      </c>
      <c r="E969" s="15">
        <v>4</v>
      </c>
      <c r="F969" s="190">
        <f t="shared" si="314"/>
        <v>1023</v>
      </c>
      <c r="G969" s="149" t="str">
        <f t="shared" si="314"/>
        <v/>
      </c>
      <c r="H969" s="150" t="str">
        <f t="shared" si="314"/>
        <v/>
      </c>
      <c r="I969" s="150" t="str">
        <f t="shared" si="314"/>
        <v>PLANCF</v>
      </c>
      <c r="J969" s="150">
        <f t="shared" si="314"/>
        <v>1</v>
      </c>
      <c r="K969" s="196">
        <f t="shared" si="314"/>
        <v>0</v>
      </c>
      <c r="L969" s="197">
        <f t="shared" si="314"/>
        <v>0</v>
      </c>
      <c r="M969" s="191">
        <f t="shared" si="314"/>
        <v>0</v>
      </c>
      <c r="N969" s="150">
        <f t="shared" si="314"/>
        <v>0</v>
      </c>
      <c r="O969" s="193">
        <f t="shared" si="314"/>
        <v>1</v>
      </c>
      <c r="P969" s="162">
        <f t="shared" si="315"/>
        <v>0</v>
      </c>
      <c r="Q969" s="162">
        <f t="shared" si="315"/>
        <v>0</v>
      </c>
      <c r="R969" s="162">
        <f t="shared" si="315"/>
        <v>0</v>
      </c>
      <c r="S969" s="162">
        <f t="shared" si="315"/>
        <v>0</v>
      </c>
      <c r="T969" s="162">
        <f t="shared" si="315"/>
        <v>0</v>
      </c>
      <c r="U969" s="162">
        <f t="shared" si="315"/>
        <v>0</v>
      </c>
      <c r="V969" s="162">
        <f t="shared" si="315"/>
        <v>0</v>
      </c>
      <c r="W969" s="162">
        <f t="shared" si="315"/>
        <v>0</v>
      </c>
      <c r="X969" s="162">
        <f t="shared" si="315"/>
        <v>0</v>
      </c>
      <c r="Y969" s="162">
        <f t="shared" si="315"/>
        <v>0</v>
      </c>
      <c r="Z969" s="162">
        <f t="shared" si="315"/>
        <v>0</v>
      </c>
      <c r="AA969" s="162">
        <f t="shared" si="315"/>
        <v>0</v>
      </c>
      <c r="AB969" s="163">
        <f t="shared" si="316"/>
        <v>0</v>
      </c>
      <c r="AC969" s="159"/>
    </row>
    <row r="970" spans="1:29" hidden="1" outlineLevel="1" x14ac:dyDescent="0.25">
      <c r="A970" s="14" t="str">
        <f t="shared" si="306"/>
        <v>TERC_OPER__5</v>
      </c>
      <c r="B970" s="15" t="e">
        <f t="shared" si="312"/>
        <v>#REF!</v>
      </c>
      <c r="C970" s="83"/>
      <c r="D970" s="15" t="e">
        <f t="shared" si="313"/>
        <v>#REF!</v>
      </c>
      <c r="E970" s="15">
        <v>5</v>
      </c>
      <c r="F970" s="190" t="e">
        <f t="shared" si="314"/>
        <v>#REF!</v>
      </c>
      <c r="G970" s="149" t="e">
        <f t="shared" si="314"/>
        <v>#REF!</v>
      </c>
      <c r="H970" s="150" t="e">
        <f t="shared" si="314"/>
        <v>#REF!</v>
      </c>
      <c r="I970" s="150" t="e">
        <f t="shared" si="314"/>
        <v>#REF!</v>
      </c>
      <c r="J970" s="150" t="e">
        <f t="shared" si="314"/>
        <v>#REF!</v>
      </c>
      <c r="K970" s="196" t="e">
        <f t="shared" si="314"/>
        <v>#REF!</v>
      </c>
      <c r="L970" s="197" t="e">
        <f t="shared" si="314"/>
        <v>#REF!</v>
      </c>
      <c r="M970" s="191" t="e">
        <f t="shared" si="314"/>
        <v>#REF!</v>
      </c>
      <c r="N970" s="150" t="e">
        <f t="shared" si="314"/>
        <v>#REF!</v>
      </c>
      <c r="O970" s="193" t="e">
        <f t="shared" si="314"/>
        <v>#REF!</v>
      </c>
      <c r="P970" s="162">
        <f>IFERROR(SUMIF($B$483:$B$547,$C970&amp;$I970,P$483:P$547)/SUMIF($D$483:$D$547,$I970,P$483:P$547)*#REF!,0)</f>
        <v>0</v>
      </c>
      <c r="Q970" s="162">
        <f>IFERROR(SUMIF($B$483:$B$547,$C970&amp;$I970,Q$483:Q$547)/SUMIF($D$483:$D$547,$I970,Q$483:Q$547)*#REF!,0)</f>
        <v>0</v>
      </c>
      <c r="R970" s="162">
        <f>IFERROR(SUMIF($B$483:$B$547,$C970&amp;$I970,R$483:R$547)/SUMIF($D$483:$D$547,$I970,R$483:R$547)*#REF!,0)</f>
        <v>0</v>
      </c>
      <c r="S970" s="162">
        <f>IFERROR(SUMIF($B$483:$B$547,$C970&amp;$I970,S$483:S$547)/SUMIF($D$483:$D$547,$I970,S$483:S$547)*#REF!,0)</f>
        <v>0</v>
      </c>
      <c r="T970" s="162">
        <f>IFERROR(SUMIF($B$483:$B$547,$C970&amp;$I970,T$483:T$547)/SUMIF($D$483:$D$547,$I970,T$483:T$547)*#REF!,0)</f>
        <v>0</v>
      </c>
      <c r="U970" s="162">
        <f>IFERROR(SUMIF($B$483:$B$547,$C970&amp;$I970,U$483:U$547)/SUMIF($D$483:$D$547,$I970,U$483:U$547)*#REF!,0)</f>
        <v>0</v>
      </c>
      <c r="V970" s="162">
        <f>IFERROR(SUMIF($B$483:$B$547,$C970&amp;$I970,V$483:V$547)/SUMIF($D$483:$D$547,$I970,V$483:V$547)*#REF!,0)</f>
        <v>0</v>
      </c>
      <c r="W970" s="162">
        <f>IFERROR(SUMIF($B$483:$B$547,$C970&amp;$I970,W$483:W$547)/SUMIF($D$483:$D$547,$I970,W$483:W$547)*#REF!,0)</f>
        <v>0</v>
      </c>
      <c r="X970" s="162">
        <f>IFERROR(SUMIF($B$483:$B$547,$C970&amp;$I970,X$483:X$547)/SUMIF($D$483:$D$547,$I970,X$483:X$547)*#REF!,0)</f>
        <v>0</v>
      </c>
      <c r="Y970" s="162">
        <f>IFERROR(SUMIF($B$483:$B$547,$C970&amp;$I970,Y$483:Y$547)/SUMIF($D$483:$D$547,$I970,Y$483:Y$547)*#REF!,0)</f>
        <v>0</v>
      </c>
      <c r="Z970" s="162">
        <f>IFERROR(SUMIF($B$483:$B$547,$C970&amp;$I970,Z$483:Z$547)/SUMIF($D$483:$D$547,$I970,Z$483:Z$547)*#REF!,0)</f>
        <v>0</v>
      </c>
      <c r="AA970" s="162">
        <f>IFERROR(SUMIF($B$483:$B$547,$C970&amp;$I970,AA$483:AA$547)/SUMIF($D$483:$D$547,$I970,AA$483:AA$547)*#REF!,0)</f>
        <v>0</v>
      </c>
      <c r="AB970" s="163">
        <f t="shared" si="316"/>
        <v>0</v>
      </c>
      <c r="AC970" s="159"/>
    </row>
    <row r="971" spans="1:29" hidden="1" outlineLevel="1" x14ac:dyDescent="0.25">
      <c r="A971" s="14" t="str">
        <f t="shared" si="306"/>
        <v>TERC_OPER__6</v>
      </c>
      <c r="B971" s="15" t="str">
        <f t="shared" si="312"/>
        <v>TERC_OPER__1033_1</v>
      </c>
      <c r="C971" s="83"/>
      <c r="D971" s="15">
        <f t="shared" si="313"/>
        <v>1</v>
      </c>
      <c r="E971" s="15">
        <v>6</v>
      </c>
      <c r="F971" s="190">
        <f t="shared" si="314"/>
        <v>1033</v>
      </c>
      <c r="G971" s="149" t="str">
        <f t="shared" si="314"/>
        <v/>
      </c>
      <c r="H971" s="150" t="str">
        <f t="shared" si="314"/>
        <v/>
      </c>
      <c r="I971" s="150" t="str">
        <f t="shared" si="314"/>
        <v>PLANCP</v>
      </c>
      <c r="J971" s="150">
        <f t="shared" si="314"/>
        <v>1</v>
      </c>
      <c r="K971" s="196">
        <f t="shared" si="314"/>
        <v>0</v>
      </c>
      <c r="L971" s="197">
        <f t="shared" si="314"/>
        <v>0</v>
      </c>
      <c r="M971" s="191">
        <f t="shared" si="314"/>
        <v>0</v>
      </c>
      <c r="N971" s="150">
        <f t="shared" si="314"/>
        <v>0</v>
      </c>
      <c r="O971" s="193">
        <f t="shared" si="314"/>
        <v>1</v>
      </c>
      <c r="P971" s="162">
        <f t="shared" ref="P971:AA986" si="317">IFERROR(SUMIF($B$483:$B$547,$C971&amp;$I971,P$483:P$547)/SUMIF($D$483:$D$547,$I971,P$483:P$547)*P557,0)</f>
        <v>0</v>
      </c>
      <c r="Q971" s="162">
        <f t="shared" si="317"/>
        <v>0</v>
      </c>
      <c r="R971" s="162">
        <f t="shared" si="317"/>
        <v>0</v>
      </c>
      <c r="S971" s="162">
        <f t="shared" si="317"/>
        <v>0</v>
      </c>
      <c r="T971" s="162">
        <f t="shared" si="317"/>
        <v>0</v>
      </c>
      <c r="U971" s="162">
        <f t="shared" si="317"/>
        <v>0</v>
      </c>
      <c r="V971" s="162">
        <f t="shared" si="317"/>
        <v>0</v>
      </c>
      <c r="W971" s="162">
        <f t="shared" si="317"/>
        <v>0</v>
      </c>
      <c r="X971" s="162">
        <f t="shared" si="317"/>
        <v>0</v>
      </c>
      <c r="Y971" s="162">
        <f t="shared" si="317"/>
        <v>0</v>
      </c>
      <c r="Z971" s="162">
        <f t="shared" si="317"/>
        <v>0</v>
      </c>
      <c r="AA971" s="162">
        <f t="shared" si="317"/>
        <v>0</v>
      </c>
      <c r="AB971" s="163">
        <f t="shared" si="316"/>
        <v>0</v>
      </c>
      <c r="AC971" s="159"/>
    </row>
    <row r="972" spans="1:29" hidden="1" outlineLevel="1" x14ac:dyDescent="0.25">
      <c r="A972" s="14" t="str">
        <f t="shared" si="306"/>
        <v>TERC_OPER__7</v>
      </c>
      <c r="B972" s="15" t="str">
        <f t="shared" si="312"/>
        <v>TERC_OPER__1044_1</v>
      </c>
      <c r="C972" s="83"/>
      <c r="D972" s="15">
        <f t="shared" si="313"/>
        <v>1</v>
      </c>
      <c r="E972" s="15">
        <v>7</v>
      </c>
      <c r="F972" s="190">
        <f t="shared" si="314"/>
        <v>1044</v>
      </c>
      <c r="G972" s="149" t="str">
        <f t="shared" si="314"/>
        <v/>
      </c>
      <c r="H972" s="150" t="str">
        <f t="shared" si="314"/>
        <v/>
      </c>
      <c r="I972" s="150" t="str">
        <f t="shared" si="314"/>
        <v>PLANCP</v>
      </c>
      <c r="J972" s="150">
        <f t="shared" si="314"/>
        <v>1</v>
      </c>
      <c r="K972" s="196">
        <f t="shared" si="314"/>
        <v>0</v>
      </c>
      <c r="L972" s="197">
        <f t="shared" si="314"/>
        <v>0</v>
      </c>
      <c r="M972" s="191">
        <f t="shared" si="314"/>
        <v>0</v>
      </c>
      <c r="N972" s="150">
        <f t="shared" si="314"/>
        <v>0</v>
      </c>
      <c r="O972" s="193">
        <f t="shared" si="314"/>
        <v>1</v>
      </c>
      <c r="P972" s="162">
        <f t="shared" si="317"/>
        <v>0</v>
      </c>
      <c r="Q972" s="162">
        <f t="shared" si="317"/>
        <v>0</v>
      </c>
      <c r="R972" s="162">
        <f t="shared" si="317"/>
        <v>0</v>
      </c>
      <c r="S972" s="162">
        <f t="shared" si="317"/>
        <v>0</v>
      </c>
      <c r="T972" s="162">
        <f t="shared" si="317"/>
        <v>0</v>
      </c>
      <c r="U972" s="162">
        <f t="shared" si="317"/>
        <v>0</v>
      </c>
      <c r="V972" s="162">
        <f t="shared" si="317"/>
        <v>0</v>
      </c>
      <c r="W972" s="162">
        <f t="shared" si="317"/>
        <v>0</v>
      </c>
      <c r="X972" s="162">
        <f t="shared" si="317"/>
        <v>0</v>
      </c>
      <c r="Y972" s="162">
        <f t="shared" si="317"/>
        <v>0</v>
      </c>
      <c r="Z972" s="162">
        <f t="shared" si="317"/>
        <v>0</v>
      </c>
      <c r="AA972" s="162">
        <f t="shared" si="317"/>
        <v>0</v>
      </c>
      <c r="AB972" s="163">
        <f t="shared" si="316"/>
        <v>0</v>
      </c>
      <c r="AC972" s="159"/>
    </row>
    <row r="973" spans="1:29" hidden="1" outlineLevel="1" x14ac:dyDescent="0.25">
      <c r="A973" s="14" t="str">
        <f t="shared" si="306"/>
        <v>TERC_OPER__8</v>
      </c>
      <c r="B973" s="15" t="str">
        <f t="shared" si="312"/>
        <v>TERC_OPER__0_0</v>
      </c>
      <c r="C973" s="83"/>
      <c r="D973" s="15">
        <f t="shared" si="313"/>
        <v>0</v>
      </c>
      <c r="E973" s="15">
        <v>8</v>
      </c>
      <c r="F973" s="190">
        <f t="shared" si="314"/>
        <v>0</v>
      </c>
      <c r="G973" s="149" t="str">
        <f t="shared" si="314"/>
        <v/>
      </c>
      <c r="H973" s="150" t="str">
        <f t="shared" si="314"/>
        <v/>
      </c>
      <c r="I973" s="150">
        <f t="shared" si="314"/>
        <v>0</v>
      </c>
      <c r="J973" s="150">
        <f t="shared" si="314"/>
        <v>0</v>
      </c>
      <c r="K973" s="196">
        <f t="shared" si="314"/>
        <v>0</v>
      </c>
      <c r="L973" s="197">
        <f t="shared" si="314"/>
        <v>0</v>
      </c>
      <c r="M973" s="191">
        <f t="shared" si="314"/>
        <v>0</v>
      </c>
      <c r="N973" s="150">
        <f t="shared" si="314"/>
        <v>0</v>
      </c>
      <c r="O973" s="193">
        <f t="shared" si="314"/>
        <v>0</v>
      </c>
      <c r="P973" s="162">
        <f t="shared" si="317"/>
        <v>0</v>
      </c>
      <c r="Q973" s="162">
        <f t="shared" si="317"/>
        <v>0</v>
      </c>
      <c r="R973" s="162">
        <f t="shared" si="317"/>
        <v>0</v>
      </c>
      <c r="S973" s="162">
        <f t="shared" si="317"/>
        <v>0</v>
      </c>
      <c r="T973" s="162">
        <f t="shared" si="317"/>
        <v>0</v>
      </c>
      <c r="U973" s="162">
        <f t="shared" si="317"/>
        <v>0</v>
      </c>
      <c r="V973" s="162">
        <f t="shared" si="317"/>
        <v>0</v>
      </c>
      <c r="W973" s="162">
        <f t="shared" si="317"/>
        <v>0</v>
      </c>
      <c r="X973" s="162">
        <f t="shared" si="317"/>
        <v>0</v>
      </c>
      <c r="Y973" s="162">
        <f t="shared" si="317"/>
        <v>0</v>
      </c>
      <c r="Z973" s="162">
        <f t="shared" si="317"/>
        <v>0</v>
      </c>
      <c r="AA973" s="162">
        <f t="shared" si="317"/>
        <v>0</v>
      </c>
      <c r="AB973" s="163">
        <f t="shared" si="316"/>
        <v>0</v>
      </c>
      <c r="AC973" s="159"/>
    </row>
    <row r="974" spans="1:29" hidden="1" outlineLevel="1" x14ac:dyDescent="0.25">
      <c r="A974" s="14" t="str">
        <f t="shared" si="306"/>
        <v>TERC_OPER__9</v>
      </c>
      <c r="B974" s="15" t="str">
        <f t="shared" si="312"/>
        <v>TERC_OPER__0_0</v>
      </c>
      <c r="C974" s="83"/>
      <c r="D974" s="15">
        <f t="shared" si="313"/>
        <v>0</v>
      </c>
      <c r="E974" s="15">
        <v>9</v>
      </c>
      <c r="F974" s="190">
        <f t="shared" si="314"/>
        <v>0</v>
      </c>
      <c r="G974" s="149" t="str">
        <f t="shared" si="314"/>
        <v/>
      </c>
      <c r="H974" s="150" t="str">
        <f t="shared" si="314"/>
        <v/>
      </c>
      <c r="I974" s="150">
        <f t="shared" si="314"/>
        <v>0</v>
      </c>
      <c r="J974" s="150">
        <f t="shared" si="314"/>
        <v>0</v>
      </c>
      <c r="K974" s="196">
        <f t="shared" si="314"/>
        <v>0</v>
      </c>
      <c r="L974" s="197">
        <f t="shared" si="314"/>
        <v>0</v>
      </c>
      <c r="M974" s="191">
        <f t="shared" si="314"/>
        <v>0</v>
      </c>
      <c r="N974" s="150">
        <f t="shared" si="314"/>
        <v>0</v>
      </c>
      <c r="O974" s="193">
        <f t="shared" si="314"/>
        <v>0</v>
      </c>
      <c r="P974" s="162">
        <f t="shared" si="317"/>
        <v>0</v>
      </c>
      <c r="Q974" s="162">
        <f t="shared" si="317"/>
        <v>0</v>
      </c>
      <c r="R974" s="162">
        <f t="shared" si="317"/>
        <v>0</v>
      </c>
      <c r="S974" s="162">
        <f t="shared" si="317"/>
        <v>0</v>
      </c>
      <c r="T974" s="162">
        <f t="shared" si="317"/>
        <v>0</v>
      </c>
      <c r="U974" s="162">
        <f t="shared" si="317"/>
        <v>0</v>
      </c>
      <c r="V974" s="162">
        <f t="shared" si="317"/>
        <v>0</v>
      </c>
      <c r="W974" s="162">
        <f t="shared" si="317"/>
        <v>0</v>
      </c>
      <c r="X974" s="162">
        <f t="shared" si="317"/>
        <v>0</v>
      </c>
      <c r="Y974" s="162">
        <f t="shared" si="317"/>
        <v>0</v>
      </c>
      <c r="Z974" s="162">
        <f t="shared" si="317"/>
        <v>0</v>
      </c>
      <c r="AA974" s="162">
        <f t="shared" si="317"/>
        <v>0</v>
      </c>
      <c r="AB974" s="163">
        <f t="shared" si="316"/>
        <v>0</v>
      </c>
      <c r="AC974" s="159"/>
    </row>
    <row r="975" spans="1:29" hidden="1" outlineLevel="1" x14ac:dyDescent="0.25">
      <c r="A975" s="14" t="str">
        <f t="shared" si="306"/>
        <v>TERC_OPER__10</v>
      </c>
      <c r="B975" s="15" t="str">
        <f t="shared" si="312"/>
        <v>TERC_OPER__0_0</v>
      </c>
      <c r="C975" s="83"/>
      <c r="D975" s="15">
        <f t="shared" si="313"/>
        <v>0</v>
      </c>
      <c r="E975" s="15">
        <v>10</v>
      </c>
      <c r="F975" s="190">
        <f t="shared" si="314"/>
        <v>0</v>
      </c>
      <c r="G975" s="149" t="str">
        <f t="shared" si="314"/>
        <v/>
      </c>
      <c r="H975" s="150" t="str">
        <f t="shared" si="314"/>
        <v/>
      </c>
      <c r="I975" s="150">
        <f t="shared" si="314"/>
        <v>0</v>
      </c>
      <c r="J975" s="150">
        <f t="shared" si="314"/>
        <v>0</v>
      </c>
      <c r="K975" s="196">
        <f t="shared" si="314"/>
        <v>0</v>
      </c>
      <c r="L975" s="197">
        <f t="shared" si="314"/>
        <v>0</v>
      </c>
      <c r="M975" s="191">
        <f t="shared" si="314"/>
        <v>0</v>
      </c>
      <c r="N975" s="150">
        <f t="shared" si="314"/>
        <v>0</v>
      </c>
      <c r="O975" s="193">
        <f t="shared" si="314"/>
        <v>0</v>
      </c>
      <c r="P975" s="162">
        <f t="shared" si="317"/>
        <v>0</v>
      </c>
      <c r="Q975" s="162">
        <f t="shared" si="317"/>
        <v>0</v>
      </c>
      <c r="R975" s="162">
        <f t="shared" si="317"/>
        <v>0</v>
      </c>
      <c r="S975" s="162">
        <f t="shared" si="317"/>
        <v>0</v>
      </c>
      <c r="T975" s="162">
        <f t="shared" si="317"/>
        <v>0</v>
      </c>
      <c r="U975" s="162">
        <f t="shared" si="317"/>
        <v>0</v>
      </c>
      <c r="V975" s="162">
        <f t="shared" si="317"/>
        <v>0</v>
      </c>
      <c r="W975" s="162">
        <f t="shared" si="317"/>
        <v>0</v>
      </c>
      <c r="X975" s="162">
        <f t="shared" si="317"/>
        <v>0</v>
      </c>
      <c r="Y975" s="162">
        <f t="shared" si="317"/>
        <v>0</v>
      </c>
      <c r="Z975" s="162">
        <f t="shared" si="317"/>
        <v>0</v>
      </c>
      <c r="AA975" s="162">
        <f t="shared" si="317"/>
        <v>0</v>
      </c>
      <c r="AB975" s="163">
        <f t="shared" si="316"/>
        <v>0</v>
      </c>
      <c r="AC975" s="159"/>
    </row>
    <row r="976" spans="1:29" hidden="1" outlineLevel="1" x14ac:dyDescent="0.25">
      <c r="A976" s="14" t="str">
        <f t="shared" si="306"/>
        <v>TERC_OPER__11</v>
      </c>
      <c r="B976" s="15" t="str">
        <f t="shared" si="312"/>
        <v>TERC_OPER__0_0</v>
      </c>
      <c r="C976" s="83"/>
      <c r="D976" s="15">
        <f t="shared" si="313"/>
        <v>0</v>
      </c>
      <c r="E976" s="15">
        <v>11</v>
      </c>
      <c r="F976" s="190">
        <f t="shared" si="314"/>
        <v>0</v>
      </c>
      <c r="G976" s="149" t="str">
        <f t="shared" si="314"/>
        <v/>
      </c>
      <c r="H976" s="150" t="str">
        <f t="shared" si="314"/>
        <v/>
      </c>
      <c r="I976" s="150">
        <f t="shared" si="314"/>
        <v>0</v>
      </c>
      <c r="J976" s="150">
        <f t="shared" si="314"/>
        <v>0</v>
      </c>
      <c r="K976" s="196">
        <f t="shared" si="314"/>
        <v>0</v>
      </c>
      <c r="L976" s="197">
        <f t="shared" si="314"/>
        <v>0</v>
      </c>
      <c r="M976" s="191">
        <f t="shared" si="314"/>
        <v>0</v>
      </c>
      <c r="N976" s="150">
        <f t="shared" si="314"/>
        <v>0</v>
      </c>
      <c r="O976" s="193">
        <f t="shared" si="314"/>
        <v>0</v>
      </c>
      <c r="P976" s="162">
        <f t="shared" si="317"/>
        <v>0</v>
      </c>
      <c r="Q976" s="162">
        <f t="shared" si="317"/>
        <v>0</v>
      </c>
      <c r="R976" s="162">
        <f t="shared" si="317"/>
        <v>0</v>
      </c>
      <c r="S976" s="162">
        <f t="shared" si="317"/>
        <v>0</v>
      </c>
      <c r="T976" s="162">
        <f t="shared" si="317"/>
        <v>0</v>
      </c>
      <c r="U976" s="162">
        <f t="shared" si="317"/>
        <v>0</v>
      </c>
      <c r="V976" s="162">
        <f t="shared" si="317"/>
        <v>0</v>
      </c>
      <c r="W976" s="162">
        <f t="shared" si="317"/>
        <v>0</v>
      </c>
      <c r="X976" s="162">
        <f t="shared" si="317"/>
        <v>0</v>
      </c>
      <c r="Y976" s="162">
        <f t="shared" si="317"/>
        <v>0</v>
      </c>
      <c r="Z976" s="162">
        <f t="shared" si="317"/>
        <v>0</v>
      </c>
      <c r="AA976" s="162">
        <f t="shared" si="317"/>
        <v>0</v>
      </c>
      <c r="AB976" s="163">
        <f t="shared" si="316"/>
        <v>0</v>
      </c>
      <c r="AC976" s="198"/>
    </row>
    <row r="977" spans="1:29" hidden="1" outlineLevel="1" x14ac:dyDescent="0.25">
      <c r="A977" s="14" t="str">
        <f t="shared" si="306"/>
        <v>TERC_OPER__12</v>
      </c>
      <c r="B977" s="15" t="str">
        <f t="shared" si="312"/>
        <v>TERC_OPER__0_0</v>
      </c>
      <c r="C977" s="83"/>
      <c r="D977" s="15">
        <f t="shared" si="313"/>
        <v>0</v>
      </c>
      <c r="E977" s="15">
        <v>12</v>
      </c>
      <c r="F977" s="190">
        <f t="shared" si="314"/>
        <v>0</v>
      </c>
      <c r="G977" s="149" t="str">
        <f t="shared" si="314"/>
        <v/>
      </c>
      <c r="H977" s="150" t="str">
        <f t="shared" si="314"/>
        <v/>
      </c>
      <c r="I977" s="150">
        <f t="shared" si="314"/>
        <v>0</v>
      </c>
      <c r="J977" s="150">
        <f t="shared" si="314"/>
        <v>0</v>
      </c>
      <c r="K977" s="196">
        <f t="shared" si="314"/>
        <v>0</v>
      </c>
      <c r="L977" s="197">
        <f t="shared" si="314"/>
        <v>0</v>
      </c>
      <c r="M977" s="191">
        <f t="shared" si="314"/>
        <v>0</v>
      </c>
      <c r="N977" s="150">
        <f t="shared" si="314"/>
        <v>0</v>
      </c>
      <c r="O977" s="193">
        <f t="shared" si="314"/>
        <v>0</v>
      </c>
      <c r="P977" s="162">
        <f t="shared" si="317"/>
        <v>0</v>
      </c>
      <c r="Q977" s="162">
        <f t="shared" si="317"/>
        <v>0</v>
      </c>
      <c r="R977" s="162">
        <f t="shared" si="317"/>
        <v>0</v>
      </c>
      <c r="S977" s="162">
        <f t="shared" si="317"/>
        <v>0</v>
      </c>
      <c r="T977" s="162">
        <f t="shared" si="317"/>
        <v>0</v>
      </c>
      <c r="U977" s="162">
        <f t="shared" si="317"/>
        <v>0</v>
      </c>
      <c r="V977" s="162">
        <f t="shared" si="317"/>
        <v>0</v>
      </c>
      <c r="W977" s="162">
        <f t="shared" si="317"/>
        <v>0</v>
      </c>
      <c r="X977" s="162">
        <f t="shared" si="317"/>
        <v>0</v>
      </c>
      <c r="Y977" s="162">
        <f t="shared" si="317"/>
        <v>0</v>
      </c>
      <c r="Z977" s="162">
        <f t="shared" si="317"/>
        <v>0</v>
      </c>
      <c r="AA977" s="162">
        <f t="shared" si="317"/>
        <v>0</v>
      </c>
      <c r="AB977" s="163">
        <f t="shared" si="316"/>
        <v>0</v>
      </c>
      <c r="AC977" s="198"/>
    </row>
    <row r="978" spans="1:29" hidden="1" outlineLevel="1" x14ac:dyDescent="0.25">
      <c r="A978" s="14" t="str">
        <f t="shared" si="306"/>
        <v>TERC_OPER__13</v>
      </c>
      <c r="B978" s="15" t="str">
        <f t="shared" si="312"/>
        <v>TERC_OPER__0_0</v>
      </c>
      <c r="C978" s="83"/>
      <c r="D978" s="15">
        <f t="shared" si="313"/>
        <v>0</v>
      </c>
      <c r="E978" s="15">
        <v>13</v>
      </c>
      <c r="F978" s="190">
        <f t="shared" si="314"/>
        <v>0</v>
      </c>
      <c r="G978" s="149" t="str">
        <f t="shared" si="314"/>
        <v/>
      </c>
      <c r="H978" s="150" t="str">
        <f t="shared" si="314"/>
        <v/>
      </c>
      <c r="I978" s="150">
        <f t="shared" si="314"/>
        <v>0</v>
      </c>
      <c r="J978" s="150">
        <f t="shared" si="314"/>
        <v>0</v>
      </c>
      <c r="K978" s="196">
        <f t="shared" si="314"/>
        <v>0</v>
      </c>
      <c r="L978" s="197">
        <f t="shared" si="314"/>
        <v>0</v>
      </c>
      <c r="M978" s="191">
        <f t="shared" si="314"/>
        <v>0</v>
      </c>
      <c r="N978" s="150">
        <f t="shared" si="314"/>
        <v>0</v>
      </c>
      <c r="O978" s="193">
        <f t="shared" si="314"/>
        <v>0</v>
      </c>
      <c r="P978" s="162">
        <f t="shared" si="317"/>
        <v>0</v>
      </c>
      <c r="Q978" s="162">
        <f t="shared" si="317"/>
        <v>0</v>
      </c>
      <c r="R978" s="162">
        <f t="shared" si="317"/>
        <v>0</v>
      </c>
      <c r="S978" s="162">
        <f t="shared" si="317"/>
        <v>0</v>
      </c>
      <c r="T978" s="162">
        <f t="shared" si="317"/>
        <v>0</v>
      </c>
      <c r="U978" s="162">
        <f t="shared" si="317"/>
        <v>0</v>
      </c>
      <c r="V978" s="162">
        <f t="shared" si="317"/>
        <v>0</v>
      </c>
      <c r="W978" s="162">
        <f t="shared" si="317"/>
        <v>0</v>
      </c>
      <c r="X978" s="162">
        <f t="shared" si="317"/>
        <v>0</v>
      </c>
      <c r="Y978" s="162">
        <f t="shared" si="317"/>
        <v>0</v>
      </c>
      <c r="Z978" s="162">
        <f t="shared" si="317"/>
        <v>0</v>
      </c>
      <c r="AA978" s="162">
        <f t="shared" si="317"/>
        <v>0</v>
      </c>
      <c r="AB978" s="163">
        <f t="shared" si="316"/>
        <v>0</v>
      </c>
      <c r="AC978" s="198"/>
    </row>
    <row r="979" spans="1:29" hidden="1" outlineLevel="1" x14ac:dyDescent="0.25">
      <c r="A979" s="14" t="str">
        <f t="shared" si="306"/>
        <v>TERC_OPER__14</v>
      </c>
      <c r="B979" s="15" t="str">
        <f t="shared" si="312"/>
        <v>TERC_OPER__0_0</v>
      </c>
      <c r="C979" s="83"/>
      <c r="D979" s="15">
        <f t="shared" si="313"/>
        <v>0</v>
      </c>
      <c r="E979" s="15">
        <v>14</v>
      </c>
      <c r="F979" s="190">
        <f t="shared" si="314"/>
        <v>0</v>
      </c>
      <c r="G979" s="149" t="str">
        <f t="shared" si="314"/>
        <v/>
      </c>
      <c r="H979" s="150" t="str">
        <f t="shared" si="314"/>
        <v/>
      </c>
      <c r="I979" s="150">
        <f t="shared" si="314"/>
        <v>0</v>
      </c>
      <c r="J979" s="150">
        <f t="shared" si="314"/>
        <v>0</v>
      </c>
      <c r="K979" s="196">
        <f t="shared" si="314"/>
        <v>0</v>
      </c>
      <c r="L979" s="197">
        <f t="shared" si="314"/>
        <v>0</v>
      </c>
      <c r="M979" s="191">
        <f t="shared" si="314"/>
        <v>0</v>
      </c>
      <c r="N979" s="150">
        <f t="shared" si="314"/>
        <v>0</v>
      </c>
      <c r="O979" s="193">
        <f t="shared" si="314"/>
        <v>0</v>
      </c>
      <c r="P979" s="162">
        <f t="shared" si="317"/>
        <v>0</v>
      </c>
      <c r="Q979" s="162">
        <f t="shared" si="317"/>
        <v>0</v>
      </c>
      <c r="R979" s="162">
        <f t="shared" si="317"/>
        <v>0</v>
      </c>
      <c r="S979" s="162">
        <f t="shared" si="317"/>
        <v>0</v>
      </c>
      <c r="T979" s="162">
        <f t="shared" si="317"/>
        <v>0</v>
      </c>
      <c r="U979" s="162">
        <f t="shared" si="317"/>
        <v>0</v>
      </c>
      <c r="V979" s="162">
        <f t="shared" si="317"/>
        <v>0</v>
      </c>
      <c r="W979" s="162">
        <f t="shared" si="317"/>
        <v>0</v>
      </c>
      <c r="X979" s="162">
        <f t="shared" si="317"/>
        <v>0</v>
      </c>
      <c r="Y979" s="162">
        <f t="shared" si="317"/>
        <v>0</v>
      </c>
      <c r="Z979" s="162">
        <f t="shared" si="317"/>
        <v>0</v>
      </c>
      <c r="AA979" s="162">
        <f t="shared" si="317"/>
        <v>0</v>
      </c>
      <c r="AB979" s="163">
        <f t="shared" si="316"/>
        <v>0</v>
      </c>
      <c r="AC979" s="198"/>
    </row>
    <row r="980" spans="1:29" hidden="1" outlineLevel="1" x14ac:dyDescent="0.25">
      <c r="A980" s="14" t="str">
        <f t="shared" si="306"/>
        <v>TERC_OPER__15</v>
      </c>
      <c r="B980" s="15" t="str">
        <f t="shared" si="312"/>
        <v>TERC_OPER__0_0</v>
      </c>
      <c r="C980" s="83"/>
      <c r="D980" s="15">
        <f t="shared" si="313"/>
        <v>0</v>
      </c>
      <c r="E980" s="15">
        <v>15</v>
      </c>
      <c r="F980" s="190">
        <f t="shared" si="314"/>
        <v>0</v>
      </c>
      <c r="G980" s="149" t="str">
        <f t="shared" si="314"/>
        <v/>
      </c>
      <c r="H980" s="150" t="str">
        <f t="shared" si="314"/>
        <v/>
      </c>
      <c r="I980" s="150">
        <f t="shared" si="314"/>
        <v>0</v>
      </c>
      <c r="J980" s="150">
        <f t="shared" si="314"/>
        <v>0</v>
      </c>
      <c r="K980" s="196">
        <f t="shared" si="314"/>
        <v>0</v>
      </c>
      <c r="L980" s="197">
        <f t="shared" si="314"/>
        <v>0</v>
      </c>
      <c r="M980" s="191">
        <f t="shared" si="314"/>
        <v>0</v>
      </c>
      <c r="N980" s="150">
        <f t="shared" si="314"/>
        <v>0</v>
      </c>
      <c r="O980" s="193">
        <f t="shared" si="314"/>
        <v>0</v>
      </c>
      <c r="P980" s="162">
        <f t="shared" si="317"/>
        <v>0</v>
      </c>
      <c r="Q980" s="162">
        <f t="shared" si="317"/>
        <v>0</v>
      </c>
      <c r="R980" s="162">
        <f t="shared" si="317"/>
        <v>0</v>
      </c>
      <c r="S980" s="162">
        <f t="shared" si="317"/>
        <v>0</v>
      </c>
      <c r="T980" s="162">
        <f t="shared" si="317"/>
        <v>0</v>
      </c>
      <c r="U980" s="162">
        <f t="shared" si="317"/>
        <v>0</v>
      </c>
      <c r="V980" s="162">
        <f t="shared" si="317"/>
        <v>0</v>
      </c>
      <c r="W980" s="162">
        <f t="shared" si="317"/>
        <v>0</v>
      </c>
      <c r="X980" s="162">
        <f t="shared" si="317"/>
        <v>0</v>
      </c>
      <c r="Y980" s="162">
        <f t="shared" si="317"/>
        <v>0</v>
      </c>
      <c r="Z980" s="162">
        <f t="shared" si="317"/>
        <v>0</v>
      </c>
      <c r="AA980" s="162">
        <f t="shared" si="317"/>
        <v>0</v>
      </c>
      <c r="AB980" s="163">
        <f t="shared" si="316"/>
        <v>0</v>
      </c>
      <c r="AC980" s="198"/>
    </row>
    <row r="981" spans="1:29" hidden="1" outlineLevel="1" x14ac:dyDescent="0.25">
      <c r="A981" s="14" t="str">
        <f t="shared" si="306"/>
        <v>TERC_OPER__16</v>
      </c>
      <c r="B981" s="15" t="str">
        <f t="shared" si="312"/>
        <v>TERC_OPER__0_0</v>
      </c>
      <c r="C981" s="83"/>
      <c r="D981" s="15">
        <f t="shared" si="313"/>
        <v>0</v>
      </c>
      <c r="E981" s="15">
        <v>16</v>
      </c>
      <c r="F981" s="190">
        <f t="shared" si="314"/>
        <v>0</v>
      </c>
      <c r="G981" s="149" t="str">
        <f t="shared" si="314"/>
        <v/>
      </c>
      <c r="H981" s="150" t="str">
        <f t="shared" si="314"/>
        <v/>
      </c>
      <c r="I981" s="150">
        <f t="shared" si="314"/>
        <v>0</v>
      </c>
      <c r="J981" s="150">
        <f t="shared" si="314"/>
        <v>0</v>
      </c>
      <c r="K981" s="196">
        <f t="shared" si="314"/>
        <v>0</v>
      </c>
      <c r="L981" s="197">
        <f t="shared" si="314"/>
        <v>0</v>
      </c>
      <c r="M981" s="191">
        <f t="shared" si="314"/>
        <v>0</v>
      </c>
      <c r="N981" s="150">
        <f t="shared" si="314"/>
        <v>0</v>
      </c>
      <c r="O981" s="193">
        <f t="shared" si="314"/>
        <v>0</v>
      </c>
      <c r="P981" s="162">
        <f t="shared" si="317"/>
        <v>0</v>
      </c>
      <c r="Q981" s="162">
        <f t="shared" si="317"/>
        <v>0</v>
      </c>
      <c r="R981" s="162">
        <f t="shared" si="317"/>
        <v>0</v>
      </c>
      <c r="S981" s="162">
        <f t="shared" si="317"/>
        <v>0</v>
      </c>
      <c r="T981" s="162">
        <f t="shared" si="317"/>
        <v>0</v>
      </c>
      <c r="U981" s="162">
        <f t="shared" si="317"/>
        <v>0</v>
      </c>
      <c r="V981" s="162">
        <f t="shared" si="317"/>
        <v>0</v>
      </c>
      <c r="W981" s="162">
        <f t="shared" si="317"/>
        <v>0</v>
      </c>
      <c r="X981" s="162">
        <f t="shared" si="317"/>
        <v>0</v>
      </c>
      <c r="Y981" s="162">
        <f t="shared" si="317"/>
        <v>0</v>
      </c>
      <c r="Z981" s="162">
        <f t="shared" si="317"/>
        <v>0</v>
      </c>
      <c r="AA981" s="162">
        <f t="shared" si="317"/>
        <v>0</v>
      </c>
      <c r="AB981" s="163">
        <f t="shared" si="316"/>
        <v>0</v>
      </c>
      <c r="AC981" s="198"/>
    </row>
    <row r="982" spans="1:29" hidden="1" outlineLevel="1" x14ac:dyDescent="0.25">
      <c r="A982" s="14" t="str">
        <f t="shared" si="306"/>
        <v>TERC_OPER__17</v>
      </c>
      <c r="B982" s="15" t="str">
        <f t="shared" si="312"/>
        <v>TERC_OPER__0_0</v>
      </c>
      <c r="C982" s="83"/>
      <c r="D982" s="15">
        <f t="shared" si="313"/>
        <v>0</v>
      </c>
      <c r="E982" s="15">
        <v>17</v>
      </c>
      <c r="F982" s="190">
        <f t="shared" ref="F982:O997" si="318">F936</f>
        <v>0</v>
      </c>
      <c r="G982" s="149" t="str">
        <f t="shared" si="318"/>
        <v/>
      </c>
      <c r="H982" s="150" t="str">
        <f t="shared" si="318"/>
        <v/>
      </c>
      <c r="I982" s="150">
        <f t="shared" si="318"/>
        <v>0</v>
      </c>
      <c r="J982" s="150">
        <f t="shared" si="318"/>
        <v>0</v>
      </c>
      <c r="K982" s="196">
        <f t="shared" si="318"/>
        <v>0</v>
      </c>
      <c r="L982" s="197">
        <f t="shared" si="318"/>
        <v>0</v>
      </c>
      <c r="M982" s="191">
        <f t="shared" si="318"/>
        <v>0</v>
      </c>
      <c r="N982" s="150">
        <f t="shared" si="318"/>
        <v>0</v>
      </c>
      <c r="O982" s="193">
        <f t="shared" si="318"/>
        <v>0</v>
      </c>
      <c r="P982" s="162">
        <f t="shared" si="317"/>
        <v>0</v>
      </c>
      <c r="Q982" s="162">
        <f t="shared" si="317"/>
        <v>0</v>
      </c>
      <c r="R982" s="162">
        <f t="shared" si="317"/>
        <v>0</v>
      </c>
      <c r="S982" s="162">
        <f t="shared" si="317"/>
        <v>0</v>
      </c>
      <c r="T982" s="162">
        <f t="shared" si="317"/>
        <v>0</v>
      </c>
      <c r="U982" s="162">
        <f t="shared" si="317"/>
        <v>0</v>
      </c>
      <c r="V982" s="162">
        <f t="shared" si="317"/>
        <v>0</v>
      </c>
      <c r="W982" s="162">
        <f t="shared" si="317"/>
        <v>0</v>
      </c>
      <c r="X982" s="162">
        <f t="shared" si="317"/>
        <v>0</v>
      </c>
      <c r="Y982" s="162">
        <f t="shared" si="317"/>
        <v>0</v>
      </c>
      <c r="Z982" s="162">
        <f t="shared" si="317"/>
        <v>0</v>
      </c>
      <c r="AA982" s="162">
        <f t="shared" si="317"/>
        <v>0</v>
      </c>
      <c r="AB982" s="163">
        <f t="shared" si="316"/>
        <v>0</v>
      </c>
      <c r="AC982" s="198"/>
    </row>
    <row r="983" spans="1:29" hidden="1" outlineLevel="1" x14ac:dyDescent="0.25">
      <c r="A983" s="14" t="str">
        <f t="shared" si="306"/>
        <v>TERC_OPER__18</v>
      </c>
      <c r="B983" s="15" t="str">
        <f t="shared" si="312"/>
        <v>TERC_OPER__0_0</v>
      </c>
      <c r="C983" s="83"/>
      <c r="D983" s="15">
        <f t="shared" si="313"/>
        <v>0</v>
      </c>
      <c r="E983" s="15">
        <v>18</v>
      </c>
      <c r="F983" s="190">
        <f t="shared" si="318"/>
        <v>0</v>
      </c>
      <c r="G983" s="149" t="str">
        <f t="shared" si="318"/>
        <v/>
      </c>
      <c r="H983" s="150" t="str">
        <f t="shared" si="318"/>
        <v/>
      </c>
      <c r="I983" s="150">
        <f t="shared" si="318"/>
        <v>0</v>
      </c>
      <c r="J983" s="150">
        <f t="shared" si="318"/>
        <v>0</v>
      </c>
      <c r="K983" s="196">
        <f t="shared" si="318"/>
        <v>0</v>
      </c>
      <c r="L983" s="197">
        <f t="shared" si="318"/>
        <v>0</v>
      </c>
      <c r="M983" s="191">
        <f t="shared" si="318"/>
        <v>0</v>
      </c>
      <c r="N983" s="150">
        <f t="shared" si="318"/>
        <v>0</v>
      </c>
      <c r="O983" s="193">
        <f t="shared" si="318"/>
        <v>0</v>
      </c>
      <c r="P983" s="162">
        <f t="shared" si="317"/>
        <v>0</v>
      </c>
      <c r="Q983" s="162">
        <f t="shared" si="317"/>
        <v>0</v>
      </c>
      <c r="R983" s="162">
        <f t="shared" si="317"/>
        <v>0</v>
      </c>
      <c r="S983" s="162">
        <f t="shared" si="317"/>
        <v>0</v>
      </c>
      <c r="T983" s="162">
        <f t="shared" si="317"/>
        <v>0</v>
      </c>
      <c r="U983" s="162">
        <f t="shared" si="317"/>
        <v>0</v>
      </c>
      <c r="V983" s="162">
        <f t="shared" si="317"/>
        <v>0</v>
      </c>
      <c r="W983" s="162">
        <f t="shared" si="317"/>
        <v>0</v>
      </c>
      <c r="X983" s="162">
        <f t="shared" si="317"/>
        <v>0</v>
      </c>
      <c r="Y983" s="162">
        <f t="shared" si="317"/>
        <v>0</v>
      </c>
      <c r="Z983" s="162">
        <f t="shared" si="317"/>
        <v>0</v>
      </c>
      <c r="AA983" s="162">
        <f t="shared" si="317"/>
        <v>0</v>
      </c>
      <c r="AB983" s="163">
        <f t="shared" si="316"/>
        <v>0</v>
      </c>
      <c r="AC983" s="198"/>
    </row>
    <row r="984" spans="1:29" hidden="1" outlineLevel="1" x14ac:dyDescent="0.25">
      <c r="A984" s="14" t="str">
        <f t="shared" si="306"/>
        <v>TERC_OPER__19</v>
      </c>
      <c r="B984" s="15" t="str">
        <f t="shared" si="312"/>
        <v>TERC_OPER__0_0</v>
      </c>
      <c r="C984" s="83"/>
      <c r="D984" s="15">
        <f t="shared" si="313"/>
        <v>0</v>
      </c>
      <c r="E984" s="15">
        <v>19</v>
      </c>
      <c r="F984" s="190">
        <f t="shared" si="318"/>
        <v>0</v>
      </c>
      <c r="G984" s="149" t="str">
        <f t="shared" si="318"/>
        <v/>
      </c>
      <c r="H984" s="150" t="str">
        <f t="shared" si="318"/>
        <v/>
      </c>
      <c r="I984" s="150">
        <f t="shared" si="318"/>
        <v>0</v>
      </c>
      <c r="J984" s="150">
        <f t="shared" si="318"/>
        <v>0</v>
      </c>
      <c r="K984" s="196">
        <f t="shared" si="318"/>
        <v>0</v>
      </c>
      <c r="L984" s="197">
        <f t="shared" si="318"/>
        <v>0</v>
      </c>
      <c r="M984" s="191">
        <f t="shared" si="318"/>
        <v>0</v>
      </c>
      <c r="N984" s="150">
        <f t="shared" si="318"/>
        <v>0</v>
      </c>
      <c r="O984" s="193">
        <f t="shared" si="318"/>
        <v>0</v>
      </c>
      <c r="P984" s="162">
        <f t="shared" si="317"/>
        <v>0</v>
      </c>
      <c r="Q984" s="162">
        <f t="shared" si="317"/>
        <v>0</v>
      </c>
      <c r="R984" s="162">
        <f t="shared" si="317"/>
        <v>0</v>
      </c>
      <c r="S984" s="162">
        <f t="shared" si="317"/>
        <v>0</v>
      </c>
      <c r="T984" s="162">
        <f t="shared" si="317"/>
        <v>0</v>
      </c>
      <c r="U984" s="162">
        <f t="shared" si="317"/>
        <v>0</v>
      </c>
      <c r="V984" s="162">
        <f t="shared" si="317"/>
        <v>0</v>
      </c>
      <c r="W984" s="162">
        <f t="shared" si="317"/>
        <v>0</v>
      </c>
      <c r="X984" s="162">
        <f t="shared" si="317"/>
        <v>0</v>
      </c>
      <c r="Y984" s="162">
        <f t="shared" si="317"/>
        <v>0</v>
      </c>
      <c r="Z984" s="162">
        <f t="shared" si="317"/>
        <v>0</v>
      </c>
      <c r="AA984" s="162">
        <f t="shared" si="317"/>
        <v>0</v>
      </c>
      <c r="AB984" s="163">
        <f t="shared" si="316"/>
        <v>0</v>
      </c>
      <c r="AC984" s="198"/>
    </row>
    <row r="985" spans="1:29" hidden="1" outlineLevel="1" x14ac:dyDescent="0.25">
      <c r="A985" s="14" t="str">
        <f t="shared" si="306"/>
        <v>TERC_OPER__20</v>
      </c>
      <c r="B985" s="15" t="str">
        <f t="shared" si="312"/>
        <v>TERC_OPER__0_0</v>
      </c>
      <c r="C985" s="83"/>
      <c r="D985" s="15">
        <f t="shared" si="313"/>
        <v>0</v>
      </c>
      <c r="E985" s="15">
        <v>20</v>
      </c>
      <c r="F985" s="190">
        <f t="shared" si="318"/>
        <v>0</v>
      </c>
      <c r="G985" s="149" t="str">
        <f t="shared" si="318"/>
        <v/>
      </c>
      <c r="H985" s="150" t="str">
        <f t="shared" si="318"/>
        <v/>
      </c>
      <c r="I985" s="150">
        <f t="shared" si="318"/>
        <v>0</v>
      </c>
      <c r="J985" s="150">
        <f t="shared" si="318"/>
        <v>0</v>
      </c>
      <c r="K985" s="196">
        <f t="shared" si="318"/>
        <v>0</v>
      </c>
      <c r="L985" s="197">
        <f t="shared" si="318"/>
        <v>0</v>
      </c>
      <c r="M985" s="191">
        <f t="shared" si="318"/>
        <v>0</v>
      </c>
      <c r="N985" s="150">
        <f t="shared" si="318"/>
        <v>0</v>
      </c>
      <c r="O985" s="193">
        <f t="shared" si="318"/>
        <v>0</v>
      </c>
      <c r="P985" s="162">
        <f t="shared" si="317"/>
        <v>0</v>
      </c>
      <c r="Q985" s="162">
        <f t="shared" si="317"/>
        <v>0</v>
      </c>
      <c r="R985" s="162">
        <f t="shared" si="317"/>
        <v>0</v>
      </c>
      <c r="S985" s="162">
        <f t="shared" si="317"/>
        <v>0</v>
      </c>
      <c r="T985" s="162">
        <f t="shared" si="317"/>
        <v>0</v>
      </c>
      <c r="U985" s="162">
        <f t="shared" si="317"/>
        <v>0</v>
      </c>
      <c r="V985" s="162">
        <f t="shared" si="317"/>
        <v>0</v>
      </c>
      <c r="W985" s="162">
        <f t="shared" si="317"/>
        <v>0</v>
      </c>
      <c r="X985" s="162">
        <f t="shared" si="317"/>
        <v>0</v>
      </c>
      <c r="Y985" s="162">
        <f t="shared" si="317"/>
        <v>0</v>
      </c>
      <c r="Z985" s="162">
        <f t="shared" si="317"/>
        <v>0</v>
      </c>
      <c r="AA985" s="162">
        <f t="shared" si="317"/>
        <v>0</v>
      </c>
      <c r="AB985" s="163">
        <f t="shared" si="316"/>
        <v>0</v>
      </c>
      <c r="AC985" s="198"/>
    </row>
    <row r="986" spans="1:29" hidden="1" outlineLevel="1" x14ac:dyDescent="0.25">
      <c r="A986" s="14" t="str">
        <f t="shared" si="306"/>
        <v>TERC_OPER__21</v>
      </c>
      <c r="B986" s="15" t="str">
        <f t="shared" si="312"/>
        <v>TERC_OPER__0_0</v>
      </c>
      <c r="C986" s="83"/>
      <c r="D986" s="15">
        <f t="shared" si="313"/>
        <v>0</v>
      </c>
      <c r="E986" s="15">
        <v>21</v>
      </c>
      <c r="F986" s="190">
        <f t="shared" si="318"/>
        <v>0</v>
      </c>
      <c r="G986" s="149" t="str">
        <f t="shared" si="318"/>
        <v/>
      </c>
      <c r="H986" s="150" t="str">
        <f t="shared" si="318"/>
        <v/>
      </c>
      <c r="I986" s="150">
        <f t="shared" si="318"/>
        <v>0</v>
      </c>
      <c r="J986" s="150">
        <f t="shared" si="318"/>
        <v>0</v>
      </c>
      <c r="K986" s="196">
        <f t="shared" si="318"/>
        <v>0</v>
      </c>
      <c r="L986" s="197">
        <f t="shared" si="318"/>
        <v>0</v>
      </c>
      <c r="M986" s="191">
        <f t="shared" si="318"/>
        <v>0</v>
      </c>
      <c r="N986" s="150">
        <f t="shared" si="318"/>
        <v>0</v>
      </c>
      <c r="O986" s="193">
        <f t="shared" si="318"/>
        <v>0</v>
      </c>
      <c r="P986" s="162">
        <f t="shared" si="317"/>
        <v>0</v>
      </c>
      <c r="Q986" s="162">
        <f t="shared" si="317"/>
        <v>0</v>
      </c>
      <c r="R986" s="162">
        <f t="shared" si="317"/>
        <v>0</v>
      </c>
      <c r="S986" s="162">
        <f t="shared" si="317"/>
        <v>0</v>
      </c>
      <c r="T986" s="162">
        <f t="shared" si="317"/>
        <v>0</v>
      </c>
      <c r="U986" s="162">
        <f t="shared" si="317"/>
        <v>0</v>
      </c>
      <c r="V986" s="162">
        <f t="shared" si="317"/>
        <v>0</v>
      </c>
      <c r="W986" s="162">
        <f t="shared" si="317"/>
        <v>0</v>
      </c>
      <c r="X986" s="162">
        <f t="shared" si="317"/>
        <v>0</v>
      </c>
      <c r="Y986" s="162">
        <f t="shared" si="317"/>
        <v>0</v>
      </c>
      <c r="Z986" s="162">
        <f t="shared" si="317"/>
        <v>0</v>
      </c>
      <c r="AA986" s="162">
        <f t="shared" si="317"/>
        <v>0</v>
      </c>
      <c r="AB986" s="163">
        <f t="shared" si="316"/>
        <v>0</v>
      </c>
      <c r="AC986" s="198"/>
    </row>
    <row r="987" spans="1:29" hidden="1" outlineLevel="1" x14ac:dyDescent="0.25">
      <c r="A987" s="14" t="str">
        <f t="shared" si="306"/>
        <v>TERC_OPER__22</v>
      </c>
      <c r="B987" s="15" t="str">
        <f t="shared" si="312"/>
        <v>TERC_OPER__0_0</v>
      </c>
      <c r="C987" s="83"/>
      <c r="D987" s="15">
        <f t="shared" si="313"/>
        <v>0</v>
      </c>
      <c r="E987" s="15">
        <v>22</v>
      </c>
      <c r="F987" s="190">
        <f t="shared" si="318"/>
        <v>0</v>
      </c>
      <c r="G987" s="149" t="str">
        <f t="shared" si="318"/>
        <v/>
      </c>
      <c r="H987" s="150" t="str">
        <f t="shared" si="318"/>
        <v/>
      </c>
      <c r="I987" s="150">
        <f t="shared" si="318"/>
        <v>0</v>
      </c>
      <c r="J987" s="150">
        <f t="shared" si="318"/>
        <v>0</v>
      </c>
      <c r="K987" s="196">
        <f t="shared" si="318"/>
        <v>0</v>
      </c>
      <c r="L987" s="197">
        <f t="shared" si="318"/>
        <v>0</v>
      </c>
      <c r="M987" s="191">
        <f t="shared" si="318"/>
        <v>0</v>
      </c>
      <c r="N987" s="150">
        <f t="shared" si="318"/>
        <v>0</v>
      </c>
      <c r="O987" s="193">
        <f t="shared" si="318"/>
        <v>0</v>
      </c>
      <c r="P987" s="162">
        <f t="shared" ref="P987:AA1002" si="319">IFERROR(SUMIF($B$483:$B$547,$C987&amp;$I987,P$483:P$547)/SUMIF($D$483:$D$547,$I987,P$483:P$547)*P573,0)</f>
        <v>0</v>
      </c>
      <c r="Q987" s="162">
        <f t="shared" si="319"/>
        <v>0</v>
      </c>
      <c r="R987" s="162">
        <f t="shared" si="319"/>
        <v>0</v>
      </c>
      <c r="S987" s="162">
        <f t="shared" si="319"/>
        <v>0</v>
      </c>
      <c r="T987" s="162">
        <f t="shared" si="319"/>
        <v>0</v>
      </c>
      <c r="U987" s="162">
        <f t="shared" si="319"/>
        <v>0</v>
      </c>
      <c r="V987" s="162">
        <f t="shared" si="319"/>
        <v>0</v>
      </c>
      <c r="W987" s="162">
        <f t="shared" si="319"/>
        <v>0</v>
      </c>
      <c r="X987" s="162">
        <f t="shared" si="319"/>
        <v>0</v>
      </c>
      <c r="Y987" s="162">
        <f t="shared" si="319"/>
        <v>0</v>
      </c>
      <c r="Z987" s="162">
        <f t="shared" si="319"/>
        <v>0</v>
      </c>
      <c r="AA987" s="162">
        <f t="shared" si="319"/>
        <v>0</v>
      </c>
      <c r="AB987" s="163">
        <f t="shared" si="316"/>
        <v>0</v>
      </c>
      <c r="AC987" s="198"/>
    </row>
    <row r="988" spans="1:29" hidden="1" outlineLevel="1" x14ac:dyDescent="0.25">
      <c r="A988" s="14" t="str">
        <f t="shared" si="306"/>
        <v>TERC_OPER__23</v>
      </c>
      <c r="B988" s="15" t="str">
        <f t="shared" si="312"/>
        <v>TERC_OPER__0_0</v>
      </c>
      <c r="C988" s="83"/>
      <c r="D988" s="15">
        <f t="shared" si="313"/>
        <v>0</v>
      </c>
      <c r="E988" s="15">
        <v>23</v>
      </c>
      <c r="F988" s="190">
        <f t="shared" si="318"/>
        <v>0</v>
      </c>
      <c r="G988" s="149" t="str">
        <f t="shared" si="318"/>
        <v/>
      </c>
      <c r="H988" s="150" t="str">
        <f t="shared" si="318"/>
        <v/>
      </c>
      <c r="I988" s="150">
        <f t="shared" si="318"/>
        <v>0</v>
      </c>
      <c r="J988" s="150">
        <f t="shared" si="318"/>
        <v>0</v>
      </c>
      <c r="K988" s="196">
        <f t="shared" si="318"/>
        <v>0</v>
      </c>
      <c r="L988" s="197">
        <f t="shared" si="318"/>
        <v>0</v>
      </c>
      <c r="M988" s="191">
        <f t="shared" si="318"/>
        <v>0</v>
      </c>
      <c r="N988" s="150">
        <f t="shared" si="318"/>
        <v>0</v>
      </c>
      <c r="O988" s="193">
        <f t="shared" si="318"/>
        <v>0</v>
      </c>
      <c r="P988" s="162">
        <f t="shared" si="319"/>
        <v>0</v>
      </c>
      <c r="Q988" s="162">
        <f t="shared" si="319"/>
        <v>0</v>
      </c>
      <c r="R988" s="162">
        <f t="shared" si="319"/>
        <v>0</v>
      </c>
      <c r="S988" s="162">
        <f t="shared" si="319"/>
        <v>0</v>
      </c>
      <c r="T988" s="162">
        <f t="shared" si="319"/>
        <v>0</v>
      </c>
      <c r="U988" s="162">
        <f t="shared" si="319"/>
        <v>0</v>
      </c>
      <c r="V988" s="162">
        <f t="shared" si="319"/>
        <v>0</v>
      </c>
      <c r="W988" s="162">
        <f t="shared" si="319"/>
        <v>0</v>
      </c>
      <c r="X988" s="162">
        <f t="shared" si="319"/>
        <v>0</v>
      </c>
      <c r="Y988" s="162">
        <f t="shared" si="319"/>
        <v>0</v>
      </c>
      <c r="Z988" s="162">
        <f t="shared" si="319"/>
        <v>0</v>
      </c>
      <c r="AA988" s="162">
        <f t="shared" si="319"/>
        <v>0</v>
      </c>
      <c r="AB988" s="163">
        <f t="shared" si="316"/>
        <v>0</v>
      </c>
      <c r="AC988" s="198"/>
    </row>
    <row r="989" spans="1:29" hidden="1" outlineLevel="1" x14ac:dyDescent="0.25">
      <c r="A989" s="14" t="str">
        <f t="shared" si="306"/>
        <v>TERC_OPER__24</v>
      </c>
      <c r="B989" s="15" t="str">
        <f t="shared" si="312"/>
        <v>TERC_OPER__0_0</v>
      </c>
      <c r="C989" s="83"/>
      <c r="D989" s="15">
        <f t="shared" si="313"/>
        <v>0</v>
      </c>
      <c r="E989" s="15">
        <v>24</v>
      </c>
      <c r="F989" s="190">
        <f t="shared" si="318"/>
        <v>0</v>
      </c>
      <c r="G989" s="149" t="str">
        <f t="shared" si="318"/>
        <v/>
      </c>
      <c r="H989" s="150" t="str">
        <f t="shared" si="318"/>
        <v/>
      </c>
      <c r="I989" s="150">
        <f t="shared" si="318"/>
        <v>0</v>
      </c>
      <c r="J989" s="150">
        <f t="shared" si="318"/>
        <v>0</v>
      </c>
      <c r="K989" s="196">
        <f t="shared" si="318"/>
        <v>0</v>
      </c>
      <c r="L989" s="197">
        <f t="shared" si="318"/>
        <v>0</v>
      </c>
      <c r="M989" s="191">
        <f t="shared" si="318"/>
        <v>0</v>
      </c>
      <c r="N989" s="150">
        <f t="shared" si="318"/>
        <v>0</v>
      </c>
      <c r="O989" s="193">
        <f t="shared" si="318"/>
        <v>0</v>
      </c>
      <c r="P989" s="162">
        <f t="shared" si="319"/>
        <v>0</v>
      </c>
      <c r="Q989" s="162">
        <f t="shared" si="319"/>
        <v>0</v>
      </c>
      <c r="R989" s="162">
        <f t="shared" si="319"/>
        <v>0</v>
      </c>
      <c r="S989" s="162">
        <f t="shared" si="319"/>
        <v>0</v>
      </c>
      <c r="T989" s="162">
        <f t="shared" si="319"/>
        <v>0</v>
      </c>
      <c r="U989" s="162">
        <f t="shared" si="319"/>
        <v>0</v>
      </c>
      <c r="V989" s="162">
        <f t="shared" si="319"/>
        <v>0</v>
      </c>
      <c r="W989" s="162">
        <f t="shared" si="319"/>
        <v>0</v>
      </c>
      <c r="X989" s="162">
        <f t="shared" si="319"/>
        <v>0</v>
      </c>
      <c r="Y989" s="162">
        <f t="shared" si="319"/>
        <v>0</v>
      </c>
      <c r="Z989" s="162">
        <f t="shared" si="319"/>
        <v>0</v>
      </c>
      <c r="AA989" s="162">
        <f t="shared" si="319"/>
        <v>0</v>
      </c>
      <c r="AB989" s="163">
        <f t="shared" si="316"/>
        <v>0</v>
      </c>
      <c r="AC989" s="198"/>
    </row>
    <row r="990" spans="1:29" hidden="1" outlineLevel="1" x14ac:dyDescent="0.25">
      <c r="A990" s="14" t="str">
        <f t="shared" si="306"/>
        <v>TERC_OPER__25</v>
      </c>
      <c r="B990" s="15" t="str">
        <f t="shared" si="312"/>
        <v>TERC_OPER__0_0</v>
      </c>
      <c r="C990" s="83"/>
      <c r="D990" s="15">
        <f t="shared" si="313"/>
        <v>0</v>
      </c>
      <c r="E990" s="15">
        <v>25</v>
      </c>
      <c r="F990" s="190">
        <f t="shared" si="318"/>
        <v>0</v>
      </c>
      <c r="G990" s="149" t="str">
        <f t="shared" si="318"/>
        <v/>
      </c>
      <c r="H990" s="150" t="str">
        <f t="shared" si="318"/>
        <v/>
      </c>
      <c r="I990" s="150">
        <f t="shared" si="318"/>
        <v>0</v>
      </c>
      <c r="J990" s="150">
        <f t="shared" si="318"/>
        <v>0</v>
      </c>
      <c r="K990" s="196">
        <f t="shared" si="318"/>
        <v>0</v>
      </c>
      <c r="L990" s="197">
        <f t="shared" si="318"/>
        <v>0</v>
      </c>
      <c r="M990" s="191">
        <f t="shared" si="318"/>
        <v>0</v>
      </c>
      <c r="N990" s="150">
        <f t="shared" si="318"/>
        <v>0</v>
      </c>
      <c r="O990" s="193">
        <f t="shared" si="318"/>
        <v>0</v>
      </c>
      <c r="P990" s="162">
        <f t="shared" si="319"/>
        <v>0</v>
      </c>
      <c r="Q990" s="162">
        <f t="shared" si="319"/>
        <v>0</v>
      </c>
      <c r="R990" s="162">
        <f t="shared" si="319"/>
        <v>0</v>
      </c>
      <c r="S990" s="162">
        <f t="shared" si="319"/>
        <v>0</v>
      </c>
      <c r="T990" s="162">
        <f t="shared" si="319"/>
        <v>0</v>
      </c>
      <c r="U990" s="162">
        <f t="shared" si="319"/>
        <v>0</v>
      </c>
      <c r="V990" s="162">
        <f t="shared" si="319"/>
        <v>0</v>
      </c>
      <c r="W990" s="162">
        <f t="shared" si="319"/>
        <v>0</v>
      </c>
      <c r="X990" s="162">
        <f t="shared" si="319"/>
        <v>0</v>
      </c>
      <c r="Y990" s="162">
        <f t="shared" si="319"/>
        <v>0</v>
      </c>
      <c r="Z990" s="162">
        <f t="shared" si="319"/>
        <v>0</v>
      </c>
      <c r="AA990" s="162">
        <f t="shared" si="319"/>
        <v>0</v>
      </c>
      <c r="AB990" s="163">
        <f t="shared" si="316"/>
        <v>0</v>
      </c>
      <c r="AC990" s="198"/>
    </row>
    <row r="991" spans="1:29" hidden="1" outlineLevel="1" x14ac:dyDescent="0.25">
      <c r="A991" s="14" t="str">
        <f t="shared" si="306"/>
        <v>TERC_OPER__26</v>
      </c>
      <c r="B991" s="15" t="str">
        <f t="shared" si="312"/>
        <v>TERC_OPER__0_0</v>
      </c>
      <c r="C991" s="83"/>
      <c r="D991" s="15">
        <f t="shared" si="313"/>
        <v>0</v>
      </c>
      <c r="E991" s="15">
        <v>26</v>
      </c>
      <c r="F991" s="190">
        <f t="shared" si="318"/>
        <v>0</v>
      </c>
      <c r="G991" s="149" t="str">
        <f t="shared" si="318"/>
        <v/>
      </c>
      <c r="H991" s="150" t="str">
        <f t="shared" si="318"/>
        <v/>
      </c>
      <c r="I991" s="150">
        <f t="shared" si="318"/>
        <v>0</v>
      </c>
      <c r="J991" s="150">
        <f t="shared" si="318"/>
        <v>0</v>
      </c>
      <c r="K991" s="196">
        <f t="shared" si="318"/>
        <v>0</v>
      </c>
      <c r="L991" s="197">
        <f t="shared" si="318"/>
        <v>0</v>
      </c>
      <c r="M991" s="191">
        <f t="shared" si="318"/>
        <v>0</v>
      </c>
      <c r="N991" s="150">
        <f t="shared" si="318"/>
        <v>0</v>
      </c>
      <c r="O991" s="193">
        <f t="shared" si="318"/>
        <v>0</v>
      </c>
      <c r="P991" s="162">
        <f t="shared" si="319"/>
        <v>0</v>
      </c>
      <c r="Q991" s="162">
        <f t="shared" si="319"/>
        <v>0</v>
      </c>
      <c r="R991" s="162">
        <f t="shared" si="319"/>
        <v>0</v>
      </c>
      <c r="S991" s="162">
        <f t="shared" si="319"/>
        <v>0</v>
      </c>
      <c r="T991" s="162">
        <f t="shared" si="319"/>
        <v>0</v>
      </c>
      <c r="U991" s="162">
        <f t="shared" si="319"/>
        <v>0</v>
      </c>
      <c r="V991" s="162">
        <f t="shared" si="319"/>
        <v>0</v>
      </c>
      <c r="W991" s="162">
        <f t="shared" si="319"/>
        <v>0</v>
      </c>
      <c r="X991" s="162">
        <f t="shared" si="319"/>
        <v>0</v>
      </c>
      <c r="Y991" s="162">
        <f t="shared" si="319"/>
        <v>0</v>
      </c>
      <c r="Z991" s="162">
        <f t="shared" si="319"/>
        <v>0</v>
      </c>
      <c r="AA991" s="162">
        <f t="shared" si="319"/>
        <v>0</v>
      </c>
      <c r="AB991" s="163">
        <f t="shared" si="316"/>
        <v>0</v>
      </c>
      <c r="AC991" s="198"/>
    </row>
    <row r="992" spans="1:29" hidden="1" outlineLevel="1" x14ac:dyDescent="0.25">
      <c r="A992" s="14" t="str">
        <f t="shared" ref="A992:A1010" si="320">"TERC_OPER_"&amp;C992&amp;"_"&amp;E992</f>
        <v>TERC_OPER__27</v>
      </c>
      <c r="B992" s="15" t="str">
        <f t="shared" si="312"/>
        <v>TERC_OPER__0_0</v>
      </c>
      <c r="C992" s="83"/>
      <c r="D992" s="15">
        <f t="shared" si="313"/>
        <v>0</v>
      </c>
      <c r="E992" s="15">
        <v>27</v>
      </c>
      <c r="F992" s="190">
        <f t="shared" si="318"/>
        <v>0</v>
      </c>
      <c r="G992" s="149" t="str">
        <f t="shared" si="318"/>
        <v/>
      </c>
      <c r="H992" s="150" t="str">
        <f t="shared" si="318"/>
        <v/>
      </c>
      <c r="I992" s="150">
        <f t="shared" si="318"/>
        <v>0</v>
      </c>
      <c r="J992" s="150">
        <f t="shared" si="318"/>
        <v>0</v>
      </c>
      <c r="K992" s="196">
        <f t="shared" si="318"/>
        <v>0</v>
      </c>
      <c r="L992" s="197">
        <f t="shared" si="318"/>
        <v>0</v>
      </c>
      <c r="M992" s="191">
        <f t="shared" si="318"/>
        <v>0</v>
      </c>
      <c r="N992" s="150">
        <f t="shared" si="318"/>
        <v>0</v>
      </c>
      <c r="O992" s="193">
        <f t="shared" si="318"/>
        <v>0</v>
      </c>
      <c r="P992" s="162">
        <f t="shared" si="319"/>
        <v>0</v>
      </c>
      <c r="Q992" s="162">
        <f t="shared" si="319"/>
        <v>0</v>
      </c>
      <c r="R992" s="162">
        <f t="shared" si="319"/>
        <v>0</v>
      </c>
      <c r="S992" s="162">
        <f t="shared" si="319"/>
        <v>0</v>
      </c>
      <c r="T992" s="162">
        <f t="shared" si="319"/>
        <v>0</v>
      </c>
      <c r="U992" s="162">
        <f t="shared" si="319"/>
        <v>0</v>
      </c>
      <c r="V992" s="162">
        <f t="shared" si="319"/>
        <v>0</v>
      </c>
      <c r="W992" s="162">
        <f t="shared" si="319"/>
        <v>0</v>
      </c>
      <c r="X992" s="162">
        <f t="shared" si="319"/>
        <v>0</v>
      </c>
      <c r="Y992" s="162">
        <f t="shared" si="319"/>
        <v>0</v>
      </c>
      <c r="Z992" s="162">
        <f t="shared" si="319"/>
        <v>0</v>
      </c>
      <c r="AA992" s="162">
        <f t="shared" si="319"/>
        <v>0</v>
      </c>
      <c r="AB992" s="163">
        <f t="shared" si="316"/>
        <v>0</v>
      </c>
      <c r="AC992" s="198"/>
    </row>
    <row r="993" spans="1:29" hidden="1" outlineLevel="1" x14ac:dyDescent="0.25">
      <c r="A993" s="14" t="str">
        <f t="shared" si="320"/>
        <v>TERC_OPER__28</v>
      </c>
      <c r="B993" s="15" t="str">
        <f t="shared" si="312"/>
        <v>TERC_OPER__0_0</v>
      </c>
      <c r="C993" s="83"/>
      <c r="D993" s="15">
        <f t="shared" si="313"/>
        <v>0</v>
      </c>
      <c r="E993" s="15">
        <v>28</v>
      </c>
      <c r="F993" s="190">
        <f t="shared" si="318"/>
        <v>0</v>
      </c>
      <c r="G993" s="149" t="str">
        <f t="shared" si="318"/>
        <v/>
      </c>
      <c r="H993" s="150" t="str">
        <f t="shared" si="318"/>
        <v/>
      </c>
      <c r="I993" s="150">
        <f t="shared" si="318"/>
        <v>0</v>
      </c>
      <c r="J993" s="150">
        <f t="shared" si="318"/>
        <v>0</v>
      </c>
      <c r="K993" s="196">
        <f t="shared" si="318"/>
        <v>0</v>
      </c>
      <c r="L993" s="197">
        <f t="shared" si="318"/>
        <v>0</v>
      </c>
      <c r="M993" s="191">
        <f t="shared" si="318"/>
        <v>0</v>
      </c>
      <c r="N993" s="150">
        <f t="shared" si="318"/>
        <v>0</v>
      </c>
      <c r="O993" s="193">
        <f t="shared" si="318"/>
        <v>0</v>
      </c>
      <c r="P993" s="162">
        <f t="shared" si="319"/>
        <v>0</v>
      </c>
      <c r="Q993" s="162">
        <f t="shared" si="319"/>
        <v>0</v>
      </c>
      <c r="R993" s="162">
        <f t="shared" si="319"/>
        <v>0</v>
      </c>
      <c r="S993" s="162">
        <f t="shared" si="319"/>
        <v>0</v>
      </c>
      <c r="T993" s="162">
        <f t="shared" si="319"/>
        <v>0</v>
      </c>
      <c r="U993" s="162">
        <f t="shared" si="319"/>
        <v>0</v>
      </c>
      <c r="V993" s="162">
        <f t="shared" si="319"/>
        <v>0</v>
      </c>
      <c r="W993" s="162">
        <f t="shared" si="319"/>
        <v>0</v>
      </c>
      <c r="X993" s="162">
        <f t="shared" si="319"/>
        <v>0</v>
      </c>
      <c r="Y993" s="162">
        <f t="shared" si="319"/>
        <v>0</v>
      </c>
      <c r="Z993" s="162">
        <f t="shared" si="319"/>
        <v>0</v>
      </c>
      <c r="AA993" s="162">
        <f t="shared" si="319"/>
        <v>0</v>
      </c>
      <c r="AB993" s="163">
        <f t="shared" si="316"/>
        <v>0</v>
      </c>
      <c r="AC993" s="198"/>
    </row>
    <row r="994" spans="1:29" hidden="1" outlineLevel="1" x14ac:dyDescent="0.25">
      <c r="A994" s="14" t="str">
        <f t="shared" si="320"/>
        <v>TERC_OPER__29</v>
      </c>
      <c r="B994" s="15" t="str">
        <f t="shared" si="312"/>
        <v>TERC_OPER__0_0</v>
      </c>
      <c r="C994" s="83"/>
      <c r="D994" s="15">
        <f t="shared" si="313"/>
        <v>0</v>
      </c>
      <c r="E994" s="15">
        <v>29</v>
      </c>
      <c r="F994" s="190">
        <f t="shared" si="318"/>
        <v>0</v>
      </c>
      <c r="G994" s="149" t="str">
        <f t="shared" si="318"/>
        <v/>
      </c>
      <c r="H994" s="150" t="str">
        <f t="shared" si="318"/>
        <v/>
      </c>
      <c r="I994" s="150">
        <f t="shared" si="318"/>
        <v>0</v>
      </c>
      <c r="J994" s="150">
        <f t="shared" si="318"/>
        <v>0</v>
      </c>
      <c r="K994" s="196">
        <f t="shared" si="318"/>
        <v>0</v>
      </c>
      <c r="L994" s="197">
        <f t="shared" si="318"/>
        <v>0</v>
      </c>
      <c r="M994" s="191">
        <f t="shared" si="318"/>
        <v>0</v>
      </c>
      <c r="N994" s="150">
        <f t="shared" si="318"/>
        <v>0</v>
      </c>
      <c r="O994" s="193">
        <f t="shared" si="318"/>
        <v>0</v>
      </c>
      <c r="P994" s="162">
        <f t="shared" si="319"/>
        <v>0</v>
      </c>
      <c r="Q994" s="162">
        <f t="shared" si="319"/>
        <v>0</v>
      </c>
      <c r="R994" s="162">
        <f t="shared" si="319"/>
        <v>0</v>
      </c>
      <c r="S994" s="162">
        <f t="shared" si="319"/>
        <v>0</v>
      </c>
      <c r="T994" s="162">
        <f t="shared" si="319"/>
        <v>0</v>
      </c>
      <c r="U994" s="162">
        <f t="shared" si="319"/>
        <v>0</v>
      </c>
      <c r="V994" s="162">
        <f t="shared" si="319"/>
        <v>0</v>
      </c>
      <c r="W994" s="162">
        <f t="shared" si="319"/>
        <v>0</v>
      </c>
      <c r="X994" s="162">
        <f t="shared" si="319"/>
        <v>0</v>
      </c>
      <c r="Y994" s="162">
        <f t="shared" si="319"/>
        <v>0</v>
      </c>
      <c r="Z994" s="162">
        <f t="shared" si="319"/>
        <v>0</v>
      </c>
      <c r="AA994" s="162">
        <f t="shared" si="319"/>
        <v>0</v>
      </c>
      <c r="AB994" s="163">
        <f t="shared" si="316"/>
        <v>0</v>
      </c>
      <c r="AC994" s="198"/>
    </row>
    <row r="995" spans="1:29" hidden="1" outlineLevel="1" x14ac:dyDescent="0.25">
      <c r="A995" s="14" t="str">
        <f t="shared" si="320"/>
        <v>TERC_OPER__30</v>
      </c>
      <c r="B995" s="15" t="str">
        <f t="shared" si="312"/>
        <v>TERC_OPER__0_0</v>
      </c>
      <c r="C995" s="83"/>
      <c r="D995" s="15">
        <f t="shared" si="313"/>
        <v>0</v>
      </c>
      <c r="E995" s="15">
        <v>30</v>
      </c>
      <c r="F995" s="190">
        <f t="shared" si="318"/>
        <v>0</v>
      </c>
      <c r="G995" s="149" t="str">
        <f t="shared" si="318"/>
        <v/>
      </c>
      <c r="H995" s="150" t="str">
        <f t="shared" si="318"/>
        <v/>
      </c>
      <c r="I995" s="150">
        <f t="shared" si="318"/>
        <v>0</v>
      </c>
      <c r="J995" s="150">
        <f t="shared" si="318"/>
        <v>0</v>
      </c>
      <c r="K995" s="196">
        <f t="shared" si="318"/>
        <v>0</v>
      </c>
      <c r="L995" s="197">
        <f t="shared" si="318"/>
        <v>0</v>
      </c>
      <c r="M995" s="191">
        <f t="shared" si="318"/>
        <v>0</v>
      </c>
      <c r="N995" s="150">
        <f t="shared" si="318"/>
        <v>0</v>
      </c>
      <c r="O995" s="193">
        <f t="shared" si="318"/>
        <v>0</v>
      </c>
      <c r="P995" s="162">
        <f t="shared" si="319"/>
        <v>0</v>
      </c>
      <c r="Q995" s="162">
        <f t="shared" si="319"/>
        <v>0</v>
      </c>
      <c r="R995" s="162">
        <f t="shared" si="319"/>
        <v>0</v>
      </c>
      <c r="S995" s="162">
        <f t="shared" si="319"/>
        <v>0</v>
      </c>
      <c r="T995" s="162">
        <f t="shared" si="319"/>
        <v>0</v>
      </c>
      <c r="U995" s="162">
        <f t="shared" si="319"/>
        <v>0</v>
      </c>
      <c r="V995" s="162">
        <f t="shared" si="319"/>
        <v>0</v>
      </c>
      <c r="W995" s="162">
        <f t="shared" si="319"/>
        <v>0</v>
      </c>
      <c r="X995" s="162">
        <f t="shared" si="319"/>
        <v>0</v>
      </c>
      <c r="Y995" s="162">
        <f t="shared" si="319"/>
        <v>0</v>
      </c>
      <c r="Z995" s="162">
        <f t="shared" si="319"/>
        <v>0</v>
      </c>
      <c r="AA995" s="162">
        <f t="shared" si="319"/>
        <v>0</v>
      </c>
      <c r="AB995" s="163">
        <f t="shared" si="316"/>
        <v>0</v>
      </c>
      <c r="AC995" s="198"/>
    </row>
    <row r="996" spans="1:29" hidden="1" outlineLevel="1" x14ac:dyDescent="0.25">
      <c r="A996" s="14" t="str">
        <f t="shared" si="320"/>
        <v>TERC_OPER__31</v>
      </c>
      <c r="B996" s="15" t="str">
        <f t="shared" si="312"/>
        <v>TERC_OPER__0_0</v>
      </c>
      <c r="C996" s="83"/>
      <c r="D996" s="15">
        <f t="shared" si="313"/>
        <v>0</v>
      </c>
      <c r="E996" s="15">
        <v>31</v>
      </c>
      <c r="F996" s="190">
        <f t="shared" si="318"/>
        <v>0</v>
      </c>
      <c r="G996" s="149" t="str">
        <f t="shared" si="318"/>
        <v/>
      </c>
      <c r="H996" s="150" t="str">
        <f t="shared" si="318"/>
        <v/>
      </c>
      <c r="I996" s="150">
        <f t="shared" si="318"/>
        <v>0</v>
      </c>
      <c r="J996" s="150">
        <f t="shared" si="318"/>
        <v>0</v>
      </c>
      <c r="K996" s="196">
        <f t="shared" si="318"/>
        <v>0</v>
      </c>
      <c r="L996" s="197">
        <f t="shared" si="318"/>
        <v>0</v>
      </c>
      <c r="M996" s="191">
        <f t="shared" si="318"/>
        <v>0</v>
      </c>
      <c r="N996" s="150">
        <f t="shared" si="318"/>
        <v>0</v>
      </c>
      <c r="O996" s="193">
        <f t="shared" si="318"/>
        <v>0</v>
      </c>
      <c r="P996" s="162">
        <f t="shared" si="319"/>
        <v>0</v>
      </c>
      <c r="Q996" s="162">
        <f t="shared" si="319"/>
        <v>0</v>
      </c>
      <c r="R996" s="162">
        <f t="shared" si="319"/>
        <v>0</v>
      </c>
      <c r="S996" s="162">
        <f t="shared" si="319"/>
        <v>0</v>
      </c>
      <c r="T996" s="162">
        <f t="shared" si="319"/>
        <v>0</v>
      </c>
      <c r="U996" s="162">
        <f t="shared" si="319"/>
        <v>0</v>
      </c>
      <c r="V996" s="162">
        <f t="shared" si="319"/>
        <v>0</v>
      </c>
      <c r="W996" s="162">
        <f t="shared" si="319"/>
        <v>0</v>
      </c>
      <c r="X996" s="162">
        <f t="shared" si="319"/>
        <v>0</v>
      </c>
      <c r="Y996" s="162">
        <f t="shared" si="319"/>
        <v>0</v>
      </c>
      <c r="Z996" s="162">
        <f t="shared" si="319"/>
        <v>0</v>
      </c>
      <c r="AA996" s="162">
        <f t="shared" si="319"/>
        <v>0</v>
      </c>
      <c r="AB996" s="163">
        <f t="shared" si="316"/>
        <v>0</v>
      </c>
      <c r="AC996" s="198"/>
    </row>
    <row r="997" spans="1:29" hidden="1" outlineLevel="1" x14ac:dyDescent="0.25">
      <c r="A997" s="14" t="str">
        <f t="shared" si="320"/>
        <v>TERC_OPER__32</v>
      </c>
      <c r="B997" s="15" t="str">
        <f t="shared" si="312"/>
        <v>TERC_OPER__0_0</v>
      </c>
      <c r="C997" s="83"/>
      <c r="D997" s="15">
        <f t="shared" si="313"/>
        <v>0</v>
      </c>
      <c r="E997" s="15">
        <v>32</v>
      </c>
      <c r="F997" s="190">
        <f t="shared" si="318"/>
        <v>0</v>
      </c>
      <c r="G997" s="149" t="str">
        <f t="shared" si="318"/>
        <v/>
      </c>
      <c r="H997" s="150" t="str">
        <f t="shared" si="318"/>
        <v/>
      </c>
      <c r="I997" s="150">
        <f t="shared" si="318"/>
        <v>0</v>
      </c>
      <c r="J997" s="150">
        <f t="shared" si="318"/>
        <v>0</v>
      </c>
      <c r="K997" s="196">
        <f t="shared" si="318"/>
        <v>0</v>
      </c>
      <c r="L997" s="197">
        <f t="shared" si="318"/>
        <v>0</v>
      </c>
      <c r="M997" s="191">
        <f t="shared" si="318"/>
        <v>0</v>
      </c>
      <c r="N997" s="150">
        <f t="shared" si="318"/>
        <v>0</v>
      </c>
      <c r="O997" s="193">
        <f t="shared" si="318"/>
        <v>0</v>
      </c>
      <c r="P997" s="162">
        <f t="shared" si="319"/>
        <v>0</v>
      </c>
      <c r="Q997" s="162">
        <f t="shared" si="319"/>
        <v>0</v>
      </c>
      <c r="R997" s="162">
        <f t="shared" si="319"/>
        <v>0</v>
      </c>
      <c r="S997" s="162">
        <f t="shared" si="319"/>
        <v>0</v>
      </c>
      <c r="T997" s="162">
        <f t="shared" si="319"/>
        <v>0</v>
      </c>
      <c r="U997" s="162">
        <f t="shared" si="319"/>
        <v>0</v>
      </c>
      <c r="V997" s="162">
        <f t="shared" si="319"/>
        <v>0</v>
      </c>
      <c r="W997" s="162">
        <f t="shared" si="319"/>
        <v>0</v>
      </c>
      <c r="X997" s="162">
        <f t="shared" si="319"/>
        <v>0</v>
      </c>
      <c r="Y997" s="162">
        <f t="shared" si="319"/>
        <v>0</v>
      </c>
      <c r="Z997" s="162">
        <f t="shared" si="319"/>
        <v>0</v>
      </c>
      <c r="AA997" s="162">
        <f t="shared" si="319"/>
        <v>0</v>
      </c>
      <c r="AB997" s="163">
        <f t="shared" si="316"/>
        <v>0</v>
      </c>
      <c r="AC997" s="198"/>
    </row>
    <row r="998" spans="1:29" hidden="1" outlineLevel="1" x14ac:dyDescent="0.25">
      <c r="A998" s="14" t="str">
        <f t="shared" si="320"/>
        <v>TERC_OPER__33</v>
      </c>
      <c r="B998" s="15" t="str">
        <f t="shared" si="312"/>
        <v>TERC_OPER__0_0</v>
      </c>
      <c r="C998" s="83"/>
      <c r="D998" s="15">
        <f t="shared" si="313"/>
        <v>0</v>
      </c>
      <c r="E998" s="15">
        <v>33</v>
      </c>
      <c r="F998" s="190">
        <f t="shared" ref="F998:O1010" si="321">F952</f>
        <v>0</v>
      </c>
      <c r="G998" s="149" t="str">
        <f t="shared" si="321"/>
        <v/>
      </c>
      <c r="H998" s="150" t="str">
        <f t="shared" si="321"/>
        <v/>
      </c>
      <c r="I998" s="150">
        <f t="shared" si="321"/>
        <v>0</v>
      </c>
      <c r="J998" s="150">
        <f t="shared" si="321"/>
        <v>0</v>
      </c>
      <c r="K998" s="196">
        <f t="shared" si="321"/>
        <v>0</v>
      </c>
      <c r="L998" s="197">
        <f t="shared" si="321"/>
        <v>0</v>
      </c>
      <c r="M998" s="191">
        <f t="shared" si="321"/>
        <v>0</v>
      </c>
      <c r="N998" s="150">
        <f t="shared" si="321"/>
        <v>0</v>
      </c>
      <c r="O998" s="193">
        <f t="shared" si="321"/>
        <v>0</v>
      </c>
      <c r="P998" s="162">
        <f t="shared" si="319"/>
        <v>0</v>
      </c>
      <c r="Q998" s="162">
        <f t="shared" si="319"/>
        <v>0</v>
      </c>
      <c r="R998" s="162">
        <f t="shared" si="319"/>
        <v>0</v>
      </c>
      <c r="S998" s="162">
        <f t="shared" si="319"/>
        <v>0</v>
      </c>
      <c r="T998" s="162">
        <f t="shared" si="319"/>
        <v>0</v>
      </c>
      <c r="U998" s="162">
        <f t="shared" si="319"/>
        <v>0</v>
      </c>
      <c r="V998" s="162">
        <f t="shared" si="319"/>
        <v>0</v>
      </c>
      <c r="W998" s="162">
        <f t="shared" si="319"/>
        <v>0</v>
      </c>
      <c r="X998" s="162">
        <f t="shared" si="319"/>
        <v>0</v>
      </c>
      <c r="Y998" s="162">
        <f t="shared" si="319"/>
        <v>0</v>
      </c>
      <c r="Z998" s="162">
        <f t="shared" si="319"/>
        <v>0</v>
      </c>
      <c r="AA998" s="162">
        <f t="shared" si="319"/>
        <v>0</v>
      </c>
      <c r="AB998" s="163">
        <f t="shared" si="316"/>
        <v>0</v>
      </c>
      <c r="AC998" s="198"/>
    </row>
    <row r="999" spans="1:29" hidden="1" outlineLevel="1" x14ac:dyDescent="0.25">
      <c r="A999" s="14" t="str">
        <f t="shared" si="320"/>
        <v>TERC_OPER__34</v>
      </c>
      <c r="B999" s="15" t="str">
        <f t="shared" si="312"/>
        <v>TERC_OPER__0_0</v>
      </c>
      <c r="C999" s="83"/>
      <c r="D999" s="15">
        <f t="shared" si="313"/>
        <v>0</v>
      </c>
      <c r="E999" s="15">
        <v>34</v>
      </c>
      <c r="F999" s="190">
        <f t="shared" si="321"/>
        <v>0</v>
      </c>
      <c r="G999" s="149" t="str">
        <f t="shared" si="321"/>
        <v/>
      </c>
      <c r="H999" s="150" t="str">
        <f t="shared" si="321"/>
        <v/>
      </c>
      <c r="I999" s="150">
        <f t="shared" si="321"/>
        <v>0</v>
      </c>
      <c r="J999" s="150">
        <f t="shared" si="321"/>
        <v>0</v>
      </c>
      <c r="K999" s="196">
        <f t="shared" si="321"/>
        <v>0</v>
      </c>
      <c r="L999" s="197">
        <f t="shared" si="321"/>
        <v>0</v>
      </c>
      <c r="M999" s="191">
        <f t="shared" si="321"/>
        <v>0</v>
      </c>
      <c r="N999" s="150">
        <f t="shared" si="321"/>
        <v>0</v>
      </c>
      <c r="O999" s="193">
        <f t="shared" si="321"/>
        <v>0</v>
      </c>
      <c r="P999" s="162">
        <f t="shared" si="319"/>
        <v>0</v>
      </c>
      <c r="Q999" s="162">
        <f t="shared" si="319"/>
        <v>0</v>
      </c>
      <c r="R999" s="162">
        <f t="shared" si="319"/>
        <v>0</v>
      </c>
      <c r="S999" s="162">
        <f t="shared" si="319"/>
        <v>0</v>
      </c>
      <c r="T999" s="162">
        <f t="shared" si="319"/>
        <v>0</v>
      </c>
      <c r="U999" s="162">
        <f t="shared" si="319"/>
        <v>0</v>
      </c>
      <c r="V999" s="162">
        <f t="shared" si="319"/>
        <v>0</v>
      </c>
      <c r="W999" s="162">
        <f t="shared" si="319"/>
        <v>0</v>
      </c>
      <c r="X999" s="162">
        <f t="shared" si="319"/>
        <v>0</v>
      </c>
      <c r="Y999" s="162">
        <f t="shared" si="319"/>
        <v>0</v>
      </c>
      <c r="Z999" s="162">
        <f t="shared" si="319"/>
        <v>0</v>
      </c>
      <c r="AA999" s="162">
        <f t="shared" si="319"/>
        <v>0</v>
      </c>
      <c r="AB999" s="163">
        <f t="shared" si="316"/>
        <v>0</v>
      </c>
      <c r="AC999" s="198"/>
    </row>
    <row r="1000" spans="1:29" hidden="1" outlineLevel="1" x14ac:dyDescent="0.25">
      <c r="A1000" s="14" t="str">
        <f t="shared" si="320"/>
        <v>TERC_OPER__35</v>
      </c>
      <c r="B1000" s="15" t="str">
        <f t="shared" si="312"/>
        <v>TERC_OPER__0_0</v>
      </c>
      <c r="C1000" s="83"/>
      <c r="D1000" s="15">
        <f t="shared" si="313"/>
        <v>0</v>
      </c>
      <c r="E1000" s="15">
        <v>35</v>
      </c>
      <c r="F1000" s="190">
        <f t="shared" si="321"/>
        <v>0</v>
      </c>
      <c r="G1000" s="149" t="str">
        <f t="shared" si="321"/>
        <v/>
      </c>
      <c r="H1000" s="150" t="str">
        <f t="shared" si="321"/>
        <v/>
      </c>
      <c r="I1000" s="150">
        <f t="shared" si="321"/>
        <v>0</v>
      </c>
      <c r="J1000" s="150">
        <f t="shared" si="321"/>
        <v>0</v>
      </c>
      <c r="K1000" s="196">
        <f t="shared" si="321"/>
        <v>0</v>
      </c>
      <c r="L1000" s="197">
        <f t="shared" si="321"/>
        <v>0</v>
      </c>
      <c r="M1000" s="191">
        <f t="shared" si="321"/>
        <v>0</v>
      </c>
      <c r="N1000" s="150">
        <f t="shared" si="321"/>
        <v>0</v>
      </c>
      <c r="O1000" s="193">
        <f t="shared" si="321"/>
        <v>0</v>
      </c>
      <c r="P1000" s="162">
        <f t="shared" si="319"/>
        <v>0</v>
      </c>
      <c r="Q1000" s="162">
        <f t="shared" si="319"/>
        <v>0</v>
      </c>
      <c r="R1000" s="162">
        <f t="shared" si="319"/>
        <v>0</v>
      </c>
      <c r="S1000" s="162">
        <f t="shared" si="319"/>
        <v>0</v>
      </c>
      <c r="T1000" s="162">
        <f t="shared" si="319"/>
        <v>0</v>
      </c>
      <c r="U1000" s="162">
        <f t="shared" si="319"/>
        <v>0</v>
      </c>
      <c r="V1000" s="162">
        <f t="shared" si="319"/>
        <v>0</v>
      </c>
      <c r="W1000" s="162">
        <f t="shared" si="319"/>
        <v>0</v>
      </c>
      <c r="X1000" s="162">
        <f t="shared" si="319"/>
        <v>0</v>
      </c>
      <c r="Y1000" s="162">
        <f t="shared" si="319"/>
        <v>0</v>
      </c>
      <c r="Z1000" s="162">
        <f t="shared" si="319"/>
        <v>0</v>
      </c>
      <c r="AA1000" s="162">
        <f t="shared" si="319"/>
        <v>0</v>
      </c>
      <c r="AB1000" s="163">
        <f t="shared" si="316"/>
        <v>0</v>
      </c>
      <c r="AC1000" s="198"/>
    </row>
    <row r="1001" spans="1:29" hidden="1" outlineLevel="1" x14ac:dyDescent="0.25">
      <c r="A1001" s="14" t="str">
        <f t="shared" si="320"/>
        <v>TERC_OPER__36</v>
      </c>
      <c r="B1001" s="15" t="str">
        <f t="shared" si="312"/>
        <v>TERC_OPER__0_0</v>
      </c>
      <c r="C1001" s="83"/>
      <c r="D1001" s="15">
        <f t="shared" si="313"/>
        <v>0</v>
      </c>
      <c r="E1001" s="15">
        <v>36</v>
      </c>
      <c r="F1001" s="190">
        <f t="shared" si="321"/>
        <v>0</v>
      </c>
      <c r="G1001" s="149" t="str">
        <f t="shared" si="321"/>
        <v/>
      </c>
      <c r="H1001" s="150" t="str">
        <f t="shared" si="321"/>
        <v/>
      </c>
      <c r="I1001" s="150">
        <f t="shared" si="321"/>
        <v>0</v>
      </c>
      <c r="J1001" s="150">
        <f t="shared" si="321"/>
        <v>0</v>
      </c>
      <c r="K1001" s="196">
        <f t="shared" si="321"/>
        <v>0</v>
      </c>
      <c r="L1001" s="197">
        <f t="shared" si="321"/>
        <v>0</v>
      </c>
      <c r="M1001" s="191">
        <f t="shared" si="321"/>
        <v>0</v>
      </c>
      <c r="N1001" s="150">
        <f t="shared" si="321"/>
        <v>0</v>
      </c>
      <c r="O1001" s="193">
        <f t="shared" si="321"/>
        <v>0</v>
      </c>
      <c r="P1001" s="162">
        <f t="shared" si="319"/>
        <v>0</v>
      </c>
      <c r="Q1001" s="162">
        <f t="shared" si="319"/>
        <v>0</v>
      </c>
      <c r="R1001" s="162">
        <f t="shared" si="319"/>
        <v>0</v>
      </c>
      <c r="S1001" s="162">
        <f t="shared" si="319"/>
        <v>0</v>
      </c>
      <c r="T1001" s="162">
        <f t="shared" si="319"/>
        <v>0</v>
      </c>
      <c r="U1001" s="162">
        <f t="shared" si="319"/>
        <v>0</v>
      </c>
      <c r="V1001" s="162">
        <f t="shared" si="319"/>
        <v>0</v>
      </c>
      <c r="W1001" s="162">
        <f t="shared" si="319"/>
        <v>0</v>
      </c>
      <c r="X1001" s="162">
        <f t="shared" si="319"/>
        <v>0</v>
      </c>
      <c r="Y1001" s="162">
        <f t="shared" si="319"/>
        <v>0</v>
      </c>
      <c r="Z1001" s="162">
        <f t="shared" si="319"/>
        <v>0</v>
      </c>
      <c r="AA1001" s="162">
        <f t="shared" si="319"/>
        <v>0</v>
      </c>
      <c r="AB1001" s="163">
        <f t="shared" si="316"/>
        <v>0</v>
      </c>
      <c r="AC1001" s="198"/>
    </row>
    <row r="1002" spans="1:29" hidden="1" outlineLevel="1" x14ac:dyDescent="0.25">
      <c r="A1002" s="14" t="str">
        <f t="shared" si="320"/>
        <v>TERC_OPER__37</v>
      </c>
      <c r="B1002" s="15" t="str">
        <f t="shared" si="312"/>
        <v>TERC_OPER__0_0</v>
      </c>
      <c r="C1002" s="83"/>
      <c r="D1002" s="15">
        <f t="shared" si="313"/>
        <v>0</v>
      </c>
      <c r="E1002" s="15">
        <v>37</v>
      </c>
      <c r="F1002" s="190">
        <f t="shared" si="321"/>
        <v>0</v>
      </c>
      <c r="G1002" s="149" t="str">
        <f t="shared" si="321"/>
        <v/>
      </c>
      <c r="H1002" s="150" t="str">
        <f t="shared" si="321"/>
        <v/>
      </c>
      <c r="I1002" s="150">
        <f t="shared" si="321"/>
        <v>0</v>
      </c>
      <c r="J1002" s="150">
        <f t="shared" si="321"/>
        <v>0</v>
      </c>
      <c r="K1002" s="196">
        <f t="shared" si="321"/>
        <v>0</v>
      </c>
      <c r="L1002" s="197">
        <f t="shared" si="321"/>
        <v>0</v>
      </c>
      <c r="M1002" s="191">
        <f t="shared" si="321"/>
        <v>0</v>
      </c>
      <c r="N1002" s="150">
        <f t="shared" si="321"/>
        <v>0</v>
      </c>
      <c r="O1002" s="193">
        <f t="shared" si="321"/>
        <v>0</v>
      </c>
      <c r="P1002" s="162">
        <f t="shared" si="319"/>
        <v>0</v>
      </c>
      <c r="Q1002" s="162">
        <f t="shared" si="319"/>
        <v>0</v>
      </c>
      <c r="R1002" s="162">
        <f t="shared" si="319"/>
        <v>0</v>
      </c>
      <c r="S1002" s="162">
        <f t="shared" si="319"/>
        <v>0</v>
      </c>
      <c r="T1002" s="162">
        <f t="shared" si="319"/>
        <v>0</v>
      </c>
      <c r="U1002" s="162">
        <f t="shared" si="319"/>
        <v>0</v>
      </c>
      <c r="V1002" s="162">
        <f t="shared" si="319"/>
        <v>0</v>
      </c>
      <c r="W1002" s="162">
        <f t="shared" si="319"/>
        <v>0</v>
      </c>
      <c r="X1002" s="162">
        <f t="shared" si="319"/>
        <v>0</v>
      </c>
      <c r="Y1002" s="162">
        <f t="shared" si="319"/>
        <v>0</v>
      </c>
      <c r="Z1002" s="162">
        <f t="shared" si="319"/>
        <v>0</v>
      </c>
      <c r="AA1002" s="162">
        <f t="shared" si="319"/>
        <v>0</v>
      </c>
      <c r="AB1002" s="163">
        <f t="shared" si="316"/>
        <v>0</v>
      </c>
      <c r="AC1002" s="198"/>
    </row>
    <row r="1003" spans="1:29" hidden="1" outlineLevel="1" x14ac:dyDescent="0.25">
      <c r="A1003" s="14" t="str">
        <f t="shared" si="320"/>
        <v>TERC_OPER__38</v>
      </c>
      <c r="B1003" s="15" t="str">
        <f t="shared" si="312"/>
        <v>TERC_OPER__0_0</v>
      </c>
      <c r="C1003" s="83"/>
      <c r="D1003" s="15">
        <f t="shared" si="313"/>
        <v>0</v>
      </c>
      <c r="E1003" s="15">
        <v>38</v>
      </c>
      <c r="F1003" s="190">
        <f t="shared" si="321"/>
        <v>0</v>
      </c>
      <c r="G1003" s="149" t="str">
        <f t="shared" si="321"/>
        <v/>
      </c>
      <c r="H1003" s="150" t="str">
        <f t="shared" si="321"/>
        <v/>
      </c>
      <c r="I1003" s="150">
        <f t="shared" si="321"/>
        <v>0</v>
      </c>
      <c r="J1003" s="150">
        <f t="shared" si="321"/>
        <v>0</v>
      </c>
      <c r="K1003" s="196">
        <f t="shared" si="321"/>
        <v>0</v>
      </c>
      <c r="L1003" s="197">
        <f t="shared" si="321"/>
        <v>0</v>
      </c>
      <c r="M1003" s="191">
        <f t="shared" si="321"/>
        <v>0</v>
      </c>
      <c r="N1003" s="150">
        <f t="shared" si="321"/>
        <v>0</v>
      </c>
      <c r="O1003" s="193">
        <f t="shared" si="321"/>
        <v>0</v>
      </c>
      <c r="P1003" s="162">
        <f t="shared" ref="P1003:AA1010" si="322">IFERROR(SUMIF($B$483:$B$547,$C1003&amp;$I1003,P$483:P$547)/SUMIF($D$483:$D$547,$I1003,P$483:P$547)*P589,0)</f>
        <v>0</v>
      </c>
      <c r="Q1003" s="162">
        <f t="shared" si="322"/>
        <v>0</v>
      </c>
      <c r="R1003" s="162">
        <f t="shared" si="322"/>
        <v>0</v>
      </c>
      <c r="S1003" s="162">
        <f t="shared" si="322"/>
        <v>0</v>
      </c>
      <c r="T1003" s="162">
        <f t="shared" si="322"/>
        <v>0</v>
      </c>
      <c r="U1003" s="162">
        <f t="shared" si="322"/>
        <v>0</v>
      </c>
      <c r="V1003" s="162">
        <f t="shared" si="322"/>
        <v>0</v>
      </c>
      <c r="W1003" s="162">
        <f t="shared" si="322"/>
        <v>0</v>
      </c>
      <c r="X1003" s="162">
        <f t="shared" si="322"/>
        <v>0</v>
      </c>
      <c r="Y1003" s="162">
        <f t="shared" si="322"/>
        <v>0</v>
      </c>
      <c r="Z1003" s="162">
        <f t="shared" si="322"/>
        <v>0</v>
      </c>
      <c r="AA1003" s="162">
        <f t="shared" si="322"/>
        <v>0</v>
      </c>
      <c r="AB1003" s="163">
        <f t="shared" si="316"/>
        <v>0</v>
      </c>
      <c r="AC1003" s="198"/>
    </row>
    <row r="1004" spans="1:29" hidden="1" outlineLevel="1" x14ac:dyDescent="0.25">
      <c r="A1004" s="14" t="str">
        <f t="shared" si="320"/>
        <v>TERC_OPER__39</v>
      </c>
      <c r="B1004" s="15" t="str">
        <f t="shared" si="312"/>
        <v>TERC_OPER__0_0</v>
      </c>
      <c r="C1004" s="83"/>
      <c r="D1004" s="15">
        <f t="shared" si="313"/>
        <v>0</v>
      </c>
      <c r="E1004" s="15">
        <v>39</v>
      </c>
      <c r="F1004" s="190">
        <f t="shared" si="321"/>
        <v>0</v>
      </c>
      <c r="G1004" s="149" t="str">
        <f t="shared" si="321"/>
        <v/>
      </c>
      <c r="H1004" s="150" t="str">
        <f t="shared" si="321"/>
        <v/>
      </c>
      <c r="I1004" s="150">
        <f t="shared" si="321"/>
        <v>0</v>
      </c>
      <c r="J1004" s="150">
        <f t="shared" si="321"/>
        <v>0</v>
      </c>
      <c r="K1004" s="196">
        <f t="shared" si="321"/>
        <v>0</v>
      </c>
      <c r="L1004" s="197">
        <f t="shared" si="321"/>
        <v>0</v>
      </c>
      <c r="M1004" s="191">
        <f t="shared" si="321"/>
        <v>0</v>
      </c>
      <c r="N1004" s="150">
        <f t="shared" si="321"/>
        <v>0</v>
      </c>
      <c r="O1004" s="193">
        <f t="shared" si="321"/>
        <v>0</v>
      </c>
      <c r="P1004" s="162">
        <f t="shared" si="322"/>
        <v>0</v>
      </c>
      <c r="Q1004" s="162">
        <f t="shared" si="322"/>
        <v>0</v>
      </c>
      <c r="R1004" s="162">
        <f t="shared" si="322"/>
        <v>0</v>
      </c>
      <c r="S1004" s="162">
        <f t="shared" si="322"/>
        <v>0</v>
      </c>
      <c r="T1004" s="162">
        <f t="shared" si="322"/>
        <v>0</v>
      </c>
      <c r="U1004" s="162">
        <f t="shared" si="322"/>
        <v>0</v>
      </c>
      <c r="V1004" s="162">
        <f t="shared" si="322"/>
        <v>0</v>
      </c>
      <c r="W1004" s="162">
        <f t="shared" si="322"/>
        <v>0</v>
      </c>
      <c r="X1004" s="162">
        <f t="shared" si="322"/>
        <v>0</v>
      </c>
      <c r="Y1004" s="162">
        <f t="shared" si="322"/>
        <v>0</v>
      </c>
      <c r="Z1004" s="162">
        <f t="shared" si="322"/>
        <v>0</v>
      </c>
      <c r="AA1004" s="162">
        <f t="shared" si="322"/>
        <v>0</v>
      </c>
      <c r="AB1004" s="163">
        <f t="shared" si="316"/>
        <v>0</v>
      </c>
      <c r="AC1004" s="198"/>
    </row>
    <row r="1005" spans="1:29" hidden="1" outlineLevel="1" x14ac:dyDescent="0.25">
      <c r="A1005" s="14" t="str">
        <f t="shared" si="320"/>
        <v>TERC_OPER__40</v>
      </c>
      <c r="B1005" s="15" t="str">
        <f t="shared" si="312"/>
        <v>TERC_OPER__0_0</v>
      </c>
      <c r="C1005" s="83"/>
      <c r="D1005" s="15">
        <f t="shared" si="313"/>
        <v>0</v>
      </c>
      <c r="E1005" s="15">
        <v>40</v>
      </c>
      <c r="F1005" s="190">
        <f t="shared" si="321"/>
        <v>0</v>
      </c>
      <c r="G1005" s="149" t="str">
        <f t="shared" si="321"/>
        <v/>
      </c>
      <c r="H1005" s="150" t="str">
        <f t="shared" si="321"/>
        <v/>
      </c>
      <c r="I1005" s="150">
        <f t="shared" si="321"/>
        <v>0</v>
      </c>
      <c r="J1005" s="150">
        <f t="shared" si="321"/>
        <v>0</v>
      </c>
      <c r="K1005" s="196">
        <f t="shared" si="321"/>
        <v>0</v>
      </c>
      <c r="L1005" s="197">
        <f t="shared" si="321"/>
        <v>0</v>
      </c>
      <c r="M1005" s="191">
        <f t="shared" si="321"/>
        <v>0</v>
      </c>
      <c r="N1005" s="150">
        <f t="shared" si="321"/>
        <v>0</v>
      </c>
      <c r="O1005" s="193">
        <f t="shared" si="321"/>
        <v>0</v>
      </c>
      <c r="P1005" s="162">
        <f t="shared" si="322"/>
        <v>0</v>
      </c>
      <c r="Q1005" s="162">
        <f t="shared" si="322"/>
        <v>0</v>
      </c>
      <c r="R1005" s="162">
        <f t="shared" si="322"/>
        <v>0</v>
      </c>
      <c r="S1005" s="162">
        <f t="shared" si="322"/>
        <v>0</v>
      </c>
      <c r="T1005" s="162">
        <f t="shared" si="322"/>
        <v>0</v>
      </c>
      <c r="U1005" s="162">
        <f t="shared" si="322"/>
        <v>0</v>
      </c>
      <c r="V1005" s="162">
        <f t="shared" si="322"/>
        <v>0</v>
      </c>
      <c r="W1005" s="162">
        <f t="shared" si="322"/>
        <v>0</v>
      </c>
      <c r="X1005" s="162">
        <f t="shared" si="322"/>
        <v>0</v>
      </c>
      <c r="Y1005" s="162">
        <f t="shared" si="322"/>
        <v>0</v>
      </c>
      <c r="Z1005" s="162">
        <f t="shared" si="322"/>
        <v>0</v>
      </c>
      <c r="AA1005" s="162">
        <f t="shared" si="322"/>
        <v>0</v>
      </c>
      <c r="AB1005" s="163">
        <f t="shared" si="316"/>
        <v>0</v>
      </c>
      <c r="AC1005" s="198"/>
    </row>
    <row r="1006" spans="1:29" hidden="1" outlineLevel="1" x14ac:dyDescent="0.25">
      <c r="A1006" s="14" t="str">
        <f t="shared" si="320"/>
        <v>TERC_OPER__41</v>
      </c>
      <c r="B1006" s="15" t="str">
        <f t="shared" si="312"/>
        <v>TERC_OPER__0_0</v>
      </c>
      <c r="C1006" s="83"/>
      <c r="D1006" s="15">
        <f t="shared" si="313"/>
        <v>0</v>
      </c>
      <c r="E1006" s="15">
        <v>41</v>
      </c>
      <c r="F1006" s="190">
        <f t="shared" si="321"/>
        <v>0</v>
      </c>
      <c r="G1006" s="149" t="str">
        <f t="shared" si="321"/>
        <v/>
      </c>
      <c r="H1006" s="150" t="str">
        <f t="shared" si="321"/>
        <v/>
      </c>
      <c r="I1006" s="150">
        <f t="shared" si="321"/>
        <v>0</v>
      </c>
      <c r="J1006" s="150">
        <f t="shared" si="321"/>
        <v>0</v>
      </c>
      <c r="K1006" s="196">
        <f t="shared" si="321"/>
        <v>0</v>
      </c>
      <c r="L1006" s="197">
        <f t="shared" si="321"/>
        <v>0</v>
      </c>
      <c r="M1006" s="191">
        <f t="shared" si="321"/>
        <v>0</v>
      </c>
      <c r="N1006" s="150">
        <f t="shared" si="321"/>
        <v>0</v>
      </c>
      <c r="O1006" s="193">
        <f t="shared" si="321"/>
        <v>0</v>
      </c>
      <c r="P1006" s="162">
        <f t="shared" si="322"/>
        <v>0</v>
      </c>
      <c r="Q1006" s="162">
        <f t="shared" si="322"/>
        <v>0</v>
      </c>
      <c r="R1006" s="162">
        <f t="shared" si="322"/>
        <v>0</v>
      </c>
      <c r="S1006" s="162">
        <f t="shared" si="322"/>
        <v>0</v>
      </c>
      <c r="T1006" s="162">
        <f t="shared" si="322"/>
        <v>0</v>
      </c>
      <c r="U1006" s="162">
        <f t="shared" si="322"/>
        <v>0</v>
      </c>
      <c r="V1006" s="162">
        <f t="shared" si="322"/>
        <v>0</v>
      </c>
      <c r="W1006" s="162">
        <f t="shared" si="322"/>
        <v>0</v>
      </c>
      <c r="X1006" s="162">
        <f t="shared" si="322"/>
        <v>0</v>
      </c>
      <c r="Y1006" s="162">
        <f t="shared" si="322"/>
        <v>0</v>
      </c>
      <c r="Z1006" s="162">
        <f t="shared" si="322"/>
        <v>0</v>
      </c>
      <c r="AA1006" s="162">
        <f t="shared" si="322"/>
        <v>0</v>
      </c>
      <c r="AB1006" s="163">
        <f t="shared" si="316"/>
        <v>0</v>
      </c>
      <c r="AC1006" s="198"/>
    </row>
    <row r="1007" spans="1:29" hidden="1" outlineLevel="1" x14ac:dyDescent="0.25">
      <c r="A1007" s="14" t="str">
        <f t="shared" si="320"/>
        <v>TERC_OPER__42</v>
      </c>
      <c r="B1007" s="15" t="str">
        <f t="shared" si="312"/>
        <v>TERC_OPER__0_0</v>
      </c>
      <c r="C1007" s="83"/>
      <c r="D1007" s="15">
        <f t="shared" si="313"/>
        <v>0</v>
      </c>
      <c r="E1007" s="15">
        <v>42</v>
      </c>
      <c r="F1007" s="190">
        <f t="shared" si="321"/>
        <v>0</v>
      </c>
      <c r="G1007" s="149" t="str">
        <f t="shared" si="321"/>
        <v/>
      </c>
      <c r="H1007" s="150" t="str">
        <f t="shared" si="321"/>
        <v/>
      </c>
      <c r="I1007" s="150">
        <f t="shared" si="321"/>
        <v>0</v>
      </c>
      <c r="J1007" s="150">
        <f t="shared" si="321"/>
        <v>0</v>
      </c>
      <c r="K1007" s="196">
        <f t="shared" si="321"/>
        <v>0</v>
      </c>
      <c r="L1007" s="197">
        <f t="shared" si="321"/>
        <v>0</v>
      </c>
      <c r="M1007" s="191">
        <f t="shared" si="321"/>
        <v>0</v>
      </c>
      <c r="N1007" s="150">
        <f t="shared" si="321"/>
        <v>0</v>
      </c>
      <c r="O1007" s="193">
        <f t="shared" si="321"/>
        <v>0</v>
      </c>
      <c r="P1007" s="162">
        <f t="shared" si="322"/>
        <v>0</v>
      </c>
      <c r="Q1007" s="162">
        <f t="shared" si="322"/>
        <v>0</v>
      </c>
      <c r="R1007" s="162">
        <f t="shared" si="322"/>
        <v>0</v>
      </c>
      <c r="S1007" s="162">
        <f t="shared" si="322"/>
        <v>0</v>
      </c>
      <c r="T1007" s="162">
        <f t="shared" si="322"/>
        <v>0</v>
      </c>
      <c r="U1007" s="162">
        <f t="shared" si="322"/>
        <v>0</v>
      </c>
      <c r="V1007" s="162">
        <f t="shared" si="322"/>
        <v>0</v>
      </c>
      <c r="W1007" s="162">
        <f t="shared" si="322"/>
        <v>0</v>
      </c>
      <c r="X1007" s="162">
        <f t="shared" si="322"/>
        <v>0</v>
      </c>
      <c r="Y1007" s="162">
        <f t="shared" si="322"/>
        <v>0</v>
      </c>
      <c r="Z1007" s="162">
        <f t="shared" si="322"/>
        <v>0</v>
      </c>
      <c r="AA1007" s="162">
        <f t="shared" si="322"/>
        <v>0</v>
      </c>
      <c r="AB1007" s="163">
        <f t="shared" si="316"/>
        <v>0</v>
      </c>
      <c r="AC1007" s="198"/>
    </row>
    <row r="1008" spans="1:29" hidden="1" outlineLevel="1" x14ac:dyDescent="0.25">
      <c r="A1008" s="14" t="str">
        <f t="shared" si="320"/>
        <v>TERC_OPER__43</v>
      </c>
      <c r="B1008" s="15" t="str">
        <f t="shared" si="312"/>
        <v>TERC_OPER__0_0</v>
      </c>
      <c r="C1008" s="83"/>
      <c r="D1008" s="15">
        <f t="shared" si="313"/>
        <v>0</v>
      </c>
      <c r="E1008" s="15">
        <v>43</v>
      </c>
      <c r="F1008" s="190">
        <f t="shared" si="321"/>
        <v>0</v>
      </c>
      <c r="G1008" s="149" t="str">
        <f t="shared" si="321"/>
        <v/>
      </c>
      <c r="H1008" s="150" t="str">
        <f t="shared" si="321"/>
        <v/>
      </c>
      <c r="I1008" s="150">
        <f t="shared" si="321"/>
        <v>0</v>
      </c>
      <c r="J1008" s="150">
        <f t="shared" si="321"/>
        <v>0</v>
      </c>
      <c r="K1008" s="196">
        <f t="shared" si="321"/>
        <v>0</v>
      </c>
      <c r="L1008" s="197">
        <f t="shared" si="321"/>
        <v>0</v>
      </c>
      <c r="M1008" s="191">
        <f t="shared" si="321"/>
        <v>0</v>
      </c>
      <c r="N1008" s="150">
        <f t="shared" si="321"/>
        <v>0</v>
      </c>
      <c r="O1008" s="193">
        <f t="shared" si="321"/>
        <v>0</v>
      </c>
      <c r="P1008" s="162">
        <f t="shared" si="322"/>
        <v>0</v>
      </c>
      <c r="Q1008" s="162">
        <f t="shared" si="322"/>
        <v>0</v>
      </c>
      <c r="R1008" s="162">
        <f t="shared" si="322"/>
        <v>0</v>
      </c>
      <c r="S1008" s="162">
        <f t="shared" si="322"/>
        <v>0</v>
      </c>
      <c r="T1008" s="162">
        <f t="shared" si="322"/>
        <v>0</v>
      </c>
      <c r="U1008" s="162">
        <f t="shared" si="322"/>
        <v>0</v>
      </c>
      <c r="V1008" s="162">
        <f t="shared" si="322"/>
        <v>0</v>
      </c>
      <c r="W1008" s="162">
        <f t="shared" si="322"/>
        <v>0</v>
      </c>
      <c r="X1008" s="162">
        <f t="shared" si="322"/>
        <v>0</v>
      </c>
      <c r="Y1008" s="162">
        <f t="shared" si="322"/>
        <v>0</v>
      </c>
      <c r="Z1008" s="162">
        <f t="shared" si="322"/>
        <v>0</v>
      </c>
      <c r="AA1008" s="162">
        <f t="shared" si="322"/>
        <v>0</v>
      </c>
      <c r="AB1008" s="163">
        <f t="shared" si="316"/>
        <v>0</v>
      </c>
      <c r="AC1008" s="198"/>
    </row>
    <row r="1009" spans="1:46" hidden="1" outlineLevel="1" x14ac:dyDescent="0.25">
      <c r="A1009" s="14" t="str">
        <f t="shared" si="320"/>
        <v>TERC_OPER__44</v>
      </c>
      <c r="B1009" s="15" t="str">
        <f t="shared" si="312"/>
        <v>TERC_OPER__0_0</v>
      </c>
      <c r="C1009" s="83"/>
      <c r="D1009" s="15">
        <f t="shared" si="313"/>
        <v>0</v>
      </c>
      <c r="E1009" s="15">
        <v>44</v>
      </c>
      <c r="F1009" s="190">
        <f t="shared" si="321"/>
        <v>0</v>
      </c>
      <c r="G1009" s="149" t="str">
        <f t="shared" si="321"/>
        <v/>
      </c>
      <c r="H1009" s="150" t="str">
        <f t="shared" si="321"/>
        <v/>
      </c>
      <c r="I1009" s="150">
        <f t="shared" si="321"/>
        <v>0</v>
      </c>
      <c r="J1009" s="150">
        <f t="shared" si="321"/>
        <v>0</v>
      </c>
      <c r="K1009" s="196">
        <f t="shared" si="321"/>
        <v>0</v>
      </c>
      <c r="L1009" s="197">
        <f t="shared" si="321"/>
        <v>0</v>
      </c>
      <c r="M1009" s="191">
        <f t="shared" si="321"/>
        <v>0</v>
      </c>
      <c r="N1009" s="150">
        <f t="shared" si="321"/>
        <v>0</v>
      </c>
      <c r="O1009" s="193">
        <f t="shared" si="321"/>
        <v>0</v>
      </c>
      <c r="P1009" s="162">
        <f t="shared" si="322"/>
        <v>0</v>
      </c>
      <c r="Q1009" s="162">
        <f t="shared" si="322"/>
        <v>0</v>
      </c>
      <c r="R1009" s="162">
        <f t="shared" si="322"/>
        <v>0</v>
      </c>
      <c r="S1009" s="162">
        <f t="shared" si="322"/>
        <v>0</v>
      </c>
      <c r="T1009" s="162">
        <f t="shared" si="322"/>
        <v>0</v>
      </c>
      <c r="U1009" s="162">
        <f t="shared" si="322"/>
        <v>0</v>
      </c>
      <c r="V1009" s="162">
        <f t="shared" si="322"/>
        <v>0</v>
      </c>
      <c r="W1009" s="162">
        <f t="shared" si="322"/>
        <v>0</v>
      </c>
      <c r="X1009" s="162">
        <f t="shared" si="322"/>
        <v>0</v>
      </c>
      <c r="Y1009" s="162">
        <f t="shared" si="322"/>
        <v>0</v>
      </c>
      <c r="Z1009" s="162">
        <f t="shared" si="322"/>
        <v>0</v>
      </c>
      <c r="AA1009" s="162">
        <f t="shared" si="322"/>
        <v>0</v>
      </c>
      <c r="AB1009" s="163">
        <f t="shared" si="316"/>
        <v>0</v>
      </c>
      <c r="AC1009" s="198"/>
    </row>
    <row r="1010" spans="1:46" hidden="1" outlineLevel="1" x14ac:dyDescent="0.25">
      <c r="A1010" s="14" t="str">
        <f t="shared" si="320"/>
        <v>TERC_OPER__45</v>
      </c>
      <c r="B1010" s="15" t="str">
        <f t="shared" si="312"/>
        <v>TERC_OPER__0_0</v>
      </c>
      <c r="C1010" s="83"/>
      <c r="D1010" s="15">
        <f t="shared" si="313"/>
        <v>0</v>
      </c>
      <c r="E1010" s="15">
        <v>45</v>
      </c>
      <c r="F1010" s="209">
        <f t="shared" si="321"/>
        <v>0</v>
      </c>
      <c r="G1010" s="183" t="str">
        <f t="shared" si="321"/>
        <v/>
      </c>
      <c r="H1010" s="184" t="str">
        <f t="shared" si="321"/>
        <v/>
      </c>
      <c r="I1010" s="184">
        <f t="shared" si="321"/>
        <v>0</v>
      </c>
      <c r="J1010" s="184">
        <f t="shared" si="321"/>
        <v>0</v>
      </c>
      <c r="K1010" s="210">
        <f t="shared" si="321"/>
        <v>0</v>
      </c>
      <c r="L1010" s="211">
        <f t="shared" si="321"/>
        <v>0</v>
      </c>
      <c r="M1010" s="212">
        <f t="shared" si="321"/>
        <v>0</v>
      </c>
      <c r="N1010" s="184">
        <f t="shared" si="321"/>
        <v>0</v>
      </c>
      <c r="O1010" s="213">
        <f t="shared" si="321"/>
        <v>0</v>
      </c>
      <c r="P1010" s="175">
        <f t="shared" si="322"/>
        <v>0</v>
      </c>
      <c r="Q1010" s="175">
        <f t="shared" si="322"/>
        <v>0</v>
      </c>
      <c r="R1010" s="175">
        <f t="shared" si="322"/>
        <v>0</v>
      </c>
      <c r="S1010" s="175">
        <f t="shared" si="322"/>
        <v>0</v>
      </c>
      <c r="T1010" s="175">
        <f t="shared" si="322"/>
        <v>0</v>
      </c>
      <c r="U1010" s="175">
        <f t="shared" si="322"/>
        <v>0</v>
      </c>
      <c r="V1010" s="175">
        <f t="shared" si="322"/>
        <v>0</v>
      </c>
      <c r="W1010" s="175">
        <f t="shared" si="322"/>
        <v>0</v>
      </c>
      <c r="X1010" s="175">
        <f t="shared" si="322"/>
        <v>0</v>
      </c>
      <c r="Y1010" s="175">
        <f t="shared" si="322"/>
        <v>0</v>
      </c>
      <c r="Z1010" s="175">
        <f t="shared" si="322"/>
        <v>0</v>
      </c>
      <c r="AA1010" s="175">
        <f t="shared" si="322"/>
        <v>0</v>
      </c>
      <c r="AB1010" s="176">
        <f t="shared" si="316"/>
        <v>0</v>
      </c>
      <c r="AC1010" s="172"/>
    </row>
    <row r="1011" spans="1:46" hidden="1" outlineLevel="1" x14ac:dyDescent="0.25"/>
    <row r="1012" spans="1:46" hidden="1" outlineLevel="1" x14ac:dyDescent="0.25">
      <c r="A1012" s="14"/>
      <c r="F1012" s="199" t="s">
        <v>255</v>
      </c>
      <c r="G1012" s="200"/>
      <c r="H1012" s="201"/>
      <c r="I1012" s="201"/>
      <c r="J1012" s="201"/>
      <c r="K1012" s="201"/>
      <c r="L1012" s="201"/>
      <c r="M1012" s="202"/>
      <c r="N1012" s="201"/>
      <c r="O1012" s="203"/>
      <c r="P1012" s="204">
        <f t="shared" ref="P1012:AA1012" si="323">SUM(P553:P596)-SUM(P690:P734,P736:P780,P782:P826,P828:P872,P874:P918,P920:P964,P966:P1010)</f>
        <v>1100</v>
      </c>
      <c r="Q1012" s="204">
        <f t="shared" si="323"/>
        <v>0</v>
      </c>
      <c r="R1012" s="204">
        <f t="shared" si="323"/>
        <v>0</v>
      </c>
      <c r="S1012" s="204">
        <f t="shared" si="323"/>
        <v>0</v>
      </c>
      <c r="T1012" s="204">
        <f t="shared" si="323"/>
        <v>0</v>
      </c>
      <c r="U1012" s="204">
        <f t="shared" si="323"/>
        <v>0</v>
      </c>
      <c r="V1012" s="204">
        <f t="shared" si="323"/>
        <v>0</v>
      </c>
      <c r="W1012" s="204">
        <f t="shared" si="323"/>
        <v>0</v>
      </c>
      <c r="X1012" s="204">
        <f t="shared" si="323"/>
        <v>0</v>
      </c>
      <c r="Y1012" s="204">
        <f t="shared" si="323"/>
        <v>0</v>
      </c>
      <c r="Z1012" s="204">
        <f t="shared" si="323"/>
        <v>900</v>
      </c>
      <c r="AA1012" s="204">
        <f t="shared" si="323"/>
        <v>1300</v>
      </c>
      <c r="AB1012" s="205">
        <f>SUM(AB553:AB596)-SUM(AB690:AB734,AB736:AB780,AB782:AB826,AB874:AB918,AB920:AB964,AB966:AB1010)</f>
        <v>3300</v>
      </c>
      <c r="AC1012" s="206"/>
    </row>
    <row r="1013" spans="1:46" hidden="1" outlineLevel="1" x14ac:dyDescent="0.25"/>
    <row r="1014" spans="1:46" hidden="1" outlineLevel="1" x14ac:dyDescent="0.25">
      <c r="A1014" s="14"/>
      <c r="F1014" s="136" t="s">
        <v>286</v>
      </c>
    </row>
    <row r="1015" spans="1:46" hidden="1" outlineLevel="1" x14ac:dyDescent="0.25">
      <c r="A1015" s="14"/>
      <c r="P1015" s="18" t="s">
        <v>257</v>
      </c>
    </row>
    <row r="1016" spans="1:46" hidden="1" outlineLevel="1" x14ac:dyDescent="0.25">
      <c r="A1016" s="14"/>
      <c r="F1016" s="137" t="s">
        <v>279</v>
      </c>
      <c r="G1016" s="138"/>
      <c r="H1016" s="139" t="s">
        <v>217</v>
      </c>
      <c r="I1016" s="139"/>
      <c r="J1016" s="139" t="s">
        <v>229</v>
      </c>
      <c r="K1016" s="140"/>
      <c r="L1016" s="141"/>
      <c r="M1016" s="142" t="s">
        <v>220</v>
      </c>
      <c r="N1016" s="139" t="s">
        <v>221</v>
      </c>
      <c r="O1016" s="143" t="s">
        <v>222</v>
      </c>
      <c r="P1016" s="35">
        <f t="shared" ref="P1016:AA1016" si="324">P$9</f>
        <v>46113</v>
      </c>
      <c r="Q1016" s="35">
        <f t="shared" si="324"/>
        <v>46143</v>
      </c>
      <c r="R1016" s="35">
        <f t="shared" si="324"/>
        <v>46174</v>
      </c>
      <c r="S1016" s="35">
        <f t="shared" si="324"/>
        <v>46204</v>
      </c>
      <c r="T1016" s="35">
        <f t="shared" si="324"/>
        <v>46235</v>
      </c>
      <c r="U1016" s="35">
        <f t="shared" si="324"/>
        <v>46266</v>
      </c>
      <c r="V1016" s="35">
        <f t="shared" si="324"/>
        <v>46296</v>
      </c>
      <c r="W1016" s="35">
        <f t="shared" si="324"/>
        <v>46327</v>
      </c>
      <c r="X1016" s="35">
        <f t="shared" si="324"/>
        <v>46357</v>
      </c>
      <c r="Y1016" s="35">
        <f t="shared" si="324"/>
        <v>46388</v>
      </c>
      <c r="Z1016" s="35">
        <f t="shared" si="324"/>
        <v>46419</v>
      </c>
      <c r="AA1016" s="35">
        <f t="shared" si="324"/>
        <v>46447</v>
      </c>
      <c r="AB1016" s="81" t="s">
        <v>223</v>
      </c>
      <c r="AC1016" s="82" t="s">
        <v>192</v>
      </c>
      <c r="AE1016" s="189" t="str">
        <f>"Qtde Recursos em: "&amp;F1016</f>
        <v>Qtde Recursos em: PLANTIO CONVENCIONAL - EXPANSÃO</v>
      </c>
      <c r="AF1016" s="147">
        <f>P1016</f>
        <v>46113</v>
      </c>
      <c r="AG1016" s="35">
        <f t="shared" ref="AG1016:AQ1016" si="325">Q1016</f>
        <v>46143</v>
      </c>
      <c r="AH1016" s="35">
        <f t="shared" si="325"/>
        <v>46174</v>
      </c>
      <c r="AI1016" s="35">
        <f t="shared" si="325"/>
        <v>46204</v>
      </c>
      <c r="AJ1016" s="35">
        <f t="shared" si="325"/>
        <v>46235</v>
      </c>
      <c r="AK1016" s="35">
        <f t="shared" si="325"/>
        <v>46266</v>
      </c>
      <c r="AL1016" s="35">
        <f t="shared" si="325"/>
        <v>46296</v>
      </c>
      <c r="AM1016" s="35">
        <f t="shared" si="325"/>
        <v>46327</v>
      </c>
      <c r="AN1016" s="35">
        <f t="shared" si="325"/>
        <v>46357</v>
      </c>
      <c r="AO1016" s="35">
        <f t="shared" si="325"/>
        <v>46388</v>
      </c>
      <c r="AP1016" s="35">
        <f t="shared" si="325"/>
        <v>46419</v>
      </c>
      <c r="AQ1016" s="35">
        <f t="shared" si="325"/>
        <v>46447</v>
      </c>
      <c r="AR1016" s="81" t="s">
        <v>223</v>
      </c>
      <c r="AT1016" s="189" t="s">
        <v>258</v>
      </c>
    </row>
    <row r="1017" spans="1:46" hidden="1" outlineLevel="1" x14ac:dyDescent="0.25">
      <c r="A1017" s="14" t="str">
        <f t="shared" ref="A1017:A1080" si="326">"PROP_OPER_"&amp;C1017&amp;"_"&amp;E1017</f>
        <v>PROP_OPER__1</v>
      </c>
      <c r="B1017" s="15" t="str">
        <f t="shared" ref="B1017:B1061" si="327">"PROP_OPER_"&amp;C1017&amp;"_"&amp;F1017&amp;"_"&amp;J1017</f>
        <v>PROP_OPER__1018_0</v>
      </c>
      <c r="C1017" s="83"/>
      <c r="D1017" s="15">
        <v>1</v>
      </c>
      <c r="E1017" s="15">
        <v>1</v>
      </c>
      <c r="F1017" s="190">
        <f t="shared" ref="F1017:O1030" si="328">F598</f>
        <v>1018</v>
      </c>
      <c r="G1017" s="149" t="str">
        <f t="shared" si="328"/>
        <v/>
      </c>
      <c r="H1017" s="150" t="str">
        <f t="shared" si="328"/>
        <v/>
      </c>
      <c r="I1017" s="150" t="str">
        <f t="shared" si="328"/>
        <v>PLANCP</v>
      </c>
      <c r="J1017" s="150">
        <f t="shared" si="328"/>
        <v>0</v>
      </c>
      <c r="K1017" s="196" t="str">
        <f t="shared" si="328"/>
        <v/>
      </c>
      <c r="L1017" s="197" t="str">
        <f t="shared" si="328"/>
        <v/>
      </c>
      <c r="M1017" s="191">
        <f t="shared" si="328"/>
        <v>0</v>
      </c>
      <c r="N1017" s="150">
        <f t="shared" si="328"/>
        <v>0</v>
      </c>
      <c r="O1017" s="193">
        <f t="shared" si="328"/>
        <v>1</v>
      </c>
      <c r="P1017" s="162">
        <f t="shared" ref="P1017:AA1030" si="329">IFERROR(SUMIF($B$483:$B$547,$C1017&amp;$I1017,P$483:P$547)/SUMIF($D$483:$D$547,$I1017,P$483:P$547)*P598,0)</f>
        <v>0</v>
      </c>
      <c r="Q1017" s="162">
        <f t="shared" si="329"/>
        <v>0</v>
      </c>
      <c r="R1017" s="162">
        <f t="shared" si="329"/>
        <v>0</v>
      </c>
      <c r="S1017" s="162">
        <f t="shared" si="329"/>
        <v>0</v>
      </c>
      <c r="T1017" s="162">
        <f t="shared" si="329"/>
        <v>0</v>
      </c>
      <c r="U1017" s="162">
        <f t="shared" si="329"/>
        <v>0</v>
      </c>
      <c r="V1017" s="162">
        <f t="shared" si="329"/>
        <v>0</v>
      </c>
      <c r="W1017" s="162">
        <f t="shared" si="329"/>
        <v>0</v>
      </c>
      <c r="X1017" s="162">
        <f t="shared" si="329"/>
        <v>0</v>
      </c>
      <c r="Y1017" s="162">
        <f t="shared" si="329"/>
        <v>0</v>
      </c>
      <c r="Z1017" s="162">
        <f t="shared" si="329"/>
        <v>0</v>
      </c>
      <c r="AA1017" s="162">
        <f t="shared" si="329"/>
        <v>0</v>
      </c>
      <c r="AB1017" s="163">
        <f t="shared" ref="AB1017:AB1061" si="330">SUM(P1017:AA1017)</f>
        <v>0</v>
      </c>
      <c r="AC1017" s="198"/>
      <c r="AE1017" s="194" t="str">
        <f>IF(J1017=0,"",VLOOKUP(J1017,#REF!,2,0)&amp;" - "&amp;J1017&amp;" ("&amp;F1017&amp;" - "&amp;G1017&amp;")")</f>
        <v/>
      </c>
      <c r="AF1017" s="161">
        <f t="shared" ref="AF1017:AQ1030" si="331">IFERROR(SUMIF($B$483:$B$547,$C1017&amp;$I1017,P$483:P$547)/SUMIF($D$483:$D$547,$I1017,P$483:P$547)*AF598,0)</f>
        <v>0</v>
      </c>
      <c r="AG1017" s="162">
        <f t="shared" si="331"/>
        <v>0</v>
      </c>
      <c r="AH1017" s="162">
        <f t="shared" si="331"/>
        <v>0</v>
      </c>
      <c r="AI1017" s="162">
        <f t="shared" si="331"/>
        <v>0</v>
      </c>
      <c r="AJ1017" s="162">
        <f t="shared" si="331"/>
        <v>0</v>
      </c>
      <c r="AK1017" s="162">
        <f t="shared" si="331"/>
        <v>0</v>
      </c>
      <c r="AL1017" s="162">
        <f t="shared" si="331"/>
        <v>0</v>
      </c>
      <c r="AM1017" s="162">
        <f t="shared" si="331"/>
        <v>0</v>
      </c>
      <c r="AN1017" s="162">
        <f t="shared" si="331"/>
        <v>0</v>
      </c>
      <c r="AO1017" s="162">
        <f t="shared" si="331"/>
        <v>0</v>
      </c>
      <c r="AP1017" s="162">
        <f t="shared" si="331"/>
        <v>0</v>
      </c>
      <c r="AQ1017" s="162">
        <f t="shared" si="331"/>
        <v>0</v>
      </c>
      <c r="AR1017" s="163">
        <f t="shared" ref="AR1017:AR1061" si="332">SUM(AF1017:AQ1017)</f>
        <v>0</v>
      </c>
      <c r="AT1017" s="207">
        <f>IFERROR(VLOOKUP(J1017,#REF!,10,0),0)</f>
        <v>0</v>
      </c>
    </row>
    <row r="1018" spans="1:46" hidden="1" outlineLevel="1" x14ac:dyDescent="0.25">
      <c r="A1018" s="14" t="str">
        <f t="shared" si="326"/>
        <v>PROP_OPER__2</v>
      </c>
      <c r="B1018" s="15" t="str">
        <f t="shared" si="327"/>
        <v>PROP_OPER__1023_0</v>
      </c>
      <c r="C1018" s="83"/>
      <c r="D1018" s="15">
        <v>1</v>
      </c>
      <c r="E1018" s="15">
        <v>2</v>
      </c>
      <c r="F1018" s="190">
        <f t="shared" si="328"/>
        <v>1023</v>
      </c>
      <c r="G1018" s="149" t="str">
        <f t="shared" si="328"/>
        <v/>
      </c>
      <c r="H1018" s="150" t="str">
        <f t="shared" si="328"/>
        <v/>
      </c>
      <c r="I1018" s="150" t="str">
        <f t="shared" si="328"/>
        <v>PLANCP</v>
      </c>
      <c r="J1018" s="150">
        <f t="shared" si="328"/>
        <v>0</v>
      </c>
      <c r="K1018" s="196" t="str">
        <f t="shared" si="328"/>
        <v/>
      </c>
      <c r="L1018" s="197" t="str">
        <f t="shared" si="328"/>
        <v/>
      </c>
      <c r="M1018" s="191">
        <f t="shared" si="328"/>
        <v>0</v>
      </c>
      <c r="N1018" s="150">
        <f t="shared" si="328"/>
        <v>0</v>
      </c>
      <c r="O1018" s="193">
        <f t="shared" si="328"/>
        <v>1</v>
      </c>
      <c r="P1018" s="162">
        <f t="shared" si="329"/>
        <v>0</v>
      </c>
      <c r="Q1018" s="162">
        <f t="shared" si="329"/>
        <v>0</v>
      </c>
      <c r="R1018" s="162">
        <f t="shared" si="329"/>
        <v>0</v>
      </c>
      <c r="S1018" s="162">
        <f t="shared" si="329"/>
        <v>0</v>
      </c>
      <c r="T1018" s="162">
        <f t="shared" si="329"/>
        <v>0</v>
      </c>
      <c r="U1018" s="162">
        <f t="shared" si="329"/>
        <v>0</v>
      </c>
      <c r="V1018" s="162">
        <f t="shared" si="329"/>
        <v>0</v>
      </c>
      <c r="W1018" s="162">
        <f t="shared" si="329"/>
        <v>0</v>
      </c>
      <c r="X1018" s="162">
        <f t="shared" si="329"/>
        <v>0</v>
      </c>
      <c r="Y1018" s="162">
        <f t="shared" si="329"/>
        <v>0</v>
      </c>
      <c r="Z1018" s="162">
        <f t="shared" si="329"/>
        <v>0</v>
      </c>
      <c r="AA1018" s="162">
        <f t="shared" si="329"/>
        <v>0</v>
      </c>
      <c r="AB1018" s="163">
        <f t="shared" si="330"/>
        <v>0</v>
      </c>
      <c r="AC1018" s="198"/>
      <c r="AE1018" s="194" t="str">
        <f>IF(J1018=0,"",VLOOKUP(J1018,#REF!,2,0)&amp;" - "&amp;J1018&amp;" ("&amp;F1018&amp;" - "&amp;G1018&amp;")")</f>
        <v/>
      </c>
      <c r="AF1018" s="161">
        <f t="shared" si="331"/>
        <v>0</v>
      </c>
      <c r="AG1018" s="162">
        <f t="shared" si="331"/>
        <v>0</v>
      </c>
      <c r="AH1018" s="162">
        <f t="shared" si="331"/>
        <v>0</v>
      </c>
      <c r="AI1018" s="162">
        <f t="shared" si="331"/>
        <v>0</v>
      </c>
      <c r="AJ1018" s="162">
        <f t="shared" si="331"/>
        <v>0</v>
      </c>
      <c r="AK1018" s="162">
        <f t="shared" si="331"/>
        <v>0</v>
      </c>
      <c r="AL1018" s="162">
        <f t="shared" si="331"/>
        <v>0</v>
      </c>
      <c r="AM1018" s="162">
        <f t="shared" si="331"/>
        <v>0</v>
      </c>
      <c r="AN1018" s="162">
        <f t="shared" si="331"/>
        <v>0</v>
      </c>
      <c r="AO1018" s="162">
        <f t="shared" si="331"/>
        <v>0</v>
      </c>
      <c r="AP1018" s="162">
        <f t="shared" si="331"/>
        <v>0</v>
      </c>
      <c r="AQ1018" s="162">
        <f t="shared" si="331"/>
        <v>0</v>
      </c>
      <c r="AR1018" s="163">
        <f t="shared" si="332"/>
        <v>0</v>
      </c>
      <c r="AT1018" s="208">
        <f>IFERROR(VLOOKUP(J1018,#REF!,10,0),0)</f>
        <v>0</v>
      </c>
    </row>
    <row r="1019" spans="1:46" hidden="1" outlineLevel="1" x14ac:dyDescent="0.25">
      <c r="A1019" s="14" t="str">
        <f t="shared" si="326"/>
        <v>PROP_OPER__3</v>
      </c>
      <c r="B1019" s="15" t="str">
        <f t="shared" si="327"/>
        <v>PROP_OPER__1018_0</v>
      </c>
      <c r="C1019" s="83"/>
      <c r="D1019" s="15">
        <v>1</v>
      </c>
      <c r="E1019" s="15">
        <v>3</v>
      </c>
      <c r="F1019" s="190">
        <f t="shared" si="328"/>
        <v>1018</v>
      </c>
      <c r="G1019" s="149" t="str">
        <f t="shared" si="328"/>
        <v/>
      </c>
      <c r="H1019" s="150" t="str">
        <f t="shared" si="328"/>
        <v/>
      </c>
      <c r="I1019" s="150" t="str">
        <f t="shared" si="328"/>
        <v>PLANCF</v>
      </c>
      <c r="J1019" s="150">
        <f t="shared" si="328"/>
        <v>0</v>
      </c>
      <c r="K1019" s="196" t="str">
        <f t="shared" si="328"/>
        <v/>
      </c>
      <c r="L1019" s="197" t="str">
        <f t="shared" si="328"/>
        <v/>
      </c>
      <c r="M1019" s="191">
        <f t="shared" si="328"/>
        <v>0</v>
      </c>
      <c r="N1019" s="150">
        <f t="shared" si="328"/>
        <v>0</v>
      </c>
      <c r="O1019" s="193">
        <f t="shared" si="328"/>
        <v>1</v>
      </c>
      <c r="P1019" s="162">
        <f t="shared" si="329"/>
        <v>0</v>
      </c>
      <c r="Q1019" s="162">
        <f t="shared" si="329"/>
        <v>0</v>
      </c>
      <c r="R1019" s="162">
        <f t="shared" si="329"/>
        <v>0</v>
      </c>
      <c r="S1019" s="162">
        <f t="shared" si="329"/>
        <v>0</v>
      </c>
      <c r="T1019" s="162">
        <f t="shared" si="329"/>
        <v>0</v>
      </c>
      <c r="U1019" s="162">
        <f t="shared" si="329"/>
        <v>0</v>
      </c>
      <c r="V1019" s="162">
        <f t="shared" si="329"/>
        <v>0</v>
      </c>
      <c r="W1019" s="162">
        <f t="shared" si="329"/>
        <v>0</v>
      </c>
      <c r="X1019" s="162">
        <f t="shared" si="329"/>
        <v>0</v>
      </c>
      <c r="Y1019" s="162">
        <f t="shared" si="329"/>
        <v>0</v>
      </c>
      <c r="Z1019" s="162">
        <f t="shared" si="329"/>
        <v>0</v>
      </c>
      <c r="AA1019" s="162">
        <f t="shared" si="329"/>
        <v>0</v>
      </c>
      <c r="AB1019" s="163">
        <f t="shared" si="330"/>
        <v>0</v>
      </c>
      <c r="AC1019" s="198"/>
      <c r="AE1019" s="194" t="str">
        <f>IF(J1019=0,"",VLOOKUP(J1019,#REF!,2,0)&amp;" - "&amp;J1019&amp;" ("&amp;F1019&amp;" - "&amp;G1019&amp;")")</f>
        <v/>
      </c>
      <c r="AF1019" s="161">
        <f t="shared" si="331"/>
        <v>0</v>
      </c>
      <c r="AG1019" s="162">
        <f t="shared" si="331"/>
        <v>0</v>
      </c>
      <c r="AH1019" s="162">
        <f t="shared" si="331"/>
        <v>0</v>
      </c>
      <c r="AI1019" s="162">
        <f t="shared" si="331"/>
        <v>0</v>
      </c>
      <c r="AJ1019" s="162">
        <f t="shared" si="331"/>
        <v>0</v>
      </c>
      <c r="AK1019" s="162">
        <f t="shared" si="331"/>
        <v>0</v>
      </c>
      <c r="AL1019" s="162">
        <f t="shared" si="331"/>
        <v>0</v>
      </c>
      <c r="AM1019" s="162">
        <f t="shared" si="331"/>
        <v>0</v>
      </c>
      <c r="AN1019" s="162">
        <f t="shared" si="331"/>
        <v>0</v>
      </c>
      <c r="AO1019" s="162">
        <f t="shared" si="331"/>
        <v>0</v>
      </c>
      <c r="AP1019" s="162">
        <f t="shared" si="331"/>
        <v>0</v>
      </c>
      <c r="AQ1019" s="162">
        <f t="shared" si="331"/>
        <v>0</v>
      </c>
      <c r="AR1019" s="163">
        <f t="shared" si="332"/>
        <v>0</v>
      </c>
      <c r="AT1019" s="208">
        <f>IFERROR(VLOOKUP(J1019,#REF!,10,0),0)</f>
        <v>0</v>
      </c>
    </row>
    <row r="1020" spans="1:46" hidden="1" outlineLevel="1" x14ac:dyDescent="0.25">
      <c r="A1020" s="14" t="str">
        <f t="shared" si="326"/>
        <v>PROP_OPER__4</v>
      </c>
      <c r="B1020" s="15" t="str">
        <f t="shared" si="327"/>
        <v>PROP_OPER__1023_0</v>
      </c>
      <c r="C1020" s="83"/>
      <c r="D1020" s="15">
        <v>1</v>
      </c>
      <c r="E1020" s="15">
        <v>4</v>
      </c>
      <c r="F1020" s="190">
        <f t="shared" si="328"/>
        <v>1023</v>
      </c>
      <c r="G1020" s="149" t="str">
        <f t="shared" si="328"/>
        <v/>
      </c>
      <c r="H1020" s="150" t="str">
        <f t="shared" si="328"/>
        <v/>
      </c>
      <c r="I1020" s="150" t="str">
        <f t="shared" si="328"/>
        <v>PLANCF</v>
      </c>
      <c r="J1020" s="150">
        <f t="shared" si="328"/>
        <v>0</v>
      </c>
      <c r="K1020" s="196" t="str">
        <f t="shared" si="328"/>
        <v/>
      </c>
      <c r="L1020" s="197" t="str">
        <f t="shared" si="328"/>
        <v/>
      </c>
      <c r="M1020" s="191">
        <f t="shared" si="328"/>
        <v>0</v>
      </c>
      <c r="N1020" s="150">
        <f t="shared" si="328"/>
        <v>0</v>
      </c>
      <c r="O1020" s="193">
        <f t="shared" si="328"/>
        <v>1</v>
      </c>
      <c r="P1020" s="162">
        <f t="shared" si="329"/>
        <v>0</v>
      </c>
      <c r="Q1020" s="162">
        <f t="shared" si="329"/>
        <v>0</v>
      </c>
      <c r="R1020" s="162">
        <f t="shared" si="329"/>
        <v>0</v>
      </c>
      <c r="S1020" s="162">
        <f t="shared" si="329"/>
        <v>0</v>
      </c>
      <c r="T1020" s="162">
        <f t="shared" si="329"/>
        <v>0</v>
      </c>
      <c r="U1020" s="162">
        <f t="shared" si="329"/>
        <v>0</v>
      </c>
      <c r="V1020" s="162">
        <f t="shared" si="329"/>
        <v>0</v>
      </c>
      <c r="W1020" s="162">
        <f t="shared" si="329"/>
        <v>0</v>
      </c>
      <c r="X1020" s="162">
        <f t="shared" si="329"/>
        <v>0</v>
      </c>
      <c r="Y1020" s="162">
        <f t="shared" si="329"/>
        <v>0</v>
      </c>
      <c r="Z1020" s="162">
        <f t="shared" si="329"/>
        <v>0</v>
      </c>
      <c r="AA1020" s="162">
        <f t="shared" si="329"/>
        <v>0</v>
      </c>
      <c r="AB1020" s="163">
        <f t="shared" si="330"/>
        <v>0</v>
      </c>
      <c r="AC1020" s="159"/>
      <c r="AE1020" s="194" t="str">
        <f>IF(J1020=0,"",VLOOKUP(J1020,#REF!,2,0)&amp;" - "&amp;J1020&amp;" ("&amp;F1020&amp;" - "&amp;G1020&amp;")")</f>
        <v/>
      </c>
      <c r="AF1020" s="161">
        <f t="shared" si="331"/>
        <v>0</v>
      </c>
      <c r="AG1020" s="162">
        <f t="shared" si="331"/>
        <v>0</v>
      </c>
      <c r="AH1020" s="162">
        <f t="shared" si="331"/>
        <v>0</v>
      </c>
      <c r="AI1020" s="162">
        <f t="shared" si="331"/>
        <v>0</v>
      </c>
      <c r="AJ1020" s="162">
        <f t="shared" si="331"/>
        <v>0</v>
      </c>
      <c r="AK1020" s="162">
        <f t="shared" si="331"/>
        <v>0</v>
      </c>
      <c r="AL1020" s="162">
        <f t="shared" si="331"/>
        <v>0</v>
      </c>
      <c r="AM1020" s="162">
        <f t="shared" si="331"/>
        <v>0</v>
      </c>
      <c r="AN1020" s="162">
        <f t="shared" si="331"/>
        <v>0</v>
      </c>
      <c r="AO1020" s="162">
        <f t="shared" si="331"/>
        <v>0</v>
      </c>
      <c r="AP1020" s="162">
        <f t="shared" si="331"/>
        <v>0</v>
      </c>
      <c r="AQ1020" s="162">
        <f t="shared" si="331"/>
        <v>0</v>
      </c>
      <c r="AR1020" s="163">
        <f t="shared" si="332"/>
        <v>0</v>
      </c>
      <c r="AT1020" s="208">
        <f>IFERROR(VLOOKUP(J1020,#REF!,10,0),0)</f>
        <v>0</v>
      </c>
    </row>
    <row r="1021" spans="1:46" hidden="1" outlineLevel="1" x14ac:dyDescent="0.25">
      <c r="A1021" s="14" t="str">
        <f t="shared" si="326"/>
        <v>PROP_OPER__5</v>
      </c>
      <c r="B1021" s="15" t="str">
        <f t="shared" si="327"/>
        <v>PROP_OPER__1044_0</v>
      </c>
      <c r="C1021" s="83"/>
      <c r="D1021" s="15">
        <v>1</v>
      </c>
      <c r="E1021" s="15">
        <v>5</v>
      </c>
      <c r="F1021" s="190">
        <f t="shared" si="328"/>
        <v>1044</v>
      </c>
      <c r="G1021" s="149" t="str">
        <f t="shared" si="328"/>
        <v/>
      </c>
      <c r="H1021" s="150" t="str">
        <f t="shared" si="328"/>
        <v/>
      </c>
      <c r="I1021" s="150" t="str">
        <f t="shared" si="328"/>
        <v>PLANMP</v>
      </c>
      <c r="J1021" s="150">
        <f t="shared" si="328"/>
        <v>0</v>
      </c>
      <c r="K1021" s="196" t="str">
        <f t="shared" si="328"/>
        <v/>
      </c>
      <c r="L1021" s="197" t="str">
        <f t="shared" si="328"/>
        <v/>
      </c>
      <c r="M1021" s="191">
        <f t="shared" si="328"/>
        <v>0</v>
      </c>
      <c r="N1021" s="150">
        <f t="shared" si="328"/>
        <v>0</v>
      </c>
      <c r="O1021" s="193">
        <f t="shared" si="328"/>
        <v>1</v>
      </c>
      <c r="P1021" s="162">
        <f t="shared" si="329"/>
        <v>0</v>
      </c>
      <c r="Q1021" s="162">
        <f t="shared" si="329"/>
        <v>0</v>
      </c>
      <c r="R1021" s="162">
        <f t="shared" si="329"/>
        <v>0</v>
      </c>
      <c r="S1021" s="162">
        <f t="shared" si="329"/>
        <v>0</v>
      </c>
      <c r="T1021" s="162">
        <f t="shared" si="329"/>
        <v>0</v>
      </c>
      <c r="U1021" s="162">
        <f t="shared" si="329"/>
        <v>0</v>
      </c>
      <c r="V1021" s="162">
        <f t="shared" si="329"/>
        <v>0</v>
      </c>
      <c r="W1021" s="162">
        <f t="shared" si="329"/>
        <v>0</v>
      </c>
      <c r="X1021" s="162">
        <f t="shared" si="329"/>
        <v>0</v>
      </c>
      <c r="Y1021" s="162">
        <f t="shared" si="329"/>
        <v>0</v>
      </c>
      <c r="Z1021" s="162">
        <f t="shared" si="329"/>
        <v>0</v>
      </c>
      <c r="AA1021" s="162">
        <f t="shared" si="329"/>
        <v>0</v>
      </c>
      <c r="AB1021" s="163">
        <f t="shared" si="330"/>
        <v>0</v>
      </c>
      <c r="AC1021" s="159"/>
      <c r="AE1021" s="194" t="str">
        <f>IF(J1021=0,"",VLOOKUP(J1021,#REF!,2,0)&amp;" - "&amp;J1021&amp;" ("&amp;F1021&amp;" - "&amp;G1021&amp;")")</f>
        <v/>
      </c>
      <c r="AF1021" s="161">
        <f t="shared" si="331"/>
        <v>0</v>
      </c>
      <c r="AG1021" s="162">
        <f t="shared" si="331"/>
        <v>0</v>
      </c>
      <c r="AH1021" s="162">
        <f t="shared" si="331"/>
        <v>0</v>
      </c>
      <c r="AI1021" s="162">
        <f t="shared" si="331"/>
        <v>0</v>
      </c>
      <c r="AJ1021" s="162">
        <f t="shared" si="331"/>
        <v>0</v>
      </c>
      <c r="AK1021" s="162">
        <f t="shared" si="331"/>
        <v>0</v>
      </c>
      <c r="AL1021" s="162">
        <f t="shared" si="331"/>
        <v>0</v>
      </c>
      <c r="AM1021" s="162">
        <f t="shared" si="331"/>
        <v>0</v>
      </c>
      <c r="AN1021" s="162">
        <f t="shared" si="331"/>
        <v>0</v>
      </c>
      <c r="AO1021" s="162">
        <f t="shared" si="331"/>
        <v>0</v>
      </c>
      <c r="AP1021" s="162">
        <f t="shared" si="331"/>
        <v>0</v>
      </c>
      <c r="AQ1021" s="162">
        <f t="shared" si="331"/>
        <v>0</v>
      </c>
      <c r="AR1021" s="163">
        <f t="shared" si="332"/>
        <v>0</v>
      </c>
      <c r="AT1021" s="208">
        <f>IFERROR(VLOOKUP(J1021,#REF!,10,0),0)</f>
        <v>0</v>
      </c>
    </row>
    <row r="1022" spans="1:46" hidden="1" outlineLevel="1" x14ac:dyDescent="0.25">
      <c r="A1022" s="14" t="str">
        <f t="shared" si="326"/>
        <v>PROP_OPER__6</v>
      </c>
      <c r="B1022" s="15" t="str">
        <f t="shared" si="327"/>
        <v>PROP_OPER__1033_0</v>
      </c>
      <c r="C1022" s="83"/>
      <c r="D1022" s="15">
        <v>1</v>
      </c>
      <c r="E1022" s="15">
        <v>6</v>
      </c>
      <c r="F1022" s="190">
        <f t="shared" si="328"/>
        <v>1033</v>
      </c>
      <c r="G1022" s="149" t="str">
        <f t="shared" si="328"/>
        <v/>
      </c>
      <c r="H1022" s="150" t="str">
        <f t="shared" si="328"/>
        <v/>
      </c>
      <c r="I1022" s="150" t="str">
        <f t="shared" si="328"/>
        <v>PLANCP</v>
      </c>
      <c r="J1022" s="150">
        <f t="shared" si="328"/>
        <v>0</v>
      </c>
      <c r="K1022" s="196" t="str">
        <f t="shared" si="328"/>
        <v/>
      </c>
      <c r="L1022" s="197" t="str">
        <f t="shared" si="328"/>
        <v/>
      </c>
      <c r="M1022" s="191">
        <f t="shared" si="328"/>
        <v>0</v>
      </c>
      <c r="N1022" s="150">
        <f t="shared" si="328"/>
        <v>0</v>
      </c>
      <c r="O1022" s="193">
        <f t="shared" si="328"/>
        <v>1</v>
      </c>
      <c r="P1022" s="162">
        <f t="shared" si="329"/>
        <v>0</v>
      </c>
      <c r="Q1022" s="162">
        <f t="shared" si="329"/>
        <v>0</v>
      </c>
      <c r="R1022" s="162">
        <f t="shared" si="329"/>
        <v>0</v>
      </c>
      <c r="S1022" s="162">
        <f t="shared" si="329"/>
        <v>0</v>
      </c>
      <c r="T1022" s="162">
        <f t="shared" si="329"/>
        <v>0</v>
      </c>
      <c r="U1022" s="162">
        <f t="shared" si="329"/>
        <v>0</v>
      </c>
      <c r="V1022" s="162">
        <f t="shared" si="329"/>
        <v>0</v>
      </c>
      <c r="W1022" s="162">
        <f t="shared" si="329"/>
        <v>0</v>
      </c>
      <c r="X1022" s="162">
        <f t="shared" si="329"/>
        <v>0</v>
      </c>
      <c r="Y1022" s="162">
        <f t="shared" si="329"/>
        <v>0</v>
      </c>
      <c r="Z1022" s="162">
        <f t="shared" si="329"/>
        <v>0</v>
      </c>
      <c r="AA1022" s="162">
        <f t="shared" si="329"/>
        <v>0</v>
      </c>
      <c r="AB1022" s="163">
        <f t="shared" si="330"/>
        <v>0</v>
      </c>
      <c r="AC1022" s="159"/>
      <c r="AE1022" s="194" t="str">
        <f>IF(J1022=0,"",VLOOKUP(J1022,#REF!,2,0)&amp;" - "&amp;J1022&amp;" ("&amp;F1022&amp;" - "&amp;G1022&amp;")")</f>
        <v/>
      </c>
      <c r="AF1022" s="161">
        <f t="shared" si="331"/>
        <v>0</v>
      </c>
      <c r="AG1022" s="162">
        <f t="shared" si="331"/>
        <v>0</v>
      </c>
      <c r="AH1022" s="162">
        <f t="shared" si="331"/>
        <v>0</v>
      </c>
      <c r="AI1022" s="162">
        <f t="shared" si="331"/>
        <v>0</v>
      </c>
      <c r="AJ1022" s="162">
        <f t="shared" si="331"/>
        <v>0</v>
      </c>
      <c r="AK1022" s="162">
        <f t="shared" si="331"/>
        <v>0</v>
      </c>
      <c r="AL1022" s="162">
        <f t="shared" si="331"/>
        <v>0</v>
      </c>
      <c r="AM1022" s="162">
        <f t="shared" si="331"/>
        <v>0</v>
      </c>
      <c r="AN1022" s="162">
        <f t="shared" si="331"/>
        <v>0</v>
      </c>
      <c r="AO1022" s="162">
        <f t="shared" si="331"/>
        <v>0</v>
      </c>
      <c r="AP1022" s="162">
        <f t="shared" si="331"/>
        <v>0</v>
      </c>
      <c r="AQ1022" s="162">
        <f t="shared" si="331"/>
        <v>0</v>
      </c>
      <c r="AR1022" s="163">
        <f t="shared" si="332"/>
        <v>0</v>
      </c>
      <c r="AT1022" s="208">
        <f>IFERROR(VLOOKUP(J1022,#REF!,10,0),0)</f>
        <v>0</v>
      </c>
    </row>
    <row r="1023" spans="1:46" hidden="1" outlineLevel="1" x14ac:dyDescent="0.25">
      <c r="A1023" s="14" t="str">
        <f t="shared" si="326"/>
        <v>PROP_OPER__7</v>
      </c>
      <c r="B1023" s="15" t="str">
        <f t="shared" si="327"/>
        <v>PROP_OPER__0_0</v>
      </c>
      <c r="C1023" s="83"/>
      <c r="D1023" s="15">
        <v>1</v>
      </c>
      <c r="E1023" s="15">
        <v>7</v>
      </c>
      <c r="F1023" s="190">
        <f t="shared" si="328"/>
        <v>0</v>
      </c>
      <c r="G1023" s="149" t="str">
        <f t="shared" si="328"/>
        <v/>
      </c>
      <c r="H1023" s="150" t="str">
        <f t="shared" si="328"/>
        <v/>
      </c>
      <c r="I1023" s="150">
        <f t="shared" si="328"/>
        <v>0</v>
      </c>
      <c r="J1023" s="150">
        <f t="shared" si="328"/>
        <v>0</v>
      </c>
      <c r="K1023" s="196" t="str">
        <f t="shared" si="328"/>
        <v/>
      </c>
      <c r="L1023" s="197" t="str">
        <f t="shared" si="328"/>
        <v/>
      </c>
      <c r="M1023" s="191">
        <f t="shared" si="328"/>
        <v>0</v>
      </c>
      <c r="N1023" s="150">
        <f t="shared" si="328"/>
        <v>0</v>
      </c>
      <c r="O1023" s="193">
        <f t="shared" si="328"/>
        <v>0</v>
      </c>
      <c r="P1023" s="162">
        <f t="shared" si="329"/>
        <v>0</v>
      </c>
      <c r="Q1023" s="162">
        <f t="shared" si="329"/>
        <v>0</v>
      </c>
      <c r="R1023" s="162">
        <f t="shared" si="329"/>
        <v>0</v>
      </c>
      <c r="S1023" s="162">
        <f t="shared" si="329"/>
        <v>0</v>
      </c>
      <c r="T1023" s="162">
        <f t="shared" si="329"/>
        <v>0</v>
      </c>
      <c r="U1023" s="162">
        <f t="shared" si="329"/>
        <v>0</v>
      </c>
      <c r="V1023" s="162">
        <f t="shared" si="329"/>
        <v>0</v>
      </c>
      <c r="W1023" s="162">
        <f t="shared" si="329"/>
        <v>0</v>
      </c>
      <c r="X1023" s="162">
        <f t="shared" si="329"/>
        <v>0</v>
      </c>
      <c r="Y1023" s="162">
        <f t="shared" si="329"/>
        <v>0</v>
      </c>
      <c r="Z1023" s="162">
        <f t="shared" si="329"/>
        <v>0</v>
      </c>
      <c r="AA1023" s="162">
        <f t="shared" si="329"/>
        <v>0</v>
      </c>
      <c r="AB1023" s="163">
        <f t="shared" si="330"/>
        <v>0</v>
      </c>
      <c r="AC1023" s="159"/>
      <c r="AE1023" s="194" t="str">
        <f>IF(J1023=0,"",VLOOKUP(J1023,#REF!,2,0)&amp;" - "&amp;J1023&amp;" ("&amp;F1023&amp;" - "&amp;G1023&amp;")")</f>
        <v/>
      </c>
      <c r="AF1023" s="161">
        <f t="shared" si="331"/>
        <v>0</v>
      </c>
      <c r="AG1023" s="162">
        <f t="shared" si="331"/>
        <v>0</v>
      </c>
      <c r="AH1023" s="162">
        <f t="shared" si="331"/>
        <v>0</v>
      </c>
      <c r="AI1023" s="162">
        <f t="shared" si="331"/>
        <v>0</v>
      </c>
      <c r="AJ1023" s="162">
        <f t="shared" si="331"/>
        <v>0</v>
      </c>
      <c r="AK1023" s="162">
        <f t="shared" si="331"/>
        <v>0</v>
      </c>
      <c r="AL1023" s="162">
        <f t="shared" si="331"/>
        <v>0</v>
      </c>
      <c r="AM1023" s="162">
        <f t="shared" si="331"/>
        <v>0</v>
      </c>
      <c r="AN1023" s="162">
        <f t="shared" si="331"/>
        <v>0</v>
      </c>
      <c r="AO1023" s="162">
        <f t="shared" si="331"/>
        <v>0</v>
      </c>
      <c r="AP1023" s="162">
        <f t="shared" si="331"/>
        <v>0</v>
      </c>
      <c r="AQ1023" s="162">
        <f t="shared" si="331"/>
        <v>0</v>
      </c>
      <c r="AR1023" s="163">
        <f t="shared" si="332"/>
        <v>0</v>
      </c>
      <c r="AT1023" s="208">
        <f>IFERROR(VLOOKUP(J1023,#REF!,10,0),0)</f>
        <v>0</v>
      </c>
    </row>
    <row r="1024" spans="1:46" hidden="1" outlineLevel="1" x14ac:dyDescent="0.25">
      <c r="A1024" s="14" t="str">
        <f t="shared" si="326"/>
        <v>PROP_OPER__8</v>
      </c>
      <c r="B1024" s="15" t="str">
        <f t="shared" si="327"/>
        <v>PROP_OPER__0_0</v>
      </c>
      <c r="C1024" s="83"/>
      <c r="D1024" s="15">
        <v>1</v>
      </c>
      <c r="E1024" s="15">
        <v>8</v>
      </c>
      <c r="F1024" s="190">
        <f t="shared" si="328"/>
        <v>0</v>
      </c>
      <c r="G1024" s="149" t="str">
        <f t="shared" si="328"/>
        <v/>
      </c>
      <c r="H1024" s="150" t="str">
        <f t="shared" si="328"/>
        <v/>
      </c>
      <c r="I1024" s="150">
        <f t="shared" si="328"/>
        <v>0</v>
      </c>
      <c r="J1024" s="150">
        <f t="shared" si="328"/>
        <v>0</v>
      </c>
      <c r="K1024" s="196" t="str">
        <f t="shared" si="328"/>
        <v/>
      </c>
      <c r="L1024" s="197" t="str">
        <f t="shared" si="328"/>
        <v/>
      </c>
      <c r="M1024" s="191">
        <f t="shared" si="328"/>
        <v>0</v>
      </c>
      <c r="N1024" s="150">
        <f t="shared" si="328"/>
        <v>0</v>
      </c>
      <c r="O1024" s="193">
        <f t="shared" si="328"/>
        <v>0</v>
      </c>
      <c r="P1024" s="162">
        <f t="shared" si="329"/>
        <v>0</v>
      </c>
      <c r="Q1024" s="162">
        <f t="shared" si="329"/>
        <v>0</v>
      </c>
      <c r="R1024" s="162">
        <f t="shared" si="329"/>
        <v>0</v>
      </c>
      <c r="S1024" s="162">
        <f t="shared" si="329"/>
        <v>0</v>
      </c>
      <c r="T1024" s="162">
        <f t="shared" si="329"/>
        <v>0</v>
      </c>
      <c r="U1024" s="162">
        <f t="shared" si="329"/>
        <v>0</v>
      </c>
      <c r="V1024" s="162">
        <f t="shared" si="329"/>
        <v>0</v>
      </c>
      <c r="W1024" s="162">
        <f t="shared" si="329"/>
        <v>0</v>
      </c>
      <c r="X1024" s="162">
        <f t="shared" si="329"/>
        <v>0</v>
      </c>
      <c r="Y1024" s="162">
        <f t="shared" si="329"/>
        <v>0</v>
      </c>
      <c r="Z1024" s="162">
        <f t="shared" si="329"/>
        <v>0</v>
      </c>
      <c r="AA1024" s="162">
        <f t="shared" si="329"/>
        <v>0</v>
      </c>
      <c r="AB1024" s="163">
        <f t="shared" si="330"/>
        <v>0</v>
      </c>
      <c r="AC1024" s="159"/>
      <c r="AE1024" s="194" t="str">
        <f>IF(J1024=0,"",VLOOKUP(J1024,#REF!,2,0)&amp;" - "&amp;J1024&amp;" ("&amp;F1024&amp;" - "&amp;G1024&amp;")")</f>
        <v/>
      </c>
      <c r="AF1024" s="161">
        <f t="shared" si="331"/>
        <v>0</v>
      </c>
      <c r="AG1024" s="162">
        <f t="shared" si="331"/>
        <v>0</v>
      </c>
      <c r="AH1024" s="162">
        <f t="shared" si="331"/>
        <v>0</v>
      </c>
      <c r="AI1024" s="162">
        <f t="shared" si="331"/>
        <v>0</v>
      </c>
      <c r="AJ1024" s="162">
        <f t="shared" si="331"/>
        <v>0</v>
      </c>
      <c r="AK1024" s="162">
        <f t="shared" si="331"/>
        <v>0</v>
      </c>
      <c r="AL1024" s="162">
        <f t="shared" si="331"/>
        <v>0</v>
      </c>
      <c r="AM1024" s="162">
        <f t="shared" si="331"/>
        <v>0</v>
      </c>
      <c r="AN1024" s="162">
        <f t="shared" si="331"/>
        <v>0</v>
      </c>
      <c r="AO1024" s="162">
        <f t="shared" si="331"/>
        <v>0</v>
      </c>
      <c r="AP1024" s="162">
        <f t="shared" si="331"/>
        <v>0</v>
      </c>
      <c r="AQ1024" s="162">
        <f t="shared" si="331"/>
        <v>0</v>
      </c>
      <c r="AR1024" s="163">
        <f t="shared" si="332"/>
        <v>0</v>
      </c>
      <c r="AT1024" s="208">
        <f>IFERROR(VLOOKUP(J1024,#REF!,10,0),0)</f>
        <v>0</v>
      </c>
    </row>
    <row r="1025" spans="1:46" hidden="1" outlineLevel="1" x14ac:dyDescent="0.25">
      <c r="A1025" s="14" t="str">
        <f t="shared" si="326"/>
        <v>PROP_OPER__9</v>
      </c>
      <c r="B1025" s="15" t="str">
        <f t="shared" si="327"/>
        <v>PROP_OPER__0_0</v>
      </c>
      <c r="C1025" s="83"/>
      <c r="D1025" s="15">
        <v>1</v>
      </c>
      <c r="E1025" s="15">
        <v>9</v>
      </c>
      <c r="F1025" s="190">
        <f t="shared" si="328"/>
        <v>0</v>
      </c>
      <c r="G1025" s="149" t="str">
        <f t="shared" si="328"/>
        <v/>
      </c>
      <c r="H1025" s="150" t="str">
        <f t="shared" si="328"/>
        <v/>
      </c>
      <c r="I1025" s="150">
        <f t="shared" si="328"/>
        <v>0</v>
      </c>
      <c r="J1025" s="150">
        <f t="shared" si="328"/>
        <v>0</v>
      </c>
      <c r="K1025" s="196" t="str">
        <f t="shared" si="328"/>
        <v/>
      </c>
      <c r="L1025" s="197" t="str">
        <f t="shared" si="328"/>
        <v/>
      </c>
      <c r="M1025" s="191">
        <f t="shared" si="328"/>
        <v>0</v>
      </c>
      <c r="N1025" s="150">
        <f t="shared" si="328"/>
        <v>0</v>
      </c>
      <c r="O1025" s="193">
        <f t="shared" si="328"/>
        <v>0</v>
      </c>
      <c r="P1025" s="162">
        <f t="shared" si="329"/>
        <v>0</v>
      </c>
      <c r="Q1025" s="162">
        <f t="shared" si="329"/>
        <v>0</v>
      </c>
      <c r="R1025" s="162">
        <f t="shared" si="329"/>
        <v>0</v>
      </c>
      <c r="S1025" s="162">
        <f t="shared" si="329"/>
        <v>0</v>
      </c>
      <c r="T1025" s="162">
        <f t="shared" si="329"/>
        <v>0</v>
      </c>
      <c r="U1025" s="162">
        <f t="shared" si="329"/>
        <v>0</v>
      </c>
      <c r="V1025" s="162">
        <f t="shared" si="329"/>
        <v>0</v>
      </c>
      <c r="W1025" s="162">
        <f t="shared" si="329"/>
        <v>0</v>
      </c>
      <c r="X1025" s="162">
        <f t="shared" si="329"/>
        <v>0</v>
      </c>
      <c r="Y1025" s="162">
        <f t="shared" si="329"/>
        <v>0</v>
      </c>
      <c r="Z1025" s="162">
        <f t="shared" si="329"/>
        <v>0</v>
      </c>
      <c r="AA1025" s="162">
        <f t="shared" si="329"/>
        <v>0</v>
      </c>
      <c r="AB1025" s="163">
        <f t="shared" si="330"/>
        <v>0</v>
      </c>
      <c r="AC1025" s="159"/>
      <c r="AE1025" s="194" t="str">
        <f>IF(J1025=0,"",VLOOKUP(J1025,#REF!,2,0)&amp;" - "&amp;J1025&amp;" ("&amp;F1025&amp;" - "&amp;G1025&amp;")")</f>
        <v/>
      </c>
      <c r="AF1025" s="161">
        <f t="shared" si="331"/>
        <v>0</v>
      </c>
      <c r="AG1025" s="162">
        <f t="shared" si="331"/>
        <v>0</v>
      </c>
      <c r="AH1025" s="162">
        <f t="shared" si="331"/>
        <v>0</v>
      </c>
      <c r="AI1025" s="162">
        <f t="shared" si="331"/>
        <v>0</v>
      </c>
      <c r="AJ1025" s="162">
        <f t="shared" si="331"/>
        <v>0</v>
      </c>
      <c r="AK1025" s="162">
        <f t="shared" si="331"/>
        <v>0</v>
      </c>
      <c r="AL1025" s="162">
        <f t="shared" si="331"/>
        <v>0</v>
      </c>
      <c r="AM1025" s="162">
        <f t="shared" si="331"/>
        <v>0</v>
      </c>
      <c r="AN1025" s="162">
        <f t="shared" si="331"/>
        <v>0</v>
      </c>
      <c r="AO1025" s="162">
        <f t="shared" si="331"/>
        <v>0</v>
      </c>
      <c r="AP1025" s="162">
        <f t="shared" si="331"/>
        <v>0</v>
      </c>
      <c r="AQ1025" s="162">
        <f t="shared" si="331"/>
        <v>0</v>
      </c>
      <c r="AR1025" s="163">
        <f t="shared" si="332"/>
        <v>0</v>
      </c>
      <c r="AT1025" s="208">
        <f>IFERROR(VLOOKUP(J1025,#REF!,10,0),0)</f>
        <v>0</v>
      </c>
    </row>
    <row r="1026" spans="1:46" hidden="1" outlineLevel="1" x14ac:dyDescent="0.25">
      <c r="A1026" s="14" t="str">
        <f t="shared" si="326"/>
        <v>PROP_OPER__10</v>
      </c>
      <c r="B1026" s="15" t="str">
        <f t="shared" si="327"/>
        <v>PROP_OPER__0_0</v>
      </c>
      <c r="C1026" s="83"/>
      <c r="D1026" s="15">
        <v>1</v>
      </c>
      <c r="E1026" s="15">
        <v>10</v>
      </c>
      <c r="F1026" s="190">
        <f t="shared" si="328"/>
        <v>0</v>
      </c>
      <c r="G1026" s="149" t="str">
        <f t="shared" si="328"/>
        <v/>
      </c>
      <c r="H1026" s="150" t="str">
        <f t="shared" si="328"/>
        <v/>
      </c>
      <c r="I1026" s="150">
        <f t="shared" si="328"/>
        <v>0</v>
      </c>
      <c r="J1026" s="150">
        <f t="shared" si="328"/>
        <v>0</v>
      </c>
      <c r="K1026" s="196" t="str">
        <f t="shared" si="328"/>
        <v/>
      </c>
      <c r="L1026" s="197" t="str">
        <f t="shared" si="328"/>
        <v/>
      </c>
      <c r="M1026" s="191">
        <f t="shared" si="328"/>
        <v>0</v>
      </c>
      <c r="N1026" s="150">
        <f t="shared" si="328"/>
        <v>0</v>
      </c>
      <c r="O1026" s="193">
        <f t="shared" si="328"/>
        <v>0</v>
      </c>
      <c r="P1026" s="162">
        <f t="shared" si="329"/>
        <v>0</v>
      </c>
      <c r="Q1026" s="162">
        <f t="shared" si="329"/>
        <v>0</v>
      </c>
      <c r="R1026" s="162">
        <f t="shared" si="329"/>
        <v>0</v>
      </c>
      <c r="S1026" s="162">
        <f t="shared" si="329"/>
        <v>0</v>
      </c>
      <c r="T1026" s="162">
        <f t="shared" si="329"/>
        <v>0</v>
      </c>
      <c r="U1026" s="162">
        <f t="shared" si="329"/>
        <v>0</v>
      </c>
      <c r="V1026" s="162">
        <f t="shared" si="329"/>
        <v>0</v>
      </c>
      <c r="W1026" s="162">
        <f t="shared" si="329"/>
        <v>0</v>
      </c>
      <c r="X1026" s="162">
        <f t="shared" si="329"/>
        <v>0</v>
      </c>
      <c r="Y1026" s="162">
        <f t="shared" si="329"/>
        <v>0</v>
      </c>
      <c r="Z1026" s="162">
        <f t="shared" si="329"/>
        <v>0</v>
      </c>
      <c r="AA1026" s="162">
        <f t="shared" si="329"/>
        <v>0</v>
      </c>
      <c r="AB1026" s="163">
        <f t="shared" si="330"/>
        <v>0</v>
      </c>
      <c r="AC1026" s="159"/>
      <c r="AE1026" s="194" t="str">
        <f>IF(J1026=0,"",VLOOKUP(J1026,#REF!,2,0)&amp;" - "&amp;J1026&amp;" ("&amp;F1026&amp;" - "&amp;G1026&amp;")")</f>
        <v/>
      </c>
      <c r="AF1026" s="161">
        <f t="shared" si="331"/>
        <v>0</v>
      </c>
      <c r="AG1026" s="162">
        <f t="shared" si="331"/>
        <v>0</v>
      </c>
      <c r="AH1026" s="162">
        <f t="shared" si="331"/>
        <v>0</v>
      </c>
      <c r="AI1026" s="162">
        <f t="shared" si="331"/>
        <v>0</v>
      </c>
      <c r="AJ1026" s="162">
        <f t="shared" si="331"/>
        <v>0</v>
      </c>
      <c r="AK1026" s="162">
        <f t="shared" si="331"/>
        <v>0</v>
      </c>
      <c r="AL1026" s="162">
        <f t="shared" si="331"/>
        <v>0</v>
      </c>
      <c r="AM1026" s="162">
        <f t="shared" si="331"/>
        <v>0</v>
      </c>
      <c r="AN1026" s="162">
        <f t="shared" si="331"/>
        <v>0</v>
      </c>
      <c r="AO1026" s="162">
        <f t="shared" si="331"/>
        <v>0</v>
      </c>
      <c r="AP1026" s="162">
        <f t="shared" si="331"/>
        <v>0</v>
      </c>
      <c r="AQ1026" s="162">
        <f t="shared" si="331"/>
        <v>0</v>
      </c>
      <c r="AR1026" s="163">
        <f t="shared" si="332"/>
        <v>0</v>
      </c>
      <c r="AT1026" s="208">
        <f>IFERROR(VLOOKUP(J1026,#REF!,10,0),0)</f>
        <v>0</v>
      </c>
    </row>
    <row r="1027" spans="1:46" hidden="1" outlineLevel="1" x14ac:dyDescent="0.25">
      <c r="A1027" s="14" t="str">
        <f t="shared" si="326"/>
        <v>PROP_OPER__11</v>
      </c>
      <c r="B1027" s="15" t="str">
        <f t="shared" si="327"/>
        <v>PROP_OPER__0_0</v>
      </c>
      <c r="C1027" s="83"/>
      <c r="D1027" s="15">
        <v>1</v>
      </c>
      <c r="E1027" s="15">
        <v>11</v>
      </c>
      <c r="F1027" s="190">
        <f t="shared" si="328"/>
        <v>0</v>
      </c>
      <c r="G1027" s="149" t="str">
        <f t="shared" si="328"/>
        <v/>
      </c>
      <c r="H1027" s="150" t="str">
        <f t="shared" si="328"/>
        <v/>
      </c>
      <c r="I1027" s="150">
        <f t="shared" si="328"/>
        <v>0</v>
      </c>
      <c r="J1027" s="150">
        <f t="shared" si="328"/>
        <v>0</v>
      </c>
      <c r="K1027" s="196" t="str">
        <f t="shared" si="328"/>
        <v/>
      </c>
      <c r="L1027" s="197" t="str">
        <f t="shared" si="328"/>
        <v/>
      </c>
      <c r="M1027" s="191">
        <f t="shared" si="328"/>
        <v>0</v>
      </c>
      <c r="N1027" s="150">
        <f t="shared" si="328"/>
        <v>0</v>
      </c>
      <c r="O1027" s="193">
        <f t="shared" si="328"/>
        <v>0</v>
      </c>
      <c r="P1027" s="162">
        <f t="shared" si="329"/>
        <v>0</v>
      </c>
      <c r="Q1027" s="162">
        <f t="shared" si="329"/>
        <v>0</v>
      </c>
      <c r="R1027" s="162">
        <f t="shared" si="329"/>
        <v>0</v>
      </c>
      <c r="S1027" s="162">
        <f t="shared" si="329"/>
        <v>0</v>
      </c>
      <c r="T1027" s="162">
        <f t="shared" si="329"/>
        <v>0</v>
      </c>
      <c r="U1027" s="162">
        <f t="shared" si="329"/>
        <v>0</v>
      </c>
      <c r="V1027" s="162">
        <f t="shared" si="329"/>
        <v>0</v>
      </c>
      <c r="W1027" s="162">
        <f t="shared" si="329"/>
        <v>0</v>
      </c>
      <c r="X1027" s="162">
        <f t="shared" si="329"/>
        <v>0</v>
      </c>
      <c r="Y1027" s="162">
        <f t="shared" si="329"/>
        <v>0</v>
      </c>
      <c r="Z1027" s="162">
        <f t="shared" si="329"/>
        <v>0</v>
      </c>
      <c r="AA1027" s="162">
        <f t="shared" si="329"/>
        <v>0</v>
      </c>
      <c r="AB1027" s="163">
        <f t="shared" si="330"/>
        <v>0</v>
      </c>
      <c r="AC1027" s="198"/>
      <c r="AE1027" s="194" t="str">
        <f>IF(J1027=0,"",VLOOKUP(J1027,#REF!,2,0)&amp;" - "&amp;J1027&amp;" ("&amp;F1027&amp;" - "&amp;G1027&amp;")")</f>
        <v/>
      </c>
      <c r="AF1027" s="161">
        <f t="shared" si="331"/>
        <v>0</v>
      </c>
      <c r="AG1027" s="162">
        <f t="shared" si="331"/>
        <v>0</v>
      </c>
      <c r="AH1027" s="162">
        <f t="shared" si="331"/>
        <v>0</v>
      </c>
      <c r="AI1027" s="162">
        <f t="shared" si="331"/>
        <v>0</v>
      </c>
      <c r="AJ1027" s="162">
        <f t="shared" si="331"/>
        <v>0</v>
      </c>
      <c r="AK1027" s="162">
        <f t="shared" si="331"/>
        <v>0</v>
      </c>
      <c r="AL1027" s="162">
        <f t="shared" si="331"/>
        <v>0</v>
      </c>
      <c r="AM1027" s="162">
        <f t="shared" si="331"/>
        <v>0</v>
      </c>
      <c r="AN1027" s="162">
        <f t="shared" si="331"/>
        <v>0</v>
      </c>
      <c r="AO1027" s="162">
        <f t="shared" si="331"/>
        <v>0</v>
      </c>
      <c r="AP1027" s="162">
        <f t="shared" si="331"/>
        <v>0</v>
      </c>
      <c r="AQ1027" s="162">
        <f t="shared" si="331"/>
        <v>0</v>
      </c>
      <c r="AR1027" s="163">
        <f t="shared" si="332"/>
        <v>0</v>
      </c>
      <c r="AT1027" s="208">
        <f>IFERROR(VLOOKUP(J1027,#REF!,10,0),0)</f>
        <v>0</v>
      </c>
    </row>
    <row r="1028" spans="1:46" hidden="1" outlineLevel="1" x14ac:dyDescent="0.25">
      <c r="A1028" s="14" t="str">
        <f t="shared" si="326"/>
        <v>PROP_OPER__12</v>
      </c>
      <c r="B1028" s="15" t="str">
        <f t="shared" si="327"/>
        <v>PROP_OPER__0_0</v>
      </c>
      <c r="C1028" s="83"/>
      <c r="D1028" s="15">
        <v>1</v>
      </c>
      <c r="E1028" s="15">
        <v>12</v>
      </c>
      <c r="F1028" s="190">
        <f t="shared" si="328"/>
        <v>0</v>
      </c>
      <c r="G1028" s="149" t="str">
        <f t="shared" si="328"/>
        <v/>
      </c>
      <c r="H1028" s="150" t="str">
        <f t="shared" si="328"/>
        <v/>
      </c>
      <c r="I1028" s="150">
        <f t="shared" si="328"/>
        <v>0</v>
      </c>
      <c r="J1028" s="150">
        <f t="shared" si="328"/>
        <v>0</v>
      </c>
      <c r="K1028" s="196" t="str">
        <f t="shared" si="328"/>
        <v/>
      </c>
      <c r="L1028" s="197" t="str">
        <f t="shared" si="328"/>
        <v/>
      </c>
      <c r="M1028" s="191">
        <f t="shared" si="328"/>
        <v>0</v>
      </c>
      <c r="N1028" s="150">
        <f t="shared" si="328"/>
        <v>0</v>
      </c>
      <c r="O1028" s="193">
        <f t="shared" si="328"/>
        <v>0</v>
      </c>
      <c r="P1028" s="162">
        <f t="shared" si="329"/>
        <v>0</v>
      </c>
      <c r="Q1028" s="162">
        <f t="shared" si="329"/>
        <v>0</v>
      </c>
      <c r="R1028" s="162">
        <f t="shared" si="329"/>
        <v>0</v>
      </c>
      <c r="S1028" s="162">
        <f t="shared" si="329"/>
        <v>0</v>
      </c>
      <c r="T1028" s="162">
        <f t="shared" si="329"/>
        <v>0</v>
      </c>
      <c r="U1028" s="162">
        <f t="shared" si="329"/>
        <v>0</v>
      </c>
      <c r="V1028" s="162">
        <f t="shared" si="329"/>
        <v>0</v>
      </c>
      <c r="W1028" s="162">
        <f t="shared" si="329"/>
        <v>0</v>
      </c>
      <c r="X1028" s="162">
        <f t="shared" si="329"/>
        <v>0</v>
      </c>
      <c r="Y1028" s="162">
        <f t="shared" si="329"/>
        <v>0</v>
      </c>
      <c r="Z1028" s="162">
        <f t="shared" si="329"/>
        <v>0</v>
      </c>
      <c r="AA1028" s="162">
        <f t="shared" si="329"/>
        <v>0</v>
      </c>
      <c r="AB1028" s="163">
        <f t="shared" si="330"/>
        <v>0</v>
      </c>
      <c r="AC1028" s="198"/>
      <c r="AE1028" s="194" t="str">
        <f>IF(J1028=0,"",VLOOKUP(J1028,#REF!,2,0)&amp;" - "&amp;J1028&amp;" ("&amp;F1028&amp;" - "&amp;G1028&amp;")")</f>
        <v/>
      </c>
      <c r="AF1028" s="161">
        <f t="shared" si="331"/>
        <v>0</v>
      </c>
      <c r="AG1028" s="162">
        <f t="shared" si="331"/>
        <v>0</v>
      </c>
      <c r="AH1028" s="162">
        <f t="shared" si="331"/>
        <v>0</v>
      </c>
      <c r="AI1028" s="162">
        <f t="shared" si="331"/>
        <v>0</v>
      </c>
      <c r="AJ1028" s="162">
        <f t="shared" si="331"/>
        <v>0</v>
      </c>
      <c r="AK1028" s="162">
        <f t="shared" si="331"/>
        <v>0</v>
      </c>
      <c r="AL1028" s="162">
        <f t="shared" si="331"/>
        <v>0</v>
      </c>
      <c r="AM1028" s="162">
        <f t="shared" si="331"/>
        <v>0</v>
      </c>
      <c r="AN1028" s="162">
        <f t="shared" si="331"/>
        <v>0</v>
      </c>
      <c r="AO1028" s="162">
        <f t="shared" si="331"/>
        <v>0</v>
      </c>
      <c r="AP1028" s="162">
        <f t="shared" si="331"/>
        <v>0</v>
      </c>
      <c r="AQ1028" s="162">
        <f t="shared" si="331"/>
        <v>0</v>
      </c>
      <c r="AR1028" s="163">
        <f t="shared" si="332"/>
        <v>0</v>
      </c>
      <c r="AT1028" s="208">
        <f>IFERROR(VLOOKUP(J1028,#REF!,10,0),0)</f>
        <v>0</v>
      </c>
    </row>
    <row r="1029" spans="1:46" hidden="1" outlineLevel="1" x14ac:dyDescent="0.25">
      <c r="A1029" s="14" t="str">
        <f t="shared" si="326"/>
        <v>PROP_OPER__13</v>
      </c>
      <c r="B1029" s="15" t="str">
        <f t="shared" si="327"/>
        <v>PROP_OPER__0_0</v>
      </c>
      <c r="C1029" s="83"/>
      <c r="D1029" s="15">
        <v>1</v>
      </c>
      <c r="E1029" s="15">
        <v>13</v>
      </c>
      <c r="F1029" s="190">
        <f t="shared" si="328"/>
        <v>0</v>
      </c>
      <c r="G1029" s="149" t="str">
        <f t="shared" si="328"/>
        <v/>
      </c>
      <c r="H1029" s="150" t="str">
        <f t="shared" si="328"/>
        <v/>
      </c>
      <c r="I1029" s="150">
        <f t="shared" si="328"/>
        <v>0</v>
      </c>
      <c r="J1029" s="150">
        <f t="shared" si="328"/>
        <v>0</v>
      </c>
      <c r="K1029" s="196" t="str">
        <f t="shared" si="328"/>
        <v/>
      </c>
      <c r="L1029" s="197" t="str">
        <f t="shared" si="328"/>
        <v/>
      </c>
      <c r="M1029" s="191">
        <f t="shared" si="328"/>
        <v>0</v>
      </c>
      <c r="N1029" s="150">
        <f t="shared" si="328"/>
        <v>0</v>
      </c>
      <c r="O1029" s="193">
        <f t="shared" si="328"/>
        <v>0</v>
      </c>
      <c r="P1029" s="162">
        <f t="shared" si="329"/>
        <v>0</v>
      </c>
      <c r="Q1029" s="162">
        <f t="shared" si="329"/>
        <v>0</v>
      </c>
      <c r="R1029" s="162">
        <f t="shared" si="329"/>
        <v>0</v>
      </c>
      <c r="S1029" s="162">
        <f t="shared" si="329"/>
        <v>0</v>
      </c>
      <c r="T1029" s="162">
        <f t="shared" si="329"/>
        <v>0</v>
      </c>
      <c r="U1029" s="162">
        <f t="shared" si="329"/>
        <v>0</v>
      </c>
      <c r="V1029" s="162">
        <f t="shared" si="329"/>
        <v>0</v>
      </c>
      <c r="W1029" s="162">
        <f t="shared" si="329"/>
        <v>0</v>
      </c>
      <c r="X1029" s="162">
        <f t="shared" si="329"/>
        <v>0</v>
      </c>
      <c r="Y1029" s="162">
        <f t="shared" si="329"/>
        <v>0</v>
      </c>
      <c r="Z1029" s="162">
        <f t="shared" si="329"/>
        <v>0</v>
      </c>
      <c r="AA1029" s="162">
        <f t="shared" si="329"/>
        <v>0</v>
      </c>
      <c r="AB1029" s="163">
        <f t="shared" si="330"/>
        <v>0</v>
      </c>
      <c r="AC1029" s="198"/>
      <c r="AE1029" s="194" t="str">
        <f>IF(J1029=0,"",VLOOKUP(J1029,#REF!,2,0)&amp;" - "&amp;J1029&amp;" ("&amp;F1029&amp;" - "&amp;G1029&amp;")")</f>
        <v/>
      </c>
      <c r="AF1029" s="161">
        <f t="shared" si="331"/>
        <v>0</v>
      </c>
      <c r="AG1029" s="162">
        <f t="shared" si="331"/>
        <v>0</v>
      </c>
      <c r="AH1029" s="162">
        <f t="shared" si="331"/>
        <v>0</v>
      </c>
      <c r="AI1029" s="162">
        <f t="shared" si="331"/>
        <v>0</v>
      </c>
      <c r="AJ1029" s="162">
        <f t="shared" si="331"/>
        <v>0</v>
      </c>
      <c r="AK1029" s="162">
        <f t="shared" si="331"/>
        <v>0</v>
      </c>
      <c r="AL1029" s="162">
        <f t="shared" si="331"/>
        <v>0</v>
      </c>
      <c r="AM1029" s="162">
        <f t="shared" si="331"/>
        <v>0</v>
      </c>
      <c r="AN1029" s="162">
        <f t="shared" si="331"/>
        <v>0</v>
      </c>
      <c r="AO1029" s="162">
        <f t="shared" si="331"/>
        <v>0</v>
      </c>
      <c r="AP1029" s="162">
        <f t="shared" si="331"/>
        <v>0</v>
      </c>
      <c r="AQ1029" s="162">
        <f t="shared" si="331"/>
        <v>0</v>
      </c>
      <c r="AR1029" s="163">
        <f t="shared" si="332"/>
        <v>0</v>
      </c>
      <c r="AT1029" s="208">
        <f>IFERROR(VLOOKUP(J1029,#REF!,10,0),0)</f>
        <v>0</v>
      </c>
    </row>
    <row r="1030" spans="1:46" hidden="1" outlineLevel="1" x14ac:dyDescent="0.25">
      <c r="A1030" s="14" t="str">
        <f t="shared" si="326"/>
        <v>PROP_OPER__14</v>
      </c>
      <c r="B1030" s="15" t="str">
        <f t="shared" si="327"/>
        <v>PROP_OPER__0_0</v>
      </c>
      <c r="C1030" s="83"/>
      <c r="D1030" s="15">
        <v>1</v>
      </c>
      <c r="E1030" s="15">
        <v>14</v>
      </c>
      <c r="F1030" s="190">
        <f t="shared" si="328"/>
        <v>0</v>
      </c>
      <c r="G1030" s="149" t="str">
        <f t="shared" si="328"/>
        <v/>
      </c>
      <c r="H1030" s="150" t="str">
        <f t="shared" si="328"/>
        <v/>
      </c>
      <c r="I1030" s="150">
        <f t="shared" si="328"/>
        <v>0</v>
      </c>
      <c r="J1030" s="150">
        <f t="shared" si="328"/>
        <v>0</v>
      </c>
      <c r="K1030" s="196" t="str">
        <f t="shared" si="328"/>
        <v/>
      </c>
      <c r="L1030" s="197" t="str">
        <f t="shared" si="328"/>
        <v/>
      </c>
      <c r="M1030" s="191">
        <f t="shared" si="328"/>
        <v>0</v>
      </c>
      <c r="N1030" s="150">
        <f t="shared" si="328"/>
        <v>0</v>
      </c>
      <c r="O1030" s="193">
        <f t="shared" si="328"/>
        <v>0</v>
      </c>
      <c r="P1030" s="162">
        <f t="shared" si="329"/>
        <v>0</v>
      </c>
      <c r="Q1030" s="162">
        <f t="shared" si="329"/>
        <v>0</v>
      </c>
      <c r="R1030" s="162">
        <f t="shared" si="329"/>
        <v>0</v>
      </c>
      <c r="S1030" s="162">
        <f t="shared" si="329"/>
        <v>0</v>
      </c>
      <c r="T1030" s="162">
        <f t="shared" si="329"/>
        <v>0</v>
      </c>
      <c r="U1030" s="162">
        <f t="shared" si="329"/>
        <v>0</v>
      </c>
      <c r="V1030" s="162">
        <f t="shared" si="329"/>
        <v>0</v>
      </c>
      <c r="W1030" s="162">
        <f t="shared" si="329"/>
        <v>0</v>
      </c>
      <c r="X1030" s="162">
        <f t="shared" si="329"/>
        <v>0</v>
      </c>
      <c r="Y1030" s="162">
        <f t="shared" si="329"/>
        <v>0</v>
      </c>
      <c r="Z1030" s="162">
        <f t="shared" si="329"/>
        <v>0</v>
      </c>
      <c r="AA1030" s="162">
        <f t="shared" si="329"/>
        <v>0</v>
      </c>
      <c r="AB1030" s="163">
        <f t="shared" si="330"/>
        <v>0</v>
      </c>
      <c r="AC1030" s="198"/>
      <c r="AE1030" s="194" t="str">
        <f>IF(J1030=0,"",VLOOKUP(J1030,#REF!,2,0)&amp;" - "&amp;J1030&amp;" ("&amp;F1030&amp;" - "&amp;G1030&amp;")")</f>
        <v/>
      </c>
      <c r="AF1030" s="161">
        <f t="shared" si="331"/>
        <v>0</v>
      </c>
      <c r="AG1030" s="162">
        <f t="shared" si="331"/>
        <v>0</v>
      </c>
      <c r="AH1030" s="162">
        <f t="shared" si="331"/>
        <v>0</v>
      </c>
      <c r="AI1030" s="162">
        <f t="shared" si="331"/>
        <v>0</v>
      </c>
      <c r="AJ1030" s="162">
        <f t="shared" si="331"/>
        <v>0</v>
      </c>
      <c r="AK1030" s="162">
        <f t="shared" si="331"/>
        <v>0</v>
      </c>
      <c r="AL1030" s="162">
        <f t="shared" si="331"/>
        <v>0</v>
      </c>
      <c r="AM1030" s="162">
        <f t="shared" si="331"/>
        <v>0</v>
      </c>
      <c r="AN1030" s="162">
        <f t="shared" si="331"/>
        <v>0</v>
      </c>
      <c r="AO1030" s="162">
        <f t="shared" si="331"/>
        <v>0</v>
      </c>
      <c r="AP1030" s="162">
        <f t="shared" si="331"/>
        <v>0</v>
      </c>
      <c r="AQ1030" s="162">
        <f t="shared" si="331"/>
        <v>0</v>
      </c>
      <c r="AR1030" s="163">
        <f t="shared" si="332"/>
        <v>0</v>
      </c>
      <c r="AT1030" s="208">
        <f>IFERROR(VLOOKUP(J1030,#REF!,10,0),0)</f>
        <v>0</v>
      </c>
    </row>
    <row r="1031" spans="1:46" hidden="1" outlineLevel="1" x14ac:dyDescent="0.25">
      <c r="A1031" s="14" t="str">
        <f t="shared" si="326"/>
        <v>PROP_OPER__15</v>
      </c>
      <c r="B1031" s="15" t="e">
        <f t="shared" si="327"/>
        <v>#REF!</v>
      </c>
      <c r="C1031" s="83"/>
      <c r="D1031" s="15">
        <v>1</v>
      </c>
      <c r="E1031" s="15">
        <v>15</v>
      </c>
      <c r="F1031" s="190" t="e">
        <f>#REF!</f>
        <v>#REF!</v>
      </c>
      <c r="G1031" s="149" t="e">
        <f>#REF!</f>
        <v>#REF!</v>
      </c>
      <c r="H1031" s="150" t="e">
        <f>#REF!</f>
        <v>#REF!</v>
      </c>
      <c r="I1031" s="150" t="e">
        <f>#REF!</f>
        <v>#REF!</v>
      </c>
      <c r="J1031" s="150" t="e">
        <f>#REF!</f>
        <v>#REF!</v>
      </c>
      <c r="K1031" s="196" t="e">
        <f>#REF!</f>
        <v>#REF!</v>
      </c>
      <c r="L1031" s="197" t="e">
        <f>#REF!</f>
        <v>#REF!</v>
      </c>
      <c r="M1031" s="191" t="e">
        <f>#REF!</f>
        <v>#REF!</v>
      </c>
      <c r="N1031" s="150" t="e">
        <f>#REF!</f>
        <v>#REF!</v>
      </c>
      <c r="O1031" s="193" t="e">
        <f>#REF!</f>
        <v>#REF!</v>
      </c>
      <c r="P1031" s="162">
        <f>IFERROR(SUMIF($B$483:$B$547,$C1031&amp;$I1031,P$483:P$547)/SUMIF($D$483:$D$547,$I1031,P$483:P$547)*#REF!,0)</f>
        <v>0</v>
      </c>
      <c r="Q1031" s="162">
        <f>IFERROR(SUMIF($B$483:$B$547,$C1031&amp;$I1031,Q$483:Q$547)/SUMIF($D$483:$D$547,$I1031,Q$483:Q$547)*#REF!,0)</f>
        <v>0</v>
      </c>
      <c r="R1031" s="162">
        <f>IFERROR(SUMIF($B$483:$B$547,$C1031&amp;$I1031,R$483:R$547)/SUMIF($D$483:$D$547,$I1031,R$483:R$547)*#REF!,0)</f>
        <v>0</v>
      </c>
      <c r="S1031" s="162">
        <f>IFERROR(SUMIF($B$483:$B$547,$C1031&amp;$I1031,S$483:S$547)/SUMIF($D$483:$D$547,$I1031,S$483:S$547)*#REF!,0)</f>
        <v>0</v>
      </c>
      <c r="T1031" s="162">
        <f>IFERROR(SUMIF($B$483:$B$547,$C1031&amp;$I1031,T$483:T$547)/SUMIF($D$483:$D$547,$I1031,T$483:T$547)*#REF!,0)</f>
        <v>0</v>
      </c>
      <c r="U1031" s="162">
        <f>IFERROR(SUMIF($B$483:$B$547,$C1031&amp;$I1031,U$483:U$547)/SUMIF($D$483:$D$547,$I1031,U$483:U$547)*#REF!,0)</f>
        <v>0</v>
      </c>
      <c r="V1031" s="162">
        <f>IFERROR(SUMIF($B$483:$B$547,$C1031&amp;$I1031,V$483:V$547)/SUMIF($D$483:$D$547,$I1031,V$483:V$547)*#REF!,0)</f>
        <v>0</v>
      </c>
      <c r="W1031" s="162">
        <f>IFERROR(SUMIF($B$483:$B$547,$C1031&amp;$I1031,W$483:W$547)/SUMIF($D$483:$D$547,$I1031,W$483:W$547)*#REF!,0)</f>
        <v>0</v>
      </c>
      <c r="X1031" s="162">
        <f>IFERROR(SUMIF($B$483:$B$547,$C1031&amp;$I1031,X$483:X$547)/SUMIF($D$483:$D$547,$I1031,X$483:X$547)*#REF!,0)</f>
        <v>0</v>
      </c>
      <c r="Y1031" s="162">
        <f>IFERROR(SUMIF($B$483:$B$547,$C1031&amp;$I1031,Y$483:Y$547)/SUMIF($D$483:$D$547,$I1031,Y$483:Y$547)*#REF!,0)</f>
        <v>0</v>
      </c>
      <c r="Z1031" s="162">
        <f>IFERROR(SUMIF($B$483:$B$547,$C1031&amp;$I1031,Z$483:Z$547)/SUMIF($D$483:$D$547,$I1031,Z$483:Z$547)*#REF!,0)</f>
        <v>0</v>
      </c>
      <c r="AA1031" s="162">
        <f>IFERROR(SUMIF($B$483:$B$547,$C1031&amp;$I1031,AA$483:AA$547)/SUMIF($D$483:$D$547,$I1031,AA$483:AA$547)*#REF!,0)</f>
        <v>0</v>
      </c>
      <c r="AB1031" s="163">
        <f t="shared" si="330"/>
        <v>0</v>
      </c>
      <c r="AC1031" s="198"/>
      <c r="AE1031" s="194" t="e">
        <f>IF(J1031=0,"",VLOOKUP(J1031,#REF!,2,0)&amp;" - "&amp;J1031&amp;" ("&amp;F1031&amp;" - "&amp;G1031&amp;")")</f>
        <v>#REF!</v>
      </c>
      <c r="AF1031" s="161">
        <f>IFERROR(SUMIF($B$483:$B$547,$C1031&amp;$I1031,P$483:P$547)/SUMIF($D$483:$D$547,$I1031,P$483:P$547)*#REF!,0)</f>
        <v>0</v>
      </c>
      <c r="AG1031" s="162">
        <f>IFERROR(SUMIF($B$483:$B$547,$C1031&amp;$I1031,Q$483:Q$547)/SUMIF($D$483:$D$547,$I1031,Q$483:Q$547)*#REF!,0)</f>
        <v>0</v>
      </c>
      <c r="AH1031" s="162">
        <f>IFERROR(SUMIF($B$483:$B$547,$C1031&amp;$I1031,R$483:R$547)/SUMIF($D$483:$D$547,$I1031,R$483:R$547)*#REF!,0)</f>
        <v>0</v>
      </c>
      <c r="AI1031" s="162">
        <f>IFERROR(SUMIF($B$483:$B$547,$C1031&amp;$I1031,S$483:S$547)/SUMIF($D$483:$D$547,$I1031,S$483:S$547)*#REF!,0)</f>
        <v>0</v>
      </c>
      <c r="AJ1031" s="162">
        <f>IFERROR(SUMIF($B$483:$B$547,$C1031&amp;$I1031,T$483:T$547)/SUMIF($D$483:$D$547,$I1031,T$483:T$547)*#REF!,0)</f>
        <v>0</v>
      </c>
      <c r="AK1031" s="162">
        <f>IFERROR(SUMIF($B$483:$B$547,$C1031&amp;$I1031,U$483:U$547)/SUMIF($D$483:$D$547,$I1031,U$483:U$547)*#REF!,0)</f>
        <v>0</v>
      </c>
      <c r="AL1031" s="162">
        <f>IFERROR(SUMIF($B$483:$B$547,$C1031&amp;$I1031,V$483:V$547)/SUMIF($D$483:$D$547,$I1031,V$483:V$547)*#REF!,0)</f>
        <v>0</v>
      </c>
      <c r="AM1031" s="162">
        <f>IFERROR(SUMIF($B$483:$B$547,$C1031&amp;$I1031,W$483:W$547)/SUMIF($D$483:$D$547,$I1031,W$483:W$547)*#REF!,0)</f>
        <v>0</v>
      </c>
      <c r="AN1031" s="162">
        <f>IFERROR(SUMIF($B$483:$B$547,$C1031&amp;$I1031,X$483:X$547)/SUMIF($D$483:$D$547,$I1031,X$483:X$547)*#REF!,0)</f>
        <v>0</v>
      </c>
      <c r="AO1031" s="162">
        <f>IFERROR(SUMIF($B$483:$B$547,$C1031&amp;$I1031,Y$483:Y$547)/SUMIF($D$483:$D$547,$I1031,Y$483:Y$547)*#REF!,0)</f>
        <v>0</v>
      </c>
      <c r="AP1031" s="162">
        <f>IFERROR(SUMIF($B$483:$B$547,$C1031&amp;$I1031,Z$483:Z$547)/SUMIF($D$483:$D$547,$I1031,Z$483:Z$547)*#REF!,0)</f>
        <v>0</v>
      </c>
      <c r="AQ1031" s="162">
        <f>IFERROR(SUMIF($B$483:$B$547,$C1031&amp;$I1031,AA$483:AA$547)/SUMIF($D$483:$D$547,$I1031,AA$483:AA$547)*#REF!,0)</f>
        <v>0</v>
      </c>
      <c r="AR1031" s="163">
        <f t="shared" si="332"/>
        <v>0</v>
      </c>
      <c r="AT1031" s="208">
        <f>IFERROR(VLOOKUP(J1031,#REF!,10,0),0)</f>
        <v>0</v>
      </c>
    </row>
    <row r="1032" spans="1:46" hidden="1" outlineLevel="1" x14ac:dyDescent="0.25">
      <c r="A1032" s="14" t="str">
        <f t="shared" si="326"/>
        <v>PROP_OPER__16</v>
      </c>
      <c r="B1032" s="15" t="e">
        <f t="shared" si="327"/>
        <v>#REF!</v>
      </c>
      <c r="C1032" s="83"/>
      <c r="D1032" s="15">
        <v>1</v>
      </c>
      <c r="E1032" s="15">
        <v>16</v>
      </c>
      <c r="F1032" s="190" t="e">
        <f>#REF!</f>
        <v>#REF!</v>
      </c>
      <c r="G1032" s="149" t="e">
        <f>#REF!</f>
        <v>#REF!</v>
      </c>
      <c r="H1032" s="150" t="e">
        <f>#REF!</f>
        <v>#REF!</v>
      </c>
      <c r="I1032" s="150" t="e">
        <f>#REF!</f>
        <v>#REF!</v>
      </c>
      <c r="J1032" s="150" t="e">
        <f>#REF!</f>
        <v>#REF!</v>
      </c>
      <c r="K1032" s="196" t="e">
        <f>#REF!</f>
        <v>#REF!</v>
      </c>
      <c r="L1032" s="197" t="e">
        <f>#REF!</f>
        <v>#REF!</v>
      </c>
      <c r="M1032" s="191" t="e">
        <f>#REF!</f>
        <v>#REF!</v>
      </c>
      <c r="N1032" s="150" t="e">
        <f>#REF!</f>
        <v>#REF!</v>
      </c>
      <c r="O1032" s="193" t="e">
        <f>#REF!</f>
        <v>#REF!</v>
      </c>
      <c r="P1032" s="162">
        <f>IFERROR(SUMIF($B$483:$B$547,$C1032&amp;$I1032,P$483:P$547)/SUMIF($D$483:$D$547,$I1032,P$483:P$547)*#REF!,0)</f>
        <v>0</v>
      </c>
      <c r="Q1032" s="162">
        <f>IFERROR(SUMIF($B$483:$B$547,$C1032&amp;$I1032,Q$483:Q$547)/SUMIF($D$483:$D$547,$I1032,Q$483:Q$547)*#REF!,0)</f>
        <v>0</v>
      </c>
      <c r="R1032" s="162">
        <f>IFERROR(SUMIF($B$483:$B$547,$C1032&amp;$I1032,R$483:R$547)/SUMIF($D$483:$D$547,$I1032,R$483:R$547)*#REF!,0)</f>
        <v>0</v>
      </c>
      <c r="S1032" s="162">
        <f>IFERROR(SUMIF($B$483:$B$547,$C1032&amp;$I1032,S$483:S$547)/SUMIF($D$483:$D$547,$I1032,S$483:S$547)*#REF!,0)</f>
        <v>0</v>
      </c>
      <c r="T1032" s="162">
        <f>IFERROR(SUMIF($B$483:$B$547,$C1032&amp;$I1032,T$483:T$547)/SUMIF($D$483:$D$547,$I1032,T$483:T$547)*#REF!,0)</f>
        <v>0</v>
      </c>
      <c r="U1032" s="162">
        <f>IFERROR(SUMIF($B$483:$B$547,$C1032&amp;$I1032,U$483:U$547)/SUMIF($D$483:$D$547,$I1032,U$483:U$547)*#REF!,0)</f>
        <v>0</v>
      </c>
      <c r="V1032" s="162">
        <f>IFERROR(SUMIF($B$483:$B$547,$C1032&amp;$I1032,V$483:V$547)/SUMIF($D$483:$D$547,$I1032,V$483:V$547)*#REF!,0)</f>
        <v>0</v>
      </c>
      <c r="W1032" s="162">
        <f>IFERROR(SUMIF($B$483:$B$547,$C1032&amp;$I1032,W$483:W$547)/SUMIF($D$483:$D$547,$I1032,W$483:W$547)*#REF!,0)</f>
        <v>0</v>
      </c>
      <c r="X1032" s="162">
        <f>IFERROR(SUMIF($B$483:$B$547,$C1032&amp;$I1032,X$483:X$547)/SUMIF($D$483:$D$547,$I1032,X$483:X$547)*#REF!,0)</f>
        <v>0</v>
      </c>
      <c r="Y1032" s="162">
        <f>IFERROR(SUMIF($B$483:$B$547,$C1032&amp;$I1032,Y$483:Y$547)/SUMIF($D$483:$D$547,$I1032,Y$483:Y$547)*#REF!,0)</f>
        <v>0</v>
      </c>
      <c r="Z1032" s="162">
        <f>IFERROR(SUMIF($B$483:$B$547,$C1032&amp;$I1032,Z$483:Z$547)/SUMIF($D$483:$D$547,$I1032,Z$483:Z$547)*#REF!,0)</f>
        <v>0</v>
      </c>
      <c r="AA1032" s="162">
        <f>IFERROR(SUMIF($B$483:$B$547,$C1032&amp;$I1032,AA$483:AA$547)/SUMIF($D$483:$D$547,$I1032,AA$483:AA$547)*#REF!,0)</f>
        <v>0</v>
      </c>
      <c r="AB1032" s="163">
        <f t="shared" si="330"/>
        <v>0</v>
      </c>
      <c r="AC1032" s="198"/>
      <c r="AE1032" s="194" t="e">
        <f>IF(J1032=0,"",VLOOKUP(J1032,#REF!,2,0)&amp;" - "&amp;J1032&amp;" ("&amp;F1032&amp;" - "&amp;G1032&amp;")")</f>
        <v>#REF!</v>
      </c>
      <c r="AF1032" s="161">
        <f>IFERROR(SUMIF($B$483:$B$547,$C1032&amp;$I1032,P$483:P$547)/SUMIF($D$483:$D$547,$I1032,P$483:P$547)*#REF!,0)</f>
        <v>0</v>
      </c>
      <c r="AG1032" s="162">
        <f>IFERROR(SUMIF($B$483:$B$547,$C1032&amp;$I1032,Q$483:Q$547)/SUMIF($D$483:$D$547,$I1032,Q$483:Q$547)*#REF!,0)</f>
        <v>0</v>
      </c>
      <c r="AH1032" s="162">
        <f>IFERROR(SUMIF($B$483:$B$547,$C1032&amp;$I1032,R$483:R$547)/SUMIF($D$483:$D$547,$I1032,R$483:R$547)*#REF!,0)</f>
        <v>0</v>
      </c>
      <c r="AI1032" s="162">
        <f>IFERROR(SUMIF($B$483:$B$547,$C1032&amp;$I1032,S$483:S$547)/SUMIF($D$483:$D$547,$I1032,S$483:S$547)*#REF!,0)</f>
        <v>0</v>
      </c>
      <c r="AJ1032" s="162">
        <f>IFERROR(SUMIF($B$483:$B$547,$C1032&amp;$I1032,T$483:T$547)/SUMIF($D$483:$D$547,$I1032,T$483:T$547)*#REF!,0)</f>
        <v>0</v>
      </c>
      <c r="AK1032" s="162">
        <f>IFERROR(SUMIF($B$483:$B$547,$C1032&amp;$I1032,U$483:U$547)/SUMIF($D$483:$D$547,$I1032,U$483:U$547)*#REF!,0)</f>
        <v>0</v>
      </c>
      <c r="AL1032" s="162">
        <f>IFERROR(SUMIF($B$483:$B$547,$C1032&amp;$I1032,V$483:V$547)/SUMIF($D$483:$D$547,$I1032,V$483:V$547)*#REF!,0)</f>
        <v>0</v>
      </c>
      <c r="AM1032" s="162">
        <f>IFERROR(SUMIF($B$483:$B$547,$C1032&amp;$I1032,W$483:W$547)/SUMIF($D$483:$D$547,$I1032,W$483:W$547)*#REF!,0)</f>
        <v>0</v>
      </c>
      <c r="AN1032" s="162">
        <f>IFERROR(SUMIF($B$483:$B$547,$C1032&amp;$I1032,X$483:X$547)/SUMIF($D$483:$D$547,$I1032,X$483:X$547)*#REF!,0)</f>
        <v>0</v>
      </c>
      <c r="AO1032" s="162">
        <f>IFERROR(SUMIF($B$483:$B$547,$C1032&amp;$I1032,Y$483:Y$547)/SUMIF($D$483:$D$547,$I1032,Y$483:Y$547)*#REF!,0)</f>
        <v>0</v>
      </c>
      <c r="AP1032" s="162">
        <f>IFERROR(SUMIF($B$483:$B$547,$C1032&amp;$I1032,Z$483:Z$547)/SUMIF($D$483:$D$547,$I1032,Z$483:Z$547)*#REF!,0)</f>
        <v>0</v>
      </c>
      <c r="AQ1032" s="162">
        <f>IFERROR(SUMIF($B$483:$B$547,$C1032&amp;$I1032,AA$483:AA$547)/SUMIF($D$483:$D$547,$I1032,AA$483:AA$547)*#REF!,0)</f>
        <v>0</v>
      </c>
      <c r="AR1032" s="163">
        <f t="shared" si="332"/>
        <v>0</v>
      </c>
      <c r="AT1032" s="208">
        <f>IFERROR(VLOOKUP(J1032,#REF!,10,0),0)</f>
        <v>0</v>
      </c>
    </row>
    <row r="1033" spans="1:46" hidden="1" outlineLevel="1" x14ac:dyDescent="0.25">
      <c r="A1033" s="14" t="str">
        <f t="shared" si="326"/>
        <v>PROP_OPER__17</v>
      </c>
      <c r="B1033" s="15" t="e">
        <f t="shared" si="327"/>
        <v>#REF!</v>
      </c>
      <c r="C1033" s="83"/>
      <c r="D1033" s="15">
        <v>1</v>
      </c>
      <c r="E1033" s="15">
        <v>17</v>
      </c>
      <c r="F1033" s="190" t="e">
        <f>#REF!</f>
        <v>#REF!</v>
      </c>
      <c r="G1033" s="149" t="e">
        <f>#REF!</f>
        <v>#REF!</v>
      </c>
      <c r="H1033" s="150" t="e">
        <f>#REF!</f>
        <v>#REF!</v>
      </c>
      <c r="I1033" s="150" t="e">
        <f>#REF!</f>
        <v>#REF!</v>
      </c>
      <c r="J1033" s="150" t="e">
        <f>#REF!</f>
        <v>#REF!</v>
      </c>
      <c r="K1033" s="196" t="e">
        <f>#REF!</f>
        <v>#REF!</v>
      </c>
      <c r="L1033" s="197" t="e">
        <f>#REF!</f>
        <v>#REF!</v>
      </c>
      <c r="M1033" s="191" t="e">
        <f>#REF!</f>
        <v>#REF!</v>
      </c>
      <c r="N1033" s="150" t="e">
        <f>#REF!</f>
        <v>#REF!</v>
      </c>
      <c r="O1033" s="193" t="e">
        <f>#REF!</f>
        <v>#REF!</v>
      </c>
      <c r="P1033" s="162">
        <f>IFERROR(SUMIF($B$483:$B$547,$C1033&amp;$I1033,P$483:P$547)/SUMIF($D$483:$D$547,$I1033,P$483:P$547)*#REF!,0)</f>
        <v>0</v>
      </c>
      <c r="Q1033" s="162">
        <f>IFERROR(SUMIF($B$483:$B$547,$C1033&amp;$I1033,Q$483:Q$547)/SUMIF($D$483:$D$547,$I1033,Q$483:Q$547)*#REF!,0)</f>
        <v>0</v>
      </c>
      <c r="R1033" s="162">
        <f>IFERROR(SUMIF($B$483:$B$547,$C1033&amp;$I1033,R$483:R$547)/SUMIF($D$483:$D$547,$I1033,R$483:R$547)*#REF!,0)</f>
        <v>0</v>
      </c>
      <c r="S1033" s="162">
        <f>IFERROR(SUMIF($B$483:$B$547,$C1033&amp;$I1033,S$483:S$547)/SUMIF($D$483:$D$547,$I1033,S$483:S$547)*#REF!,0)</f>
        <v>0</v>
      </c>
      <c r="T1033" s="162">
        <f>IFERROR(SUMIF($B$483:$B$547,$C1033&amp;$I1033,T$483:T$547)/SUMIF($D$483:$D$547,$I1033,T$483:T$547)*#REF!,0)</f>
        <v>0</v>
      </c>
      <c r="U1033" s="162">
        <f>IFERROR(SUMIF($B$483:$B$547,$C1033&amp;$I1033,U$483:U$547)/SUMIF($D$483:$D$547,$I1033,U$483:U$547)*#REF!,0)</f>
        <v>0</v>
      </c>
      <c r="V1033" s="162">
        <f>IFERROR(SUMIF($B$483:$B$547,$C1033&amp;$I1033,V$483:V$547)/SUMIF($D$483:$D$547,$I1033,V$483:V$547)*#REF!,0)</f>
        <v>0</v>
      </c>
      <c r="W1033" s="162">
        <f>IFERROR(SUMIF($B$483:$B$547,$C1033&amp;$I1033,W$483:W$547)/SUMIF($D$483:$D$547,$I1033,W$483:W$547)*#REF!,0)</f>
        <v>0</v>
      </c>
      <c r="X1033" s="162">
        <f>IFERROR(SUMIF($B$483:$B$547,$C1033&amp;$I1033,X$483:X$547)/SUMIF($D$483:$D$547,$I1033,X$483:X$547)*#REF!,0)</f>
        <v>0</v>
      </c>
      <c r="Y1033" s="162">
        <f>IFERROR(SUMIF($B$483:$B$547,$C1033&amp;$I1033,Y$483:Y$547)/SUMIF($D$483:$D$547,$I1033,Y$483:Y$547)*#REF!,0)</f>
        <v>0</v>
      </c>
      <c r="Z1033" s="162">
        <f>IFERROR(SUMIF($B$483:$B$547,$C1033&amp;$I1033,Z$483:Z$547)/SUMIF($D$483:$D$547,$I1033,Z$483:Z$547)*#REF!,0)</f>
        <v>0</v>
      </c>
      <c r="AA1033" s="162">
        <f>IFERROR(SUMIF($B$483:$B$547,$C1033&amp;$I1033,AA$483:AA$547)/SUMIF($D$483:$D$547,$I1033,AA$483:AA$547)*#REF!,0)</f>
        <v>0</v>
      </c>
      <c r="AB1033" s="163">
        <f t="shared" si="330"/>
        <v>0</v>
      </c>
      <c r="AC1033" s="198"/>
      <c r="AE1033" s="194" t="e">
        <f>IF(J1033=0,"",VLOOKUP(J1033,#REF!,2,0)&amp;" - "&amp;J1033&amp;" ("&amp;F1033&amp;" - "&amp;G1033&amp;")")</f>
        <v>#REF!</v>
      </c>
      <c r="AF1033" s="161">
        <f>IFERROR(SUMIF($B$483:$B$547,$C1033&amp;$I1033,P$483:P$547)/SUMIF($D$483:$D$547,$I1033,P$483:P$547)*#REF!,0)</f>
        <v>0</v>
      </c>
      <c r="AG1033" s="162">
        <f>IFERROR(SUMIF($B$483:$B$547,$C1033&amp;$I1033,Q$483:Q$547)/SUMIF($D$483:$D$547,$I1033,Q$483:Q$547)*#REF!,0)</f>
        <v>0</v>
      </c>
      <c r="AH1033" s="162">
        <f>IFERROR(SUMIF($B$483:$B$547,$C1033&amp;$I1033,R$483:R$547)/SUMIF($D$483:$D$547,$I1033,R$483:R$547)*#REF!,0)</f>
        <v>0</v>
      </c>
      <c r="AI1033" s="162">
        <f>IFERROR(SUMIF($B$483:$B$547,$C1033&amp;$I1033,S$483:S$547)/SUMIF($D$483:$D$547,$I1033,S$483:S$547)*#REF!,0)</f>
        <v>0</v>
      </c>
      <c r="AJ1033" s="162">
        <f>IFERROR(SUMIF($B$483:$B$547,$C1033&amp;$I1033,T$483:T$547)/SUMIF($D$483:$D$547,$I1033,T$483:T$547)*#REF!,0)</f>
        <v>0</v>
      </c>
      <c r="AK1033" s="162">
        <f>IFERROR(SUMIF($B$483:$B$547,$C1033&amp;$I1033,U$483:U$547)/SUMIF($D$483:$D$547,$I1033,U$483:U$547)*#REF!,0)</f>
        <v>0</v>
      </c>
      <c r="AL1033" s="162">
        <f>IFERROR(SUMIF($B$483:$B$547,$C1033&amp;$I1033,V$483:V$547)/SUMIF($D$483:$D$547,$I1033,V$483:V$547)*#REF!,0)</f>
        <v>0</v>
      </c>
      <c r="AM1033" s="162">
        <f>IFERROR(SUMIF($B$483:$B$547,$C1033&amp;$I1033,W$483:W$547)/SUMIF($D$483:$D$547,$I1033,W$483:W$547)*#REF!,0)</f>
        <v>0</v>
      </c>
      <c r="AN1033" s="162">
        <f>IFERROR(SUMIF($B$483:$B$547,$C1033&amp;$I1033,X$483:X$547)/SUMIF($D$483:$D$547,$I1033,X$483:X$547)*#REF!,0)</f>
        <v>0</v>
      </c>
      <c r="AO1033" s="162">
        <f>IFERROR(SUMIF($B$483:$B$547,$C1033&amp;$I1033,Y$483:Y$547)/SUMIF($D$483:$D$547,$I1033,Y$483:Y$547)*#REF!,0)</f>
        <v>0</v>
      </c>
      <c r="AP1033" s="162">
        <f>IFERROR(SUMIF($B$483:$B$547,$C1033&amp;$I1033,Z$483:Z$547)/SUMIF($D$483:$D$547,$I1033,Z$483:Z$547)*#REF!,0)</f>
        <v>0</v>
      </c>
      <c r="AQ1033" s="162">
        <f>IFERROR(SUMIF($B$483:$B$547,$C1033&amp;$I1033,AA$483:AA$547)/SUMIF($D$483:$D$547,$I1033,AA$483:AA$547)*#REF!,0)</f>
        <v>0</v>
      </c>
      <c r="AR1033" s="163">
        <f t="shared" si="332"/>
        <v>0</v>
      </c>
      <c r="AT1033" s="208">
        <f>IFERROR(VLOOKUP(J1033,#REF!,10,0),0)</f>
        <v>0</v>
      </c>
    </row>
    <row r="1034" spans="1:46" hidden="1" outlineLevel="1" x14ac:dyDescent="0.25">
      <c r="A1034" s="14" t="str">
        <f t="shared" si="326"/>
        <v>PROP_OPER__18</v>
      </c>
      <c r="B1034" s="15" t="e">
        <f t="shared" si="327"/>
        <v>#REF!</v>
      </c>
      <c r="C1034" s="83"/>
      <c r="D1034" s="15">
        <v>1</v>
      </c>
      <c r="E1034" s="15">
        <v>18</v>
      </c>
      <c r="F1034" s="190" t="e">
        <f>#REF!</f>
        <v>#REF!</v>
      </c>
      <c r="G1034" s="149" t="e">
        <f>#REF!</f>
        <v>#REF!</v>
      </c>
      <c r="H1034" s="150" t="e">
        <f>#REF!</f>
        <v>#REF!</v>
      </c>
      <c r="I1034" s="150" t="e">
        <f>#REF!</f>
        <v>#REF!</v>
      </c>
      <c r="J1034" s="150" t="e">
        <f>#REF!</f>
        <v>#REF!</v>
      </c>
      <c r="K1034" s="196" t="e">
        <f>#REF!</f>
        <v>#REF!</v>
      </c>
      <c r="L1034" s="197" t="e">
        <f>#REF!</f>
        <v>#REF!</v>
      </c>
      <c r="M1034" s="191" t="e">
        <f>#REF!</f>
        <v>#REF!</v>
      </c>
      <c r="N1034" s="150" t="e">
        <f>#REF!</f>
        <v>#REF!</v>
      </c>
      <c r="O1034" s="193" t="e">
        <f>#REF!</f>
        <v>#REF!</v>
      </c>
      <c r="P1034" s="162">
        <f>IFERROR(SUMIF($B$483:$B$547,$C1034&amp;$I1034,P$483:P$547)/SUMIF($D$483:$D$547,$I1034,P$483:P$547)*#REF!,0)</f>
        <v>0</v>
      </c>
      <c r="Q1034" s="162">
        <f>IFERROR(SUMIF($B$483:$B$547,$C1034&amp;$I1034,Q$483:Q$547)/SUMIF($D$483:$D$547,$I1034,Q$483:Q$547)*#REF!,0)</f>
        <v>0</v>
      </c>
      <c r="R1034" s="162">
        <f>IFERROR(SUMIF($B$483:$B$547,$C1034&amp;$I1034,R$483:R$547)/SUMIF($D$483:$D$547,$I1034,R$483:R$547)*#REF!,0)</f>
        <v>0</v>
      </c>
      <c r="S1034" s="162">
        <f>IFERROR(SUMIF($B$483:$B$547,$C1034&amp;$I1034,S$483:S$547)/SUMIF($D$483:$D$547,$I1034,S$483:S$547)*#REF!,0)</f>
        <v>0</v>
      </c>
      <c r="T1034" s="162">
        <f>IFERROR(SUMIF($B$483:$B$547,$C1034&amp;$I1034,T$483:T$547)/SUMIF($D$483:$D$547,$I1034,T$483:T$547)*#REF!,0)</f>
        <v>0</v>
      </c>
      <c r="U1034" s="162">
        <f>IFERROR(SUMIF($B$483:$B$547,$C1034&amp;$I1034,U$483:U$547)/SUMIF($D$483:$D$547,$I1034,U$483:U$547)*#REF!,0)</f>
        <v>0</v>
      </c>
      <c r="V1034" s="162">
        <f>IFERROR(SUMIF($B$483:$B$547,$C1034&amp;$I1034,V$483:V$547)/SUMIF($D$483:$D$547,$I1034,V$483:V$547)*#REF!,0)</f>
        <v>0</v>
      </c>
      <c r="W1034" s="162">
        <f>IFERROR(SUMIF($B$483:$B$547,$C1034&amp;$I1034,W$483:W$547)/SUMIF($D$483:$D$547,$I1034,W$483:W$547)*#REF!,0)</f>
        <v>0</v>
      </c>
      <c r="X1034" s="162">
        <f>IFERROR(SUMIF($B$483:$B$547,$C1034&amp;$I1034,X$483:X$547)/SUMIF($D$483:$D$547,$I1034,X$483:X$547)*#REF!,0)</f>
        <v>0</v>
      </c>
      <c r="Y1034" s="162">
        <f>IFERROR(SUMIF($B$483:$B$547,$C1034&amp;$I1034,Y$483:Y$547)/SUMIF($D$483:$D$547,$I1034,Y$483:Y$547)*#REF!,0)</f>
        <v>0</v>
      </c>
      <c r="Z1034" s="162">
        <f>IFERROR(SUMIF($B$483:$B$547,$C1034&amp;$I1034,Z$483:Z$547)/SUMIF($D$483:$D$547,$I1034,Z$483:Z$547)*#REF!,0)</f>
        <v>0</v>
      </c>
      <c r="AA1034" s="162">
        <f>IFERROR(SUMIF($B$483:$B$547,$C1034&amp;$I1034,AA$483:AA$547)/SUMIF($D$483:$D$547,$I1034,AA$483:AA$547)*#REF!,0)</f>
        <v>0</v>
      </c>
      <c r="AB1034" s="163">
        <f t="shared" si="330"/>
        <v>0</v>
      </c>
      <c r="AC1034" s="198"/>
      <c r="AE1034" s="194" t="e">
        <f>IF(J1034=0,"",VLOOKUP(J1034,#REF!,2,0)&amp;" - "&amp;J1034&amp;" ("&amp;F1034&amp;" - "&amp;G1034&amp;")")</f>
        <v>#REF!</v>
      </c>
      <c r="AF1034" s="161">
        <f>IFERROR(SUMIF($B$483:$B$547,$C1034&amp;$I1034,P$483:P$547)/SUMIF($D$483:$D$547,$I1034,P$483:P$547)*#REF!,0)</f>
        <v>0</v>
      </c>
      <c r="AG1034" s="162">
        <f>IFERROR(SUMIF($B$483:$B$547,$C1034&amp;$I1034,Q$483:Q$547)/SUMIF($D$483:$D$547,$I1034,Q$483:Q$547)*#REF!,0)</f>
        <v>0</v>
      </c>
      <c r="AH1034" s="162">
        <f>IFERROR(SUMIF($B$483:$B$547,$C1034&amp;$I1034,R$483:R$547)/SUMIF($D$483:$D$547,$I1034,R$483:R$547)*#REF!,0)</f>
        <v>0</v>
      </c>
      <c r="AI1034" s="162">
        <f>IFERROR(SUMIF($B$483:$B$547,$C1034&amp;$I1034,S$483:S$547)/SUMIF($D$483:$D$547,$I1034,S$483:S$547)*#REF!,0)</f>
        <v>0</v>
      </c>
      <c r="AJ1034" s="162">
        <f>IFERROR(SUMIF($B$483:$B$547,$C1034&amp;$I1034,T$483:T$547)/SUMIF($D$483:$D$547,$I1034,T$483:T$547)*#REF!,0)</f>
        <v>0</v>
      </c>
      <c r="AK1034" s="162">
        <f>IFERROR(SUMIF($B$483:$B$547,$C1034&amp;$I1034,U$483:U$547)/SUMIF($D$483:$D$547,$I1034,U$483:U$547)*#REF!,0)</f>
        <v>0</v>
      </c>
      <c r="AL1034" s="162">
        <f>IFERROR(SUMIF($B$483:$B$547,$C1034&amp;$I1034,V$483:V$547)/SUMIF($D$483:$D$547,$I1034,V$483:V$547)*#REF!,0)</f>
        <v>0</v>
      </c>
      <c r="AM1034" s="162">
        <f>IFERROR(SUMIF($B$483:$B$547,$C1034&amp;$I1034,W$483:W$547)/SUMIF($D$483:$D$547,$I1034,W$483:W$547)*#REF!,0)</f>
        <v>0</v>
      </c>
      <c r="AN1034" s="162">
        <f>IFERROR(SUMIF($B$483:$B$547,$C1034&amp;$I1034,X$483:X$547)/SUMIF($D$483:$D$547,$I1034,X$483:X$547)*#REF!,0)</f>
        <v>0</v>
      </c>
      <c r="AO1034" s="162">
        <f>IFERROR(SUMIF($B$483:$B$547,$C1034&amp;$I1034,Y$483:Y$547)/SUMIF($D$483:$D$547,$I1034,Y$483:Y$547)*#REF!,0)</f>
        <v>0</v>
      </c>
      <c r="AP1034" s="162">
        <f>IFERROR(SUMIF($B$483:$B$547,$C1034&amp;$I1034,Z$483:Z$547)/SUMIF($D$483:$D$547,$I1034,Z$483:Z$547)*#REF!,0)</f>
        <v>0</v>
      </c>
      <c r="AQ1034" s="162">
        <f>IFERROR(SUMIF($B$483:$B$547,$C1034&amp;$I1034,AA$483:AA$547)/SUMIF($D$483:$D$547,$I1034,AA$483:AA$547)*#REF!,0)</f>
        <v>0</v>
      </c>
      <c r="AR1034" s="163">
        <f t="shared" si="332"/>
        <v>0</v>
      </c>
      <c r="AT1034" s="208">
        <f>IFERROR(VLOOKUP(J1034,#REF!,10,0),0)</f>
        <v>0</v>
      </c>
    </row>
    <row r="1035" spans="1:46" hidden="1" outlineLevel="1" x14ac:dyDescent="0.25">
      <c r="A1035" s="14" t="str">
        <f t="shared" si="326"/>
        <v>PROP_OPER__19</v>
      </c>
      <c r="B1035" s="15" t="str">
        <f t="shared" si="327"/>
        <v>PROP_OPER__0_0</v>
      </c>
      <c r="C1035" s="83"/>
      <c r="D1035" s="15">
        <v>1</v>
      </c>
      <c r="E1035" s="15">
        <v>19</v>
      </c>
      <c r="F1035" s="190">
        <f t="shared" ref="F1035:O1050" si="333">F612</f>
        <v>0</v>
      </c>
      <c r="G1035" s="149" t="str">
        <f t="shared" si="333"/>
        <v/>
      </c>
      <c r="H1035" s="150" t="str">
        <f t="shared" si="333"/>
        <v/>
      </c>
      <c r="I1035" s="150">
        <f t="shared" si="333"/>
        <v>0</v>
      </c>
      <c r="J1035" s="150">
        <f t="shared" si="333"/>
        <v>0</v>
      </c>
      <c r="K1035" s="196" t="str">
        <f t="shared" si="333"/>
        <v/>
      </c>
      <c r="L1035" s="197" t="str">
        <f t="shared" si="333"/>
        <v/>
      </c>
      <c r="M1035" s="191">
        <f t="shared" si="333"/>
        <v>0</v>
      </c>
      <c r="N1035" s="150">
        <f t="shared" si="333"/>
        <v>0</v>
      </c>
      <c r="O1035" s="193">
        <f t="shared" si="333"/>
        <v>0</v>
      </c>
      <c r="P1035" s="162">
        <f t="shared" ref="P1035:AA1050" si="334">IFERROR(SUMIF($B$483:$B$547,$C1035&amp;$I1035,P$483:P$547)/SUMIF($D$483:$D$547,$I1035,P$483:P$547)*P612,0)</f>
        <v>0</v>
      </c>
      <c r="Q1035" s="162">
        <f t="shared" si="334"/>
        <v>0</v>
      </c>
      <c r="R1035" s="162">
        <f t="shared" si="334"/>
        <v>0</v>
      </c>
      <c r="S1035" s="162">
        <f t="shared" si="334"/>
        <v>0</v>
      </c>
      <c r="T1035" s="162">
        <f t="shared" si="334"/>
        <v>0</v>
      </c>
      <c r="U1035" s="162">
        <f t="shared" si="334"/>
        <v>0</v>
      </c>
      <c r="V1035" s="162">
        <f t="shared" si="334"/>
        <v>0</v>
      </c>
      <c r="W1035" s="162">
        <f t="shared" si="334"/>
        <v>0</v>
      </c>
      <c r="X1035" s="162">
        <f t="shared" si="334"/>
        <v>0</v>
      </c>
      <c r="Y1035" s="162">
        <f t="shared" si="334"/>
        <v>0</v>
      </c>
      <c r="Z1035" s="162">
        <f t="shared" si="334"/>
        <v>0</v>
      </c>
      <c r="AA1035" s="162">
        <f t="shared" si="334"/>
        <v>0</v>
      </c>
      <c r="AB1035" s="163">
        <f t="shared" si="330"/>
        <v>0</v>
      </c>
      <c r="AC1035" s="198"/>
      <c r="AE1035" s="194" t="str">
        <f>IF(J1035=0,"",VLOOKUP(J1035,#REF!,2,0)&amp;" - "&amp;J1035&amp;" ("&amp;F1035&amp;" - "&amp;G1035&amp;")")</f>
        <v/>
      </c>
      <c r="AF1035" s="161">
        <f t="shared" ref="AF1035:AQ1050" si="335">IFERROR(SUMIF($B$483:$B$547,$C1035&amp;$I1035,P$483:P$547)/SUMIF($D$483:$D$547,$I1035,P$483:P$547)*AF612,0)</f>
        <v>0</v>
      </c>
      <c r="AG1035" s="162">
        <f t="shared" si="335"/>
        <v>0</v>
      </c>
      <c r="AH1035" s="162">
        <f t="shared" si="335"/>
        <v>0</v>
      </c>
      <c r="AI1035" s="162">
        <f t="shared" si="335"/>
        <v>0</v>
      </c>
      <c r="AJ1035" s="162">
        <f t="shared" si="335"/>
        <v>0</v>
      </c>
      <c r="AK1035" s="162">
        <f t="shared" si="335"/>
        <v>0</v>
      </c>
      <c r="AL1035" s="162">
        <f t="shared" si="335"/>
        <v>0</v>
      </c>
      <c r="AM1035" s="162">
        <f t="shared" si="335"/>
        <v>0</v>
      </c>
      <c r="AN1035" s="162">
        <f t="shared" si="335"/>
        <v>0</v>
      </c>
      <c r="AO1035" s="162">
        <f t="shared" si="335"/>
        <v>0</v>
      </c>
      <c r="AP1035" s="162">
        <f t="shared" si="335"/>
        <v>0</v>
      </c>
      <c r="AQ1035" s="162">
        <f t="shared" si="335"/>
        <v>0</v>
      </c>
      <c r="AR1035" s="163">
        <f t="shared" si="332"/>
        <v>0</v>
      </c>
      <c r="AT1035" s="208">
        <f>IFERROR(VLOOKUP(J1035,#REF!,10,0),0)</f>
        <v>0</v>
      </c>
    </row>
    <row r="1036" spans="1:46" hidden="1" outlineLevel="1" x14ac:dyDescent="0.25">
      <c r="A1036" s="14" t="str">
        <f t="shared" si="326"/>
        <v>PROP_OPER__20</v>
      </c>
      <c r="B1036" s="15" t="str">
        <f t="shared" si="327"/>
        <v>PROP_OPER__0_0</v>
      </c>
      <c r="C1036" s="83"/>
      <c r="D1036" s="15">
        <v>1</v>
      </c>
      <c r="E1036" s="15">
        <v>20</v>
      </c>
      <c r="F1036" s="190">
        <f t="shared" si="333"/>
        <v>0</v>
      </c>
      <c r="G1036" s="149" t="str">
        <f t="shared" si="333"/>
        <v/>
      </c>
      <c r="H1036" s="150" t="str">
        <f t="shared" si="333"/>
        <v/>
      </c>
      <c r="I1036" s="150">
        <f t="shared" si="333"/>
        <v>0</v>
      </c>
      <c r="J1036" s="150">
        <f t="shared" si="333"/>
        <v>0</v>
      </c>
      <c r="K1036" s="196" t="str">
        <f t="shared" si="333"/>
        <v/>
      </c>
      <c r="L1036" s="197" t="str">
        <f t="shared" si="333"/>
        <v/>
      </c>
      <c r="M1036" s="191">
        <f t="shared" si="333"/>
        <v>0</v>
      </c>
      <c r="N1036" s="150">
        <f t="shared" si="333"/>
        <v>0</v>
      </c>
      <c r="O1036" s="193">
        <f t="shared" si="333"/>
        <v>0</v>
      </c>
      <c r="P1036" s="162">
        <f t="shared" si="334"/>
        <v>0</v>
      </c>
      <c r="Q1036" s="162">
        <f t="shared" si="334"/>
        <v>0</v>
      </c>
      <c r="R1036" s="162">
        <f t="shared" si="334"/>
        <v>0</v>
      </c>
      <c r="S1036" s="162">
        <f t="shared" si="334"/>
        <v>0</v>
      </c>
      <c r="T1036" s="162">
        <f t="shared" si="334"/>
        <v>0</v>
      </c>
      <c r="U1036" s="162">
        <f t="shared" si="334"/>
        <v>0</v>
      </c>
      <c r="V1036" s="162">
        <f t="shared" si="334"/>
        <v>0</v>
      </c>
      <c r="W1036" s="162">
        <f t="shared" si="334"/>
        <v>0</v>
      </c>
      <c r="X1036" s="162">
        <f t="shared" si="334"/>
        <v>0</v>
      </c>
      <c r="Y1036" s="162">
        <f t="shared" si="334"/>
        <v>0</v>
      </c>
      <c r="Z1036" s="162">
        <f t="shared" si="334"/>
        <v>0</v>
      </c>
      <c r="AA1036" s="162">
        <f t="shared" si="334"/>
        <v>0</v>
      </c>
      <c r="AB1036" s="163">
        <f t="shared" si="330"/>
        <v>0</v>
      </c>
      <c r="AC1036" s="198"/>
      <c r="AE1036" s="194" t="str">
        <f>IF(J1036=0,"",VLOOKUP(J1036,#REF!,2,0)&amp;" - "&amp;J1036&amp;" ("&amp;F1036&amp;" - "&amp;G1036&amp;")")</f>
        <v/>
      </c>
      <c r="AF1036" s="161">
        <f t="shared" si="335"/>
        <v>0</v>
      </c>
      <c r="AG1036" s="162">
        <f t="shared" si="335"/>
        <v>0</v>
      </c>
      <c r="AH1036" s="162">
        <f t="shared" si="335"/>
        <v>0</v>
      </c>
      <c r="AI1036" s="162">
        <f t="shared" si="335"/>
        <v>0</v>
      </c>
      <c r="AJ1036" s="162">
        <f t="shared" si="335"/>
        <v>0</v>
      </c>
      <c r="AK1036" s="162">
        <f t="shared" si="335"/>
        <v>0</v>
      </c>
      <c r="AL1036" s="162">
        <f t="shared" si="335"/>
        <v>0</v>
      </c>
      <c r="AM1036" s="162">
        <f t="shared" si="335"/>
        <v>0</v>
      </c>
      <c r="AN1036" s="162">
        <f t="shared" si="335"/>
        <v>0</v>
      </c>
      <c r="AO1036" s="162">
        <f t="shared" si="335"/>
        <v>0</v>
      </c>
      <c r="AP1036" s="162">
        <f t="shared" si="335"/>
        <v>0</v>
      </c>
      <c r="AQ1036" s="162">
        <f t="shared" si="335"/>
        <v>0</v>
      </c>
      <c r="AR1036" s="163">
        <f t="shared" si="332"/>
        <v>0</v>
      </c>
      <c r="AT1036" s="208">
        <f>IFERROR(VLOOKUP(J1036,#REF!,10,0),0)</f>
        <v>0</v>
      </c>
    </row>
    <row r="1037" spans="1:46" hidden="1" outlineLevel="1" x14ac:dyDescent="0.25">
      <c r="A1037" s="14" t="str">
        <f t="shared" si="326"/>
        <v>PROP_OPER__21</v>
      </c>
      <c r="B1037" s="15" t="str">
        <f t="shared" si="327"/>
        <v>PROP_OPER__0_0</v>
      </c>
      <c r="C1037" s="83"/>
      <c r="D1037" s="15">
        <v>1</v>
      </c>
      <c r="E1037" s="15">
        <v>21</v>
      </c>
      <c r="F1037" s="190">
        <f t="shared" si="333"/>
        <v>0</v>
      </c>
      <c r="G1037" s="149" t="str">
        <f t="shared" si="333"/>
        <v/>
      </c>
      <c r="H1037" s="150" t="str">
        <f t="shared" si="333"/>
        <v/>
      </c>
      <c r="I1037" s="150">
        <f t="shared" si="333"/>
        <v>0</v>
      </c>
      <c r="J1037" s="150">
        <f t="shared" si="333"/>
        <v>0</v>
      </c>
      <c r="K1037" s="196" t="str">
        <f t="shared" si="333"/>
        <v/>
      </c>
      <c r="L1037" s="197" t="str">
        <f t="shared" si="333"/>
        <v/>
      </c>
      <c r="M1037" s="191">
        <f t="shared" si="333"/>
        <v>0</v>
      </c>
      <c r="N1037" s="150">
        <f t="shared" si="333"/>
        <v>0</v>
      </c>
      <c r="O1037" s="193">
        <f t="shared" si="333"/>
        <v>0</v>
      </c>
      <c r="P1037" s="162">
        <f t="shared" si="334"/>
        <v>0</v>
      </c>
      <c r="Q1037" s="162">
        <f t="shared" si="334"/>
        <v>0</v>
      </c>
      <c r="R1037" s="162">
        <f t="shared" si="334"/>
        <v>0</v>
      </c>
      <c r="S1037" s="162">
        <f t="shared" si="334"/>
        <v>0</v>
      </c>
      <c r="T1037" s="162">
        <f t="shared" si="334"/>
        <v>0</v>
      </c>
      <c r="U1037" s="162">
        <f t="shared" si="334"/>
        <v>0</v>
      </c>
      <c r="V1037" s="162">
        <f t="shared" si="334"/>
        <v>0</v>
      </c>
      <c r="W1037" s="162">
        <f t="shared" si="334"/>
        <v>0</v>
      </c>
      <c r="X1037" s="162">
        <f t="shared" si="334"/>
        <v>0</v>
      </c>
      <c r="Y1037" s="162">
        <f t="shared" si="334"/>
        <v>0</v>
      </c>
      <c r="Z1037" s="162">
        <f t="shared" si="334"/>
        <v>0</v>
      </c>
      <c r="AA1037" s="162">
        <f t="shared" si="334"/>
        <v>0</v>
      </c>
      <c r="AB1037" s="163">
        <f t="shared" si="330"/>
        <v>0</v>
      </c>
      <c r="AC1037" s="198"/>
      <c r="AE1037" s="194" t="str">
        <f>IF(J1037=0,"",VLOOKUP(J1037,#REF!,2,0)&amp;" - "&amp;J1037&amp;" ("&amp;F1037&amp;" - "&amp;G1037&amp;")")</f>
        <v/>
      </c>
      <c r="AF1037" s="161">
        <f t="shared" si="335"/>
        <v>0</v>
      </c>
      <c r="AG1037" s="162">
        <f t="shared" si="335"/>
        <v>0</v>
      </c>
      <c r="AH1037" s="162">
        <f t="shared" si="335"/>
        <v>0</v>
      </c>
      <c r="AI1037" s="162">
        <f t="shared" si="335"/>
        <v>0</v>
      </c>
      <c r="AJ1037" s="162">
        <f t="shared" si="335"/>
        <v>0</v>
      </c>
      <c r="AK1037" s="162">
        <f t="shared" si="335"/>
        <v>0</v>
      </c>
      <c r="AL1037" s="162">
        <f t="shared" si="335"/>
        <v>0</v>
      </c>
      <c r="AM1037" s="162">
        <f t="shared" si="335"/>
        <v>0</v>
      </c>
      <c r="AN1037" s="162">
        <f t="shared" si="335"/>
        <v>0</v>
      </c>
      <c r="AO1037" s="162">
        <f t="shared" si="335"/>
        <v>0</v>
      </c>
      <c r="AP1037" s="162">
        <f t="shared" si="335"/>
        <v>0</v>
      </c>
      <c r="AQ1037" s="162">
        <f t="shared" si="335"/>
        <v>0</v>
      </c>
      <c r="AR1037" s="163">
        <f t="shared" si="332"/>
        <v>0</v>
      </c>
      <c r="AT1037" s="208">
        <f>IFERROR(VLOOKUP(J1037,#REF!,10,0),0)</f>
        <v>0</v>
      </c>
    </row>
    <row r="1038" spans="1:46" hidden="1" outlineLevel="1" x14ac:dyDescent="0.25">
      <c r="A1038" s="14" t="str">
        <f t="shared" si="326"/>
        <v>PROP_OPER__22</v>
      </c>
      <c r="B1038" s="15" t="str">
        <f t="shared" si="327"/>
        <v>PROP_OPER__0_0</v>
      </c>
      <c r="C1038" s="83"/>
      <c r="D1038" s="15">
        <v>1</v>
      </c>
      <c r="E1038" s="15">
        <v>22</v>
      </c>
      <c r="F1038" s="190">
        <f t="shared" si="333"/>
        <v>0</v>
      </c>
      <c r="G1038" s="149" t="str">
        <f t="shared" si="333"/>
        <v/>
      </c>
      <c r="H1038" s="150" t="str">
        <f t="shared" si="333"/>
        <v/>
      </c>
      <c r="I1038" s="150">
        <f t="shared" si="333"/>
        <v>0</v>
      </c>
      <c r="J1038" s="150">
        <f t="shared" si="333"/>
        <v>0</v>
      </c>
      <c r="K1038" s="196" t="str">
        <f t="shared" si="333"/>
        <v/>
      </c>
      <c r="L1038" s="197" t="str">
        <f t="shared" si="333"/>
        <v/>
      </c>
      <c r="M1038" s="191">
        <f t="shared" si="333"/>
        <v>0</v>
      </c>
      <c r="N1038" s="150">
        <f t="shared" si="333"/>
        <v>0</v>
      </c>
      <c r="O1038" s="193">
        <f t="shared" si="333"/>
        <v>0</v>
      </c>
      <c r="P1038" s="162">
        <f t="shared" si="334"/>
        <v>0</v>
      </c>
      <c r="Q1038" s="162">
        <f t="shared" si="334"/>
        <v>0</v>
      </c>
      <c r="R1038" s="162">
        <f t="shared" si="334"/>
        <v>0</v>
      </c>
      <c r="S1038" s="162">
        <f t="shared" si="334"/>
        <v>0</v>
      </c>
      <c r="T1038" s="162">
        <f t="shared" si="334"/>
        <v>0</v>
      </c>
      <c r="U1038" s="162">
        <f t="shared" si="334"/>
        <v>0</v>
      </c>
      <c r="V1038" s="162">
        <f t="shared" si="334"/>
        <v>0</v>
      </c>
      <c r="W1038" s="162">
        <f t="shared" si="334"/>
        <v>0</v>
      </c>
      <c r="X1038" s="162">
        <f t="shared" si="334"/>
        <v>0</v>
      </c>
      <c r="Y1038" s="162">
        <f t="shared" si="334"/>
        <v>0</v>
      </c>
      <c r="Z1038" s="162">
        <f t="shared" si="334"/>
        <v>0</v>
      </c>
      <c r="AA1038" s="162">
        <f t="shared" si="334"/>
        <v>0</v>
      </c>
      <c r="AB1038" s="163">
        <f t="shared" si="330"/>
        <v>0</v>
      </c>
      <c r="AC1038" s="198"/>
      <c r="AE1038" s="194" t="str">
        <f>IF(J1038=0,"",VLOOKUP(J1038,#REF!,2,0)&amp;" - "&amp;J1038&amp;" ("&amp;F1038&amp;" - "&amp;G1038&amp;")")</f>
        <v/>
      </c>
      <c r="AF1038" s="161">
        <f t="shared" si="335"/>
        <v>0</v>
      </c>
      <c r="AG1038" s="162">
        <f t="shared" si="335"/>
        <v>0</v>
      </c>
      <c r="AH1038" s="162">
        <f t="shared" si="335"/>
        <v>0</v>
      </c>
      <c r="AI1038" s="162">
        <f t="shared" si="335"/>
        <v>0</v>
      </c>
      <c r="AJ1038" s="162">
        <f t="shared" si="335"/>
        <v>0</v>
      </c>
      <c r="AK1038" s="162">
        <f t="shared" si="335"/>
        <v>0</v>
      </c>
      <c r="AL1038" s="162">
        <f t="shared" si="335"/>
        <v>0</v>
      </c>
      <c r="AM1038" s="162">
        <f t="shared" si="335"/>
        <v>0</v>
      </c>
      <c r="AN1038" s="162">
        <f t="shared" si="335"/>
        <v>0</v>
      </c>
      <c r="AO1038" s="162">
        <f t="shared" si="335"/>
        <v>0</v>
      </c>
      <c r="AP1038" s="162">
        <f t="shared" si="335"/>
        <v>0</v>
      </c>
      <c r="AQ1038" s="162">
        <f t="shared" si="335"/>
        <v>0</v>
      </c>
      <c r="AR1038" s="163">
        <f t="shared" si="332"/>
        <v>0</v>
      </c>
      <c r="AT1038" s="208">
        <f>IFERROR(VLOOKUP(J1038,#REF!,10,0),0)</f>
        <v>0</v>
      </c>
    </row>
    <row r="1039" spans="1:46" hidden="1" outlineLevel="1" x14ac:dyDescent="0.25">
      <c r="A1039" s="14" t="str">
        <f t="shared" si="326"/>
        <v>PROP_OPER__23</v>
      </c>
      <c r="B1039" s="15" t="str">
        <f t="shared" si="327"/>
        <v>PROP_OPER__0_0</v>
      </c>
      <c r="C1039" s="83"/>
      <c r="D1039" s="15">
        <v>1</v>
      </c>
      <c r="E1039" s="15">
        <v>23</v>
      </c>
      <c r="F1039" s="190">
        <f t="shared" si="333"/>
        <v>0</v>
      </c>
      <c r="G1039" s="149" t="str">
        <f t="shared" si="333"/>
        <v/>
      </c>
      <c r="H1039" s="150" t="str">
        <f t="shared" si="333"/>
        <v/>
      </c>
      <c r="I1039" s="150">
        <f t="shared" si="333"/>
        <v>0</v>
      </c>
      <c r="J1039" s="150">
        <f t="shared" si="333"/>
        <v>0</v>
      </c>
      <c r="K1039" s="196" t="str">
        <f t="shared" si="333"/>
        <v/>
      </c>
      <c r="L1039" s="197" t="str">
        <f t="shared" si="333"/>
        <v/>
      </c>
      <c r="M1039" s="191">
        <f t="shared" si="333"/>
        <v>0</v>
      </c>
      <c r="N1039" s="150">
        <f t="shared" si="333"/>
        <v>0</v>
      </c>
      <c r="O1039" s="193">
        <f t="shared" si="333"/>
        <v>0</v>
      </c>
      <c r="P1039" s="162">
        <f t="shared" si="334"/>
        <v>0</v>
      </c>
      <c r="Q1039" s="162">
        <f t="shared" si="334"/>
        <v>0</v>
      </c>
      <c r="R1039" s="162">
        <f t="shared" si="334"/>
        <v>0</v>
      </c>
      <c r="S1039" s="162">
        <f t="shared" si="334"/>
        <v>0</v>
      </c>
      <c r="T1039" s="162">
        <f t="shared" si="334"/>
        <v>0</v>
      </c>
      <c r="U1039" s="162">
        <f t="shared" si="334"/>
        <v>0</v>
      </c>
      <c r="V1039" s="162">
        <f t="shared" si="334"/>
        <v>0</v>
      </c>
      <c r="W1039" s="162">
        <f t="shared" si="334"/>
        <v>0</v>
      </c>
      <c r="X1039" s="162">
        <f t="shared" si="334"/>
        <v>0</v>
      </c>
      <c r="Y1039" s="162">
        <f t="shared" si="334"/>
        <v>0</v>
      </c>
      <c r="Z1039" s="162">
        <f t="shared" si="334"/>
        <v>0</v>
      </c>
      <c r="AA1039" s="162">
        <f t="shared" si="334"/>
        <v>0</v>
      </c>
      <c r="AB1039" s="163">
        <f t="shared" si="330"/>
        <v>0</v>
      </c>
      <c r="AC1039" s="198"/>
      <c r="AE1039" s="194" t="str">
        <f>IF(J1039=0,"",VLOOKUP(J1039,#REF!,2,0)&amp;" - "&amp;J1039&amp;" ("&amp;F1039&amp;" - "&amp;G1039&amp;")")</f>
        <v/>
      </c>
      <c r="AF1039" s="161">
        <f t="shared" si="335"/>
        <v>0</v>
      </c>
      <c r="AG1039" s="162">
        <f t="shared" si="335"/>
        <v>0</v>
      </c>
      <c r="AH1039" s="162">
        <f t="shared" si="335"/>
        <v>0</v>
      </c>
      <c r="AI1039" s="162">
        <f t="shared" si="335"/>
        <v>0</v>
      </c>
      <c r="AJ1039" s="162">
        <f t="shared" si="335"/>
        <v>0</v>
      </c>
      <c r="AK1039" s="162">
        <f t="shared" si="335"/>
        <v>0</v>
      </c>
      <c r="AL1039" s="162">
        <f t="shared" si="335"/>
        <v>0</v>
      </c>
      <c r="AM1039" s="162">
        <f t="shared" si="335"/>
        <v>0</v>
      </c>
      <c r="AN1039" s="162">
        <f t="shared" si="335"/>
        <v>0</v>
      </c>
      <c r="AO1039" s="162">
        <f t="shared" si="335"/>
        <v>0</v>
      </c>
      <c r="AP1039" s="162">
        <f t="shared" si="335"/>
        <v>0</v>
      </c>
      <c r="AQ1039" s="162">
        <f t="shared" si="335"/>
        <v>0</v>
      </c>
      <c r="AR1039" s="163">
        <f t="shared" si="332"/>
        <v>0</v>
      </c>
      <c r="AT1039" s="208">
        <f>IFERROR(VLOOKUP(J1039,#REF!,10,0),0)</f>
        <v>0</v>
      </c>
    </row>
    <row r="1040" spans="1:46" hidden="1" outlineLevel="1" x14ac:dyDescent="0.25">
      <c r="A1040" s="14" t="str">
        <f t="shared" si="326"/>
        <v>PROP_OPER__24</v>
      </c>
      <c r="B1040" s="15" t="str">
        <f t="shared" si="327"/>
        <v>PROP_OPER__0_0</v>
      </c>
      <c r="C1040" s="83"/>
      <c r="D1040" s="15">
        <v>1</v>
      </c>
      <c r="E1040" s="15">
        <v>24</v>
      </c>
      <c r="F1040" s="190">
        <f t="shared" si="333"/>
        <v>0</v>
      </c>
      <c r="G1040" s="149" t="str">
        <f t="shared" si="333"/>
        <v/>
      </c>
      <c r="H1040" s="150" t="str">
        <f t="shared" si="333"/>
        <v/>
      </c>
      <c r="I1040" s="150">
        <f t="shared" si="333"/>
        <v>0</v>
      </c>
      <c r="J1040" s="150">
        <f t="shared" si="333"/>
        <v>0</v>
      </c>
      <c r="K1040" s="196" t="str">
        <f t="shared" si="333"/>
        <v/>
      </c>
      <c r="L1040" s="197" t="str">
        <f t="shared" si="333"/>
        <v/>
      </c>
      <c r="M1040" s="191">
        <f t="shared" si="333"/>
        <v>0</v>
      </c>
      <c r="N1040" s="150">
        <f t="shared" si="333"/>
        <v>0</v>
      </c>
      <c r="O1040" s="193">
        <f t="shared" si="333"/>
        <v>0</v>
      </c>
      <c r="P1040" s="162">
        <f t="shared" si="334"/>
        <v>0</v>
      </c>
      <c r="Q1040" s="162">
        <f t="shared" si="334"/>
        <v>0</v>
      </c>
      <c r="R1040" s="162">
        <f t="shared" si="334"/>
        <v>0</v>
      </c>
      <c r="S1040" s="162">
        <f t="shared" si="334"/>
        <v>0</v>
      </c>
      <c r="T1040" s="162">
        <f t="shared" si="334"/>
        <v>0</v>
      </c>
      <c r="U1040" s="162">
        <f t="shared" si="334"/>
        <v>0</v>
      </c>
      <c r="V1040" s="162">
        <f t="shared" si="334"/>
        <v>0</v>
      </c>
      <c r="W1040" s="162">
        <f t="shared" si="334"/>
        <v>0</v>
      </c>
      <c r="X1040" s="162">
        <f t="shared" si="334"/>
        <v>0</v>
      </c>
      <c r="Y1040" s="162">
        <f t="shared" si="334"/>
        <v>0</v>
      </c>
      <c r="Z1040" s="162">
        <f t="shared" si="334"/>
        <v>0</v>
      </c>
      <c r="AA1040" s="162">
        <f t="shared" si="334"/>
        <v>0</v>
      </c>
      <c r="AB1040" s="163">
        <f t="shared" si="330"/>
        <v>0</v>
      </c>
      <c r="AC1040" s="198"/>
      <c r="AE1040" s="194" t="str">
        <f>IF(J1040=0,"",VLOOKUP(J1040,#REF!,2,0)&amp;" - "&amp;J1040&amp;" ("&amp;F1040&amp;" - "&amp;G1040&amp;")")</f>
        <v/>
      </c>
      <c r="AF1040" s="161">
        <f t="shared" si="335"/>
        <v>0</v>
      </c>
      <c r="AG1040" s="162">
        <f t="shared" si="335"/>
        <v>0</v>
      </c>
      <c r="AH1040" s="162">
        <f t="shared" si="335"/>
        <v>0</v>
      </c>
      <c r="AI1040" s="162">
        <f t="shared" si="335"/>
        <v>0</v>
      </c>
      <c r="AJ1040" s="162">
        <f t="shared" si="335"/>
        <v>0</v>
      </c>
      <c r="AK1040" s="162">
        <f t="shared" si="335"/>
        <v>0</v>
      </c>
      <c r="AL1040" s="162">
        <f t="shared" si="335"/>
        <v>0</v>
      </c>
      <c r="AM1040" s="162">
        <f t="shared" si="335"/>
        <v>0</v>
      </c>
      <c r="AN1040" s="162">
        <f t="shared" si="335"/>
        <v>0</v>
      </c>
      <c r="AO1040" s="162">
        <f t="shared" si="335"/>
        <v>0</v>
      </c>
      <c r="AP1040" s="162">
        <f t="shared" si="335"/>
        <v>0</v>
      </c>
      <c r="AQ1040" s="162">
        <f t="shared" si="335"/>
        <v>0</v>
      </c>
      <c r="AR1040" s="163">
        <f t="shared" si="332"/>
        <v>0</v>
      </c>
      <c r="AT1040" s="208">
        <f>IFERROR(VLOOKUP(J1040,#REF!,10,0),0)</f>
        <v>0</v>
      </c>
    </row>
    <row r="1041" spans="1:46" hidden="1" outlineLevel="1" x14ac:dyDescent="0.25">
      <c r="A1041" s="14" t="str">
        <f t="shared" si="326"/>
        <v>PROP_OPER__25</v>
      </c>
      <c r="B1041" s="15" t="str">
        <f t="shared" si="327"/>
        <v>PROP_OPER__0_0</v>
      </c>
      <c r="C1041" s="83"/>
      <c r="D1041" s="15">
        <v>1</v>
      </c>
      <c r="E1041" s="15">
        <v>25</v>
      </c>
      <c r="F1041" s="190">
        <f t="shared" si="333"/>
        <v>0</v>
      </c>
      <c r="G1041" s="149" t="str">
        <f t="shared" si="333"/>
        <v/>
      </c>
      <c r="H1041" s="150" t="str">
        <f t="shared" si="333"/>
        <v/>
      </c>
      <c r="I1041" s="150">
        <f t="shared" si="333"/>
        <v>0</v>
      </c>
      <c r="J1041" s="150">
        <f t="shared" si="333"/>
        <v>0</v>
      </c>
      <c r="K1041" s="196" t="str">
        <f t="shared" si="333"/>
        <v/>
      </c>
      <c r="L1041" s="197" t="str">
        <f t="shared" si="333"/>
        <v/>
      </c>
      <c r="M1041" s="191">
        <f t="shared" si="333"/>
        <v>0</v>
      </c>
      <c r="N1041" s="150">
        <f t="shared" si="333"/>
        <v>0</v>
      </c>
      <c r="O1041" s="193">
        <f t="shared" si="333"/>
        <v>0</v>
      </c>
      <c r="P1041" s="162">
        <f t="shared" si="334"/>
        <v>0</v>
      </c>
      <c r="Q1041" s="162">
        <f t="shared" si="334"/>
        <v>0</v>
      </c>
      <c r="R1041" s="162">
        <f t="shared" si="334"/>
        <v>0</v>
      </c>
      <c r="S1041" s="162">
        <f t="shared" si="334"/>
        <v>0</v>
      </c>
      <c r="T1041" s="162">
        <f t="shared" si="334"/>
        <v>0</v>
      </c>
      <c r="U1041" s="162">
        <f t="shared" si="334"/>
        <v>0</v>
      </c>
      <c r="V1041" s="162">
        <f t="shared" si="334"/>
        <v>0</v>
      </c>
      <c r="W1041" s="162">
        <f t="shared" si="334"/>
        <v>0</v>
      </c>
      <c r="X1041" s="162">
        <f t="shared" si="334"/>
        <v>0</v>
      </c>
      <c r="Y1041" s="162">
        <f t="shared" si="334"/>
        <v>0</v>
      </c>
      <c r="Z1041" s="162">
        <f t="shared" si="334"/>
        <v>0</v>
      </c>
      <c r="AA1041" s="162">
        <f t="shared" si="334"/>
        <v>0</v>
      </c>
      <c r="AB1041" s="163">
        <f t="shared" si="330"/>
        <v>0</v>
      </c>
      <c r="AC1041" s="198"/>
      <c r="AE1041" s="194" t="str">
        <f>IF(J1041=0,"",VLOOKUP(J1041,#REF!,2,0)&amp;" - "&amp;J1041&amp;" ("&amp;F1041&amp;" - "&amp;G1041&amp;")")</f>
        <v/>
      </c>
      <c r="AF1041" s="161">
        <f t="shared" si="335"/>
        <v>0</v>
      </c>
      <c r="AG1041" s="162">
        <f t="shared" si="335"/>
        <v>0</v>
      </c>
      <c r="AH1041" s="162">
        <f t="shared" si="335"/>
        <v>0</v>
      </c>
      <c r="AI1041" s="162">
        <f t="shared" si="335"/>
        <v>0</v>
      </c>
      <c r="AJ1041" s="162">
        <f t="shared" si="335"/>
        <v>0</v>
      </c>
      <c r="AK1041" s="162">
        <f t="shared" si="335"/>
        <v>0</v>
      </c>
      <c r="AL1041" s="162">
        <f t="shared" si="335"/>
        <v>0</v>
      </c>
      <c r="AM1041" s="162">
        <f t="shared" si="335"/>
        <v>0</v>
      </c>
      <c r="AN1041" s="162">
        <f t="shared" si="335"/>
        <v>0</v>
      </c>
      <c r="AO1041" s="162">
        <f t="shared" si="335"/>
        <v>0</v>
      </c>
      <c r="AP1041" s="162">
        <f t="shared" si="335"/>
        <v>0</v>
      </c>
      <c r="AQ1041" s="162">
        <f t="shared" si="335"/>
        <v>0</v>
      </c>
      <c r="AR1041" s="163">
        <f t="shared" si="332"/>
        <v>0</v>
      </c>
      <c r="AT1041" s="208">
        <f>IFERROR(VLOOKUP(J1041,#REF!,10,0),0)</f>
        <v>0</v>
      </c>
    </row>
    <row r="1042" spans="1:46" hidden="1" outlineLevel="1" x14ac:dyDescent="0.25">
      <c r="A1042" s="14" t="str">
        <f t="shared" si="326"/>
        <v>PROP_OPER__26</v>
      </c>
      <c r="B1042" s="15" t="str">
        <f t="shared" si="327"/>
        <v>PROP_OPER__0_0</v>
      </c>
      <c r="C1042" s="83"/>
      <c r="D1042" s="15">
        <v>1</v>
      </c>
      <c r="E1042" s="15">
        <v>26</v>
      </c>
      <c r="F1042" s="190">
        <f t="shared" si="333"/>
        <v>0</v>
      </c>
      <c r="G1042" s="149" t="str">
        <f t="shared" si="333"/>
        <v/>
      </c>
      <c r="H1042" s="150" t="str">
        <f t="shared" si="333"/>
        <v/>
      </c>
      <c r="I1042" s="150">
        <f t="shared" si="333"/>
        <v>0</v>
      </c>
      <c r="J1042" s="150">
        <f t="shared" si="333"/>
        <v>0</v>
      </c>
      <c r="K1042" s="196" t="str">
        <f t="shared" si="333"/>
        <v/>
      </c>
      <c r="L1042" s="197" t="str">
        <f t="shared" si="333"/>
        <v/>
      </c>
      <c r="M1042" s="191">
        <f t="shared" si="333"/>
        <v>0</v>
      </c>
      <c r="N1042" s="150">
        <f t="shared" si="333"/>
        <v>0</v>
      </c>
      <c r="O1042" s="193">
        <f t="shared" si="333"/>
        <v>0</v>
      </c>
      <c r="P1042" s="162">
        <f t="shared" si="334"/>
        <v>0</v>
      </c>
      <c r="Q1042" s="162">
        <f t="shared" si="334"/>
        <v>0</v>
      </c>
      <c r="R1042" s="162">
        <f t="shared" si="334"/>
        <v>0</v>
      </c>
      <c r="S1042" s="162">
        <f t="shared" si="334"/>
        <v>0</v>
      </c>
      <c r="T1042" s="162">
        <f t="shared" si="334"/>
        <v>0</v>
      </c>
      <c r="U1042" s="162">
        <f t="shared" si="334"/>
        <v>0</v>
      </c>
      <c r="V1042" s="162">
        <f t="shared" si="334"/>
        <v>0</v>
      </c>
      <c r="W1042" s="162">
        <f t="shared" si="334"/>
        <v>0</v>
      </c>
      <c r="X1042" s="162">
        <f t="shared" si="334"/>
        <v>0</v>
      </c>
      <c r="Y1042" s="162">
        <f t="shared" si="334"/>
        <v>0</v>
      </c>
      <c r="Z1042" s="162">
        <f t="shared" si="334"/>
        <v>0</v>
      </c>
      <c r="AA1042" s="162">
        <f t="shared" si="334"/>
        <v>0</v>
      </c>
      <c r="AB1042" s="163">
        <f t="shared" si="330"/>
        <v>0</v>
      </c>
      <c r="AC1042" s="198"/>
      <c r="AE1042" s="194" t="str">
        <f>IF(J1042=0,"",VLOOKUP(J1042,#REF!,2,0)&amp;" - "&amp;J1042&amp;" ("&amp;F1042&amp;" - "&amp;G1042&amp;")")</f>
        <v/>
      </c>
      <c r="AF1042" s="161">
        <f t="shared" si="335"/>
        <v>0</v>
      </c>
      <c r="AG1042" s="162">
        <f t="shared" si="335"/>
        <v>0</v>
      </c>
      <c r="AH1042" s="162">
        <f t="shared" si="335"/>
        <v>0</v>
      </c>
      <c r="AI1042" s="162">
        <f t="shared" si="335"/>
        <v>0</v>
      </c>
      <c r="AJ1042" s="162">
        <f t="shared" si="335"/>
        <v>0</v>
      </c>
      <c r="AK1042" s="162">
        <f t="shared" si="335"/>
        <v>0</v>
      </c>
      <c r="AL1042" s="162">
        <f t="shared" si="335"/>
        <v>0</v>
      </c>
      <c r="AM1042" s="162">
        <f t="shared" si="335"/>
        <v>0</v>
      </c>
      <c r="AN1042" s="162">
        <f t="shared" si="335"/>
        <v>0</v>
      </c>
      <c r="AO1042" s="162">
        <f t="shared" si="335"/>
        <v>0</v>
      </c>
      <c r="AP1042" s="162">
        <f t="shared" si="335"/>
        <v>0</v>
      </c>
      <c r="AQ1042" s="162">
        <f t="shared" si="335"/>
        <v>0</v>
      </c>
      <c r="AR1042" s="163">
        <f t="shared" si="332"/>
        <v>0</v>
      </c>
      <c r="AT1042" s="208">
        <f>IFERROR(VLOOKUP(J1042,#REF!,10,0),0)</f>
        <v>0</v>
      </c>
    </row>
    <row r="1043" spans="1:46" hidden="1" outlineLevel="1" x14ac:dyDescent="0.25">
      <c r="A1043" s="14" t="str">
        <f t="shared" si="326"/>
        <v>PROP_OPER__27</v>
      </c>
      <c r="B1043" s="15" t="str">
        <f t="shared" si="327"/>
        <v>PROP_OPER__0_0</v>
      </c>
      <c r="C1043" s="83"/>
      <c r="D1043" s="15">
        <v>1</v>
      </c>
      <c r="E1043" s="15">
        <v>27</v>
      </c>
      <c r="F1043" s="190">
        <f t="shared" si="333"/>
        <v>0</v>
      </c>
      <c r="G1043" s="149" t="str">
        <f t="shared" si="333"/>
        <v/>
      </c>
      <c r="H1043" s="150" t="str">
        <f t="shared" si="333"/>
        <v/>
      </c>
      <c r="I1043" s="150">
        <f t="shared" si="333"/>
        <v>0</v>
      </c>
      <c r="J1043" s="150">
        <f t="shared" si="333"/>
        <v>0</v>
      </c>
      <c r="K1043" s="196" t="str">
        <f t="shared" si="333"/>
        <v/>
      </c>
      <c r="L1043" s="197" t="str">
        <f t="shared" si="333"/>
        <v/>
      </c>
      <c r="M1043" s="191">
        <f t="shared" si="333"/>
        <v>0</v>
      </c>
      <c r="N1043" s="150">
        <f t="shared" si="333"/>
        <v>0</v>
      </c>
      <c r="O1043" s="193">
        <f t="shared" si="333"/>
        <v>0</v>
      </c>
      <c r="P1043" s="162">
        <f t="shared" si="334"/>
        <v>0</v>
      </c>
      <c r="Q1043" s="162">
        <f t="shared" si="334"/>
        <v>0</v>
      </c>
      <c r="R1043" s="162">
        <f t="shared" si="334"/>
        <v>0</v>
      </c>
      <c r="S1043" s="162">
        <f t="shared" si="334"/>
        <v>0</v>
      </c>
      <c r="T1043" s="162">
        <f t="shared" si="334"/>
        <v>0</v>
      </c>
      <c r="U1043" s="162">
        <f t="shared" si="334"/>
        <v>0</v>
      </c>
      <c r="V1043" s="162">
        <f t="shared" si="334"/>
        <v>0</v>
      </c>
      <c r="W1043" s="162">
        <f t="shared" si="334"/>
        <v>0</v>
      </c>
      <c r="X1043" s="162">
        <f t="shared" si="334"/>
        <v>0</v>
      </c>
      <c r="Y1043" s="162">
        <f t="shared" si="334"/>
        <v>0</v>
      </c>
      <c r="Z1043" s="162">
        <f t="shared" si="334"/>
        <v>0</v>
      </c>
      <c r="AA1043" s="162">
        <f t="shared" si="334"/>
        <v>0</v>
      </c>
      <c r="AB1043" s="163">
        <f t="shared" si="330"/>
        <v>0</v>
      </c>
      <c r="AC1043" s="198"/>
      <c r="AE1043" s="194" t="str">
        <f>IF(J1043=0,"",VLOOKUP(J1043,#REF!,2,0)&amp;" - "&amp;J1043&amp;" ("&amp;F1043&amp;" - "&amp;G1043&amp;")")</f>
        <v/>
      </c>
      <c r="AF1043" s="161">
        <f t="shared" si="335"/>
        <v>0</v>
      </c>
      <c r="AG1043" s="162">
        <f t="shared" si="335"/>
        <v>0</v>
      </c>
      <c r="AH1043" s="162">
        <f t="shared" si="335"/>
        <v>0</v>
      </c>
      <c r="AI1043" s="162">
        <f t="shared" si="335"/>
        <v>0</v>
      </c>
      <c r="AJ1043" s="162">
        <f t="shared" si="335"/>
        <v>0</v>
      </c>
      <c r="AK1043" s="162">
        <f t="shared" si="335"/>
        <v>0</v>
      </c>
      <c r="AL1043" s="162">
        <f t="shared" si="335"/>
        <v>0</v>
      </c>
      <c r="AM1043" s="162">
        <f t="shared" si="335"/>
        <v>0</v>
      </c>
      <c r="AN1043" s="162">
        <f t="shared" si="335"/>
        <v>0</v>
      </c>
      <c r="AO1043" s="162">
        <f t="shared" si="335"/>
        <v>0</v>
      </c>
      <c r="AP1043" s="162">
        <f t="shared" si="335"/>
        <v>0</v>
      </c>
      <c r="AQ1043" s="162">
        <f t="shared" si="335"/>
        <v>0</v>
      </c>
      <c r="AR1043" s="163">
        <f t="shared" si="332"/>
        <v>0</v>
      </c>
      <c r="AT1043" s="208">
        <f>IFERROR(VLOOKUP(J1043,#REF!,10,0),0)</f>
        <v>0</v>
      </c>
    </row>
    <row r="1044" spans="1:46" hidden="1" outlineLevel="1" x14ac:dyDescent="0.25">
      <c r="A1044" s="14" t="str">
        <f t="shared" si="326"/>
        <v>PROP_OPER__28</v>
      </c>
      <c r="B1044" s="15" t="str">
        <f t="shared" si="327"/>
        <v>PROP_OPER__0_0</v>
      </c>
      <c r="C1044" s="83"/>
      <c r="D1044" s="15">
        <v>1</v>
      </c>
      <c r="E1044" s="15">
        <v>28</v>
      </c>
      <c r="F1044" s="190">
        <f t="shared" si="333"/>
        <v>0</v>
      </c>
      <c r="G1044" s="149" t="str">
        <f t="shared" si="333"/>
        <v/>
      </c>
      <c r="H1044" s="150" t="str">
        <f t="shared" si="333"/>
        <v/>
      </c>
      <c r="I1044" s="150">
        <f t="shared" si="333"/>
        <v>0</v>
      </c>
      <c r="J1044" s="150">
        <f t="shared" si="333"/>
        <v>0</v>
      </c>
      <c r="K1044" s="196" t="str">
        <f t="shared" si="333"/>
        <v/>
      </c>
      <c r="L1044" s="197" t="str">
        <f t="shared" si="333"/>
        <v/>
      </c>
      <c r="M1044" s="191">
        <f t="shared" si="333"/>
        <v>0</v>
      </c>
      <c r="N1044" s="150">
        <f t="shared" si="333"/>
        <v>0</v>
      </c>
      <c r="O1044" s="193">
        <f t="shared" si="333"/>
        <v>0</v>
      </c>
      <c r="P1044" s="162">
        <f t="shared" si="334"/>
        <v>0</v>
      </c>
      <c r="Q1044" s="162">
        <f t="shared" si="334"/>
        <v>0</v>
      </c>
      <c r="R1044" s="162">
        <f t="shared" si="334"/>
        <v>0</v>
      </c>
      <c r="S1044" s="162">
        <f t="shared" si="334"/>
        <v>0</v>
      </c>
      <c r="T1044" s="162">
        <f t="shared" si="334"/>
        <v>0</v>
      </c>
      <c r="U1044" s="162">
        <f t="shared" si="334"/>
        <v>0</v>
      </c>
      <c r="V1044" s="162">
        <f t="shared" si="334"/>
        <v>0</v>
      </c>
      <c r="W1044" s="162">
        <f t="shared" si="334"/>
        <v>0</v>
      </c>
      <c r="X1044" s="162">
        <f t="shared" si="334"/>
        <v>0</v>
      </c>
      <c r="Y1044" s="162">
        <f t="shared" si="334"/>
        <v>0</v>
      </c>
      <c r="Z1044" s="162">
        <f t="shared" si="334"/>
        <v>0</v>
      </c>
      <c r="AA1044" s="162">
        <f t="shared" si="334"/>
        <v>0</v>
      </c>
      <c r="AB1044" s="163">
        <f t="shared" si="330"/>
        <v>0</v>
      </c>
      <c r="AC1044" s="198"/>
      <c r="AE1044" s="194" t="str">
        <f>IF(J1044=0,"",VLOOKUP(J1044,#REF!,2,0)&amp;" - "&amp;J1044&amp;" ("&amp;F1044&amp;" - "&amp;G1044&amp;")")</f>
        <v/>
      </c>
      <c r="AF1044" s="161">
        <f t="shared" si="335"/>
        <v>0</v>
      </c>
      <c r="AG1044" s="162">
        <f t="shared" si="335"/>
        <v>0</v>
      </c>
      <c r="AH1044" s="162">
        <f t="shared" si="335"/>
        <v>0</v>
      </c>
      <c r="AI1044" s="162">
        <f t="shared" si="335"/>
        <v>0</v>
      </c>
      <c r="AJ1044" s="162">
        <f t="shared" si="335"/>
        <v>0</v>
      </c>
      <c r="AK1044" s="162">
        <f t="shared" si="335"/>
        <v>0</v>
      </c>
      <c r="AL1044" s="162">
        <f t="shared" si="335"/>
        <v>0</v>
      </c>
      <c r="AM1044" s="162">
        <f t="shared" si="335"/>
        <v>0</v>
      </c>
      <c r="AN1044" s="162">
        <f t="shared" si="335"/>
        <v>0</v>
      </c>
      <c r="AO1044" s="162">
        <f t="shared" si="335"/>
        <v>0</v>
      </c>
      <c r="AP1044" s="162">
        <f t="shared" si="335"/>
        <v>0</v>
      </c>
      <c r="AQ1044" s="162">
        <f t="shared" si="335"/>
        <v>0</v>
      </c>
      <c r="AR1044" s="163">
        <f t="shared" si="332"/>
        <v>0</v>
      </c>
      <c r="AT1044" s="208">
        <f>IFERROR(VLOOKUP(J1044,#REF!,10,0),0)</f>
        <v>0</v>
      </c>
    </row>
    <row r="1045" spans="1:46" hidden="1" outlineLevel="1" x14ac:dyDescent="0.25">
      <c r="A1045" s="14" t="str">
        <f t="shared" si="326"/>
        <v>PROP_OPER__29</v>
      </c>
      <c r="B1045" s="15" t="str">
        <f t="shared" si="327"/>
        <v>PROP_OPER__0_0</v>
      </c>
      <c r="C1045" s="83"/>
      <c r="D1045" s="15">
        <v>1</v>
      </c>
      <c r="E1045" s="15">
        <v>29</v>
      </c>
      <c r="F1045" s="190">
        <f t="shared" si="333"/>
        <v>0</v>
      </c>
      <c r="G1045" s="149" t="str">
        <f t="shared" si="333"/>
        <v/>
      </c>
      <c r="H1045" s="150" t="str">
        <f t="shared" si="333"/>
        <v/>
      </c>
      <c r="I1045" s="150">
        <f t="shared" si="333"/>
        <v>0</v>
      </c>
      <c r="J1045" s="150">
        <f t="shared" si="333"/>
        <v>0</v>
      </c>
      <c r="K1045" s="196" t="str">
        <f t="shared" si="333"/>
        <v/>
      </c>
      <c r="L1045" s="197" t="str">
        <f t="shared" si="333"/>
        <v/>
      </c>
      <c r="M1045" s="191">
        <f t="shared" si="333"/>
        <v>0</v>
      </c>
      <c r="N1045" s="150">
        <f t="shared" si="333"/>
        <v>0</v>
      </c>
      <c r="O1045" s="193">
        <f t="shared" si="333"/>
        <v>0</v>
      </c>
      <c r="P1045" s="162">
        <f t="shared" si="334"/>
        <v>0</v>
      </c>
      <c r="Q1045" s="162">
        <f t="shared" si="334"/>
        <v>0</v>
      </c>
      <c r="R1045" s="162">
        <f t="shared" si="334"/>
        <v>0</v>
      </c>
      <c r="S1045" s="162">
        <f t="shared" si="334"/>
        <v>0</v>
      </c>
      <c r="T1045" s="162">
        <f t="shared" si="334"/>
        <v>0</v>
      </c>
      <c r="U1045" s="162">
        <f t="shared" si="334"/>
        <v>0</v>
      </c>
      <c r="V1045" s="162">
        <f t="shared" si="334"/>
        <v>0</v>
      </c>
      <c r="W1045" s="162">
        <f t="shared" si="334"/>
        <v>0</v>
      </c>
      <c r="X1045" s="162">
        <f t="shared" si="334"/>
        <v>0</v>
      </c>
      <c r="Y1045" s="162">
        <f t="shared" si="334"/>
        <v>0</v>
      </c>
      <c r="Z1045" s="162">
        <f t="shared" si="334"/>
        <v>0</v>
      </c>
      <c r="AA1045" s="162">
        <f t="shared" si="334"/>
        <v>0</v>
      </c>
      <c r="AB1045" s="163">
        <f t="shared" si="330"/>
        <v>0</v>
      </c>
      <c r="AC1045" s="198"/>
      <c r="AE1045" s="194" t="str">
        <f>IF(J1045=0,"",VLOOKUP(J1045,#REF!,2,0)&amp;" - "&amp;J1045&amp;" ("&amp;F1045&amp;" - "&amp;G1045&amp;")")</f>
        <v/>
      </c>
      <c r="AF1045" s="161">
        <f t="shared" si="335"/>
        <v>0</v>
      </c>
      <c r="AG1045" s="162">
        <f t="shared" si="335"/>
        <v>0</v>
      </c>
      <c r="AH1045" s="162">
        <f t="shared" si="335"/>
        <v>0</v>
      </c>
      <c r="AI1045" s="162">
        <f t="shared" si="335"/>
        <v>0</v>
      </c>
      <c r="AJ1045" s="162">
        <f t="shared" si="335"/>
        <v>0</v>
      </c>
      <c r="AK1045" s="162">
        <f t="shared" si="335"/>
        <v>0</v>
      </c>
      <c r="AL1045" s="162">
        <f t="shared" si="335"/>
        <v>0</v>
      </c>
      <c r="AM1045" s="162">
        <f t="shared" si="335"/>
        <v>0</v>
      </c>
      <c r="AN1045" s="162">
        <f t="shared" si="335"/>
        <v>0</v>
      </c>
      <c r="AO1045" s="162">
        <f t="shared" si="335"/>
        <v>0</v>
      </c>
      <c r="AP1045" s="162">
        <f t="shared" si="335"/>
        <v>0</v>
      </c>
      <c r="AQ1045" s="162">
        <f t="shared" si="335"/>
        <v>0</v>
      </c>
      <c r="AR1045" s="163">
        <f t="shared" si="332"/>
        <v>0</v>
      </c>
      <c r="AT1045" s="208">
        <f>IFERROR(VLOOKUP(J1045,#REF!,10,0),0)</f>
        <v>0</v>
      </c>
    </row>
    <row r="1046" spans="1:46" hidden="1" outlineLevel="1" x14ac:dyDescent="0.25">
      <c r="A1046" s="14" t="str">
        <f t="shared" si="326"/>
        <v>PROP_OPER__30</v>
      </c>
      <c r="B1046" s="15" t="str">
        <f t="shared" si="327"/>
        <v>PROP_OPER__0_0</v>
      </c>
      <c r="C1046" s="83"/>
      <c r="D1046" s="15">
        <v>1</v>
      </c>
      <c r="E1046" s="15">
        <v>30</v>
      </c>
      <c r="F1046" s="190">
        <f t="shared" si="333"/>
        <v>0</v>
      </c>
      <c r="G1046" s="149" t="str">
        <f t="shared" si="333"/>
        <v/>
      </c>
      <c r="H1046" s="150" t="str">
        <f t="shared" si="333"/>
        <v/>
      </c>
      <c r="I1046" s="150">
        <f t="shared" si="333"/>
        <v>0</v>
      </c>
      <c r="J1046" s="150">
        <f t="shared" si="333"/>
        <v>0</v>
      </c>
      <c r="K1046" s="196" t="str">
        <f t="shared" si="333"/>
        <v/>
      </c>
      <c r="L1046" s="197" t="str">
        <f t="shared" si="333"/>
        <v/>
      </c>
      <c r="M1046" s="191">
        <f t="shared" si="333"/>
        <v>0</v>
      </c>
      <c r="N1046" s="150">
        <f t="shared" si="333"/>
        <v>0</v>
      </c>
      <c r="O1046" s="193">
        <f t="shared" si="333"/>
        <v>0</v>
      </c>
      <c r="P1046" s="162">
        <f t="shared" si="334"/>
        <v>0</v>
      </c>
      <c r="Q1046" s="162">
        <f t="shared" si="334"/>
        <v>0</v>
      </c>
      <c r="R1046" s="162">
        <f t="shared" si="334"/>
        <v>0</v>
      </c>
      <c r="S1046" s="162">
        <f t="shared" si="334"/>
        <v>0</v>
      </c>
      <c r="T1046" s="162">
        <f t="shared" si="334"/>
        <v>0</v>
      </c>
      <c r="U1046" s="162">
        <f t="shared" si="334"/>
        <v>0</v>
      </c>
      <c r="V1046" s="162">
        <f t="shared" si="334"/>
        <v>0</v>
      </c>
      <c r="W1046" s="162">
        <f t="shared" si="334"/>
        <v>0</v>
      </c>
      <c r="X1046" s="162">
        <f t="shared" si="334"/>
        <v>0</v>
      </c>
      <c r="Y1046" s="162">
        <f t="shared" si="334"/>
        <v>0</v>
      </c>
      <c r="Z1046" s="162">
        <f t="shared" si="334"/>
        <v>0</v>
      </c>
      <c r="AA1046" s="162">
        <f t="shared" si="334"/>
        <v>0</v>
      </c>
      <c r="AB1046" s="163">
        <f t="shared" si="330"/>
        <v>0</v>
      </c>
      <c r="AC1046" s="198"/>
      <c r="AE1046" s="194" t="str">
        <f>IF(J1046=0,"",VLOOKUP(J1046,#REF!,2,0)&amp;" - "&amp;J1046&amp;" ("&amp;F1046&amp;" - "&amp;G1046&amp;")")</f>
        <v/>
      </c>
      <c r="AF1046" s="161">
        <f t="shared" si="335"/>
        <v>0</v>
      </c>
      <c r="AG1046" s="162">
        <f t="shared" si="335"/>
        <v>0</v>
      </c>
      <c r="AH1046" s="162">
        <f t="shared" si="335"/>
        <v>0</v>
      </c>
      <c r="AI1046" s="162">
        <f t="shared" si="335"/>
        <v>0</v>
      </c>
      <c r="AJ1046" s="162">
        <f t="shared" si="335"/>
        <v>0</v>
      </c>
      <c r="AK1046" s="162">
        <f t="shared" si="335"/>
        <v>0</v>
      </c>
      <c r="AL1046" s="162">
        <f t="shared" si="335"/>
        <v>0</v>
      </c>
      <c r="AM1046" s="162">
        <f t="shared" si="335"/>
        <v>0</v>
      </c>
      <c r="AN1046" s="162">
        <f t="shared" si="335"/>
        <v>0</v>
      </c>
      <c r="AO1046" s="162">
        <f t="shared" si="335"/>
        <v>0</v>
      </c>
      <c r="AP1046" s="162">
        <f t="shared" si="335"/>
        <v>0</v>
      </c>
      <c r="AQ1046" s="162">
        <f t="shared" si="335"/>
        <v>0</v>
      </c>
      <c r="AR1046" s="163">
        <f t="shared" si="332"/>
        <v>0</v>
      </c>
      <c r="AT1046" s="208">
        <f>IFERROR(VLOOKUP(J1046,#REF!,10,0),0)</f>
        <v>0</v>
      </c>
    </row>
    <row r="1047" spans="1:46" hidden="1" outlineLevel="1" x14ac:dyDescent="0.25">
      <c r="A1047" s="14" t="str">
        <f t="shared" si="326"/>
        <v>PROP_OPER__31</v>
      </c>
      <c r="B1047" s="15" t="str">
        <f t="shared" si="327"/>
        <v>PROP_OPER__0_0</v>
      </c>
      <c r="C1047" s="83"/>
      <c r="D1047" s="15">
        <v>1</v>
      </c>
      <c r="E1047" s="15">
        <v>31</v>
      </c>
      <c r="F1047" s="190">
        <f t="shared" si="333"/>
        <v>0</v>
      </c>
      <c r="G1047" s="149" t="str">
        <f t="shared" si="333"/>
        <v/>
      </c>
      <c r="H1047" s="150" t="str">
        <f t="shared" si="333"/>
        <v/>
      </c>
      <c r="I1047" s="150">
        <f t="shared" si="333"/>
        <v>0</v>
      </c>
      <c r="J1047" s="150">
        <f t="shared" si="333"/>
        <v>0</v>
      </c>
      <c r="K1047" s="196" t="str">
        <f t="shared" si="333"/>
        <v/>
      </c>
      <c r="L1047" s="197" t="str">
        <f t="shared" si="333"/>
        <v/>
      </c>
      <c r="M1047" s="191">
        <f t="shared" si="333"/>
        <v>0</v>
      </c>
      <c r="N1047" s="150">
        <f t="shared" si="333"/>
        <v>0</v>
      </c>
      <c r="O1047" s="193">
        <f t="shared" si="333"/>
        <v>0</v>
      </c>
      <c r="P1047" s="162">
        <f t="shared" si="334"/>
        <v>0</v>
      </c>
      <c r="Q1047" s="162">
        <f t="shared" si="334"/>
        <v>0</v>
      </c>
      <c r="R1047" s="162">
        <f t="shared" si="334"/>
        <v>0</v>
      </c>
      <c r="S1047" s="162">
        <f t="shared" si="334"/>
        <v>0</v>
      </c>
      <c r="T1047" s="162">
        <f t="shared" si="334"/>
        <v>0</v>
      </c>
      <c r="U1047" s="162">
        <f t="shared" si="334"/>
        <v>0</v>
      </c>
      <c r="V1047" s="162">
        <f t="shared" si="334"/>
        <v>0</v>
      </c>
      <c r="W1047" s="162">
        <f t="shared" si="334"/>
        <v>0</v>
      </c>
      <c r="X1047" s="162">
        <f t="shared" si="334"/>
        <v>0</v>
      </c>
      <c r="Y1047" s="162">
        <f t="shared" si="334"/>
        <v>0</v>
      </c>
      <c r="Z1047" s="162">
        <f t="shared" si="334"/>
        <v>0</v>
      </c>
      <c r="AA1047" s="162">
        <f t="shared" si="334"/>
        <v>0</v>
      </c>
      <c r="AB1047" s="163">
        <f t="shared" si="330"/>
        <v>0</v>
      </c>
      <c r="AC1047" s="198"/>
      <c r="AE1047" s="194" t="str">
        <f>IF(J1047=0,"",VLOOKUP(J1047,#REF!,2,0)&amp;" - "&amp;J1047&amp;" ("&amp;F1047&amp;" - "&amp;G1047&amp;")")</f>
        <v/>
      </c>
      <c r="AF1047" s="161">
        <f t="shared" si="335"/>
        <v>0</v>
      </c>
      <c r="AG1047" s="162">
        <f t="shared" si="335"/>
        <v>0</v>
      </c>
      <c r="AH1047" s="162">
        <f t="shared" si="335"/>
        <v>0</v>
      </c>
      <c r="AI1047" s="162">
        <f t="shared" si="335"/>
        <v>0</v>
      </c>
      <c r="AJ1047" s="162">
        <f t="shared" si="335"/>
        <v>0</v>
      </c>
      <c r="AK1047" s="162">
        <f t="shared" si="335"/>
        <v>0</v>
      </c>
      <c r="AL1047" s="162">
        <f t="shared" si="335"/>
        <v>0</v>
      </c>
      <c r="AM1047" s="162">
        <f t="shared" si="335"/>
        <v>0</v>
      </c>
      <c r="AN1047" s="162">
        <f t="shared" si="335"/>
        <v>0</v>
      </c>
      <c r="AO1047" s="162">
        <f t="shared" si="335"/>
        <v>0</v>
      </c>
      <c r="AP1047" s="162">
        <f t="shared" si="335"/>
        <v>0</v>
      </c>
      <c r="AQ1047" s="162">
        <f t="shared" si="335"/>
        <v>0</v>
      </c>
      <c r="AR1047" s="163">
        <f t="shared" si="332"/>
        <v>0</v>
      </c>
      <c r="AT1047" s="208">
        <f>IFERROR(VLOOKUP(J1047,#REF!,10,0),0)</f>
        <v>0</v>
      </c>
    </row>
    <row r="1048" spans="1:46" hidden="1" outlineLevel="1" x14ac:dyDescent="0.25">
      <c r="A1048" s="14" t="str">
        <f t="shared" si="326"/>
        <v>PROP_OPER__32</v>
      </c>
      <c r="B1048" s="15" t="str">
        <f t="shared" si="327"/>
        <v>PROP_OPER__0_0</v>
      </c>
      <c r="C1048" s="83"/>
      <c r="D1048" s="15">
        <v>1</v>
      </c>
      <c r="E1048" s="15">
        <v>32</v>
      </c>
      <c r="F1048" s="190">
        <f t="shared" si="333"/>
        <v>0</v>
      </c>
      <c r="G1048" s="149" t="str">
        <f t="shared" si="333"/>
        <v/>
      </c>
      <c r="H1048" s="150" t="str">
        <f t="shared" si="333"/>
        <v/>
      </c>
      <c r="I1048" s="150">
        <f t="shared" si="333"/>
        <v>0</v>
      </c>
      <c r="J1048" s="150">
        <f t="shared" si="333"/>
        <v>0</v>
      </c>
      <c r="K1048" s="196" t="str">
        <f t="shared" si="333"/>
        <v/>
      </c>
      <c r="L1048" s="197" t="str">
        <f t="shared" si="333"/>
        <v/>
      </c>
      <c r="M1048" s="191">
        <f t="shared" si="333"/>
        <v>0</v>
      </c>
      <c r="N1048" s="150">
        <f t="shared" si="333"/>
        <v>0</v>
      </c>
      <c r="O1048" s="193">
        <f t="shared" si="333"/>
        <v>0</v>
      </c>
      <c r="P1048" s="162">
        <f t="shared" si="334"/>
        <v>0</v>
      </c>
      <c r="Q1048" s="162">
        <f t="shared" si="334"/>
        <v>0</v>
      </c>
      <c r="R1048" s="162">
        <f t="shared" si="334"/>
        <v>0</v>
      </c>
      <c r="S1048" s="162">
        <f t="shared" si="334"/>
        <v>0</v>
      </c>
      <c r="T1048" s="162">
        <f t="shared" si="334"/>
        <v>0</v>
      </c>
      <c r="U1048" s="162">
        <f t="shared" si="334"/>
        <v>0</v>
      </c>
      <c r="V1048" s="162">
        <f t="shared" si="334"/>
        <v>0</v>
      </c>
      <c r="W1048" s="162">
        <f t="shared" si="334"/>
        <v>0</v>
      </c>
      <c r="X1048" s="162">
        <f t="shared" si="334"/>
        <v>0</v>
      </c>
      <c r="Y1048" s="162">
        <f t="shared" si="334"/>
        <v>0</v>
      </c>
      <c r="Z1048" s="162">
        <f t="shared" si="334"/>
        <v>0</v>
      </c>
      <c r="AA1048" s="162">
        <f t="shared" si="334"/>
        <v>0</v>
      </c>
      <c r="AB1048" s="163">
        <f t="shared" si="330"/>
        <v>0</v>
      </c>
      <c r="AC1048" s="198"/>
      <c r="AE1048" s="194" t="str">
        <f>IF(J1048=0,"",VLOOKUP(J1048,#REF!,2,0)&amp;" - "&amp;J1048&amp;" ("&amp;F1048&amp;" - "&amp;G1048&amp;")")</f>
        <v/>
      </c>
      <c r="AF1048" s="161">
        <f t="shared" si="335"/>
        <v>0</v>
      </c>
      <c r="AG1048" s="162">
        <f t="shared" si="335"/>
        <v>0</v>
      </c>
      <c r="AH1048" s="162">
        <f t="shared" si="335"/>
        <v>0</v>
      </c>
      <c r="AI1048" s="162">
        <f t="shared" si="335"/>
        <v>0</v>
      </c>
      <c r="AJ1048" s="162">
        <f t="shared" si="335"/>
        <v>0</v>
      </c>
      <c r="AK1048" s="162">
        <f t="shared" si="335"/>
        <v>0</v>
      </c>
      <c r="AL1048" s="162">
        <f t="shared" si="335"/>
        <v>0</v>
      </c>
      <c r="AM1048" s="162">
        <f t="shared" si="335"/>
        <v>0</v>
      </c>
      <c r="AN1048" s="162">
        <f t="shared" si="335"/>
        <v>0</v>
      </c>
      <c r="AO1048" s="162">
        <f t="shared" si="335"/>
        <v>0</v>
      </c>
      <c r="AP1048" s="162">
        <f t="shared" si="335"/>
        <v>0</v>
      </c>
      <c r="AQ1048" s="162">
        <f t="shared" si="335"/>
        <v>0</v>
      </c>
      <c r="AR1048" s="163">
        <f t="shared" si="332"/>
        <v>0</v>
      </c>
      <c r="AT1048" s="208">
        <f>IFERROR(VLOOKUP(J1048,#REF!,10,0),0)</f>
        <v>0</v>
      </c>
    </row>
    <row r="1049" spans="1:46" hidden="1" outlineLevel="1" x14ac:dyDescent="0.25">
      <c r="A1049" s="14" t="str">
        <f t="shared" si="326"/>
        <v>PROP_OPER__33</v>
      </c>
      <c r="B1049" s="15" t="str">
        <f t="shared" si="327"/>
        <v>PROP_OPER__0_0</v>
      </c>
      <c r="C1049" s="83"/>
      <c r="D1049" s="15">
        <v>1</v>
      </c>
      <c r="E1049" s="15">
        <v>33</v>
      </c>
      <c r="F1049" s="190">
        <f t="shared" si="333"/>
        <v>0</v>
      </c>
      <c r="G1049" s="149" t="str">
        <f t="shared" si="333"/>
        <v/>
      </c>
      <c r="H1049" s="150" t="str">
        <f t="shared" si="333"/>
        <v/>
      </c>
      <c r="I1049" s="150">
        <f t="shared" si="333"/>
        <v>0</v>
      </c>
      <c r="J1049" s="150">
        <f t="shared" si="333"/>
        <v>0</v>
      </c>
      <c r="K1049" s="196" t="str">
        <f t="shared" si="333"/>
        <v/>
      </c>
      <c r="L1049" s="197" t="str">
        <f t="shared" si="333"/>
        <v/>
      </c>
      <c r="M1049" s="191">
        <f t="shared" si="333"/>
        <v>0</v>
      </c>
      <c r="N1049" s="150">
        <f t="shared" si="333"/>
        <v>0</v>
      </c>
      <c r="O1049" s="193">
        <f t="shared" si="333"/>
        <v>0</v>
      </c>
      <c r="P1049" s="162">
        <f t="shared" si="334"/>
        <v>0</v>
      </c>
      <c r="Q1049" s="162">
        <f t="shared" si="334"/>
        <v>0</v>
      </c>
      <c r="R1049" s="162">
        <f t="shared" si="334"/>
        <v>0</v>
      </c>
      <c r="S1049" s="162">
        <f t="shared" si="334"/>
        <v>0</v>
      </c>
      <c r="T1049" s="162">
        <f t="shared" si="334"/>
        <v>0</v>
      </c>
      <c r="U1049" s="162">
        <f t="shared" si="334"/>
        <v>0</v>
      </c>
      <c r="V1049" s="162">
        <f t="shared" si="334"/>
        <v>0</v>
      </c>
      <c r="W1049" s="162">
        <f t="shared" si="334"/>
        <v>0</v>
      </c>
      <c r="X1049" s="162">
        <f t="shared" si="334"/>
        <v>0</v>
      </c>
      <c r="Y1049" s="162">
        <f t="shared" si="334"/>
        <v>0</v>
      </c>
      <c r="Z1049" s="162">
        <f t="shared" si="334"/>
        <v>0</v>
      </c>
      <c r="AA1049" s="162">
        <f t="shared" si="334"/>
        <v>0</v>
      </c>
      <c r="AB1049" s="163">
        <f t="shared" si="330"/>
        <v>0</v>
      </c>
      <c r="AC1049" s="198"/>
      <c r="AE1049" s="194" t="str">
        <f>IF(J1049=0,"",VLOOKUP(J1049,#REF!,2,0)&amp;" - "&amp;J1049&amp;" ("&amp;F1049&amp;" - "&amp;G1049&amp;")")</f>
        <v/>
      </c>
      <c r="AF1049" s="161">
        <f t="shared" si="335"/>
        <v>0</v>
      </c>
      <c r="AG1049" s="162">
        <f t="shared" si="335"/>
        <v>0</v>
      </c>
      <c r="AH1049" s="162">
        <f t="shared" si="335"/>
        <v>0</v>
      </c>
      <c r="AI1049" s="162">
        <f t="shared" si="335"/>
        <v>0</v>
      </c>
      <c r="AJ1049" s="162">
        <f t="shared" si="335"/>
        <v>0</v>
      </c>
      <c r="AK1049" s="162">
        <f t="shared" si="335"/>
        <v>0</v>
      </c>
      <c r="AL1049" s="162">
        <f t="shared" si="335"/>
        <v>0</v>
      </c>
      <c r="AM1049" s="162">
        <f t="shared" si="335"/>
        <v>0</v>
      </c>
      <c r="AN1049" s="162">
        <f t="shared" si="335"/>
        <v>0</v>
      </c>
      <c r="AO1049" s="162">
        <f t="shared" si="335"/>
        <v>0</v>
      </c>
      <c r="AP1049" s="162">
        <f t="shared" si="335"/>
        <v>0</v>
      </c>
      <c r="AQ1049" s="162">
        <f t="shared" si="335"/>
        <v>0</v>
      </c>
      <c r="AR1049" s="163">
        <f t="shared" si="332"/>
        <v>0</v>
      </c>
      <c r="AT1049" s="208">
        <f>IFERROR(VLOOKUP(J1049,#REF!,10,0),0)</f>
        <v>0</v>
      </c>
    </row>
    <row r="1050" spans="1:46" hidden="1" outlineLevel="1" x14ac:dyDescent="0.25">
      <c r="A1050" s="14" t="str">
        <f t="shared" si="326"/>
        <v>PROP_OPER__34</v>
      </c>
      <c r="B1050" s="15" t="str">
        <f t="shared" si="327"/>
        <v>PROP_OPER__0_0</v>
      </c>
      <c r="C1050" s="83"/>
      <c r="D1050" s="15">
        <v>1</v>
      </c>
      <c r="E1050" s="15">
        <v>34</v>
      </c>
      <c r="F1050" s="190">
        <f t="shared" si="333"/>
        <v>0</v>
      </c>
      <c r="G1050" s="149" t="str">
        <f t="shared" si="333"/>
        <v/>
      </c>
      <c r="H1050" s="150" t="str">
        <f t="shared" si="333"/>
        <v/>
      </c>
      <c r="I1050" s="150">
        <f t="shared" si="333"/>
        <v>0</v>
      </c>
      <c r="J1050" s="150">
        <f t="shared" si="333"/>
        <v>0</v>
      </c>
      <c r="K1050" s="196" t="str">
        <f t="shared" si="333"/>
        <v/>
      </c>
      <c r="L1050" s="197" t="str">
        <f t="shared" si="333"/>
        <v/>
      </c>
      <c r="M1050" s="191">
        <f t="shared" si="333"/>
        <v>0</v>
      </c>
      <c r="N1050" s="150">
        <f t="shared" si="333"/>
        <v>0</v>
      </c>
      <c r="O1050" s="193">
        <f t="shared" si="333"/>
        <v>0</v>
      </c>
      <c r="P1050" s="162">
        <f t="shared" si="334"/>
        <v>0</v>
      </c>
      <c r="Q1050" s="162">
        <f t="shared" si="334"/>
        <v>0</v>
      </c>
      <c r="R1050" s="162">
        <f t="shared" si="334"/>
        <v>0</v>
      </c>
      <c r="S1050" s="162">
        <f t="shared" si="334"/>
        <v>0</v>
      </c>
      <c r="T1050" s="162">
        <f t="shared" si="334"/>
        <v>0</v>
      </c>
      <c r="U1050" s="162">
        <f t="shared" si="334"/>
        <v>0</v>
      </c>
      <c r="V1050" s="162">
        <f t="shared" si="334"/>
        <v>0</v>
      </c>
      <c r="W1050" s="162">
        <f t="shared" si="334"/>
        <v>0</v>
      </c>
      <c r="X1050" s="162">
        <f t="shared" si="334"/>
        <v>0</v>
      </c>
      <c r="Y1050" s="162">
        <f t="shared" si="334"/>
        <v>0</v>
      </c>
      <c r="Z1050" s="162">
        <f t="shared" si="334"/>
        <v>0</v>
      </c>
      <c r="AA1050" s="162">
        <f t="shared" si="334"/>
        <v>0</v>
      </c>
      <c r="AB1050" s="163">
        <f t="shared" si="330"/>
        <v>0</v>
      </c>
      <c r="AC1050" s="198"/>
      <c r="AE1050" s="194" t="str">
        <f>IF(J1050=0,"",VLOOKUP(J1050,#REF!,2,0)&amp;" - "&amp;J1050&amp;" ("&amp;F1050&amp;" - "&amp;G1050&amp;")")</f>
        <v/>
      </c>
      <c r="AF1050" s="161">
        <f t="shared" si="335"/>
        <v>0</v>
      </c>
      <c r="AG1050" s="162">
        <f t="shared" si="335"/>
        <v>0</v>
      </c>
      <c r="AH1050" s="162">
        <f t="shared" si="335"/>
        <v>0</v>
      </c>
      <c r="AI1050" s="162">
        <f t="shared" si="335"/>
        <v>0</v>
      </c>
      <c r="AJ1050" s="162">
        <f t="shared" si="335"/>
        <v>0</v>
      </c>
      <c r="AK1050" s="162">
        <f t="shared" si="335"/>
        <v>0</v>
      </c>
      <c r="AL1050" s="162">
        <f t="shared" si="335"/>
        <v>0</v>
      </c>
      <c r="AM1050" s="162">
        <f t="shared" si="335"/>
        <v>0</v>
      </c>
      <c r="AN1050" s="162">
        <f t="shared" si="335"/>
        <v>0</v>
      </c>
      <c r="AO1050" s="162">
        <f t="shared" si="335"/>
        <v>0</v>
      </c>
      <c r="AP1050" s="162">
        <f t="shared" si="335"/>
        <v>0</v>
      </c>
      <c r="AQ1050" s="162">
        <f t="shared" si="335"/>
        <v>0</v>
      </c>
      <c r="AR1050" s="163">
        <f t="shared" si="332"/>
        <v>0</v>
      </c>
      <c r="AT1050" s="208">
        <f>IFERROR(VLOOKUP(J1050,#REF!,10,0),0)</f>
        <v>0</v>
      </c>
    </row>
    <row r="1051" spans="1:46" hidden="1" outlineLevel="1" x14ac:dyDescent="0.25">
      <c r="A1051" s="14" t="str">
        <f t="shared" si="326"/>
        <v>PROP_OPER__35</v>
      </c>
      <c r="B1051" s="15" t="str">
        <f t="shared" si="327"/>
        <v>PROP_OPER__0_0</v>
      </c>
      <c r="C1051" s="83"/>
      <c r="D1051" s="15">
        <v>1</v>
      </c>
      <c r="E1051" s="15">
        <v>35</v>
      </c>
      <c r="F1051" s="190">
        <f t="shared" ref="F1051:O1061" si="336">F628</f>
        <v>0</v>
      </c>
      <c r="G1051" s="149" t="str">
        <f t="shared" si="336"/>
        <v/>
      </c>
      <c r="H1051" s="150" t="str">
        <f t="shared" si="336"/>
        <v/>
      </c>
      <c r="I1051" s="150">
        <f t="shared" si="336"/>
        <v>0</v>
      </c>
      <c r="J1051" s="150">
        <f t="shared" si="336"/>
        <v>0</v>
      </c>
      <c r="K1051" s="196" t="str">
        <f t="shared" si="336"/>
        <v/>
      </c>
      <c r="L1051" s="197" t="str">
        <f t="shared" si="336"/>
        <v/>
      </c>
      <c r="M1051" s="191">
        <f t="shared" si="336"/>
        <v>0</v>
      </c>
      <c r="N1051" s="150">
        <f t="shared" si="336"/>
        <v>0</v>
      </c>
      <c r="O1051" s="193">
        <f t="shared" si="336"/>
        <v>0</v>
      </c>
      <c r="P1051" s="162">
        <f t="shared" ref="P1051:AA1061" si="337">IFERROR(SUMIF($B$483:$B$547,$C1051&amp;$I1051,P$483:P$547)/SUMIF($D$483:$D$547,$I1051,P$483:P$547)*P628,0)</f>
        <v>0</v>
      </c>
      <c r="Q1051" s="162">
        <f t="shared" si="337"/>
        <v>0</v>
      </c>
      <c r="R1051" s="162">
        <f t="shared" si="337"/>
        <v>0</v>
      </c>
      <c r="S1051" s="162">
        <f t="shared" si="337"/>
        <v>0</v>
      </c>
      <c r="T1051" s="162">
        <f t="shared" si="337"/>
        <v>0</v>
      </c>
      <c r="U1051" s="162">
        <f t="shared" si="337"/>
        <v>0</v>
      </c>
      <c r="V1051" s="162">
        <f t="shared" si="337"/>
        <v>0</v>
      </c>
      <c r="W1051" s="162">
        <f t="shared" si="337"/>
        <v>0</v>
      </c>
      <c r="X1051" s="162">
        <f t="shared" si="337"/>
        <v>0</v>
      </c>
      <c r="Y1051" s="162">
        <f t="shared" si="337"/>
        <v>0</v>
      </c>
      <c r="Z1051" s="162">
        <f t="shared" si="337"/>
        <v>0</v>
      </c>
      <c r="AA1051" s="162">
        <f t="shared" si="337"/>
        <v>0</v>
      </c>
      <c r="AB1051" s="163">
        <f t="shared" si="330"/>
        <v>0</v>
      </c>
      <c r="AC1051" s="198"/>
      <c r="AE1051" s="194" t="str">
        <f>IF(J1051=0,"",VLOOKUP(J1051,#REF!,2,0)&amp;" - "&amp;J1051&amp;" ("&amp;F1051&amp;" - "&amp;G1051&amp;")")</f>
        <v/>
      </c>
      <c r="AF1051" s="161">
        <f t="shared" ref="AF1051:AQ1061" si="338">IFERROR(SUMIF($B$483:$B$547,$C1051&amp;$I1051,P$483:P$547)/SUMIF($D$483:$D$547,$I1051,P$483:P$547)*AF628,0)</f>
        <v>0</v>
      </c>
      <c r="AG1051" s="162">
        <f t="shared" si="338"/>
        <v>0</v>
      </c>
      <c r="AH1051" s="162">
        <f t="shared" si="338"/>
        <v>0</v>
      </c>
      <c r="AI1051" s="162">
        <f t="shared" si="338"/>
        <v>0</v>
      </c>
      <c r="AJ1051" s="162">
        <f t="shared" si="338"/>
        <v>0</v>
      </c>
      <c r="AK1051" s="162">
        <f t="shared" si="338"/>
        <v>0</v>
      </c>
      <c r="AL1051" s="162">
        <f t="shared" si="338"/>
        <v>0</v>
      </c>
      <c r="AM1051" s="162">
        <f t="shared" si="338"/>
        <v>0</v>
      </c>
      <c r="AN1051" s="162">
        <f t="shared" si="338"/>
        <v>0</v>
      </c>
      <c r="AO1051" s="162">
        <f t="shared" si="338"/>
        <v>0</v>
      </c>
      <c r="AP1051" s="162">
        <f t="shared" si="338"/>
        <v>0</v>
      </c>
      <c r="AQ1051" s="162">
        <f t="shared" si="338"/>
        <v>0</v>
      </c>
      <c r="AR1051" s="163">
        <f t="shared" si="332"/>
        <v>0</v>
      </c>
      <c r="AT1051" s="208">
        <f>IFERROR(VLOOKUP(J1051,#REF!,10,0),0)</f>
        <v>0</v>
      </c>
    </row>
    <row r="1052" spans="1:46" hidden="1" outlineLevel="1" x14ac:dyDescent="0.25">
      <c r="A1052" s="14" t="str">
        <f t="shared" si="326"/>
        <v>PROP_OPER__36</v>
      </c>
      <c r="B1052" s="15" t="str">
        <f t="shared" si="327"/>
        <v>PROP_OPER__0_0</v>
      </c>
      <c r="C1052" s="83"/>
      <c r="D1052" s="15">
        <v>1</v>
      </c>
      <c r="E1052" s="15">
        <v>36</v>
      </c>
      <c r="F1052" s="190">
        <f t="shared" si="336"/>
        <v>0</v>
      </c>
      <c r="G1052" s="149" t="str">
        <f t="shared" si="336"/>
        <v/>
      </c>
      <c r="H1052" s="150" t="str">
        <f t="shared" si="336"/>
        <v/>
      </c>
      <c r="I1052" s="150">
        <f t="shared" si="336"/>
        <v>0</v>
      </c>
      <c r="J1052" s="150">
        <f t="shared" si="336"/>
        <v>0</v>
      </c>
      <c r="K1052" s="196" t="str">
        <f t="shared" si="336"/>
        <v/>
      </c>
      <c r="L1052" s="197" t="str">
        <f t="shared" si="336"/>
        <v/>
      </c>
      <c r="M1052" s="191">
        <f t="shared" si="336"/>
        <v>0</v>
      </c>
      <c r="N1052" s="150">
        <f t="shared" si="336"/>
        <v>0</v>
      </c>
      <c r="O1052" s="193">
        <f t="shared" si="336"/>
        <v>0</v>
      </c>
      <c r="P1052" s="162">
        <f t="shared" si="337"/>
        <v>0</v>
      </c>
      <c r="Q1052" s="162">
        <f t="shared" si="337"/>
        <v>0</v>
      </c>
      <c r="R1052" s="162">
        <f t="shared" si="337"/>
        <v>0</v>
      </c>
      <c r="S1052" s="162">
        <f t="shared" si="337"/>
        <v>0</v>
      </c>
      <c r="T1052" s="162">
        <f t="shared" si="337"/>
        <v>0</v>
      </c>
      <c r="U1052" s="162">
        <f t="shared" si="337"/>
        <v>0</v>
      </c>
      <c r="V1052" s="162">
        <f t="shared" si="337"/>
        <v>0</v>
      </c>
      <c r="W1052" s="162">
        <f t="shared" si="337"/>
        <v>0</v>
      </c>
      <c r="X1052" s="162">
        <f t="shared" si="337"/>
        <v>0</v>
      </c>
      <c r="Y1052" s="162">
        <f t="shared" si="337"/>
        <v>0</v>
      </c>
      <c r="Z1052" s="162">
        <f t="shared" si="337"/>
        <v>0</v>
      </c>
      <c r="AA1052" s="162">
        <f t="shared" si="337"/>
        <v>0</v>
      </c>
      <c r="AB1052" s="163">
        <f t="shared" si="330"/>
        <v>0</v>
      </c>
      <c r="AC1052" s="198"/>
      <c r="AE1052" s="194" t="str">
        <f>IF(J1052=0,"",VLOOKUP(J1052,#REF!,2,0)&amp;" - "&amp;J1052&amp;" ("&amp;F1052&amp;" - "&amp;G1052&amp;")")</f>
        <v/>
      </c>
      <c r="AF1052" s="161">
        <f t="shared" si="338"/>
        <v>0</v>
      </c>
      <c r="AG1052" s="162">
        <f t="shared" si="338"/>
        <v>0</v>
      </c>
      <c r="AH1052" s="162">
        <f t="shared" si="338"/>
        <v>0</v>
      </c>
      <c r="AI1052" s="162">
        <f t="shared" si="338"/>
        <v>0</v>
      </c>
      <c r="AJ1052" s="162">
        <f t="shared" si="338"/>
        <v>0</v>
      </c>
      <c r="AK1052" s="162">
        <f t="shared" si="338"/>
        <v>0</v>
      </c>
      <c r="AL1052" s="162">
        <f t="shared" si="338"/>
        <v>0</v>
      </c>
      <c r="AM1052" s="162">
        <f t="shared" si="338"/>
        <v>0</v>
      </c>
      <c r="AN1052" s="162">
        <f t="shared" si="338"/>
        <v>0</v>
      </c>
      <c r="AO1052" s="162">
        <f t="shared" si="338"/>
        <v>0</v>
      </c>
      <c r="AP1052" s="162">
        <f t="shared" si="338"/>
        <v>0</v>
      </c>
      <c r="AQ1052" s="162">
        <f t="shared" si="338"/>
        <v>0</v>
      </c>
      <c r="AR1052" s="163">
        <f t="shared" si="332"/>
        <v>0</v>
      </c>
      <c r="AT1052" s="208">
        <f>IFERROR(VLOOKUP(J1052,#REF!,10,0),0)</f>
        <v>0</v>
      </c>
    </row>
    <row r="1053" spans="1:46" hidden="1" outlineLevel="1" x14ac:dyDescent="0.25">
      <c r="A1053" s="14" t="str">
        <f t="shared" si="326"/>
        <v>PROP_OPER__37</v>
      </c>
      <c r="B1053" s="15" t="str">
        <f t="shared" si="327"/>
        <v>PROP_OPER__0_0</v>
      </c>
      <c r="C1053" s="83"/>
      <c r="D1053" s="15">
        <v>1</v>
      </c>
      <c r="E1053" s="15">
        <v>37</v>
      </c>
      <c r="F1053" s="190">
        <f t="shared" si="336"/>
        <v>0</v>
      </c>
      <c r="G1053" s="149" t="str">
        <f t="shared" si="336"/>
        <v/>
      </c>
      <c r="H1053" s="150" t="str">
        <f t="shared" si="336"/>
        <v/>
      </c>
      <c r="I1053" s="150">
        <f t="shared" si="336"/>
        <v>0</v>
      </c>
      <c r="J1053" s="150">
        <f t="shared" si="336"/>
        <v>0</v>
      </c>
      <c r="K1053" s="196" t="str">
        <f t="shared" si="336"/>
        <v/>
      </c>
      <c r="L1053" s="197" t="str">
        <f t="shared" si="336"/>
        <v/>
      </c>
      <c r="M1053" s="191">
        <f t="shared" si="336"/>
        <v>0</v>
      </c>
      <c r="N1053" s="150">
        <f t="shared" si="336"/>
        <v>0</v>
      </c>
      <c r="O1053" s="193">
        <f t="shared" si="336"/>
        <v>0</v>
      </c>
      <c r="P1053" s="162">
        <f t="shared" si="337"/>
        <v>0</v>
      </c>
      <c r="Q1053" s="162">
        <f t="shared" si="337"/>
        <v>0</v>
      </c>
      <c r="R1053" s="162">
        <f t="shared" si="337"/>
        <v>0</v>
      </c>
      <c r="S1053" s="162">
        <f t="shared" si="337"/>
        <v>0</v>
      </c>
      <c r="T1053" s="162">
        <f t="shared" si="337"/>
        <v>0</v>
      </c>
      <c r="U1053" s="162">
        <f t="shared" si="337"/>
        <v>0</v>
      </c>
      <c r="V1053" s="162">
        <f t="shared" si="337"/>
        <v>0</v>
      </c>
      <c r="W1053" s="162">
        <f t="shared" si="337"/>
        <v>0</v>
      </c>
      <c r="X1053" s="162">
        <f t="shared" si="337"/>
        <v>0</v>
      </c>
      <c r="Y1053" s="162">
        <f t="shared" si="337"/>
        <v>0</v>
      </c>
      <c r="Z1053" s="162">
        <f t="shared" si="337"/>
        <v>0</v>
      </c>
      <c r="AA1053" s="162">
        <f t="shared" si="337"/>
        <v>0</v>
      </c>
      <c r="AB1053" s="163">
        <f t="shared" si="330"/>
        <v>0</v>
      </c>
      <c r="AC1053" s="198"/>
      <c r="AE1053" s="194" t="str">
        <f>IF(J1053=0,"",VLOOKUP(J1053,#REF!,2,0)&amp;" - "&amp;J1053&amp;" ("&amp;F1053&amp;" - "&amp;G1053&amp;")")</f>
        <v/>
      </c>
      <c r="AF1053" s="161">
        <f t="shared" si="338"/>
        <v>0</v>
      </c>
      <c r="AG1053" s="162">
        <f t="shared" si="338"/>
        <v>0</v>
      </c>
      <c r="AH1053" s="162">
        <f t="shared" si="338"/>
        <v>0</v>
      </c>
      <c r="AI1053" s="162">
        <f t="shared" si="338"/>
        <v>0</v>
      </c>
      <c r="AJ1053" s="162">
        <f t="shared" si="338"/>
        <v>0</v>
      </c>
      <c r="AK1053" s="162">
        <f t="shared" si="338"/>
        <v>0</v>
      </c>
      <c r="AL1053" s="162">
        <f t="shared" si="338"/>
        <v>0</v>
      </c>
      <c r="AM1053" s="162">
        <f t="shared" si="338"/>
        <v>0</v>
      </c>
      <c r="AN1053" s="162">
        <f t="shared" si="338"/>
        <v>0</v>
      </c>
      <c r="AO1053" s="162">
        <f t="shared" si="338"/>
        <v>0</v>
      </c>
      <c r="AP1053" s="162">
        <f t="shared" si="338"/>
        <v>0</v>
      </c>
      <c r="AQ1053" s="162">
        <f t="shared" si="338"/>
        <v>0</v>
      </c>
      <c r="AR1053" s="163">
        <f t="shared" si="332"/>
        <v>0</v>
      </c>
      <c r="AT1053" s="208">
        <f>IFERROR(VLOOKUP(J1053,#REF!,10,0),0)</f>
        <v>0</v>
      </c>
    </row>
    <row r="1054" spans="1:46" hidden="1" outlineLevel="1" x14ac:dyDescent="0.25">
      <c r="A1054" s="14" t="str">
        <f t="shared" si="326"/>
        <v>PROP_OPER__38</v>
      </c>
      <c r="B1054" s="15" t="str">
        <f t="shared" si="327"/>
        <v>PROP_OPER__0_0</v>
      </c>
      <c r="C1054" s="83"/>
      <c r="D1054" s="15">
        <v>1</v>
      </c>
      <c r="E1054" s="15">
        <v>38</v>
      </c>
      <c r="F1054" s="190">
        <f t="shared" si="336"/>
        <v>0</v>
      </c>
      <c r="G1054" s="149" t="str">
        <f t="shared" si="336"/>
        <v/>
      </c>
      <c r="H1054" s="150" t="str">
        <f t="shared" si="336"/>
        <v/>
      </c>
      <c r="I1054" s="150">
        <f t="shared" si="336"/>
        <v>0</v>
      </c>
      <c r="J1054" s="150">
        <f t="shared" si="336"/>
        <v>0</v>
      </c>
      <c r="K1054" s="196" t="str">
        <f t="shared" si="336"/>
        <v/>
      </c>
      <c r="L1054" s="197" t="str">
        <f t="shared" si="336"/>
        <v/>
      </c>
      <c r="M1054" s="191">
        <f t="shared" si="336"/>
        <v>0</v>
      </c>
      <c r="N1054" s="150">
        <f t="shared" si="336"/>
        <v>0</v>
      </c>
      <c r="O1054" s="193">
        <f t="shared" si="336"/>
        <v>0</v>
      </c>
      <c r="P1054" s="162">
        <f t="shared" si="337"/>
        <v>0</v>
      </c>
      <c r="Q1054" s="162">
        <f t="shared" si="337"/>
        <v>0</v>
      </c>
      <c r="R1054" s="162">
        <f t="shared" si="337"/>
        <v>0</v>
      </c>
      <c r="S1054" s="162">
        <f t="shared" si="337"/>
        <v>0</v>
      </c>
      <c r="T1054" s="162">
        <f t="shared" si="337"/>
        <v>0</v>
      </c>
      <c r="U1054" s="162">
        <f t="shared" si="337"/>
        <v>0</v>
      </c>
      <c r="V1054" s="162">
        <f t="shared" si="337"/>
        <v>0</v>
      </c>
      <c r="W1054" s="162">
        <f t="shared" si="337"/>
        <v>0</v>
      </c>
      <c r="X1054" s="162">
        <f t="shared" si="337"/>
        <v>0</v>
      </c>
      <c r="Y1054" s="162">
        <f t="shared" si="337"/>
        <v>0</v>
      </c>
      <c r="Z1054" s="162">
        <f t="shared" si="337"/>
        <v>0</v>
      </c>
      <c r="AA1054" s="162">
        <f t="shared" si="337"/>
        <v>0</v>
      </c>
      <c r="AB1054" s="163">
        <f t="shared" si="330"/>
        <v>0</v>
      </c>
      <c r="AC1054" s="198"/>
      <c r="AE1054" s="194" t="str">
        <f>IF(J1054=0,"",VLOOKUP(J1054,#REF!,2,0)&amp;" - "&amp;J1054&amp;" ("&amp;F1054&amp;" - "&amp;G1054&amp;")")</f>
        <v/>
      </c>
      <c r="AF1054" s="161">
        <f t="shared" si="338"/>
        <v>0</v>
      </c>
      <c r="AG1054" s="162">
        <f t="shared" si="338"/>
        <v>0</v>
      </c>
      <c r="AH1054" s="162">
        <f t="shared" si="338"/>
        <v>0</v>
      </c>
      <c r="AI1054" s="162">
        <f t="shared" si="338"/>
        <v>0</v>
      </c>
      <c r="AJ1054" s="162">
        <f t="shared" si="338"/>
        <v>0</v>
      </c>
      <c r="AK1054" s="162">
        <f t="shared" si="338"/>
        <v>0</v>
      </c>
      <c r="AL1054" s="162">
        <f t="shared" si="338"/>
        <v>0</v>
      </c>
      <c r="AM1054" s="162">
        <f t="shared" si="338"/>
        <v>0</v>
      </c>
      <c r="AN1054" s="162">
        <f t="shared" si="338"/>
        <v>0</v>
      </c>
      <c r="AO1054" s="162">
        <f t="shared" si="338"/>
        <v>0</v>
      </c>
      <c r="AP1054" s="162">
        <f t="shared" si="338"/>
        <v>0</v>
      </c>
      <c r="AQ1054" s="162">
        <f t="shared" si="338"/>
        <v>0</v>
      </c>
      <c r="AR1054" s="163">
        <f t="shared" si="332"/>
        <v>0</v>
      </c>
      <c r="AT1054" s="208">
        <f>IFERROR(VLOOKUP(J1054,#REF!,10,0),0)</f>
        <v>0</v>
      </c>
    </row>
    <row r="1055" spans="1:46" hidden="1" outlineLevel="1" x14ac:dyDescent="0.25">
      <c r="A1055" s="14" t="str">
        <f t="shared" si="326"/>
        <v>PROP_OPER__39</v>
      </c>
      <c r="B1055" s="15" t="str">
        <f t="shared" si="327"/>
        <v>PROP_OPER__0_0</v>
      </c>
      <c r="C1055" s="83"/>
      <c r="D1055" s="15">
        <v>1</v>
      </c>
      <c r="E1055" s="15">
        <v>39</v>
      </c>
      <c r="F1055" s="190">
        <f t="shared" si="336"/>
        <v>0</v>
      </c>
      <c r="G1055" s="149" t="str">
        <f t="shared" si="336"/>
        <v/>
      </c>
      <c r="H1055" s="150" t="str">
        <f t="shared" si="336"/>
        <v/>
      </c>
      <c r="I1055" s="150">
        <f t="shared" si="336"/>
        <v>0</v>
      </c>
      <c r="J1055" s="150">
        <f t="shared" si="336"/>
        <v>0</v>
      </c>
      <c r="K1055" s="196" t="str">
        <f t="shared" si="336"/>
        <v/>
      </c>
      <c r="L1055" s="197" t="str">
        <f t="shared" si="336"/>
        <v/>
      </c>
      <c r="M1055" s="191">
        <f t="shared" si="336"/>
        <v>0</v>
      </c>
      <c r="N1055" s="150">
        <f t="shared" si="336"/>
        <v>0</v>
      </c>
      <c r="O1055" s="193">
        <f t="shared" si="336"/>
        <v>0</v>
      </c>
      <c r="P1055" s="162">
        <f t="shared" si="337"/>
        <v>0</v>
      </c>
      <c r="Q1055" s="162">
        <f t="shared" si="337"/>
        <v>0</v>
      </c>
      <c r="R1055" s="162">
        <f t="shared" si="337"/>
        <v>0</v>
      </c>
      <c r="S1055" s="162">
        <f t="shared" si="337"/>
        <v>0</v>
      </c>
      <c r="T1055" s="162">
        <f t="shared" si="337"/>
        <v>0</v>
      </c>
      <c r="U1055" s="162">
        <f t="shared" si="337"/>
        <v>0</v>
      </c>
      <c r="V1055" s="162">
        <f t="shared" si="337"/>
        <v>0</v>
      </c>
      <c r="W1055" s="162">
        <f t="shared" si="337"/>
        <v>0</v>
      </c>
      <c r="X1055" s="162">
        <f t="shared" si="337"/>
        <v>0</v>
      </c>
      <c r="Y1055" s="162">
        <f t="shared" si="337"/>
        <v>0</v>
      </c>
      <c r="Z1055" s="162">
        <f t="shared" si="337"/>
        <v>0</v>
      </c>
      <c r="AA1055" s="162">
        <f t="shared" si="337"/>
        <v>0</v>
      </c>
      <c r="AB1055" s="163">
        <f t="shared" si="330"/>
        <v>0</v>
      </c>
      <c r="AC1055" s="198"/>
      <c r="AE1055" s="194" t="str">
        <f>IF(J1055=0,"",VLOOKUP(J1055,#REF!,2,0)&amp;" - "&amp;J1055&amp;" ("&amp;F1055&amp;" - "&amp;G1055&amp;")")</f>
        <v/>
      </c>
      <c r="AF1055" s="161">
        <f t="shared" si="338"/>
        <v>0</v>
      </c>
      <c r="AG1055" s="162">
        <f t="shared" si="338"/>
        <v>0</v>
      </c>
      <c r="AH1055" s="162">
        <f t="shared" si="338"/>
        <v>0</v>
      </c>
      <c r="AI1055" s="162">
        <f t="shared" si="338"/>
        <v>0</v>
      </c>
      <c r="AJ1055" s="162">
        <f t="shared" si="338"/>
        <v>0</v>
      </c>
      <c r="AK1055" s="162">
        <f t="shared" si="338"/>
        <v>0</v>
      </c>
      <c r="AL1055" s="162">
        <f t="shared" si="338"/>
        <v>0</v>
      </c>
      <c r="AM1055" s="162">
        <f t="shared" si="338"/>
        <v>0</v>
      </c>
      <c r="AN1055" s="162">
        <f t="shared" si="338"/>
        <v>0</v>
      </c>
      <c r="AO1055" s="162">
        <f t="shared" si="338"/>
        <v>0</v>
      </c>
      <c r="AP1055" s="162">
        <f t="shared" si="338"/>
        <v>0</v>
      </c>
      <c r="AQ1055" s="162">
        <f t="shared" si="338"/>
        <v>0</v>
      </c>
      <c r="AR1055" s="163">
        <f t="shared" si="332"/>
        <v>0</v>
      </c>
      <c r="AT1055" s="208">
        <f>IFERROR(VLOOKUP(J1055,#REF!,10,0),0)</f>
        <v>0</v>
      </c>
    </row>
    <row r="1056" spans="1:46" hidden="1" outlineLevel="1" x14ac:dyDescent="0.25">
      <c r="A1056" s="14" t="str">
        <f t="shared" si="326"/>
        <v>PROP_OPER__40</v>
      </c>
      <c r="B1056" s="15" t="str">
        <f t="shared" si="327"/>
        <v>PROP_OPER__0_0</v>
      </c>
      <c r="C1056" s="83"/>
      <c r="D1056" s="15">
        <v>1</v>
      </c>
      <c r="E1056" s="15">
        <v>40</v>
      </c>
      <c r="F1056" s="190">
        <f t="shared" si="336"/>
        <v>0</v>
      </c>
      <c r="G1056" s="149" t="str">
        <f t="shared" si="336"/>
        <v/>
      </c>
      <c r="H1056" s="150" t="str">
        <f t="shared" si="336"/>
        <v/>
      </c>
      <c r="I1056" s="150">
        <f t="shared" si="336"/>
        <v>0</v>
      </c>
      <c r="J1056" s="150">
        <f t="shared" si="336"/>
        <v>0</v>
      </c>
      <c r="K1056" s="196" t="str">
        <f t="shared" si="336"/>
        <v/>
      </c>
      <c r="L1056" s="197" t="str">
        <f t="shared" si="336"/>
        <v/>
      </c>
      <c r="M1056" s="191">
        <f t="shared" si="336"/>
        <v>0</v>
      </c>
      <c r="N1056" s="150">
        <f t="shared" si="336"/>
        <v>0</v>
      </c>
      <c r="O1056" s="193">
        <f t="shared" si="336"/>
        <v>0</v>
      </c>
      <c r="P1056" s="162">
        <f t="shared" si="337"/>
        <v>0</v>
      </c>
      <c r="Q1056" s="162">
        <f t="shared" si="337"/>
        <v>0</v>
      </c>
      <c r="R1056" s="162">
        <f t="shared" si="337"/>
        <v>0</v>
      </c>
      <c r="S1056" s="162">
        <f t="shared" si="337"/>
        <v>0</v>
      </c>
      <c r="T1056" s="162">
        <f t="shared" si="337"/>
        <v>0</v>
      </c>
      <c r="U1056" s="162">
        <f t="shared" si="337"/>
        <v>0</v>
      </c>
      <c r="V1056" s="162">
        <f t="shared" si="337"/>
        <v>0</v>
      </c>
      <c r="W1056" s="162">
        <f t="shared" si="337"/>
        <v>0</v>
      </c>
      <c r="X1056" s="162">
        <f t="shared" si="337"/>
        <v>0</v>
      </c>
      <c r="Y1056" s="162">
        <f t="shared" si="337"/>
        <v>0</v>
      </c>
      <c r="Z1056" s="162">
        <f t="shared" si="337"/>
        <v>0</v>
      </c>
      <c r="AA1056" s="162">
        <f t="shared" si="337"/>
        <v>0</v>
      </c>
      <c r="AB1056" s="163">
        <f t="shared" si="330"/>
        <v>0</v>
      </c>
      <c r="AC1056" s="198"/>
      <c r="AE1056" s="194" t="str">
        <f>IF(J1056=0,"",VLOOKUP(J1056,#REF!,2,0)&amp;" - "&amp;J1056&amp;" ("&amp;F1056&amp;" - "&amp;G1056&amp;")")</f>
        <v/>
      </c>
      <c r="AF1056" s="161">
        <f t="shared" si="338"/>
        <v>0</v>
      </c>
      <c r="AG1056" s="162">
        <f t="shared" si="338"/>
        <v>0</v>
      </c>
      <c r="AH1056" s="162">
        <f t="shared" si="338"/>
        <v>0</v>
      </c>
      <c r="AI1056" s="162">
        <f t="shared" si="338"/>
        <v>0</v>
      </c>
      <c r="AJ1056" s="162">
        <f t="shared" si="338"/>
        <v>0</v>
      </c>
      <c r="AK1056" s="162">
        <f t="shared" si="338"/>
        <v>0</v>
      </c>
      <c r="AL1056" s="162">
        <f t="shared" si="338"/>
        <v>0</v>
      </c>
      <c r="AM1056" s="162">
        <f t="shared" si="338"/>
        <v>0</v>
      </c>
      <c r="AN1056" s="162">
        <f t="shared" si="338"/>
        <v>0</v>
      </c>
      <c r="AO1056" s="162">
        <f t="shared" si="338"/>
        <v>0</v>
      </c>
      <c r="AP1056" s="162">
        <f t="shared" si="338"/>
        <v>0</v>
      </c>
      <c r="AQ1056" s="162">
        <f t="shared" si="338"/>
        <v>0</v>
      </c>
      <c r="AR1056" s="163">
        <f t="shared" si="332"/>
        <v>0</v>
      </c>
      <c r="AT1056" s="208">
        <f>IFERROR(VLOOKUP(J1056,#REF!,10,0),0)</f>
        <v>0</v>
      </c>
    </row>
    <row r="1057" spans="1:46" hidden="1" outlineLevel="1" x14ac:dyDescent="0.25">
      <c r="A1057" s="14" t="str">
        <f t="shared" si="326"/>
        <v>PROP_OPER__41</v>
      </c>
      <c r="B1057" s="15" t="str">
        <f t="shared" si="327"/>
        <v>PROP_OPER__0_0</v>
      </c>
      <c r="C1057" s="83"/>
      <c r="D1057" s="15">
        <v>1</v>
      </c>
      <c r="E1057" s="15">
        <v>41</v>
      </c>
      <c r="F1057" s="190">
        <f t="shared" si="336"/>
        <v>0</v>
      </c>
      <c r="G1057" s="149" t="str">
        <f t="shared" si="336"/>
        <v/>
      </c>
      <c r="H1057" s="150" t="str">
        <f t="shared" si="336"/>
        <v/>
      </c>
      <c r="I1057" s="150">
        <f t="shared" si="336"/>
        <v>0</v>
      </c>
      <c r="J1057" s="150">
        <f t="shared" si="336"/>
        <v>0</v>
      </c>
      <c r="K1057" s="196" t="str">
        <f t="shared" si="336"/>
        <v/>
      </c>
      <c r="L1057" s="197" t="str">
        <f t="shared" si="336"/>
        <v/>
      </c>
      <c r="M1057" s="191">
        <f t="shared" si="336"/>
        <v>0</v>
      </c>
      <c r="N1057" s="150">
        <f t="shared" si="336"/>
        <v>0</v>
      </c>
      <c r="O1057" s="193">
        <f t="shared" si="336"/>
        <v>0</v>
      </c>
      <c r="P1057" s="162">
        <f t="shared" si="337"/>
        <v>0</v>
      </c>
      <c r="Q1057" s="162">
        <f t="shared" si="337"/>
        <v>0</v>
      </c>
      <c r="R1057" s="162">
        <f t="shared" si="337"/>
        <v>0</v>
      </c>
      <c r="S1057" s="162">
        <f t="shared" si="337"/>
        <v>0</v>
      </c>
      <c r="T1057" s="162">
        <f t="shared" si="337"/>
        <v>0</v>
      </c>
      <c r="U1057" s="162">
        <f t="shared" si="337"/>
        <v>0</v>
      </c>
      <c r="V1057" s="162">
        <f t="shared" si="337"/>
        <v>0</v>
      </c>
      <c r="W1057" s="162">
        <f t="shared" si="337"/>
        <v>0</v>
      </c>
      <c r="X1057" s="162">
        <f t="shared" si="337"/>
        <v>0</v>
      </c>
      <c r="Y1057" s="162">
        <f t="shared" si="337"/>
        <v>0</v>
      </c>
      <c r="Z1057" s="162">
        <f t="shared" si="337"/>
        <v>0</v>
      </c>
      <c r="AA1057" s="162">
        <f t="shared" si="337"/>
        <v>0</v>
      </c>
      <c r="AB1057" s="163">
        <f t="shared" si="330"/>
        <v>0</v>
      </c>
      <c r="AC1057" s="198"/>
      <c r="AE1057" s="194" t="str">
        <f>IF(J1057=0,"",VLOOKUP(J1057,#REF!,2,0)&amp;" - "&amp;J1057&amp;" ("&amp;F1057&amp;" - "&amp;G1057&amp;")")</f>
        <v/>
      </c>
      <c r="AF1057" s="161">
        <f t="shared" si="338"/>
        <v>0</v>
      </c>
      <c r="AG1057" s="162">
        <f t="shared" si="338"/>
        <v>0</v>
      </c>
      <c r="AH1057" s="162">
        <f t="shared" si="338"/>
        <v>0</v>
      </c>
      <c r="AI1057" s="162">
        <f t="shared" si="338"/>
        <v>0</v>
      </c>
      <c r="AJ1057" s="162">
        <f t="shared" si="338"/>
        <v>0</v>
      </c>
      <c r="AK1057" s="162">
        <f t="shared" si="338"/>
        <v>0</v>
      </c>
      <c r="AL1057" s="162">
        <f t="shared" si="338"/>
        <v>0</v>
      </c>
      <c r="AM1057" s="162">
        <f t="shared" si="338"/>
        <v>0</v>
      </c>
      <c r="AN1057" s="162">
        <f t="shared" si="338"/>
        <v>0</v>
      </c>
      <c r="AO1057" s="162">
        <f t="shared" si="338"/>
        <v>0</v>
      </c>
      <c r="AP1057" s="162">
        <f t="shared" si="338"/>
        <v>0</v>
      </c>
      <c r="AQ1057" s="162">
        <f t="shared" si="338"/>
        <v>0</v>
      </c>
      <c r="AR1057" s="163">
        <f t="shared" si="332"/>
        <v>0</v>
      </c>
      <c r="AT1057" s="208">
        <f>IFERROR(VLOOKUP(J1057,#REF!,10,0),0)</f>
        <v>0</v>
      </c>
    </row>
    <row r="1058" spans="1:46" hidden="1" outlineLevel="1" x14ac:dyDescent="0.25">
      <c r="A1058" s="14" t="str">
        <f t="shared" si="326"/>
        <v>PROP_OPER__42</v>
      </c>
      <c r="B1058" s="15" t="str">
        <f t="shared" si="327"/>
        <v>PROP_OPER__0_0</v>
      </c>
      <c r="C1058" s="83"/>
      <c r="D1058" s="15">
        <v>1</v>
      </c>
      <c r="E1058" s="15">
        <v>42</v>
      </c>
      <c r="F1058" s="190">
        <f t="shared" si="336"/>
        <v>0</v>
      </c>
      <c r="G1058" s="149" t="str">
        <f t="shared" si="336"/>
        <v/>
      </c>
      <c r="H1058" s="150" t="str">
        <f t="shared" si="336"/>
        <v/>
      </c>
      <c r="I1058" s="150">
        <f t="shared" si="336"/>
        <v>0</v>
      </c>
      <c r="J1058" s="150">
        <f t="shared" si="336"/>
        <v>0</v>
      </c>
      <c r="K1058" s="196" t="str">
        <f t="shared" si="336"/>
        <v/>
      </c>
      <c r="L1058" s="197" t="str">
        <f t="shared" si="336"/>
        <v/>
      </c>
      <c r="M1058" s="191">
        <f t="shared" si="336"/>
        <v>0</v>
      </c>
      <c r="N1058" s="150">
        <f t="shared" si="336"/>
        <v>0</v>
      </c>
      <c r="O1058" s="193">
        <f t="shared" si="336"/>
        <v>0</v>
      </c>
      <c r="P1058" s="162">
        <f t="shared" si="337"/>
        <v>0</v>
      </c>
      <c r="Q1058" s="162">
        <f t="shared" si="337"/>
        <v>0</v>
      </c>
      <c r="R1058" s="162">
        <f t="shared" si="337"/>
        <v>0</v>
      </c>
      <c r="S1058" s="162">
        <f t="shared" si="337"/>
        <v>0</v>
      </c>
      <c r="T1058" s="162">
        <f t="shared" si="337"/>
        <v>0</v>
      </c>
      <c r="U1058" s="162">
        <f t="shared" si="337"/>
        <v>0</v>
      </c>
      <c r="V1058" s="162">
        <f t="shared" si="337"/>
        <v>0</v>
      </c>
      <c r="W1058" s="162">
        <f t="shared" si="337"/>
        <v>0</v>
      </c>
      <c r="X1058" s="162">
        <f t="shared" si="337"/>
        <v>0</v>
      </c>
      <c r="Y1058" s="162">
        <f t="shared" si="337"/>
        <v>0</v>
      </c>
      <c r="Z1058" s="162">
        <f t="shared" si="337"/>
        <v>0</v>
      </c>
      <c r="AA1058" s="162">
        <f t="shared" si="337"/>
        <v>0</v>
      </c>
      <c r="AB1058" s="163">
        <f t="shared" si="330"/>
        <v>0</v>
      </c>
      <c r="AC1058" s="198"/>
      <c r="AE1058" s="194" t="str">
        <f>IF(J1058=0,"",VLOOKUP(J1058,#REF!,2,0)&amp;" - "&amp;J1058&amp;" ("&amp;F1058&amp;" - "&amp;G1058&amp;")")</f>
        <v/>
      </c>
      <c r="AF1058" s="161">
        <f t="shared" si="338"/>
        <v>0</v>
      </c>
      <c r="AG1058" s="162">
        <f t="shared" si="338"/>
        <v>0</v>
      </c>
      <c r="AH1058" s="162">
        <f t="shared" si="338"/>
        <v>0</v>
      </c>
      <c r="AI1058" s="162">
        <f t="shared" si="338"/>
        <v>0</v>
      </c>
      <c r="AJ1058" s="162">
        <f t="shared" si="338"/>
        <v>0</v>
      </c>
      <c r="AK1058" s="162">
        <f t="shared" si="338"/>
        <v>0</v>
      </c>
      <c r="AL1058" s="162">
        <f t="shared" si="338"/>
        <v>0</v>
      </c>
      <c r="AM1058" s="162">
        <f t="shared" si="338"/>
        <v>0</v>
      </c>
      <c r="AN1058" s="162">
        <f t="shared" si="338"/>
        <v>0</v>
      </c>
      <c r="AO1058" s="162">
        <f t="shared" si="338"/>
        <v>0</v>
      </c>
      <c r="AP1058" s="162">
        <f t="shared" si="338"/>
        <v>0</v>
      </c>
      <c r="AQ1058" s="162">
        <f t="shared" si="338"/>
        <v>0</v>
      </c>
      <c r="AR1058" s="163">
        <f t="shared" si="332"/>
        <v>0</v>
      </c>
      <c r="AT1058" s="208">
        <f>IFERROR(VLOOKUP(J1058,#REF!,10,0),0)</f>
        <v>0</v>
      </c>
    </row>
    <row r="1059" spans="1:46" hidden="1" outlineLevel="1" x14ac:dyDescent="0.25">
      <c r="A1059" s="14" t="str">
        <f t="shared" si="326"/>
        <v>PROP_OPER__43</v>
      </c>
      <c r="B1059" s="15" t="str">
        <f t="shared" si="327"/>
        <v>PROP_OPER__0_0</v>
      </c>
      <c r="C1059" s="83"/>
      <c r="D1059" s="15">
        <v>1</v>
      </c>
      <c r="E1059" s="15">
        <v>43</v>
      </c>
      <c r="F1059" s="190">
        <f t="shared" si="336"/>
        <v>0</v>
      </c>
      <c r="G1059" s="149" t="str">
        <f t="shared" si="336"/>
        <v/>
      </c>
      <c r="H1059" s="150" t="str">
        <f t="shared" si="336"/>
        <v/>
      </c>
      <c r="I1059" s="150">
        <f t="shared" si="336"/>
        <v>0</v>
      </c>
      <c r="J1059" s="150">
        <f t="shared" si="336"/>
        <v>0</v>
      </c>
      <c r="K1059" s="196" t="str">
        <f t="shared" si="336"/>
        <v/>
      </c>
      <c r="L1059" s="197" t="str">
        <f t="shared" si="336"/>
        <v/>
      </c>
      <c r="M1059" s="191">
        <f t="shared" si="336"/>
        <v>0</v>
      </c>
      <c r="N1059" s="150">
        <f t="shared" si="336"/>
        <v>0</v>
      </c>
      <c r="O1059" s="193">
        <f t="shared" si="336"/>
        <v>0</v>
      </c>
      <c r="P1059" s="162">
        <f t="shared" si="337"/>
        <v>0</v>
      </c>
      <c r="Q1059" s="162">
        <f t="shared" si="337"/>
        <v>0</v>
      </c>
      <c r="R1059" s="162">
        <f t="shared" si="337"/>
        <v>0</v>
      </c>
      <c r="S1059" s="162">
        <f t="shared" si="337"/>
        <v>0</v>
      </c>
      <c r="T1059" s="162">
        <f t="shared" si="337"/>
        <v>0</v>
      </c>
      <c r="U1059" s="162">
        <f t="shared" si="337"/>
        <v>0</v>
      </c>
      <c r="V1059" s="162">
        <f t="shared" si="337"/>
        <v>0</v>
      </c>
      <c r="W1059" s="162">
        <f t="shared" si="337"/>
        <v>0</v>
      </c>
      <c r="X1059" s="162">
        <f t="shared" si="337"/>
        <v>0</v>
      </c>
      <c r="Y1059" s="162">
        <f t="shared" si="337"/>
        <v>0</v>
      </c>
      <c r="Z1059" s="162">
        <f t="shared" si="337"/>
        <v>0</v>
      </c>
      <c r="AA1059" s="162">
        <f t="shared" si="337"/>
        <v>0</v>
      </c>
      <c r="AB1059" s="163">
        <f t="shared" si="330"/>
        <v>0</v>
      </c>
      <c r="AC1059" s="198"/>
      <c r="AE1059" s="194" t="str">
        <f>IF(J1059=0,"",VLOOKUP(J1059,#REF!,2,0)&amp;" - "&amp;J1059&amp;" ("&amp;F1059&amp;" - "&amp;G1059&amp;")")</f>
        <v/>
      </c>
      <c r="AF1059" s="161">
        <f t="shared" si="338"/>
        <v>0</v>
      </c>
      <c r="AG1059" s="162">
        <f t="shared" si="338"/>
        <v>0</v>
      </c>
      <c r="AH1059" s="162">
        <f t="shared" si="338"/>
        <v>0</v>
      </c>
      <c r="AI1059" s="162">
        <f t="shared" si="338"/>
        <v>0</v>
      </c>
      <c r="AJ1059" s="162">
        <f t="shared" si="338"/>
        <v>0</v>
      </c>
      <c r="AK1059" s="162">
        <f t="shared" si="338"/>
        <v>0</v>
      </c>
      <c r="AL1059" s="162">
        <f t="shared" si="338"/>
        <v>0</v>
      </c>
      <c r="AM1059" s="162">
        <f t="shared" si="338"/>
        <v>0</v>
      </c>
      <c r="AN1059" s="162">
        <f t="shared" si="338"/>
        <v>0</v>
      </c>
      <c r="AO1059" s="162">
        <f t="shared" si="338"/>
        <v>0</v>
      </c>
      <c r="AP1059" s="162">
        <f t="shared" si="338"/>
        <v>0</v>
      </c>
      <c r="AQ1059" s="162">
        <f t="shared" si="338"/>
        <v>0</v>
      </c>
      <c r="AR1059" s="163">
        <f t="shared" si="332"/>
        <v>0</v>
      </c>
      <c r="AT1059" s="208">
        <f>IFERROR(VLOOKUP(J1059,#REF!,10,0),0)</f>
        <v>0</v>
      </c>
    </row>
    <row r="1060" spans="1:46" hidden="1" outlineLevel="1" x14ac:dyDescent="0.25">
      <c r="A1060" s="14" t="str">
        <f t="shared" si="326"/>
        <v>PROP_OPER__44</v>
      </c>
      <c r="B1060" s="15" t="str">
        <f t="shared" si="327"/>
        <v>PROP_OPER__0_0</v>
      </c>
      <c r="C1060" s="83"/>
      <c r="D1060" s="15">
        <v>1</v>
      </c>
      <c r="E1060" s="15">
        <v>44</v>
      </c>
      <c r="F1060" s="190">
        <f t="shared" si="336"/>
        <v>0</v>
      </c>
      <c r="G1060" s="149" t="str">
        <f t="shared" si="336"/>
        <v/>
      </c>
      <c r="H1060" s="150" t="str">
        <f t="shared" si="336"/>
        <v/>
      </c>
      <c r="I1060" s="150">
        <f t="shared" si="336"/>
        <v>0</v>
      </c>
      <c r="J1060" s="150">
        <f t="shared" si="336"/>
        <v>0</v>
      </c>
      <c r="K1060" s="196" t="str">
        <f t="shared" si="336"/>
        <v/>
      </c>
      <c r="L1060" s="197" t="str">
        <f t="shared" si="336"/>
        <v/>
      </c>
      <c r="M1060" s="191">
        <f t="shared" si="336"/>
        <v>0</v>
      </c>
      <c r="N1060" s="150">
        <f t="shared" si="336"/>
        <v>0</v>
      </c>
      <c r="O1060" s="193">
        <f t="shared" si="336"/>
        <v>0</v>
      </c>
      <c r="P1060" s="162">
        <f t="shared" si="337"/>
        <v>0</v>
      </c>
      <c r="Q1060" s="162">
        <f t="shared" si="337"/>
        <v>0</v>
      </c>
      <c r="R1060" s="162">
        <f t="shared" si="337"/>
        <v>0</v>
      </c>
      <c r="S1060" s="162">
        <f t="shared" si="337"/>
        <v>0</v>
      </c>
      <c r="T1060" s="162">
        <f t="shared" si="337"/>
        <v>0</v>
      </c>
      <c r="U1060" s="162">
        <f t="shared" si="337"/>
        <v>0</v>
      </c>
      <c r="V1060" s="162">
        <f t="shared" si="337"/>
        <v>0</v>
      </c>
      <c r="W1060" s="162">
        <f t="shared" si="337"/>
        <v>0</v>
      </c>
      <c r="X1060" s="162">
        <f t="shared" si="337"/>
        <v>0</v>
      </c>
      <c r="Y1060" s="162">
        <f t="shared" si="337"/>
        <v>0</v>
      </c>
      <c r="Z1060" s="162">
        <f t="shared" si="337"/>
        <v>0</v>
      </c>
      <c r="AA1060" s="162">
        <f t="shared" si="337"/>
        <v>0</v>
      </c>
      <c r="AB1060" s="163">
        <f t="shared" si="330"/>
        <v>0</v>
      </c>
      <c r="AC1060" s="198"/>
      <c r="AE1060" s="194" t="str">
        <f>IF(J1060=0,"",VLOOKUP(J1060,#REF!,2,0)&amp;" - "&amp;J1060&amp;" ("&amp;F1060&amp;" - "&amp;G1060&amp;")")</f>
        <v/>
      </c>
      <c r="AF1060" s="161">
        <f t="shared" si="338"/>
        <v>0</v>
      </c>
      <c r="AG1060" s="162">
        <f t="shared" si="338"/>
        <v>0</v>
      </c>
      <c r="AH1060" s="162">
        <f t="shared" si="338"/>
        <v>0</v>
      </c>
      <c r="AI1060" s="162">
        <f t="shared" si="338"/>
        <v>0</v>
      </c>
      <c r="AJ1060" s="162">
        <f t="shared" si="338"/>
        <v>0</v>
      </c>
      <c r="AK1060" s="162">
        <f t="shared" si="338"/>
        <v>0</v>
      </c>
      <c r="AL1060" s="162">
        <f t="shared" si="338"/>
        <v>0</v>
      </c>
      <c r="AM1060" s="162">
        <f t="shared" si="338"/>
        <v>0</v>
      </c>
      <c r="AN1060" s="162">
        <f t="shared" si="338"/>
        <v>0</v>
      </c>
      <c r="AO1060" s="162">
        <f t="shared" si="338"/>
        <v>0</v>
      </c>
      <c r="AP1060" s="162">
        <f t="shared" si="338"/>
        <v>0</v>
      </c>
      <c r="AQ1060" s="162">
        <f t="shared" si="338"/>
        <v>0</v>
      </c>
      <c r="AR1060" s="163">
        <f t="shared" si="332"/>
        <v>0</v>
      </c>
      <c r="AT1060" s="208">
        <f>IFERROR(VLOOKUP(J1060,#REF!,10,0),0)</f>
        <v>0</v>
      </c>
    </row>
    <row r="1061" spans="1:46" hidden="1" outlineLevel="1" x14ac:dyDescent="0.25">
      <c r="A1061" s="14" t="str">
        <f t="shared" si="326"/>
        <v>PROP_OPER__45</v>
      </c>
      <c r="B1061" s="15" t="str">
        <f t="shared" si="327"/>
        <v>PROP_OPER__0_0</v>
      </c>
      <c r="C1061" s="83"/>
      <c r="D1061" s="15">
        <v>1</v>
      </c>
      <c r="E1061" s="15">
        <v>45</v>
      </c>
      <c r="F1061" s="209">
        <f t="shared" si="336"/>
        <v>0</v>
      </c>
      <c r="G1061" s="183" t="str">
        <f t="shared" si="336"/>
        <v/>
      </c>
      <c r="H1061" s="184" t="str">
        <f t="shared" si="336"/>
        <v/>
      </c>
      <c r="I1061" s="184">
        <f t="shared" si="336"/>
        <v>0</v>
      </c>
      <c r="J1061" s="184">
        <f t="shared" si="336"/>
        <v>0</v>
      </c>
      <c r="K1061" s="210" t="str">
        <f t="shared" si="336"/>
        <v/>
      </c>
      <c r="L1061" s="211" t="str">
        <f t="shared" si="336"/>
        <v/>
      </c>
      <c r="M1061" s="212">
        <f t="shared" si="336"/>
        <v>0</v>
      </c>
      <c r="N1061" s="184">
        <f t="shared" si="336"/>
        <v>0</v>
      </c>
      <c r="O1061" s="213">
        <f t="shared" si="336"/>
        <v>0</v>
      </c>
      <c r="P1061" s="175">
        <f t="shared" si="337"/>
        <v>0</v>
      </c>
      <c r="Q1061" s="175">
        <f t="shared" si="337"/>
        <v>0</v>
      </c>
      <c r="R1061" s="175">
        <f t="shared" si="337"/>
        <v>0</v>
      </c>
      <c r="S1061" s="175">
        <f t="shared" si="337"/>
        <v>0</v>
      </c>
      <c r="T1061" s="175">
        <f t="shared" si="337"/>
        <v>0</v>
      </c>
      <c r="U1061" s="175">
        <f t="shared" si="337"/>
        <v>0</v>
      </c>
      <c r="V1061" s="175">
        <f t="shared" si="337"/>
        <v>0</v>
      </c>
      <c r="W1061" s="175">
        <f t="shared" si="337"/>
        <v>0</v>
      </c>
      <c r="X1061" s="175">
        <f t="shared" si="337"/>
        <v>0</v>
      </c>
      <c r="Y1061" s="175">
        <f t="shared" si="337"/>
        <v>0</v>
      </c>
      <c r="Z1061" s="175">
        <f t="shared" si="337"/>
        <v>0</v>
      </c>
      <c r="AA1061" s="175">
        <f t="shared" si="337"/>
        <v>0</v>
      </c>
      <c r="AB1061" s="176">
        <f t="shared" si="330"/>
        <v>0</v>
      </c>
      <c r="AC1061" s="172"/>
      <c r="AE1061" s="195" t="str">
        <f>IF(J1061=0,"",VLOOKUP(J1061,#REF!,2,0)&amp;" - "&amp;J1061&amp;" ("&amp;F1061&amp;" - "&amp;G1061&amp;")")</f>
        <v/>
      </c>
      <c r="AF1061" s="174">
        <f t="shared" si="338"/>
        <v>0</v>
      </c>
      <c r="AG1061" s="175">
        <f t="shared" si="338"/>
        <v>0</v>
      </c>
      <c r="AH1061" s="175">
        <f t="shared" si="338"/>
        <v>0</v>
      </c>
      <c r="AI1061" s="175">
        <f t="shared" si="338"/>
        <v>0</v>
      </c>
      <c r="AJ1061" s="175">
        <f t="shared" si="338"/>
        <v>0</v>
      </c>
      <c r="AK1061" s="175">
        <f t="shared" si="338"/>
        <v>0</v>
      </c>
      <c r="AL1061" s="175">
        <f t="shared" si="338"/>
        <v>0</v>
      </c>
      <c r="AM1061" s="175">
        <f t="shared" si="338"/>
        <v>0</v>
      </c>
      <c r="AN1061" s="175">
        <f t="shared" si="338"/>
        <v>0</v>
      </c>
      <c r="AO1061" s="175">
        <f t="shared" si="338"/>
        <v>0</v>
      </c>
      <c r="AP1061" s="175">
        <f t="shared" si="338"/>
        <v>0</v>
      </c>
      <c r="AQ1061" s="175">
        <f t="shared" si="338"/>
        <v>0</v>
      </c>
      <c r="AR1061" s="176">
        <f t="shared" si="332"/>
        <v>0</v>
      </c>
      <c r="AT1061" s="208">
        <f>IFERROR(VLOOKUP(J1061,#REF!,10,0),0)</f>
        <v>0</v>
      </c>
    </row>
    <row r="1062" spans="1:46" hidden="1" outlineLevel="1" x14ac:dyDescent="0.25">
      <c r="A1062" s="14" t="str">
        <f t="shared" si="326"/>
        <v>PROP_OPER__</v>
      </c>
      <c r="F1062" s="137" t="s">
        <v>280</v>
      </c>
      <c r="G1062" s="138"/>
      <c r="H1062" s="139" t="s">
        <v>217</v>
      </c>
      <c r="I1062" s="139"/>
      <c r="J1062" s="139" t="s">
        <v>229</v>
      </c>
      <c r="K1062" s="140"/>
      <c r="L1062" s="141"/>
      <c r="M1062" s="142" t="s">
        <v>220</v>
      </c>
      <c r="N1062" s="139" t="s">
        <v>221</v>
      </c>
      <c r="O1062" s="143" t="s">
        <v>222</v>
      </c>
      <c r="P1062" s="35">
        <f t="shared" ref="P1062:AA1062" si="339">P$9</f>
        <v>46113</v>
      </c>
      <c r="Q1062" s="35">
        <f t="shared" si="339"/>
        <v>46143</v>
      </c>
      <c r="R1062" s="35">
        <f t="shared" si="339"/>
        <v>46174</v>
      </c>
      <c r="S1062" s="35">
        <f t="shared" si="339"/>
        <v>46204</v>
      </c>
      <c r="T1062" s="35">
        <f t="shared" si="339"/>
        <v>46235</v>
      </c>
      <c r="U1062" s="35">
        <f t="shared" si="339"/>
        <v>46266</v>
      </c>
      <c r="V1062" s="35">
        <f t="shared" si="339"/>
        <v>46296</v>
      </c>
      <c r="W1062" s="35">
        <f t="shared" si="339"/>
        <v>46327</v>
      </c>
      <c r="X1062" s="35">
        <f t="shared" si="339"/>
        <v>46357</v>
      </c>
      <c r="Y1062" s="35">
        <f t="shared" si="339"/>
        <v>46388</v>
      </c>
      <c r="Z1062" s="35">
        <f t="shared" si="339"/>
        <v>46419</v>
      </c>
      <c r="AA1062" s="35">
        <f t="shared" si="339"/>
        <v>46447</v>
      </c>
      <c r="AB1062" s="81" t="s">
        <v>223</v>
      </c>
      <c r="AC1062" s="82" t="s">
        <v>192</v>
      </c>
      <c r="AE1062" s="189" t="str">
        <f>"Qtde Recursos em: "&amp;F1062</f>
        <v>Qtde Recursos em: PLANTIO CONVENCIONAL - RENOVAÇÃO</v>
      </c>
      <c r="AF1062" s="147">
        <f>P1062</f>
        <v>46113</v>
      </c>
      <c r="AG1062" s="35">
        <f t="shared" ref="AG1062:AQ1062" si="340">Q1062</f>
        <v>46143</v>
      </c>
      <c r="AH1062" s="35">
        <f t="shared" si="340"/>
        <v>46174</v>
      </c>
      <c r="AI1062" s="35">
        <f t="shared" si="340"/>
        <v>46204</v>
      </c>
      <c r="AJ1062" s="35">
        <f t="shared" si="340"/>
        <v>46235</v>
      </c>
      <c r="AK1062" s="35">
        <f t="shared" si="340"/>
        <v>46266</v>
      </c>
      <c r="AL1062" s="35">
        <f t="shared" si="340"/>
        <v>46296</v>
      </c>
      <c r="AM1062" s="35">
        <f t="shared" si="340"/>
        <v>46327</v>
      </c>
      <c r="AN1062" s="35">
        <f t="shared" si="340"/>
        <v>46357</v>
      </c>
      <c r="AO1062" s="35">
        <f t="shared" si="340"/>
        <v>46388</v>
      </c>
      <c r="AP1062" s="35">
        <f t="shared" si="340"/>
        <v>46419</v>
      </c>
      <c r="AQ1062" s="35">
        <f t="shared" si="340"/>
        <v>46447</v>
      </c>
      <c r="AR1062" s="81" t="s">
        <v>223</v>
      </c>
      <c r="AT1062" s="189" t="s">
        <v>258</v>
      </c>
    </row>
    <row r="1063" spans="1:46" hidden="1" outlineLevel="1" x14ac:dyDescent="0.25">
      <c r="A1063" s="14" t="str">
        <f t="shared" si="326"/>
        <v>PROP_OPER__1</v>
      </c>
      <c r="B1063" s="15" t="str">
        <f t="shared" ref="B1063:B1107" si="341">"PROP_OPER_"&amp;C1063&amp;"_"&amp;F1063&amp;"_"&amp;J1063</f>
        <v>PROP_OPER__1018_0</v>
      </c>
      <c r="C1063" s="83"/>
      <c r="D1063" s="15">
        <v>1</v>
      </c>
      <c r="E1063" s="15">
        <v>1</v>
      </c>
      <c r="F1063" s="190">
        <f t="shared" ref="F1063:O1078" si="342">F1017</f>
        <v>1018</v>
      </c>
      <c r="G1063" s="149" t="str">
        <f t="shared" si="342"/>
        <v/>
      </c>
      <c r="H1063" s="150" t="str">
        <f t="shared" si="342"/>
        <v/>
      </c>
      <c r="I1063" s="150" t="str">
        <f t="shared" si="342"/>
        <v>PLANCP</v>
      </c>
      <c r="J1063" s="150">
        <f t="shared" si="342"/>
        <v>0</v>
      </c>
      <c r="K1063" s="196" t="str">
        <f t="shared" si="342"/>
        <v/>
      </c>
      <c r="L1063" s="197" t="str">
        <f t="shared" si="342"/>
        <v/>
      </c>
      <c r="M1063" s="191">
        <f t="shared" si="342"/>
        <v>0</v>
      </c>
      <c r="N1063" s="150">
        <f t="shared" si="342"/>
        <v>0</v>
      </c>
      <c r="O1063" s="193">
        <f t="shared" si="342"/>
        <v>1</v>
      </c>
      <c r="P1063" s="162">
        <f t="shared" ref="P1063:AA1076" si="343">IFERROR(SUMIF($B$483:$B$547,$C1063&amp;$I1063,P$483:P$547)/SUMIF($D$483:$D$547,$I1063,P$483:P$547)*P598,0)</f>
        <v>0</v>
      </c>
      <c r="Q1063" s="162">
        <f t="shared" si="343"/>
        <v>0</v>
      </c>
      <c r="R1063" s="162">
        <f t="shared" si="343"/>
        <v>0</v>
      </c>
      <c r="S1063" s="162">
        <f t="shared" si="343"/>
        <v>0</v>
      </c>
      <c r="T1063" s="162">
        <f t="shared" si="343"/>
        <v>0</v>
      </c>
      <c r="U1063" s="162">
        <f t="shared" si="343"/>
        <v>0</v>
      </c>
      <c r="V1063" s="162">
        <f t="shared" si="343"/>
        <v>0</v>
      </c>
      <c r="W1063" s="162">
        <f t="shared" si="343"/>
        <v>0</v>
      </c>
      <c r="X1063" s="162">
        <f t="shared" si="343"/>
        <v>0</v>
      </c>
      <c r="Y1063" s="162">
        <f t="shared" si="343"/>
        <v>0</v>
      </c>
      <c r="Z1063" s="162">
        <f t="shared" si="343"/>
        <v>0</v>
      </c>
      <c r="AA1063" s="162">
        <f t="shared" si="343"/>
        <v>0</v>
      </c>
      <c r="AB1063" s="163">
        <f t="shared" ref="AB1063:AB1107" si="344">SUM(P1063:AA1063)</f>
        <v>0</v>
      </c>
      <c r="AC1063" s="198"/>
      <c r="AE1063" s="194" t="str">
        <f>AE1017</f>
        <v/>
      </c>
      <c r="AF1063" s="161">
        <f t="shared" ref="AF1063:AQ1076" si="345">IFERROR(SUMIF($B$483:$B$547,$C1063&amp;$I1063,P$483:P$547)/SUMIF($D$483:$D$547,$I1063,P$483:P$547)*AF598,0)</f>
        <v>0</v>
      </c>
      <c r="AG1063" s="162">
        <f t="shared" si="345"/>
        <v>0</v>
      </c>
      <c r="AH1063" s="162">
        <f t="shared" si="345"/>
        <v>0</v>
      </c>
      <c r="AI1063" s="162">
        <f t="shared" si="345"/>
        <v>0</v>
      </c>
      <c r="AJ1063" s="162">
        <f t="shared" si="345"/>
        <v>0</v>
      </c>
      <c r="AK1063" s="162">
        <f t="shared" si="345"/>
        <v>0</v>
      </c>
      <c r="AL1063" s="162">
        <f t="shared" si="345"/>
        <v>0</v>
      </c>
      <c r="AM1063" s="162">
        <f t="shared" si="345"/>
        <v>0</v>
      </c>
      <c r="AN1063" s="162">
        <f t="shared" si="345"/>
        <v>0</v>
      </c>
      <c r="AO1063" s="162">
        <f t="shared" si="345"/>
        <v>0</v>
      </c>
      <c r="AP1063" s="162">
        <f t="shared" si="345"/>
        <v>0</v>
      </c>
      <c r="AQ1063" s="162">
        <f t="shared" si="345"/>
        <v>0</v>
      </c>
      <c r="AR1063" s="163">
        <f t="shared" ref="AR1063:AR1107" si="346">SUM(AF1063:AQ1063)</f>
        <v>0</v>
      </c>
      <c r="AT1063" s="207">
        <f>IFERROR(VLOOKUP(J1063,#REF!,10,0),0)</f>
        <v>0</v>
      </c>
    </row>
    <row r="1064" spans="1:46" hidden="1" outlineLevel="1" x14ac:dyDescent="0.25">
      <c r="A1064" s="14" t="str">
        <f t="shared" si="326"/>
        <v>PROP_OPER__2</v>
      </c>
      <c r="B1064" s="15" t="str">
        <f t="shared" si="341"/>
        <v>PROP_OPER__1023_0</v>
      </c>
      <c r="C1064" s="83"/>
      <c r="D1064" s="15">
        <v>1</v>
      </c>
      <c r="E1064" s="15">
        <v>2</v>
      </c>
      <c r="F1064" s="190">
        <f t="shared" si="342"/>
        <v>1023</v>
      </c>
      <c r="G1064" s="149" t="str">
        <f t="shared" si="342"/>
        <v/>
      </c>
      <c r="H1064" s="150" t="str">
        <f t="shared" si="342"/>
        <v/>
      </c>
      <c r="I1064" s="150" t="str">
        <f t="shared" si="342"/>
        <v>PLANCP</v>
      </c>
      <c r="J1064" s="150">
        <f t="shared" si="342"/>
        <v>0</v>
      </c>
      <c r="K1064" s="196" t="str">
        <f t="shared" si="342"/>
        <v/>
      </c>
      <c r="L1064" s="197" t="str">
        <f t="shared" si="342"/>
        <v/>
      </c>
      <c r="M1064" s="191">
        <f t="shared" si="342"/>
        <v>0</v>
      </c>
      <c r="N1064" s="150">
        <f t="shared" si="342"/>
        <v>0</v>
      </c>
      <c r="O1064" s="193">
        <f t="shared" si="342"/>
        <v>1</v>
      </c>
      <c r="P1064" s="162">
        <f t="shared" si="343"/>
        <v>0</v>
      </c>
      <c r="Q1064" s="162">
        <f t="shared" si="343"/>
        <v>0</v>
      </c>
      <c r="R1064" s="162">
        <f t="shared" si="343"/>
        <v>0</v>
      </c>
      <c r="S1064" s="162">
        <f t="shared" si="343"/>
        <v>0</v>
      </c>
      <c r="T1064" s="162">
        <f t="shared" si="343"/>
        <v>0</v>
      </c>
      <c r="U1064" s="162">
        <f t="shared" si="343"/>
        <v>0</v>
      </c>
      <c r="V1064" s="162">
        <f t="shared" si="343"/>
        <v>0</v>
      </c>
      <c r="W1064" s="162">
        <f t="shared" si="343"/>
        <v>0</v>
      </c>
      <c r="X1064" s="162">
        <f t="shared" si="343"/>
        <v>0</v>
      </c>
      <c r="Y1064" s="162">
        <f t="shared" si="343"/>
        <v>0</v>
      </c>
      <c r="Z1064" s="162">
        <f t="shared" si="343"/>
        <v>0</v>
      </c>
      <c r="AA1064" s="162">
        <f t="shared" si="343"/>
        <v>0</v>
      </c>
      <c r="AB1064" s="163">
        <f t="shared" si="344"/>
        <v>0</v>
      </c>
      <c r="AC1064" s="198"/>
      <c r="AE1064" s="194" t="str">
        <f t="shared" ref="AE1064:AE1107" si="347">AE1018</f>
        <v/>
      </c>
      <c r="AF1064" s="161">
        <f t="shared" si="345"/>
        <v>0</v>
      </c>
      <c r="AG1064" s="162">
        <f t="shared" si="345"/>
        <v>0</v>
      </c>
      <c r="AH1064" s="162">
        <f t="shared" si="345"/>
        <v>0</v>
      </c>
      <c r="AI1064" s="162">
        <f t="shared" si="345"/>
        <v>0</v>
      </c>
      <c r="AJ1064" s="162">
        <f t="shared" si="345"/>
        <v>0</v>
      </c>
      <c r="AK1064" s="162">
        <f t="shared" si="345"/>
        <v>0</v>
      </c>
      <c r="AL1064" s="162">
        <f t="shared" si="345"/>
        <v>0</v>
      </c>
      <c r="AM1064" s="162">
        <f t="shared" si="345"/>
        <v>0</v>
      </c>
      <c r="AN1064" s="162">
        <f t="shared" si="345"/>
        <v>0</v>
      </c>
      <c r="AO1064" s="162">
        <f t="shared" si="345"/>
        <v>0</v>
      </c>
      <c r="AP1064" s="162">
        <f t="shared" si="345"/>
        <v>0</v>
      </c>
      <c r="AQ1064" s="162">
        <f t="shared" si="345"/>
        <v>0</v>
      </c>
      <c r="AR1064" s="163">
        <f t="shared" si="346"/>
        <v>0</v>
      </c>
      <c r="AT1064" s="208">
        <f>IFERROR(VLOOKUP(J1064,#REF!,10,0),0)</f>
        <v>0</v>
      </c>
    </row>
    <row r="1065" spans="1:46" hidden="1" outlineLevel="1" x14ac:dyDescent="0.25">
      <c r="A1065" s="14" t="str">
        <f t="shared" si="326"/>
        <v>PROP_OPER__3</v>
      </c>
      <c r="B1065" s="15" t="str">
        <f t="shared" si="341"/>
        <v>PROP_OPER__1018_0</v>
      </c>
      <c r="C1065" s="83"/>
      <c r="D1065" s="15">
        <v>1</v>
      </c>
      <c r="E1065" s="15">
        <v>3</v>
      </c>
      <c r="F1065" s="190">
        <f t="shared" si="342"/>
        <v>1018</v>
      </c>
      <c r="G1065" s="149" t="str">
        <f t="shared" si="342"/>
        <v/>
      </c>
      <c r="H1065" s="150" t="str">
        <f t="shared" si="342"/>
        <v/>
      </c>
      <c r="I1065" s="150" t="str">
        <f t="shared" si="342"/>
        <v>PLANCF</v>
      </c>
      <c r="J1065" s="150">
        <f t="shared" si="342"/>
        <v>0</v>
      </c>
      <c r="K1065" s="196" t="str">
        <f t="shared" si="342"/>
        <v/>
      </c>
      <c r="L1065" s="197" t="str">
        <f t="shared" si="342"/>
        <v/>
      </c>
      <c r="M1065" s="191">
        <f t="shared" si="342"/>
        <v>0</v>
      </c>
      <c r="N1065" s="150">
        <f t="shared" si="342"/>
        <v>0</v>
      </c>
      <c r="O1065" s="193">
        <f t="shared" si="342"/>
        <v>1</v>
      </c>
      <c r="P1065" s="162">
        <f t="shared" si="343"/>
        <v>0</v>
      </c>
      <c r="Q1065" s="162">
        <f t="shared" si="343"/>
        <v>0</v>
      </c>
      <c r="R1065" s="162">
        <f t="shared" si="343"/>
        <v>0</v>
      </c>
      <c r="S1065" s="162">
        <f t="shared" si="343"/>
        <v>0</v>
      </c>
      <c r="T1065" s="162">
        <f t="shared" si="343"/>
        <v>0</v>
      </c>
      <c r="U1065" s="162">
        <f t="shared" si="343"/>
        <v>0</v>
      </c>
      <c r="V1065" s="162">
        <f t="shared" si="343"/>
        <v>0</v>
      </c>
      <c r="W1065" s="162">
        <f t="shared" si="343"/>
        <v>0</v>
      </c>
      <c r="X1065" s="162">
        <f t="shared" si="343"/>
        <v>0</v>
      </c>
      <c r="Y1065" s="162">
        <f t="shared" si="343"/>
        <v>0</v>
      </c>
      <c r="Z1065" s="162">
        <f t="shared" si="343"/>
        <v>0</v>
      </c>
      <c r="AA1065" s="162">
        <f t="shared" si="343"/>
        <v>0</v>
      </c>
      <c r="AB1065" s="163">
        <f t="shared" si="344"/>
        <v>0</v>
      </c>
      <c r="AC1065" s="198"/>
      <c r="AE1065" s="194" t="str">
        <f t="shared" si="347"/>
        <v/>
      </c>
      <c r="AF1065" s="161">
        <f t="shared" si="345"/>
        <v>0</v>
      </c>
      <c r="AG1065" s="162">
        <f t="shared" si="345"/>
        <v>0</v>
      </c>
      <c r="AH1065" s="162">
        <f t="shared" si="345"/>
        <v>0</v>
      </c>
      <c r="AI1065" s="162">
        <f t="shared" si="345"/>
        <v>0</v>
      </c>
      <c r="AJ1065" s="162">
        <f t="shared" si="345"/>
        <v>0</v>
      </c>
      <c r="AK1065" s="162">
        <f t="shared" si="345"/>
        <v>0</v>
      </c>
      <c r="AL1065" s="162">
        <f t="shared" si="345"/>
        <v>0</v>
      </c>
      <c r="AM1065" s="162">
        <f t="shared" si="345"/>
        <v>0</v>
      </c>
      <c r="AN1065" s="162">
        <f t="shared" si="345"/>
        <v>0</v>
      </c>
      <c r="AO1065" s="162">
        <f t="shared" si="345"/>
        <v>0</v>
      </c>
      <c r="AP1065" s="162">
        <f t="shared" si="345"/>
        <v>0</v>
      </c>
      <c r="AQ1065" s="162">
        <f t="shared" si="345"/>
        <v>0</v>
      </c>
      <c r="AR1065" s="163">
        <f t="shared" si="346"/>
        <v>0</v>
      </c>
      <c r="AT1065" s="208">
        <f>IFERROR(VLOOKUP(J1065,#REF!,10,0),0)</f>
        <v>0</v>
      </c>
    </row>
    <row r="1066" spans="1:46" hidden="1" outlineLevel="1" x14ac:dyDescent="0.25">
      <c r="A1066" s="14" t="str">
        <f t="shared" si="326"/>
        <v>PROP_OPER__4</v>
      </c>
      <c r="B1066" s="15" t="str">
        <f t="shared" si="341"/>
        <v>PROP_OPER__1023_0</v>
      </c>
      <c r="C1066" s="83"/>
      <c r="D1066" s="15">
        <v>1</v>
      </c>
      <c r="E1066" s="15">
        <v>4</v>
      </c>
      <c r="F1066" s="190">
        <f t="shared" si="342"/>
        <v>1023</v>
      </c>
      <c r="G1066" s="149" t="str">
        <f t="shared" si="342"/>
        <v/>
      </c>
      <c r="H1066" s="150" t="str">
        <f t="shared" si="342"/>
        <v/>
      </c>
      <c r="I1066" s="150" t="str">
        <f t="shared" si="342"/>
        <v>PLANCF</v>
      </c>
      <c r="J1066" s="150">
        <f t="shared" si="342"/>
        <v>0</v>
      </c>
      <c r="K1066" s="196" t="str">
        <f t="shared" si="342"/>
        <v/>
      </c>
      <c r="L1066" s="197" t="str">
        <f t="shared" si="342"/>
        <v/>
      </c>
      <c r="M1066" s="191">
        <f t="shared" si="342"/>
        <v>0</v>
      </c>
      <c r="N1066" s="150">
        <f t="shared" si="342"/>
        <v>0</v>
      </c>
      <c r="O1066" s="193">
        <f t="shared" si="342"/>
        <v>1</v>
      </c>
      <c r="P1066" s="162">
        <f t="shared" si="343"/>
        <v>0</v>
      </c>
      <c r="Q1066" s="162">
        <f t="shared" si="343"/>
        <v>0</v>
      </c>
      <c r="R1066" s="162">
        <f t="shared" si="343"/>
        <v>0</v>
      </c>
      <c r="S1066" s="162">
        <f t="shared" si="343"/>
        <v>0</v>
      </c>
      <c r="T1066" s="162">
        <f t="shared" si="343"/>
        <v>0</v>
      </c>
      <c r="U1066" s="162">
        <f t="shared" si="343"/>
        <v>0</v>
      </c>
      <c r="V1066" s="162">
        <f t="shared" si="343"/>
        <v>0</v>
      </c>
      <c r="W1066" s="162">
        <f t="shared" si="343"/>
        <v>0</v>
      </c>
      <c r="X1066" s="162">
        <f t="shared" si="343"/>
        <v>0</v>
      </c>
      <c r="Y1066" s="162">
        <f t="shared" si="343"/>
        <v>0</v>
      </c>
      <c r="Z1066" s="162">
        <f t="shared" si="343"/>
        <v>0</v>
      </c>
      <c r="AA1066" s="162">
        <f t="shared" si="343"/>
        <v>0</v>
      </c>
      <c r="AB1066" s="163">
        <f t="shared" si="344"/>
        <v>0</v>
      </c>
      <c r="AC1066" s="159"/>
      <c r="AE1066" s="194" t="str">
        <f t="shared" si="347"/>
        <v/>
      </c>
      <c r="AF1066" s="161">
        <f t="shared" si="345"/>
        <v>0</v>
      </c>
      <c r="AG1066" s="162">
        <f t="shared" si="345"/>
        <v>0</v>
      </c>
      <c r="AH1066" s="162">
        <f t="shared" si="345"/>
        <v>0</v>
      </c>
      <c r="AI1066" s="162">
        <f t="shared" si="345"/>
        <v>0</v>
      </c>
      <c r="AJ1066" s="162">
        <f t="shared" si="345"/>
        <v>0</v>
      </c>
      <c r="AK1066" s="162">
        <f t="shared" si="345"/>
        <v>0</v>
      </c>
      <c r="AL1066" s="162">
        <f t="shared" si="345"/>
        <v>0</v>
      </c>
      <c r="AM1066" s="162">
        <f t="shared" si="345"/>
        <v>0</v>
      </c>
      <c r="AN1066" s="162">
        <f t="shared" si="345"/>
        <v>0</v>
      </c>
      <c r="AO1066" s="162">
        <f t="shared" si="345"/>
        <v>0</v>
      </c>
      <c r="AP1066" s="162">
        <f t="shared" si="345"/>
        <v>0</v>
      </c>
      <c r="AQ1066" s="162">
        <f t="shared" si="345"/>
        <v>0</v>
      </c>
      <c r="AR1066" s="163">
        <f t="shared" si="346"/>
        <v>0</v>
      </c>
      <c r="AT1066" s="208">
        <f>IFERROR(VLOOKUP(J1066,#REF!,10,0),0)</f>
        <v>0</v>
      </c>
    </row>
    <row r="1067" spans="1:46" hidden="1" outlineLevel="1" x14ac:dyDescent="0.25">
      <c r="A1067" s="14" t="str">
        <f t="shared" si="326"/>
        <v>PROP_OPER__5</v>
      </c>
      <c r="B1067" s="15" t="str">
        <f t="shared" si="341"/>
        <v>PROP_OPER__1044_0</v>
      </c>
      <c r="C1067" s="83"/>
      <c r="D1067" s="15">
        <v>1</v>
      </c>
      <c r="E1067" s="15">
        <v>5</v>
      </c>
      <c r="F1067" s="190">
        <f t="shared" si="342"/>
        <v>1044</v>
      </c>
      <c r="G1067" s="149" t="str">
        <f t="shared" si="342"/>
        <v/>
      </c>
      <c r="H1067" s="150" t="str">
        <f t="shared" si="342"/>
        <v/>
      </c>
      <c r="I1067" s="150" t="str">
        <f t="shared" si="342"/>
        <v>PLANMP</v>
      </c>
      <c r="J1067" s="150">
        <f t="shared" si="342"/>
        <v>0</v>
      </c>
      <c r="K1067" s="196" t="str">
        <f t="shared" si="342"/>
        <v/>
      </c>
      <c r="L1067" s="197" t="str">
        <f t="shared" si="342"/>
        <v/>
      </c>
      <c r="M1067" s="191">
        <f t="shared" si="342"/>
        <v>0</v>
      </c>
      <c r="N1067" s="150">
        <f t="shared" si="342"/>
        <v>0</v>
      </c>
      <c r="O1067" s="193">
        <f t="shared" si="342"/>
        <v>1</v>
      </c>
      <c r="P1067" s="162">
        <f t="shared" si="343"/>
        <v>0</v>
      </c>
      <c r="Q1067" s="162">
        <f t="shared" si="343"/>
        <v>0</v>
      </c>
      <c r="R1067" s="162">
        <f t="shared" si="343"/>
        <v>0</v>
      </c>
      <c r="S1067" s="162">
        <f t="shared" si="343"/>
        <v>0</v>
      </c>
      <c r="T1067" s="162">
        <f t="shared" si="343"/>
        <v>0</v>
      </c>
      <c r="U1067" s="162">
        <f t="shared" si="343"/>
        <v>0</v>
      </c>
      <c r="V1067" s="162">
        <f t="shared" si="343"/>
        <v>0</v>
      </c>
      <c r="W1067" s="162">
        <f t="shared" si="343"/>
        <v>0</v>
      </c>
      <c r="X1067" s="162">
        <f t="shared" si="343"/>
        <v>0</v>
      </c>
      <c r="Y1067" s="162">
        <f t="shared" si="343"/>
        <v>0</v>
      </c>
      <c r="Z1067" s="162">
        <f t="shared" si="343"/>
        <v>0</v>
      </c>
      <c r="AA1067" s="162">
        <f t="shared" si="343"/>
        <v>0</v>
      </c>
      <c r="AB1067" s="163">
        <f t="shared" si="344"/>
        <v>0</v>
      </c>
      <c r="AC1067" s="159"/>
      <c r="AE1067" s="194" t="str">
        <f t="shared" si="347"/>
        <v/>
      </c>
      <c r="AF1067" s="161">
        <f t="shared" si="345"/>
        <v>0</v>
      </c>
      <c r="AG1067" s="162">
        <f t="shared" si="345"/>
        <v>0</v>
      </c>
      <c r="AH1067" s="162">
        <f t="shared" si="345"/>
        <v>0</v>
      </c>
      <c r="AI1067" s="162">
        <f t="shared" si="345"/>
        <v>0</v>
      </c>
      <c r="AJ1067" s="162">
        <f t="shared" si="345"/>
        <v>0</v>
      </c>
      <c r="AK1067" s="162">
        <f t="shared" si="345"/>
        <v>0</v>
      </c>
      <c r="AL1067" s="162">
        <f t="shared" si="345"/>
        <v>0</v>
      </c>
      <c r="AM1067" s="162">
        <f t="shared" si="345"/>
        <v>0</v>
      </c>
      <c r="AN1067" s="162">
        <f t="shared" si="345"/>
        <v>0</v>
      </c>
      <c r="AO1067" s="162">
        <f t="shared" si="345"/>
        <v>0</v>
      </c>
      <c r="AP1067" s="162">
        <f t="shared" si="345"/>
        <v>0</v>
      </c>
      <c r="AQ1067" s="162">
        <f t="shared" si="345"/>
        <v>0</v>
      </c>
      <c r="AR1067" s="163">
        <f t="shared" si="346"/>
        <v>0</v>
      </c>
      <c r="AT1067" s="208">
        <f>IFERROR(VLOOKUP(J1067,#REF!,10,0),0)</f>
        <v>0</v>
      </c>
    </row>
    <row r="1068" spans="1:46" hidden="1" outlineLevel="1" x14ac:dyDescent="0.25">
      <c r="A1068" s="14" t="str">
        <f t="shared" si="326"/>
        <v>PROP_OPER__6</v>
      </c>
      <c r="B1068" s="15" t="str">
        <f t="shared" si="341"/>
        <v>PROP_OPER__1033_0</v>
      </c>
      <c r="C1068" s="83"/>
      <c r="D1068" s="15">
        <v>1</v>
      </c>
      <c r="E1068" s="15">
        <v>6</v>
      </c>
      <c r="F1068" s="190">
        <f t="shared" si="342"/>
        <v>1033</v>
      </c>
      <c r="G1068" s="149" t="str">
        <f t="shared" si="342"/>
        <v/>
      </c>
      <c r="H1068" s="150" t="str">
        <f t="shared" si="342"/>
        <v/>
      </c>
      <c r="I1068" s="150" t="str">
        <f t="shared" si="342"/>
        <v>PLANCP</v>
      </c>
      <c r="J1068" s="150">
        <f t="shared" si="342"/>
        <v>0</v>
      </c>
      <c r="K1068" s="196" t="str">
        <f t="shared" si="342"/>
        <v/>
      </c>
      <c r="L1068" s="197" t="str">
        <f t="shared" si="342"/>
        <v/>
      </c>
      <c r="M1068" s="191">
        <f t="shared" si="342"/>
        <v>0</v>
      </c>
      <c r="N1068" s="150">
        <f t="shared" si="342"/>
        <v>0</v>
      </c>
      <c r="O1068" s="193">
        <f t="shared" si="342"/>
        <v>1</v>
      </c>
      <c r="P1068" s="162">
        <f t="shared" si="343"/>
        <v>0</v>
      </c>
      <c r="Q1068" s="162">
        <f t="shared" si="343"/>
        <v>0</v>
      </c>
      <c r="R1068" s="162">
        <f t="shared" si="343"/>
        <v>0</v>
      </c>
      <c r="S1068" s="162">
        <f t="shared" si="343"/>
        <v>0</v>
      </c>
      <c r="T1068" s="162">
        <f t="shared" si="343"/>
        <v>0</v>
      </c>
      <c r="U1068" s="162">
        <f t="shared" si="343"/>
        <v>0</v>
      </c>
      <c r="V1068" s="162">
        <f t="shared" si="343"/>
        <v>0</v>
      </c>
      <c r="W1068" s="162">
        <f t="shared" si="343"/>
        <v>0</v>
      </c>
      <c r="X1068" s="162">
        <f t="shared" si="343"/>
        <v>0</v>
      </c>
      <c r="Y1068" s="162">
        <f t="shared" si="343"/>
        <v>0</v>
      </c>
      <c r="Z1068" s="162">
        <f t="shared" si="343"/>
        <v>0</v>
      </c>
      <c r="AA1068" s="162">
        <f t="shared" si="343"/>
        <v>0</v>
      </c>
      <c r="AB1068" s="163">
        <f t="shared" si="344"/>
        <v>0</v>
      </c>
      <c r="AC1068" s="159"/>
      <c r="AE1068" s="194" t="str">
        <f t="shared" si="347"/>
        <v/>
      </c>
      <c r="AF1068" s="161">
        <f t="shared" si="345"/>
        <v>0</v>
      </c>
      <c r="AG1068" s="162">
        <f t="shared" si="345"/>
        <v>0</v>
      </c>
      <c r="AH1068" s="162">
        <f t="shared" si="345"/>
        <v>0</v>
      </c>
      <c r="AI1068" s="162">
        <f t="shared" si="345"/>
        <v>0</v>
      </c>
      <c r="AJ1068" s="162">
        <f t="shared" si="345"/>
        <v>0</v>
      </c>
      <c r="AK1068" s="162">
        <f t="shared" si="345"/>
        <v>0</v>
      </c>
      <c r="AL1068" s="162">
        <f t="shared" si="345"/>
        <v>0</v>
      </c>
      <c r="AM1068" s="162">
        <f t="shared" si="345"/>
        <v>0</v>
      </c>
      <c r="AN1068" s="162">
        <f t="shared" si="345"/>
        <v>0</v>
      </c>
      <c r="AO1068" s="162">
        <f t="shared" si="345"/>
        <v>0</v>
      </c>
      <c r="AP1068" s="162">
        <f t="shared" si="345"/>
        <v>0</v>
      </c>
      <c r="AQ1068" s="162">
        <f t="shared" si="345"/>
        <v>0</v>
      </c>
      <c r="AR1068" s="163">
        <f t="shared" si="346"/>
        <v>0</v>
      </c>
      <c r="AT1068" s="208">
        <f>IFERROR(VLOOKUP(J1068,#REF!,10,0),0)</f>
        <v>0</v>
      </c>
    </row>
    <row r="1069" spans="1:46" hidden="1" outlineLevel="1" x14ac:dyDescent="0.25">
      <c r="A1069" s="14" t="str">
        <f t="shared" si="326"/>
        <v>PROP_OPER__7</v>
      </c>
      <c r="B1069" s="15" t="str">
        <f t="shared" si="341"/>
        <v>PROP_OPER__0_0</v>
      </c>
      <c r="C1069" s="83"/>
      <c r="D1069" s="15">
        <v>1</v>
      </c>
      <c r="E1069" s="15">
        <v>7</v>
      </c>
      <c r="F1069" s="190">
        <f t="shared" si="342"/>
        <v>0</v>
      </c>
      <c r="G1069" s="149" t="str">
        <f t="shared" si="342"/>
        <v/>
      </c>
      <c r="H1069" s="150" t="str">
        <f t="shared" si="342"/>
        <v/>
      </c>
      <c r="I1069" s="150">
        <f t="shared" si="342"/>
        <v>0</v>
      </c>
      <c r="J1069" s="150">
        <f t="shared" si="342"/>
        <v>0</v>
      </c>
      <c r="K1069" s="196" t="str">
        <f t="shared" si="342"/>
        <v/>
      </c>
      <c r="L1069" s="197" t="str">
        <f t="shared" si="342"/>
        <v/>
      </c>
      <c r="M1069" s="191">
        <f t="shared" si="342"/>
        <v>0</v>
      </c>
      <c r="N1069" s="150">
        <f t="shared" si="342"/>
        <v>0</v>
      </c>
      <c r="O1069" s="193">
        <f t="shared" si="342"/>
        <v>0</v>
      </c>
      <c r="P1069" s="162">
        <f t="shared" si="343"/>
        <v>0</v>
      </c>
      <c r="Q1069" s="162">
        <f t="shared" si="343"/>
        <v>0</v>
      </c>
      <c r="R1069" s="162">
        <f t="shared" si="343"/>
        <v>0</v>
      </c>
      <c r="S1069" s="162">
        <f t="shared" si="343"/>
        <v>0</v>
      </c>
      <c r="T1069" s="162">
        <f t="shared" si="343"/>
        <v>0</v>
      </c>
      <c r="U1069" s="162">
        <f t="shared" si="343"/>
        <v>0</v>
      </c>
      <c r="V1069" s="162">
        <f t="shared" si="343"/>
        <v>0</v>
      </c>
      <c r="W1069" s="162">
        <f t="shared" si="343"/>
        <v>0</v>
      </c>
      <c r="X1069" s="162">
        <f t="shared" si="343"/>
        <v>0</v>
      </c>
      <c r="Y1069" s="162">
        <f t="shared" si="343"/>
        <v>0</v>
      </c>
      <c r="Z1069" s="162">
        <f t="shared" si="343"/>
        <v>0</v>
      </c>
      <c r="AA1069" s="162">
        <f t="shared" si="343"/>
        <v>0</v>
      </c>
      <c r="AB1069" s="163">
        <f t="shared" si="344"/>
        <v>0</v>
      </c>
      <c r="AC1069" s="159"/>
      <c r="AE1069" s="194" t="str">
        <f t="shared" si="347"/>
        <v/>
      </c>
      <c r="AF1069" s="161">
        <f t="shared" si="345"/>
        <v>0</v>
      </c>
      <c r="AG1069" s="162">
        <f t="shared" si="345"/>
        <v>0</v>
      </c>
      <c r="AH1069" s="162">
        <f t="shared" si="345"/>
        <v>0</v>
      </c>
      <c r="AI1069" s="162">
        <f t="shared" si="345"/>
        <v>0</v>
      </c>
      <c r="AJ1069" s="162">
        <f t="shared" si="345"/>
        <v>0</v>
      </c>
      <c r="AK1069" s="162">
        <f t="shared" si="345"/>
        <v>0</v>
      </c>
      <c r="AL1069" s="162">
        <f t="shared" si="345"/>
        <v>0</v>
      </c>
      <c r="AM1069" s="162">
        <f t="shared" si="345"/>
        <v>0</v>
      </c>
      <c r="AN1069" s="162">
        <f t="shared" si="345"/>
        <v>0</v>
      </c>
      <c r="AO1069" s="162">
        <f t="shared" si="345"/>
        <v>0</v>
      </c>
      <c r="AP1069" s="162">
        <f t="shared" si="345"/>
        <v>0</v>
      </c>
      <c r="AQ1069" s="162">
        <f t="shared" si="345"/>
        <v>0</v>
      </c>
      <c r="AR1069" s="163">
        <f t="shared" si="346"/>
        <v>0</v>
      </c>
      <c r="AT1069" s="208">
        <f>IFERROR(VLOOKUP(J1069,#REF!,10,0),0)</f>
        <v>0</v>
      </c>
    </row>
    <row r="1070" spans="1:46" hidden="1" outlineLevel="1" x14ac:dyDescent="0.25">
      <c r="A1070" s="14" t="str">
        <f t="shared" si="326"/>
        <v>PROP_OPER__8</v>
      </c>
      <c r="B1070" s="15" t="str">
        <f t="shared" si="341"/>
        <v>PROP_OPER__0_0</v>
      </c>
      <c r="C1070" s="83"/>
      <c r="D1070" s="15">
        <v>1</v>
      </c>
      <c r="E1070" s="15">
        <v>8</v>
      </c>
      <c r="F1070" s="190">
        <f t="shared" si="342"/>
        <v>0</v>
      </c>
      <c r="G1070" s="149" t="str">
        <f t="shared" si="342"/>
        <v/>
      </c>
      <c r="H1070" s="150" t="str">
        <f t="shared" si="342"/>
        <v/>
      </c>
      <c r="I1070" s="150">
        <f t="shared" si="342"/>
        <v>0</v>
      </c>
      <c r="J1070" s="150">
        <f t="shared" si="342"/>
        <v>0</v>
      </c>
      <c r="K1070" s="196" t="str">
        <f t="shared" si="342"/>
        <v/>
      </c>
      <c r="L1070" s="197" t="str">
        <f t="shared" si="342"/>
        <v/>
      </c>
      <c r="M1070" s="191">
        <f t="shared" si="342"/>
        <v>0</v>
      </c>
      <c r="N1070" s="150">
        <f t="shared" si="342"/>
        <v>0</v>
      </c>
      <c r="O1070" s="193">
        <f t="shared" si="342"/>
        <v>0</v>
      </c>
      <c r="P1070" s="162">
        <f t="shared" si="343"/>
        <v>0</v>
      </c>
      <c r="Q1070" s="162">
        <f t="shared" si="343"/>
        <v>0</v>
      </c>
      <c r="R1070" s="162">
        <f t="shared" si="343"/>
        <v>0</v>
      </c>
      <c r="S1070" s="162">
        <f t="shared" si="343"/>
        <v>0</v>
      </c>
      <c r="T1070" s="162">
        <f t="shared" si="343"/>
        <v>0</v>
      </c>
      <c r="U1070" s="162">
        <f t="shared" si="343"/>
        <v>0</v>
      </c>
      <c r="V1070" s="162">
        <f t="shared" si="343"/>
        <v>0</v>
      </c>
      <c r="W1070" s="162">
        <f t="shared" si="343"/>
        <v>0</v>
      </c>
      <c r="X1070" s="162">
        <f t="shared" si="343"/>
        <v>0</v>
      </c>
      <c r="Y1070" s="162">
        <f t="shared" si="343"/>
        <v>0</v>
      </c>
      <c r="Z1070" s="162">
        <f t="shared" si="343"/>
        <v>0</v>
      </c>
      <c r="AA1070" s="162">
        <f t="shared" si="343"/>
        <v>0</v>
      </c>
      <c r="AB1070" s="163">
        <f t="shared" si="344"/>
        <v>0</v>
      </c>
      <c r="AC1070" s="159"/>
      <c r="AE1070" s="194" t="str">
        <f t="shared" si="347"/>
        <v/>
      </c>
      <c r="AF1070" s="161">
        <f t="shared" si="345"/>
        <v>0</v>
      </c>
      <c r="AG1070" s="162">
        <f t="shared" si="345"/>
        <v>0</v>
      </c>
      <c r="AH1070" s="162">
        <f t="shared" si="345"/>
        <v>0</v>
      </c>
      <c r="AI1070" s="162">
        <f t="shared" si="345"/>
        <v>0</v>
      </c>
      <c r="AJ1070" s="162">
        <f t="shared" si="345"/>
        <v>0</v>
      </c>
      <c r="AK1070" s="162">
        <f t="shared" si="345"/>
        <v>0</v>
      </c>
      <c r="AL1070" s="162">
        <f t="shared" si="345"/>
        <v>0</v>
      </c>
      <c r="AM1070" s="162">
        <f t="shared" si="345"/>
        <v>0</v>
      </c>
      <c r="AN1070" s="162">
        <f t="shared" si="345"/>
        <v>0</v>
      </c>
      <c r="AO1070" s="162">
        <f t="shared" si="345"/>
        <v>0</v>
      </c>
      <c r="AP1070" s="162">
        <f t="shared" si="345"/>
        <v>0</v>
      </c>
      <c r="AQ1070" s="162">
        <f t="shared" si="345"/>
        <v>0</v>
      </c>
      <c r="AR1070" s="163">
        <f t="shared" si="346"/>
        <v>0</v>
      </c>
      <c r="AT1070" s="208">
        <f>IFERROR(VLOOKUP(J1070,#REF!,10,0),0)</f>
        <v>0</v>
      </c>
    </row>
    <row r="1071" spans="1:46" hidden="1" outlineLevel="1" x14ac:dyDescent="0.25">
      <c r="A1071" s="14" t="str">
        <f t="shared" si="326"/>
        <v>PROP_OPER__9</v>
      </c>
      <c r="B1071" s="15" t="str">
        <f t="shared" si="341"/>
        <v>PROP_OPER__0_0</v>
      </c>
      <c r="C1071" s="83"/>
      <c r="D1071" s="15">
        <v>1</v>
      </c>
      <c r="E1071" s="15">
        <v>9</v>
      </c>
      <c r="F1071" s="190">
        <f t="shared" si="342"/>
        <v>0</v>
      </c>
      <c r="G1071" s="149" t="str">
        <f t="shared" si="342"/>
        <v/>
      </c>
      <c r="H1071" s="150" t="str">
        <f t="shared" si="342"/>
        <v/>
      </c>
      <c r="I1071" s="150">
        <f t="shared" si="342"/>
        <v>0</v>
      </c>
      <c r="J1071" s="150">
        <f t="shared" si="342"/>
        <v>0</v>
      </c>
      <c r="K1071" s="196" t="str">
        <f t="shared" si="342"/>
        <v/>
      </c>
      <c r="L1071" s="197" t="str">
        <f t="shared" si="342"/>
        <v/>
      </c>
      <c r="M1071" s="191">
        <f t="shared" si="342"/>
        <v>0</v>
      </c>
      <c r="N1071" s="150">
        <f t="shared" si="342"/>
        <v>0</v>
      </c>
      <c r="O1071" s="193">
        <f t="shared" si="342"/>
        <v>0</v>
      </c>
      <c r="P1071" s="162">
        <f t="shared" si="343"/>
        <v>0</v>
      </c>
      <c r="Q1071" s="162">
        <f t="shared" si="343"/>
        <v>0</v>
      </c>
      <c r="R1071" s="162">
        <f t="shared" si="343"/>
        <v>0</v>
      </c>
      <c r="S1071" s="162">
        <f t="shared" si="343"/>
        <v>0</v>
      </c>
      <c r="T1071" s="162">
        <f t="shared" si="343"/>
        <v>0</v>
      </c>
      <c r="U1071" s="162">
        <f t="shared" si="343"/>
        <v>0</v>
      </c>
      <c r="V1071" s="162">
        <f t="shared" si="343"/>
        <v>0</v>
      </c>
      <c r="W1071" s="162">
        <f t="shared" si="343"/>
        <v>0</v>
      </c>
      <c r="X1071" s="162">
        <f t="shared" si="343"/>
        <v>0</v>
      </c>
      <c r="Y1071" s="162">
        <f t="shared" si="343"/>
        <v>0</v>
      </c>
      <c r="Z1071" s="162">
        <f t="shared" si="343"/>
        <v>0</v>
      </c>
      <c r="AA1071" s="162">
        <f t="shared" si="343"/>
        <v>0</v>
      </c>
      <c r="AB1071" s="163">
        <f t="shared" si="344"/>
        <v>0</v>
      </c>
      <c r="AC1071" s="159"/>
      <c r="AE1071" s="194" t="str">
        <f t="shared" si="347"/>
        <v/>
      </c>
      <c r="AF1071" s="161">
        <f t="shared" si="345"/>
        <v>0</v>
      </c>
      <c r="AG1071" s="162">
        <f t="shared" si="345"/>
        <v>0</v>
      </c>
      <c r="AH1071" s="162">
        <f t="shared" si="345"/>
        <v>0</v>
      </c>
      <c r="AI1071" s="162">
        <f t="shared" si="345"/>
        <v>0</v>
      </c>
      <c r="AJ1071" s="162">
        <f t="shared" si="345"/>
        <v>0</v>
      </c>
      <c r="AK1071" s="162">
        <f t="shared" si="345"/>
        <v>0</v>
      </c>
      <c r="AL1071" s="162">
        <f t="shared" si="345"/>
        <v>0</v>
      </c>
      <c r="AM1071" s="162">
        <f t="shared" si="345"/>
        <v>0</v>
      </c>
      <c r="AN1071" s="162">
        <f t="shared" si="345"/>
        <v>0</v>
      </c>
      <c r="AO1071" s="162">
        <f t="shared" si="345"/>
        <v>0</v>
      </c>
      <c r="AP1071" s="162">
        <f t="shared" si="345"/>
        <v>0</v>
      </c>
      <c r="AQ1071" s="162">
        <f t="shared" si="345"/>
        <v>0</v>
      </c>
      <c r="AR1071" s="163">
        <f t="shared" si="346"/>
        <v>0</v>
      </c>
      <c r="AT1071" s="208">
        <f>IFERROR(VLOOKUP(J1071,#REF!,10,0),0)</f>
        <v>0</v>
      </c>
    </row>
    <row r="1072" spans="1:46" hidden="1" outlineLevel="1" x14ac:dyDescent="0.25">
      <c r="A1072" s="14" t="str">
        <f t="shared" si="326"/>
        <v>PROP_OPER__10</v>
      </c>
      <c r="B1072" s="15" t="str">
        <f t="shared" si="341"/>
        <v>PROP_OPER__0_0</v>
      </c>
      <c r="C1072" s="83"/>
      <c r="D1072" s="15">
        <v>1</v>
      </c>
      <c r="E1072" s="15">
        <v>10</v>
      </c>
      <c r="F1072" s="190">
        <f t="shared" si="342"/>
        <v>0</v>
      </c>
      <c r="G1072" s="149" t="str">
        <f t="shared" si="342"/>
        <v/>
      </c>
      <c r="H1072" s="150" t="str">
        <f t="shared" si="342"/>
        <v/>
      </c>
      <c r="I1072" s="150">
        <f t="shared" si="342"/>
        <v>0</v>
      </c>
      <c r="J1072" s="150">
        <f t="shared" si="342"/>
        <v>0</v>
      </c>
      <c r="K1072" s="196" t="str">
        <f t="shared" si="342"/>
        <v/>
      </c>
      <c r="L1072" s="197" t="str">
        <f t="shared" si="342"/>
        <v/>
      </c>
      <c r="M1072" s="191">
        <f t="shared" si="342"/>
        <v>0</v>
      </c>
      <c r="N1072" s="150">
        <f t="shared" si="342"/>
        <v>0</v>
      </c>
      <c r="O1072" s="193">
        <f t="shared" si="342"/>
        <v>0</v>
      </c>
      <c r="P1072" s="162">
        <f t="shared" si="343"/>
        <v>0</v>
      </c>
      <c r="Q1072" s="162">
        <f t="shared" si="343"/>
        <v>0</v>
      </c>
      <c r="R1072" s="162">
        <f t="shared" si="343"/>
        <v>0</v>
      </c>
      <c r="S1072" s="162">
        <f t="shared" si="343"/>
        <v>0</v>
      </c>
      <c r="T1072" s="162">
        <f t="shared" si="343"/>
        <v>0</v>
      </c>
      <c r="U1072" s="162">
        <f t="shared" si="343"/>
        <v>0</v>
      </c>
      <c r="V1072" s="162">
        <f t="shared" si="343"/>
        <v>0</v>
      </c>
      <c r="W1072" s="162">
        <f t="shared" si="343"/>
        <v>0</v>
      </c>
      <c r="X1072" s="162">
        <f t="shared" si="343"/>
        <v>0</v>
      </c>
      <c r="Y1072" s="162">
        <f t="shared" si="343"/>
        <v>0</v>
      </c>
      <c r="Z1072" s="162">
        <f t="shared" si="343"/>
        <v>0</v>
      </c>
      <c r="AA1072" s="162">
        <f t="shared" si="343"/>
        <v>0</v>
      </c>
      <c r="AB1072" s="163">
        <f t="shared" si="344"/>
        <v>0</v>
      </c>
      <c r="AC1072" s="159"/>
      <c r="AE1072" s="194" t="str">
        <f t="shared" si="347"/>
        <v/>
      </c>
      <c r="AF1072" s="161">
        <f t="shared" si="345"/>
        <v>0</v>
      </c>
      <c r="AG1072" s="162">
        <f t="shared" si="345"/>
        <v>0</v>
      </c>
      <c r="AH1072" s="162">
        <f t="shared" si="345"/>
        <v>0</v>
      </c>
      <c r="AI1072" s="162">
        <f t="shared" si="345"/>
        <v>0</v>
      </c>
      <c r="AJ1072" s="162">
        <f t="shared" si="345"/>
        <v>0</v>
      </c>
      <c r="AK1072" s="162">
        <f t="shared" si="345"/>
        <v>0</v>
      </c>
      <c r="AL1072" s="162">
        <f t="shared" si="345"/>
        <v>0</v>
      </c>
      <c r="AM1072" s="162">
        <f t="shared" si="345"/>
        <v>0</v>
      </c>
      <c r="AN1072" s="162">
        <f t="shared" si="345"/>
        <v>0</v>
      </c>
      <c r="AO1072" s="162">
        <f t="shared" si="345"/>
        <v>0</v>
      </c>
      <c r="AP1072" s="162">
        <f t="shared" si="345"/>
        <v>0</v>
      </c>
      <c r="AQ1072" s="162">
        <f t="shared" si="345"/>
        <v>0</v>
      </c>
      <c r="AR1072" s="163">
        <f t="shared" si="346"/>
        <v>0</v>
      </c>
      <c r="AT1072" s="208">
        <f>IFERROR(VLOOKUP(J1072,#REF!,10,0),0)</f>
        <v>0</v>
      </c>
    </row>
    <row r="1073" spans="1:46" hidden="1" outlineLevel="1" x14ac:dyDescent="0.25">
      <c r="A1073" s="14" t="str">
        <f t="shared" si="326"/>
        <v>PROP_OPER__11</v>
      </c>
      <c r="B1073" s="15" t="str">
        <f t="shared" si="341"/>
        <v>PROP_OPER__0_0</v>
      </c>
      <c r="C1073" s="83"/>
      <c r="D1073" s="15">
        <v>1</v>
      </c>
      <c r="E1073" s="15">
        <v>11</v>
      </c>
      <c r="F1073" s="190">
        <f t="shared" si="342"/>
        <v>0</v>
      </c>
      <c r="G1073" s="149" t="str">
        <f t="shared" si="342"/>
        <v/>
      </c>
      <c r="H1073" s="150" t="str">
        <f t="shared" si="342"/>
        <v/>
      </c>
      <c r="I1073" s="150">
        <f t="shared" si="342"/>
        <v>0</v>
      </c>
      <c r="J1073" s="150">
        <f t="shared" si="342"/>
        <v>0</v>
      </c>
      <c r="K1073" s="196" t="str">
        <f t="shared" si="342"/>
        <v/>
      </c>
      <c r="L1073" s="197" t="str">
        <f t="shared" si="342"/>
        <v/>
      </c>
      <c r="M1073" s="191">
        <f t="shared" si="342"/>
        <v>0</v>
      </c>
      <c r="N1073" s="150">
        <f t="shared" si="342"/>
        <v>0</v>
      </c>
      <c r="O1073" s="193">
        <f t="shared" si="342"/>
        <v>0</v>
      </c>
      <c r="P1073" s="162">
        <f t="shared" si="343"/>
        <v>0</v>
      </c>
      <c r="Q1073" s="162">
        <f t="shared" si="343"/>
        <v>0</v>
      </c>
      <c r="R1073" s="162">
        <f t="shared" si="343"/>
        <v>0</v>
      </c>
      <c r="S1073" s="162">
        <f t="shared" si="343"/>
        <v>0</v>
      </c>
      <c r="T1073" s="162">
        <f t="shared" si="343"/>
        <v>0</v>
      </c>
      <c r="U1073" s="162">
        <f t="shared" si="343"/>
        <v>0</v>
      </c>
      <c r="V1073" s="162">
        <f t="shared" si="343"/>
        <v>0</v>
      </c>
      <c r="W1073" s="162">
        <f t="shared" si="343"/>
        <v>0</v>
      </c>
      <c r="X1073" s="162">
        <f t="shared" si="343"/>
        <v>0</v>
      </c>
      <c r="Y1073" s="162">
        <f t="shared" si="343"/>
        <v>0</v>
      </c>
      <c r="Z1073" s="162">
        <f t="shared" si="343"/>
        <v>0</v>
      </c>
      <c r="AA1073" s="162">
        <f t="shared" si="343"/>
        <v>0</v>
      </c>
      <c r="AB1073" s="163">
        <f t="shared" si="344"/>
        <v>0</v>
      </c>
      <c r="AC1073" s="198"/>
      <c r="AE1073" s="194" t="str">
        <f t="shared" si="347"/>
        <v/>
      </c>
      <c r="AF1073" s="161">
        <f t="shared" si="345"/>
        <v>0</v>
      </c>
      <c r="AG1073" s="162">
        <f t="shared" si="345"/>
        <v>0</v>
      </c>
      <c r="AH1073" s="162">
        <f t="shared" si="345"/>
        <v>0</v>
      </c>
      <c r="AI1073" s="162">
        <f t="shared" si="345"/>
        <v>0</v>
      </c>
      <c r="AJ1073" s="162">
        <f t="shared" si="345"/>
        <v>0</v>
      </c>
      <c r="AK1073" s="162">
        <f t="shared" si="345"/>
        <v>0</v>
      </c>
      <c r="AL1073" s="162">
        <f t="shared" si="345"/>
        <v>0</v>
      </c>
      <c r="AM1073" s="162">
        <f t="shared" si="345"/>
        <v>0</v>
      </c>
      <c r="AN1073" s="162">
        <f t="shared" si="345"/>
        <v>0</v>
      </c>
      <c r="AO1073" s="162">
        <f t="shared" si="345"/>
        <v>0</v>
      </c>
      <c r="AP1073" s="162">
        <f t="shared" si="345"/>
        <v>0</v>
      </c>
      <c r="AQ1073" s="162">
        <f t="shared" si="345"/>
        <v>0</v>
      </c>
      <c r="AR1073" s="163">
        <f t="shared" si="346"/>
        <v>0</v>
      </c>
      <c r="AT1073" s="208">
        <f>IFERROR(VLOOKUP(J1073,#REF!,10,0),0)</f>
        <v>0</v>
      </c>
    </row>
    <row r="1074" spans="1:46" hidden="1" outlineLevel="1" x14ac:dyDescent="0.25">
      <c r="A1074" s="14" t="str">
        <f t="shared" si="326"/>
        <v>PROP_OPER__12</v>
      </c>
      <c r="B1074" s="15" t="str">
        <f t="shared" si="341"/>
        <v>PROP_OPER__0_0</v>
      </c>
      <c r="C1074" s="83"/>
      <c r="D1074" s="15">
        <v>1</v>
      </c>
      <c r="E1074" s="15">
        <v>12</v>
      </c>
      <c r="F1074" s="190">
        <f t="shared" si="342"/>
        <v>0</v>
      </c>
      <c r="G1074" s="149" t="str">
        <f t="shared" si="342"/>
        <v/>
      </c>
      <c r="H1074" s="150" t="str">
        <f t="shared" si="342"/>
        <v/>
      </c>
      <c r="I1074" s="150">
        <f t="shared" si="342"/>
        <v>0</v>
      </c>
      <c r="J1074" s="150">
        <f t="shared" si="342"/>
        <v>0</v>
      </c>
      <c r="K1074" s="196" t="str">
        <f t="shared" si="342"/>
        <v/>
      </c>
      <c r="L1074" s="197" t="str">
        <f t="shared" si="342"/>
        <v/>
      </c>
      <c r="M1074" s="191">
        <f t="shared" si="342"/>
        <v>0</v>
      </c>
      <c r="N1074" s="150">
        <f t="shared" si="342"/>
        <v>0</v>
      </c>
      <c r="O1074" s="193">
        <f t="shared" si="342"/>
        <v>0</v>
      </c>
      <c r="P1074" s="162">
        <f t="shared" si="343"/>
        <v>0</v>
      </c>
      <c r="Q1074" s="162">
        <f t="shared" si="343"/>
        <v>0</v>
      </c>
      <c r="R1074" s="162">
        <f t="shared" si="343"/>
        <v>0</v>
      </c>
      <c r="S1074" s="162">
        <f t="shared" si="343"/>
        <v>0</v>
      </c>
      <c r="T1074" s="162">
        <f t="shared" si="343"/>
        <v>0</v>
      </c>
      <c r="U1074" s="162">
        <f t="shared" si="343"/>
        <v>0</v>
      </c>
      <c r="V1074" s="162">
        <f t="shared" si="343"/>
        <v>0</v>
      </c>
      <c r="W1074" s="162">
        <f t="shared" si="343"/>
        <v>0</v>
      </c>
      <c r="X1074" s="162">
        <f t="shared" si="343"/>
        <v>0</v>
      </c>
      <c r="Y1074" s="162">
        <f t="shared" si="343"/>
        <v>0</v>
      </c>
      <c r="Z1074" s="162">
        <f t="shared" si="343"/>
        <v>0</v>
      </c>
      <c r="AA1074" s="162">
        <f t="shared" si="343"/>
        <v>0</v>
      </c>
      <c r="AB1074" s="163">
        <f t="shared" si="344"/>
        <v>0</v>
      </c>
      <c r="AC1074" s="198"/>
      <c r="AE1074" s="194" t="str">
        <f t="shared" si="347"/>
        <v/>
      </c>
      <c r="AF1074" s="161">
        <f t="shared" si="345"/>
        <v>0</v>
      </c>
      <c r="AG1074" s="162">
        <f t="shared" si="345"/>
        <v>0</v>
      </c>
      <c r="AH1074" s="162">
        <f t="shared" si="345"/>
        <v>0</v>
      </c>
      <c r="AI1074" s="162">
        <f t="shared" si="345"/>
        <v>0</v>
      </c>
      <c r="AJ1074" s="162">
        <f t="shared" si="345"/>
        <v>0</v>
      </c>
      <c r="AK1074" s="162">
        <f t="shared" si="345"/>
        <v>0</v>
      </c>
      <c r="AL1074" s="162">
        <f t="shared" si="345"/>
        <v>0</v>
      </c>
      <c r="AM1074" s="162">
        <f t="shared" si="345"/>
        <v>0</v>
      </c>
      <c r="AN1074" s="162">
        <f t="shared" si="345"/>
        <v>0</v>
      </c>
      <c r="AO1074" s="162">
        <f t="shared" si="345"/>
        <v>0</v>
      </c>
      <c r="AP1074" s="162">
        <f t="shared" si="345"/>
        <v>0</v>
      </c>
      <c r="AQ1074" s="162">
        <f t="shared" si="345"/>
        <v>0</v>
      </c>
      <c r="AR1074" s="163">
        <f t="shared" si="346"/>
        <v>0</v>
      </c>
      <c r="AT1074" s="208">
        <f>IFERROR(VLOOKUP(J1074,#REF!,10,0),0)</f>
        <v>0</v>
      </c>
    </row>
    <row r="1075" spans="1:46" hidden="1" outlineLevel="1" x14ac:dyDescent="0.25">
      <c r="A1075" s="14" t="str">
        <f t="shared" si="326"/>
        <v>PROP_OPER__13</v>
      </c>
      <c r="B1075" s="15" t="str">
        <f t="shared" si="341"/>
        <v>PROP_OPER__0_0</v>
      </c>
      <c r="C1075" s="83"/>
      <c r="D1075" s="15">
        <v>1</v>
      </c>
      <c r="E1075" s="15">
        <v>13</v>
      </c>
      <c r="F1075" s="190">
        <f t="shared" si="342"/>
        <v>0</v>
      </c>
      <c r="G1075" s="149" t="str">
        <f t="shared" si="342"/>
        <v/>
      </c>
      <c r="H1075" s="150" t="str">
        <f t="shared" si="342"/>
        <v/>
      </c>
      <c r="I1075" s="150">
        <f t="shared" si="342"/>
        <v>0</v>
      </c>
      <c r="J1075" s="150">
        <f t="shared" si="342"/>
        <v>0</v>
      </c>
      <c r="K1075" s="196" t="str">
        <f t="shared" si="342"/>
        <v/>
      </c>
      <c r="L1075" s="197" t="str">
        <f t="shared" si="342"/>
        <v/>
      </c>
      <c r="M1075" s="191">
        <f t="shared" si="342"/>
        <v>0</v>
      </c>
      <c r="N1075" s="150">
        <f t="shared" si="342"/>
        <v>0</v>
      </c>
      <c r="O1075" s="193">
        <f t="shared" si="342"/>
        <v>0</v>
      </c>
      <c r="P1075" s="162">
        <f t="shared" si="343"/>
        <v>0</v>
      </c>
      <c r="Q1075" s="162">
        <f t="shared" si="343"/>
        <v>0</v>
      </c>
      <c r="R1075" s="162">
        <f t="shared" si="343"/>
        <v>0</v>
      </c>
      <c r="S1075" s="162">
        <f t="shared" si="343"/>
        <v>0</v>
      </c>
      <c r="T1075" s="162">
        <f t="shared" si="343"/>
        <v>0</v>
      </c>
      <c r="U1075" s="162">
        <f t="shared" si="343"/>
        <v>0</v>
      </c>
      <c r="V1075" s="162">
        <f t="shared" si="343"/>
        <v>0</v>
      </c>
      <c r="W1075" s="162">
        <f t="shared" si="343"/>
        <v>0</v>
      </c>
      <c r="X1075" s="162">
        <f t="shared" si="343"/>
        <v>0</v>
      </c>
      <c r="Y1075" s="162">
        <f t="shared" si="343"/>
        <v>0</v>
      </c>
      <c r="Z1075" s="162">
        <f t="shared" si="343"/>
        <v>0</v>
      </c>
      <c r="AA1075" s="162">
        <f t="shared" si="343"/>
        <v>0</v>
      </c>
      <c r="AB1075" s="163">
        <f t="shared" si="344"/>
        <v>0</v>
      </c>
      <c r="AC1075" s="198"/>
      <c r="AE1075" s="194" t="str">
        <f t="shared" si="347"/>
        <v/>
      </c>
      <c r="AF1075" s="161">
        <f t="shared" si="345"/>
        <v>0</v>
      </c>
      <c r="AG1075" s="162">
        <f t="shared" si="345"/>
        <v>0</v>
      </c>
      <c r="AH1075" s="162">
        <f t="shared" si="345"/>
        <v>0</v>
      </c>
      <c r="AI1075" s="162">
        <f t="shared" si="345"/>
        <v>0</v>
      </c>
      <c r="AJ1075" s="162">
        <f t="shared" si="345"/>
        <v>0</v>
      </c>
      <c r="AK1075" s="162">
        <f t="shared" si="345"/>
        <v>0</v>
      </c>
      <c r="AL1075" s="162">
        <f t="shared" si="345"/>
        <v>0</v>
      </c>
      <c r="AM1075" s="162">
        <f t="shared" si="345"/>
        <v>0</v>
      </c>
      <c r="AN1075" s="162">
        <f t="shared" si="345"/>
        <v>0</v>
      </c>
      <c r="AO1075" s="162">
        <f t="shared" si="345"/>
        <v>0</v>
      </c>
      <c r="AP1075" s="162">
        <f t="shared" si="345"/>
        <v>0</v>
      </c>
      <c r="AQ1075" s="162">
        <f t="shared" si="345"/>
        <v>0</v>
      </c>
      <c r="AR1075" s="163">
        <f t="shared" si="346"/>
        <v>0</v>
      </c>
      <c r="AT1075" s="208">
        <f>IFERROR(VLOOKUP(J1075,#REF!,10,0),0)</f>
        <v>0</v>
      </c>
    </row>
    <row r="1076" spans="1:46" hidden="1" outlineLevel="1" x14ac:dyDescent="0.25">
      <c r="A1076" s="14" t="str">
        <f t="shared" si="326"/>
        <v>PROP_OPER__14</v>
      </c>
      <c r="B1076" s="15" t="str">
        <f t="shared" si="341"/>
        <v>PROP_OPER__0_0</v>
      </c>
      <c r="C1076" s="83"/>
      <c r="D1076" s="15">
        <v>1</v>
      </c>
      <c r="E1076" s="15">
        <v>14</v>
      </c>
      <c r="F1076" s="190">
        <f t="shared" si="342"/>
        <v>0</v>
      </c>
      <c r="G1076" s="149" t="str">
        <f t="shared" si="342"/>
        <v/>
      </c>
      <c r="H1076" s="150" t="str">
        <f t="shared" si="342"/>
        <v/>
      </c>
      <c r="I1076" s="150">
        <f t="shared" si="342"/>
        <v>0</v>
      </c>
      <c r="J1076" s="150">
        <f t="shared" si="342"/>
        <v>0</v>
      </c>
      <c r="K1076" s="196" t="str">
        <f t="shared" si="342"/>
        <v/>
      </c>
      <c r="L1076" s="197" t="str">
        <f t="shared" si="342"/>
        <v/>
      </c>
      <c r="M1076" s="191">
        <f t="shared" si="342"/>
        <v>0</v>
      </c>
      <c r="N1076" s="150">
        <f t="shared" si="342"/>
        <v>0</v>
      </c>
      <c r="O1076" s="193">
        <f t="shared" si="342"/>
        <v>0</v>
      </c>
      <c r="P1076" s="162">
        <f t="shared" si="343"/>
        <v>0</v>
      </c>
      <c r="Q1076" s="162">
        <f t="shared" si="343"/>
        <v>0</v>
      </c>
      <c r="R1076" s="162">
        <f t="shared" si="343"/>
        <v>0</v>
      </c>
      <c r="S1076" s="162">
        <f t="shared" si="343"/>
        <v>0</v>
      </c>
      <c r="T1076" s="162">
        <f t="shared" si="343"/>
        <v>0</v>
      </c>
      <c r="U1076" s="162">
        <f t="shared" si="343"/>
        <v>0</v>
      </c>
      <c r="V1076" s="162">
        <f t="shared" si="343"/>
        <v>0</v>
      </c>
      <c r="W1076" s="162">
        <f t="shared" si="343"/>
        <v>0</v>
      </c>
      <c r="X1076" s="162">
        <f t="shared" si="343"/>
        <v>0</v>
      </c>
      <c r="Y1076" s="162">
        <f t="shared" si="343"/>
        <v>0</v>
      </c>
      <c r="Z1076" s="162">
        <f t="shared" si="343"/>
        <v>0</v>
      </c>
      <c r="AA1076" s="162">
        <f t="shared" si="343"/>
        <v>0</v>
      </c>
      <c r="AB1076" s="163">
        <f t="shared" si="344"/>
        <v>0</v>
      </c>
      <c r="AC1076" s="198"/>
      <c r="AE1076" s="194" t="str">
        <f t="shared" si="347"/>
        <v/>
      </c>
      <c r="AF1076" s="161">
        <f t="shared" si="345"/>
        <v>0</v>
      </c>
      <c r="AG1076" s="162">
        <f t="shared" si="345"/>
        <v>0</v>
      </c>
      <c r="AH1076" s="162">
        <f t="shared" si="345"/>
        <v>0</v>
      </c>
      <c r="AI1076" s="162">
        <f t="shared" si="345"/>
        <v>0</v>
      </c>
      <c r="AJ1076" s="162">
        <f t="shared" si="345"/>
        <v>0</v>
      </c>
      <c r="AK1076" s="162">
        <f t="shared" si="345"/>
        <v>0</v>
      </c>
      <c r="AL1076" s="162">
        <f t="shared" si="345"/>
        <v>0</v>
      </c>
      <c r="AM1076" s="162">
        <f t="shared" si="345"/>
        <v>0</v>
      </c>
      <c r="AN1076" s="162">
        <f t="shared" si="345"/>
        <v>0</v>
      </c>
      <c r="AO1076" s="162">
        <f t="shared" si="345"/>
        <v>0</v>
      </c>
      <c r="AP1076" s="162">
        <f t="shared" si="345"/>
        <v>0</v>
      </c>
      <c r="AQ1076" s="162">
        <f t="shared" si="345"/>
        <v>0</v>
      </c>
      <c r="AR1076" s="163">
        <f t="shared" si="346"/>
        <v>0</v>
      </c>
      <c r="AT1076" s="208">
        <f>IFERROR(VLOOKUP(J1076,#REF!,10,0),0)</f>
        <v>0</v>
      </c>
    </row>
    <row r="1077" spans="1:46" hidden="1" outlineLevel="1" x14ac:dyDescent="0.25">
      <c r="A1077" s="14" t="str">
        <f t="shared" si="326"/>
        <v>PROP_OPER__15</v>
      </c>
      <c r="B1077" s="15" t="e">
        <f t="shared" si="341"/>
        <v>#REF!</v>
      </c>
      <c r="C1077" s="83"/>
      <c r="D1077" s="15">
        <v>1</v>
      </c>
      <c r="E1077" s="15">
        <v>15</v>
      </c>
      <c r="F1077" s="190" t="e">
        <f t="shared" si="342"/>
        <v>#REF!</v>
      </c>
      <c r="G1077" s="149" t="e">
        <f t="shared" si="342"/>
        <v>#REF!</v>
      </c>
      <c r="H1077" s="150" t="e">
        <f t="shared" si="342"/>
        <v>#REF!</v>
      </c>
      <c r="I1077" s="150" t="e">
        <f t="shared" si="342"/>
        <v>#REF!</v>
      </c>
      <c r="J1077" s="150" t="e">
        <f t="shared" si="342"/>
        <v>#REF!</v>
      </c>
      <c r="K1077" s="196" t="e">
        <f t="shared" si="342"/>
        <v>#REF!</v>
      </c>
      <c r="L1077" s="197" t="e">
        <f t="shared" si="342"/>
        <v>#REF!</v>
      </c>
      <c r="M1077" s="191" t="e">
        <f t="shared" si="342"/>
        <v>#REF!</v>
      </c>
      <c r="N1077" s="150" t="e">
        <f t="shared" si="342"/>
        <v>#REF!</v>
      </c>
      <c r="O1077" s="193" t="e">
        <f t="shared" si="342"/>
        <v>#REF!</v>
      </c>
      <c r="P1077" s="162">
        <f>IFERROR(SUMIF($B$483:$B$547,$C1077&amp;$I1077,P$483:P$547)/SUMIF($D$483:$D$547,$I1077,P$483:P$547)*#REF!,0)</f>
        <v>0</v>
      </c>
      <c r="Q1077" s="162">
        <f>IFERROR(SUMIF($B$483:$B$547,$C1077&amp;$I1077,Q$483:Q$547)/SUMIF($D$483:$D$547,$I1077,Q$483:Q$547)*#REF!,0)</f>
        <v>0</v>
      </c>
      <c r="R1077" s="162">
        <f>IFERROR(SUMIF($B$483:$B$547,$C1077&amp;$I1077,R$483:R$547)/SUMIF($D$483:$D$547,$I1077,R$483:R$547)*#REF!,0)</f>
        <v>0</v>
      </c>
      <c r="S1077" s="162">
        <f>IFERROR(SUMIF($B$483:$B$547,$C1077&amp;$I1077,S$483:S$547)/SUMIF($D$483:$D$547,$I1077,S$483:S$547)*#REF!,0)</f>
        <v>0</v>
      </c>
      <c r="T1077" s="162">
        <f>IFERROR(SUMIF($B$483:$B$547,$C1077&amp;$I1077,T$483:T$547)/SUMIF($D$483:$D$547,$I1077,T$483:T$547)*#REF!,0)</f>
        <v>0</v>
      </c>
      <c r="U1077" s="162">
        <f>IFERROR(SUMIF($B$483:$B$547,$C1077&amp;$I1077,U$483:U$547)/SUMIF($D$483:$D$547,$I1077,U$483:U$547)*#REF!,0)</f>
        <v>0</v>
      </c>
      <c r="V1077" s="162">
        <f>IFERROR(SUMIF($B$483:$B$547,$C1077&amp;$I1077,V$483:V$547)/SUMIF($D$483:$D$547,$I1077,V$483:V$547)*#REF!,0)</f>
        <v>0</v>
      </c>
      <c r="W1077" s="162">
        <f>IFERROR(SUMIF($B$483:$B$547,$C1077&amp;$I1077,W$483:W$547)/SUMIF($D$483:$D$547,$I1077,W$483:W$547)*#REF!,0)</f>
        <v>0</v>
      </c>
      <c r="X1077" s="162">
        <f>IFERROR(SUMIF($B$483:$B$547,$C1077&amp;$I1077,X$483:X$547)/SUMIF($D$483:$D$547,$I1077,X$483:X$547)*#REF!,0)</f>
        <v>0</v>
      </c>
      <c r="Y1077" s="162">
        <f>IFERROR(SUMIF($B$483:$B$547,$C1077&amp;$I1077,Y$483:Y$547)/SUMIF($D$483:$D$547,$I1077,Y$483:Y$547)*#REF!,0)</f>
        <v>0</v>
      </c>
      <c r="Z1077" s="162">
        <f>IFERROR(SUMIF($B$483:$B$547,$C1077&amp;$I1077,Z$483:Z$547)/SUMIF($D$483:$D$547,$I1077,Z$483:Z$547)*#REF!,0)</f>
        <v>0</v>
      </c>
      <c r="AA1077" s="162">
        <f>IFERROR(SUMIF($B$483:$B$547,$C1077&amp;$I1077,AA$483:AA$547)/SUMIF($D$483:$D$547,$I1077,AA$483:AA$547)*#REF!,0)</f>
        <v>0</v>
      </c>
      <c r="AB1077" s="163">
        <f t="shared" si="344"/>
        <v>0</v>
      </c>
      <c r="AC1077" s="198"/>
      <c r="AE1077" s="194" t="e">
        <f t="shared" si="347"/>
        <v>#REF!</v>
      </c>
      <c r="AF1077" s="161">
        <f>IFERROR(SUMIF($B$483:$B$547,$C1077&amp;$I1077,P$483:P$547)/SUMIF($D$483:$D$547,$I1077,P$483:P$547)*#REF!,0)</f>
        <v>0</v>
      </c>
      <c r="AG1077" s="162">
        <f>IFERROR(SUMIF($B$483:$B$547,$C1077&amp;$I1077,Q$483:Q$547)/SUMIF($D$483:$D$547,$I1077,Q$483:Q$547)*#REF!,0)</f>
        <v>0</v>
      </c>
      <c r="AH1077" s="162">
        <f>IFERROR(SUMIF($B$483:$B$547,$C1077&amp;$I1077,R$483:R$547)/SUMIF($D$483:$D$547,$I1077,R$483:R$547)*#REF!,0)</f>
        <v>0</v>
      </c>
      <c r="AI1077" s="162">
        <f>IFERROR(SUMIF($B$483:$B$547,$C1077&amp;$I1077,S$483:S$547)/SUMIF($D$483:$D$547,$I1077,S$483:S$547)*#REF!,0)</f>
        <v>0</v>
      </c>
      <c r="AJ1077" s="162">
        <f>IFERROR(SUMIF($B$483:$B$547,$C1077&amp;$I1077,T$483:T$547)/SUMIF($D$483:$D$547,$I1077,T$483:T$547)*#REF!,0)</f>
        <v>0</v>
      </c>
      <c r="AK1077" s="162">
        <f>IFERROR(SUMIF($B$483:$B$547,$C1077&amp;$I1077,U$483:U$547)/SUMIF($D$483:$D$547,$I1077,U$483:U$547)*#REF!,0)</f>
        <v>0</v>
      </c>
      <c r="AL1077" s="162">
        <f>IFERROR(SUMIF($B$483:$B$547,$C1077&amp;$I1077,V$483:V$547)/SUMIF($D$483:$D$547,$I1077,V$483:V$547)*#REF!,0)</f>
        <v>0</v>
      </c>
      <c r="AM1077" s="162">
        <f>IFERROR(SUMIF($B$483:$B$547,$C1077&amp;$I1077,W$483:W$547)/SUMIF($D$483:$D$547,$I1077,W$483:W$547)*#REF!,0)</f>
        <v>0</v>
      </c>
      <c r="AN1077" s="162">
        <f>IFERROR(SUMIF($B$483:$B$547,$C1077&amp;$I1077,X$483:X$547)/SUMIF($D$483:$D$547,$I1077,X$483:X$547)*#REF!,0)</f>
        <v>0</v>
      </c>
      <c r="AO1077" s="162">
        <f>IFERROR(SUMIF($B$483:$B$547,$C1077&amp;$I1077,Y$483:Y$547)/SUMIF($D$483:$D$547,$I1077,Y$483:Y$547)*#REF!,0)</f>
        <v>0</v>
      </c>
      <c r="AP1077" s="162">
        <f>IFERROR(SUMIF($B$483:$B$547,$C1077&amp;$I1077,Z$483:Z$547)/SUMIF($D$483:$D$547,$I1077,Z$483:Z$547)*#REF!,0)</f>
        <v>0</v>
      </c>
      <c r="AQ1077" s="162">
        <f>IFERROR(SUMIF($B$483:$B$547,$C1077&amp;$I1077,AA$483:AA$547)/SUMIF($D$483:$D$547,$I1077,AA$483:AA$547)*#REF!,0)</f>
        <v>0</v>
      </c>
      <c r="AR1077" s="163">
        <f t="shared" si="346"/>
        <v>0</v>
      </c>
      <c r="AT1077" s="208">
        <f>IFERROR(VLOOKUP(J1077,#REF!,10,0),0)</f>
        <v>0</v>
      </c>
    </row>
    <row r="1078" spans="1:46" hidden="1" outlineLevel="1" x14ac:dyDescent="0.25">
      <c r="A1078" s="14" t="str">
        <f t="shared" si="326"/>
        <v>PROP_OPER__16</v>
      </c>
      <c r="B1078" s="15" t="e">
        <f t="shared" si="341"/>
        <v>#REF!</v>
      </c>
      <c r="C1078" s="83"/>
      <c r="D1078" s="15">
        <v>1</v>
      </c>
      <c r="E1078" s="15">
        <v>16</v>
      </c>
      <c r="F1078" s="190" t="e">
        <f t="shared" si="342"/>
        <v>#REF!</v>
      </c>
      <c r="G1078" s="149" t="e">
        <f t="shared" si="342"/>
        <v>#REF!</v>
      </c>
      <c r="H1078" s="150" t="e">
        <f t="shared" si="342"/>
        <v>#REF!</v>
      </c>
      <c r="I1078" s="150" t="e">
        <f t="shared" si="342"/>
        <v>#REF!</v>
      </c>
      <c r="J1078" s="150" t="e">
        <f t="shared" si="342"/>
        <v>#REF!</v>
      </c>
      <c r="K1078" s="196" t="e">
        <f t="shared" si="342"/>
        <v>#REF!</v>
      </c>
      <c r="L1078" s="197" t="e">
        <f t="shared" si="342"/>
        <v>#REF!</v>
      </c>
      <c r="M1078" s="191" t="e">
        <f t="shared" si="342"/>
        <v>#REF!</v>
      </c>
      <c r="N1078" s="150" t="e">
        <f t="shared" si="342"/>
        <v>#REF!</v>
      </c>
      <c r="O1078" s="193" t="e">
        <f t="shared" si="342"/>
        <v>#REF!</v>
      </c>
      <c r="P1078" s="162">
        <f>IFERROR(SUMIF($B$483:$B$547,$C1078&amp;$I1078,P$483:P$547)/SUMIF($D$483:$D$547,$I1078,P$483:P$547)*#REF!,0)</f>
        <v>0</v>
      </c>
      <c r="Q1078" s="162">
        <f>IFERROR(SUMIF($B$483:$B$547,$C1078&amp;$I1078,Q$483:Q$547)/SUMIF($D$483:$D$547,$I1078,Q$483:Q$547)*#REF!,0)</f>
        <v>0</v>
      </c>
      <c r="R1078" s="162">
        <f>IFERROR(SUMIF($B$483:$B$547,$C1078&amp;$I1078,R$483:R$547)/SUMIF($D$483:$D$547,$I1078,R$483:R$547)*#REF!,0)</f>
        <v>0</v>
      </c>
      <c r="S1078" s="162">
        <f>IFERROR(SUMIF($B$483:$B$547,$C1078&amp;$I1078,S$483:S$547)/SUMIF($D$483:$D$547,$I1078,S$483:S$547)*#REF!,0)</f>
        <v>0</v>
      </c>
      <c r="T1078" s="162">
        <f>IFERROR(SUMIF($B$483:$B$547,$C1078&amp;$I1078,T$483:T$547)/SUMIF($D$483:$D$547,$I1078,T$483:T$547)*#REF!,0)</f>
        <v>0</v>
      </c>
      <c r="U1078" s="162">
        <f>IFERROR(SUMIF($B$483:$B$547,$C1078&amp;$I1078,U$483:U$547)/SUMIF($D$483:$D$547,$I1078,U$483:U$547)*#REF!,0)</f>
        <v>0</v>
      </c>
      <c r="V1078" s="162">
        <f>IFERROR(SUMIF($B$483:$B$547,$C1078&amp;$I1078,V$483:V$547)/SUMIF($D$483:$D$547,$I1078,V$483:V$547)*#REF!,0)</f>
        <v>0</v>
      </c>
      <c r="W1078" s="162">
        <f>IFERROR(SUMIF($B$483:$B$547,$C1078&amp;$I1078,W$483:W$547)/SUMIF($D$483:$D$547,$I1078,W$483:W$547)*#REF!,0)</f>
        <v>0</v>
      </c>
      <c r="X1078" s="162">
        <f>IFERROR(SUMIF($B$483:$B$547,$C1078&amp;$I1078,X$483:X$547)/SUMIF($D$483:$D$547,$I1078,X$483:X$547)*#REF!,0)</f>
        <v>0</v>
      </c>
      <c r="Y1078" s="162">
        <f>IFERROR(SUMIF($B$483:$B$547,$C1078&amp;$I1078,Y$483:Y$547)/SUMIF($D$483:$D$547,$I1078,Y$483:Y$547)*#REF!,0)</f>
        <v>0</v>
      </c>
      <c r="Z1078" s="162">
        <f>IFERROR(SUMIF($B$483:$B$547,$C1078&amp;$I1078,Z$483:Z$547)/SUMIF($D$483:$D$547,$I1078,Z$483:Z$547)*#REF!,0)</f>
        <v>0</v>
      </c>
      <c r="AA1078" s="162">
        <f>IFERROR(SUMIF($B$483:$B$547,$C1078&amp;$I1078,AA$483:AA$547)/SUMIF($D$483:$D$547,$I1078,AA$483:AA$547)*#REF!,0)</f>
        <v>0</v>
      </c>
      <c r="AB1078" s="163">
        <f t="shared" si="344"/>
        <v>0</v>
      </c>
      <c r="AC1078" s="198"/>
      <c r="AE1078" s="194" t="e">
        <f t="shared" si="347"/>
        <v>#REF!</v>
      </c>
      <c r="AF1078" s="161">
        <f>IFERROR(SUMIF($B$483:$B$547,$C1078&amp;$I1078,P$483:P$547)/SUMIF($D$483:$D$547,$I1078,P$483:P$547)*#REF!,0)</f>
        <v>0</v>
      </c>
      <c r="AG1078" s="162">
        <f>IFERROR(SUMIF($B$483:$B$547,$C1078&amp;$I1078,Q$483:Q$547)/SUMIF($D$483:$D$547,$I1078,Q$483:Q$547)*#REF!,0)</f>
        <v>0</v>
      </c>
      <c r="AH1078" s="162">
        <f>IFERROR(SUMIF($B$483:$B$547,$C1078&amp;$I1078,R$483:R$547)/SUMIF($D$483:$D$547,$I1078,R$483:R$547)*#REF!,0)</f>
        <v>0</v>
      </c>
      <c r="AI1078" s="162">
        <f>IFERROR(SUMIF($B$483:$B$547,$C1078&amp;$I1078,S$483:S$547)/SUMIF($D$483:$D$547,$I1078,S$483:S$547)*#REF!,0)</f>
        <v>0</v>
      </c>
      <c r="AJ1078" s="162">
        <f>IFERROR(SUMIF($B$483:$B$547,$C1078&amp;$I1078,T$483:T$547)/SUMIF($D$483:$D$547,$I1078,T$483:T$547)*#REF!,0)</f>
        <v>0</v>
      </c>
      <c r="AK1078" s="162">
        <f>IFERROR(SUMIF($B$483:$B$547,$C1078&amp;$I1078,U$483:U$547)/SUMIF($D$483:$D$547,$I1078,U$483:U$547)*#REF!,0)</f>
        <v>0</v>
      </c>
      <c r="AL1078" s="162">
        <f>IFERROR(SUMIF($B$483:$B$547,$C1078&amp;$I1078,V$483:V$547)/SUMIF($D$483:$D$547,$I1078,V$483:V$547)*#REF!,0)</f>
        <v>0</v>
      </c>
      <c r="AM1078" s="162">
        <f>IFERROR(SUMIF($B$483:$B$547,$C1078&amp;$I1078,W$483:W$547)/SUMIF($D$483:$D$547,$I1078,W$483:W$547)*#REF!,0)</f>
        <v>0</v>
      </c>
      <c r="AN1078" s="162">
        <f>IFERROR(SUMIF($B$483:$B$547,$C1078&amp;$I1078,X$483:X$547)/SUMIF($D$483:$D$547,$I1078,X$483:X$547)*#REF!,0)</f>
        <v>0</v>
      </c>
      <c r="AO1078" s="162">
        <f>IFERROR(SUMIF($B$483:$B$547,$C1078&amp;$I1078,Y$483:Y$547)/SUMIF($D$483:$D$547,$I1078,Y$483:Y$547)*#REF!,0)</f>
        <v>0</v>
      </c>
      <c r="AP1078" s="162">
        <f>IFERROR(SUMIF($B$483:$B$547,$C1078&amp;$I1078,Z$483:Z$547)/SUMIF($D$483:$D$547,$I1078,Z$483:Z$547)*#REF!,0)</f>
        <v>0</v>
      </c>
      <c r="AQ1078" s="162">
        <f>IFERROR(SUMIF($B$483:$B$547,$C1078&amp;$I1078,AA$483:AA$547)/SUMIF($D$483:$D$547,$I1078,AA$483:AA$547)*#REF!,0)</f>
        <v>0</v>
      </c>
      <c r="AR1078" s="163">
        <f t="shared" si="346"/>
        <v>0</v>
      </c>
      <c r="AT1078" s="208">
        <f>IFERROR(VLOOKUP(J1078,#REF!,10,0),0)</f>
        <v>0</v>
      </c>
    </row>
    <row r="1079" spans="1:46" hidden="1" outlineLevel="1" x14ac:dyDescent="0.25">
      <c r="A1079" s="14" t="str">
        <f t="shared" si="326"/>
        <v>PROP_OPER__17</v>
      </c>
      <c r="B1079" s="15" t="e">
        <f t="shared" si="341"/>
        <v>#REF!</v>
      </c>
      <c r="C1079" s="83"/>
      <c r="D1079" s="15">
        <v>1</v>
      </c>
      <c r="E1079" s="15">
        <v>17</v>
      </c>
      <c r="F1079" s="190" t="e">
        <f t="shared" ref="F1079:O1094" si="348">F1033</f>
        <v>#REF!</v>
      </c>
      <c r="G1079" s="149" t="e">
        <f t="shared" si="348"/>
        <v>#REF!</v>
      </c>
      <c r="H1079" s="150" t="e">
        <f t="shared" si="348"/>
        <v>#REF!</v>
      </c>
      <c r="I1079" s="150" t="e">
        <f t="shared" si="348"/>
        <v>#REF!</v>
      </c>
      <c r="J1079" s="150" t="e">
        <f t="shared" si="348"/>
        <v>#REF!</v>
      </c>
      <c r="K1079" s="196" t="e">
        <f t="shared" si="348"/>
        <v>#REF!</v>
      </c>
      <c r="L1079" s="197" t="e">
        <f t="shared" si="348"/>
        <v>#REF!</v>
      </c>
      <c r="M1079" s="191" t="e">
        <f t="shared" si="348"/>
        <v>#REF!</v>
      </c>
      <c r="N1079" s="150" t="e">
        <f t="shared" si="348"/>
        <v>#REF!</v>
      </c>
      <c r="O1079" s="193" t="e">
        <f t="shared" si="348"/>
        <v>#REF!</v>
      </c>
      <c r="P1079" s="162">
        <f>IFERROR(SUMIF($B$483:$B$547,$C1079&amp;$I1079,P$483:P$547)/SUMIF($D$483:$D$547,$I1079,P$483:P$547)*#REF!,0)</f>
        <v>0</v>
      </c>
      <c r="Q1079" s="162">
        <f>IFERROR(SUMIF($B$483:$B$547,$C1079&amp;$I1079,Q$483:Q$547)/SUMIF($D$483:$D$547,$I1079,Q$483:Q$547)*#REF!,0)</f>
        <v>0</v>
      </c>
      <c r="R1079" s="162">
        <f>IFERROR(SUMIF($B$483:$B$547,$C1079&amp;$I1079,R$483:R$547)/SUMIF($D$483:$D$547,$I1079,R$483:R$547)*#REF!,0)</f>
        <v>0</v>
      </c>
      <c r="S1079" s="162">
        <f>IFERROR(SUMIF($B$483:$B$547,$C1079&amp;$I1079,S$483:S$547)/SUMIF($D$483:$D$547,$I1079,S$483:S$547)*#REF!,0)</f>
        <v>0</v>
      </c>
      <c r="T1079" s="162">
        <f>IFERROR(SUMIF($B$483:$B$547,$C1079&amp;$I1079,T$483:T$547)/SUMIF($D$483:$D$547,$I1079,T$483:T$547)*#REF!,0)</f>
        <v>0</v>
      </c>
      <c r="U1079" s="162">
        <f>IFERROR(SUMIF($B$483:$B$547,$C1079&amp;$I1079,U$483:U$547)/SUMIF($D$483:$D$547,$I1079,U$483:U$547)*#REF!,0)</f>
        <v>0</v>
      </c>
      <c r="V1079" s="162">
        <f>IFERROR(SUMIF($B$483:$B$547,$C1079&amp;$I1079,V$483:V$547)/SUMIF($D$483:$D$547,$I1079,V$483:V$547)*#REF!,0)</f>
        <v>0</v>
      </c>
      <c r="W1079" s="162">
        <f>IFERROR(SUMIF($B$483:$B$547,$C1079&amp;$I1079,W$483:W$547)/SUMIF($D$483:$D$547,$I1079,W$483:W$547)*#REF!,0)</f>
        <v>0</v>
      </c>
      <c r="X1079" s="162">
        <f>IFERROR(SUMIF($B$483:$B$547,$C1079&amp;$I1079,X$483:X$547)/SUMIF($D$483:$D$547,$I1079,X$483:X$547)*#REF!,0)</f>
        <v>0</v>
      </c>
      <c r="Y1079" s="162">
        <f>IFERROR(SUMIF($B$483:$B$547,$C1079&amp;$I1079,Y$483:Y$547)/SUMIF($D$483:$D$547,$I1079,Y$483:Y$547)*#REF!,0)</f>
        <v>0</v>
      </c>
      <c r="Z1079" s="162">
        <f>IFERROR(SUMIF($B$483:$B$547,$C1079&amp;$I1079,Z$483:Z$547)/SUMIF($D$483:$D$547,$I1079,Z$483:Z$547)*#REF!,0)</f>
        <v>0</v>
      </c>
      <c r="AA1079" s="162">
        <f>IFERROR(SUMIF($B$483:$B$547,$C1079&amp;$I1079,AA$483:AA$547)/SUMIF($D$483:$D$547,$I1079,AA$483:AA$547)*#REF!,0)</f>
        <v>0</v>
      </c>
      <c r="AB1079" s="163">
        <f t="shared" si="344"/>
        <v>0</v>
      </c>
      <c r="AC1079" s="198"/>
      <c r="AE1079" s="194" t="e">
        <f t="shared" si="347"/>
        <v>#REF!</v>
      </c>
      <c r="AF1079" s="161">
        <f>IFERROR(SUMIF($B$483:$B$547,$C1079&amp;$I1079,P$483:P$547)/SUMIF($D$483:$D$547,$I1079,P$483:P$547)*#REF!,0)</f>
        <v>0</v>
      </c>
      <c r="AG1079" s="162">
        <f>IFERROR(SUMIF($B$483:$B$547,$C1079&amp;$I1079,Q$483:Q$547)/SUMIF($D$483:$D$547,$I1079,Q$483:Q$547)*#REF!,0)</f>
        <v>0</v>
      </c>
      <c r="AH1079" s="162">
        <f>IFERROR(SUMIF($B$483:$B$547,$C1079&amp;$I1079,R$483:R$547)/SUMIF($D$483:$D$547,$I1079,R$483:R$547)*#REF!,0)</f>
        <v>0</v>
      </c>
      <c r="AI1079" s="162">
        <f>IFERROR(SUMIF($B$483:$B$547,$C1079&amp;$I1079,S$483:S$547)/SUMIF($D$483:$D$547,$I1079,S$483:S$547)*#REF!,0)</f>
        <v>0</v>
      </c>
      <c r="AJ1079" s="162">
        <f>IFERROR(SUMIF($B$483:$B$547,$C1079&amp;$I1079,T$483:T$547)/SUMIF($D$483:$D$547,$I1079,T$483:T$547)*#REF!,0)</f>
        <v>0</v>
      </c>
      <c r="AK1079" s="162">
        <f>IFERROR(SUMIF($B$483:$B$547,$C1079&amp;$I1079,U$483:U$547)/SUMIF($D$483:$D$547,$I1079,U$483:U$547)*#REF!,0)</f>
        <v>0</v>
      </c>
      <c r="AL1079" s="162">
        <f>IFERROR(SUMIF($B$483:$B$547,$C1079&amp;$I1079,V$483:V$547)/SUMIF($D$483:$D$547,$I1079,V$483:V$547)*#REF!,0)</f>
        <v>0</v>
      </c>
      <c r="AM1079" s="162">
        <f>IFERROR(SUMIF($B$483:$B$547,$C1079&amp;$I1079,W$483:W$547)/SUMIF($D$483:$D$547,$I1079,W$483:W$547)*#REF!,0)</f>
        <v>0</v>
      </c>
      <c r="AN1079" s="162">
        <f>IFERROR(SUMIF($B$483:$B$547,$C1079&amp;$I1079,X$483:X$547)/SUMIF($D$483:$D$547,$I1079,X$483:X$547)*#REF!,0)</f>
        <v>0</v>
      </c>
      <c r="AO1079" s="162">
        <f>IFERROR(SUMIF($B$483:$B$547,$C1079&amp;$I1079,Y$483:Y$547)/SUMIF($D$483:$D$547,$I1079,Y$483:Y$547)*#REF!,0)</f>
        <v>0</v>
      </c>
      <c r="AP1079" s="162">
        <f>IFERROR(SUMIF($B$483:$B$547,$C1079&amp;$I1079,Z$483:Z$547)/SUMIF($D$483:$D$547,$I1079,Z$483:Z$547)*#REF!,0)</f>
        <v>0</v>
      </c>
      <c r="AQ1079" s="162">
        <f>IFERROR(SUMIF($B$483:$B$547,$C1079&amp;$I1079,AA$483:AA$547)/SUMIF($D$483:$D$547,$I1079,AA$483:AA$547)*#REF!,0)</f>
        <v>0</v>
      </c>
      <c r="AR1079" s="163">
        <f t="shared" si="346"/>
        <v>0</v>
      </c>
      <c r="AT1079" s="208">
        <f>IFERROR(VLOOKUP(J1079,#REF!,10,0),0)</f>
        <v>0</v>
      </c>
    </row>
    <row r="1080" spans="1:46" hidden="1" outlineLevel="1" x14ac:dyDescent="0.25">
      <c r="A1080" s="14" t="str">
        <f t="shared" si="326"/>
        <v>PROP_OPER__18</v>
      </c>
      <c r="B1080" s="15" t="e">
        <f t="shared" si="341"/>
        <v>#REF!</v>
      </c>
      <c r="C1080" s="83"/>
      <c r="D1080" s="15">
        <v>1</v>
      </c>
      <c r="E1080" s="15">
        <v>18</v>
      </c>
      <c r="F1080" s="190" t="e">
        <f t="shared" si="348"/>
        <v>#REF!</v>
      </c>
      <c r="G1080" s="149" t="e">
        <f t="shared" si="348"/>
        <v>#REF!</v>
      </c>
      <c r="H1080" s="150" t="e">
        <f t="shared" si="348"/>
        <v>#REF!</v>
      </c>
      <c r="I1080" s="150" t="e">
        <f t="shared" si="348"/>
        <v>#REF!</v>
      </c>
      <c r="J1080" s="150" t="e">
        <f t="shared" si="348"/>
        <v>#REF!</v>
      </c>
      <c r="K1080" s="196" t="e">
        <f t="shared" si="348"/>
        <v>#REF!</v>
      </c>
      <c r="L1080" s="197" t="e">
        <f t="shared" si="348"/>
        <v>#REF!</v>
      </c>
      <c r="M1080" s="191" t="e">
        <f t="shared" si="348"/>
        <v>#REF!</v>
      </c>
      <c r="N1080" s="150" t="e">
        <f t="shared" si="348"/>
        <v>#REF!</v>
      </c>
      <c r="O1080" s="193" t="e">
        <f t="shared" si="348"/>
        <v>#REF!</v>
      </c>
      <c r="P1080" s="162">
        <f>IFERROR(SUMIF($B$483:$B$547,$C1080&amp;$I1080,P$483:P$547)/SUMIF($D$483:$D$547,$I1080,P$483:P$547)*#REF!,0)</f>
        <v>0</v>
      </c>
      <c r="Q1080" s="162">
        <f>IFERROR(SUMIF($B$483:$B$547,$C1080&amp;$I1080,Q$483:Q$547)/SUMIF($D$483:$D$547,$I1080,Q$483:Q$547)*#REF!,0)</f>
        <v>0</v>
      </c>
      <c r="R1080" s="162">
        <f>IFERROR(SUMIF($B$483:$B$547,$C1080&amp;$I1080,R$483:R$547)/SUMIF($D$483:$D$547,$I1080,R$483:R$547)*#REF!,0)</f>
        <v>0</v>
      </c>
      <c r="S1080" s="162">
        <f>IFERROR(SUMIF($B$483:$B$547,$C1080&amp;$I1080,S$483:S$547)/SUMIF($D$483:$D$547,$I1080,S$483:S$547)*#REF!,0)</f>
        <v>0</v>
      </c>
      <c r="T1080" s="162">
        <f>IFERROR(SUMIF($B$483:$B$547,$C1080&amp;$I1080,T$483:T$547)/SUMIF($D$483:$D$547,$I1080,T$483:T$547)*#REF!,0)</f>
        <v>0</v>
      </c>
      <c r="U1080" s="162">
        <f>IFERROR(SUMIF($B$483:$B$547,$C1080&amp;$I1080,U$483:U$547)/SUMIF($D$483:$D$547,$I1080,U$483:U$547)*#REF!,0)</f>
        <v>0</v>
      </c>
      <c r="V1080" s="162">
        <f>IFERROR(SUMIF($B$483:$B$547,$C1080&amp;$I1080,V$483:V$547)/SUMIF($D$483:$D$547,$I1080,V$483:V$547)*#REF!,0)</f>
        <v>0</v>
      </c>
      <c r="W1080" s="162">
        <f>IFERROR(SUMIF($B$483:$B$547,$C1080&amp;$I1080,W$483:W$547)/SUMIF($D$483:$D$547,$I1080,W$483:W$547)*#REF!,0)</f>
        <v>0</v>
      </c>
      <c r="X1080" s="162">
        <f>IFERROR(SUMIF($B$483:$B$547,$C1080&amp;$I1080,X$483:X$547)/SUMIF($D$483:$D$547,$I1080,X$483:X$547)*#REF!,0)</f>
        <v>0</v>
      </c>
      <c r="Y1080" s="162">
        <f>IFERROR(SUMIF($B$483:$B$547,$C1080&amp;$I1080,Y$483:Y$547)/SUMIF($D$483:$D$547,$I1080,Y$483:Y$547)*#REF!,0)</f>
        <v>0</v>
      </c>
      <c r="Z1080" s="162">
        <f>IFERROR(SUMIF($B$483:$B$547,$C1080&amp;$I1080,Z$483:Z$547)/SUMIF($D$483:$D$547,$I1080,Z$483:Z$547)*#REF!,0)</f>
        <v>0</v>
      </c>
      <c r="AA1080" s="162">
        <f>IFERROR(SUMIF($B$483:$B$547,$C1080&amp;$I1080,AA$483:AA$547)/SUMIF($D$483:$D$547,$I1080,AA$483:AA$547)*#REF!,0)</f>
        <v>0</v>
      </c>
      <c r="AB1080" s="163">
        <f t="shared" si="344"/>
        <v>0</v>
      </c>
      <c r="AC1080" s="198"/>
      <c r="AE1080" s="194" t="e">
        <f t="shared" si="347"/>
        <v>#REF!</v>
      </c>
      <c r="AF1080" s="161">
        <f>IFERROR(SUMIF($B$483:$B$547,$C1080&amp;$I1080,P$483:P$547)/SUMIF($D$483:$D$547,$I1080,P$483:P$547)*#REF!,0)</f>
        <v>0</v>
      </c>
      <c r="AG1080" s="162">
        <f>IFERROR(SUMIF($B$483:$B$547,$C1080&amp;$I1080,Q$483:Q$547)/SUMIF($D$483:$D$547,$I1080,Q$483:Q$547)*#REF!,0)</f>
        <v>0</v>
      </c>
      <c r="AH1080" s="162">
        <f>IFERROR(SUMIF($B$483:$B$547,$C1080&amp;$I1080,R$483:R$547)/SUMIF($D$483:$D$547,$I1080,R$483:R$547)*#REF!,0)</f>
        <v>0</v>
      </c>
      <c r="AI1080" s="162">
        <f>IFERROR(SUMIF($B$483:$B$547,$C1080&amp;$I1080,S$483:S$547)/SUMIF($D$483:$D$547,$I1080,S$483:S$547)*#REF!,0)</f>
        <v>0</v>
      </c>
      <c r="AJ1080" s="162">
        <f>IFERROR(SUMIF($B$483:$B$547,$C1080&amp;$I1080,T$483:T$547)/SUMIF($D$483:$D$547,$I1080,T$483:T$547)*#REF!,0)</f>
        <v>0</v>
      </c>
      <c r="AK1080" s="162">
        <f>IFERROR(SUMIF($B$483:$B$547,$C1080&amp;$I1080,U$483:U$547)/SUMIF($D$483:$D$547,$I1080,U$483:U$547)*#REF!,0)</f>
        <v>0</v>
      </c>
      <c r="AL1080" s="162">
        <f>IFERROR(SUMIF($B$483:$B$547,$C1080&amp;$I1080,V$483:V$547)/SUMIF($D$483:$D$547,$I1080,V$483:V$547)*#REF!,0)</f>
        <v>0</v>
      </c>
      <c r="AM1080" s="162">
        <f>IFERROR(SUMIF($B$483:$B$547,$C1080&amp;$I1080,W$483:W$547)/SUMIF($D$483:$D$547,$I1080,W$483:W$547)*#REF!,0)</f>
        <v>0</v>
      </c>
      <c r="AN1080" s="162">
        <f>IFERROR(SUMIF($B$483:$B$547,$C1080&amp;$I1080,X$483:X$547)/SUMIF($D$483:$D$547,$I1080,X$483:X$547)*#REF!,0)</f>
        <v>0</v>
      </c>
      <c r="AO1080" s="162">
        <f>IFERROR(SUMIF($B$483:$B$547,$C1080&amp;$I1080,Y$483:Y$547)/SUMIF($D$483:$D$547,$I1080,Y$483:Y$547)*#REF!,0)</f>
        <v>0</v>
      </c>
      <c r="AP1080" s="162">
        <f>IFERROR(SUMIF($B$483:$B$547,$C1080&amp;$I1080,Z$483:Z$547)/SUMIF($D$483:$D$547,$I1080,Z$483:Z$547)*#REF!,0)</f>
        <v>0</v>
      </c>
      <c r="AQ1080" s="162">
        <f>IFERROR(SUMIF($B$483:$B$547,$C1080&amp;$I1080,AA$483:AA$547)/SUMIF($D$483:$D$547,$I1080,AA$483:AA$547)*#REF!,0)</f>
        <v>0</v>
      </c>
      <c r="AR1080" s="163">
        <f t="shared" si="346"/>
        <v>0</v>
      </c>
      <c r="AT1080" s="208">
        <f>IFERROR(VLOOKUP(J1080,#REF!,10,0),0)</f>
        <v>0</v>
      </c>
    </row>
    <row r="1081" spans="1:46" hidden="1" outlineLevel="1" x14ac:dyDescent="0.25">
      <c r="A1081" s="14" t="str">
        <f t="shared" ref="A1081:A1144" si="349">"PROP_OPER_"&amp;C1081&amp;"_"&amp;E1081</f>
        <v>PROP_OPER__19</v>
      </c>
      <c r="B1081" s="15" t="str">
        <f t="shared" si="341"/>
        <v>PROP_OPER__0_0</v>
      </c>
      <c r="C1081" s="83"/>
      <c r="D1081" s="15">
        <v>1</v>
      </c>
      <c r="E1081" s="15">
        <v>19</v>
      </c>
      <c r="F1081" s="190">
        <f t="shared" si="348"/>
        <v>0</v>
      </c>
      <c r="G1081" s="149" t="str">
        <f t="shared" si="348"/>
        <v/>
      </c>
      <c r="H1081" s="150" t="str">
        <f t="shared" si="348"/>
        <v/>
      </c>
      <c r="I1081" s="150">
        <f t="shared" si="348"/>
        <v>0</v>
      </c>
      <c r="J1081" s="150">
        <f t="shared" si="348"/>
        <v>0</v>
      </c>
      <c r="K1081" s="196" t="str">
        <f t="shared" si="348"/>
        <v/>
      </c>
      <c r="L1081" s="197" t="str">
        <f t="shared" si="348"/>
        <v/>
      </c>
      <c r="M1081" s="191">
        <f t="shared" si="348"/>
        <v>0</v>
      </c>
      <c r="N1081" s="150">
        <f t="shared" si="348"/>
        <v>0</v>
      </c>
      <c r="O1081" s="193">
        <f t="shared" si="348"/>
        <v>0</v>
      </c>
      <c r="P1081" s="162">
        <f t="shared" ref="P1081:AA1096" si="350">IFERROR(SUMIF($B$483:$B$547,$C1081&amp;$I1081,P$483:P$547)/SUMIF($D$483:$D$547,$I1081,P$483:P$547)*P612,0)</f>
        <v>0</v>
      </c>
      <c r="Q1081" s="162">
        <f t="shared" si="350"/>
        <v>0</v>
      </c>
      <c r="R1081" s="162">
        <f t="shared" si="350"/>
        <v>0</v>
      </c>
      <c r="S1081" s="162">
        <f t="shared" si="350"/>
        <v>0</v>
      </c>
      <c r="T1081" s="162">
        <f t="shared" si="350"/>
        <v>0</v>
      </c>
      <c r="U1081" s="162">
        <f t="shared" si="350"/>
        <v>0</v>
      </c>
      <c r="V1081" s="162">
        <f t="shared" si="350"/>
        <v>0</v>
      </c>
      <c r="W1081" s="162">
        <f t="shared" si="350"/>
        <v>0</v>
      </c>
      <c r="X1081" s="162">
        <f t="shared" si="350"/>
        <v>0</v>
      </c>
      <c r="Y1081" s="162">
        <f t="shared" si="350"/>
        <v>0</v>
      </c>
      <c r="Z1081" s="162">
        <f t="shared" si="350"/>
        <v>0</v>
      </c>
      <c r="AA1081" s="162">
        <f t="shared" si="350"/>
        <v>0</v>
      </c>
      <c r="AB1081" s="163">
        <f t="shared" si="344"/>
        <v>0</v>
      </c>
      <c r="AC1081" s="198"/>
      <c r="AE1081" s="194" t="str">
        <f t="shared" si="347"/>
        <v/>
      </c>
      <c r="AF1081" s="161">
        <f t="shared" ref="AF1081:AQ1096" si="351">IFERROR(SUMIF($B$483:$B$547,$C1081&amp;$I1081,P$483:P$547)/SUMIF($D$483:$D$547,$I1081,P$483:P$547)*AF612,0)</f>
        <v>0</v>
      </c>
      <c r="AG1081" s="162">
        <f t="shared" si="351"/>
        <v>0</v>
      </c>
      <c r="AH1081" s="162">
        <f t="shared" si="351"/>
        <v>0</v>
      </c>
      <c r="AI1081" s="162">
        <f t="shared" si="351"/>
        <v>0</v>
      </c>
      <c r="AJ1081" s="162">
        <f t="shared" si="351"/>
        <v>0</v>
      </c>
      <c r="AK1081" s="162">
        <f t="shared" si="351"/>
        <v>0</v>
      </c>
      <c r="AL1081" s="162">
        <f t="shared" si="351"/>
        <v>0</v>
      </c>
      <c r="AM1081" s="162">
        <f t="shared" si="351"/>
        <v>0</v>
      </c>
      <c r="AN1081" s="162">
        <f t="shared" si="351"/>
        <v>0</v>
      </c>
      <c r="AO1081" s="162">
        <f t="shared" si="351"/>
        <v>0</v>
      </c>
      <c r="AP1081" s="162">
        <f t="shared" si="351"/>
        <v>0</v>
      </c>
      <c r="AQ1081" s="162">
        <f t="shared" si="351"/>
        <v>0</v>
      </c>
      <c r="AR1081" s="163">
        <f t="shared" si="346"/>
        <v>0</v>
      </c>
      <c r="AT1081" s="208">
        <f>IFERROR(VLOOKUP(J1081,#REF!,10,0),0)</f>
        <v>0</v>
      </c>
    </row>
    <row r="1082" spans="1:46" hidden="1" outlineLevel="1" x14ac:dyDescent="0.25">
      <c r="A1082" s="14" t="str">
        <f t="shared" si="349"/>
        <v>PROP_OPER__20</v>
      </c>
      <c r="B1082" s="15" t="str">
        <f t="shared" si="341"/>
        <v>PROP_OPER__0_0</v>
      </c>
      <c r="C1082" s="83"/>
      <c r="D1082" s="15">
        <v>1</v>
      </c>
      <c r="E1082" s="15">
        <v>20</v>
      </c>
      <c r="F1082" s="190">
        <f t="shared" si="348"/>
        <v>0</v>
      </c>
      <c r="G1082" s="149" t="str">
        <f t="shared" si="348"/>
        <v/>
      </c>
      <c r="H1082" s="150" t="str">
        <f t="shared" si="348"/>
        <v/>
      </c>
      <c r="I1082" s="150">
        <f t="shared" si="348"/>
        <v>0</v>
      </c>
      <c r="J1082" s="150">
        <f t="shared" si="348"/>
        <v>0</v>
      </c>
      <c r="K1082" s="196" t="str">
        <f t="shared" si="348"/>
        <v/>
      </c>
      <c r="L1082" s="197" t="str">
        <f t="shared" si="348"/>
        <v/>
      </c>
      <c r="M1082" s="191">
        <f t="shared" si="348"/>
        <v>0</v>
      </c>
      <c r="N1082" s="150">
        <f t="shared" si="348"/>
        <v>0</v>
      </c>
      <c r="O1082" s="193">
        <f t="shared" si="348"/>
        <v>0</v>
      </c>
      <c r="P1082" s="162">
        <f t="shared" si="350"/>
        <v>0</v>
      </c>
      <c r="Q1082" s="162">
        <f t="shared" si="350"/>
        <v>0</v>
      </c>
      <c r="R1082" s="162">
        <f t="shared" si="350"/>
        <v>0</v>
      </c>
      <c r="S1082" s="162">
        <f t="shared" si="350"/>
        <v>0</v>
      </c>
      <c r="T1082" s="162">
        <f t="shared" si="350"/>
        <v>0</v>
      </c>
      <c r="U1082" s="162">
        <f t="shared" si="350"/>
        <v>0</v>
      </c>
      <c r="V1082" s="162">
        <f t="shared" si="350"/>
        <v>0</v>
      </c>
      <c r="W1082" s="162">
        <f t="shared" si="350"/>
        <v>0</v>
      </c>
      <c r="X1082" s="162">
        <f t="shared" si="350"/>
        <v>0</v>
      </c>
      <c r="Y1082" s="162">
        <f t="shared" si="350"/>
        <v>0</v>
      </c>
      <c r="Z1082" s="162">
        <f t="shared" si="350"/>
        <v>0</v>
      </c>
      <c r="AA1082" s="162">
        <f t="shared" si="350"/>
        <v>0</v>
      </c>
      <c r="AB1082" s="163">
        <f t="shared" si="344"/>
        <v>0</v>
      </c>
      <c r="AC1082" s="198"/>
      <c r="AE1082" s="194" t="str">
        <f t="shared" si="347"/>
        <v/>
      </c>
      <c r="AF1082" s="161">
        <f t="shared" si="351"/>
        <v>0</v>
      </c>
      <c r="AG1082" s="162">
        <f t="shared" si="351"/>
        <v>0</v>
      </c>
      <c r="AH1082" s="162">
        <f t="shared" si="351"/>
        <v>0</v>
      </c>
      <c r="AI1082" s="162">
        <f t="shared" si="351"/>
        <v>0</v>
      </c>
      <c r="AJ1082" s="162">
        <f t="shared" si="351"/>
        <v>0</v>
      </c>
      <c r="AK1082" s="162">
        <f t="shared" si="351"/>
        <v>0</v>
      </c>
      <c r="AL1082" s="162">
        <f t="shared" si="351"/>
        <v>0</v>
      </c>
      <c r="AM1082" s="162">
        <f t="shared" si="351"/>
        <v>0</v>
      </c>
      <c r="AN1082" s="162">
        <f t="shared" si="351"/>
        <v>0</v>
      </c>
      <c r="AO1082" s="162">
        <f t="shared" si="351"/>
        <v>0</v>
      </c>
      <c r="AP1082" s="162">
        <f t="shared" si="351"/>
        <v>0</v>
      </c>
      <c r="AQ1082" s="162">
        <f t="shared" si="351"/>
        <v>0</v>
      </c>
      <c r="AR1082" s="163">
        <f t="shared" si="346"/>
        <v>0</v>
      </c>
      <c r="AT1082" s="208">
        <f>IFERROR(VLOOKUP(J1082,#REF!,10,0),0)</f>
        <v>0</v>
      </c>
    </row>
    <row r="1083" spans="1:46" hidden="1" outlineLevel="1" x14ac:dyDescent="0.25">
      <c r="A1083" s="14" t="str">
        <f t="shared" si="349"/>
        <v>PROP_OPER__21</v>
      </c>
      <c r="B1083" s="15" t="str">
        <f t="shared" si="341"/>
        <v>PROP_OPER__0_0</v>
      </c>
      <c r="C1083" s="83"/>
      <c r="D1083" s="15">
        <v>1</v>
      </c>
      <c r="E1083" s="15">
        <v>21</v>
      </c>
      <c r="F1083" s="190">
        <f t="shared" si="348"/>
        <v>0</v>
      </c>
      <c r="G1083" s="149" t="str">
        <f t="shared" si="348"/>
        <v/>
      </c>
      <c r="H1083" s="150" t="str">
        <f t="shared" si="348"/>
        <v/>
      </c>
      <c r="I1083" s="150">
        <f t="shared" si="348"/>
        <v>0</v>
      </c>
      <c r="J1083" s="150">
        <f t="shared" si="348"/>
        <v>0</v>
      </c>
      <c r="K1083" s="196" t="str">
        <f t="shared" si="348"/>
        <v/>
      </c>
      <c r="L1083" s="197" t="str">
        <f t="shared" si="348"/>
        <v/>
      </c>
      <c r="M1083" s="191">
        <f t="shared" si="348"/>
        <v>0</v>
      </c>
      <c r="N1083" s="150">
        <f t="shared" si="348"/>
        <v>0</v>
      </c>
      <c r="O1083" s="193">
        <f t="shared" si="348"/>
        <v>0</v>
      </c>
      <c r="P1083" s="162">
        <f t="shared" si="350"/>
        <v>0</v>
      </c>
      <c r="Q1083" s="162">
        <f t="shared" si="350"/>
        <v>0</v>
      </c>
      <c r="R1083" s="162">
        <f t="shared" si="350"/>
        <v>0</v>
      </c>
      <c r="S1083" s="162">
        <f t="shared" si="350"/>
        <v>0</v>
      </c>
      <c r="T1083" s="162">
        <f t="shared" si="350"/>
        <v>0</v>
      </c>
      <c r="U1083" s="162">
        <f t="shared" si="350"/>
        <v>0</v>
      </c>
      <c r="V1083" s="162">
        <f t="shared" si="350"/>
        <v>0</v>
      </c>
      <c r="W1083" s="162">
        <f t="shared" si="350"/>
        <v>0</v>
      </c>
      <c r="X1083" s="162">
        <f t="shared" si="350"/>
        <v>0</v>
      </c>
      <c r="Y1083" s="162">
        <f t="shared" si="350"/>
        <v>0</v>
      </c>
      <c r="Z1083" s="162">
        <f t="shared" si="350"/>
        <v>0</v>
      </c>
      <c r="AA1083" s="162">
        <f t="shared" si="350"/>
        <v>0</v>
      </c>
      <c r="AB1083" s="163">
        <f t="shared" si="344"/>
        <v>0</v>
      </c>
      <c r="AC1083" s="198"/>
      <c r="AE1083" s="194" t="str">
        <f t="shared" si="347"/>
        <v/>
      </c>
      <c r="AF1083" s="161">
        <f t="shared" si="351"/>
        <v>0</v>
      </c>
      <c r="AG1083" s="162">
        <f t="shared" si="351"/>
        <v>0</v>
      </c>
      <c r="AH1083" s="162">
        <f t="shared" si="351"/>
        <v>0</v>
      </c>
      <c r="AI1083" s="162">
        <f t="shared" si="351"/>
        <v>0</v>
      </c>
      <c r="AJ1083" s="162">
        <f t="shared" si="351"/>
        <v>0</v>
      </c>
      <c r="AK1083" s="162">
        <f t="shared" si="351"/>
        <v>0</v>
      </c>
      <c r="AL1083" s="162">
        <f t="shared" si="351"/>
        <v>0</v>
      </c>
      <c r="AM1083" s="162">
        <f t="shared" si="351"/>
        <v>0</v>
      </c>
      <c r="AN1083" s="162">
        <f t="shared" si="351"/>
        <v>0</v>
      </c>
      <c r="AO1083" s="162">
        <f t="shared" si="351"/>
        <v>0</v>
      </c>
      <c r="AP1083" s="162">
        <f t="shared" si="351"/>
        <v>0</v>
      </c>
      <c r="AQ1083" s="162">
        <f t="shared" si="351"/>
        <v>0</v>
      </c>
      <c r="AR1083" s="163">
        <f t="shared" si="346"/>
        <v>0</v>
      </c>
      <c r="AT1083" s="208">
        <f>IFERROR(VLOOKUP(J1083,#REF!,10,0),0)</f>
        <v>0</v>
      </c>
    </row>
    <row r="1084" spans="1:46" hidden="1" outlineLevel="1" x14ac:dyDescent="0.25">
      <c r="A1084" s="14" t="str">
        <f t="shared" si="349"/>
        <v>PROP_OPER__22</v>
      </c>
      <c r="B1084" s="15" t="str">
        <f t="shared" si="341"/>
        <v>PROP_OPER__0_0</v>
      </c>
      <c r="C1084" s="83"/>
      <c r="D1084" s="15">
        <v>1</v>
      </c>
      <c r="E1084" s="15">
        <v>22</v>
      </c>
      <c r="F1084" s="190">
        <f t="shared" si="348"/>
        <v>0</v>
      </c>
      <c r="G1084" s="149" t="str">
        <f t="shared" si="348"/>
        <v/>
      </c>
      <c r="H1084" s="150" t="str">
        <f t="shared" si="348"/>
        <v/>
      </c>
      <c r="I1084" s="150">
        <f t="shared" si="348"/>
        <v>0</v>
      </c>
      <c r="J1084" s="150">
        <f t="shared" si="348"/>
        <v>0</v>
      </c>
      <c r="K1084" s="196" t="str">
        <f t="shared" si="348"/>
        <v/>
      </c>
      <c r="L1084" s="197" t="str">
        <f t="shared" si="348"/>
        <v/>
      </c>
      <c r="M1084" s="191">
        <f t="shared" si="348"/>
        <v>0</v>
      </c>
      <c r="N1084" s="150">
        <f t="shared" si="348"/>
        <v>0</v>
      </c>
      <c r="O1084" s="193">
        <f t="shared" si="348"/>
        <v>0</v>
      </c>
      <c r="P1084" s="162">
        <f t="shared" si="350"/>
        <v>0</v>
      </c>
      <c r="Q1084" s="162">
        <f t="shared" si="350"/>
        <v>0</v>
      </c>
      <c r="R1084" s="162">
        <f t="shared" si="350"/>
        <v>0</v>
      </c>
      <c r="S1084" s="162">
        <f t="shared" si="350"/>
        <v>0</v>
      </c>
      <c r="T1084" s="162">
        <f t="shared" si="350"/>
        <v>0</v>
      </c>
      <c r="U1084" s="162">
        <f t="shared" si="350"/>
        <v>0</v>
      </c>
      <c r="V1084" s="162">
        <f t="shared" si="350"/>
        <v>0</v>
      </c>
      <c r="W1084" s="162">
        <f t="shared" si="350"/>
        <v>0</v>
      </c>
      <c r="X1084" s="162">
        <f t="shared" si="350"/>
        <v>0</v>
      </c>
      <c r="Y1084" s="162">
        <f t="shared" si="350"/>
        <v>0</v>
      </c>
      <c r="Z1084" s="162">
        <f t="shared" si="350"/>
        <v>0</v>
      </c>
      <c r="AA1084" s="162">
        <f t="shared" si="350"/>
        <v>0</v>
      </c>
      <c r="AB1084" s="163">
        <f t="shared" si="344"/>
        <v>0</v>
      </c>
      <c r="AC1084" s="198"/>
      <c r="AE1084" s="194" t="str">
        <f t="shared" si="347"/>
        <v/>
      </c>
      <c r="AF1084" s="161">
        <f t="shared" si="351"/>
        <v>0</v>
      </c>
      <c r="AG1084" s="162">
        <f t="shared" si="351"/>
        <v>0</v>
      </c>
      <c r="AH1084" s="162">
        <f t="shared" si="351"/>
        <v>0</v>
      </c>
      <c r="AI1084" s="162">
        <f t="shared" si="351"/>
        <v>0</v>
      </c>
      <c r="AJ1084" s="162">
        <f t="shared" si="351"/>
        <v>0</v>
      </c>
      <c r="AK1084" s="162">
        <f t="shared" si="351"/>
        <v>0</v>
      </c>
      <c r="AL1084" s="162">
        <f t="shared" si="351"/>
        <v>0</v>
      </c>
      <c r="AM1084" s="162">
        <f t="shared" si="351"/>
        <v>0</v>
      </c>
      <c r="AN1084" s="162">
        <f t="shared" si="351"/>
        <v>0</v>
      </c>
      <c r="AO1084" s="162">
        <f t="shared" si="351"/>
        <v>0</v>
      </c>
      <c r="AP1084" s="162">
        <f t="shared" si="351"/>
        <v>0</v>
      </c>
      <c r="AQ1084" s="162">
        <f t="shared" si="351"/>
        <v>0</v>
      </c>
      <c r="AR1084" s="163">
        <f t="shared" si="346"/>
        <v>0</v>
      </c>
      <c r="AT1084" s="208">
        <f>IFERROR(VLOOKUP(J1084,#REF!,10,0),0)</f>
        <v>0</v>
      </c>
    </row>
    <row r="1085" spans="1:46" hidden="1" outlineLevel="1" x14ac:dyDescent="0.25">
      <c r="A1085" s="14" t="str">
        <f t="shared" si="349"/>
        <v>PROP_OPER__23</v>
      </c>
      <c r="B1085" s="15" t="str">
        <f t="shared" si="341"/>
        <v>PROP_OPER__0_0</v>
      </c>
      <c r="C1085" s="83"/>
      <c r="D1085" s="15">
        <v>1</v>
      </c>
      <c r="E1085" s="15">
        <v>23</v>
      </c>
      <c r="F1085" s="190">
        <f t="shared" si="348"/>
        <v>0</v>
      </c>
      <c r="G1085" s="149" t="str">
        <f t="shared" si="348"/>
        <v/>
      </c>
      <c r="H1085" s="150" t="str">
        <f t="shared" si="348"/>
        <v/>
      </c>
      <c r="I1085" s="150">
        <f t="shared" si="348"/>
        <v>0</v>
      </c>
      <c r="J1085" s="150">
        <f t="shared" si="348"/>
        <v>0</v>
      </c>
      <c r="K1085" s="196" t="str">
        <f t="shared" si="348"/>
        <v/>
      </c>
      <c r="L1085" s="197" t="str">
        <f t="shared" si="348"/>
        <v/>
      </c>
      <c r="M1085" s="191">
        <f t="shared" si="348"/>
        <v>0</v>
      </c>
      <c r="N1085" s="150">
        <f t="shared" si="348"/>
        <v>0</v>
      </c>
      <c r="O1085" s="193">
        <f t="shared" si="348"/>
        <v>0</v>
      </c>
      <c r="P1085" s="162">
        <f t="shared" si="350"/>
        <v>0</v>
      </c>
      <c r="Q1085" s="162">
        <f t="shared" si="350"/>
        <v>0</v>
      </c>
      <c r="R1085" s="162">
        <f t="shared" si="350"/>
        <v>0</v>
      </c>
      <c r="S1085" s="162">
        <f t="shared" si="350"/>
        <v>0</v>
      </c>
      <c r="T1085" s="162">
        <f t="shared" si="350"/>
        <v>0</v>
      </c>
      <c r="U1085" s="162">
        <f t="shared" si="350"/>
        <v>0</v>
      </c>
      <c r="V1085" s="162">
        <f t="shared" si="350"/>
        <v>0</v>
      </c>
      <c r="W1085" s="162">
        <f t="shared" si="350"/>
        <v>0</v>
      </c>
      <c r="X1085" s="162">
        <f t="shared" si="350"/>
        <v>0</v>
      </c>
      <c r="Y1085" s="162">
        <f t="shared" si="350"/>
        <v>0</v>
      </c>
      <c r="Z1085" s="162">
        <f t="shared" si="350"/>
        <v>0</v>
      </c>
      <c r="AA1085" s="162">
        <f t="shared" si="350"/>
        <v>0</v>
      </c>
      <c r="AB1085" s="163">
        <f t="shared" si="344"/>
        <v>0</v>
      </c>
      <c r="AC1085" s="198"/>
      <c r="AE1085" s="194" t="str">
        <f t="shared" si="347"/>
        <v/>
      </c>
      <c r="AF1085" s="161">
        <f t="shared" si="351"/>
        <v>0</v>
      </c>
      <c r="AG1085" s="162">
        <f t="shared" si="351"/>
        <v>0</v>
      </c>
      <c r="AH1085" s="162">
        <f t="shared" si="351"/>
        <v>0</v>
      </c>
      <c r="AI1085" s="162">
        <f t="shared" si="351"/>
        <v>0</v>
      </c>
      <c r="AJ1085" s="162">
        <f t="shared" si="351"/>
        <v>0</v>
      </c>
      <c r="AK1085" s="162">
        <f t="shared" si="351"/>
        <v>0</v>
      </c>
      <c r="AL1085" s="162">
        <f t="shared" si="351"/>
        <v>0</v>
      </c>
      <c r="AM1085" s="162">
        <f t="shared" si="351"/>
        <v>0</v>
      </c>
      <c r="AN1085" s="162">
        <f t="shared" si="351"/>
        <v>0</v>
      </c>
      <c r="AO1085" s="162">
        <f t="shared" si="351"/>
        <v>0</v>
      </c>
      <c r="AP1085" s="162">
        <f t="shared" si="351"/>
        <v>0</v>
      </c>
      <c r="AQ1085" s="162">
        <f t="shared" si="351"/>
        <v>0</v>
      </c>
      <c r="AR1085" s="163">
        <f t="shared" si="346"/>
        <v>0</v>
      </c>
      <c r="AT1085" s="208">
        <f>IFERROR(VLOOKUP(J1085,#REF!,10,0),0)</f>
        <v>0</v>
      </c>
    </row>
    <row r="1086" spans="1:46" hidden="1" outlineLevel="1" x14ac:dyDescent="0.25">
      <c r="A1086" s="14" t="str">
        <f t="shared" si="349"/>
        <v>PROP_OPER__24</v>
      </c>
      <c r="B1086" s="15" t="str">
        <f t="shared" si="341"/>
        <v>PROP_OPER__0_0</v>
      </c>
      <c r="C1086" s="83"/>
      <c r="D1086" s="15">
        <v>1</v>
      </c>
      <c r="E1086" s="15">
        <v>24</v>
      </c>
      <c r="F1086" s="190">
        <f t="shared" si="348"/>
        <v>0</v>
      </c>
      <c r="G1086" s="149" t="str">
        <f t="shared" si="348"/>
        <v/>
      </c>
      <c r="H1086" s="150" t="str">
        <f t="shared" si="348"/>
        <v/>
      </c>
      <c r="I1086" s="150">
        <f t="shared" si="348"/>
        <v>0</v>
      </c>
      <c r="J1086" s="150">
        <f t="shared" si="348"/>
        <v>0</v>
      </c>
      <c r="K1086" s="196" t="str">
        <f t="shared" si="348"/>
        <v/>
      </c>
      <c r="L1086" s="197" t="str">
        <f t="shared" si="348"/>
        <v/>
      </c>
      <c r="M1086" s="191">
        <f t="shared" si="348"/>
        <v>0</v>
      </c>
      <c r="N1086" s="150">
        <f t="shared" si="348"/>
        <v>0</v>
      </c>
      <c r="O1086" s="193">
        <f t="shared" si="348"/>
        <v>0</v>
      </c>
      <c r="P1086" s="162">
        <f t="shared" si="350"/>
        <v>0</v>
      </c>
      <c r="Q1086" s="162">
        <f t="shared" si="350"/>
        <v>0</v>
      </c>
      <c r="R1086" s="162">
        <f t="shared" si="350"/>
        <v>0</v>
      </c>
      <c r="S1086" s="162">
        <f t="shared" si="350"/>
        <v>0</v>
      </c>
      <c r="T1086" s="162">
        <f t="shared" si="350"/>
        <v>0</v>
      </c>
      <c r="U1086" s="162">
        <f t="shared" si="350"/>
        <v>0</v>
      </c>
      <c r="V1086" s="162">
        <f t="shared" si="350"/>
        <v>0</v>
      </c>
      <c r="W1086" s="162">
        <f t="shared" si="350"/>
        <v>0</v>
      </c>
      <c r="X1086" s="162">
        <f t="shared" si="350"/>
        <v>0</v>
      </c>
      <c r="Y1086" s="162">
        <f t="shared" si="350"/>
        <v>0</v>
      </c>
      <c r="Z1086" s="162">
        <f t="shared" si="350"/>
        <v>0</v>
      </c>
      <c r="AA1086" s="162">
        <f t="shared" si="350"/>
        <v>0</v>
      </c>
      <c r="AB1086" s="163">
        <f t="shared" si="344"/>
        <v>0</v>
      </c>
      <c r="AC1086" s="198"/>
      <c r="AE1086" s="194" t="str">
        <f t="shared" si="347"/>
        <v/>
      </c>
      <c r="AF1086" s="161">
        <f t="shared" si="351"/>
        <v>0</v>
      </c>
      <c r="AG1086" s="162">
        <f t="shared" si="351"/>
        <v>0</v>
      </c>
      <c r="AH1086" s="162">
        <f t="shared" si="351"/>
        <v>0</v>
      </c>
      <c r="AI1086" s="162">
        <f t="shared" si="351"/>
        <v>0</v>
      </c>
      <c r="AJ1086" s="162">
        <f t="shared" si="351"/>
        <v>0</v>
      </c>
      <c r="AK1086" s="162">
        <f t="shared" si="351"/>
        <v>0</v>
      </c>
      <c r="AL1086" s="162">
        <f t="shared" si="351"/>
        <v>0</v>
      </c>
      <c r="AM1086" s="162">
        <f t="shared" si="351"/>
        <v>0</v>
      </c>
      <c r="AN1086" s="162">
        <f t="shared" si="351"/>
        <v>0</v>
      </c>
      <c r="AO1086" s="162">
        <f t="shared" si="351"/>
        <v>0</v>
      </c>
      <c r="AP1086" s="162">
        <f t="shared" si="351"/>
        <v>0</v>
      </c>
      <c r="AQ1086" s="162">
        <f t="shared" si="351"/>
        <v>0</v>
      </c>
      <c r="AR1086" s="163">
        <f t="shared" si="346"/>
        <v>0</v>
      </c>
      <c r="AT1086" s="208">
        <f>IFERROR(VLOOKUP(J1086,#REF!,10,0),0)</f>
        <v>0</v>
      </c>
    </row>
    <row r="1087" spans="1:46" hidden="1" outlineLevel="1" x14ac:dyDescent="0.25">
      <c r="A1087" s="14" t="str">
        <f t="shared" si="349"/>
        <v>PROP_OPER__25</v>
      </c>
      <c r="B1087" s="15" t="str">
        <f t="shared" si="341"/>
        <v>PROP_OPER__0_0</v>
      </c>
      <c r="C1087" s="83"/>
      <c r="D1087" s="15">
        <v>1</v>
      </c>
      <c r="E1087" s="15">
        <v>25</v>
      </c>
      <c r="F1087" s="190">
        <f t="shared" si="348"/>
        <v>0</v>
      </c>
      <c r="G1087" s="149" t="str">
        <f t="shared" si="348"/>
        <v/>
      </c>
      <c r="H1087" s="150" t="str">
        <f t="shared" si="348"/>
        <v/>
      </c>
      <c r="I1087" s="150">
        <f t="shared" si="348"/>
        <v>0</v>
      </c>
      <c r="J1087" s="150">
        <f t="shared" si="348"/>
        <v>0</v>
      </c>
      <c r="K1087" s="196" t="str">
        <f t="shared" si="348"/>
        <v/>
      </c>
      <c r="L1087" s="197" t="str">
        <f t="shared" si="348"/>
        <v/>
      </c>
      <c r="M1087" s="191">
        <f t="shared" si="348"/>
        <v>0</v>
      </c>
      <c r="N1087" s="150">
        <f t="shared" si="348"/>
        <v>0</v>
      </c>
      <c r="O1087" s="193">
        <f t="shared" si="348"/>
        <v>0</v>
      </c>
      <c r="P1087" s="162">
        <f t="shared" si="350"/>
        <v>0</v>
      </c>
      <c r="Q1087" s="162">
        <f t="shared" si="350"/>
        <v>0</v>
      </c>
      <c r="R1087" s="162">
        <f t="shared" si="350"/>
        <v>0</v>
      </c>
      <c r="S1087" s="162">
        <f t="shared" si="350"/>
        <v>0</v>
      </c>
      <c r="T1087" s="162">
        <f t="shared" si="350"/>
        <v>0</v>
      </c>
      <c r="U1087" s="162">
        <f t="shared" si="350"/>
        <v>0</v>
      </c>
      <c r="V1087" s="162">
        <f t="shared" si="350"/>
        <v>0</v>
      </c>
      <c r="W1087" s="162">
        <f t="shared" si="350"/>
        <v>0</v>
      </c>
      <c r="X1087" s="162">
        <f t="shared" si="350"/>
        <v>0</v>
      </c>
      <c r="Y1087" s="162">
        <f t="shared" si="350"/>
        <v>0</v>
      </c>
      <c r="Z1087" s="162">
        <f t="shared" si="350"/>
        <v>0</v>
      </c>
      <c r="AA1087" s="162">
        <f t="shared" si="350"/>
        <v>0</v>
      </c>
      <c r="AB1087" s="163">
        <f t="shared" si="344"/>
        <v>0</v>
      </c>
      <c r="AC1087" s="198"/>
      <c r="AE1087" s="194" t="str">
        <f t="shared" si="347"/>
        <v/>
      </c>
      <c r="AF1087" s="161">
        <f t="shared" si="351"/>
        <v>0</v>
      </c>
      <c r="AG1087" s="162">
        <f t="shared" si="351"/>
        <v>0</v>
      </c>
      <c r="AH1087" s="162">
        <f t="shared" si="351"/>
        <v>0</v>
      </c>
      <c r="AI1087" s="162">
        <f t="shared" si="351"/>
        <v>0</v>
      </c>
      <c r="AJ1087" s="162">
        <f t="shared" si="351"/>
        <v>0</v>
      </c>
      <c r="AK1087" s="162">
        <f t="shared" si="351"/>
        <v>0</v>
      </c>
      <c r="AL1087" s="162">
        <f t="shared" si="351"/>
        <v>0</v>
      </c>
      <c r="AM1087" s="162">
        <f t="shared" si="351"/>
        <v>0</v>
      </c>
      <c r="AN1087" s="162">
        <f t="shared" si="351"/>
        <v>0</v>
      </c>
      <c r="AO1087" s="162">
        <f t="shared" si="351"/>
        <v>0</v>
      </c>
      <c r="AP1087" s="162">
        <f t="shared" si="351"/>
        <v>0</v>
      </c>
      <c r="AQ1087" s="162">
        <f t="shared" si="351"/>
        <v>0</v>
      </c>
      <c r="AR1087" s="163">
        <f t="shared" si="346"/>
        <v>0</v>
      </c>
      <c r="AT1087" s="208">
        <f>IFERROR(VLOOKUP(J1087,#REF!,10,0),0)</f>
        <v>0</v>
      </c>
    </row>
    <row r="1088" spans="1:46" hidden="1" outlineLevel="1" x14ac:dyDescent="0.25">
      <c r="A1088" s="14" t="str">
        <f t="shared" si="349"/>
        <v>PROP_OPER__26</v>
      </c>
      <c r="B1088" s="15" t="str">
        <f t="shared" si="341"/>
        <v>PROP_OPER__0_0</v>
      </c>
      <c r="C1088" s="83"/>
      <c r="D1088" s="15">
        <v>1</v>
      </c>
      <c r="E1088" s="15">
        <v>26</v>
      </c>
      <c r="F1088" s="190">
        <f t="shared" si="348"/>
        <v>0</v>
      </c>
      <c r="G1088" s="149" t="str">
        <f t="shared" si="348"/>
        <v/>
      </c>
      <c r="H1088" s="150" t="str">
        <f t="shared" si="348"/>
        <v/>
      </c>
      <c r="I1088" s="150">
        <f t="shared" si="348"/>
        <v>0</v>
      </c>
      <c r="J1088" s="150">
        <f t="shared" si="348"/>
        <v>0</v>
      </c>
      <c r="K1088" s="196" t="str">
        <f t="shared" si="348"/>
        <v/>
      </c>
      <c r="L1088" s="197" t="str">
        <f t="shared" si="348"/>
        <v/>
      </c>
      <c r="M1088" s="191">
        <f t="shared" si="348"/>
        <v>0</v>
      </c>
      <c r="N1088" s="150">
        <f t="shared" si="348"/>
        <v>0</v>
      </c>
      <c r="O1088" s="193">
        <f t="shared" si="348"/>
        <v>0</v>
      </c>
      <c r="P1088" s="162">
        <f t="shared" si="350"/>
        <v>0</v>
      </c>
      <c r="Q1088" s="162">
        <f t="shared" si="350"/>
        <v>0</v>
      </c>
      <c r="R1088" s="162">
        <f t="shared" si="350"/>
        <v>0</v>
      </c>
      <c r="S1088" s="162">
        <f t="shared" si="350"/>
        <v>0</v>
      </c>
      <c r="T1088" s="162">
        <f t="shared" si="350"/>
        <v>0</v>
      </c>
      <c r="U1088" s="162">
        <f t="shared" si="350"/>
        <v>0</v>
      </c>
      <c r="V1088" s="162">
        <f t="shared" si="350"/>
        <v>0</v>
      </c>
      <c r="W1088" s="162">
        <f t="shared" si="350"/>
        <v>0</v>
      </c>
      <c r="X1088" s="162">
        <f t="shared" si="350"/>
        <v>0</v>
      </c>
      <c r="Y1088" s="162">
        <f t="shared" si="350"/>
        <v>0</v>
      </c>
      <c r="Z1088" s="162">
        <f t="shared" si="350"/>
        <v>0</v>
      </c>
      <c r="AA1088" s="162">
        <f t="shared" si="350"/>
        <v>0</v>
      </c>
      <c r="AB1088" s="163">
        <f t="shared" si="344"/>
        <v>0</v>
      </c>
      <c r="AC1088" s="198"/>
      <c r="AE1088" s="194" t="str">
        <f t="shared" si="347"/>
        <v/>
      </c>
      <c r="AF1088" s="161">
        <f t="shared" si="351"/>
        <v>0</v>
      </c>
      <c r="AG1088" s="162">
        <f t="shared" si="351"/>
        <v>0</v>
      </c>
      <c r="AH1088" s="162">
        <f t="shared" si="351"/>
        <v>0</v>
      </c>
      <c r="AI1088" s="162">
        <f t="shared" si="351"/>
        <v>0</v>
      </c>
      <c r="AJ1088" s="162">
        <f t="shared" si="351"/>
        <v>0</v>
      </c>
      <c r="AK1088" s="162">
        <f t="shared" si="351"/>
        <v>0</v>
      </c>
      <c r="AL1088" s="162">
        <f t="shared" si="351"/>
        <v>0</v>
      </c>
      <c r="AM1088" s="162">
        <f t="shared" si="351"/>
        <v>0</v>
      </c>
      <c r="AN1088" s="162">
        <f t="shared" si="351"/>
        <v>0</v>
      </c>
      <c r="AO1088" s="162">
        <f t="shared" si="351"/>
        <v>0</v>
      </c>
      <c r="AP1088" s="162">
        <f t="shared" si="351"/>
        <v>0</v>
      </c>
      <c r="AQ1088" s="162">
        <f t="shared" si="351"/>
        <v>0</v>
      </c>
      <c r="AR1088" s="163">
        <f t="shared" si="346"/>
        <v>0</v>
      </c>
      <c r="AT1088" s="208">
        <f>IFERROR(VLOOKUP(J1088,#REF!,10,0),0)</f>
        <v>0</v>
      </c>
    </row>
    <row r="1089" spans="1:46" hidden="1" outlineLevel="1" x14ac:dyDescent="0.25">
      <c r="A1089" s="14" t="str">
        <f t="shared" si="349"/>
        <v>PROP_OPER__27</v>
      </c>
      <c r="B1089" s="15" t="str">
        <f t="shared" si="341"/>
        <v>PROP_OPER__0_0</v>
      </c>
      <c r="C1089" s="83"/>
      <c r="D1089" s="15">
        <v>1</v>
      </c>
      <c r="E1089" s="15">
        <v>27</v>
      </c>
      <c r="F1089" s="190">
        <f t="shared" si="348"/>
        <v>0</v>
      </c>
      <c r="G1089" s="149" t="str">
        <f t="shared" si="348"/>
        <v/>
      </c>
      <c r="H1089" s="150" t="str">
        <f t="shared" si="348"/>
        <v/>
      </c>
      <c r="I1089" s="150">
        <f t="shared" si="348"/>
        <v>0</v>
      </c>
      <c r="J1089" s="150">
        <f t="shared" si="348"/>
        <v>0</v>
      </c>
      <c r="K1089" s="196" t="str">
        <f t="shared" si="348"/>
        <v/>
      </c>
      <c r="L1089" s="197" t="str">
        <f t="shared" si="348"/>
        <v/>
      </c>
      <c r="M1089" s="191">
        <f t="shared" si="348"/>
        <v>0</v>
      </c>
      <c r="N1089" s="150">
        <f t="shared" si="348"/>
        <v>0</v>
      </c>
      <c r="O1089" s="193">
        <f t="shared" si="348"/>
        <v>0</v>
      </c>
      <c r="P1089" s="162">
        <f t="shared" si="350"/>
        <v>0</v>
      </c>
      <c r="Q1089" s="162">
        <f t="shared" si="350"/>
        <v>0</v>
      </c>
      <c r="R1089" s="162">
        <f t="shared" si="350"/>
        <v>0</v>
      </c>
      <c r="S1089" s="162">
        <f t="shared" si="350"/>
        <v>0</v>
      </c>
      <c r="T1089" s="162">
        <f t="shared" si="350"/>
        <v>0</v>
      </c>
      <c r="U1089" s="162">
        <f t="shared" si="350"/>
        <v>0</v>
      </c>
      <c r="V1089" s="162">
        <f t="shared" si="350"/>
        <v>0</v>
      </c>
      <c r="W1089" s="162">
        <f t="shared" si="350"/>
        <v>0</v>
      </c>
      <c r="X1089" s="162">
        <f t="shared" si="350"/>
        <v>0</v>
      </c>
      <c r="Y1089" s="162">
        <f t="shared" si="350"/>
        <v>0</v>
      </c>
      <c r="Z1089" s="162">
        <f t="shared" si="350"/>
        <v>0</v>
      </c>
      <c r="AA1089" s="162">
        <f t="shared" si="350"/>
        <v>0</v>
      </c>
      <c r="AB1089" s="163">
        <f t="shared" si="344"/>
        <v>0</v>
      </c>
      <c r="AC1089" s="198"/>
      <c r="AE1089" s="194" t="str">
        <f t="shared" si="347"/>
        <v/>
      </c>
      <c r="AF1089" s="161">
        <f t="shared" si="351"/>
        <v>0</v>
      </c>
      <c r="AG1089" s="162">
        <f t="shared" si="351"/>
        <v>0</v>
      </c>
      <c r="AH1089" s="162">
        <f t="shared" si="351"/>
        <v>0</v>
      </c>
      <c r="AI1089" s="162">
        <f t="shared" si="351"/>
        <v>0</v>
      </c>
      <c r="AJ1089" s="162">
        <f t="shared" si="351"/>
        <v>0</v>
      </c>
      <c r="AK1089" s="162">
        <f t="shared" si="351"/>
        <v>0</v>
      </c>
      <c r="AL1089" s="162">
        <f t="shared" si="351"/>
        <v>0</v>
      </c>
      <c r="AM1089" s="162">
        <f t="shared" si="351"/>
        <v>0</v>
      </c>
      <c r="AN1089" s="162">
        <f t="shared" si="351"/>
        <v>0</v>
      </c>
      <c r="AO1089" s="162">
        <f t="shared" si="351"/>
        <v>0</v>
      </c>
      <c r="AP1089" s="162">
        <f t="shared" si="351"/>
        <v>0</v>
      </c>
      <c r="AQ1089" s="162">
        <f t="shared" si="351"/>
        <v>0</v>
      </c>
      <c r="AR1089" s="163">
        <f t="shared" si="346"/>
        <v>0</v>
      </c>
      <c r="AT1089" s="208">
        <f>IFERROR(VLOOKUP(J1089,#REF!,10,0),0)</f>
        <v>0</v>
      </c>
    </row>
    <row r="1090" spans="1:46" hidden="1" outlineLevel="1" x14ac:dyDescent="0.25">
      <c r="A1090" s="14" t="str">
        <f t="shared" si="349"/>
        <v>PROP_OPER__28</v>
      </c>
      <c r="B1090" s="15" t="str">
        <f t="shared" si="341"/>
        <v>PROP_OPER__0_0</v>
      </c>
      <c r="C1090" s="83"/>
      <c r="D1090" s="15">
        <v>1</v>
      </c>
      <c r="E1090" s="15">
        <v>28</v>
      </c>
      <c r="F1090" s="190">
        <f t="shared" si="348"/>
        <v>0</v>
      </c>
      <c r="G1090" s="149" t="str">
        <f t="shared" si="348"/>
        <v/>
      </c>
      <c r="H1090" s="150" t="str">
        <f t="shared" si="348"/>
        <v/>
      </c>
      <c r="I1090" s="150">
        <f t="shared" si="348"/>
        <v>0</v>
      </c>
      <c r="J1090" s="150">
        <f t="shared" si="348"/>
        <v>0</v>
      </c>
      <c r="K1090" s="196" t="str">
        <f t="shared" si="348"/>
        <v/>
      </c>
      <c r="L1090" s="197" t="str">
        <f t="shared" si="348"/>
        <v/>
      </c>
      <c r="M1090" s="191">
        <f t="shared" si="348"/>
        <v>0</v>
      </c>
      <c r="N1090" s="150">
        <f t="shared" si="348"/>
        <v>0</v>
      </c>
      <c r="O1090" s="193">
        <f t="shared" si="348"/>
        <v>0</v>
      </c>
      <c r="P1090" s="162">
        <f t="shared" si="350"/>
        <v>0</v>
      </c>
      <c r="Q1090" s="162">
        <f t="shared" si="350"/>
        <v>0</v>
      </c>
      <c r="R1090" s="162">
        <f t="shared" si="350"/>
        <v>0</v>
      </c>
      <c r="S1090" s="162">
        <f t="shared" si="350"/>
        <v>0</v>
      </c>
      <c r="T1090" s="162">
        <f t="shared" si="350"/>
        <v>0</v>
      </c>
      <c r="U1090" s="162">
        <f t="shared" si="350"/>
        <v>0</v>
      </c>
      <c r="V1090" s="162">
        <f t="shared" si="350"/>
        <v>0</v>
      </c>
      <c r="W1090" s="162">
        <f t="shared" si="350"/>
        <v>0</v>
      </c>
      <c r="X1090" s="162">
        <f t="shared" si="350"/>
        <v>0</v>
      </c>
      <c r="Y1090" s="162">
        <f t="shared" si="350"/>
        <v>0</v>
      </c>
      <c r="Z1090" s="162">
        <f t="shared" si="350"/>
        <v>0</v>
      </c>
      <c r="AA1090" s="162">
        <f t="shared" si="350"/>
        <v>0</v>
      </c>
      <c r="AB1090" s="163">
        <f t="shared" si="344"/>
        <v>0</v>
      </c>
      <c r="AC1090" s="198"/>
      <c r="AE1090" s="194" t="str">
        <f t="shared" si="347"/>
        <v/>
      </c>
      <c r="AF1090" s="161">
        <f t="shared" si="351"/>
        <v>0</v>
      </c>
      <c r="AG1090" s="162">
        <f t="shared" si="351"/>
        <v>0</v>
      </c>
      <c r="AH1090" s="162">
        <f t="shared" si="351"/>
        <v>0</v>
      </c>
      <c r="AI1090" s="162">
        <f t="shared" si="351"/>
        <v>0</v>
      </c>
      <c r="AJ1090" s="162">
        <f t="shared" si="351"/>
        <v>0</v>
      </c>
      <c r="AK1090" s="162">
        <f t="shared" si="351"/>
        <v>0</v>
      </c>
      <c r="AL1090" s="162">
        <f t="shared" si="351"/>
        <v>0</v>
      </c>
      <c r="AM1090" s="162">
        <f t="shared" si="351"/>
        <v>0</v>
      </c>
      <c r="AN1090" s="162">
        <f t="shared" si="351"/>
        <v>0</v>
      </c>
      <c r="AO1090" s="162">
        <f t="shared" si="351"/>
        <v>0</v>
      </c>
      <c r="AP1090" s="162">
        <f t="shared" si="351"/>
        <v>0</v>
      </c>
      <c r="AQ1090" s="162">
        <f t="shared" si="351"/>
        <v>0</v>
      </c>
      <c r="AR1090" s="163">
        <f t="shared" si="346"/>
        <v>0</v>
      </c>
      <c r="AT1090" s="208">
        <f>IFERROR(VLOOKUP(J1090,#REF!,10,0),0)</f>
        <v>0</v>
      </c>
    </row>
    <row r="1091" spans="1:46" hidden="1" outlineLevel="1" x14ac:dyDescent="0.25">
      <c r="A1091" s="14" t="str">
        <f t="shared" si="349"/>
        <v>PROP_OPER__29</v>
      </c>
      <c r="B1091" s="15" t="str">
        <f t="shared" si="341"/>
        <v>PROP_OPER__0_0</v>
      </c>
      <c r="C1091" s="83"/>
      <c r="D1091" s="15">
        <v>1</v>
      </c>
      <c r="E1091" s="15">
        <v>29</v>
      </c>
      <c r="F1091" s="190">
        <f t="shared" si="348"/>
        <v>0</v>
      </c>
      <c r="G1091" s="149" t="str">
        <f t="shared" si="348"/>
        <v/>
      </c>
      <c r="H1091" s="150" t="str">
        <f t="shared" si="348"/>
        <v/>
      </c>
      <c r="I1091" s="150">
        <f t="shared" si="348"/>
        <v>0</v>
      </c>
      <c r="J1091" s="150">
        <f t="shared" si="348"/>
        <v>0</v>
      </c>
      <c r="K1091" s="196" t="str">
        <f t="shared" si="348"/>
        <v/>
      </c>
      <c r="L1091" s="197" t="str">
        <f t="shared" si="348"/>
        <v/>
      </c>
      <c r="M1091" s="191">
        <f t="shared" si="348"/>
        <v>0</v>
      </c>
      <c r="N1091" s="150">
        <f t="shared" si="348"/>
        <v>0</v>
      </c>
      <c r="O1091" s="193">
        <f t="shared" si="348"/>
        <v>0</v>
      </c>
      <c r="P1091" s="162">
        <f t="shared" si="350"/>
        <v>0</v>
      </c>
      <c r="Q1091" s="162">
        <f t="shared" si="350"/>
        <v>0</v>
      </c>
      <c r="R1091" s="162">
        <f t="shared" si="350"/>
        <v>0</v>
      </c>
      <c r="S1091" s="162">
        <f t="shared" si="350"/>
        <v>0</v>
      </c>
      <c r="T1091" s="162">
        <f t="shared" si="350"/>
        <v>0</v>
      </c>
      <c r="U1091" s="162">
        <f t="shared" si="350"/>
        <v>0</v>
      </c>
      <c r="V1091" s="162">
        <f t="shared" si="350"/>
        <v>0</v>
      </c>
      <c r="W1091" s="162">
        <f t="shared" si="350"/>
        <v>0</v>
      </c>
      <c r="X1091" s="162">
        <f t="shared" si="350"/>
        <v>0</v>
      </c>
      <c r="Y1091" s="162">
        <f t="shared" si="350"/>
        <v>0</v>
      </c>
      <c r="Z1091" s="162">
        <f t="shared" si="350"/>
        <v>0</v>
      </c>
      <c r="AA1091" s="162">
        <f t="shared" si="350"/>
        <v>0</v>
      </c>
      <c r="AB1091" s="163">
        <f t="shared" si="344"/>
        <v>0</v>
      </c>
      <c r="AC1091" s="198"/>
      <c r="AE1091" s="194" t="str">
        <f t="shared" si="347"/>
        <v/>
      </c>
      <c r="AF1091" s="161">
        <f t="shared" si="351"/>
        <v>0</v>
      </c>
      <c r="AG1091" s="162">
        <f t="shared" si="351"/>
        <v>0</v>
      </c>
      <c r="AH1091" s="162">
        <f t="shared" si="351"/>
        <v>0</v>
      </c>
      <c r="AI1091" s="162">
        <f t="shared" si="351"/>
        <v>0</v>
      </c>
      <c r="AJ1091" s="162">
        <f t="shared" si="351"/>
        <v>0</v>
      </c>
      <c r="AK1091" s="162">
        <f t="shared" si="351"/>
        <v>0</v>
      </c>
      <c r="AL1091" s="162">
        <f t="shared" si="351"/>
        <v>0</v>
      </c>
      <c r="AM1091" s="162">
        <f t="shared" si="351"/>
        <v>0</v>
      </c>
      <c r="AN1091" s="162">
        <f t="shared" si="351"/>
        <v>0</v>
      </c>
      <c r="AO1091" s="162">
        <f t="shared" si="351"/>
        <v>0</v>
      </c>
      <c r="AP1091" s="162">
        <f t="shared" si="351"/>
        <v>0</v>
      </c>
      <c r="AQ1091" s="162">
        <f t="shared" si="351"/>
        <v>0</v>
      </c>
      <c r="AR1091" s="163">
        <f t="shared" si="346"/>
        <v>0</v>
      </c>
      <c r="AT1091" s="208">
        <f>IFERROR(VLOOKUP(J1091,#REF!,10,0),0)</f>
        <v>0</v>
      </c>
    </row>
    <row r="1092" spans="1:46" hidden="1" outlineLevel="1" x14ac:dyDescent="0.25">
      <c r="A1092" s="14" t="str">
        <f t="shared" si="349"/>
        <v>PROP_OPER__30</v>
      </c>
      <c r="B1092" s="15" t="str">
        <f t="shared" si="341"/>
        <v>PROP_OPER__0_0</v>
      </c>
      <c r="C1092" s="83"/>
      <c r="D1092" s="15">
        <v>1</v>
      </c>
      <c r="E1092" s="15">
        <v>30</v>
      </c>
      <c r="F1092" s="190">
        <f t="shared" si="348"/>
        <v>0</v>
      </c>
      <c r="G1092" s="149" t="str">
        <f t="shared" si="348"/>
        <v/>
      </c>
      <c r="H1092" s="150" t="str">
        <f t="shared" si="348"/>
        <v/>
      </c>
      <c r="I1092" s="150">
        <f t="shared" si="348"/>
        <v>0</v>
      </c>
      <c r="J1092" s="150">
        <f t="shared" si="348"/>
        <v>0</v>
      </c>
      <c r="K1092" s="196" t="str">
        <f t="shared" si="348"/>
        <v/>
      </c>
      <c r="L1092" s="197" t="str">
        <f t="shared" si="348"/>
        <v/>
      </c>
      <c r="M1092" s="191">
        <f t="shared" si="348"/>
        <v>0</v>
      </c>
      <c r="N1092" s="150">
        <f t="shared" si="348"/>
        <v>0</v>
      </c>
      <c r="O1092" s="193">
        <f t="shared" si="348"/>
        <v>0</v>
      </c>
      <c r="P1092" s="162">
        <f t="shared" si="350"/>
        <v>0</v>
      </c>
      <c r="Q1092" s="162">
        <f t="shared" si="350"/>
        <v>0</v>
      </c>
      <c r="R1092" s="162">
        <f t="shared" si="350"/>
        <v>0</v>
      </c>
      <c r="S1092" s="162">
        <f t="shared" si="350"/>
        <v>0</v>
      </c>
      <c r="T1092" s="162">
        <f t="shared" si="350"/>
        <v>0</v>
      </c>
      <c r="U1092" s="162">
        <f t="shared" si="350"/>
        <v>0</v>
      </c>
      <c r="V1092" s="162">
        <f t="shared" si="350"/>
        <v>0</v>
      </c>
      <c r="W1092" s="162">
        <f t="shared" si="350"/>
        <v>0</v>
      </c>
      <c r="X1092" s="162">
        <f t="shared" si="350"/>
        <v>0</v>
      </c>
      <c r="Y1092" s="162">
        <f t="shared" si="350"/>
        <v>0</v>
      </c>
      <c r="Z1092" s="162">
        <f t="shared" si="350"/>
        <v>0</v>
      </c>
      <c r="AA1092" s="162">
        <f t="shared" si="350"/>
        <v>0</v>
      </c>
      <c r="AB1092" s="163">
        <f t="shared" si="344"/>
        <v>0</v>
      </c>
      <c r="AC1092" s="198"/>
      <c r="AE1092" s="194" t="str">
        <f t="shared" si="347"/>
        <v/>
      </c>
      <c r="AF1092" s="161">
        <f t="shared" si="351"/>
        <v>0</v>
      </c>
      <c r="AG1092" s="162">
        <f t="shared" si="351"/>
        <v>0</v>
      </c>
      <c r="AH1092" s="162">
        <f t="shared" si="351"/>
        <v>0</v>
      </c>
      <c r="AI1092" s="162">
        <f t="shared" si="351"/>
        <v>0</v>
      </c>
      <c r="AJ1092" s="162">
        <f t="shared" si="351"/>
        <v>0</v>
      </c>
      <c r="AK1092" s="162">
        <f t="shared" si="351"/>
        <v>0</v>
      </c>
      <c r="AL1092" s="162">
        <f t="shared" si="351"/>
        <v>0</v>
      </c>
      <c r="AM1092" s="162">
        <f t="shared" si="351"/>
        <v>0</v>
      </c>
      <c r="AN1092" s="162">
        <f t="shared" si="351"/>
        <v>0</v>
      </c>
      <c r="AO1092" s="162">
        <f t="shared" si="351"/>
        <v>0</v>
      </c>
      <c r="AP1092" s="162">
        <f t="shared" si="351"/>
        <v>0</v>
      </c>
      <c r="AQ1092" s="162">
        <f t="shared" si="351"/>
        <v>0</v>
      </c>
      <c r="AR1092" s="163">
        <f t="shared" si="346"/>
        <v>0</v>
      </c>
      <c r="AT1092" s="208">
        <f>IFERROR(VLOOKUP(J1092,#REF!,10,0),0)</f>
        <v>0</v>
      </c>
    </row>
    <row r="1093" spans="1:46" hidden="1" outlineLevel="1" x14ac:dyDescent="0.25">
      <c r="A1093" s="14" t="str">
        <f t="shared" si="349"/>
        <v>PROP_OPER__31</v>
      </c>
      <c r="B1093" s="15" t="str">
        <f t="shared" si="341"/>
        <v>PROP_OPER__0_0</v>
      </c>
      <c r="C1093" s="83"/>
      <c r="D1093" s="15">
        <v>1</v>
      </c>
      <c r="E1093" s="15">
        <v>31</v>
      </c>
      <c r="F1093" s="190">
        <f t="shared" si="348"/>
        <v>0</v>
      </c>
      <c r="G1093" s="149" t="str">
        <f t="shared" si="348"/>
        <v/>
      </c>
      <c r="H1093" s="150" t="str">
        <f t="shared" si="348"/>
        <v/>
      </c>
      <c r="I1093" s="150">
        <f t="shared" si="348"/>
        <v>0</v>
      </c>
      <c r="J1093" s="150">
        <f t="shared" si="348"/>
        <v>0</v>
      </c>
      <c r="K1093" s="196" t="str">
        <f t="shared" si="348"/>
        <v/>
      </c>
      <c r="L1093" s="197" t="str">
        <f t="shared" si="348"/>
        <v/>
      </c>
      <c r="M1093" s="191">
        <f t="shared" si="348"/>
        <v>0</v>
      </c>
      <c r="N1093" s="150">
        <f t="shared" si="348"/>
        <v>0</v>
      </c>
      <c r="O1093" s="193">
        <f t="shared" si="348"/>
        <v>0</v>
      </c>
      <c r="P1093" s="162">
        <f t="shared" si="350"/>
        <v>0</v>
      </c>
      <c r="Q1093" s="162">
        <f t="shared" si="350"/>
        <v>0</v>
      </c>
      <c r="R1093" s="162">
        <f t="shared" si="350"/>
        <v>0</v>
      </c>
      <c r="S1093" s="162">
        <f t="shared" si="350"/>
        <v>0</v>
      </c>
      <c r="T1093" s="162">
        <f t="shared" si="350"/>
        <v>0</v>
      </c>
      <c r="U1093" s="162">
        <f t="shared" si="350"/>
        <v>0</v>
      </c>
      <c r="V1093" s="162">
        <f t="shared" si="350"/>
        <v>0</v>
      </c>
      <c r="W1093" s="162">
        <f t="shared" si="350"/>
        <v>0</v>
      </c>
      <c r="X1093" s="162">
        <f t="shared" si="350"/>
        <v>0</v>
      </c>
      <c r="Y1093" s="162">
        <f t="shared" si="350"/>
        <v>0</v>
      </c>
      <c r="Z1093" s="162">
        <f t="shared" si="350"/>
        <v>0</v>
      </c>
      <c r="AA1093" s="162">
        <f t="shared" si="350"/>
        <v>0</v>
      </c>
      <c r="AB1093" s="163">
        <f t="shared" si="344"/>
        <v>0</v>
      </c>
      <c r="AC1093" s="198"/>
      <c r="AE1093" s="194" t="str">
        <f t="shared" si="347"/>
        <v/>
      </c>
      <c r="AF1093" s="161">
        <f t="shared" si="351"/>
        <v>0</v>
      </c>
      <c r="AG1093" s="162">
        <f t="shared" si="351"/>
        <v>0</v>
      </c>
      <c r="AH1093" s="162">
        <f t="shared" si="351"/>
        <v>0</v>
      </c>
      <c r="AI1093" s="162">
        <f t="shared" si="351"/>
        <v>0</v>
      </c>
      <c r="AJ1093" s="162">
        <f t="shared" si="351"/>
        <v>0</v>
      </c>
      <c r="AK1093" s="162">
        <f t="shared" si="351"/>
        <v>0</v>
      </c>
      <c r="AL1093" s="162">
        <f t="shared" si="351"/>
        <v>0</v>
      </c>
      <c r="AM1093" s="162">
        <f t="shared" si="351"/>
        <v>0</v>
      </c>
      <c r="AN1093" s="162">
        <f t="shared" si="351"/>
        <v>0</v>
      </c>
      <c r="AO1093" s="162">
        <f t="shared" si="351"/>
        <v>0</v>
      </c>
      <c r="AP1093" s="162">
        <f t="shared" si="351"/>
        <v>0</v>
      </c>
      <c r="AQ1093" s="162">
        <f t="shared" si="351"/>
        <v>0</v>
      </c>
      <c r="AR1093" s="163">
        <f t="shared" si="346"/>
        <v>0</v>
      </c>
      <c r="AT1093" s="208">
        <f>IFERROR(VLOOKUP(J1093,#REF!,10,0),0)</f>
        <v>0</v>
      </c>
    </row>
    <row r="1094" spans="1:46" hidden="1" outlineLevel="1" x14ac:dyDescent="0.25">
      <c r="A1094" s="14" t="str">
        <f t="shared" si="349"/>
        <v>PROP_OPER__32</v>
      </c>
      <c r="B1094" s="15" t="str">
        <f t="shared" si="341"/>
        <v>PROP_OPER__0_0</v>
      </c>
      <c r="C1094" s="83"/>
      <c r="D1094" s="15">
        <v>1</v>
      </c>
      <c r="E1094" s="15">
        <v>32</v>
      </c>
      <c r="F1094" s="190">
        <f t="shared" si="348"/>
        <v>0</v>
      </c>
      <c r="G1094" s="149" t="str">
        <f t="shared" si="348"/>
        <v/>
      </c>
      <c r="H1094" s="150" t="str">
        <f t="shared" si="348"/>
        <v/>
      </c>
      <c r="I1094" s="150">
        <f t="shared" si="348"/>
        <v>0</v>
      </c>
      <c r="J1094" s="150">
        <f t="shared" si="348"/>
        <v>0</v>
      </c>
      <c r="K1094" s="196" t="str">
        <f t="shared" si="348"/>
        <v/>
      </c>
      <c r="L1094" s="197" t="str">
        <f t="shared" si="348"/>
        <v/>
      </c>
      <c r="M1094" s="191">
        <f t="shared" si="348"/>
        <v>0</v>
      </c>
      <c r="N1094" s="150">
        <f t="shared" si="348"/>
        <v>0</v>
      </c>
      <c r="O1094" s="193">
        <f t="shared" si="348"/>
        <v>0</v>
      </c>
      <c r="P1094" s="162">
        <f t="shared" si="350"/>
        <v>0</v>
      </c>
      <c r="Q1094" s="162">
        <f t="shared" si="350"/>
        <v>0</v>
      </c>
      <c r="R1094" s="162">
        <f t="shared" si="350"/>
        <v>0</v>
      </c>
      <c r="S1094" s="162">
        <f t="shared" si="350"/>
        <v>0</v>
      </c>
      <c r="T1094" s="162">
        <f t="shared" si="350"/>
        <v>0</v>
      </c>
      <c r="U1094" s="162">
        <f t="shared" si="350"/>
        <v>0</v>
      </c>
      <c r="V1094" s="162">
        <f t="shared" si="350"/>
        <v>0</v>
      </c>
      <c r="W1094" s="162">
        <f t="shared" si="350"/>
        <v>0</v>
      </c>
      <c r="X1094" s="162">
        <f t="shared" si="350"/>
        <v>0</v>
      </c>
      <c r="Y1094" s="162">
        <f t="shared" si="350"/>
        <v>0</v>
      </c>
      <c r="Z1094" s="162">
        <f t="shared" si="350"/>
        <v>0</v>
      </c>
      <c r="AA1094" s="162">
        <f t="shared" si="350"/>
        <v>0</v>
      </c>
      <c r="AB1094" s="163">
        <f t="shared" si="344"/>
        <v>0</v>
      </c>
      <c r="AC1094" s="198"/>
      <c r="AE1094" s="194" t="str">
        <f t="shared" si="347"/>
        <v/>
      </c>
      <c r="AF1094" s="161">
        <f t="shared" si="351"/>
        <v>0</v>
      </c>
      <c r="AG1094" s="162">
        <f t="shared" si="351"/>
        <v>0</v>
      </c>
      <c r="AH1094" s="162">
        <f t="shared" si="351"/>
        <v>0</v>
      </c>
      <c r="AI1094" s="162">
        <f t="shared" si="351"/>
        <v>0</v>
      </c>
      <c r="AJ1094" s="162">
        <f t="shared" si="351"/>
        <v>0</v>
      </c>
      <c r="AK1094" s="162">
        <f t="shared" si="351"/>
        <v>0</v>
      </c>
      <c r="AL1094" s="162">
        <f t="shared" si="351"/>
        <v>0</v>
      </c>
      <c r="AM1094" s="162">
        <f t="shared" si="351"/>
        <v>0</v>
      </c>
      <c r="AN1094" s="162">
        <f t="shared" si="351"/>
        <v>0</v>
      </c>
      <c r="AO1094" s="162">
        <f t="shared" si="351"/>
        <v>0</v>
      </c>
      <c r="AP1094" s="162">
        <f t="shared" si="351"/>
        <v>0</v>
      </c>
      <c r="AQ1094" s="162">
        <f t="shared" si="351"/>
        <v>0</v>
      </c>
      <c r="AR1094" s="163">
        <f t="shared" si="346"/>
        <v>0</v>
      </c>
      <c r="AT1094" s="208">
        <f>IFERROR(VLOOKUP(J1094,#REF!,10,0),0)</f>
        <v>0</v>
      </c>
    </row>
    <row r="1095" spans="1:46" hidden="1" outlineLevel="1" x14ac:dyDescent="0.25">
      <c r="A1095" s="14" t="str">
        <f t="shared" si="349"/>
        <v>PROP_OPER__33</v>
      </c>
      <c r="B1095" s="15" t="str">
        <f t="shared" si="341"/>
        <v>PROP_OPER__0_0</v>
      </c>
      <c r="C1095" s="83"/>
      <c r="D1095" s="15">
        <v>1</v>
      </c>
      <c r="E1095" s="15">
        <v>33</v>
      </c>
      <c r="F1095" s="190">
        <f t="shared" ref="F1095:O1107" si="352">F1049</f>
        <v>0</v>
      </c>
      <c r="G1095" s="149" t="str">
        <f t="shared" si="352"/>
        <v/>
      </c>
      <c r="H1095" s="150" t="str">
        <f t="shared" si="352"/>
        <v/>
      </c>
      <c r="I1095" s="150">
        <f t="shared" si="352"/>
        <v>0</v>
      </c>
      <c r="J1095" s="150">
        <f t="shared" si="352"/>
        <v>0</v>
      </c>
      <c r="K1095" s="196" t="str">
        <f t="shared" si="352"/>
        <v/>
      </c>
      <c r="L1095" s="197" t="str">
        <f t="shared" si="352"/>
        <v/>
      </c>
      <c r="M1095" s="191">
        <f t="shared" si="352"/>
        <v>0</v>
      </c>
      <c r="N1095" s="150">
        <f t="shared" si="352"/>
        <v>0</v>
      </c>
      <c r="O1095" s="193">
        <f t="shared" si="352"/>
        <v>0</v>
      </c>
      <c r="P1095" s="162">
        <f t="shared" si="350"/>
        <v>0</v>
      </c>
      <c r="Q1095" s="162">
        <f t="shared" si="350"/>
        <v>0</v>
      </c>
      <c r="R1095" s="162">
        <f t="shared" si="350"/>
        <v>0</v>
      </c>
      <c r="S1095" s="162">
        <f t="shared" si="350"/>
        <v>0</v>
      </c>
      <c r="T1095" s="162">
        <f t="shared" si="350"/>
        <v>0</v>
      </c>
      <c r="U1095" s="162">
        <f t="shared" si="350"/>
        <v>0</v>
      </c>
      <c r="V1095" s="162">
        <f t="shared" si="350"/>
        <v>0</v>
      </c>
      <c r="W1095" s="162">
        <f t="shared" si="350"/>
        <v>0</v>
      </c>
      <c r="X1095" s="162">
        <f t="shared" si="350"/>
        <v>0</v>
      </c>
      <c r="Y1095" s="162">
        <f t="shared" si="350"/>
        <v>0</v>
      </c>
      <c r="Z1095" s="162">
        <f t="shared" si="350"/>
        <v>0</v>
      </c>
      <c r="AA1095" s="162">
        <f t="shared" si="350"/>
        <v>0</v>
      </c>
      <c r="AB1095" s="163">
        <f t="shared" si="344"/>
        <v>0</v>
      </c>
      <c r="AC1095" s="198"/>
      <c r="AE1095" s="194" t="str">
        <f t="shared" si="347"/>
        <v/>
      </c>
      <c r="AF1095" s="161">
        <f t="shared" si="351"/>
        <v>0</v>
      </c>
      <c r="AG1095" s="162">
        <f t="shared" si="351"/>
        <v>0</v>
      </c>
      <c r="AH1095" s="162">
        <f t="shared" si="351"/>
        <v>0</v>
      </c>
      <c r="AI1095" s="162">
        <f t="shared" si="351"/>
        <v>0</v>
      </c>
      <c r="AJ1095" s="162">
        <f t="shared" si="351"/>
        <v>0</v>
      </c>
      <c r="AK1095" s="162">
        <f t="shared" si="351"/>
        <v>0</v>
      </c>
      <c r="AL1095" s="162">
        <f t="shared" si="351"/>
        <v>0</v>
      </c>
      <c r="AM1095" s="162">
        <f t="shared" si="351"/>
        <v>0</v>
      </c>
      <c r="AN1095" s="162">
        <f t="shared" si="351"/>
        <v>0</v>
      </c>
      <c r="AO1095" s="162">
        <f t="shared" si="351"/>
        <v>0</v>
      </c>
      <c r="AP1095" s="162">
        <f t="shared" si="351"/>
        <v>0</v>
      </c>
      <c r="AQ1095" s="162">
        <f t="shared" si="351"/>
        <v>0</v>
      </c>
      <c r="AR1095" s="163">
        <f t="shared" si="346"/>
        <v>0</v>
      </c>
      <c r="AT1095" s="208">
        <f>IFERROR(VLOOKUP(J1095,#REF!,10,0),0)</f>
        <v>0</v>
      </c>
    </row>
    <row r="1096" spans="1:46" hidden="1" outlineLevel="1" x14ac:dyDescent="0.25">
      <c r="A1096" s="14" t="str">
        <f t="shared" si="349"/>
        <v>PROP_OPER__34</v>
      </c>
      <c r="B1096" s="15" t="str">
        <f t="shared" si="341"/>
        <v>PROP_OPER__0_0</v>
      </c>
      <c r="C1096" s="83"/>
      <c r="D1096" s="15">
        <v>1</v>
      </c>
      <c r="E1096" s="15">
        <v>34</v>
      </c>
      <c r="F1096" s="190">
        <f t="shared" si="352"/>
        <v>0</v>
      </c>
      <c r="G1096" s="149" t="str">
        <f t="shared" si="352"/>
        <v/>
      </c>
      <c r="H1096" s="150" t="str">
        <f t="shared" si="352"/>
        <v/>
      </c>
      <c r="I1096" s="150">
        <f t="shared" si="352"/>
        <v>0</v>
      </c>
      <c r="J1096" s="150">
        <f t="shared" si="352"/>
        <v>0</v>
      </c>
      <c r="K1096" s="196" t="str">
        <f t="shared" si="352"/>
        <v/>
      </c>
      <c r="L1096" s="197" t="str">
        <f t="shared" si="352"/>
        <v/>
      </c>
      <c r="M1096" s="191">
        <f t="shared" si="352"/>
        <v>0</v>
      </c>
      <c r="N1096" s="150">
        <f t="shared" si="352"/>
        <v>0</v>
      </c>
      <c r="O1096" s="193">
        <f t="shared" si="352"/>
        <v>0</v>
      </c>
      <c r="P1096" s="162">
        <f t="shared" si="350"/>
        <v>0</v>
      </c>
      <c r="Q1096" s="162">
        <f t="shared" si="350"/>
        <v>0</v>
      </c>
      <c r="R1096" s="162">
        <f t="shared" si="350"/>
        <v>0</v>
      </c>
      <c r="S1096" s="162">
        <f t="shared" si="350"/>
        <v>0</v>
      </c>
      <c r="T1096" s="162">
        <f t="shared" si="350"/>
        <v>0</v>
      </c>
      <c r="U1096" s="162">
        <f t="shared" si="350"/>
        <v>0</v>
      </c>
      <c r="V1096" s="162">
        <f t="shared" si="350"/>
        <v>0</v>
      </c>
      <c r="W1096" s="162">
        <f t="shared" si="350"/>
        <v>0</v>
      </c>
      <c r="X1096" s="162">
        <f t="shared" si="350"/>
        <v>0</v>
      </c>
      <c r="Y1096" s="162">
        <f t="shared" si="350"/>
        <v>0</v>
      </c>
      <c r="Z1096" s="162">
        <f t="shared" si="350"/>
        <v>0</v>
      </c>
      <c r="AA1096" s="162">
        <f t="shared" si="350"/>
        <v>0</v>
      </c>
      <c r="AB1096" s="163">
        <f t="shared" si="344"/>
        <v>0</v>
      </c>
      <c r="AC1096" s="198"/>
      <c r="AE1096" s="194" t="str">
        <f t="shared" si="347"/>
        <v/>
      </c>
      <c r="AF1096" s="161">
        <f t="shared" si="351"/>
        <v>0</v>
      </c>
      <c r="AG1096" s="162">
        <f t="shared" si="351"/>
        <v>0</v>
      </c>
      <c r="AH1096" s="162">
        <f t="shared" si="351"/>
        <v>0</v>
      </c>
      <c r="AI1096" s="162">
        <f t="shared" si="351"/>
        <v>0</v>
      </c>
      <c r="AJ1096" s="162">
        <f t="shared" si="351"/>
        <v>0</v>
      </c>
      <c r="AK1096" s="162">
        <f t="shared" si="351"/>
        <v>0</v>
      </c>
      <c r="AL1096" s="162">
        <f t="shared" si="351"/>
        <v>0</v>
      </c>
      <c r="AM1096" s="162">
        <f t="shared" si="351"/>
        <v>0</v>
      </c>
      <c r="AN1096" s="162">
        <f t="shared" si="351"/>
        <v>0</v>
      </c>
      <c r="AO1096" s="162">
        <f t="shared" si="351"/>
        <v>0</v>
      </c>
      <c r="AP1096" s="162">
        <f t="shared" si="351"/>
        <v>0</v>
      </c>
      <c r="AQ1096" s="162">
        <f t="shared" si="351"/>
        <v>0</v>
      </c>
      <c r="AR1096" s="163">
        <f t="shared" si="346"/>
        <v>0</v>
      </c>
      <c r="AT1096" s="208">
        <f>IFERROR(VLOOKUP(J1096,#REF!,10,0),0)</f>
        <v>0</v>
      </c>
    </row>
    <row r="1097" spans="1:46" hidden="1" outlineLevel="1" x14ac:dyDescent="0.25">
      <c r="A1097" s="14" t="str">
        <f t="shared" si="349"/>
        <v>PROP_OPER__35</v>
      </c>
      <c r="B1097" s="15" t="str">
        <f t="shared" si="341"/>
        <v>PROP_OPER__0_0</v>
      </c>
      <c r="C1097" s="83"/>
      <c r="D1097" s="15">
        <v>1</v>
      </c>
      <c r="E1097" s="15">
        <v>35</v>
      </c>
      <c r="F1097" s="190">
        <f t="shared" si="352"/>
        <v>0</v>
      </c>
      <c r="G1097" s="149" t="str">
        <f t="shared" si="352"/>
        <v/>
      </c>
      <c r="H1097" s="150" t="str">
        <f t="shared" si="352"/>
        <v/>
      </c>
      <c r="I1097" s="150">
        <f t="shared" si="352"/>
        <v>0</v>
      </c>
      <c r="J1097" s="150">
        <f t="shared" si="352"/>
        <v>0</v>
      </c>
      <c r="K1097" s="196" t="str">
        <f t="shared" si="352"/>
        <v/>
      </c>
      <c r="L1097" s="197" t="str">
        <f t="shared" si="352"/>
        <v/>
      </c>
      <c r="M1097" s="191">
        <f t="shared" si="352"/>
        <v>0</v>
      </c>
      <c r="N1097" s="150">
        <f t="shared" si="352"/>
        <v>0</v>
      </c>
      <c r="O1097" s="193">
        <f t="shared" si="352"/>
        <v>0</v>
      </c>
      <c r="P1097" s="162">
        <f t="shared" ref="P1097:AA1107" si="353">IFERROR(SUMIF($B$483:$B$547,$C1097&amp;$I1097,P$483:P$547)/SUMIF($D$483:$D$547,$I1097,P$483:P$547)*P628,0)</f>
        <v>0</v>
      </c>
      <c r="Q1097" s="162">
        <f t="shared" si="353"/>
        <v>0</v>
      </c>
      <c r="R1097" s="162">
        <f t="shared" si="353"/>
        <v>0</v>
      </c>
      <c r="S1097" s="162">
        <f t="shared" si="353"/>
        <v>0</v>
      </c>
      <c r="T1097" s="162">
        <f t="shared" si="353"/>
        <v>0</v>
      </c>
      <c r="U1097" s="162">
        <f t="shared" si="353"/>
        <v>0</v>
      </c>
      <c r="V1097" s="162">
        <f t="shared" si="353"/>
        <v>0</v>
      </c>
      <c r="W1097" s="162">
        <f t="shared" si="353"/>
        <v>0</v>
      </c>
      <c r="X1097" s="162">
        <f t="shared" si="353"/>
        <v>0</v>
      </c>
      <c r="Y1097" s="162">
        <f t="shared" si="353"/>
        <v>0</v>
      </c>
      <c r="Z1097" s="162">
        <f t="shared" si="353"/>
        <v>0</v>
      </c>
      <c r="AA1097" s="162">
        <f t="shared" si="353"/>
        <v>0</v>
      </c>
      <c r="AB1097" s="163">
        <f t="shared" si="344"/>
        <v>0</v>
      </c>
      <c r="AC1097" s="198"/>
      <c r="AE1097" s="194" t="str">
        <f t="shared" si="347"/>
        <v/>
      </c>
      <c r="AF1097" s="161">
        <f t="shared" ref="AF1097:AQ1107" si="354">IFERROR(SUMIF($B$483:$B$547,$C1097&amp;$I1097,P$483:P$547)/SUMIF($D$483:$D$547,$I1097,P$483:P$547)*AF628,0)</f>
        <v>0</v>
      </c>
      <c r="AG1097" s="162">
        <f t="shared" si="354"/>
        <v>0</v>
      </c>
      <c r="AH1097" s="162">
        <f t="shared" si="354"/>
        <v>0</v>
      </c>
      <c r="AI1097" s="162">
        <f t="shared" si="354"/>
        <v>0</v>
      </c>
      <c r="AJ1097" s="162">
        <f t="shared" si="354"/>
        <v>0</v>
      </c>
      <c r="AK1097" s="162">
        <f t="shared" si="354"/>
        <v>0</v>
      </c>
      <c r="AL1097" s="162">
        <f t="shared" si="354"/>
        <v>0</v>
      </c>
      <c r="AM1097" s="162">
        <f t="shared" si="354"/>
        <v>0</v>
      </c>
      <c r="AN1097" s="162">
        <f t="shared" si="354"/>
        <v>0</v>
      </c>
      <c r="AO1097" s="162">
        <f t="shared" si="354"/>
        <v>0</v>
      </c>
      <c r="AP1097" s="162">
        <f t="shared" si="354"/>
        <v>0</v>
      </c>
      <c r="AQ1097" s="162">
        <f t="shared" si="354"/>
        <v>0</v>
      </c>
      <c r="AR1097" s="163">
        <f t="shared" si="346"/>
        <v>0</v>
      </c>
      <c r="AT1097" s="208">
        <f>IFERROR(VLOOKUP(J1097,#REF!,10,0),0)</f>
        <v>0</v>
      </c>
    </row>
    <row r="1098" spans="1:46" hidden="1" outlineLevel="1" x14ac:dyDescent="0.25">
      <c r="A1098" s="14" t="str">
        <f t="shared" si="349"/>
        <v>PROP_OPER__36</v>
      </c>
      <c r="B1098" s="15" t="str">
        <f t="shared" si="341"/>
        <v>PROP_OPER__0_0</v>
      </c>
      <c r="C1098" s="83"/>
      <c r="D1098" s="15">
        <v>1</v>
      </c>
      <c r="E1098" s="15">
        <v>36</v>
      </c>
      <c r="F1098" s="190">
        <f t="shared" si="352"/>
        <v>0</v>
      </c>
      <c r="G1098" s="149" t="str">
        <f t="shared" si="352"/>
        <v/>
      </c>
      <c r="H1098" s="150" t="str">
        <f t="shared" si="352"/>
        <v/>
      </c>
      <c r="I1098" s="150">
        <f t="shared" si="352"/>
        <v>0</v>
      </c>
      <c r="J1098" s="150">
        <f t="shared" si="352"/>
        <v>0</v>
      </c>
      <c r="K1098" s="196" t="str">
        <f t="shared" si="352"/>
        <v/>
      </c>
      <c r="L1098" s="197" t="str">
        <f t="shared" si="352"/>
        <v/>
      </c>
      <c r="M1098" s="191">
        <f t="shared" si="352"/>
        <v>0</v>
      </c>
      <c r="N1098" s="150">
        <f t="shared" si="352"/>
        <v>0</v>
      </c>
      <c r="O1098" s="193">
        <f t="shared" si="352"/>
        <v>0</v>
      </c>
      <c r="P1098" s="162">
        <f t="shared" si="353"/>
        <v>0</v>
      </c>
      <c r="Q1098" s="162">
        <f t="shared" si="353"/>
        <v>0</v>
      </c>
      <c r="R1098" s="162">
        <f t="shared" si="353"/>
        <v>0</v>
      </c>
      <c r="S1098" s="162">
        <f t="shared" si="353"/>
        <v>0</v>
      </c>
      <c r="T1098" s="162">
        <f t="shared" si="353"/>
        <v>0</v>
      </c>
      <c r="U1098" s="162">
        <f t="shared" si="353"/>
        <v>0</v>
      </c>
      <c r="V1098" s="162">
        <f t="shared" si="353"/>
        <v>0</v>
      </c>
      <c r="W1098" s="162">
        <f t="shared" si="353"/>
        <v>0</v>
      </c>
      <c r="X1098" s="162">
        <f t="shared" si="353"/>
        <v>0</v>
      </c>
      <c r="Y1098" s="162">
        <f t="shared" si="353"/>
        <v>0</v>
      </c>
      <c r="Z1098" s="162">
        <f t="shared" si="353"/>
        <v>0</v>
      </c>
      <c r="AA1098" s="162">
        <f t="shared" si="353"/>
        <v>0</v>
      </c>
      <c r="AB1098" s="163">
        <f t="shared" si="344"/>
        <v>0</v>
      </c>
      <c r="AC1098" s="198"/>
      <c r="AE1098" s="194" t="str">
        <f t="shared" si="347"/>
        <v/>
      </c>
      <c r="AF1098" s="161">
        <f t="shared" si="354"/>
        <v>0</v>
      </c>
      <c r="AG1098" s="162">
        <f t="shared" si="354"/>
        <v>0</v>
      </c>
      <c r="AH1098" s="162">
        <f t="shared" si="354"/>
        <v>0</v>
      </c>
      <c r="AI1098" s="162">
        <f t="shared" si="354"/>
        <v>0</v>
      </c>
      <c r="AJ1098" s="162">
        <f t="shared" si="354"/>
        <v>0</v>
      </c>
      <c r="AK1098" s="162">
        <f t="shared" si="354"/>
        <v>0</v>
      </c>
      <c r="AL1098" s="162">
        <f t="shared" si="354"/>
        <v>0</v>
      </c>
      <c r="AM1098" s="162">
        <f t="shared" si="354"/>
        <v>0</v>
      </c>
      <c r="AN1098" s="162">
        <f t="shared" si="354"/>
        <v>0</v>
      </c>
      <c r="AO1098" s="162">
        <f t="shared" si="354"/>
        <v>0</v>
      </c>
      <c r="AP1098" s="162">
        <f t="shared" si="354"/>
        <v>0</v>
      </c>
      <c r="AQ1098" s="162">
        <f t="shared" si="354"/>
        <v>0</v>
      </c>
      <c r="AR1098" s="163">
        <f t="shared" si="346"/>
        <v>0</v>
      </c>
      <c r="AT1098" s="208">
        <f>IFERROR(VLOOKUP(J1098,#REF!,10,0),0)</f>
        <v>0</v>
      </c>
    </row>
    <row r="1099" spans="1:46" hidden="1" outlineLevel="1" x14ac:dyDescent="0.25">
      <c r="A1099" s="14" t="str">
        <f t="shared" si="349"/>
        <v>PROP_OPER__37</v>
      </c>
      <c r="B1099" s="15" t="str">
        <f t="shared" si="341"/>
        <v>PROP_OPER__0_0</v>
      </c>
      <c r="C1099" s="83"/>
      <c r="D1099" s="15">
        <v>1</v>
      </c>
      <c r="E1099" s="15">
        <v>37</v>
      </c>
      <c r="F1099" s="190">
        <f t="shared" si="352"/>
        <v>0</v>
      </c>
      <c r="G1099" s="149" t="str">
        <f t="shared" si="352"/>
        <v/>
      </c>
      <c r="H1099" s="150" t="str">
        <f t="shared" si="352"/>
        <v/>
      </c>
      <c r="I1099" s="150">
        <f t="shared" si="352"/>
        <v>0</v>
      </c>
      <c r="J1099" s="150">
        <f t="shared" si="352"/>
        <v>0</v>
      </c>
      <c r="K1099" s="196" t="str">
        <f t="shared" si="352"/>
        <v/>
      </c>
      <c r="L1099" s="197" t="str">
        <f t="shared" si="352"/>
        <v/>
      </c>
      <c r="M1099" s="191">
        <f t="shared" si="352"/>
        <v>0</v>
      </c>
      <c r="N1099" s="150">
        <f t="shared" si="352"/>
        <v>0</v>
      </c>
      <c r="O1099" s="193">
        <f t="shared" si="352"/>
        <v>0</v>
      </c>
      <c r="P1099" s="162">
        <f t="shared" si="353"/>
        <v>0</v>
      </c>
      <c r="Q1099" s="162">
        <f t="shared" si="353"/>
        <v>0</v>
      </c>
      <c r="R1099" s="162">
        <f t="shared" si="353"/>
        <v>0</v>
      </c>
      <c r="S1099" s="162">
        <f t="shared" si="353"/>
        <v>0</v>
      </c>
      <c r="T1099" s="162">
        <f t="shared" si="353"/>
        <v>0</v>
      </c>
      <c r="U1099" s="162">
        <f t="shared" si="353"/>
        <v>0</v>
      </c>
      <c r="V1099" s="162">
        <f t="shared" si="353"/>
        <v>0</v>
      </c>
      <c r="W1099" s="162">
        <f t="shared" si="353"/>
        <v>0</v>
      </c>
      <c r="X1099" s="162">
        <f t="shared" si="353"/>
        <v>0</v>
      </c>
      <c r="Y1099" s="162">
        <f t="shared" si="353"/>
        <v>0</v>
      </c>
      <c r="Z1099" s="162">
        <f t="shared" si="353"/>
        <v>0</v>
      </c>
      <c r="AA1099" s="162">
        <f t="shared" si="353"/>
        <v>0</v>
      </c>
      <c r="AB1099" s="163">
        <f t="shared" si="344"/>
        <v>0</v>
      </c>
      <c r="AC1099" s="198"/>
      <c r="AE1099" s="194" t="str">
        <f t="shared" si="347"/>
        <v/>
      </c>
      <c r="AF1099" s="161">
        <f t="shared" si="354"/>
        <v>0</v>
      </c>
      <c r="AG1099" s="162">
        <f t="shared" si="354"/>
        <v>0</v>
      </c>
      <c r="AH1099" s="162">
        <f t="shared" si="354"/>
        <v>0</v>
      </c>
      <c r="AI1099" s="162">
        <f t="shared" si="354"/>
        <v>0</v>
      </c>
      <c r="AJ1099" s="162">
        <f t="shared" si="354"/>
        <v>0</v>
      </c>
      <c r="AK1099" s="162">
        <f t="shared" si="354"/>
        <v>0</v>
      </c>
      <c r="AL1099" s="162">
        <f t="shared" si="354"/>
        <v>0</v>
      </c>
      <c r="AM1099" s="162">
        <f t="shared" si="354"/>
        <v>0</v>
      </c>
      <c r="AN1099" s="162">
        <f t="shared" si="354"/>
        <v>0</v>
      </c>
      <c r="AO1099" s="162">
        <f t="shared" si="354"/>
        <v>0</v>
      </c>
      <c r="AP1099" s="162">
        <f t="shared" si="354"/>
        <v>0</v>
      </c>
      <c r="AQ1099" s="162">
        <f t="shared" si="354"/>
        <v>0</v>
      </c>
      <c r="AR1099" s="163">
        <f t="shared" si="346"/>
        <v>0</v>
      </c>
      <c r="AT1099" s="208">
        <f>IFERROR(VLOOKUP(J1099,#REF!,10,0),0)</f>
        <v>0</v>
      </c>
    </row>
    <row r="1100" spans="1:46" hidden="1" outlineLevel="1" x14ac:dyDescent="0.25">
      <c r="A1100" s="14" t="str">
        <f t="shared" si="349"/>
        <v>PROP_OPER__38</v>
      </c>
      <c r="B1100" s="15" t="str">
        <f t="shared" si="341"/>
        <v>PROP_OPER__0_0</v>
      </c>
      <c r="C1100" s="83"/>
      <c r="D1100" s="15">
        <v>1</v>
      </c>
      <c r="E1100" s="15">
        <v>38</v>
      </c>
      <c r="F1100" s="190">
        <f t="shared" si="352"/>
        <v>0</v>
      </c>
      <c r="G1100" s="149" t="str">
        <f t="shared" si="352"/>
        <v/>
      </c>
      <c r="H1100" s="150" t="str">
        <f t="shared" si="352"/>
        <v/>
      </c>
      <c r="I1100" s="150">
        <f t="shared" si="352"/>
        <v>0</v>
      </c>
      <c r="J1100" s="150">
        <f t="shared" si="352"/>
        <v>0</v>
      </c>
      <c r="K1100" s="196" t="str">
        <f t="shared" si="352"/>
        <v/>
      </c>
      <c r="L1100" s="197" t="str">
        <f t="shared" si="352"/>
        <v/>
      </c>
      <c r="M1100" s="191">
        <f t="shared" si="352"/>
        <v>0</v>
      </c>
      <c r="N1100" s="150">
        <f t="shared" si="352"/>
        <v>0</v>
      </c>
      <c r="O1100" s="193">
        <f t="shared" si="352"/>
        <v>0</v>
      </c>
      <c r="P1100" s="162">
        <f t="shared" si="353"/>
        <v>0</v>
      </c>
      <c r="Q1100" s="162">
        <f t="shared" si="353"/>
        <v>0</v>
      </c>
      <c r="R1100" s="162">
        <f t="shared" si="353"/>
        <v>0</v>
      </c>
      <c r="S1100" s="162">
        <f t="shared" si="353"/>
        <v>0</v>
      </c>
      <c r="T1100" s="162">
        <f t="shared" si="353"/>
        <v>0</v>
      </c>
      <c r="U1100" s="162">
        <f t="shared" si="353"/>
        <v>0</v>
      </c>
      <c r="V1100" s="162">
        <f t="shared" si="353"/>
        <v>0</v>
      </c>
      <c r="W1100" s="162">
        <f t="shared" si="353"/>
        <v>0</v>
      </c>
      <c r="X1100" s="162">
        <f t="shared" si="353"/>
        <v>0</v>
      </c>
      <c r="Y1100" s="162">
        <f t="shared" si="353"/>
        <v>0</v>
      </c>
      <c r="Z1100" s="162">
        <f t="shared" si="353"/>
        <v>0</v>
      </c>
      <c r="AA1100" s="162">
        <f t="shared" si="353"/>
        <v>0</v>
      </c>
      <c r="AB1100" s="163">
        <f t="shared" si="344"/>
        <v>0</v>
      </c>
      <c r="AC1100" s="198"/>
      <c r="AE1100" s="194" t="str">
        <f t="shared" si="347"/>
        <v/>
      </c>
      <c r="AF1100" s="161">
        <f t="shared" si="354"/>
        <v>0</v>
      </c>
      <c r="AG1100" s="162">
        <f t="shared" si="354"/>
        <v>0</v>
      </c>
      <c r="AH1100" s="162">
        <f t="shared" si="354"/>
        <v>0</v>
      </c>
      <c r="AI1100" s="162">
        <f t="shared" si="354"/>
        <v>0</v>
      </c>
      <c r="AJ1100" s="162">
        <f t="shared" si="354"/>
        <v>0</v>
      </c>
      <c r="AK1100" s="162">
        <f t="shared" si="354"/>
        <v>0</v>
      </c>
      <c r="AL1100" s="162">
        <f t="shared" si="354"/>
        <v>0</v>
      </c>
      <c r="AM1100" s="162">
        <f t="shared" si="354"/>
        <v>0</v>
      </c>
      <c r="AN1100" s="162">
        <f t="shared" si="354"/>
        <v>0</v>
      </c>
      <c r="AO1100" s="162">
        <f t="shared" si="354"/>
        <v>0</v>
      </c>
      <c r="AP1100" s="162">
        <f t="shared" si="354"/>
        <v>0</v>
      </c>
      <c r="AQ1100" s="162">
        <f t="shared" si="354"/>
        <v>0</v>
      </c>
      <c r="AR1100" s="163">
        <f t="shared" si="346"/>
        <v>0</v>
      </c>
      <c r="AT1100" s="208">
        <f>IFERROR(VLOOKUP(J1100,#REF!,10,0),0)</f>
        <v>0</v>
      </c>
    </row>
    <row r="1101" spans="1:46" hidden="1" outlineLevel="1" x14ac:dyDescent="0.25">
      <c r="A1101" s="14" t="str">
        <f t="shared" si="349"/>
        <v>PROP_OPER__39</v>
      </c>
      <c r="B1101" s="15" t="str">
        <f t="shared" si="341"/>
        <v>PROP_OPER__0_0</v>
      </c>
      <c r="C1101" s="83"/>
      <c r="D1101" s="15">
        <v>1</v>
      </c>
      <c r="E1101" s="15">
        <v>39</v>
      </c>
      <c r="F1101" s="190">
        <f t="shared" si="352"/>
        <v>0</v>
      </c>
      <c r="G1101" s="149" t="str">
        <f t="shared" si="352"/>
        <v/>
      </c>
      <c r="H1101" s="150" t="str">
        <f t="shared" si="352"/>
        <v/>
      </c>
      <c r="I1101" s="150">
        <f t="shared" si="352"/>
        <v>0</v>
      </c>
      <c r="J1101" s="150">
        <f t="shared" si="352"/>
        <v>0</v>
      </c>
      <c r="K1101" s="196" t="str">
        <f t="shared" si="352"/>
        <v/>
      </c>
      <c r="L1101" s="197" t="str">
        <f t="shared" si="352"/>
        <v/>
      </c>
      <c r="M1101" s="191">
        <f t="shared" si="352"/>
        <v>0</v>
      </c>
      <c r="N1101" s="150">
        <f t="shared" si="352"/>
        <v>0</v>
      </c>
      <c r="O1101" s="193">
        <f t="shared" si="352"/>
        <v>0</v>
      </c>
      <c r="P1101" s="162">
        <f t="shared" si="353"/>
        <v>0</v>
      </c>
      <c r="Q1101" s="162">
        <f t="shared" si="353"/>
        <v>0</v>
      </c>
      <c r="R1101" s="162">
        <f t="shared" si="353"/>
        <v>0</v>
      </c>
      <c r="S1101" s="162">
        <f t="shared" si="353"/>
        <v>0</v>
      </c>
      <c r="T1101" s="162">
        <f t="shared" si="353"/>
        <v>0</v>
      </c>
      <c r="U1101" s="162">
        <f t="shared" si="353"/>
        <v>0</v>
      </c>
      <c r="V1101" s="162">
        <f t="shared" si="353"/>
        <v>0</v>
      </c>
      <c r="W1101" s="162">
        <f t="shared" si="353"/>
        <v>0</v>
      </c>
      <c r="X1101" s="162">
        <f t="shared" si="353"/>
        <v>0</v>
      </c>
      <c r="Y1101" s="162">
        <f t="shared" si="353"/>
        <v>0</v>
      </c>
      <c r="Z1101" s="162">
        <f t="shared" si="353"/>
        <v>0</v>
      </c>
      <c r="AA1101" s="162">
        <f t="shared" si="353"/>
        <v>0</v>
      </c>
      <c r="AB1101" s="163">
        <f t="shared" si="344"/>
        <v>0</v>
      </c>
      <c r="AC1101" s="198"/>
      <c r="AE1101" s="194" t="str">
        <f t="shared" si="347"/>
        <v/>
      </c>
      <c r="AF1101" s="161">
        <f t="shared" si="354"/>
        <v>0</v>
      </c>
      <c r="AG1101" s="162">
        <f t="shared" si="354"/>
        <v>0</v>
      </c>
      <c r="AH1101" s="162">
        <f t="shared" si="354"/>
        <v>0</v>
      </c>
      <c r="AI1101" s="162">
        <f t="shared" si="354"/>
        <v>0</v>
      </c>
      <c r="AJ1101" s="162">
        <f t="shared" si="354"/>
        <v>0</v>
      </c>
      <c r="AK1101" s="162">
        <f t="shared" si="354"/>
        <v>0</v>
      </c>
      <c r="AL1101" s="162">
        <f t="shared" si="354"/>
        <v>0</v>
      </c>
      <c r="AM1101" s="162">
        <f t="shared" si="354"/>
        <v>0</v>
      </c>
      <c r="AN1101" s="162">
        <f t="shared" si="354"/>
        <v>0</v>
      </c>
      <c r="AO1101" s="162">
        <f t="shared" si="354"/>
        <v>0</v>
      </c>
      <c r="AP1101" s="162">
        <f t="shared" si="354"/>
        <v>0</v>
      </c>
      <c r="AQ1101" s="162">
        <f t="shared" si="354"/>
        <v>0</v>
      </c>
      <c r="AR1101" s="163">
        <f t="shared" si="346"/>
        <v>0</v>
      </c>
      <c r="AT1101" s="208">
        <f>IFERROR(VLOOKUP(J1101,#REF!,10,0),0)</f>
        <v>0</v>
      </c>
    </row>
    <row r="1102" spans="1:46" hidden="1" outlineLevel="1" x14ac:dyDescent="0.25">
      <c r="A1102" s="14" t="str">
        <f t="shared" si="349"/>
        <v>PROP_OPER__40</v>
      </c>
      <c r="B1102" s="15" t="str">
        <f t="shared" si="341"/>
        <v>PROP_OPER__0_0</v>
      </c>
      <c r="C1102" s="83"/>
      <c r="D1102" s="15">
        <v>1</v>
      </c>
      <c r="E1102" s="15">
        <v>40</v>
      </c>
      <c r="F1102" s="190">
        <f t="shared" si="352"/>
        <v>0</v>
      </c>
      <c r="G1102" s="149" t="str">
        <f t="shared" si="352"/>
        <v/>
      </c>
      <c r="H1102" s="150" t="str">
        <f t="shared" si="352"/>
        <v/>
      </c>
      <c r="I1102" s="150">
        <f t="shared" si="352"/>
        <v>0</v>
      </c>
      <c r="J1102" s="150">
        <f t="shared" si="352"/>
        <v>0</v>
      </c>
      <c r="K1102" s="196" t="str">
        <f t="shared" si="352"/>
        <v/>
      </c>
      <c r="L1102" s="197" t="str">
        <f t="shared" si="352"/>
        <v/>
      </c>
      <c r="M1102" s="191">
        <f t="shared" si="352"/>
        <v>0</v>
      </c>
      <c r="N1102" s="150">
        <f t="shared" si="352"/>
        <v>0</v>
      </c>
      <c r="O1102" s="193">
        <f t="shared" si="352"/>
        <v>0</v>
      </c>
      <c r="P1102" s="162">
        <f t="shared" si="353"/>
        <v>0</v>
      </c>
      <c r="Q1102" s="162">
        <f t="shared" si="353"/>
        <v>0</v>
      </c>
      <c r="R1102" s="162">
        <f t="shared" si="353"/>
        <v>0</v>
      </c>
      <c r="S1102" s="162">
        <f t="shared" si="353"/>
        <v>0</v>
      </c>
      <c r="T1102" s="162">
        <f t="shared" si="353"/>
        <v>0</v>
      </c>
      <c r="U1102" s="162">
        <f t="shared" si="353"/>
        <v>0</v>
      </c>
      <c r="V1102" s="162">
        <f t="shared" si="353"/>
        <v>0</v>
      </c>
      <c r="W1102" s="162">
        <f t="shared" si="353"/>
        <v>0</v>
      </c>
      <c r="X1102" s="162">
        <f t="shared" si="353"/>
        <v>0</v>
      </c>
      <c r="Y1102" s="162">
        <f t="shared" si="353"/>
        <v>0</v>
      </c>
      <c r="Z1102" s="162">
        <f t="shared" si="353"/>
        <v>0</v>
      </c>
      <c r="AA1102" s="162">
        <f t="shared" si="353"/>
        <v>0</v>
      </c>
      <c r="AB1102" s="163">
        <f t="shared" si="344"/>
        <v>0</v>
      </c>
      <c r="AC1102" s="198"/>
      <c r="AE1102" s="194" t="str">
        <f t="shared" si="347"/>
        <v/>
      </c>
      <c r="AF1102" s="161">
        <f t="shared" si="354"/>
        <v>0</v>
      </c>
      <c r="AG1102" s="162">
        <f t="shared" si="354"/>
        <v>0</v>
      </c>
      <c r="AH1102" s="162">
        <f t="shared" si="354"/>
        <v>0</v>
      </c>
      <c r="AI1102" s="162">
        <f t="shared" si="354"/>
        <v>0</v>
      </c>
      <c r="AJ1102" s="162">
        <f t="shared" si="354"/>
        <v>0</v>
      </c>
      <c r="AK1102" s="162">
        <f t="shared" si="354"/>
        <v>0</v>
      </c>
      <c r="AL1102" s="162">
        <f t="shared" si="354"/>
        <v>0</v>
      </c>
      <c r="AM1102" s="162">
        <f t="shared" si="354"/>
        <v>0</v>
      </c>
      <c r="AN1102" s="162">
        <f t="shared" si="354"/>
        <v>0</v>
      </c>
      <c r="AO1102" s="162">
        <f t="shared" si="354"/>
        <v>0</v>
      </c>
      <c r="AP1102" s="162">
        <f t="shared" si="354"/>
        <v>0</v>
      </c>
      <c r="AQ1102" s="162">
        <f t="shared" si="354"/>
        <v>0</v>
      </c>
      <c r="AR1102" s="163">
        <f t="shared" si="346"/>
        <v>0</v>
      </c>
      <c r="AT1102" s="208">
        <f>IFERROR(VLOOKUP(J1102,#REF!,10,0),0)</f>
        <v>0</v>
      </c>
    </row>
    <row r="1103" spans="1:46" hidden="1" outlineLevel="1" x14ac:dyDescent="0.25">
      <c r="A1103" s="14" t="str">
        <f t="shared" si="349"/>
        <v>PROP_OPER__41</v>
      </c>
      <c r="B1103" s="15" t="str">
        <f t="shared" si="341"/>
        <v>PROP_OPER__0_0</v>
      </c>
      <c r="C1103" s="83"/>
      <c r="D1103" s="15">
        <v>1</v>
      </c>
      <c r="E1103" s="15">
        <v>41</v>
      </c>
      <c r="F1103" s="190">
        <f t="shared" si="352"/>
        <v>0</v>
      </c>
      <c r="G1103" s="149" t="str">
        <f t="shared" si="352"/>
        <v/>
      </c>
      <c r="H1103" s="150" t="str">
        <f t="shared" si="352"/>
        <v/>
      </c>
      <c r="I1103" s="150">
        <f t="shared" si="352"/>
        <v>0</v>
      </c>
      <c r="J1103" s="150">
        <f t="shared" si="352"/>
        <v>0</v>
      </c>
      <c r="K1103" s="196" t="str">
        <f t="shared" si="352"/>
        <v/>
      </c>
      <c r="L1103" s="197" t="str">
        <f t="shared" si="352"/>
        <v/>
      </c>
      <c r="M1103" s="191">
        <f t="shared" si="352"/>
        <v>0</v>
      </c>
      <c r="N1103" s="150">
        <f t="shared" si="352"/>
        <v>0</v>
      </c>
      <c r="O1103" s="193">
        <f t="shared" si="352"/>
        <v>0</v>
      </c>
      <c r="P1103" s="162">
        <f t="shared" si="353"/>
        <v>0</v>
      </c>
      <c r="Q1103" s="162">
        <f t="shared" si="353"/>
        <v>0</v>
      </c>
      <c r="R1103" s="162">
        <f t="shared" si="353"/>
        <v>0</v>
      </c>
      <c r="S1103" s="162">
        <f t="shared" si="353"/>
        <v>0</v>
      </c>
      <c r="T1103" s="162">
        <f t="shared" si="353"/>
        <v>0</v>
      </c>
      <c r="U1103" s="162">
        <f t="shared" si="353"/>
        <v>0</v>
      </c>
      <c r="V1103" s="162">
        <f t="shared" si="353"/>
        <v>0</v>
      </c>
      <c r="W1103" s="162">
        <f t="shared" si="353"/>
        <v>0</v>
      </c>
      <c r="X1103" s="162">
        <f t="shared" si="353"/>
        <v>0</v>
      </c>
      <c r="Y1103" s="162">
        <f t="shared" si="353"/>
        <v>0</v>
      </c>
      <c r="Z1103" s="162">
        <f t="shared" si="353"/>
        <v>0</v>
      </c>
      <c r="AA1103" s="162">
        <f t="shared" si="353"/>
        <v>0</v>
      </c>
      <c r="AB1103" s="163">
        <f t="shared" si="344"/>
        <v>0</v>
      </c>
      <c r="AC1103" s="198"/>
      <c r="AE1103" s="194" t="str">
        <f t="shared" si="347"/>
        <v/>
      </c>
      <c r="AF1103" s="161">
        <f t="shared" si="354"/>
        <v>0</v>
      </c>
      <c r="AG1103" s="162">
        <f t="shared" si="354"/>
        <v>0</v>
      </c>
      <c r="AH1103" s="162">
        <f t="shared" si="354"/>
        <v>0</v>
      </c>
      <c r="AI1103" s="162">
        <f t="shared" si="354"/>
        <v>0</v>
      </c>
      <c r="AJ1103" s="162">
        <f t="shared" si="354"/>
        <v>0</v>
      </c>
      <c r="AK1103" s="162">
        <f t="shared" si="354"/>
        <v>0</v>
      </c>
      <c r="AL1103" s="162">
        <f t="shared" si="354"/>
        <v>0</v>
      </c>
      <c r="AM1103" s="162">
        <f t="shared" si="354"/>
        <v>0</v>
      </c>
      <c r="AN1103" s="162">
        <f t="shared" si="354"/>
        <v>0</v>
      </c>
      <c r="AO1103" s="162">
        <f t="shared" si="354"/>
        <v>0</v>
      </c>
      <c r="AP1103" s="162">
        <f t="shared" si="354"/>
        <v>0</v>
      </c>
      <c r="AQ1103" s="162">
        <f t="shared" si="354"/>
        <v>0</v>
      </c>
      <c r="AR1103" s="163">
        <f t="shared" si="346"/>
        <v>0</v>
      </c>
      <c r="AT1103" s="208">
        <f>IFERROR(VLOOKUP(J1103,#REF!,10,0),0)</f>
        <v>0</v>
      </c>
    </row>
    <row r="1104" spans="1:46" hidden="1" outlineLevel="1" x14ac:dyDescent="0.25">
      <c r="A1104" s="14" t="str">
        <f t="shared" si="349"/>
        <v>PROP_OPER__42</v>
      </c>
      <c r="B1104" s="15" t="str">
        <f t="shared" si="341"/>
        <v>PROP_OPER__0_0</v>
      </c>
      <c r="C1104" s="83"/>
      <c r="D1104" s="15">
        <v>1</v>
      </c>
      <c r="E1104" s="15">
        <v>42</v>
      </c>
      <c r="F1104" s="190">
        <f t="shared" si="352"/>
        <v>0</v>
      </c>
      <c r="G1104" s="149" t="str">
        <f t="shared" si="352"/>
        <v/>
      </c>
      <c r="H1104" s="150" t="str">
        <f t="shared" si="352"/>
        <v/>
      </c>
      <c r="I1104" s="150">
        <f t="shared" si="352"/>
        <v>0</v>
      </c>
      <c r="J1104" s="150">
        <f t="shared" si="352"/>
        <v>0</v>
      </c>
      <c r="K1104" s="196" t="str">
        <f t="shared" si="352"/>
        <v/>
      </c>
      <c r="L1104" s="197" t="str">
        <f t="shared" si="352"/>
        <v/>
      </c>
      <c r="M1104" s="191">
        <f t="shared" si="352"/>
        <v>0</v>
      </c>
      <c r="N1104" s="150">
        <f t="shared" si="352"/>
        <v>0</v>
      </c>
      <c r="O1104" s="193">
        <f t="shared" si="352"/>
        <v>0</v>
      </c>
      <c r="P1104" s="162">
        <f t="shared" si="353"/>
        <v>0</v>
      </c>
      <c r="Q1104" s="162">
        <f t="shared" si="353"/>
        <v>0</v>
      </c>
      <c r="R1104" s="162">
        <f t="shared" si="353"/>
        <v>0</v>
      </c>
      <c r="S1104" s="162">
        <f t="shared" si="353"/>
        <v>0</v>
      </c>
      <c r="T1104" s="162">
        <f t="shared" si="353"/>
        <v>0</v>
      </c>
      <c r="U1104" s="162">
        <f t="shared" si="353"/>
        <v>0</v>
      </c>
      <c r="V1104" s="162">
        <f t="shared" si="353"/>
        <v>0</v>
      </c>
      <c r="W1104" s="162">
        <f t="shared" si="353"/>
        <v>0</v>
      </c>
      <c r="X1104" s="162">
        <f t="shared" si="353"/>
        <v>0</v>
      </c>
      <c r="Y1104" s="162">
        <f t="shared" si="353"/>
        <v>0</v>
      </c>
      <c r="Z1104" s="162">
        <f t="shared" si="353"/>
        <v>0</v>
      </c>
      <c r="AA1104" s="162">
        <f t="shared" si="353"/>
        <v>0</v>
      </c>
      <c r="AB1104" s="163">
        <f t="shared" si="344"/>
        <v>0</v>
      </c>
      <c r="AC1104" s="198"/>
      <c r="AE1104" s="194" t="str">
        <f t="shared" si="347"/>
        <v/>
      </c>
      <c r="AF1104" s="161">
        <f t="shared" si="354"/>
        <v>0</v>
      </c>
      <c r="AG1104" s="162">
        <f t="shared" si="354"/>
        <v>0</v>
      </c>
      <c r="AH1104" s="162">
        <f t="shared" si="354"/>
        <v>0</v>
      </c>
      <c r="AI1104" s="162">
        <f t="shared" si="354"/>
        <v>0</v>
      </c>
      <c r="AJ1104" s="162">
        <f t="shared" si="354"/>
        <v>0</v>
      </c>
      <c r="AK1104" s="162">
        <f t="shared" si="354"/>
        <v>0</v>
      </c>
      <c r="AL1104" s="162">
        <f t="shared" si="354"/>
        <v>0</v>
      </c>
      <c r="AM1104" s="162">
        <f t="shared" si="354"/>
        <v>0</v>
      </c>
      <c r="AN1104" s="162">
        <f t="shared" si="354"/>
        <v>0</v>
      </c>
      <c r="AO1104" s="162">
        <f t="shared" si="354"/>
        <v>0</v>
      </c>
      <c r="AP1104" s="162">
        <f t="shared" si="354"/>
        <v>0</v>
      </c>
      <c r="AQ1104" s="162">
        <f t="shared" si="354"/>
        <v>0</v>
      </c>
      <c r="AR1104" s="163">
        <f t="shared" si="346"/>
        <v>0</v>
      </c>
      <c r="AT1104" s="208">
        <f>IFERROR(VLOOKUP(J1104,#REF!,10,0),0)</f>
        <v>0</v>
      </c>
    </row>
    <row r="1105" spans="1:46" hidden="1" outlineLevel="1" x14ac:dyDescent="0.25">
      <c r="A1105" s="14" t="str">
        <f t="shared" si="349"/>
        <v>PROP_OPER__43</v>
      </c>
      <c r="B1105" s="15" t="str">
        <f t="shared" si="341"/>
        <v>PROP_OPER__0_0</v>
      </c>
      <c r="C1105" s="83"/>
      <c r="D1105" s="15">
        <v>1</v>
      </c>
      <c r="E1105" s="15">
        <v>43</v>
      </c>
      <c r="F1105" s="190">
        <f t="shared" si="352"/>
        <v>0</v>
      </c>
      <c r="G1105" s="149" t="str">
        <f t="shared" si="352"/>
        <v/>
      </c>
      <c r="H1105" s="150" t="str">
        <f t="shared" si="352"/>
        <v/>
      </c>
      <c r="I1105" s="150">
        <f t="shared" si="352"/>
        <v>0</v>
      </c>
      <c r="J1105" s="150">
        <f t="shared" si="352"/>
        <v>0</v>
      </c>
      <c r="K1105" s="196" t="str">
        <f t="shared" si="352"/>
        <v/>
      </c>
      <c r="L1105" s="197" t="str">
        <f t="shared" si="352"/>
        <v/>
      </c>
      <c r="M1105" s="191">
        <f t="shared" si="352"/>
        <v>0</v>
      </c>
      <c r="N1105" s="150">
        <f t="shared" si="352"/>
        <v>0</v>
      </c>
      <c r="O1105" s="193">
        <f t="shared" si="352"/>
        <v>0</v>
      </c>
      <c r="P1105" s="162">
        <f t="shared" si="353"/>
        <v>0</v>
      </c>
      <c r="Q1105" s="162">
        <f t="shared" si="353"/>
        <v>0</v>
      </c>
      <c r="R1105" s="162">
        <f t="shared" si="353"/>
        <v>0</v>
      </c>
      <c r="S1105" s="162">
        <f t="shared" si="353"/>
        <v>0</v>
      </c>
      <c r="T1105" s="162">
        <f t="shared" si="353"/>
        <v>0</v>
      </c>
      <c r="U1105" s="162">
        <f t="shared" si="353"/>
        <v>0</v>
      </c>
      <c r="V1105" s="162">
        <f t="shared" si="353"/>
        <v>0</v>
      </c>
      <c r="W1105" s="162">
        <f t="shared" si="353"/>
        <v>0</v>
      </c>
      <c r="X1105" s="162">
        <f t="shared" si="353"/>
        <v>0</v>
      </c>
      <c r="Y1105" s="162">
        <f t="shared" si="353"/>
        <v>0</v>
      </c>
      <c r="Z1105" s="162">
        <f t="shared" si="353"/>
        <v>0</v>
      </c>
      <c r="AA1105" s="162">
        <f t="shared" si="353"/>
        <v>0</v>
      </c>
      <c r="AB1105" s="163">
        <f t="shared" si="344"/>
        <v>0</v>
      </c>
      <c r="AC1105" s="198"/>
      <c r="AE1105" s="194" t="str">
        <f t="shared" si="347"/>
        <v/>
      </c>
      <c r="AF1105" s="161">
        <f t="shared" si="354"/>
        <v>0</v>
      </c>
      <c r="AG1105" s="162">
        <f t="shared" si="354"/>
        <v>0</v>
      </c>
      <c r="AH1105" s="162">
        <f t="shared" si="354"/>
        <v>0</v>
      </c>
      <c r="AI1105" s="162">
        <f t="shared" si="354"/>
        <v>0</v>
      </c>
      <c r="AJ1105" s="162">
        <f t="shared" si="354"/>
        <v>0</v>
      </c>
      <c r="AK1105" s="162">
        <f t="shared" si="354"/>
        <v>0</v>
      </c>
      <c r="AL1105" s="162">
        <f t="shared" si="354"/>
        <v>0</v>
      </c>
      <c r="AM1105" s="162">
        <f t="shared" si="354"/>
        <v>0</v>
      </c>
      <c r="AN1105" s="162">
        <f t="shared" si="354"/>
        <v>0</v>
      </c>
      <c r="AO1105" s="162">
        <f t="shared" si="354"/>
        <v>0</v>
      </c>
      <c r="AP1105" s="162">
        <f t="shared" si="354"/>
        <v>0</v>
      </c>
      <c r="AQ1105" s="162">
        <f t="shared" si="354"/>
        <v>0</v>
      </c>
      <c r="AR1105" s="163">
        <f t="shared" si="346"/>
        <v>0</v>
      </c>
      <c r="AT1105" s="208">
        <f>IFERROR(VLOOKUP(J1105,#REF!,10,0),0)</f>
        <v>0</v>
      </c>
    </row>
    <row r="1106" spans="1:46" hidden="1" outlineLevel="1" x14ac:dyDescent="0.25">
      <c r="A1106" s="14" t="str">
        <f t="shared" si="349"/>
        <v>PROP_OPER__44</v>
      </c>
      <c r="B1106" s="15" t="str">
        <f t="shared" si="341"/>
        <v>PROP_OPER__0_0</v>
      </c>
      <c r="C1106" s="83"/>
      <c r="D1106" s="15">
        <v>1</v>
      </c>
      <c r="E1106" s="15">
        <v>44</v>
      </c>
      <c r="F1106" s="190">
        <f t="shared" si="352"/>
        <v>0</v>
      </c>
      <c r="G1106" s="149" t="str">
        <f t="shared" si="352"/>
        <v/>
      </c>
      <c r="H1106" s="150" t="str">
        <f t="shared" si="352"/>
        <v/>
      </c>
      <c r="I1106" s="150">
        <f t="shared" si="352"/>
        <v>0</v>
      </c>
      <c r="J1106" s="150">
        <f t="shared" si="352"/>
        <v>0</v>
      </c>
      <c r="K1106" s="196" t="str">
        <f t="shared" si="352"/>
        <v/>
      </c>
      <c r="L1106" s="197" t="str">
        <f t="shared" si="352"/>
        <v/>
      </c>
      <c r="M1106" s="191">
        <f t="shared" si="352"/>
        <v>0</v>
      </c>
      <c r="N1106" s="150">
        <f t="shared" si="352"/>
        <v>0</v>
      </c>
      <c r="O1106" s="193">
        <f t="shared" si="352"/>
        <v>0</v>
      </c>
      <c r="P1106" s="162">
        <f t="shared" si="353"/>
        <v>0</v>
      </c>
      <c r="Q1106" s="162">
        <f t="shared" si="353"/>
        <v>0</v>
      </c>
      <c r="R1106" s="162">
        <f t="shared" si="353"/>
        <v>0</v>
      </c>
      <c r="S1106" s="162">
        <f t="shared" si="353"/>
        <v>0</v>
      </c>
      <c r="T1106" s="162">
        <f t="shared" si="353"/>
        <v>0</v>
      </c>
      <c r="U1106" s="162">
        <f t="shared" si="353"/>
        <v>0</v>
      </c>
      <c r="V1106" s="162">
        <f t="shared" si="353"/>
        <v>0</v>
      </c>
      <c r="W1106" s="162">
        <f t="shared" si="353"/>
        <v>0</v>
      </c>
      <c r="X1106" s="162">
        <f t="shared" si="353"/>
        <v>0</v>
      </c>
      <c r="Y1106" s="162">
        <f t="shared" si="353"/>
        <v>0</v>
      </c>
      <c r="Z1106" s="162">
        <f t="shared" si="353"/>
        <v>0</v>
      </c>
      <c r="AA1106" s="162">
        <f t="shared" si="353"/>
        <v>0</v>
      </c>
      <c r="AB1106" s="163">
        <f t="shared" si="344"/>
        <v>0</v>
      </c>
      <c r="AC1106" s="198"/>
      <c r="AE1106" s="194" t="str">
        <f t="shared" si="347"/>
        <v/>
      </c>
      <c r="AF1106" s="161">
        <f t="shared" si="354"/>
        <v>0</v>
      </c>
      <c r="AG1106" s="162">
        <f t="shared" si="354"/>
        <v>0</v>
      </c>
      <c r="AH1106" s="162">
        <f t="shared" si="354"/>
        <v>0</v>
      </c>
      <c r="AI1106" s="162">
        <f t="shared" si="354"/>
        <v>0</v>
      </c>
      <c r="AJ1106" s="162">
        <f t="shared" si="354"/>
        <v>0</v>
      </c>
      <c r="AK1106" s="162">
        <f t="shared" si="354"/>
        <v>0</v>
      </c>
      <c r="AL1106" s="162">
        <f t="shared" si="354"/>
        <v>0</v>
      </c>
      <c r="AM1106" s="162">
        <f t="shared" si="354"/>
        <v>0</v>
      </c>
      <c r="AN1106" s="162">
        <f t="shared" si="354"/>
        <v>0</v>
      </c>
      <c r="AO1106" s="162">
        <f t="shared" si="354"/>
        <v>0</v>
      </c>
      <c r="AP1106" s="162">
        <f t="shared" si="354"/>
        <v>0</v>
      </c>
      <c r="AQ1106" s="162">
        <f t="shared" si="354"/>
        <v>0</v>
      </c>
      <c r="AR1106" s="163">
        <f t="shared" si="346"/>
        <v>0</v>
      </c>
      <c r="AT1106" s="208">
        <f>IFERROR(VLOOKUP(J1106,#REF!,10,0),0)</f>
        <v>0</v>
      </c>
    </row>
    <row r="1107" spans="1:46" hidden="1" outlineLevel="1" x14ac:dyDescent="0.25">
      <c r="A1107" s="14" t="str">
        <f t="shared" si="349"/>
        <v>PROP_OPER__45</v>
      </c>
      <c r="B1107" s="15" t="str">
        <f t="shared" si="341"/>
        <v>PROP_OPER__0_0</v>
      </c>
      <c r="C1107" s="83"/>
      <c r="D1107" s="15">
        <v>1</v>
      </c>
      <c r="E1107" s="15">
        <v>45</v>
      </c>
      <c r="F1107" s="209">
        <f t="shared" si="352"/>
        <v>0</v>
      </c>
      <c r="G1107" s="183" t="str">
        <f t="shared" si="352"/>
        <v/>
      </c>
      <c r="H1107" s="184" t="str">
        <f t="shared" si="352"/>
        <v/>
      </c>
      <c r="I1107" s="184">
        <f t="shared" si="352"/>
        <v>0</v>
      </c>
      <c r="J1107" s="184">
        <f t="shared" si="352"/>
        <v>0</v>
      </c>
      <c r="K1107" s="210" t="str">
        <f t="shared" si="352"/>
        <v/>
      </c>
      <c r="L1107" s="211" t="str">
        <f t="shared" si="352"/>
        <v/>
      </c>
      <c r="M1107" s="212">
        <f t="shared" si="352"/>
        <v>0</v>
      </c>
      <c r="N1107" s="184">
        <f t="shared" si="352"/>
        <v>0</v>
      </c>
      <c r="O1107" s="213">
        <f t="shared" si="352"/>
        <v>0</v>
      </c>
      <c r="P1107" s="175">
        <f t="shared" si="353"/>
        <v>0</v>
      </c>
      <c r="Q1107" s="175">
        <f t="shared" si="353"/>
        <v>0</v>
      </c>
      <c r="R1107" s="175">
        <f t="shared" si="353"/>
        <v>0</v>
      </c>
      <c r="S1107" s="175">
        <f t="shared" si="353"/>
        <v>0</v>
      </c>
      <c r="T1107" s="175">
        <f t="shared" si="353"/>
        <v>0</v>
      </c>
      <c r="U1107" s="175">
        <f t="shared" si="353"/>
        <v>0</v>
      </c>
      <c r="V1107" s="175">
        <f t="shared" si="353"/>
        <v>0</v>
      </c>
      <c r="W1107" s="175">
        <f t="shared" si="353"/>
        <v>0</v>
      </c>
      <c r="X1107" s="175">
        <f t="shared" si="353"/>
        <v>0</v>
      </c>
      <c r="Y1107" s="175">
        <f t="shared" si="353"/>
        <v>0</v>
      </c>
      <c r="Z1107" s="175">
        <f t="shared" si="353"/>
        <v>0</v>
      </c>
      <c r="AA1107" s="175">
        <f t="shared" si="353"/>
        <v>0</v>
      </c>
      <c r="AB1107" s="176">
        <f t="shared" si="344"/>
        <v>0</v>
      </c>
      <c r="AC1107" s="172"/>
      <c r="AE1107" s="195" t="str">
        <f t="shared" si="347"/>
        <v/>
      </c>
      <c r="AF1107" s="174">
        <f t="shared" si="354"/>
        <v>0</v>
      </c>
      <c r="AG1107" s="175">
        <f t="shared" si="354"/>
        <v>0</v>
      </c>
      <c r="AH1107" s="175">
        <f t="shared" si="354"/>
        <v>0</v>
      </c>
      <c r="AI1107" s="175">
        <f t="shared" si="354"/>
        <v>0</v>
      </c>
      <c r="AJ1107" s="175">
        <f t="shared" si="354"/>
        <v>0</v>
      </c>
      <c r="AK1107" s="175">
        <f t="shared" si="354"/>
        <v>0</v>
      </c>
      <c r="AL1107" s="175">
        <f t="shared" si="354"/>
        <v>0</v>
      </c>
      <c r="AM1107" s="175">
        <f t="shared" si="354"/>
        <v>0</v>
      </c>
      <c r="AN1107" s="175">
        <f t="shared" si="354"/>
        <v>0</v>
      </c>
      <c r="AO1107" s="175">
        <f t="shared" si="354"/>
        <v>0</v>
      </c>
      <c r="AP1107" s="175">
        <f t="shared" si="354"/>
        <v>0</v>
      </c>
      <c r="AQ1107" s="175">
        <f t="shared" si="354"/>
        <v>0</v>
      </c>
      <c r="AR1107" s="176">
        <f t="shared" si="346"/>
        <v>0</v>
      </c>
      <c r="AT1107" s="208">
        <f>IFERROR(VLOOKUP(J1107,#REF!,10,0),0)</f>
        <v>0</v>
      </c>
    </row>
    <row r="1108" spans="1:46" hidden="1" outlineLevel="1" x14ac:dyDescent="0.25">
      <c r="A1108" s="14" t="str">
        <f t="shared" si="349"/>
        <v>PROP_OPER__</v>
      </c>
      <c r="F1108" s="137" t="s">
        <v>281</v>
      </c>
      <c r="G1108" s="138"/>
      <c r="H1108" s="139" t="s">
        <v>217</v>
      </c>
      <c r="I1108" s="139"/>
      <c r="J1108" s="139" t="s">
        <v>229</v>
      </c>
      <c r="K1108" s="140"/>
      <c r="L1108" s="141"/>
      <c r="M1108" s="142" t="s">
        <v>220</v>
      </c>
      <c r="N1108" s="139" t="s">
        <v>221</v>
      </c>
      <c r="O1108" s="143" t="s">
        <v>222</v>
      </c>
      <c r="P1108" s="35">
        <f t="shared" ref="P1108:AA1108" si="355">P$9</f>
        <v>46113</v>
      </c>
      <c r="Q1108" s="35">
        <f t="shared" si="355"/>
        <v>46143</v>
      </c>
      <c r="R1108" s="35">
        <f t="shared" si="355"/>
        <v>46174</v>
      </c>
      <c r="S1108" s="35">
        <f t="shared" si="355"/>
        <v>46204</v>
      </c>
      <c r="T1108" s="35">
        <f t="shared" si="355"/>
        <v>46235</v>
      </c>
      <c r="U1108" s="35">
        <f t="shared" si="355"/>
        <v>46266</v>
      </c>
      <c r="V1108" s="35">
        <f t="shared" si="355"/>
        <v>46296</v>
      </c>
      <c r="W1108" s="35">
        <f t="shared" si="355"/>
        <v>46327</v>
      </c>
      <c r="X1108" s="35">
        <f t="shared" si="355"/>
        <v>46357</v>
      </c>
      <c r="Y1108" s="35">
        <f t="shared" si="355"/>
        <v>46388</v>
      </c>
      <c r="Z1108" s="35">
        <f t="shared" si="355"/>
        <v>46419</v>
      </c>
      <c r="AA1108" s="35">
        <f t="shared" si="355"/>
        <v>46447</v>
      </c>
      <c r="AB1108" s="81" t="s">
        <v>223</v>
      </c>
      <c r="AC1108" s="82" t="s">
        <v>192</v>
      </c>
      <c r="AE1108" s="189" t="str">
        <f>"Qtde Recursos em: "&amp;F1108</f>
        <v>Qtde Recursos em: PLANTIO CONVENCIONAL - FORNECEDOR</v>
      </c>
      <c r="AF1108" s="147">
        <f>P1108</f>
        <v>46113</v>
      </c>
      <c r="AG1108" s="35">
        <f t="shared" ref="AG1108:AQ1108" si="356">Q1108</f>
        <v>46143</v>
      </c>
      <c r="AH1108" s="35">
        <f t="shared" si="356"/>
        <v>46174</v>
      </c>
      <c r="AI1108" s="35">
        <f t="shared" si="356"/>
        <v>46204</v>
      </c>
      <c r="AJ1108" s="35">
        <f t="shared" si="356"/>
        <v>46235</v>
      </c>
      <c r="AK1108" s="35">
        <f t="shared" si="356"/>
        <v>46266</v>
      </c>
      <c r="AL1108" s="35">
        <f t="shared" si="356"/>
        <v>46296</v>
      </c>
      <c r="AM1108" s="35">
        <f t="shared" si="356"/>
        <v>46327</v>
      </c>
      <c r="AN1108" s="35">
        <f t="shared" si="356"/>
        <v>46357</v>
      </c>
      <c r="AO1108" s="35">
        <f t="shared" si="356"/>
        <v>46388</v>
      </c>
      <c r="AP1108" s="35">
        <f t="shared" si="356"/>
        <v>46419</v>
      </c>
      <c r="AQ1108" s="35">
        <f t="shared" si="356"/>
        <v>46447</v>
      </c>
      <c r="AR1108" s="81" t="s">
        <v>223</v>
      </c>
      <c r="AT1108" s="189" t="s">
        <v>258</v>
      </c>
    </row>
    <row r="1109" spans="1:46" hidden="1" outlineLevel="1" x14ac:dyDescent="0.25">
      <c r="A1109" s="14" t="str">
        <f t="shared" si="349"/>
        <v>PROP_OPER__1</v>
      </c>
      <c r="B1109" s="15" t="str">
        <f t="shared" ref="B1109:B1153" si="357">"PROP_OPER_"&amp;C1109&amp;"_"&amp;F1109&amp;"_"&amp;J1109</f>
        <v>PROP_OPER__1018_0</v>
      </c>
      <c r="C1109" s="83"/>
      <c r="D1109" s="15">
        <v>1</v>
      </c>
      <c r="E1109" s="15">
        <v>1</v>
      </c>
      <c r="F1109" s="190">
        <f t="shared" ref="F1109:O1124" si="358">F1063</f>
        <v>1018</v>
      </c>
      <c r="G1109" s="149" t="str">
        <f t="shared" si="358"/>
        <v/>
      </c>
      <c r="H1109" s="150" t="str">
        <f t="shared" si="358"/>
        <v/>
      </c>
      <c r="I1109" s="150" t="str">
        <f t="shared" si="358"/>
        <v>PLANCP</v>
      </c>
      <c r="J1109" s="150">
        <f t="shared" si="358"/>
        <v>0</v>
      </c>
      <c r="K1109" s="196" t="str">
        <f t="shared" si="358"/>
        <v/>
      </c>
      <c r="L1109" s="197" t="str">
        <f t="shared" si="358"/>
        <v/>
      </c>
      <c r="M1109" s="191">
        <f t="shared" si="358"/>
        <v>0</v>
      </c>
      <c r="N1109" s="150">
        <f t="shared" si="358"/>
        <v>0</v>
      </c>
      <c r="O1109" s="193">
        <f t="shared" si="358"/>
        <v>1</v>
      </c>
      <c r="P1109" s="162">
        <f t="shared" ref="P1109:AA1122" si="359">IFERROR(SUMIF($B$483:$B$547,$C1109&amp;$I1109,P$483:P$547)/SUMIF($D$483:$D$547,$I1109,P$483:P$547)*P598,0)</f>
        <v>0</v>
      </c>
      <c r="Q1109" s="162">
        <f t="shared" si="359"/>
        <v>0</v>
      </c>
      <c r="R1109" s="162">
        <f t="shared" si="359"/>
        <v>0</v>
      </c>
      <c r="S1109" s="162">
        <f t="shared" si="359"/>
        <v>0</v>
      </c>
      <c r="T1109" s="162">
        <f t="shared" si="359"/>
        <v>0</v>
      </c>
      <c r="U1109" s="162">
        <f t="shared" si="359"/>
        <v>0</v>
      </c>
      <c r="V1109" s="162">
        <f t="shared" si="359"/>
        <v>0</v>
      </c>
      <c r="W1109" s="162">
        <f t="shared" si="359"/>
        <v>0</v>
      </c>
      <c r="X1109" s="162">
        <f t="shared" si="359"/>
        <v>0</v>
      </c>
      <c r="Y1109" s="162">
        <f t="shared" si="359"/>
        <v>0</v>
      </c>
      <c r="Z1109" s="162">
        <f t="shared" si="359"/>
        <v>0</v>
      </c>
      <c r="AA1109" s="162">
        <f t="shared" si="359"/>
        <v>0</v>
      </c>
      <c r="AB1109" s="163">
        <f t="shared" ref="AB1109:AB1153" si="360">SUM(P1109:AA1109)</f>
        <v>0</v>
      </c>
      <c r="AC1109" s="198"/>
      <c r="AE1109" s="194" t="str">
        <f>AE1063</f>
        <v/>
      </c>
      <c r="AF1109" s="161">
        <f t="shared" ref="AF1109:AQ1122" si="361">IFERROR(SUMIF($B$483:$B$547,$C1109&amp;$I1109,P$483:P$547)/SUMIF($D$483:$D$547,$I1109,P$483:P$547)*AF598,0)</f>
        <v>0</v>
      </c>
      <c r="AG1109" s="162">
        <f t="shared" si="361"/>
        <v>0</v>
      </c>
      <c r="AH1109" s="162">
        <f t="shared" si="361"/>
        <v>0</v>
      </c>
      <c r="AI1109" s="162">
        <f t="shared" si="361"/>
        <v>0</v>
      </c>
      <c r="AJ1109" s="162">
        <f t="shared" si="361"/>
        <v>0</v>
      </c>
      <c r="AK1109" s="162">
        <f t="shared" si="361"/>
        <v>0</v>
      </c>
      <c r="AL1109" s="162">
        <f t="shared" si="361"/>
        <v>0</v>
      </c>
      <c r="AM1109" s="162">
        <f t="shared" si="361"/>
        <v>0</v>
      </c>
      <c r="AN1109" s="162">
        <f t="shared" si="361"/>
        <v>0</v>
      </c>
      <c r="AO1109" s="162">
        <f t="shared" si="361"/>
        <v>0</v>
      </c>
      <c r="AP1109" s="162">
        <f t="shared" si="361"/>
        <v>0</v>
      </c>
      <c r="AQ1109" s="162">
        <f t="shared" si="361"/>
        <v>0</v>
      </c>
      <c r="AR1109" s="163">
        <f t="shared" ref="AR1109:AR1153" si="362">SUM(AF1109:AQ1109)</f>
        <v>0</v>
      </c>
      <c r="AT1109" s="207">
        <f>IFERROR(VLOOKUP(J1109,#REF!,10,0),0)</f>
        <v>0</v>
      </c>
    </row>
    <row r="1110" spans="1:46" hidden="1" outlineLevel="1" x14ac:dyDescent="0.25">
      <c r="A1110" s="14" t="str">
        <f t="shared" si="349"/>
        <v>PROP_OPER__2</v>
      </c>
      <c r="B1110" s="15" t="str">
        <f t="shared" si="357"/>
        <v>PROP_OPER__1023_0</v>
      </c>
      <c r="C1110" s="83"/>
      <c r="D1110" s="15">
        <v>1</v>
      </c>
      <c r="E1110" s="15">
        <v>2</v>
      </c>
      <c r="F1110" s="190">
        <f t="shared" si="358"/>
        <v>1023</v>
      </c>
      <c r="G1110" s="149" t="str">
        <f t="shared" si="358"/>
        <v/>
      </c>
      <c r="H1110" s="150" t="str">
        <f t="shared" si="358"/>
        <v/>
      </c>
      <c r="I1110" s="150" t="str">
        <f t="shared" si="358"/>
        <v>PLANCP</v>
      </c>
      <c r="J1110" s="150">
        <f t="shared" si="358"/>
        <v>0</v>
      </c>
      <c r="K1110" s="196" t="str">
        <f t="shared" si="358"/>
        <v/>
      </c>
      <c r="L1110" s="197" t="str">
        <f t="shared" si="358"/>
        <v/>
      </c>
      <c r="M1110" s="191">
        <f t="shared" si="358"/>
        <v>0</v>
      </c>
      <c r="N1110" s="150">
        <f t="shared" si="358"/>
        <v>0</v>
      </c>
      <c r="O1110" s="193">
        <f t="shared" si="358"/>
        <v>1</v>
      </c>
      <c r="P1110" s="162">
        <f t="shared" si="359"/>
        <v>0</v>
      </c>
      <c r="Q1110" s="162">
        <f t="shared" si="359"/>
        <v>0</v>
      </c>
      <c r="R1110" s="162">
        <f t="shared" si="359"/>
        <v>0</v>
      </c>
      <c r="S1110" s="162">
        <f t="shared" si="359"/>
        <v>0</v>
      </c>
      <c r="T1110" s="162">
        <f t="shared" si="359"/>
        <v>0</v>
      </c>
      <c r="U1110" s="162">
        <f t="shared" si="359"/>
        <v>0</v>
      </c>
      <c r="V1110" s="162">
        <f t="shared" si="359"/>
        <v>0</v>
      </c>
      <c r="W1110" s="162">
        <f t="shared" si="359"/>
        <v>0</v>
      </c>
      <c r="X1110" s="162">
        <f t="shared" si="359"/>
        <v>0</v>
      </c>
      <c r="Y1110" s="162">
        <f t="shared" si="359"/>
        <v>0</v>
      </c>
      <c r="Z1110" s="162">
        <f t="shared" si="359"/>
        <v>0</v>
      </c>
      <c r="AA1110" s="162">
        <f t="shared" si="359"/>
        <v>0</v>
      </c>
      <c r="AB1110" s="163">
        <f t="shared" si="360"/>
        <v>0</v>
      </c>
      <c r="AC1110" s="198"/>
      <c r="AE1110" s="194" t="str">
        <f t="shared" ref="AE1110:AE1153" si="363">AE1064</f>
        <v/>
      </c>
      <c r="AF1110" s="161">
        <f t="shared" si="361"/>
        <v>0</v>
      </c>
      <c r="AG1110" s="162">
        <f t="shared" si="361"/>
        <v>0</v>
      </c>
      <c r="AH1110" s="162">
        <f t="shared" si="361"/>
        <v>0</v>
      </c>
      <c r="AI1110" s="162">
        <f t="shared" si="361"/>
        <v>0</v>
      </c>
      <c r="AJ1110" s="162">
        <f t="shared" si="361"/>
        <v>0</v>
      </c>
      <c r="AK1110" s="162">
        <f t="shared" si="361"/>
        <v>0</v>
      </c>
      <c r="AL1110" s="162">
        <f t="shared" si="361"/>
        <v>0</v>
      </c>
      <c r="AM1110" s="162">
        <f t="shared" si="361"/>
        <v>0</v>
      </c>
      <c r="AN1110" s="162">
        <f t="shared" si="361"/>
        <v>0</v>
      </c>
      <c r="AO1110" s="162">
        <f t="shared" si="361"/>
        <v>0</v>
      </c>
      <c r="AP1110" s="162">
        <f t="shared" si="361"/>
        <v>0</v>
      </c>
      <c r="AQ1110" s="162">
        <f t="shared" si="361"/>
        <v>0</v>
      </c>
      <c r="AR1110" s="163">
        <f t="shared" si="362"/>
        <v>0</v>
      </c>
      <c r="AT1110" s="208">
        <f>IFERROR(VLOOKUP(J1110,#REF!,10,0),0)</f>
        <v>0</v>
      </c>
    </row>
    <row r="1111" spans="1:46" hidden="1" outlineLevel="1" x14ac:dyDescent="0.25">
      <c r="A1111" s="14" t="str">
        <f t="shared" si="349"/>
        <v>PROP_OPER__3</v>
      </c>
      <c r="B1111" s="15" t="str">
        <f t="shared" si="357"/>
        <v>PROP_OPER__1018_0</v>
      </c>
      <c r="C1111" s="83"/>
      <c r="D1111" s="15">
        <v>1</v>
      </c>
      <c r="E1111" s="15">
        <v>3</v>
      </c>
      <c r="F1111" s="190">
        <f t="shared" si="358"/>
        <v>1018</v>
      </c>
      <c r="G1111" s="149" t="str">
        <f t="shared" si="358"/>
        <v/>
      </c>
      <c r="H1111" s="150" t="str">
        <f t="shared" si="358"/>
        <v/>
      </c>
      <c r="I1111" s="150" t="str">
        <f t="shared" si="358"/>
        <v>PLANCF</v>
      </c>
      <c r="J1111" s="150">
        <f t="shared" si="358"/>
        <v>0</v>
      </c>
      <c r="K1111" s="196" t="str">
        <f t="shared" si="358"/>
        <v/>
      </c>
      <c r="L1111" s="197" t="str">
        <f t="shared" si="358"/>
        <v/>
      </c>
      <c r="M1111" s="191">
        <f t="shared" si="358"/>
        <v>0</v>
      </c>
      <c r="N1111" s="150">
        <f t="shared" si="358"/>
        <v>0</v>
      </c>
      <c r="O1111" s="193">
        <f t="shared" si="358"/>
        <v>1</v>
      </c>
      <c r="P1111" s="162">
        <f t="shared" si="359"/>
        <v>0</v>
      </c>
      <c r="Q1111" s="162">
        <f t="shared" si="359"/>
        <v>0</v>
      </c>
      <c r="R1111" s="162">
        <f t="shared" si="359"/>
        <v>0</v>
      </c>
      <c r="S1111" s="162">
        <f t="shared" si="359"/>
        <v>0</v>
      </c>
      <c r="T1111" s="162">
        <f t="shared" si="359"/>
        <v>0</v>
      </c>
      <c r="U1111" s="162">
        <f t="shared" si="359"/>
        <v>0</v>
      </c>
      <c r="V1111" s="162">
        <f t="shared" si="359"/>
        <v>0</v>
      </c>
      <c r="W1111" s="162">
        <f t="shared" si="359"/>
        <v>0</v>
      </c>
      <c r="X1111" s="162">
        <f t="shared" si="359"/>
        <v>0</v>
      </c>
      <c r="Y1111" s="162">
        <f t="shared" si="359"/>
        <v>0</v>
      </c>
      <c r="Z1111" s="162">
        <f t="shared" si="359"/>
        <v>0</v>
      </c>
      <c r="AA1111" s="162">
        <f t="shared" si="359"/>
        <v>0</v>
      </c>
      <c r="AB1111" s="163">
        <f t="shared" si="360"/>
        <v>0</v>
      </c>
      <c r="AC1111" s="198"/>
      <c r="AE1111" s="194" t="str">
        <f t="shared" si="363"/>
        <v/>
      </c>
      <c r="AF1111" s="161">
        <f t="shared" si="361"/>
        <v>0</v>
      </c>
      <c r="AG1111" s="162">
        <f t="shared" si="361"/>
        <v>0</v>
      </c>
      <c r="AH1111" s="162">
        <f t="shared" si="361"/>
        <v>0</v>
      </c>
      <c r="AI1111" s="162">
        <f t="shared" si="361"/>
        <v>0</v>
      </c>
      <c r="AJ1111" s="162">
        <f t="shared" si="361"/>
        <v>0</v>
      </c>
      <c r="AK1111" s="162">
        <f t="shared" si="361"/>
        <v>0</v>
      </c>
      <c r="AL1111" s="162">
        <f t="shared" si="361"/>
        <v>0</v>
      </c>
      <c r="AM1111" s="162">
        <f t="shared" si="361"/>
        <v>0</v>
      </c>
      <c r="AN1111" s="162">
        <f t="shared" si="361"/>
        <v>0</v>
      </c>
      <c r="AO1111" s="162">
        <f t="shared" si="361"/>
        <v>0</v>
      </c>
      <c r="AP1111" s="162">
        <f t="shared" si="361"/>
        <v>0</v>
      </c>
      <c r="AQ1111" s="162">
        <f t="shared" si="361"/>
        <v>0</v>
      </c>
      <c r="AR1111" s="163">
        <f t="shared" si="362"/>
        <v>0</v>
      </c>
      <c r="AT1111" s="208">
        <f>IFERROR(VLOOKUP(J1111,#REF!,10,0),0)</f>
        <v>0</v>
      </c>
    </row>
    <row r="1112" spans="1:46" hidden="1" outlineLevel="1" x14ac:dyDescent="0.25">
      <c r="A1112" s="14" t="str">
        <f t="shared" si="349"/>
        <v>PROP_OPER__4</v>
      </c>
      <c r="B1112" s="15" t="str">
        <f t="shared" si="357"/>
        <v>PROP_OPER__1023_0</v>
      </c>
      <c r="C1112" s="83"/>
      <c r="D1112" s="15">
        <v>1</v>
      </c>
      <c r="E1112" s="15">
        <v>4</v>
      </c>
      <c r="F1112" s="190">
        <f t="shared" si="358"/>
        <v>1023</v>
      </c>
      <c r="G1112" s="149" t="str">
        <f t="shared" si="358"/>
        <v/>
      </c>
      <c r="H1112" s="150" t="str">
        <f t="shared" si="358"/>
        <v/>
      </c>
      <c r="I1112" s="150" t="str">
        <f t="shared" si="358"/>
        <v>PLANCF</v>
      </c>
      <c r="J1112" s="150">
        <f t="shared" si="358"/>
        <v>0</v>
      </c>
      <c r="K1112" s="196" t="str">
        <f t="shared" si="358"/>
        <v/>
      </c>
      <c r="L1112" s="197" t="str">
        <f t="shared" si="358"/>
        <v/>
      </c>
      <c r="M1112" s="191">
        <f t="shared" si="358"/>
        <v>0</v>
      </c>
      <c r="N1112" s="150">
        <f t="shared" si="358"/>
        <v>0</v>
      </c>
      <c r="O1112" s="193">
        <f t="shared" si="358"/>
        <v>1</v>
      </c>
      <c r="P1112" s="162">
        <f t="shared" si="359"/>
        <v>0</v>
      </c>
      <c r="Q1112" s="162">
        <f t="shared" si="359"/>
        <v>0</v>
      </c>
      <c r="R1112" s="162">
        <f t="shared" si="359"/>
        <v>0</v>
      </c>
      <c r="S1112" s="162">
        <f t="shared" si="359"/>
        <v>0</v>
      </c>
      <c r="T1112" s="162">
        <f t="shared" si="359"/>
        <v>0</v>
      </c>
      <c r="U1112" s="162">
        <f t="shared" si="359"/>
        <v>0</v>
      </c>
      <c r="V1112" s="162">
        <f t="shared" si="359"/>
        <v>0</v>
      </c>
      <c r="W1112" s="162">
        <f t="shared" si="359"/>
        <v>0</v>
      </c>
      <c r="X1112" s="162">
        <f t="shared" si="359"/>
        <v>0</v>
      </c>
      <c r="Y1112" s="162">
        <f t="shared" si="359"/>
        <v>0</v>
      </c>
      <c r="Z1112" s="162">
        <f t="shared" si="359"/>
        <v>0</v>
      </c>
      <c r="AA1112" s="162">
        <f t="shared" si="359"/>
        <v>0</v>
      </c>
      <c r="AB1112" s="163">
        <f t="shared" si="360"/>
        <v>0</v>
      </c>
      <c r="AC1112" s="159"/>
      <c r="AE1112" s="194" t="str">
        <f t="shared" si="363"/>
        <v/>
      </c>
      <c r="AF1112" s="161">
        <f t="shared" si="361"/>
        <v>0</v>
      </c>
      <c r="AG1112" s="162">
        <f t="shared" si="361"/>
        <v>0</v>
      </c>
      <c r="AH1112" s="162">
        <f t="shared" si="361"/>
        <v>0</v>
      </c>
      <c r="AI1112" s="162">
        <f t="shared" si="361"/>
        <v>0</v>
      </c>
      <c r="AJ1112" s="162">
        <f t="shared" si="361"/>
        <v>0</v>
      </c>
      <c r="AK1112" s="162">
        <f t="shared" si="361"/>
        <v>0</v>
      </c>
      <c r="AL1112" s="162">
        <f t="shared" si="361"/>
        <v>0</v>
      </c>
      <c r="AM1112" s="162">
        <f t="shared" si="361"/>
        <v>0</v>
      </c>
      <c r="AN1112" s="162">
        <f t="shared" si="361"/>
        <v>0</v>
      </c>
      <c r="AO1112" s="162">
        <f t="shared" si="361"/>
        <v>0</v>
      </c>
      <c r="AP1112" s="162">
        <f t="shared" si="361"/>
        <v>0</v>
      </c>
      <c r="AQ1112" s="162">
        <f t="shared" si="361"/>
        <v>0</v>
      </c>
      <c r="AR1112" s="163">
        <f t="shared" si="362"/>
        <v>0</v>
      </c>
      <c r="AT1112" s="208">
        <f>IFERROR(VLOOKUP(J1112,#REF!,10,0),0)</f>
        <v>0</v>
      </c>
    </row>
    <row r="1113" spans="1:46" hidden="1" outlineLevel="1" x14ac:dyDescent="0.25">
      <c r="A1113" s="14" t="str">
        <f t="shared" si="349"/>
        <v>PROP_OPER__5</v>
      </c>
      <c r="B1113" s="15" t="str">
        <f t="shared" si="357"/>
        <v>PROP_OPER__1044_0</v>
      </c>
      <c r="C1113" s="83"/>
      <c r="D1113" s="15">
        <v>1</v>
      </c>
      <c r="E1113" s="15">
        <v>5</v>
      </c>
      <c r="F1113" s="190">
        <f t="shared" si="358"/>
        <v>1044</v>
      </c>
      <c r="G1113" s="149" t="str">
        <f t="shared" si="358"/>
        <v/>
      </c>
      <c r="H1113" s="150" t="str">
        <f t="shared" si="358"/>
        <v/>
      </c>
      <c r="I1113" s="150" t="str">
        <f t="shared" si="358"/>
        <v>PLANMP</v>
      </c>
      <c r="J1113" s="150">
        <f t="shared" si="358"/>
        <v>0</v>
      </c>
      <c r="K1113" s="196" t="str">
        <f t="shared" si="358"/>
        <v/>
      </c>
      <c r="L1113" s="197" t="str">
        <f t="shared" si="358"/>
        <v/>
      </c>
      <c r="M1113" s="191">
        <f t="shared" si="358"/>
        <v>0</v>
      </c>
      <c r="N1113" s="150">
        <f t="shared" si="358"/>
        <v>0</v>
      </c>
      <c r="O1113" s="193">
        <f t="shared" si="358"/>
        <v>1</v>
      </c>
      <c r="P1113" s="162">
        <f t="shared" si="359"/>
        <v>0</v>
      </c>
      <c r="Q1113" s="162">
        <f t="shared" si="359"/>
        <v>0</v>
      </c>
      <c r="R1113" s="162">
        <f t="shared" si="359"/>
        <v>0</v>
      </c>
      <c r="S1113" s="162">
        <f t="shared" si="359"/>
        <v>0</v>
      </c>
      <c r="T1113" s="162">
        <f t="shared" si="359"/>
        <v>0</v>
      </c>
      <c r="U1113" s="162">
        <f t="shared" si="359"/>
        <v>0</v>
      </c>
      <c r="V1113" s="162">
        <f t="shared" si="359"/>
        <v>0</v>
      </c>
      <c r="W1113" s="162">
        <f t="shared" si="359"/>
        <v>0</v>
      </c>
      <c r="X1113" s="162">
        <f t="shared" si="359"/>
        <v>0</v>
      </c>
      <c r="Y1113" s="162">
        <f t="shared" si="359"/>
        <v>0</v>
      </c>
      <c r="Z1113" s="162">
        <f t="shared" si="359"/>
        <v>0</v>
      </c>
      <c r="AA1113" s="162">
        <f t="shared" si="359"/>
        <v>0</v>
      </c>
      <c r="AB1113" s="163">
        <f t="shared" si="360"/>
        <v>0</v>
      </c>
      <c r="AC1113" s="159"/>
      <c r="AE1113" s="194" t="str">
        <f t="shared" si="363"/>
        <v/>
      </c>
      <c r="AF1113" s="161">
        <f t="shared" si="361"/>
        <v>0</v>
      </c>
      <c r="AG1113" s="162">
        <f t="shared" si="361"/>
        <v>0</v>
      </c>
      <c r="AH1113" s="162">
        <f t="shared" si="361"/>
        <v>0</v>
      </c>
      <c r="AI1113" s="162">
        <f t="shared" si="361"/>
        <v>0</v>
      </c>
      <c r="AJ1113" s="162">
        <f t="shared" si="361"/>
        <v>0</v>
      </c>
      <c r="AK1113" s="162">
        <f t="shared" si="361"/>
        <v>0</v>
      </c>
      <c r="AL1113" s="162">
        <f t="shared" si="361"/>
        <v>0</v>
      </c>
      <c r="AM1113" s="162">
        <f t="shared" si="361"/>
        <v>0</v>
      </c>
      <c r="AN1113" s="162">
        <f t="shared" si="361"/>
        <v>0</v>
      </c>
      <c r="AO1113" s="162">
        <f t="shared" si="361"/>
        <v>0</v>
      </c>
      <c r="AP1113" s="162">
        <f t="shared" si="361"/>
        <v>0</v>
      </c>
      <c r="AQ1113" s="162">
        <f t="shared" si="361"/>
        <v>0</v>
      </c>
      <c r="AR1113" s="163">
        <f t="shared" si="362"/>
        <v>0</v>
      </c>
      <c r="AT1113" s="208">
        <f>IFERROR(VLOOKUP(J1113,#REF!,10,0),0)</f>
        <v>0</v>
      </c>
    </row>
    <row r="1114" spans="1:46" hidden="1" outlineLevel="1" x14ac:dyDescent="0.25">
      <c r="A1114" s="14" t="str">
        <f t="shared" si="349"/>
        <v>PROP_OPER__6</v>
      </c>
      <c r="B1114" s="15" t="str">
        <f t="shared" si="357"/>
        <v>PROP_OPER__1033_0</v>
      </c>
      <c r="C1114" s="83"/>
      <c r="D1114" s="15">
        <v>1</v>
      </c>
      <c r="E1114" s="15">
        <v>6</v>
      </c>
      <c r="F1114" s="190">
        <f t="shared" si="358"/>
        <v>1033</v>
      </c>
      <c r="G1114" s="149" t="str">
        <f t="shared" si="358"/>
        <v/>
      </c>
      <c r="H1114" s="150" t="str">
        <f t="shared" si="358"/>
        <v/>
      </c>
      <c r="I1114" s="150" t="str">
        <f t="shared" si="358"/>
        <v>PLANCP</v>
      </c>
      <c r="J1114" s="150">
        <f t="shared" si="358"/>
        <v>0</v>
      </c>
      <c r="K1114" s="196" t="str">
        <f t="shared" si="358"/>
        <v/>
      </c>
      <c r="L1114" s="197" t="str">
        <f t="shared" si="358"/>
        <v/>
      </c>
      <c r="M1114" s="191">
        <f t="shared" si="358"/>
        <v>0</v>
      </c>
      <c r="N1114" s="150">
        <f t="shared" si="358"/>
        <v>0</v>
      </c>
      <c r="O1114" s="193">
        <f t="shared" si="358"/>
        <v>1</v>
      </c>
      <c r="P1114" s="162">
        <f t="shared" si="359"/>
        <v>0</v>
      </c>
      <c r="Q1114" s="162">
        <f t="shared" si="359"/>
        <v>0</v>
      </c>
      <c r="R1114" s="162">
        <f t="shared" si="359"/>
        <v>0</v>
      </c>
      <c r="S1114" s="162">
        <f t="shared" si="359"/>
        <v>0</v>
      </c>
      <c r="T1114" s="162">
        <f t="shared" si="359"/>
        <v>0</v>
      </c>
      <c r="U1114" s="162">
        <f t="shared" si="359"/>
        <v>0</v>
      </c>
      <c r="V1114" s="162">
        <f t="shared" si="359"/>
        <v>0</v>
      </c>
      <c r="W1114" s="162">
        <f t="shared" si="359"/>
        <v>0</v>
      </c>
      <c r="X1114" s="162">
        <f t="shared" si="359"/>
        <v>0</v>
      </c>
      <c r="Y1114" s="162">
        <f t="shared" si="359"/>
        <v>0</v>
      </c>
      <c r="Z1114" s="162">
        <f t="shared" si="359"/>
        <v>0</v>
      </c>
      <c r="AA1114" s="162">
        <f t="shared" si="359"/>
        <v>0</v>
      </c>
      <c r="AB1114" s="163">
        <f t="shared" si="360"/>
        <v>0</v>
      </c>
      <c r="AC1114" s="159"/>
      <c r="AE1114" s="194" t="str">
        <f t="shared" si="363"/>
        <v/>
      </c>
      <c r="AF1114" s="161">
        <f t="shared" si="361"/>
        <v>0</v>
      </c>
      <c r="AG1114" s="162">
        <f t="shared" si="361"/>
        <v>0</v>
      </c>
      <c r="AH1114" s="162">
        <f t="shared" si="361"/>
        <v>0</v>
      </c>
      <c r="AI1114" s="162">
        <f t="shared" si="361"/>
        <v>0</v>
      </c>
      <c r="AJ1114" s="162">
        <f t="shared" si="361"/>
        <v>0</v>
      </c>
      <c r="AK1114" s="162">
        <f t="shared" si="361"/>
        <v>0</v>
      </c>
      <c r="AL1114" s="162">
        <f t="shared" si="361"/>
        <v>0</v>
      </c>
      <c r="AM1114" s="162">
        <f t="shared" si="361"/>
        <v>0</v>
      </c>
      <c r="AN1114" s="162">
        <f t="shared" si="361"/>
        <v>0</v>
      </c>
      <c r="AO1114" s="162">
        <f t="shared" si="361"/>
        <v>0</v>
      </c>
      <c r="AP1114" s="162">
        <f t="shared" si="361"/>
        <v>0</v>
      </c>
      <c r="AQ1114" s="162">
        <f t="shared" si="361"/>
        <v>0</v>
      </c>
      <c r="AR1114" s="163">
        <f t="shared" si="362"/>
        <v>0</v>
      </c>
      <c r="AT1114" s="208">
        <f>IFERROR(VLOOKUP(J1114,#REF!,10,0),0)</f>
        <v>0</v>
      </c>
    </row>
    <row r="1115" spans="1:46" hidden="1" outlineLevel="1" x14ac:dyDescent="0.25">
      <c r="A1115" s="14" t="str">
        <f t="shared" si="349"/>
        <v>PROP_OPER__7</v>
      </c>
      <c r="B1115" s="15" t="str">
        <f t="shared" si="357"/>
        <v>PROP_OPER__0_0</v>
      </c>
      <c r="C1115" s="83"/>
      <c r="D1115" s="15">
        <v>1</v>
      </c>
      <c r="E1115" s="15">
        <v>7</v>
      </c>
      <c r="F1115" s="190">
        <f t="shared" si="358"/>
        <v>0</v>
      </c>
      <c r="G1115" s="149" t="str">
        <f t="shared" si="358"/>
        <v/>
      </c>
      <c r="H1115" s="150" t="str">
        <f t="shared" si="358"/>
        <v/>
      </c>
      <c r="I1115" s="150">
        <f t="shared" si="358"/>
        <v>0</v>
      </c>
      <c r="J1115" s="150">
        <f t="shared" si="358"/>
        <v>0</v>
      </c>
      <c r="K1115" s="196" t="str">
        <f t="shared" si="358"/>
        <v/>
      </c>
      <c r="L1115" s="197" t="str">
        <f t="shared" si="358"/>
        <v/>
      </c>
      <c r="M1115" s="191">
        <f t="shared" si="358"/>
        <v>0</v>
      </c>
      <c r="N1115" s="150">
        <f t="shared" si="358"/>
        <v>0</v>
      </c>
      <c r="O1115" s="193">
        <f t="shared" si="358"/>
        <v>0</v>
      </c>
      <c r="P1115" s="162">
        <f t="shared" si="359"/>
        <v>0</v>
      </c>
      <c r="Q1115" s="162">
        <f t="shared" si="359"/>
        <v>0</v>
      </c>
      <c r="R1115" s="162">
        <f t="shared" si="359"/>
        <v>0</v>
      </c>
      <c r="S1115" s="162">
        <f t="shared" si="359"/>
        <v>0</v>
      </c>
      <c r="T1115" s="162">
        <f t="shared" si="359"/>
        <v>0</v>
      </c>
      <c r="U1115" s="162">
        <f t="shared" si="359"/>
        <v>0</v>
      </c>
      <c r="V1115" s="162">
        <f t="shared" si="359"/>
        <v>0</v>
      </c>
      <c r="W1115" s="162">
        <f t="shared" si="359"/>
        <v>0</v>
      </c>
      <c r="X1115" s="162">
        <f t="shared" si="359"/>
        <v>0</v>
      </c>
      <c r="Y1115" s="162">
        <f t="shared" si="359"/>
        <v>0</v>
      </c>
      <c r="Z1115" s="162">
        <f t="shared" si="359"/>
        <v>0</v>
      </c>
      <c r="AA1115" s="162">
        <f t="shared" si="359"/>
        <v>0</v>
      </c>
      <c r="AB1115" s="163">
        <f t="shared" si="360"/>
        <v>0</v>
      </c>
      <c r="AC1115" s="159"/>
      <c r="AE1115" s="194" t="str">
        <f t="shared" si="363"/>
        <v/>
      </c>
      <c r="AF1115" s="161">
        <f t="shared" si="361"/>
        <v>0</v>
      </c>
      <c r="AG1115" s="162">
        <f t="shared" si="361"/>
        <v>0</v>
      </c>
      <c r="AH1115" s="162">
        <f t="shared" si="361"/>
        <v>0</v>
      </c>
      <c r="AI1115" s="162">
        <f t="shared" si="361"/>
        <v>0</v>
      </c>
      <c r="AJ1115" s="162">
        <f t="shared" si="361"/>
        <v>0</v>
      </c>
      <c r="AK1115" s="162">
        <f t="shared" si="361"/>
        <v>0</v>
      </c>
      <c r="AL1115" s="162">
        <f t="shared" si="361"/>
        <v>0</v>
      </c>
      <c r="AM1115" s="162">
        <f t="shared" si="361"/>
        <v>0</v>
      </c>
      <c r="AN1115" s="162">
        <f t="shared" si="361"/>
        <v>0</v>
      </c>
      <c r="AO1115" s="162">
        <f t="shared" si="361"/>
        <v>0</v>
      </c>
      <c r="AP1115" s="162">
        <f t="shared" si="361"/>
        <v>0</v>
      </c>
      <c r="AQ1115" s="162">
        <f t="shared" si="361"/>
        <v>0</v>
      </c>
      <c r="AR1115" s="163">
        <f t="shared" si="362"/>
        <v>0</v>
      </c>
      <c r="AT1115" s="208">
        <f>IFERROR(VLOOKUP(J1115,#REF!,10,0),0)</f>
        <v>0</v>
      </c>
    </row>
    <row r="1116" spans="1:46" hidden="1" outlineLevel="1" x14ac:dyDescent="0.25">
      <c r="A1116" s="14" t="str">
        <f t="shared" si="349"/>
        <v>PROP_OPER__8</v>
      </c>
      <c r="B1116" s="15" t="str">
        <f t="shared" si="357"/>
        <v>PROP_OPER__0_0</v>
      </c>
      <c r="C1116" s="83"/>
      <c r="D1116" s="15">
        <v>1</v>
      </c>
      <c r="E1116" s="15">
        <v>8</v>
      </c>
      <c r="F1116" s="190">
        <f t="shared" si="358"/>
        <v>0</v>
      </c>
      <c r="G1116" s="149" t="str">
        <f t="shared" si="358"/>
        <v/>
      </c>
      <c r="H1116" s="150" t="str">
        <f t="shared" si="358"/>
        <v/>
      </c>
      <c r="I1116" s="150">
        <f t="shared" si="358"/>
        <v>0</v>
      </c>
      <c r="J1116" s="150">
        <f t="shared" si="358"/>
        <v>0</v>
      </c>
      <c r="K1116" s="196" t="str">
        <f t="shared" si="358"/>
        <v/>
      </c>
      <c r="L1116" s="197" t="str">
        <f t="shared" si="358"/>
        <v/>
      </c>
      <c r="M1116" s="191">
        <f t="shared" si="358"/>
        <v>0</v>
      </c>
      <c r="N1116" s="150">
        <f t="shared" si="358"/>
        <v>0</v>
      </c>
      <c r="O1116" s="193">
        <f t="shared" si="358"/>
        <v>0</v>
      </c>
      <c r="P1116" s="162">
        <f t="shared" si="359"/>
        <v>0</v>
      </c>
      <c r="Q1116" s="162">
        <f t="shared" si="359"/>
        <v>0</v>
      </c>
      <c r="R1116" s="162">
        <f t="shared" si="359"/>
        <v>0</v>
      </c>
      <c r="S1116" s="162">
        <f t="shared" si="359"/>
        <v>0</v>
      </c>
      <c r="T1116" s="162">
        <f t="shared" si="359"/>
        <v>0</v>
      </c>
      <c r="U1116" s="162">
        <f t="shared" si="359"/>
        <v>0</v>
      </c>
      <c r="V1116" s="162">
        <f t="shared" si="359"/>
        <v>0</v>
      </c>
      <c r="W1116" s="162">
        <f t="shared" si="359"/>
        <v>0</v>
      </c>
      <c r="X1116" s="162">
        <f t="shared" si="359"/>
        <v>0</v>
      </c>
      <c r="Y1116" s="162">
        <f t="shared" si="359"/>
        <v>0</v>
      </c>
      <c r="Z1116" s="162">
        <f t="shared" si="359"/>
        <v>0</v>
      </c>
      <c r="AA1116" s="162">
        <f t="shared" si="359"/>
        <v>0</v>
      </c>
      <c r="AB1116" s="163">
        <f t="shared" si="360"/>
        <v>0</v>
      </c>
      <c r="AC1116" s="159"/>
      <c r="AE1116" s="194" t="str">
        <f t="shared" si="363"/>
        <v/>
      </c>
      <c r="AF1116" s="161">
        <f t="shared" si="361"/>
        <v>0</v>
      </c>
      <c r="AG1116" s="162">
        <f t="shared" si="361"/>
        <v>0</v>
      </c>
      <c r="AH1116" s="162">
        <f t="shared" si="361"/>
        <v>0</v>
      </c>
      <c r="AI1116" s="162">
        <f t="shared" si="361"/>
        <v>0</v>
      </c>
      <c r="AJ1116" s="162">
        <f t="shared" si="361"/>
        <v>0</v>
      </c>
      <c r="AK1116" s="162">
        <f t="shared" si="361"/>
        <v>0</v>
      </c>
      <c r="AL1116" s="162">
        <f t="shared" si="361"/>
        <v>0</v>
      </c>
      <c r="AM1116" s="162">
        <f t="shared" si="361"/>
        <v>0</v>
      </c>
      <c r="AN1116" s="162">
        <f t="shared" si="361"/>
        <v>0</v>
      </c>
      <c r="AO1116" s="162">
        <f t="shared" si="361"/>
        <v>0</v>
      </c>
      <c r="AP1116" s="162">
        <f t="shared" si="361"/>
        <v>0</v>
      </c>
      <c r="AQ1116" s="162">
        <f t="shared" si="361"/>
        <v>0</v>
      </c>
      <c r="AR1116" s="163">
        <f t="shared" si="362"/>
        <v>0</v>
      </c>
      <c r="AT1116" s="208">
        <f>IFERROR(VLOOKUP(J1116,#REF!,10,0),0)</f>
        <v>0</v>
      </c>
    </row>
    <row r="1117" spans="1:46" hidden="1" outlineLevel="1" x14ac:dyDescent="0.25">
      <c r="A1117" s="14" t="str">
        <f t="shared" si="349"/>
        <v>PROP_OPER__9</v>
      </c>
      <c r="B1117" s="15" t="str">
        <f t="shared" si="357"/>
        <v>PROP_OPER__0_0</v>
      </c>
      <c r="C1117" s="83"/>
      <c r="D1117" s="15">
        <v>1</v>
      </c>
      <c r="E1117" s="15">
        <v>9</v>
      </c>
      <c r="F1117" s="190">
        <f t="shared" si="358"/>
        <v>0</v>
      </c>
      <c r="G1117" s="149" t="str">
        <f t="shared" si="358"/>
        <v/>
      </c>
      <c r="H1117" s="150" t="str">
        <f t="shared" si="358"/>
        <v/>
      </c>
      <c r="I1117" s="150">
        <f t="shared" si="358"/>
        <v>0</v>
      </c>
      <c r="J1117" s="150">
        <f t="shared" si="358"/>
        <v>0</v>
      </c>
      <c r="K1117" s="196" t="str">
        <f t="shared" si="358"/>
        <v/>
      </c>
      <c r="L1117" s="197" t="str">
        <f t="shared" si="358"/>
        <v/>
      </c>
      <c r="M1117" s="191">
        <f t="shared" si="358"/>
        <v>0</v>
      </c>
      <c r="N1117" s="150">
        <f t="shared" si="358"/>
        <v>0</v>
      </c>
      <c r="O1117" s="193">
        <f t="shared" si="358"/>
        <v>0</v>
      </c>
      <c r="P1117" s="162">
        <f t="shared" si="359"/>
        <v>0</v>
      </c>
      <c r="Q1117" s="162">
        <f t="shared" si="359"/>
        <v>0</v>
      </c>
      <c r="R1117" s="162">
        <f t="shared" si="359"/>
        <v>0</v>
      </c>
      <c r="S1117" s="162">
        <f t="shared" si="359"/>
        <v>0</v>
      </c>
      <c r="T1117" s="162">
        <f t="shared" si="359"/>
        <v>0</v>
      </c>
      <c r="U1117" s="162">
        <f t="shared" si="359"/>
        <v>0</v>
      </c>
      <c r="V1117" s="162">
        <f t="shared" si="359"/>
        <v>0</v>
      </c>
      <c r="W1117" s="162">
        <f t="shared" si="359"/>
        <v>0</v>
      </c>
      <c r="X1117" s="162">
        <f t="shared" si="359"/>
        <v>0</v>
      </c>
      <c r="Y1117" s="162">
        <f t="shared" si="359"/>
        <v>0</v>
      </c>
      <c r="Z1117" s="162">
        <f t="shared" si="359"/>
        <v>0</v>
      </c>
      <c r="AA1117" s="162">
        <f t="shared" si="359"/>
        <v>0</v>
      </c>
      <c r="AB1117" s="163">
        <f t="shared" si="360"/>
        <v>0</v>
      </c>
      <c r="AC1117" s="159"/>
      <c r="AE1117" s="194" t="str">
        <f t="shared" si="363"/>
        <v/>
      </c>
      <c r="AF1117" s="161">
        <f t="shared" si="361"/>
        <v>0</v>
      </c>
      <c r="AG1117" s="162">
        <f t="shared" si="361"/>
        <v>0</v>
      </c>
      <c r="AH1117" s="162">
        <f t="shared" si="361"/>
        <v>0</v>
      </c>
      <c r="AI1117" s="162">
        <f t="shared" si="361"/>
        <v>0</v>
      </c>
      <c r="AJ1117" s="162">
        <f t="shared" si="361"/>
        <v>0</v>
      </c>
      <c r="AK1117" s="162">
        <f t="shared" si="361"/>
        <v>0</v>
      </c>
      <c r="AL1117" s="162">
        <f t="shared" si="361"/>
        <v>0</v>
      </c>
      <c r="AM1117" s="162">
        <f t="shared" si="361"/>
        <v>0</v>
      </c>
      <c r="AN1117" s="162">
        <f t="shared" si="361"/>
        <v>0</v>
      </c>
      <c r="AO1117" s="162">
        <f t="shared" si="361"/>
        <v>0</v>
      </c>
      <c r="AP1117" s="162">
        <f t="shared" si="361"/>
        <v>0</v>
      </c>
      <c r="AQ1117" s="162">
        <f t="shared" si="361"/>
        <v>0</v>
      </c>
      <c r="AR1117" s="163">
        <f t="shared" si="362"/>
        <v>0</v>
      </c>
      <c r="AT1117" s="208">
        <f>IFERROR(VLOOKUP(J1117,#REF!,10,0),0)</f>
        <v>0</v>
      </c>
    </row>
    <row r="1118" spans="1:46" hidden="1" outlineLevel="1" x14ac:dyDescent="0.25">
      <c r="A1118" s="14" t="str">
        <f t="shared" si="349"/>
        <v>PROP_OPER__10</v>
      </c>
      <c r="B1118" s="15" t="str">
        <f t="shared" si="357"/>
        <v>PROP_OPER__0_0</v>
      </c>
      <c r="C1118" s="83"/>
      <c r="D1118" s="15">
        <v>1</v>
      </c>
      <c r="E1118" s="15">
        <v>10</v>
      </c>
      <c r="F1118" s="190">
        <f t="shared" si="358"/>
        <v>0</v>
      </c>
      <c r="G1118" s="149" t="str">
        <f t="shared" si="358"/>
        <v/>
      </c>
      <c r="H1118" s="150" t="str">
        <f t="shared" si="358"/>
        <v/>
      </c>
      <c r="I1118" s="150">
        <f t="shared" si="358"/>
        <v>0</v>
      </c>
      <c r="J1118" s="150">
        <f t="shared" si="358"/>
        <v>0</v>
      </c>
      <c r="K1118" s="196" t="str">
        <f t="shared" si="358"/>
        <v/>
      </c>
      <c r="L1118" s="197" t="str">
        <f t="shared" si="358"/>
        <v/>
      </c>
      <c r="M1118" s="191">
        <f t="shared" si="358"/>
        <v>0</v>
      </c>
      <c r="N1118" s="150">
        <f t="shared" si="358"/>
        <v>0</v>
      </c>
      <c r="O1118" s="193">
        <f t="shared" si="358"/>
        <v>0</v>
      </c>
      <c r="P1118" s="162">
        <f t="shared" si="359"/>
        <v>0</v>
      </c>
      <c r="Q1118" s="162">
        <f t="shared" si="359"/>
        <v>0</v>
      </c>
      <c r="R1118" s="162">
        <f t="shared" si="359"/>
        <v>0</v>
      </c>
      <c r="S1118" s="162">
        <f t="shared" si="359"/>
        <v>0</v>
      </c>
      <c r="T1118" s="162">
        <f t="shared" si="359"/>
        <v>0</v>
      </c>
      <c r="U1118" s="162">
        <f t="shared" si="359"/>
        <v>0</v>
      </c>
      <c r="V1118" s="162">
        <f t="shared" si="359"/>
        <v>0</v>
      </c>
      <c r="W1118" s="162">
        <f t="shared" si="359"/>
        <v>0</v>
      </c>
      <c r="X1118" s="162">
        <f t="shared" si="359"/>
        <v>0</v>
      </c>
      <c r="Y1118" s="162">
        <f t="shared" si="359"/>
        <v>0</v>
      </c>
      <c r="Z1118" s="162">
        <f t="shared" si="359"/>
        <v>0</v>
      </c>
      <c r="AA1118" s="162">
        <f t="shared" si="359"/>
        <v>0</v>
      </c>
      <c r="AB1118" s="163">
        <f t="shared" si="360"/>
        <v>0</v>
      </c>
      <c r="AC1118" s="159"/>
      <c r="AE1118" s="194" t="str">
        <f t="shared" si="363"/>
        <v/>
      </c>
      <c r="AF1118" s="161">
        <f t="shared" si="361"/>
        <v>0</v>
      </c>
      <c r="AG1118" s="162">
        <f t="shared" si="361"/>
        <v>0</v>
      </c>
      <c r="AH1118" s="162">
        <f t="shared" si="361"/>
        <v>0</v>
      </c>
      <c r="AI1118" s="162">
        <f t="shared" si="361"/>
        <v>0</v>
      </c>
      <c r="AJ1118" s="162">
        <f t="shared" si="361"/>
        <v>0</v>
      </c>
      <c r="AK1118" s="162">
        <f t="shared" si="361"/>
        <v>0</v>
      </c>
      <c r="AL1118" s="162">
        <f t="shared" si="361"/>
        <v>0</v>
      </c>
      <c r="AM1118" s="162">
        <f t="shared" si="361"/>
        <v>0</v>
      </c>
      <c r="AN1118" s="162">
        <f t="shared" si="361"/>
        <v>0</v>
      </c>
      <c r="AO1118" s="162">
        <f t="shared" si="361"/>
        <v>0</v>
      </c>
      <c r="AP1118" s="162">
        <f t="shared" si="361"/>
        <v>0</v>
      </c>
      <c r="AQ1118" s="162">
        <f t="shared" si="361"/>
        <v>0</v>
      </c>
      <c r="AR1118" s="163">
        <f t="shared" si="362"/>
        <v>0</v>
      </c>
      <c r="AT1118" s="208">
        <f>IFERROR(VLOOKUP(J1118,#REF!,10,0),0)</f>
        <v>0</v>
      </c>
    </row>
    <row r="1119" spans="1:46" hidden="1" outlineLevel="1" x14ac:dyDescent="0.25">
      <c r="A1119" s="14" t="str">
        <f t="shared" si="349"/>
        <v>PROP_OPER__11</v>
      </c>
      <c r="B1119" s="15" t="str">
        <f t="shared" si="357"/>
        <v>PROP_OPER__0_0</v>
      </c>
      <c r="C1119" s="83"/>
      <c r="D1119" s="15">
        <v>1</v>
      </c>
      <c r="E1119" s="15">
        <v>11</v>
      </c>
      <c r="F1119" s="190">
        <f t="shared" si="358"/>
        <v>0</v>
      </c>
      <c r="G1119" s="149" t="str">
        <f t="shared" si="358"/>
        <v/>
      </c>
      <c r="H1119" s="150" t="str">
        <f t="shared" si="358"/>
        <v/>
      </c>
      <c r="I1119" s="150">
        <f t="shared" si="358"/>
        <v>0</v>
      </c>
      <c r="J1119" s="150">
        <f t="shared" si="358"/>
        <v>0</v>
      </c>
      <c r="K1119" s="196" t="str">
        <f t="shared" si="358"/>
        <v/>
      </c>
      <c r="L1119" s="197" t="str">
        <f t="shared" si="358"/>
        <v/>
      </c>
      <c r="M1119" s="191">
        <f t="shared" si="358"/>
        <v>0</v>
      </c>
      <c r="N1119" s="150">
        <f t="shared" si="358"/>
        <v>0</v>
      </c>
      <c r="O1119" s="193">
        <f t="shared" si="358"/>
        <v>0</v>
      </c>
      <c r="P1119" s="162">
        <f t="shared" si="359"/>
        <v>0</v>
      </c>
      <c r="Q1119" s="162">
        <f t="shared" si="359"/>
        <v>0</v>
      </c>
      <c r="R1119" s="162">
        <f t="shared" si="359"/>
        <v>0</v>
      </c>
      <c r="S1119" s="162">
        <f t="shared" si="359"/>
        <v>0</v>
      </c>
      <c r="T1119" s="162">
        <f t="shared" si="359"/>
        <v>0</v>
      </c>
      <c r="U1119" s="162">
        <f t="shared" si="359"/>
        <v>0</v>
      </c>
      <c r="V1119" s="162">
        <f t="shared" si="359"/>
        <v>0</v>
      </c>
      <c r="W1119" s="162">
        <f t="shared" si="359"/>
        <v>0</v>
      </c>
      <c r="X1119" s="162">
        <f t="shared" si="359"/>
        <v>0</v>
      </c>
      <c r="Y1119" s="162">
        <f t="shared" si="359"/>
        <v>0</v>
      </c>
      <c r="Z1119" s="162">
        <f t="shared" si="359"/>
        <v>0</v>
      </c>
      <c r="AA1119" s="162">
        <f t="shared" si="359"/>
        <v>0</v>
      </c>
      <c r="AB1119" s="163">
        <f t="shared" si="360"/>
        <v>0</v>
      </c>
      <c r="AC1119" s="198"/>
      <c r="AE1119" s="194" t="str">
        <f t="shared" si="363"/>
        <v/>
      </c>
      <c r="AF1119" s="161">
        <f t="shared" si="361"/>
        <v>0</v>
      </c>
      <c r="AG1119" s="162">
        <f t="shared" si="361"/>
        <v>0</v>
      </c>
      <c r="AH1119" s="162">
        <f t="shared" si="361"/>
        <v>0</v>
      </c>
      <c r="AI1119" s="162">
        <f t="shared" si="361"/>
        <v>0</v>
      </c>
      <c r="AJ1119" s="162">
        <f t="shared" si="361"/>
        <v>0</v>
      </c>
      <c r="AK1119" s="162">
        <f t="shared" si="361"/>
        <v>0</v>
      </c>
      <c r="AL1119" s="162">
        <f t="shared" si="361"/>
        <v>0</v>
      </c>
      <c r="AM1119" s="162">
        <f t="shared" si="361"/>
        <v>0</v>
      </c>
      <c r="AN1119" s="162">
        <f t="shared" si="361"/>
        <v>0</v>
      </c>
      <c r="AO1119" s="162">
        <f t="shared" si="361"/>
        <v>0</v>
      </c>
      <c r="AP1119" s="162">
        <f t="shared" si="361"/>
        <v>0</v>
      </c>
      <c r="AQ1119" s="162">
        <f t="shared" si="361"/>
        <v>0</v>
      </c>
      <c r="AR1119" s="163">
        <f t="shared" si="362"/>
        <v>0</v>
      </c>
      <c r="AT1119" s="208">
        <f>IFERROR(VLOOKUP(J1119,#REF!,10,0),0)</f>
        <v>0</v>
      </c>
    </row>
    <row r="1120" spans="1:46" hidden="1" outlineLevel="1" x14ac:dyDescent="0.25">
      <c r="A1120" s="14" t="str">
        <f t="shared" si="349"/>
        <v>PROP_OPER__12</v>
      </c>
      <c r="B1120" s="15" t="str">
        <f t="shared" si="357"/>
        <v>PROP_OPER__0_0</v>
      </c>
      <c r="C1120" s="83"/>
      <c r="D1120" s="15">
        <v>1</v>
      </c>
      <c r="E1120" s="15">
        <v>12</v>
      </c>
      <c r="F1120" s="190">
        <f t="shared" si="358"/>
        <v>0</v>
      </c>
      <c r="G1120" s="149" t="str">
        <f t="shared" si="358"/>
        <v/>
      </c>
      <c r="H1120" s="150" t="str">
        <f t="shared" si="358"/>
        <v/>
      </c>
      <c r="I1120" s="150">
        <f t="shared" si="358"/>
        <v>0</v>
      </c>
      <c r="J1120" s="150">
        <f t="shared" si="358"/>
        <v>0</v>
      </c>
      <c r="K1120" s="196" t="str">
        <f t="shared" si="358"/>
        <v/>
      </c>
      <c r="L1120" s="197" t="str">
        <f t="shared" si="358"/>
        <v/>
      </c>
      <c r="M1120" s="191">
        <f t="shared" si="358"/>
        <v>0</v>
      </c>
      <c r="N1120" s="150">
        <f t="shared" si="358"/>
        <v>0</v>
      </c>
      <c r="O1120" s="193">
        <f t="shared" si="358"/>
        <v>0</v>
      </c>
      <c r="P1120" s="162">
        <f t="shared" si="359"/>
        <v>0</v>
      </c>
      <c r="Q1120" s="162">
        <f t="shared" si="359"/>
        <v>0</v>
      </c>
      <c r="R1120" s="162">
        <f t="shared" si="359"/>
        <v>0</v>
      </c>
      <c r="S1120" s="162">
        <f t="shared" si="359"/>
        <v>0</v>
      </c>
      <c r="T1120" s="162">
        <f t="shared" si="359"/>
        <v>0</v>
      </c>
      <c r="U1120" s="162">
        <f t="shared" si="359"/>
        <v>0</v>
      </c>
      <c r="V1120" s="162">
        <f t="shared" si="359"/>
        <v>0</v>
      </c>
      <c r="W1120" s="162">
        <f t="shared" si="359"/>
        <v>0</v>
      </c>
      <c r="X1120" s="162">
        <f t="shared" si="359"/>
        <v>0</v>
      </c>
      <c r="Y1120" s="162">
        <f t="shared" si="359"/>
        <v>0</v>
      </c>
      <c r="Z1120" s="162">
        <f t="shared" si="359"/>
        <v>0</v>
      </c>
      <c r="AA1120" s="162">
        <f t="shared" si="359"/>
        <v>0</v>
      </c>
      <c r="AB1120" s="163">
        <f t="shared" si="360"/>
        <v>0</v>
      </c>
      <c r="AC1120" s="198"/>
      <c r="AE1120" s="194" t="str">
        <f t="shared" si="363"/>
        <v/>
      </c>
      <c r="AF1120" s="161">
        <f t="shared" si="361"/>
        <v>0</v>
      </c>
      <c r="AG1120" s="162">
        <f t="shared" si="361"/>
        <v>0</v>
      </c>
      <c r="AH1120" s="162">
        <f t="shared" si="361"/>
        <v>0</v>
      </c>
      <c r="AI1120" s="162">
        <f t="shared" si="361"/>
        <v>0</v>
      </c>
      <c r="AJ1120" s="162">
        <f t="shared" si="361"/>
        <v>0</v>
      </c>
      <c r="AK1120" s="162">
        <f t="shared" si="361"/>
        <v>0</v>
      </c>
      <c r="AL1120" s="162">
        <f t="shared" si="361"/>
        <v>0</v>
      </c>
      <c r="AM1120" s="162">
        <f t="shared" si="361"/>
        <v>0</v>
      </c>
      <c r="AN1120" s="162">
        <f t="shared" si="361"/>
        <v>0</v>
      </c>
      <c r="AO1120" s="162">
        <f t="shared" si="361"/>
        <v>0</v>
      </c>
      <c r="AP1120" s="162">
        <f t="shared" si="361"/>
        <v>0</v>
      </c>
      <c r="AQ1120" s="162">
        <f t="shared" si="361"/>
        <v>0</v>
      </c>
      <c r="AR1120" s="163">
        <f t="shared" si="362"/>
        <v>0</v>
      </c>
      <c r="AT1120" s="208">
        <f>IFERROR(VLOOKUP(J1120,#REF!,10,0),0)</f>
        <v>0</v>
      </c>
    </row>
    <row r="1121" spans="1:46" hidden="1" outlineLevel="1" x14ac:dyDescent="0.25">
      <c r="A1121" s="14" t="str">
        <f t="shared" si="349"/>
        <v>PROP_OPER__13</v>
      </c>
      <c r="B1121" s="15" t="str">
        <f t="shared" si="357"/>
        <v>PROP_OPER__0_0</v>
      </c>
      <c r="C1121" s="83"/>
      <c r="D1121" s="15">
        <v>1</v>
      </c>
      <c r="E1121" s="15">
        <v>13</v>
      </c>
      <c r="F1121" s="190">
        <f t="shared" si="358"/>
        <v>0</v>
      </c>
      <c r="G1121" s="149" t="str">
        <f t="shared" si="358"/>
        <v/>
      </c>
      <c r="H1121" s="150" t="str">
        <f t="shared" si="358"/>
        <v/>
      </c>
      <c r="I1121" s="150">
        <f t="shared" si="358"/>
        <v>0</v>
      </c>
      <c r="J1121" s="150">
        <f t="shared" si="358"/>
        <v>0</v>
      </c>
      <c r="K1121" s="196" t="str">
        <f t="shared" si="358"/>
        <v/>
      </c>
      <c r="L1121" s="197" t="str">
        <f t="shared" si="358"/>
        <v/>
      </c>
      <c r="M1121" s="191">
        <f t="shared" si="358"/>
        <v>0</v>
      </c>
      <c r="N1121" s="150">
        <f t="shared" si="358"/>
        <v>0</v>
      </c>
      <c r="O1121" s="193">
        <f t="shared" si="358"/>
        <v>0</v>
      </c>
      <c r="P1121" s="162">
        <f t="shared" si="359"/>
        <v>0</v>
      </c>
      <c r="Q1121" s="162">
        <f t="shared" si="359"/>
        <v>0</v>
      </c>
      <c r="R1121" s="162">
        <f t="shared" si="359"/>
        <v>0</v>
      </c>
      <c r="S1121" s="162">
        <f t="shared" si="359"/>
        <v>0</v>
      </c>
      <c r="T1121" s="162">
        <f t="shared" si="359"/>
        <v>0</v>
      </c>
      <c r="U1121" s="162">
        <f t="shared" si="359"/>
        <v>0</v>
      </c>
      <c r="V1121" s="162">
        <f t="shared" si="359"/>
        <v>0</v>
      </c>
      <c r="W1121" s="162">
        <f t="shared" si="359"/>
        <v>0</v>
      </c>
      <c r="X1121" s="162">
        <f t="shared" si="359"/>
        <v>0</v>
      </c>
      <c r="Y1121" s="162">
        <f t="shared" si="359"/>
        <v>0</v>
      </c>
      <c r="Z1121" s="162">
        <f t="shared" si="359"/>
        <v>0</v>
      </c>
      <c r="AA1121" s="162">
        <f t="shared" si="359"/>
        <v>0</v>
      </c>
      <c r="AB1121" s="163">
        <f t="shared" si="360"/>
        <v>0</v>
      </c>
      <c r="AC1121" s="198"/>
      <c r="AE1121" s="194" t="str">
        <f t="shared" si="363"/>
        <v/>
      </c>
      <c r="AF1121" s="161">
        <f t="shared" si="361"/>
        <v>0</v>
      </c>
      <c r="AG1121" s="162">
        <f t="shared" si="361"/>
        <v>0</v>
      </c>
      <c r="AH1121" s="162">
        <f t="shared" si="361"/>
        <v>0</v>
      </c>
      <c r="AI1121" s="162">
        <f t="shared" si="361"/>
        <v>0</v>
      </c>
      <c r="AJ1121" s="162">
        <f t="shared" si="361"/>
        <v>0</v>
      </c>
      <c r="AK1121" s="162">
        <f t="shared" si="361"/>
        <v>0</v>
      </c>
      <c r="AL1121" s="162">
        <f t="shared" si="361"/>
        <v>0</v>
      </c>
      <c r="AM1121" s="162">
        <f t="shared" si="361"/>
        <v>0</v>
      </c>
      <c r="AN1121" s="162">
        <f t="shared" si="361"/>
        <v>0</v>
      </c>
      <c r="AO1121" s="162">
        <f t="shared" si="361"/>
        <v>0</v>
      </c>
      <c r="AP1121" s="162">
        <f t="shared" si="361"/>
        <v>0</v>
      </c>
      <c r="AQ1121" s="162">
        <f t="shared" si="361"/>
        <v>0</v>
      </c>
      <c r="AR1121" s="163">
        <f t="shared" si="362"/>
        <v>0</v>
      </c>
      <c r="AT1121" s="208">
        <f>IFERROR(VLOOKUP(J1121,#REF!,10,0),0)</f>
        <v>0</v>
      </c>
    </row>
    <row r="1122" spans="1:46" hidden="1" outlineLevel="1" x14ac:dyDescent="0.25">
      <c r="A1122" s="14" t="str">
        <f t="shared" si="349"/>
        <v>PROP_OPER__14</v>
      </c>
      <c r="B1122" s="15" t="str">
        <f t="shared" si="357"/>
        <v>PROP_OPER__0_0</v>
      </c>
      <c r="C1122" s="83"/>
      <c r="D1122" s="15">
        <v>1</v>
      </c>
      <c r="E1122" s="15">
        <v>14</v>
      </c>
      <c r="F1122" s="190">
        <f t="shared" si="358"/>
        <v>0</v>
      </c>
      <c r="G1122" s="149" t="str">
        <f t="shared" si="358"/>
        <v/>
      </c>
      <c r="H1122" s="150" t="str">
        <f t="shared" si="358"/>
        <v/>
      </c>
      <c r="I1122" s="150">
        <f t="shared" si="358"/>
        <v>0</v>
      </c>
      <c r="J1122" s="150">
        <f t="shared" si="358"/>
        <v>0</v>
      </c>
      <c r="K1122" s="196" t="str">
        <f t="shared" si="358"/>
        <v/>
      </c>
      <c r="L1122" s="197" t="str">
        <f t="shared" si="358"/>
        <v/>
      </c>
      <c r="M1122" s="191">
        <f t="shared" si="358"/>
        <v>0</v>
      </c>
      <c r="N1122" s="150">
        <f t="shared" si="358"/>
        <v>0</v>
      </c>
      <c r="O1122" s="193">
        <f t="shared" si="358"/>
        <v>0</v>
      </c>
      <c r="P1122" s="162">
        <f t="shared" si="359"/>
        <v>0</v>
      </c>
      <c r="Q1122" s="162">
        <f t="shared" si="359"/>
        <v>0</v>
      </c>
      <c r="R1122" s="162">
        <f t="shared" si="359"/>
        <v>0</v>
      </c>
      <c r="S1122" s="162">
        <f t="shared" si="359"/>
        <v>0</v>
      </c>
      <c r="T1122" s="162">
        <f t="shared" si="359"/>
        <v>0</v>
      </c>
      <c r="U1122" s="162">
        <f t="shared" si="359"/>
        <v>0</v>
      </c>
      <c r="V1122" s="162">
        <f t="shared" si="359"/>
        <v>0</v>
      </c>
      <c r="W1122" s="162">
        <f t="shared" si="359"/>
        <v>0</v>
      </c>
      <c r="X1122" s="162">
        <f t="shared" si="359"/>
        <v>0</v>
      </c>
      <c r="Y1122" s="162">
        <f t="shared" si="359"/>
        <v>0</v>
      </c>
      <c r="Z1122" s="162">
        <f t="shared" si="359"/>
        <v>0</v>
      </c>
      <c r="AA1122" s="162">
        <f t="shared" si="359"/>
        <v>0</v>
      </c>
      <c r="AB1122" s="163">
        <f t="shared" si="360"/>
        <v>0</v>
      </c>
      <c r="AC1122" s="198"/>
      <c r="AE1122" s="194" t="str">
        <f t="shared" si="363"/>
        <v/>
      </c>
      <c r="AF1122" s="161">
        <f t="shared" si="361"/>
        <v>0</v>
      </c>
      <c r="AG1122" s="162">
        <f t="shared" si="361"/>
        <v>0</v>
      </c>
      <c r="AH1122" s="162">
        <f t="shared" si="361"/>
        <v>0</v>
      </c>
      <c r="AI1122" s="162">
        <f t="shared" si="361"/>
        <v>0</v>
      </c>
      <c r="AJ1122" s="162">
        <f t="shared" si="361"/>
        <v>0</v>
      </c>
      <c r="AK1122" s="162">
        <f t="shared" si="361"/>
        <v>0</v>
      </c>
      <c r="AL1122" s="162">
        <f t="shared" si="361"/>
        <v>0</v>
      </c>
      <c r="AM1122" s="162">
        <f t="shared" si="361"/>
        <v>0</v>
      </c>
      <c r="AN1122" s="162">
        <f t="shared" si="361"/>
        <v>0</v>
      </c>
      <c r="AO1122" s="162">
        <f t="shared" si="361"/>
        <v>0</v>
      </c>
      <c r="AP1122" s="162">
        <f t="shared" si="361"/>
        <v>0</v>
      </c>
      <c r="AQ1122" s="162">
        <f t="shared" si="361"/>
        <v>0</v>
      </c>
      <c r="AR1122" s="163">
        <f t="shared" si="362"/>
        <v>0</v>
      </c>
      <c r="AT1122" s="208">
        <f>IFERROR(VLOOKUP(J1122,#REF!,10,0),0)</f>
        <v>0</v>
      </c>
    </row>
    <row r="1123" spans="1:46" hidden="1" outlineLevel="1" x14ac:dyDescent="0.25">
      <c r="A1123" s="14" t="str">
        <f t="shared" si="349"/>
        <v>PROP_OPER__15</v>
      </c>
      <c r="B1123" s="15" t="e">
        <f t="shared" si="357"/>
        <v>#REF!</v>
      </c>
      <c r="C1123" s="83"/>
      <c r="D1123" s="15">
        <v>1</v>
      </c>
      <c r="E1123" s="15">
        <v>15</v>
      </c>
      <c r="F1123" s="190" t="e">
        <f t="shared" si="358"/>
        <v>#REF!</v>
      </c>
      <c r="G1123" s="149" t="e">
        <f t="shared" si="358"/>
        <v>#REF!</v>
      </c>
      <c r="H1123" s="150" t="e">
        <f t="shared" si="358"/>
        <v>#REF!</v>
      </c>
      <c r="I1123" s="150" t="e">
        <f t="shared" si="358"/>
        <v>#REF!</v>
      </c>
      <c r="J1123" s="150" t="e">
        <f t="shared" si="358"/>
        <v>#REF!</v>
      </c>
      <c r="K1123" s="196" t="e">
        <f t="shared" si="358"/>
        <v>#REF!</v>
      </c>
      <c r="L1123" s="197" t="e">
        <f t="shared" si="358"/>
        <v>#REF!</v>
      </c>
      <c r="M1123" s="191" t="e">
        <f t="shared" si="358"/>
        <v>#REF!</v>
      </c>
      <c r="N1123" s="150" t="e">
        <f t="shared" si="358"/>
        <v>#REF!</v>
      </c>
      <c r="O1123" s="193" t="e">
        <f t="shared" si="358"/>
        <v>#REF!</v>
      </c>
      <c r="P1123" s="162">
        <f>IFERROR(SUMIF($B$483:$B$547,$C1123&amp;$I1123,P$483:P$547)/SUMIF($D$483:$D$547,$I1123,P$483:P$547)*#REF!,0)</f>
        <v>0</v>
      </c>
      <c r="Q1123" s="162">
        <f>IFERROR(SUMIF($B$483:$B$547,$C1123&amp;$I1123,Q$483:Q$547)/SUMIF($D$483:$D$547,$I1123,Q$483:Q$547)*#REF!,0)</f>
        <v>0</v>
      </c>
      <c r="R1123" s="162">
        <f>IFERROR(SUMIF($B$483:$B$547,$C1123&amp;$I1123,R$483:R$547)/SUMIF($D$483:$D$547,$I1123,R$483:R$547)*#REF!,0)</f>
        <v>0</v>
      </c>
      <c r="S1123" s="162">
        <f>IFERROR(SUMIF($B$483:$B$547,$C1123&amp;$I1123,S$483:S$547)/SUMIF($D$483:$D$547,$I1123,S$483:S$547)*#REF!,0)</f>
        <v>0</v>
      </c>
      <c r="T1123" s="162">
        <f>IFERROR(SUMIF($B$483:$B$547,$C1123&amp;$I1123,T$483:T$547)/SUMIF($D$483:$D$547,$I1123,T$483:T$547)*#REF!,0)</f>
        <v>0</v>
      </c>
      <c r="U1123" s="162">
        <f>IFERROR(SUMIF($B$483:$B$547,$C1123&amp;$I1123,U$483:U$547)/SUMIF($D$483:$D$547,$I1123,U$483:U$547)*#REF!,0)</f>
        <v>0</v>
      </c>
      <c r="V1123" s="162">
        <f>IFERROR(SUMIF($B$483:$B$547,$C1123&amp;$I1123,V$483:V$547)/SUMIF($D$483:$D$547,$I1123,V$483:V$547)*#REF!,0)</f>
        <v>0</v>
      </c>
      <c r="W1123" s="162">
        <f>IFERROR(SUMIF($B$483:$B$547,$C1123&amp;$I1123,W$483:W$547)/SUMIF($D$483:$D$547,$I1123,W$483:W$547)*#REF!,0)</f>
        <v>0</v>
      </c>
      <c r="X1123" s="162">
        <f>IFERROR(SUMIF($B$483:$B$547,$C1123&amp;$I1123,X$483:X$547)/SUMIF($D$483:$D$547,$I1123,X$483:X$547)*#REF!,0)</f>
        <v>0</v>
      </c>
      <c r="Y1123" s="162">
        <f>IFERROR(SUMIF($B$483:$B$547,$C1123&amp;$I1123,Y$483:Y$547)/SUMIF($D$483:$D$547,$I1123,Y$483:Y$547)*#REF!,0)</f>
        <v>0</v>
      </c>
      <c r="Z1123" s="162">
        <f>IFERROR(SUMIF($B$483:$B$547,$C1123&amp;$I1123,Z$483:Z$547)/SUMIF($D$483:$D$547,$I1123,Z$483:Z$547)*#REF!,0)</f>
        <v>0</v>
      </c>
      <c r="AA1123" s="162">
        <f>IFERROR(SUMIF($B$483:$B$547,$C1123&amp;$I1123,AA$483:AA$547)/SUMIF($D$483:$D$547,$I1123,AA$483:AA$547)*#REF!,0)</f>
        <v>0</v>
      </c>
      <c r="AB1123" s="163">
        <f t="shared" si="360"/>
        <v>0</v>
      </c>
      <c r="AC1123" s="198"/>
      <c r="AE1123" s="194" t="e">
        <f t="shared" si="363"/>
        <v>#REF!</v>
      </c>
      <c r="AF1123" s="161">
        <f>IFERROR(SUMIF($B$483:$B$547,$C1123&amp;$I1123,P$483:P$547)/SUMIF($D$483:$D$547,$I1123,P$483:P$547)*#REF!,0)</f>
        <v>0</v>
      </c>
      <c r="AG1123" s="162">
        <f>IFERROR(SUMIF($B$483:$B$547,$C1123&amp;$I1123,Q$483:Q$547)/SUMIF($D$483:$D$547,$I1123,Q$483:Q$547)*#REF!,0)</f>
        <v>0</v>
      </c>
      <c r="AH1123" s="162">
        <f>IFERROR(SUMIF($B$483:$B$547,$C1123&amp;$I1123,R$483:R$547)/SUMIF($D$483:$D$547,$I1123,R$483:R$547)*#REF!,0)</f>
        <v>0</v>
      </c>
      <c r="AI1123" s="162">
        <f>IFERROR(SUMIF($B$483:$B$547,$C1123&amp;$I1123,S$483:S$547)/SUMIF($D$483:$D$547,$I1123,S$483:S$547)*#REF!,0)</f>
        <v>0</v>
      </c>
      <c r="AJ1123" s="162">
        <f>IFERROR(SUMIF($B$483:$B$547,$C1123&amp;$I1123,T$483:T$547)/SUMIF($D$483:$D$547,$I1123,T$483:T$547)*#REF!,0)</f>
        <v>0</v>
      </c>
      <c r="AK1123" s="162">
        <f>IFERROR(SUMIF($B$483:$B$547,$C1123&amp;$I1123,U$483:U$547)/SUMIF($D$483:$D$547,$I1123,U$483:U$547)*#REF!,0)</f>
        <v>0</v>
      </c>
      <c r="AL1123" s="162">
        <f>IFERROR(SUMIF($B$483:$B$547,$C1123&amp;$I1123,V$483:V$547)/SUMIF($D$483:$D$547,$I1123,V$483:V$547)*#REF!,0)</f>
        <v>0</v>
      </c>
      <c r="AM1123" s="162">
        <f>IFERROR(SUMIF($B$483:$B$547,$C1123&amp;$I1123,W$483:W$547)/SUMIF($D$483:$D$547,$I1123,W$483:W$547)*#REF!,0)</f>
        <v>0</v>
      </c>
      <c r="AN1123" s="162">
        <f>IFERROR(SUMIF($B$483:$B$547,$C1123&amp;$I1123,X$483:X$547)/SUMIF($D$483:$D$547,$I1123,X$483:X$547)*#REF!,0)</f>
        <v>0</v>
      </c>
      <c r="AO1123" s="162">
        <f>IFERROR(SUMIF($B$483:$B$547,$C1123&amp;$I1123,Y$483:Y$547)/SUMIF($D$483:$D$547,$I1123,Y$483:Y$547)*#REF!,0)</f>
        <v>0</v>
      </c>
      <c r="AP1123" s="162">
        <f>IFERROR(SUMIF($B$483:$B$547,$C1123&amp;$I1123,Z$483:Z$547)/SUMIF($D$483:$D$547,$I1123,Z$483:Z$547)*#REF!,0)</f>
        <v>0</v>
      </c>
      <c r="AQ1123" s="162">
        <f>IFERROR(SUMIF($B$483:$B$547,$C1123&amp;$I1123,AA$483:AA$547)/SUMIF($D$483:$D$547,$I1123,AA$483:AA$547)*#REF!,0)</f>
        <v>0</v>
      </c>
      <c r="AR1123" s="163">
        <f t="shared" si="362"/>
        <v>0</v>
      </c>
      <c r="AT1123" s="208">
        <f>IFERROR(VLOOKUP(J1123,#REF!,10,0),0)</f>
        <v>0</v>
      </c>
    </row>
    <row r="1124" spans="1:46" hidden="1" outlineLevel="1" x14ac:dyDescent="0.25">
      <c r="A1124" s="14" t="str">
        <f t="shared" si="349"/>
        <v>PROP_OPER__16</v>
      </c>
      <c r="B1124" s="15" t="e">
        <f t="shared" si="357"/>
        <v>#REF!</v>
      </c>
      <c r="C1124" s="83"/>
      <c r="D1124" s="15">
        <v>1</v>
      </c>
      <c r="E1124" s="15">
        <v>16</v>
      </c>
      <c r="F1124" s="190" t="e">
        <f t="shared" si="358"/>
        <v>#REF!</v>
      </c>
      <c r="G1124" s="149" t="e">
        <f t="shared" si="358"/>
        <v>#REF!</v>
      </c>
      <c r="H1124" s="150" t="e">
        <f t="shared" si="358"/>
        <v>#REF!</v>
      </c>
      <c r="I1124" s="150" t="e">
        <f t="shared" si="358"/>
        <v>#REF!</v>
      </c>
      <c r="J1124" s="150" t="e">
        <f t="shared" si="358"/>
        <v>#REF!</v>
      </c>
      <c r="K1124" s="196" t="e">
        <f t="shared" si="358"/>
        <v>#REF!</v>
      </c>
      <c r="L1124" s="197" t="e">
        <f t="shared" si="358"/>
        <v>#REF!</v>
      </c>
      <c r="M1124" s="191" t="e">
        <f t="shared" si="358"/>
        <v>#REF!</v>
      </c>
      <c r="N1124" s="150" t="e">
        <f t="shared" si="358"/>
        <v>#REF!</v>
      </c>
      <c r="O1124" s="193" t="e">
        <f t="shared" si="358"/>
        <v>#REF!</v>
      </c>
      <c r="P1124" s="162">
        <f>IFERROR(SUMIF($B$483:$B$547,$C1124&amp;$I1124,P$483:P$547)/SUMIF($D$483:$D$547,$I1124,P$483:P$547)*#REF!,0)</f>
        <v>0</v>
      </c>
      <c r="Q1124" s="162">
        <f>IFERROR(SUMIF($B$483:$B$547,$C1124&amp;$I1124,Q$483:Q$547)/SUMIF($D$483:$D$547,$I1124,Q$483:Q$547)*#REF!,0)</f>
        <v>0</v>
      </c>
      <c r="R1124" s="162">
        <f>IFERROR(SUMIF($B$483:$B$547,$C1124&amp;$I1124,R$483:R$547)/SUMIF($D$483:$D$547,$I1124,R$483:R$547)*#REF!,0)</f>
        <v>0</v>
      </c>
      <c r="S1124" s="162">
        <f>IFERROR(SUMIF($B$483:$B$547,$C1124&amp;$I1124,S$483:S$547)/SUMIF($D$483:$D$547,$I1124,S$483:S$547)*#REF!,0)</f>
        <v>0</v>
      </c>
      <c r="T1124" s="162">
        <f>IFERROR(SUMIF($B$483:$B$547,$C1124&amp;$I1124,T$483:T$547)/SUMIF($D$483:$D$547,$I1124,T$483:T$547)*#REF!,0)</f>
        <v>0</v>
      </c>
      <c r="U1124" s="162">
        <f>IFERROR(SUMIF($B$483:$B$547,$C1124&amp;$I1124,U$483:U$547)/SUMIF($D$483:$D$547,$I1124,U$483:U$547)*#REF!,0)</f>
        <v>0</v>
      </c>
      <c r="V1124" s="162">
        <f>IFERROR(SUMIF($B$483:$B$547,$C1124&amp;$I1124,V$483:V$547)/SUMIF($D$483:$D$547,$I1124,V$483:V$547)*#REF!,0)</f>
        <v>0</v>
      </c>
      <c r="W1124" s="162">
        <f>IFERROR(SUMIF($B$483:$B$547,$C1124&amp;$I1124,W$483:W$547)/SUMIF($D$483:$D$547,$I1124,W$483:W$547)*#REF!,0)</f>
        <v>0</v>
      </c>
      <c r="X1124" s="162">
        <f>IFERROR(SUMIF($B$483:$B$547,$C1124&amp;$I1124,X$483:X$547)/SUMIF($D$483:$D$547,$I1124,X$483:X$547)*#REF!,0)</f>
        <v>0</v>
      </c>
      <c r="Y1124" s="162">
        <f>IFERROR(SUMIF($B$483:$B$547,$C1124&amp;$I1124,Y$483:Y$547)/SUMIF($D$483:$D$547,$I1124,Y$483:Y$547)*#REF!,0)</f>
        <v>0</v>
      </c>
      <c r="Z1124" s="162">
        <f>IFERROR(SUMIF($B$483:$B$547,$C1124&amp;$I1124,Z$483:Z$547)/SUMIF($D$483:$D$547,$I1124,Z$483:Z$547)*#REF!,0)</f>
        <v>0</v>
      </c>
      <c r="AA1124" s="162">
        <f>IFERROR(SUMIF($B$483:$B$547,$C1124&amp;$I1124,AA$483:AA$547)/SUMIF($D$483:$D$547,$I1124,AA$483:AA$547)*#REF!,0)</f>
        <v>0</v>
      </c>
      <c r="AB1124" s="163">
        <f t="shared" si="360"/>
        <v>0</v>
      </c>
      <c r="AC1124" s="198"/>
      <c r="AE1124" s="194" t="e">
        <f t="shared" si="363"/>
        <v>#REF!</v>
      </c>
      <c r="AF1124" s="161">
        <f>IFERROR(SUMIF($B$483:$B$547,$C1124&amp;$I1124,P$483:P$547)/SUMIF($D$483:$D$547,$I1124,P$483:P$547)*#REF!,0)</f>
        <v>0</v>
      </c>
      <c r="AG1124" s="162">
        <f>IFERROR(SUMIF($B$483:$B$547,$C1124&amp;$I1124,Q$483:Q$547)/SUMIF($D$483:$D$547,$I1124,Q$483:Q$547)*#REF!,0)</f>
        <v>0</v>
      </c>
      <c r="AH1124" s="162">
        <f>IFERROR(SUMIF($B$483:$B$547,$C1124&amp;$I1124,R$483:R$547)/SUMIF($D$483:$D$547,$I1124,R$483:R$547)*#REF!,0)</f>
        <v>0</v>
      </c>
      <c r="AI1124" s="162">
        <f>IFERROR(SUMIF($B$483:$B$547,$C1124&amp;$I1124,S$483:S$547)/SUMIF($D$483:$D$547,$I1124,S$483:S$547)*#REF!,0)</f>
        <v>0</v>
      </c>
      <c r="AJ1124" s="162">
        <f>IFERROR(SUMIF($B$483:$B$547,$C1124&amp;$I1124,T$483:T$547)/SUMIF($D$483:$D$547,$I1124,T$483:T$547)*#REF!,0)</f>
        <v>0</v>
      </c>
      <c r="AK1124" s="162">
        <f>IFERROR(SUMIF($B$483:$B$547,$C1124&amp;$I1124,U$483:U$547)/SUMIF($D$483:$D$547,$I1124,U$483:U$547)*#REF!,0)</f>
        <v>0</v>
      </c>
      <c r="AL1124" s="162">
        <f>IFERROR(SUMIF($B$483:$B$547,$C1124&amp;$I1124,V$483:V$547)/SUMIF($D$483:$D$547,$I1124,V$483:V$547)*#REF!,0)</f>
        <v>0</v>
      </c>
      <c r="AM1124" s="162">
        <f>IFERROR(SUMIF($B$483:$B$547,$C1124&amp;$I1124,W$483:W$547)/SUMIF($D$483:$D$547,$I1124,W$483:W$547)*#REF!,0)</f>
        <v>0</v>
      </c>
      <c r="AN1124" s="162">
        <f>IFERROR(SUMIF($B$483:$B$547,$C1124&amp;$I1124,X$483:X$547)/SUMIF($D$483:$D$547,$I1124,X$483:X$547)*#REF!,0)</f>
        <v>0</v>
      </c>
      <c r="AO1124" s="162">
        <f>IFERROR(SUMIF($B$483:$B$547,$C1124&amp;$I1124,Y$483:Y$547)/SUMIF($D$483:$D$547,$I1124,Y$483:Y$547)*#REF!,0)</f>
        <v>0</v>
      </c>
      <c r="AP1124" s="162">
        <f>IFERROR(SUMIF($B$483:$B$547,$C1124&amp;$I1124,Z$483:Z$547)/SUMIF($D$483:$D$547,$I1124,Z$483:Z$547)*#REF!,0)</f>
        <v>0</v>
      </c>
      <c r="AQ1124" s="162">
        <f>IFERROR(SUMIF($B$483:$B$547,$C1124&amp;$I1124,AA$483:AA$547)/SUMIF($D$483:$D$547,$I1124,AA$483:AA$547)*#REF!,0)</f>
        <v>0</v>
      </c>
      <c r="AR1124" s="163">
        <f t="shared" si="362"/>
        <v>0</v>
      </c>
      <c r="AT1124" s="208">
        <f>IFERROR(VLOOKUP(J1124,#REF!,10,0),0)</f>
        <v>0</v>
      </c>
    </row>
    <row r="1125" spans="1:46" hidden="1" outlineLevel="1" x14ac:dyDescent="0.25">
      <c r="A1125" s="14" t="str">
        <f t="shared" si="349"/>
        <v>PROP_OPER__17</v>
      </c>
      <c r="B1125" s="15" t="e">
        <f t="shared" si="357"/>
        <v>#REF!</v>
      </c>
      <c r="C1125" s="83"/>
      <c r="D1125" s="15">
        <v>1</v>
      </c>
      <c r="E1125" s="15">
        <v>17</v>
      </c>
      <c r="F1125" s="190" t="e">
        <f t="shared" ref="F1125:O1140" si="364">F1079</f>
        <v>#REF!</v>
      </c>
      <c r="G1125" s="149" t="e">
        <f t="shared" si="364"/>
        <v>#REF!</v>
      </c>
      <c r="H1125" s="150" t="e">
        <f t="shared" si="364"/>
        <v>#REF!</v>
      </c>
      <c r="I1125" s="150" t="e">
        <f t="shared" si="364"/>
        <v>#REF!</v>
      </c>
      <c r="J1125" s="150" t="e">
        <f t="shared" si="364"/>
        <v>#REF!</v>
      </c>
      <c r="K1125" s="196" t="e">
        <f t="shared" si="364"/>
        <v>#REF!</v>
      </c>
      <c r="L1125" s="197" t="e">
        <f t="shared" si="364"/>
        <v>#REF!</v>
      </c>
      <c r="M1125" s="191" t="e">
        <f t="shared" si="364"/>
        <v>#REF!</v>
      </c>
      <c r="N1125" s="150" t="e">
        <f t="shared" si="364"/>
        <v>#REF!</v>
      </c>
      <c r="O1125" s="193" t="e">
        <f t="shared" si="364"/>
        <v>#REF!</v>
      </c>
      <c r="P1125" s="162">
        <f>IFERROR(SUMIF($B$483:$B$547,$C1125&amp;$I1125,P$483:P$547)/SUMIF($D$483:$D$547,$I1125,P$483:P$547)*#REF!,0)</f>
        <v>0</v>
      </c>
      <c r="Q1125" s="162">
        <f>IFERROR(SUMIF($B$483:$B$547,$C1125&amp;$I1125,Q$483:Q$547)/SUMIF($D$483:$D$547,$I1125,Q$483:Q$547)*#REF!,0)</f>
        <v>0</v>
      </c>
      <c r="R1125" s="162">
        <f>IFERROR(SUMIF($B$483:$B$547,$C1125&amp;$I1125,R$483:R$547)/SUMIF($D$483:$D$547,$I1125,R$483:R$547)*#REF!,0)</f>
        <v>0</v>
      </c>
      <c r="S1125" s="162">
        <f>IFERROR(SUMIF($B$483:$B$547,$C1125&amp;$I1125,S$483:S$547)/SUMIF($D$483:$D$547,$I1125,S$483:S$547)*#REF!,0)</f>
        <v>0</v>
      </c>
      <c r="T1125" s="162">
        <f>IFERROR(SUMIF($B$483:$B$547,$C1125&amp;$I1125,T$483:T$547)/SUMIF($D$483:$D$547,$I1125,T$483:T$547)*#REF!,0)</f>
        <v>0</v>
      </c>
      <c r="U1125" s="162">
        <f>IFERROR(SUMIF($B$483:$B$547,$C1125&amp;$I1125,U$483:U$547)/SUMIF($D$483:$D$547,$I1125,U$483:U$547)*#REF!,0)</f>
        <v>0</v>
      </c>
      <c r="V1125" s="162">
        <f>IFERROR(SUMIF($B$483:$B$547,$C1125&amp;$I1125,V$483:V$547)/SUMIF($D$483:$D$547,$I1125,V$483:V$547)*#REF!,0)</f>
        <v>0</v>
      </c>
      <c r="W1125" s="162">
        <f>IFERROR(SUMIF($B$483:$B$547,$C1125&amp;$I1125,W$483:W$547)/SUMIF($D$483:$D$547,$I1125,W$483:W$547)*#REF!,0)</f>
        <v>0</v>
      </c>
      <c r="X1125" s="162">
        <f>IFERROR(SUMIF($B$483:$B$547,$C1125&amp;$I1125,X$483:X$547)/SUMIF($D$483:$D$547,$I1125,X$483:X$547)*#REF!,0)</f>
        <v>0</v>
      </c>
      <c r="Y1125" s="162">
        <f>IFERROR(SUMIF($B$483:$B$547,$C1125&amp;$I1125,Y$483:Y$547)/SUMIF($D$483:$D$547,$I1125,Y$483:Y$547)*#REF!,0)</f>
        <v>0</v>
      </c>
      <c r="Z1125" s="162">
        <f>IFERROR(SUMIF($B$483:$B$547,$C1125&amp;$I1125,Z$483:Z$547)/SUMIF($D$483:$D$547,$I1125,Z$483:Z$547)*#REF!,0)</f>
        <v>0</v>
      </c>
      <c r="AA1125" s="162">
        <f>IFERROR(SUMIF($B$483:$B$547,$C1125&amp;$I1125,AA$483:AA$547)/SUMIF($D$483:$D$547,$I1125,AA$483:AA$547)*#REF!,0)</f>
        <v>0</v>
      </c>
      <c r="AB1125" s="163">
        <f t="shared" si="360"/>
        <v>0</v>
      </c>
      <c r="AC1125" s="198"/>
      <c r="AE1125" s="194" t="e">
        <f t="shared" si="363"/>
        <v>#REF!</v>
      </c>
      <c r="AF1125" s="161">
        <f>IFERROR(SUMIF($B$483:$B$547,$C1125&amp;$I1125,P$483:P$547)/SUMIF($D$483:$D$547,$I1125,P$483:P$547)*#REF!,0)</f>
        <v>0</v>
      </c>
      <c r="AG1125" s="162">
        <f>IFERROR(SUMIF($B$483:$B$547,$C1125&amp;$I1125,Q$483:Q$547)/SUMIF($D$483:$D$547,$I1125,Q$483:Q$547)*#REF!,0)</f>
        <v>0</v>
      </c>
      <c r="AH1125" s="162">
        <f>IFERROR(SUMIF($B$483:$B$547,$C1125&amp;$I1125,R$483:R$547)/SUMIF($D$483:$D$547,$I1125,R$483:R$547)*#REF!,0)</f>
        <v>0</v>
      </c>
      <c r="AI1125" s="162">
        <f>IFERROR(SUMIF($B$483:$B$547,$C1125&amp;$I1125,S$483:S$547)/SUMIF($D$483:$D$547,$I1125,S$483:S$547)*#REF!,0)</f>
        <v>0</v>
      </c>
      <c r="AJ1125" s="162">
        <f>IFERROR(SUMIF($B$483:$B$547,$C1125&amp;$I1125,T$483:T$547)/SUMIF($D$483:$D$547,$I1125,T$483:T$547)*#REF!,0)</f>
        <v>0</v>
      </c>
      <c r="AK1125" s="162">
        <f>IFERROR(SUMIF($B$483:$B$547,$C1125&amp;$I1125,U$483:U$547)/SUMIF($D$483:$D$547,$I1125,U$483:U$547)*#REF!,0)</f>
        <v>0</v>
      </c>
      <c r="AL1125" s="162">
        <f>IFERROR(SUMIF($B$483:$B$547,$C1125&amp;$I1125,V$483:V$547)/SUMIF($D$483:$D$547,$I1125,V$483:V$547)*#REF!,0)</f>
        <v>0</v>
      </c>
      <c r="AM1125" s="162">
        <f>IFERROR(SUMIF($B$483:$B$547,$C1125&amp;$I1125,W$483:W$547)/SUMIF($D$483:$D$547,$I1125,W$483:W$547)*#REF!,0)</f>
        <v>0</v>
      </c>
      <c r="AN1125" s="162">
        <f>IFERROR(SUMIF($B$483:$B$547,$C1125&amp;$I1125,X$483:X$547)/SUMIF($D$483:$D$547,$I1125,X$483:X$547)*#REF!,0)</f>
        <v>0</v>
      </c>
      <c r="AO1125" s="162">
        <f>IFERROR(SUMIF($B$483:$B$547,$C1125&amp;$I1125,Y$483:Y$547)/SUMIF($D$483:$D$547,$I1125,Y$483:Y$547)*#REF!,0)</f>
        <v>0</v>
      </c>
      <c r="AP1125" s="162">
        <f>IFERROR(SUMIF($B$483:$B$547,$C1125&amp;$I1125,Z$483:Z$547)/SUMIF($D$483:$D$547,$I1125,Z$483:Z$547)*#REF!,0)</f>
        <v>0</v>
      </c>
      <c r="AQ1125" s="162">
        <f>IFERROR(SUMIF($B$483:$B$547,$C1125&amp;$I1125,AA$483:AA$547)/SUMIF($D$483:$D$547,$I1125,AA$483:AA$547)*#REF!,0)</f>
        <v>0</v>
      </c>
      <c r="AR1125" s="163">
        <f t="shared" si="362"/>
        <v>0</v>
      </c>
      <c r="AT1125" s="208">
        <f>IFERROR(VLOOKUP(J1125,#REF!,10,0),0)</f>
        <v>0</v>
      </c>
    </row>
    <row r="1126" spans="1:46" hidden="1" outlineLevel="1" x14ac:dyDescent="0.25">
      <c r="A1126" s="14" t="str">
        <f t="shared" si="349"/>
        <v>PROP_OPER__18</v>
      </c>
      <c r="B1126" s="15" t="e">
        <f t="shared" si="357"/>
        <v>#REF!</v>
      </c>
      <c r="C1126" s="83"/>
      <c r="D1126" s="15">
        <v>1</v>
      </c>
      <c r="E1126" s="15">
        <v>18</v>
      </c>
      <c r="F1126" s="190" t="e">
        <f t="shared" si="364"/>
        <v>#REF!</v>
      </c>
      <c r="G1126" s="149" t="e">
        <f t="shared" si="364"/>
        <v>#REF!</v>
      </c>
      <c r="H1126" s="150" t="e">
        <f t="shared" si="364"/>
        <v>#REF!</v>
      </c>
      <c r="I1126" s="150" t="e">
        <f t="shared" si="364"/>
        <v>#REF!</v>
      </c>
      <c r="J1126" s="150" t="e">
        <f t="shared" si="364"/>
        <v>#REF!</v>
      </c>
      <c r="K1126" s="196" t="e">
        <f t="shared" si="364"/>
        <v>#REF!</v>
      </c>
      <c r="L1126" s="197" t="e">
        <f t="shared" si="364"/>
        <v>#REF!</v>
      </c>
      <c r="M1126" s="191" t="e">
        <f t="shared" si="364"/>
        <v>#REF!</v>
      </c>
      <c r="N1126" s="150" t="e">
        <f t="shared" si="364"/>
        <v>#REF!</v>
      </c>
      <c r="O1126" s="193" t="e">
        <f t="shared" si="364"/>
        <v>#REF!</v>
      </c>
      <c r="P1126" s="162">
        <f>IFERROR(SUMIF($B$483:$B$547,$C1126&amp;$I1126,P$483:P$547)/SUMIF($D$483:$D$547,$I1126,P$483:P$547)*#REF!,0)</f>
        <v>0</v>
      </c>
      <c r="Q1126" s="162">
        <f>IFERROR(SUMIF($B$483:$B$547,$C1126&amp;$I1126,Q$483:Q$547)/SUMIF($D$483:$D$547,$I1126,Q$483:Q$547)*#REF!,0)</f>
        <v>0</v>
      </c>
      <c r="R1126" s="162">
        <f>IFERROR(SUMIF($B$483:$B$547,$C1126&amp;$I1126,R$483:R$547)/SUMIF($D$483:$D$547,$I1126,R$483:R$547)*#REF!,0)</f>
        <v>0</v>
      </c>
      <c r="S1126" s="162">
        <f>IFERROR(SUMIF($B$483:$B$547,$C1126&amp;$I1126,S$483:S$547)/SUMIF($D$483:$D$547,$I1126,S$483:S$547)*#REF!,0)</f>
        <v>0</v>
      </c>
      <c r="T1126" s="162">
        <f>IFERROR(SUMIF($B$483:$B$547,$C1126&amp;$I1126,T$483:T$547)/SUMIF($D$483:$D$547,$I1126,T$483:T$547)*#REF!,0)</f>
        <v>0</v>
      </c>
      <c r="U1126" s="162">
        <f>IFERROR(SUMIF($B$483:$B$547,$C1126&amp;$I1126,U$483:U$547)/SUMIF($D$483:$D$547,$I1126,U$483:U$547)*#REF!,0)</f>
        <v>0</v>
      </c>
      <c r="V1126" s="162">
        <f>IFERROR(SUMIF($B$483:$B$547,$C1126&amp;$I1126,V$483:V$547)/SUMIF($D$483:$D$547,$I1126,V$483:V$547)*#REF!,0)</f>
        <v>0</v>
      </c>
      <c r="W1126" s="162">
        <f>IFERROR(SUMIF($B$483:$B$547,$C1126&amp;$I1126,W$483:W$547)/SUMIF($D$483:$D$547,$I1126,W$483:W$547)*#REF!,0)</f>
        <v>0</v>
      </c>
      <c r="X1126" s="162">
        <f>IFERROR(SUMIF($B$483:$B$547,$C1126&amp;$I1126,X$483:X$547)/SUMIF($D$483:$D$547,$I1126,X$483:X$547)*#REF!,0)</f>
        <v>0</v>
      </c>
      <c r="Y1126" s="162">
        <f>IFERROR(SUMIF($B$483:$B$547,$C1126&amp;$I1126,Y$483:Y$547)/SUMIF($D$483:$D$547,$I1126,Y$483:Y$547)*#REF!,0)</f>
        <v>0</v>
      </c>
      <c r="Z1126" s="162">
        <f>IFERROR(SUMIF($B$483:$B$547,$C1126&amp;$I1126,Z$483:Z$547)/SUMIF($D$483:$D$547,$I1126,Z$483:Z$547)*#REF!,0)</f>
        <v>0</v>
      </c>
      <c r="AA1126" s="162">
        <f>IFERROR(SUMIF($B$483:$B$547,$C1126&amp;$I1126,AA$483:AA$547)/SUMIF($D$483:$D$547,$I1126,AA$483:AA$547)*#REF!,0)</f>
        <v>0</v>
      </c>
      <c r="AB1126" s="163">
        <f t="shared" si="360"/>
        <v>0</v>
      </c>
      <c r="AC1126" s="198"/>
      <c r="AE1126" s="194" t="e">
        <f t="shared" si="363"/>
        <v>#REF!</v>
      </c>
      <c r="AF1126" s="161">
        <f>IFERROR(SUMIF($B$483:$B$547,$C1126&amp;$I1126,P$483:P$547)/SUMIF($D$483:$D$547,$I1126,P$483:P$547)*#REF!,0)</f>
        <v>0</v>
      </c>
      <c r="AG1126" s="162">
        <f>IFERROR(SUMIF($B$483:$B$547,$C1126&amp;$I1126,Q$483:Q$547)/SUMIF($D$483:$D$547,$I1126,Q$483:Q$547)*#REF!,0)</f>
        <v>0</v>
      </c>
      <c r="AH1126" s="162">
        <f>IFERROR(SUMIF($B$483:$B$547,$C1126&amp;$I1126,R$483:R$547)/SUMIF($D$483:$D$547,$I1126,R$483:R$547)*#REF!,0)</f>
        <v>0</v>
      </c>
      <c r="AI1126" s="162">
        <f>IFERROR(SUMIF($B$483:$B$547,$C1126&amp;$I1126,S$483:S$547)/SUMIF($D$483:$D$547,$I1126,S$483:S$547)*#REF!,0)</f>
        <v>0</v>
      </c>
      <c r="AJ1126" s="162">
        <f>IFERROR(SUMIF($B$483:$B$547,$C1126&amp;$I1126,T$483:T$547)/SUMIF($D$483:$D$547,$I1126,T$483:T$547)*#REF!,0)</f>
        <v>0</v>
      </c>
      <c r="AK1126" s="162">
        <f>IFERROR(SUMIF($B$483:$B$547,$C1126&amp;$I1126,U$483:U$547)/SUMIF($D$483:$D$547,$I1126,U$483:U$547)*#REF!,0)</f>
        <v>0</v>
      </c>
      <c r="AL1126" s="162">
        <f>IFERROR(SUMIF($B$483:$B$547,$C1126&amp;$I1126,V$483:V$547)/SUMIF($D$483:$D$547,$I1126,V$483:V$547)*#REF!,0)</f>
        <v>0</v>
      </c>
      <c r="AM1126" s="162">
        <f>IFERROR(SUMIF($B$483:$B$547,$C1126&amp;$I1126,W$483:W$547)/SUMIF($D$483:$D$547,$I1126,W$483:W$547)*#REF!,0)</f>
        <v>0</v>
      </c>
      <c r="AN1126" s="162">
        <f>IFERROR(SUMIF($B$483:$B$547,$C1126&amp;$I1126,X$483:X$547)/SUMIF($D$483:$D$547,$I1126,X$483:X$547)*#REF!,0)</f>
        <v>0</v>
      </c>
      <c r="AO1126" s="162">
        <f>IFERROR(SUMIF($B$483:$B$547,$C1126&amp;$I1126,Y$483:Y$547)/SUMIF($D$483:$D$547,$I1126,Y$483:Y$547)*#REF!,0)</f>
        <v>0</v>
      </c>
      <c r="AP1126" s="162">
        <f>IFERROR(SUMIF($B$483:$B$547,$C1126&amp;$I1126,Z$483:Z$547)/SUMIF($D$483:$D$547,$I1126,Z$483:Z$547)*#REF!,0)</f>
        <v>0</v>
      </c>
      <c r="AQ1126" s="162">
        <f>IFERROR(SUMIF($B$483:$B$547,$C1126&amp;$I1126,AA$483:AA$547)/SUMIF($D$483:$D$547,$I1126,AA$483:AA$547)*#REF!,0)</f>
        <v>0</v>
      </c>
      <c r="AR1126" s="163">
        <f t="shared" si="362"/>
        <v>0</v>
      </c>
      <c r="AT1126" s="208">
        <f>IFERROR(VLOOKUP(J1126,#REF!,10,0),0)</f>
        <v>0</v>
      </c>
    </row>
    <row r="1127" spans="1:46" hidden="1" outlineLevel="1" x14ac:dyDescent="0.25">
      <c r="A1127" s="14" t="str">
        <f t="shared" si="349"/>
        <v>PROP_OPER__19</v>
      </c>
      <c r="B1127" s="15" t="str">
        <f t="shared" si="357"/>
        <v>PROP_OPER__0_0</v>
      </c>
      <c r="C1127" s="83"/>
      <c r="D1127" s="15">
        <v>1</v>
      </c>
      <c r="E1127" s="15">
        <v>19</v>
      </c>
      <c r="F1127" s="190">
        <f t="shared" si="364"/>
        <v>0</v>
      </c>
      <c r="G1127" s="149" t="str">
        <f t="shared" si="364"/>
        <v/>
      </c>
      <c r="H1127" s="150" t="str">
        <f t="shared" si="364"/>
        <v/>
      </c>
      <c r="I1127" s="150">
        <f t="shared" si="364"/>
        <v>0</v>
      </c>
      <c r="J1127" s="150">
        <f t="shared" si="364"/>
        <v>0</v>
      </c>
      <c r="K1127" s="196" t="str">
        <f t="shared" si="364"/>
        <v/>
      </c>
      <c r="L1127" s="197" t="str">
        <f t="shared" si="364"/>
        <v/>
      </c>
      <c r="M1127" s="191">
        <f t="shared" si="364"/>
        <v>0</v>
      </c>
      <c r="N1127" s="150">
        <f t="shared" si="364"/>
        <v>0</v>
      </c>
      <c r="O1127" s="193">
        <f t="shared" si="364"/>
        <v>0</v>
      </c>
      <c r="P1127" s="162">
        <f t="shared" ref="P1127:AA1142" si="365">IFERROR(SUMIF($B$483:$B$547,$C1127&amp;$I1127,P$483:P$547)/SUMIF($D$483:$D$547,$I1127,P$483:P$547)*P612,0)</f>
        <v>0</v>
      </c>
      <c r="Q1127" s="162">
        <f t="shared" si="365"/>
        <v>0</v>
      </c>
      <c r="R1127" s="162">
        <f t="shared" si="365"/>
        <v>0</v>
      </c>
      <c r="S1127" s="162">
        <f t="shared" si="365"/>
        <v>0</v>
      </c>
      <c r="T1127" s="162">
        <f t="shared" si="365"/>
        <v>0</v>
      </c>
      <c r="U1127" s="162">
        <f t="shared" si="365"/>
        <v>0</v>
      </c>
      <c r="V1127" s="162">
        <f t="shared" si="365"/>
        <v>0</v>
      </c>
      <c r="W1127" s="162">
        <f t="shared" si="365"/>
        <v>0</v>
      </c>
      <c r="X1127" s="162">
        <f t="shared" si="365"/>
        <v>0</v>
      </c>
      <c r="Y1127" s="162">
        <f t="shared" si="365"/>
        <v>0</v>
      </c>
      <c r="Z1127" s="162">
        <f t="shared" si="365"/>
        <v>0</v>
      </c>
      <c r="AA1127" s="162">
        <f t="shared" si="365"/>
        <v>0</v>
      </c>
      <c r="AB1127" s="163">
        <f t="shared" si="360"/>
        <v>0</v>
      </c>
      <c r="AC1127" s="198"/>
      <c r="AE1127" s="194" t="str">
        <f t="shared" si="363"/>
        <v/>
      </c>
      <c r="AF1127" s="161">
        <f t="shared" ref="AF1127:AQ1142" si="366">IFERROR(SUMIF($B$483:$B$547,$C1127&amp;$I1127,P$483:P$547)/SUMIF($D$483:$D$547,$I1127,P$483:P$547)*AF612,0)</f>
        <v>0</v>
      </c>
      <c r="AG1127" s="162">
        <f t="shared" si="366"/>
        <v>0</v>
      </c>
      <c r="AH1127" s="162">
        <f t="shared" si="366"/>
        <v>0</v>
      </c>
      <c r="AI1127" s="162">
        <f t="shared" si="366"/>
        <v>0</v>
      </c>
      <c r="AJ1127" s="162">
        <f t="shared" si="366"/>
        <v>0</v>
      </c>
      <c r="AK1127" s="162">
        <f t="shared" si="366"/>
        <v>0</v>
      </c>
      <c r="AL1127" s="162">
        <f t="shared" si="366"/>
        <v>0</v>
      </c>
      <c r="AM1127" s="162">
        <f t="shared" si="366"/>
        <v>0</v>
      </c>
      <c r="AN1127" s="162">
        <f t="shared" si="366"/>
        <v>0</v>
      </c>
      <c r="AO1127" s="162">
        <f t="shared" si="366"/>
        <v>0</v>
      </c>
      <c r="AP1127" s="162">
        <f t="shared" si="366"/>
        <v>0</v>
      </c>
      <c r="AQ1127" s="162">
        <f t="shared" si="366"/>
        <v>0</v>
      </c>
      <c r="AR1127" s="163">
        <f t="shared" si="362"/>
        <v>0</v>
      </c>
      <c r="AT1127" s="208">
        <f>IFERROR(VLOOKUP(J1127,#REF!,10,0),0)</f>
        <v>0</v>
      </c>
    </row>
    <row r="1128" spans="1:46" hidden="1" outlineLevel="1" x14ac:dyDescent="0.25">
      <c r="A1128" s="14" t="str">
        <f t="shared" si="349"/>
        <v>PROP_OPER__20</v>
      </c>
      <c r="B1128" s="15" t="str">
        <f t="shared" si="357"/>
        <v>PROP_OPER__0_0</v>
      </c>
      <c r="C1128" s="83"/>
      <c r="D1128" s="15">
        <v>1</v>
      </c>
      <c r="E1128" s="15">
        <v>20</v>
      </c>
      <c r="F1128" s="190">
        <f t="shared" si="364"/>
        <v>0</v>
      </c>
      <c r="G1128" s="149" t="str">
        <f t="shared" si="364"/>
        <v/>
      </c>
      <c r="H1128" s="150" t="str">
        <f t="shared" si="364"/>
        <v/>
      </c>
      <c r="I1128" s="150">
        <f t="shared" si="364"/>
        <v>0</v>
      </c>
      <c r="J1128" s="150">
        <f t="shared" si="364"/>
        <v>0</v>
      </c>
      <c r="K1128" s="196" t="str">
        <f t="shared" si="364"/>
        <v/>
      </c>
      <c r="L1128" s="197" t="str">
        <f t="shared" si="364"/>
        <v/>
      </c>
      <c r="M1128" s="191">
        <f t="shared" si="364"/>
        <v>0</v>
      </c>
      <c r="N1128" s="150">
        <f t="shared" si="364"/>
        <v>0</v>
      </c>
      <c r="O1128" s="193">
        <f t="shared" si="364"/>
        <v>0</v>
      </c>
      <c r="P1128" s="162">
        <f t="shared" si="365"/>
        <v>0</v>
      </c>
      <c r="Q1128" s="162">
        <f t="shared" si="365"/>
        <v>0</v>
      </c>
      <c r="R1128" s="162">
        <f t="shared" si="365"/>
        <v>0</v>
      </c>
      <c r="S1128" s="162">
        <f t="shared" si="365"/>
        <v>0</v>
      </c>
      <c r="T1128" s="162">
        <f t="shared" si="365"/>
        <v>0</v>
      </c>
      <c r="U1128" s="162">
        <f t="shared" si="365"/>
        <v>0</v>
      </c>
      <c r="V1128" s="162">
        <f t="shared" si="365"/>
        <v>0</v>
      </c>
      <c r="W1128" s="162">
        <f t="shared" si="365"/>
        <v>0</v>
      </c>
      <c r="X1128" s="162">
        <f t="shared" si="365"/>
        <v>0</v>
      </c>
      <c r="Y1128" s="162">
        <f t="shared" si="365"/>
        <v>0</v>
      </c>
      <c r="Z1128" s="162">
        <f t="shared" si="365"/>
        <v>0</v>
      </c>
      <c r="AA1128" s="162">
        <f t="shared" si="365"/>
        <v>0</v>
      </c>
      <c r="AB1128" s="163">
        <f t="shared" si="360"/>
        <v>0</v>
      </c>
      <c r="AC1128" s="198"/>
      <c r="AE1128" s="194" t="str">
        <f t="shared" si="363"/>
        <v/>
      </c>
      <c r="AF1128" s="161">
        <f t="shared" si="366"/>
        <v>0</v>
      </c>
      <c r="AG1128" s="162">
        <f t="shared" si="366"/>
        <v>0</v>
      </c>
      <c r="AH1128" s="162">
        <f t="shared" si="366"/>
        <v>0</v>
      </c>
      <c r="AI1128" s="162">
        <f t="shared" si="366"/>
        <v>0</v>
      </c>
      <c r="AJ1128" s="162">
        <f t="shared" si="366"/>
        <v>0</v>
      </c>
      <c r="AK1128" s="162">
        <f t="shared" si="366"/>
        <v>0</v>
      </c>
      <c r="AL1128" s="162">
        <f t="shared" si="366"/>
        <v>0</v>
      </c>
      <c r="AM1128" s="162">
        <f t="shared" si="366"/>
        <v>0</v>
      </c>
      <c r="AN1128" s="162">
        <f t="shared" si="366"/>
        <v>0</v>
      </c>
      <c r="AO1128" s="162">
        <f t="shared" si="366"/>
        <v>0</v>
      </c>
      <c r="AP1128" s="162">
        <f t="shared" si="366"/>
        <v>0</v>
      </c>
      <c r="AQ1128" s="162">
        <f t="shared" si="366"/>
        <v>0</v>
      </c>
      <c r="AR1128" s="163">
        <f t="shared" si="362"/>
        <v>0</v>
      </c>
      <c r="AT1128" s="208">
        <f>IFERROR(VLOOKUP(J1128,#REF!,10,0),0)</f>
        <v>0</v>
      </c>
    </row>
    <row r="1129" spans="1:46" hidden="1" outlineLevel="1" x14ac:dyDescent="0.25">
      <c r="A1129" s="14" t="str">
        <f t="shared" si="349"/>
        <v>PROP_OPER__21</v>
      </c>
      <c r="B1129" s="15" t="str">
        <f t="shared" si="357"/>
        <v>PROP_OPER__0_0</v>
      </c>
      <c r="C1129" s="83"/>
      <c r="D1129" s="15">
        <v>1</v>
      </c>
      <c r="E1129" s="15">
        <v>21</v>
      </c>
      <c r="F1129" s="190">
        <f t="shared" si="364"/>
        <v>0</v>
      </c>
      <c r="G1129" s="149" t="str">
        <f t="shared" si="364"/>
        <v/>
      </c>
      <c r="H1129" s="150" t="str">
        <f t="shared" si="364"/>
        <v/>
      </c>
      <c r="I1129" s="150">
        <f t="shared" si="364"/>
        <v>0</v>
      </c>
      <c r="J1129" s="150">
        <f t="shared" si="364"/>
        <v>0</v>
      </c>
      <c r="K1129" s="196" t="str">
        <f t="shared" si="364"/>
        <v/>
      </c>
      <c r="L1129" s="197" t="str">
        <f t="shared" si="364"/>
        <v/>
      </c>
      <c r="M1129" s="191">
        <f t="shared" si="364"/>
        <v>0</v>
      </c>
      <c r="N1129" s="150">
        <f t="shared" si="364"/>
        <v>0</v>
      </c>
      <c r="O1129" s="193">
        <f t="shared" si="364"/>
        <v>0</v>
      </c>
      <c r="P1129" s="162">
        <f t="shared" si="365"/>
        <v>0</v>
      </c>
      <c r="Q1129" s="162">
        <f t="shared" si="365"/>
        <v>0</v>
      </c>
      <c r="R1129" s="162">
        <f t="shared" si="365"/>
        <v>0</v>
      </c>
      <c r="S1129" s="162">
        <f t="shared" si="365"/>
        <v>0</v>
      </c>
      <c r="T1129" s="162">
        <f t="shared" si="365"/>
        <v>0</v>
      </c>
      <c r="U1129" s="162">
        <f t="shared" si="365"/>
        <v>0</v>
      </c>
      <c r="V1129" s="162">
        <f t="shared" si="365"/>
        <v>0</v>
      </c>
      <c r="W1129" s="162">
        <f t="shared" si="365"/>
        <v>0</v>
      </c>
      <c r="X1129" s="162">
        <f t="shared" si="365"/>
        <v>0</v>
      </c>
      <c r="Y1129" s="162">
        <f t="shared" si="365"/>
        <v>0</v>
      </c>
      <c r="Z1129" s="162">
        <f t="shared" si="365"/>
        <v>0</v>
      </c>
      <c r="AA1129" s="162">
        <f t="shared" si="365"/>
        <v>0</v>
      </c>
      <c r="AB1129" s="163">
        <f t="shared" si="360"/>
        <v>0</v>
      </c>
      <c r="AC1129" s="198"/>
      <c r="AE1129" s="194" t="str">
        <f t="shared" si="363"/>
        <v/>
      </c>
      <c r="AF1129" s="161">
        <f t="shared" si="366"/>
        <v>0</v>
      </c>
      <c r="AG1129" s="162">
        <f t="shared" si="366"/>
        <v>0</v>
      </c>
      <c r="AH1129" s="162">
        <f t="shared" si="366"/>
        <v>0</v>
      </c>
      <c r="AI1129" s="162">
        <f t="shared" si="366"/>
        <v>0</v>
      </c>
      <c r="AJ1129" s="162">
        <f t="shared" si="366"/>
        <v>0</v>
      </c>
      <c r="AK1129" s="162">
        <f t="shared" si="366"/>
        <v>0</v>
      </c>
      <c r="AL1129" s="162">
        <f t="shared" si="366"/>
        <v>0</v>
      </c>
      <c r="AM1129" s="162">
        <f t="shared" si="366"/>
        <v>0</v>
      </c>
      <c r="AN1129" s="162">
        <f t="shared" si="366"/>
        <v>0</v>
      </c>
      <c r="AO1129" s="162">
        <f t="shared" si="366"/>
        <v>0</v>
      </c>
      <c r="AP1129" s="162">
        <f t="shared" si="366"/>
        <v>0</v>
      </c>
      <c r="AQ1129" s="162">
        <f t="shared" si="366"/>
        <v>0</v>
      </c>
      <c r="AR1129" s="163">
        <f t="shared" si="362"/>
        <v>0</v>
      </c>
      <c r="AT1129" s="208">
        <f>IFERROR(VLOOKUP(J1129,#REF!,10,0),0)</f>
        <v>0</v>
      </c>
    </row>
    <row r="1130" spans="1:46" hidden="1" outlineLevel="1" x14ac:dyDescent="0.25">
      <c r="A1130" s="14" t="str">
        <f t="shared" si="349"/>
        <v>PROP_OPER__22</v>
      </c>
      <c r="B1130" s="15" t="str">
        <f t="shared" si="357"/>
        <v>PROP_OPER__0_0</v>
      </c>
      <c r="C1130" s="83"/>
      <c r="D1130" s="15">
        <v>1</v>
      </c>
      <c r="E1130" s="15">
        <v>22</v>
      </c>
      <c r="F1130" s="190">
        <f t="shared" si="364"/>
        <v>0</v>
      </c>
      <c r="G1130" s="149" t="str">
        <f t="shared" si="364"/>
        <v/>
      </c>
      <c r="H1130" s="150" t="str">
        <f t="shared" si="364"/>
        <v/>
      </c>
      <c r="I1130" s="150">
        <f t="shared" si="364"/>
        <v>0</v>
      </c>
      <c r="J1130" s="150">
        <f t="shared" si="364"/>
        <v>0</v>
      </c>
      <c r="K1130" s="196" t="str">
        <f t="shared" si="364"/>
        <v/>
      </c>
      <c r="L1130" s="197" t="str">
        <f t="shared" si="364"/>
        <v/>
      </c>
      <c r="M1130" s="191">
        <f t="shared" si="364"/>
        <v>0</v>
      </c>
      <c r="N1130" s="150">
        <f t="shared" si="364"/>
        <v>0</v>
      </c>
      <c r="O1130" s="193">
        <f t="shared" si="364"/>
        <v>0</v>
      </c>
      <c r="P1130" s="162">
        <f t="shared" si="365"/>
        <v>0</v>
      </c>
      <c r="Q1130" s="162">
        <f t="shared" si="365"/>
        <v>0</v>
      </c>
      <c r="R1130" s="162">
        <f t="shared" si="365"/>
        <v>0</v>
      </c>
      <c r="S1130" s="162">
        <f t="shared" si="365"/>
        <v>0</v>
      </c>
      <c r="T1130" s="162">
        <f t="shared" si="365"/>
        <v>0</v>
      </c>
      <c r="U1130" s="162">
        <f t="shared" si="365"/>
        <v>0</v>
      </c>
      <c r="V1130" s="162">
        <f t="shared" si="365"/>
        <v>0</v>
      </c>
      <c r="W1130" s="162">
        <f t="shared" si="365"/>
        <v>0</v>
      </c>
      <c r="X1130" s="162">
        <f t="shared" si="365"/>
        <v>0</v>
      </c>
      <c r="Y1130" s="162">
        <f t="shared" si="365"/>
        <v>0</v>
      </c>
      <c r="Z1130" s="162">
        <f t="shared" si="365"/>
        <v>0</v>
      </c>
      <c r="AA1130" s="162">
        <f t="shared" si="365"/>
        <v>0</v>
      </c>
      <c r="AB1130" s="163">
        <f t="shared" si="360"/>
        <v>0</v>
      </c>
      <c r="AC1130" s="198"/>
      <c r="AE1130" s="194" t="str">
        <f t="shared" si="363"/>
        <v/>
      </c>
      <c r="AF1130" s="161">
        <f t="shared" si="366"/>
        <v>0</v>
      </c>
      <c r="AG1130" s="162">
        <f t="shared" si="366"/>
        <v>0</v>
      </c>
      <c r="AH1130" s="162">
        <f t="shared" si="366"/>
        <v>0</v>
      </c>
      <c r="AI1130" s="162">
        <f t="shared" si="366"/>
        <v>0</v>
      </c>
      <c r="AJ1130" s="162">
        <f t="shared" si="366"/>
        <v>0</v>
      </c>
      <c r="AK1130" s="162">
        <f t="shared" si="366"/>
        <v>0</v>
      </c>
      <c r="AL1130" s="162">
        <f t="shared" si="366"/>
        <v>0</v>
      </c>
      <c r="AM1130" s="162">
        <f t="shared" si="366"/>
        <v>0</v>
      </c>
      <c r="AN1130" s="162">
        <f t="shared" si="366"/>
        <v>0</v>
      </c>
      <c r="AO1130" s="162">
        <f t="shared" si="366"/>
        <v>0</v>
      </c>
      <c r="AP1130" s="162">
        <f t="shared" si="366"/>
        <v>0</v>
      </c>
      <c r="AQ1130" s="162">
        <f t="shared" si="366"/>
        <v>0</v>
      </c>
      <c r="AR1130" s="163">
        <f t="shared" si="362"/>
        <v>0</v>
      </c>
      <c r="AT1130" s="208">
        <f>IFERROR(VLOOKUP(J1130,#REF!,10,0),0)</f>
        <v>0</v>
      </c>
    </row>
    <row r="1131" spans="1:46" hidden="1" outlineLevel="1" x14ac:dyDescent="0.25">
      <c r="A1131" s="14" t="str">
        <f t="shared" si="349"/>
        <v>PROP_OPER__23</v>
      </c>
      <c r="B1131" s="15" t="str">
        <f t="shared" si="357"/>
        <v>PROP_OPER__0_0</v>
      </c>
      <c r="C1131" s="83"/>
      <c r="D1131" s="15">
        <v>1</v>
      </c>
      <c r="E1131" s="15">
        <v>23</v>
      </c>
      <c r="F1131" s="190">
        <f t="shared" si="364"/>
        <v>0</v>
      </c>
      <c r="G1131" s="149" t="str">
        <f t="shared" si="364"/>
        <v/>
      </c>
      <c r="H1131" s="150" t="str">
        <f t="shared" si="364"/>
        <v/>
      </c>
      <c r="I1131" s="150">
        <f t="shared" si="364"/>
        <v>0</v>
      </c>
      <c r="J1131" s="150">
        <f t="shared" si="364"/>
        <v>0</v>
      </c>
      <c r="K1131" s="196" t="str">
        <f t="shared" si="364"/>
        <v/>
      </c>
      <c r="L1131" s="197" t="str">
        <f t="shared" si="364"/>
        <v/>
      </c>
      <c r="M1131" s="191">
        <f t="shared" si="364"/>
        <v>0</v>
      </c>
      <c r="N1131" s="150">
        <f t="shared" si="364"/>
        <v>0</v>
      </c>
      <c r="O1131" s="193">
        <f t="shared" si="364"/>
        <v>0</v>
      </c>
      <c r="P1131" s="162">
        <f t="shared" si="365"/>
        <v>0</v>
      </c>
      <c r="Q1131" s="162">
        <f t="shared" si="365"/>
        <v>0</v>
      </c>
      <c r="R1131" s="162">
        <f t="shared" si="365"/>
        <v>0</v>
      </c>
      <c r="S1131" s="162">
        <f t="shared" si="365"/>
        <v>0</v>
      </c>
      <c r="T1131" s="162">
        <f t="shared" si="365"/>
        <v>0</v>
      </c>
      <c r="U1131" s="162">
        <f t="shared" si="365"/>
        <v>0</v>
      </c>
      <c r="V1131" s="162">
        <f t="shared" si="365"/>
        <v>0</v>
      </c>
      <c r="W1131" s="162">
        <f t="shared" si="365"/>
        <v>0</v>
      </c>
      <c r="X1131" s="162">
        <f t="shared" si="365"/>
        <v>0</v>
      </c>
      <c r="Y1131" s="162">
        <f t="shared" si="365"/>
        <v>0</v>
      </c>
      <c r="Z1131" s="162">
        <f t="shared" si="365"/>
        <v>0</v>
      </c>
      <c r="AA1131" s="162">
        <f t="shared" si="365"/>
        <v>0</v>
      </c>
      <c r="AB1131" s="163">
        <f t="shared" si="360"/>
        <v>0</v>
      </c>
      <c r="AC1131" s="198"/>
      <c r="AE1131" s="194" t="str">
        <f t="shared" si="363"/>
        <v/>
      </c>
      <c r="AF1131" s="161">
        <f t="shared" si="366"/>
        <v>0</v>
      </c>
      <c r="AG1131" s="162">
        <f t="shared" si="366"/>
        <v>0</v>
      </c>
      <c r="AH1131" s="162">
        <f t="shared" si="366"/>
        <v>0</v>
      </c>
      <c r="AI1131" s="162">
        <f t="shared" si="366"/>
        <v>0</v>
      </c>
      <c r="AJ1131" s="162">
        <f t="shared" si="366"/>
        <v>0</v>
      </c>
      <c r="AK1131" s="162">
        <f t="shared" si="366"/>
        <v>0</v>
      </c>
      <c r="AL1131" s="162">
        <f t="shared" si="366"/>
        <v>0</v>
      </c>
      <c r="AM1131" s="162">
        <f t="shared" si="366"/>
        <v>0</v>
      </c>
      <c r="AN1131" s="162">
        <f t="shared" si="366"/>
        <v>0</v>
      </c>
      <c r="AO1131" s="162">
        <f t="shared" si="366"/>
        <v>0</v>
      </c>
      <c r="AP1131" s="162">
        <f t="shared" si="366"/>
        <v>0</v>
      </c>
      <c r="AQ1131" s="162">
        <f t="shared" si="366"/>
        <v>0</v>
      </c>
      <c r="AR1131" s="163">
        <f t="shared" si="362"/>
        <v>0</v>
      </c>
      <c r="AT1131" s="208">
        <f>IFERROR(VLOOKUP(J1131,#REF!,10,0),0)</f>
        <v>0</v>
      </c>
    </row>
    <row r="1132" spans="1:46" hidden="1" outlineLevel="1" x14ac:dyDescent="0.25">
      <c r="A1132" s="14" t="str">
        <f t="shared" si="349"/>
        <v>PROP_OPER__24</v>
      </c>
      <c r="B1132" s="15" t="str">
        <f t="shared" si="357"/>
        <v>PROP_OPER__0_0</v>
      </c>
      <c r="C1132" s="83"/>
      <c r="D1132" s="15">
        <v>1</v>
      </c>
      <c r="E1132" s="15">
        <v>24</v>
      </c>
      <c r="F1132" s="190">
        <f t="shared" si="364"/>
        <v>0</v>
      </c>
      <c r="G1132" s="149" t="str">
        <f t="shared" si="364"/>
        <v/>
      </c>
      <c r="H1132" s="150" t="str">
        <f t="shared" si="364"/>
        <v/>
      </c>
      <c r="I1132" s="150">
        <f t="shared" si="364"/>
        <v>0</v>
      </c>
      <c r="J1132" s="150">
        <f t="shared" si="364"/>
        <v>0</v>
      </c>
      <c r="K1132" s="196" t="str">
        <f t="shared" si="364"/>
        <v/>
      </c>
      <c r="L1132" s="197" t="str">
        <f t="shared" si="364"/>
        <v/>
      </c>
      <c r="M1132" s="191">
        <f t="shared" si="364"/>
        <v>0</v>
      </c>
      <c r="N1132" s="150">
        <f t="shared" si="364"/>
        <v>0</v>
      </c>
      <c r="O1132" s="193">
        <f t="shared" si="364"/>
        <v>0</v>
      </c>
      <c r="P1132" s="162">
        <f t="shared" si="365"/>
        <v>0</v>
      </c>
      <c r="Q1132" s="162">
        <f t="shared" si="365"/>
        <v>0</v>
      </c>
      <c r="R1132" s="162">
        <f t="shared" si="365"/>
        <v>0</v>
      </c>
      <c r="S1132" s="162">
        <f t="shared" si="365"/>
        <v>0</v>
      </c>
      <c r="T1132" s="162">
        <f t="shared" si="365"/>
        <v>0</v>
      </c>
      <c r="U1132" s="162">
        <f t="shared" si="365"/>
        <v>0</v>
      </c>
      <c r="V1132" s="162">
        <f t="shared" si="365"/>
        <v>0</v>
      </c>
      <c r="W1132" s="162">
        <f t="shared" si="365"/>
        <v>0</v>
      </c>
      <c r="X1132" s="162">
        <f t="shared" si="365"/>
        <v>0</v>
      </c>
      <c r="Y1132" s="162">
        <f t="shared" si="365"/>
        <v>0</v>
      </c>
      <c r="Z1132" s="162">
        <f t="shared" si="365"/>
        <v>0</v>
      </c>
      <c r="AA1132" s="162">
        <f t="shared" si="365"/>
        <v>0</v>
      </c>
      <c r="AB1132" s="163">
        <f t="shared" si="360"/>
        <v>0</v>
      </c>
      <c r="AC1132" s="198"/>
      <c r="AE1132" s="194" t="str">
        <f t="shared" si="363"/>
        <v/>
      </c>
      <c r="AF1132" s="161">
        <f t="shared" si="366"/>
        <v>0</v>
      </c>
      <c r="AG1132" s="162">
        <f t="shared" si="366"/>
        <v>0</v>
      </c>
      <c r="AH1132" s="162">
        <f t="shared" si="366"/>
        <v>0</v>
      </c>
      <c r="AI1132" s="162">
        <f t="shared" si="366"/>
        <v>0</v>
      </c>
      <c r="AJ1132" s="162">
        <f t="shared" si="366"/>
        <v>0</v>
      </c>
      <c r="AK1132" s="162">
        <f t="shared" si="366"/>
        <v>0</v>
      </c>
      <c r="AL1132" s="162">
        <f t="shared" si="366"/>
        <v>0</v>
      </c>
      <c r="AM1132" s="162">
        <f t="shared" si="366"/>
        <v>0</v>
      </c>
      <c r="AN1132" s="162">
        <f t="shared" si="366"/>
        <v>0</v>
      </c>
      <c r="AO1132" s="162">
        <f t="shared" si="366"/>
        <v>0</v>
      </c>
      <c r="AP1132" s="162">
        <f t="shared" si="366"/>
        <v>0</v>
      </c>
      <c r="AQ1132" s="162">
        <f t="shared" si="366"/>
        <v>0</v>
      </c>
      <c r="AR1132" s="163">
        <f t="shared" si="362"/>
        <v>0</v>
      </c>
      <c r="AT1132" s="208">
        <f>IFERROR(VLOOKUP(J1132,#REF!,10,0),0)</f>
        <v>0</v>
      </c>
    </row>
    <row r="1133" spans="1:46" hidden="1" outlineLevel="1" x14ac:dyDescent="0.25">
      <c r="A1133" s="14" t="str">
        <f t="shared" si="349"/>
        <v>PROP_OPER__25</v>
      </c>
      <c r="B1133" s="15" t="str">
        <f t="shared" si="357"/>
        <v>PROP_OPER__0_0</v>
      </c>
      <c r="C1133" s="83"/>
      <c r="D1133" s="15">
        <v>1</v>
      </c>
      <c r="E1133" s="15">
        <v>25</v>
      </c>
      <c r="F1133" s="190">
        <f t="shared" si="364"/>
        <v>0</v>
      </c>
      <c r="G1133" s="149" t="str">
        <f t="shared" si="364"/>
        <v/>
      </c>
      <c r="H1133" s="150" t="str">
        <f t="shared" si="364"/>
        <v/>
      </c>
      <c r="I1133" s="150">
        <f t="shared" si="364"/>
        <v>0</v>
      </c>
      <c r="J1133" s="150">
        <f t="shared" si="364"/>
        <v>0</v>
      </c>
      <c r="K1133" s="196" t="str">
        <f t="shared" si="364"/>
        <v/>
      </c>
      <c r="L1133" s="197" t="str">
        <f t="shared" si="364"/>
        <v/>
      </c>
      <c r="M1133" s="191">
        <f t="shared" si="364"/>
        <v>0</v>
      </c>
      <c r="N1133" s="150">
        <f t="shared" si="364"/>
        <v>0</v>
      </c>
      <c r="O1133" s="193">
        <f t="shared" si="364"/>
        <v>0</v>
      </c>
      <c r="P1133" s="162">
        <f t="shared" si="365"/>
        <v>0</v>
      </c>
      <c r="Q1133" s="162">
        <f t="shared" si="365"/>
        <v>0</v>
      </c>
      <c r="R1133" s="162">
        <f t="shared" si="365"/>
        <v>0</v>
      </c>
      <c r="S1133" s="162">
        <f t="shared" si="365"/>
        <v>0</v>
      </c>
      <c r="T1133" s="162">
        <f t="shared" si="365"/>
        <v>0</v>
      </c>
      <c r="U1133" s="162">
        <f t="shared" si="365"/>
        <v>0</v>
      </c>
      <c r="V1133" s="162">
        <f t="shared" si="365"/>
        <v>0</v>
      </c>
      <c r="W1133" s="162">
        <f t="shared" si="365"/>
        <v>0</v>
      </c>
      <c r="X1133" s="162">
        <f t="shared" si="365"/>
        <v>0</v>
      </c>
      <c r="Y1133" s="162">
        <f t="shared" si="365"/>
        <v>0</v>
      </c>
      <c r="Z1133" s="162">
        <f t="shared" si="365"/>
        <v>0</v>
      </c>
      <c r="AA1133" s="162">
        <f t="shared" si="365"/>
        <v>0</v>
      </c>
      <c r="AB1133" s="163">
        <f t="shared" si="360"/>
        <v>0</v>
      </c>
      <c r="AC1133" s="198"/>
      <c r="AE1133" s="194" t="str">
        <f t="shared" si="363"/>
        <v/>
      </c>
      <c r="AF1133" s="161">
        <f t="shared" si="366"/>
        <v>0</v>
      </c>
      <c r="AG1133" s="162">
        <f t="shared" si="366"/>
        <v>0</v>
      </c>
      <c r="AH1133" s="162">
        <f t="shared" si="366"/>
        <v>0</v>
      </c>
      <c r="AI1133" s="162">
        <f t="shared" si="366"/>
        <v>0</v>
      </c>
      <c r="AJ1133" s="162">
        <f t="shared" si="366"/>
        <v>0</v>
      </c>
      <c r="AK1133" s="162">
        <f t="shared" si="366"/>
        <v>0</v>
      </c>
      <c r="AL1133" s="162">
        <f t="shared" si="366"/>
        <v>0</v>
      </c>
      <c r="AM1133" s="162">
        <f t="shared" si="366"/>
        <v>0</v>
      </c>
      <c r="AN1133" s="162">
        <f t="shared" si="366"/>
        <v>0</v>
      </c>
      <c r="AO1133" s="162">
        <f t="shared" si="366"/>
        <v>0</v>
      </c>
      <c r="AP1133" s="162">
        <f t="shared" si="366"/>
        <v>0</v>
      </c>
      <c r="AQ1133" s="162">
        <f t="shared" si="366"/>
        <v>0</v>
      </c>
      <c r="AR1133" s="163">
        <f t="shared" si="362"/>
        <v>0</v>
      </c>
      <c r="AT1133" s="208">
        <f>IFERROR(VLOOKUP(J1133,#REF!,10,0),0)</f>
        <v>0</v>
      </c>
    </row>
    <row r="1134" spans="1:46" hidden="1" outlineLevel="1" x14ac:dyDescent="0.25">
      <c r="A1134" s="14" t="str">
        <f t="shared" si="349"/>
        <v>PROP_OPER__26</v>
      </c>
      <c r="B1134" s="15" t="str">
        <f t="shared" si="357"/>
        <v>PROP_OPER__0_0</v>
      </c>
      <c r="C1134" s="83"/>
      <c r="D1134" s="15">
        <v>1</v>
      </c>
      <c r="E1134" s="15">
        <v>26</v>
      </c>
      <c r="F1134" s="190">
        <f t="shared" si="364"/>
        <v>0</v>
      </c>
      <c r="G1134" s="149" t="str">
        <f t="shared" si="364"/>
        <v/>
      </c>
      <c r="H1134" s="150" t="str">
        <f t="shared" si="364"/>
        <v/>
      </c>
      <c r="I1134" s="150">
        <f t="shared" si="364"/>
        <v>0</v>
      </c>
      <c r="J1134" s="150">
        <f t="shared" si="364"/>
        <v>0</v>
      </c>
      <c r="K1134" s="196" t="str">
        <f t="shared" si="364"/>
        <v/>
      </c>
      <c r="L1134" s="197" t="str">
        <f t="shared" si="364"/>
        <v/>
      </c>
      <c r="M1134" s="191">
        <f t="shared" si="364"/>
        <v>0</v>
      </c>
      <c r="N1134" s="150">
        <f t="shared" si="364"/>
        <v>0</v>
      </c>
      <c r="O1134" s="193">
        <f t="shared" si="364"/>
        <v>0</v>
      </c>
      <c r="P1134" s="162">
        <f t="shared" si="365"/>
        <v>0</v>
      </c>
      <c r="Q1134" s="162">
        <f t="shared" si="365"/>
        <v>0</v>
      </c>
      <c r="R1134" s="162">
        <f t="shared" si="365"/>
        <v>0</v>
      </c>
      <c r="S1134" s="162">
        <f t="shared" si="365"/>
        <v>0</v>
      </c>
      <c r="T1134" s="162">
        <f t="shared" si="365"/>
        <v>0</v>
      </c>
      <c r="U1134" s="162">
        <f t="shared" si="365"/>
        <v>0</v>
      </c>
      <c r="V1134" s="162">
        <f t="shared" si="365"/>
        <v>0</v>
      </c>
      <c r="W1134" s="162">
        <f t="shared" si="365"/>
        <v>0</v>
      </c>
      <c r="X1134" s="162">
        <f t="shared" si="365"/>
        <v>0</v>
      </c>
      <c r="Y1134" s="162">
        <f t="shared" si="365"/>
        <v>0</v>
      </c>
      <c r="Z1134" s="162">
        <f t="shared" si="365"/>
        <v>0</v>
      </c>
      <c r="AA1134" s="162">
        <f t="shared" si="365"/>
        <v>0</v>
      </c>
      <c r="AB1134" s="163">
        <f t="shared" si="360"/>
        <v>0</v>
      </c>
      <c r="AC1134" s="198"/>
      <c r="AE1134" s="194" t="str">
        <f t="shared" si="363"/>
        <v/>
      </c>
      <c r="AF1134" s="161">
        <f t="shared" si="366"/>
        <v>0</v>
      </c>
      <c r="AG1134" s="162">
        <f t="shared" si="366"/>
        <v>0</v>
      </c>
      <c r="AH1134" s="162">
        <f t="shared" si="366"/>
        <v>0</v>
      </c>
      <c r="AI1134" s="162">
        <f t="shared" si="366"/>
        <v>0</v>
      </c>
      <c r="AJ1134" s="162">
        <f t="shared" si="366"/>
        <v>0</v>
      </c>
      <c r="AK1134" s="162">
        <f t="shared" si="366"/>
        <v>0</v>
      </c>
      <c r="AL1134" s="162">
        <f t="shared" si="366"/>
        <v>0</v>
      </c>
      <c r="AM1134" s="162">
        <f t="shared" si="366"/>
        <v>0</v>
      </c>
      <c r="AN1134" s="162">
        <f t="shared" si="366"/>
        <v>0</v>
      </c>
      <c r="AO1134" s="162">
        <f t="shared" si="366"/>
        <v>0</v>
      </c>
      <c r="AP1134" s="162">
        <f t="shared" si="366"/>
        <v>0</v>
      </c>
      <c r="AQ1134" s="162">
        <f t="shared" si="366"/>
        <v>0</v>
      </c>
      <c r="AR1134" s="163">
        <f t="shared" si="362"/>
        <v>0</v>
      </c>
      <c r="AT1134" s="208">
        <f>IFERROR(VLOOKUP(J1134,#REF!,10,0),0)</f>
        <v>0</v>
      </c>
    </row>
    <row r="1135" spans="1:46" hidden="1" outlineLevel="1" x14ac:dyDescent="0.25">
      <c r="A1135" s="14" t="str">
        <f t="shared" si="349"/>
        <v>PROP_OPER__27</v>
      </c>
      <c r="B1135" s="15" t="str">
        <f t="shared" si="357"/>
        <v>PROP_OPER__0_0</v>
      </c>
      <c r="C1135" s="83"/>
      <c r="D1135" s="15">
        <v>1</v>
      </c>
      <c r="E1135" s="15">
        <v>27</v>
      </c>
      <c r="F1135" s="190">
        <f t="shared" si="364"/>
        <v>0</v>
      </c>
      <c r="G1135" s="149" t="str">
        <f t="shared" si="364"/>
        <v/>
      </c>
      <c r="H1135" s="150" t="str">
        <f t="shared" si="364"/>
        <v/>
      </c>
      <c r="I1135" s="150">
        <f t="shared" si="364"/>
        <v>0</v>
      </c>
      <c r="J1135" s="150">
        <f t="shared" si="364"/>
        <v>0</v>
      </c>
      <c r="K1135" s="196" t="str">
        <f t="shared" si="364"/>
        <v/>
      </c>
      <c r="L1135" s="197" t="str">
        <f t="shared" si="364"/>
        <v/>
      </c>
      <c r="M1135" s="191">
        <f t="shared" si="364"/>
        <v>0</v>
      </c>
      <c r="N1135" s="150">
        <f t="shared" si="364"/>
        <v>0</v>
      </c>
      <c r="O1135" s="193">
        <f t="shared" si="364"/>
        <v>0</v>
      </c>
      <c r="P1135" s="162">
        <f t="shared" si="365"/>
        <v>0</v>
      </c>
      <c r="Q1135" s="162">
        <f t="shared" si="365"/>
        <v>0</v>
      </c>
      <c r="R1135" s="162">
        <f t="shared" si="365"/>
        <v>0</v>
      </c>
      <c r="S1135" s="162">
        <f t="shared" si="365"/>
        <v>0</v>
      </c>
      <c r="T1135" s="162">
        <f t="shared" si="365"/>
        <v>0</v>
      </c>
      <c r="U1135" s="162">
        <f t="shared" si="365"/>
        <v>0</v>
      </c>
      <c r="V1135" s="162">
        <f t="shared" si="365"/>
        <v>0</v>
      </c>
      <c r="W1135" s="162">
        <f t="shared" si="365"/>
        <v>0</v>
      </c>
      <c r="X1135" s="162">
        <f t="shared" si="365"/>
        <v>0</v>
      </c>
      <c r="Y1135" s="162">
        <f t="shared" si="365"/>
        <v>0</v>
      </c>
      <c r="Z1135" s="162">
        <f t="shared" si="365"/>
        <v>0</v>
      </c>
      <c r="AA1135" s="162">
        <f t="shared" si="365"/>
        <v>0</v>
      </c>
      <c r="AB1135" s="163">
        <f t="shared" si="360"/>
        <v>0</v>
      </c>
      <c r="AC1135" s="198"/>
      <c r="AE1135" s="194" t="str">
        <f t="shared" si="363"/>
        <v/>
      </c>
      <c r="AF1135" s="161">
        <f t="shared" si="366"/>
        <v>0</v>
      </c>
      <c r="AG1135" s="162">
        <f t="shared" si="366"/>
        <v>0</v>
      </c>
      <c r="AH1135" s="162">
        <f t="shared" si="366"/>
        <v>0</v>
      </c>
      <c r="AI1135" s="162">
        <f t="shared" si="366"/>
        <v>0</v>
      </c>
      <c r="AJ1135" s="162">
        <f t="shared" si="366"/>
        <v>0</v>
      </c>
      <c r="AK1135" s="162">
        <f t="shared" si="366"/>
        <v>0</v>
      </c>
      <c r="AL1135" s="162">
        <f t="shared" si="366"/>
        <v>0</v>
      </c>
      <c r="AM1135" s="162">
        <f t="shared" si="366"/>
        <v>0</v>
      </c>
      <c r="AN1135" s="162">
        <f t="shared" si="366"/>
        <v>0</v>
      </c>
      <c r="AO1135" s="162">
        <f t="shared" si="366"/>
        <v>0</v>
      </c>
      <c r="AP1135" s="162">
        <f t="shared" si="366"/>
        <v>0</v>
      </c>
      <c r="AQ1135" s="162">
        <f t="shared" si="366"/>
        <v>0</v>
      </c>
      <c r="AR1135" s="163">
        <f t="shared" si="362"/>
        <v>0</v>
      </c>
      <c r="AT1135" s="208">
        <f>IFERROR(VLOOKUP(J1135,#REF!,10,0),0)</f>
        <v>0</v>
      </c>
    </row>
    <row r="1136" spans="1:46" hidden="1" outlineLevel="1" x14ac:dyDescent="0.25">
      <c r="A1136" s="14" t="str">
        <f t="shared" si="349"/>
        <v>PROP_OPER__28</v>
      </c>
      <c r="B1136" s="15" t="str">
        <f t="shared" si="357"/>
        <v>PROP_OPER__0_0</v>
      </c>
      <c r="C1136" s="83"/>
      <c r="D1136" s="15">
        <v>1</v>
      </c>
      <c r="E1136" s="15">
        <v>28</v>
      </c>
      <c r="F1136" s="190">
        <f t="shared" si="364"/>
        <v>0</v>
      </c>
      <c r="G1136" s="149" t="str">
        <f t="shared" si="364"/>
        <v/>
      </c>
      <c r="H1136" s="150" t="str">
        <f t="shared" si="364"/>
        <v/>
      </c>
      <c r="I1136" s="150">
        <f t="shared" si="364"/>
        <v>0</v>
      </c>
      <c r="J1136" s="150">
        <f t="shared" si="364"/>
        <v>0</v>
      </c>
      <c r="K1136" s="196" t="str">
        <f t="shared" si="364"/>
        <v/>
      </c>
      <c r="L1136" s="197" t="str">
        <f t="shared" si="364"/>
        <v/>
      </c>
      <c r="M1136" s="191">
        <f t="shared" si="364"/>
        <v>0</v>
      </c>
      <c r="N1136" s="150">
        <f t="shared" si="364"/>
        <v>0</v>
      </c>
      <c r="O1136" s="193">
        <f t="shared" si="364"/>
        <v>0</v>
      </c>
      <c r="P1136" s="162">
        <f t="shared" si="365"/>
        <v>0</v>
      </c>
      <c r="Q1136" s="162">
        <f t="shared" si="365"/>
        <v>0</v>
      </c>
      <c r="R1136" s="162">
        <f t="shared" si="365"/>
        <v>0</v>
      </c>
      <c r="S1136" s="162">
        <f t="shared" si="365"/>
        <v>0</v>
      </c>
      <c r="T1136" s="162">
        <f t="shared" si="365"/>
        <v>0</v>
      </c>
      <c r="U1136" s="162">
        <f t="shared" si="365"/>
        <v>0</v>
      </c>
      <c r="V1136" s="162">
        <f t="shared" si="365"/>
        <v>0</v>
      </c>
      <c r="W1136" s="162">
        <f t="shared" si="365"/>
        <v>0</v>
      </c>
      <c r="X1136" s="162">
        <f t="shared" si="365"/>
        <v>0</v>
      </c>
      <c r="Y1136" s="162">
        <f t="shared" si="365"/>
        <v>0</v>
      </c>
      <c r="Z1136" s="162">
        <f t="shared" si="365"/>
        <v>0</v>
      </c>
      <c r="AA1136" s="162">
        <f t="shared" si="365"/>
        <v>0</v>
      </c>
      <c r="AB1136" s="163">
        <f t="shared" si="360"/>
        <v>0</v>
      </c>
      <c r="AC1136" s="198"/>
      <c r="AE1136" s="194" t="str">
        <f t="shared" si="363"/>
        <v/>
      </c>
      <c r="AF1136" s="161">
        <f t="shared" si="366"/>
        <v>0</v>
      </c>
      <c r="AG1136" s="162">
        <f t="shared" si="366"/>
        <v>0</v>
      </c>
      <c r="AH1136" s="162">
        <f t="shared" si="366"/>
        <v>0</v>
      </c>
      <c r="AI1136" s="162">
        <f t="shared" si="366"/>
        <v>0</v>
      </c>
      <c r="AJ1136" s="162">
        <f t="shared" si="366"/>
        <v>0</v>
      </c>
      <c r="AK1136" s="162">
        <f t="shared" si="366"/>
        <v>0</v>
      </c>
      <c r="AL1136" s="162">
        <f t="shared" si="366"/>
        <v>0</v>
      </c>
      <c r="AM1136" s="162">
        <f t="shared" si="366"/>
        <v>0</v>
      </c>
      <c r="AN1136" s="162">
        <f t="shared" si="366"/>
        <v>0</v>
      </c>
      <c r="AO1136" s="162">
        <f t="shared" si="366"/>
        <v>0</v>
      </c>
      <c r="AP1136" s="162">
        <f t="shared" si="366"/>
        <v>0</v>
      </c>
      <c r="AQ1136" s="162">
        <f t="shared" si="366"/>
        <v>0</v>
      </c>
      <c r="AR1136" s="163">
        <f t="shared" si="362"/>
        <v>0</v>
      </c>
      <c r="AT1136" s="208">
        <f>IFERROR(VLOOKUP(J1136,#REF!,10,0),0)</f>
        <v>0</v>
      </c>
    </row>
    <row r="1137" spans="1:46" hidden="1" outlineLevel="1" x14ac:dyDescent="0.25">
      <c r="A1137" s="14" t="str">
        <f t="shared" si="349"/>
        <v>PROP_OPER__29</v>
      </c>
      <c r="B1137" s="15" t="str">
        <f t="shared" si="357"/>
        <v>PROP_OPER__0_0</v>
      </c>
      <c r="C1137" s="83"/>
      <c r="D1137" s="15">
        <v>1</v>
      </c>
      <c r="E1137" s="15">
        <v>29</v>
      </c>
      <c r="F1137" s="190">
        <f t="shared" si="364"/>
        <v>0</v>
      </c>
      <c r="G1137" s="149" t="str">
        <f t="shared" si="364"/>
        <v/>
      </c>
      <c r="H1137" s="150" t="str">
        <f t="shared" si="364"/>
        <v/>
      </c>
      <c r="I1137" s="150">
        <f t="shared" si="364"/>
        <v>0</v>
      </c>
      <c r="J1137" s="150">
        <f t="shared" si="364"/>
        <v>0</v>
      </c>
      <c r="K1137" s="196" t="str">
        <f t="shared" si="364"/>
        <v/>
      </c>
      <c r="L1137" s="197" t="str">
        <f t="shared" si="364"/>
        <v/>
      </c>
      <c r="M1137" s="191">
        <f t="shared" si="364"/>
        <v>0</v>
      </c>
      <c r="N1137" s="150">
        <f t="shared" si="364"/>
        <v>0</v>
      </c>
      <c r="O1137" s="193">
        <f t="shared" si="364"/>
        <v>0</v>
      </c>
      <c r="P1137" s="162">
        <f t="shared" si="365"/>
        <v>0</v>
      </c>
      <c r="Q1137" s="162">
        <f t="shared" si="365"/>
        <v>0</v>
      </c>
      <c r="R1137" s="162">
        <f t="shared" si="365"/>
        <v>0</v>
      </c>
      <c r="S1137" s="162">
        <f t="shared" si="365"/>
        <v>0</v>
      </c>
      <c r="T1137" s="162">
        <f t="shared" si="365"/>
        <v>0</v>
      </c>
      <c r="U1137" s="162">
        <f t="shared" si="365"/>
        <v>0</v>
      </c>
      <c r="V1137" s="162">
        <f t="shared" si="365"/>
        <v>0</v>
      </c>
      <c r="W1137" s="162">
        <f t="shared" si="365"/>
        <v>0</v>
      </c>
      <c r="X1137" s="162">
        <f t="shared" si="365"/>
        <v>0</v>
      </c>
      <c r="Y1137" s="162">
        <f t="shared" si="365"/>
        <v>0</v>
      </c>
      <c r="Z1137" s="162">
        <f t="shared" si="365"/>
        <v>0</v>
      </c>
      <c r="AA1137" s="162">
        <f t="shared" si="365"/>
        <v>0</v>
      </c>
      <c r="AB1137" s="163">
        <f t="shared" si="360"/>
        <v>0</v>
      </c>
      <c r="AC1137" s="198"/>
      <c r="AE1137" s="194" t="str">
        <f t="shared" si="363"/>
        <v/>
      </c>
      <c r="AF1137" s="161">
        <f t="shared" si="366"/>
        <v>0</v>
      </c>
      <c r="AG1137" s="162">
        <f t="shared" si="366"/>
        <v>0</v>
      </c>
      <c r="AH1137" s="162">
        <f t="shared" si="366"/>
        <v>0</v>
      </c>
      <c r="AI1137" s="162">
        <f t="shared" si="366"/>
        <v>0</v>
      </c>
      <c r="AJ1137" s="162">
        <f t="shared" si="366"/>
        <v>0</v>
      </c>
      <c r="AK1137" s="162">
        <f t="shared" si="366"/>
        <v>0</v>
      </c>
      <c r="AL1137" s="162">
        <f t="shared" si="366"/>
        <v>0</v>
      </c>
      <c r="AM1137" s="162">
        <f t="shared" si="366"/>
        <v>0</v>
      </c>
      <c r="AN1137" s="162">
        <f t="shared" si="366"/>
        <v>0</v>
      </c>
      <c r="AO1137" s="162">
        <f t="shared" si="366"/>
        <v>0</v>
      </c>
      <c r="AP1137" s="162">
        <f t="shared" si="366"/>
        <v>0</v>
      </c>
      <c r="AQ1137" s="162">
        <f t="shared" si="366"/>
        <v>0</v>
      </c>
      <c r="AR1137" s="163">
        <f t="shared" si="362"/>
        <v>0</v>
      </c>
      <c r="AT1137" s="208">
        <f>IFERROR(VLOOKUP(J1137,#REF!,10,0),0)</f>
        <v>0</v>
      </c>
    </row>
    <row r="1138" spans="1:46" hidden="1" outlineLevel="1" x14ac:dyDescent="0.25">
      <c r="A1138" s="14" t="str">
        <f t="shared" si="349"/>
        <v>PROP_OPER__30</v>
      </c>
      <c r="B1138" s="15" t="str">
        <f t="shared" si="357"/>
        <v>PROP_OPER__0_0</v>
      </c>
      <c r="C1138" s="83"/>
      <c r="D1138" s="15">
        <v>1</v>
      </c>
      <c r="E1138" s="15">
        <v>30</v>
      </c>
      <c r="F1138" s="190">
        <f t="shared" si="364"/>
        <v>0</v>
      </c>
      <c r="G1138" s="149" t="str">
        <f t="shared" si="364"/>
        <v/>
      </c>
      <c r="H1138" s="150" t="str">
        <f t="shared" si="364"/>
        <v/>
      </c>
      <c r="I1138" s="150">
        <f t="shared" si="364"/>
        <v>0</v>
      </c>
      <c r="J1138" s="150">
        <f t="shared" si="364"/>
        <v>0</v>
      </c>
      <c r="K1138" s="196" t="str">
        <f t="shared" si="364"/>
        <v/>
      </c>
      <c r="L1138" s="197" t="str">
        <f t="shared" si="364"/>
        <v/>
      </c>
      <c r="M1138" s="191">
        <f t="shared" si="364"/>
        <v>0</v>
      </c>
      <c r="N1138" s="150">
        <f t="shared" si="364"/>
        <v>0</v>
      </c>
      <c r="O1138" s="193">
        <f t="shared" si="364"/>
        <v>0</v>
      </c>
      <c r="P1138" s="162">
        <f t="shared" si="365"/>
        <v>0</v>
      </c>
      <c r="Q1138" s="162">
        <f t="shared" si="365"/>
        <v>0</v>
      </c>
      <c r="R1138" s="162">
        <f t="shared" si="365"/>
        <v>0</v>
      </c>
      <c r="S1138" s="162">
        <f t="shared" si="365"/>
        <v>0</v>
      </c>
      <c r="T1138" s="162">
        <f t="shared" si="365"/>
        <v>0</v>
      </c>
      <c r="U1138" s="162">
        <f t="shared" si="365"/>
        <v>0</v>
      </c>
      <c r="V1138" s="162">
        <f t="shared" si="365"/>
        <v>0</v>
      </c>
      <c r="W1138" s="162">
        <f t="shared" si="365"/>
        <v>0</v>
      </c>
      <c r="X1138" s="162">
        <f t="shared" si="365"/>
        <v>0</v>
      </c>
      <c r="Y1138" s="162">
        <f t="shared" si="365"/>
        <v>0</v>
      </c>
      <c r="Z1138" s="162">
        <f t="shared" si="365"/>
        <v>0</v>
      </c>
      <c r="AA1138" s="162">
        <f t="shared" si="365"/>
        <v>0</v>
      </c>
      <c r="AB1138" s="163">
        <f t="shared" si="360"/>
        <v>0</v>
      </c>
      <c r="AC1138" s="198"/>
      <c r="AE1138" s="194" t="str">
        <f t="shared" si="363"/>
        <v/>
      </c>
      <c r="AF1138" s="161">
        <f t="shared" si="366"/>
        <v>0</v>
      </c>
      <c r="AG1138" s="162">
        <f t="shared" si="366"/>
        <v>0</v>
      </c>
      <c r="AH1138" s="162">
        <f t="shared" si="366"/>
        <v>0</v>
      </c>
      <c r="AI1138" s="162">
        <f t="shared" si="366"/>
        <v>0</v>
      </c>
      <c r="AJ1138" s="162">
        <f t="shared" si="366"/>
        <v>0</v>
      </c>
      <c r="AK1138" s="162">
        <f t="shared" si="366"/>
        <v>0</v>
      </c>
      <c r="AL1138" s="162">
        <f t="shared" si="366"/>
        <v>0</v>
      </c>
      <c r="AM1138" s="162">
        <f t="shared" si="366"/>
        <v>0</v>
      </c>
      <c r="AN1138" s="162">
        <f t="shared" si="366"/>
        <v>0</v>
      </c>
      <c r="AO1138" s="162">
        <f t="shared" si="366"/>
        <v>0</v>
      </c>
      <c r="AP1138" s="162">
        <f t="shared" si="366"/>
        <v>0</v>
      </c>
      <c r="AQ1138" s="162">
        <f t="shared" si="366"/>
        <v>0</v>
      </c>
      <c r="AR1138" s="163">
        <f t="shared" si="362"/>
        <v>0</v>
      </c>
      <c r="AT1138" s="208">
        <f>IFERROR(VLOOKUP(J1138,#REF!,10,0),0)</f>
        <v>0</v>
      </c>
    </row>
    <row r="1139" spans="1:46" hidden="1" outlineLevel="1" x14ac:dyDescent="0.25">
      <c r="A1139" s="14" t="str">
        <f t="shared" si="349"/>
        <v>PROP_OPER__31</v>
      </c>
      <c r="B1139" s="15" t="str">
        <f t="shared" si="357"/>
        <v>PROP_OPER__0_0</v>
      </c>
      <c r="C1139" s="83"/>
      <c r="D1139" s="15">
        <v>1</v>
      </c>
      <c r="E1139" s="15">
        <v>31</v>
      </c>
      <c r="F1139" s="190">
        <f t="shared" si="364"/>
        <v>0</v>
      </c>
      <c r="G1139" s="149" t="str">
        <f t="shared" si="364"/>
        <v/>
      </c>
      <c r="H1139" s="150" t="str">
        <f t="shared" si="364"/>
        <v/>
      </c>
      <c r="I1139" s="150">
        <f t="shared" si="364"/>
        <v>0</v>
      </c>
      <c r="J1139" s="150">
        <f t="shared" si="364"/>
        <v>0</v>
      </c>
      <c r="K1139" s="196" t="str">
        <f t="shared" si="364"/>
        <v/>
      </c>
      <c r="L1139" s="197" t="str">
        <f t="shared" si="364"/>
        <v/>
      </c>
      <c r="M1139" s="191">
        <f t="shared" si="364"/>
        <v>0</v>
      </c>
      <c r="N1139" s="150">
        <f t="shared" si="364"/>
        <v>0</v>
      </c>
      <c r="O1139" s="193">
        <f t="shared" si="364"/>
        <v>0</v>
      </c>
      <c r="P1139" s="162">
        <f t="shared" si="365"/>
        <v>0</v>
      </c>
      <c r="Q1139" s="162">
        <f t="shared" si="365"/>
        <v>0</v>
      </c>
      <c r="R1139" s="162">
        <f t="shared" si="365"/>
        <v>0</v>
      </c>
      <c r="S1139" s="162">
        <f t="shared" si="365"/>
        <v>0</v>
      </c>
      <c r="T1139" s="162">
        <f t="shared" si="365"/>
        <v>0</v>
      </c>
      <c r="U1139" s="162">
        <f t="shared" si="365"/>
        <v>0</v>
      </c>
      <c r="V1139" s="162">
        <f t="shared" si="365"/>
        <v>0</v>
      </c>
      <c r="W1139" s="162">
        <f t="shared" si="365"/>
        <v>0</v>
      </c>
      <c r="X1139" s="162">
        <f t="shared" si="365"/>
        <v>0</v>
      </c>
      <c r="Y1139" s="162">
        <f t="shared" si="365"/>
        <v>0</v>
      </c>
      <c r="Z1139" s="162">
        <f t="shared" si="365"/>
        <v>0</v>
      </c>
      <c r="AA1139" s="162">
        <f t="shared" si="365"/>
        <v>0</v>
      </c>
      <c r="AB1139" s="163">
        <f t="shared" si="360"/>
        <v>0</v>
      </c>
      <c r="AC1139" s="198"/>
      <c r="AE1139" s="194" t="str">
        <f t="shared" si="363"/>
        <v/>
      </c>
      <c r="AF1139" s="161">
        <f t="shared" si="366"/>
        <v>0</v>
      </c>
      <c r="AG1139" s="162">
        <f t="shared" si="366"/>
        <v>0</v>
      </c>
      <c r="AH1139" s="162">
        <f t="shared" si="366"/>
        <v>0</v>
      </c>
      <c r="AI1139" s="162">
        <f t="shared" si="366"/>
        <v>0</v>
      </c>
      <c r="AJ1139" s="162">
        <f t="shared" si="366"/>
        <v>0</v>
      </c>
      <c r="AK1139" s="162">
        <f t="shared" si="366"/>
        <v>0</v>
      </c>
      <c r="AL1139" s="162">
        <f t="shared" si="366"/>
        <v>0</v>
      </c>
      <c r="AM1139" s="162">
        <f t="shared" si="366"/>
        <v>0</v>
      </c>
      <c r="AN1139" s="162">
        <f t="shared" si="366"/>
        <v>0</v>
      </c>
      <c r="AO1139" s="162">
        <f t="shared" si="366"/>
        <v>0</v>
      </c>
      <c r="AP1139" s="162">
        <f t="shared" si="366"/>
        <v>0</v>
      </c>
      <c r="AQ1139" s="162">
        <f t="shared" si="366"/>
        <v>0</v>
      </c>
      <c r="AR1139" s="163">
        <f t="shared" si="362"/>
        <v>0</v>
      </c>
      <c r="AT1139" s="208">
        <f>IFERROR(VLOOKUP(J1139,#REF!,10,0),0)</f>
        <v>0</v>
      </c>
    </row>
    <row r="1140" spans="1:46" hidden="1" outlineLevel="1" x14ac:dyDescent="0.25">
      <c r="A1140" s="14" t="str">
        <f t="shared" si="349"/>
        <v>PROP_OPER__32</v>
      </c>
      <c r="B1140" s="15" t="str">
        <f t="shared" si="357"/>
        <v>PROP_OPER__0_0</v>
      </c>
      <c r="C1140" s="83"/>
      <c r="D1140" s="15">
        <v>1</v>
      </c>
      <c r="E1140" s="15">
        <v>32</v>
      </c>
      <c r="F1140" s="190">
        <f t="shared" si="364"/>
        <v>0</v>
      </c>
      <c r="G1140" s="149" t="str">
        <f t="shared" si="364"/>
        <v/>
      </c>
      <c r="H1140" s="150" t="str">
        <f t="shared" si="364"/>
        <v/>
      </c>
      <c r="I1140" s="150">
        <f t="shared" si="364"/>
        <v>0</v>
      </c>
      <c r="J1140" s="150">
        <f t="shared" si="364"/>
        <v>0</v>
      </c>
      <c r="K1140" s="196" t="str">
        <f t="shared" si="364"/>
        <v/>
      </c>
      <c r="L1140" s="197" t="str">
        <f t="shared" si="364"/>
        <v/>
      </c>
      <c r="M1140" s="191">
        <f t="shared" si="364"/>
        <v>0</v>
      </c>
      <c r="N1140" s="150">
        <f t="shared" si="364"/>
        <v>0</v>
      </c>
      <c r="O1140" s="193">
        <f t="shared" si="364"/>
        <v>0</v>
      </c>
      <c r="P1140" s="162">
        <f t="shared" si="365"/>
        <v>0</v>
      </c>
      <c r="Q1140" s="162">
        <f t="shared" si="365"/>
        <v>0</v>
      </c>
      <c r="R1140" s="162">
        <f t="shared" si="365"/>
        <v>0</v>
      </c>
      <c r="S1140" s="162">
        <f t="shared" si="365"/>
        <v>0</v>
      </c>
      <c r="T1140" s="162">
        <f t="shared" si="365"/>
        <v>0</v>
      </c>
      <c r="U1140" s="162">
        <f t="shared" si="365"/>
        <v>0</v>
      </c>
      <c r="V1140" s="162">
        <f t="shared" si="365"/>
        <v>0</v>
      </c>
      <c r="W1140" s="162">
        <f t="shared" si="365"/>
        <v>0</v>
      </c>
      <c r="X1140" s="162">
        <f t="shared" si="365"/>
        <v>0</v>
      </c>
      <c r="Y1140" s="162">
        <f t="shared" si="365"/>
        <v>0</v>
      </c>
      <c r="Z1140" s="162">
        <f t="shared" si="365"/>
        <v>0</v>
      </c>
      <c r="AA1140" s="162">
        <f t="shared" si="365"/>
        <v>0</v>
      </c>
      <c r="AB1140" s="163">
        <f t="shared" si="360"/>
        <v>0</v>
      </c>
      <c r="AC1140" s="198"/>
      <c r="AE1140" s="194" t="str">
        <f t="shared" si="363"/>
        <v/>
      </c>
      <c r="AF1140" s="161">
        <f t="shared" si="366"/>
        <v>0</v>
      </c>
      <c r="AG1140" s="162">
        <f t="shared" si="366"/>
        <v>0</v>
      </c>
      <c r="AH1140" s="162">
        <f t="shared" si="366"/>
        <v>0</v>
      </c>
      <c r="AI1140" s="162">
        <f t="shared" si="366"/>
        <v>0</v>
      </c>
      <c r="AJ1140" s="162">
        <f t="shared" si="366"/>
        <v>0</v>
      </c>
      <c r="AK1140" s="162">
        <f t="shared" si="366"/>
        <v>0</v>
      </c>
      <c r="AL1140" s="162">
        <f t="shared" si="366"/>
        <v>0</v>
      </c>
      <c r="AM1140" s="162">
        <f t="shared" si="366"/>
        <v>0</v>
      </c>
      <c r="AN1140" s="162">
        <f t="shared" si="366"/>
        <v>0</v>
      </c>
      <c r="AO1140" s="162">
        <f t="shared" si="366"/>
        <v>0</v>
      </c>
      <c r="AP1140" s="162">
        <f t="shared" si="366"/>
        <v>0</v>
      </c>
      <c r="AQ1140" s="162">
        <f t="shared" si="366"/>
        <v>0</v>
      </c>
      <c r="AR1140" s="163">
        <f t="shared" si="362"/>
        <v>0</v>
      </c>
      <c r="AT1140" s="208">
        <f>IFERROR(VLOOKUP(J1140,#REF!,10,0),0)</f>
        <v>0</v>
      </c>
    </row>
    <row r="1141" spans="1:46" hidden="1" outlineLevel="1" x14ac:dyDescent="0.25">
      <c r="A1141" s="14" t="str">
        <f t="shared" si="349"/>
        <v>PROP_OPER__33</v>
      </c>
      <c r="B1141" s="15" t="str">
        <f t="shared" si="357"/>
        <v>PROP_OPER__0_0</v>
      </c>
      <c r="C1141" s="83"/>
      <c r="D1141" s="15">
        <v>1</v>
      </c>
      <c r="E1141" s="15">
        <v>33</v>
      </c>
      <c r="F1141" s="190">
        <f t="shared" ref="F1141:O1153" si="367">F1095</f>
        <v>0</v>
      </c>
      <c r="G1141" s="149" t="str">
        <f t="shared" si="367"/>
        <v/>
      </c>
      <c r="H1141" s="150" t="str">
        <f t="shared" si="367"/>
        <v/>
      </c>
      <c r="I1141" s="150">
        <f t="shared" si="367"/>
        <v>0</v>
      </c>
      <c r="J1141" s="150">
        <f t="shared" si="367"/>
        <v>0</v>
      </c>
      <c r="K1141" s="196" t="str">
        <f t="shared" si="367"/>
        <v/>
      </c>
      <c r="L1141" s="197" t="str">
        <f t="shared" si="367"/>
        <v/>
      </c>
      <c r="M1141" s="191">
        <f t="shared" si="367"/>
        <v>0</v>
      </c>
      <c r="N1141" s="150">
        <f t="shared" si="367"/>
        <v>0</v>
      </c>
      <c r="O1141" s="193">
        <f t="shared" si="367"/>
        <v>0</v>
      </c>
      <c r="P1141" s="162">
        <f t="shared" si="365"/>
        <v>0</v>
      </c>
      <c r="Q1141" s="162">
        <f t="shared" si="365"/>
        <v>0</v>
      </c>
      <c r="R1141" s="162">
        <f t="shared" si="365"/>
        <v>0</v>
      </c>
      <c r="S1141" s="162">
        <f t="shared" si="365"/>
        <v>0</v>
      </c>
      <c r="T1141" s="162">
        <f t="shared" si="365"/>
        <v>0</v>
      </c>
      <c r="U1141" s="162">
        <f t="shared" si="365"/>
        <v>0</v>
      </c>
      <c r="V1141" s="162">
        <f t="shared" si="365"/>
        <v>0</v>
      </c>
      <c r="W1141" s="162">
        <f t="shared" si="365"/>
        <v>0</v>
      </c>
      <c r="X1141" s="162">
        <f t="shared" si="365"/>
        <v>0</v>
      </c>
      <c r="Y1141" s="162">
        <f t="shared" si="365"/>
        <v>0</v>
      </c>
      <c r="Z1141" s="162">
        <f t="shared" si="365"/>
        <v>0</v>
      </c>
      <c r="AA1141" s="162">
        <f t="shared" si="365"/>
        <v>0</v>
      </c>
      <c r="AB1141" s="163">
        <f t="shared" si="360"/>
        <v>0</v>
      </c>
      <c r="AC1141" s="198"/>
      <c r="AE1141" s="194" t="str">
        <f t="shared" si="363"/>
        <v/>
      </c>
      <c r="AF1141" s="161">
        <f t="shared" si="366"/>
        <v>0</v>
      </c>
      <c r="AG1141" s="162">
        <f t="shared" si="366"/>
        <v>0</v>
      </c>
      <c r="AH1141" s="162">
        <f t="shared" si="366"/>
        <v>0</v>
      </c>
      <c r="AI1141" s="162">
        <f t="shared" si="366"/>
        <v>0</v>
      </c>
      <c r="AJ1141" s="162">
        <f t="shared" si="366"/>
        <v>0</v>
      </c>
      <c r="AK1141" s="162">
        <f t="shared" si="366"/>
        <v>0</v>
      </c>
      <c r="AL1141" s="162">
        <f t="shared" si="366"/>
        <v>0</v>
      </c>
      <c r="AM1141" s="162">
        <f t="shared" si="366"/>
        <v>0</v>
      </c>
      <c r="AN1141" s="162">
        <f t="shared" si="366"/>
        <v>0</v>
      </c>
      <c r="AO1141" s="162">
        <f t="shared" si="366"/>
        <v>0</v>
      </c>
      <c r="AP1141" s="162">
        <f t="shared" si="366"/>
        <v>0</v>
      </c>
      <c r="AQ1141" s="162">
        <f t="shared" si="366"/>
        <v>0</v>
      </c>
      <c r="AR1141" s="163">
        <f t="shared" si="362"/>
        <v>0</v>
      </c>
      <c r="AT1141" s="208">
        <f>IFERROR(VLOOKUP(J1141,#REF!,10,0),0)</f>
        <v>0</v>
      </c>
    </row>
    <row r="1142" spans="1:46" hidden="1" outlineLevel="1" x14ac:dyDescent="0.25">
      <c r="A1142" s="14" t="str">
        <f t="shared" si="349"/>
        <v>PROP_OPER__34</v>
      </c>
      <c r="B1142" s="15" t="str">
        <f t="shared" si="357"/>
        <v>PROP_OPER__0_0</v>
      </c>
      <c r="C1142" s="83"/>
      <c r="D1142" s="15">
        <v>1</v>
      </c>
      <c r="E1142" s="15">
        <v>34</v>
      </c>
      <c r="F1142" s="190">
        <f t="shared" si="367"/>
        <v>0</v>
      </c>
      <c r="G1142" s="149" t="str">
        <f t="shared" si="367"/>
        <v/>
      </c>
      <c r="H1142" s="150" t="str">
        <f t="shared" si="367"/>
        <v/>
      </c>
      <c r="I1142" s="150">
        <f t="shared" si="367"/>
        <v>0</v>
      </c>
      <c r="J1142" s="150">
        <f t="shared" si="367"/>
        <v>0</v>
      </c>
      <c r="K1142" s="196" t="str">
        <f t="shared" si="367"/>
        <v/>
      </c>
      <c r="L1142" s="197" t="str">
        <f t="shared" si="367"/>
        <v/>
      </c>
      <c r="M1142" s="191">
        <f t="shared" si="367"/>
        <v>0</v>
      </c>
      <c r="N1142" s="150">
        <f t="shared" si="367"/>
        <v>0</v>
      </c>
      <c r="O1142" s="193">
        <f t="shared" si="367"/>
        <v>0</v>
      </c>
      <c r="P1142" s="162">
        <f t="shared" si="365"/>
        <v>0</v>
      </c>
      <c r="Q1142" s="162">
        <f t="shared" si="365"/>
        <v>0</v>
      </c>
      <c r="R1142" s="162">
        <f t="shared" si="365"/>
        <v>0</v>
      </c>
      <c r="S1142" s="162">
        <f t="shared" si="365"/>
        <v>0</v>
      </c>
      <c r="T1142" s="162">
        <f t="shared" si="365"/>
        <v>0</v>
      </c>
      <c r="U1142" s="162">
        <f t="shared" si="365"/>
        <v>0</v>
      </c>
      <c r="V1142" s="162">
        <f t="shared" si="365"/>
        <v>0</v>
      </c>
      <c r="W1142" s="162">
        <f t="shared" si="365"/>
        <v>0</v>
      </c>
      <c r="X1142" s="162">
        <f t="shared" si="365"/>
        <v>0</v>
      </c>
      <c r="Y1142" s="162">
        <f t="shared" si="365"/>
        <v>0</v>
      </c>
      <c r="Z1142" s="162">
        <f t="shared" si="365"/>
        <v>0</v>
      </c>
      <c r="AA1142" s="162">
        <f t="shared" si="365"/>
        <v>0</v>
      </c>
      <c r="AB1142" s="163">
        <f t="shared" si="360"/>
        <v>0</v>
      </c>
      <c r="AC1142" s="198"/>
      <c r="AE1142" s="194" t="str">
        <f t="shared" si="363"/>
        <v/>
      </c>
      <c r="AF1142" s="161">
        <f t="shared" si="366"/>
        <v>0</v>
      </c>
      <c r="AG1142" s="162">
        <f t="shared" si="366"/>
        <v>0</v>
      </c>
      <c r="AH1142" s="162">
        <f t="shared" si="366"/>
        <v>0</v>
      </c>
      <c r="AI1142" s="162">
        <f t="shared" si="366"/>
        <v>0</v>
      </c>
      <c r="AJ1142" s="162">
        <f t="shared" si="366"/>
        <v>0</v>
      </c>
      <c r="AK1142" s="162">
        <f t="shared" si="366"/>
        <v>0</v>
      </c>
      <c r="AL1142" s="162">
        <f t="shared" si="366"/>
        <v>0</v>
      </c>
      <c r="AM1142" s="162">
        <f t="shared" si="366"/>
        <v>0</v>
      </c>
      <c r="AN1142" s="162">
        <f t="shared" si="366"/>
        <v>0</v>
      </c>
      <c r="AO1142" s="162">
        <f t="shared" si="366"/>
        <v>0</v>
      </c>
      <c r="AP1142" s="162">
        <f t="shared" si="366"/>
        <v>0</v>
      </c>
      <c r="AQ1142" s="162">
        <f t="shared" si="366"/>
        <v>0</v>
      </c>
      <c r="AR1142" s="163">
        <f t="shared" si="362"/>
        <v>0</v>
      </c>
      <c r="AT1142" s="208">
        <f>IFERROR(VLOOKUP(J1142,#REF!,10,0),0)</f>
        <v>0</v>
      </c>
    </row>
    <row r="1143" spans="1:46" hidden="1" outlineLevel="1" x14ac:dyDescent="0.25">
      <c r="A1143" s="14" t="str">
        <f t="shared" si="349"/>
        <v>PROP_OPER__35</v>
      </c>
      <c r="B1143" s="15" t="str">
        <f t="shared" si="357"/>
        <v>PROP_OPER__0_0</v>
      </c>
      <c r="C1143" s="83"/>
      <c r="D1143" s="15">
        <v>1</v>
      </c>
      <c r="E1143" s="15">
        <v>35</v>
      </c>
      <c r="F1143" s="190">
        <f t="shared" si="367"/>
        <v>0</v>
      </c>
      <c r="G1143" s="149" t="str">
        <f t="shared" si="367"/>
        <v/>
      </c>
      <c r="H1143" s="150" t="str">
        <f t="shared" si="367"/>
        <v/>
      </c>
      <c r="I1143" s="150">
        <f t="shared" si="367"/>
        <v>0</v>
      </c>
      <c r="J1143" s="150">
        <f t="shared" si="367"/>
        <v>0</v>
      </c>
      <c r="K1143" s="196" t="str">
        <f t="shared" si="367"/>
        <v/>
      </c>
      <c r="L1143" s="197" t="str">
        <f t="shared" si="367"/>
        <v/>
      </c>
      <c r="M1143" s="191">
        <f t="shared" si="367"/>
        <v>0</v>
      </c>
      <c r="N1143" s="150">
        <f t="shared" si="367"/>
        <v>0</v>
      </c>
      <c r="O1143" s="193">
        <f t="shared" si="367"/>
        <v>0</v>
      </c>
      <c r="P1143" s="162">
        <f t="shared" ref="P1143:AA1153" si="368">IFERROR(SUMIF($B$483:$B$547,$C1143&amp;$I1143,P$483:P$547)/SUMIF($D$483:$D$547,$I1143,P$483:P$547)*P628,0)</f>
        <v>0</v>
      </c>
      <c r="Q1143" s="162">
        <f t="shared" si="368"/>
        <v>0</v>
      </c>
      <c r="R1143" s="162">
        <f t="shared" si="368"/>
        <v>0</v>
      </c>
      <c r="S1143" s="162">
        <f t="shared" si="368"/>
        <v>0</v>
      </c>
      <c r="T1143" s="162">
        <f t="shared" si="368"/>
        <v>0</v>
      </c>
      <c r="U1143" s="162">
        <f t="shared" si="368"/>
        <v>0</v>
      </c>
      <c r="V1143" s="162">
        <f t="shared" si="368"/>
        <v>0</v>
      </c>
      <c r="W1143" s="162">
        <f t="shared" si="368"/>
        <v>0</v>
      </c>
      <c r="X1143" s="162">
        <f t="shared" si="368"/>
        <v>0</v>
      </c>
      <c r="Y1143" s="162">
        <f t="shared" si="368"/>
        <v>0</v>
      </c>
      <c r="Z1143" s="162">
        <f t="shared" si="368"/>
        <v>0</v>
      </c>
      <c r="AA1143" s="162">
        <f t="shared" si="368"/>
        <v>0</v>
      </c>
      <c r="AB1143" s="163">
        <f t="shared" si="360"/>
        <v>0</v>
      </c>
      <c r="AC1143" s="198"/>
      <c r="AE1143" s="194" t="str">
        <f t="shared" si="363"/>
        <v/>
      </c>
      <c r="AF1143" s="161">
        <f t="shared" ref="AF1143:AQ1153" si="369">IFERROR(SUMIF($B$483:$B$547,$C1143&amp;$I1143,P$483:P$547)/SUMIF($D$483:$D$547,$I1143,P$483:P$547)*AF628,0)</f>
        <v>0</v>
      </c>
      <c r="AG1143" s="162">
        <f t="shared" si="369"/>
        <v>0</v>
      </c>
      <c r="AH1143" s="162">
        <f t="shared" si="369"/>
        <v>0</v>
      </c>
      <c r="AI1143" s="162">
        <f t="shared" si="369"/>
        <v>0</v>
      </c>
      <c r="AJ1143" s="162">
        <f t="shared" si="369"/>
        <v>0</v>
      </c>
      <c r="AK1143" s="162">
        <f t="shared" si="369"/>
        <v>0</v>
      </c>
      <c r="AL1143" s="162">
        <f t="shared" si="369"/>
        <v>0</v>
      </c>
      <c r="AM1143" s="162">
        <f t="shared" si="369"/>
        <v>0</v>
      </c>
      <c r="AN1143" s="162">
        <f t="shared" si="369"/>
        <v>0</v>
      </c>
      <c r="AO1143" s="162">
        <f t="shared" si="369"/>
        <v>0</v>
      </c>
      <c r="AP1143" s="162">
        <f t="shared" si="369"/>
        <v>0</v>
      </c>
      <c r="AQ1143" s="162">
        <f t="shared" si="369"/>
        <v>0</v>
      </c>
      <c r="AR1143" s="163">
        <f t="shared" si="362"/>
        <v>0</v>
      </c>
      <c r="AT1143" s="208">
        <f>IFERROR(VLOOKUP(J1143,#REF!,10,0),0)</f>
        <v>0</v>
      </c>
    </row>
    <row r="1144" spans="1:46" hidden="1" outlineLevel="1" x14ac:dyDescent="0.25">
      <c r="A1144" s="14" t="str">
        <f t="shared" si="349"/>
        <v>PROP_OPER__36</v>
      </c>
      <c r="B1144" s="15" t="str">
        <f t="shared" si="357"/>
        <v>PROP_OPER__0_0</v>
      </c>
      <c r="C1144" s="83"/>
      <c r="D1144" s="15">
        <v>1</v>
      </c>
      <c r="E1144" s="15">
        <v>36</v>
      </c>
      <c r="F1144" s="190">
        <f t="shared" si="367"/>
        <v>0</v>
      </c>
      <c r="G1144" s="149" t="str">
        <f t="shared" si="367"/>
        <v/>
      </c>
      <c r="H1144" s="150" t="str">
        <f t="shared" si="367"/>
        <v/>
      </c>
      <c r="I1144" s="150">
        <f t="shared" si="367"/>
        <v>0</v>
      </c>
      <c r="J1144" s="150">
        <f t="shared" si="367"/>
        <v>0</v>
      </c>
      <c r="K1144" s="196" t="str">
        <f t="shared" si="367"/>
        <v/>
      </c>
      <c r="L1144" s="197" t="str">
        <f t="shared" si="367"/>
        <v/>
      </c>
      <c r="M1144" s="191">
        <f t="shared" si="367"/>
        <v>0</v>
      </c>
      <c r="N1144" s="150">
        <f t="shared" si="367"/>
        <v>0</v>
      </c>
      <c r="O1144" s="193">
        <f t="shared" si="367"/>
        <v>0</v>
      </c>
      <c r="P1144" s="162">
        <f t="shared" si="368"/>
        <v>0</v>
      </c>
      <c r="Q1144" s="162">
        <f t="shared" si="368"/>
        <v>0</v>
      </c>
      <c r="R1144" s="162">
        <f t="shared" si="368"/>
        <v>0</v>
      </c>
      <c r="S1144" s="162">
        <f t="shared" si="368"/>
        <v>0</v>
      </c>
      <c r="T1144" s="162">
        <f t="shared" si="368"/>
        <v>0</v>
      </c>
      <c r="U1144" s="162">
        <f t="shared" si="368"/>
        <v>0</v>
      </c>
      <c r="V1144" s="162">
        <f t="shared" si="368"/>
        <v>0</v>
      </c>
      <c r="W1144" s="162">
        <f t="shared" si="368"/>
        <v>0</v>
      </c>
      <c r="X1144" s="162">
        <f t="shared" si="368"/>
        <v>0</v>
      </c>
      <c r="Y1144" s="162">
        <f t="shared" si="368"/>
        <v>0</v>
      </c>
      <c r="Z1144" s="162">
        <f t="shared" si="368"/>
        <v>0</v>
      </c>
      <c r="AA1144" s="162">
        <f t="shared" si="368"/>
        <v>0</v>
      </c>
      <c r="AB1144" s="163">
        <f t="shared" si="360"/>
        <v>0</v>
      </c>
      <c r="AC1144" s="198"/>
      <c r="AE1144" s="194" t="str">
        <f t="shared" si="363"/>
        <v/>
      </c>
      <c r="AF1144" s="161">
        <f t="shared" si="369"/>
        <v>0</v>
      </c>
      <c r="AG1144" s="162">
        <f t="shared" si="369"/>
        <v>0</v>
      </c>
      <c r="AH1144" s="162">
        <f t="shared" si="369"/>
        <v>0</v>
      </c>
      <c r="AI1144" s="162">
        <f t="shared" si="369"/>
        <v>0</v>
      </c>
      <c r="AJ1144" s="162">
        <f t="shared" si="369"/>
        <v>0</v>
      </c>
      <c r="AK1144" s="162">
        <f t="shared" si="369"/>
        <v>0</v>
      </c>
      <c r="AL1144" s="162">
        <f t="shared" si="369"/>
        <v>0</v>
      </c>
      <c r="AM1144" s="162">
        <f t="shared" si="369"/>
        <v>0</v>
      </c>
      <c r="AN1144" s="162">
        <f t="shared" si="369"/>
        <v>0</v>
      </c>
      <c r="AO1144" s="162">
        <f t="shared" si="369"/>
        <v>0</v>
      </c>
      <c r="AP1144" s="162">
        <f t="shared" si="369"/>
        <v>0</v>
      </c>
      <c r="AQ1144" s="162">
        <f t="shared" si="369"/>
        <v>0</v>
      </c>
      <c r="AR1144" s="163">
        <f t="shared" si="362"/>
        <v>0</v>
      </c>
      <c r="AT1144" s="208">
        <f>IFERROR(VLOOKUP(J1144,#REF!,10,0),0)</f>
        <v>0</v>
      </c>
    </row>
    <row r="1145" spans="1:46" hidden="1" outlineLevel="1" x14ac:dyDescent="0.25">
      <c r="A1145" s="14" t="str">
        <f t="shared" ref="A1145:A1254" si="370">"PROP_OPER_"&amp;C1145&amp;"_"&amp;E1145</f>
        <v>PROP_OPER__37</v>
      </c>
      <c r="B1145" s="15" t="str">
        <f t="shared" si="357"/>
        <v>PROP_OPER__0_0</v>
      </c>
      <c r="C1145" s="83"/>
      <c r="D1145" s="15">
        <v>1</v>
      </c>
      <c r="E1145" s="15">
        <v>37</v>
      </c>
      <c r="F1145" s="190">
        <f t="shared" si="367"/>
        <v>0</v>
      </c>
      <c r="G1145" s="149" t="str">
        <f t="shared" si="367"/>
        <v/>
      </c>
      <c r="H1145" s="150" t="str">
        <f t="shared" si="367"/>
        <v/>
      </c>
      <c r="I1145" s="150">
        <f t="shared" si="367"/>
        <v>0</v>
      </c>
      <c r="J1145" s="150">
        <f t="shared" si="367"/>
        <v>0</v>
      </c>
      <c r="K1145" s="196" t="str">
        <f t="shared" si="367"/>
        <v/>
      </c>
      <c r="L1145" s="197" t="str">
        <f t="shared" si="367"/>
        <v/>
      </c>
      <c r="M1145" s="191">
        <f t="shared" si="367"/>
        <v>0</v>
      </c>
      <c r="N1145" s="150">
        <f t="shared" si="367"/>
        <v>0</v>
      </c>
      <c r="O1145" s="193">
        <f t="shared" si="367"/>
        <v>0</v>
      </c>
      <c r="P1145" s="162">
        <f t="shared" si="368"/>
        <v>0</v>
      </c>
      <c r="Q1145" s="162">
        <f t="shared" si="368"/>
        <v>0</v>
      </c>
      <c r="R1145" s="162">
        <f t="shared" si="368"/>
        <v>0</v>
      </c>
      <c r="S1145" s="162">
        <f t="shared" si="368"/>
        <v>0</v>
      </c>
      <c r="T1145" s="162">
        <f t="shared" si="368"/>
        <v>0</v>
      </c>
      <c r="U1145" s="162">
        <f t="shared" si="368"/>
        <v>0</v>
      </c>
      <c r="V1145" s="162">
        <f t="shared" si="368"/>
        <v>0</v>
      </c>
      <c r="W1145" s="162">
        <f t="shared" si="368"/>
        <v>0</v>
      </c>
      <c r="X1145" s="162">
        <f t="shared" si="368"/>
        <v>0</v>
      </c>
      <c r="Y1145" s="162">
        <f t="shared" si="368"/>
        <v>0</v>
      </c>
      <c r="Z1145" s="162">
        <f t="shared" si="368"/>
        <v>0</v>
      </c>
      <c r="AA1145" s="162">
        <f t="shared" si="368"/>
        <v>0</v>
      </c>
      <c r="AB1145" s="163">
        <f t="shared" si="360"/>
        <v>0</v>
      </c>
      <c r="AC1145" s="198"/>
      <c r="AE1145" s="194" t="str">
        <f t="shared" si="363"/>
        <v/>
      </c>
      <c r="AF1145" s="161">
        <f t="shared" si="369"/>
        <v>0</v>
      </c>
      <c r="AG1145" s="162">
        <f t="shared" si="369"/>
        <v>0</v>
      </c>
      <c r="AH1145" s="162">
        <f t="shared" si="369"/>
        <v>0</v>
      </c>
      <c r="AI1145" s="162">
        <f t="shared" si="369"/>
        <v>0</v>
      </c>
      <c r="AJ1145" s="162">
        <f t="shared" si="369"/>
        <v>0</v>
      </c>
      <c r="AK1145" s="162">
        <f t="shared" si="369"/>
        <v>0</v>
      </c>
      <c r="AL1145" s="162">
        <f t="shared" si="369"/>
        <v>0</v>
      </c>
      <c r="AM1145" s="162">
        <f t="shared" si="369"/>
        <v>0</v>
      </c>
      <c r="AN1145" s="162">
        <f t="shared" si="369"/>
        <v>0</v>
      </c>
      <c r="AO1145" s="162">
        <f t="shared" si="369"/>
        <v>0</v>
      </c>
      <c r="AP1145" s="162">
        <f t="shared" si="369"/>
        <v>0</v>
      </c>
      <c r="AQ1145" s="162">
        <f t="shared" si="369"/>
        <v>0</v>
      </c>
      <c r="AR1145" s="163">
        <f t="shared" si="362"/>
        <v>0</v>
      </c>
      <c r="AT1145" s="208">
        <f>IFERROR(VLOOKUP(J1145,#REF!,10,0),0)</f>
        <v>0</v>
      </c>
    </row>
    <row r="1146" spans="1:46" hidden="1" outlineLevel="1" x14ac:dyDescent="0.25">
      <c r="A1146" s="14" t="str">
        <f t="shared" si="370"/>
        <v>PROP_OPER__38</v>
      </c>
      <c r="B1146" s="15" t="str">
        <f t="shared" si="357"/>
        <v>PROP_OPER__0_0</v>
      </c>
      <c r="C1146" s="83"/>
      <c r="D1146" s="15">
        <v>1</v>
      </c>
      <c r="E1146" s="15">
        <v>38</v>
      </c>
      <c r="F1146" s="190">
        <f t="shared" si="367"/>
        <v>0</v>
      </c>
      <c r="G1146" s="149" t="str">
        <f t="shared" si="367"/>
        <v/>
      </c>
      <c r="H1146" s="150" t="str">
        <f t="shared" si="367"/>
        <v/>
      </c>
      <c r="I1146" s="150">
        <f t="shared" si="367"/>
        <v>0</v>
      </c>
      <c r="J1146" s="150">
        <f t="shared" si="367"/>
        <v>0</v>
      </c>
      <c r="K1146" s="196" t="str">
        <f t="shared" si="367"/>
        <v/>
      </c>
      <c r="L1146" s="197" t="str">
        <f t="shared" si="367"/>
        <v/>
      </c>
      <c r="M1146" s="191">
        <f t="shared" si="367"/>
        <v>0</v>
      </c>
      <c r="N1146" s="150">
        <f t="shared" si="367"/>
        <v>0</v>
      </c>
      <c r="O1146" s="193">
        <f t="shared" si="367"/>
        <v>0</v>
      </c>
      <c r="P1146" s="162">
        <f t="shared" si="368"/>
        <v>0</v>
      </c>
      <c r="Q1146" s="162">
        <f t="shared" si="368"/>
        <v>0</v>
      </c>
      <c r="R1146" s="162">
        <f t="shared" si="368"/>
        <v>0</v>
      </c>
      <c r="S1146" s="162">
        <f t="shared" si="368"/>
        <v>0</v>
      </c>
      <c r="T1146" s="162">
        <f t="shared" si="368"/>
        <v>0</v>
      </c>
      <c r="U1146" s="162">
        <f t="shared" si="368"/>
        <v>0</v>
      </c>
      <c r="V1146" s="162">
        <f t="shared" si="368"/>
        <v>0</v>
      </c>
      <c r="W1146" s="162">
        <f t="shared" si="368"/>
        <v>0</v>
      </c>
      <c r="X1146" s="162">
        <f t="shared" si="368"/>
        <v>0</v>
      </c>
      <c r="Y1146" s="162">
        <f t="shared" si="368"/>
        <v>0</v>
      </c>
      <c r="Z1146" s="162">
        <f t="shared" si="368"/>
        <v>0</v>
      </c>
      <c r="AA1146" s="162">
        <f t="shared" si="368"/>
        <v>0</v>
      </c>
      <c r="AB1146" s="163">
        <f t="shared" si="360"/>
        <v>0</v>
      </c>
      <c r="AC1146" s="198"/>
      <c r="AE1146" s="194" t="str">
        <f t="shared" si="363"/>
        <v/>
      </c>
      <c r="AF1146" s="161">
        <f t="shared" si="369"/>
        <v>0</v>
      </c>
      <c r="AG1146" s="162">
        <f t="shared" si="369"/>
        <v>0</v>
      </c>
      <c r="AH1146" s="162">
        <f t="shared" si="369"/>
        <v>0</v>
      </c>
      <c r="AI1146" s="162">
        <f t="shared" si="369"/>
        <v>0</v>
      </c>
      <c r="AJ1146" s="162">
        <f t="shared" si="369"/>
        <v>0</v>
      </c>
      <c r="AK1146" s="162">
        <f t="shared" si="369"/>
        <v>0</v>
      </c>
      <c r="AL1146" s="162">
        <f t="shared" si="369"/>
        <v>0</v>
      </c>
      <c r="AM1146" s="162">
        <f t="shared" si="369"/>
        <v>0</v>
      </c>
      <c r="AN1146" s="162">
        <f t="shared" si="369"/>
        <v>0</v>
      </c>
      <c r="AO1146" s="162">
        <f t="shared" si="369"/>
        <v>0</v>
      </c>
      <c r="AP1146" s="162">
        <f t="shared" si="369"/>
        <v>0</v>
      </c>
      <c r="AQ1146" s="162">
        <f t="shared" si="369"/>
        <v>0</v>
      </c>
      <c r="AR1146" s="163">
        <f t="shared" si="362"/>
        <v>0</v>
      </c>
      <c r="AT1146" s="208">
        <f>IFERROR(VLOOKUP(J1146,#REF!,10,0),0)</f>
        <v>0</v>
      </c>
    </row>
    <row r="1147" spans="1:46" hidden="1" outlineLevel="1" x14ac:dyDescent="0.25">
      <c r="A1147" s="14" t="str">
        <f t="shared" si="370"/>
        <v>PROP_OPER__39</v>
      </c>
      <c r="B1147" s="15" t="str">
        <f t="shared" si="357"/>
        <v>PROP_OPER__0_0</v>
      </c>
      <c r="C1147" s="83"/>
      <c r="D1147" s="15">
        <v>1</v>
      </c>
      <c r="E1147" s="15">
        <v>39</v>
      </c>
      <c r="F1147" s="190">
        <f t="shared" si="367"/>
        <v>0</v>
      </c>
      <c r="G1147" s="149" t="str">
        <f t="shared" si="367"/>
        <v/>
      </c>
      <c r="H1147" s="150" t="str">
        <f t="shared" si="367"/>
        <v/>
      </c>
      <c r="I1147" s="150">
        <f t="shared" si="367"/>
        <v>0</v>
      </c>
      <c r="J1147" s="150">
        <f t="shared" si="367"/>
        <v>0</v>
      </c>
      <c r="K1147" s="196" t="str">
        <f t="shared" si="367"/>
        <v/>
      </c>
      <c r="L1147" s="197" t="str">
        <f t="shared" si="367"/>
        <v/>
      </c>
      <c r="M1147" s="191">
        <f t="shared" si="367"/>
        <v>0</v>
      </c>
      <c r="N1147" s="150">
        <f t="shared" si="367"/>
        <v>0</v>
      </c>
      <c r="O1147" s="193">
        <f t="shared" si="367"/>
        <v>0</v>
      </c>
      <c r="P1147" s="162">
        <f t="shared" si="368"/>
        <v>0</v>
      </c>
      <c r="Q1147" s="162">
        <f t="shared" si="368"/>
        <v>0</v>
      </c>
      <c r="R1147" s="162">
        <f t="shared" si="368"/>
        <v>0</v>
      </c>
      <c r="S1147" s="162">
        <f t="shared" si="368"/>
        <v>0</v>
      </c>
      <c r="T1147" s="162">
        <f t="shared" si="368"/>
        <v>0</v>
      </c>
      <c r="U1147" s="162">
        <f t="shared" si="368"/>
        <v>0</v>
      </c>
      <c r="V1147" s="162">
        <f t="shared" si="368"/>
        <v>0</v>
      </c>
      <c r="W1147" s="162">
        <f t="shared" si="368"/>
        <v>0</v>
      </c>
      <c r="X1147" s="162">
        <f t="shared" si="368"/>
        <v>0</v>
      </c>
      <c r="Y1147" s="162">
        <f t="shared" si="368"/>
        <v>0</v>
      </c>
      <c r="Z1147" s="162">
        <f t="shared" si="368"/>
        <v>0</v>
      </c>
      <c r="AA1147" s="162">
        <f t="shared" si="368"/>
        <v>0</v>
      </c>
      <c r="AB1147" s="163">
        <f t="shared" si="360"/>
        <v>0</v>
      </c>
      <c r="AC1147" s="198"/>
      <c r="AE1147" s="194" t="str">
        <f t="shared" si="363"/>
        <v/>
      </c>
      <c r="AF1147" s="161">
        <f t="shared" si="369"/>
        <v>0</v>
      </c>
      <c r="AG1147" s="162">
        <f t="shared" si="369"/>
        <v>0</v>
      </c>
      <c r="AH1147" s="162">
        <f t="shared" si="369"/>
        <v>0</v>
      </c>
      <c r="AI1147" s="162">
        <f t="shared" si="369"/>
        <v>0</v>
      </c>
      <c r="AJ1147" s="162">
        <f t="shared" si="369"/>
        <v>0</v>
      </c>
      <c r="AK1147" s="162">
        <f t="shared" si="369"/>
        <v>0</v>
      </c>
      <c r="AL1147" s="162">
        <f t="shared" si="369"/>
        <v>0</v>
      </c>
      <c r="AM1147" s="162">
        <f t="shared" si="369"/>
        <v>0</v>
      </c>
      <c r="AN1147" s="162">
        <f t="shared" si="369"/>
        <v>0</v>
      </c>
      <c r="AO1147" s="162">
        <f t="shared" si="369"/>
        <v>0</v>
      </c>
      <c r="AP1147" s="162">
        <f t="shared" si="369"/>
        <v>0</v>
      </c>
      <c r="AQ1147" s="162">
        <f t="shared" si="369"/>
        <v>0</v>
      </c>
      <c r="AR1147" s="163">
        <f t="shared" si="362"/>
        <v>0</v>
      </c>
      <c r="AT1147" s="208">
        <f>IFERROR(VLOOKUP(J1147,#REF!,10,0),0)</f>
        <v>0</v>
      </c>
    </row>
    <row r="1148" spans="1:46" hidden="1" outlineLevel="1" x14ac:dyDescent="0.25">
      <c r="A1148" s="14" t="str">
        <f t="shared" si="370"/>
        <v>PROP_OPER__40</v>
      </c>
      <c r="B1148" s="15" t="str">
        <f t="shared" si="357"/>
        <v>PROP_OPER__0_0</v>
      </c>
      <c r="C1148" s="83"/>
      <c r="D1148" s="15">
        <v>1</v>
      </c>
      <c r="E1148" s="15">
        <v>40</v>
      </c>
      <c r="F1148" s="190">
        <f t="shared" si="367"/>
        <v>0</v>
      </c>
      <c r="G1148" s="149" t="str">
        <f t="shared" si="367"/>
        <v/>
      </c>
      <c r="H1148" s="150" t="str">
        <f t="shared" si="367"/>
        <v/>
      </c>
      <c r="I1148" s="150">
        <f t="shared" si="367"/>
        <v>0</v>
      </c>
      <c r="J1148" s="150">
        <f t="shared" si="367"/>
        <v>0</v>
      </c>
      <c r="K1148" s="196" t="str">
        <f t="shared" si="367"/>
        <v/>
      </c>
      <c r="L1148" s="197" t="str">
        <f t="shared" si="367"/>
        <v/>
      </c>
      <c r="M1148" s="191">
        <f t="shared" si="367"/>
        <v>0</v>
      </c>
      <c r="N1148" s="150">
        <f t="shared" si="367"/>
        <v>0</v>
      </c>
      <c r="O1148" s="193">
        <f t="shared" si="367"/>
        <v>0</v>
      </c>
      <c r="P1148" s="162">
        <f t="shared" si="368"/>
        <v>0</v>
      </c>
      <c r="Q1148" s="162">
        <f t="shared" si="368"/>
        <v>0</v>
      </c>
      <c r="R1148" s="162">
        <f t="shared" si="368"/>
        <v>0</v>
      </c>
      <c r="S1148" s="162">
        <f t="shared" si="368"/>
        <v>0</v>
      </c>
      <c r="T1148" s="162">
        <f t="shared" si="368"/>
        <v>0</v>
      </c>
      <c r="U1148" s="162">
        <f t="shared" si="368"/>
        <v>0</v>
      </c>
      <c r="V1148" s="162">
        <f t="shared" si="368"/>
        <v>0</v>
      </c>
      <c r="W1148" s="162">
        <f t="shared" si="368"/>
        <v>0</v>
      </c>
      <c r="X1148" s="162">
        <f t="shared" si="368"/>
        <v>0</v>
      </c>
      <c r="Y1148" s="162">
        <f t="shared" si="368"/>
        <v>0</v>
      </c>
      <c r="Z1148" s="162">
        <f t="shared" si="368"/>
        <v>0</v>
      </c>
      <c r="AA1148" s="162">
        <f t="shared" si="368"/>
        <v>0</v>
      </c>
      <c r="AB1148" s="163">
        <f t="shared" si="360"/>
        <v>0</v>
      </c>
      <c r="AC1148" s="198"/>
      <c r="AE1148" s="194" t="str">
        <f t="shared" si="363"/>
        <v/>
      </c>
      <c r="AF1148" s="161">
        <f t="shared" si="369"/>
        <v>0</v>
      </c>
      <c r="AG1148" s="162">
        <f t="shared" si="369"/>
        <v>0</v>
      </c>
      <c r="AH1148" s="162">
        <f t="shared" si="369"/>
        <v>0</v>
      </c>
      <c r="AI1148" s="162">
        <f t="shared" si="369"/>
        <v>0</v>
      </c>
      <c r="AJ1148" s="162">
        <f t="shared" si="369"/>
        <v>0</v>
      </c>
      <c r="AK1148" s="162">
        <f t="shared" si="369"/>
        <v>0</v>
      </c>
      <c r="AL1148" s="162">
        <f t="shared" si="369"/>
        <v>0</v>
      </c>
      <c r="AM1148" s="162">
        <f t="shared" si="369"/>
        <v>0</v>
      </c>
      <c r="AN1148" s="162">
        <f t="shared" si="369"/>
        <v>0</v>
      </c>
      <c r="AO1148" s="162">
        <f t="shared" si="369"/>
        <v>0</v>
      </c>
      <c r="AP1148" s="162">
        <f t="shared" si="369"/>
        <v>0</v>
      </c>
      <c r="AQ1148" s="162">
        <f t="shared" si="369"/>
        <v>0</v>
      </c>
      <c r="AR1148" s="163">
        <f t="shared" si="362"/>
        <v>0</v>
      </c>
      <c r="AT1148" s="208">
        <f>IFERROR(VLOOKUP(J1148,#REF!,10,0),0)</f>
        <v>0</v>
      </c>
    </row>
    <row r="1149" spans="1:46" hidden="1" outlineLevel="1" x14ac:dyDescent="0.25">
      <c r="A1149" s="14" t="str">
        <f t="shared" si="370"/>
        <v>PROP_OPER__41</v>
      </c>
      <c r="B1149" s="15" t="str">
        <f t="shared" si="357"/>
        <v>PROP_OPER__0_0</v>
      </c>
      <c r="C1149" s="83"/>
      <c r="D1149" s="15">
        <v>1</v>
      </c>
      <c r="E1149" s="15">
        <v>41</v>
      </c>
      <c r="F1149" s="190">
        <f t="shared" si="367"/>
        <v>0</v>
      </c>
      <c r="G1149" s="149" t="str">
        <f t="shared" si="367"/>
        <v/>
      </c>
      <c r="H1149" s="150" t="str">
        <f t="shared" si="367"/>
        <v/>
      </c>
      <c r="I1149" s="150">
        <f t="shared" si="367"/>
        <v>0</v>
      </c>
      <c r="J1149" s="150">
        <f t="shared" si="367"/>
        <v>0</v>
      </c>
      <c r="K1149" s="196" t="str">
        <f t="shared" si="367"/>
        <v/>
      </c>
      <c r="L1149" s="197" t="str">
        <f t="shared" si="367"/>
        <v/>
      </c>
      <c r="M1149" s="191">
        <f t="shared" si="367"/>
        <v>0</v>
      </c>
      <c r="N1149" s="150">
        <f t="shared" si="367"/>
        <v>0</v>
      </c>
      <c r="O1149" s="193">
        <f t="shared" si="367"/>
        <v>0</v>
      </c>
      <c r="P1149" s="162">
        <f t="shared" si="368"/>
        <v>0</v>
      </c>
      <c r="Q1149" s="162">
        <f t="shared" si="368"/>
        <v>0</v>
      </c>
      <c r="R1149" s="162">
        <f t="shared" si="368"/>
        <v>0</v>
      </c>
      <c r="S1149" s="162">
        <f t="shared" si="368"/>
        <v>0</v>
      </c>
      <c r="T1149" s="162">
        <f t="shared" si="368"/>
        <v>0</v>
      </c>
      <c r="U1149" s="162">
        <f t="shared" si="368"/>
        <v>0</v>
      </c>
      <c r="V1149" s="162">
        <f t="shared" si="368"/>
        <v>0</v>
      </c>
      <c r="W1149" s="162">
        <f t="shared" si="368"/>
        <v>0</v>
      </c>
      <c r="X1149" s="162">
        <f t="shared" si="368"/>
        <v>0</v>
      </c>
      <c r="Y1149" s="162">
        <f t="shared" si="368"/>
        <v>0</v>
      </c>
      <c r="Z1149" s="162">
        <f t="shared" si="368"/>
        <v>0</v>
      </c>
      <c r="AA1149" s="162">
        <f t="shared" si="368"/>
        <v>0</v>
      </c>
      <c r="AB1149" s="163">
        <f t="shared" si="360"/>
        <v>0</v>
      </c>
      <c r="AC1149" s="198"/>
      <c r="AE1149" s="194" t="str">
        <f t="shared" si="363"/>
        <v/>
      </c>
      <c r="AF1149" s="161">
        <f t="shared" si="369"/>
        <v>0</v>
      </c>
      <c r="AG1149" s="162">
        <f t="shared" si="369"/>
        <v>0</v>
      </c>
      <c r="AH1149" s="162">
        <f t="shared" si="369"/>
        <v>0</v>
      </c>
      <c r="AI1149" s="162">
        <f t="shared" si="369"/>
        <v>0</v>
      </c>
      <c r="AJ1149" s="162">
        <f t="shared" si="369"/>
        <v>0</v>
      </c>
      <c r="AK1149" s="162">
        <f t="shared" si="369"/>
        <v>0</v>
      </c>
      <c r="AL1149" s="162">
        <f t="shared" si="369"/>
        <v>0</v>
      </c>
      <c r="AM1149" s="162">
        <f t="shared" si="369"/>
        <v>0</v>
      </c>
      <c r="AN1149" s="162">
        <f t="shared" si="369"/>
        <v>0</v>
      </c>
      <c r="AO1149" s="162">
        <f t="shared" si="369"/>
        <v>0</v>
      </c>
      <c r="AP1149" s="162">
        <f t="shared" si="369"/>
        <v>0</v>
      </c>
      <c r="AQ1149" s="162">
        <f t="shared" si="369"/>
        <v>0</v>
      </c>
      <c r="AR1149" s="163">
        <f t="shared" si="362"/>
        <v>0</v>
      </c>
      <c r="AT1149" s="208">
        <f>IFERROR(VLOOKUP(J1149,#REF!,10,0),0)</f>
        <v>0</v>
      </c>
    </row>
    <row r="1150" spans="1:46" hidden="1" outlineLevel="1" x14ac:dyDescent="0.25">
      <c r="A1150" s="14" t="str">
        <f t="shared" si="370"/>
        <v>PROP_OPER__42</v>
      </c>
      <c r="B1150" s="15" t="str">
        <f t="shared" si="357"/>
        <v>PROP_OPER__0_0</v>
      </c>
      <c r="C1150" s="83"/>
      <c r="D1150" s="15">
        <v>1</v>
      </c>
      <c r="E1150" s="15">
        <v>42</v>
      </c>
      <c r="F1150" s="190">
        <f t="shared" si="367"/>
        <v>0</v>
      </c>
      <c r="G1150" s="149" t="str">
        <f t="shared" si="367"/>
        <v/>
      </c>
      <c r="H1150" s="150" t="str">
        <f t="shared" si="367"/>
        <v/>
      </c>
      <c r="I1150" s="150">
        <f t="shared" si="367"/>
        <v>0</v>
      </c>
      <c r="J1150" s="150">
        <f t="shared" si="367"/>
        <v>0</v>
      </c>
      <c r="K1150" s="196" t="str">
        <f t="shared" si="367"/>
        <v/>
      </c>
      <c r="L1150" s="197" t="str">
        <f t="shared" si="367"/>
        <v/>
      </c>
      <c r="M1150" s="191">
        <f t="shared" si="367"/>
        <v>0</v>
      </c>
      <c r="N1150" s="150">
        <f t="shared" si="367"/>
        <v>0</v>
      </c>
      <c r="O1150" s="193">
        <f t="shared" si="367"/>
        <v>0</v>
      </c>
      <c r="P1150" s="162">
        <f t="shared" si="368"/>
        <v>0</v>
      </c>
      <c r="Q1150" s="162">
        <f t="shared" si="368"/>
        <v>0</v>
      </c>
      <c r="R1150" s="162">
        <f t="shared" si="368"/>
        <v>0</v>
      </c>
      <c r="S1150" s="162">
        <f t="shared" si="368"/>
        <v>0</v>
      </c>
      <c r="T1150" s="162">
        <f t="shared" si="368"/>
        <v>0</v>
      </c>
      <c r="U1150" s="162">
        <f t="shared" si="368"/>
        <v>0</v>
      </c>
      <c r="V1150" s="162">
        <f t="shared" si="368"/>
        <v>0</v>
      </c>
      <c r="W1150" s="162">
        <f t="shared" si="368"/>
        <v>0</v>
      </c>
      <c r="X1150" s="162">
        <f t="shared" si="368"/>
        <v>0</v>
      </c>
      <c r="Y1150" s="162">
        <f t="shared" si="368"/>
        <v>0</v>
      </c>
      <c r="Z1150" s="162">
        <f t="shared" si="368"/>
        <v>0</v>
      </c>
      <c r="AA1150" s="162">
        <f t="shared" si="368"/>
        <v>0</v>
      </c>
      <c r="AB1150" s="163">
        <f t="shared" si="360"/>
        <v>0</v>
      </c>
      <c r="AC1150" s="198"/>
      <c r="AE1150" s="194" t="str">
        <f t="shared" si="363"/>
        <v/>
      </c>
      <c r="AF1150" s="161">
        <f t="shared" si="369"/>
        <v>0</v>
      </c>
      <c r="AG1150" s="162">
        <f t="shared" si="369"/>
        <v>0</v>
      </c>
      <c r="AH1150" s="162">
        <f t="shared" si="369"/>
        <v>0</v>
      </c>
      <c r="AI1150" s="162">
        <f t="shared" si="369"/>
        <v>0</v>
      </c>
      <c r="AJ1150" s="162">
        <f t="shared" si="369"/>
        <v>0</v>
      </c>
      <c r="AK1150" s="162">
        <f t="shared" si="369"/>
        <v>0</v>
      </c>
      <c r="AL1150" s="162">
        <f t="shared" si="369"/>
        <v>0</v>
      </c>
      <c r="AM1150" s="162">
        <f t="shared" si="369"/>
        <v>0</v>
      </c>
      <c r="AN1150" s="162">
        <f t="shared" si="369"/>
        <v>0</v>
      </c>
      <c r="AO1150" s="162">
        <f t="shared" si="369"/>
        <v>0</v>
      </c>
      <c r="AP1150" s="162">
        <f t="shared" si="369"/>
        <v>0</v>
      </c>
      <c r="AQ1150" s="162">
        <f t="shared" si="369"/>
        <v>0</v>
      </c>
      <c r="AR1150" s="163">
        <f t="shared" si="362"/>
        <v>0</v>
      </c>
      <c r="AT1150" s="208">
        <f>IFERROR(VLOOKUP(J1150,#REF!,10,0),0)</f>
        <v>0</v>
      </c>
    </row>
    <row r="1151" spans="1:46" hidden="1" outlineLevel="1" x14ac:dyDescent="0.25">
      <c r="A1151" s="14" t="str">
        <f t="shared" si="370"/>
        <v>PROP_OPER__43</v>
      </c>
      <c r="B1151" s="15" t="str">
        <f t="shared" si="357"/>
        <v>PROP_OPER__0_0</v>
      </c>
      <c r="C1151" s="83"/>
      <c r="D1151" s="15">
        <v>1</v>
      </c>
      <c r="E1151" s="15">
        <v>43</v>
      </c>
      <c r="F1151" s="190">
        <f t="shared" si="367"/>
        <v>0</v>
      </c>
      <c r="G1151" s="149" t="str">
        <f t="shared" si="367"/>
        <v/>
      </c>
      <c r="H1151" s="150" t="str">
        <f t="shared" si="367"/>
        <v/>
      </c>
      <c r="I1151" s="150">
        <f t="shared" si="367"/>
        <v>0</v>
      </c>
      <c r="J1151" s="150">
        <f t="shared" si="367"/>
        <v>0</v>
      </c>
      <c r="K1151" s="196" t="str">
        <f t="shared" si="367"/>
        <v/>
      </c>
      <c r="L1151" s="197" t="str">
        <f t="shared" si="367"/>
        <v/>
      </c>
      <c r="M1151" s="191">
        <f t="shared" si="367"/>
        <v>0</v>
      </c>
      <c r="N1151" s="150">
        <f t="shared" si="367"/>
        <v>0</v>
      </c>
      <c r="O1151" s="193">
        <f t="shared" si="367"/>
        <v>0</v>
      </c>
      <c r="P1151" s="162">
        <f t="shared" si="368"/>
        <v>0</v>
      </c>
      <c r="Q1151" s="162">
        <f t="shared" si="368"/>
        <v>0</v>
      </c>
      <c r="R1151" s="162">
        <f t="shared" si="368"/>
        <v>0</v>
      </c>
      <c r="S1151" s="162">
        <f t="shared" si="368"/>
        <v>0</v>
      </c>
      <c r="T1151" s="162">
        <f t="shared" si="368"/>
        <v>0</v>
      </c>
      <c r="U1151" s="162">
        <f t="shared" si="368"/>
        <v>0</v>
      </c>
      <c r="V1151" s="162">
        <f t="shared" si="368"/>
        <v>0</v>
      </c>
      <c r="W1151" s="162">
        <f t="shared" si="368"/>
        <v>0</v>
      </c>
      <c r="X1151" s="162">
        <f t="shared" si="368"/>
        <v>0</v>
      </c>
      <c r="Y1151" s="162">
        <f t="shared" si="368"/>
        <v>0</v>
      </c>
      <c r="Z1151" s="162">
        <f t="shared" si="368"/>
        <v>0</v>
      </c>
      <c r="AA1151" s="162">
        <f t="shared" si="368"/>
        <v>0</v>
      </c>
      <c r="AB1151" s="163">
        <f t="shared" si="360"/>
        <v>0</v>
      </c>
      <c r="AC1151" s="198"/>
      <c r="AE1151" s="194" t="str">
        <f t="shared" si="363"/>
        <v/>
      </c>
      <c r="AF1151" s="161">
        <f t="shared" si="369"/>
        <v>0</v>
      </c>
      <c r="AG1151" s="162">
        <f t="shared" si="369"/>
        <v>0</v>
      </c>
      <c r="AH1151" s="162">
        <f t="shared" si="369"/>
        <v>0</v>
      </c>
      <c r="AI1151" s="162">
        <f t="shared" si="369"/>
        <v>0</v>
      </c>
      <c r="AJ1151" s="162">
        <f t="shared" si="369"/>
        <v>0</v>
      </c>
      <c r="AK1151" s="162">
        <f t="shared" si="369"/>
        <v>0</v>
      </c>
      <c r="AL1151" s="162">
        <f t="shared" si="369"/>
        <v>0</v>
      </c>
      <c r="AM1151" s="162">
        <f t="shared" si="369"/>
        <v>0</v>
      </c>
      <c r="AN1151" s="162">
        <f t="shared" si="369"/>
        <v>0</v>
      </c>
      <c r="AO1151" s="162">
        <f t="shared" si="369"/>
        <v>0</v>
      </c>
      <c r="AP1151" s="162">
        <f t="shared" si="369"/>
        <v>0</v>
      </c>
      <c r="AQ1151" s="162">
        <f t="shared" si="369"/>
        <v>0</v>
      </c>
      <c r="AR1151" s="163">
        <f t="shared" si="362"/>
        <v>0</v>
      </c>
      <c r="AT1151" s="208">
        <f>IFERROR(VLOOKUP(J1151,#REF!,10,0),0)</f>
        <v>0</v>
      </c>
    </row>
    <row r="1152" spans="1:46" hidden="1" outlineLevel="1" x14ac:dyDescent="0.25">
      <c r="A1152" s="14" t="str">
        <f t="shared" si="370"/>
        <v>PROP_OPER__44</v>
      </c>
      <c r="B1152" s="15" t="str">
        <f t="shared" si="357"/>
        <v>PROP_OPER__0_0</v>
      </c>
      <c r="C1152" s="83"/>
      <c r="D1152" s="15">
        <v>1</v>
      </c>
      <c r="E1152" s="15">
        <v>44</v>
      </c>
      <c r="F1152" s="190">
        <f t="shared" si="367"/>
        <v>0</v>
      </c>
      <c r="G1152" s="149" t="str">
        <f t="shared" si="367"/>
        <v/>
      </c>
      <c r="H1152" s="150" t="str">
        <f t="shared" si="367"/>
        <v/>
      </c>
      <c r="I1152" s="150">
        <f t="shared" si="367"/>
        <v>0</v>
      </c>
      <c r="J1152" s="150">
        <f t="shared" si="367"/>
        <v>0</v>
      </c>
      <c r="K1152" s="196" t="str">
        <f t="shared" si="367"/>
        <v/>
      </c>
      <c r="L1152" s="197" t="str">
        <f t="shared" si="367"/>
        <v/>
      </c>
      <c r="M1152" s="191">
        <f t="shared" si="367"/>
        <v>0</v>
      </c>
      <c r="N1152" s="150">
        <f t="shared" si="367"/>
        <v>0</v>
      </c>
      <c r="O1152" s="193">
        <f t="shared" si="367"/>
        <v>0</v>
      </c>
      <c r="P1152" s="162">
        <f t="shared" si="368"/>
        <v>0</v>
      </c>
      <c r="Q1152" s="162">
        <f t="shared" si="368"/>
        <v>0</v>
      </c>
      <c r="R1152" s="162">
        <f t="shared" si="368"/>
        <v>0</v>
      </c>
      <c r="S1152" s="162">
        <f t="shared" si="368"/>
        <v>0</v>
      </c>
      <c r="T1152" s="162">
        <f t="shared" si="368"/>
        <v>0</v>
      </c>
      <c r="U1152" s="162">
        <f t="shared" si="368"/>
        <v>0</v>
      </c>
      <c r="V1152" s="162">
        <f t="shared" si="368"/>
        <v>0</v>
      </c>
      <c r="W1152" s="162">
        <f t="shared" si="368"/>
        <v>0</v>
      </c>
      <c r="X1152" s="162">
        <f t="shared" si="368"/>
        <v>0</v>
      </c>
      <c r="Y1152" s="162">
        <f t="shared" si="368"/>
        <v>0</v>
      </c>
      <c r="Z1152" s="162">
        <f t="shared" si="368"/>
        <v>0</v>
      </c>
      <c r="AA1152" s="162">
        <f t="shared" si="368"/>
        <v>0</v>
      </c>
      <c r="AB1152" s="163">
        <f t="shared" si="360"/>
        <v>0</v>
      </c>
      <c r="AC1152" s="198"/>
      <c r="AE1152" s="194" t="str">
        <f t="shared" si="363"/>
        <v/>
      </c>
      <c r="AF1152" s="161">
        <f t="shared" si="369"/>
        <v>0</v>
      </c>
      <c r="AG1152" s="162">
        <f t="shared" si="369"/>
        <v>0</v>
      </c>
      <c r="AH1152" s="162">
        <f t="shared" si="369"/>
        <v>0</v>
      </c>
      <c r="AI1152" s="162">
        <f t="shared" si="369"/>
        <v>0</v>
      </c>
      <c r="AJ1152" s="162">
        <f t="shared" si="369"/>
        <v>0</v>
      </c>
      <c r="AK1152" s="162">
        <f t="shared" si="369"/>
        <v>0</v>
      </c>
      <c r="AL1152" s="162">
        <f t="shared" si="369"/>
        <v>0</v>
      </c>
      <c r="AM1152" s="162">
        <f t="shared" si="369"/>
        <v>0</v>
      </c>
      <c r="AN1152" s="162">
        <f t="shared" si="369"/>
        <v>0</v>
      </c>
      <c r="AO1152" s="162">
        <f t="shared" si="369"/>
        <v>0</v>
      </c>
      <c r="AP1152" s="162">
        <f t="shared" si="369"/>
        <v>0</v>
      </c>
      <c r="AQ1152" s="162">
        <f t="shared" si="369"/>
        <v>0</v>
      </c>
      <c r="AR1152" s="163">
        <f t="shared" si="362"/>
        <v>0</v>
      </c>
      <c r="AT1152" s="208">
        <f>IFERROR(VLOOKUP(J1152,#REF!,10,0),0)</f>
        <v>0</v>
      </c>
    </row>
    <row r="1153" spans="1:46" hidden="1" outlineLevel="1" x14ac:dyDescent="0.25">
      <c r="A1153" s="14" t="str">
        <f t="shared" si="370"/>
        <v>PROP_OPER__45</v>
      </c>
      <c r="B1153" s="15" t="str">
        <f t="shared" si="357"/>
        <v>PROP_OPER__0_0</v>
      </c>
      <c r="C1153" s="83"/>
      <c r="D1153" s="15">
        <v>1</v>
      </c>
      <c r="E1153" s="15">
        <v>45</v>
      </c>
      <c r="F1153" s="209">
        <f t="shared" si="367"/>
        <v>0</v>
      </c>
      <c r="G1153" s="183" t="str">
        <f t="shared" si="367"/>
        <v/>
      </c>
      <c r="H1153" s="184" t="str">
        <f t="shared" si="367"/>
        <v/>
      </c>
      <c r="I1153" s="184">
        <f t="shared" si="367"/>
        <v>0</v>
      </c>
      <c r="J1153" s="184">
        <f t="shared" si="367"/>
        <v>0</v>
      </c>
      <c r="K1153" s="210" t="str">
        <f t="shared" si="367"/>
        <v/>
      </c>
      <c r="L1153" s="211" t="str">
        <f t="shared" si="367"/>
        <v/>
      </c>
      <c r="M1153" s="212">
        <f t="shared" si="367"/>
        <v>0</v>
      </c>
      <c r="N1153" s="184">
        <f t="shared" si="367"/>
        <v>0</v>
      </c>
      <c r="O1153" s="213">
        <f t="shared" si="367"/>
        <v>0</v>
      </c>
      <c r="P1153" s="175">
        <f t="shared" si="368"/>
        <v>0</v>
      </c>
      <c r="Q1153" s="175">
        <f t="shared" si="368"/>
        <v>0</v>
      </c>
      <c r="R1153" s="175">
        <f t="shared" si="368"/>
        <v>0</v>
      </c>
      <c r="S1153" s="175">
        <f t="shared" si="368"/>
        <v>0</v>
      </c>
      <c r="T1153" s="175">
        <f t="shared" si="368"/>
        <v>0</v>
      </c>
      <c r="U1153" s="175">
        <f t="shared" si="368"/>
        <v>0</v>
      </c>
      <c r="V1153" s="175">
        <f t="shared" si="368"/>
        <v>0</v>
      </c>
      <c r="W1153" s="175">
        <f t="shared" si="368"/>
        <v>0</v>
      </c>
      <c r="X1153" s="175">
        <f t="shared" si="368"/>
        <v>0</v>
      </c>
      <c r="Y1153" s="175">
        <f t="shared" si="368"/>
        <v>0</v>
      </c>
      <c r="Z1153" s="175">
        <f t="shared" si="368"/>
        <v>0</v>
      </c>
      <c r="AA1153" s="175">
        <f t="shared" si="368"/>
        <v>0</v>
      </c>
      <c r="AB1153" s="176">
        <f t="shared" si="360"/>
        <v>0</v>
      </c>
      <c r="AC1153" s="172"/>
      <c r="AE1153" s="195" t="str">
        <f t="shared" si="363"/>
        <v/>
      </c>
      <c r="AF1153" s="174">
        <f t="shared" si="369"/>
        <v>0</v>
      </c>
      <c r="AG1153" s="175">
        <f t="shared" si="369"/>
        <v>0</v>
      </c>
      <c r="AH1153" s="175">
        <f t="shared" si="369"/>
        <v>0</v>
      </c>
      <c r="AI1153" s="175">
        <f t="shared" si="369"/>
        <v>0</v>
      </c>
      <c r="AJ1153" s="175">
        <f t="shared" si="369"/>
        <v>0</v>
      </c>
      <c r="AK1153" s="175">
        <f t="shared" si="369"/>
        <v>0</v>
      </c>
      <c r="AL1153" s="175">
        <f t="shared" si="369"/>
        <v>0</v>
      </c>
      <c r="AM1153" s="175">
        <f t="shared" si="369"/>
        <v>0</v>
      </c>
      <c r="AN1153" s="175">
        <f t="shared" si="369"/>
        <v>0</v>
      </c>
      <c r="AO1153" s="175">
        <f t="shared" si="369"/>
        <v>0</v>
      </c>
      <c r="AP1153" s="175">
        <f t="shared" si="369"/>
        <v>0</v>
      </c>
      <c r="AQ1153" s="175">
        <f t="shared" si="369"/>
        <v>0</v>
      </c>
      <c r="AR1153" s="176">
        <f t="shared" si="362"/>
        <v>0</v>
      </c>
      <c r="AT1153" s="208">
        <f>IFERROR(VLOOKUP(J1153,#REF!,10,0),0)</f>
        <v>0</v>
      </c>
    </row>
    <row r="1154" spans="1:46" hidden="1" outlineLevel="1" x14ac:dyDescent="0.25">
      <c r="A1154" s="14" t="str">
        <f t="shared" si="370"/>
        <v>PROP_OPER__</v>
      </c>
      <c r="F1154" s="137" t="s">
        <v>282</v>
      </c>
      <c r="G1154" s="138"/>
      <c r="H1154" s="139" t="s">
        <v>217</v>
      </c>
      <c r="I1154" s="139"/>
      <c r="J1154" s="139" t="s">
        <v>229</v>
      </c>
      <c r="K1154" s="140"/>
      <c r="L1154" s="141"/>
      <c r="M1154" s="142" t="s">
        <v>220</v>
      </c>
      <c r="N1154" s="139" t="s">
        <v>221</v>
      </c>
      <c r="O1154" s="143" t="s">
        <v>222</v>
      </c>
      <c r="P1154" s="35">
        <f t="shared" ref="P1154:AA1154" si="371">P$9</f>
        <v>46113</v>
      </c>
      <c r="Q1154" s="35">
        <f t="shared" si="371"/>
        <v>46143</v>
      </c>
      <c r="R1154" s="35">
        <f t="shared" si="371"/>
        <v>46174</v>
      </c>
      <c r="S1154" s="35">
        <f t="shared" si="371"/>
        <v>46204</v>
      </c>
      <c r="T1154" s="35">
        <f t="shared" si="371"/>
        <v>46235</v>
      </c>
      <c r="U1154" s="35">
        <f t="shared" si="371"/>
        <v>46266</v>
      </c>
      <c r="V1154" s="35">
        <f t="shared" si="371"/>
        <v>46296</v>
      </c>
      <c r="W1154" s="35">
        <f t="shared" si="371"/>
        <v>46327</v>
      </c>
      <c r="X1154" s="35">
        <f t="shared" si="371"/>
        <v>46357</v>
      </c>
      <c r="Y1154" s="35">
        <f t="shared" si="371"/>
        <v>46388</v>
      </c>
      <c r="Z1154" s="35">
        <f t="shared" si="371"/>
        <v>46419</v>
      </c>
      <c r="AA1154" s="35">
        <f t="shared" si="371"/>
        <v>46447</v>
      </c>
      <c r="AB1154" s="81" t="s">
        <v>223</v>
      </c>
      <c r="AC1154" s="82" t="s">
        <v>192</v>
      </c>
      <c r="AE1154" s="189" t="str">
        <f>"Qtde Recursos em: "&amp;F1154</f>
        <v>Qtde Recursos em: PLANTIO DE VIVEIRO</v>
      </c>
      <c r="AF1154" s="147">
        <f>P1154</f>
        <v>46113</v>
      </c>
      <c r="AG1154" s="35">
        <f t="shared" ref="AG1154:AQ1154" si="372">Q1154</f>
        <v>46143</v>
      </c>
      <c r="AH1154" s="35">
        <f t="shared" si="372"/>
        <v>46174</v>
      </c>
      <c r="AI1154" s="35">
        <f t="shared" si="372"/>
        <v>46204</v>
      </c>
      <c r="AJ1154" s="35">
        <f t="shared" si="372"/>
        <v>46235</v>
      </c>
      <c r="AK1154" s="35">
        <f t="shared" si="372"/>
        <v>46266</v>
      </c>
      <c r="AL1154" s="35">
        <f t="shared" si="372"/>
        <v>46296</v>
      </c>
      <c r="AM1154" s="35">
        <f t="shared" si="372"/>
        <v>46327</v>
      </c>
      <c r="AN1154" s="35">
        <f t="shared" si="372"/>
        <v>46357</v>
      </c>
      <c r="AO1154" s="35">
        <f t="shared" si="372"/>
        <v>46388</v>
      </c>
      <c r="AP1154" s="35">
        <f t="shared" si="372"/>
        <v>46419</v>
      </c>
      <c r="AQ1154" s="35">
        <f t="shared" si="372"/>
        <v>46447</v>
      </c>
      <c r="AR1154" s="81" t="s">
        <v>223</v>
      </c>
      <c r="AT1154" s="189" t="s">
        <v>258</v>
      </c>
    </row>
    <row r="1155" spans="1:46" hidden="1" outlineLevel="1" x14ac:dyDescent="0.25">
      <c r="A1155" s="14" t="str">
        <f t="shared" si="370"/>
        <v>PROP_OPER__1</v>
      </c>
      <c r="B1155" s="15" t="str">
        <f t="shared" ref="B1155:B1199" si="373">"PROP_OPER_"&amp;C1155&amp;"_"&amp;F1155&amp;"_"&amp;J1155</f>
        <v>PROP_OPER__1018_0</v>
      </c>
      <c r="C1155" s="83"/>
      <c r="D1155" s="15">
        <v>1</v>
      </c>
      <c r="E1155" s="15">
        <v>1</v>
      </c>
      <c r="F1155" s="190">
        <f>F1109</f>
        <v>1018</v>
      </c>
      <c r="G1155" s="149" t="str">
        <f t="shared" ref="G1155:O1155" si="374">G1109</f>
        <v/>
      </c>
      <c r="H1155" s="150" t="str">
        <f t="shared" si="374"/>
        <v/>
      </c>
      <c r="I1155" s="150" t="str">
        <f t="shared" si="374"/>
        <v>PLANCP</v>
      </c>
      <c r="J1155" s="150">
        <f t="shared" si="374"/>
        <v>0</v>
      </c>
      <c r="K1155" s="196" t="str">
        <f t="shared" si="374"/>
        <v/>
      </c>
      <c r="L1155" s="197" t="str">
        <f t="shared" si="374"/>
        <v/>
      </c>
      <c r="M1155" s="191">
        <f t="shared" si="374"/>
        <v>0</v>
      </c>
      <c r="N1155" s="150">
        <f t="shared" si="374"/>
        <v>0</v>
      </c>
      <c r="O1155" s="193">
        <f t="shared" si="374"/>
        <v>1</v>
      </c>
      <c r="P1155" s="162">
        <f t="shared" ref="P1155:AA1168" si="375">IFERROR(SUMIF($B$483:$B$547,$C1155&amp;$I1155,P$483:P$547)/SUMIF($D$483:$D$547,$I1155,P$483:P$547)*P598,0)</f>
        <v>0</v>
      </c>
      <c r="Q1155" s="162">
        <f t="shared" si="375"/>
        <v>0</v>
      </c>
      <c r="R1155" s="162">
        <f t="shared" si="375"/>
        <v>0</v>
      </c>
      <c r="S1155" s="162">
        <f t="shared" si="375"/>
        <v>0</v>
      </c>
      <c r="T1155" s="162">
        <f t="shared" si="375"/>
        <v>0</v>
      </c>
      <c r="U1155" s="162">
        <f t="shared" si="375"/>
        <v>0</v>
      </c>
      <c r="V1155" s="162">
        <f t="shared" si="375"/>
        <v>0</v>
      </c>
      <c r="W1155" s="162">
        <f t="shared" si="375"/>
        <v>0</v>
      </c>
      <c r="X1155" s="162">
        <f t="shared" si="375"/>
        <v>0</v>
      </c>
      <c r="Y1155" s="162">
        <f t="shared" si="375"/>
        <v>0</v>
      </c>
      <c r="Z1155" s="162">
        <f t="shared" si="375"/>
        <v>0</v>
      </c>
      <c r="AA1155" s="162">
        <f t="shared" si="375"/>
        <v>0</v>
      </c>
      <c r="AB1155" s="163">
        <f t="shared" ref="AB1155:AB1199" si="376">SUM(P1155:AA1155)</f>
        <v>0</v>
      </c>
      <c r="AC1155" s="198"/>
      <c r="AE1155" s="194" t="str">
        <f t="shared" ref="AE1155:AE1199" si="377">AE1063</f>
        <v/>
      </c>
      <c r="AF1155" s="161">
        <f t="shared" ref="AF1155:AQ1158" si="378">IFERROR(SUMIF($B$483:$B$547,$C1155&amp;$I1155,P$483:P$547)/SUMIF($D$483:$D$547,$I1155,P$483:P$547)*AF553,0)</f>
        <v>0</v>
      </c>
      <c r="AG1155" s="162">
        <f t="shared" si="378"/>
        <v>0</v>
      </c>
      <c r="AH1155" s="162">
        <f t="shared" si="378"/>
        <v>0</v>
      </c>
      <c r="AI1155" s="162">
        <f t="shared" si="378"/>
        <v>0</v>
      </c>
      <c r="AJ1155" s="162">
        <f t="shared" si="378"/>
        <v>0</v>
      </c>
      <c r="AK1155" s="162">
        <f t="shared" si="378"/>
        <v>0</v>
      </c>
      <c r="AL1155" s="162">
        <f t="shared" si="378"/>
        <v>0</v>
      </c>
      <c r="AM1155" s="162">
        <f t="shared" si="378"/>
        <v>0</v>
      </c>
      <c r="AN1155" s="162">
        <f t="shared" si="378"/>
        <v>0</v>
      </c>
      <c r="AO1155" s="162">
        <f t="shared" si="378"/>
        <v>0</v>
      </c>
      <c r="AP1155" s="162">
        <f t="shared" si="378"/>
        <v>0</v>
      </c>
      <c r="AQ1155" s="162">
        <f t="shared" si="378"/>
        <v>0</v>
      </c>
      <c r="AR1155" s="163">
        <f t="shared" ref="AR1155:AR1199" si="379">SUM(AF1155:AQ1155)</f>
        <v>0</v>
      </c>
      <c r="AT1155" s="207">
        <f>IFERROR(VLOOKUP(J1155,#REF!,10,0),0)</f>
        <v>0</v>
      </c>
    </row>
    <row r="1156" spans="1:46" hidden="1" outlineLevel="1" x14ac:dyDescent="0.25">
      <c r="A1156" s="14" t="str">
        <f t="shared" si="370"/>
        <v>PROP_OPER__2</v>
      </c>
      <c r="B1156" s="15" t="str">
        <f t="shared" si="373"/>
        <v>PROP_OPER__1023_0</v>
      </c>
      <c r="C1156" s="83"/>
      <c r="D1156" s="15">
        <v>1</v>
      </c>
      <c r="E1156" s="15">
        <v>2</v>
      </c>
      <c r="F1156" s="190">
        <f t="shared" ref="F1156:O1171" si="380">F1110</f>
        <v>1023</v>
      </c>
      <c r="G1156" s="149" t="str">
        <f t="shared" si="380"/>
        <v/>
      </c>
      <c r="H1156" s="150" t="str">
        <f t="shared" si="380"/>
        <v/>
      </c>
      <c r="I1156" s="150" t="str">
        <f t="shared" si="380"/>
        <v>PLANCP</v>
      </c>
      <c r="J1156" s="150">
        <f t="shared" si="380"/>
        <v>0</v>
      </c>
      <c r="K1156" s="196" t="str">
        <f t="shared" si="380"/>
        <v/>
      </c>
      <c r="L1156" s="197" t="str">
        <f t="shared" si="380"/>
        <v/>
      </c>
      <c r="M1156" s="191">
        <f t="shared" si="380"/>
        <v>0</v>
      </c>
      <c r="N1156" s="150">
        <f t="shared" si="380"/>
        <v>0</v>
      </c>
      <c r="O1156" s="193">
        <f t="shared" si="380"/>
        <v>1</v>
      </c>
      <c r="P1156" s="162">
        <f t="shared" si="375"/>
        <v>0</v>
      </c>
      <c r="Q1156" s="162">
        <f t="shared" si="375"/>
        <v>0</v>
      </c>
      <c r="R1156" s="162">
        <f t="shared" si="375"/>
        <v>0</v>
      </c>
      <c r="S1156" s="162">
        <f t="shared" si="375"/>
        <v>0</v>
      </c>
      <c r="T1156" s="162">
        <f t="shared" si="375"/>
        <v>0</v>
      </c>
      <c r="U1156" s="162">
        <f t="shared" si="375"/>
        <v>0</v>
      </c>
      <c r="V1156" s="162">
        <f t="shared" si="375"/>
        <v>0</v>
      </c>
      <c r="W1156" s="162">
        <f t="shared" si="375"/>
        <v>0</v>
      </c>
      <c r="X1156" s="162">
        <f t="shared" si="375"/>
        <v>0</v>
      </c>
      <c r="Y1156" s="162">
        <f t="shared" si="375"/>
        <v>0</v>
      </c>
      <c r="Z1156" s="162">
        <f t="shared" si="375"/>
        <v>0</v>
      </c>
      <c r="AA1156" s="162">
        <f t="shared" si="375"/>
        <v>0</v>
      </c>
      <c r="AB1156" s="163">
        <f t="shared" si="376"/>
        <v>0</v>
      </c>
      <c r="AC1156" s="198"/>
      <c r="AE1156" s="194" t="str">
        <f t="shared" si="377"/>
        <v/>
      </c>
      <c r="AF1156" s="161">
        <f t="shared" si="378"/>
        <v>0</v>
      </c>
      <c r="AG1156" s="162">
        <f t="shared" si="378"/>
        <v>0</v>
      </c>
      <c r="AH1156" s="162">
        <f t="shared" si="378"/>
        <v>0</v>
      </c>
      <c r="AI1156" s="162">
        <f t="shared" si="378"/>
        <v>0</v>
      </c>
      <c r="AJ1156" s="162">
        <f t="shared" si="378"/>
        <v>0</v>
      </c>
      <c r="AK1156" s="162">
        <f t="shared" si="378"/>
        <v>0</v>
      </c>
      <c r="AL1156" s="162">
        <f t="shared" si="378"/>
        <v>0</v>
      </c>
      <c r="AM1156" s="162">
        <f t="shared" si="378"/>
        <v>0</v>
      </c>
      <c r="AN1156" s="162">
        <f t="shared" si="378"/>
        <v>0</v>
      </c>
      <c r="AO1156" s="162">
        <f t="shared" si="378"/>
        <v>0</v>
      </c>
      <c r="AP1156" s="162">
        <f t="shared" si="378"/>
        <v>0</v>
      </c>
      <c r="AQ1156" s="162">
        <f t="shared" si="378"/>
        <v>0</v>
      </c>
      <c r="AR1156" s="163">
        <f t="shared" si="379"/>
        <v>0</v>
      </c>
      <c r="AT1156" s="208">
        <f>IFERROR(VLOOKUP(J1156,#REF!,10,0),0)</f>
        <v>0</v>
      </c>
    </row>
    <row r="1157" spans="1:46" hidden="1" outlineLevel="1" x14ac:dyDescent="0.25">
      <c r="A1157" s="14" t="str">
        <f t="shared" si="370"/>
        <v>PROP_OPER__3</v>
      </c>
      <c r="B1157" s="15" t="str">
        <f t="shared" si="373"/>
        <v>PROP_OPER__1018_0</v>
      </c>
      <c r="C1157" s="83"/>
      <c r="D1157" s="15">
        <v>1</v>
      </c>
      <c r="E1157" s="15">
        <v>3</v>
      </c>
      <c r="F1157" s="190">
        <f t="shared" si="380"/>
        <v>1018</v>
      </c>
      <c r="G1157" s="149" t="str">
        <f t="shared" si="380"/>
        <v/>
      </c>
      <c r="H1157" s="150" t="str">
        <f t="shared" si="380"/>
        <v/>
      </c>
      <c r="I1157" s="150" t="str">
        <f t="shared" si="380"/>
        <v>PLANCF</v>
      </c>
      <c r="J1157" s="150">
        <f t="shared" si="380"/>
        <v>0</v>
      </c>
      <c r="K1157" s="196" t="str">
        <f t="shared" si="380"/>
        <v/>
      </c>
      <c r="L1157" s="197" t="str">
        <f t="shared" si="380"/>
        <v/>
      </c>
      <c r="M1157" s="191">
        <f t="shared" si="380"/>
        <v>0</v>
      </c>
      <c r="N1157" s="150">
        <f t="shared" si="380"/>
        <v>0</v>
      </c>
      <c r="O1157" s="193">
        <f t="shared" si="380"/>
        <v>1</v>
      </c>
      <c r="P1157" s="162">
        <f t="shared" si="375"/>
        <v>0</v>
      </c>
      <c r="Q1157" s="162">
        <f t="shared" si="375"/>
        <v>0</v>
      </c>
      <c r="R1157" s="162">
        <f t="shared" si="375"/>
        <v>0</v>
      </c>
      <c r="S1157" s="162">
        <f t="shared" si="375"/>
        <v>0</v>
      </c>
      <c r="T1157" s="162">
        <f t="shared" si="375"/>
        <v>0</v>
      </c>
      <c r="U1157" s="162">
        <f t="shared" si="375"/>
        <v>0</v>
      </c>
      <c r="V1157" s="162">
        <f t="shared" si="375"/>
        <v>0</v>
      </c>
      <c r="W1157" s="162">
        <f t="shared" si="375"/>
        <v>0</v>
      </c>
      <c r="X1157" s="162">
        <f t="shared" si="375"/>
        <v>0</v>
      </c>
      <c r="Y1157" s="162">
        <f t="shared" si="375"/>
        <v>0</v>
      </c>
      <c r="Z1157" s="162">
        <f t="shared" si="375"/>
        <v>0</v>
      </c>
      <c r="AA1157" s="162">
        <f t="shared" si="375"/>
        <v>0</v>
      </c>
      <c r="AB1157" s="163">
        <f t="shared" si="376"/>
        <v>0</v>
      </c>
      <c r="AC1157" s="198"/>
      <c r="AE1157" s="194" t="str">
        <f t="shared" si="377"/>
        <v/>
      </c>
      <c r="AF1157" s="161">
        <f t="shared" si="378"/>
        <v>0</v>
      </c>
      <c r="AG1157" s="162">
        <f t="shared" si="378"/>
        <v>0</v>
      </c>
      <c r="AH1157" s="162">
        <f t="shared" si="378"/>
        <v>0</v>
      </c>
      <c r="AI1157" s="162">
        <f t="shared" si="378"/>
        <v>0</v>
      </c>
      <c r="AJ1157" s="162">
        <f t="shared" si="378"/>
        <v>0</v>
      </c>
      <c r="AK1157" s="162">
        <f t="shared" si="378"/>
        <v>0</v>
      </c>
      <c r="AL1157" s="162">
        <f t="shared" si="378"/>
        <v>0</v>
      </c>
      <c r="AM1157" s="162">
        <f t="shared" si="378"/>
        <v>0</v>
      </c>
      <c r="AN1157" s="162">
        <f t="shared" si="378"/>
        <v>0</v>
      </c>
      <c r="AO1157" s="162">
        <f t="shared" si="378"/>
        <v>0</v>
      </c>
      <c r="AP1157" s="162">
        <f t="shared" si="378"/>
        <v>0</v>
      </c>
      <c r="AQ1157" s="162">
        <f t="shared" si="378"/>
        <v>0</v>
      </c>
      <c r="AR1157" s="163">
        <f t="shared" si="379"/>
        <v>0</v>
      </c>
      <c r="AT1157" s="208">
        <f>IFERROR(VLOOKUP(J1157,#REF!,10,0),0)</f>
        <v>0</v>
      </c>
    </row>
    <row r="1158" spans="1:46" hidden="1" outlineLevel="1" x14ac:dyDescent="0.25">
      <c r="A1158" s="14" t="str">
        <f t="shared" si="370"/>
        <v>PROP_OPER__4</v>
      </c>
      <c r="B1158" s="15" t="str">
        <f t="shared" si="373"/>
        <v>PROP_OPER__1023_0</v>
      </c>
      <c r="C1158" s="83"/>
      <c r="D1158" s="15">
        <v>1</v>
      </c>
      <c r="E1158" s="15">
        <v>4</v>
      </c>
      <c r="F1158" s="190">
        <f t="shared" si="380"/>
        <v>1023</v>
      </c>
      <c r="G1158" s="149" t="str">
        <f t="shared" si="380"/>
        <v/>
      </c>
      <c r="H1158" s="150" t="str">
        <f t="shared" si="380"/>
        <v/>
      </c>
      <c r="I1158" s="150" t="str">
        <f t="shared" si="380"/>
        <v>PLANCF</v>
      </c>
      <c r="J1158" s="150">
        <f t="shared" si="380"/>
        <v>0</v>
      </c>
      <c r="K1158" s="196" t="str">
        <f t="shared" si="380"/>
        <v/>
      </c>
      <c r="L1158" s="197" t="str">
        <f t="shared" si="380"/>
        <v/>
      </c>
      <c r="M1158" s="191">
        <f t="shared" si="380"/>
        <v>0</v>
      </c>
      <c r="N1158" s="150">
        <f t="shared" si="380"/>
        <v>0</v>
      </c>
      <c r="O1158" s="193">
        <f t="shared" si="380"/>
        <v>1</v>
      </c>
      <c r="P1158" s="162">
        <f t="shared" si="375"/>
        <v>0</v>
      </c>
      <c r="Q1158" s="162">
        <f t="shared" si="375"/>
        <v>0</v>
      </c>
      <c r="R1158" s="162">
        <f t="shared" si="375"/>
        <v>0</v>
      </c>
      <c r="S1158" s="162">
        <f t="shared" si="375"/>
        <v>0</v>
      </c>
      <c r="T1158" s="162">
        <f t="shared" si="375"/>
        <v>0</v>
      </c>
      <c r="U1158" s="162">
        <f t="shared" si="375"/>
        <v>0</v>
      </c>
      <c r="V1158" s="162">
        <f t="shared" si="375"/>
        <v>0</v>
      </c>
      <c r="W1158" s="162">
        <f t="shared" si="375"/>
        <v>0</v>
      </c>
      <c r="X1158" s="162">
        <f t="shared" si="375"/>
        <v>0</v>
      </c>
      <c r="Y1158" s="162">
        <f t="shared" si="375"/>
        <v>0</v>
      </c>
      <c r="Z1158" s="162">
        <f t="shared" si="375"/>
        <v>0</v>
      </c>
      <c r="AA1158" s="162">
        <f t="shared" si="375"/>
        <v>0</v>
      </c>
      <c r="AB1158" s="163">
        <f t="shared" si="376"/>
        <v>0</v>
      </c>
      <c r="AC1158" s="159"/>
      <c r="AE1158" s="194" t="str">
        <f t="shared" si="377"/>
        <v/>
      </c>
      <c r="AF1158" s="161">
        <f t="shared" si="378"/>
        <v>0</v>
      </c>
      <c r="AG1158" s="162">
        <f t="shared" si="378"/>
        <v>0</v>
      </c>
      <c r="AH1158" s="162">
        <f t="shared" si="378"/>
        <v>0</v>
      </c>
      <c r="AI1158" s="162">
        <f t="shared" si="378"/>
        <v>0</v>
      </c>
      <c r="AJ1158" s="162">
        <f t="shared" si="378"/>
        <v>0</v>
      </c>
      <c r="AK1158" s="162">
        <f t="shared" si="378"/>
        <v>0</v>
      </c>
      <c r="AL1158" s="162">
        <f t="shared" si="378"/>
        <v>0</v>
      </c>
      <c r="AM1158" s="162">
        <f t="shared" si="378"/>
        <v>0</v>
      </c>
      <c r="AN1158" s="162">
        <f t="shared" si="378"/>
        <v>0</v>
      </c>
      <c r="AO1158" s="162">
        <f t="shared" si="378"/>
        <v>0</v>
      </c>
      <c r="AP1158" s="162">
        <f t="shared" si="378"/>
        <v>0</v>
      </c>
      <c r="AQ1158" s="162">
        <f t="shared" si="378"/>
        <v>0</v>
      </c>
      <c r="AR1158" s="163">
        <f t="shared" si="379"/>
        <v>0</v>
      </c>
      <c r="AT1158" s="208">
        <f>IFERROR(VLOOKUP(J1158,#REF!,10,0),0)</f>
        <v>0</v>
      </c>
    </row>
    <row r="1159" spans="1:46" hidden="1" outlineLevel="1" x14ac:dyDescent="0.25">
      <c r="A1159" s="14" t="str">
        <f t="shared" si="370"/>
        <v>PROP_OPER__5</v>
      </c>
      <c r="B1159" s="15" t="str">
        <f t="shared" si="373"/>
        <v>PROP_OPER__1044_0</v>
      </c>
      <c r="C1159" s="83"/>
      <c r="D1159" s="15">
        <v>1</v>
      </c>
      <c r="E1159" s="15">
        <v>5</v>
      </c>
      <c r="F1159" s="190">
        <f t="shared" si="380"/>
        <v>1044</v>
      </c>
      <c r="G1159" s="149" t="str">
        <f t="shared" si="380"/>
        <v/>
      </c>
      <c r="H1159" s="150" t="str">
        <f t="shared" si="380"/>
        <v/>
      </c>
      <c r="I1159" s="150" t="str">
        <f t="shared" si="380"/>
        <v>PLANMP</v>
      </c>
      <c r="J1159" s="150">
        <f t="shared" si="380"/>
        <v>0</v>
      </c>
      <c r="K1159" s="196" t="str">
        <f t="shared" si="380"/>
        <v/>
      </c>
      <c r="L1159" s="197" t="str">
        <f t="shared" si="380"/>
        <v/>
      </c>
      <c r="M1159" s="191">
        <f t="shared" si="380"/>
        <v>0</v>
      </c>
      <c r="N1159" s="150">
        <f t="shared" si="380"/>
        <v>0</v>
      </c>
      <c r="O1159" s="193">
        <f t="shared" si="380"/>
        <v>1</v>
      </c>
      <c r="P1159" s="162">
        <f t="shared" si="375"/>
        <v>0</v>
      </c>
      <c r="Q1159" s="162">
        <f t="shared" si="375"/>
        <v>0</v>
      </c>
      <c r="R1159" s="162">
        <f t="shared" si="375"/>
        <v>0</v>
      </c>
      <c r="S1159" s="162">
        <f t="shared" si="375"/>
        <v>0</v>
      </c>
      <c r="T1159" s="162">
        <f t="shared" si="375"/>
        <v>0</v>
      </c>
      <c r="U1159" s="162">
        <f t="shared" si="375"/>
        <v>0</v>
      </c>
      <c r="V1159" s="162">
        <f t="shared" si="375"/>
        <v>0</v>
      </c>
      <c r="W1159" s="162">
        <f t="shared" si="375"/>
        <v>0</v>
      </c>
      <c r="X1159" s="162">
        <f t="shared" si="375"/>
        <v>0</v>
      </c>
      <c r="Y1159" s="162">
        <f t="shared" si="375"/>
        <v>0</v>
      </c>
      <c r="Z1159" s="162">
        <f t="shared" si="375"/>
        <v>0</v>
      </c>
      <c r="AA1159" s="162">
        <f t="shared" si="375"/>
        <v>0</v>
      </c>
      <c r="AB1159" s="163">
        <f t="shared" si="376"/>
        <v>0</v>
      </c>
      <c r="AC1159" s="159"/>
      <c r="AE1159" s="194" t="str">
        <f t="shared" si="377"/>
        <v/>
      </c>
      <c r="AF1159" s="161">
        <f>IFERROR(SUMIF($B$483:$B$547,$C1159&amp;$I1159,P$483:P$547)/SUMIF($D$483:$D$547,$I1159,P$483:P$547)*#REF!,0)</f>
        <v>0</v>
      </c>
      <c r="AG1159" s="162">
        <f>IFERROR(SUMIF($B$483:$B$547,$C1159&amp;$I1159,Q$483:Q$547)/SUMIF($D$483:$D$547,$I1159,Q$483:Q$547)*#REF!,0)</f>
        <v>0</v>
      </c>
      <c r="AH1159" s="162">
        <f>IFERROR(SUMIF($B$483:$B$547,$C1159&amp;$I1159,R$483:R$547)/SUMIF($D$483:$D$547,$I1159,R$483:R$547)*#REF!,0)</f>
        <v>0</v>
      </c>
      <c r="AI1159" s="162">
        <f>IFERROR(SUMIF($B$483:$B$547,$C1159&amp;$I1159,S$483:S$547)/SUMIF($D$483:$D$547,$I1159,S$483:S$547)*#REF!,0)</f>
        <v>0</v>
      </c>
      <c r="AJ1159" s="162">
        <f>IFERROR(SUMIF($B$483:$B$547,$C1159&amp;$I1159,T$483:T$547)/SUMIF($D$483:$D$547,$I1159,T$483:T$547)*#REF!,0)</f>
        <v>0</v>
      </c>
      <c r="AK1159" s="162">
        <f>IFERROR(SUMIF($B$483:$B$547,$C1159&amp;$I1159,U$483:U$547)/SUMIF($D$483:$D$547,$I1159,U$483:U$547)*#REF!,0)</f>
        <v>0</v>
      </c>
      <c r="AL1159" s="162">
        <f>IFERROR(SUMIF($B$483:$B$547,$C1159&amp;$I1159,V$483:V$547)/SUMIF($D$483:$D$547,$I1159,V$483:V$547)*#REF!,0)</f>
        <v>0</v>
      </c>
      <c r="AM1159" s="162">
        <f>IFERROR(SUMIF($B$483:$B$547,$C1159&amp;$I1159,W$483:W$547)/SUMIF($D$483:$D$547,$I1159,W$483:W$547)*#REF!,0)</f>
        <v>0</v>
      </c>
      <c r="AN1159" s="162">
        <f>IFERROR(SUMIF($B$483:$B$547,$C1159&amp;$I1159,X$483:X$547)/SUMIF($D$483:$D$547,$I1159,X$483:X$547)*#REF!,0)</f>
        <v>0</v>
      </c>
      <c r="AO1159" s="162">
        <f>IFERROR(SUMIF($B$483:$B$547,$C1159&amp;$I1159,Y$483:Y$547)/SUMIF($D$483:$D$547,$I1159,Y$483:Y$547)*#REF!,0)</f>
        <v>0</v>
      </c>
      <c r="AP1159" s="162">
        <f>IFERROR(SUMIF($B$483:$B$547,$C1159&amp;$I1159,Z$483:Z$547)/SUMIF($D$483:$D$547,$I1159,Z$483:Z$547)*#REF!,0)</f>
        <v>0</v>
      </c>
      <c r="AQ1159" s="162">
        <f>IFERROR(SUMIF($B$483:$B$547,$C1159&amp;$I1159,AA$483:AA$547)/SUMIF($D$483:$D$547,$I1159,AA$483:AA$547)*#REF!,0)</f>
        <v>0</v>
      </c>
      <c r="AR1159" s="163">
        <f t="shared" si="379"/>
        <v>0</v>
      </c>
      <c r="AT1159" s="208">
        <f>IFERROR(VLOOKUP(J1159,#REF!,10,0),0)</f>
        <v>0</v>
      </c>
    </row>
    <row r="1160" spans="1:46" hidden="1" outlineLevel="1" x14ac:dyDescent="0.25">
      <c r="A1160" s="14" t="str">
        <f t="shared" si="370"/>
        <v>PROP_OPER__6</v>
      </c>
      <c r="B1160" s="15" t="str">
        <f t="shared" si="373"/>
        <v>PROP_OPER__1033_0</v>
      </c>
      <c r="C1160" s="83"/>
      <c r="D1160" s="15">
        <v>1</v>
      </c>
      <c r="E1160" s="15">
        <v>6</v>
      </c>
      <c r="F1160" s="190">
        <f t="shared" si="380"/>
        <v>1033</v>
      </c>
      <c r="G1160" s="149" t="str">
        <f t="shared" si="380"/>
        <v/>
      </c>
      <c r="H1160" s="150" t="str">
        <f t="shared" si="380"/>
        <v/>
      </c>
      <c r="I1160" s="150" t="str">
        <f t="shared" si="380"/>
        <v>PLANCP</v>
      </c>
      <c r="J1160" s="150">
        <f t="shared" si="380"/>
        <v>0</v>
      </c>
      <c r="K1160" s="196" t="str">
        <f t="shared" si="380"/>
        <v/>
      </c>
      <c r="L1160" s="197" t="str">
        <f t="shared" si="380"/>
        <v/>
      </c>
      <c r="M1160" s="191">
        <f t="shared" si="380"/>
        <v>0</v>
      </c>
      <c r="N1160" s="150">
        <f t="shared" si="380"/>
        <v>0</v>
      </c>
      <c r="O1160" s="193">
        <f t="shared" si="380"/>
        <v>1</v>
      </c>
      <c r="P1160" s="162">
        <f t="shared" si="375"/>
        <v>0</v>
      </c>
      <c r="Q1160" s="162">
        <f t="shared" si="375"/>
        <v>0</v>
      </c>
      <c r="R1160" s="162">
        <f t="shared" si="375"/>
        <v>0</v>
      </c>
      <c r="S1160" s="162">
        <f t="shared" si="375"/>
        <v>0</v>
      </c>
      <c r="T1160" s="162">
        <f t="shared" si="375"/>
        <v>0</v>
      </c>
      <c r="U1160" s="162">
        <f t="shared" si="375"/>
        <v>0</v>
      </c>
      <c r="V1160" s="162">
        <f t="shared" si="375"/>
        <v>0</v>
      </c>
      <c r="W1160" s="162">
        <f t="shared" si="375"/>
        <v>0</v>
      </c>
      <c r="X1160" s="162">
        <f t="shared" si="375"/>
        <v>0</v>
      </c>
      <c r="Y1160" s="162">
        <f t="shared" si="375"/>
        <v>0</v>
      </c>
      <c r="Z1160" s="162">
        <f t="shared" si="375"/>
        <v>0</v>
      </c>
      <c r="AA1160" s="162">
        <f t="shared" si="375"/>
        <v>0</v>
      </c>
      <c r="AB1160" s="163">
        <f t="shared" si="376"/>
        <v>0</v>
      </c>
      <c r="AC1160" s="159"/>
      <c r="AE1160" s="194" t="str">
        <f t="shared" si="377"/>
        <v/>
      </c>
      <c r="AF1160" s="161">
        <f t="shared" ref="AF1160:AQ1175" si="381">IFERROR(SUMIF($B$483:$B$547,$C1160&amp;$I1160,P$483:P$547)/SUMIF($D$483:$D$547,$I1160,P$483:P$547)*AF557,0)</f>
        <v>0</v>
      </c>
      <c r="AG1160" s="162">
        <f t="shared" si="381"/>
        <v>0</v>
      </c>
      <c r="AH1160" s="162">
        <f t="shared" si="381"/>
        <v>0</v>
      </c>
      <c r="AI1160" s="162">
        <f t="shared" si="381"/>
        <v>0</v>
      </c>
      <c r="AJ1160" s="162">
        <f t="shared" si="381"/>
        <v>0</v>
      </c>
      <c r="AK1160" s="162">
        <f t="shared" si="381"/>
        <v>0</v>
      </c>
      <c r="AL1160" s="162">
        <f t="shared" si="381"/>
        <v>0</v>
      </c>
      <c r="AM1160" s="162">
        <f t="shared" si="381"/>
        <v>0</v>
      </c>
      <c r="AN1160" s="162">
        <f t="shared" si="381"/>
        <v>0</v>
      </c>
      <c r="AO1160" s="162">
        <f t="shared" si="381"/>
        <v>0</v>
      </c>
      <c r="AP1160" s="162">
        <f t="shared" si="381"/>
        <v>0</v>
      </c>
      <c r="AQ1160" s="162">
        <f t="shared" si="381"/>
        <v>0</v>
      </c>
      <c r="AR1160" s="163">
        <f t="shared" si="379"/>
        <v>0</v>
      </c>
      <c r="AT1160" s="208">
        <f>IFERROR(VLOOKUP(J1160,#REF!,10,0),0)</f>
        <v>0</v>
      </c>
    </row>
    <row r="1161" spans="1:46" hidden="1" outlineLevel="1" x14ac:dyDescent="0.25">
      <c r="A1161" s="14" t="str">
        <f t="shared" si="370"/>
        <v>PROP_OPER__7</v>
      </c>
      <c r="B1161" s="15" t="str">
        <f t="shared" si="373"/>
        <v>PROP_OPER__0_0</v>
      </c>
      <c r="C1161" s="83"/>
      <c r="D1161" s="15">
        <v>1</v>
      </c>
      <c r="E1161" s="15">
        <v>7</v>
      </c>
      <c r="F1161" s="190">
        <f t="shared" si="380"/>
        <v>0</v>
      </c>
      <c r="G1161" s="149" t="str">
        <f t="shared" si="380"/>
        <v/>
      </c>
      <c r="H1161" s="150" t="str">
        <f t="shared" si="380"/>
        <v/>
      </c>
      <c r="I1161" s="150">
        <f t="shared" si="380"/>
        <v>0</v>
      </c>
      <c r="J1161" s="150">
        <f t="shared" si="380"/>
        <v>0</v>
      </c>
      <c r="K1161" s="196" t="str">
        <f t="shared" si="380"/>
        <v/>
      </c>
      <c r="L1161" s="197" t="str">
        <f t="shared" si="380"/>
        <v/>
      </c>
      <c r="M1161" s="191">
        <f t="shared" si="380"/>
        <v>0</v>
      </c>
      <c r="N1161" s="150">
        <f t="shared" si="380"/>
        <v>0</v>
      </c>
      <c r="O1161" s="193">
        <f t="shared" si="380"/>
        <v>0</v>
      </c>
      <c r="P1161" s="162">
        <f t="shared" si="375"/>
        <v>0</v>
      </c>
      <c r="Q1161" s="162">
        <f t="shared" si="375"/>
        <v>0</v>
      </c>
      <c r="R1161" s="162">
        <f t="shared" si="375"/>
        <v>0</v>
      </c>
      <c r="S1161" s="162">
        <f t="shared" si="375"/>
        <v>0</v>
      </c>
      <c r="T1161" s="162">
        <f t="shared" si="375"/>
        <v>0</v>
      </c>
      <c r="U1161" s="162">
        <f t="shared" si="375"/>
        <v>0</v>
      </c>
      <c r="V1161" s="162">
        <f t="shared" si="375"/>
        <v>0</v>
      </c>
      <c r="W1161" s="162">
        <f t="shared" si="375"/>
        <v>0</v>
      </c>
      <c r="X1161" s="162">
        <f t="shared" si="375"/>
        <v>0</v>
      </c>
      <c r="Y1161" s="162">
        <f t="shared" si="375"/>
        <v>0</v>
      </c>
      <c r="Z1161" s="162">
        <f t="shared" si="375"/>
        <v>0</v>
      </c>
      <c r="AA1161" s="162">
        <f t="shared" si="375"/>
        <v>0</v>
      </c>
      <c r="AB1161" s="163">
        <f t="shared" si="376"/>
        <v>0</v>
      </c>
      <c r="AC1161" s="159"/>
      <c r="AE1161" s="194" t="str">
        <f t="shared" si="377"/>
        <v/>
      </c>
      <c r="AF1161" s="161">
        <f t="shared" si="381"/>
        <v>0</v>
      </c>
      <c r="AG1161" s="162">
        <f t="shared" si="381"/>
        <v>0</v>
      </c>
      <c r="AH1161" s="162">
        <f t="shared" si="381"/>
        <v>0</v>
      </c>
      <c r="AI1161" s="162">
        <f t="shared" si="381"/>
        <v>0</v>
      </c>
      <c r="AJ1161" s="162">
        <f t="shared" si="381"/>
        <v>0</v>
      </c>
      <c r="AK1161" s="162">
        <f t="shared" si="381"/>
        <v>0</v>
      </c>
      <c r="AL1161" s="162">
        <f t="shared" si="381"/>
        <v>0</v>
      </c>
      <c r="AM1161" s="162">
        <f t="shared" si="381"/>
        <v>0</v>
      </c>
      <c r="AN1161" s="162">
        <f t="shared" si="381"/>
        <v>0</v>
      </c>
      <c r="AO1161" s="162">
        <f t="shared" si="381"/>
        <v>0</v>
      </c>
      <c r="AP1161" s="162">
        <f t="shared" si="381"/>
        <v>0</v>
      </c>
      <c r="AQ1161" s="162">
        <f t="shared" si="381"/>
        <v>0</v>
      </c>
      <c r="AR1161" s="163">
        <f t="shared" si="379"/>
        <v>0</v>
      </c>
      <c r="AT1161" s="208">
        <f>IFERROR(VLOOKUP(J1161,#REF!,10,0),0)</f>
        <v>0</v>
      </c>
    </row>
    <row r="1162" spans="1:46" hidden="1" outlineLevel="1" x14ac:dyDescent="0.25">
      <c r="A1162" s="14" t="str">
        <f t="shared" si="370"/>
        <v>PROP_OPER__8</v>
      </c>
      <c r="B1162" s="15" t="str">
        <f t="shared" si="373"/>
        <v>PROP_OPER__0_0</v>
      </c>
      <c r="C1162" s="83"/>
      <c r="D1162" s="15">
        <v>1</v>
      </c>
      <c r="E1162" s="15">
        <v>8</v>
      </c>
      <c r="F1162" s="190">
        <f t="shared" si="380"/>
        <v>0</v>
      </c>
      <c r="G1162" s="149" t="str">
        <f t="shared" si="380"/>
        <v/>
      </c>
      <c r="H1162" s="150" t="str">
        <f t="shared" si="380"/>
        <v/>
      </c>
      <c r="I1162" s="150">
        <f t="shared" si="380"/>
        <v>0</v>
      </c>
      <c r="J1162" s="150">
        <f t="shared" si="380"/>
        <v>0</v>
      </c>
      <c r="K1162" s="196" t="str">
        <f t="shared" si="380"/>
        <v/>
      </c>
      <c r="L1162" s="197" t="str">
        <f t="shared" si="380"/>
        <v/>
      </c>
      <c r="M1162" s="191">
        <f t="shared" si="380"/>
        <v>0</v>
      </c>
      <c r="N1162" s="150">
        <f t="shared" si="380"/>
        <v>0</v>
      </c>
      <c r="O1162" s="193">
        <f t="shared" si="380"/>
        <v>0</v>
      </c>
      <c r="P1162" s="162">
        <f t="shared" si="375"/>
        <v>0</v>
      </c>
      <c r="Q1162" s="162">
        <f t="shared" si="375"/>
        <v>0</v>
      </c>
      <c r="R1162" s="162">
        <f t="shared" si="375"/>
        <v>0</v>
      </c>
      <c r="S1162" s="162">
        <f t="shared" si="375"/>
        <v>0</v>
      </c>
      <c r="T1162" s="162">
        <f t="shared" si="375"/>
        <v>0</v>
      </c>
      <c r="U1162" s="162">
        <f t="shared" si="375"/>
        <v>0</v>
      </c>
      <c r="V1162" s="162">
        <f t="shared" si="375"/>
        <v>0</v>
      </c>
      <c r="W1162" s="162">
        <f t="shared" si="375"/>
        <v>0</v>
      </c>
      <c r="X1162" s="162">
        <f t="shared" si="375"/>
        <v>0</v>
      </c>
      <c r="Y1162" s="162">
        <f t="shared" si="375"/>
        <v>0</v>
      </c>
      <c r="Z1162" s="162">
        <f t="shared" si="375"/>
        <v>0</v>
      </c>
      <c r="AA1162" s="162">
        <f t="shared" si="375"/>
        <v>0</v>
      </c>
      <c r="AB1162" s="163">
        <f t="shared" si="376"/>
        <v>0</v>
      </c>
      <c r="AC1162" s="159"/>
      <c r="AE1162" s="194" t="str">
        <f t="shared" si="377"/>
        <v/>
      </c>
      <c r="AF1162" s="161">
        <f t="shared" si="381"/>
        <v>0</v>
      </c>
      <c r="AG1162" s="162">
        <f t="shared" si="381"/>
        <v>0</v>
      </c>
      <c r="AH1162" s="162">
        <f t="shared" si="381"/>
        <v>0</v>
      </c>
      <c r="AI1162" s="162">
        <f t="shared" si="381"/>
        <v>0</v>
      </c>
      <c r="AJ1162" s="162">
        <f t="shared" si="381"/>
        <v>0</v>
      </c>
      <c r="AK1162" s="162">
        <f t="shared" si="381"/>
        <v>0</v>
      </c>
      <c r="AL1162" s="162">
        <f t="shared" si="381"/>
        <v>0</v>
      </c>
      <c r="AM1162" s="162">
        <f t="shared" si="381"/>
        <v>0</v>
      </c>
      <c r="AN1162" s="162">
        <f t="shared" si="381"/>
        <v>0</v>
      </c>
      <c r="AO1162" s="162">
        <f t="shared" si="381"/>
        <v>0</v>
      </c>
      <c r="AP1162" s="162">
        <f t="shared" si="381"/>
        <v>0</v>
      </c>
      <c r="AQ1162" s="162">
        <f t="shared" si="381"/>
        <v>0</v>
      </c>
      <c r="AR1162" s="163">
        <f t="shared" si="379"/>
        <v>0</v>
      </c>
      <c r="AT1162" s="208">
        <f>IFERROR(VLOOKUP(J1162,#REF!,10,0),0)</f>
        <v>0</v>
      </c>
    </row>
    <row r="1163" spans="1:46" hidden="1" outlineLevel="1" x14ac:dyDescent="0.25">
      <c r="A1163" s="14" t="str">
        <f t="shared" si="370"/>
        <v>PROP_OPER__9</v>
      </c>
      <c r="B1163" s="15" t="str">
        <f t="shared" si="373"/>
        <v>PROP_OPER__0_0</v>
      </c>
      <c r="C1163" s="83"/>
      <c r="D1163" s="15">
        <v>1</v>
      </c>
      <c r="E1163" s="15">
        <v>9</v>
      </c>
      <c r="F1163" s="190">
        <f t="shared" si="380"/>
        <v>0</v>
      </c>
      <c r="G1163" s="149" t="str">
        <f t="shared" si="380"/>
        <v/>
      </c>
      <c r="H1163" s="150" t="str">
        <f t="shared" si="380"/>
        <v/>
      </c>
      <c r="I1163" s="150">
        <f t="shared" si="380"/>
        <v>0</v>
      </c>
      <c r="J1163" s="150">
        <f t="shared" si="380"/>
        <v>0</v>
      </c>
      <c r="K1163" s="196" t="str">
        <f t="shared" si="380"/>
        <v/>
      </c>
      <c r="L1163" s="197" t="str">
        <f t="shared" si="380"/>
        <v/>
      </c>
      <c r="M1163" s="191">
        <f t="shared" si="380"/>
        <v>0</v>
      </c>
      <c r="N1163" s="150">
        <f t="shared" si="380"/>
        <v>0</v>
      </c>
      <c r="O1163" s="193">
        <f t="shared" si="380"/>
        <v>0</v>
      </c>
      <c r="P1163" s="162">
        <f t="shared" si="375"/>
        <v>0</v>
      </c>
      <c r="Q1163" s="162">
        <f t="shared" si="375"/>
        <v>0</v>
      </c>
      <c r="R1163" s="162">
        <f t="shared" si="375"/>
        <v>0</v>
      </c>
      <c r="S1163" s="162">
        <f t="shared" si="375"/>
        <v>0</v>
      </c>
      <c r="T1163" s="162">
        <f t="shared" si="375"/>
        <v>0</v>
      </c>
      <c r="U1163" s="162">
        <f t="shared" si="375"/>
        <v>0</v>
      </c>
      <c r="V1163" s="162">
        <f t="shared" si="375"/>
        <v>0</v>
      </c>
      <c r="W1163" s="162">
        <f t="shared" si="375"/>
        <v>0</v>
      </c>
      <c r="X1163" s="162">
        <f t="shared" si="375"/>
        <v>0</v>
      </c>
      <c r="Y1163" s="162">
        <f t="shared" si="375"/>
        <v>0</v>
      </c>
      <c r="Z1163" s="162">
        <f t="shared" si="375"/>
        <v>0</v>
      </c>
      <c r="AA1163" s="162">
        <f t="shared" si="375"/>
        <v>0</v>
      </c>
      <c r="AB1163" s="163">
        <f t="shared" si="376"/>
        <v>0</v>
      </c>
      <c r="AC1163" s="159"/>
      <c r="AE1163" s="194" t="str">
        <f t="shared" si="377"/>
        <v/>
      </c>
      <c r="AF1163" s="161">
        <f t="shared" si="381"/>
        <v>0</v>
      </c>
      <c r="AG1163" s="162">
        <f t="shared" si="381"/>
        <v>0</v>
      </c>
      <c r="AH1163" s="162">
        <f t="shared" si="381"/>
        <v>0</v>
      </c>
      <c r="AI1163" s="162">
        <f t="shared" si="381"/>
        <v>0</v>
      </c>
      <c r="AJ1163" s="162">
        <f t="shared" si="381"/>
        <v>0</v>
      </c>
      <c r="AK1163" s="162">
        <f t="shared" si="381"/>
        <v>0</v>
      </c>
      <c r="AL1163" s="162">
        <f t="shared" si="381"/>
        <v>0</v>
      </c>
      <c r="AM1163" s="162">
        <f t="shared" si="381"/>
        <v>0</v>
      </c>
      <c r="AN1163" s="162">
        <f t="shared" si="381"/>
        <v>0</v>
      </c>
      <c r="AO1163" s="162">
        <f t="shared" si="381"/>
        <v>0</v>
      </c>
      <c r="AP1163" s="162">
        <f t="shared" si="381"/>
        <v>0</v>
      </c>
      <c r="AQ1163" s="162">
        <f t="shared" si="381"/>
        <v>0</v>
      </c>
      <c r="AR1163" s="163">
        <f t="shared" si="379"/>
        <v>0</v>
      </c>
      <c r="AT1163" s="208">
        <f>IFERROR(VLOOKUP(J1163,#REF!,10,0),0)</f>
        <v>0</v>
      </c>
    </row>
    <row r="1164" spans="1:46" hidden="1" outlineLevel="1" x14ac:dyDescent="0.25">
      <c r="A1164" s="14" t="str">
        <f t="shared" si="370"/>
        <v>PROP_OPER__10</v>
      </c>
      <c r="B1164" s="15" t="str">
        <f t="shared" si="373"/>
        <v>PROP_OPER__0_0</v>
      </c>
      <c r="C1164" s="83"/>
      <c r="D1164" s="15">
        <v>1</v>
      </c>
      <c r="E1164" s="15">
        <v>10</v>
      </c>
      <c r="F1164" s="190">
        <f t="shared" si="380"/>
        <v>0</v>
      </c>
      <c r="G1164" s="149" t="str">
        <f t="shared" si="380"/>
        <v/>
      </c>
      <c r="H1164" s="150" t="str">
        <f t="shared" si="380"/>
        <v/>
      </c>
      <c r="I1164" s="150">
        <f t="shared" si="380"/>
        <v>0</v>
      </c>
      <c r="J1164" s="150">
        <f t="shared" si="380"/>
        <v>0</v>
      </c>
      <c r="K1164" s="196" t="str">
        <f t="shared" si="380"/>
        <v/>
      </c>
      <c r="L1164" s="197" t="str">
        <f t="shared" si="380"/>
        <v/>
      </c>
      <c r="M1164" s="191">
        <f t="shared" si="380"/>
        <v>0</v>
      </c>
      <c r="N1164" s="150">
        <f t="shared" si="380"/>
        <v>0</v>
      </c>
      <c r="O1164" s="193">
        <f t="shared" si="380"/>
        <v>0</v>
      </c>
      <c r="P1164" s="162">
        <f t="shared" si="375"/>
        <v>0</v>
      </c>
      <c r="Q1164" s="162">
        <f t="shared" si="375"/>
        <v>0</v>
      </c>
      <c r="R1164" s="162">
        <f t="shared" si="375"/>
        <v>0</v>
      </c>
      <c r="S1164" s="162">
        <f t="shared" si="375"/>
        <v>0</v>
      </c>
      <c r="T1164" s="162">
        <f t="shared" si="375"/>
        <v>0</v>
      </c>
      <c r="U1164" s="162">
        <f t="shared" si="375"/>
        <v>0</v>
      </c>
      <c r="V1164" s="162">
        <f t="shared" si="375"/>
        <v>0</v>
      </c>
      <c r="W1164" s="162">
        <f t="shared" si="375"/>
        <v>0</v>
      </c>
      <c r="X1164" s="162">
        <f t="shared" si="375"/>
        <v>0</v>
      </c>
      <c r="Y1164" s="162">
        <f t="shared" si="375"/>
        <v>0</v>
      </c>
      <c r="Z1164" s="162">
        <f t="shared" si="375"/>
        <v>0</v>
      </c>
      <c r="AA1164" s="162">
        <f t="shared" si="375"/>
        <v>0</v>
      </c>
      <c r="AB1164" s="163">
        <f t="shared" si="376"/>
        <v>0</v>
      </c>
      <c r="AC1164" s="159"/>
      <c r="AE1164" s="194" t="str">
        <f t="shared" si="377"/>
        <v/>
      </c>
      <c r="AF1164" s="161">
        <f t="shared" si="381"/>
        <v>0</v>
      </c>
      <c r="AG1164" s="162">
        <f t="shared" si="381"/>
        <v>0</v>
      </c>
      <c r="AH1164" s="162">
        <f t="shared" si="381"/>
        <v>0</v>
      </c>
      <c r="AI1164" s="162">
        <f t="shared" si="381"/>
        <v>0</v>
      </c>
      <c r="AJ1164" s="162">
        <f t="shared" si="381"/>
        <v>0</v>
      </c>
      <c r="AK1164" s="162">
        <f t="shared" si="381"/>
        <v>0</v>
      </c>
      <c r="AL1164" s="162">
        <f t="shared" si="381"/>
        <v>0</v>
      </c>
      <c r="AM1164" s="162">
        <f t="shared" si="381"/>
        <v>0</v>
      </c>
      <c r="AN1164" s="162">
        <f t="shared" si="381"/>
        <v>0</v>
      </c>
      <c r="AO1164" s="162">
        <f t="shared" si="381"/>
        <v>0</v>
      </c>
      <c r="AP1164" s="162">
        <f t="shared" si="381"/>
        <v>0</v>
      </c>
      <c r="AQ1164" s="162">
        <f t="shared" si="381"/>
        <v>0</v>
      </c>
      <c r="AR1164" s="163">
        <f t="shared" si="379"/>
        <v>0</v>
      </c>
      <c r="AT1164" s="208">
        <f>IFERROR(VLOOKUP(J1164,#REF!,10,0),0)</f>
        <v>0</v>
      </c>
    </row>
    <row r="1165" spans="1:46" hidden="1" outlineLevel="1" x14ac:dyDescent="0.25">
      <c r="A1165" s="14" t="str">
        <f t="shared" si="370"/>
        <v>PROP_OPER__11</v>
      </c>
      <c r="B1165" s="15" t="str">
        <f t="shared" si="373"/>
        <v>PROP_OPER__0_0</v>
      </c>
      <c r="C1165" s="83"/>
      <c r="D1165" s="15">
        <v>1</v>
      </c>
      <c r="E1165" s="15">
        <v>11</v>
      </c>
      <c r="F1165" s="190">
        <f t="shared" si="380"/>
        <v>0</v>
      </c>
      <c r="G1165" s="149" t="str">
        <f t="shared" si="380"/>
        <v/>
      </c>
      <c r="H1165" s="150" t="str">
        <f t="shared" si="380"/>
        <v/>
      </c>
      <c r="I1165" s="150">
        <f t="shared" si="380"/>
        <v>0</v>
      </c>
      <c r="J1165" s="150">
        <f t="shared" si="380"/>
        <v>0</v>
      </c>
      <c r="K1165" s="196" t="str">
        <f t="shared" si="380"/>
        <v/>
      </c>
      <c r="L1165" s="197" t="str">
        <f t="shared" si="380"/>
        <v/>
      </c>
      <c r="M1165" s="191">
        <f t="shared" si="380"/>
        <v>0</v>
      </c>
      <c r="N1165" s="150">
        <f t="shared" si="380"/>
        <v>0</v>
      </c>
      <c r="O1165" s="193">
        <f t="shared" si="380"/>
        <v>0</v>
      </c>
      <c r="P1165" s="162">
        <f t="shared" si="375"/>
        <v>0</v>
      </c>
      <c r="Q1165" s="162">
        <f t="shared" si="375"/>
        <v>0</v>
      </c>
      <c r="R1165" s="162">
        <f t="shared" si="375"/>
        <v>0</v>
      </c>
      <c r="S1165" s="162">
        <f t="shared" si="375"/>
        <v>0</v>
      </c>
      <c r="T1165" s="162">
        <f t="shared" si="375"/>
        <v>0</v>
      </c>
      <c r="U1165" s="162">
        <f t="shared" si="375"/>
        <v>0</v>
      </c>
      <c r="V1165" s="162">
        <f t="shared" si="375"/>
        <v>0</v>
      </c>
      <c r="W1165" s="162">
        <f t="shared" si="375"/>
        <v>0</v>
      </c>
      <c r="X1165" s="162">
        <f t="shared" si="375"/>
        <v>0</v>
      </c>
      <c r="Y1165" s="162">
        <f t="shared" si="375"/>
        <v>0</v>
      </c>
      <c r="Z1165" s="162">
        <f t="shared" si="375"/>
        <v>0</v>
      </c>
      <c r="AA1165" s="162">
        <f t="shared" si="375"/>
        <v>0</v>
      </c>
      <c r="AB1165" s="163">
        <f t="shared" si="376"/>
        <v>0</v>
      </c>
      <c r="AC1165" s="198"/>
      <c r="AE1165" s="194" t="str">
        <f t="shared" si="377"/>
        <v/>
      </c>
      <c r="AF1165" s="161">
        <f t="shared" si="381"/>
        <v>0</v>
      </c>
      <c r="AG1165" s="162">
        <f t="shared" si="381"/>
        <v>0</v>
      </c>
      <c r="AH1165" s="162">
        <f t="shared" si="381"/>
        <v>0</v>
      </c>
      <c r="AI1165" s="162">
        <f t="shared" si="381"/>
        <v>0</v>
      </c>
      <c r="AJ1165" s="162">
        <f t="shared" si="381"/>
        <v>0</v>
      </c>
      <c r="AK1165" s="162">
        <f t="shared" si="381"/>
        <v>0</v>
      </c>
      <c r="AL1165" s="162">
        <f t="shared" si="381"/>
        <v>0</v>
      </c>
      <c r="AM1165" s="162">
        <f t="shared" si="381"/>
        <v>0</v>
      </c>
      <c r="AN1165" s="162">
        <f t="shared" si="381"/>
        <v>0</v>
      </c>
      <c r="AO1165" s="162">
        <f t="shared" si="381"/>
        <v>0</v>
      </c>
      <c r="AP1165" s="162">
        <f t="shared" si="381"/>
        <v>0</v>
      </c>
      <c r="AQ1165" s="162">
        <f t="shared" si="381"/>
        <v>0</v>
      </c>
      <c r="AR1165" s="163">
        <f t="shared" si="379"/>
        <v>0</v>
      </c>
      <c r="AT1165" s="208">
        <f>IFERROR(VLOOKUP(J1165,#REF!,10,0),0)</f>
        <v>0</v>
      </c>
    </row>
    <row r="1166" spans="1:46" hidden="1" outlineLevel="1" x14ac:dyDescent="0.25">
      <c r="A1166" s="14" t="str">
        <f t="shared" si="370"/>
        <v>PROP_OPER__12</v>
      </c>
      <c r="B1166" s="15" t="str">
        <f t="shared" si="373"/>
        <v>PROP_OPER__0_0</v>
      </c>
      <c r="C1166" s="83"/>
      <c r="D1166" s="15">
        <v>1</v>
      </c>
      <c r="E1166" s="15">
        <v>12</v>
      </c>
      <c r="F1166" s="190">
        <f t="shared" si="380"/>
        <v>0</v>
      </c>
      <c r="G1166" s="149" t="str">
        <f t="shared" si="380"/>
        <v/>
      </c>
      <c r="H1166" s="150" t="str">
        <f t="shared" si="380"/>
        <v/>
      </c>
      <c r="I1166" s="150">
        <f t="shared" si="380"/>
        <v>0</v>
      </c>
      <c r="J1166" s="150">
        <f t="shared" si="380"/>
        <v>0</v>
      </c>
      <c r="K1166" s="196" t="str">
        <f t="shared" si="380"/>
        <v/>
      </c>
      <c r="L1166" s="197" t="str">
        <f t="shared" si="380"/>
        <v/>
      </c>
      <c r="M1166" s="191">
        <f t="shared" si="380"/>
        <v>0</v>
      </c>
      <c r="N1166" s="150">
        <f t="shared" si="380"/>
        <v>0</v>
      </c>
      <c r="O1166" s="193">
        <f t="shared" si="380"/>
        <v>0</v>
      </c>
      <c r="P1166" s="162">
        <f t="shared" si="375"/>
        <v>0</v>
      </c>
      <c r="Q1166" s="162">
        <f t="shared" si="375"/>
        <v>0</v>
      </c>
      <c r="R1166" s="162">
        <f t="shared" si="375"/>
        <v>0</v>
      </c>
      <c r="S1166" s="162">
        <f t="shared" si="375"/>
        <v>0</v>
      </c>
      <c r="T1166" s="162">
        <f t="shared" si="375"/>
        <v>0</v>
      </c>
      <c r="U1166" s="162">
        <f t="shared" si="375"/>
        <v>0</v>
      </c>
      <c r="V1166" s="162">
        <f t="shared" si="375"/>
        <v>0</v>
      </c>
      <c r="W1166" s="162">
        <f t="shared" si="375"/>
        <v>0</v>
      </c>
      <c r="X1166" s="162">
        <f t="shared" si="375"/>
        <v>0</v>
      </c>
      <c r="Y1166" s="162">
        <f t="shared" si="375"/>
        <v>0</v>
      </c>
      <c r="Z1166" s="162">
        <f t="shared" si="375"/>
        <v>0</v>
      </c>
      <c r="AA1166" s="162">
        <f t="shared" si="375"/>
        <v>0</v>
      </c>
      <c r="AB1166" s="163">
        <f t="shared" si="376"/>
        <v>0</v>
      </c>
      <c r="AC1166" s="198"/>
      <c r="AE1166" s="194" t="str">
        <f t="shared" si="377"/>
        <v/>
      </c>
      <c r="AF1166" s="161">
        <f t="shared" si="381"/>
        <v>0</v>
      </c>
      <c r="AG1166" s="162">
        <f t="shared" si="381"/>
        <v>0</v>
      </c>
      <c r="AH1166" s="162">
        <f t="shared" si="381"/>
        <v>0</v>
      </c>
      <c r="AI1166" s="162">
        <f t="shared" si="381"/>
        <v>0</v>
      </c>
      <c r="AJ1166" s="162">
        <f t="shared" si="381"/>
        <v>0</v>
      </c>
      <c r="AK1166" s="162">
        <f t="shared" si="381"/>
        <v>0</v>
      </c>
      <c r="AL1166" s="162">
        <f t="shared" si="381"/>
        <v>0</v>
      </c>
      <c r="AM1166" s="162">
        <f t="shared" si="381"/>
        <v>0</v>
      </c>
      <c r="AN1166" s="162">
        <f t="shared" si="381"/>
        <v>0</v>
      </c>
      <c r="AO1166" s="162">
        <f t="shared" si="381"/>
        <v>0</v>
      </c>
      <c r="AP1166" s="162">
        <f t="shared" si="381"/>
        <v>0</v>
      </c>
      <c r="AQ1166" s="162">
        <f t="shared" si="381"/>
        <v>0</v>
      </c>
      <c r="AR1166" s="163">
        <f t="shared" si="379"/>
        <v>0</v>
      </c>
      <c r="AT1166" s="208">
        <f>IFERROR(VLOOKUP(J1166,#REF!,10,0),0)</f>
        <v>0</v>
      </c>
    </row>
    <row r="1167" spans="1:46" hidden="1" outlineLevel="1" x14ac:dyDescent="0.25">
      <c r="A1167" s="14" t="str">
        <f t="shared" si="370"/>
        <v>PROP_OPER__13</v>
      </c>
      <c r="B1167" s="15" t="str">
        <f t="shared" si="373"/>
        <v>PROP_OPER__0_0</v>
      </c>
      <c r="C1167" s="83"/>
      <c r="D1167" s="15">
        <v>1</v>
      </c>
      <c r="E1167" s="15">
        <v>13</v>
      </c>
      <c r="F1167" s="190">
        <f t="shared" si="380"/>
        <v>0</v>
      </c>
      <c r="G1167" s="149" t="str">
        <f t="shared" si="380"/>
        <v/>
      </c>
      <c r="H1167" s="150" t="str">
        <f t="shared" si="380"/>
        <v/>
      </c>
      <c r="I1167" s="150">
        <f t="shared" si="380"/>
        <v>0</v>
      </c>
      <c r="J1167" s="150">
        <f t="shared" si="380"/>
        <v>0</v>
      </c>
      <c r="K1167" s="196" t="str">
        <f t="shared" si="380"/>
        <v/>
      </c>
      <c r="L1167" s="197" t="str">
        <f t="shared" si="380"/>
        <v/>
      </c>
      <c r="M1167" s="191">
        <f t="shared" si="380"/>
        <v>0</v>
      </c>
      <c r="N1167" s="150">
        <f t="shared" si="380"/>
        <v>0</v>
      </c>
      <c r="O1167" s="193">
        <f t="shared" si="380"/>
        <v>0</v>
      </c>
      <c r="P1167" s="162">
        <f t="shared" si="375"/>
        <v>0</v>
      </c>
      <c r="Q1167" s="162">
        <f t="shared" si="375"/>
        <v>0</v>
      </c>
      <c r="R1167" s="162">
        <f t="shared" si="375"/>
        <v>0</v>
      </c>
      <c r="S1167" s="162">
        <f t="shared" si="375"/>
        <v>0</v>
      </c>
      <c r="T1167" s="162">
        <f t="shared" si="375"/>
        <v>0</v>
      </c>
      <c r="U1167" s="162">
        <f t="shared" si="375"/>
        <v>0</v>
      </c>
      <c r="V1167" s="162">
        <f t="shared" si="375"/>
        <v>0</v>
      </c>
      <c r="W1167" s="162">
        <f t="shared" si="375"/>
        <v>0</v>
      </c>
      <c r="X1167" s="162">
        <f t="shared" si="375"/>
        <v>0</v>
      </c>
      <c r="Y1167" s="162">
        <f t="shared" si="375"/>
        <v>0</v>
      </c>
      <c r="Z1167" s="162">
        <f t="shared" si="375"/>
        <v>0</v>
      </c>
      <c r="AA1167" s="162">
        <f t="shared" si="375"/>
        <v>0</v>
      </c>
      <c r="AB1167" s="163">
        <f t="shared" si="376"/>
        <v>0</v>
      </c>
      <c r="AC1167" s="198"/>
      <c r="AE1167" s="194" t="str">
        <f t="shared" si="377"/>
        <v/>
      </c>
      <c r="AF1167" s="161">
        <f t="shared" si="381"/>
        <v>0</v>
      </c>
      <c r="AG1167" s="162">
        <f t="shared" si="381"/>
        <v>0</v>
      </c>
      <c r="AH1167" s="162">
        <f t="shared" si="381"/>
        <v>0</v>
      </c>
      <c r="AI1167" s="162">
        <f t="shared" si="381"/>
        <v>0</v>
      </c>
      <c r="AJ1167" s="162">
        <f t="shared" si="381"/>
        <v>0</v>
      </c>
      <c r="AK1167" s="162">
        <f t="shared" si="381"/>
        <v>0</v>
      </c>
      <c r="AL1167" s="162">
        <f t="shared" si="381"/>
        <v>0</v>
      </c>
      <c r="AM1167" s="162">
        <f t="shared" si="381"/>
        <v>0</v>
      </c>
      <c r="AN1167" s="162">
        <f t="shared" si="381"/>
        <v>0</v>
      </c>
      <c r="AO1167" s="162">
        <f t="shared" si="381"/>
        <v>0</v>
      </c>
      <c r="AP1167" s="162">
        <f t="shared" si="381"/>
        <v>0</v>
      </c>
      <c r="AQ1167" s="162">
        <f t="shared" si="381"/>
        <v>0</v>
      </c>
      <c r="AR1167" s="163">
        <f t="shared" si="379"/>
        <v>0</v>
      </c>
      <c r="AT1167" s="208">
        <f>IFERROR(VLOOKUP(J1167,#REF!,10,0),0)</f>
        <v>0</v>
      </c>
    </row>
    <row r="1168" spans="1:46" hidden="1" outlineLevel="1" x14ac:dyDescent="0.25">
      <c r="A1168" s="14" t="str">
        <f t="shared" si="370"/>
        <v>PROP_OPER__14</v>
      </c>
      <c r="B1168" s="15" t="str">
        <f t="shared" si="373"/>
        <v>PROP_OPER__0_0</v>
      </c>
      <c r="C1168" s="83"/>
      <c r="D1168" s="15">
        <v>1</v>
      </c>
      <c r="E1168" s="15">
        <v>14</v>
      </c>
      <c r="F1168" s="190">
        <f t="shared" si="380"/>
        <v>0</v>
      </c>
      <c r="G1168" s="149" t="str">
        <f t="shared" si="380"/>
        <v/>
      </c>
      <c r="H1168" s="150" t="str">
        <f t="shared" si="380"/>
        <v/>
      </c>
      <c r="I1168" s="150">
        <f t="shared" si="380"/>
        <v>0</v>
      </c>
      <c r="J1168" s="150">
        <f t="shared" si="380"/>
        <v>0</v>
      </c>
      <c r="K1168" s="196" t="str">
        <f t="shared" si="380"/>
        <v/>
      </c>
      <c r="L1168" s="197" t="str">
        <f t="shared" si="380"/>
        <v/>
      </c>
      <c r="M1168" s="191">
        <f t="shared" si="380"/>
        <v>0</v>
      </c>
      <c r="N1168" s="150">
        <f t="shared" si="380"/>
        <v>0</v>
      </c>
      <c r="O1168" s="193">
        <f t="shared" si="380"/>
        <v>0</v>
      </c>
      <c r="P1168" s="162">
        <f t="shared" si="375"/>
        <v>0</v>
      </c>
      <c r="Q1168" s="162">
        <f t="shared" si="375"/>
        <v>0</v>
      </c>
      <c r="R1168" s="162">
        <f t="shared" si="375"/>
        <v>0</v>
      </c>
      <c r="S1168" s="162">
        <f t="shared" si="375"/>
        <v>0</v>
      </c>
      <c r="T1168" s="162">
        <f t="shared" si="375"/>
        <v>0</v>
      </c>
      <c r="U1168" s="162">
        <f t="shared" si="375"/>
        <v>0</v>
      </c>
      <c r="V1168" s="162">
        <f t="shared" si="375"/>
        <v>0</v>
      </c>
      <c r="W1168" s="162">
        <f t="shared" si="375"/>
        <v>0</v>
      </c>
      <c r="X1168" s="162">
        <f t="shared" si="375"/>
        <v>0</v>
      </c>
      <c r="Y1168" s="162">
        <f t="shared" si="375"/>
        <v>0</v>
      </c>
      <c r="Z1168" s="162">
        <f t="shared" si="375"/>
        <v>0</v>
      </c>
      <c r="AA1168" s="162">
        <f t="shared" si="375"/>
        <v>0</v>
      </c>
      <c r="AB1168" s="163">
        <f t="shared" si="376"/>
        <v>0</v>
      </c>
      <c r="AC1168" s="198"/>
      <c r="AE1168" s="194" t="str">
        <f t="shared" si="377"/>
        <v/>
      </c>
      <c r="AF1168" s="161">
        <f t="shared" si="381"/>
        <v>0</v>
      </c>
      <c r="AG1168" s="162">
        <f t="shared" si="381"/>
        <v>0</v>
      </c>
      <c r="AH1168" s="162">
        <f t="shared" si="381"/>
        <v>0</v>
      </c>
      <c r="AI1168" s="162">
        <f t="shared" si="381"/>
        <v>0</v>
      </c>
      <c r="AJ1168" s="162">
        <f t="shared" si="381"/>
        <v>0</v>
      </c>
      <c r="AK1168" s="162">
        <f t="shared" si="381"/>
        <v>0</v>
      </c>
      <c r="AL1168" s="162">
        <f t="shared" si="381"/>
        <v>0</v>
      </c>
      <c r="AM1168" s="162">
        <f t="shared" si="381"/>
        <v>0</v>
      </c>
      <c r="AN1168" s="162">
        <f t="shared" si="381"/>
        <v>0</v>
      </c>
      <c r="AO1168" s="162">
        <f t="shared" si="381"/>
        <v>0</v>
      </c>
      <c r="AP1168" s="162">
        <f t="shared" si="381"/>
        <v>0</v>
      </c>
      <c r="AQ1168" s="162">
        <f t="shared" si="381"/>
        <v>0</v>
      </c>
      <c r="AR1168" s="163">
        <f t="shared" si="379"/>
        <v>0</v>
      </c>
      <c r="AT1168" s="208">
        <f>IFERROR(VLOOKUP(J1168,#REF!,10,0),0)</f>
        <v>0</v>
      </c>
    </row>
    <row r="1169" spans="1:46" hidden="1" outlineLevel="1" x14ac:dyDescent="0.25">
      <c r="A1169" s="14" t="str">
        <f t="shared" si="370"/>
        <v>PROP_OPER__15</v>
      </c>
      <c r="B1169" s="15" t="e">
        <f t="shared" si="373"/>
        <v>#REF!</v>
      </c>
      <c r="C1169" s="83"/>
      <c r="D1169" s="15">
        <v>1</v>
      </c>
      <c r="E1169" s="15">
        <v>15</v>
      </c>
      <c r="F1169" s="190" t="e">
        <f t="shared" si="380"/>
        <v>#REF!</v>
      </c>
      <c r="G1169" s="149" t="e">
        <f t="shared" si="380"/>
        <v>#REF!</v>
      </c>
      <c r="H1169" s="150" t="e">
        <f t="shared" si="380"/>
        <v>#REF!</v>
      </c>
      <c r="I1169" s="150" t="e">
        <f t="shared" si="380"/>
        <v>#REF!</v>
      </c>
      <c r="J1169" s="150" t="e">
        <f t="shared" si="380"/>
        <v>#REF!</v>
      </c>
      <c r="K1169" s="196" t="e">
        <f t="shared" si="380"/>
        <v>#REF!</v>
      </c>
      <c r="L1169" s="197" t="e">
        <f t="shared" si="380"/>
        <v>#REF!</v>
      </c>
      <c r="M1169" s="191" t="e">
        <f t="shared" si="380"/>
        <v>#REF!</v>
      </c>
      <c r="N1169" s="150" t="e">
        <f t="shared" si="380"/>
        <v>#REF!</v>
      </c>
      <c r="O1169" s="193" t="e">
        <f t="shared" si="380"/>
        <v>#REF!</v>
      </c>
      <c r="P1169" s="162">
        <f>IFERROR(SUMIF($B$483:$B$547,$C1169&amp;$I1169,P$483:P$547)/SUMIF($D$483:$D$547,$I1169,P$483:P$547)*#REF!,0)</f>
        <v>0</v>
      </c>
      <c r="Q1169" s="162">
        <f>IFERROR(SUMIF($B$483:$B$547,$C1169&amp;$I1169,Q$483:Q$547)/SUMIF($D$483:$D$547,$I1169,Q$483:Q$547)*#REF!,0)</f>
        <v>0</v>
      </c>
      <c r="R1169" s="162">
        <f>IFERROR(SUMIF($B$483:$B$547,$C1169&amp;$I1169,R$483:R$547)/SUMIF($D$483:$D$547,$I1169,R$483:R$547)*#REF!,0)</f>
        <v>0</v>
      </c>
      <c r="S1169" s="162">
        <f>IFERROR(SUMIF($B$483:$B$547,$C1169&amp;$I1169,S$483:S$547)/SUMIF($D$483:$D$547,$I1169,S$483:S$547)*#REF!,0)</f>
        <v>0</v>
      </c>
      <c r="T1169" s="162">
        <f>IFERROR(SUMIF($B$483:$B$547,$C1169&amp;$I1169,T$483:T$547)/SUMIF($D$483:$D$547,$I1169,T$483:T$547)*#REF!,0)</f>
        <v>0</v>
      </c>
      <c r="U1169" s="162">
        <f>IFERROR(SUMIF($B$483:$B$547,$C1169&amp;$I1169,U$483:U$547)/SUMIF($D$483:$D$547,$I1169,U$483:U$547)*#REF!,0)</f>
        <v>0</v>
      </c>
      <c r="V1169" s="162">
        <f>IFERROR(SUMIF($B$483:$B$547,$C1169&amp;$I1169,V$483:V$547)/SUMIF($D$483:$D$547,$I1169,V$483:V$547)*#REF!,0)</f>
        <v>0</v>
      </c>
      <c r="W1169" s="162">
        <f>IFERROR(SUMIF($B$483:$B$547,$C1169&amp;$I1169,W$483:W$547)/SUMIF($D$483:$D$547,$I1169,W$483:W$547)*#REF!,0)</f>
        <v>0</v>
      </c>
      <c r="X1169" s="162">
        <f>IFERROR(SUMIF($B$483:$B$547,$C1169&amp;$I1169,X$483:X$547)/SUMIF($D$483:$D$547,$I1169,X$483:X$547)*#REF!,0)</f>
        <v>0</v>
      </c>
      <c r="Y1169" s="162">
        <f>IFERROR(SUMIF($B$483:$B$547,$C1169&amp;$I1169,Y$483:Y$547)/SUMIF($D$483:$D$547,$I1169,Y$483:Y$547)*#REF!,0)</f>
        <v>0</v>
      </c>
      <c r="Z1169" s="162">
        <f>IFERROR(SUMIF($B$483:$B$547,$C1169&amp;$I1169,Z$483:Z$547)/SUMIF($D$483:$D$547,$I1169,Z$483:Z$547)*#REF!,0)</f>
        <v>0</v>
      </c>
      <c r="AA1169" s="162">
        <f>IFERROR(SUMIF($B$483:$B$547,$C1169&amp;$I1169,AA$483:AA$547)/SUMIF($D$483:$D$547,$I1169,AA$483:AA$547)*#REF!,0)</f>
        <v>0</v>
      </c>
      <c r="AB1169" s="163">
        <f t="shared" si="376"/>
        <v>0</v>
      </c>
      <c r="AC1169" s="198"/>
      <c r="AE1169" s="194" t="e">
        <f t="shared" si="377"/>
        <v>#REF!</v>
      </c>
      <c r="AF1169" s="161">
        <f t="shared" si="381"/>
        <v>0</v>
      </c>
      <c r="AG1169" s="162">
        <f t="shared" si="381"/>
        <v>0</v>
      </c>
      <c r="AH1169" s="162">
        <f t="shared" si="381"/>
        <v>0</v>
      </c>
      <c r="AI1169" s="162">
        <f t="shared" si="381"/>
        <v>0</v>
      </c>
      <c r="AJ1169" s="162">
        <f t="shared" si="381"/>
        <v>0</v>
      </c>
      <c r="AK1169" s="162">
        <f t="shared" si="381"/>
        <v>0</v>
      </c>
      <c r="AL1169" s="162">
        <f t="shared" si="381"/>
        <v>0</v>
      </c>
      <c r="AM1169" s="162">
        <f t="shared" si="381"/>
        <v>0</v>
      </c>
      <c r="AN1169" s="162">
        <f t="shared" si="381"/>
        <v>0</v>
      </c>
      <c r="AO1169" s="162">
        <f t="shared" si="381"/>
        <v>0</v>
      </c>
      <c r="AP1169" s="162">
        <f t="shared" si="381"/>
        <v>0</v>
      </c>
      <c r="AQ1169" s="162">
        <f t="shared" si="381"/>
        <v>0</v>
      </c>
      <c r="AR1169" s="163">
        <f t="shared" si="379"/>
        <v>0</v>
      </c>
      <c r="AT1169" s="208">
        <f>IFERROR(VLOOKUP(J1169,#REF!,10,0),0)</f>
        <v>0</v>
      </c>
    </row>
    <row r="1170" spans="1:46" hidden="1" outlineLevel="1" x14ac:dyDescent="0.25">
      <c r="A1170" s="14" t="str">
        <f t="shared" si="370"/>
        <v>PROP_OPER__16</v>
      </c>
      <c r="B1170" s="15" t="e">
        <f t="shared" si="373"/>
        <v>#REF!</v>
      </c>
      <c r="C1170" s="83"/>
      <c r="D1170" s="15">
        <v>1</v>
      </c>
      <c r="E1170" s="15">
        <v>16</v>
      </c>
      <c r="F1170" s="190" t="e">
        <f t="shared" si="380"/>
        <v>#REF!</v>
      </c>
      <c r="G1170" s="149" t="e">
        <f t="shared" si="380"/>
        <v>#REF!</v>
      </c>
      <c r="H1170" s="150" t="e">
        <f t="shared" si="380"/>
        <v>#REF!</v>
      </c>
      <c r="I1170" s="150" t="e">
        <f t="shared" si="380"/>
        <v>#REF!</v>
      </c>
      <c r="J1170" s="150" t="e">
        <f t="shared" si="380"/>
        <v>#REF!</v>
      </c>
      <c r="K1170" s="196" t="e">
        <f t="shared" si="380"/>
        <v>#REF!</v>
      </c>
      <c r="L1170" s="197" t="e">
        <f t="shared" si="380"/>
        <v>#REF!</v>
      </c>
      <c r="M1170" s="191" t="e">
        <f t="shared" si="380"/>
        <v>#REF!</v>
      </c>
      <c r="N1170" s="150" t="e">
        <f t="shared" si="380"/>
        <v>#REF!</v>
      </c>
      <c r="O1170" s="193" t="e">
        <f t="shared" si="380"/>
        <v>#REF!</v>
      </c>
      <c r="P1170" s="162">
        <f>IFERROR(SUMIF($B$483:$B$547,$C1170&amp;$I1170,P$483:P$547)/SUMIF($D$483:$D$547,$I1170,P$483:P$547)*#REF!,0)</f>
        <v>0</v>
      </c>
      <c r="Q1170" s="162">
        <f>IFERROR(SUMIF($B$483:$B$547,$C1170&amp;$I1170,Q$483:Q$547)/SUMIF($D$483:$D$547,$I1170,Q$483:Q$547)*#REF!,0)</f>
        <v>0</v>
      </c>
      <c r="R1170" s="162">
        <f>IFERROR(SUMIF($B$483:$B$547,$C1170&amp;$I1170,R$483:R$547)/SUMIF($D$483:$D$547,$I1170,R$483:R$547)*#REF!,0)</f>
        <v>0</v>
      </c>
      <c r="S1170" s="162">
        <f>IFERROR(SUMIF($B$483:$B$547,$C1170&amp;$I1170,S$483:S$547)/SUMIF($D$483:$D$547,$I1170,S$483:S$547)*#REF!,0)</f>
        <v>0</v>
      </c>
      <c r="T1170" s="162">
        <f>IFERROR(SUMIF($B$483:$B$547,$C1170&amp;$I1170,T$483:T$547)/SUMIF($D$483:$D$547,$I1170,T$483:T$547)*#REF!,0)</f>
        <v>0</v>
      </c>
      <c r="U1170" s="162">
        <f>IFERROR(SUMIF($B$483:$B$547,$C1170&amp;$I1170,U$483:U$547)/SUMIF($D$483:$D$547,$I1170,U$483:U$547)*#REF!,0)</f>
        <v>0</v>
      </c>
      <c r="V1170" s="162">
        <f>IFERROR(SUMIF($B$483:$B$547,$C1170&amp;$I1170,V$483:V$547)/SUMIF($D$483:$D$547,$I1170,V$483:V$547)*#REF!,0)</f>
        <v>0</v>
      </c>
      <c r="W1170" s="162">
        <f>IFERROR(SUMIF($B$483:$B$547,$C1170&amp;$I1170,W$483:W$547)/SUMIF($D$483:$D$547,$I1170,W$483:W$547)*#REF!,0)</f>
        <v>0</v>
      </c>
      <c r="X1170" s="162">
        <f>IFERROR(SUMIF($B$483:$B$547,$C1170&amp;$I1170,X$483:X$547)/SUMIF($D$483:$D$547,$I1170,X$483:X$547)*#REF!,0)</f>
        <v>0</v>
      </c>
      <c r="Y1170" s="162">
        <f>IFERROR(SUMIF($B$483:$B$547,$C1170&amp;$I1170,Y$483:Y$547)/SUMIF($D$483:$D$547,$I1170,Y$483:Y$547)*#REF!,0)</f>
        <v>0</v>
      </c>
      <c r="Z1170" s="162">
        <f>IFERROR(SUMIF($B$483:$B$547,$C1170&amp;$I1170,Z$483:Z$547)/SUMIF($D$483:$D$547,$I1170,Z$483:Z$547)*#REF!,0)</f>
        <v>0</v>
      </c>
      <c r="AA1170" s="162">
        <f>IFERROR(SUMIF($B$483:$B$547,$C1170&amp;$I1170,AA$483:AA$547)/SUMIF($D$483:$D$547,$I1170,AA$483:AA$547)*#REF!,0)</f>
        <v>0</v>
      </c>
      <c r="AB1170" s="163">
        <f t="shared" si="376"/>
        <v>0</v>
      </c>
      <c r="AC1170" s="198"/>
      <c r="AE1170" s="194" t="e">
        <f t="shared" si="377"/>
        <v>#REF!</v>
      </c>
      <c r="AF1170" s="161">
        <f t="shared" si="381"/>
        <v>0</v>
      </c>
      <c r="AG1170" s="162">
        <f t="shared" si="381"/>
        <v>0</v>
      </c>
      <c r="AH1170" s="162">
        <f t="shared" si="381"/>
        <v>0</v>
      </c>
      <c r="AI1170" s="162">
        <f t="shared" si="381"/>
        <v>0</v>
      </c>
      <c r="AJ1170" s="162">
        <f t="shared" si="381"/>
        <v>0</v>
      </c>
      <c r="AK1170" s="162">
        <f t="shared" si="381"/>
        <v>0</v>
      </c>
      <c r="AL1170" s="162">
        <f t="shared" si="381"/>
        <v>0</v>
      </c>
      <c r="AM1170" s="162">
        <f t="shared" si="381"/>
        <v>0</v>
      </c>
      <c r="AN1170" s="162">
        <f t="shared" si="381"/>
        <v>0</v>
      </c>
      <c r="AO1170" s="162">
        <f t="shared" si="381"/>
        <v>0</v>
      </c>
      <c r="AP1170" s="162">
        <f t="shared" si="381"/>
        <v>0</v>
      </c>
      <c r="AQ1170" s="162">
        <f t="shared" si="381"/>
        <v>0</v>
      </c>
      <c r="AR1170" s="163">
        <f t="shared" si="379"/>
        <v>0</v>
      </c>
      <c r="AT1170" s="208">
        <f>IFERROR(VLOOKUP(J1170,#REF!,10,0),0)</f>
        <v>0</v>
      </c>
    </row>
    <row r="1171" spans="1:46" hidden="1" outlineLevel="1" x14ac:dyDescent="0.25">
      <c r="A1171" s="14" t="str">
        <f t="shared" si="370"/>
        <v>PROP_OPER__17</v>
      </c>
      <c r="B1171" s="15" t="e">
        <f t="shared" si="373"/>
        <v>#REF!</v>
      </c>
      <c r="C1171" s="83"/>
      <c r="D1171" s="15">
        <v>1</v>
      </c>
      <c r="E1171" s="15">
        <v>17</v>
      </c>
      <c r="F1171" s="190" t="e">
        <f t="shared" si="380"/>
        <v>#REF!</v>
      </c>
      <c r="G1171" s="149" t="e">
        <f t="shared" si="380"/>
        <v>#REF!</v>
      </c>
      <c r="H1171" s="150" t="e">
        <f t="shared" si="380"/>
        <v>#REF!</v>
      </c>
      <c r="I1171" s="150" t="e">
        <f t="shared" si="380"/>
        <v>#REF!</v>
      </c>
      <c r="J1171" s="150" t="e">
        <f t="shared" si="380"/>
        <v>#REF!</v>
      </c>
      <c r="K1171" s="196" t="e">
        <f t="shared" si="380"/>
        <v>#REF!</v>
      </c>
      <c r="L1171" s="197" t="e">
        <f t="shared" si="380"/>
        <v>#REF!</v>
      </c>
      <c r="M1171" s="191" t="e">
        <f t="shared" si="380"/>
        <v>#REF!</v>
      </c>
      <c r="N1171" s="150" t="e">
        <f t="shared" si="380"/>
        <v>#REF!</v>
      </c>
      <c r="O1171" s="193" t="e">
        <f t="shared" si="380"/>
        <v>#REF!</v>
      </c>
      <c r="P1171" s="162">
        <f>IFERROR(SUMIF($B$483:$B$547,$C1171&amp;$I1171,P$483:P$547)/SUMIF($D$483:$D$547,$I1171,P$483:P$547)*#REF!,0)</f>
        <v>0</v>
      </c>
      <c r="Q1171" s="162">
        <f>IFERROR(SUMIF($B$483:$B$547,$C1171&amp;$I1171,Q$483:Q$547)/SUMIF($D$483:$D$547,$I1171,Q$483:Q$547)*#REF!,0)</f>
        <v>0</v>
      </c>
      <c r="R1171" s="162">
        <f>IFERROR(SUMIF($B$483:$B$547,$C1171&amp;$I1171,R$483:R$547)/SUMIF($D$483:$D$547,$I1171,R$483:R$547)*#REF!,0)</f>
        <v>0</v>
      </c>
      <c r="S1171" s="162">
        <f>IFERROR(SUMIF($B$483:$B$547,$C1171&amp;$I1171,S$483:S$547)/SUMIF($D$483:$D$547,$I1171,S$483:S$547)*#REF!,0)</f>
        <v>0</v>
      </c>
      <c r="T1171" s="162">
        <f>IFERROR(SUMIF($B$483:$B$547,$C1171&amp;$I1171,T$483:T$547)/SUMIF($D$483:$D$547,$I1171,T$483:T$547)*#REF!,0)</f>
        <v>0</v>
      </c>
      <c r="U1171" s="162">
        <f>IFERROR(SUMIF($B$483:$B$547,$C1171&amp;$I1171,U$483:U$547)/SUMIF($D$483:$D$547,$I1171,U$483:U$547)*#REF!,0)</f>
        <v>0</v>
      </c>
      <c r="V1171" s="162">
        <f>IFERROR(SUMIF($B$483:$B$547,$C1171&amp;$I1171,V$483:V$547)/SUMIF($D$483:$D$547,$I1171,V$483:V$547)*#REF!,0)</f>
        <v>0</v>
      </c>
      <c r="W1171" s="162">
        <f>IFERROR(SUMIF($B$483:$B$547,$C1171&amp;$I1171,W$483:W$547)/SUMIF($D$483:$D$547,$I1171,W$483:W$547)*#REF!,0)</f>
        <v>0</v>
      </c>
      <c r="X1171" s="162">
        <f>IFERROR(SUMIF($B$483:$B$547,$C1171&amp;$I1171,X$483:X$547)/SUMIF($D$483:$D$547,$I1171,X$483:X$547)*#REF!,0)</f>
        <v>0</v>
      </c>
      <c r="Y1171" s="162">
        <f>IFERROR(SUMIF($B$483:$B$547,$C1171&amp;$I1171,Y$483:Y$547)/SUMIF($D$483:$D$547,$I1171,Y$483:Y$547)*#REF!,0)</f>
        <v>0</v>
      </c>
      <c r="Z1171" s="162">
        <f>IFERROR(SUMIF($B$483:$B$547,$C1171&amp;$I1171,Z$483:Z$547)/SUMIF($D$483:$D$547,$I1171,Z$483:Z$547)*#REF!,0)</f>
        <v>0</v>
      </c>
      <c r="AA1171" s="162">
        <f>IFERROR(SUMIF($B$483:$B$547,$C1171&amp;$I1171,AA$483:AA$547)/SUMIF($D$483:$D$547,$I1171,AA$483:AA$547)*#REF!,0)</f>
        <v>0</v>
      </c>
      <c r="AB1171" s="163">
        <f t="shared" si="376"/>
        <v>0</v>
      </c>
      <c r="AC1171" s="198"/>
      <c r="AE1171" s="194" t="e">
        <f t="shared" si="377"/>
        <v>#REF!</v>
      </c>
      <c r="AF1171" s="161">
        <f t="shared" si="381"/>
        <v>0</v>
      </c>
      <c r="AG1171" s="162">
        <f t="shared" si="381"/>
        <v>0</v>
      </c>
      <c r="AH1171" s="162">
        <f t="shared" si="381"/>
        <v>0</v>
      </c>
      <c r="AI1171" s="162">
        <f t="shared" si="381"/>
        <v>0</v>
      </c>
      <c r="AJ1171" s="162">
        <f t="shared" si="381"/>
        <v>0</v>
      </c>
      <c r="AK1171" s="162">
        <f t="shared" si="381"/>
        <v>0</v>
      </c>
      <c r="AL1171" s="162">
        <f t="shared" si="381"/>
        <v>0</v>
      </c>
      <c r="AM1171" s="162">
        <f t="shared" si="381"/>
        <v>0</v>
      </c>
      <c r="AN1171" s="162">
        <f t="shared" si="381"/>
        <v>0</v>
      </c>
      <c r="AO1171" s="162">
        <f t="shared" si="381"/>
        <v>0</v>
      </c>
      <c r="AP1171" s="162">
        <f t="shared" si="381"/>
        <v>0</v>
      </c>
      <c r="AQ1171" s="162">
        <f t="shared" si="381"/>
        <v>0</v>
      </c>
      <c r="AR1171" s="163">
        <f t="shared" si="379"/>
        <v>0</v>
      </c>
      <c r="AT1171" s="208">
        <f>IFERROR(VLOOKUP(J1171,#REF!,10,0),0)</f>
        <v>0</v>
      </c>
    </row>
    <row r="1172" spans="1:46" hidden="1" outlineLevel="1" x14ac:dyDescent="0.25">
      <c r="A1172" s="14" t="str">
        <f t="shared" si="370"/>
        <v>PROP_OPER__18</v>
      </c>
      <c r="B1172" s="15" t="e">
        <f t="shared" si="373"/>
        <v>#REF!</v>
      </c>
      <c r="C1172" s="83"/>
      <c r="D1172" s="15">
        <v>1</v>
      </c>
      <c r="E1172" s="15">
        <v>18</v>
      </c>
      <c r="F1172" s="190" t="e">
        <f t="shared" ref="F1172:O1187" si="382">F1126</f>
        <v>#REF!</v>
      </c>
      <c r="G1172" s="149" t="e">
        <f t="shared" si="382"/>
        <v>#REF!</v>
      </c>
      <c r="H1172" s="150" t="e">
        <f t="shared" si="382"/>
        <v>#REF!</v>
      </c>
      <c r="I1172" s="150" t="e">
        <f t="shared" si="382"/>
        <v>#REF!</v>
      </c>
      <c r="J1172" s="150" t="e">
        <f t="shared" si="382"/>
        <v>#REF!</v>
      </c>
      <c r="K1172" s="196" t="e">
        <f t="shared" si="382"/>
        <v>#REF!</v>
      </c>
      <c r="L1172" s="197" t="e">
        <f t="shared" si="382"/>
        <v>#REF!</v>
      </c>
      <c r="M1172" s="191" t="e">
        <f t="shared" si="382"/>
        <v>#REF!</v>
      </c>
      <c r="N1172" s="150" t="e">
        <f t="shared" si="382"/>
        <v>#REF!</v>
      </c>
      <c r="O1172" s="193" t="e">
        <f t="shared" si="382"/>
        <v>#REF!</v>
      </c>
      <c r="P1172" s="162">
        <f>IFERROR(SUMIF($B$483:$B$547,$C1172&amp;$I1172,P$483:P$547)/SUMIF($D$483:$D$547,$I1172,P$483:P$547)*#REF!,0)</f>
        <v>0</v>
      </c>
      <c r="Q1172" s="162">
        <f>IFERROR(SUMIF($B$483:$B$547,$C1172&amp;$I1172,Q$483:Q$547)/SUMIF($D$483:$D$547,$I1172,Q$483:Q$547)*#REF!,0)</f>
        <v>0</v>
      </c>
      <c r="R1172" s="162">
        <f>IFERROR(SUMIF($B$483:$B$547,$C1172&amp;$I1172,R$483:R$547)/SUMIF($D$483:$D$547,$I1172,R$483:R$547)*#REF!,0)</f>
        <v>0</v>
      </c>
      <c r="S1172" s="162">
        <f>IFERROR(SUMIF($B$483:$B$547,$C1172&amp;$I1172,S$483:S$547)/SUMIF($D$483:$D$547,$I1172,S$483:S$547)*#REF!,0)</f>
        <v>0</v>
      </c>
      <c r="T1172" s="162">
        <f>IFERROR(SUMIF($B$483:$B$547,$C1172&amp;$I1172,T$483:T$547)/SUMIF($D$483:$D$547,$I1172,T$483:T$547)*#REF!,0)</f>
        <v>0</v>
      </c>
      <c r="U1172" s="162">
        <f>IFERROR(SUMIF($B$483:$B$547,$C1172&amp;$I1172,U$483:U$547)/SUMIF($D$483:$D$547,$I1172,U$483:U$547)*#REF!,0)</f>
        <v>0</v>
      </c>
      <c r="V1172" s="162">
        <f>IFERROR(SUMIF($B$483:$B$547,$C1172&amp;$I1172,V$483:V$547)/SUMIF($D$483:$D$547,$I1172,V$483:V$547)*#REF!,0)</f>
        <v>0</v>
      </c>
      <c r="W1172" s="162">
        <f>IFERROR(SUMIF($B$483:$B$547,$C1172&amp;$I1172,W$483:W$547)/SUMIF($D$483:$D$547,$I1172,W$483:W$547)*#REF!,0)</f>
        <v>0</v>
      </c>
      <c r="X1172" s="162">
        <f>IFERROR(SUMIF($B$483:$B$547,$C1172&amp;$I1172,X$483:X$547)/SUMIF($D$483:$D$547,$I1172,X$483:X$547)*#REF!,0)</f>
        <v>0</v>
      </c>
      <c r="Y1172" s="162">
        <f>IFERROR(SUMIF($B$483:$B$547,$C1172&amp;$I1172,Y$483:Y$547)/SUMIF($D$483:$D$547,$I1172,Y$483:Y$547)*#REF!,0)</f>
        <v>0</v>
      </c>
      <c r="Z1172" s="162">
        <f>IFERROR(SUMIF($B$483:$B$547,$C1172&amp;$I1172,Z$483:Z$547)/SUMIF($D$483:$D$547,$I1172,Z$483:Z$547)*#REF!,0)</f>
        <v>0</v>
      </c>
      <c r="AA1172" s="162">
        <f>IFERROR(SUMIF($B$483:$B$547,$C1172&amp;$I1172,AA$483:AA$547)/SUMIF($D$483:$D$547,$I1172,AA$483:AA$547)*#REF!,0)</f>
        <v>0</v>
      </c>
      <c r="AB1172" s="163">
        <f t="shared" si="376"/>
        <v>0</v>
      </c>
      <c r="AC1172" s="198"/>
      <c r="AE1172" s="194" t="e">
        <f t="shared" si="377"/>
        <v>#REF!</v>
      </c>
      <c r="AF1172" s="161">
        <f t="shared" si="381"/>
        <v>0</v>
      </c>
      <c r="AG1172" s="162">
        <f t="shared" si="381"/>
        <v>0</v>
      </c>
      <c r="AH1172" s="162">
        <f t="shared" si="381"/>
        <v>0</v>
      </c>
      <c r="AI1172" s="162">
        <f t="shared" si="381"/>
        <v>0</v>
      </c>
      <c r="AJ1172" s="162">
        <f t="shared" si="381"/>
        <v>0</v>
      </c>
      <c r="AK1172" s="162">
        <f t="shared" si="381"/>
        <v>0</v>
      </c>
      <c r="AL1172" s="162">
        <f t="shared" si="381"/>
        <v>0</v>
      </c>
      <c r="AM1172" s="162">
        <f t="shared" si="381"/>
        <v>0</v>
      </c>
      <c r="AN1172" s="162">
        <f t="shared" si="381"/>
        <v>0</v>
      </c>
      <c r="AO1172" s="162">
        <f t="shared" si="381"/>
        <v>0</v>
      </c>
      <c r="AP1172" s="162">
        <f t="shared" si="381"/>
        <v>0</v>
      </c>
      <c r="AQ1172" s="162">
        <f t="shared" si="381"/>
        <v>0</v>
      </c>
      <c r="AR1172" s="163">
        <f t="shared" si="379"/>
        <v>0</v>
      </c>
      <c r="AT1172" s="208">
        <f>IFERROR(VLOOKUP(J1172,#REF!,10,0),0)</f>
        <v>0</v>
      </c>
    </row>
    <row r="1173" spans="1:46" hidden="1" outlineLevel="1" x14ac:dyDescent="0.25">
      <c r="A1173" s="14" t="str">
        <f t="shared" si="370"/>
        <v>PROP_OPER__19</v>
      </c>
      <c r="B1173" s="15" t="str">
        <f t="shared" si="373"/>
        <v>PROP_OPER__0_0</v>
      </c>
      <c r="C1173" s="83"/>
      <c r="D1173" s="15">
        <v>1</v>
      </c>
      <c r="E1173" s="15">
        <v>19</v>
      </c>
      <c r="F1173" s="190">
        <f t="shared" si="382"/>
        <v>0</v>
      </c>
      <c r="G1173" s="149" t="str">
        <f t="shared" si="382"/>
        <v/>
      </c>
      <c r="H1173" s="150" t="str">
        <f t="shared" si="382"/>
        <v/>
      </c>
      <c r="I1173" s="150">
        <f t="shared" si="382"/>
        <v>0</v>
      </c>
      <c r="J1173" s="150">
        <f t="shared" si="382"/>
        <v>0</v>
      </c>
      <c r="K1173" s="196" t="str">
        <f t="shared" si="382"/>
        <v/>
      </c>
      <c r="L1173" s="197" t="str">
        <f t="shared" si="382"/>
        <v/>
      </c>
      <c r="M1173" s="191">
        <f t="shared" si="382"/>
        <v>0</v>
      </c>
      <c r="N1173" s="150">
        <f t="shared" si="382"/>
        <v>0</v>
      </c>
      <c r="O1173" s="193">
        <f t="shared" si="382"/>
        <v>0</v>
      </c>
      <c r="P1173" s="162">
        <f t="shared" ref="P1173:AA1188" si="383">IFERROR(SUMIF($B$483:$B$547,$C1173&amp;$I1173,P$483:P$547)/SUMIF($D$483:$D$547,$I1173,P$483:P$547)*P612,0)</f>
        <v>0</v>
      </c>
      <c r="Q1173" s="162">
        <f t="shared" si="383"/>
        <v>0</v>
      </c>
      <c r="R1173" s="162">
        <f t="shared" si="383"/>
        <v>0</v>
      </c>
      <c r="S1173" s="162">
        <f t="shared" si="383"/>
        <v>0</v>
      </c>
      <c r="T1173" s="162">
        <f t="shared" si="383"/>
        <v>0</v>
      </c>
      <c r="U1173" s="162">
        <f t="shared" si="383"/>
        <v>0</v>
      </c>
      <c r="V1173" s="162">
        <f t="shared" si="383"/>
        <v>0</v>
      </c>
      <c r="W1173" s="162">
        <f t="shared" si="383"/>
        <v>0</v>
      </c>
      <c r="X1173" s="162">
        <f t="shared" si="383"/>
        <v>0</v>
      </c>
      <c r="Y1173" s="162">
        <f t="shared" si="383"/>
        <v>0</v>
      </c>
      <c r="Z1173" s="162">
        <f t="shared" si="383"/>
        <v>0</v>
      </c>
      <c r="AA1173" s="162">
        <f t="shared" si="383"/>
        <v>0</v>
      </c>
      <c r="AB1173" s="163">
        <f t="shared" si="376"/>
        <v>0</v>
      </c>
      <c r="AC1173" s="198"/>
      <c r="AE1173" s="194" t="str">
        <f t="shared" si="377"/>
        <v/>
      </c>
      <c r="AF1173" s="161">
        <f t="shared" si="381"/>
        <v>0</v>
      </c>
      <c r="AG1173" s="162">
        <f t="shared" si="381"/>
        <v>0</v>
      </c>
      <c r="AH1173" s="162">
        <f t="shared" si="381"/>
        <v>0</v>
      </c>
      <c r="AI1173" s="162">
        <f t="shared" si="381"/>
        <v>0</v>
      </c>
      <c r="AJ1173" s="162">
        <f t="shared" si="381"/>
        <v>0</v>
      </c>
      <c r="AK1173" s="162">
        <f t="shared" si="381"/>
        <v>0</v>
      </c>
      <c r="AL1173" s="162">
        <f t="shared" si="381"/>
        <v>0</v>
      </c>
      <c r="AM1173" s="162">
        <f t="shared" si="381"/>
        <v>0</v>
      </c>
      <c r="AN1173" s="162">
        <f t="shared" si="381"/>
        <v>0</v>
      </c>
      <c r="AO1173" s="162">
        <f t="shared" si="381"/>
        <v>0</v>
      </c>
      <c r="AP1173" s="162">
        <f t="shared" si="381"/>
        <v>0</v>
      </c>
      <c r="AQ1173" s="162">
        <f t="shared" si="381"/>
        <v>0</v>
      </c>
      <c r="AR1173" s="163">
        <f t="shared" si="379"/>
        <v>0</v>
      </c>
      <c r="AT1173" s="208">
        <f>IFERROR(VLOOKUP(J1173,#REF!,10,0),0)</f>
        <v>0</v>
      </c>
    </row>
    <row r="1174" spans="1:46" hidden="1" outlineLevel="1" x14ac:dyDescent="0.25">
      <c r="A1174" s="14" t="str">
        <f t="shared" si="370"/>
        <v>PROP_OPER__20</v>
      </c>
      <c r="B1174" s="15" t="str">
        <f t="shared" si="373"/>
        <v>PROP_OPER__0_0</v>
      </c>
      <c r="C1174" s="83"/>
      <c r="D1174" s="15">
        <v>1</v>
      </c>
      <c r="E1174" s="15">
        <v>20</v>
      </c>
      <c r="F1174" s="190">
        <f t="shared" si="382"/>
        <v>0</v>
      </c>
      <c r="G1174" s="149" t="str">
        <f t="shared" si="382"/>
        <v/>
      </c>
      <c r="H1174" s="150" t="str">
        <f t="shared" si="382"/>
        <v/>
      </c>
      <c r="I1174" s="150">
        <f t="shared" si="382"/>
        <v>0</v>
      </c>
      <c r="J1174" s="150">
        <f t="shared" si="382"/>
        <v>0</v>
      </c>
      <c r="K1174" s="196" t="str">
        <f t="shared" si="382"/>
        <v/>
      </c>
      <c r="L1174" s="197" t="str">
        <f t="shared" si="382"/>
        <v/>
      </c>
      <c r="M1174" s="191">
        <f t="shared" si="382"/>
        <v>0</v>
      </c>
      <c r="N1174" s="150">
        <f t="shared" si="382"/>
        <v>0</v>
      </c>
      <c r="O1174" s="193">
        <f t="shared" si="382"/>
        <v>0</v>
      </c>
      <c r="P1174" s="162">
        <f t="shared" si="383"/>
        <v>0</v>
      </c>
      <c r="Q1174" s="162">
        <f t="shared" si="383"/>
        <v>0</v>
      </c>
      <c r="R1174" s="162">
        <f t="shared" si="383"/>
        <v>0</v>
      </c>
      <c r="S1174" s="162">
        <f t="shared" si="383"/>
        <v>0</v>
      </c>
      <c r="T1174" s="162">
        <f t="shared" si="383"/>
        <v>0</v>
      </c>
      <c r="U1174" s="162">
        <f t="shared" si="383"/>
        <v>0</v>
      </c>
      <c r="V1174" s="162">
        <f t="shared" si="383"/>
        <v>0</v>
      </c>
      <c r="W1174" s="162">
        <f t="shared" si="383"/>
        <v>0</v>
      </c>
      <c r="X1174" s="162">
        <f t="shared" si="383"/>
        <v>0</v>
      </c>
      <c r="Y1174" s="162">
        <f t="shared" si="383"/>
        <v>0</v>
      </c>
      <c r="Z1174" s="162">
        <f t="shared" si="383"/>
        <v>0</v>
      </c>
      <c r="AA1174" s="162">
        <f t="shared" si="383"/>
        <v>0</v>
      </c>
      <c r="AB1174" s="163">
        <f t="shared" si="376"/>
        <v>0</v>
      </c>
      <c r="AC1174" s="198"/>
      <c r="AE1174" s="194" t="str">
        <f t="shared" si="377"/>
        <v/>
      </c>
      <c r="AF1174" s="161">
        <f t="shared" si="381"/>
        <v>0</v>
      </c>
      <c r="AG1174" s="162">
        <f t="shared" si="381"/>
        <v>0</v>
      </c>
      <c r="AH1174" s="162">
        <f t="shared" si="381"/>
        <v>0</v>
      </c>
      <c r="AI1174" s="162">
        <f t="shared" si="381"/>
        <v>0</v>
      </c>
      <c r="AJ1174" s="162">
        <f t="shared" si="381"/>
        <v>0</v>
      </c>
      <c r="AK1174" s="162">
        <f t="shared" si="381"/>
        <v>0</v>
      </c>
      <c r="AL1174" s="162">
        <f t="shared" si="381"/>
        <v>0</v>
      </c>
      <c r="AM1174" s="162">
        <f t="shared" si="381"/>
        <v>0</v>
      </c>
      <c r="AN1174" s="162">
        <f t="shared" si="381"/>
        <v>0</v>
      </c>
      <c r="AO1174" s="162">
        <f t="shared" si="381"/>
        <v>0</v>
      </c>
      <c r="AP1174" s="162">
        <f t="shared" si="381"/>
        <v>0</v>
      </c>
      <c r="AQ1174" s="162">
        <f t="shared" si="381"/>
        <v>0</v>
      </c>
      <c r="AR1174" s="163">
        <f t="shared" si="379"/>
        <v>0</v>
      </c>
      <c r="AT1174" s="208">
        <f>IFERROR(VLOOKUP(J1174,#REF!,10,0),0)</f>
        <v>0</v>
      </c>
    </row>
    <row r="1175" spans="1:46" hidden="1" outlineLevel="1" x14ac:dyDescent="0.25">
      <c r="A1175" s="14" t="str">
        <f t="shared" si="370"/>
        <v>PROP_OPER__21</v>
      </c>
      <c r="B1175" s="15" t="str">
        <f t="shared" si="373"/>
        <v>PROP_OPER__0_0</v>
      </c>
      <c r="C1175" s="83"/>
      <c r="D1175" s="15">
        <v>1</v>
      </c>
      <c r="E1175" s="15">
        <v>21</v>
      </c>
      <c r="F1175" s="190">
        <f t="shared" si="382"/>
        <v>0</v>
      </c>
      <c r="G1175" s="149" t="str">
        <f t="shared" si="382"/>
        <v/>
      </c>
      <c r="H1175" s="150" t="str">
        <f t="shared" si="382"/>
        <v/>
      </c>
      <c r="I1175" s="150">
        <f t="shared" si="382"/>
        <v>0</v>
      </c>
      <c r="J1175" s="150">
        <f t="shared" si="382"/>
        <v>0</v>
      </c>
      <c r="K1175" s="196" t="str">
        <f t="shared" si="382"/>
        <v/>
      </c>
      <c r="L1175" s="197" t="str">
        <f t="shared" si="382"/>
        <v/>
      </c>
      <c r="M1175" s="191">
        <f t="shared" si="382"/>
        <v>0</v>
      </c>
      <c r="N1175" s="150">
        <f t="shared" si="382"/>
        <v>0</v>
      </c>
      <c r="O1175" s="193">
        <f t="shared" si="382"/>
        <v>0</v>
      </c>
      <c r="P1175" s="162">
        <f t="shared" si="383"/>
        <v>0</v>
      </c>
      <c r="Q1175" s="162">
        <f t="shared" si="383"/>
        <v>0</v>
      </c>
      <c r="R1175" s="162">
        <f t="shared" si="383"/>
        <v>0</v>
      </c>
      <c r="S1175" s="162">
        <f t="shared" si="383"/>
        <v>0</v>
      </c>
      <c r="T1175" s="162">
        <f t="shared" si="383"/>
        <v>0</v>
      </c>
      <c r="U1175" s="162">
        <f t="shared" si="383"/>
        <v>0</v>
      </c>
      <c r="V1175" s="162">
        <f t="shared" si="383"/>
        <v>0</v>
      </c>
      <c r="W1175" s="162">
        <f t="shared" si="383"/>
        <v>0</v>
      </c>
      <c r="X1175" s="162">
        <f t="shared" si="383"/>
        <v>0</v>
      </c>
      <c r="Y1175" s="162">
        <f t="shared" si="383"/>
        <v>0</v>
      </c>
      <c r="Z1175" s="162">
        <f t="shared" si="383"/>
        <v>0</v>
      </c>
      <c r="AA1175" s="162">
        <f t="shared" si="383"/>
        <v>0</v>
      </c>
      <c r="AB1175" s="163">
        <f t="shared" si="376"/>
        <v>0</v>
      </c>
      <c r="AC1175" s="198"/>
      <c r="AE1175" s="194" t="str">
        <f t="shared" si="377"/>
        <v/>
      </c>
      <c r="AF1175" s="161">
        <f t="shared" si="381"/>
        <v>0</v>
      </c>
      <c r="AG1175" s="162">
        <f t="shared" si="381"/>
        <v>0</v>
      </c>
      <c r="AH1175" s="162">
        <f t="shared" si="381"/>
        <v>0</v>
      </c>
      <c r="AI1175" s="162">
        <f t="shared" si="381"/>
        <v>0</v>
      </c>
      <c r="AJ1175" s="162">
        <f t="shared" si="381"/>
        <v>0</v>
      </c>
      <c r="AK1175" s="162">
        <f t="shared" si="381"/>
        <v>0</v>
      </c>
      <c r="AL1175" s="162">
        <f t="shared" si="381"/>
        <v>0</v>
      </c>
      <c r="AM1175" s="162">
        <f t="shared" si="381"/>
        <v>0</v>
      </c>
      <c r="AN1175" s="162">
        <f t="shared" si="381"/>
        <v>0</v>
      </c>
      <c r="AO1175" s="162">
        <f t="shared" si="381"/>
        <v>0</v>
      </c>
      <c r="AP1175" s="162">
        <f t="shared" si="381"/>
        <v>0</v>
      </c>
      <c r="AQ1175" s="162">
        <f t="shared" si="381"/>
        <v>0</v>
      </c>
      <c r="AR1175" s="163">
        <f t="shared" si="379"/>
        <v>0</v>
      </c>
      <c r="AT1175" s="208">
        <f>IFERROR(VLOOKUP(J1175,#REF!,10,0),0)</f>
        <v>0</v>
      </c>
    </row>
    <row r="1176" spans="1:46" hidden="1" outlineLevel="1" x14ac:dyDescent="0.25">
      <c r="A1176" s="14" t="str">
        <f t="shared" si="370"/>
        <v>PROP_OPER__22</v>
      </c>
      <c r="B1176" s="15" t="str">
        <f t="shared" si="373"/>
        <v>PROP_OPER__0_0</v>
      </c>
      <c r="C1176" s="83"/>
      <c r="D1176" s="15">
        <v>1</v>
      </c>
      <c r="E1176" s="15">
        <v>22</v>
      </c>
      <c r="F1176" s="190">
        <f t="shared" si="382"/>
        <v>0</v>
      </c>
      <c r="G1176" s="149" t="str">
        <f t="shared" si="382"/>
        <v/>
      </c>
      <c r="H1176" s="150" t="str">
        <f t="shared" si="382"/>
        <v/>
      </c>
      <c r="I1176" s="150">
        <f t="shared" si="382"/>
        <v>0</v>
      </c>
      <c r="J1176" s="150">
        <f t="shared" si="382"/>
        <v>0</v>
      </c>
      <c r="K1176" s="196" t="str">
        <f t="shared" si="382"/>
        <v/>
      </c>
      <c r="L1176" s="197" t="str">
        <f t="shared" si="382"/>
        <v/>
      </c>
      <c r="M1176" s="191">
        <f t="shared" si="382"/>
        <v>0</v>
      </c>
      <c r="N1176" s="150">
        <f t="shared" si="382"/>
        <v>0</v>
      </c>
      <c r="O1176" s="193">
        <f t="shared" si="382"/>
        <v>0</v>
      </c>
      <c r="P1176" s="162">
        <f t="shared" si="383"/>
        <v>0</v>
      </c>
      <c r="Q1176" s="162">
        <f t="shared" si="383"/>
        <v>0</v>
      </c>
      <c r="R1176" s="162">
        <f t="shared" si="383"/>
        <v>0</v>
      </c>
      <c r="S1176" s="162">
        <f t="shared" si="383"/>
        <v>0</v>
      </c>
      <c r="T1176" s="162">
        <f t="shared" si="383"/>
        <v>0</v>
      </c>
      <c r="U1176" s="162">
        <f t="shared" si="383"/>
        <v>0</v>
      </c>
      <c r="V1176" s="162">
        <f t="shared" si="383"/>
        <v>0</v>
      </c>
      <c r="W1176" s="162">
        <f t="shared" si="383"/>
        <v>0</v>
      </c>
      <c r="X1176" s="162">
        <f t="shared" si="383"/>
        <v>0</v>
      </c>
      <c r="Y1176" s="162">
        <f t="shared" si="383"/>
        <v>0</v>
      </c>
      <c r="Z1176" s="162">
        <f t="shared" si="383"/>
        <v>0</v>
      </c>
      <c r="AA1176" s="162">
        <f t="shared" si="383"/>
        <v>0</v>
      </c>
      <c r="AB1176" s="163">
        <f t="shared" si="376"/>
        <v>0</v>
      </c>
      <c r="AC1176" s="198"/>
      <c r="AE1176" s="194" t="str">
        <f t="shared" si="377"/>
        <v/>
      </c>
      <c r="AF1176" s="161">
        <f t="shared" ref="AF1176:AQ1191" si="384">IFERROR(SUMIF($B$483:$B$547,$C1176&amp;$I1176,P$483:P$547)/SUMIF($D$483:$D$547,$I1176,P$483:P$547)*AF573,0)</f>
        <v>0</v>
      </c>
      <c r="AG1176" s="162">
        <f t="shared" si="384"/>
        <v>0</v>
      </c>
      <c r="AH1176" s="162">
        <f t="shared" si="384"/>
        <v>0</v>
      </c>
      <c r="AI1176" s="162">
        <f t="shared" si="384"/>
        <v>0</v>
      </c>
      <c r="AJ1176" s="162">
        <f t="shared" si="384"/>
        <v>0</v>
      </c>
      <c r="AK1176" s="162">
        <f t="shared" si="384"/>
        <v>0</v>
      </c>
      <c r="AL1176" s="162">
        <f t="shared" si="384"/>
        <v>0</v>
      </c>
      <c r="AM1176" s="162">
        <f t="shared" si="384"/>
        <v>0</v>
      </c>
      <c r="AN1176" s="162">
        <f t="shared" si="384"/>
        <v>0</v>
      </c>
      <c r="AO1176" s="162">
        <f t="shared" si="384"/>
        <v>0</v>
      </c>
      <c r="AP1176" s="162">
        <f t="shared" si="384"/>
        <v>0</v>
      </c>
      <c r="AQ1176" s="162">
        <f t="shared" si="384"/>
        <v>0</v>
      </c>
      <c r="AR1176" s="163">
        <f t="shared" si="379"/>
        <v>0</v>
      </c>
      <c r="AT1176" s="208">
        <f>IFERROR(VLOOKUP(J1176,#REF!,10,0),0)</f>
        <v>0</v>
      </c>
    </row>
    <row r="1177" spans="1:46" hidden="1" outlineLevel="1" x14ac:dyDescent="0.25">
      <c r="A1177" s="14" t="str">
        <f t="shared" si="370"/>
        <v>PROP_OPER__23</v>
      </c>
      <c r="B1177" s="15" t="str">
        <f t="shared" si="373"/>
        <v>PROP_OPER__0_0</v>
      </c>
      <c r="C1177" s="83"/>
      <c r="D1177" s="15">
        <v>1</v>
      </c>
      <c r="E1177" s="15">
        <v>23</v>
      </c>
      <c r="F1177" s="190">
        <f t="shared" si="382"/>
        <v>0</v>
      </c>
      <c r="G1177" s="149" t="str">
        <f t="shared" si="382"/>
        <v/>
      </c>
      <c r="H1177" s="150" t="str">
        <f t="shared" si="382"/>
        <v/>
      </c>
      <c r="I1177" s="150">
        <f t="shared" si="382"/>
        <v>0</v>
      </c>
      <c r="J1177" s="150">
        <f t="shared" si="382"/>
        <v>0</v>
      </c>
      <c r="K1177" s="196" t="str">
        <f t="shared" si="382"/>
        <v/>
      </c>
      <c r="L1177" s="197" t="str">
        <f t="shared" si="382"/>
        <v/>
      </c>
      <c r="M1177" s="191">
        <f t="shared" si="382"/>
        <v>0</v>
      </c>
      <c r="N1177" s="150">
        <f t="shared" si="382"/>
        <v>0</v>
      </c>
      <c r="O1177" s="193">
        <f t="shared" si="382"/>
        <v>0</v>
      </c>
      <c r="P1177" s="162">
        <f t="shared" si="383"/>
        <v>0</v>
      </c>
      <c r="Q1177" s="162">
        <f t="shared" si="383"/>
        <v>0</v>
      </c>
      <c r="R1177" s="162">
        <f t="shared" si="383"/>
        <v>0</v>
      </c>
      <c r="S1177" s="162">
        <f t="shared" si="383"/>
        <v>0</v>
      </c>
      <c r="T1177" s="162">
        <f t="shared" si="383"/>
        <v>0</v>
      </c>
      <c r="U1177" s="162">
        <f t="shared" si="383"/>
        <v>0</v>
      </c>
      <c r="V1177" s="162">
        <f t="shared" si="383"/>
        <v>0</v>
      </c>
      <c r="W1177" s="162">
        <f t="shared" si="383"/>
        <v>0</v>
      </c>
      <c r="X1177" s="162">
        <f t="shared" si="383"/>
        <v>0</v>
      </c>
      <c r="Y1177" s="162">
        <f t="shared" si="383"/>
        <v>0</v>
      </c>
      <c r="Z1177" s="162">
        <f t="shared" si="383"/>
        <v>0</v>
      </c>
      <c r="AA1177" s="162">
        <f t="shared" si="383"/>
        <v>0</v>
      </c>
      <c r="AB1177" s="163">
        <f t="shared" si="376"/>
        <v>0</v>
      </c>
      <c r="AC1177" s="198"/>
      <c r="AE1177" s="194" t="str">
        <f t="shared" si="377"/>
        <v/>
      </c>
      <c r="AF1177" s="161">
        <f t="shared" si="384"/>
        <v>0</v>
      </c>
      <c r="AG1177" s="162">
        <f t="shared" si="384"/>
        <v>0</v>
      </c>
      <c r="AH1177" s="162">
        <f t="shared" si="384"/>
        <v>0</v>
      </c>
      <c r="AI1177" s="162">
        <f t="shared" si="384"/>
        <v>0</v>
      </c>
      <c r="AJ1177" s="162">
        <f t="shared" si="384"/>
        <v>0</v>
      </c>
      <c r="AK1177" s="162">
        <f t="shared" si="384"/>
        <v>0</v>
      </c>
      <c r="AL1177" s="162">
        <f t="shared" si="384"/>
        <v>0</v>
      </c>
      <c r="AM1177" s="162">
        <f t="shared" si="384"/>
        <v>0</v>
      </c>
      <c r="AN1177" s="162">
        <f t="shared" si="384"/>
        <v>0</v>
      </c>
      <c r="AO1177" s="162">
        <f t="shared" si="384"/>
        <v>0</v>
      </c>
      <c r="AP1177" s="162">
        <f t="shared" si="384"/>
        <v>0</v>
      </c>
      <c r="AQ1177" s="162">
        <f t="shared" si="384"/>
        <v>0</v>
      </c>
      <c r="AR1177" s="163">
        <f t="shared" si="379"/>
        <v>0</v>
      </c>
      <c r="AT1177" s="208">
        <f>IFERROR(VLOOKUP(J1177,#REF!,10,0),0)</f>
        <v>0</v>
      </c>
    </row>
    <row r="1178" spans="1:46" hidden="1" outlineLevel="1" x14ac:dyDescent="0.25">
      <c r="A1178" s="14" t="str">
        <f t="shared" si="370"/>
        <v>PROP_OPER__24</v>
      </c>
      <c r="B1178" s="15" t="str">
        <f t="shared" si="373"/>
        <v>PROP_OPER__0_0</v>
      </c>
      <c r="C1178" s="83"/>
      <c r="D1178" s="15">
        <v>1</v>
      </c>
      <c r="E1178" s="15">
        <v>24</v>
      </c>
      <c r="F1178" s="190">
        <f t="shared" si="382"/>
        <v>0</v>
      </c>
      <c r="G1178" s="149" t="str">
        <f t="shared" si="382"/>
        <v/>
      </c>
      <c r="H1178" s="150" t="str">
        <f t="shared" si="382"/>
        <v/>
      </c>
      <c r="I1178" s="150">
        <f t="shared" si="382"/>
        <v>0</v>
      </c>
      <c r="J1178" s="150">
        <f t="shared" si="382"/>
        <v>0</v>
      </c>
      <c r="K1178" s="196" t="str">
        <f t="shared" si="382"/>
        <v/>
      </c>
      <c r="L1178" s="197" t="str">
        <f t="shared" si="382"/>
        <v/>
      </c>
      <c r="M1178" s="191">
        <f t="shared" si="382"/>
        <v>0</v>
      </c>
      <c r="N1178" s="150">
        <f t="shared" si="382"/>
        <v>0</v>
      </c>
      <c r="O1178" s="193">
        <f t="shared" si="382"/>
        <v>0</v>
      </c>
      <c r="P1178" s="162">
        <f t="shared" si="383"/>
        <v>0</v>
      </c>
      <c r="Q1178" s="162">
        <f t="shared" si="383"/>
        <v>0</v>
      </c>
      <c r="R1178" s="162">
        <f t="shared" si="383"/>
        <v>0</v>
      </c>
      <c r="S1178" s="162">
        <f t="shared" si="383"/>
        <v>0</v>
      </c>
      <c r="T1178" s="162">
        <f t="shared" si="383"/>
        <v>0</v>
      </c>
      <c r="U1178" s="162">
        <f t="shared" si="383"/>
        <v>0</v>
      </c>
      <c r="V1178" s="162">
        <f t="shared" si="383"/>
        <v>0</v>
      </c>
      <c r="W1178" s="162">
        <f t="shared" si="383"/>
        <v>0</v>
      </c>
      <c r="X1178" s="162">
        <f t="shared" si="383"/>
        <v>0</v>
      </c>
      <c r="Y1178" s="162">
        <f t="shared" si="383"/>
        <v>0</v>
      </c>
      <c r="Z1178" s="162">
        <f t="shared" si="383"/>
        <v>0</v>
      </c>
      <c r="AA1178" s="162">
        <f t="shared" si="383"/>
        <v>0</v>
      </c>
      <c r="AB1178" s="163">
        <f t="shared" si="376"/>
        <v>0</v>
      </c>
      <c r="AC1178" s="198"/>
      <c r="AE1178" s="194" t="str">
        <f t="shared" si="377"/>
        <v/>
      </c>
      <c r="AF1178" s="161">
        <f t="shared" si="384"/>
        <v>0</v>
      </c>
      <c r="AG1178" s="162">
        <f t="shared" si="384"/>
        <v>0</v>
      </c>
      <c r="AH1178" s="162">
        <f t="shared" si="384"/>
        <v>0</v>
      </c>
      <c r="AI1178" s="162">
        <f t="shared" si="384"/>
        <v>0</v>
      </c>
      <c r="AJ1178" s="162">
        <f t="shared" si="384"/>
        <v>0</v>
      </c>
      <c r="AK1178" s="162">
        <f t="shared" si="384"/>
        <v>0</v>
      </c>
      <c r="AL1178" s="162">
        <f t="shared" si="384"/>
        <v>0</v>
      </c>
      <c r="AM1178" s="162">
        <f t="shared" si="384"/>
        <v>0</v>
      </c>
      <c r="AN1178" s="162">
        <f t="shared" si="384"/>
        <v>0</v>
      </c>
      <c r="AO1178" s="162">
        <f t="shared" si="384"/>
        <v>0</v>
      </c>
      <c r="AP1178" s="162">
        <f t="shared" si="384"/>
        <v>0</v>
      </c>
      <c r="AQ1178" s="162">
        <f t="shared" si="384"/>
        <v>0</v>
      </c>
      <c r="AR1178" s="163">
        <f t="shared" si="379"/>
        <v>0</v>
      </c>
      <c r="AT1178" s="208">
        <f>IFERROR(VLOOKUP(J1178,#REF!,10,0),0)</f>
        <v>0</v>
      </c>
    </row>
    <row r="1179" spans="1:46" hidden="1" outlineLevel="1" x14ac:dyDescent="0.25">
      <c r="A1179" s="14" t="str">
        <f t="shared" si="370"/>
        <v>PROP_OPER__25</v>
      </c>
      <c r="B1179" s="15" t="str">
        <f t="shared" si="373"/>
        <v>PROP_OPER__0_0</v>
      </c>
      <c r="C1179" s="83"/>
      <c r="D1179" s="15">
        <v>1</v>
      </c>
      <c r="E1179" s="15">
        <v>25</v>
      </c>
      <c r="F1179" s="190">
        <f t="shared" si="382"/>
        <v>0</v>
      </c>
      <c r="G1179" s="149" t="str">
        <f t="shared" si="382"/>
        <v/>
      </c>
      <c r="H1179" s="150" t="str">
        <f t="shared" si="382"/>
        <v/>
      </c>
      <c r="I1179" s="150">
        <f t="shared" si="382"/>
        <v>0</v>
      </c>
      <c r="J1179" s="150">
        <f t="shared" si="382"/>
        <v>0</v>
      </c>
      <c r="K1179" s="196" t="str">
        <f t="shared" si="382"/>
        <v/>
      </c>
      <c r="L1179" s="197" t="str">
        <f t="shared" si="382"/>
        <v/>
      </c>
      <c r="M1179" s="191">
        <f t="shared" si="382"/>
        <v>0</v>
      </c>
      <c r="N1179" s="150">
        <f t="shared" si="382"/>
        <v>0</v>
      </c>
      <c r="O1179" s="193">
        <f t="shared" si="382"/>
        <v>0</v>
      </c>
      <c r="P1179" s="162">
        <f t="shared" si="383"/>
        <v>0</v>
      </c>
      <c r="Q1179" s="162">
        <f t="shared" si="383"/>
        <v>0</v>
      </c>
      <c r="R1179" s="162">
        <f t="shared" si="383"/>
        <v>0</v>
      </c>
      <c r="S1179" s="162">
        <f t="shared" si="383"/>
        <v>0</v>
      </c>
      <c r="T1179" s="162">
        <f t="shared" si="383"/>
        <v>0</v>
      </c>
      <c r="U1179" s="162">
        <f t="shared" si="383"/>
        <v>0</v>
      </c>
      <c r="V1179" s="162">
        <f t="shared" si="383"/>
        <v>0</v>
      </c>
      <c r="W1179" s="162">
        <f t="shared" si="383"/>
        <v>0</v>
      </c>
      <c r="X1179" s="162">
        <f t="shared" si="383"/>
        <v>0</v>
      </c>
      <c r="Y1179" s="162">
        <f t="shared" si="383"/>
        <v>0</v>
      </c>
      <c r="Z1179" s="162">
        <f t="shared" si="383"/>
        <v>0</v>
      </c>
      <c r="AA1179" s="162">
        <f t="shared" si="383"/>
        <v>0</v>
      </c>
      <c r="AB1179" s="163">
        <f t="shared" si="376"/>
        <v>0</v>
      </c>
      <c r="AC1179" s="198"/>
      <c r="AE1179" s="194" t="str">
        <f t="shared" si="377"/>
        <v/>
      </c>
      <c r="AF1179" s="161">
        <f t="shared" si="384"/>
        <v>0</v>
      </c>
      <c r="AG1179" s="162">
        <f t="shared" si="384"/>
        <v>0</v>
      </c>
      <c r="AH1179" s="162">
        <f t="shared" si="384"/>
        <v>0</v>
      </c>
      <c r="AI1179" s="162">
        <f t="shared" si="384"/>
        <v>0</v>
      </c>
      <c r="AJ1179" s="162">
        <f t="shared" si="384"/>
        <v>0</v>
      </c>
      <c r="AK1179" s="162">
        <f t="shared" si="384"/>
        <v>0</v>
      </c>
      <c r="AL1179" s="162">
        <f t="shared" si="384"/>
        <v>0</v>
      </c>
      <c r="AM1179" s="162">
        <f t="shared" si="384"/>
        <v>0</v>
      </c>
      <c r="AN1179" s="162">
        <f t="shared" si="384"/>
        <v>0</v>
      </c>
      <c r="AO1179" s="162">
        <f t="shared" si="384"/>
        <v>0</v>
      </c>
      <c r="AP1179" s="162">
        <f t="shared" si="384"/>
        <v>0</v>
      </c>
      <c r="AQ1179" s="162">
        <f t="shared" si="384"/>
        <v>0</v>
      </c>
      <c r="AR1179" s="163">
        <f t="shared" si="379"/>
        <v>0</v>
      </c>
      <c r="AT1179" s="208">
        <f>IFERROR(VLOOKUP(J1179,#REF!,10,0),0)</f>
        <v>0</v>
      </c>
    </row>
    <row r="1180" spans="1:46" hidden="1" outlineLevel="1" x14ac:dyDescent="0.25">
      <c r="A1180" s="14" t="str">
        <f t="shared" si="370"/>
        <v>PROP_OPER__26</v>
      </c>
      <c r="B1180" s="15" t="str">
        <f t="shared" si="373"/>
        <v>PROP_OPER__0_0</v>
      </c>
      <c r="C1180" s="83"/>
      <c r="D1180" s="15">
        <v>1</v>
      </c>
      <c r="E1180" s="15">
        <v>26</v>
      </c>
      <c r="F1180" s="190">
        <f t="shared" si="382"/>
        <v>0</v>
      </c>
      <c r="G1180" s="149" t="str">
        <f t="shared" si="382"/>
        <v/>
      </c>
      <c r="H1180" s="150" t="str">
        <f t="shared" si="382"/>
        <v/>
      </c>
      <c r="I1180" s="150">
        <f t="shared" si="382"/>
        <v>0</v>
      </c>
      <c r="J1180" s="150">
        <f t="shared" si="382"/>
        <v>0</v>
      </c>
      <c r="K1180" s="196" t="str">
        <f t="shared" si="382"/>
        <v/>
      </c>
      <c r="L1180" s="197" t="str">
        <f t="shared" si="382"/>
        <v/>
      </c>
      <c r="M1180" s="191">
        <f t="shared" si="382"/>
        <v>0</v>
      </c>
      <c r="N1180" s="150">
        <f t="shared" si="382"/>
        <v>0</v>
      </c>
      <c r="O1180" s="193">
        <f t="shared" si="382"/>
        <v>0</v>
      </c>
      <c r="P1180" s="162">
        <f t="shared" si="383"/>
        <v>0</v>
      </c>
      <c r="Q1180" s="162">
        <f t="shared" si="383"/>
        <v>0</v>
      </c>
      <c r="R1180" s="162">
        <f t="shared" si="383"/>
        <v>0</v>
      </c>
      <c r="S1180" s="162">
        <f t="shared" si="383"/>
        <v>0</v>
      </c>
      <c r="T1180" s="162">
        <f t="shared" si="383"/>
        <v>0</v>
      </c>
      <c r="U1180" s="162">
        <f t="shared" si="383"/>
        <v>0</v>
      </c>
      <c r="V1180" s="162">
        <f t="shared" si="383"/>
        <v>0</v>
      </c>
      <c r="W1180" s="162">
        <f t="shared" si="383"/>
        <v>0</v>
      </c>
      <c r="X1180" s="162">
        <f t="shared" si="383"/>
        <v>0</v>
      </c>
      <c r="Y1180" s="162">
        <f t="shared" si="383"/>
        <v>0</v>
      </c>
      <c r="Z1180" s="162">
        <f t="shared" si="383"/>
        <v>0</v>
      </c>
      <c r="AA1180" s="162">
        <f t="shared" si="383"/>
        <v>0</v>
      </c>
      <c r="AB1180" s="163">
        <f t="shared" si="376"/>
        <v>0</v>
      </c>
      <c r="AC1180" s="198"/>
      <c r="AE1180" s="194" t="str">
        <f t="shared" si="377"/>
        <v/>
      </c>
      <c r="AF1180" s="161">
        <f t="shared" si="384"/>
        <v>0</v>
      </c>
      <c r="AG1180" s="162">
        <f t="shared" si="384"/>
        <v>0</v>
      </c>
      <c r="AH1180" s="162">
        <f t="shared" si="384"/>
        <v>0</v>
      </c>
      <c r="AI1180" s="162">
        <f t="shared" si="384"/>
        <v>0</v>
      </c>
      <c r="AJ1180" s="162">
        <f t="shared" si="384"/>
        <v>0</v>
      </c>
      <c r="AK1180" s="162">
        <f t="shared" si="384"/>
        <v>0</v>
      </c>
      <c r="AL1180" s="162">
        <f t="shared" si="384"/>
        <v>0</v>
      </c>
      <c r="AM1180" s="162">
        <f t="shared" si="384"/>
        <v>0</v>
      </c>
      <c r="AN1180" s="162">
        <f t="shared" si="384"/>
        <v>0</v>
      </c>
      <c r="AO1180" s="162">
        <f t="shared" si="384"/>
        <v>0</v>
      </c>
      <c r="AP1180" s="162">
        <f t="shared" si="384"/>
        <v>0</v>
      </c>
      <c r="AQ1180" s="162">
        <f t="shared" si="384"/>
        <v>0</v>
      </c>
      <c r="AR1180" s="163">
        <f t="shared" si="379"/>
        <v>0</v>
      </c>
      <c r="AT1180" s="208">
        <f>IFERROR(VLOOKUP(J1180,#REF!,10,0),0)</f>
        <v>0</v>
      </c>
    </row>
    <row r="1181" spans="1:46" hidden="1" outlineLevel="1" x14ac:dyDescent="0.25">
      <c r="A1181" s="14" t="str">
        <f t="shared" si="370"/>
        <v>PROP_OPER__27</v>
      </c>
      <c r="B1181" s="15" t="str">
        <f t="shared" si="373"/>
        <v>PROP_OPER__0_0</v>
      </c>
      <c r="C1181" s="83"/>
      <c r="D1181" s="15">
        <v>1</v>
      </c>
      <c r="E1181" s="15">
        <v>27</v>
      </c>
      <c r="F1181" s="190">
        <f t="shared" si="382"/>
        <v>0</v>
      </c>
      <c r="G1181" s="149" t="str">
        <f t="shared" si="382"/>
        <v/>
      </c>
      <c r="H1181" s="150" t="str">
        <f t="shared" si="382"/>
        <v/>
      </c>
      <c r="I1181" s="150">
        <f t="shared" si="382"/>
        <v>0</v>
      </c>
      <c r="J1181" s="150">
        <f t="shared" si="382"/>
        <v>0</v>
      </c>
      <c r="K1181" s="196" t="str">
        <f t="shared" si="382"/>
        <v/>
      </c>
      <c r="L1181" s="197" t="str">
        <f t="shared" si="382"/>
        <v/>
      </c>
      <c r="M1181" s="191">
        <f t="shared" si="382"/>
        <v>0</v>
      </c>
      <c r="N1181" s="150">
        <f t="shared" si="382"/>
        <v>0</v>
      </c>
      <c r="O1181" s="193">
        <f t="shared" si="382"/>
        <v>0</v>
      </c>
      <c r="P1181" s="162">
        <f t="shared" si="383"/>
        <v>0</v>
      </c>
      <c r="Q1181" s="162">
        <f t="shared" si="383"/>
        <v>0</v>
      </c>
      <c r="R1181" s="162">
        <f t="shared" si="383"/>
        <v>0</v>
      </c>
      <c r="S1181" s="162">
        <f t="shared" si="383"/>
        <v>0</v>
      </c>
      <c r="T1181" s="162">
        <f t="shared" si="383"/>
        <v>0</v>
      </c>
      <c r="U1181" s="162">
        <f t="shared" si="383"/>
        <v>0</v>
      </c>
      <c r="V1181" s="162">
        <f t="shared" si="383"/>
        <v>0</v>
      </c>
      <c r="W1181" s="162">
        <f t="shared" si="383"/>
        <v>0</v>
      </c>
      <c r="X1181" s="162">
        <f t="shared" si="383"/>
        <v>0</v>
      </c>
      <c r="Y1181" s="162">
        <f t="shared" si="383"/>
        <v>0</v>
      </c>
      <c r="Z1181" s="162">
        <f t="shared" si="383"/>
        <v>0</v>
      </c>
      <c r="AA1181" s="162">
        <f t="shared" si="383"/>
        <v>0</v>
      </c>
      <c r="AB1181" s="163">
        <f t="shared" si="376"/>
        <v>0</v>
      </c>
      <c r="AC1181" s="198"/>
      <c r="AE1181" s="194" t="str">
        <f t="shared" si="377"/>
        <v/>
      </c>
      <c r="AF1181" s="161">
        <f t="shared" si="384"/>
        <v>0</v>
      </c>
      <c r="AG1181" s="162">
        <f t="shared" si="384"/>
        <v>0</v>
      </c>
      <c r="AH1181" s="162">
        <f t="shared" si="384"/>
        <v>0</v>
      </c>
      <c r="AI1181" s="162">
        <f t="shared" si="384"/>
        <v>0</v>
      </c>
      <c r="AJ1181" s="162">
        <f t="shared" si="384"/>
        <v>0</v>
      </c>
      <c r="AK1181" s="162">
        <f t="shared" si="384"/>
        <v>0</v>
      </c>
      <c r="AL1181" s="162">
        <f t="shared" si="384"/>
        <v>0</v>
      </c>
      <c r="AM1181" s="162">
        <f t="shared" si="384"/>
        <v>0</v>
      </c>
      <c r="AN1181" s="162">
        <f t="shared" si="384"/>
        <v>0</v>
      </c>
      <c r="AO1181" s="162">
        <f t="shared" si="384"/>
        <v>0</v>
      </c>
      <c r="AP1181" s="162">
        <f t="shared" si="384"/>
        <v>0</v>
      </c>
      <c r="AQ1181" s="162">
        <f t="shared" si="384"/>
        <v>0</v>
      </c>
      <c r="AR1181" s="163">
        <f t="shared" si="379"/>
        <v>0</v>
      </c>
      <c r="AT1181" s="208">
        <f>IFERROR(VLOOKUP(J1181,#REF!,10,0),0)</f>
        <v>0</v>
      </c>
    </row>
    <row r="1182" spans="1:46" hidden="1" outlineLevel="1" x14ac:dyDescent="0.25">
      <c r="A1182" s="14" t="str">
        <f t="shared" si="370"/>
        <v>PROP_OPER__28</v>
      </c>
      <c r="B1182" s="15" t="str">
        <f t="shared" si="373"/>
        <v>PROP_OPER__0_0</v>
      </c>
      <c r="C1182" s="83"/>
      <c r="D1182" s="15">
        <v>1</v>
      </c>
      <c r="E1182" s="15">
        <v>28</v>
      </c>
      <c r="F1182" s="190">
        <f t="shared" si="382"/>
        <v>0</v>
      </c>
      <c r="G1182" s="149" t="str">
        <f t="shared" si="382"/>
        <v/>
      </c>
      <c r="H1182" s="150" t="str">
        <f t="shared" si="382"/>
        <v/>
      </c>
      <c r="I1182" s="150">
        <f t="shared" si="382"/>
        <v>0</v>
      </c>
      <c r="J1182" s="150">
        <f t="shared" si="382"/>
        <v>0</v>
      </c>
      <c r="K1182" s="196" t="str">
        <f t="shared" si="382"/>
        <v/>
      </c>
      <c r="L1182" s="197" t="str">
        <f t="shared" si="382"/>
        <v/>
      </c>
      <c r="M1182" s="191">
        <f t="shared" si="382"/>
        <v>0</v>
      </c>
      <c r="N1182" s="150">
        <f t="shared" si="382"/>
        <v>0</v>
      </c>
      <c r="O1182" s="193">
        <f t="shared" si="382"/>
        <v>0</v>
      </c>
      <c r="P1182" s="162">
        <f t="shared" si="383"/>
        <v>0</v>
      </c>
      <c r="Q1182" s="162">
        <f t="shared" si="383"/>
        <v>0</v>
      </c>
      <c r="R1182" s="162">
        <f t="shared" si="383"/>
        <v>0</v>
      </c>
      <c r="S1182" s="162">
        <f t="shared" si="383"/>
        <v>0</v>
      </c>
      <c r="T1182" s="162">
        <f t="shared" si="383"/>
        <v>0</v>
      </c>
      <c r="U1182" s="162">
        <f t="shared" si="383"/>
        <v>0</v>
      </c>
      <c r="V1182" s="162">
        <f t="shared" si="383"/>
        <v>0</v>
      </c>
      <c r="W1182" s="162">
        <f t="shared" si="383"/>
        <v>0</v>
      </c>
      <c r="X1182" s="162">
        <f t="shared" si="383"/>
        <v>0</v>
      </c>
      <c r="Y1182" s="162">
        <f t="shared" si="383"/>
        <v>0</v>
      </c>
      <c r="Z1182" s="162">
        <f t="shared" si="383"/>
        <v>0</v>
      </c>
      <c r="AA1182" s="162">
        <f t="shared" si="383"/>
        <v>0</v>
      </c>
      <c r="AB1182" s="163">
        <f t="shared" si="376"/>
        <v>0</v>
      </c>
      <c r="AC1182" s="198"/>
      <c r="AE1182" s="194" t="str">
        <f t="shared" si="377"/>
        <v/>
      </c>
      <c r="AF1182" s="161">
        <f t="shared" si="384"/>
        <v>0</v>
      </c>
      <c r="AG1182" s="162">
        <f t="shared" si="384"/>
        <v>0</v>
      </c>
      <c r="AH1182" s="162">
        <f t="shared" si="384"/>
        <v>0</v>
      </c>
      <c r="AI1182" s="162">
        <f t="shared" si="384"/>
        <v>0</v>
      </c>
      <c r="AJ1182" s="162">
        <f t="shared" si="384"/>
        <v>0</v>
      </c>
      <c r="AK1182" s="162">
        <f t="shared" si="384"/>
        <v>0</v>
      </c>
      <c r="AL1182" s="162">
        <f t="shared" si="384"/>
        <v>0</v>
      </c>
      <c r="AM1182" s="162">
        <f t="shared" si="384"/>
        <v>0</v>
      </c>
      <c r="AN1182" s="162">
        <f t="shared" si="384"/>
        <v>0</v>
      </c>
      <c r="AO1182" s="162">
        <f t="shared" si="384"/>
        <v>0</v>
      </c>
      <c r="AP1182" s="162">
        <f t="shared" si="384"/>
        <v>0</v>
      </c>
      <c r="AQ1182" s="162">
        <f t="shared" si="384"/>
        <v>0</v>
      </c>
      <c r="AR1182" s="163">
        <f t="shared" si="379"/>
        <v>0</v>
      </c>
      <c r="AT1182" s="208">
        <f>IFERROR(VLOOKUP(J1182,#REF!,10,0),0)</f>
        <v>0</v>
      </c>
    </row>
    <row r="1183" spans="1:46" hidden="1" outlineLevel="1" x14ac:dyDescent="0.25">
      <c r="A1183" s="14" t="str">
        <f t="shared" si="370"/>
        <v>PROP_OPER__29</v>
      </c>
      <c r="B1183" s="15" t="str">
        <f t="shared" si="373"/>
        <v>PROP_OPER__0_0</v>
      </c>
      <c r="C1183" s="83"/>
      <c r="D1183" s="15">
        <v>1</v>
      </c>
      <c r="E1183" s="15">
        <v>29</v>
      </c>
      <c r="F1183" s="190">
        <f t="shared" si="382"/>
        <v>0</v>
      </c>
      <c r="G1183" s="149" t="str">
        <f t="shared" si="382"/>
        <v/>
      </c>
      <c r="H1183" s="150" t="str">
        <f t="shared" si="382"/>
        <v/>
      </c>
      <c r="I1183" s="150">
        <f t="shared" si="382"/>
        <v>0</v>
      </c>
      <c r="J1183" s="150">
        <f t="shared" si="382"/>
        <v>0</v>
      </c>
      <c r="K1183" s="196" t="str">
        <f t="shared" si="382"/>
        <v/>
      </c>
      <c r="L1183" s="197" t="str">
        <f t="shared" si="382"/>
        <v/>
      </c>
      <c r="M1183" s="191">
        <f t="shared" si="382"/>
        <v>0</v>
      </c>
      <c r="N1183" s="150">
        <f t="shared" si="382"/>
        <v>0</v>
      </c>
      <c r="O1183" s="193">
        <f t="shared" si="382"/>
        <v>0</v>
      </c>
      <c r="P1183" s="162">
        <f t="shared" si="383"/>
        <v>0</v>
      </c>
      <c r="Q1183" s="162">
        <f t="shared" si="383"/>
        <v>0</v>
      </c>
      <c r="R1183" s="162">
        <f t="shared" si="383"/>
        <v>0</v>
      </c>
      <c r="S1183" s="162">
        <f t="shared" si="383"/>
        <v>0</v>
      </c>
      <c r="T1183" s="162">
        <f t="shared" si="383"/>
        <v>0</v>
      </c>
      <c r="U1183" s="162">
        <f t="shared" si="383"/>
        <v>0</v>
      </c>
      <c r="V1183" s="162">
        <f t="shared" si="383"/>
        <v>0</v>
      </c>
      <c r="W1183" s="162">
        <f t="shared" si="383"/>
        <v>0</v>
      </c>
      <c r="X1183" s="162">
        <f t="shared" si="383"/>
        <v>0</v>
      </c>
      <c r="Y1183" s="162">
        <f t="shared" si="383"/>
        <v>0</v>
      </c>
      <c r="Z1183" s="162">
        <f t="shared" si="383"/>
        <v>0</v>
      </c>
      <c r="AA1183" s="162">
        <f t="shared" si="383"/>
        <v>0</v>
      </c>
      <c r="AB1183" s="163">
        <f t="shared" si="376"/>
        <v>0</v>
      </c>
      <c r="AC1183" s="198"/>
      <c r="AE1183" s="194" t="str">
        <f t="shared" si="377"/>
        <v/>
      </c>
      <c r="AF1183" s="161">
        <f t="shared" si="384"/>
        <v>0</v>
      </c>
      <c r="AG1183" s="162">
        <f t="shared" si="384"/>
        <v>0</v>
      </c>
      <c r="AH1183" s="162">
        <f t="shared" si="384"/>
        <v>0</v>
      </c>
      <c r="AI1183" s="162">
        <f t="shared" si="384"/>
        <v>0</v>
      </c>
      <c r="AJ1183" s="162">
        <f t="shared" si="384"/>
        <v>0</v>
      </c>
      <c r="AK1183" s="162">
        <f t="shared" si="384"/>
        <v>0</v>
      </c>
      <c r="AL1183" s="162">
        <f t="shared" si="384"/>
        <v>0</v>
      </c>
      <c r="AM1183" s="162">
        <f t="shared" si="384"/>
        <v>0</v>
      </c>
      <c r="AN1183" s="162">
        <f t="shared" si="384"/>
        <v>0</v>
      </c>
      <c r="AO1183" s="162">
        <f t="shared" si="384"/>
        <v>0</v>
      </c>
      <c r="AP1183" s="162">
        <f t="shared" si="384"/>
        <v>0</v>
      </c>
      <c r="AQ1183" s="162">
        <f t="shared" si="384"/>
        <v>0</v>
      </c>
      <c r="AR1183" s="163">
        <f t="shared" si="379"/>
        <v>0</v>
      </c>
      <c r="AT1183" s="208">
        <f>IFERROR(VLOOKUP(J1183,#REF!,10,0),0)</f>
        <v>0</v>
      </c>
    </row>
    <row r="1184" spans="1:46" hidden="1" outlineLevel="1" x14ac:dyDescent="0.25">
      <c r="A1184" s="14" t="str">
        <f t="shared" si="370"/>
        <v>PROP_OPER__30</v>
      </c>
      <c r="B1184" s="15" t="str">
        <f t="shared" si="373"/>
        <v>PROP_OPER__0_0</v>
      </c>
      <c r="C1184" s="83"/>
      <c r="D1184" s="15">
        <v>1</v>
      </c>
      <c r="E1184" s="15">
        <v>30</v>
      </c>
      <c r="F1184" s="190">
        <f t="shared" si="382"/>
        <v>0</v>
      </c>
      <c r="G1184" s="149" t="str">
        <f t="shared" si="382"/>
        <v/>
      </c>
      <c r="H1184" s="150" t="str">
        <f t="shared" si="382"/>
        <v/>
      </c>
      <c r="I1184" s="150">
        <f t="shared" si="382"/>
        <v>0</v>
      </c>
      <c r="J1184" s="150">
        <f t="shared" si="382"/>
        <v>0</v>
      </c>
      <c r="K1184" s="196" t="str">
        <f t="shared" si="382"/>
        <v/>
      </c>
      <c r="L1184" s="197" t="str">
        <f t="shared" si="382"/>
        <v/>
      </c>
      <c r="M1184" s="191">
        <f t="shared" si="382"/>
        <v>0</v>
      </c>
      <c r="N1184" s="150">
        <f t="shared" si="382"/>
        <v>0</v>
      </c>
      <c r="O1184" s="193">
        <f t="shared" si="382"/>
        <v>0</v>
      </c>
      <c r="P1184" s="162">
        <f t="shared" si="383"/>
        <v>0</v>
      </c>
      <c r="Q1184" s="162">
        <f t="shared" si="383"/>
        <v>0</v>
      </c>
      <c r="R1184" s="162">
        <f t="shared" si="383"/>
        <v>0</v>
      </c>
      <c r="S1184" s="162">
        <f t="shared" si="383"/>
        <v>0</v>
      </c>
      <c r="T1184" s="162">
        <f t="shared" si="383"/>
        <v>0</v>
      </c>
      <c r="U1184" s="162">
        <f t="shared" si="383"/>
        <v>0</v>
      </c>
      <c r="V1184" s="162">
        <f t="shared" si="383"/>
        <v>0</v>
      </c>
      <c r="W1184" s="162">
        <f t="shared" si="383"/>
        <v>0</v>
      </c>
      <c r="X1184" s="162">
        <f t="shared" si="383"/>
        <v>0</v>
      </c>
      <c r="Y1184" s="162">
        <f t="shared" si="383"/>
        <v>0</v>
      </c>
      <c r="Z1184" s="162">
        <f t="shared" si="383"/>
        <v>0</v>
      </c>
      <c r="AA1184" s="162">
        <f t="shared" si="383"/>
        <v>0</v>
      </c>
      <c r="AB1184" s="163">
        <f t="shared" si="376"/>
        <v>0</v>
      </c>
      <c r="AC1184" s="198"/>
      <c r="AE1184" s="194" t="str">
        <f t="shared" si="377"/>
        <v/>
      </c>
      <c r="AF1184" s="161">
        <f t="shared" si="384"/>
        <v>0</v>
      </c>
      <c r="AG1184" s="162">
        <f t="shared" si="384"/>
        <v>0</v>
      </c>
      <c r="AH1184" s="162">
        <f t="shared" si="384"/>
        <v>0</v>
      </c>
      <c r="AI1184" s="162">
        <f t="shared" si="384"/>
        <v>0</v>
      </c>
      <c r="AJ1184" s="162">
        <f t="shared" si="384"/>
        <v>0</v>
      </c>
      <c r="AK1184" s="162">
        <f t="shared" si="384"/>
        <v>0</v>
      </c>
      <c r="AL1184" s="162">
        <f t="shared" si="384"/>
        <v>0</v>
      </c>
      <c r="AM1184" s="162">
        <f t="shared" si="384"/>
        <v>0</v>
      </c>
      <c r="AN1184" s="162">
        <f t="shared" si="384"/>
        <v>0</v>
      </c>
      <c r="AO1184" s="162">
        <f t="shared" si="384"/>
        <v>0</v>
      </c>
      <c r="AP1184" s="162">
        <f t="shared" si="384"/>
        <v>0</v>
      </c>
      <c r="AQ1184" s="162">
        <f t="shared" si="384"/>
        <v>0</v>
      </c>
      <c r="AR1184" s="163">
        <f t="shared" si="379"/>
        <v>0</v>
      </c>
      <c r="AT1184" s="208">
        <f>IFERROR(VLOOKUP(J1184,#REF!,10,0),0)</f>
        <v>0</v>
      </c>
    </row>
    <row r="1185" spans="1:46" hidden="1" outlineLevel="1" x14ac:dyDescent="0.25">
      <c r="A1185" s="14" t="str">
        <f t="shared" si="370"/>
        <v>PROP_OPER__31</v>
      </c>
      <c r="B1185" s="15" t="str">
        <f t="shared" si="373"/>
        <v>PROP_OPER__0_0</v>
      </c>
      <c r="C1185" s="83"/>
      <c r="D1185" s="15">
        <v>1</v>
      </c>
      <c r="E1185" s="15">
        <v>31</v>
      </c>
      <c r="F1185" s="190">
        <f t="shared" si="382"/>
        <v>0</v>
      </c>
      <c r="G1185" s="149" t="str">
        <f t="shared" si="382"/>
        <v/>
      </c>
      <c r="H1185" s="150" t="str">
        <f t="shared" si="382"/>
        <v/>
      </c>
      <c r="I1185" s="150">
        <f t="shared" si="382"/>
        <v>0</v>
      </c>
      <c r="J1185" s="150">
        <f t="shared" si="382"/>
        <v>0</v>
      </c>
      <c r="K1185" s="196" t="str">
        <f t="shared" si="382"/>
        <v/>
      </c>
      <c r="L1185" s="197" t="str">
        <f t="shared" si="382"/>
        <v/>
      </c>
      <c r="M1185" s="191">
        <f t="shared" si="382"/>
        <v>0</v>
      </c>
      <c r="N1185" s="150">
        <f t="shared" si="382"/>
        <v>0</v>
      </c>
      <c r="O1185" s="193">
        <f t="shared" si="382"/>
        <v>0</v>
      </c>
      <c r="P1185" s="162">
        <f t="shared" si="383"/>
        <v>0</v>
      </c>
      <c r="Q1185" s="162">
        <f t="shared" si="383"/>
        <v>0</v>
      </c>
      <c r="R1185" s="162">
        <f t="shared" si="383"/>
        <v>0</v>
      </c>
      <c r="S1185" s="162">
        <f t="shared" si="383"/>
        <v>0</v>
      </c>
      <c r="T1185" s="162">
        <f t="shared" si="383"/>
        <v>0</v>
      </c>
      <c r="U1185" s="162">
        <f t="shared" si="383"/>
        <v>0</v>
      </c>
      <c r="V1185" s="162">
        <f t="shared" si="383"/>
        <v>0</v>
      </c>
      <c r="W1185" s="162">
        <f t="shared" si="383"/>
        <v>0</v>
      </c>
      <c r="X1185" s="162">
        <f t="shared" si="383"/>
        <v>0</v>
      </c>
      <c r="Y1185" s="162">
        <f t="shared" si="383"/>
        <v>0</v>
      </c>
      <c r="Z1185" s="162">
        <f t="shared" si="383"/>
        <v>0</v>
      </c>
      <c r="AA1185" s="162">
        <f t="shared" si="383"/>
        <v>0</v>
      </c>
      <c r="AB1185" s="163">
        <f t="shared" si="376"/>
        <v>0</v>
      </c>
      <c r="AC1185" s="198"/>
      <c r="AE1185" s="194" t="str">
        <f t="shared" si="377"/>
        <v/>
      </c>
      <c r="AF1185" s="161">
        <f t="shared" si="384"/>
        <v>0</v>
      </c>
      <c r="AG1185" s="162">
        <f t="shared" si="384"/>
        <v>0</v>
      </c>
      <c r="AH1185" s="162">
        <f t="shared" si="384"/>
        <v>0</v>
      </c>
      <c r="AI1185" s="162">
        <f t="shared" si="384"/>
        <v>0</v>
      </c>
      <c r="AJ1185" s="162">
        <f t="shared" si="384"/>
        <v>0</v>
      </c>
      <c r="AK1185" s="162">
        <f t="shared" si="384"/>
        <v>0</v>
      </c>
      <c r="AL1185" s="162">
        <f t="shared" si="384"/>
        <v>0</v>
      </c>
      <c r="AM1185" s="162">
        <f t="shared" si="384"/>
        <v>0</v>
      </c>
      <c r="AN1185" s="162">
        <f t="shared" si="384"/>
        <v>0</v>
      </c>
      <c r="AO1185" s="162">
        <f t="shared" si="384"/>
        <v>0</v>
      </c>
      <c r="AP1185" s="162">
        <f t="shared" si="384"/>
        <v>0</v>
      </c>
      <c r="AQ1185" s="162">
        <f t="shared" si="384"/>
        <v>0</v>
      </c>
      <c r="AR1185" s="163">
        <f t="shared" si="379"/>
        <v>0</v>
      </c>
      <c r="AT1185" s="208">
        <f>IFERROR(VLOOKUP(J1185,#REF!,10,0),0)</f>
        <v>0</v>
      </c>
    </row>
    <row r="1186" spans="1:46" hidden="1" outlineLevel="1" x14ac:dyDescent="0.25">
      <c r="A1186" s="14" t="str">
        <f t="shared" si="370"/>
        <v>PROP_OPER__32</v>
      </c>
      <c r="B1186" s="15" t="str">
        <f t="shared" si="373"/>
        <v>PROP_OPER__0_0</v>
      </c>
      <c r="C1186" s="83"/>
      <c r="D1186" s="15">
        <v>1</v>
      </c>
      <c r="E1186" s="15">
        <v>32</v>
      </c>
      <c r="F1186" s="190">
        <f t="shared" si="382"/>
        <v>0</v>
      </c>
      <c r="G1186" s="149" t="str">
        <f t="shared" si="382"/>
        <v/>
      </c>
      <c r="H1186" s="150" t="str">
        <f t="shared" si="382"/>
        <v/>
      </c>
      <c r="I1186" s="150">
        <f t="shared" si="382"/>
        <v>0</v>
      </c>
      <c r="J1186" s="150">
        <f t="shared" si="382"/>
        <v>0</v>
      </c>
      <c r="K1186" s="196" t="str">
        <f t="shared" si="382"/>
        <v/>
      </c>
      <c r="L1186" s="197" t="str">
        <f t="shared" si="382"/>
        <v/>
      </c>
      <c r="M1186" s="191">
        <f t="shared" si="382"/>
        <v>0</v>
      </c>
      <c r="N1186" s="150">
        <f t="shared" si="382"/>
        <v>0</v>
      </c>
      <c r="O1186" s="193">
        <f t="shared" si="382"/>
        <v>0</v>
      </c>
      <c r="P1186" s="162">
        <f t="shared" si="383"/>
        <v>0</v>
      </c>
      <c r="Q1186" s="162">
        <f t="shared" si="383"/>
        <v>0</v>
      </c>
      <c r="R1186" s="162">
        <f t="shared" si="383"/>
        <v>0</v>
      </c>
      <c r="S1186" s="162">
        <f t="shared" si="383"/>
        <v>0</v>
      </c>
      <c r="T1186" s="162">
        <f t="shared" si="383"/>
        <v>0</v>
      </c>
      <c r="U1186" s="162">
        <f t="shared" si="383"/>
        <v>0</v>
      </c>
      <c r="V1186" s="162">
        <f t="shared" si="383"/>
        <v>0</v>
      </c>
      <c r="W1186" s="162">
        <f t="shared" si="383"/>
        <v>0</v>
      </c>
      <c r="X1186" s="162">
        <f t="shared" si="383"/>
        <v>0</v>
      </c>
      <c r="Y1186" s="162">
        <f t="shared" si="383"/>
        <v>0</v>
      </c>
      <c r="Z1186" s="162">
        <f t="shared" si="383"/>
        <v>0</v>
      </c>
      <c r="AA1186" s="162">
        <f t="shared" si="383"/>
        <v>0</v>
      </c>
      <c r="AB1186" s="163">
        <f t="shared" si="376"/>
        <v>0</v>
      </c>
      <c r="AC1186" s="198"/>
      <c r="AE1186" s="194" t="str">
        <f t="shared" si="377"/>
        <v/>
      </c>
      <c r="AF1186" s="161">
        <f t="shared" si="384"/>
        <v>0</v>
      </c>
      <c r="AG1186" s="162">
        <f t="shared" si="384"/>
        <v>0</v>
      </c>
      <c r="AH1186" s="162">
        <f t="shared" si="384"/>
        <v>0</v>
      </c>
      <c r="AI1186" s="162">
        <f t="shared" si="384"/>
        <v>0</v>
      </c>
      <c r="AJ1186" s="162">
        <f t="shared" si="384"/>
        <v>0</v>
      </c>
      <c r="AK1186" s="162">
        <f t="shared" si="384"/>
        <v>0</v>
      </c>
      <c r="AL1186" s="162">
        <f t="shared" si="384"/>
        <v>0</v>
      </c>
      <c r="AM1186" s="162">
        <f t="shared" si="384"/>
        <v>0</v>
      </c>
      <c r="AN1186" s="162">
        <f t="shared" si="384"/>
        <v>0</v>
      </c>
      <c r="AO1186" s="162">
        <f t="shared" si="384"/>
        <v>0</v>
      </c>
      <c r="AP1186" s="162">
        <f t="shared" si="384"/>
        <v>0</v>
      </c>
      <c r="AQ1186" s="162">
        <f t="shared" si="384"/>
        <v>0</v>
      </c>
      <c r="AR1186" s="163">
        <f t="shared" si="379"/>
        <v>0</v>
      </c>
      <c r="AT1186" s="208">
        <f>IFERROR(VLOOKUP(J1186,#REF!,10,0),0)</f>
        <v>0</v>
      </c>
    </row>
    <row r="1187" spans="1:46" hidden="1" outlineLevel="1" x14ac:dyDescent="0.25">
      <c r="A1187" s="14" t="str">
        <f t="shared" si="370"/>
        <v>PROP_OPER__33</v>
      </c>
      <c r="B1187" s="15" t="str">
        <f t="shared" si="373"/>
        <v>PROP_OPER__0_0</v>
      </c>
      <c r="C1187" s="83"/>
      <c r="D1187" s="15">
        <v>1</v>
      </c>
      <c r="E1187" s="15">
        <v>33</v>
      </c>
      <c r="F1187" s="190">
        <f t="shared" si="382"/>
        <v>0</v>
      </c>
      <c r="G1187" s="149" t="str">
        <f t="shared" si="382"/>
        <v/>
      </c>
      <c r="H1187" s="150" t="str">
        <f t="shared" si="382"/>
        <v/>
      </c>
      <c r="I1187" s="150">
        <f t="shared" si="382"/>
        <v>0</v>
      </c>
      <c r="J1187" s="150">
        <f t="shared" si="382"/>
        <v>0</v>
      </c>
      <c r="K1187" s="196" t="str">
        <f t="shared" si="382"/>
        <v/>
      </c>
      <c r="L1187" s="197" t="str">
        <f t="shared" si="382"/>
        <v/>
      </c>
      <c r="M1187" s="191">
        <f t="shared" si="382"/>
        <v>0</v>
      </c>
      <c r="N1187" s="150">
        <f t="shared" si="382"/>
        <v>0</v>
      </c>
      <c r="O1187" s="193">
        <f t="shared" si="382"/>
        <v>0</v>
      </c>
      <c r="P1187" s="162">
        <f t="shared" si="383"/>
        <v>0</v>
      </c>
      <c r="Q1187" s="162">
        <f t="shared" si="383"/>
        <v>0</v>
      </c>
      <c r="R1187" s="162">
        <f t="shared" si="383"/>
        <v>0</v>
      </c>
      <c r="S1187" s="162">
        <f t="shared" si="383"/>
        <v>0</v>
      </c>
      <c r="T1187" s="162">
        <f t="shared" si="383"/>
        <v>0</v>
      </c>
      <c r="U1187" s="162">
        <f t="shared" si="383"/>
        <v>0</v>
      </c>
      <c r="V1187" s="162">
        <f t="shared" si="383"/>
        <v>0</v>
      </c>
      <c r="W1187" s="162">
        <f t="shared" si="383"/>
        <v>0</v>
      </c>
      <c r="X1187" s="162">
        <f t="shared" si="383"/>
        <v>0</v>
      </c>
      <c r="Y1187" s="162">
        <f t="shared" si="383"/>
        <v>0</v>
      </c>
      <c r="Z1187" s="162">
        <f t="shared" si="383"/>
        <v>0</v>
      </c>
      <c r="AA1187" s="162">
        <f t="shared" si="383"/>
        <v>0</v>
      </c>
      <c r="AB1187" s="163">
        <f t="shared" si="376"/>
        <v>0</v>
      </c>
      <c r="AC1187" s="198"/>
      <c r="AE1187" s="194" t="str">
        <f t="shared" si="377"/>
        <v/>
      </c>
      <c r="AF1187" s="161">
        <f t="shared" si="384"/>
        <v>0</v>
      </c>
      <c r="AG1187" s="162">
        <f t="shared" si="384"/>
        <v>0</v>
      </c>
      <c r="AH1187" s="162">
        <f t="shared" si="384"/>
        <v>0</v>
      </c>
      <c r="AI1187" s="162">
        <f t="shared" si="384"/>
        <v>0</v>
      </c>
      <c r="AJ1187" s="162">
        <f t="shared" si="384"/>
        <v>0</v>
      </c>
      <c r="AK1187" s="162">
        <f t="shared" si="384"/>
        <v>0</v>
      </c>
      <c r="AL1187" s="162">
        <f t="shared" si="384"/>
        <v>0</v>
      </c>
      <c r="AM1187" s="162">
        <f t="shared" si="384"/>
        <v>0</v>
      </c>
      <c r="AN1187" s="162">
        <f t="shared" si="384"/>
        <v>0</v>
      </c>
      <c r="AO1187" s="162">
        <f t="shared" si="384"/>
        <v>0</v>
      </c>
      <c r="AP1187" s="162">
        <f t="shared" si="384"/>
        <v>0</v>
      </c>
      <c r="AQ1187" s="162">
        <f t="shared" si="384"/>
        <v>0</v>
      </c>
      <c r="AR1187" s="163">
        <f t="shared" si="379"/>
        <v>0</v>
      </c>
      <c r="AT1187" s="208">
        <f>IFERROR(VLOOKUP(J1187,#REF!,10,0),0)</f>
        <v>0</v>
      </c>
    </row>
    <row r="1188" spans="1:46" hidden="1" outlineLevel="1" x14ac:dyDescent="0.25">
      <c r="A1188" s="14" t="str">
        <f t="shared" si="370"/>
        <v>PROP_OPER__34</v>
      </c>
      <c r="B1188" s="15" t="str">
        <f t="shared" si="373"/>
        <v>PROP_OPER__0_0</v>
      </c>
      <c r="C1188" s="83"/>
      <c r="D1188" s="15">
        <v>1</v>
      </c>
      <c r="E1188" s="15">
        <v>34</v>
      </c>
      <c r="F1188" s="190">
        <f t="shared" ref="F1188:O1199" si="385">F1142</f>
        <v>0</v>
      </c>
      <c r="G1188" s="149" t="str">
        <f t="shared" si="385"/>
        <v/>
      </c>
      <c r="H1188" s="150" t="str">
        <f t="shared" si="385"/>
        <v/>
      </c>
      <c r="I1188" s="150">
        <f t="shared" si="385"/>
        <v>0</v>
      </c>
      <c r="J1188" s="150">
        <f t="shared" si="385"/>
        <v>0</v>
      </c>
      <c r="K1188" s="196" t="str">
        <f t="shared" si="385"/>
        <v/>
      </c>
      <c r="L1188" s="197" t="str">
        <f t="shared" si="385"/>
        <v/>
      </c>
      <c r="M1188" s="191">
        <f t="shared" si="385"/>
        <v>0</v>
      </c>
      <c r="N1188" s="150">
        <f t="shared" si="385"/>
        <v>0</v>
      </c>
      <c r="O1188" s="193">
        <f t="shared" si="385"/>
        <v>0</v>
      </c>
      <c r="P1188" s="162">
        <f t="shared" si="383"/>
        <v>0</v>
      </c>
      <c r="Q1188" s="162">
        <f t="shared" si="383"/>
        <v>0</v>
      </c>
      <c r="R1188" s="162">
        <f t="shared" si="383"/>
        <v>0</v>
      </c>
      <c r="S1188" s="162">
        <f t="shared" si="383"/>
        <v>0</v>
      </c>
      <c r="T1188" s="162">
        <f t="shared" si="383"/>
        <v>0</v>
      </c>
      <c r="U1188" s="162">
        <f t="shared" si="383"/>
        <v>0</v>
      </c>
      <c r="V1188" s="162">
        <f t="shared" si="383"/>
        <v>0</v>
      </c>
      <c r="W1188" s="162">
        <f t="shared" si="383"/>
        <v>0</v>
      </c>
      <c r="X1188" s="162">
        <f t="shared" si="383"/>
        <v>0</v>
      </c>
      <c r="Y1188" s="162">
        <f t="shared" si="383"/>
        <v>0</v>
      </c>
      <c r="Z1188" s="162">
        <f t="shared" si="383"/>
        <v>0</v>
      </c>
      <c r="AA1188" s="162">
        <f t="shared" si="383"/>
        <v>0</v>
      </c>
      <c r="AB1188" s="163">
        <f t="shared" si="376"/>
        <v>0</v>
      </c>
      <c r="AC1188" s="198"/>
      <c r="AE1188" s="194" t="str">
        <f t="shared" si="377"/>
        <v/>
      </c>
      <c r="AF1188" s="161">
        <f t="shared" si="384"/>
        <v>0</v>
      </c>
      <c r="AG1188" s="162">
        <f t="shared" si="384"/>
        <v>0</v>
      </c>
      <c r="AH1188" s="162">
        <f t="shared" si="384"/>
        <v>0</v>
      </c>
      <c r="AI1188" s="162">
        <f t="shared" si="384"/>
        <v>0</v>
      </c>
      <c r="AJ1188" s="162">
        <f t="shared" si="384"/>
        <v>0</v>
      </c>
      <c r="AK1188" s="162">
        <f t="shared" si="384"/>
        <v>0</v>
      </c>
      <c r="AL1188" s="162">
        <f t="shared" si="384"/>
        <v>0</v>
      </c>
      <c r="AM1188" s="162">
        <f t="shared" si="384"/>
        <v>0</v>
      </c>
      <c r="AN1188" s="162">
        <f t="shared" si="384"/>
        <v>0</v>
      </c>
      <c r="AO1188" s="162">
        <f t="shared" si="384"/>
        <v>0</v>
      </c>
      <c r="AP1188" s="162">
        <f t="shared" si="384"/>
        <v>0</v>
      </c>
      <c r="AQ1188" s="162">
        <f t="shared" si="384"/>
        <v>0</v>
      </c>
      <c r="AR1188" s="163">
        <f t="shared" si="379"/>
        <v>0</v>
      </c>
      <c r="AT1188" s="208">
        <f>IFERROR(VLOOKUP(J1188,#REF!,10,0),0)</f>
        <v>0</v>
      </c>
    </row>
    <row r="1189" spans="1:46" hidden="1" outlineLevel="1" x14ac:dyDescent="0.25">
      <c r="A1189" s="14" t="str">
        <f t="shared" si="370"/>
        <v>PROP_OPER__35</v>
      </c>
      <c r="B1189" s="15" t="str">
        <f t="shared" si="373"/>
        <v>PROP_OPER__0_0</v>
      </c>
      <c r="C1189" s="83"/>
      <c r="D1189" s="15">
        <v>1</v>
      </c>
      <c r="E1189" s="15">
        <v>35</v>
      </c>
      <c r="F1189" s="190">
        <f t="shared" si="385"/>
        <v>0</v>
      </c>
      <c r="G1189" s="149" t="str">
        <f t="shared" si="385"/>
        <v/>
      </c>
      <c r="H1189" s="150" t="str">
        <f t="shared" si="385"/>
        <v/>
      </c>
      <c r="I1189" s="150">
        <f t="shared" si="385"/>
        <v>0</v>
      </c>
      <c r="J1189" s="150">
        <f t="shared" si="385"/>
        <v>0</v>
      </c>
      <c r="K1189" s="196" t="str">
        <f t="shared" si="385"/>
        <v/>
      </c>
      <c r="L1189" s="197" t="str">
        <f t="shared" si="385"/>
        <v/>
      </c>
      <c r="M1189" s="191">
        <f t="shared" si="385"/>
        <v>0</v>
      </c>
      <c r="N1189" s="150">
        <f t="shared" si="385"/>
        <v>0</v>
      </c>
      <c r="O1189" s="193">
        <f t="shared" si="385"/>
        <v>0</v>
      </c>
      <c r="P1189" s="162">
        <f t="shared" ref="P1189:AA1199" si="386">IFERROR(SUMIF($B$483:$B$547,$C1189&amp;$I1189,P$483:P$547)/SUMIF($D$483:$D$547,$I1189,P$483:P$547)*P628,0)</f>
        <v>0</v>
      </c>
      <c r="Q1189" s="162">
        <f t="shared" si="386"/>
        <v>0</v>
      </c>
      <c r="R1189" s="162">
        <f t="shared" si="386"/>
        <v>0</v>
      </c>
      <c r="S1189" s="162">
        <f t="shared" si="386"/>
        <v>0</v>
      </c>
      <c r="T1189" s="162">
        <f t="shared" si="386"/>
        <v>0</v>
      </c>
      <c r="U1189" s="162">
        <f t="shared" si="386"/>
        <v>0</v>
      </c>
      <c r="V1189" s="162">
        <f t="shared" si="386"/>
        <v>0</v>
      </c>
      <c r="W1189" s="162">
        <f t="shared" si="386"/>
        <v>0</v>
      </c>
      <c r="X1189" s="162">
        <f t="shared" si="386"/>
        <v>0</v>
      </c>
      <c r="Y1189" s="162">
        <f t="shared" si="386"/>
        <v>0</v>
      </c>
      <c r="Z1189" s="162">
        <f t="shared" si="386"/>
        <v>0</v>
      </c>
      <c r="AA1189" s="162">
        <f t="shared" si="386"/>
        <v>0</v>
      </c>
      <c r="AB1189" s="163">
        <f t="shared" si="376"/>
        <v>0</v>
      </c>
      <c r="AC1189" s="198"/>
      <c r="AE1189" s="194" t="str">
        <f t="shared" si="377"/>
        <v/>
      </c>
      <c r="AF1189" s="161">
        <f t="shared" si="384"/>
        <v>0</v>
      </c>
      <c r="AG1189" s="162">
        <f t="shared" si="384"/>
        <v>0</v>
      </c>
      <c r="AH1189" s="162">
        <f t="shared" si="384"/>
        <v>0</v>
      </c>
      <c r="AI1189" s="162">
        <f t="shared" si="384"/>
        <v>0</v>
      </c>
      <c r="AJ1189" s="162">
        <f t="shared" si="384"/>
        <v>0</v>
      </c>
      <c r="AK1189" s="162">
        <f t="shared" si="384"/>
        <v>0</v>
      </c>
      <c r="AL1189" s="162">
        <f t="shared" si="384"/>
        <v>0</v>
      </c>
      <c r="AM1189" s="162">
        <f t="shared" si="384"/>
        <v>0</v>
      </c>
      <c r="AN1189" s="162">
        <f t="shared" si="384"/>
        <v>0</v>
      </c>
      <c r="AO1189" s="162">
        <f t="shared" si="384"/>
        <v>0</v>
      </c>
      <c r="AP1189" s="162">
        <f t="shared" si="384"/>
        <v>0</v>
      </c>
      <c r="AQ1189" s="162">
        <f t="shared" si="384"/>
        <v>0</v>
      </c>
      <c r="AR1189" s="163">
        <f t="shared" si="379"/>
        <v>0</v>
      </c>
      <c r="AT1189" s="208">
        <f>IFERROR(VLOOKUP(J1189,#REF!,10,0),0)</f>
        <v>0</v>
      </c>
    </row>
    <row r="1190" spans="1:46" hidden="1" outlineLevel="1" x14ac:dyDescent="0.25">
      <c r="A1190" s="14" t="str">
        <f t="shared" si="370"/>
        <v>PROP_OPER__36</v>
      </c>
      <c r="B1190" s="15" t="str">
        <f t="shared" si="373"/>
        <v>PROP_OPER__0_0</v>
      </c>
      <c r="C1190" s="83"/>
      <c r="D1190" s="15">
        <v>1</v>
      </c>
      <c r="E1190" s="15">
        <v>36</v>
      </c>
      <c r="F1190" s="190">
        <f t="shared" si="385"/>
        <v>0</v>
      </c>
      <c r="G1190" s="149" t="str">
        <f t="shared" si="385"/>
        <v/>
      </c>
      <c r="H1190" s="150" t="str">
        <f t="shared" si="385"/>
        <v/>
      </c>
      <c r="I1190" s="150">
        <f t="shared" si="385"/>
        <v>0</v>
      </c>
      <c r="J1190" s="150">
        <f t="shared" si="385"/>
        <v>0</v>
      </c>
      <c r="K1190" s="196" t="str">
        <f t="shared" si="385"/>
        <v/>
      </c>
      <c r="L1190" s="197" t="str">
        <f t="shared" si="385"/>
        <v/>
      </c>
      <c r="M1190" s="191">
        <f t="shared" si="385"/>
        <v>0</v>
      </c>
      <c r="N1190" s="150">
        <f t="shared" si="385"/>
        <v>0</v>
      </c>
      <c r="O1190" s="193">
        <f t="shared" si="385"/>
        <v>0</v>
      </c>
      <c r="P1190" s="162">
        <f t="shared" si="386"/>
        <v>0</v>
      </c>
      <c r="Q1190" s="162">
        <f t="shared" si="386"/>
        <v>0</v>
      </c>
      <c r="R1190" s="162">
        <f t="shared" si="386"/>
        <v>0</v>
      </c>
      <c r="S1190" s="162">
        <f t="shared" si="386"/>
        <v>0</v>
      </c>
      <c r="T1190" s="162">
        <f t="shared" si="386"/>
        <v>0</v>
      </c>
      <c r="U1190" s="162">
        <f t="shared" si="386"/>
        <v>0</v>
      </c>
      <c r="V1190" s="162">
        <f t="shared" si="386"/>
        <v>0</v>
      </c>
      <c r="W1190" s="162">
        <f t="shared" si="386"/>
        <v>0</v>
      </c>
      <c r="X1190" s="162">
        <f t="shared" si="386"/>
        <v>0</v>
      </c>
      <c r="Y1190" s="162">
        <f t="shared" si="386"/>
        <v>0</v>
      </c>
      <c r="Z1190" s="162">
        <f t="shared" si="386"/>
        <v>0</v>
      </c>
      <c r="AA1190" s="162">
        <f t="shared" si="386"/>
        <v>0</v>
      </c>
      <c r="AB1190" s="163">
        <f t="shared" si="376"/>
        <v>0</v>
      </c>
      <c r="AC1190" s="198"/>
      <c r="AE1190" s="194" t="str">
        <f t="shared" si="377"/>
        <v/>
      </c>
      <c r="AF1190" s="161">
        <f t="shared" si="384"/>
        <v>0</v>
      </c>
      <c r="AG1190" s="162">
        <f t="shared" si="384"/>
        <v>0</v>
      </c>
      <c r="AH1190" s="162">
        <f t="shared" si="384"/>
        <v>0</v>
      </c>
      <c r="AI1190" s="162">
        <f t="shared" si="384"/>
        <v>0</v>
      </c>
      <c r="AJ1190" s="162">
        <f t="shared" si="384"/>
        <v>0</v>
      </c>
      <c r="AK1190" s="162">
        <f t="shared" si="384"/>
        <v>0</v>
      </c>
      <c r="AL1190" s="162">
        <f t="shared" si="384"/>
        <v>0</v>
      </c>
      <c r="AM1190" s="162">
        <f t="shared" si="384"/>
        <v>0</v>
      </c>
      <c r="AN1190" s="162">
        <f t="shared" si="384"/>
        <v>0</v>
      </c>
      <c r="AO1190" s="162">
        <f t="shared" si="384"/>
        <v>0</v>
      </c>
      <c r="AP1190" s="162">
        <f t="shared" si="384"/>
        <v>0</v>
      </c>
      <c r="AQ1190" s="162">
        <f t="shared" si="384"/>
        <v>0</v>
      </c>
      <c r="AR1190" s="163">
        <f t="shared" si="379"/>
        <v>0</v>
      </c>
      <c r="AT1190" s="208">
        <f>IFERROR(VLOOKUP(J1190,#REF!,10,0),0)</f>
        <v>0</v>
      </c>
    </row>
    <row r="1191" spans="1:46" hidden="1" outlineLevel="1" x14ac:dyDescent="0.25">
      <c r="A1191" s="14" t="str">
        <f t="shared" si="370"/>
        <v>PROP_OPER__37</v>
      </c>
      <c r="B1191" s="15" t="str">
        <f t="shared" si="373"/>
        <v>PROP_OPER__0_0</v>
      </c>
      <c r="C1191" s="83"/>
      <c r="D1191" s="15">
        <v>1</v>
      </c>
      <c r="E1191" s="15">
        <v>37</v>
      </c>
      <c r="F1191" s="190">
        <f t="shared" si="385"/>
        <v>0</v>
      </c>
      <c r="G1191" s="149" t="str">
        <f t="shared" si="385"/>
        <v/>
      </c>
      <c r="H1191" s="150" t="str">
        <f t="shared" si="385"/>
        <v/>
      </c>
      <c r="I1191" s="150">
        <f t="shared" si="385"/>
        <v>0</v>
      </c>
      <c r="J1191" s="150">
        <f t="shared" si="385"/>
        <v>0</v>
      </c>
      <c r="K1191" s="196" t="str">
        <f t="shared" si="385"/>
        <v/>
      </c>
      <c r="L1191" s="197" t="str">
        <f t="shared" si="385"/>
        <v/>
      </c>
      <c r="M1191" s="191">
        <f t="shared" si="385"/>
        <v>0</v>
      </c>
      <c r="N1191" s="150">
        <f t="shared" si="385"/>
        <v>0</v>
      </c>
      <c r="O1191" s="193">
        <f t="shared" si="385"/>
        <v>0</v>
      </c>
      <c r="P1191" s="162">
        <f t="shared" si="386"/>
        <v>0</v>
      </c>
      <c r="Q1191" s="162">
        <f t="shared" si="386"/>
        <v>0</v>
      </c>
      <c r="R1191" s="162">
        <f t="shared" si="386"/>
        <v>0</v>
      </c>
      <c r="S1191" s="162">
        <f t="shared" si="386"/>
        <v>0</v>
      </c>
      <c r="T1191" s="162">
        <f t="shared" si="386"/>
        <v>0</v>
      </c>
      <c r="U1191" s="162">
        <f t="shared" si="386"/>
        <v>0</v>
      </c>
      <c r="V1191" s="162">
        <f t="shared" si="386"/>
        <v>0</v>
      </c>
      <c r="W1191" s="162">
        <f t="shared" si="386"/>
        <v>0</v>
      </c>
      <c r="X1191" s="162">
        <f t="shared" si="386"/>
        <v>0</v>
      </c>
      <c r="Y1191" s="162">
        <f t="shared" si="386"/>
        <v>0</v>
      </c>
      <c r="Z1191" s="162">
        <f t="shared" si="386"/>
        <v>0</v>
      </c>
      <c r="AA1191" s="162">
        <f t="shared" si="386"/>
        <v>0</v>
      </c>
      <c r="AB1191" s="163">
        <f t="shared" si="376"/>
        <v>0</v>
      </c>
      <c r="AC1191" s="198"/>
      <c r="AE1191" s="194" t="str">
        <f t="shared" si="377"/>
        <v/>
      </c>
      <c r="AF1191" s="161">
        <f t="shared" si="384"/>
        <v>0</v>
      </c>
      <c r="AG1191" s="162">
        <f t="shared" si="384"/>
        <v>0</v>
      </c>
      <c r="AH1191" s="162">
        <f t="shared" si="384"/>
        <v>0</v>
      </c>
      <c r="AI1191" s="162">
        <f t="shared" si="384"/>
        <v>0</v>
      </c>
      <c r="AJ1191" s="162">
        <f t="shared" si="384"/>
        <v>0</v>
      </c>
      <c r="AK1191" s="162">
        <f t="shared" si="384"/>
        <v>0</v>
      </c>
      <c r="AL1191" s="162">
        <f t="shared" si="384"/>
        <v>0</v>
      </c>
      <c r="AM1191" s="162">
        <f t="shared" si="384"/>
        <v>0</v>
      </c>
      <c r="AN1191" s="162">
        <f t="shared" si="384"/>
        <v>0</v>
      </c>
      <c r="AO1191" s="162">
        <f t="shared" si="384"/>
        <v>0</v>
      </c>
      <c r="AP1191" s="162">
        <f t="shared" si="384"/>
        <v>0</v>
      </c>
      <c r="AQ1191" s="162">
        <f t="shared" si="384"/>
        <v>0</v>
      </c>
      <c r="AR1191" s="163">
        <f t="shared" si="379"/>
        <v>0</v>
      </c>
      <c r="AT1191" s="208">
        <f>IFERROR(VLOOKUP(J1191,#REF!,10,0),0)</f>
        <v>0</v>
      </c>
    </row>
    <row r="1192" spans="1:46" hidden="1" outlineLevel="1" x14ac:dyDescent="0.25">
      <c r="A1192" s="14" t="str">
        <f t="shared" si="370"/>
        <v>PROP_OPER__38</v>
      </c>
      <c r="B1192" s="15" t="str">
        <f t="shared" si="373"/>
        <v>PROP_OPER__0_0</v>
      </c>
      <c r="C1192" s="83"/>
      <c r="D1192" s="15">
        <v>1</v>
      </c>
      <c r="E1192" s="15">
        <v>38</v>
      </c>
      <c r="F1192" s="190">
        <f t="shared" si="385"/>
        <v>0</v>
      </c>
      <c r="G1192" s="149" t="str">
        <f t="shared" si="385"/>
        <v/>
      </c>
      <c r="H1192" s="150" t="str">
        <f t="shared" si="385"/>
        <v/>
      </c>
      <c r="I1192" s="150">
        <f t="shared" si="385"/>
        <v>0</v>
      </c>
      <c r="J1192" s="150">
        <f t="shared" si="385"/>
        <v>0</v>
      </c>
      <c r="K1192" s="196" t="str">
        <f t="shared" si="385"/>
        <v/>
      </c>
      <c r="L1192" s="197" t="str">
        <f t="shared" si="385"/>
        <v/>
      </c>
      <c r="M1192" s="191">
        <f t="shared" si="385"/>
        <v>0</v>
      </c>
      <c r="N1192" s="150">
        <f t="shared" si="385"/>
        <v>0</v>
      </c>
      <c r="O1192" s="193">
        <f t="shared" si="385"/>
        <v>0</v>
      </c>
      <c r="P1192" s="162">
        <f t="shared" si="386"/>
        <v>0</v>
      </c>
      <c r="Q1192" s="162">
        <f t="shared" si="386"/>
        <v>0</v>
      </c>
      <c r="R1192" s="162">
        <f t="shared" si="386"/>
        <v>0</v>
      </c>
      <c r="S1192" s="162">
        <f t="shared" si="386"/>
        <v>0</v>
      </c>
      <c r="T1192" s="162">
        <f t="shared" si="386"/>
        <v>0</v>
      </c>
      <c r="U1192" s="162">
        <f t="shared" si="386"/>
        <v>0</v>
      </c>
      <c r="V1192" s="162">
        <f t="shared" si="386"/>
        <v>0</v>
      </c>
      <c r="W1192" s="162">
        <f t="shared" si="386"/>
        <v>0</v>
      </c>
      <c r="X1192" s="162">
        <f t="shared" si="386"/>
        <v>0</v>
      </c>
      <c r="Y1192" s="162">
        <f t="shared" si="386"/>
        <v>0</v>
      </c>
      <c r="Z1192" s="162">
        <f t="shared" si="386"/>
        <v>0</v>
      </c>
      <c r="AA1192" s="162">
        <f t="shared" si="386"/>
        <v>0</v>
      </c>
      <c r="AB1192" s="163">
        <f t="shared" si="376"/>
        <v>0</v>
      </c>
      <c r="AC1192" s="198"/>
      <c r="AE1192" s="194" t="str">
        <f t="shared" si="377"/>
        <v/>
      </c>
      <c r="AF1192" s="161">
        <f t="shared" ref="AF1192:AQ1199" si="387">IFERROR(SUMIF($B$483:$B$547,$C1192&amp;$I1192,P$483:P$547)/SUMIF($D$483:$D$547,$I1192,P$483:P$547)*AF589,0)</f>
        <v>0</v>
      </c>
      <c r="AG1192" s="162">
        <f t="shared" si="387"/>
        <v>0</v>
      </c>
      <c r="AH1192" s="162">
        <f t="shared" si="387"/>
        <v>0</v>
      </c>
      <c r="AI1192" s="162">
        <f t="shared" si="387"/>
        <v>0</v>
      </c>
      <c r="AJ1192" s="162">
        <f t="shared" si="387"/>
        <v>0</v>
      </c>
      <c r="AK1192" s="162">
        <f t="shared" si="387"/>
        <v>0</v>
      </c>
      <c r="AL1192" s="162">
        <f t="shared" si="387"/>
        <v>0</v>
      </c>
      <c r="AM1192" s="162">
        <f t="shared" si="387"/>
        <v>0</v>
      </c>
      <c r="AN1192" s="162">
        <f t="shared" si="387"/>
        <v>0</v>
      </c>
      <c r="AO1192" s="162">
        <f t="shared" si="387"/>
        <v>0</v>
      </c>
      <c r="AP1192" s="162">
        <f t="shared" si="387"/>
        <v>0</v>
      </c>
      <c r="AQ1192" s="162">
        <f t="shared" si="387"/>
        <v>0</v>
      </c>
      <c r="AR1192" s="163">
        <f t="shared" si="379"/>
        <v>0</v>
      </c>
      <c r="AT1192" s="208">
        <f>IFERROR(VLOOKUP(J1192,#REF!,10,0),0)</f>
        <v>0</v>
      </c>
    </row>
    <row r="1193" spans="1:46" hidden="1" outlineLevel="1" x14ac:dyDescent="0.25">
      <c r="A1193" s="14" t="str">
        <f t="shared" si="370"/>
        <v>PROP_OPER__39</v>
      </c>
      <c r="B1193" s="15" t="str">
        <f t="shared" si="373"/>
        <v>PROP_OPER__0_0</v>
      </c>
      <c r="C1193" s="83"/>
      <c r="D1193" s="15">
        <v>1</v>
      </c>
      <c r="E1193" s="15">
        <v>39</v>
      </c>
      <c r="F1193" s="190">
        <f t="shared" si="385"/>
        <v>0</v>
      </c>
      <c r="G1193" s="149" t="str">
        <f t="shared" si="385"/>
        <v/>
      </c>
      <c r="H1193" s="150" t="str">
        <f t="shared" si="385"/>
        <v/>
      </c>
      <c r="I1193" s="150">
        <f t="shared" si="385"/>
        <v>0</v>
      </c>
      <c r="J1193" s="150">
        <f t="shared" si="385"/>
        <v>0</v>
      </c>
      <c r="K1193" s="196" t="str">
        <f t="shared" si="385"/>
        <v/>
      </c>
      <c r="L1193" s="197" t="str">
        <f t="shared" si="385"/>
        <v/>
      </c>
      <c r="M1193" s="191">
        <f t="shared" si="385"/>
        <v>0</v>
      </c>
      <c r="N1193" s="150">
        <f t="shared" si="385"/>
        <v>0</v>
      </c>
      <c r="O1193" s="193">
        <f t="shared" si="385"/>
        <v>0</v>
      </c>
      <c r="P1193" s="162">
        <f t="shared" si="386"/>
        <v>0</v>
      </c>
      <c r="Q1193" s="162">
        <f t="shared" si="386"/>
        <v>0</v>
      </c>
      <c r="R1193" s="162">
        <f t="shared" si="386"/>
        <v>0</v>
      </c>
      <c r="S1193" s="162">
        <f t="shared" si="386"/>
        <v>0</v>
      </c>
      <c r="T1193" s="162">
        <f t="shared" si="386"/>
        <v>0</v>
      </c>
      <c r="U1193" s="162">
        <f t="shared" si="386"/>
        <v>0</v>
      </c>
      <c r="V1193" s="162">
        <f t="shared" si="386"/>
        <v>0</v>
      </c>
      <c r="W1193" s="162">
        <f t="shared" si="386"/>
        <v>0</v>
      </c>
      <c r="X1193" s="162">
        <f t="shared" si="386"/>
        <v>0</v>
      </c>
      <c r="Y1193" s="162">
        <f t="shared" si="386"/>
        <v>0</v>
      </c>
      <c r="Z1193" s="162">
        <f t="shared" si="386"/>
        <v>0</v>
      </c>
      <c r="AA1193" s="162">
        <f t="shared" si="386"/>
        <v>0</v>
      </c>
      <c r="AB1193" s="163">
        <f t="shared" si="376"/>
        <v>0</v>
      </c>
      <c r="AC1193" s="198"/>
      <c r="AE1193" s="194" t="str">
        <f t="shared" si="377"/>
        <v/>
      </c>
      <c r="AF1193" s="161">
        <f t="shared" si="387"/>
        <v>0</v>
      </c>
      <c r="AG1193" s="162">
        <f t="shared" si="387"/>
        <v>0</v>
      </c>
      <c r="AH1193" s="162">
        <f t="shared" si="387"/>
        <v>0</v>
      </c>
      <c r="AI1193" s="162">
        <f t="shared" si="387"/>
        <v>0</v>
      </c>
      <c r="AJ1193" s="162">
        <f t="shared" si="387"/>
        <v>0</v>
      </c>
      <c r="AK1193" s="162">
        <f t="shared" si="387"/>
        <v>0</v>
      </c>
      <c r="AL1193" s="162">
        <f t="shared" si="387"/>
        <v>0</v>
      </c>
      <c r="AM1193" s="162">
        <f t="shared" si="387"/>
        <v>0</v>
      </c>
      <c r="AN1193" s="162">
        <f t="shared" si="387"/>
        <v>0</v>
      </c>
      <c r="AO1193" s="162">
        <f t="shared" si="387"/>
        <v>0</v>
      </c>
      <c r="AP1193" s="162">
        <f t="shared" si="387"/>
        <v>0</v>
      </c>
      <c r="AQ1193" s="162">
        <f t="shared" si="387"/>
        <v>0</v>
      </c>
      <c r="AR1193" s="163">
        <f t="shared" si="379"/>
        <v>0</v>
      </c>
      <c r="AT1193" s="208">
        <f>IFERROR(VLOOKUP(J1193,#REF!,10,0),0)</f>
        <v>0</v>
      </c>
    </row>
    <row r="1194" spans="1:46" hidden="1" outlineLevel="1" x14ac:dyDescent="0.25">
      <c r="A1194" s="14" t="str">
        <f t="shared" si="370"/>
        <v>PROP_OPER__40</v>
      </c>
      <c r="B1194" s="15" t="str">
        <f t="shared" si="373"/>
        <v>PROP_OPER__0_0</v>
      </c>
      <c r="C1194" s="83"/>
      <c r="D1194" s="15">
        <v>1</v>
      </c>
      <c r="E1194" s="15">
        <v>40</v>
      </c>
      <c r="F1194" s="190">
        <f t="shared" si="385"/>
        <v>0</v>
      </c>
      <c r="G1194" s="149" t="str">
        <f t="shared" si="385"/>
        <v/>
      </c>
      <c r="H1194" s="150" t="str">
        <f t="shared" si="385"/>
        <v/>
      </c>
      <c r="I1194" s="150">
        <f t="shared" si="385"/>
        <v>0</v>
      </c>
      <c r="J1194" s="150">
        <f t="shared" si="385"/>
        <v>0</v>
      </c>
      <c r="K1194" s="196" t="str">
        <f t="shared" si="385"/>
        <v/>
      </c>
      <c r="L1194" s="197" t="str">
        <f t="shared" si="385"/>
        <v/>
      </c>
      <c r="M1194" s="191">
        <f t="shared" si="385"/>
        <v>0</v>
      </c>
      <c r="N1194" s="150">
        <f t="shared" si="385"/>
        <v>0</v>
      </c>
      <c r="O1194" s="193">
        <f t="shared" si="385"/>
        <v>0</v>
      </c>
      <c r="P1194" s="162">
        <f t="shared" si="386"/>
        <v>0</v>
      </c>
      <c r="Q1194" s="162">
        <f t="shared" si="386"/>
        <v>0</v>
      </c>
      <c r="R1194" s="162">
        <f t="shared" si="386"/>
        <v>0</v>
      </c>
      <c r="S1194" s="162">
        <f t="shared" si="386"/>
        <v>0</v>
      </c>
      <c r="T1194" s="162">
        <f t="shared" si="386"/>
        <v>0</v>
      </c>
      <c r="U1194" s="162">
        <f t="shared" si="386"/>
        <v>0</v>
      </c>
      <c r="V1194" s="162">
        <f t="shared" si="386"/>
        <v>0</v>
      </c>
      <c r="W1194" s="162">
        <f t="shared" si="386"/>
        <v>0</v>
      </c>
      <c r="X1194" s="162">
        <f t="shared" si="386"/>
        <v>0</v>
      </c>
      <c r="Y1194" s="162">
        <f t="shared" si="386"/>
        <v>0</v>
      </c>
      <c r="Z1194" s="162">
        <f t="shared" si="386"/>
        <v>0</v>
      </c>
      <c r="AA1194" s="162">
        <f t="shared" si="386"/>
        <v>0</v>
      </c>
      <c r="AB1194" s="163">
        <f t="shared" si="376"/>
        <v>0</v>
      </c>
      <c r="AC1194" s="198"/>
      <c r="AE1194" s="194" t="str">
        <f t="shared" si="377"/>
        <v/>
      </c>
      <c r="AF1194" s="161">
        <f t="shared" si="387"/>
        <v>0</v>
      </c>
      <c r="AG1194" s="162">
        <f t="shared" si="387"/>
        <v>0</v>
      </c>
      <c r="AH1194" s="162">
        <f t="shared" si="387"/>
        <v>0</v>
      </c>
      <c r="AI1194" s="162">
        <f t="shared" si="387"/>
        <v>0</v>
      </c>
      <c r="AJ1194" s="162">
        <f t="shared" si="387"/>
        <v>0</v>
      </c>
      <c r="AK1194" s="162">
        <f t="shared" si="387"/>
        <v>0</v>
      </c>
      <c r="AL1194" s="162">
        <f t="shared" si="387"/>
        <v>0</v>
      </c>
      <c r="AM1194" s="162">
        <f t="shared" si="387"/>
        <v>0</v>
      </c>
      <c r="AN1194" s="162">
        <f t="shared" si="387"/>
        <v>0</v>
      </c>
      <c r="AO1194" s="162">
        <f t="shared" si="387"/>
        <v>0</v>
      </c>
      <c r="AP1194" s="162">
        <f t="shared" si="387"/>
        <v>0</v>
      </c>
      <c r="AQ1194" s="162">
        <f t="shared" si="387"/>
        <v>0</v>
      </c>
      <c r="AR1194" s="163">
        <f t="shared" si="379"/>
        <v>0</v>
      </c>
      <c r="AT1194" s="208">
        <f>IFERROR(VLOOKUP(J1194,#REF!,10,0),0)</f>
        <v>0</v>
      </c>
    </row>
    <row r="1195" spans="1:46" hidden="1" outlineLevel="1" x14ac:dyDescent="0.25">
      <c r="A1195" s="14" t="str">
        <f t="shared" si="370"/>
        <v>PROP_OPER__41</v>
      </c>
      <c r="B1195" s="15" t="str">
        <f t="shared" si="373"/>
        <v>PROP_OPER__0_0</v>
      </c>
      <c r="C1195" s="83"/>
      <c r="D1195" s="15">
        <v>1</v>
      </c>
      <c r="E1195" s="15">
        <v>41</v>
      </c>
      <c r="F1195" s="190">
        <f t="shared" si="385"/>
        <v>0</v>
      </c>
      <c r="G1195" s="149" t="str">
        <f t="shared" si="385"/>
        <v/>
      </c>
      <c r="H1195" s="150" t="str">
        <f t="shared" si="385"/>
        <v/>
      </c>
      <c r="I1195" s="150">
        <f t="shared" si="385"/>
        <v>0</v>
      </c>
      <c r="J1195" s="150">
        <f t="shared" si="385"/>
        <v>0</v>
      </c>
      <c r="K1195" s="196" t="str">
        <f t="shared" si="385"/>
        <v/>
      </c>
      <c r="L1195" s="197" t="str">
        <f t="shared" si="385"/>
        <v/>
      </c>
      <c r="M1195" s="191">
        <f t="shared" si="385"/>
        <v>0</v>
      </c>
      <c r="N1195" s="150">
        <f t="shared" si="385"/>
        <v>0</v>
      </c>
      <c r="O1195" s="193">
        <f t="shared" si="385"/>
        <v>0</v>
      </c>
      <c r="P1195" s="162">
        <f t="shared" si="386"/>
        <v>0</v>
      </c>
      <c r="Q1195" s="162">
        <f t="shared" si="386"/>
        <v>0</v>
      </c>
      <c r="R1195" s="162">
        <f t="shared" si="386"/>
        <v>0</v>
      </c>
      <c r="S1195" s="162">
        <f t="shared" si="386"/>
        <v>0</v>
      </c>
      <c r="T1195" s="162">
        <f t="shared" si="386"/>
        <v>0</v>
      </c>
      <c r="U1195" s="162">
        <f t="shared" si="386"/>
        <v>0</v>
      </c>
      <c r="V1195" s="162">
        <f t="shared" si="386"/>
        <v>0</v>
      </c>
      <c r="W1195" s="162">
        <f t="shared" si="386"/>
        <v>0</v>
      </c>
      <c r="X1195" s="162">
        <f t="shared" si="386"/>
        <v>0</v>
      </c>
      <c r="Y1195" s="162">
        <f t="shared" si="386"/>
        <v>0</v>
      </c>
      <c r="Z1195" s="162">
        <f t="shared" si="386"/>
        <v>0</v>
      </c>
      <c r="AA1195" s="162">
        <f t="shared" si="386"/>
        <v>0</v>
      </c>
      <c r="AB1195" s="163">
        <f t="shared" si="376"/>
        <v>0</v>
      </c>
      <c r="AC1195" s="198"/>
      <c r="AE1195" s="194" t="str">
        <f t="shared" si="377"/>
        <v/>
      </c>
      <c r="AF1195" s="161">
        <f t="shared" si="387"/>
        <v>0</v>
      </c>
      <c r="AG1195" s="162">
        <f t="shared" si="387"/>
        <v>0</v>
      </c>
      <c r="AH1195" s="162">
        <f t="shared" si="387"/>
        <v>0</v>
      </c>
      <c r="AI1195" s="162">
        <f t="shared" si="387"/>
        <v>0</v>
      </c>
      <c r="AJ1195" s="162">
        <f t="shared" si="387"/>
        <v>0</v>
      </c>
      <c r="AK1195" s="162">
        <f t="shared" si="387"/>
        <v>0</v>
      </c>
      <c r="AL1195" s="162">
        <f t="shared" si="387"/>
        <v>0</v>
      </c>
      <c r="AM1195" s="162">
        <f t="shared" si="387"/>
        <v>0</v>
      </c>
      <c r="AN1195" s="162">
        <f t="shared" si="387"/>
        <v>0</v>
      </c>
      <c r="AO1195" s="162">
        <f t="shared" si="387"/>
        <v>0</v>
      </c>
      <c r="AP1195" s="162">
        <f t="shared" si="387"/>
        <v>0</v>
      </c>
      <c r="AQ1195" s="162">
        <f t="shared" si="387"/>
        <v>0</v>
      </c>
      <c r="AR1195" s="163">
        <f t="shared" si="379"/>
        <v>0</v>
      </c>
      <c r="AT1195" s="208">
        <f>IFERROR(VLOOKUP(J1195,#REF!,10,0),0)</f>
        <v>0</v>
      </c>
    </row>
    <row r="1196" spans="1:46" hidden="1" outlineLevel="1" x14ac:dyDescent="0.25">
      <c r="A1196" s="14" t="str">
        <f t="shared" si="370"/>
        <v>PROP_OPER__42</v>
      </c>
      <c r="B1196" s="15" t="str">
        <f t="shared" si="373"/>
        <v>PROP_OPER__0_0</v>
      </c>
      <c r="C1196" s="83"/>
      <c r="D1196" s="15">
        <v>1</v>
      </c>
      <c r="E1196" s="15">
        <v>42</v>
      </c>
      <c r="F1196" s="190">
        <f t="shared" si="385"/>
        <v>0</v>
      </c>
      <c r="G1196" s="149" t="str">
        <f t="shared" si="385"/>
        <v/>
      </c>
      <c r="H1196" s="150" t="str">
        <f t="shared" si="385"/>
        <v/>
      </c>
      <c r="I1196" s="150">
        <f t="shared" si="385"/>
        <v>0</v>
      </c>
      <c r="J1196" s="150">
        <f t="shared" si="385"/>
        <v>0</v>
      </c>
      <c r="K1196" s="196" t="str">
        <f t="shared" si="385"/>
        <v/>
      </c>
      <c r="L1196" s="197" t="str">
        <f t="shared" si="385"/>
        <v/>
      </c>
      <c r="M1196" s="191">
        <f t="shared" si="385"/>
        <v>0</v>
      </c>
      <c r="N1196" s="150">
        <f t="shared" si="385"/>
        <v>0</v>
      </c>
      <c r="O1196" s="193">
        <f t="shared" si="385"/>
        <v>0</v>
      </c>
      <c r="P1196" s="162">
        <f t="shared" si="386"/>
        <v>0</v>
      </c>
      <c r="Q1196" s="162">
        <f t="shared" si="386"/>
        <v>0</v>
      </c>
      <c r="R1196" s="162">
        <f t="shared" si="386"/>
        <v>0</v>
      </c>
      <c r="S1196" s="162">
        <f t="shared" si="386"/>
        <v>0</v>
      </c>
      <c r="T1196" s="162">
        <f t="shared" si="386"/>
        <v>0</v>
      </c>
      <c r="U1196" s="162">
        <f t="shared" si="386"/>
        <v>0</v>
      </c>
      <c r="V1196" s="162">
        <f t="shared" si="386"/>
        <v>0</v>
      </c>
      <c r="W1196" s="162">
        <f t="shared" si="386"/>
        <v>0</v>
      </c>
      <c r="X1196" s="162">
        <f t="shared" si="386"/>
        <v>0</v>
      </c>
      <c r="Y1196" s="162">
        <f t="shared" si="386"/>
        <v>0</v>
      </c>
      <c r="Z1196" s="162">
        <f t="shared" si="386"/>
        <v>0</v>
      </c>
      <c r="AA1196" s="162">
        <f t="shared" si="386"/>
        <v>0</v>
      </c>
      <c r="AB1196" s="163">
        <f t="shared" si="376"/>
        <v>0</v>
      </c>
      <c r="AC1196" s="198"/>
      <c r="AE1196" s="194" t="str">
        <f t="shared" si="377"/>
        <v/>
      </c>
      <c r="AF1196" s="161">
        <f t="shared" si="387"/>
        <v>0</v>
      </c>
      <c r="AG1196" s="162">
        <f t="shared" si="387"/>
        <v>0</v>
      </c>
      <c r="AH1196" s="162">
        <f t="shared" si="387"/>
        <v>0</v>
      </c>
      <c r="AI1196" s="162">
        <f t="shared" si="387"/>
        <v>0</v>
      </c>
      <c r="AJ1196" s="162">
        <f t="shared" si="387"/>
        <v>0</v>
      </c>
      <c r="AK1196" s="162">
        <f t="shared" si="387"/>
        <v>0</v>
      </c>
      <c r="AL1196" s="162">
        <f t="shared" si="387"/>
        <v>0</v>
      </c>
      <c r="AM1196" s="162">
        <f t="shared" si="387"/>
        <v>0</v>
      </c>
      <c r="AN1196" s="162">
        <f t="shared" si="387"/>
        <v>0</v>
      </c>
      <c r="AO1196" s="162">
        <f t="shared" si="387"/>
        <v>0</v>
      </c>
      <c r="AP1196" s="162">
        <f t="shared" si="387"/>
        <v>0</v>
      </c>
      <c r="AQ1196" s="162">
        <f t="shared" si="387"/>
        <v>0</v>
      </c>
      <c r="AR1196" s="163">
        <f t="shared" si="379"/>
        <v>0</v>
      </c>
      <c r="AT1196" s="208">
        <f>IFERROR(VLOOKUP(J1196,#REF!,10,0),0)</f>
        <v>0</v>
      </c>
    </row>
    <row r="1197" spans="1:46" hidden="1" outlineLevel="1" x14ac:dyDescent="0.25">
      <c r="A1197" s="14" t="str">
        <f t="shared" si="370"/>
        <v>PROP_OPER__43</v>
      </c>
      <c r="B1197" s="15" t="str">
        <f t="shared" si="373"/>
        <v>PROP_OPER__0_0</v>
      </c>
      <c r="C1197" s="83"/>
      <c r="D1197" s="15">
        <v>1</v>
      </c>
      <c r="E1197" s="15">
        <v>43</v>
      </c>
      <c r="F1197" s="190">
        <f t="shared" si="385"/>
        <v>0</v>
      </c>
      <c r="G1197" s="149" t="str">
        <f t="shared" si="385"/>
        <v/>
      </c>
      <c r="H1197" s="150" t="str">
        <f t="shared" si="385"/>
        <v/>
      </c>
      <c r="I1197" s="150">
        <f t="shared" si="385"/>
        <v>0</v>
      </c>
      <c r="J1197" s="150">
        <f t="shared" si="385"/>
        <v>0</v>
      </c>
      <c r="K1197" s="196" t="str">
        <f t="shared" si="385"/>
        <v/>
      </c>
      <c r="L1197" s="197" t="str">
        <f t="shared" si="385"/>
        <v/>
      </c>
      <c r="M1197" s="191">
        <f t="shared" si="385"/>
        <v>0</v>
      </c>
      <c r="N1197" s="150">
        <f t="shared" si="385"/>
        <v>0</v>
      </c>
      <c r="O1197" s="193">
        <f t="shared" si="385"/>
        <v>0</v>
      </c>
      <c r="P1197" s="162">
        <f t="shared" si="386"/>
        <v>0</v>
      </c>
      <c r="Q1197" s="162">
        <f t="shared" si="386"/>
        <v>0</v>
      </c>
      <c r="R1197" s="162">
        <f t="shared" si="386"/>
        <v>0</v>
      </c>
      <c r="S1197" s="162">
        <f t="shared" si="386"/>
        <v>0</v>
      </c>
      <c r="T1197" s="162">
        <f t="shared" si="386"/>
        <v>0</v>
      </c>
      <c r="U1197" s="162">
        <f t="shared" si="386"/>
        <v>0</v>
      </c>
      <c r="V1197" s="162">
        <f t="shared" si="386"/>
        <v>0</v>
      </c>
      <c r="W1197" s="162">
        <f t="shared" si="386"/>
        <v>0</v>
      </c>
      <c r="X1197" s="162">
        <f t="shared" si="386"/>
        <v>0</v>
      </c>
      <c r="Y1197" s="162">
        <f t="shared" si="386"/>
        <v>0</v>
      </c>
      <c r="Z1197" s="162">
        <f t="shared" si="386"/>
        <v>0</v>
      </c>
      <c r="AA1197" s="162">
        <f t="shared" si="386"/>
        <v>0</v>
      </c>
      <c r="AB1197" s="163">
        <f t="shared" si="376"/>
        <v>0</v>
      </c>
      <c r="AC1197" s="198"/>
      <c r="AE1197" s="194" t="str">
        <f t="shared" si="377"/>
        <v/>
      </c>
      <c r="AF1197" s="161">
        <f t="shared" si="387"/>
        <v>0</v>
      </c>
      <c r="AG1197" s="162">
        <f t="shared" si="387"/>
        <v>0</v>
      </c>
      <c r="AH1197" s="162">
        <f t="shared" si="387"/>
        <v>0</v>
      </c>
      <c r="AI1197" s="162">
        <f t="shared" si="387"/>
        <v>0</v>
      </c>
      <c r="AJ1197" s="162">
        <f t="shared" si="387"/>
        <v>0</v>
      </c>
      <c r="AK1197" s="162">
        <f t="shared" si="387"/>
        <v>0</v>
      </c>
      <c r="AL1197" s="162">
        <f t="shared" si="387"/>
        <v>0</v>
      </c>
      <c r="AM1197" s="162">
        <f t="shared" si="387"/>
        <v>0</v>
      </c>
      <c r="AN1197" s="162">
        <f t="shared" si="387"/>
        <v>0</v>
      </c>
      <c r="AO1197" s="162">
        <f t="shared" si="387"/>
        <v>0</v>
      </c>
      <c r="AP1197" s="162">
        <f t="shared" si="387"/>
        <v>0</v>
      </c>
      <c r="AQ1197" s="162">
        <f t="shared" si="387"/>
        <v>0</v>
      </c>
      <c r="AR1197" s="163">
        <f t="shared" si="379"/>
        <v>0</v>
      </c>
      <c r="AT1197" s="208">
        <f>IFERROR(VLOOKUP(J1197,#REF!,10,0),0)</f>
        <v>0</v>
      </c>
    </row>
    <row r="1198" spans="1:46" hidden="1" outlineLevel="1" x14ac:dyDescent="0.25">
      <c r="A1198" s="14" t="str">
        <f t="shared" si="370"/>
        <v>PROP_OPER__44</v>
      </c>
      <c r="B1198" s="15" t="str">
        <f t="shared" si="373"/>
        <v>PROP_OPER__0_0</v>
      </c>
      <c r="C1198" s="83"/>
      <c r="D1198" s="15">
        <v>1</v>
      </c>
      <c r="E1198" s="15">
        <v>44</v>
      </c>
      <c r="F1198" s="190">
        <f t="shared" si="385"/>
        <v>0</v>
      </c>
      <c r="G1198" s="149" t="str">
        <f t="shared" si="385"/>
        <v/>
      </c>
      <c r="H1198" s="150" t="str">
        <f t="shared" si="385"/>
        <v/>
      </c>
      <c r="I1198" s="150">
        <f t="shared" si="385"/>
        <v>0</v>
      </c>
      <c r="J1198" s="150">
        <f t="shared" si="385"/>
        <v>0</v>
      </c>
      <c r="K1198" s="196" t="str">
        <f t="shared" si="385"/>
        <v/>
      </c>
      <c r="L1198" s="197" t="str">
        <f t="shared" si="385"/>
        <v/>
      </c>
      <c r="M1198" s="191">
        <f t="shared" si="385"/>
        <v>0</v>
      </c>
      <c r="N1198" s="150">
        <f t="shared" si="385"/>
        <v>0</v>
      </c>
      <c r="O1198" s="193">
        <f t="shared" si="385"/>
        <v>0</v>
      </c>
      <c r="P1198" s="162">
        <f t="shared" si="386"/>
        <v>0</v>
      </c>
      <c r="Q1198" s="162">
        <f t="shared" si="386"/>
        <v>0</v>
      </c>
      <c r="R1198" s="162">
        <f t="shared" si="386"/>
        <v>0</v>
      </c>
      <c r="S1198" s="162">
        <f t="shared" si="386"/>
        <v>0</v>
      </c>
      <c r="T1198" s="162">
        <f t="shared" si="386"/>
        <v>0</v>
      </c>
      <c r="U1198" s="162">
        <f t="shared" si="386"/>
        <v>0</v>
      </c>
      <c r="V1198" s="162">
        <f t="shared" si="386"/>
        <v>0</v>
      </c>
      <c r="W1198" s="162">
        <f t="shared" si="386"/>
        <v>0</v>
      </c>
      <c r="X1198" s="162">
        <f t="shared" si="386"/>
        <v>0</v>
      </c>
      <c r="Y1198" s="162">
        <f t="shared" si="386"/>
        <v>0</v>
      </c>
      <c r="Z1198" s="162">
        <f t="shared" si="386"/>
        <v>0</v>
      </c>
      <c r="AA1198" s="162">
        <f t="shared" si="386"/>
        <v>0</v>
      </c>
      <c r="AB1198" s="163">
        <f t="shared" si="376"/>
        <v>0</v>
      </c>
      <c r="AC1198" s="198"/>
      <c r="AE1198" s="194" t="str">
        <f t="shared" si="377"/>
        <v/>
      </c>
      <c r="AF1198" s="161">
        <f t="shared" si="387"/>
        <v>0</v>
      </c>
      <c r="AG1198" s="162">
        <f t="shared" si="387"/>
        <v>0</v>
      </c>
      <c r="AH1198" s="162">
        <f t="shared" si="387"/>
        <v>0</v>
      </c>
      <c r="AI1198" s="162">
        <f t="shared" si="387"/>
        <v>0</v>
      </c>
      <c r="AJ1198" s="162">
        <f t="shared" si="387"/>
        <v>0</v>
      </c>
      <c r="AK1198" s="162">
        <f t="shared" si="387"/>
        <v>0</v>
      </c>
      <c r="AL1198" s="162">
        <f t="shared" si="387"/>
        <v>0</v>
      </c>
      <c r="AM1198" s="162">
        <f t="shared" si="387"/>
        <v>0</v>
      </c>
      <c r="AN1198" s="162">
        <f t="shared" si="387"/>
        <v>0</v>
      </c>
      <c r="AO1198" s="162">
        <f t="shared" si="387"/>
        <v>0</v>
      </c>
      <c r="AP1198" s="162">
        <f t="shared" si="387"/>
        <v>0</v>
      </c>
      <c r="AQ1198" s="162">
        <f t="shared" si="387"/>
        <v>0</v>
      </c>
      <c r="AR1198" s="163">
        <f t="shared" si="379"/>
        <v>0</v>
      </c>
      <c r="AT1198" s="208">
        <f>IFERROR(VLOOKUP(J1198,#REF!,10,0),0)</f>
        <v>0</v>
      </c>
    </row>
    <row r="1199" spans="1:46" hidden="1" outlineLevel="1" x14ac:dyDescent="0.25">
      <c r="A1199" s="14" t="str">
        <f t="shared" si="370"/>
        <v>PROP_OPER__45</v>
      </c>
      <c r="B1199" s="15" t="str">
        <f t="shared" si="373"/>
        <v>PROP_OPER__0_0</v>
      </c>
      <c r="C1199" s="83"/>
      <c r="D1199" s="15">
        <v>1</v>
      </c>
      <c r="E1199" s="15">
        <v>45</v>
      </c>
      <c r="F1199" s="209">
        <f t="shared" si="385"/>
        <v>0</v>
      </c>
      <c r="G1199" s="183" t="str">
        <f t="shared" si="385"/>
        <v/>
      </c>
      <c r="H1199" s="184" t="str">
        <f t="shared" si="385"/>
        <v/>
      </c>
      <c r="I1199" s="184">
        <f t="shared" si="385"/>
        <v>0</v>
      </c>
      <c r="J1199" s="184">
        <f t="shared" si="385"/>
        <v>0</v>
      </c>
      <c r="K1199" s="210" t="str">
        <f t="shared" si="385"/>
        <v/>
      </c>
      <c r="L1199" s="211" t="str">
        <f t="shared" si="385"/>
        <v/>
      </c>
      <c r="M1199" s="212">
        <f t="shared" si="385"/>
        <v>0</v>
      </c>
      <c r="N1199" s="184">
        <f t="shared" si="385"/>
        <v>0</v>
      </c>
      <c r="O1199" s="213">
        <f t="shared" si="385"/>
        <v>0</v>
      </c>
      <c r="P1199" s="162">
        <f t="shared" si="386"/>
        <v>0</v>
      </c>
      <c r="Q1199" s="162">
        <f t="shared" si="386"/>
        <v>0</v>
      </c>
      <c r="R1199" s="162">
        <f t="shared" si="386"/>
        <v>0</v>
      </c>
      <c r="S1199" s="162">
        <f t="shared" si="386"/>
        <v>0</v>
      </c>
      <c r="T1199" s="162">
        <f t="shared" si="386"/>
        <v>0</v>
      </c>
      <c r="U1199" s="162">
        <f t="shared" si="386"/>
        <v>0</v>
      </c>
      <c r="V1199" s="162">
        <f t="shared" si="386"/>
        <v>0</v>
      </c>
      <c r="W1199" s="162">
        <f t="shared" si="386"/>
        <v>0</v>
      </c>
      <c r="X1199" s="162">
        <f t="shared" si="386"/>
        <v>0</v>
      </c>
      <c r="Y1199" s="162">
        <f t="shared" si="386"/>
        <v>0</v>
      </c>
      <c r="Z1199" s="162">
        <f t="shared" si="386"/>
        <v>0</v>
      </c>
      <c r="AA1199" s="162">
        <f t="shared" si="386"/>
        <v>0</v>
      </c>
      <c r="AB1199" s="176">
        <f t="shared" si="376"/>
        <v>0</v>
      </c>
      <c r="AC1199" s="172"/>
      <c r="AE1199" s="195" t="str">
        <f t="shared" si="377"/>
        <v/>
      </c>
      <c r="AF1199" s="174">
        <f t="shared" si="387"/>
        <v>0</v>
      </c>
      <c r="AG1199" s="175">
        <f t="shared" si="387"/>
        <v>0</v>
      </c>
      <c r="AH1199" s="175">
        <f t="shared" si="387"/>
        <v>0</v>
      </c>
      <c r="AI1199" s="175">
        <f t="shared" si="387"/>
        <v>0</v>
      </c>
      <c r="AJ1199" s="175">
        <f t="shared" si="387"/>
        <v>0</v>
      </c>
      <c r="AK1199" s="175">
        <f t="shared" si="387"/>
        <v>0</v>
      </c>
      <c r="AL1199" s="175">
        <f t="shared" si="387"/>
        <v>0</v>
      </c>
      <c r="AM1199" s="175">
        <f t="shared" si="387"/>
        <v>0</v>
      </c>
      <c r="AN1199" s="175">
        <f t="shared" si="387"/>
        <v>0</v>
      </c>
      <c r="AO1199" s="175">
        <f t="shared" si="387"/>
        <v>0</v>
      </c>
      <c r="AP1199" s="175">
        <f t="shared" si="387"/>
        <v>0</v>
      </c>
      <c r="AQ1199" s="175">
        <f t="shared" si="387"/>
        <v>0</v>
      </c>
      <c r="AR1199" s="176">
        <f t="shared" si="379"/>
        <v>0</v>
      </c>
      <c r="AT1199" s="208">
        <f>IFERROR(VLOOKUP(J1199,#REF!,10,0),0)</f>
        <v>0</v>
      </c>
    </row>
    <row r="1200" spans="1:46" hidden="1" outlineLevel="1" x14ac:dyDescent="0.25">
      <c r="A1200" s="14" t="str">
        <f t="shared" si="370"/>
        <v>PROP_OPER__</v>
      </c>
      <c r="F1200" s="137" t="s">
        <v>283</v>
      </c>
      <c r="G1200" s="138"/>
      <c r="H1200" s="139" t="s">
        <v>217</v>
      </c>
      <c r="I1200" s="139"/>
      <c r="J1200" s="139" t="s">
        <v>229</v>
      </c>
      <c r="K1200" s="140"/>
      <c r="L1200" s="141"/>
      <c r="M1200" s="142" t="s">
        <v>220</v>
      </c>
      <c r="N1200" s="139" t="s">
        <v>221</v>
      </c>
      <c r="O1200" s="143" t="s">
        <v>222</v>
      </c>
      <c r="P1200" s="35">
        <f t="shared" ref="P1200:AA1200" si="388">P$9</f>
        <v>46113</v>
      </c>
      <c r="Q1200" s="35">
        <f t="shared" si="388"/>
        <v>46143</v>
      </c>
      <c r="R1200" s="35">
        <f t="shared" si="388"/>
        <v>46174</v>
      </c>
      <c r="S1200" s="35">
        <f t="shared" si="388"/>
        <v>46204</v>
      </c>
      <c r="T1200" s="35">
        <f t="shared" si="388"/>
        <v>46235</v>
      </c>
      <c r="U1200" s="35">
        <f t="shared" si="388"/>
        <v>46266</v>
      </c>
      <c r="V1200" s="35">
        <f t="shared" si="388"/>
        <v>46296</v>
      </c>
      <c r="W1200" s="35">
        <f t="shared" si="388"/>
        <v>46327</v>
      </c>
      <c r="X1200" s="35">
        <f t="shared" si="388"/>
        <v>46357</v>
      </c>
      <c r="Y1200" s="35">
        <f t="shared" si="388"/>
        <v>46388</v>
      </c>
      <c r="Z1200" s="35">
        <f t="shared" si="388"/>
        <v>46419</v>
      </c>
      <c r="AA1200" s="35">
        <f t="shared" si="388"/>
        <v>46447</v>
      </c>
      <c r="AB1200" s="81" t="s">
        <v>223</v>
      </c>
      <c r="AC1200" s="82" t="s">
        <v>192</v>
      </c>
      <c r="AE1200" s="189" t="str">
        <f>"Qtde Recursos em: "&amp;F1200</f>
        <v>Qtde Recursos em: PLANTIO MECANIZADO - EXPANSÃO</v>
      </c>
      <c r="AF1200" s="147">
        <f>P1200</f>
        <v>46113</v>
      </c>
      <c r="AG1200" s="35">
        <f t="shared" ref="AG1200:AQ1200" si="389">Q1200</f>
        <v>46143</v>
      </c>
      <c r="AH1200" s="35">
        <f t="shared" si="389"/>
        <v>46174</v>
      </c>
      <c r="AI1200" s="35">
        <f t="shared" si="389"/>
        <v>46204</v>
      </c>
      <c r="AJ1200" s="35">
        <f t="shared" si="389"/>
        <v>46235</v>
      </c>
      <c r="AK1200" s="35">
        <f t="shared" si="389"/>
        <v>46266</v>
      </c>
      <c r="AL1200" s="35">
        <f t="shared" si="389"/>
        <v>46296</v>
      </c>
      <c r="AM1200" s="35">
        <f t="shared" si="389"/>
        <v>46327</v>
      </c>
      <c r="AN1200" s="35">
        <f t="shared" si="389"/>
        <v>46357</v>
      </c>
      <c r="AO1200" s="35">
        <f t="shared" si="389"/>
        <v>46388</v>
      </c>
      <c r="AP1200" s="35">
        <f t="shared" si="389"/>
        <v>46419</v>
      </c>
      <c r="AQ1200" s="35">
        <f t="shared" si="389"/>
        <v>46447</v>
      </c>
      <c r="AR1200" s="81" t="s">
        <v>223</v>
      </c>
      <c r="AT1200" s="189" t="s">
        <v>258</v>
      </c>
    </row>
    <row r="1201" spans="1:46" hidden="1" outlineLevel="1" x14ac:dyDescent="0.25">
      <c r="A1201" s="14" t="str">
        <f t="shared" si="370"/>
        <v>PROP_OPER__1</v>
      </c>
      <c r="B1201" s="15" t="str">
        <f t="shared" ref="B1201:B1245" si="390">"PROP_OPER_"&amp;C1201&amp;"_"&amp;F1201&amp;"_"&amp;J1201</f>
        <v>PROP_OPER__1018_0</v>
      </c>
      <c r="C1201" s="83"/>
      <c r="D1201" s="15">
        <v>1</v>
      </c>
      <c r="E1201" s="15">
        <v>1</v>
      </c>
      <c r="F1201" s="190">
        <f>F1155</f>
        <v>1018</v>
      </c>
      <c r="G1201" s="149" t="str">
        <f t="shared" ref="G1201:O1201" si="391">G1155</f>
        <v/>
      </c>
      <c r="H1201" s="150" t="str">
        <f t="shared" si="391"/>
        <v/>
      </c>
      <c r="I1201" s="150" t="str">
        <f t="shared" si="391"/>
        <v>PLANCP</v>
      </c>
      <c r="J1201" s="150">
        <f t="shared" si="391"/>
        <v>0</v>
      </c>
      <c r="K1201" s="196" t="str">
        <f t="shared" si="391"/>
        <v/>
      </c>
      <c r="L1201" s="197" t="str">
        <f t="shared" si="391"/>
        <v/>
      </c>
      <c r="M1201" s="191">
        <f t="shared" si="391"/>
        <v>0</v>
      </c>
      <c r="N1201" s="150">
        <f t="shared" si="391"/>
        <v>0</v>
      </c>
      <c r="O1201" s="193">
        <f t="shared" si="391"/>
        <v>1</v>
      </c>
      <c r="P1201" s="162">
        <f t="shared" ref="P1201:AA1214" si="392">IFERROR(SUMIF($B$483:$B$547,$C1201&amp;$I1201,P$483:P$547)/SUMIF($D$483:$D$547,$I1201,P$483:P$547)*P598,0)</f>
        <v>0</v>
      </c>
      <c r="Q1201" s="162">
        <f t="shared" si="392"/>
        <v>0</v>
      </c>
      <c r="R1201" s="162">
        <f t="shared" si="392"/>
        <v>0</v>
      </c>
      <c r="S1201" s="162">
        <f t="shared" si="392"/>
        <v>0</v>
      </c>
      <c r="T1201" s="162">
        <f t="shared" si="392"/>
        <v>0</v>
      </c>
      <c r="U1201" s="162">
        <f t="shared" si="392"/>
        <v>0</v>
      </c>
      <c r="V1201" s="162">
        <f t="shared" si="392"/>
        <v>0</v>
      </c>
      <c r="W1201" s="162">
        <f t="shared" si="392"/>
        <v>0</v>
      </c>
      <c r="X1201" s="162">
        <f t="shared" si="392"/>
        <v>0</v>
      </c>
      <c r="Y1201" s="162">
        <f t="shared" si="392"/>
        <v>0</v>
      </c>
      <c r="Z1201" s="162">
        <f t="shared" si="392"/>
        <v>0</v>
      </c>
      <c r="AA1201" s="162">
        <f t="shared" si="392"/>
        <v>0</v>
      </c>
      <c r="AB1201" s="163">
        <f t="shared" ref="AB1201:AB1245" si="393">SUM(P1201:AA1201)</f>
        <v>0</v>
      </c>
      <c r="AC1201" s="198"/>
      <c r="AE1201" s="194" t="str">
        <f t="shared" ref="AE1201:AE1245" si="394">AE1109</f>
        <v/>
      </c>
      <c r="AF1201" s="161">
        <f t="shared" ref="AF1201:AQ1214" si="395">IFERROR(SUMIF($B$483:$B$547,$C1201&amp;$I1201,P$483:P$547)/SUMIF($D$483:$D$547,$I1201,P$483:P$547)*AF598,0)</f>
        <v>0</v>
      </c>
      <c r="AG1201" s="162">
        <f t="shared" si="395"/>
        <v>0</v>
      </c>
      <c r="AH1201" s="162">
        <f t="shared" si="395"/>
        <v>0</v>
      </c>
      <c r="AI1201" s="162">
        <f t="shared" si="395"/>
        <v>0</v>
      </c>
      <c r="AJ1201" s="162">
        <f t="shared" si="395"/>
        <v>0</v>
      </c>
      <c r="AK1201" s="162">
        <f t="shared" si="395"/>
        <v>0</v>
      </c>
      <c r="AL1201" s="162">
        <f t="shared" si="395"/>
        <v>0</v>
      </c>
      <c r="AM1201" s="162">
        <f t="shared" si="395"/>
        <v>0</v>
      </c>
      <c r="AN1201" s="162">
        <f t="shared" si="395"/>
        <v>0</v>
      </c>
      <c r="AO1201" s="162">
        <f t="shared" si="395"/>
        <v>0</v>
      </c>
      <c r="AP1201" s="162">
        <f t="shared" si="395"/>
        <v>0</v>
      </c>
      <c r="AQ1201" s="162">
        <f t="shared" si="395"/>
        <v>0</v>
      </c>
      <c r="AR1201" s="163">
        <f t="shared" ref="AR1201:AR1245" si="396">SUM(AF1201:AQ1201)</f>
        <v>0</v>
      </c>
      <c r="AT1201" s="207">
        <f>IFERROR(VLOOKUP(J1201,#REF!,10,0),0)</f>
        <v>0</v>
      </c>
    </row>
    <row r="1202" spans="1:46" hidden="1" outlineLevel="1" x14ac:dyDescent="0.25">
      <c r="A1202" s="14" t="str">
        <f t="shared" si="370"/>
        <v>PROP_OPER__2</v>
      </c>
      <c r="B1202" s="15" t="str">
        <f t="shared" si="390"/>
        <v>PROP_OPER__1023_0</v>
      </c>
      <c r="C1202" s="83"/>
      <c r="D1202" s="15">
        <v>1</v>
      </c>
      <c r="E1202" s="15">
        <v>2</v>
      </c>
      <c r="F1202" s="190">
        <f t="shared" ref="F1202:O1217" si="397">F1156</f>
        <v>1023</v>
      </c>
      <c r="G1202" s="149" t="str">
        <f t="shared" si="397"/>
        <v/>
      </c>
      <c r="H1202" s="150" t="str">
        <f t="shared" si="397"/>
        <v/>
      </c>
      <c r="I1202" s="150" t="str">
        <f t="shared" si="397"/>
        <v>PLANCP</v>
      </c>
      <c r="J1202" s="150">
        <f t="shared" si="397"/>
        <v>0</v>
      </c>
      <c r="K1202" s="196" t="str">
        <f t="shared" si="397"/>
        <v/>
      </c>
      <c r="L1202" s="197" t="str">
        <f t="shared" si="397"/>
        <v/>
      </c>
      <c r="M1202" s="191">
        <f t="shared" si="397"/>
        <v>0</v>
      </c>
      <c r="N1202" s="150">
        <f t="shared" si="397"/>
        <v>0</v>
      </c>
      <c r="O1202" s="193">
        <f t="shared" si="397"/>
        <v>1</v>
      </c>
      <c r="P1202" s="162">
        <f t="shared" si="392"/>
        <v>0</v>
      </c>
      <c r="Q1202" s="162">
        <f t="shared" si="392"/>
        <v>0</v>
      </c>
      <c r="R1202" s="162">
        <f t="shared" si="392"/>
        <v>0</v>
      </c>
      <c r="S1202" s="162">
        <f t="shared" si="392"/>
        <v>0</v>
      </c>
      <c r="T1202" s="162">
        <f t="shared" si="392"/>
        <v>0</v>
      </c>
      <c r="U1202" s="162">
        <f t="shared" si="392"/>
        <v>0</v>
      </c>
      <c r="V1202" s="162">
        <f t="shared" si="392"/>
        <v>0</v>
      </c>
      <c r="W1202" s="162">
        <f t="shared" si="392"/>
        <v>0</v>
      </c>
      <c r="X1202" s="162">
        <f t="shared" si="392"/>
        <v>0</v>
      </c>
      <c r="Y1202" s="162">
        <f t="shared" si="392"/>
        <v>0</v>
      </c>
      <c r="Z1202" s="162">
        <f t="shared" si="392"/>
        <v>0</v>
      </c>
      <c r="AA1202" s="162">
        <f t="shared" si="392"/>
        <v>0</v>
      </c>
      <c r="AB1202" s="163">
        <f t="shared" si="393"/>
        <v>0</v>
      </c>
      <c r="AC1202" s="198"/>
      <c r="AE1202" s="194" t="str">
        <f t="shared" si="394"/>
        <v/>
      </c>
      <c r="AF1202" s="161">
        <f t="shared" si="395"/>
        <v>0</v>
      </c>
      <c r="AG1202" s="162">
        <f t="shared" si="395"/>
        <v>0</v>
      </c>
      <c r="AH1202" s="162">
        <f t="shared" si="395"/>
        <v>0</v>
      </c>
      <c r="AI1202" s="162">
        <f t="shared" si="395"/>
        <v>0</v>
      </c>
      <c r="AJ1202" s="162">
        <f t="shared" si="395"/>
        <v>0</v>
      </c>
      <c r="AK1202" s="162">
        <f t="shared" si="395"/>
        <v>0</v>
      </c>
      <c r="AL1202" s="162">
        <f t="shared" si="395"/>
        <v>0</v>
      </c>
      <c r="AM1202" s="162">
        <f t="shared" si="395"/>
        <v>0</v>
      </c>
      <c r="AN1202" s="162">
        <f t="shared" si="395"/>
        <v>0</v>
      </c>
      <c r="AO1202" s="162">
        <f t="shared" si="395"/>
        <v>0</v>
      </c>
      <c r="AP1202" s="162">
        <f t="shared" si="395"/>
        <v>0</v>
      </c>
      <c r="AQ1202" s="162">
        <f t="shared" si="395"/>
        <v>0</v>
      </c>
      <c r="AR1202" s="163">
        <f t="shared" si="396"/>
        <v>0</v>
      </c>
      <c r="AT1202" s="208">
        <f>IFERROR(VLOOKUP(J1202,#REF!,10,0),0)</f>
        <v>0</v>
      </c>
    </row>
    <row r="1203" spans="1:46" hidden="1" outlineLevel="1" x14ac:dyDescent="0.25">
      <c r="A1203" s="14" t="str">
        <f t="shared" si="370"/>
        <v>PROP_OPER__3</v>
      </c>
      <c r="B1203" s="15" t="str">
        <f t="shared" si="390"/>
        <v>PROP_OPER__1018_0</v>
      </c>
      <c r="C1203" s="83"/>
      <c r="D1203" s="15">
        <v>1</v>
      </c>
      <c r="E1203" s="15">
        <v>3</v>
      </c>
      <c r="F1203" s="190">
        <f t="shared" si="397"/>
        <v>1018</v>
      </c>
      <c r="G1203" s="149" t="str">
        <f t="shared" si="397"/>
        <v/>
      </c>
      <c r="H1203" s="150" t="str">
        <f t="shared" si="397"/>
        <v/>
      </c>
      <c r="I1203" s="150" t="str">
        <f t="shared" si="397"/>
        <v>PLANCF</v>
      </c>
      <c r="J1203" s="150">
        <f t="shared" si="397"/>
        <v>0</v>
      </c>
      <c r="K1203" s="196" t="str">
        <f t="shared" si="397"/>
        <v/>
      </c>
      <c r="L1203" s="197" t="str">
        <f t="shared" si="397"/>
        <v/>
      </c>
      <c r="M1203" s="191">
        <f t="shared" si="397"/>
        <v>0</v>
      </c>
      <c r="N1203" s="150">
        <f t="shared" si="397"/>
        <v>0</v>
      </c>
      <c r="O1203" s="193">
        <f t="shared" si="397"/>
        <v>1</v>
      </c>
      <c r="P1203" s="162">
        <f t="shared" si="392"/>
        <v>0</v>
      </c>
      <c r="Q1203" s="162">
        <f t="shared" si="392"/>
        <v>0</v>
      </c>
      <c r="R1203" s="162">
        <f t="shared" si="392"/>
        <v>0</v>
      </c>
      <c r="S1203" s="162">
        <f t="shared" si="392"/>
        <v>0</v>
      </c>
      <c r="T1203" s="162">
        <f t="shared" si="392"/>
        <v>0</v>
      </c>
      <c r="U1203" s="162">
        <f t="shared" si="392"/>
        <v>0</v>
      </c>
      <c r="V1203" s="162">
        <f t="shared" si="392"/>
        <v>0</v>
      </c>
      <c r="W1203" s="162">
        <f t="shared" si="392"/>
        <v>0</v>
      </c>
      <c r="X1203" s="162">
        <f t="shared" si="392"/>
        <v>0</v>
      </c>
      <c r="Y1203" s="162">
        <f t="shared" si="392"/>
        <v>0</v>
      </c>
      <c r="Z1203" s="162">
        <f t="shared" si="392"/>
        <v>0</v>
      </c>
      <c r="AA1203" s="162">
        <f t="shared" si="392"/>
        <v>0</v>
      </c>
      <c r="AB1203" s="163">
        <f t="shared" si="393"/>
        <v>0</v>
      </c>
      <c r="AC1203" s="198"/>
      <c r="AE1203" s="194" t="str">
        <f t="shared" si="394"/>
        <v/>
      </c>
      <c r="AF1203" s="161">
        <f t="shared" si="395"/>
        <v>0</v>
      </c>
      <c r="AG1203" s="162">
        <f t="shared" si="395"/>
        <v>0</v>
      </c>
      <c r="AH1203" s="162">
        <f t="shared" si="395"/>
        <v>0</v>
      </c>
      <c r="AI1203" s="162">
        <f t="shared" si="395"/>
        <v>0</v>
      </c>
      <c r="AJ1203" s="162">
        <f t="shared" si="395"/>
        <v>0</v>
      </c>
      <c r="AK1203" s="162">
        <f t="shared" si="395"/>
        <v>0</v>
      </c>
      <c r="AL1203" s="162">
        <f t="shared" si="395"/>
        <v>0</v>
      </c>
      <c r="AM1203" s="162">
        <f t="shared" si="395"/>
        <v>0</v>
      </c>
      <c r="AN1203" s="162">
        <f t="shared" si="395"/>
        <v>0</v>
      </c>
      <c r="AO1203" s="162">
        <f t="shared" si="395"/>
        <v>0</v>
      </c>
      <c r="AP1203" s="162">
        <f t="shared" si="395"/>
        <v>0</v>
      </c>
      <c r="AQ1203" s="162">
        <f t="shared" si="395"/>
        <v>0</v>
      </c>
      <c r="AR1203" s="163">
        <f t="shared" si="396"/>
        <v>0</v>
      </c>
      <c r="AT1203" s="208">
        <f>IFERROR(VLOOKUP(J1203,#REF!,10,0),0)</f>
        <v>0</v>
      </c>
    </row>
    <row r="1204" spans="1:46" hidden="1" outlineLevel="1" x14ac:dyDescent="0.25">
      <c r="A1204" s="14" t="str">
        <f t="shared" si="370"/>
        <v>PROP_OPER__4</v>
      </c>
      <c r="B1204" s="15" t="str">
        <f t="shared" si="390"/>
        <v>PROP_OPER__1023_0</v>
      </c>
      <c r="C1204" s="83"/>
      <c r="D1204" s="15">
        <v>1</v>
      </c>
      <c r="E1204" s="15">
        <v>4</v>
      </c>
      <c r="F1204" s="190">
        <f t="shared" si="397"/>
        <v>1023</v>
      </c>
      <c r="G1204" s="149" t="str">
        <f t="shared" si="397"/>
        <v/>
      </c>
      <c r="H1204" s="150" t="str">
        <f t="shared" si="397"/>
        <v/>
      </c>
      <c r="I1204" s="150" t="str">
        <f t="shared" si="397"/>
        <v>PLANCF</v>
      </c>
      <c r="J1204" s="150">
        <f t="shared" si="397"/>
        <v>0</v>
      </c>
      <c r="K1204" s="196" t="str">
        <f t="shared" si="397"/>
        <v/>
      </c>
      <c r="L1204" s="197" t="str">
        <f t="shared" si="397"/>
        <v/>
      </c>
      <c r="M1204" s="191">
        <f t="shared" si="397"/>
        <v>0</v>
      </c>
      <c r="N1204" s="150">
        <f t="shared" si="397"/>
        <v>0</v>
      </c>
      <c r="O1204" s="193">
        <f t="shared" si="397"/>
        <v>1</v>
      </c>
      <c r="P1204" s="162">
        <f t="shared" si="392"/>
        <v>0</v>
      </c>
      <c r="Q1204" s="162">
        <f t="shared" si="392"/>
        <v>0</v>
      </c>
      <c r="R1204" s="162">
        <f t="shared" si="392"/>
        <v>0</v>
      </c>
      <c r="S1204" s="162">
        <f t="shared" si="392"/>
        <v>0</v>
      </c>
      <c r="T1204" s="162">
        <f t="shared" si="392"/>
        <v>0</v>
      </c>
      <c r="U1204" s="162">
        <f t="shared" si="392"/>
        <v>0</v>
      </c>
      <c r="V1204" s="162">
        <f t="shared" si="392"/>
        <v>0</v>
      </c>
      <c r="W1204" s="162">
        <f t="shared" si="392"/>
        <v>0</v>
      </c>
      <c r="X1204" s="162">
        <f t="shared" si="392"/>
        <v>0</v>
      </c>
      <c r="Y1204" s="162">
        <f t="shared" si="392"/>
        <v>0</v>
      </c>
      <c r="Z1204" s="162">
        <f t="shared" si="392"/>
        <v>0</v>
      </c>
      <c r="AA1204" s="162">
        <f t="shared" si="392"/>
        <v>0</v>
      </c>
      <c r="AB1204" s="163">
        <f t="shared" si="393"/>
        <v>0</v>
      </c>
      <c r="AC1204" s="159"/>
      <c r="AE1204" s="194" t="str">
        <f t="shared" si="394"/>
        <v/>
      </c>
      <c r="AF1204" s="161">
        <f t="shared" si="395"/>
        <v>0</v>
      </c>
      <c r="AG1204" s="162">
        <f t="shared" si="395"/>
        <v>0</v>
      </c>
      <c r="AH1204" s="162">
        <f t="shared" si="395"/>
        <v>0</v>
      </c>
      <c r="AI1204" s="162">
        <f t="shared" si="395"/>
        <v>0</v>
      </c>
      <c r="AJ1204" s="162">
        <f t="shared" si="395"/>
        <v>0</v>
      </c>
      <c r="AK1204" s="162">
        <f t="shared" si="395"/>
        <v>0</v>
      </c>
      <c r="AL1204" s="162">
        <f t="shared" si="395"/>
        <v>0</v>
      </c>
      <c r="AM1204" s="162">
        <f t="shared" si="395"/>
        <v>0</v>
      </c>
      <c r="AN1204" s="162">
        <f t="shared" si="395"/>
        <v>0</v>
      </c>
      <c r="AO1204" s="162">
        <f t="shared" si="395"/>
        <v>0</v>
      </c>
      <c r="AP1204" s="162">
        <f t="shared" si="395"/>
        <v>0</v>
      </c>
      <c r="AQ1204" s="162">
        <f t="shared" si="395"/>
        <v>0</v>
      </c>
      <c r="AR1204" s="163">
        <f t="shared" si="396"/>
        <v>0</v>
      </c>
      <c r="AT1204" s="208">
        <f>IFERROR(VLOOKUP(J1204,#REF!,10,0),0)</f>
        <v>0</v>
      </c>
    </row>
    <row r="1205" spans="1:46" hidden="1" outlineLevel="1" x14ac:dyDescent="0.25">
      <c r="A1205" s="14" t="str">
        <f t="shared" si="370"/>
        <v>PROP_OPER__5</v>
      </c>
      <c r="B1205" s="15" t="str">
        <f t="shared" si="390"/>
        <v>PROP_OPER__1044_0</v>
      </c>
      <c r="C1205" s="83"/>
      <c r="D1205" s="15">
        <v>1</v>
      </c>
      <c r="E1205" s="15">
        <v>5</v>
      </c>
      <c r="F1205" s="190">
        <f t="shared" si="397"/>
        <v>1044</v>
      </c>
      <c r="G1205" s="149" t="str">
        <f t="shared" si="397"/>
        <v/>
      </c>
      <c r="H1205" s="150" t="str">
        <f t="shared" si="397"/>
        <v/>
      </c>
      <c r="I1205" s="150" t="str">
        <f t="shared" si="397"/>
        <v>PLANMP</v>
      </c>
      <c r="J1205" s="150">
        <f t="shared" si="397"/>
        <v>0</v>
      </c>
      <c r="K1205" s="196" t="str">
        <f t="shared" si="397"/>
        <v/>
      </c>
      <c r="L1205" s="197" t="str">
        <f t="shared" si="397"/>
        <v/>
      </c>
      <c r="M1205" s="191">
        <f t="shared" si="397"/>
        <v>0</v>
      </c>
      <c r="N1205" s="150">
        <f t="shared" si="397"/>
        <v>0</v>
      </c>
      <c r="O1205" s="193">
        <f t="shared" si="397"/>
        <v>1</v>
      </c>
      <c r="P1205" s="162">
        <f t="shared" si="392"/>
        <v>0</v>
      </c>
      <c r="Q1205" s="162">
        <f t="shared" si="392"/>
        <v>0</v>
      </c>
      <c r="R1205" s="162">
        <f t="shared" si="392"/>
        <v>0</v>
      </c>
      <c r="S1205" s="162">
        <f t="shared" si="392"/>
        <v>0</v>
      </c>
      <c r="T1205" s="162">
        <f t="shared" si="392"/>
        <v>0</v>
      </c>
      <c r="U1205" s="162">
        <f t="shared" si="392"/>
        <v>0</v>
      </c>
      <c r="V1205" s="162">
        <f t="shared" si="392"/>
        <v>0</v>
      </c>
      <c r="W1205" s="162">
        <f t="shared" si="392"/>
        <v>0</v>
      </c>
      <c r="X1205" s="162">
        <f t="shared" si="392"/>
        <v>0</v>
      </c>
      <c r="Y1205" s="162">
        <f t="shared" si="392"/>
        <v>0</v>
      </c>
      <c r="Z1205" s="162">
        <f t="shared" si="392"/>
        <v>0</v>
      </c>
      <c r="AA1205" s="162">
        <f t="shared" si="392"/>
        <v>0</v>
      </c>
      <c r="AB1205" s="163">
        <f t="shared" si="393"/>
        <v>0</v>
      </c>
      <c r="AC1205" s="159"/>
      <c r="AE1205" s="194" t="str">
        <f t="shared" si="394"/>
        <v/>
      </c>
      <c r="AF1205" s="161">
        <f t="shared" si="395"/>
        <v>0</v>
      </c>
      <c r="AG1205" s="162">
        <f t="shared" si="395"/>
        <v>0</v>
      </c>
      <c r="AH1205" s="162">
        <f t="shared" si="395"/>
        <v>0</v>
      </c>
      <c r="AI1205" s="162">
        <f t="shared" si="395"/>
        <v>0</v>
      </c>
      <c r="AJ1205" s="162">
        <f t="shared" si="395"/>
        <v>0</v>
      </c>
      <c r="AK1205" s="162">
        <f t="shared" si="395"/>
        <v>0</v>
      </c>
      <c r="AL1205" s="162">
        <f t="shared" si="395"/>
        <v>0</v>
      </c>
      <c r="AM1205" s="162">
        <f t="shared" si="395"/>
        <v>0</v>
      </c>
      <c r="AN1205" s="162">
        <f t="shared" si="395"/>
        <v>0</v>
      </c>
      <c r="AO1205" s="162">
        <f t="shared" si="395"/>
        <v>0</v>
      </c>
      <c r="AP1205" s="162">
        <f t="shared" si="395"/>
        <v>0</v>
      </c>
      <c r="AQ1205" s="162">
        <f t="shared" si="395"/>
        <v>0</v>
      </c>
      <c r="AR1205" s="163">
        <f t="shared" si="396"/>
        <v>0</v>
      </c>
      <c r="AT1205" s="208">
        <f>IFERROR(VLOOKUP(J1205,#REF!,10,0),0)</f>
        <v>0</v>
      </c>
    </row>
    <row r="1206" spans="1:46" hidden="1" outlineLevel="1" x14ac:dyDescent="0.25">
      <c r="A1206" s="14" t="str">
        <f t="shared" si="370"/>
        <v>PROP_OPER__6</v>
      </c>
      <c r="B1206" s="15" t="str">
        <f t="shared" si="390"/>
        <v>PROP_OPER__1033_0</v>
      </c>
      <c r="C1206" s="83"/>
      <c r="D1206" s="15">
        <v>1</v>
      </c>
      <c r="E1206" s="15">
        <v>6</v>
      </c>
      <c r="F1206" s="190">
        <f t="shared" si="397"/>
        <v>1033</v>
      </c>
      <c r="G1206" s="149" t="str">
        <f t="shared" si="397"/>
        <v/>
      </c>
      <c r="H1206" s="150" t="str">
        <f t="shared" si="397"/>
        <v/>
      </c>
      <c r="I1206" s="150" t="str">
        <f t="shared" si="397"/>
        <v>PLANCP</v>
      </c>
      <c r="J1206" s="150">
        <f t="shared" si="397"/>
        <v>0</v>
      </c>
      <c r="K1206" s="196" t="str">
        <f t="shared" si="397"/>
        <v/>
      </c>
      <c r="L1206" s="197" t="str">
        <f t="shared" si="397"/>
        <v/>
      </c>
      <c r="M1206" s="191">
        <f t="shared" si="397"/>
        <v>0</v>
      </c>
      <c r="N1206" s="150">
        <f t="shared" si="397"/>
        <v>0</v>
      </c>
      <c r="O1206" s="193">
        <f t="shared" si="397"/>
        <v>1</v>
      </c>
      <c r="P1206" s="162">
        <f t="shared" si="392"/>
        <v>0</v>
      </c>
      <c r="Q1206" s="162">
        <f t="shared" si="392"/>
        <v>0</v>
      </c>
      <c r="R1206" s="162">
        <f t="shared" si="392"/>
        <v>0</v>
      </c>
      <c r="S1206" s="162">
        <f t="shared" si="392"/>
        <v>0</v>
      </c>
      <c r="T1206" s="162">
        <f t="shared" si="392"/>
        <v>0</v>
      </c>
      <c r="U1206" s="162">
        <f t="shared" si="392"/>
        <v>0</v>
      </c>
      <c r="V1206" s="162">
        <f t="shared" si="392"/>
        <v>0</v>
      </c>
      <c r="W1206" s="162">
        <f t="shared" si="392"/>
        <v>0</v>
      </c>
      <c r="X1206" s="162">
        <f t="shared" si="392"/>
        <v>0</v>
      </c>
      <c r="Y1206" s="162">
        <f t="shared" si="392"/>
        <v>0</v>
      </c>
      <c r="Z1206" s="162">
        <f t="shared" si="392"/>
        <v>0</v>
      </c>
      <c r="AA1206" s="162">
        <f t="shared" si="392"/>
        <v>0</v>
      </c>
      <c r="AB1206" s="163">
        <f t="shared" si="393"/>
        <v>0</v>
      </c>
      <c r="AC1206" s="159"/>
      <c r="AE1206" s="194" t="str">
        <f t="shared" si="394"/>
        <v/>
      </c>
      <c r="AF1206" s="161">
        <f t="shared" si="395"/>
        <v>0</v>
      </c>
      <c r="AG1206" s="162">
        <f t="shared" si="395"/>
        <v>0</v>
      </c>
      <c r="AH1206" s="162">
        <f t="shared" si="395"/>
        <v>0</v>
      </c>
      <c r="AI1206" s="162">
        <f t="shared" si="395"/>
        <v>0</v>
      </c>
      <c r="AJ1206" s="162">
        <f t="shared" si="395"/>
        <v>0</v>
      </c>
      <c r="AK1206" s="162">
        <f t="shared" si="395"/>
        <v>0</v>
      </c>
      <c r="AL1206" s="162">
        <f t="shared" si="395"/>
        <v>0</v>
      </c>
      <c r="AM1206" s="162">
        <f t="shared" si="395"/>
        <v>0</v>
      </c>
      <c r="AN1206" s="162">
        <f t="shared" si="395"/>
        <v>0</v>
      </c>
      <c r="AO1206" s="162">
        <f t="shared" si="395"/>
        <v>0</v>
      </c>
      <c r="AP1206" s="162">
        <f t="shared" si="395"/>
        <v>0</v>
      </c>
      <c r="AQ1206" s="162">
        <f t="shared" si="395"/>
        <v>0</v>
      </c>
      <c r="AR1206" s="163">
        <f t="shared" si="396"/>
        <v>0</v>
      </c>
      <c r="AT1206" s="208">
        <f>IFERROR(VLOOKUP(J1206,#REF!,10,0),0)</f>
        <v>0</v>
      </c>
    </row>
    <row r="1207" spans="1:46" hidden="1" outlineLevel="1" x14ac:dyDescent="0.25">
      <c r="A1207" s="14" t="str">
        <f t="shared" si="370"/>
        <v>PROP_OPER__7</v>
      </c>
      <c r="B1207" s="15" t="str">
        <f t="shared" si="390"/>
        <v>PROP_OPER__0_0</v>
      </c>
      <c r="C1207" s="83"/>
      <c r="D1207" s="15">
        <v>1</v>
      </c>
      <c r="E1207" s="15">
        <v>7</v>
      </c>
      <c r="F1207" s="190">
        <f t="shared" si="397"/>
        <v>0</v>
      </c>
      <c r="G1207" s="149" t="str">
        <f t="shared" si="397"/>
        <v/>
      </c>
      <c r="H1207" s="150" t="str">
        <f t="shared" si="397"/>
        <v/>
      </c>
      <c r="I1207" s="150">
        <f t="shared" si="397"/>
        <v>0</v>
      </c>
      <c r="J1207" s="150">
        <f t="shared" si="397"/>
        <v>0</v>
      </c>
      <c r="K1207" s="196" t="str">
        <f t="shared" si="397"/>
        <v/>
      </c>
      <c r="L1207" s="197" t="str">
        <f t="shared" si="397"/>
        <v/>
      </c>
      <c r="M1207" s="191">
        <f t="shared" si="397"/>
        <v>0</v>
      </c>
      <c r="N1207" s="150">
        <f t="shared" si="397"/>
        <v>0</v>
      </c>
      <c r="O1207" s="193">
        <f t="shared" si="397"/>
        <v>0</v>
      </c>
      <c r="P1207" s="162">
        <f t="shared" si="392"/>
        <v>0</v>
      </c>
      <c r="Q1207" s="162">
        <f t="shared" si="392"/>
        <v>0</v>
      </c>
      <c r="R1207" s="162">
        <f t="shared" si="392"/>
        <v>0</v>
      </c>
      <c r="S1207" s="162">
        <f t="shared" si="392"/>
        <v>0</v>
      </c>
      <c r="T1207" s="162">
        <f t="shared" si="392"/>
        <v>0</v>
      </c>
      <c r="U1207" s="162">
        <f t="shared" si="392"/>
        <v>0</v>
      </c>
      <c r="V1207" s="162">
        <f t="shared" si="392"/>
        <v>0</v>
      </c>
      <c r="W1207" s="162">
        <f t="shared" si="392"/>
        <v>0</v>
      </c>
      <c r="X1207" s="162">
        <f t="shared" si="392"/>
        <v>0</v>
      </c>
      <c r="Y1207" s="162">
        <f t="shared" si="392"/>
        <v>0</v>
      </c>
      <c r="Z1207" s="162">
        <f t="shared" si="392"/>
        <v>0</v>
      </c>
      <c r="AA1207" s="162">
        <f t="shared" si="392"/>
        <v>0</v>
      </c>
      <c r="AB1207" s="163">
        <f t="shared" si="393"/>
        <v>0</v>
      </c>
      <c r="AC1207" s="159"/>
      <c r="AE1207" s="194" t="str">
        <f t="shared" si="394"/>
        <v/>
      </c>
      <c r="AF1207" s="161">
        <f t="shared" si="395"/>
        <v>0</v>
      </c>
      <c r="AG1207" s="162">
        <f t="shared" si="395"/>
        <v>0</v>
      </c>
      <c r="AH1207" s="162">
        <f t="shared" si="395"/>
        <v>0</v>
      </c>
      <c r="AI1207" s="162">
        <f t="shared" si="395"/>
        <v>0</v>
      </c>
      <c r="AJ1207" s="162">
        <f t="shared" si="395"/>
        <v>0</v>
      </c>
      <c r="AK1207" s="162">
        <f t="shared" si="395"/>
        <v>0</v>
      </c>
      <c r="AL1207" s="162">
        <f t="shared" si="395"/>
        <v>0</v>
      </c>
      <c r="AM1207" s="162">
        <f t="shared" si="395"/>
        <v>0</v>
      </c>
      <c r="AN1207" s="162">
        <f t="shared" si="395"/>
        <v>0</v>
      </c>
      <c r="AO1207" s="162">
        <f t="shared" si="395"/>
        <v>0</v>
      </c>
      <c r="AP1207" s="162">
        <f t="shared" si="395"/>
        <v>0</v>
      </c>
      <c r="AQ1207" s="162">
        <f t="shared" si="395"/>
        <v>0</v>
      </c>
      <c r="AR1207" s="163">
        <f t="shared" si="396"/>
        <v>0</v>
      </c>
      <c r="AT1207" s="208">
        <f>IFERROR(VLOOKUP(J1207,#REF!,10,0),0)</f>
        <v>0</v>
      </c>
    </row>
    <row r="1208" spans="1:46" hidden="1" outlineLevel="1" x14ac:dyDescent="0.25">
      <c r="A1208" s="14" t="str">
        <f t="shared" si="370"/>
        <v>PROP_OPER__8</v>
      </c>
      <c r="B1208" s="15" t="str">
        <f t="shared" si="390"/>
        <v>PROP_OPER__0_0</v>
      </c>
      <c r="C1208" s="83"/>
      <c r="D1208" s="15">
        <v>1</v>
      </c>
      <c r="E1208" s="15">
        <v>8</v>
      </c>
      <c r="F1208" s="190">
        <f t="shared" si="397"/>
        <v>0</v>
      </c>
      <c r="G1208" s="149" t="str">
        <f t="shared" si="397"/>
        <v/>
      </c>
      <c r="H1208" s="150" t="str">
        <f t="shared" si="397"/>
        <v/>
      </c>
      <c r="I1208" s="150">
        <f t="shared" si="397"/>
        <v>0</v>
      </c>
      <c r="J1208" s="150">
        <f t="shared" si="397"/>
        <v>0</v>
      </c>
      <c r="K1208" s="196" t="str">
        <f t="shared" si="397"/>
        <v/>
      </c>
      <c r="L1208" s="197" t="str">
        <f t="shared" si="397"/>
        <v/>
      </c>
      <c r="M1208" s="191">
        <f t="shared" si="397"/>
        <v>0</v>
      </c>
      <c r="N1208" s="150">
        <f t="shared" si="397"/>
        <v>0</v>
      </c>
      <c r="O1208" s="193">
        <f t="shared" si="397"/>
        <v>0</v>
      </c>
      <c r="P1208" s="162">
        <f t="shared" si="392"/>
        <v>0</v>
      </c>
      <c r="Q1208" s="162">
        <f t="shared" si="392"/>
        <v>0</v>
      </c>
      <c r="R1208" s="162">
        <f t="shared" si="392"/>
        <v>0</v>
      </c>
      <c r="S1208" s="162">
        <f t="shared" si="392"/>
        <v>0</v>
      </c>
      <c r="T1208" s="162">
        <f t="shared" si="392"/>
        <v>0</v>
      </c>
      <c r="U1208" s="162">
        <f t="shared" si="392"/>
        <v>0</v>
      </c>
      <c r="V1208" s="162">
        <f t="shared" si="392"/>
        <v>0</v>
      </c>
      <c r="W1208" s="162">
        <f t="shared" si="392"/>
        <v>0</v>
      </c>
      <c r="X1208" s="162">
        <f t="shared" si="392"/>
        <v>0</v>
      </c>
      <c r="Y1208" s="162">
        <f t="shared" si="392"/>
        <v>0</v>
      </c>
      <c r="Z1208" s="162">
        <f t="shared" si="392"/>
        <v>0</v>
      </c>
      <c r="AA1208" s="162">
        <f t="shared" si="392"/>
        <v>0</v>
      </c>
      <c r="AB1208" s="163">
        <f t="shared" si="393"/>
        <v>0</v>
      </c>
      <c r="AC1208" s="159"/>
      <c r="AE1208" s="194" t="str">
        <f t="shared" si="394"/>
        <v/>
      </c>
      <c r="AF1208" s="161">
        <f t="shared" si="395"/>
        <v>0</v>
      </c>
      <c r="AG1208" s="162">
        <f t="shared" si="395"/>
        <v>0</v>
      </c>
      <c r="AH1208" s="162">
        <f t="shared" si="395"/>
        <v>0</v>
      </c>
      <c r="AI1208" s="162">
        <f t="shared" si="395"/>
        <v>0</v>
      </c>
      <c r="AJ1208" s="162">
        <f t="shared" si="395"/>
        <v>0</v>
      </c>
      <c r="AK1208" s="162">
        <f t="shared" si="395"/>
        <v>0</v>
      </c>
      <c r="AL1208" s="162">
        <f t="shared" si="395"/>
        <v>0</v>
      </c>
      <c r="AM1208" s="162">
        <f t="shared" si="395"/>
        <v>0</v>
      </c>
      <c r="AN1208" s="162">
        <f t="shared" si="395"/>
        <v>0</v>
      </c>
      <c r="AO1208" s="162">
        <f t="shared" si="395"/>
        <v>0</v>
      </c>
      <c r="AP1208" s="162">
        <f t="shared" si="395"/>
        <v>0</v>
      </c>
      <c r="AQ1208" s="162">
        <f t="shared" si="395"/>
        <v>0</v>
      </c>
      <c r="AR1208" s="163">
        <f t="shared" si="396"/>
        <v>0</v>
      </c>
      <c r="AT1208" s="208">
        <f>IFERROR(VLOOKUP(J1208,#REF!,10,0),0)</f>
        <v>0</v>
      </c>
    </row>
    <row r="1209" spans="1:46" hidden="1" outlineLevel="1" x14ac:dyDescent="0.25">
      <c r="A1209" s="14" t="str">
        <f t="shared" si="370"/>
        <v>PROP_OPER__9</v>
      </c>
      <c r="B1209" s="15" t="str">
        <f t="shared" si="390"/>
        <v>PROP_OPER__0_0</v>
      </c>
      <c r="C1209" s="83"/>
      <c r="D1209" s="15">
        <v>1</v>
      </c>
      <c r="E1209" s="15">
        <v>9</v>
      </c>
      <c r="F1209" s="190">
        <f t="shared" si="397"/>
        <v>0</v>
      </c>
      <c r="G1209" s="149" t="str">
        <f t="shared" si="397"/>
        <v/>
      </c>
      <c r="H1209" s="150" t="str">
        <f t="shared" si="397"/>
        <v/>
      </c>
      <c r="I1209" s="150">
        <f t="shared" si="397"/>
        <v>0</v>
      </c>
      <c r="J1209" s="150">
        <f t="shared" si="397"/>
        <v>0</v>
      </c>
      <c r="K1209" s="196" t="str">
        <f t="shared" si="397"/>
        <v/>
      </c>
      <c r="L1209" s="197" t="str">
        <f t="shared" si="397"/>
        <v/>
      </c>
      <c r="M1209" s="191">
        <f t="shared" si="397"/>
        <v>0</v>
      </c>
      <c r="N1209" s="150">
        <f t="shared" si="397"/>
        <v>0</v>
      </c>
      <c r="O1209" s="193">
        <f t="shared" si="397"/>
        <v>0</v>
      </c>
      <c r="P1209" s="162">
        <f t="shared" si="392"/>
        <v>0</v>
      </c>
      <c r="Q1209" s="162">
        <f t="shared" si="392"/>
        <v>0</v>
      </c>
      <c r="R1209" s="162">
        <f t="shared" si="392"/>
        <v>0</v>
      </c>
      <c r="S1209" s="162">
        <f t="shared" si="392"/>
        <v>0</v>
      </c>
      <c r="T1209" s="162">
        <f t="shared" si="392"/>
        <v>0</v>
      </c>
      <c r="U1209" s="162">
        <f t="shared" si="392"/>
        <v>0</v>
      </c>
      <c r="V1209" s="162">
        <f t="shared" si="392"/>
        <v>0</v>
      </c>
      <c r="W1209" s="162">
        <f t="shared" si="392"/>
        <v>0</v>
      </c>
      <c r="X1209" s="162">
        <f t="shared" si="392"/>
        <v>0</v>
      </c>
      <c r="Y1209" s="162">
        <f t="shared" si="392"/>
        <v>0</v>
      </c>
      <c r="Z1209" s="162">
        <f t="shared" si="392"/>
        <v>0</v>
      </c>
      <c r="AA1209" s="162">
        <f t="shared" si="392"/>
        <v>0</v>
      </c>
      <c r="AB1209" s="163">
        <f t="shared" si="393"/>
        <v>0</v>
      </c>
      <c r="AC1209" s="159"/>
      <c r="AE1209" s="194" t="str">
        <f t="shared" si="394"/>
        <v/>
      </c>
      <c r="AF1209" s="161">
        <f t="shared" si="395"/>
        <v>0</v>
      </c>
      <c r="AG1209" s="162">
        <f t="shared" si="395"/>
        <v>0</v>
      </c>
      <c r="AH1209" s="162">
        <f t="shared" si="395"/>
        <v>0</v>
      </c>
      <c r="AI1209" s="162">
        <f t="shared" si="395"/>
        <v>0</v>
      </c>
      <c r="AJ1209" s="162">
        <f t="shared" si="395"/>
        <v>0</v>
      </c>
      <c r="AK1209" s="162">
        <f t="shared" si="395"/>
        <v>0</v>
      </c>
      <c r="AL1209" s="162">
        <f t="shared" si="395"/>
        <v>0</v>
      </c>
      <c r="AM1209" s="162">
        <f t="shared" si="395"/>
        <v>0</v>
      </c>
      <c r="AN1209" s="162">
        <f t="shared" si="395"/>
        <v>0</v>
      </c>
      <c r="AO1209" s="162">
        <f t="shared" si="395"/>
        <v>0</v>
      </c>
      <c r="AP1209" s="162">
        <f t="shared" si="395"/>
        <v>0</v>
      </c>
      <c r="AQ1209" s="162">
        <f t="shared" si="395"/>
        <v>0</v>
      </c>
      <c r="AR1209" s="163">
        <f t="shared" si="396"/>
        <v>0</v>
      </c>
      <c r="AT1209" s="208">
        <f>IFERROR(VLOOKUP(J1209,#REF!,10,0),0)</f>
        <v>0</v>
      </c>
    </row>
    <row r="1210" spans="1:46" hidden="1" outlineLevel="1" x14ac:dyDescent="0.25">
      <c r="A1210" s="14" t="str">
        <f t="shared" si="370"/>
        <v>PROP_OPER__10</v>
      </c>
      <c r="B1210" s="15" t="str">
        <f t="shared" si="390"/>
        <v>PROP_OPER__0_0</v>
      </c>
      <c r="C1210" s="83"/>
      <c r="D1210" s="15">
        <v>1</v>
      </c>
      <c r="E1210" s="15">
        <v>10</v>
      </c>
      <c r="F1210" s="190">
        <f t="shared" si="397"/>
        <v>0</v>
      </c>
      <c r="G1210" s="149" t="str">
        <f t="shared" si="397"/>
        <v/>
      </c>
      <c r="H1210" s="150" t="str">
        <f t="shared" si="397"/>
        <v/>
      </c>
      <c r="I1210" s="150">
        <f t="shared" si="397"/>
        <v>0</v>
      </c>
      <c r="J1210" s="150">
        <f t="shared" si="397"/>
        <v>0</v>
      </c>
      <c r="K1210" s="196" t="str">
        <f t="shared" si="397"/>
        <v/>
      </c>
      <c r="L1210" s="197" t="str">
        <f t="shared" si="397"/>
        <v/>
      </c>
      <c r="M1210" s="191">
        <f t="shared" si="397"/>
        <v>0</v>
      </c>
      <c r="N1210" s="150">
        <f t="shared" si="397"/>
        <v>0</v>
      </c>
      <c r="O1210" s="193">
        <f t="shared" si="397"/>
        <v>0</v>
      </c>
      <c r="P1210" s="162">
        <f t="shared" si="392"/>
        <v>0</v>
      </c>
      <c r="Q1210" s="162">
        <f t="shared" si="392"/>
        <v>0</v>
      </c>
      <c r="R1210" s="162">
        <f t="shared" si="392"/>
        <v>0</v>
      </c>
      <c r="S1210" s="162">
        <f t="shared" si="392"/>
        <v>0</v>
      </c>
      <c r="T1210" s="162">
        <f t="shared" si="392"/>
        <v>0</v>
      </c>
      <c r="U1210" s="162">
        <f t="shared" si="392"/>
        <v>0</v>
      </c>
      <c r="V1210" s="162">
        <f t="shared" si="392"/>
        <v>0</v>
      </c>
      <c r="W1210" s="162">
        <f t="shared" si="392"/>
        <v>0</v>
      </c>
      <c r="X1210" s="162">
        <f t="shared" si="392"/>
        <v>0</v>
      </c>
      <c r="Y1210" s="162">
        <f t="shared" si="392"/>
        <v>0</v>
      </c>
      <c r="Z1210" s="162">
        <f t="shared" si="392"/>
        <v>0</v>
      </c>
      <c r="AA1210" s="162">
        <f t="shared" si="392"/>
        <v>0</v>
      </c>
      <c r="AB1210" s="163">
        <f t="shared" si="393"/>
        <v>0</v>
      </c>
      <c r="AC1210" s="159"/>
      <c r="AE1210" s="194" t="str">
        <f t="shared" si="394"/>
        <v/>
      </c>
      <c r="AF1210" s="161">
        <f t="shared" si="395"/>
        <v>0</v>
      </c>
      <c r="AG1210" s="162">
        <f t="shared" si="395"/>
        <v>0</v>
      </c>
      <c r="AH1210" s="162">
        <f t="shared" si="395"/>
        <v>0</v>
      </c>
      <c r="AI1210" s="162">
        <f t="shared" si="395"/>
        <v>0</v>
      </c>
      <c r="AJ1210" s="162">
        <f t="shared" si="395"/>
        <v>0</v>
      </c>
      <c r="AK1210" s="162">
        <f t="shared" si="395"/>
        <v>0</v>
      </c>
      <c r="AL1210" s="162">
        <f t="shared" si="395"/>
        <v>0</v>
      </c>
      <c r="AM1210" s="162">
        <f t="shared" si="395"/>
        <v>0</v>
      </c>
      <c r="AN1210" s="162">
        <f t="shared" si="395"/>
        <v>0</v>
      </c>
      <c r="AO1210" s="162">
        <f t="shared" si="395"/>
        <v>0</v>
      </c>
      <c r="AP1210" s="162">
        <f t="shared" si="395"/>
        <v>0</v>
      </c>
      <c r="AQ1210" s="162">
        <f t="shared" si="395"/>
        <v>0</v>
      </c>
      <c r="AR1210" s="163">
        <f t="shared" si="396"/>
        <v>0</v>
      </c>
      <c r="AT1210" s="208">
        <f>IFERROR(VLOOKUP(J1210,#REF!,10,0),0)</f>
        <v>0</v>
      </c>
    </row>
    <row r="1211" spans="1:46" hidden="1" outlineLevel="1" x14ac:dyDescent="0.25">
      <c r="A1211" s="14" t="str">
        <f t="shared" si="370"/>
        <v>PROP_OPER__11</v>
      </c>
      <c r="B1211" s="15" t="str">
        <f t="shared" si="390"/>
        <v>PROP_OPER__0_0</v>
      </c>
      <c r="C1211" s="83"/>
      <c r="D1211" s="15">
        <v>1</v>
      </c>
      <c r="E1211" s="15">
        <v>11</v>
      </c>
      <c r="F1211" s="190">
        <f t="shared" si="397"/>
        <v>0</v>
      </c>
      <c r="G1211" s="149" t="str">
        <f t="shared" si="397"/>
        <v/>
      </c>
      <c r="H1211" s="150" t="str">
        <f t="shared" si="397"/>
        <v/>
      </c>
      <c r="I1211" s="150">
        <f t="shared" si="397"/>
        <v>0</v>
      </c>
      <c r="J1211" s="150">
        <f t="shared" si="397"/>
        <v>0</v>
      </c>
      <c r="K1211" s="196" t="str">
        <f t="shared" si="397"/>
        <v/>
      </c>
      <c r="L1211" s="197" t="str">
        <f t="shared" si="397"/>
        <v/>
      </c>
      <c r="M1211" s="191">
        <f t="shared" si="397"/>
        <v>0</v>
      </c>
      <c r="N1211" s="150">
        <f t="shared" si="397"/>
        <v>0</v>
      </c>
      <c r="O1211" s="193">
        <f t="shared" si="397"/>
        <v>0</v>
      </c>
      <c r="P1211" s="162">
        <f t="shared" si="392"/>
        <v>0</v>
      </c>
      <c r="Q1211" s="162">
        <f t="shared" si="392"/>
        <v>0</v>
      </c>
      <c r="R1211" s="162">
        <f t="shared" si="392"/>
        <v>0</v>
      </c>
      <c r="S1211" s="162">
        <f t="shared" si="392"/>
        <v>0</v>
      </c>
      <c r="T1211" s="162">
        <f t="shared" si="392"/>
        <v>0</v>
      </c>
      <c r="U1211" s="162">
        <f t="shared" si="392"/>
        <v>0</v>
      </c>
      <c r="V1211" s="162">
        <f t="shared" si="392"/>
        <v>0</v>
      </c>
      <c r="W1211" s="162">
        <f t="shared" si="392"/>
        <v>0</v>
      </c>
      <c r="X1211" s="162">
        <f t="shared" si="392"/>
        <v>0</v>
      </c>
      <c r="Y1211" s="162">
        <f t="shared" si="392"/>
        <v>0</v>
      </c>
      <c r="Z1211" s="162">
        <f t="shared" si="392"/>
        <v>0</v>
      </c>
      <c r="AA1211" s="162">
        <f t="shared" si="392"/>
        <v>0</v>
      </c>
      <c r="AB1211" s="163">
        <f t="shared" si="393"/>
        <v>0</v>
      </c>
      <c r="AC1211" s="198"/>
      <c r="AE1211" s="194" t="str">
        <f t="shared" si="394"/>
        <v/>
      </c>
      <c r="AF1211" s="161">
        <f t="shared" si="395"/>
        <v>0</v>
      </c>
      <c r="AG1211" s="162">
        <f t="shared" si="395"/>
        <v>0</v>
      </c>
      <c r="AH1211" s="162">
        <f t="shared" si="395"/>
        <v>0</v>
      </c>
      <c r="AI1211" s="162">
        <f t="shared" si="395"/>
        <v>0</v>
      </c>
      <c r="AJ1211" s="162">
        <f t="shared" si="395"/>
        <v>0</v>
      </c>
      <c r="AK1211" s="162">
        <f t="shared" si="395"/>
        <v>0</v>
      </c>
      <c r="AL1211" s="162">
        <f t="shared" si="395"/>
        <v>0</v>
      </c>
      <c r="AM1211" s="162">
        <f t="shared" si="395"/>
        <v>0</v>
      </c>
      <c r="AN1211" s="162">
        <f t="shared" si="395"/>
        <v>0</v>
      </c>
      <c r="AO1211" s="162">
        <f t="shared" si="395"/>
        <v>0</v>
      </c>
      <c r="AP1211" s="162">
        <f t="shared" si="395"/>
        <v>0</v>
      </c>
      <c r="AQ1211" s="162">
        <f t="shared" si="395"/>
        <v>0</v>
      </c>
      <c r="AR1211" s="163">
        <f t="shared" si="396"/>
        <v>0</v>
      </c>
      <c r="AT1211" s="208">
        <f>IFERROR(VLOOKUP(J1211,#REF!,10,0),0)</f>
        <v>0</v>
      </c>
    </row>
    <row r="1212" spans="1:46" hidden="1" outlineLevel="1" x14ac:dyDescent="0.25">
      <c r="A1212" s="14" t="str">
        <f t="shared" si="370"/>
        <v>PROP_OPER__12</v>
      </c>
      <c r="B1212" s="15" t="str">
        <f t="shared" si="390"/>
        <v>PROP_OPER__0_0</v>
      </c>
      <c r="C1212" s="83"/>
      <c r="D1212" s="15">
        <v>1</v>
      </c>
      <c r="E1212" s="15">
        <v>12</v>
      </c>
      <c r="F1212" s="190">
        <f t="shared" si="397"/>
        <v>0</v>
      </c>
      <c r="G1212" s="149" t="str">
        <f t="shared" si="397"/>
        <v/>
      </c>
      <c r="H1212" s="150" t="str">
        <f t="shared" si="397"/>
        <v/>
      </c>
      <c r="I1212" s="150">
        <f t="shared" si="397"/>
        <v>0</v>
      </c>
      <c r="J1212" s="150">
        <f t="shared" si="397"/>
        <v>0</v>
      </c>
      <c r="K1212" s="196" t="str">
        <f t="shared" si="397"/>
        <v/>
      </c>
      <c r="L1212" s="197" t="str">
        <f t="shared" si="397"/>
        <v/>
      </c>
      <c r="M1212" s="191">
        <f t="shared" si="397"/>
        <v>0</v>
      </c>
      <c r="N1212" s="150">
        <f t="shared" si="397"/>
        <v>0</v>
      </c>
      <c r="O1212" s="193">
        <f t="shared" si="397"/>
        <v>0</v>
      </c>
      <c r="P1212" s="162">
        <f t="shared" si="392"/>
        <v>0</v>
      </c>
      <c r="Q1212" s="162">
        <f t="shared" si="392"/>
        <v>0</v>
      </c>
      <c r="R1212" s="162">
        <f t="shared" si="392"/>
        <v>0</v>
      </c>
      <c r="S1212" s="162">
        <f t="shared" si="392"/>
        <v>0</v>
      </c>
      <c r="T1212" s="162">
        <f t="shared" si="392"/>
        <v>0</v>
      </c>
      <c r="U1212" s="162">
        <f t="shared" si="392"/>
        <v>0</v>
      </c>
      <c r="V1212" s="162">
        <f t="shared" si="392"/>
        <v>0</v>
      </c>
      <c r="W1212" s="162">
        <f t="shared" si="392"/>
        <v>0</v>
      </c>
      <c r="X1212" s="162">
        <f t="shared" si="392"/>
        <v>0</v>
      </c>
      <c r="Y1212" s="162">
        <f t="shared" si="392"/>
        <v>0</v>
      </c>
      <c r="Z1212" s="162">
        <f t="shared" si="392"/>
        <v>0</v>
      </c>
      <c r="AA1212" s="162">
        <f t="shared" si="392"/>
        <v>0</v>
      </c>
      <c r="AB1212" s="163">
        <f t="shared" si="393"/>
        <v>0</v>
      </c>
      <c r="AC1212" s="198"/>
      <c r="AE1212" s="194" t="str">
        <f t="shared" si="394"/>
        <v/>
      </c>
      <c r="AF1212" s="161">
        <f t="shared" si="395"/>
        <v>0</v>
      </c>
      <c r="AG1212" s="162">
        <f t="shared" si="395"/>
        <v>0</v>
      </c>
      <c r="AH1212" s="162">
        <f t="shared" si="395"/>
        <v>0</v>
      </c>
      <c r="AI1212" s="162">
        <f t="shared" si="395"/>
        <v>0</v>
      </c>
      <c r="AJ1212" s="162">
        <f t="shared" si="395"/>
        <v>0</v>
      </c>
      <c r="AK1212" s="162">
        <f t="shared" si="395"/>
        <v>0</v>
      </c>
      <c r="AL1212" s="162">
        <f t="shared" si="395"/>
        <v>0</v>
      </c>
      <c r="AM1212" s="162">
        <f t="shared" si="395"/>
        <v>0</v>
      </c>
      <c r="AN1212" s="162">
        <f t="shared" si="395"/>
        <v>0</v>
      </c>
      <c r="AO1212" s="162">
        <f t="shared" si="395"/>
        <v>0</v>
      </c>
      <c r="AP1212" s="162">
        <f t="shared" si="395"/>
        <v>0</v>
      </c>
      <c r="AQ1212" s="162">
        <f t="shared" si="395"/>
        <v>0</v>
      </c>
      <c r="AR1212" s="163">
        <f t="shared" si="396"/>
        <v>0</v>
      </c>
      <c r="AT1212" s="208">
        <f>IFERROR(VLOOKUP(J1212,#REF!,10,0),0)</f>
        <v>0</v>
      </c>
    </row>
    <row r="1213" spans="1:46" hidden="1" outlineLevel="1" x14ac:dyDescent="0.25">
      <c r="A1213" s="14" t="str">
        <f t="shared" si="370"/>
        <v>PROP_OPER__13</v>
      </c>
      <c r="B1213" s="15" t="str">
        <f t="shared" si="390"/>
        <v>PROP_OPER__0_0</v>
      </c>
      <c r="C1213" s="83"/>
      <c r="D1213" s="15">
        <v>1</v>
      </c>
      <c r="E1213" s="15">
        <v>13</v>
      </c>
      <c r="F1213" s="190">
        <f t="shared" si="397"/>
        <v>0</v>
      </c>
      <c r="G1213" s="149" t="str">
        <f t="shared" si="397"/>
        <v/>
      </c>
      <c r="H1213" s="150" t="str">
        <f t="shared" si="397"/>
        <v/>
      </c>
      <c r="I1213" s="150">
        <f t="shared" si="397"/>
        <v>0</v>
      </c>
      <c r="J1213" s="150">
        <f t="shared" si="397"/>
        <v>0</v>
      </c>
      <c r="K1213" s="196" t="str">
        <f t="shared" si="397"/>
        <v/>
      </c>
      <c r="L1213" s="197" t="str">
        <f t="shared" si="397"/>
        <v/>
      </c>
      <c r="M1213" s="191">
        <f t="shared" si="397"/>
        <v>0</v>
      </c>
      <c r="N1213" s="150">
        <f t="shared" si="397"/>
        <v>0</v>
      </c>
      <c r="O1213" s="193">
        <f t="shared" si="397"/>
        <v>0</v>
      </c>
      <c r="P1213" s="162">
        <f t="shared" si="392"/>
        <v>0</v>
      </c>
      <c r="Q1213" s="162">
        <f t="shared" si="392"/>
        <v>0</v>
      </c>
      <c r="R1213" s="162">
        <f t="shared" si="392"/>
        <v>0</v>
      </c>
      <c r="S1213" s="162">
        <f t="shared" si="392"/>
        <v>0</v>
      </c>
      <c r="T1213" s="162">
        <f t="shared" si="392"/>
        <v>0</v>
      </c>
      <c r="U1213" s="162">
        <f t="shared" si="392"/>
        <v>0</v>
      </c>
      <c r="V1213" s="162">
        <f t="shared" si="392"/>
        <v>0</v>
      </c>
      <c r="W1213" s="162">
        <f t="shared" si="392"/>
        <v>0</v>
      </c>
      <c r="X1213" s="162">
        <f t="shared" si="392"/>
        <v>0</v>
      </c>
      <c r="Y1213" s="162">
        <f t="shared" si="392"/>
        <v>0</v>
      </c>
      <c r="Z1213" s="162">
        <f t="shared" si="392"/>
        <v>0</v>
      </c>
      <c r="AA1213" s="162">
        <f t="shared" si="392"/>
        <v>0</v>
      </c>
      <c r="AB1213" s="163">
        <f t="shared" si="393"/>
        <v>0</v>
      </c>
      <c r="AC1213" s="198"/>
      <c r="AE1213" s="194" t="str">
        <f t="shared" si="394"/>
        <v/>
      </c>
      <c r="AF1213" s="161">
        <f t="shared" si="395"/>
        <v>0</v>
      </c>
      <c r="AG1213" s="162">
        <f t="shared" si="395"/>
        <v>0</v>
      </c>
      <c r="AH1213" s="162">
        <f t="shared" si="395"/>
        <v>0</v>
      </c>
      <c r="AI1213" s="162">
        <f t="shared" si="395"/>
        <v>0</v>
      </c>
      <c r="AJ1213" s="162">
        <f t="shared" si="395"/>
        <v>0</v>
      </c>
      <c r="AK1213" s="162">
        <f t="shared" si="395"/>
        <v>0</v>
      </c>
      <c r="AL1213" s="162">
        <f t="shared" si="395"/>
        <v>0</v>
      </c>
      <c r="AM1213" s="162">
        <f t="shared" si="395"/>
        <v>0</v>
      </c>
      <c r="AN1213" s="162">
        <f t="shared" si="395"/>
        <v>0</v>
      </c>
      <c r="AO1213" s="162">
        <f t="shared" si="395"/>
        <v>0</v>
      </c>
      <c r="AP1213" s="162">
        <f t="shared" si="395"/>
        <v>0</v>
      </c>
      <c r="AQ1213" s="162">
        <f t="shared" si="395"/>
        <v>0</v>
      </c>
      <c r="AR1213" s="163">
        <f t="shared" si="396"/>
        <v>0</v>
      </c>
      <c r="AT1213" s="208">
        <f>IFERROR(VLOOKUP(J1213,#REF!,10,0),0)</f>
        <v>0</v>
      </c>
    </row>
    <row r="1214" spans="1:46" hidden="1" outlineLevel="1" x14ac:dyDescent="0.25">
      <c r="A1214" s="14" t="str">
        <f t="shared" si="370"/>
        <v>PROP_OPER__14</v>
      </c>
      <c r="B1214" s="15" t="str">
        <f t="shared" si="390"/>
        <v>PROP_OPER__0_0</v>
      </c>
      <c r="C1214" s="83"/>
      <c r="D1214" s="15">
        <v>1</v>
      </c>
      <c r="E1214" s="15">
        <v>14</v>
      </c>
      <c r="F1214" s="190">
        <f t="shared" si="397"/>
        <v>0</v>
      </c>
      <c r="G1214" s="149" t="str">
        <f t="shared" si="397"/>
        <v/>
      </c>
      <c r="H1214" s="150" t="str">
        <f t="shared" si="397"/>
        <v/>
      </c>
      <c r="I1214" s="150">
        <f t="shared" si="397"/>
        <v>0</v>
      </c>
      <c r="J1214" s="150">
        <f t="shared" si="397"/>
        <v>0</v>
      </c>
      <c r="K1214" s="196" t="str">
        <f t="shared" si="397"/>
        <v/>
      </c>
      <c r="L1214" s="197" t="str">
        <f t="shared" si="397"/>
        <v/>
      </c>
      <c r="M1214" s="191">
        <f t="shared" si="397"/>
        <v>0</v>
      </c>
      <c r="N1214" s="150">
        <f t="shared" si="397"/>
        <v>0</v>
      </c>
      <c r="O1214" s="193">
        <f t="shared" si="397"/>
        <v>0</v>
      </c>
      <c r="P1214" s="162">
        <f t="shared" si="392"/>
        <v>0</v>
      </c>
      <c r="Q1214" s="162">
        <f t="shared" si="392"/>
        <v>0</v>
      </c>
      <c r="R1214" s="162">
        <f t="shared" si="392"/>
        <v>0</v>
      </c>
      <c r="S1214" s="162">
        <f t="shared" si="392"/>
        <v>0</v>
      </c>
      <c r="T1214" s="162">
        <f t="shared" si="392"/>
        <v>0</v>
      </c>
      <c r="U1214" s="162">
        <f t="shared" si="392"/>
        <v>0</v>
      </c>
      <c r="V1214" s="162">
        <f t="shared" si="392"/>
        <v>0</v>
      </c>
      <c r="W1214" s="162">
        <f t="shared" si="392"/>
        <v>0</v>
      </c>
      <c r="X1214" s="162">
        <f t="shared" si="392"/>
        <v>0</v>
      </c>
      <c r="Y1214" s="162">
        <f t="shared" si="392"/>
        <v>0</v>
      </c>
      <c r="Z1214" s="162">
        <f t="shared" si="392"/>
        <v>0</v>
      </c>
      <c r="AA1214" s="162">
        <f t="shared" si="392"/>
        <v>0</v>
      </c>
      <c r="AB1214" s="163">
        <f t="shared" si="393"/>
        <v>0</v>
      </c>
      <c r="AC1214" s="198"/>
      <c r="AE1214" s="194" t="str">
        <f t="shared" si="394"/>
        <v/>
      </c>
      <c r="AF1214" s="161">
        <f t="shared" si="395"/>
        <v>0</v>
      </c>
      <c r="AG1214" s="162">
        <f t="shared" si="395"/>
        <v>0</v>
      </c>
      <c r="AH1214" s="162">
        <f t="shared" si="395"/>
        <v>0</v>
      </c>
      <c r="AI1214" s="162">
        <f t="shared" si="395"/>
        <v>0</v>
      </c>
      <c r="AJ1214" s="162">
        <f t="shared" si="395"/>
        <v>0</v>
      </c>
      <c r="AK1214" s="162">
        <f t="shared" si="395"/>
        <v>0</v>
      </c>
      <c r="AL1214" s="162">
        <f t="shared" si="395"/>
        <v>0</v>
      </c>
      <c r="AM1214" s="162">
        <f t="shared" si="395"/>
        <v>0</v>
      </c>
      <c r="AN1214" s="162">
        <f t="shared" si="395"/>
        <v>0</v>
      </c>
      <c r="AO1214" s="162">
        <f t="shared" si="395"/>
        <v>0</v>
      </c>
      <c r="AP1214" s="162">
        <f t="shared" si="395"/>
        <v>0</v>
      </c>
      <c r="AQ1214" s="162">
        <f t="shared" si="395"/>
        <v>0</v>
      </c>
      <c r="AR1214" s="163">
        <f t="shared" si="396"/>
        <v>0</v>
      </c>
      <c r="AT1214" s="208">
        <f>IFERROR(VLOOKUP(J1214,#REF!,10,0),0)</f>
        <v>0</v>
      </c>
    </row>
    <row r="1215" spans="1:46" hidden="1" outlineLevel="1" x14ac:dyDescent="0.25">
      <c r="A1215" s="14" t="str">
        <f t="shared" si="370"/>
        <v>PROP_OPER__15</v>
      </c>
      <c r="B1215" s="15" t="e">
        <f t="shared" si="390"/>
        <v>#REF!</v>
      </c>
      <c r="C1215" s="83"/>
      <c r="D1215" s="15">
        <v>1</v>
      </c>
      <c r="E1215" s="15">
        <v>15</v>
      </c>
      <c r="F1215" s="190" t="e">
        <f t="shared" si="397"/>
        <v>#REF!</v>
      </c>
      <c r="G1215" s="149" t="e">
        <f t="shared" si="397"/>
        <v>#REF!</v>
      </c>
      <c r="H1215" s="150" t="e">
        <f t="shared" si="397"/>
        <v>#REF!</v>
      </c>
      <c r="I1215" s="150" t="e">
        <f t="shared" si="397"/>
        <v>#REF!</v>
      </c>
      <c r="J1215" s="150" t="e">
        <f t="shared" si="397"/>
        <v>#REF!</v>
      </c>
      <c r="K1215" s="196" t="e">
        <f t="shared" si="397"/>
        <v>#REF!</v>
      </c>
      <c r="L1215" s="197" t="e">
        <f t="shared" si="397"/>
        <v>#REF!</v>
      </c>
      <c r="M1215" s="191" t="e">
        <f t="shared" si="397"/>
        <v>#REF!</v>
      </c>
      <c r="N1215" s="150" t="e">
        <f t="shared" si="397"/>
        <v>#REF!</v>
      </c>
      <c r="O1215" s="193" t="e">
        <f t="shared" si="397"/>
        <v>#REF!</v>
      </c>
      <c r="P1215" s="162">
        <f>IFERROR(SUMIF($B$483:$B$547,$C1215&amp;$I1215,P$483:P$547)/SUMIF($D$483:$D$547,$I1215,P$483:P$547)*#REF!,0)</f>
        <v>0</v>
      </c>
      <c r="Q1215" s="162">
        <f>IFERROR(SUMIF($B$483:$B$547,$C1215&amp;$I1215,Q$483:Q$547)/SUMIF($D$483:$D$547,$I1215,Q$483:Q$547)*#REF!,0)</f>
        <v>0</v>
      </c>
      <c r="R1215" s="162">
        <f>IFERROR(SUMIF($B$483:$B$547,$C1215&amp;$I1215,R$483:R$547)/SUMIF($D$483:$D$547,$I1215,R$483:R$547)*#REF!,0)</f>
        <v>0</v>
      </c>
      <c r="S1215" s="162">
        <f>IFERROR(SUMIF($B$483:$B$547,$C1215&amp;$I1215,S$483:S$547)/SUMIF($D$483:$D$547,$I1215,S$483:S$547)*#REF!,0)</f>
        <v>0</v>
      </c>
      <c r="T1215" s="162">
        <f>IFERROR(SUMIF($B$483:$B$547,$C1215&amp;$I1215,T$483:T$547)/SUMIF($D$483:$D$547,$I1215,T$483:T$547)*#REF!,0)</f>
        <v>0</v>
      </c>
      <c r="U1215" s="162">
        <f>IFERROR(SUMIF($B$483:$B$547,$C1215&amp;$I1215,U$483:U$547)/SUMIF($D$483:$D$547,$I1215,U$483:U$547)*#REF!,0)</f>
        <v>0</v>
      </c>
      <c r="V1215" s="162">
        <f>IFERROR(SUMIF($B$483:$B$547,$C1215&amp;$I1215,V$483:V$547)/SUMIF($D$483:$D$547,$I1215,V$483:V$547)*#REF!,0)</f>
        <v>0</v>
      </c>
      <c r="W1215" s="162">
        <f>IFERROR(SUMIF($B$483:$B$547,$C1215&amp;$I1215,W$483:W$547)/SUMIF($D$483:$D$547,$I1215,W$483:W$547)*#REF!,0)</f>
        <v>0</v>
      </c>
      <c r="X1215" s="162">
        <f>IFERROR(SUMIF($B$483:$B$547,$C1215&amp;$I1215,X$483:X$547)/SUMIF($D$483:$D$547,$I1215,X$483:X$547)*#REF!,0)</f>
        <v>0</v>
      </c>
      <c r="Y1215" s="162">
        <f>IFERROR(SUMIF($B$483:$B$547,$C1215&amp;$I1215,Y$483:Y$547)/SUMIF($D$483:$D$547,$I1215,Y$483:Y$547)*#REF!,0)</f>
        <v>0</v>
      </c>
      <c r="Z1215" s="162">
        <f>IFERROR(SUMIF($B$483:$B$547,$C1215&amp;$I1215,Z$483:Z$547)/SUMIF($D$483:$D$547,$I1215,Z$483:Z$547)*#REF!,0)</f>
        <v>0</v>
      </c>
      <c r="AA1215" s="162">
        <f>IFERROR(SUMIF($B$483:$B$547,$C1215&amp;$I1215,AA$483:AA$547)/SUMIF($D$483:$D$547,$I1215,AA$483:AA$547)*#REF!,0)</f>
        <v>0</v>
      </c>
      <c r="AB1215" s="163">
        <f t="shared" si="393"/>
        <v>0</v>
      </c>
      <c r="AC1215" s="198"/>
      <c r="AE1215" s="194" t="e">
        <f t="shared" si="394"/>
        <v>#REF!</v>
      </c>
      <c r="AF1215" s="161">
        <f>IFERROR(SUMIF($B$483:$B$547,$C1215&amp;$I1215,P$483:P$547)/SUMIF($D$483:$D$547,$I1215,P$483:P$547)*#REF!,0)</f>
        <v>0</v>
      </c>
      <c r="AG1215" s="162">
        <f>IFERROR(SUMIF($B$483:$B$547,$C1215&amp;$I1215,Q$483:Q$547)/SUMIF($D$483:$D$547,$I1215,Q$483:Q$547)*#REF!,0)</f>
        <v>0</v>
      </c>
      <c r="AH1215" s="162">
        <f>IFERROR(SUMIF($B$483:$B$547,$C1215&amp;$I1215,R$483:R$547)/SUMIF($D$483:$D$547,$I1215,R$483:R$547)*#REF!,0)</f>
        <v>0</v>
      </c>
      <c r="AI1215" s="162">
        <f>IFERROR(SUMIF($B$483:$B$547,$C1215&amp;$I1215,S$483:S$547)/SUMIF($D$483:$D$547,$I1215,S$483:S$547)*#REF!,0)</f>
        <v>0</v>
      </c>
      <c r="AJ1215" s="162">
        <f>IFERROR(SUMIF($B$483:$B$547,$C1215&amp;$I1215,T$483:T$547)/SUMIF($D$483:$D$547,$I1215,T$483:T$547)*#REF!,0)</f>
        <v>0</v>
      </c>
      <c r="AK1215" s="162">
        <f>IFERROR(SUMIF($B$483:$B$547,$C1215&amp;$I1215,U$483:U$547)/SUMIF($D$483:$D$547,$I1215,U$483:U$547)*#REF!,0)</f>
        <v>0</v>
      </c>
      <c r="AL1215" s="162">
        <f>IFERROR(SUMIF($B$483:$B$547,$C1215&amp;$I1215,V$483:V$547)/SUMIF($D$483:$D$547,$I1215,V$483:V$547)*#REF!,0)</f>
        <v>0</v>
      </c>
      <c r="AM1215" s="162">
        <f>IFERROR(SUMIF($B$483:$B$547,$C1215&amp;$I1215,W$483:W$547)/SUMIF($D$483:$D$547,$I1215,W$483:W$547)*#REF!,0)</f>
        <v>0</v>
      </c>
      <c r="AN1215" s="162">
        <f>IFERROR(SUMIF($B$483:$B$547,$C1215&amp;$I1215,X$483:X$547)/SUMIF($D$483:$D$547,$I1215,X$483:X$547)*#REF!,0)</f>
        <v>0</v>
      </c>
      <c r="AO1215" s="162">
        <f>IFERROR(SUMIF($B$483:$B$547,$C1215&amp;$I1215,Y$483:Y$547)/SUMIF($D$483:$D$547,$I1215,Y$483:Y$547)*#REF!,0)</f>
        <v>0</v>
      </c>
      <c r="AP1215" s="162">
        <f>IFERROR(SUMIF($B$483:$B$547,$C1215&amp;$I1215,Z$483:Z$547)/SUMIF($D$483:$D$547,$I1215,Z$483:Z$547)*#REF!,0)</f>
        <v>0</v>
      </c>
      <c r="AQ1215" s="162">
        <f>IFERROR(SUMIF($B$483:$B$547,$C1215&amp;$I1215,AA$483:AA$547)/SUMIF($D$483:$D$547,$I1215,AA$483:AA$547)*#REF!,0)</f>
        <v>0</v>
      </c>
      <c r="AR1215" s="163">
        <f t="shared" si="396"/>
        <v>0</v>
      </c>
      <c r="AT1215" s="208">
        <f>IFERROR(VLOOKUP(J1215,#REF!,10,0),0)</f>
        <v>0</v>
      </c>
    </row>
    <row r="1216" spans="1:46" hidden="1" outlineLevel="1" x14ac:dyDescent="0.25">
      <c r="A1216" s="14" t="str">
        <f t="shared" si="370"/>
        <v>PROP_OPER__16</v>
      </c>
      <c r="B1216" s="15" t="e">
        <f t="shared" si="390"/>
        <v>#REF!</v>
      </c>
      <c r="C1216" s="83"/>
      <c r="D1216" s="15">
        <v>1</v>
      </c>
      <c r="E1216" s="15">
        <v>16</v>
      </c>
      <c r="F1216" s="190" t="e">
        <f t="shared" si="397"/>
        <v>#REF!</v>
      </c>
      <c r="G1216" s="149" t="e">
        <f t="shared" si="397"/>
        <v>#REF!</v>
      </c>
      <c r="H1216" s="150" t="e">
        <f t="shared" si="397"/>
        <v>#REF!</v>
      </c>
      <c r="I1216" s="150" t="e">
        <f t="shared" si="397"/>
        <v>#REF!</v>
      </c>
      <c r="J1216" s="150" t="e">
        <f t="shared" si="397"/>
        <v>#REF!</v>
      </c>
      <c r="K1216" s="196" t="e">
        <f t="shared" si="397"/>
        <v>#REF!</v>
      </c>
      <c r="L1216" s="197" t="e">
        <f t="shared" si="397"/>
        <v>#REF!</v>
      </c>
      <c r="M1216" s="191" t="e">
        <f t="shared" si="397"/>
        <v>#REF!</v>
      </c>
      <c r="N1216" s="150" t="e">
        <f t="shared" si="397"/>
        <v>#REF!</v>
      </c>
      <c r="O1216" s="193" t="e">
        <f t="shared" si="397"/>
        <v>#REF!</v>
      </c>
      <c r="P1216" s="162">
        <f>IFERROR(SUMIF($B$483:$B$547,$C1216&amp;$I1216,P$483:P$547)/SUMIF($D$483:$D$547,$I1216,P$483:P$547)*#REF!,0)</f>
        <v>0</v>
      </c>
      <c r="Q1216" s="162">
        <f>IFERROR(SUMIF($B$483:$B$547,$C1216&amp;$I1216,Q$483:Q$547)/SUMIF($D$483:$D$547,$I1216,Q$483:Q$547)*#REF!,0)</f>
        <v>0</v>
      </c>
      <c r="R1216" s="162">
        <f>IFERROR(SUMIF($B$483:$B$547,$C1216&amp;$I1216,R$483:R$547)/SUMIF($D$483:$D$547,$I1216,R$483:R$547)*#REF!,0)</f>
        <v>0</v>
      </c>
      <c r="S1216" s="162">
        <f>IFERROR(SUMIF($B$483:$B$547,$C1216&amp;$I1216,S$483:S$547)/SUMIF($D$483:$D$547,$I1216,S$483:S$547)*#REF!,0)</f>
        <v>0</v>
      </c>
      <c r="T1216" s="162">
        <f>IFERROR(SUMIF($B$483:$B$547,$C1216&amp;$I1216,T$483:T$547)/SUMIF($D$483:$D$547,$I1216,T$483:T$547)*#REF!,0)</f>
        <v>0</v>
      </c>
      <c r="U1216" s="162">
        <f>IFERROR(SUMIF($B$483:$B$547,$C1216&amp;$I1216,U$483:U$547)/SUMIF($D$483:$D$547,$I1216,U$483:U$547)*#REF!,0)</f>
        <v>0</v>
      </c>
      <c r="V1216" s="162">
        <f>IFERROR(SUMIF($B$483:$B$547,$C1216&amp;$I1216,V$483:V$547)/SUMIF($D$483:$D$547,$I1216,V$483:V$547)*#REF!,0)</f>
        <v>0</v>
      </c>
      <c r="W1216" s="162">
        <f>IFERROR(SUMIF($B$483:$B$547,$C1216&amp;$I1216,W$483:W$547)/SUMIF($D$483:$D$547,$I1216,W$483:W$547)*#REF!,0)</f>
        <v>0</v>
      </c>
      <c r="X1216" s="162">
        <f>IFERROR(SUMIF($B$483:$B$547,$C1216&amp;$I1216,X$483:X$547)/SUMIF($D$483:$D$547,$I1216,X$483:X$547)*#REF!,0)</f>
        <v>0</v>
      </c>
      <c r="Y1216" s="162">
        <f>IFERROR(SUMIF($B$483:$B$547,$C1216&amp;$I1216,Y$483:Y$547)/SUMIF($D$483:$D$547,$I1216,Y$483:Y$547)*#REF!,0)</f>
        <v>0</v>
      </c>
      <c r="Z1216" s="162">
        <f>IFERROR(SUMIF($B$483:$B$547,$C1216&amp;$I1216,Z$483:Z$547)/SUMIF($D$483:$D$547,$I1216,Z$483:Z$547)*#REF!,0)</f>
        <v>0</v>
      </c>
      <c r="AA1216" s="162">
        <f>IFERROR(SUMIF($B$483:$B$547,$C1216&amp;$I1216,AA$483:AA$547)/SUMIF($D$483:$D$547,$I1216,AA$483:AA$547)*#REF!,0)</f>
        <v>0</v>
      </c>
      <c r="AB1216" s="163">
        <f t="shared" si="393"/>
        <v>0</v>
      </c>
      <c r="AC1216" s="198"/>
      <c r="AE1216" s="194" t="e">
        <f t="shared" si="394"/>
        <v>#REF!</v>
      </c>
      <c r="AF1216" s="161">
        <f>IFERROR(SUMIF($B$483:$B$547,$C1216&amp;$I1216,P$483:P$547)/SUMIF($D$483:$D$547,$I1216,P$483:P$547)*#REF!,0)</f>
        <v>0</v>
      </c>
      <c r="AG1216" s="162">
        <f>IFERROR(SUMIF($B$483:$B$547,$C1216&amp;$I1216,Q$483:Q$547)/SUMIF($D$483:$D$547,$I1216,Q$483:Q$547)*#REF!,0)</f>
        <v>0</v>
      </c>
      <c r="AH1216" s="162">
        <f>IFERROR(SUMIF($B$483:$B$547,$C1216&amp;$I1216,R$483:R$547)/SUMIF($D$483:$D$547,$I1216,R$483:R$547)*#REF!,0)</f>
        <v>0</v>
      </c>
      <c r="AI1216" s="162">
        <f>IFERROR(SUMIF($B$483:$B$547,$C1216&amp;$I1216,S$483:S$547)/SUMIF($D$483:$D$547,$I1216,S$483:S$547)*#REF!,0)</f>
        <v>0</v>
      </c>
      <c r="AJ1216" s="162">
        <f>IFERROR(SUMIF($B$483:$B$547,$C1216&amp;$I1216,T$483:T$547)/SUMIF($D$483:$D$547,$I1216,T$483:T$547)*#REF!,0)</f>
        <v>0</v>
      </c>
      <c r="AK1216" s="162">
        <f>IFERROR(SUMIF($B$483:$B$547,$C1216&amp;$I1216,U$483:U$547)/SUMIF($D$483:$D$547,$I1216,U$483:U$547)*#REF!,0)</f>
        <v>0</v>
      </c>
      <c r="AL1216" s="162">
        <f>IFERROR(SUMIF($B$483:$B$547,$C1216&amp;$I1216,V$483:V$547)/SUMIF($D$483:$D$547,$I1216,V$483:V$547)*#REF!,0)</f>
        <v>0</v>
      </c>
      <c r="AM1216" s="162">
        <f>IFERROR(SUMIF($B$483:$B$547,$C1216&amp;$I1216,W$483:W$547)/SUMIF($D$483:$D$547,$I1216,W$483:W$547)*#REF!,0)</f>
        <v>0</v>
      </c>
      <c r="AN1216" s="162">
        <f>IFERROR(SUMIF($B$483:$B$547,$C1216&amp;$I1216,X$483:X$547)/SUMIF($D$483:$D$547,$I1216,X$483:X$547)*#REF!,0)</f>
        <v>0</v>
      </c>
      <c r="AO1216" s="162">
        <f>IFERROR(SUMIF($B$483:$B$547,$C1216&amp;$I1216,Y$483:Y$547)/SUMIF($D$483:$D$547,$I1216,Y$483:Y$547)*#REF!,0)</f>
        <v>0</v>
      </c>
      <c r="AP1216" s="162">
        <f>IFERROR(SUMIF($B$483:$B$547,$C1216&amp;$I1216,Z$483:Z$547)/SUMIF($D$483:$D$547,$I1216,Z$483:Z$547)*#REF!,0)</f>
        <v>0</v>
      </c>
      <c r="AQ1216" s="162">
        <f>IFERROR(SUMIF($B$483:$B$547,$C1216&amp;$I1216,AA$483:AA$547)/SUMIF($D$483:$D$547,$I1216,AA$483:AA$547)*#REF!,0)</f>
        <v>0</v>
      </c>
      <c r="AR1216" s="163">
        <f t="shared" si="396"/>
        <v>0</v>
      </c>
      <c r="AT1216" s="208">
        <f>IFERROR(VLOOKUP(J1216,#REF!,10,0),0)</f>
        <v>0</v>
      </c>
    </row>
    <row r="1217" spans="1:46" hidden="1" outlineLevel="1" x14ac:dyDescent="0.25">
      <c r="A1217" s="14" t="str">
        <f t="shared" si="370"/>
        <v>PROP_OPER__17</v>
      </c>
      <c r="B1217" s="15" t="e">
        <f t="shared" si="390"/>
        <v>#REF!</v>
      </c>
      <c r="C1217" s="83"/>
      <c r="D1217" s="15">
        <v>1</v>
      </c>
      <c r="E1217" s="15">
        <v>17</v>
      </c>
      <c r="F1217" s="190" t="e">
        <f t="shared" si="397"/>
        <v>#REF!</v>
      </c>
      <c r="G1217" s="149" t="e">
        <f t="shared" si="397"/>
        <v>#REF!</v>
      </c>
      <c r="H1217" s="150" t="e">
        <f t="shared" si="397"/>
        <v>#REF!</v>
      </c>
      <c r="I1217" s="150" t="e">
        <f t="shared" si="397"/>
        <v>#REF!</v>
      </c>
      <c r="J1217" s="150" t="e">
        <f t="shared" si="397"/>
        <v>#REF!</v>
      </c>
      <c r="K1217" s="196" t="e">
        <f t="shared" si="397"/>
        <v>#REF!</v>
      </c>
      <c r="L1217" s="197" t="e">
        <f t="shared" si="397"/>
        <v>#REF!</v>
      </c>
      <c r="M1217" s="191" t="e">
        <f t="shared" si="397"/>
        <v>#REF!</v>
      </c>
      <c r="N1217" s="150" t="e">
        <f t="shared" si="397"/>
        <v>#REF!</v>
      </c>
      <c r="O1217" s="193" t="e">
        <f t="shared" si="397"/>
        <v>#REF!</v>
      </c>
      <c r="P1217" s="162">
        <f>IFERROR(SUMIF($B$483:$B$547,$C1217&amp;$I1217,P$483:P$547)/SUMIF($D$483:$D$547,$I1217,P$483:P$547)*#REF!,0)</f>
        <v>0</v>
      </c>
      <c r="Q1217" s="162">
        <f>IFERROR(SUMIF($B$483:$B$547,$C1217&amp;$I1217,Q$483:Q$547)/SUMIF($D$483:$D$547,$I1217,Q$483:Q$547)*#REF!,0)</f>
        <v>0</v>
      </c>
      <c r="R1217" s="162">
        <f>IFERROR(SUMIF($B$483:$B$547,$C1217&amp;$I1217,R$483:R$547)/SUMIF($D$483:$D$547,$I1217,R$483:R$547)*#REF!,0)</f>
        <v>0</v>
      </c>
      <c r="S1217" s="162">
        <f>IFERROR(SUMIF($B$483:$B$547,$C1217&amp;$I1217,S$483:S$547)/SUMIF($D$483:$D$547,$I1217,S$483:S$547)*#REF!,0)</f>
        <v>0</v>
      </c>
      <c r="T1217" s="162">
        <f>IFERROR(SUMIF($B$483:$B$547,$C1217&amp;$I1217,T$483:T$547)/SUMIF($D$483:$D$547,$I1217,T$483:T$547)*#REF!,0)</f>
        <v>0</v>
      </c>
      <c r="U1217" s="162">
        <f>IFERROR(SUMIF($B$483:$B$547,$C1217&amp;$I1217,U$483:U$547)/SUMIF($D$483:$D$547,$I1217,U$483:U$547)*#REF!,0)</f>
        <v>0</v>
      </c>
      <c r="V1217" s="162">
        <f>IFERROR(SUMIF($B$483:$B$547,$C1217&amp;$I1217,V$483:V$547)/SUMIF($D$483:$D$547,$I1217,V$483:V$547)*#REF!,0)</f>
        <v>0</v>
      </c>
      <c r="W1217" s="162">
        <f>IFERROR(SUMIF($B$483:$B$547,$C1217&amp;$I1217,W$483:W$547)/SUMIF($D$483:$D$547,$I1217,W$483:W$547)*#REF!,0)</f>
        <v>0</v>
      </c>
      <c r="X1217" s="162">
        <f>IFERROR(SUMIF($B$483:$B$547,$C1217&amp;$I1217,X$483:X$547)/SUMIF($D$483:$D$547,$I1217,X$483:X$547)*#REF!,0)</f>
        <v>0</v>
      </c>
      <c r="Y1217" s="162">
        <f>IFERROR(SUMIF($B$483:$B$547,$C1217&amp;$I1217,Y$483:Y$547)/SUMIF($D$483:$D$547,$I1217,Y$483:Y$547)*#REF!,0)</f>
        <v>0</v>
      </c>
      <c r="Z1217" s="162">
        <f>IFERROR(SUMIF($B$483:$B$547,$C1217&amp;$I1217,Z$483:Z$547)/SUMIF($D$483:$D$547,$I1217,Z$483:Z$547)*#REF!,0)</f>
        <v>0</v>
      </c>
      <c r="AA1217" s="162">
        <f>IFERROR(SUMIF($B$483:$B$547,$C1217&amp;$I1217,AA$483:AA$547)/SUMIF($D$483:$D$547,$I1217,AA$483:AA$547)*#REF!,0)</f>
        <v>0</v>
      </c>
      <c r="AB1217" s="163">
        <f t="shared" si="393"/>
        <v>0</v>
      </c>
      <c r="AC1217" s="198"/>
      <c r="AE1217" s="194" t="e">
        <f t="shared" si="394"/>
        <v>#REF!</v>
      </c>
      <c r="AF1217" s="161">
        <f>IFERROR(SUMIF($B$483:$B$547,$C1217&amp;$I1217,P$483:P$547)/SUMIF($D$483:$D$547,$I1217,P$483:P$547)*#REF!,0)</f>
        <v>0</v>
      </c>
      <c r="AG1217" s="162">
        <f>IFERROR(SUMIF($B$483:$B$547,$C1217&amp;$I1217,Q$483:Q$547)/SUMIF($D$483:$D$547,$I1217,Q$483:Q$547)*#REF!,0)</f>
        <v>0</v>
      </c>
      <c r="AH1217" s="162">
        <f>IFERROR(SUMIF($B$483:$B$547,$C1217&amp;$I1217,R$483:R$547)/SUMIF($D$483:$D$547,$I1217,R$483:R$547)*#REF!,0)</f>
        <v>0</v>
      </c>
      <c r="AI1217" s="162">
        <f>IFERROR(SUMIF($B$483:$B$547,$C1217&amp;$I1217,S$483:S$547)/SUMIF($D$483:$D$547,$I1217,S$483:S$547)*#REF!,0)</f>
        <v>0</v>
      </c>
      <c r="AJ1217" s="162">
        <f>IFERROR(SUMIF($B$483:$B$547,$C1217&amp;$I1217,T$483:T$547)/SUMIF($D$483:$D$547,$I1217,T$483:T$547)*#REF!,0)</f>
        <v>0</v>
      </c>
      <c r="AK1217" s="162">
        <f>IFERROR(SUMIF($B$483:$B$547,$C1217&amp;$I1217,U$483:U$547)/SUMIF($D$483:$D$547,$I1217,U$483:U$547)*#REF!,0)</f>
        <v>0</v>
      </c>
      <c r="AL1217" s="162">
        <f>IFERROR(SUMIF($B$483:$B$547,$C1217&amp;$I1217,V$483:V$547)/SUMIF($D$483:$D$547,$I1217,V$483:V$547)*#REF!,0)</f>
        <v>0</v>
      </c>
      <c r="AM1217" s="162">
        <f>IFERROR(SUMIF($B$483:$B$547,$C1217&amp;$I1217,W$483:W$547)/SUMIF($D$483:$D$547,$I1217,W$483:W$547)*#REF!,0)</f>
        <v>0</v>
      </c>
      <c r="AN1217" s="162">
        <f>IFERROR(SUMIF($B$483:$B$547,$C1217&amp;$I1217,X$483:X$547)/SUMIF($D$483:$D$547,$I1217,X$483:X$547)*#REF!,0)</f>
        <v>0</v>
      </c>
      <c r="AO1217" s="162">
        <f>IFERROR(SUMIF($B$483:$B$547,$C1217&amp;$I1217,Y$483:Y$547)/SUMIF($D$483:$D$547,$I1217,Y$483:Y$547)*#REF!,0)</f>
        <v>0</v>
      </c>
      <c r="AP1217" s="162">
        <f>IFERROR(SUMIF($B$483:$B$547,$C1217&amp;$I1217,Z$483:Z$547)/SUMIF($D$483:$D$547,$I1217,Z$483:Z$547)*#REF!,0)</f>
        <v>0</v>
      </c>
      <c r="AQ1217" s="162">
        <f>IFERROR(SUMIF($B$483:$B$547,$C1217&amp;$I1217,AA$483:AA$547)/SUMIF($D$483:$D$547,$I1217,AA$483:AA$547)*#REF!,0)</f>
        <v>0</v>
      </c>
      <c r="AR1217" s="163">
        <f t="shared" si="396"/>
        <v>0</v>
      </c>
      <c r="AT1217" s="208">
        <f>IFERROR(VLOOKUP(J1217,#REF!,10,0),0)</f>
        <v>0</v>
      </c>
    </row>
    <row r="1218" spans="1:46" hidden="1" outlineLevel="1" x14ac:dyDescent="0.25">
      <c r="A1218" s="14" t="str">
        <f t="shared" si="370"/>
        <v>PROP_OPER__18</v>
      </c>
      <c r="B1218" s="15" t="e">
        <f t="shared" si="390"/>
        <v>#REF!</v>
      </c>
      <c r="C1218" s="83"/>
      <c r="D1218" s="15">
        <v>1</v>
      </c>
      <c r="E1218" s="15">
        <v>18</v>
      </c>
      <c r="F1218" s="190" t="e">
        <f t="shared" ref="F1218:O1233" si="398">F1172</f>
        <v>#REF!</v>
      </c>
      <c r="G1218" s="149" t="e">
        <f t="shared" si="398"/>
        <v>#REF!</v>
      </c>
      <c r="H1218" s="150" t="e">
        <f t="shared" si="398"/>
        <v>#REF!</v>
      </c>
      <c r="I1218" s="150" t="e">
        <f t="shared" si="398"/>
        <v>#REF!</v>
      </c>
      <c r="J1218" s="150" t="e">
        <f t="shared" si="398"/>
        <v>#REF!</v>
      </c>
      <c r="K1218" s="196" t="e">
        <f t="shared" si="398"/>
        <v>#REF!</v>
      </c>
      <c r="L1218" s="197" t="e">
        <f t="shared" si="398"/>
        <v>#REF!</v>
      </c>
      <c r="M1218" s="191" t="e">
        <f t="shared" si="398"/>
        <v>#REF!</v>
      </c>
      <c r="N1218" s="150" t="e">
        <f t="shared" si="398"/>
        <v>#REF!</v>
      </c>
      <c r="O1218" s="193" t="e">
        <f t="shared" si="398"/>
        <v>#REF!</v>
      </c>
      <c r="P1218" s="162">
        <f>IFERROR(SUMIF($B$483:$B$547,$C1218&amp;$I1218,P$483:P$547)/SUMIF($D$483:$D$547,$I1218,P$483:P$547)*#REF!,0)</f>
        <v>0</v>
      </c>
      <c r="Q1218" s="162">
        <f>IFERROR(SUMIF($B$483:$B$547,$C1218&amp;$I1218,Q$483:Q$547)/SUMIF($D$483:$D$547,$I1218,Q$483:Q$547)*#REF!,0)</f>
        <v>0</v>
      </c>
      <c r="R1218" s="162">
        <f>IFERROR(SUMIF($B$483:$B$547,$C1218&amp;$I1218,R$483:R$547)/SUMIF($D$483:$D$547,$I1218,R$483:R$547)*#REF!,0)</f>
        <v>0</v>
      </c>
      <c r="S1218" s="162">
        <f>IFERROR(SUMIF($B$483:$B$547,$C1218&amp;$I1218,S$483:S$547)/SUMIF($D$483:$D$547,$I1218,S$483:S$547)*#REF!,0)</f>
        <v>0</v>
      </c>
      <c r="T1218" s="162">
        <f>IFERROR(SUMIF($B$483:$B$547,$C1218&amp;$I1218,T$483:T$547)/SUMIF($D$483:$D$547,$I1218,T$483:T$547)*#REF!,0)</f>
        <v>0</v>
      </c>
      <c r="U1218" s="162">
        <f>IFERROR(SUMIF($B$483:$B$547,$C1218&amp;$I1218,U$483:U$547)/SUMIF($D$483:$D$547,$I1218,U$483:U$547)*#REF!,0)</f>
        <v>0</v>
      </c>
      <c r="V1218" s="162">
        <f>IFERROR(SUMIF($B$483:$B$547,$C1218&amp;$I1218,V$483:V$547)/SUMIF($D$483:$D$547,$I1218,V$483:V$547)*#REF!,0)</f>
        <v>0</v>
      </c>
      <c r="W1218" s="162">
        <f>IFERROR(SUMIF($B$483:$B$547,$C1218&amp;$I1218,W$483:W$547)/SUMIF($D$483:$D$547,$I1218,W$483:W$547)*#REF!,0)</f>
        <v>0</v>
      </c>
      <c r="X1218" s="162">
        <f>IFERROR(SUMIF($B$483:$B$547,$C1218&amp;$I1218,X$483:X$547)/SUMIF($D$483:$D$547,$I1218,X$483:X$547)*#REF!,0)</f>
        <v>0</v>
      </c>
      <c r="Y1218" s="162">
        <f>IFERROR(SUMIF($B$483:$B$547,$C1218&amp;$I1218,Y$483:Y$547)/SUMIF($D$483:$D$547,$I1218,Y$483:Y$547)*#REF!,0)</f>
        <v>0</v>
      </c>
      <c r="Z1218" s="162">
        <f>IFERROR(SUMIF($B$483:$B$547,$C1218&amp;$I1218,Z$483:Z$547)/SUMIF($D$483:$D$547,$I1218,Z$483:Z$547)*#REF!,0)</f>
        <v>0</v>
      </c>
      <c r="AA1218" s="162">
        <f>IFERROR(SUMIF($B$483:$B$547,$C1218&amp;$I1218,AA$483:AA$547)/SUMIF($D$483:$D$547,$I1218,AA$483:AA$547)*#REF!,0)</f>
        <v>0</v>
      </c>
      <c r="AB1218" s="163">
        <f t="shared" si="393"/>
        <v>0</v>
      </c>
      <c r="AC1218" s="198"/>
      <c r="AE1218" s="194" t="e">
        <f t="shared" si="394"/>
        <v>#REF!</v>
      </c>
      <c r="AF1218" s="161">
        <f>IFERROR(SUMIF($B$483:$B$547,$C1218&amp;$I1218,P$483:P$547)/SUMIF($D$483:$D$547,$I1218,P$483:P$547)*#REF!,0)</f>
        <v>0</v>
      </c>
      <c r="AG1218" s="162">
        <f>IFERROR(SUMIF($B$483:$B$547,$C1218&amp;$I1218,Q$483:Q$547)/SUMIF($D$483:$D$547,$I1218,Q$483:Q$547)*#REF!,0)</f>
        <v>0</v>
      </c>
      <c r="AH1218" s="162">
        <f>IFERROR(SUMIF($B$483:$B$547,$C1218&amp;$I1218,R$483:R$547)/SUMIF($D$483:$D$547,$I1218,R$483:R$547)*#REF!,0)</f>
        <v>0</v>
      </c>
      <c r="AI1218" s="162">
        <f>IFERROR(SUMIF($B$483:$B$547,$C1218&amp;$I1218,S$483:S$547)/SUMIF($D$483:$D$547,$I1218,S$483:S$547)*#REF!,0)</f>
        <v>0</v>
      </c>
      <c r="AJ1218" s="162">
        <f>IFERROR(SUMIF($B$483:$B$547,$C1218&amp;$I1218,T$483:T$547)/SUMIF($D$483:$D$547,$I1218,T$483:T$547)*#REF!,0)</f>
        <v>0</v>
      </c>
      <c r="AK1218" s="162">
        <f>IFERROR(SUMIF($B$483:$B$547,$C1218&amp;$I1218,U$483:U$547)/SUMIF($D$483:$D$547,$I1218,U$483:U$547)*#REF!,0)</f>
        <v>0</v>
      </c>
      <c r="AL1218" s="162">
        <f>IFERROR(SUMIF($B$483:$B$547,$C1218&amp;$I1218,V$483:V$547)/SUMIF($D$483:$D$547,$I1218,V$483:V$547)*#REF!,0)</f>
        <v>0</v>
      </c>
      <c r="AM1218" s="162">
        <f>IFERROR(SUMIF($B$483:$B$547,$C1218&amp;$I1218,W$483:W$547)/SUMIF($D$483:$D$547,$I1218,W$483:W$547)*#REF!,0)</f>
        <v>0</v>
      </c>
      <c r="AN1218" s="162">
        <f>IFERROR(SUMIF($B$483:$B$547,$C1218&amp;$I1218,X$483:X$547)/SUMIF($D$483:$D$547,$I1218,X$483:X$547)*#REF!,0)</f>
        <v>0</v>
      </c>
      <c r="AO1218" s="162">
        <f>IFERROR(SUMIF($B$483:$B$547,$C1218&amp;$I1218,Y$483:Y$547)/SUMIF($D$483:$D$547,$I1218,Y$483:Y$547)*#REF!,0)</f>
        <v>0</v>
      </c>
      <c r="AP1218" s="162">
        <f>IFERROR(SUMIF($B$483:$B$547,$C1218&amp;$I1218,Z$483:Z$547)/SUMIF($D$483:$D$547,$I1218,Z$483:Z$547)*#REF!,0)</f>
        <v>0</v>
      </c>
      <c r="AQ1218" s="162">
        <f>IFERROR(SUMIF($B$483:$B$547,$C1218&amp;$I1218,AA$483:AA$547)/SUMIF($D$483:$D$547,$I1218,AA$483:AA$547)*#REF!,0)</f>
        <v>0</v>
      </c>
      <c r="AR1218" s="163">
        <f t="shared" si="396"/>
        <v>0</v>
      </c>
      <c r="AT1218" s="208">
        <f>IFERROR(VLOOKUP(J1218,#REF!,10,0),0)</f>
        <v>0</v>
      </c>
    </row>
    <row r="1219" spans="1:46" hidden="1" outlineLevel="1" x14ac:dyDescent="0.25">
      <c r="A1219" s="14" t="str">
        <f t="shared" si="370"/>
        <v>PROP_OPER__19</v>
      </c>
      <c r="B1219" s="15" t="str">
        <f t="shared" si="390"/>
        <v>PROP_OPER__0_0</v>
      </c>
      <c r="C1219" s="83"/>
      <c r="D1219" s="15">
        <v>1</v>
      </c>
      <c r="E1219" s="15">
        <v>19</v>
      </c>
      <c r="F1219" s="190">
        <f t="shared" si="398"/>
        <v>0</v>
      </c>
      <c r="G1219" s="149" t="str">
        <f t="shared" si="398"/>
        <v/>
      </c>
      <c r="H1219" s="150" t="str">
        <f t="shared" si="398"/>
        <v/>
      </c>
      <c r="I1219" s="150">
        <f t="shared" si="398"/>
        <v>0</v>
      </c>
      <c r="J1219" s="150">
        <f t="shared" si="398"/>
        <v>0</v>
      </c>
      <c r="K1219" s="196" t="str">
        <f t="shared" si="398"/>
        <v/>
      </c>
      <c r="L1219" s="197" t="str">
        <f t="shared" si="398"/>
        <v/>
      </c>
      <c r="M1219" s="191">
        <f t="shared" si="398"/>
        <v>0</v>
      </c>
      <c r="N1219" s="150">
        <f t="shared" si="398"/>
        <v>0</v>
      </c>
      <c r="O1219" s="193">
        <f t="shared" si="398"/>
        <v>0</v>
      </c>
      <c r="P1219" s="162">
        <f t="shared" ref="P1219:AA1234" si="399">IFERROR(SUMIF($B$483:$B$547,$C1219&amp;$I1219,P$483:P$547)/SUMIF($D$483:$D$547,$I1219,P$483:P$547)*P612,0)</f>
        <v>0</v>
      </c>
      <c r="Q1219" s="162">
        <f t="shared" si="399"/>
        <v>0</v>
      </c>
      <c r="R1219" s="162">
        <f t="shared" si="399"/>
        <v>0</v>
      </c>
      <c r="S1219" s="162">
        <f t="shared" si="399"/>
        <v>0</v>
      </c>
      <c r="T1219" s="162">
        <f t="shared" si="399"/>
        <v>0</v>
      </c>
      <c r="U1219" s="162">
        <f t="shared" si="399"/>
        <v>0</v>
      </c>
      <c r="V1219" s="162">
        <f t="shared" si="399"/>
        <v>0</v>
      </c>
      <c r="W1219" s="162">
        <f t="shared" si="399"/>
        <v>0</v>
      </c>
      <c r="X1219" s="162">
        <f t="shared" si="399"/>
        <v>0</v>
      </c>
      <c r="Y1219" s="162">
        <f t="shared" si="399"/>
        <v>0</v>
      </c>
      <c r="Z1219" s="162">
        <f t="shared" si="399"/>
        <v>0</v>
      </c>
      <c r="AA1219" s="162">
        <f t="shared" si="399"/>
        <v>0</v>
      </c>
      <c r="AB1219" s="163">
        <f t="shared" si="393"/>
        <v>0</v>
      </c>
      <c r="AC1219" s="198"/>
      <c r="AE1219" s="194" t="str">
        <f t="shared" si="394"/>
        <v/>
      </c>
      <c r="AF1219" s="161">
        <f t="shared" ref="AF1219:AQ1234" si="400">IFERROR(SUMIF($B$483:$B$547,$C1219&amp;$I1219,P$483:P$547)/SUMIF($D$483:$D$547,$I1219,P$483:P$547)*AF612,0)</f>
        <v>0</v>
      </c>
      <c r="AG1219" s="162">
        <f t="shared" si="400"/>
        <v>0</v>
      </c>
      <c r="AH1219" s="162">
        <f t="shared" si="400"/>
        <v>0</v>
      </c>
      <c r="AI1219" s="162">
        <f t="shared" si="400"/>
        <v>0</v>
      </c>
      <c r="AJ1219" s="162">
        <f t="shared" si="400"/>
        <v>0</v>
      </c>
      <c r="AK1219" s="162">
        <f t="shared" si="400"/>
        <v>0</v>
      </c>
      <c r="AL1219" s="162">
        <f t="shared" si="400"/>
        <v>0</v>
      </c>
      <c r="AM1219" s="162">
        <f t="shared" si="400"/>
        <v>0</v>
      </c>
      <c r="AN1219" s="162">
        <f t="shared" si="400"/>
        <v>0</v>
      </c>
      <c r="AO1219" s="162">
        <f t="shared" si="400"/>
        <v>0</v>
      </c>
      <c r="AP1219" s="162">
        <f t="shared" si="400"/>
        <v>0</v>
      </c>
      <c r="AQ1219" s="162">
        <f t="shared" si="400"/>
        <v>0</v>
      </c>
      <c r="AR1219" s="163">
        <f t="shared" si="396"/>
        <v>0</v>
      </c>
      <c r="AT1219" s="208">
        <f>IFERROR(VLOOKUP(J1219,#REF!,10,0),0)</f>
        <v>0</v>
      </c>
    </row>
    <row r="1220" spans="1:46" hidden="1" outlineLevel="1" x14ac:dyDescent="0.25">
      <c r="A1220" s="14" t="str">
        <f t="shared" si="370"/>
        <v>PROP_OPER__20</v>
      </c>
      <c r="B1220" s="15" t="str">
        <f t="shared" si="390"/>
        <v>PROP_OPER__0_0</v>
      </c>
      <c r="C1220" s="83"/>
      <c r="D1220" s="15">
        <v>1</v>
      </c>
      <c r="E1220" s="15">
        <v>20</v>
      </c>
      <c r="F1220" s="190">
        <f t="shared" si="398"/>
        <v>0</v>
      </c>
      <c r="G1220" s="149" t="str">
        <f t="shared" si="398"/>
        <v/>
      </c>
      <c r="H1220" s="150" t="str">
        <f t="shared" si="398"/>
        <v/>
      </c>
      <c r="I1220" s="150">
        <f t="shared" si="398"/>
        <v>0</v>
      </c>
      <c r="J1220" s="150">
        <f t="shared" si="398"/>
        <v>0</v>
      </c>
      <c r="K1220" s="196" t="str">
        <f t="shared" si="398"/>
        <v/>
      </c>
      <c r="L1220" s="197" t="str">
        <f t="shared" si="398"/>
        <v/>
      </c>
      <c r="M1220" s="191">
        <f t="shared" si="398"/>
        <v>0</v>
      </c>
      <c r="N1220" s="150">
        <f t="shared" si="398"/>
        <v>0</v>
      </c>
      <c r="O1220" s="193">
        <f t="shared" si="398"/>
        <v>0</v>
      </c>
      <c r="P1220" s="162">
        <f t="shared" si="399"/>
        <v>0</v>
      </c>
      <c r="Q1220" s="162">
        <f t="shared" si="399"/>
        <v>0</v>
      </c>
      <c r="R1220" s="162">
        <f t="shared" si="399"/>
        <v>0</v>
      </c>
      <c r="S1220" s="162">
        <f t="shared" si="399"/>
        <v>0</v>
      </c>
      <c r="T1220" s="162">
        <f t="shared" si="399"/>
        <v>0</v>
      </c>
      <c r="U1220" s="162">
        <f t="shared" si="399"/>
        <v>0</v>
      </c>
      <c r="V1220" s="162">
        <f t="shared" si="399"/>
        <v>0</v>
      </c>
      <c r="W1220" s="162">
        <f t="shared" si="399"/>
        <v>0</v>
      </c>
      <c r="X1220" s="162">
        <f t="shared" si="399"/>
        <v>0</v>
      </c>
      <c r="Y1220" s="162">
        <f t="shared" si="399"/>
        <v>0</v>
      </c>
      <c r="Z1220" s="162">
        <f t="shared" si="399"/>
        <v>0</v>
      </c>
      <c r="AA1220" s="162">
        <f t="shared" si="399"/>
        <v>0</v>
      </c>
      <c r="AB1220" s="163">
        <f t="shared" si="393"/>
        <v>0</v>
      </c>
      <c r="AC1220" s="198"/>
      <c r="AE1220" s="194" t="str">
        <f t="shared" si="394"/>
        <v/>
      </c>
      <c r="AF1220" s="161">
        <f t="shared" si="400"/>
        <v>0</v>
      </c>
      <c r="AG1220" s="162">
        <f t="shared" si="400"/>
        <v>0</v>
      </c>
      <c r="AH1220" s="162">
        <f t="shared" si="400"/>
        <v>0</v>
      </c>
      <c r="AI1220" s="162">
        <f t="shared" si="400"/>
        <v>0</v>
      </c>
      <c r="AJ1220" s="162">
        <f t="shared" si="400"/>
        <v>0</v>
      </c>
      <c r="AK1220" s="162">
        <f t="shared" si="400"/>
        <v>0</v>
      </c>
      <c r="AL1220" s="162">
        <f t="shared" si="400"/>
        <v>0</v>
      </c>
      <c r="AM1220" s="162">
        <f t="shared" si="400"/>
        <v>0</v>
      </c>
      <c r="AN1220" s="162">
        <f t="shared" si="400"/>
        <v>0</v>
      </c>
      <c r="AO1220" s="162">
        <f t="shared" si="400"/>
        <v>0</v>
      </c>
      <c r="AP1220" s="162">
        <f t="shared" si="400"/>
        <v>0</v>
      </c>
      <c r="AQ1220" s="162">
        <f t="shared" si="400"/>
        <v>0</v>
      </c>
      <c r="AR1220" s="163">
        <f t="shared" si="396"/>
        <v>0</v>
      </c>
      <c r="AT1220" s="208">
        <f>IFERROR(VLOOKUP(J1220,#REF!,10,0),0)</f>
        <v>0</v>
      </c>
    </row>
    <row r="1221" spans="1:46" hidden="1" outlineLevel="1" x14ac:dyDescent="0.25">
      <c r="A1221" s="14" t="str">
        <f t="shared" si="370"/>
        <v>PROP_OPER__21</v>
      </c>
      <c r="B1221" s="15" t="str">
        <f t="shared" si="390"/>
        <v>PROP_OPER__0_0</v>
      </c>
      <c r="C1221" s="83"/>
      <c r="D1221" s="15">
        <v>1</v>
      </c>
      <c r="E1221" s="15">
        <v>21</v>
      </c>
      <c r="F1221" s="190">
        <f t="shared" si="398"/>
        <v>0</v>
      </c>
      <c r="G1221" s="149" t="str">
        <f t="shared" si="398"/>
        <v/>
      </c>
      <c r="H1221" s="150" t="str">
        <f t="shared" si="398"/>
        <v/>
      </c>
      <c r="I1221" s="150">
        <f t="shared" si="398"/>
        <v>0</v>
      </c>
      <c r="J1221" s="150">
        <f t="shared" si="398"/>
        <v>0</v>
      </c>
      <c r="K1221" s="196" t="str">
        <f t="shared" si="398"/>
        <v/>
      </c>
      <c r="L1221" s="197" t="str">
        <f t="shared" si="398"/>
        <v/>
      </c>
      <c r="M1221" s="191">
        <f t="shared" si="398"/>
        <v>0</v>
      </c>
      <c r="N1221" s="150">
        <f t="shared" si="398"/>
        <v>0</v>
      </c>
      <c r="O1221" s="193">
        <f t="shared" si="398"/>
        <v>0</v>
      </c>
      <c r="P1221" s="162">
        <f t="shared" si="399"/>
        <v>0</v>
      </c>
      <c r="Q1221" s="162">
        <f t="shared" si="399"/>
        <v>0</v>
      </c>
      <c r="R1221" s="162">
        <f t="shared" si="399"/>
        <v>0</v>
      </c>
      <c r="S1221" s="162">
        <f t="shared" si="399"/>
        <v>0</v>
      </c>
      <c r="T1221" s="162">
        <f t="shared" si="399"/>
        <v>0</v>
      </c>
      <c r="U1221" s="162">
        <f t="shared" si="399"/>
        <v>0</v>
      </c>
      <c r="V1221" s="162">
        <f t="shared" si="399"/>
        <v>0</v>
      </c>
      <c r="W1221" s="162">
        <f t="shared" si="399"/>
        <v>0</v>
      </c>
      <c r="X1221" s="162">
        <f t="shared" si="399"/>
        <v>0</v>
      </c>
      <c r="Y1221" s="162">
        <f t="shared" si="399"/>
        <v>0</v>
      </c>
      <c r="Z1221" s="162">
        <f t="shared" si="399"/>
        <v>0</v>
      </c>
      <c r="AA1221" s="162">
        <f t="shared" si="399"/>
        <v>0</v>
      </c>
      <c r="AB1221" s="163">
        <f t="shared" si="393"/>
        <v>0</v>
      </c>
      <c r="AC1221" s="198"/>
      <c r="AE1221" s="194" t="str">
        <f t="shared" si="394"/>
        <v/>
      </c>
      <c r="AF1221" s="161">
        <f t="shared" si="400"/>
        <v>0</v>
      </c>
      <c r="AG1221" s="162">
        <f t="shared" si="400"/>
        <v>0</v>
      </c>
      <c r="AH1221" s="162">
        <f t="shared" si="400"/>
        <v>0</v>
      </c>
      <c r="AI1221" s="162">
        <f t="shared" si="400"/>
        <v>0</v>
      </c>
      <c r="AJ1221" s="162">
        <f t="shared" si="400"/>
        <v>0</v>
      </c>
      <c r="AK1221" s="162">
        <f t="shared" si="400"/>
        <v>0</v>
      </c>
      <c r="AL1221" s="162">
        <f t="shared" si="400"/>
        <v>0</v>
      </c>
      <c r="AM1221" s="162">
        <f t="shared" si="400"/>
        <v>0</v>
      </c>
      <c r="AN1221" s="162">
        <f t="shared" si="400"/>
        <v>0</v>
      </c>
      <c r="AO1221" s="162">
        <f t="shared" si="400"/>
        <v>0</v>
      </c>
      <c r="AP1221" s="162">
        <f t="shared" si="400"/>
        <v>0</v>
      </c>
      <c r="AQ1221" s="162">
        <f t="shared" si="400"/>
        <v>0</v>
      </c>
      <c r="AR1221" s="163">
        <f t="shared" si="396"/>
        <v>0</v>
      </c>
      <c r="AT1221" s="208">
        <f>IFERROR(VLOOKUP(J1221,#REF!,10,0),0)</f>
        <v>0</v>
      </c>
    </row>
    <row r="1222" spans="1:46" hidden="1" outlineLevel="1" x14ac:dyDescent="0.25">
      <c r="A1222" s="14" t="str">
        <f t="shared" si="370"/>
        <v>PROP_OPER__22</v>
      </c>
      <c r="B1222" s="15" t="str">
        <f t="shared" si="390"/>
        <v>PROP_OPER__0_0</v>
      </c>
      <c r="C1222" s="83"/>
      <c r="D1222" s="15">
        <v>1</v>
      </c>
      <c r="E1222" s="15">
        <v>22</v>
      </c>
      <c r="F1222" s="190">
        <f t="shared" si="398"/>
        <v>0</v>
      </c>
      <c r="G1222" s="149" t="str">
        <f t="shared" si="398"/>
        <v/>
      </c>
      <c r="H1222" s="150" t="str">
        <f t="shared" si="398"/>
        <v/>
      </c>
      <c r="I1222" s="150">
        <f t="shared" si="398"/>
        <v>0</v>
      </c>
      <c r="J1222" s="150">
        <f t="shared" si="398"/>
        <v>0</v>
      </c>
      <c r="K1222" s="196" t="str">
        <f t="shared" si="398"/>
        <v/>
      </c>
      <c r="L1222" s="197" t="str">
        <f t="shared" si="398"/>
        <v/>
      </c>
      <c r="M1222" s="191">
        <f t="shared" si="398"/>
        <v>0</v>
      </c>
      <c r="N1222" s="150">
        <f t="shared" si="398"/>
        <v>0</v>
      </c>
      <c r="O1222" s="193">
        <f t="shared" si="398"/>
        <v>0</v>
      </c>
      <c r="P1222" s="162">
        <f t="shared" si="399"/>
        <v>0</v>
      </c>
      <c r="Q1222" s="162">
        <f t="shared" si="399"/>
        <v>0</v>
      </c>
      <c r="R1222" s="162">
        <f t="shared" si="399"/>
        <v>0</v>
      </c>
      <c r="S1222" s="162">
        <f t="shared" si="399"/>
        <v>0</v>
      </c>
      <c r="T1222" s="162">
        <f t="shared" si="399"/>
        <v>0</v>
      </c>
      <c r="U1222" s="162">
        <f t="shared" si="399"/>
        <v>0</v>
      </c>
      <c r="V1222" s="162">
        <f t="shared" si="399"/>
        <v>0</v>
      </c>
      <c r="W1222" s="162">
        <f t="shared" si="399"/>
        <v>0</v>
      </c>
      <c r="X1222" s="162">
        <f t="shared" si="399"/>
        <v>0</v>
      </c>
      <c r="Y1222" s="162">
        <f t="shared" si="399"/>
        <v>0</v>
      </c>
      <c r="Z1222" s="162">
        <f t="shared" si="399"/>
        <v>0</v>
      </c>
      <c r="AA1222" s="162">
        <f t="shared" si="399"/>
        <v>0</v>
      </c>
      <c r="AB1222" s="163">
        <f t="shared" si="393"/>
        <v>0</v>
      </c>
      <c r="AC1222" s="198"/>
      <c r="AE1222" s="194" t="str">
        <f t="shared" si="394"/>
        <v/>
      </c>
      <c r="AF1222" s="161">
        <f t="shared" si="400"/>
        <v>0</v>
      </c>
      <c r="AG1222" s="162">
        <f t="shared" si="400"/>
        <v>0</v>
      </c>
      <c r="AH1222" s="162">
        <f t="shared" si="400"/>
        <v>0</v>
      </c>
      <c r="AI1222" s="162">
        <f t="shared" si="400"/>
        <v>0</v>
      </c>
      <c r="AJ1222" s="162">
        <f t="shared" si="400"/>
        <v>0</v>
      </c>
      <c r="AK1222" s="162">
        <f t="shared" si="400"/>
        <v>0</v>
      </c>
      <c r="AL1222" s="162">
        <f t="shared" si="400"/>
        <v>0</v>
      </c>
      <c r="AM1222" s="162">
        <f t="shared" si="400"/>
        <v>0</v>
      </c>
      <c r="AN1222" s="162">
        <f t="shared" si="400"/>
        <v>0</v>
      </c>
      <c r="AO1222" s="162">
        <f t="shared" si="400"/>
        <v>0</v>
      </c>
      <c r="AP1222" s="162">
        <f t="shared" si="400"/>
        <v>0</v>
      </c>
      <c r="AQ1222" s="162">
        <f t="shared" si="400"/>
        <v>0</v>
      </c>
      <c r="AR1222" s="163">
        <f t="shared" si="396"/>
        <v>0</v>
      </c>
      <c r="AT1222" s="208">
        <f>IFERROR(VLOOKUP(J1222,#REF!,10,0),0)</f>
        <v>0</v>
      </c>
    </row>
    <row r="1223" spans="1:46" hidden="1" outlineLevel="1" x14ac:dyDescent="0.25">
      <c r="A1223" s="14" t="str">
        <f t="shared" si="370"/>
        <v>PROP_OPER__23</v>
      </c>
      <c r="B1223" s="15" t="str">
        <f t="shared" si="390"/>
        <v>PROP_OPER__0_0</v>
      </c>
      <c r="C1223" s="83"/>
      <c r="D1223" s="15">
        <v>1</v>
      </c>
      <c r="E1223" s="15">
        <v>23</v>
      </c>
      <c r="F1223" s="190">
        <f t="shared" si="398"/>
        <v>0</v>
      </c>
      <c r="G1223" s="149" t="str">
        <f t="shared" si="398"/>
        <v/>
      </c>
      <c r="H1223" s="150" t="str">
        <f t="shared" si="398"/>
        <v/>
      </c>
      <c r="I1223" s="150">
        <f t="shared" si="398"/>
        <v>0</v>
      </c>
      <c r="J1223" s="150">
        <f t="shared" si="398"/>
        <v>0</v>
      </c>
      <c r="K1223" s="196" t="str">
        <f t="shared" si="398"/>
        <v/>
      </c>
      <c r="L1223" s="197" t="str">
        <f t="shared" si="398"/>
        <v/>
      </c>
      <c r="M1223" s="191">
        <f t="shared" si="398"/>
        <v>0</v>
      </c>
      <c r="N1223" s="150">
        <f t="shared" si="398"/>
        <v>0</v>
      </c>
      <c r="O1223" s="193">
        <f t="shared" si="398"/>
        <v>0</v>
      </c>
      <c r="P1223" s="162">
        <f t="shared" si="399"/>
        <v>0</v>
      </c>
      <c r="Q1223" s="162">
        <f t="shared" si="399"/>
        <v>0</v>
      </c>
      <c r="R1223" s="162">
        <f t="shared" si="399"/>
        <v>0</v>
      </c>
      <c r="S1223" s="162">
        <f t="shared" si="399"/>
        <v>0</v>
      </c>
      <c r="T1223" s="162">
        <f t="shared" si="399"/>
        <v>0</v>
      </c>
      <c r="U1223" s="162">
        <f t="shared" si="399"/>
        <v>0</v>
      </c>
      <c r="V1223" s="162">
        <f t="shared" si="399"/>
        <v>0</v>
      </c>
      <c r="W1223" s="162">
        <f t="shared" si="399"/>
        <v>0</v>
      </c>
      <c r="X1223" s="162">
        <f t="shared" si="399"/>
        <v>0</v>
      </c>
      <c r="Y1223" s="162">
        <f t="shared" si="399"/>
        <v>0</v>
      </c>
      <c r="Z1223" s="162">
        <f t="shared" si="399"/>
        <v>0</v>
      </c>
      <c r="AA1223" s="162">
        <f t="shared" si="399"/>
        <v>0</v>
      </c>
      <c r="AB1223" s="163">
        <f t="shared" si="393"/>
        <v>0</v>
      </c>
      <c r="AC1223" s="198"/>
      <c r="AE1223" s="194" t="str">
        <f t="shared" si="394"/>
        <v/>
      </c>
      <c r="AF1223" s="161">
        <f t="shared" si="400"/>
        <v>0</v>
      </c>
      <c r="AG1223" s="162">
        <f t="shared" si="400"/>
        <v>0</v>
      </c>
      <c r="AH1223" s="162">
        <f t="shared" si="400"/>
        <v>0</v>
      </c>
      <c r="AI1223" s="162">
        <f t="shared" si="400"/>
        <v>0</v>
      </c>
      <c r="AJ1223" s="162">
        <f t="shared" si="400"/>
        <v>0</v>
      </c>
      <c r="AK1223" s="162">
        <f t="shared" si="400"/>
        <v>0</v>
      </c>
      <c r="AL1223" s="162">
        <f t="shared" si="400"/>
        <v>0</v>
      </c>
      <c r="AM1223" s="162">
        <f t="shared" si="400"/>
        <v>0</v>
      </c>
      <c r="AN1223" s="162">
        <f t="shared" si="400"/>
        <v>0</v>
      </c>
      <c r="AO1223" s="162">
        <f t="shared" si="400"/>
        <v>0</v>
      </c>
      <c r="AP1223" s="162">
        <f t="shared" si="400"/>
        <v>0</v>
      </c>
      <c r="AQ1223" s="162">
        <f t="shared" si="400"/>
        <v>0</v>
      </c>
      <c r="AR1223" s="163">
        <f t="shared" si="396"/>
        <v>0</v>
      </c>
      <c r="AT1223" s="208">
        <f>IFERROR(VLOOKUP(J1223,#REF!,10,0),0)</f>
        <v>0</v>
      </c>
    </row>
    <row r="1224" spans="1:46" hidden="1" outlineLevel="1" x14ac:dyDescent="0.25">
      <c r="A1224" s="14" t="str">
        <f t="shared" si="370"/>
        <v>PROP_OPER__24</v>
      </c>
      <c r="B1224" s="15" t="str">
        <f t="shared" si="390"/>
        <v>PROP_OPER__0_0</v>
      </c>
      <c r="C1224" s="83"/>
      <c r="D1224" s="15">
        <v>1</v>
      </c>
      <c r="E1224" s="15">
        <v>24</v>
      </c>
      <c r="F1224" s="190">
        <f t="shared" si="398"/>
        <v>0</v>
      </c>
      <c r="G1224" s="149" t="str">
        <f t="shared" si="398"/>
        <v/>
      </c>
      <c r="H1224" s="150" t="str">
        <f t="shared" si="398"/>
        <v/>
      </c>
      <c r="I1224" s="150">
        <f t="shared" si="398"/>
        <v>0</v>
      </c>
      <c r="J1224" s="150">
        <f t="shared" si="398"/>
        <v>0</v>
      </c>
      <c r="K1224" s="196" t="str">
        <f t="shared" si="398"/>
        <v/>
      </c>
      <c r="L1224" s="197" t="str">
        <f t="shared" si="398"/>
        <v/>
      </c>
      <c r="M1224" s="191">
        <f t="shared" si="398"/>
        <v>0</v>
      </c>
      <c r="N1224" s="150">
        <f t="shared" si="398"/>
        <v>0</v>
      </c>
      <c r="O1224" s="193">
        <f t="shared" si="398"/>
        <v>0</v>
      </c>
      <c r="P1224" s="162">
        <f t="shared" si="399"/>
        <v>0</v>
      </c>
      <c r="Q1224" s="162">
        <f t="shared" si="399"/>
        <v>0</v>
      </c>
      <c r="R1224" s="162">
        <f t="shared" si="399"/>
        <v>0</v>
      </c>
      <c r="S1224" s="162">
        <f t="shared" si="399"/>
        <v>0</v>
      </c>
      <c r="T1224" s="162">
        <f t="shared" si="399"/>
        <v>0</v>
      </c>
      <c r="U1224" s="162">
        <f t="shared" si="399"/>
        <v>0</v>
      </c>
      <c r="V1224" s="162">
        <f t="shared" si="399"/>
        <v>0</v>
      </c>
      <c r="W1224" s="162">
        <f t="shared" si="399"/>
        <v>0</v>
      </c>
      <c r="X1224" s="162">
        <f t="shared" si="399"/>
        <v>0</v>
      </c>
      <c r="Y1224" s="162">
        <f t="shared" si="399"/>
        <v>0</v>
      </c>
      <c r="Z1224" s="162">
        <f t="shared" si="399"/>
        <v>0</v>
      </c>
      <c r="AA1224" s="162">
        <f t="shared" si="399"/>
        <v>0</v>
      </c>
      <c r="AB1224" s="163">
        <f t="shared" si="393"/>
        <v>0</v>
      </c>
      <c r="AC1224" s="198"/>
      <c r="AE1224" s="194" t="str">
        <f t="shared" si="394"/>
        <v/>
      </c>
      <c r="AF1224" s="161">
        <f t="shared" si="400"/>
        <v>0</v>
      </c>
      <c r="AG1224" s="162">
        <f t="shared" si="400"/>
        <v>0</v>
      </c>
      <c r="AH1224" s="162">
        <f t="shared" si="400"/>
        <v>0</v>
      </c>
      <c r="AI1224" s="162">
        <f t="shared" si="400"/>
        <v>0</v>
      </c>
      <c r="AJ1224" s="162">
        <f t="shared" si="400"/>
        <v>0</v>
      </c>
      <c r="AK1224" s="162">
        <f t="shared" si="400"/>
        <v>0</v>
      </c>
      <c r="AL1224" s="162">
        <f t="shared" si="400"/>
        <v>0</v>
      </c>
      <c r="AM1224" s="162">
        <f t="shared" si="400"/>
        <v>0</v>
      </c>
      <c r="AN1224" s="162">
        <f t="shared" si="400"/>
        <v>0</v>
      </c>
      <c r="AO1224" s="162">
        <f t="shared" si="400"/>
        <v>0</v>
      </c>
      <c r="AP1224" s="162">
        <f t="shared" si="400"/>
        <v>0</v>
      </c>
      <c r="AQ1224" s="162">
        <f t="shared" si="400"/>
        <v>0</v>
      </c>
      <c r="AR1224" s="163">
        <f t="shared" si="396"/>
        <v>0</v>
      </c>
      <c r="AT1224" s="208">
        <f>IFERROR(VLOOKUP(J1224,#REF!,10,0),0)</f>
        <v>0</v>
      </c>
    </row>
    <row r="1225" spans="1:46" hidden="1" outlineLevel="1" x14ac:dyDescent="0.25">
      <c r="A1225" s="14" t="str">
        <f t="shared" si="370"/>
        <v>PROP_OPER__25</v>
      </c>
      <c r="B1225" s="15" t="str">
        <f t="shared" si="390"/>
        <v>PROP_OPER__0_0</v>
      </c>
      <c r="C1225" s="83"/>
      <c r="D1225" s="15">
        <v>1</v>
      </c>
      <c r="E1225" s="15">
        <v>25</v>
      </c>
      <c r="F1225" s="190">
        <f t="shared" si="398"/>
        <v>0</v>
      </c>
      <c r="G1225" s="149" t="str">
        <f t="shared" si="398"/>
        <v/>
      </c>
      <c r="H1225" s="150" t="str">
        <f t="shared" si="398"/>
        <v/>
      </c>
      <c r="I1225" s="150">
        <f t="shared" si="398"/>
        <v>0</v>
      </c>
      <c r="J1225" s="150">
        <f t="shared" si="398"/>
        <v>0</v>
      </c>
      <c r="K1225" s="196" t="str">
        <f t="shared" si="398"/>
        <v/>
      </c>
      <c r="L1225" s="197" t="str">
        <f t="shared" si="398"/>
        <v/>
      </c>
      <c r="M1225" s="191">
        <f t="shared" si="398"/>
        <v>0</v>
      </c>
      <c r="N1225" s="150">
        <f t="shared" si="398"/>
        <v>0</v>
      </c>
      <c r="O1225" s="193">
        <f t="shared" si="398"/>
        <v>0</v>
      </c>
      <c r="P1225" s="162">
        <f t="shared" si="399"/>
        <v>0</v>
      </c>
      <c r="Q1225" s="162">
        <f t="shared" si="399"/>
        <v>0</v>
      </c>
      <c r="R1225" s="162">
        <f t="shared" si="399"/>
        <v>0</v>
      </c>
      <c r="S1225" s="162">
        <f t="shared" si="399"/>
        <v>0</v>
      </c>
      <c r="T1225" s="162">
        <f t="shared" si="399"/>
        <v>0</v>
      </c>
      <c r="U1225" s="162">
        <f t="shared" si="399"/>
        <v>0</v>
      </c>
      <c r="V1225" s="162">
        <f t="shared" si="399"/>
        <v>0</v>
      </c>
      <c r="W1225" s="162">
        <f t="shared" si="399"/>
        <v>0</v>
      </c>
      <c r="X1225" s="162">
        <f t="shared" si="399"/>
        <v>0</v>
      </c>
      <c r="Y1225" s="162">
        <f t="shared" si="399"/>
        <v>0</v>
      </c>
      <c r="Z1225" s="162">
        <f t="shared" si="399"/>
        <v>0</v>
      </c>
      <c r="AA1225" s="162">
        <f t="shared" si="399"/>
        <v>0</v>
      </c>
      <c r="AB1225" s="163">
        <f t="shared" si="393"/>
        <v>0</v>
      </c>
      <c r="AC1225" s="198"/>
      <c r="AE1225" s="194" t="str">
        <f t="shared" si="394"/>
        <v/>
      </c>
      <c r="AF1225" s="161">
        <f t="shared" si="400"/>
        <v>0</v>
      </c>
      <c r="AG1225" s="162">
        <f t="shared" si="400"/>
        <v>0</v>
      </c>
      <c r="AH1225" s="162">
        <f t="shared" si="400"/>
        <v>0</v>
      </c>
      <c r="AI1225" s="162">
        <f t="shared" si="400"/>
        <v>0</v>
      </c>
      <c r="AJ1225" s="162">
        <f t="shared" si="400"/>
        <v>0</v>
      </c>
      <c r="AK1225" s="162">
        <f t="shared" si="400"/>
        <v>0</v>
      </c>
      <c r="AL1225" s="162">
        <f t="shared" si="400"/>
        <v>0</v>
      </c>
      <c r="AM1225" s="162">
        <f t="shared" si="400"/>
        <v>0</v>
      </c>
      <c r="AN1225" s="162">
        <f t="shared" si="400"/>
        <v>0</v>
      </c>
      <c r="AO1225" s="162">
        <f t="shared" si="400"/>
        <v>0</v>
      </c>
      <c r="AP1225" s="162">
        <f t="shared" si="400"/>
        <v>0</v>
      </c>
      <c r="AQ1225" s="162">
        <f t="shared" si="400"/>
        <v>0</v>
      </c>
      <c r="AR1225" s="163">
        <f t="shared" si="396"/>
        <v>0</v>
      </c>
      <c r="AT1225" s="208">
        <f>IFERROR(VLOOKUP(J1225,#REF!,10,0),0)</f>
        <v>0</v>
      </c>
    </row>
    <row r="1226" spans="1:46" hidden="1" outlineLevel="1" x14ac:dyDescent="0.25">
      <c r="A1226" s="14" t="str">
        <f t="shared" si="370"/>
        <v>PROP_OPER__26</v>
      </c>
      <c r="B1226" s="15" t="str">
        <f t="shared" si="390"/>
        <v>PROP_OPER__0_0</v>
      </c>
      <c r="C1226" s="83"/>
      <c r="D1226" s="15">
        <v>1</v>
      </c>
      <c r="E1226" s="15">
        <v>26</v>
      </c>
      <c r="F1226" s="190">
        <f t="shared" si="398"/>
        <v>0</v>
      </c>
      <c r="G1226" s="149" t="str">
        <f t="shared" si="398"/>
        <v/>
      </c>
      <c r="H1226" s="150" t="str">
        <f t="shared" si="398"/>
        <v/>
      </c>
      <c r="I1226" s="150">
        <f t="shared" si="398"/>
        <v>0</v>
      </c>
      <c r="J1226" s="150">
        <f t="shared" si="398"/>
        <v>0</v>
      </c>
      <c r="K1226" s="196" t="str">
        <f t="shared" si="398"/>
        <v/>
      </c>
      <c r="L1226" s="197" t="str">
        <f t="shared" si="398"/>
        <v/>
      </c>
      <c r="M1226" s="191">
        <f t="shared" si="398"/>
        <v>0</v>
      </c>
      <c r="N1226" s="150">
        <f t="shared" si="398"/>
        <v>0</v>
      </c>
      <c r="O1226" s="193">
        <f t="shared" si="398"/>
        <v>0</v>
      </c>
      <c r="P1226" s="162">
        <f t="shared" si="399"/>
        <v>0</v>
      </c>
      <c r="Q1226" s="162">
        <f t="shared" si="399"/>
        <v>0</v>
      </c>
      <c r="R1226" s="162">
        <f t="shared" si="399"/>
        <v>0</v>
      </c>
      <c r="S1226" s="162">
        <f t="shared" si="399"/>
        <v>0</v>
      </c>
      <c r="T1226" s="162">
        <f t="shared" si="399"/>
        <v>0</v>
      </c>
      <c r="U1226" s="162">
        <f t="shared" si="399"/>
        <v>0</v>
      </c>
      <c r="V1226" s="162">
        <f t="shared" si="399"/>
        <v>0</v>
      </c>
      <c r="W1226" s="162">
        <f t="shared" si="399"/>
        <v>0</v>
      </c>
      <c r="X1226" s="162">
        <f t="shared" si="399"/>
        <v>0</v>
      </c>
      <c r="Y1226" s="162">
        <f t="shared" si="399"/>
        <v>0</v>
      </c>
      <c r="Z1226" s="162">
        <f t="shared" si="399"/>
        <v>0</v>
      </c>
      <c r="AA1226" s="162">
        <f t="shared" si="399"/>
        <v>0</v>
      </c>
      <c r="AB1226" s="163">
        <f t="shared" si="393"/>
        <v>0</v>
      </c>
      <c r="AC1226" s="198"/>
      <c r="AE1226" s="194" t="str">
        <f t="shared" si="394"/>
        <v/>
      </c>
      <c r="AF1226" s="161">
        <f t="shared" si="400"/>
        <v>0</v>
      </c>
      <c r="AG1226" s="162">
        <f t="shared" si="400"/>
        <v>0</v>
      </c>
      <c r="AH1226" s="162">
        <f t="shared" si="400"/>
        <v>0</v>
      </c>
      <c r="AI1226" s="162">
        <f t="shared" si="400"/>
        <v>0</v>
      </c>
      <c r="AJ1226" s="162">
        <f t="shared" si="400"/>
        <v>0</v>
      </c>
      <c r="AK1226" s="162">
        <f t="shared" si="400"/>
        <v>0</v>
      </c>
      <c r="AL1226" s="162">
        <f t="shared" si="400"/>
        <v>0</v>
      </c>
      <c r="AM1226" s="162">
        <f t="shared" si="400"/>
        <v>0</v>
      </c>
      <c r="AN1226" s="162">
        <f t="shared" si="400"/>
        <v>0</v>
      </c>
      <c r="AO1226" s="162">
        <f t="shared" si="400"/>
        <v>0</v>
      </c>
      <c r="AP1226" s="162">
        <f t="shared" si="400"/>
        <v>0</v>
      </c>
      <c r="AQ1226" s="162">
        <f t="shared" si="400"/>
        <v>0</v>
      </c>
      <c r="AR1226" s="163">
        <f t="shared" si="396"/>
        <v>0</v>
      </c>
      <c r="AT1226" s="208">
        <f>IFERROR(VLOOKUP(J1226,#REF!,10,0),0)</f>
        <v>0</v>
      </c>
    </row>
    <row r="1227" spans="1:46" hidden="1" outlineLevel="1" x14ac:dyDescent="0.25">
      <c r="A1227" s="14" t="str">
        <f t="shared" si="370"/>
        <v>PROP_OPER__27</v>
      </c>
      <c r="B1227" s="15" t="str">
        <f t="shared" si="390"/>
        <v>PROP_OPER__0_0</v>
      </c>
      <c r="C1227" s="83"/>
      <c r="D1227" s="15">
        <v>1</v>
      </c>
      <c r="E1227" s="15">
        <v>27</v>
      </c>
      <c r="F1227" s="190">
        <f t="shared" si="398"/>
        <v>0</v>
      </c>
      <c r="G1227" s="149" t="str">
        <f t="shared" si="398"/>
        <v/>
      </c>
      <c r="H1227" s="150" t="str">
        <f t="shared" si="398"/>
        <v/>
      </c>
      <c r="I1227" s="150">
        <f t="shared" si="398"/>
        <v>0</v>
      </c>
      <c r="J1227" s="150">
        <f t="shared" si="398"/>
        <v>0</v>
      </c>
      <c r="K1227" s="196" t="str">
        <f t="shared" si="398"/>
        <v/>
      </c>
      <c r="L1227" s="197" t="str">
        <f t="shared" si="398"/>
        <v/>
      </c>
      <c r="M1227" s="191">
        <f t="shared" si="398"/>
        <v>0</v>
      </c>
      <c r="N1227" s="150">
        <f t="shared" si="398"/>
        <v>0</v>
      </c>
      <c r="O1227" s="193">
        <f t="shared" si="398"/>
        <v>0</v>
      </c>
      <c r="P1227" s="162">
        <f t="shared" si="399"/>
        <v>0</v>
      </c>
      <c r="Q1227" s="162">
        <f t="shared" si="399"/>
        <v>0</v>
      </c>
      <c r="R1227" s="162">
        <f t="shared" si="399"/>
        <v>0</v>
      </c>
      <c r="S1227" s="162">
        <f t="shared" si="399"/>
        <v>0</v>
      </c>
      <c r="T1227" s="162">
        <f t="shared" si="399"/>
        <v>0</v>
      </c>
      <c r="U1227" s="162">
        <f t="shared" si="399"/>
        <v>0</v>
      </c>
      <c r="V1227" s="162">
        <f t="shared" si="399"/>
        <v>0</v>
      </c>
      <c r="W1227" s="162">
        <f t="shared" si="399"/>
        <v>0</v>
      </c>
      <c r="X1227" s="162">
        <f t="shared" si="399"/>
        <v>0</v>
      </c>
      <c r="Y1227" s="162">
        <f t="shared" si="399"/>
        <v>0</v>
      </c>
      <c r="Z1227" s="162">
        <f t="shared" si="399"/>
        <v>0</v>
      </c>
      <c r="AA1227" s="162">
        <f t="shared" si="399"/>
        <v>0</v>
      </c>
      <c r="AB1227" s="163">
        <f t="shared" si="393"/>
        <v>0</v>
      </c>
      <c r="AC1227" s="198"/>
      <c r="AE1227" s="194" t="str">
        <f t="shared" si="394"/>
        <v/>
      </c>
      <c r="AF1227" s="161">
        <f t="shared" si="400"/>
        <v>0</v>
      </c>
      <c r="AG1227" s="162">
        <f t="shared" si="400"/>
        <v>0</v>
      </c>
      <c r="AH1227" s="162">
        <f t="shared" si="400"/>
        <v>0</v>
      </c>
      <c r="AI1227" s="162">
        <f t="shared" si="400"/>
        <v>0</v>
      </c>
      <c r="AJ1227" s="162">
        <f t="shared" si="400"/>
        <v>0</v>
      </c>
      <c r="AK1227" s="162">
        <f t="shared" si="400"/>
        <v>0</v>
      </c>
      <c r="AL1227" s="162">
        <f t="shared" si="400"/>
        <v>0</v>
      </c>
      <c r="AM1227" s="162">
        <f t="shared" si="400"/>
        <v>0</v>
      </c>
      <c r="AN1227" s="162">
        <f t="shared" si="400"/>
        <v>0</v>
      </c>
      <c r="AO1227" s="162">
        <f t="shared" si="400"/>
        <v>0</v>
      </c>
      <c r="AP1227" s="162">
        <f t="shared" si="400"/>
        <v>0</v>
      </c>
      <c r="AQ1227" s="162">
        <f t="shared" si="400"/>
        <v>0</v>
      </c>
      <c r="AR1227" s="163">
        <f t="shared" si="396"/>
        <v>0</v>
      </c>
      <c r="AT1227" s="208">
        <f>IFERROR(VLOOKUP(J1227,#REF!,10,0),0)</f>
        <v>0</v>
      </c>
    </row>
    <row r="1228" spans="1:46" hidden="1" outlineLevel="1" x14ac:dyDescent="0.25">
      <c r="A1228" s="14" t="str">
        <f t="shared" si="370"/>
        <v>PROP_OPER__28</v>
      </c>
      <c r="B1228" s="15" t="str">
        <f t="shared" si="390"/>
        <v>PROP_OPER__0_0</v>
      </c>
      <c r="C1228" s="83"/>
      <c r="D1228" s="15">
        <v>1</v>
      </c>
      <c r="E1228" s="15">
        <v>28</v>
      </c>
      <c r="F1228" s="190">
        <f t="shared" si="398"/>
        <v>0</v>
      </c>
      <c r="G1228" s="149" t="str">
        <f t="shared" si="398"/>
        <v/>
      </c>
      <c r="H1228" s="150" t="str">
        <f t="shared" si="398"/>
        <v/>
      </c>
      <c r="I1228" s="150">
        <f t="shared" si="398"/>
        <v>0</v>
      </c>
      <c r="J1228" s="150">
        <f t="shared" si="398"/>
        <v>0</v>
      </c>
      <c r="K1228" s="196" t="str">
        <f t="shared" si="398"/>
        <v/>
      </c>
      <c r="L1228" s="197" t="str">
        <f t="shared" si="398"/>
        <v/>
      </c>
      <c r="M1228" s="191">
        <f t="shared" si="398"/>
        <v>0</v>
      </c>
      <c r="N1228" s="150">
        <f t="shared" si="398"/>
        <v>0</v>
      </c>
      <c r="O1228" s="193">
        <f t="shared" si="398"/>
        <v>0</v>
      </c>
      <c r="P1228" s="162">
        <f t="shared" si="399"/>
        <v>0</v>
      </c>
      <c r="Q1228" s="162">
        <f t="shared" si="399"/>
        <v>0</v>
      </c>
      <c r="R1228" s="162">
        <f t="shared" si="399"/>
        <v>0</v>
      </c>
      <c r="S1228" s="162">
        <f t="shared" si="399"/>
        <v>0</v>
      </c>
      <c r="T1228" s="162">
        <f t="shared" si="399"/>
        <v>0</v>
      </c>
      <c r="U1228" s="162">
        <f t="shared" si="399"/>
        <v>0</v>
      </c>
      <c r="V1228" s="162">
        <f t="shared" si="399"/>
        <v>0</v>
      </c>
      <c r="W1228" s="162">
        <f t="shared" si="399"/>
        <v>0</v>
      </c>
      <c r="X1228" s="162">
        <f t="shared" si="399"/>
        <v>0</v>
      </c>
      <c r="Y1228" s="162">
        <f t="shared" si="399"/>
        <v>0</v>
      </c>
      <c r="Z1228" s="162">
        <f t="shared" si="399"/>
        <v>0</v>
      </c>
      <c r="AA1228" s="162">
        <f t="shared" si="399"/>
        <v>0</v>
      </c>
      <c r="AB1228" s="163">
        <f t="shared" si="393"/>
        <v>0</v>
      </c>
      <c r="AC1228" s="198"/>
      <c r="AE1228" s="194" t="str">
        <f t="shared" si="394"/>
        <v/>
      </c>
      <c r="AF1228" s="161">
        <f t="shared" si="400"/>
        <v>0</v>
      </c>
      <c r="AG1228" s="162">
        <f t="shared" si="400"/>
        <v>0</v>
      </c>
      <c r="AH1228" s="162">
        <f t="shared" si="400"/>
        <v>0</v>
      </c>
      <c r="AI1228" s="162">
        <f t="shared" si="400"/>
        <v>0</v>
      </c>
      <c r="AJ1228" s="162">
        <f t="shared" si="400"/>
        <v>0</v>
      </c>
      <c r="AK1228" s="162">
        <f t="shared" si="400"/>
        <v>0</v>
      </c>
      <c r="AL1228" s="162">
        <f t="shared" si="400"/>
        <v>0</v>
      </c>
      <c r="AM1228" s="162">
        <f t="shared" si="400"/>
        <v>0</v>
      </c>
      <c r="AN1228" s="162">
        <f t="shared" si="400"/>
        <v>0</v>
      </c>
      <c r="AO1228" s="162">
        <f t="shared" si="400"/>
        <v>0</v>
      </c>
      <c r="AP1228" s="162">
        <f t="shared" si="400"/>
        <v>0</v>
      </c>
      <c r="AQ1228" s="162">
        <f t="shared" si="400"/>
        <v>0</v>
      </c>
      <c r="AR1228" s="163">
        <f t="shared" si="396"/>
        <v>0</v>
      </c>
      <c r="AT1228" s="208">
        <f>IFERROR(VLOOKUP(J1228,#REF!,10,0),0)</f>
        <v>0</v>
      </c>
    </row>
    <row r="1229" spans="1:46" hidden="1" outlineLevel="1" x14ac:dyDescent="0.25">
      <c r="A1229" s="14" t="str">
        <f t="shared" si="370"/>
        <v>PROP_OPER__29</v>
      </c>
      <c r="B1229" s="15" t="str">
        <f t="shared" si="390"/>
        <v>PROP_OPER__0_0</v>
      </c>
      <c r="C1229" s="83"/>
      <c r="D1229" s="15">
        <v>1</v>
      </c>
      <c r="E1229" s="15">
        <v>29</v>
      </c>
      <c r="F1229" s="190">
        <f t="shared" si="398"/>
        <v>0</v>
      </c>
      <c r="G1229" s="149" t="str">
        <f t="shared" si="398"/>
        <v/>
      </c>
      <c r="H1229" s="150" t="str">
        <f t="shared" si="398"/>
        <v/>
      </c>
      <c r="I1229" s="150">
        <f t="shared" si="398"/>
        <v>0</v>
      </c>
      <c r="J1229" s="150">
        <f t="shared" si="398"/>
        <v>0</v>
      </c>
      <c r="K1229" s="196" t="str">
        <f t="shared" si="398"/>
        <v/>
      </c>
      <c r="L1229" s="197" t="str">
        <f t="shared" si="398"/>
        <v/>
      </c>
      <c r="M1229" s="191">
        <f t="shared" si="398"/>
        <v>0</v>
      </c>
      <c r="N1229" s="150">
        <f t="shared" si="398"/>
        <v>0</v>
      </c>
      <c r="O1229" s="193">
        <f t="shared" si="398"/>
        <v>0</v>
      </c>
      <c r="P1229" s="162">
        <f t="shared" si="399"/>
        <v>0</v>
      </c>
      <c r="Q1229" s="162">
        <f t="shared" si="399"/>
        <v>0</v>
      </c>
      <c r="R1229" s="162">
        <f t="shared" si="399"/>
        <v>0</v>
      </c>
      <c r="S1229" s="162">
        <f t="shared" si="399"/>
        <v>0</v>
      </c>
      <c r="T1229" s="162">
        <f t="shared" si="399"/>
        <v>0</v>
      </c>
      <c r="U1229" s="162">
        <f t="shared" si="399"/>
        <v>0</v>
      </c>
      <c r="V1229" s="162">
        <f t="shared" si="399"/>
        <v>0</v>
      </c>
      <c r="W1229" s="162">
        <f t="shared" si="399"/>
        <v>0</v>
      </c>
      <c r="X1229" s="162">
        <f t="shared" si="399"/>
        <v>0</v>
      </c>
      <c r="Y1229" s="162">
        <f t="shared" si="399"/>
        <v>0</v>
      </c>
      <c r="Z1229" s="162">
        <f t="shared" si="399"/>
        <v>0</v>
      </c>
      <c r="AA1229" s="162">
        <f t="shared" si="399"/>
        <v>0</v>
      </c>
      <c r="AB1229" s="163">
        <f t="shared" si="393"/>
        <v>0</v>
      </c>
      <c r="AC1229" s="198"/>
      <c r="AE1229" s="194" t="str">
        <f t="shared" si="394"/>
        <v/>
      </c>
      <c r="AF1229" s="161">
        <f t="shared" si="400"/>
        <v>0</v>
      </c>
      <c r="AG1229" s="162">
        <f t="shared" si="400"/>
        <v>0</v>
      </c>
      <c r="AH1229" s="162">
        <f t="shared" si="400"/>
        <v>0</v>
      </c>
      <c r="AI1229" s="162">
        <f t="shared" si="400"/>
        <v>0</v>
      </c>
      <c r="AJ1229" s="162">
        <f t="shared" si="400"/>
        <v>0</v>
      </c>
      <c r="AK1229" s="162">
        <f t="shared" si="400"/>
        <v>0</v>
      </c>
      <c r="AL1229" s="162">
        <f t="shared" si="400"/>
        <v>0</v>
      </c>
      <c r="AM1229" s="162">
        <f t="shared" si="400"/>
        <v>0</v>
      </c>
      <c r="AN1229" s="162">
        <f t="shared" si="400"/>
        <v>0</v>
      </c>
      <c r="AO1229" s="162">
        <f t="shared" si="400"/>
        <v>0</v>
      </c>
      <c r="AP1229" s="162">
        <f t="shared" si="400"/>
        <v>0</v>
      </c>
      <c r="AQ1229" s="162">
        <f t="shared" si="400"/>
        <v>0</v>
      </c>
      <c r="AR1229" s="163">
        <f t="shared" si="396"/>
        <v>0</v>
      </c>
      <c r="AT1229" s="208">
        <f>IFERROR(VLOOKUP(J1229,#REF!,10,0),0)</f>
        <v>0</v>
      </c>
    </row>
    <row r="1230" spans="1:46" hidden="1" outlineLevel="1" x14ac:dyDescent="0.25">
      <c r="A1230" s="14" t="str">
        <f t="shared" si="370"/>
        <v>PROP_OPER__30</v>
      </c>
      <c r="B1230" s="15" t="str">
        <f t="shared" si="390"/>
        <v>PROP_OPER__0_0</v>
      </c>
      <c r="C1230" s="83"/>
      <c r="D1230" s="15">
        <v>1</v>
      </c>
      <c r="E1230" s="15">
        <v>30</v>
      </c>
      <c r="F1230" s="190">
        <f t="shared" si="398"/>
        <v>0</v>
      </c>
      <c r="G1230" s="149" t="str">
        <f t="shared" si="398"/>
        <v/>
      </c>
      <c r="H1230" s="150" t="str">
        <f t="shared" si="398"/>
        <v/>
      </c>
      <c r="I1230" s="150">
        <f t="shared" si="398"/>
        <v>0</v>
      </c>
      <c r="J1230" s="150">
        <f t="shared" si="398"/>
        <v>0</v>
      </c>
      <c r="K1230" s="196" t="str">
        <f t="shared" si="398"/>
        <v/>
      </c>
      <c r="L1230" s="197" t="str">
        <f t="shared" si="398"/>
        <v/>
      </c>
      <c r="M1230" s="191">
        <f t="shared" si="398"/>
        <v>0</v>
      </c>
      <c r="N1230" s="150">
        <f t="shared" si="398"/>
        <v>0</v>
      </c>
      <c r="O1230" s="193">
        <f t="shared" si="398"/>
        <v>0</v>
      </c>
      <c r="P1230" s="162">
        <f t="shared" si="399"/>
        <v>0</v>
      </c>
      <c r="Q1230" s="162">
        <f t="shared" si="399"/>
        <v>0</v>
      </c>
      <c r="R1230" s="162">
        <f t="shared" si="399"/>
        <v>0</v>
      </c>
      <c r="S1230" s="162">
        <f t="shared" si="399"/>
        <v>0</v>
      </c>
      <c r="T1230" s="162">
        <f t="shared" si="399"/>
        <v>0</v>
      </c>
      <c r="U1230" s="162">
        <f t="shared" si="399"/>
        <v>0</v>
      </c>
      <c r="V1230" s="162">
        <f t="shared" si="399"/>
        <v>0</v>
      </c>
      <c r="W1230" s="162">
        <f t="shared" si="399"/>
        <v>0</v>
      </c>
      <c r="X1230" s="162">
        <f t="shared" si="399"/>
        <v>0</v>
      </c>
      <c r="Y1230" s="162">
        <f t="shared" si="399"/>
        <v>0</v>
      </c>
      <c r="Z1230" s="162">
        <f t="shared" si="399"/>
        <v>0</v>
      </c>
      <c r="AA1230" s="162">
        <f t="shared" si="399"/>
        <v>0</v>
      </c>
      <c r="AB1230" s="163">
        <f t="shared" si="393"/>
        <v>0</v>
      </c>
      <c r="AC1230" s="198"/>
      <c r="AE1230" s="194" t="str">
        <f t="shared" si="394"/>
        <v/>
      </c>
      <c r="AF1230" s="161">
        <f t="shared" si="400"/>
        <v>0</v>
      </c>
      <c r="AG1230" s="162">
        <f t="shared" si="400"/>
        <v>0</v>
      </c>
      <c r="AH1230" s="162">
        <f t="shared" si="400"/>
        <v>0</v>
      </c>
      <c r="AI1230" s="162">
        <f t="shared" si="400"/>
        <v>0</v>
      </c>
      <c r="AJ1230" s="162">
        <f t="shared" si="400"/>
        <v>0</v>
      </c>
      <c r="AK1230" s="162">
        <f t="shared" si="400"/>
        <v>0</v>
      </c>
      <c r="AL1230" s="162">
        <f t="shared" si="400"/>
        <v>0</v>
      </c>
      <c r="AM1230" s="162">
        <f t="shared" si="400"/>
        <v>0</v>
      </c>
      <c r="AN1230" s="162">
        <f t="shared" si="400"/>
        <v>0</v>
      </c>
      <c r="AO1230" s="162">
        <f t="shared" si="400"/>
        <v>0</v>
      </c>
      <c r="AP1230" s="162">
        <f t="shared" si="400"/>
        <v>0</v>
      </c>
      <c r="AQ1230" s="162">
        <f t="shared" si="400"/>
        <v>0</v>
      </c>
      <c r="AR1230" s="163">
        <f t="shared" si="396"/>
        <v>0</v>
      </c>
      <c r="AT1230" s="208">
        <f>IFERROR(VLOOKUP(J1230,#REF!,10,0),0)</f>
        <v>0</v>
      </c>
    </row>
    <row r="1231" spans="1:46" hidden="1" outlineLevel="1" x14ac:dyDescent="0.25">
      <c r="A1231" s="14" t="str">
        <f t="shared" si="370"/>
        <v>PROP_OPER__31</v>
      </c>
      <c r="B1231" s="15" t="str">
        <f t="shared" si="390"/>
        <v>PROP_OPER__0_0</v>
      </c>
      <c r="C1231" s="83"/>
      <c r="D1231" s="15">
        <v>1</v>
      </c>
      <c r="E1231" s="15">
        <v>31</v>
      </c>
      <c r="F1231" s="190">
        <f t="shared" si="398"/>
        <v>0</v>
      </c>
      <c r="G1231" s="149" t="str">
        <f t="shared" si="398"/>
        <v/>
      </c>
      <c r="H1231" s="150" t="str">
        <f t="shared" si="398"/>
        <v/>
      </c>
      <c r="I1231" s="150">
        <f t="shared" si="398"/>
        <v>0</v>
      </c>
      <c r="J1231" s="150">
        <f t="shared" si="398"/>
        <v>0</v>
      </c>
      <c r="K1231" s="196" t="str">
        <f t="shared" si="398"/>
        <v/>
      </c>
      <c r="L1231" s="197" t="str">
        <f t="shared" si="398"/>
        <v/>
      </c>
      <c r="M1231" s="191">
        <f t="shared" si="398"/>
        <v>0</v>
      </c>
      <c r="N1231" s="150">
        <f t="shared" si="398"/>
        <v>0</v>
      </c>
      <c r="O1231" s="193">
        <f t="shared" si="398"/>
        <v>0</v>
      </c>
      <c r="P1231" s="162">
        <f t="shared" si="399"/>
        <v>0</v>
      </c>
      <c r="Q1231" s="162">
        <f t="shared" si="399"/>
        <v>0</v>
      </c>
      <c r="R1231" s="162">
        <f t="shared" si="399"/>
        <v>0</v>
      </c>
      <c r="S1231" s="162">
        <f t="shared" si="399"/>
        <v>0</v>
      </c>
      <c r="T1231" s="162">
        <f t="shared" si="399"/>
        <v>0</v>
      </c>
      <c r="U1231" s="162">
        <f t="shared" si="399"/>
        <v>0</v>
      </c>
      <c r="V1231" s="162">
        <f t="shared" si="399"/>
        <v>0</v>
      </c>
      <c r="W1231" s="162">
        <f t="shared" si="399"/>
        <v>0</v>
      </c>
      <c r="X1231" s="162">
        <f t="shared" si="399"/>
        <v>0</v>
      </c>
      <c r="Y1231" s="162">
        <f t="shared" si="399"/>
        <v>0</v>
      </c>
      <c r="Z1231" s="162">
        <f t="shared" si="399"/>
        <v>0</v>
      </c>
      <c r="AA1231" s="162">
        <f t="shared" si="399"/>
        <v>0</v>
      </c>
      <c r="AB1231" s="163">
        <f t="shared" si="393"/>
        <v>0</v>
      </c>
      <c r="AC1231" s="198"/>
      <c r="AE1231" s="194" t="str">
        <f t="shared" si="394"/>
        <v/>
      </c>
      <c r="AF1231" s="161">
        <f t="shared" si="400"/>
        <v>0</v>
      </c>
      <c r="AG1231" s="162">
        <f t="shared" si="400"/>
        <v>0</v>
      </c>
      <c r="AH1231" s="162">
        <f t="shared" si="400"/>
        <v>0</v>
      </c>
      <c r="AI1231" s="162">
        <f t="shared" si="400"/>
        <v>0</v>
      </c>
      <c r="AJ1231" s="162">
        <f t="shared" si="400"/>
        <v>0</v>
      </c>
      <c r="AK1231" s="162">
        <f t="shared" si="400"/>
        <v>0</v>
      </c>
      <c r="AL1231" s="162">
        <f t="shared" si="400"/>
        <v>0</v>
      </c>
      <c r="AM1231" s="162">
        <f t="shared" si="400"/>
        <v>0</v>
      </c>
      <c r="AN1231" s="162">
        <f t="shared" si="400"/>
        <v>0</v>
      </c>
      <c r="AO1231" s="162">
        <f t="shared" si="400"/>
        <v>0</v>
      </c>
      <c r="AP1231" s="162">
        <f t="shared" si="400"/>
        <v>0</v>
      </c>
      <c r="AQ1231" s="162">
        <f t="shared" si="400"/>
        <v>0</v>
      </c>
      <c r="AR1231" s="163">
        <f t="shared" si="396"/>
        <v>0</v>
      </c>
      <c r="AT1231" s="208">
        <f>IFERROR(VLOOKUP(J1231,#REF!,10,0),0)</f>
        <v>0</v>
      </c>
    </row>
    <row r="1232" spans="1:46" hidden="1" outlineLevel="1" x14ac:dyDescent="0.25">
      <c r="A1232" s="14" t="str">
        <f t="shared" si="370"/>
        <v>PROP_OPER__32</v>
      </c>
      <c r="B1232" s="15" t="str">
        <f t="shared" si="390"/>
        <v>PROP_OPER__0_0</v>
      </c>
      <c r="C1232" s="83"/>
      <c r="D1232" s="15">
        <v>1</v>
      </c>
      <c r="E1232" s="15">
        <v>32</v>
      </c>
      <c r="F1232" s="190">
        <f t="shared" si="398"/>
        <v>0</v>
      </c>
      <c r="G1232" s="149" t="str">
        <f t="shared" si="398"/>
        <v/>
      </c>
      <c r="H1232" s="150" t="str">
        <f t="shared" si="398"/>
        <v/>
      </c>
      <c r="I1232" s="150">
        <f t="shared" si="398"/>
        <v>0</v>
      </c>
      <c r="J1232" s="150">
        <f t="shared" si="398"/>
        <v>0</v>
      </c>
      <c r="K1232" s="196" t="str">
        <f t="shared" si="398"/>
        <v/>
      </c>
      <c r="L1232" s="197" t="str">
        <f t="shared" si="398"/>
        <v/>
      </c>
      <c r="M1232" s="191">
        <f t="shared" si="398"/>
        <v>0</v>
      </c>
      <c r="N1232" s="150">
        <f t="shared" si="398"/>
        <v>0</v>
      </c>
      <c r="O1232" s="193">
        <f t="shared" si="398"/>
        <v>0</v>
      </c>
      <c r="P1232" s="162">
        <f t="shared" si="399"/>
        <v>0</v>
      </c>
      <c r="Q1232" s="162">
        <f t="shared" si="399"/>
        <v>0</v>
      </c>
      <c r="R1232" s="162">
        <f t="shared" si="399"/>
        <v>0</v>
      </c>
      <c r="S1232" s="162">
        <f t="shared" si="399"/>
        <v>0</v>
      </c>
      <c r="T1232" s="162">
        <f t="shared" si="399"/>
        <v>0</v>
      </c>
      <c r="U1232" s="162">
        <f t="shared" si="399"/>
        <v>0</v>
      </c>
      <c r="V1232" s="162">
        <f t="shared" si="399"/>
        <v>0</v>
      </c>
      <c r="W1232" s="162">
        <f t="shared" si="399"/>
        <v>0</v>
      </c>
      <c r="X1232" s="162">
        <f t="shared" si="399"/>
        <v>0</v>
      </c>
      <c r="Y1232" s="162">
        <f t="shared" si="399"/>
        <v>0</v>
      </c>
      <c r="Z1232" s="162">
        <f t="shared" si="399"/>
        <v>0</v>
      </c>
      <c r="AA1232" s="162">
        <f t="shared" si="399"/>
        <v>0</v>
      </c>
      <c r="AB1232" s="163">
        <f t="shared" si="393"/>
        <v>0</v>
      </c>
      <c r="AC1232" s="198"/>
      <c r="AE1232" s="194" t="str">
        <f t="shared" si="394"/>
        <v/>
      </c>
      <c r="AF1232" s="161">
        <f t="shared" si="400"/>
        <v>0</v>
      </c>
      <c r="AG1232" s="162">
        <f t="shared" si="400"/>
        <v>0</v>
      </c>
      <c r="AH1232" s="162">
        <f t="shared" si="400"/>
        <v>0</v>
      </c>
      <c r="AI1232" s="162">
        <f t="shared" si="400"/>
        <v>0</v>
      </c>
      <c r="AJ1232" s="162">
        <f t="shared" si="400"/>
        <v>0</v>
      </c>
      <c r="AK1232" s="162">
        <f t="shared" si="400"/>
        <v>0</v>
      </c>
      <c r="AL1232" s="162">
        <f t="shared" si="400"/>
        <v>0</v>
      </c>
      <c r="AM1232" s="162">
        <f t="shared" si="400"/>
        <v>0</v>
      </c>
      <c r="AN1232" s="162">
        <f t="shared" si="400"/>
        <v>0</v>
      </c>
      <c r="AO1232" s="162">
        <f t="shared" si="400"/>
        <v>0</v>
      </c>
      <c r="AP1232" s="162">
        <f t="shared" si="400"/>
        <v>0</v>
      </c>
      <c r="AQ1232" s="162">
        <f t="shared" si="400"/>
        <v>0</v>
      </c>
      <c r="AR1232" s="163">
        <f t="shared" si="396"/>
        <v>0</v>
      </c>
      <c r="AT1232" s="208">
        <f>IFERROR(VLOOKUP(J1232,#REF!,10,0),0)</f>
        <v>0</v>
      </c>
    </row>
    <row r="1233" spans="1:46" hidden="1" outlineLevel="1" x14ac:dyDescent="0.25">
      <c r="A1233" s="14" t="str">
        <f t="shared" si="370"/>
        <v>PROP_OPER__33</v>
      </c>
      <c r="B1233" s="15" t="str">
        <f t="shared" si="390"/>
        <v>PROP_OPER__0_0</v>
      </c>
      <c r="C1233" s="83"/>
      <c r="D1233" s="15">
        <v>1</v>
      </c>
      <c r="E1233" s="15">
        <v>33</v>
      </c>
      <c r="F1233" s="190">
        <f t="shared" si="398"/>
        <v>0</v>
      </c>
      <c r="G1233" s="149" t="str">
        <f t="shared" si="398"/>
        <v/>
      </c>
      <c r="H1233" s="150" t="str">
        <f t="shared" si="398"/>
        <v/>
      </c>
      <c r="I1233" s="150">
        <f t="shared" si="398"/>
        <v>0</v>
      </c>
      <c r="J1233" s="150">
        <f t="shared" si="398"/>
        <v>0</v>
      </c>
      <c r="K1233" s="196" t="str">
        <f t="shared" si="398"/>
        <v/>
      </c>
      <c r="L1233" s="197" t="str">
        <f t="shared" si="398"/>
        <v/>
      </c>
      <c r="M1233" s="191">
        <f t="shared" si="398"/>
        <v>0</v>
      </c>
      <c r="N1233" s="150">
        <f t="shared" si="398"/>
        <v>0</v>
      </c>
      <c r="O1233" s="193">
        <f t="shared" si="398"/>
        <v>0</v>
      </c>
      <c r="P1233" s="162">
        <f t="shared" si="399"/>
        <v>0</v>
      </c>
      <c r="Q1233" s="162">
        <f t="shared" si="399"/>
        <v>0</v>
      </c>
      <c r="R1233" s="162">
        <f t="shared" si="399"/>
        <v>0</v>
      </c>
      <c r="S1233" s="162">
        <f t="shared" si="399"/>
        <v>0</v>
      </c>
      <c r="T1233" s="162">
        <f t="shared" si="399"/>
        <v>0</v>
      </c>
      <c r="U1233" s="162">
        <f t="shared" si="399"/>
        <v>0</v>
      </c>
      <c r="V1233" s="162">
        <f t="shared" si="399"/>
        <v>0</v>
      </c>
      <c r="W1233" s="162">
        <f t="shared" si="399"/>
        <v>0</v>
      </c>
      <c r="X1233" s="162">
        <f t="shared" si="399"/>
        <v>0</v>
      </c>
      <c r="Y1233" s="162">
        <f t="shared" si="399"/>
        <v>0</v>
      </c>
      <c r="Z1233" s="162">
        <f t="shared" si="399"/>
        <v>0</v>
      </c>
      <c r="AA1233" s="162">
        <f t="shared" si="399"/>
        <v>0</v>
      </c>
      <c r="AB1233" s="163">
        <f t="shared" si="393"/>
        <v>0</v>
      </c>
      <c r="AC1233" s="198"/>
      <c r="AE1233" s="194" t="str">
        <f t="shared" si="394"/>
        <v/>
      </c>
      <c r="AF1233" s="161">
        <f t="shared" si="400"/>
        <v>0</v>
      </c>
      <c r="AG1233" s="162">
        <f t="shared" si="400"/>
        <v>0</v>
      </c>
      <c r="AH1233" s="162">
        <f t="shared" si="400"/>
        <v>0</v>
      </c>
      <c r="AI1233" s="162">
        <f t="shared" si="400"/>
        <v>0</v>
      </c>
      <c r="AJ1233" s="162">
        <f t="shared" si="400"/>
        <v>0</v>
      </c>
      <c r="AK1233" s="162">
        <f t="shared" si="400"/>
        <v>0</v>
      </c>
      <c r="AL1233" s="162">
        <f t="shared" si="400"/>
        <v>0</v>
      </c>
      <c r="AM1233" s="162">
        <f t="shared" si="400"/>
        <v>0</v>
      </c>
      <c r="AN1233" s="162">
        <f t="shared" si="400"/>
        <v>0</v>
      </c>
      <c r="AO1233" s="162">
        <f t="shared" si="400"/>
        <v>0</v>
      </c>
      <c r="AP1233" s="162">
        <f t="shared" si="400"/>
        <v>0</v>
      </c>
      <c r="AQ1233" s="162">
        <f t="shared" si="400"/>
        <v>0</v>
      </c>
      <c r="AR1233" s="163">
        <f t="shared" si="396"/>
        <v>0</v>
      </c>
      <c r="AT1233" s="208">
        <f>IFERROR(VLOOKUP(J1233,#REF!,10,0),0)</f>
        <v>0</v>
      </c>
    </row>
    <row r="1234" spans="1:46" hidden="1" outlineLevel="1" x14ac:dyDescent="0.25">
      <c r="A1234" s="14" t="str">
        <f t="shared" si="370"/>
        <v>PROP_OPER__34</v>
      </c>
      <c r="B1234" s="15" t="str">
        <f t="shared" si="390"/>
        <v>PROP_OPER__0_0</v>
      </c>
      <c r="C1234" s="83"/>
      <c r="D1234" s="15">
        <v>1</v>
      </c>
      <c r="E1234" s="15">
        <v>34</v>
      </c>
      <c r="F1234" s="190">
        <f t="shared" ref="F1234:O1245" si="401">F1188</f>
        <v>0</v>
      </c>
      <c r="G1234" s="149" t="str">
        <f t="shared" si="401"/>
        <v/>
      </c>
      <c r="H1234" s="150" t="str">
        <f t="shared" si="401"/>
        <v/>
      </c>
      <c r="I1234" s="150">
        <f t="shared" si="401"/>
        <v>0</v>
      </c>
      <c r="J1234" s="150">
        <f t="shared" si="401"/>
        <v>0</v>
      </c>
      <c r="K1234" s="196" t="str">
        <f t="shared" si="401"/>
        <v/>
      </c>
      <c r="L1234" s="197" t="str">
        <f t="shared" si="401"/>
        <v/>
      </c>
      <c r="M1234" s="191">
        <f t="shared" si="401"/>
        <v>0</v>
      </c>
      <c r="N1234" s="150">
        <f t="shared" si="401"/>
        <v>0</v>
      </c>
      <c r="O1234" s="193">
        <f t="shared" si="401"/>
        <v>0</v>
      </c>
      <c r="P1234" s="162">
        <f t="shared" si="399"/>
        <v>0</v>
      </c>
      <c r="Q1234" s="162">
        <f t="shared" si="399"/>
        <v>0</v>
      </c>
      <c r="R1234" s="162">
        <f t="shared" si="399"/>
        <v>0</v>
      </c>
      <c r="S1234" s="162">
        <f t="shared" si="399"/>
        <v>0</v>
      </c>
      <c r="T1234" s="162">
        <f t="shared" si="399"/>
        <v>0</v>
      </c>
      <c r="U1234" s="162">
        <f t="shared" si="399"/>
        <v>0</v>
      </c>
      <c r="V1234" s="162">
        <f t="shared" si="399"/>
        <v>0</v>
      </c>
      <c r="W1234" s="162">
        <f t="shared" si="399"/>
        <v>0</v>
      </c>
      <c r="X1234" s="162">
        <f t="shared" si="399"/>
        <v>0</v>
      </c>
      <c r="Y1234" s="162">
        <f t="shared" si="399"/>
        <v>0</v>
      </c>
      <c r="Z1234" s="162">
        <f t="shared" si="399"/>
        <v>0</v>
      </c>
      <c r="AA1234" s="162">
        <f t="shared" si="399"/>
        <v>0</v>
      </c>
      <c r="AB1234" s="163">
        <f t="shared" si="393"/>
        <v>0</v>
      </c>
      <c r="AC1234" s="198"/>
      <c r="AE1234" s="194" t="str">
        <f t="shared" si="394"/>
        <v/>
      </c>
      <c r="AF1234" s="161">
        <f t="shared" si="400"/>
        <v>0</v>
      </c>
      <c r="AG1234" s="162">
        <f t="shared" si="400"/>
        <v>0</v>
      </c>
      <c r="AH1234" s="162">
        <f t="shared" si="400"/>
        <v>0</v>
      </c>
      <c r="AI1234" s="162">
        <f t="shared" si="400"/>
        <v>0</v>
      </c>
      <c r="AJ1234" s="162">
        <f t="shared" si="400"/>
        <v>0</v>
      </c>
      <c r="AK1234" s="162">
        <f t="shared" si="400"/>
        <v>0</v>
      </c>
      <c r="AL1234" s="162">
        <f t="shared" si="400"/>
        <v>0</v>
      </c>
      <c r="AM1234" s="162">
        <f t="shared" si="400"/>
        <v>0</v>
      </c>
      <c r="AN1234" s="162">
        <f t="shared" si="400"/>
        <v>0</v>
      </c>
      <c r="AO1234" s="162">
        <f t="shared" si="400"/>
        <v>0</v>
      </c>
      <c r="AP1234" s="162">
        <f t="shared" si="400"/>
        <v>0</v>
      </c>
      <c r="AQ1234" s="162">
        <f t="shared" si="400"/>
        <v>0</v>
      </c>
      <c r="AR1234" s="163">
        <f t="shared" si="396"/>
        <v>0</v>
      </c>
      <c r="AT1234" s="208">
        <f>IFERROR(VLOOKUP(J1234,#REF!,10,0),0)</f>
        <v>0</v>
      </c>
    </row>
    <row r="1235" spans="1:46" hidden="1" outlineLevel="1" x14ac:dyDescent="0.25">
      <c r="A1235" s="14" t="str">
        <f t="shared" si="370"/>
        <v>PROP_OPER__35</v>
      </c>
      <c r="B1235" s="15" t="str">
        <f t="shared" si="390"/>
        <v>PROP_OPER__0_0</v>
      </c>
      <c r="C1235" s="83"/>
      <c r="D1235" s="15">
        <v>1</v>
      </c>
      <c r="E1235" s="15">
        <v>35</v>
      </c>
      <c r="F1235" s="190">
        <f t="shared" si="401"/>
        <v>0</v>
      </c>
      <c r="G1235" s="149" t="str">
        <f t="shared" si="401"/>
        <v/>
      </c>
      <c r="H1235" s="150" t="str">
        <f t="shared" si="401"/>
        <v/>
      </c>
      <c r="I1235" s="150">
        <f t="shared" si="401"/>
        <v>0</v>
      </c>
      <c r="J1235" s="150">
        <f t="shared" si="401"/>
        <v>0</v>
      </c>
      <c r="K1235" s="196" t="str">
        <f t="shared" si="401"/>
        <v/>
      </c>
      <c r="L1235" s="197" t="str">
        <f t="shared" si="401"/>
        <v/>
      </c>
      <c r="M1235" s="191">
        <f t="shared" si="401"/>
        <v>0</v>
      </c>
      <c r="N1235" s="150">
        <f t="shared" si="401"/>
        <v>0</v>
      </c>
      <c r="O1235" s="193">
        <f t="shared" si="401"/>
        <v>0</v>
      </c>
      <c r="P1235" s="162">
        <f t="shared" ref="P1235:AA1245" si="402">IFERROR(SUMIF($B$483:$B$547,$C1235&amp;$I1235,P$483:P$547)/SUMIF($D$483:$D$547,$I1235,P$483:P$547)*P628,0)</f>
        <v>0</v>
      </c>
      <c r="Q1235" s="162">
        <f t="shared" si="402"/>
        <v>0</v>
      </c>
      <c r="R1235" s="162">
        <f t="shared" si="402"/>
        <v>0</v>
      </c>
      <c r="S1235" s="162">
        <f t="shared" si="402"/>
        <v>0</v>
      </c>
      <c r="T1235" s="162">
        <f t="shared" si="402"/>
        <v>0</v>
      </c>
      <c r="U1235" s="162">
        <f t="shared" si="402"/>
        <v>0</v>
      </c>
      <c r="V1235" s="162">
        <f t="shared" si="402"/>
        <v>0</v>
      </c>
      <c r="W1235" s="162">
        <f t="shared" si="402"/>
        <v>0</v>
      </c>
      <c r="X1235" s="162">
        <f t="shared" si="402"/>
        <v>0</v>
      </c>
      <c r="Y1235" s="162">
        <f t="shared" si="402"/>
        <v>0</v>
      </c>
      <c r="Z1235" s="162">
        <f t="shared" si="402"/>
        <v>0</v>
      </c>
      <c r="AA1235" s="162">
        <f t="shared" si="402"/>
        <v>0</v>
      </c>
      <c r="AB1235" s="163">
        <f t="shared" si="393"/>
        <v>0</v>
      </c>
      <c r="AC1235" s="198"/>
      <c r="AE1235" s="194" t="str">
        <f t="shared" si="394"/>
        <v/>
      </c>
      <c r="AF1235" s="161">
        <f t="shared" ref="AF1235:AQ1245" si="403">IFERROR(SUMIF($B$483:$B$547,$C1235&amp;$I1235,P$483:P$547)/SUMIF($D$483:$D$547,$I1235,P$483:P$547)*AF628,0)</f>
        <v>0</v>
      </c>
      <c r="AG1235" s="162">
        <f t="shared" si="403"/>
        <v>0</v>
      </c>
      <c r="AH1235" s="162">
        <f t="shared" si="403"/>
        <v>0</v>
      </c>
      <c r="AI1235" s="162">
        <f t="shared" si="403"/>
        <v>0</v>
      </c>
      <c r="AJ1235" s="162">
        <f t="shared" si="403"/>
        <v>0</v>
      </c>
      <c r="AK1235" s="162">
        <f t="shared" si="403"/>
        <v>0</v>
      </c>
      <c r="AL1235" s="162">
        <f t="shared" si="403"/>
        <v>0</v>
      </c>
      <c r="AM1235" s="162">
        <f t="shared" si="403"/>
        <v>0</v>
      </c>
      <c r="AN1235" s="162">
        <f t="shared" si="403"/>
        <v>0</v>
      </c>
      <c r="AO1235" s="162">
        <f t="shared" si="403"/>
        <v>0</v>
      </c>
      <c r="AP1235" s="162">
        <f t="shared" si="403"/>
        <v>0</v>
      </c>
      <c r="AQ1235" s="162">
        <f t="shared" si="403"/>
        <v>0</v>
      </c>
      <c r="AR1235" s="163">
        <f t="shared" si="396"/>
        <v>0</v>
      </c>
      <c r="AT1235" s="208">
        <f>IFERROR(VLOOKUP(J1235,#REF!,10,0),0)</f>
        <v>0</v>
      </c>
    </row>
    <row r="1236" spans="1:46" hidden="1" outlineLevel="1" x14ac:dyDescent="0.25">
      <c r="A1236" s="14" t="str">
        <f t="shared" si="370"/>
        <v>PROP_OPER__36</v>
      </c>
      <c r="B1236" s="15" t="str">
        <f t="shared" si="390"/>
        <v>PROP_OPER__0_0</v>
      </c>
      <c r="C1236" s="83"/>
      <c r="D1236" s="15">
        <v>1</v>
      </c>
      <c r="E1236" s="15">
        <v>36</v>
      </c>
      <c r="F1236" s="190">
        <f t="shared" si="401"/>
        <v>0</v>
      </c>
      <c r="G1236" s="149" t="str">
        <f t="shared" si="401"/>
        <v/>
      </c>
      <c r="H1236" s="150" t="str">
        <f t="shared" si="401"/>
        <v/>
      </c>
      <c r="I1236" s="150">
        <f t="shared" si="401"/>
        <v>0</v>
      </c>
      <c r="J1236" s="150">
        <f t="shared" si="401"/>
        <v>0</v>
      </c>
      <c r="K1236" s="196" t="str">
        <f t="shared" si="401"/>
        <v/>
      </c>
      <c r="L1236" s="197" t="str">
        <f t="shared" si="401"/>
        <v/>
      </c>
      <c r="M1236" s="191">
        <f t="shared" si="401"/>
        <v>0</v>
      </c>
      <c r="N1236" s="150">
        <f t="shared" si="401"/>
        <v>0</v>
      </c>
      <c r="O1236" s="193">
        <f t="shared" si="401"/>
        <v>0</v>
      </c>
      <c r="P1236" s="162">
        <f t="shared" si="402"/>
        <v>0</v>
      </c>
      <c r="Q1236" s="162">
        <f t="shared" si="402"/>
        <v>0</v>
      </c>
      <c r="R1236" s="162">
        <f t="shared" si="402"/>
        <v>0</v>
      </c>
      <c r="S1236" s="162">
        <f t="shared" si="402"/>
        <v>0</v>
      </c>
      <c r="T1236" s="162">
        <f t="shared" si="402"/>
        <v>0</v>
      </c>
      <c r="U1236" s="162">
        <f t="shared" si="402"/>
        <v>0</v>
      </c>
      <c r="V1236" s="162">
        <f t="shared" si="402"/>
        <v>0</v>
      </c>
      <c r="W1236" s="162">
        <f t="shared" si="402"/>
        <v>0</v>
      </c>
      <c r="X1236" s="162">
        <f t="shared" si="402"/>
        <v>0</v>
      </c>
      <c r="Y1236" s="162">
        <f t="shared" si="402"/>
        <v>0</v>
      </c>
      <c r="Z1236" s="162">
        <f t="shared" si="402"/>
        <v>0</v>
      </c>
      <c r="AA1236" s="162">
        <f t="shared" si="402"/>
        <v>0</v>
      </c>
      <c r="AB1236" s="163">
        <f t="shared" si="393"/>
        <v>0</v>
      </c>
      <c r="AC1236" s="198"/>
      <c r="AE1236" s="194" t="str">
        <f t="shared" si="394"/>
        <v/>
      </c>
      <c r="AF1236" s="161">
        <f t="shared" si="403"/>
        <v>0</v>
      </c>
      <c r="AG1236" s="162">
        <f t="shared" si="403"/>
        <v>0</v>
      </c>
      <c r="AH1236" s="162">
        <f t="shared" si="403"/>
        <v>0</v>
      </c>
      <c r="AI1236" s="162">
        <f t="shared" si="403"/>
        <v>0</v>
      </c>
      <c r="AJ1236" s="162">
        <f t="shared" si="403"/>
        <v>0</v>
      </c>
      <c r="AK1236" s="162">
        <f t="shared" si="403"/>
        <v>0</v>
      </c>
      <c r="AL1236" s="162">
        <f t="shared" si="403"/>
        <v>0</v>
      </c>
      <c r="AM1236" s="162">
        <f t="shared" si="403"/>
        <v>0</v>
      </c>
      <c r="AN1236" s="162">
        <f t="shared" si="403"/>
        <v>0</v>
      </c>
      <c r="AO1236" s="162">
        <f t="shared" si="403"/>
        <v>0</v>
      </c>
      <c r="AP1236" s="162">
        <f t="shared" si="403"/>
        <v>0</v>
      </c>
      <c r="AQ1236" s="162">
        <f t="shared" si="403"/>
        <v>0</v>
      </c>
      <c r="AR1236" s="163">
        <f t="shared" si="396"/>
        <v>0</v>
      </c>
      <c r="AT1236" s="208">
        <f>IFERROR(VLOOKUP(J1236,#REF!,10,0),0)</f>
        <v>0</v>
      </c>
    </row>
    <row r="1237" spans="1:46" hidden="1" outlineLevel="1" x14ac:dyDescent="0.25">
      <c r="A1237" s="14" t="str">
        <f t="shared" si="370"/>
        <v>PROP_OPER__37</v>
      </c>
      <c r="B1237" s="15" t="str">
        <f t="shared" si="390"/>
        <v>PROP_OPER__0_0</v>
      </c>
      <c r="C1237" s="83"/>
      <c r="D1237" s="15">
        <v>1</v>
      </c>
      <c r="E1237" s="15">
        <v>37</v>
      </c>
      <c r="F1237" s="190">
        <f t="shared" si="401"/>
        <v>0</v>
      </c>
      <c r="G1237" s="149" t="str">
        <f t="shared" si="401"/>
        <v/>
      </c>
      <c r="H1237" s="150" t="str">
        <f t="shared" si="401"/>
        <v/>
      </c>
      <c r="I1237" s="150">
        <f t="shared" si="401"/>
        <v>0</v>
      </c>
      <c r="J1237" s="150">
        <f t="shared" si="401"/>
        <v>0</v>
      </c>
      <c r="K1237" s="196" t="str">
        <f t="shared" si="401"/>
        <v/>
      </c>
      <c r="L1237" s="197" t="str">
        <f t="shared" si="401"/>
        <v/>
      </c>
      <c r="M1237" s="191">
        <f t="shared" si="401"/>
        <v>0</v>
      </c>
      <c r="N1237" s="150">
        <f t="shared" si="401"/>
        <v>0</v>
      </c>
      <c r="O1237" s="193">
        <f t="shared" si="401"/>
        <v>0</v>
      </c>
      <c r="P1237" s="162">
        <f t="shared" si="402"/>
        <v>0</v>
      </c>
      <c r="Q1237" s="162">
        <f t="shared" si="402"/>
        <v>0</v>
      </c>
      <c r="R1237" s="162">
        <f t="shared" si="402"/>
        <v>0</v>
      </c>
      <c r="S1237" s="162">
        <f t="shared" si="402"/>
        <v>0</v>
      </c>
      <c r="T1237" s="162">
        <f t="shared" si="402"/>
        <v>0</v>
      </c>
      <c r="U1237" s="162">
        <f t="shared" si="402"/>
        <v>0</v>
      </c>
      <c r="V1237" s="162">
        <f t="shared" si="402"/>
        <v>0</v>
      </c>
      <c r="W1237" s="162">
        <f t="shared" si="402"/>
        <v>0</v>
      </c>
      <c r="X1237" s="162">
        <f t="shared" si="402"/>
        <v>0</v>
      </c>
      <c r="Y1237" s="162">
        <f t="shared" si="402"/>
        <v>0</v>
      </c>
      <c r="Z1237" s="162">
        <f t="shared" si="402"/>
        <v>0</v>
      </c>
      <c r="AA1237" s="162">
        <f t="shared" si="402"/>
        <v>0</v>
      </c>
      <c r="AB1237" s="163">
        <f t="shared" si="393"/>
        <v>0</v>
      </c>
      <c r="AC1237" s="198"/>
      <c r="AE1237" s="194" t="str">
        <f t="shared" si="394"/>
        <v/>
      </c>
      <c r="AF1237" s="161">
        <f t="shared" si="403"/>
        <v>0</v>
      </c>
      <c r="AG1237" s="162">
        <f t="shared" si="403"/>
        <v>0</v>
      </c>
      <c r="AH1237" s="162">
        <f t="shared" si="403"/>
        <v>0</v>
      </c>
      <c r="AI1237" s="162">
        <f t="shared" si="403"/>
        <v>0</v>
      </c>
      <c r="AJ1237" s="162">
        <f t="shared" si="403"/>
        <v>0</v>
      </c>
      <c r="AK1237" s="162">
        <f t="shared" si="403"/>
        <v>0</v>
      </c>
      <c r="AL1237" s="162">
        <f t="shared" si="403"/>
        <v>0</v>
      </c>
      <c r="AM1237" s="162">
        <f t="shared" si="403"/>
        <v>0</v>
      </c>
      <c r="AN1237" s="162">
        <f t="shared" si="403"/>
        <v>0</v>
      </c>
      <c r="AO1237" s="162">
        <f t="shared" si="403"/>
        <v>0</v>
      </c>
      <c r="AP1237" s="162">
        <f t="shared" si="403"/>
        <v>0</v>
      </c>
      <c r="AQ1237" s="162">
        <f t="shared" si="403"/>
        <v>0</v>
      </c>
      <c r="AR1237" s="163">
        <f t="shared" si="396"/>
        <v>0</v>
      </c>
      <c r="AT1237" s="208">
        <f>IFERROR(VLOOKUP(J1237,#REF!,10,0),0)</f>
        <v>0</v>
      </c>
    </row>
    <row r="1238" spans="1:46" hidden="1" outlineLevel="1" x14ac:dyDescent="0.25">
      <c r="A1238" s="14" t="str">
        <f t="shared" si="370"/>
        <v>PROP_OPER__38</v>
      </c>
      <c r="B1238" s="15" t="str">
        <f t="shared" si="390"/>
        <v>PROP_OPER__0_0</v>
      </c>
      <c r="C1238" s="83"/>
      <c r="D1238" s="15">
        <v>1</v>
      </c>
      <c r="E1238" s="15">
        <v>38</v>
      </c>
      <c r="F1238" s="190">
        <f t="shared" si="401"/>
        <v>0</v>
      </c>
      <c r="G1238" s="149" t="str">
        <f t="shared" si="401"/>
        <v/>
      </c>
      <c r="H1238" s="150" t="str">
        <f t="shared" si="401"/>
        <v/>
      </c>
      <c r="I1238" s="150">
        <f t="shared" si="401"/>
        <v>0</v>
      </c>
      <c r="J1238" s="150">
        <f t="shared" si="401"/>
        <v>0</v>
      </c>
      <c r="K1238" s="196" t="str">
        <f t="shared" si="401"/>
        <v/>
      </c>
      <c r="L1238" s="197" t="str">
        <f t="shared" si="401"/>
        <v/>
      </c>
      <c r="M1238" s="191">
        <f t="shared" si="401"/>
        <v>0</v>
      </c>
      <c r="N1238" s="150">
        <f t="shared" si="401"/>
        <v>0</v>
      </c>
      <c r="O1238" s="193">
        <f t="shared" si="401"/>
        <v>0</v>
      </c>
      <c r="P1238" s="162">
        <f t="shared" si="402"/>
        <v>0</v>
      </c>
      <c r="Q1238" s="162">
        <f t="shared" si="402"/>
        <v>0</v>
      </c>
      <c r="R1238" s="162">
        <f t="shared" si="402"/>
        <v>0</v>
      </c>
      <c r="S1238" s="162">
        <f t="shared" si="402"/>
        <v>0</v>
      </c>
      <c r="T1238" s="162">
        <f t="shared" si="402"/>
        <v>0</v>
      </c>
      <c r="U1238" s="162">
        <f t="shared" si="402"/>
        <v>0</v>
      </c>
      <c r="V1238" s="162">
        <f t="shared" si="402"/>
        <v>0</v>
      </c>
      <c r="W1238" s="162">
        <f t="shared" si="402"/>
        <v>0</v>
      </c>
      <c r="X1238" s="162">
        <f t="shared" si="402"/>
        <v>0</v>
      </c>
      <c r="Y1238" s="162">
        <f t="shared" si="402"/>
        <v>0</v>
      </c>
      <c r="Z1238" s="162">
        <f t="shared" si="402"/>
        <v>0</v>
      </c>
      <c r="AA1238" s="162">
        <f t="shared" si="402"/>
        <v>0</v>
      </c>
      <c r="AB1238" s="163">
        <f t="shared" si="393"/>
        <v>0</v>
      </c>
      <c r="AC1238" s="198"/>
      <c r="AE1238" s="194" t="str">
        <f t="shared" si="394"/>
        <v/>
      </c>
      <c r="AF1238" s="161">
        <f t="shared" si="403"/>
        <v>0</v>
      </c>
      <c r="AG1238" s="162">
        <f t="shared" si="403"/>
        <v>0</v>
      </c>
      <c r="AH1238" s="162">
        <f t="shared" si="403"/>
        <v>0</v>
      </c>
      <c r="AI1238" s="162">
        <f t="shared" si="403"/>
        <v>0</v>
      </c>
      <c r="AJ1238" s="162">
        <f t="shared" si="403"/>
        <v>0</v>
      </c>
      <c r="AK1238" s="162">
        <f t="shared" si="403"/>
        <v>0</v>
      </c>
      <c r="AL1238" s="162">
        <f t="shared" si="403"/>
        <v>0</v>
      </c>
      <c r="AM1238" s="162">
        <f t="shared" si="403"/>
        <v>0</v>
      </c>
      <c r="AN1238" s="162">
        <f t="shared" si="403"/>
        <v>0</v>
      </c>
      <c r="AO1238" s="162">
        <f t="shared" si="403"/>
        <v>0</v>
      </c>
      <c r="AP1238" s="162">
        <f t="shared" si="403"/>
        <v>0</v>
      </c>
      <c r="AQ1238" s="162">
        <f t="shared" si="403"/>
        <v>0</v>
      </c>
      <c r="AR1238" s="163">
        <f t="shared" si="396"/>
        <v>0</v>
      </c>
      <c r="AT1238" s="208">
        <f>IFERROR(VLOOKUP(J1238,#REF!,10,0),0)</f>
        <v>0</v>
      </c>
    </row>
    <row r="1239" spans="1:46" hidden="1" outlineLevel="1" x14ac:dyDescent="0.25">
      <c r="A1239" s="14" t="str">
        <f t="shared" si="370"/>
        <v>PROP_OPER__39</v>
      </c>
      <c r="B1239" s="15" t="str">
        <f t="shared" si="390"/>
        <v>PROP_OPER__0_0</v>
      </c>
      <c r="C1239" s="83"/>
      <c r="D1239" s="15">
        <v>1</v>
      </c>
      <c r="E1239" s="15">
        <v>39</v>
      </c>
      <c r="F1239" s="190">
        <f t="shared" si="401"/>
        <v>0</v>
      </c>
      <c r="G1239" s="149" t="str">
        <f t="shared" si="401"/>
        <v/>
      </c>
      <c r="H1239" s="150" t="str">
        <f t="shared" si="401"/>
        <v/>
      </c>
      <c r="I1239" s="150">
        <f t="shared" si="401"/>
        <v>0</v>
      </c>
      <c r="J1239" s="150">
        <f t="shared" si="401"/>
        <v>0</v>
      </c>
      <c r="K1239" s="196" t="str">
        <f t="shared" si="401"/>
        <v/>
      </c>
      <c r="L1239" s="197" t="str">
        <f t="shared" si="401"/>
        <v/>
      </c>
      <c r="M1239" s="191">
        <f t="shared" si="401"/>
        <v>0</v>
      </c>
      <c r="N1239" s="150">
        <f t="shared" si="401"/>
        <v>0</v>
      </c>
      <c r="O1239" s="193">
        <f t="shared" si="401"/>
        <v>0</v>
      </c>
      <c r="P1239" s="162">
        <f t="shared" si="402"/>
        <v>0</v>
      </c>
      <c r="Q1239" s="162">
        <f t="shared" si="402"/>
        <v>0</v>
      </c>
      <c r="R1239" s="162">
        <f t="shared" si="402"/>
        <v>0</v>
      </c>
      <c r="S1239" s="162">
        <f t="shared" si="402"/>
        <v>0</v>
      </c>
      <c r="T1239" s="162">
        <f t="shared" si="402"/>
        <v>0</v>
      </c>
      <c r="U1239" s="162">
        <f t="shared" si="402"/>
        <v>0</v>
      </c>
      <c r="V1239" s="162">
        <f t="shared" si="402"/>
        <v>0</v>
      </c>
      <c r="W1239" s="162">
        <f t="shared" si="402"/>
        <v>0</v>
      </c>
      <c r="X1239" s="162">
        <f t="shared" si="402"/>
        <v>0</v>
      </c>
      <c r="Y1239" s="162">
        <f t="shared" si="402"/>
        <v>0</v>
      </c>
      <c r="Z1239" s="162">
        <f t="shared" si="402"/>
        <v>0</v>
      </c>
      <c r="AA1239" s="162">
        <f t="shared" si="402"/>
        <v>0</v>
      </c>
      <c r="AB1239" s="163">
        <f t="shared" si="393"/>
        <v>0</v>
      </c>
      <c r="AC1239" s="198"/>
      <c r="AE1239" s="194" t="str">
        <f t="shared" si="394"/>
        <v/>
      </c>
      <c r="AF1239" s="161">
        <f t="shared" si="403"/>
        <v>0</v>
      </c>
      <c r="AG1239" s="162">
        <f t="shared" si="403"/>
        <v>0</v>
      </c>
      <c r="AH1239" s="162">
        <f t="shared" si="403"/>
        <v>0</v>
      </c>
      <c r="AI1239" s="162">
        <f t="shared" si="403"/>
        <v>0</v>
      </c>
      <c r="AJ1239" s="162">
        <f t="shared" si="403"/>
        <v>0</v>
      </c>
      <c r="AK1239" s="162">
        <f t="shared" si="403"/>
        <v>0</v>
      </c>
      <c r="AL1239" s="162">
        <f t="shared" si="403"/>
        <v>0</v>
      </c>
      <c r="AM1239" s="162">
        <f t="shared" si="403"/>
        <v>0</v>
      </c>
      <c r="AN1239" s="162">
        <f t="shared" si="403"/>
        <v>0</v>
      </c>
      <c r="AO1239" s="162">
        <f t="shared" si="403"/>
        <v>0</v>
      </c>
      <c r="AP1239" s="162">
        <f t="shared" si="403"/>
        <v>0</v>
      </c>
      <c r="AQ1239" s="162">
        <f t="shared" si="403"/>
        <v>0</v>
      </c>
      <c r="AR1239" s="163">
        <f t="shared" si="396"/>
        <v>0</v>
      </c>
      <c r="AT1239" s="208">
        <f>IFERROR(VLOOKUP(J1239,#REF!,10,0),0)</f>
        <v>0</v>
      </c>
    </row>
    <row r="1240" spans="1:46" hidden="1" outlineLevel="1" x14ac:dyDescent="0.25">
      <c r="A1240" s="14" t="str">
        <f t="shared" si="370"/>
        <v>PROP_OPER__40</v>
      </c>
      <c r="B1240" s="15" t="str">
        <f t="shared" si="390"/>
        <v>PROP_OPER__0_0</v>
      </c>
      <c r="C1240" s="83"/>
      <c r="D1240" s="15">
        <v>1</v>
      </c>
      <c r="E1240" s="15">
        <v>40</v>
      </c>
      <c r="F1240" s="190">
        <f t="shared" si="401"/>
        <v>0</v>
      </c>
      <c r="G1240" s="149" t="str">
        <f t="shared" si="401"/>
        <v/>
      </c>
      <c r="H1240" s="150" t="str">
        <f t="shared" si="401"/>
        <v/>
      </c>
      <c r="I1240" s="150">
        <f t="shared" si="401"/>
        <v>0</v>
      </c>
      <c r="J1240" s="150">
        <f t="shared" si="401"/>
        <v>0</v>
      </c>
      <c r="K1240" s="196" t="str">
        <f t="shared" si="401"/>
        <v/>
      </c>
      <c r="L1240" s="197" t="str">
        <f t="shared" si="401"/>
        <v/>
      </c>
      <c r="M1240" s="191">
        <f t="shared" si="401"/>
        <v>0</v>
      </c>
      <c r="N1240" s="150">
        <f t="shared" si="401"/>
        <v>0</v>
      </c>
      <c r="O1240" s="193">
        <f t="shared" si="401"/>
        <v>0</v>
      </c>
      <c r="P1240" s="162">
        <f t="shared" si="402"/>
        <v>0</v>
      </c>
      <c r="Q1240" s="162">
        <f t="shared" si="402"/>
        <v>0</v>
      </c>
      <c r="R1240" s="162">
        <f t="shared" si="402"/>
        <v>0</v>
      </c>
      <c r="S1240" s="162">
        <f t="shared" si="402"/>
        <v>0</v>
      </c>
      <c r="T1240" s="162">
        <f t="shared" si="402"/>
        <v>0</v>
      </c>
      <c r="U1240" s="162">
        <f t="shared" si="402"/>
        <v>0</v>
      </c>
      <c r="V1240" s="162">
        <f t="shared" si="402"/>
        <v>0</v>
      </c>
      <c r="W1240" s="162">
        <f t="shared" si="402"/>
        <v>0</v>
      </c>
      <c r="X1240" s="162">
        <f t="shared" si="402"/>
        <v>0</v>
      </c>
      <c r="Y1240" s="162">
        <f t="shared" si="402"/>
        <v>0</v>
      </c>
      <c r="Z1240" s="162">
        <f t="shared" si="402"/>
        <v>0</v>
      </c>
      <c r="AA1240" s="162">
        <f t="shared" si="402"/>
        <v>0</v>
      </c>
      <c r="AB1240" s="163">
        <f t="shared" si="393"/>
        <v>0</v>
      </c>
      <c r="AC1240" s="198"/>
      <c r="AE1240" s="194" t="str">
        <f t="shared" si="394"/>
        <v/>
      </c>
      <c r="AF1240" s="161">
        <f t="shared" si="403"/>
        <v>0</v>
      </c>
      <c r="AG1240" s="162">
        <f t="shared" si="403"/>
        <v>0</v>
      </c>
      <c r="AH1240" s="162">
        <f t="shared" si="403"/>
        <v>0</v>
      </c>
      <c r="AI1240" s="162">
        <f t="shared" si="403"/>
        <v>0</v>
      </c>
      <c r="AJ1240" s="162">
        <f t="shared" si="403"/>
        <v>0</v>
      </c>
      <c r="AK1240" s="162">
        <f t="shared" si="403"/>
        <v>0</v>
      </c>
      <c r="AL1240" s="162">
        <f t="shared" si="403"/>
        <v>0</v>
      </c>
      <c r="AM1240" s="162">
        <f t="shared" si="403"/>
        <v>0</v>
      </c>
      <c r="AN1240" s="162">
        <f t="shared" si="403"/>
        <v>0</v>
      </c>
      <c r="AO1240" s="162">
        <f t="shared" si="403"/>
        <v>0</v>
      </c>
      <c r="AP1240" s="162">
        <f t="shared" si="403"/>
        <v>0</v>
      </c>
      <c r="AQ1240" s="162">
        <f t="shared" si="403"/>
        <v>0</v>
      </c>
      <c r="AR1240" s="163">
        <f t="shared" si="396"/>
        <v>0</v>
      </c>
      <c r="AT1240" s="208">
        <f>IFERROR(VLOOKUP(J1240,#REF!,10,0),0)</f>
        <v>0</v>
      </c>
    </row>
    <row r="1241" spans="1:46" hidden="1" outlineLevel="1" x14ac:dyDescent="0.25">
      <c r="A1241" s="14" t="str">
        <f t="shared" si="370"/>
        <v>PROP_OPER__41</v>
      </c>
      <c r="B1241" s="15" t="str">
        <f t="shared" si="390"/>
        <v>PROP_OPER__0_0</v>
      </c>
      <c r="C1241" s="83"/>
      <c r="D1241" s="15">
        <v>1</v>
      </c>
      <c r="E1241" s="15">
        <v>41</v>
      </c>
      <c r="F1241" s="190">
        <f t="shared" si="401"/>
        <v>0</v>
      </c>
      <c r="G1241" s="149" t="str">
        <f t="shared" si="401"/>
        <v/>
      </c>
      <c r="H1241" s="150" t="str">
        <f t="shared" si="401"/>
        <v/>
      </c>
      <c r="I1241" s="150">
        <f t="shared" si="401"/>
        <v>0</v>
      </c>
      <c r="J1241" s="150">
        <f t="shared" si="401"/>
        <v>0</v>
      </c>
      <c r="K1241" s="196" t="str">
        <f t="shared" si="401"/>
        <v/>
      </c>
      <c r="L1241" s="197" t="str">
        <f t="shared" si="401"/>
        <v/>
      </c>
      <c r="M1241" s="191">
        <f t="shared" si="401"/>
        <v>0</v>
      </c>
      <c r="N1241" s="150">
        <f t="shared" si="401"/>
        <v>0</v>
      </c>
      <c r="O1241" s="193">
        <f t="shared" si="401"/>
        <v>0</v>
      </c>
      <c r="P1241" s="162">
        <f t="shared" si="402"/>
        <v>0</v>
      </c>
      <c r="Q1241" s="162">
        <f t="shared" si="402"/>
        <v>0</v>
      </c>
      <c r="R1241" s="162">
        <f t="shared" si="402"/>
        <v>0</v>
      </c>
      <c r="S1241" s="162">
        <f t="shared" si="402"/>
        <v>0</v>
      </c>
      <c r="T1241" s="162">
        <f t="shared" si="402"/>
        <v>0</v>
      </c>
      <c r="U1241" s="162">
        <f t="shared" si="402"/>
        <v>0</v>
      </c>
      <c r="V1241" s="162">
        <f t="shared" si="402"/>
        <v>0</v>
      </c>
      <c r="W1241" s="162">
        <f t="shared" si="402"/>
        <v>0</v>
      </c>
      <c r="X1241" s="162">
        <f t="shared" si="402"/>
        <v>0</v>
      </c>
      <c r="Y1241" s="162">
        <f t="shared" si="402"/>
        <v>0</v>
      </c>
      <c r="Z1241" s="162">
        <f t="shared" si="402"/>
        <v>0</v>
      </c>
      <c r="AA1241" s="162">
        <f t="shared" si="402"/>
        <v>0</v>
      </c>
      <c r="AB1241" s="163">
        <f t="shared" si="393"/>
        <v>0</v>
      </c>
      <c r="AC1241" s="198"/>
      <c r="AE1241" s="194" t="str">
        <f t="shared" si="394"/>
        <v/>
      </c>
      <c r="AF1241" s="161">
        <f t="shared" si="403"/>
        <v>0</v>
      </c>
      <c r="AG1241" s="162">
        <f t="shared" si="403"/>
        <v>0</v>
      </c>
      <c r="AH1241" s="162">
        <f t="shared" si="403"/>
        <v>0</v>
      </c>
      <c r="AI1241" s="162">
        <f t="shared" si="403"/>
        <v>0</v>
      </c>
      <c r="AJ1241" s="162">
        <f t="shared" si="403"/>
        <v>0</v>
      </c>
      <c r="AK1241" s="162">
        <f t="shared" si="403"/>
        <v>0</v>
      </c>
      <c r="AL1241" s="162">
        <f t="shared" si="403"/>
        <v>0</v>
      </c>
      <c r="AM1241" s="162">
        <f t="shared" si="403"/>
        <v>0</v>
      </c>
      <c r="AN1241" s="162">
        <f t="shared" si="403"/>
        <v>0</v>
      </c>
      <c r="AO1241" s="162">
        <f t="shared" si="403"/>
        <v>0</v>
      </c>
      <c r="AP1241" s="162">
        <f t="shared" si="403"/>
        <v>0</v>
      </c>
      <c r="AQ1241" s="162">
        <f t="shared" si="403"/>
        <v>0</v>
      </c>
      <c r="AR1241" s="163">
        <f t="shared" si="396"/>
        <v>0</v>
      </c>
      <c r="AT1241" s="208">
        <f>IFERROR(VLOOKUP(J1241,#REF!,10,0),0)</f>
        <v>0</v>
      </c>
    </row>
    <row r="1242" spans="1:46" hidden="1" outlineLevel="1" x14ac:dyDescent="0.25">
      <c r="A1242" s="14" t="str">
        <f t="shared" si="370"/>
        <v>PROP_OPER__42</v>
      </c>
      <c r="B1242" s="15" t="str">
        <f t="shared" si="390"/>
        <v>PROP_OPER__0_0</v>
      </c>
      <c r="C1242" s="83"/>
      <c r="D1242" s="15">
        <v>1</v>
      </c>
      <c r="E1242" s="15">
        <v>42</v>
      </c>
      <c r="F1242" s="190">
        <f t="shared" si="401"/>
        <v>0</v>
      </c>
      <c r="G1242" s="149" t="str">
        <f t="shared" si="401"/>
        <v/>
      </c>
      <c r="H1242" s="150" t="str">
        <f t="shared" si="401"/>
        <v/>
      </c>
      <c r="I1242" s="150">
        <f t="shared" si="401"/>
        <v>0</v>
      </c>
      <c r="J1242" s="150">
        <f t="shared" si="401"/>
        <v>0</v>
      </c>
      <c r="K1242" s="196" t="str">
        <f t="shared" si="401"/>
        <v/>
      </c>
      <c r="L1242" s="197" t="str">
        <f t="shared" si="401"/>
        <v/>
      </c>
      <c r="M1242" s="191">
        <f t="shared" si="401"/>
        <v>0</v>
      </c>
      <c r="N1242" s="150">
        <f t="shared" si="401"/>
        <v>0</v>
      </c>
      <c r="O1242" s="193">
        <f t="shared" si="401"/>
        <v>0</v>
      </c>
      <c r="P1242" s="162">
        <f t="shared" si="402"/>
        <v>0</v>
      </c>
      <c r="Q1242" s="162">
        <f t="shared" si="402"/>
        <v>0</v>
      </c>
      <c r="R1242" s="162">
        <f t="shared" si="402"/>
        <v>0</v>
      </c>
      <c r="S1242" s="162">
        <f t="shared" si="402"/>
        <v>0</v>
      </c>
      <c r="T1242" s="162">
        <f t="shared" si="402"/>
        <v>0</v>
      </c>
      <c r="U1242" s="162">
        <f t="shared" si="402"/>
        <v>0</v>
      </c>
      <c r="V1242" s="162">
        <f t="shared" si="402"/>
        <v>0</v>
      </c>
      <c r="W1242" s="162">
        <f t="shared" si="402"/>
        <v>0</v>
      </c>
      <c r="X1242" s="162">
        <f t="shared" si="402"/>
        <v>0</v>
      </c>
      <c r="Y1242" s="162">
        <f t="shared" si="402"/>
        <v>0</v>
      </c>
      <c r="Z1242" s="162">
        <f t="shared" si="402"/>
        <v>0</v>
      </c>
      <c r="AA1242" s="162">
        <f t="shared" si="402"/>
        <v>0</v>
      </c>
      <c r="AB1242" s="163">
        <f t="shared" si="393"/>
        <v>0</v>
      </c>
      <c r="AC1242" s="198"/>
      <c r="AE1242" s="194" t="str">
        <f t="shared" si="394"/>
        <v/>
      </c>
      <c r="AF1242" s="161">
        <f t="shared" si="403"/>
        <v>0</v>
      </c>
      <c r="AG1242" s="162">
        <f t="shared" si="403"/>
        <v>0</v>
      </c>
      <c r="AH1242" s="162">
        <f t="shared" si="403"/>
        <v>0</v>
      </c>
      <c r="AI1242" s="162">
        <f t="shared" si="403"/>
        <v>0</v>
      </c>
      <c r="AJ1242" s="162">
        <f t="shared" si="403"/>
        <v>0</v>
      </c>
      <c r="AK1242" s="162">
        <f t="shared" si="403"/>
        <v>0</v>
      </c>
      <c r="AL1242" s="162">
        <f t="shared" si="403"/>
        <v>0</v>
      </c>
      <c r="AM1242" s="162">
        <f t="shared" si="403"/>
        <v>0</v>
      </c>
      <c r="AN1242" s="162">
        <f t="shared" si="403"/>
        <v>0</v>
      </c>
      <c r="AO1242" s="162">
        <f t="shared" si="403"/>
        <v>0</v>
      </c>
      <c r="AP1242" s="162">
        <f t="shared" si="403"/>
        <v>0</v>
      </c>
      <c r="AQ1242" s="162">
        <f t="shared" si="403"/>
        <v>0</v>
      </c>
      <c r="AR1242" s="163">
        <f t="shared" si="396"/>
        <v>0</v>
      </c>
      <c r="AT1242" s="208">
        <f>IFERROR(VLOOKUP(J1242,#REF!,10,0),0)</f>
        <v>0</v>
      </c>
    </row>
    <row r="1243" spans="1:46" hidden="1" outlineLevel="1" x14ac:dyDescent="0.25">
      <c r="A1243" s="14" t="str">
        <f t="shared" si="370"/>
        <v>PROP_OPER__43</v>
      </c>
      <c r="B1243" s="15" t="str">
        <f t="shared" si="390"/>
        <v>PROP_OPER__0_0</v>
      </c>
      <c r="C1243" s="83"/>
      <c r="D1243" s="15">
        <v>1</v>
      </c>
      <c r="E1243" s="15">
        <v>43</v>
      </c>
      <c r="F1243" s="190">
        <f t="shared" si="401"/>
        <v>0</v>
      </c>
      <c r="G1243" s="149" t="str">
        <f t="shared" si="401"/>
        <v/>
      </c>
      <c r="H1243" s="150" t="str">
        <f t="shared" si="401"/>
        <v/>
      </c>
      <c r="I1243" s="150">
        <f t="shared" si="401"/>
        <v>0</v>
      </c>
      <c r="J1243" s="150">
        <f t="shared" si="401"/>
        <v>0</v>
      </c>
      <c r="K1243" s="196" t="str">
        <f t="shared" si="401"/>
        <v/>
      </c>
      <c r="L1243" s="197" t="str">
        <f t="shared" si="401"/>
        <v/>
      </c>
      <c r="M1243" s="191">
        <f t="shared" si="401"/>
        <v>0</v>
      </c>
      <c r="N1243" s="150">
        <f t="shared" si="401"/>
        <v>0</v>
      </c>
      <c r="O1243" s="193">
        <f t="shared" si="401"/>
        <v>0</v>
      </c>
      <c r="P1243" s="162">
        <f t="shared" si="402"/>
        <v>0</v>
      </c>
      <c r="Q1243" s="162">
        <f t="shared" si="402"/>
        <v>0</v>
      </c>
      <c r="R1243" s="162">
        <f t="shared" si="402"/>
        <v>0</v>
      </c>
      <c r="S1243" s="162">
        <f t="shared" si="402"/>
        <v>0</v>
      </c>
      <c r="T1243" s="162">
        <f t="shared" si="402"/>
        <v>0</v>
      </c>
      <c r="U1243" s="162">
        <f t="shared" si="402"/>
        <v>0</v>
      </c>
      <c r="V1243" s="162">
        <f t="shared" si="402"/>
        <v>0</v>
      </c>
      <c r="W1243" s="162">
        <f t="shared" si="402"/>
        <v>0</v>
      </c>
      <c r="X1243" s="162">
        <f t="shared" si="402"/>
        <v>0</v>
      </c>
      <c r="Y1243" s="162">
        <f t="shared" si="402"/>
        <v>0</v>
      </c>
      <c r="Z1243" s="162">
        <f t="shared" si="402"/>
        <v>0</v>
      </c>
      <c r="AA1243" s="162">
        <f t="shared" si="402"/>
        <v>0</v>
      </c>
      <c r="AB1243" s="163">
        <f t="shared" si="393"/>
        <v>0</v>
      </c>
      <c r="AC1243" s="198"/>
      <c r="AE1243" s="194" t="str">
        <f t="shared" si="394"/>
        <v/>
      </c>
      <c r="AF1243" s="161">
        <f t="shared" si="403"/>
        <v>0</v>
      </c>
      <c r="AG1243" s="162">
        <f t="shared" si="403"/>
        <v>0</v>
      </c>
      <c r="AH1243" s="162">
        <f t="shared" si="403"/>
        <v>0</v>
      </c>
      <c r="AI1243" s="162">
        <f t="shared" si="403"/>
        <v>0</v>
      </c>
      <c r="AJ1243" s="162">
        <f t="shared" si="403"/>
        <v>0</v>
      </c>
      <c r="AK1243" s="162">
        <f t="shared" si="403"/>
        <v>0</v>
      </c>
      <c r="AL1243" s="162">
        <f t="shared" si="403"/>
        <v>0</v>
      </c>
      <c r="AM1243" s="162">
        <f t="shared" si="403"/>
        <v>0</v>
      </c>
      <c r="AN1243" s="162">
        <f t="shared" si="403"/>
        <v>0</v>
      </c>
      <c r="AO1243" s="162">
        <f t="shared" si="403"/>
        <v>0</v>
      </c>
      <c r="AP1243" s="162">
        <f t="shared" si="403"/>
        <v>0</v>
      </c>
      <c r="AQ1243" s="162">
        <f t="shared" si="403"/>
        <v>0</v>
      </c>
      <c r="AR1243" s="163">
        <f t="shared" si="396"/>
        <v>0</v>
      </c>
      <c r="AT1243" s="208">
        <f>IFERROR(VLOOKUP(J1243,#REF!,10,0),0)</f>
        <v>0</v>
      </c>
    </row>
    <row r="1244" spans="1:46" hidden="1" outlineLevel="1" x14ac:dyDescent="0.25">
      <c r="A1244" s="14" t="str">
        <f t="shared" si="370"/>
        <v>PROP_OPER__44</v>
      </c>
      <c r="B1244" s="15" t="str">
        <f t="shared" si="390"/>
        <v>PROP_OPER__0_0</v>
      </c>
      <c r="C1244" s="83"/>
      <c r="D1244" s="15">
        <v>1</v>
      </c>
      <c r="E1244" s="15">
        <v>44</v>
      </c>
      <c r="F1244" s="190">
        <f t="shared" si="401"/>
        <v>0</v>
      </c>
      <c r="G1244" s="149" t="str">
        <f t="shared" si="401"/>
        <v/>
      </c>
      <c r="H1244" s="150" t="str">
        <f t="shared" si="401"/>
        <v/>
      </c>
      <c r="I1244" s="150">
        <f t="shared" si="401"/>
        <v>0</v>
      </c>
      <c r="J1244" s="150">
        <f t="shared" si="401"/>
        <v>0</v>
      </c>
      <c r="K1244" s="196" t="str">
        <f t="shared" si="401"/>
        <v/>
      </c>
      <c r="L1244" s="197" t="str">
        <f t="shared" si="401"/>
        <v/>
      </c>
      <c r="M1244" s="191">
        <f t="shared" si="401"/>
        <v>0</v>
      </c>
      <c r="N1244" s="150">
        <f t="shared" si="401"/>
        <v>0</v>
      </c>
      <c r="O1244" s="193">
        <f t="shared" si="401"/>
        <v>0</v>
      </c>
      <c r="P1244" s="162">
        <f t="shared" si="402"/>
        <v>0</v>
      </c>
      <c r="Q1244" s="162">
        <f t="shared" si="402"/>
        <v>0</v>
      </c>
      <c r="R1244" s="162">
        <f t="shared" si="402"/>
        <v>0</v>
      </c>
      <c r="S1244" s="162">
        <f t="shared" si="402"/>
        <v>0</v>
      </c>
      <c r="T1244" s="162">
        <f t="shared" si="402"/>
        <v>0</v>
      </c>
      <c r="U1244" s="162">
        <f t="shared" si="402"/>
        <v>0</v>
      </c>
      <c r="V1244" s="162">
        <f t="shared" si="402"/>
        <v>0</v>
      </c>
      <c r="W1244" s="162">
        <f t="shared" si="402"/>
        <v>0</v>
      </c>
      <c r="X1244" s="162">
        <f t="shared" si="402"/>
        <v>0</v>
      </c>
      <c r="Y1244" s="162">
        <f t="shared" si="402"/>
        <v>0</v>
      </c>
      <c r="Z1244" s="162">
        <f t="shared" si="402"/>
        <v>0</v>
      </c>
      <c r="AA1244" s="162">
        <f t="shared" si="402"/>
        <v>0</v>
      </c>
      <c r="AB1244" s="163">
        <f t="shared" si="393"/>
        <v>0</v>
      </c>
      <c r="AC1244" s="198"/>
      <c r="AE1244" s="194" t="str">
        <f t="shared" si="394"/>
        <v/>
      </c>
      <c r="AF1244" s="161">
        <f t="shared" si="403"/>
        <v>0</v>
      </c>
      <c r="AG1244" s="162">
        <f t="shared" si="403"/>
        <v>0</v>
      </c>
      <c r="AH1244" s="162">
        <f t="shared" si="403"/>
        <v>0</v>
      </c>
      <c r="AI1244" s="162">
        <f t="shared" si="403"/>
        <v>0</v>
      </c>
      <c r="AJ1244" s="162">
        <f t="shared" si="403"/>
        <v>0</v>
      </c>
      <c r="AK1244" s="162">
        <f t="shared" si="403"/>
        <v>0</v>
      </c>
      <c r="AL1244" s="162">
        <f t="shared" si="403"/>
        <v>0</v>
      </c>
      <c r="AM1244" s="162">
        <f t="shared" si="403"/>
        <v>0</v>
      </c>
      <c r="AN1244" s="162">
        <f t="shared" si="403"/>
        <v>0</v>
      </c>
      <c r="AO1244" s="162">
        <f t="shared" si="403"/>
        <v>0</v>
      </c>
      <c r="AP1244" s="162">
        <f t="shared" si="403"/>
        <v>0</v>
      </c>
      <c r="AQ1244" s="162">
        <f t="shared" si="403"/>
        <v>0</v>
      </c>
      <c r="AR1244" s="163">
        <f t="shared" si="396"/>
        <v>0</v>
      </c>
      <c r="AT1244" s="208">
        <f>IFERROR(VLOOKUP(J1244,#REF!,10,0),0)</f>
        <v>0</v>
      </c>
    </row>
    <row r="1245" spans="1:46" hidden="1" outlineLevel="1" x14ac:dyDescent="0.25">
      <c r="A1245" s="14" t="str">
        <f t="shared" si="370"/>
        <v>PROP_OPER__45</v>
      </c>
      <c r="B1245" s="15" t="str">
        <f t="shared" si="390"/>
        <v>PROP_OPER__0_0</v>
      </c>
      <c r="C1245" s="83"/>
      <c r="D1245" s="15">
        <v>1</v>
      </c>
      <c r="E1245" s="15">
        <v>45</v>
      </c>
      <c r="F1245" s="209">
        <f t="shared" si="401"/>
        <v>0</v>
      </c>
      <c r="G1245" s="183" t="str">
        <f t="shared" si="401"/>
        <v/>
      </c>
      <c r="H1245" s="184" t="str">
        <f t="shared" si="401"/>
        <v/>
      </c>
      <c r="I1245" s="184">
        <f t="shared" si="401"/>
        <v>0</v>
      </c>
      <c r="J1245" s="184">
        <f t="shared" si="401"/>
        <v>0</v>
      </c>
      <c r="K1245" s="210" t="str">
        <f t="shared" si="401"/>
        <v/>
      </c>
      <c r="L1245" s="211" t="str">
        <f t="shared" si="401"/>
        <v/>
      </c>
      <c r="M1245" s="212">
        <f t="shared" si="401"/>
        <v>0</v>
      </c>
      <c r="N1245" s="184">
        <f t="shared" si="401"/>
        <v>0</v>
      </c>
      <c r="O1245" s="213">
        <f t="shared" si="401"/>
        <v>0</v>
      </c>
      <c r="P1245" s="162">
        <f t="shared" si="402"/>
        <v>0</v>
      </c>
      <c r="Q1245" s="162">
        <f t="shared" si="402"/>
        <v>0</v>
      </c>
      <c r="R1245" s="162">
        <f t="shared" si="402"/>
        <v>0</v>
      </c>
      <c r="S1245" s="162">
        <f t="shared" si="402"/>
        <v>0</v>
      </c>
      <c r="T1245" s="162">
        <f t="shared" si="402"/>
        <v>0</v>
      </c>
      <c r="U1245" s="162">
        <f t="shared" si="402"/>
        <v>0</v>
      </c>
      <c r="V1245" s="162">
        <f t="shared" si="402"/>
        <v>0</v>
      </c>
      <c r="W1245" s="162">
        <f t="shared" si="402"/>
        <v>0</v>
      </c>
      <c r="X1245" s="162">
        <f t="shared" si="402"/>
        <v>0</v>
      </c>
      <c r="Y1245" s="162">
        <f t="shared" si="402"/>
        <v>0</v>
      </c>
      <c r="Z1245" s="162">
        <f t="shared" si="402"/>
        <v>0</v>
      </c>
      <c r="AA1245" s="162">
        <f t="shared" si="402"/>
        <v>0</v>
      </c>
      <c r="AB1245" s="176">
        <f t="shared" si="393"/>
        <v>0</v>
      </c>
      <c r="AC1245" s="172"/>
      <c r="AE1245" s="195" t="str">
        <f t="shared" si="394"/>
        <v/>
      </c>
      <c r="AF1245" s="174">
        <f t="shared" si="403"/>
        <v>0</v>
      </c>
      <c r="AG1245" s="175">
        <f t="shared" si="403"/>
        <v>0</v>
      </c>
      <c r="AH1245" s="175">
        <f t="shared" si="403"/>
        <v>0</v>
      </c>
      <c r="AI1245" s="175">
        <f t="shared" si="403"/>
        <v>0</v>
      </c>
      <c r="AJ1245" s="175">
        <f t="shared" si="403"/>
        <v>0</v>
      </c>
      <c r="AK1245" s="175">
        <f t="shared" si="403"/>
        <v>0</v>
      </c>
      <c r="AL1245" s="175">
        <f t="shared" si="403"/>
        <v>0</v>
      </c>
      <c r="AM1245" s="175">
        <f t="shared" si="403"/>
        <v>0</v>
      </c>
      <c r="AN1245" s="175">
        <f t="shared" si="403"/>
        <v>0</v>
      </c>
      <c r="AO1245" s="175">
        <f t="shared" si="403"/>
        <v>0</v>
      </c>
      <c r="AP1245" s="175">
        <f t="shared" si="403"/>
        <v>0</v>
      </c>
      <c r="AQ1245" s="175">
        <f t="shared" si="403"/>
        <v>0</v>
      </c>
      <c r="AR1245" s="176">
        <f t="shared" si="396"/>
        <v>0</v>
      </c>
      <c r="AT1245" s="208">
        <f>IFERROR(VLOOKUP(J1245,#REF!,10,0),0)</f>
        <v>0</v>
      </c>
    </row>
    <row r="1246" spans="1:46" hidden="1" outlineLevel="1" x14ac:dyDescent="0.25">
      <c r="A1246" s="14" t="str">
        <f t="shared" si="370"/>
        <v>PROP_OPER__</v>
      </c>
      <c r="F1246" s="137" t="s">
        <v>284</v>
      </c>
      <c r="G1246" s="138"/>
      <c r="H1246" s="139" t="s">
        <v>217</v>
      </c>
      <c r="I1246" s="139"/>
      <c r="J1246" s="139" t="s">
        <v>229</v>
      </c>
      <c r="K1246" s="140"/>
      <c r="L1246" s="141"/>
      <c r="M1246" s="142" t="s">
        <v>220</v>
      </c>
      <c r="N1246" s="139" t="s">
        <v>221</v>
      </c>
      <c r="O1246" s="143" t="s">
        <v>222</v>
      </c>
      <c r="P1246" s="35">
        <f t="shared" ref="P1246:AA1246" si="404">P$9</f>
        <v>46113</v>
      </c>
      <c r="Q1246" s="35">
        <f t="shared" si="404"/>
        <v>46143</v>
      </c>
      <c r="R1246" s="35">
        <f t="shared" si="404"/>
        <v>46174</v>
      </c>
      <c r="S1246" s="35">
        <f t="shared" si="404"/>
        <v>46204</v>
      </c>
      <c r="T1246" s="35">
        <f t="shared" si="404"/>
        <v>46235</v>
      </c>
      <c r="U1246" s="35">
        <f t="shared" si="404"/>
        <v>46266</v>
      </c>
      <c r="V1246" s="35">
        <f t="shared" si="404"/>
        <v>46296</v>
      </c>
      <c r="W1246" s="35">
        <f t="shared" si="404"/>
        <v>46327</v>
      </c>
      <c r="X1246" s="35">
        <f t="shared" si="404"/>
        <v>46357</v>
      </c>
      <c r="Y1246" s="35">
        <f t="shared" si="404"/>
        <v>46388</v>
      </c>
      <c r="Z1246" s="35">
        <f t="shared" si="404"/>
        <v>46419</v>
      </c>
      <c r="AA1246" s="35">
        <f t="shared" si="404"/>
        <v>46447</v>
      </c>
      <c r="AB1246" s="81" t="s">
        <v>223</v>
      </c>
      <c r="AC1246" s="82" t="s">
        <v>192</v>
      </c>
      <c r="AE1246" s="189" t="str">
        <f>"Qtde Recursos em: "&amp;F1246</f>
        <v>Qtde Recursos em: PLANTIO MECANIZADO - RENOVAÇÃO</v>
      </c>
      <c r="AF1246" s="147">
        <f>P1246</f>
        <v>46113</v>
      </c>
      <c r="AG1246" s="35">
        <f t="shared" ref="AG1246:AQ1246" si="405">Q1246</f>
        <v>46143</v>
      </c>
      <c r="AH1246" s="35">
        <f t="shared" si="405"/>
        <v>46174</v>
      </c>
      <c r="AI1246" s="35">
        <f t="shared" si="405"/>
        <v>46204</v>
      </c>
      <c r="AJ1246" s="35">
        <f t="shared" si="405"/>
        <v>46235</v>
      </c>
      <c r="AK1246" s="35">
        <f t="shared" si="405"/>
        <v>46266</v>
      </c>
      <c r="AL1246" s="35">
        <f t="shared" si="405"/>
        <v>46296</v>
      </c>
      <c r="AM1246" s="35">
        <f t="shared" si="405"/>
        <v>46327</v>
      </c>
      <c r="AN1246" s="35">
        <f t="shared" si="405"/>
        <v>46357</v>
      </c>
      <c r="AO1246" s="35">
        <f t="shared" si="405"/>
        <v>46388</v>
      </c>
      <c r="AP1246" s="35">
        <f t="shared" si="405"/>
        <v>46419</v>
      </c>
      <c r="AQ1246" s="35">
        <f t="shared" si="405"/>
        <v>46447</v>
      </c>
      <c r="AR1246" s="81" t="s">
        <v>223</v>
      </c>
      <c r="AT1246" s="189" t="s">
        <v>258</v>
      </c>
    </row>
    <row r="1247" spans="1:46" hidden="1" outlineLevel="1" x14ac:dyDescent="0.25">
      <c r="A1247" s="14" t="str">
        <f t="shared" si="370"/>
        <v>PROP_OPER__1</v>
      </c>
      <c r="B1247" s="15" t="str">
        <f t="shared" ref="B1247:B1291" si="406">"PROP_OPER_"&amp;C1247&amp;"_"&amp;F1247&amp;"_"&amp;J1247</f>
        <v>PROP_OPER__1018_0</v>
      </c>
      <c r="C1247" s="83"/>
      <c r="D1247" s="15">
        <v>1</v>
      </c>
      <c r="E1247" s="15">
        <v>1</v>
      </c>
      <c r="F1247" s="190">
        <f>F1201</f>
        <v>1018</v>
      </c>
      <c r="G1247" s="149" t="str">
        <f t="shared" ref="G1247:O1247" si="407">G1201</f>
        <v/>
      </c>
      <c r="H1247" s="150" t="str">
        <f t="shared" si="407"/>
        <v/>
      </c>
      <c r="I1247" s="150" t="str">
        <f t="shared" si="407"/>
        <v>PLANCP</v>
      </c>
      <c r="J1247" s="150">
        <f t="shared" si="407"/>
        <v>0</v>
      </c>
      <c r="K1247" s="196" t="str">
        <f t="shared" si="407"/>
        <v/>
      </c>
      <c r="L1247" s="197" t="str">
        <f t="shared" si="407"/>
        <v/>
      </c>
      <c r="M1247" s="191">
        <f t="shared" si="407"/>
        <v>0</v>
      </c>
      <c r="N1247" s="150">
        <f t="shared" si="407"/>
        <v>0</v>
      </c>
      <c r="O1247" s="193">
        <f t="shared" si="407"/>
        <v>1</v>
      </c>
      <c r="P1247" s="162">
        <f t="shared" ref="P1247:AA1260" si="408">IFERROR(SUMIF($B$483:$B$547,$C1247&amp;$I1247,P$483:P$547)/SUMIF($D$483:$D$547,$I1247,P$483:P$547)*P598,0)</f>
        <v>0</v>
      </c>
      <c r="Q1247" s="162">
        <f t="shared" si="408"/>
        <v>0</v>
      </c>
      <c r="R1247" s="162">
        <f t="shared" si="408"/>
        <v>0</v>
      </c>
      <c r="S1247" s="162">
        <f t="shared" si="408"/>
        <v>0</v>
      </c>
      <c r="T1247" s="162">
        <f t="shared" si="408"/>
        <v>0</v>
      </c>
      <c r="U1247" s="162">
        <f t="shared" si="408"/>
        <v>0</v>
      </c>
      <c r="V1247" s="162">
        <f t="shared" si="408"/>
        <v>0</v>
      </c>
      <c r="W1247" s="162">
        <f t="shared" si="408"/>
        <v>0</v>
      </c>
      <c r="X1247" s="162">
        <f t="shared" si="408"/>
        <v>0</v>
      </c>
      <c r="Y1247" s="162">
        <f t="shared" si="408"/>
        <v>0</v>
      </c>
      <c r="Z1247" s="162">
        <f t="shared" si="408"/>
        <v>0</v>
      </c>
      <c r="AA1247" s="162">
        <f t="shared" si="408"/>
        <v>0</v>
      </c>
      <c r="AB1247" s="163">
        <f t="shared" ref="AB1247:AB1291" si="409">SUM(P1247:AA1247)</f>
        <v>0</v>
      </c>
      <c r="AC1247" s="198"/>
      <c r="AE1247" s="194" t="str">
        <f>AE1201</f>
        <v/>
      </c>
      <c r="AF1247" s="161">
        <f t="shared" ref="AF1247:AQ1260" si="410">IFERROR(SUMIF($B$483:$B$547,$C1247&amp;$I1247,P$483:P$547)/SUMIF($D$483:$D$547,$I1247,P$483:P$547)*AF598,0)</f>
        <v>0</v>
      </c>
      <c r="AG1247" s="162">
        <f t="shared" si="410"/>
        <v>0</v>
      </c>
      <c r="AH1247" s="162">
        <f t="shared" si="410"/>
        <v>0</v>
      </c>
      <c r="AI1247" s="162">
        <f t="shared" si="410"/>
        <v>0</v>
      </c>
      <c r="AJ1247" s="162">
        <f t="shared" si="410"/>
        <v>0</v>
      </c>
      <c r="AK1247" s="162">
        <f t="shared" si="410"/>
        <v>0</v>
      </c>
      <c r="AL1247" s="162">
        <f t="shared" si="410"/>
        <v>0</v>
      </c>
      <c r="AM1247" s="162">
        <f t="shared" si="410"/>
        <v>0</v>
      </c>
      <c r="AN1247" s="162">
        <f t="shared" si="410"/>
        <v>0</v>
      </c>
      <c r="AO1247" s="162">
        <f t="shared" si="410"/>
        <v>0</v>
      </c>
      <c r="AP1247" s="162">
        <f t="shared" si="410"/>
        <v>0</v>
      </c>
      <c r="AQ1247" s="162">
        <f t="shared" si="410"/>
        <v>0</v>
      </c>
      <c r="AR1247" s="163">
        <f t="shared" ref="AR1247:AR1291" si="411">SUM(AF1247:AQ1247)</f>
        <v>0</v>
      </c>
      <c r="AT1247" s="207">
        <f>IFERROR(VLOOKUP(J1247,#REF!,10,0),0)</f>
        <v>0</v>
      </c>
    </row>
    <row r="1248" spans="1:46" hidden="1" outlineLevel="1" x14ac:dyDescent="0.25">
      <c r="A1248" s="14" t="str">
        <f t="shared" si="370"/>
        <v>PROP_OPER__2</v>
      </c>
      <c r="B1248" s="15" t="str">
        <f t="shared" si="406"/>
        <v>PROP_OPER__1023_0</v>
      </c>
      <c r="C1248" s="83"/>
      <c r="D1248" s="15">
        <v>1</v>
      </c>
      <c r="E1248" s="15">
        <v>2</v>
      </c>
      <c r="F1248" s="190">
        <f t="shared" ref="F1248:O1263" si="412">F1202</f>
        <v>1023</v>
      </c>
      <c r="G1248" s="149" t="str">
        <f t="shared" si="412"/>
        <v/>
      </c>
      <c r="H1248" s="150" t="str">
        <f t="shared" si="412"/>
        <v/>
      </c>
      <c r="I1248" s="150" t="str">
        <f t="shared" si="412"/>
        <v>PLANCP</v>
      </c>
      <c r="J1248" s="150">
        <f t="shared" si="412"/>
        <v>0</v>
      </c>
      <c r="K1248" s="196" t="str">
        <f t="shared" si="412"/>
        <v/>
      </c>
      <c r="L1248" s="197" t="str">
        <f t="shared" si="412"/>
        <v/>
      </c>
      <c r="M1248" s="191">
        <f t="shared" si="412"/>
        <v>0</v>
      </c>
      <c r="N1248" s="150">
        <f t="shared" si="412"/>
        <v>0</v>
      </c>
      <c r="O1248" s="193">
        <f t="shared" si="412"/>
        <v>1</v>
      </c>
      <c r="P1248" s="162">
        <f t="shared" si="408"/>
        <v>0</v>
      </c>
      <c r="Q1248" s="162">
        <f t="shared" si="408"/>
        <v>0</v>
      </c>
      <c r="R1248" s="162">
        <f t="shared" si="408"/>
        <v>0</v>
      </c>
      <c r="S1248" s="162">
        <f t="shared" si="408"/>
        <v>0</v>
      </c>
      <c r="T1248" s="162">
        <f t="shared" si="408"/>
        <v>0</v>
      </c>
      <c r="U1248" s="162">
        <f t="shared" si="408"/>
        <v>0</v>
      </c>
      <c r="V1248" s="162">
        <f t="shared" si="408"/>
        <v>0</v>
      </c>
      <c r="W1248" s="162">
        <f t="shared" si="408"/>
        <v>0</v>
      </c>
      <c r="X1248" s="162">
        <f t="shared" si="408"/>
        <v>0</v>
      </c>
      <c r="Y1248" s="162">
        <f t="shared" si="408"/>
        <v>0</v>
      </c>
      <c r="Z1248" s="162">
        <f t="shared" si="408"/>
        <v>0</v>
      </c>
      <c r="AA1248" s="162">
        <f t="shared" si="408"/>
        <v>0</v>
      </c>
      <c r="AB1248" s="163">
        <f t="shared" si="409"/>
        <v>0</v>
      </c>
      <c r="AC1248" s="198"/>
      <c r="AE1248" s="194" t="str">
        <f t="shared" ref="AE1248:AE1291" si="413">AE1202</f>
        <v/>
      </c>
      <c r="AF1248" s="161">
        <f t="shared" si="410"/>
        <v>0</v>
      </c>
      <c r="AG1248" s="162">
        <f t="shared" si="410"/>
        <v>0</v>
      </c>
      <c r="AH1248" s="162">
        <f t="shared" si="410"/>
        <v>0</v>
      </c>
      <c r="AI1248" s="162">
        <f t="shared" si="410"/>
        <v>0</v>
      </c>
      <c r="AJ1248" s="162">
        <f t="shared" si="410"/>
        <v>0</v>
      </c>
      <c r="AK1248" s="162">
        <f t="shared" si="410"/>
        <v>0</v>
      </c>
      <c r="AL1248" s="162">
        <f t="shared" si="410"/>
        <v>0</v>
      </c>
      <c r="AM1248" s="162">
        <f t="shared" si="410"/>
        <v>0</v>
      </c>
      <c r="AN1248" s="162">
        <f t="shared" si="410"/>
        <v>0</v>
      </c>
      <c r="AO1248" s="162">
        <f t="shared" si="410"/>
        <v>0</v>
      </c>
      <c r="AP1248" s="162">
        <f t="shared" si="410"/>
        <v>0</v>
      </c>
      <c r="AQ1248" s="162">
        <f t="shared" si="410"/>
        <v>0</v>
      </c>
      <c r="AR1248" s="163">
        <f t="shared" si="411"/>
        <v>0</v>
      </c>
      <c r="AT1248" s="208">
        <f>IFERROR(VLOOKUP(J1248,#REF!,10,0),0)</f>
        <v>0</v>
      </c>
    </row>
    <row r="1249" spans="1:46" hidden="1" outlineLevel="1" x14ac:dyDescent="0.25">
      <c r="A1249" s="14" t="str">
        <f t="shared" si="370"/>
        <v>PROP_OPER__3</v>
      </c>
      <c r="B1249" s="15" t="str">
        <f t="shared" si="406"/>
        <v>PROP_OPER__1018_0</v>
      </c>
      <c r="C1249" s="83"/>
      <c r="D1249" s="15">
        <v>1</v>
      </c>
      <c r="E1249" s="15">
        <v>3</v>
      </c>
      <c r="F1249" s="190">
        <f t="shared" si="412"/>
        <v>1018</v>
      </c>
      <c r="G1249" s="149" t="str">
        <f t="shared" si="412"/>
        <v/>
      </c>
      <c r="H1249" s="150" t="str">
        <f t="shared" si="412"/>
        <v/>
      </c>
      <c r="I1249" s="150" t="str">
        <f t="shared" si="412"/>
        <v>PLANCF</v>
      </c>
      <c r="J1249" s="150">
        <f t="shared" si="412"/>
        <v>0</v>
      </c>
      <c r="K1249" s="196" t="str">
        <f t="shared" si="412"/>
        <v/>
      </c>
      <c r="L1249" s="197" t="str">
        <f t="shared" si="412"/>
        <v/>
      </c>
      <c r="M1249" s="191">
        <f t="shared" si="412"/>
        <v>0</v>
      </c>
      <c r="N1249" s="150">
        <f t="shared" si="412"/>
        <v>0</v>
      </c>
      <c r="O1249" s="193">
        <f t="shared" si="412"/>
        <v>1</v>
      </c>
      <c r="P1249" s="162">
        <f t="shared" si="408"/>
        <v>0</v>
      </c>
      <c r="Q1249" s="162">
        <f t="shared" si="408"/>
        <v>0</v>
      </c>
      <c r="R1249" s="162">
        <f t="shared" si="408"/>
        <v>0</v>
      </c>
      <c r="S1249" s="162">
        <f t="shared" si="408"/>
        <v>0</v>
      </c>
      <c r="T1249" s="162">
        <f t="shared" si="408"/>
        <v>0</v>
      </c>
      <c r="U1249" s="162">
        <f t="shared" si="408"/>
        <v>0</v>
      </c>
      <c r="V1249" s="162">
        <f t="shared" si="408"/>
        <v>0</v>
      </c>
      <c r="W1249" s="162">
        <f t="shared" si="408"/>
        <v>0</v>
      </c>
      <c r="X1249" s="162">
        <f t="shared" si="408"/>
        <v>0</v>
      </c>
      <c r="Y1249" s="162">
        <f t="shared" si="408"/>
        <v>0</v>
      </c>
      <c r="Z1249" s="162">
        <f t="shared" si="408"/>
        <v>0</v>
      </c>
      <c r="AA1249" s="162">
        <f t="shared" si="408"/>
        <v>0</v>
      </c>
      <c r="AB1249" s="163">
        <f t="shared" si="409"/>
        <v>0</v>
      </c>
      <c r="AC1249" s="198"/>
      <c r="AE1249" s="194" t="str">
        <f t="shared" si="413"/>
        <v/>
      </c>
      <c r="AF1249" s="161">
        <f t="shared" si="410"/>
        <v>0</v>
      </c>
      <c r="AG1249" s="162">
        <f t="shared" si="410"/>
        <v>0</v>
      </c>
      <c r="AH1249" s="162">
        <f t="shared" si="410"/>
        <v>0</v>
      </c>
      <c r="AI1249" s="162">
        <f t="shared" si="410"/>
        <v>0</v>
      </c>
      <c r="AJ1249" s="162">
        <f t="shared" si="410"/>
        <v>0</v>
      </c>
      <c r="AK1249" s="162">
        <f t="shared" si="410"/>
        <v>0</v>
      </c>
      <c r="AL1249" s="162">
        <f t="shared" si="410"/>
        <v>0</v>
      </c>
      <c r="AM1249" s="162">
        <f t="shared" si="410"/>
        <v>0</v>
      </c>
      <c r="AN1249" s="162">
        <f t="shared" si="410"/>
        <v>0</v>
      </c>
      <c r="AO1249" s="162">
        <f t="shared" si="410"/>
        <v>0</v>
      </c>
      <c r="AP1249" s="162">
        <f t="shared" si="410"/>
        <v>0</v>
      </c>
      <c r="AQ1249" s="162">
        <f t="shared" si="410"/>
        <v>0</v>
      </c>
      <c r="AR1249" s="163">
        <f t="shared" si="411"/>
        <v>0</v>
      </c>
      <c r="AT1249" s="208">
        <f>IFERROR(VLOOKUP(J1249,#REF!,10,0),0)</f>
        <v>0</v>
      </c>
    </row>
    <row r="1250" spans="1:46" hidden="1" outlineLevel="1" x14ac:dyDescent="0.25">
      <c r="A1250" s="14" t="str">
        <f t="shared" si="370"/>
        <v>PROP_OPER__4</v>
      </c>
      <c r="B1250" s="15" t="str">
        <f t="shared" si="406"/>
        <v>PROP_OPER__1023_0</v>
      </c>
      <c r="C1250" s="83"/>
      <c r="D1250" s="15">
        <v>1</v>
      </c>
      <c r="E1250" s="15">
        <v>4</v>
      </c>
      <c r="F1250" s="190">
        <f t="shared" si="412"/>
        <v>1023</v>
      </c>
      <c r="G1250" s="149" t="str">
        <f t="shared" si="412"/>
        <v/>
      </c>
      <c r="H1250" s="150" t="str">
        <f t="shared" si="412"/>
        <v/>
      </c>
      <c r="I1250" s="150" t="str">
        <f t="shared" si="412"/>
        <v>PLANCF</v>
      </c>
      <c r="J1250" s="150">
        <f t="shared" si="412"/>
        <v>0</v>
      </c>
      <c r="K1250" s="196" t="str">
        <f t="shared" si="412"/>
        <v/>
      </c>
      <c r="L1250" s="197" t="str">
        <f t="shared" si="412"/>
        <v/>
      </c>
      <c r="M1250" s="191">
        <f t="shared" si="412"/>
        <v>0</v>
      </c>
      <c r="N1250" s="150">
        <f t="shared" si="412"/>
        <v>0</v>
      </c>
      <c r="O1250" s="193">
        <f t="shared" si="412"/>
        <v>1</v>
      </c>
      <c r="P1250" s="162">
        <f t="shared" si="408"/>
        <v>0</v>
      </c>
      <c r="Q1250" s="162">
        <f t="shared" si="408"/>
        <v>0</v>
      </c>
      <c r="R1250" s="162">
        <f t="shared" si="408"/>
        <v>0</v>
      </c>
      <c r="S1250" s="162">
        <f t="shared" si="408"/>
        <v>0</v>
      </c>
      <c r="T1250" s="162">
        <f t="shared" si="408"/>
        <v>0</v>
      </c>
      <c r="U1250" s="162">
        <f t="shared" si="408"/>
        <v>0</v>
      </c>
      <c r="V1250" s="162">
        <f t="shared" si="408"/>
        <v>0</v>
      </c>
      <c r="W1250" s="162">
        <f t="shared" si="408"/>
        <v>0</v>
      </c>
      <c r="X1250" s="162">
        <f t="shared" si="408"/>
        <v>0</v>
      </c>
      <c r="Y1250" s="162">
        <f t="shared" si="408"/>
        <v>0</v>
      </c>
      <c r="Z1250" s="162">
        <f t="shared" si="408"/>
        <v>0</v>
      </c>
      <c r="AA1250" s="162">
        <f t="shared" si="408"/>
        <v>0</v>
      </c>
      <c r="AB1250" s="163">
        <f t="shared" si="409"/>
        <v>0</v>
      </c>
      <c r="AC1250" s="159"/>
      <c r="AE1250" s="194" t="str">
        <f t="shared" si="413"/>
        <v/>
      </c>
      <c r="AF1250" s="161">
        <f t="shared" si="410"/>
        <v>0</v>
      </c>
      <c r="AG1250" s="162">
        <f t="shared" si="410"/>
        <v>0</v>
      </c>
      <c r="AH1250" s="162">
        <f t="shared" si="410"/>
        <v>0</v>
      </c>
      <c r="AI1250" s="162">
        <f t="shared" si="410"/>
        <v>0</v>
      </c>
      <c r="AJ1250" s="162">
        <f t="shared" si="410"/>
        <v>0</v>
      </c>
      <c r="AK1250" s="162">
        <f t="shared" si="410"/>
        <v>0</v>
      </c>
      <c r="AL1250" s="162">
        <f t="shared" si="410"/>
        <v>0</v>
      </c>
      <c r="AM1250" s="162">
        <f t="shared" si="410"/>
        <v>0</v>
      </c>
      <c r="AN1250" s="162">
        <f t="shared" si="410"/>
        <v>0</v>
      </c>
      <c r="AO1250" s="162">
        <f t="shared" si="410"/>
        <v>0</v>
      </c>
      <c r="AP1250" s="162">
        <f t="shared" si="410"/>
        <v>0</v>
      </c>
      <c r="AQ1250" s="162">
        <f t="shared" si="410"/>
        <v>0</v>
      </c>
      <c r="AR1250" s="163">
        <f t="shared" si="411"/>
        <v>0</v>
      </c>
      <c r="AT1250" s="208">
        <f>IFERROR(VLOOKUP(J1250,#REF!,10,0),0)</f>
        <v>0</v>
      </c>
    </row>
    <row r="1251" spans="1:46" hidden="1" outlineLevel="1" x14ac:dyDescent="0.25">
      <c r="A1251" s="14" t="str">
        <f t="shared" si="370"/>
        <v>PROP_OPER__5</v>
      </c>
      <c r="B1251" s="15" t="str">
        <f t="shared" si="406"/>
        <v>PROP_OPER__1044_0</v>
      </c>
      <c r="C1251" s="83"/>
      <c r="D1251" s="15">
        <v>1</v>
      </c>
      <c r="E1251" s="15">
        <v>5</v>
      </c>
      <c r="F1251" s="190">
        <f t="shared" si="412"/>
        <v>1044</v>
      </c>
      <c r="G1251" s="149" t="str">
        <f t="shared" si="412"/>
        <v/>
      </c>
      <c r="H1251" s="150" t="str">
        <f t="shared" si="412"/>
        <v/>
      </c>
      <c r="I1251" s="150" t="str">
        <f t="shared" si="412"/>
        <v>PLANMP</v>
      </c>
      <c r="J1251" s="150">
        <f t="shared" si="412"/>
        <v>0</v>
      </c>
      <c r="K1251" s="196" t="str">
        <f t="shared" si="412"/>
        <v/>
      </c>
      <c r="L1251" s="197" t="str">
        <f t="shared" si="412"/>
        <v/>
      </c>
      <c r="M1251" s="191">
        <f t="shared" si="412"/>
        <v>0</v>
      </c>
      <c r="N1251" s="150">
        <f t="shared" si="412"/>
        <v>0</v>
      </c>
      <c r="O1251" s="193">
        <f t="shared" si="412"/>
        <v>1</v>
      </c>
      <c r="P1251" s="162">
        <f t="shared" si="408"/>
        <v>0</v>
      </c>
      <c r="Q1251" s="162">
        <f t="shared" si="408"/>
        <v>0</v>
      </c>
      <c r="R1251" s="162">
        <f t="shared" si="408"/>
        <v>0</v>
      </c>
      <c r="S1251" s="162">
        <f t="shared" si="408"/>
        <v>0</v>
      </c>
      <c r="T1251" s="162">
        <f t="shared" si="408"/>
        <v>0</v>
      </c>
      <c r="U1251" s="162">
        <f t="shared" si="408"/>
        <v>0</v>
      </c>
      <c r="V1251" s="162">
        <f t="shared" si="408"/>
        <v>0</v>
      </c>
      <c r="W1251" s="162">
        <f t="shared" si="408"/>
        <v>0</v>
      </c>
      <c r="X1251" s="162">
        <f t="shared" si="408"/>
        <v>0</v>
      </c>
      <c r="Y1251" s="162">
        <f t="shared" si="408"/>
        <v>0</v>
      </c>
      <c r="Z1251" s="162">
        <f t="shared" si="408"/>
        <v>0</v>
      </c>
      <c r="AA1251" s="162">
        <f t="shared" si="408"/>
        <v>0</v>
      </c>
      <c r="AB1251" s="163">
        <f t="shared" si="409"/>
        <v>0</v>
      </c>
      <c r="AC1251" s="159"/>
      <c r="AE1251" s="194" t="str">
        <f t="shared" si="413"/>
        <v/>
      </c>
      <c r="AF1251" s="161">
        <f t="shared" si="410"/>
        <v>0</v>
      </c>
      <c r="AG1251" s="162">
        <f t="shared" si="410"/>
        <v>0</v>
      </c>
      <c r="AH1251" s="162">
        <f t="shared" si="410"/>
        <v>0</v>
      </c>
      <c r="AI1251" s="162">
        <f t="shared" si="410"/>
        <v>0</v>
      </c>
      <c r="AJ1251" s="162">
        <f t="shared" si="410"/>
        <v>0</v>
      </c>
      <c r="AK1251" s="162">
        <f t="shared" si="410"/>
        <v>0</v>
      </c>
      <c r="AL1251" s="162">
        <f t="shared" si="410"/>
        <v>0</v>
      </c>
      <c r="AM1251" s="162">
        <f t="shared" si="410"/>
        <v>0</v>
      </c>
      <c r="AN1251" s="162">
        <f t="shared" si="410"/>
        <v>0</v>
      </c>
      <c r="AO1251" s="162">
        <f t="shared" si="410"/>
        <v>0</v>
      </c>
      <c r="AP1251" s="162">
        <f t="shared" si="410"/>
        <v>0</v>
      </c>
      <c r="AQ1251" s="162">
        <f t="shared" si="410"/>
        <v>0</v>
      </c>
      <c r="AR1251" s="163">
        <f t="shared" si="411"/>
        <v>0</v>
      </c>
      <c r="AT1251" s="208">
        <f>IFERROR(VLOOKUP(J1251,#REF!,10,0),0)</f>
        <v>0</v>
      </c>
    </row>
    <row r="1252" spans="1:46" hidden="1" outlineLevel="1" x14ac:dyDescent="0.25">
      <c r="A1252" s="14" t="str">
        <f t="shared" si="370"/>
        <v>PROP_OPER__6</v>
      </c>
      <c r="B1252" s="15" t="str">
        <f t="shared" si="406"/>
        <v>PROP_OPER__1033_0</v>
      </c>
      <c r="C1252" s="83"/>
      <c r="D1252" s="15">
        <v>1</v>
      </c>
      <c r="E1252" s="15">
        <v>6</v>
      </c>
      <c r="F1252" s="190">
        <f t="shared" si="412"/>
        <v>1033</v>
      </c>
      <c r="G1252" s="149" t="str">
        <f t="shared" si="412"/>
        <v/>
      </c>
      <c r="H1252" s="150" t="str">
        <f t="shared" si="412"/>
        <v/>
      </c>
      <c r="I1252" s="150" t="str">
        <f t="shared" si="412"/>
        <v>PLANCP</v>
      </c>
      <c r="J1252" s="150">
        <f t="shared" si="412"/>
        <v>0</v>
      </c>
      <c r="K1252" s="196" t="str">
        <f t="shared" si="412"/>
        <v/>
      </c>
      <c r="L1252" s="197" t="str">
        <f t="shared" si="412"/>
        <v/>
      </c>
      <c r="M1252" s="191">
        <f t="shared" si="412"/>
        <v>0</v>
      </c>
      <c r="N1252" s="150">
        <f t="shared" si="412"/>
        <v>0</v>
      </c>
      <c r="O1252" s="193">
        <f t="shared" si="412"/>
        <v>1</v>
      </c>
      <c r="P1252" s="162">
        <f t="shared" si="408"/>
        <v>0</v>
      </c>
      <c r="Q1252" s="162">
        <f t="shared" si="408"/>
        <v>0</v>
      </c>
      <c r="R1252" s="162">
        <f t="shared" si="408"/>
        <v>0</v>
      </c>
      <c r="S1252" s="162">
        <f t="shared" si="408"/>
        <v>0</v>
      </c>
      <c r="T1252" s="162">
        <f t="shared" si="408"/>
        <v>0</v>
      </c>
      <c r="U1252" s="162">
        <f t="shared" si="408"/>
        <v>0</v>
      </c>
      <c r="V1252" s="162">
        <f t="shared" si="408"/>
        <v>0</v>
      </c>
      <c r="W1252" s="162">
        <f t="shared" si="408"/>
        <v>0</v>
      </c>
      <c r="X1252" s="162">
        <f t="shared" si="408"/>
        <v>0</v>
      </c>
      <c r="Y1252" s="162">
        <f t="shared" si="408"/>
        <v>0</v>
      </c>
      <c r="Z1252" s="162">
        <f t="shared" si="408"/>
        <v>0</v>
      </c>
      <c r="AA1252" s="162">
        <f t="shared" si="408"/>
        <v>0</v>
      </c>
      <c r="AB1252" s="163">
        <f t="shared" si="409"/>
        <v>0</v>
      </c>
      <c r="AC1252" s="159"/>
      <c r="AE1252" s="194" t="str">
        <f t="shared" si="413"/>
        <v/>
      </c>
      <c r="AF1252" s="161">
        <f t="shared" si="410"/>
        <v>0</v>
      </c>
      <c r="AG1252" s="162">
        <f t="shared" si="410"/>
        <v>0</v>
      </c>
      <c r="AH1252" s="162">
        <f t="shared" si="410"/>
        <v>0</v>
      </c>
      <c r="AI1252" s="162">
        <f t="shared" si="410"/>
        <v>0</v>
      </c>
      <c r="AJ1252" s="162">
        <f t="shared" si="410"/>
        <v>0</v>
      </c>
      <c r="AK1252" s="162">
        <f t="shared" si="410"/>
        <v>0</v>
      </c>
      <c r="AL1252" s="162">
        <f t="shared" si="410"/>
        <v>0</v>
      </c>
      <c r="AM1252" s="162">
        <f t="shared" si="410"/>
        <v>0</v>
      </c>
      <c r="AN1252" s="162">
        <f t="shared" si="410"/>
        <v>0</v>
      </c>
      <c r="AO1252" s="162">
        <f t="shared" si="410"/>
        <v>0</v>
      </c>
      <c r="AP1252" s="162">
        <f t="shared" si="410"/>
        <v>0</v>
      </c>
      <c r="AQ1252" s="162">
        <f t="shared" si="410"/>
        <v>0</v>
      </c>
      <c r="AR1252" s="163">
        <f t="shared" si="411"/>
        <v>0</v>
      </c>
      <c r="AT1252" s="208">
        <f>IFERROR(VLOOKUP(J1252,#REF!,10,0),0)</f>
        <v>0</v>
      </c>
    </row>
    <row r="1253" spans="1:46" hidden="1" outlineLevel="1" x14ac:dyDescent="0.25">
      <c r="A1253" s="14" t="str">
        <f t="shared" si="370"/>
        <v>PROP_OPER__7</v>
      </c>
      <c r="B1253" s="15" t="str">
        <f t="shared" si="406"/>
        <v>PROP_OPER__0_0</v>
      </c>
      <c r="C1253" s="83"/>
      <c r="D1253" s="15">
        <v>1</v>
      </c>
      <c r="E1253" s="15">
        <v>7</v>
      </c>
      <c r="F1253" s="190">
        <f t="shared" si="412"/>
        <v>0</v>
      </c>
      <c r="G1253" s="149" t="str">
        <f t="shared" si="412"/>
        <v/>
      </c>
      <c r="H1253" s="150" t="str">
        <f t="shared" si="412"/>
        <v/>
      </c>
      <c r="I1253" s="150">
        <f t="shared" si="412"/>
        <v>0</v>
      </c>
      <c r="J1253" s="150">
        <f t="shared" si="412"/>
        <v>0</v>
      </c>
      <c r="K1253" s="196" t="str">
        <f t="shared" si="412"/>
        <v/>
      </c>
      <c r="L1253" s="197" t="str">
        <f t="shared" si="412"/>
        <v/>
      </c>
      <c r="M1253" s="191">
        <f t="shared" si="412"/>
        <v>0</v>
      </c>
      <c r="N1253" s="150">
        <f t="shared" si="412"/>
        <v>0</v>
      </c>
      <c r="O1253" s="193">
        <f t="shared" si="412"/>
        <v>0</v>
      </c>
      <c r="P1253" s="162">
        <f t="shared" si="408"/>
        <v>0</v>
      </c>
      <c r="Q1253" s="162">
        <f t="shared" si="408"/>
        <v>0</v>
      </c>
      <c r="R1253" s="162">
        <f t="shared" si="408"/>
        <v>0</v>
      </c>
      <c r="S1253" s="162">
        <f t="shared" si="408"/>
        <v>0</v>
      </c>
      <c r="T1253" s="162">
        <f t="shared" si="408"/>
        <v>0</v>
      </c>
      <c r="U1253" s="162">
        <f t="shared" si="408"/>
        <v>0</v>
      </c>
      <c r="V1253" s="162">
        <f t="shared" si="408"/>
        <v>0</v>
      </c>
      <c r="W1253" s="162">
        <f t="shared" si="408"/>
        <v>0</v>
      </c>
      <c r="X1253" s="162">
        <f t="shared" si="408"/>
        <v>0</v>
      </c>
      <c r="Y1253" s="162">
        <f t="shared" si="408"/>
        <v>0</v>
      </c>
      <c r="Z1253" s="162">
        <f t="shared" si="408"/>
        <v>0</v>
      </c>
      <c r="AA1253" s="162">
        <f t="shared" si="408"/>
        <v>0</v>
      </c>
      <c r="AB1253" s="163">
        <f t="shared" si="409"/>
        <v>0</v>
      </c>
      <c r="AC1253" s="159"/>
      <c r="AE1253" s="194" t="str">
        <f t="shared" si="413"/>
        <v/>
      </c>
      <c r="AF1253" s="161">
        <f t="shared" si="410"/>
        <v>0</v>
      </c>
      <c r="AG1253" s="162">
        <f t="shared" si="410"/>
        <v>0</v>
      </c>
      <c r="AH1253" s="162">
        <f t="shared" si="410"/>
        <v>0</v>
      </c>
      <c r="AI1253" s="162">
        <f t="shared" si="410"/>
        <v>0</v>
      </c>
      <c r="AJ1253" s="162">
        <f t="shared" si="410"/>
        <v>0</v>
      </c>
      <c r="AK1253" s="162">
        <f t="shared" si="410"/>
        <v>0</v>
      </c>
      <c r="AL1253" s="162">
        <f t="shared" si="410"/>
        <v>0</v>
      </c>
      <c r="AM1253" s="162">
        <f t="shared" si="410"/>
        <v>0</v>
      </c>
      <c r="AN1253" s="162">
        <f t="shared" si="410"/>
        <v>0</v>
      </c>
      <c r="AO1253" s="162">
        <f t="shared" si="410"/>
        <v>0</v>
      </c>
      <c r="AP1253" s="162">
        <f t="shared" si="410"/>
        <v>0</v>
      </c>
      <c r="AQ1253" s="162">
        <f t="shared" si="410"/>
        <v>0</v>
      </c>
      <c r="AR1253" s="163">
        <f t="shared" si="411"/>
        <v>0</v>
      </c>
      <c r="AT1253" s="208">
        <f>IFERROR(VLOOKUP(J1253,#REF!,10,0),0)</f>
        <v>0</v>
      </c>
    </row>
    <row r="1254" spans="1:46" hidden="1" outlineLevel="1" x14ac:dyDescent="0.25">
      <c r="A1254" s="14" t="str">
        <f t="shared" si="370"/>
        <v>PROP_OPER__8</v>
      </c>
      <c r="B1254" s="15" t="str">
        <f t="shared" si="406"/>
        <v>PROP_OPER__0_0</v>
      </c>
      <c r="C1254" s="83"/>
      <c r="D1254" s="15">
        <v>1</v>
      </c>
      <c r="E1254" s="15">
        <v>8</v>
      </c>
      <c r="F1254" s="190">
        <f t="shared" si="412"/>
        <v>0</v>
      </c>
      <c r="G1254" s="149" t="str">
        <f t="shared" si="412"/>
        <v/>
      </c>
      <c r="H1254" s="150" t="str">
        <f t="shared" si="412"/>
        <v/>
      </c>
      <c r="I1254" s="150">
        <f t="shared" si="412"/>
        <v>0</v>
      </c>
      <c r="J1254" s="150">
        <f t="shared" si="412"/>
        <v>0</v>
      </c>
      <c r="K1254" s="196" t="str">
        <f t="shared" si="412"/>
        <v/>
      </c>
      <c r="L1254" s="197" t="str">
        <f t="shared" si="412"/>
        <v/>
      </c>
      <c r="M1254" s="191">
        <f t="shared" si="412"/>
        <v>0</v>
      </c>
      <c r="N1254" s="150">
        <f t="shared" si="412"/>
        <v>0</v>
      </c>
      <c r="O1254" s="193">
        <f t="shared" si="412"/>
        <v>0</v>
      </c>
      <c r="P1254" s="162">
        <f t="shared" si="408"/>
        <v>0</v>
      </c>
      <c r="Q1254" s="162">
        <f t="shared" si="408"/>
        <v>0</v>
      </c>
      <c r="R1254" s="162">
        <f t="shared" si="408"/>
        <v>0</v>
      </c>
      <c r="S1254" s="162">
        <f t="shared" si="408"/>
        <v>0</v>
      </c>
      <c r="T1254" s="162">
        <f t="shared" si="408"/>
        <v>0</v>
      </c>
      <c r="U1254" s="162">
        <f t="shared" si="408"/>
        <v>0</v>
      </c>
      <c r="V1254" s="162">
        <f t="shared" si="408"/>
        <v>0</v>
      </c>
      <c r="W1254" s="162">
        <f t="shared" si="408"/>
        <v>0</v>
      </c>
      <c r="X1254" s="162">
        <f t="shared" si="408"/>
        <v>0</v>
      </c>
      <c r="Y1254" s="162">
        <f t="shared" si="408"/>
        <v>0</v>
      </c>
      <c r="Z1254" s="162">
        <f t="shared" si="408"/>
        <v>0</v>
      </c>
      <c r="AA1254" s="162">
        <f t="shared" si="408"/>
        <v>0</v>
      </c>
      <c r="AB1254" s="163">
        <f t="shared" si="409"/>
        <v>0</v>
      </c>
      <c r="AC1254" s="159"/>
      <c r="AE1254" s="194" t="str">
        <f t="shared" si="413"/>
        <v/>
      </c>
      <c r="AF1254" s="161">
        <f t="shared" si="410"/>
        <v>0</v>
      </c>
      <c r="AG1254" s="162">
        <f t="shared" si="410"/>
        <v>0</v>
      </c>
      <c r="AH1254" s="162">
        <f t="shared" si="410"/>
        <v>0</v>
      </c>
      <c r="AI1254" s="162">
        <f t="shared" si="410"/>
        <v>0</v>
      </c>
      <c r="AJ1254" s="162">
        <f t="shared" si="410"/>
        <v>0</v>
      </c>
      <c r="AK1254" s="162">
        <f t="shared" si="410"/>
        <v>0</v>
      </c>
      <c r="AL1254" s="162">
        <f t="shared" si="410"/>
        <v>0</v>
      </c>
      <c r="AM1254" s="162">
        <f t="shared" si="410"/>
        <v>0</v>
      </c>
      <c r="AN1254" s="162">
        <f t="shared" si="410"/>
        <v>0</v>
      </c>
      <c r="AO1254" s="162">
        <f t="shared" si="410"/>
        <v>0</v>
      </c>
      <c r="AP1254" s="162">
        <f t="shared" si="410"/>
        <v>0</v>
      </c>
      <c r="AQ1254" s="162">
        <f t="shared" si="410"/>
        <v>0</v>
      </c>
      <c r="AR1254" s="163">
        <f t="shared" si="411"/>
        <v>0</v>
      </c>
      <c r="AT1254" s="208">
        <f>IFERROR(VLOOKUP(J1254,#REF!,10,0),0)</f>
        <v>0</v>
      </c>
    </row>
    <row r="1255" spans="1:46" hidden="1" outlineLevel="1" x14ac:dyDescent="0.25">
      <c r="A1255" s="14" t="str">
        <f t="shared" ref="A1255:A1318" si="414">"PROP_OPER_"&amp;C1255&amp;"_"&amp;E1255</f>
        <v>PROP_OPER__9</v>
      </c>
      <c r="B1255" s="15" t="str">
        <f t="shared" si="406"/>
        <v>PROP_OPER__0_0</v>
      </c>
      <c r="C1255" s="83"/>
      <c r="D1255" s="15">
        <v>1</v>
      </c>
      <c r="E1255" s="15">
        <v>9</v>
      </c>
      <c r="F1255" s="190">
        <f t="shared" si="412"/>
        <v>0</v>
      </c>
      <c r="G1255" s="149" t="str">
        <f t="shared" si="412"/>
        <v/>
      </c>
      <c r="H1255" s="150" t="str">
        <f t="shared" si="412"/>
        <v/>
      </c>
      <c r="I1255" s="150">
        <f t="shared" si="412"/>
        <v>0</v>
      </c>
      <c r="J1255" s="150">
        <f t="shared" si="412"/>
        <v>0</v>
      </c>
      <c r="K1255" s="196" t="str">
        <f t="shared" si="412"/>
        <v/>
      </c>
      <c r="L1255" s="197" t="str">
        <f t="shared" si="412"/>
        <v/>
      </c>
      <c r="M1255" s="191">
        <f t="shared" si="412"/>
        <v>0</v>
      </c>
      <c r="N1255" s="150">
        <f t="shared" si="412"/>
        <v>0</v>
      </c>
      <c r="O1255" s="193">
        <f t="shared" si="412"/>
        <v>0</v>
      </c>
      <c r="P1255" s="162">
        <f t="shared" si="408"/>
        <v>0</v>
      </c>
      <c r="Q1255" s="162">
        <f t="shared" si="408"/>
        <v>0</v>
      </c>
      <c r="R1255" s="162">
        <f t="shared" si="408"/>
        <v>0</v>
      </c>
      <c r="S1255" s="162">
        <f t="shared" si="408"/>
        <v>0</v>
      </c>
      <c r="T1255" s="162">
        <f t="shared" si="408"/>
        <v>0</v>
      </c>
      <c r="U1255" s="162">
        <f t="shared" si="408"/>
        <v>0</v>
      </c>
      <c r="V1255" s="162">
        <f t="shared" si="408"/>
        <v>0</v>
      </c>
      <c r="W1255" s="162">
        <f t="shared" si="408"/>
        <v>0</v>
      </c>
      <c r="X1255" s="162">
        <f t="shared" si="408"/>
        <v>0</v>
      </c>
      <c r="Y1255" s="162">
        <f t="shared" si="408"/>
        <v>0</v>
      </c>
      <c r="Z1255" s="162">
        <f t="shared" si="408"/>
        <v>0</v>
      </c>
      <c r="AA1255" s="162">
        <f t="shared" si="408"/>
        <v>0</v>
      </c>
      <c r="AB1255" s="163">
        <f t="shared" si="409"/>
        <v>0</v>
      </c>
      <c r="AC1255" s="159"/>
      <c r="AE1255" s="194" t="str">
        <f t="shared" si="413"/>
        <v/>
      </c>
      <c r="AF1255" s="161">
        <f t="shared" si="410"/>
        <v>0</v>
      </c>
      <c r="AG1255" s="162">
        <f t="shared" si="410"/>
        <v>0</v>
      </c>
      <c r="AH1255" s="162">
        <f t="shared" si="410"/>
        <v>0</v>
      </c>
      <c r="AI1255" s="162">
        <f t="shared" si="410"/>
        <v>0</v>
      </c>
      <c r="AJ1255" s="162">
        <f t="shared" si="410"/>
        <v>0</v>
      </c>
      <c r="AK1255" s="162">
        <f t="shared" si="410"/>
        <v>0</v>
      </c>
      <c r="AL1255" s="162">
        <f t="shared" si="410"/>
        <v>0</v>
      </c>
      <c r="AM1255" s="162">
        <f t="shared" si="410"/>
        <v>0</v>
      </c>
      <c r="AN1255" s="162">
        <f t="shared" si="410"/>
        <v>0</v>
      </c>
      <c r="AO1255" s="162">
        <f t="shared" si="410"/>
        <v>0</v>
      </c>
      <c r="AP1255" s="162">
        <f t="shared" si="410"/>
        <v>0</v>
      </c>
      <c r="AQ1255" s="162">
        <f t="shared" si="410"/>
        <v>0</v>
      </c>
      <c r="AR1255" s="163">
        <f t="shared" si="411"/>
        <v>0</v>
      </c>
      <c r="AT1255" s="208">
        <f>IFERROR(VLOOKUP(J1255,#REF!,10,0),0)</f>
        <v>0</v>
      </c>
    </row>
    <row r="1256" spans="1:46" hidden="1" outlineLevel="1" x14ac:dyDescent="0.25">
      <c r="A1256" s="14" t="str">
        <f t="shared" si="414"/>
        <v>PROP_OPER__10</v>
      </c>
      <c r="B1256" s="15" t="str">
        <f t="shared" si="406"/>
        <v>PROP_OPER__0_0</v>
      </c>
      <c r="C1256" s="83"/>
      <c r="D1256" s="15">
        <v>1</v>
      </c>
      <c r="E1256" s="15">
        <v>10</v>
      </c>
      <c r="F1256" s="190">
        <f t="shared" si="412"/>
        <v>0</v>
      </c>
      <c r="G1256" s="149" t="str">
        <f t="shared" si="412"/>
        <v/>
      </c>
      <c r="H1256" s="150" t="str">
        <f t="shared" si="412"/>
        <v/>
      </c>
      <c r="I1256" s="150">
        <f t="shared" si="412"/>
        <v>0</v>
      </c>
      <c r="J1256" s="150">
        <f t="shared" si="412"/>
        <v>0</v>
      </c>
      <c r="K1256" s="196" t="str">
        <f t="shared" si="412"/>
        <v/>
      </c>
      <c r="L1256" s="197" t="str">
        <f t="shared" si="412"/>
        <v/>
      </c>
      <c r="M1256" s="191">
        <f t="shared" si="412"/>
        <v>0</v>
      </c>
      <c r="N1256" s="150">
        <f t="shared" si="412"/>
        <v>0</v>
      </c>
      <c r="O1256" s="193">
        <f t="shared" si="412"/>
        <v>0</v>
      </c>
      <c r="P1256" s="162">
        <f t="shared" si="408"/>
        <v>0</v>
      </c>
      <c r="Q1256" s="162">
        <f t="shared" si="408"/>
        <v>0</v>
      </c>
      <c r="R1256" s="162">
        <f t="shared" si="408"/>
        <v>0</v>
      </c>
      <c r="S1256" s="162">
        <f t="shared" si="408"/>
        <v>0</v>
      </c>
      <c r="T1256" s="162">
        <f t="shared" si="408"/>
        <v>0</v>
      </c>
      <c r="U1256" s="162">
        <f t="shared" si="408"/>
        <v>0</v>
      </c>
      <c r="V1256" s="162">
        <f t="shared" si="408"/>
        <v>0</v>
      </c>
      <c r="W1256" s="162">
        <f t="shared" si="408"/>
        <v>0</v>
      </c>
      <c r="X1256" s="162">
        <f t="shared" si="408"/>
        <v>0</v>
      </c>
      <c r="Y1256" s="162">
        <f t="shared" si="408"/>
        <v>0</v>
      </c>
      <c r="Z1256" s="162">
        <f t="shared" si="408"/>
        <v>0</v>
      </c>
      <c r="AA1256" s="162">
        <f t="shared" si="408"/>
        <v>0</v>
      </c>
      <c r="AB1256" s="163">
        <f t="shared" si="409"/>
        <v>0</v>
      </c>
      <c r="AC1256" s="159"/>
      <c r="AE1256" s="194" t="str">
        <f t="shared" si="413"/>
        <v/>
      </c>
      <c r="AF1256" s="161">
        <f t="shared" si="410"/>
        <v>0</v>
      </c>
      <c r="AG1256" s="162">
        <f t="shared" si="410"/>
        <v>0</v>
      </c>
      <c r="AH1256" s="162">
        <f t="shared" si="410"/>
        <v>0</v>
      </c>
      <c r="AI1256" s="162">
        <f t="shared" si="410"/>
        <v>0</v>
      </c>
      <c r="AJ1256" s="162">
        <f t="shared" si="410"/>
        <v>0</v>
      </c>
      <c r="AK1256" s="162">
        <f t="shared" si="410"/>
        <v>0</v>
      </c>
      <c r="AL1256" s="162">
        <f t="shared" si="410"/>
        <v>0</v>
      </c>
      <c r="AM1256" s="162">
        <f t="shared" si="410"/>
        <v>0</v>
      </c>
      <c r="AN1256" s="162">
        <f t="shared" si="410"/>
        <v>0</v>
      </c>
      <c r="AO1256" s="162">
        <f t="shared" si="410"/>
        <v>0</v>
      </c>
      <c r="AP1256" s="162">
        <f t="shared" si="410"/>
        <v>0</v>
      </c>
      <c r="AQ1256" s="162">
        <f t="shared" si="410"/>
        <v>0</v>
      </c>
      <c r="AR1256" s="163">
        <f t="shared" si="411"/>
        <v>0</v>
      </c>
      <c r="AT1256" s="208">
        <f>IFERROR(VLOOKUP(J1256,#REF!,10,0),0)</f>
        <v>0</v>
      </c>
    </row>
    <row r="1257" spans="1:46" hidden="1" outlineLevel="1" x14ac:dyDescent="0.25">
      <c r="A1257" s="14" t="str">
        <f t="shared" si="414"/>
        <v>PROP_OPER__11</v>
      </c>
      <c r="B1257" s="15" t="str">
        <f t="shared" si="406"/>
        <v>PROP_OPER__0_0</v>
      </c>
      <c r="C1257" s="83"/>
      <c r="D1257" s="15">
        <v>1</v>
      </c>
      <c r="E1257" s="15">
        <v>11</v>
      </c>
      <c r="F1257" s="190">
        <f t="shared" si="412"/>
        <v>0</v>
      </c>
      <c r="G1257" s="149" t="str">
        <f t="shared" si="412"/>
        <v/>
      </c>
      <c r="H1257" s="150" t="str">
        <f t="shared" si="412"/>
        <v/>
      </c>
      <c r="I1257" s="150">
        <f t="shared" si="412"/>
        <v>0</v>
      </c>
      <c r="J1257" s="150">
        <f t="shared" si="412"/>
        <v>0</v>
      </c>
      <c r="K1257" s="196" t="str">
        <f t="shared" si="412"/>
        <v/>
      </c>
      <c r="L1257" s="197" t="str">
        <f t="shared" si="412"/>
        <v/>
      </c>
      <c r="M1257" s="191">
        <f t="shared" si="412"/>
        <v>0</v>
      </c>
      <c r="N1257" s="150">
        <f t="shared" si="412"/>
        <v>0</v>
      </c>
      <c r="O1257" s="193">
        <f t="shared" si="412"/>
        <v>0</v>
      </c>
      <c r="P1257" s="162">
        <f t="shared" si="408"/>
        <v>0</v>
      </c>
      <c r="Q1257" s="162">
        <f t="shared" si="408"/>
        <v>0</v>
      </c>
      <c r="R1257" s="162">
        <f t="shared" si="408"/>
        <v>0</v>
      </c>
      <c r="S1257" s="162">
        <f t="shared" si="408"/>
        <v>0</v>
      </c>
      <c r="T1257" s="162">
        <f t="shared" si="408"/>
        <v>0</v>
      </c>
      <c r="U1257" s="162">
        <f t="shared" si="408"/>
        <v>0</v>
      </c>
      <c r="V1257" s="162">
        <f t="shared" si="408"/>
        <v>0</v>
      </c>
      <c r="W1257" s="162">
        <f t="shared" si="408"/>
        <v>0</v>
      </c>
      <c r="X1257" s="162">
        <f t="shared" si="408"/>
        <v>0</v>
      </c>
      <c r="Y1257" s="162">
        <f t="shared" si="408"/>
        <v>0</v>
      </c>
      <c r="Z1257" s="162">
        <f t="shared" si="408"/>
        <v>0</v>
      </c>
      <c r="AA1257" s="162">
        <f t="shared" si="408"/>
        <v>0</v>
      </c>
      <c r="AB1257" s="163">
        <f t="shared" si="409"/>
        <v>0</v>
      </c>
      <c r="AC1257" s="198"/>
      <c r="AE1257" s="194" t="str">
        <f t="shared" si="413"/>
        <v/>
      </c>
      <c r="AF1257" s="161">
        <f t="shared" si="410"/>
        <v>0</v>
      </c>
      <c r="AG1257" s="162">
        <f t="shared" si="410"/>
        <v>0</v>
      </c>
      <c r="AH1257" s="162">
        <f t="shared" si="410"/>
        <v>0</v>
      </c>
      <c r="AI1257" s="162">
        <f t="shared" si="410"/>
        <v>0</v>
      </c>
      <c r="AJ1257" s="162">
        <f t="shared" si="410"/>
        <v>0</v>
      </c>
      <c r="AK1257" s="162">
        <f t="shared" si="410"/>
        <v>0</v>
      </c>
      <c r="AL1257" s="162">
        <f t="shared" si="410"/>
        <v>0</v>
      </c>
      <c r="AM1257" s="162">
        <f t="shared" si="410"/>
        <v>0</v>
      </c>
      <c r="AN1257" s="162">
        <f t="shared" si="410"/>
        <v>0</v>
      </c>
      <c r="AO1257" s="162">
        <f t="shared" si="410"/>
        <v>0</v>
      </c>
      <c r="AP1257" s="162">
        <f t="shared" si="410"/>
        <v>0</v>
      </c>
      <c r="AQ1257" s="162">
        <f t="shared" si="410"/>
        <v>0</v>
      </c>
      <c r="AR1257" s="163">
        <f t="shared" si="411"/>
        <v>0</v>
      </c>
      <c r="AT1257" s="208">
        <f>IFERROR(VLOOKUP(J1257,#REF!,10,0),0)</f>
        <v>0</v>
      </c>
    </row>
    <row r="1258" spans="1:46" hidden="1" outlineLevel="1" x14ac:dyDescent="0.25">
      <c r="A1258" s="14" t="str">
        <f t="shared" si="414"/>
        <v>PROP_OPER__12</v>
      </c>
      <c r="B1258" s="15" t="str">
        <f t="shared" si="406"/>
        <v>PROP_OPER__0_0</v>
      </c>
      <c r="C1258" s="83"/>
      <c r="D1258" s="15">
        <v>1</v>
      </c>
      <c r="E1258" s="15">
        <v>12</v>
      </c>
      <c r="F1258" s="190">
        <f t="shared" si="412"/>
        <v>0</v>
      </c>
      <c r="G1258" s="149" t="str">
        <f t="shared" si="412"/>
        <v/>
      </c>
      <c r="H1258" s="150" t="str">
        <f t="shared" si="412"/>
        <v/>
      </c>
      <c r="I1258" s="150">
        <f t="shared" si="412"/>
        <v>0</v>
      </c>
      <c r="J1258" s="150">
        <f t="shared" si="412"/>
        <v>0</v>
      </c>
      <c r="K1258" s="196" t="str">
        <f t="shared" si="412"/>
        <v/>
      </c>
      <c r="L1258" s="197" t="str">
        <f t="shared" si="412"/>
        <v/>
      </c>
      <c r="M1258" s="191">
        <f t="shared" si="412"/>
        <v>0</v>
      </c>
      <c r="N1258" s="150">
        <f t="shared" si="412"/>
        <v>0</v>
      </c>
      <c r="O1258" s="193">
        <f t="shared" si="412"/>
        <v>0</v>
      </c>
      <c r="P1258" s="162">
        <f t="shared" si="408"/>
        <v>0</v>
      </c>
      <c r="Q1258" s="162">
        <f t="shared" si="408"/>
        <v>0</v>
      </c>
      <c r="R1258" s="162">
        <f t="shared" si="408"/>
        <v>0</v>
      </c>
      <c r="S1258" s="162">
        <f t="shared" si="408"/>
        <v>0</v>
      </c>
      <c r="T1258" s="162">
        <f t="shared" si="408"/>
        <v>0</v>
      </c>
      <c r="U1258" s="162">
        <f t="shared" si="408"/>
        <v>0</v>
      </c>
      <c r="V1258" s="162">
        <f t="shared" si="408"/>
        <v>0</v>
      </c>
      <c r="W1258" s="162">
        <f t="shared" si="408"/>
        <v>0</v>
      </c>
      <c r="X1258" s="162">
        <f t="shared" si="408"/>
        <v>0</v>
      </c>
      <c r="Y1258" s="162">
        <f t="shared" si="408"/>
        <v>0</v>
      </c>
      <c r="Z1258" s="162">
        <f t="shared" si="408"/>
        <v>0</v>
      </c>
      <c r="AA1258" s="162">
        <f t="shared" si="408"/>
        <v>0</v>
      </c>
      <c r="AB1258" s="163">
        <f t="shared" si="409"/>
        <v>0</v>
      </c>
      <c r="AC1258" s="198"/>
      <c r="AE1258" s="194" t="str">
        <f t="shared" si="413"/>
        <v/>
      </c>
      <c r="AF1258" s="161">
        <f t="shared" si="410"/>
        <v>0</v>
      </c>
      <c r="AG1258" s="162">
        <f t="shared" si="410"/>
        <v>0</v>
      </c>
      <c r="AH1258" s="162">
        <f t="shared" si="410"/>
        <v>0</v>
      </c>
      <c r="AI1258" s="162">
        <f t="shared" si="410"/>
        <v>0</v>
      </c>
      <c r="AJ1258" s="162">
        <f t="shared" si="410"/>
        <v>0</v>
      </c>
      <c r="AK1258" s="162">
        <f t="shared" si="410"/>
        <v>0</v>
      </c>
      <c r="AL1258" s="162">
        <f t="shared" si="410"/>
        <v>0</v>
      </c>
      <c r="AM1258" s="162">
        <f t="shared" si="410"/>
        <v>0</v>
      </c>
      <c r="AN1258" s="162">
        <f t="shared" si="410"/>
        <v>0</v>
      </c>
      <c r="AO1258" s="162">
        <f t="shared" si="410"/>
        <v>0</v>
      </c>
      <c r="AP1258" s="162">
        <f t="shared" si="410"/>
        <v>0</v>
      </c>
      <c r="AQ1258" s="162">
        <f t="shared" si="410"/>
        <v>0</v>
      </c>
      <c r="AR1258" s="163">
        <f t="shared" si="411"/>
        <v>0</v>
      </c>
      <c r="AT1258" s="208">
        <f>IFERROR(VLOOKUP(J1258,#REF!,10,0),0)</f>
        <v>0</v>
      </c>
    </row>
    <row r="1259" spans="1:46" hidden="1" outlineLevel="1" x14ac:dyDescent="0.25">
      <c r="A1259" s="14" t="str">
        <f t="shared" si="414"/>
        <v>PROP_OPER__13</v>
      </c>
      <c r="B1259" s="15" t="str">
        <f t="shared" si="406"/>
        <v>PROP_OPER__0_0</v>
      </c>
      <c r="C1259" s="83"/>
      <c r="D1259" s="15">
        <v>1</v>
      </c>
      <c r="E1259" s="15">
        <v>13</v>
      </c>
      <c r="F1259" s="190">
        <f t="shared" si="412"/>
        <v>0</v>
      </c>
      <c r="G1259" s="149" t="str">
        <f t="shared" si="412"/>
        <v/>
      </c>
      <c r="H1259" s="150" t="str">
        <f t="shared" si="412"/>
        <v/>
      </c>
      <c r="I1259" s="150">
        <f t="shared" si="412"/>
        <v>0</v>
      </c>
      <c r="J1259" s="150">
        <f t="shared" si="412"/>
        <v>0</v>
      </c>
      <c r="K1259" s="196" t="str">
        <f t="shared" si="412"/>
        <v/>
      </c>
      <c r="L1259" s="197" t="str">
        <f t="shared" si="412"/>
        <v/>
      </c>
      <c r="M1259" s="191">
        <f t="shared" si="412"/>
        <v>0</v>
      </c>
      <c r="N1259" s="150">
        <f t="shared" si="412"/>
        <v>0</v>
      </c>
      <c r="O1259" s="193">
        <f t="shared" si="412"/>
        <v>0</v>
      </c>
      <c r="P1259" s="162">
        <f t="shared" si="408"/>
        <v>0</v>
      </c>
      <c r="Q1259" s="162">
        <f t="shared" si="408"/>
        <v>0</v>
      </c>
      <c r="R1259" s="162">
        <f t="shared" si="408"/>
        <v>0</v>
      </c>
      <c r="S1259" s="162">
        <f t="shared" si="408"/>
        <v>0</v>
      </c>
      <c r="T1259" s="162">
        <f t="shared" si="408"/>
        <v>0</v>
      </c>
      <c r="U1259" s="162">
        <f t="shared" si="408"/>
        <v>0</v>
      </c>
      <c r="V1259" s="162">
        <f t="shared" si="408"/>
        <v>0</v>
      </c>
      <c r="W1259" s="162">
        <f t="shared" si="408"/>
        <v>0</v>
      </c>
      <c r="X1259" s="162">
        <f t="shared" si="408"/>
        <v>0</v>
      </c>
      <c r="Y1259" s="162">
        <f t="shared" si="408"/>
        <v>0</v>
      </c>
      <c r="Z1259" s="162">
        <f t="shared" si="408"/>
        <v>0</v>
      </c>
      <c r="AA1259" s="162">
        <f t="shared" si="408"/>
        <v>0</v>
      </c>
      <c r="AB1259" s="163">
        <f t="shared" si="409"/>
        <v>0</v>
      </c>
      <c r="AC1259" s="198"/>
      <c r="AE1259" s="194" t="str">
        <f t="shared" si="413"/>
        <v/>
      </c>
      <c r="AF1259" s="161">
        <f t="shared" si="410"/>
        <v>0</v>
      </c>
      <c r="AG1259" s="162">
        <f t="shared" si="410"/>
        <v>0</v>
      </c>
      <c r="AH1259" s="162">
        <f t="shared" si="410"/>
        <v>0</v>
      </c>
      <c r="AI1259" s="162">
        <f t="shared" si="410"/>
        <v>0</v>
      </c>
      <c r="AJ1259" s="162">
        <f t="shared" si="410"/>
        <v>0</v>
      </c>
      <c r="AK1259" s="162">
        <f t="shared" si="410"/>
        <v>0</v>
      </c>
      <c r="AL1259" s="162">
        <f t="shared" si="410"/>
        <v>0</v>
      </c>
      <c r="AM1259" s="162">
        <f t="shared" si="410"/>
        <v>0</v>
      </c>
      <c r="AN1259" s="162">
        <f t="shared" si="410"/>
        <v>0</v>
      </c>
      <c r="AO1259" s="162">
        <f t="shared" si="410"/>
        <v>0</v>
      </c>
      <c r="AP1259" s="162">
        <f t="shared" si="410"/>
        <v>0</v>
      </c>
      <c r="AQ1259" s="162">
        <f t="shared" si="410"/>
        <v>0</v>
      </c>
      <c r="AR1259" s="163">
        <f t="shared" si="411"/>
        <v>0</v>
      </c>
      <c r="AT1259" s="208">
        <f>IFERROR(VLOOKUP(J1259,#REF!,10,0),0)</f>
        <v>0</v>
      </c>
    </row>
    <row r="1260" spans="1:46" hidden="1" outlineLevel="1" x14ac:dyDescent="0.25">
      <c r="A1260" s="14" t="str">
        <f t="shared" si="414"/>
        <v>PROP_OPER__14</v>
      </c>
      <c r="B1260" s="15" t="str">
        <f t="shared" si="406"/>
        <v>PROP_OPER__0_0</v>
      </c>
      <c r="C1260" s="83"/>
      <c r="D1260" s="15">
        <v>1</v>
      </c>
      <c r="E1260" s="15">
        <v>14</v>
      </c>
      <c r="F1260" s="190">
        <f t="shared" si="412"/>
        <v>0</v>
      </c>
      <c r="G1260" s="149" t="str">
        <f t="shared" si="412"/>
        <v/>
      </c>
      <c r="H1260" s="150" t="str">
        <f t="shared" si="412"/>
        <v/>
      </c>
      <c r="I1260" s="150">
        <f t="shared" si="412"/>
        <v>0</v>
      </c>
      <c r="J1260" s="150">
        <f t="shared" si="412"/>
        <v>0</v>
      </c>
      <c r="K1260" s="196" t="str">
        <f t="shared" si="412"/>
        <v/>
      </c>
      <c r="L1260" s="197" t="str">
        <f t="shared" si="412"/>
        <v/>
      </c>
      <c r="M1260" s="191">
        <f t="shared" si="412"/>
        <v>0</v>
      </c>
      <c r="N1260" s="150">
        <f t="shared" si="412"/>
        <v>0</v>
      </c>
      <c r="O1260" s="193">
        <f t="shared" si="412"/>
        <v>0</v>
      </c>
      <c r="P1260" s="162">
        <f t="shared" si="408"/>
        <v>0</v>
      </c>
      <c r="Q1260" s="162">
        <f t="shared" si="408"/>
        <v>0</v>
      </c>
      <c r="R1260" s="162">
        <f t="shared" si="408"/>
        <v>0</v>
      </c>
      <c r="S1260" s="162">
        <f t="shared" si="408"/>
        <v>0</v>
      </c>
      <c r="T1260" s="162">
        <f t="shared" si="408"/>
        <v>0</v>
      </c>
      <c r="U1260" s="162">
        <f t="shared" si="408"/>
        <v>0</v>
      </c>
      <c r="V1260" s="162">
        <f t="shared" si="408"/>
        <v>0</v>
      </c>
      <c r="W1260" s="162">
        <f t="shared" si="408"/>
        <v>0</v>
      </c>
      <c r="X1260" s="162">
        <f t="shared" si="408"/>
        <v>0</v>
      </c>
      <c r="Y1260" s="162">
        <f t="shared" si="408"/>
        <v>0</v>
      </c>
      <c r="Z1260" s="162">
        <f t="shared" si="408"/>
        <v>0</v>
      </c>
      <c r="AA1260" s="162">
        <f t="shared" si="408"/>
        <v>0</v>
      </c>
      <c r="AB1260" s="163">
        <f t="shared" si="409"/>
        <v>0</v>
      </c>
      <c r="AC1260" s="198"/>
      <c r="AE1260" s="194" t="str">
        <f t="shared" si="413"/>
        <v/>
      </c>
      <c r="AF1260" s="161">
        <f t="shared" si="410"/>
        <v>0</v>
      </c>
      <c r="AG1260" s="162">
        <f t="shared" si="410"/>
        <v>0</v>
      </c>
      <c r="AH1260" s="162">
        <f t="shared" si="410"/>
        <v>0</v>
      </c>
      <c r="AI1260" s="162">
        <f t="shared" si="410"/>
        <v>0</v>
      </c>
      <c r="AJ1260" s="162">
        <f t="shared" si="410"/>
        <v>0</v>
      </c>
      <c r="AK1260" s="162">
        <f t="shared" si="410"/>
        <v>0</v>
      </c>
      <c r="AL1260" s="162">
        <f t="shared" si="410"/>
        <v>0</v>
      </c>
      <c r="AM1260" s="162">
        <f t="shared" si="410"/>
        <v>0</v>
      </c>
      <c r="AN1260" s="162">
        <f t="shared" si="410"/>
        <v>0</v>
      </c>
      <c r="AO1260" s="162">
        <f t="shared" si="410"/>
        <v>0</v>
      </c>
      <c r="AP1260" s="162">
        <f t="shared" si="410"/>
        <v>0</v>
      </c>
      <c r="AQ1260" s="162">
        <f t="shared" si="410"/>
        <v>0</v>
      </c>
      <c r="AR1260" s="163">
        <f t="shared" si="411"/>
        <v>0</v>
      </c>
      <c r="AT1260" s="208">
        <f>IFERROR(VLOOKUP(J1260,#REF!,10,0),0)</f>
        <v>0</v>
      </c>
    </row>
    <row r="1261" spans="1:46" hidden="1" outlineLevel="1" x14ac:dyDescent="0.25">
      <c r="A1261" s="14" t="str">
        <f t="shared" si="414"/>
        <v>PROP_OPER__15</v>
      </c>
      <c r="B1261" s="15" t="e">
        <f t="shared" si="406"/>
        <v>#REF!</v>
      </c>
      <c r="C1261" s="83"/>
      <c r="D1261" s="15">
        <v>1</v>
      </c>
      <c r="E1261" s="15">
        <v>15</v>
      </c>
      <c r="F1261" s="190" t="e">
        <f t="shared" si="412"/>
        <v>#REF!</v>
      </c>
      <c r="G1261" s="149" t="e">
        <f t="shared" si="412"/>
        <v>#REF!</v>
      </c>
      <c r="H1261" s="150" t="e">
        <f t="shared" si="412"/>
        <v>#REF!</v>
      </c>
      <c r="I1261" s="150" t="e">
        <f t="shared" si="412"/>
        <v>#REF!</v>
      </c>
      <c r="J1261" s="150" t="e">
        <f t="shared" si="412"/>
        <v>#REF!</v>
      </c>
      <c r="K1261" s="196" t="e">
        <f t="shared" si="412"/>
        <v>#REF!</v>
      </c>
      <c r="L1261" s="197" t="e">
        <f t="shared" si="412"/>
        <v>#REF!</v>
      </c>
      <c r="M1261" s="191" t="e">
        <f t="shared" si="412"/>
        <v>#REF!</v>
      </c>
      <c r="N1261" s="150" t="e">
        <f t="shared" si="412"/>
        <v>#REF!</v>
      </c>
      <c r="O1261" s="193" t="e">
        <f t="shared" si="412"/>
        <v>#REF!</v>
      </c>
      <c r="P1261" s="162">
        <f>IFERROR(SUMIF($B$483:$B$547,$C1261&amp;$I1261,P$483:P$547)/SUMIF($D$483:$D$547,$I1261,P$483:P$547)*#REF!,0)</f>
        <v>0</v>
      </c>
      <c r="Q1261" s="162">
        <f>IFERROR(SUMIF($B$483:$B$547,$C1261&amp;$I1261,Q$483:Q$547)/SUMIF($D$483:$D$547,$I1261,Q$483:Q$547)*#REF!,0)</f>
        <v>0</v>
      </c>
      <c r="R1261" s="162">
        <f>IFERROR(SUMIF($B$483:$B$547,$C1261&amp;$I1261,R$483:R$547)/SUMIF($D$483:$D$547,$I1261,R$483:R$547)*#REF!,0)</f>
        <v>0</v>
      </c>
      <c r="S1261" s="162">
        <f>IFERROR(SUMIF($B$483:$B$547,$C1261&amp;$I1261,S$483:S$547)/SUMIF($D$483:$D$547,$I1261,S$483:S$547)*#REF!,0)</f>
        <v>0</v>
      </c>
      <c r="T1261" s="162">
        <f>IFERROR(SUMIF($B$483:$B$547,$C1261&amp;$I1261,T$483:T$547)/SUMIF($D$483:$D$547,$I1261,T$483:T$547)*#REF!,0)</f>
        <v>0</v>
      </c>
      <c r="U1261" s="162">
        <f>IFERROR(SUMIF($B$483:$B$547,$C1261&amp;$I1261,U$483:U$547)/SUMIF($D$483:$D$547,$I1261,U$483:U$547)*#REF!,0)</f>
        <v>0</v>
      </c>
      <c r="V1261" s="162">
        <f>IFERROR(SUMIF($B$483:$B$547,$C1261&amp;$I1261,V$483:V$547)/SUMIF($D$483:$D$547,$I1261,V$483:V$547)*#REF!,0)</f>
        <v>0</v>
      </c>
      <c r="W1261" s="162">
        <f>IFERROR(SUMIF($B$483:$B$547,$C1261&amp;$I1261,W$483:W$547)/SUMIF($D$483:$D$547,$I1261,W$483:W$547)*#REF!,0)</f>
        <v>0</v>
      </c>
      <c r="X1261" s="162">
        <f>IFERROR(SUMIF($B$483:$B$547,$C1261&amp;$I1261,X$483:X$547)/SUMIF($D$483:$D$547,$I1261,X$483:X$547)*#REF!,0)</f>
        <v>0</v>
      </c>
      <c r="Y1261" s="162">
        <f>IFERROR(SUMIF($B$483:$B$547,$C1261&amp;$I1261,Y$483:Y$547)/SUMIF($D$483:$D$547,$I1261,Y$483:Y$547)*#REF!,0)</f>
        <v>0</v>
      </c>
      <c r="Z1261" s="162">
        <f>IFERROR(SUMIF($B$483:$B$547,$C1261&amp;$I1261,Z$483:Z$547)/SUMIF($D$483:$D$547,$I1261,Z$483:Z$547)*#REF!,0)</f>
        <v>0</v>
      </c>
      <c r="AA1261" s="162">
        <f>IFERROR(SUMIF($B$483:$B$547,$C1261&amp;$I1261,AA$483:AA$547)/SUMIF($D$483:$D$547,$I1261,AA$483:AA$547)*#REF!,0)</f>
        <v>0</v>
      </c>
      <c r="AB1261" s="163">
        <f t="shared" si="409"/>
        <v>0</v>
      </c>
      <c r="AC1261" s="198"/>
      <c r="AE1261" s="194" t="e">
        <f t="shared" si="413"/>
        <v>#REF!</v>
      </c>
      <c r="AF1261" s="161">
        <f>IFERROR(SUMIF($B$483:$B$547,$C1261&amp;$I1261,P$483:P$547)/SUMIF($D$483:$D$547,$I1261,P$483:P$547)*#REF!,0)</f>
        <v>0</v>
      </c>
      <c r="AG1261" s="162">
        <f>IFERROR(SUMIF($B$483:$B$547,$C1261&amp;$I1261,Q$483:Q$547)/SUMIF($D$483:$D$547,$I1261,Q$483:Q$547)*#REF!,0)</f>
        <v>0</v>
      </c>
      <c r="AH1261" s="162">
        <f>IFERROR(SUMIF($B$483:$B$547,$C1261&amp;$I1261,R$483:R$547)/SUMIF($D$483:$D$547,$I1261,R$483:R$547)*#REF!,0)</f>
        <v>0</v>
      </c>
      <c r="AI1261" s="162">
        <f>IFERROR(SUMIF($B$483:$B$547,$C1261&amp;$I1261,S$483:S$547)/SUMIF($D$483:$D$547,$I1261,S$483:S$547)*#REF!,0)</f>
        <v>0</v>
      </c>
      <c r="AJ1261" s="162">
        <f>IFERROR(SUMIF($B$483:$B$547,$C1261&amp;$I1261,T$483:T$547)/SUMIF($D$483:$D$547,$I1261,T$483:T$547)*#REF!,0)</f>
        <v>0</v>
      </c>
      <c r="AK1261" s="162">
        <f>IFERROR(SUMIF($B$483:$B$547,$C1261&amp;$I1261,U$483:U$547)/SUMIF($D$483:$D$547,$I1261,U$483:U$547)*#REF!,0)</f>
        <v>0</v>
      </c>
      <c r="AL1261" s="162">
        <f>IFERROR(SUMIF($B$483:$B$547,$C1261&amp;$I1261,V$483:V$547)/SUMIF($D$483:$D$547,$I1261,V$483:V$547)*#REF!,0)</f>
        <v>0</v>
      </c>
      <c r="AM1261" s="162">
        <f>IFERROR(SUMIF($B$483:$B$547,$C1261&amp;$I1261,W$483:W$547)/SUMIF($D$483:$D$547,$I1261,W$483:W$547)*#REF!,0)</f>
        <v>0</v>
      </c>
      <c r="AN1261" s="162">
        <f>IFERROR(SUMIF($B$483:$B$547,$C1261&amp;$I1261,X$483:X$547)/SUMIF($D$483:$D$547,$I1261,X$483:X$547)*#REF!,0)</f>
        <v>0</v>
      </c>
      <c r="AO1261" s="162">
        <f>IFERROR(SUMIF($B$483:$B$547,$C1261&amp;$I1261,Y$483:Y$547)/SUMIF($D$483:$D$547,$I1261,Y$483:Y$547)*#REF!,0)</f>
        <v>0</v>
      </c>
      <c r="AP1261" s="162">
        <f>IFERROR(SUMIF($B$483:$B$547,$C1261&amp;$I1261,Z$483:Z$547)/SUMIF($D$483:$D$547,$I1261,Z$483:Z$547)*#REF!,0)</f>
        <v>0</v>
      </c>
      <c r="AQ1261" s="162">
        <f>IFERROR(SUMIF($B$483:$B$547,$C1261&amp;$I1261,AA$483:AA$547)/SUMIF($D$483:$D$547,$I1261,AA$483:AA$547)*#REF!,0)</f>
        <v>0</v>
      </c>
      <c r="AR1261" s="163">
        <f t="shared" si="411"/>
        <v>0</v>
      </c>
      <c r="AT1261" s="208">
        <f>IFERROR(VLOOKUP(J1261,#REF!,10,0),0)</f>
        <v>0</v>
      </c>
    </row>
    <row r="1262" spans="1:46" hidden="1" outlineLevel="1" x14ac:dyDescent="0.25">
      <c r="A1262" s="14" t="str">
        <f t="shared" si="414"/>
        <v>PROP_OPER__16</v>
      </c>
      <c r="B1262" s="15" t="e">
        <f t="shared" si="406"/>
        <v>#REF!</v>
      </c>
      <c r="C1262" s="83"/>
      <c r="D1262" s="15">
        <v>1</v>
      </c>
      <c r="E1262" s="15">
        <v>16</v>
      </c>
      <c r="F1262" s="190" t="e">
        <f t="shared" si="412"/>
        <v>#REF!</v>
      </c>
      <c r="G1262" s="149" t="e">
        <f t="shared" si="412"/>
        <v>#REF!</v>
      </c>
      <c r="H1262" s="150" t="e">
        <f t="shared" si="412"/>
        <v>#REF!</v>
      </c>
      <c r="I1262" s="150" t="e">
        <f t="shared" si="412"/>
        <v>#REF!</v>
      </c>
      <c r="J1262" s="150" t="e">
        <f t="shared" si="412"/>
        <v>#REF!</v>
      </c>
      <c r="K1262" s="196" t="e">
        <f t="shared" si="412"/>
        <v>#REF!</v>
      </c>
      <c r="L1262" s="197" t="e">
        <f t="shared" si="412"/>
        <v>#REF!</v>
      </c>
      <c r="M1262" s="191" t="e">
        <f t="shared" si="412"/>
        <v>#REF!</v>
      </c>
      <c r="N1262" s="150" t="e">
        <f t="shared" si="412"/>
        <v>#REF!</v>
      </c>
      <c r="O1262" s="193" t="e">
        <f t="shared" si="412"/>
        <v>#REF!</v>
      </c>
      <c r="P1262" s="162">
        <f>IFERROR(SUMIF($B$483:$B$547,$C1262&amp;$I1262,P$483:P$547)/SUMIF($D$483:$D$547,$I1262,P$483:P$547)*#REF!,0)</f>
        <v>0</v>
      </c>
      <c r="Q1262" s="162">
        <f>IFERROR(SUMIF($B$483:$B$547,$C1262&amp;$I1262,Q$483:Q$547)/SUMIF($D$483:$D$547,$I1262,Q$483:Q$547)*#REF!,0)</f>
        <v>0</v>
      </c>
      <c r="R1262" s="162">
        <f>IFERROR(SUMIF($B$483:$B$547,$C1262&amp;$I1262,R$483:R$547)/SUMIF($D$483:$D$547,$I1262,R$483:R$547)*#REF!,0)</f>
        <v>0</v>
      </c>
      <c r="S1262" s="162">
        <f>IFERROR(SUMIF($B$483:$B$547,$C1262&amp;$I1262,S$483:S$547)/SUMIF($D$483:$D$547,$I1262,S$483:S$547)*#REF!,0)</f>
        <v>0</v>
      </c>
      <c r="T1262" s="162">
        <f>IFERROR(SUMIF($B$483:$B$547,$C1262&amp;$I1262,T$483:T$547)/SUMIF($D$483:$D$547,$I1262,T$483:T$547)*#REF!,0)</f>
        <v>0</v>
      </c>
      <c r="U1262" s="162">
        <f>IFERROR(SUMIF($B$483:$B$547,$C1262&amp;$I1262,U$483:U$547)/SUMIF($D$483:$D$547,$I1262,U$483:U$547)*#REF!,0)</f>
        <v>0</v>
      </c>
      <c r="V1262" s="162">
        <f>IFERROR(SUMIF($B$483:$B$547,$C1262&amp;$I1262,V$483:V$547)/SUMIF($D$483:$D$547,$I1262,V$483:V$547)*#REF!,0)</f>
        <v>0</v>
      </c>
      <c r="W1262" s="162">
        <f>IFERROR(SUMIF($B$483:$B$547,$C1262&amp;$I1262,W$483:W$547)/SUMIF($D$483:$D$547,$I1262,W$483:W$547)*#REF!,0)</f>
        <v>0</v>
      </c>
      <c r="X1262" s="162">
        <f>IFERROR(SUMIF($B$483:$B$547,$C1262&amp;$I1262,X$483:X$547)/SUMIF($D$483:$D$547,$I1262,X$483:X$547)*#REF!,0)</f>
        <v>0</v>
      </c>
      <c r="Y1262" s="162">
        <f>IFERROR(SUMIF($B$483:$B$547,$C1262&amp;$I1262,Y$483:Y$547)/SUMIF($D$483:$D$547,$I1262,Y$483:Y$547)*#REF!,0)</f>
        <v>0</v>
      </c>
      <c r="Z1262" s="162">
        <f>IFERROR(SUMIF($B$483:$B$547,$C1262&amp;$I1262,Z$483:Z$547)/SUMIF($D$483:$D$547,$I1262,Z$483:Z$547)*#REF!,0)</f>
        <v>0</v>
      </c>
      <c r="AA1262" s="162">
        <f>IFERROR(SUMIF($B$483:$B$547,$C1262&amp;$I1262,AA$483:AA$547)/SUMIF($D$483:$D$547,$I1262,AA$483:AA$547)*#REF!,0)</f>
        <v>0</v>
      </c>
      <c r="AB1262" s="163">
        <f t="shared" si="409"/>
        <v>0</v>
      </c>
      <c r="AC1262" s="198"/>
      <c r="AE1262" s="194" t="e">
        <f t="shared" si="413"/>
        <v>#REF!</v>
      </c>
      <c r="AF1262" s="161">
        <f>IFERROR(SUMIF($B$483:$B$547,$C1262&amp;$I1262,P$483:P$547)/SUMIF($D$483:$D$547,$I1262,P$483:P$547)*#REF!,0)</f>
        <v>0</v>
      </c>
      <c r="AG1262" s="162">
        <f>IFERROR(SUMIF($B$483:$B$547,$C1262&amp;$I1262,Q$483:Q$547)/SUMIF($D$483:$D$547,$I1262,Q$483:Q$547)*#REF!,0)</f>
        <v>0</v>
      </c>
      <c r="AH1262" s="162">
        <f>IFERROR(SUMIF($B$483:$B$547,$C1262&amp;$I1262,R$483:R$547)/SUMIF($D$483:$D$547,$I1262,R$483:R$547)*#REF!,0)</f>
        <v>0</v>
      </c>
      <c r="AI1262" s="162">
        <f>IFERROR(SUMIF($B$483:$B$547,$C1262&amp;$I1262,S$483:S$547)/SUMIF($D$483:$D$547,$I1262,S$483:S$547)*#REF!,0)</f>
        <v>0</v>
      </c>
      <c r="AJ1262" s="162">
        <f>IFERROR(SUMIF($B$483:$B$547,$C1262&amp;$I1262,T$483:T$547)/SUMIF($D$483:$D$547,$I1262,T$483:T$547)*#REF!,0)</f>
        <v>0</v>
      </c>
      <c r="AK1262" s="162">
        <f>IFERROR(SUMIF($B$483:$B$547,$C1262&amp;$I1262,U$483:U$547)/SUMIF($D$483:$D$547,$I1262,U$483:U$547)*#REF!,0)</f>
        <v>0</v>
      </c>
      <c r="AL1262" s="162">
        <f>IFERROR(SUMIF($B$483:$B$547,$C1262&amp;$I1262,V$483:V$547)/SUMIF($D$483:$D$547,$I1262,V$483:V$547)*#REF!,0)</f>
        <v>0</v>
      </c>
      <c r="AM1262" s="162">
        <f>IFERROR(SUMIF($B$483:$B$547,$C1262&amp;$I1262,W$483:W$547)/SUMIF($D$483:$D$547,$I1262,W$483:W$547)*#REF!,0)</f>
        <v>0</v>
      </c>
      <c r="AN1262" s="162">
        <f>IFERROR(SUMIF($B$483:$B$547,$C1262&amp;$I1262,X$483:X$547)/SUMIF($D$483:$D$547,$I1262,X$483:X$547)*#REF!,0)</f>
        <v>0</v>
      </c>
      <c r="AO1262" s="162">
        <f>IFERROR(SUMIF($B$483:$B$547,$C1262&amp;$I1262,Y$483:Y$547)/SUMIF($D$483:$D$547,$I1262,Y$483:Y$547)*#REF!,0)</f>
        <v>0</v>
      </c>
      <c r="AP1262" s="162">
        <f>IFERROR(SUMIF($B$483:$B$547,$C1262&amp;$I1262,Z$483:Z$547)/SUMIF($D$483:$D$547,$I1262,Z$483:Z$547)*#REF!,0)</f>
        <v>0</v>
      </c>
      <c r="AQ1262" s="162">
        <f>IFERROR(SUMIF($B$483:$B$547,$C1262&amp;$I1262,AA$483:AA$547)/SUMIF($D$483:$D$547,$I1262,AA$483:AA$547)*#REF!,0)</f>
        <v>0</v>
      </c>
      <c r="AR1262" s="163">
        <f t="shared" si="411"/>
        <v>0</v>
      </c>
      <c r="AT1262" s="208">
        <f>IFERROR(VLOOKUP(J1262,#REF!,10,0),0)</f>
        <v>0</v>
      </c>
    </row>
    <row r="1263" spans="1:46" hidden="1" outlineLevel="1" x14ac:dyDescent="0.25">
      <c r="A1263" s="14" t="str">
        <f t="shared" si="414"/>
        <v>PROP_OPER__17</v>
      </c>
      <c r="B1263" s="15" t="e">
        <f t="shared" si="406"/>
        <v>#REF!</v>
      </c>
      <c r="C1263" s="83"/>
      <c r="D1263" s="15">
        <v>1</v>
      </c>
      <c r="E1263" s="15">
        <v>17</v>
      </c>
      <c r="F1263" s="190" t="e">
        <f t="shared" si="412"/>
        <v>#REF!</v>
      </c>
      <c r="G1263" s="149" t="e">
        <f t="shared" si="412"/>
        <v>#REF!</v>
      </c>
      <c r="H1263" s="150" t="e">
        <f t="shared" si="412"/>
        <v>#REF!</v>
      </c>
      <c r="I1263" s="150" t="e">
        <f t="shared" si="412"/>
        <v>#REF!</v>
      </c>
      <c r="J1263" s="150" t="e">
        <f t="shared" si="412"/>
        <v>#REF!</v>
      </c>
      <c r="K1263" s="196" t="e">
        <f t="shared" si="412"/>
        <v>#REF!</v>
      </c>
      <c r="L1263" s="197" t="e">
        <f t="shared" si="412"/>
        <v>#REF!</v>
      </c>
      <c r="M1263" s="191" t="e">
        <f t="shared" si="412"/>
        <v>#REF!</v>
      </c>
      <c r="N1263" s="150" t="e">
        <f t="shared" si="412"/>
        <v>#REF!</v>
      </c>
      <c r="O1263" s="193" t="e">
        <f t="shared" si="412"/>
        <v>#REF!</v>
      </c>
      <c r="P1263" s="162">
        <f>IFERROR(SUMIF($B$483:$B$547,$C1263&amp;$I1263,P$483:P$547)/SUMIF($D$483:$D$547,$I1263,P$483:P$547)*#REF!,0)</f>
        <v>0</v>
      </c>
      <c r="Q1263" s="162">
        <f>IFERROR(SUMIF($B$483:$B$547,$C1263&amp;$I1263,Q$483:Q$547)/SUMIF($D$483:$D$547,$I1263,Q$483:Q$547)*#REF!,0)</f>
        <v>0</v>
      </c>
      <c r="R1263" s="162">
        <f>IFERROR(SUMIF($B$483:$B$547,$C1263&amp;$I1263,R$483:R$547)/SUMIF($D$483:$D$547,$I1263,R$483:R$547)*#REF!,0)</f>
        <v>0</v>
      </c>
      <c r="S1263" s="162">
        <f>IFERROR(SUMIF($B$483:$B$547,$C1263&amp;$I1263,S$483:S$547)/SUMIF($D$483:$D$547,$I1263,S$483:S$547)*#REF!,0)</f>
        <v>0</v>
      </c>
      <c r="T1263" s="162">
        <f>IFERROR(SUMIF($B$483:$B$547,$C1263&amp;$I1263,T$483:T$547)/SUMIF($D$483:$D$547,$I1263,T$483:T$547)*#REF!,0)</f>
        <v>0</v>
      </c>
      <c r="U1263" s="162">
        <f>IFERROR(SUMIF($B$483:$B$547,$C1263&amp;$I1263,U$483:U$547)/SUMIF($D$483:$D$547,$I1263,U$483:U$547)*#REF!,0)</f>
        <v>0</v>
      </c>
      <c r="V1263" s="162">
        <f>IFERROR(SUMIF($B$483:$B$547,$C1263&amp;$I1263,V$483:V$547)/SUMIF($D$483:$D$547,$I1263,V$483:V$547)*#REF!,0)</f>
        <v>0</v>
      </c>
      <c r="W1263" s="162">
        <f>IFERROR(SUMIF($B$483:$B$547,$C1263&amp;$I1263,W$483:W$547)/SUMIF($D$483:$D$547,$I1263,W$483:W$547)*#REF!,0)</f>
        <v>0</v>
      </c>
      <c r="X1263" s="162">
        <f>IFERROR(SUMIF($B$483:$B$547,$C1263&amp;$I1263,X$483:X$547)/SUMIF($D$483:$D$547,$I1263,X$483:X$547)*#REF!,0)</f>
        <v>0</v>
      </c>
      <c r="Y1263" s="162">
        <f>IFERROR(SUMIF($B$483:$B$547,$C1263&amp;$I1263,Y$483:Y$547)/SUMIF($D$483:$D$547,$I1263,Y$483:Y$547)*#REF!,0)</f>
        <v>0</v>
      </c>
      <c r="Z1263" s="162">
        <f>IFERROR(SUMIF($B$483:$B$547,$C1263&amp;$I1263,Z$483:Z$547)/SUMIF($D$483:$D$547,$I1263,Z$483:Z$547)*#REF!,0)</f>
        <v>0</v>
      </c>
      <c r="AA1263" s="162">
        <f>IFERROR(SUMIF($B$483:$B$547,$C1263&amp;$I1263,AA$483:AA$547)/SUMIF($D$483:$D$547,$I1263,AA$483:AA$547)*#REF!,0)</f>
        <v>0</v>
      </c>
      <c r="AB1263" s="163">
        <f t="shared" si="409"/>
        <v>0</v>
      </c>
      <c r="AC1263" s="198"/>
      <c r="AE1263" s="194" t="e">
        <f t="shared" si="413"/>
        <v>#REF!</v>
      </c>
      <c r="AF1263" s="161">
        <f>IFERROR(SUMIF($B$483:$B$547,$C1263&amp;$I1263,P$483:P$547)/SUMIF($D$483:$D$547,$I1263,P$483:P$547)*#REF!,0)</f>
        <v>0</v>
      </c>
      <c r="AG1263" s="162">
        <f>IFERROR(SUMIF($B$483:$B$547,$C1263&amp;$I1263,Q$483:Q$547)/SUMIF($D$483:$D$547,$I1263,Q$483:Q$547)*#REF!,0)</f>
        <v>0</v>
      </c>
      <c r="AH1263" s="162">
        <f>IFERROR(SUMIF($B$483:$B$547,$C1263&amp;$I1263,R$483:R$547)/SUMIF($D$483:$D$547,$I1263,R$483:R$547)*#REF!,0)</f>
        <v>0</v>
      </c>
      <c r="AI1263" s="162">
        <f>IFERROR(SUMIF($B$483:$B$547,$C1263&amp;$I1263,S$483:S$547)/SUMIF($D$483:$D$547,$I1263,S$483:S$547)*#REF!,0)</f>
        <v>0</v>
      </c>
      <c r="AJ1263" s="162">
        <f>IFERROR(SUMIF($B$483:$B$547,$C1263&amp;$I1263,T$483:T$547)/SUMIF($D$483:$D$547,$I1263,T$483:T$547)*#REF!,0)</f>
        <v>0</v>
      </c>
      <c r="AK1263" s="162">
        <f>IFERROR(SUMIF($B$483:$B$547,$C1263&amp;$I1263,U$483:U$547)/SUMIF($D$483:$D$547,$I1263,U$483:U$547)*#REF!,0)</f>
        <v>0</v>
      </c>
      <c r="AL1263" s="162">
        <f>IFERROR(SUMIF($B$483:$B$547,$C1263&amp;$I1263,V$483:V$547)/SUMIF($D$483:$D$547,$I1263,V$483:V$547)*#REF!,0)</f>
        <v>0</v>
      </c>
      <c r="AM1263" s="162">
        <f>IFERROR(SUMIF($B$483:$B$547,$C1263&amp;$I1263,W$483:W$547)/SUMIF($D$483:$D$547,$I1263,W$483:W$547)*#REF!,0)</f>
        <v>0</v>
      </c>
      <c r="AN1263" s="162">
        <f>IFERROR(SUMIF($B$483:$B$547,$C1263&amp;$I1263,X$483:X$547)/SUMIF($D$483:$D$547,$I1263,X$483:X$547)*#REF!,0)</f>
        <v>0</v>
      </c>
      <c r="AO1263" s="162">
        <f>IFERROR(SUMIF($B$483:$B$547,$C1263&amp;$I1263,Y$483:Y$547)/SUMIF($D$483:$D$547,$I1263,Y$483:Y$547)*#REF!,0)</f>
        <v>0</v>
      </c>
      <c r="AP1263" s="162">
        <f>IFERROR(SUMIF($B$483:$B$547,$C1263&amp;$I1263,Z$483:Z$547)/SUMIF($D$483:$D$547,$I1263,Z$483:Z$547)*#REF!,0)</f>
        <v>0</v>
      </c>
      <c r="AQ1263" s="162">
        <f>IFERROR(SUMIF($B$483:$B$547,$C1263&amp;$I1263,AA$483:AA$547)/SUMIF($D$483:$D$547,$I1263,AA$483:AA$547)*#REF!,0)</f>
        <v>0</v>
      </c>
      <c r="AR1263" s="163">
        <f t="shared" si="411"/>
        <v>0</v>
      </c>
      <c r="AT1263" s="208">
        <f>IFERROR(VLOOKUP(J1263,#REF!,10,0),0)</f>
        <v>0</v>
      </c>
    </row>
    <row r="1264" spans="1:46" hidden="1" outlineLevel="1" x14ac:dyDescent="0.25">
      <c r="A1264" s="14" t="str">
        <f t="shared" si="414"/>
        <v>PROP_OPER__18</v>
      </c>
      <c r="B1264" s="15" t="e">
        <f t="shared" si="406"/>
        <v>#REF!</v>
      </c>
      <c r="C1264" s="83"/>
      <c r="D1264" s="15">
        <v>1</v>
      </c>
      <c r="E1264" s="15">
        <v>18</v>
      </c>
      <c r="F1264" s="190" t="e">
        <f t="shared" ref="F1264:O1279" si="415">F1218</f>
        <v>#REF!</v>
      </c>
      <c r="G1264" s="149" t="e">
        <f t="shared" si="415"/>
        <v>#REF!</v>
      </c>
      <c r="H1264" s="150" t="e">
        <f t="shared" si="415"/>
        <v>#REF!</v>
      </c>
      <c r="I1264" s="150" t="e">
        <f t="shared" si="415"/>
        <v>#REF!</v>
      </c>
      <c r="J1264" s="150" t="e">
        <f t="shared" si="415"/>
        <v>#REF!</v>
      </c>
      <c r="K1264" s="196" t="e">
        <f t="shared" si="415"/>
        <v>#REF!</v>
      </c>
      <c r="L1264" s="197" t="e">
        <f t="shared" si="415"/>
        <v>#REF!</v>
      </c>
      <c r="M1264" s="191" t="e">
        <f t="shared" si="415"/>
        <v>#REF!</v>
      </c>
      <c r="N1264" s="150" t="e">
        <f t="shared" si="415"/>
        <v>#REF!</v>
      </c>
      <c r="O1264" s="193" t="e">
        <f t="shared" si="415"/>
        <v>#REF!</v>
      </c>
      <c r="P1264" s="162">
        <f>IFERROR(SUMIF($B$483:$B$547,$C1264&amp;$I1264,P$483:P$547)/SUMIF($D$483:$D$547,$I1264,P$483:P$547)*#REF!,0)</f>
        <v>0</v>
      </c>
      <c r="Q1264" s="162">
        <f>IFERROR(SUMIF($B$483:$B$547,$C1264&amp;$I1264,Q$483:Q$547)/SUMIF($D$483:$D$547,$I1264,Q$483:Q$547)*#REF!,0)</f>
        <v>0</v>
      </c>
      <c r="R1264" s="162">
        <f>IFERROR(SUMIF($B$483:$B$547,$C1264&amp;$I1264,R$483:R$547)/SUMIF($D$483:$D$547,$I1264,R$483:R$547)*#REF!,0)</f>
        <v>0</v>
      </c>
      <c r="S1264" s="162">
        <f>IFERROR(SUMIF($B$483:$B$547,$C1264&amp;$I1264,S$483:S$547)/SUMIF($D$483:$D$547,$I1264,S$483:S$547)*#REF!,0)</f>
        <v>0</v>
      </c>
      <c r="T1264" s="162">
        <f>IFERROR(SUMIF($B$483:$B$547,$C1264&amp;$I1264,T$483:T$547)/SUMIF($D$483:$D$547,$I1264,T$483:T$547)*#REF!,0)</f>
        <v>0</v>
      </c>
      <c r="U1264" s="162">
        <f>IFERROR(SUMIF($B$483:$B$547,$C1264&amp;$I1264,U$483:U$547)/SUMIF($D$483:$D$547,$I1264,U$483:U$547)*#REF!,0)</f>
        <v>0</v>
      </c>
      <c r="V1264" s="162">
        <f>IFERROR(SUMIF($B$483:$B$547,$C1264&amp;$I1264,V$483:V$547)/SUMIF($D$483:$D$547,$I1264,V$483:V$547)*#REF!,0)</f>
        <v>0</v>
      </c>
      <c r="W1264" s="162">
        <f>IFERROR(SUMIF($B$483:$B$547,$C1264&amp;$I1264,W$483:W$547)/SUMIF($D$483:$D$547,$I1264,W$483:W$547)*#REF!,0)</f>
        <v>0</v>
      </c>
      <c r="X1264" s="162">
        <f>IFERROR(SUMIF($B$483:$B$547,$C1264&amp;$I1264,X$483:X$547)/SUMIF($D$483:$D$547,$I1264,X$483:X$547)*#REF!,0)</f>
        <v>0</v>
      </c>
      <c r="Y1264" s="162">
        <f>IFERROR(SUMIF($B$483:$B$547,$C1264&amp;$I1264,Y$483:Y$547)/SUMIF($D$483:$D$547,$I1264,Y$483:Y$547)*#REF!,0)</f>
        <v>0</v>
      </c>
      <c r="Z1264" s="162">
        <f>IFERROR(SUMIF($B$483:$B$547,$C1264&amp;$I1264,Z$483:Z$547)/SUMIF($D$483:$D$547,$I1264,Z$483:Z$547)*#REF!,0)</f>
        <v>0</v>
      </c>
      <c r="AA1264" s="162">
        <f>IFERROR(SUMIF($B$483:$B$547,$C1264&amp;$I1264,AA$483:AA$547)/SUMIF($D$483:$D$547,$I1264,AA$483:AA$547)*#REF!,0)</f>
        <v>0</v>
      </c>
      <c r="AB1264" s="163">
        <f t="shared" si="409"/>
        <v>0</v>
      </c>
      <c r="AC1264" s="198"/>
      <c r="AE1264" s="194" t="e">
        <f t="shared" si="413"/>
        <v>#REF!</v>
      </c>
      <c r="AF1264" s="161">
        <f>IFERROR(SUMIF($B$483:$B$547,$C1264&amp;$I1264,P$483:P$547)/SUMIF($D$483:$D$547,$I1264,P$483:P$547)*#REF!,0)</f>
        <v>0</v>
      </c>
      <c r="AG1264" s="162">
        <f>IFERROR(SUMIF($B$483:$B$547,$C1264&amp;$I1264,Q$483:Q$547)/SUMIF($D$483:$D$547,$I1264,Q$483:Q$547)*#REF!,0)</f>
        <v>0</v>
      </c>
      <c r="AH1264" s="162">
        <f>IFERROR(SUMIF($B$483:$B$547,$C1264&amp;$I1264,R$483:R$547)/SUMIF($D$483:$D$547,$I1264,R$483:R$547)*#REF!,0)</f>
        <v>0</v>
      </c>
      <c r="AI1264" s="162">
        <f>IFERROR(SUMIF($B$483:$B$547,$C1264&amp;$I1264,S$483:S$547)/SUMIF($D$483:$D$547,$I1264,S$483:S$547)*#REF!,0)</f>
        <v>0</v>
      </c>
      <c r="AJ1264" s="162">
        <f>IFERROR(SUMIF($B$483:$B$547,$C1264&amp;$I1264,T$483:T$547)/SUMIF($D$483:$D$547,$I1264,T$483:T$547)*#REF!,0)</f>
        <v>0</v>
      </c>
      <c r="AK1264" s="162">
        <f>IFERROR(SUMIF($B$483:$B$547,$C1264&amp;$I1264,U$483:U$547)/SUMIF($D$483:$D$547,$I1264,U$483:U$547)*#REF!,0)</f>
        <v>0</v>
      </c>
      <c r="AL1264" s="162">
        <f>IFERROR(SUMIF($B$483:$B$547,$C1264&amp;$I1264,V$483:V$547)/SUMIF($D$483:$D$547,$I1264,V$483:V$547)*#REF!,0)</f>
        <v>0</v>
      </c>
      <c r="AM1264" s="162">
        <f>IFERROR(SUMIF($B$483:$B$547,$C1264&amp;$I1264,W$483:W$547)/SUMIF($D$483:$D$547,$I1264,W$483:W$547)*#REF!,0)</f>
        <v>0</v>
      </c>
      <c r="AN1264" s="162">
        <f>IFERROR(SUMIF($B$483:$B$547,$C1264&amp;$I1264,X$483:X$547)/SUMIF($D$483:$D$547,$I1264,X$483:X$547)*#REF!,0)</f>
        <v>0</v>
      </c>
      <c r="AO1264" s="162">
        <f>IFERROR(SUMIF($B$483:$B$547,$C1264&amp;$I1264,Y$483:Y$547)/SUMIF($D$483:$D$547,$I1264,Y$483:Y$547)*#REF!,0)</f>
        <v>0</v>
      </c>
      <c r="AP1264" s="162">
        <f>IFERROR(SUMIF($B$483:$B$547,$C1264&amp;$I1264,Z$483:Z$547)/SUMIF($D$483:$D$547,$I1264,Z$483:Z$547)*#REF!,0)</f>
        <v>0</v>
      </c>
      <c r="AQ1264" s="162">
        <f>IFERROR(SUMIF($B$483:$B$547,$C1264&amp;$I1264,AA$483:AA$547)/SUMIF($D$483:$D$547,$I1264,AA$483:AA$547)*#REF!,0)</f>
        <v>0</v>
      </c>
      <c r="AR1264" s="163">
        <f t="shared" si="411"/>
        <v>0</v>
      </c>
      <c r="AT1264" s="208">
        <f>IFERROR(VLOOKUP(J1264,#REF!,10,0),0)</f>
        <v>0</v>
      </c>
    </row>
    <row r="1265" spans="1:46" hidden="1" outlineLevel="1" x14ac:dyDescent="0.25">
      <c r="A1265" s="14" t="str">
        <f t="shared" si="414"/>
        <v>PROP_OPER__19</v>
      </c>
      <c r="B1265" s="15" t="str">
        <f t="shared" si="406"/>
        <v>PROP_OPER__0_0</v>
      </c>
      <c r="C1265" s="83"/>
      <c r="D1265" s="15">
        <v>1</v>
      </c>
      <c r="E1265" s="15">
        <v>19</v>
      </c>
      <c r="F1265" s="190">
        <f t="shared" si="415"/>
        <v>0</v>
      </c>
      <c r="G1265" s="149" t="str">
        <f t="shared" si="415"/>
        <v/>
      </c>
      <c r="H1265" s="150" t="str">
        <f t="shared" si="415"/>
        <v/>
      </c>
      <c r="I1265" s="150">
        <f t="shared" si="415"/>
        <v>0</v>
      </c>
      <c r="J1265" s="150">
        <f t="shared" si="415"/>
        <v>0</v>
      </c>
      <c r="K1265" s="196" t="str">
        <f t="shared" si="415"/>
        <v/>
      </c>
      <c r="L1265" s="197" t="str">
        <f t="shared" si="415"/>
        <v/>
      </c>
      <c r="M1265" s="191">
        <f t="shared" si="415"/>
        <v>0</v>
      </c>
      <c r="N1265" s="150">
        <f t="shared" si="415"/>
        <v>0</v>
      </c>
      <c r="O1265" s="193">
        <f t="shared" si="415"/>
        <v>0</v>
      </c>
      <c r="P1265" s="162">
        <f t="shared" ref="P1265:AA1280" si="416">IFERROR(SUMIF($B$483:$B$547,$C1265&amp;$I1265,P$483:P$547)/SUMIF($D$483:$D$547,$I1265,P$483:P$547)*P612,0)</f>
        <v>0</v>
      </c>
      <c r="Q1265" s="162">
        <f t="shared" si="416"/>
        <v>0</v>
      </c>
      <c r="R1265" s="162">
        <f t="shared" si="416"/>
        <v>0</v>
      </c>
      <c r="S1265" s="162">
        <f t="shared" si="416"/>
        <v>0</v>
      </c>
      <c r="T1265" s="162">
        <f t="shared" si="416"/>
        <v>0</v>
      </c>
      <c r="U1265" s="162">
        <f t="shared" si="416"/>
        <v>0</v>
      </c>
      <c r="V1265" s="162">
        <f t="shared" si="416"/>
        <v>0</v>
      </c>
      <c r="W1265" s="162">
        <f t="shared" si="416"/>
        <v>0</v>
      </c>
      <c r="X1265" s="162">
        <f t="shared" si="416"/>
        <v>0</v>
      </c>
      <c r="Y1265" s="162">
        <f t="shared" si="416"/>
        <v>0</v>
      </c>
      <c r="Z1265" s="162">
        <f t="shared" si="416"/>
        <v>0</v>
      </c>
      <c r="AA1265" s="162">
        <f t="shared" si="416"/>
        <v>0</v>
      </c>
      <c r="AB1265" s="163">
        <f t="shared" si="409"/>
        <v>0</v>
      </c>
      <c r="AC1265" s="198"/>
      <c r="AE1265" s="194" t="str">
        <f t="shared" si="413"/>
        <v/>
      </c>
      <c r="AF1265" s="161">
        <f t="shared" ref="AF1265:AQ1280" si="417">IFERROR(SUMIF($B$483:$B$547,$C1265&amp;$I1265,P$483:P$547)/SUMIF($D$483:$D$547,$I1265,P$483:P$547)*AF612,0)</f>
        <v>0</v>
      </c>
      <c r="AG1265" s="162">
        <f t="shared" si="417"/>
        <v>0</v>
      </c>
      <c r="AH1265" s="162">
        <f t="shared" si="417"/>
        <v>0</v>
      </c>
      <c r="AI1265" s="162">
        <f t="shared" si="417"/>
        <v>0</v>
      </c>
      <c r="AJ1265" s="162">
        <f t="shared" si="417"/>
        <v>0</v>
      </c>
      <c r="AK1265" s="162">
        <f t="shared" si="417"/>
        <v>0</v>
      </c>
      <c r="AL1265" s="162">
        <f t="shared" si="417"/>
        <v>0</v>
      </c>
      <c r="AM1265" s="162">
        <f t="shared" si="417"/>
        <v>0</v>
      </c>
      <c r="AN1265" s="162">
        <f t="shared" si="417"/>
        <v>0</v>
      </c>
      <c r="AO1265" s="162">
        <f t="shared" si="417"/>
        <v>0</v>
      </c>
      <c r="AP1265" s="162">
        <f t="shared" si="417"/>
        <v>0</v>
      </c>
      <c r="AQ1265" s="162">
        <f t="shared" si="417"/>
        <v>0</v>
      </c>
      <c r="AR1265" s="163">
        <f t="shared" si="411"/>
        <v>0</v>
      </c>
      <c r="AT1265" s="208">
        <f>IFERROR(VLOOKUP(J1265,#REF!,10,0),0)</f>
        <v>0</v>
      </c>
    </row>
    <row r="1266" spans="1:46" hidden="1" outlineLevel="1" x14ac:dyDescent="0.25">
      <c r="A1266" s="14" t="str">
        <f t="shared" si="414"/>
        <v>PROP_OPER__20</v>
      </c>
      <c r="B1266" s="15" t="str">
        <f t="shared" si="406"/>
        <v>PROP_OPER__0_0</v>
      </c>
      <c r="C1266" s="83"/>
      <c r="D1266" s="15">
        <v>1</v>
      </c>
      <c r="E1266" s="15">
        <v>20</v>
      </c>
      <c r="F1266" s="190">
        <f t="shared" si="415"/>
        <v>0</v>
      </c>
      <c r="G1266" s="149" t="str">
        <f t="shared" si="415"/>
        <v/>
      </c>
      <c r="H1266" s="150" t="str">
        <f t="shared" si="415"/>
        <v/>
      </c>
      <c r="I1266" s="150">
        <f t="shared" si="415"/>
        <v>0</v>
      </c>
      <c r="J1266" s="150">
        <f t="shared" si="415"/>
        <v>0</v>
      </c>
      <c r="K1266" s="196" t="str">
        <f t="shared" si="415"/>
        <v/>
      </c>
      <c r="L1266" s="197" t="str">
        <f t="shared" si="415"/>
        <v/>
      </c>
      <c r="M1266" s="191">
        <f t="shared" si="415"/>
        <v>0</v>
      </c>
      <c r="N1266" s="150">
        <f t="shared" si="415"/>
        <v>0</v>
      </c>
      <c r="O1266" s="193">
        <f t="shared" si="415"/>
        <v>0</v>
      </c>
      <c r="P1266" s="162">
        <f t="shared" si="416"/>
        <v>0</v>
      </c>
      <c r="Q1266" s="162">
        <f t="shared" si="416"/>
        <v>0</v>
      </c>
      <c r="R1266" s="162">
        <f t="shared" si="416"/>
        <v>0</v>
      </c>
      <c r="S1266" s="162">
        <f t="shared" si="416"/>
        <v>0</v>
      </c>
      <c r="T1266" s="162">
        <f t="shared" si="416"/>
        <v>0</v>
      </c>
      <c r="U1266" s="162">
        <f t="shared" si="416"/>
        <v>0</v>
      </c>
      <c r="V1266" s="162">
        <f t="shared" si="416"/>
        <v>0</v>
      </c>
      <c r="W1266" s="162">
        <f t="shared" si="416"/>
        <v>0</v>
      </c>
      <c r="X1266" s="162">
        <f t="shared" si="416"/>
        <v>0</v>
      </c>
      <c r="Y1266" s="162">
        <f t="shared" si="416"/>
        <v>0</v>
      </c>
      <c r="Z1266" s="162">
        <f t="shared" si="416"/>
        <v>0</v>
      </c>
      <c r="AA1266" s="162">
        <f t="shared" si="416"/>
        <v>0</v>
      </c>
      <c r="AB1266" s="163">
        <f t="shared" si="409"/>
        <v>0</v>
      </c>
      <c r="AC1266" s="198"/>
      <c r="AE1266" s="194" t="str">
        <f t="shared" si="413"/>
        <v/>
      </c>
      <c r="AF1266" s="161">
        <f t="shared" si="417"/>
        <v>0</v>
      </c>
      <c r="AG1266" s="162">
        <f t="shared" si="417"/>
        <v>0</v>
      </c>
      <c r="AH1266" s="162">
        <f t="shared" si="417"/>
        <v>0</v>
      </c>
      <c r="AI1266" s="162">
        <f t="shared" si="417"/>
        <v>0</v>
      </c>
      <c r="AJ1266" s="162">
        <f t="shared" si="417"/>
        <v>0</v>
      </c>
      <c r="AK1266" s="162">
        <f t="shared" si="417"/>
        <v>0</v>
      </c>
      <c r="AL1266" s="162">
        <f t="shared" si="417"/>
        <v>0</v>
      </c>
      <c r="AM1266" s="162">
        <f t="shared" si="417"/>
        <v>0</v>
      </c>
      <c r="AN1266" s="162">
        <f t="shared" si="417"/>
        <v>0</v>
      </c>
      <c r="AO1266" s="162">
        <f t="shared" si="417"/>
        <v>0</v>
      </c>
      <c r="AP1266" s="162">
        <f t="shared" si="417"/>
        <v>0</v>
      </c>
      <c r="AQ1266" s="162">
        <f t="shared" si="417"/>
        <v>0</v>
      </c>
      <c r="AR1266" s="163">
        <f t="shared" si="411"/>
        <v>0</v>
      </c>
      <c r="AT1266" s="208">
        <f>IFERROR(VLOOKUP(J1266,#REF!,10,0),0)</f>
        <v>0</v>
      </c>
    </row>
    <row r="1267" spans="1:46" hidden="1" outlineLevel="1" x14ac:dyDescent="0.25">
      <c r="A1267" s="14" t="str">
        <f t="shared" si="414"/>
        <v>PROP_OPER__21</v>
      </c>
      <c r="B1267" s="15" t="str">
        <f t="shared" si="406"/>
        <v>PROP_OPER__0_0</v>
      </c>
      <c r="C1267" s="83"/>
      <c r="D1267" s="15">
        <v>1</v>
      </c>
      <c r="E1267" s="15">
        <v>21</v>
      </c>
      <c r="F1267" s="190">
        <f t="shared" si="415"/>
        <v>0</v>
      </c>
      <c r="G1267" s="149" t="str">
        <f t="shared" si="415"/>
        <v/>
      </c>
      <c r="H1267" s="150" t="str">
        <f t="shared" si="415"/>
        <v/>
      </c>
      <c r="I1267" s="150">
        <f t="shared" si="415"/>
        <v>0</v>
      </c>
      <c r="J1267" s="150">
        <f t="shared" si="415"/>
        <v>0</v>
      </c>
      <c r="K1267" s="196" t="str">
        <f t="shared" si="415"/>
        <v/>
      </c>
      <c r="L1267" s="197" t="str">
        <f t="shared" si="415"/>
        <v/>
      </c>
      <c r="M1267" s="191">
        <f t="shared" si="415"/>
        <v>0</v>
      </c>
      <c r="N1267" s="150">
        <f t="shared" si="415"/>
        <v>0</v>
      </c>
      <c r="O1267" s="193">
        <f t="shared" si="415"/>
        <v>0</v>
      </c>
      <c r="P1267" s="162">
        <f t="shared" si="416"/>
        <v>0</v>
      </c>
      <c r="Q1267" s="162">
        <f t="shared" si="416"/>
        <v>0</v>
      </c>
      <c r="R1267" s="162">
        <f t="shared" si="416"/>
        <v>0</v>
      </c>
      <c r="S1267" s="162">
        <f t="shared" si="416"/>
        <v>0</v>
      </c>
      <c r="T1267" s="162">
        <f t="shared" si="416"/>
        <v>0</v>
      </c>
      <c r="U1267" s="162">
        <f t="shared" si="416"/>
        <v>0</v>
      </c>
      <c r="V1267" s="162">
        <f t="shared" si="416"/>
        <v>0</v>
      </c>
      <c r="W1267" s="162">
        <f t="shared" si="416"/>
        <v>0</v>
      </c>
      <c r="X1267" s="162">
        <f t="shared" si="416"/>
        <v>0</v>
      </c>
      <c r="Y1267" s="162">
        <f t="shared" si="416"/>
        <v>0</v>
      </c>
      <c r="Z1267" s="162">
        <f t="shared" si="416"/>
        <v>0</v>
      </c>
      <c r="AA1267" s="162">
        <f t="shared" si="416"/>
        <v>0</v>
      </c>
      <c r="AB1267" s="163">
        <f t="shared" si="409"/>
        <v>0</v>
      </c>
      <c r="AC1267" s="198"/>
      <c r="AE1267" s="194" t="str">
        <f t="shared" si="413"/>
        <v/>
      </c>
      <c r="AF1267" s="161">
        <f t="shared" si="417"/>
        <v>0</v>
      </c>
      <c r="AG1267" s="162">
        <f t="shared" si="417"/>
        <v>0</v>
      </c>
      <c r="AH1267" s="162">
        <f t="shared" si="417"/>
        <v>0</v>
      </c>
      <c r="AI1267" s="162">
        <f t="shared" si="417"/>
        <v>0</v>
      </c>
      <c r="AJ1267" s="162">
        <f t="shared" si="417"/>
        <v>0</v>
      </c>
      <c r="AK1267" s="162">
        <f t="shared" si="417"/>
        <v>0</v>
      </c>
      <c r="AL1267" s="162">
        <f t="shared" si="417"/>
        <v>0</v>
      </c>
      <c r="AM1267" s="162">
        <f t="shared" si="417"/>
        <v>0</v>
      </c>
      <c r="AN1267" s="162">
        <f t="shared" si="417"/>
        <v>0</v>
      </c>
      <c r="AO1267" s="162">
        <f t="shared" si="417"/>
        <v>0</v>
      </c>
      <c r="AP1267" s="162">
        <f t="shared" si="417"/>
        <v>0</v>
      </c>
      <c r="AQ1267" s="162">
        <f t="shared" si="417"/>
        <v>0</v>
      </c>
      <c r="AR1267" s="163">
        <f t="shared" si="411"/>
        <v>0</v>
      </c>
      <c r="AT1267" s="208">
        <f>IFERROR(VLOOKUP(J1267,#REF!,10,0),0)</f>
        <v>0</v>
      </c>
    </row>
    <row r="1268" spans="1:46" hidden="1" outlineLevel="1" x14ac:dyDescent="0.25">
      <c r="A1268" s="14" t="str">
        <f t="shared" si="414"/>
        <v>PROP_OPER__22</v>
      </c>
      <c r="B1268" s="15" t="str">
        <f t="shared" si="406"/>
        <v>PROP_OPER__0_0</v>
      </c>
      <c r="C1268" s="83"/>
      <c r="D1268" s="15">
        <v>1</v>
      </c>
      <c r="E1268" s="15">
        <v>22</v>
      </c>
      <c r="F1268" s="190">
        <f t="shared" si="415"/>
        <v>0</v>
      </c>
      <c r="G1268" s="149" t="str">
        <f t="shared" si="415"/>
        <v/>
      </c>
      <c r="H1268" s="150" t="str">
        <f t="shared" si="415"/>
        <v/>
      </c>
      <c r="I1268" s="150">
        <f t="shared" si="415"/>
        <v>0</v>
      </c>
      <c r="J1268" s="150">
        <f t="shared" si="415"/>
        <v>0</v>
      </c>
      <c r="K1268" s="196" t="str">
        <f t="shared" si="415"/>
        <v/>
      </c>
      <c r="L1268" s="197" t="str">
        <f t="shared" si="415"/>
        <v/>
      </c>
      <c r="M1268" s="191">
        <f t="shared" si="415"/>
        <v>0</v>
      </c>
      <c r="N1268" s="150">
        <f t="shared" si="415"/>
        <v>0</v>
      </c>
      <c r="O1268" s="193">
        <f t="shared" si="415"/>
        <v>0</v>
      </c>
      <c r="P1268" s="162">
        <f t="shared" si="416"/>
        <v>0</v>
      </c>
      <c r="Q1268" s="162">
        <f t="shared" si="416"/>
        <v>0</v>
      </c>
      <c r="R1268" s="162">
        <f t="shared" si="416"/>
        <v>0</v>
      </c>
      <c r="S1268" s="162">
        <f t="shared" si="416"/>
        <v>0</v>
      </c>
      <c r="T1268" s="162">
        <f t="shared" si="416"/>
        <v>0</v>
      </c>
      <c r="U1268" s="162">
        <f t="shared" si="416"/>
        <v>0</v>
      </c>
      <c r="V1268" s="162">
        <f t="shared" si="416"/>
        <v>0</v>
      </c>
      <c r="W1268" s="162">
        <f t="shared" si="416"/>
        <v>0</v>
      </c>
      <c r="X1268" s="162">
        <f t="shared" si="416"/>
        <v>0</v>
      </c>
      <c r="Y1268" s="162">
        <f t="shared" si="416"/>
        <v>0</v>
      </c>
      <c r="Z1268" s="162">
        <f t="shared" si="416"/>
        <v>0</v>
      </c>
      <c r="AA1268" s="162">
        <f t="shared" si="416"/>
        <v>0</v>
      </c>
      <c r="AB1268" s="163">
        <f t="shared" si="409"/>
        <v>0</v>
      </c>
      <c r="AC1268" s="198"/>
      <c r="AE1268" s="194" t="str">
        <f t="shared" si="413"/>
        <v/>
      </c>
      <c r="AF1268" s="161">
        <f t="shared" si="417"/>
        <v>0</v>
      </c>
      <c r="AG1268" s="162">
        <f t="shared" si="417"/>
        <v>0</v>
      </c>
      <c r="AH1268" s="162">
        <f t="shared" si="417"/>
        <v>0</v>
      </c>
      <c r="AI1268" s="162">
        <f t="shared" si="417"/>
        <v>0</v>
      </c>
      <c r="AJ1268" s="162">
        <f t="shared" si="417"/>
        <v>0</v>
      </c>
      <c r="AK1268" s="162">
        <f t="shared" si="417"/>
        <v>0</v>
      </c>
      <c r="AL1268" s="162">
        <f t="shared" si="417"/>
        <v>0</v>
      </c>
      <c r="AM1268" s="162">
        <f t="shared" si="417"/>
        <v>0</v>
      </c>
      <c r="AN1268" s="162">
        <f t="shared" si="417"/>
        <v>0</v>
      </c>
      <c r="AO1268" s="162">
        <f t="shared" si="417"/>
        <v>0</v>
      </c>
      <c r="AP1268" s="162">
        <f t="shared" si="417"/>
        <v>0</v>
      </c>
      <c r="AQ1268" s="162">
        <f t="shared" si="417"/>
        <v>0</v>
      </c>
      <c r="AR1268" s="163">
        <f t="shared" si="411"/>
        <v>0</v>
      </c>
      <c r="AT1268" s="208">
        <f>IFERROR(VLOOKUP(J1268,#REF!,10,0),0)</f>
        <v>0</v>
      </c>
    </row>
    <row r="1269" spans="1:46" hidden="1" outlineLevel="1" x14ac:dyDescent="0.25">
      <c r="A1269" s="14" t="str">
        <f t="shared" si="414"/>
        <v>PROP_OPER__23</v>
      </c>
      <c r="B1269" s="15" t="str">
        <f t="shared" si="406"/>
        <v>PROP_OPER__0_0</v>
      </c>
      <c r="C1269" s="83"/>
      <c r="D1269" s="15">
        <v>1</v>
      </c>
      <c r="E1269" s="15">
        <v>23</v>
      </c>
      <c r="F1269" s="190">
        <f t="shared" si="415"/>
        <v>0</v>
      </c>
      <c r="G1269" s="149" t="str">
        <f t="shared" si="415"/>
        <v/>
      </c>
      <c r="H1269" s="150" t="str">
        <f t="shared" si="415"/>
        <v/>
      </c>
      <c r="I1269" s="150">
        <f t="shared" si="415"/>
        <v>0</v>
      </c>
      <c r="J1269" s="150">
        <f t="shared" si="415"/>
        <v>0</v>
      </c>
      <c r="K1269" s="196" t="str">
        <f t="shared" si="415"/>
        <v/>
      </c>
      <c r="L1269" s="197" t="str">
        <f t="shared" si="415"/>
        <v/>
      </c>
      <c r="M1269" s="191">
        <f t="shared" si="415"/>
        <v>0</v>
      </c>
      <c r="N1269" s="150">
        <f t="shared" si="415"/>
        <v>0</v>
      </c>
      <c r="O1269" s="193">
        <f t="shared" si="415"/>
        <v>0</v>
      </c>
      <c r="P1269" s="162">
        <f t="shared" si="416"/>
        <v>0</v>
      </c>
      <c r="Q1269" s="162">
        <f t="shared" si="416"/>
        <v>0</v>
      </c>
      <c r="R1269" s="162">
        <f t="shared" si="416"/>
        <v>0</v>
      </c>
      <c r="S1269" s="162">
        <f t="shared" si="416"/>
        <v>0</v>
      </c>
      <c r="T1269" s="162">
        <f t="shared" si="416"/>
        <v>0</v>
      </c>
      <c r="U1269" s="162">
        <f t="shared" si="416"/>
        <v>0</v>
      </c>
      <c r="V1269" s="162">
        <f t="shared" si="416"/>
        <v>0</v>
      </c>
      <c r="W1269" s="162">
        <f t="shared" si="416"/>
        <v>0</v>
      </c>
      <c r="X1269" s="162">
        <f t="shared" si="416"/>
        <v>0</v>
      </c>
      <c r="Y1269" s="162">
        <f t="shared" si="416"/>
        <v>0</v>
      </c>
      <c r="Z1269" s="162">
        <f t="shared" si="416"/>
        <v>0</v>
      </c>
      <c r="AA1269" s="162">
        <f t="shared" si="416"/>
        <v>0</v>
      </c>
      <c r="AB1269" s="163">
        <f t="shared" si="409"/>
        <v>0</v>
      </c>
      <c r="AC1269" s="198"/>
      <c r="AE1269" s="194" t="str">
        <f t="shared" si="413"/>
        <v/>
      </c>
      <c r="AF1269" s="161">
        <f t="shared" si="417"/>
        <v>0</v>
      </c>
      <c r="AG1269" s="162">
        <f t="shared" si="417"/>
        <v>0</v>
      </c>
      <c r="AH1269" s="162">
        <f t="shared" si="417"/>
        <v>0</v>
      </c>
      <c r="AI1269" s="162">
        <f t="shared" si="417"/>
        <v>0</v>
      </c>
      <c r="AJ1269" s="162">
        <f t="shared" si="417"/>
        <v>0</v>
      </c>
      <c r="AK1269" s="162">
        <f t="shared" si="417"/>
        <v>0</v>
      </c>
      <c r="AL1269" s="162">
        <f t="shared" si="417"/>
        <v>0</v>
      </c>
      <c r="AM1269" s="162">
        <f t="shared" si="417"/>
        <v>0</v>
      </c>
      <c r="AN1269" s="162">
        <f t="shared" si="417"/>
        <v>0</v>
      </c>
      <c r="AO1269" s="162">
        <f t="shared" si="417"/>
        <v>0</v>
      </c>
      <c r="AP1269" s="162">
        <f t="shared" si="417"/>
        <v>0</v>
      </c>
      <c r="AQ1269" s="162">
        <f t="shared" si="417"/>
        <v>0</v>
      </c>
      <c r="AR1269" s="163">
        <f t="shared" si="411"/>
        <v>0</v>
      </c>
      <c r="AT1269" s="208">
        <f>IFERROR(VLOOKUP(J1269,#REF!,10,0),0)</f>
        <v>0</v>
      </c>
    </row>
    <row r="1270" spans="1:46" hidden="1" outlineLevel="1" x14ac:dyDescent="0.25">
      <c r="A1270" s="14" t="str">
        <f t="shared" si="414"/>
        <v>PROP_OPER__24</v>
      </c>
      <c r="B1270" s="15" t="str">
        <f t="shared" si="406"/>
        <v>PROP_OPER__0_0</v>
      </c>
      <c r="C1270" s="83"/>
      <c r="D1270" s="15">
        <v>1</v>
      </c>
      <c r="E1270" s="15">
        <v>24</v>
      </c>
      <c r="F1270" s="190">
        <f t="shared" si="415"/>
        <v>0</v>
      </c>
      <c r="G1270" s="149" t="str">
        <f t="shared" si="415"/>
        <v/>
      </c>
      <c r="H1270" s="150" t="str">
        <f t="shared" si="415"/>
        <v/>
      </c>
      <c r="I1270" s="150">
        <f t="shared" si="415"/>
        <v>0</v>
      </c>
      <c r="J1270" s="150">
        <f t="shared" si="415"/>
        <v>0</v>
      </c>
      <c r="K1270" s="196" t="str">
        <f t="shared" si="415"/>
        <v/>
      </c>
      <c r="L1270" s="197" t="str">
        <f t="shared" si="415"/>
        <v/>
      </c>
      <c r="M1270" s="191">
        <f t="shared" si="415"/>
        <v>0</v>
      </c>
      <c r="N1270" s="150">
        <f t="shared" si="415"/>
        <v>0</v>
      </c>
      <c r="O1270" s="193">
        <f t="shared" si="415"/>
        <v>0</v>
      </c>
      <c r="P1270" s="162">
        <f t="shared" si="416"/>
        <v>0</v>
      </c>
      <c r="Q1270" s="162">
        <f t="shared" si="416"/>
        <v>0</v>
      </c>
      <c r="R1270" s="162">
        <f t="shared" si="416"/>
        <v>0</v>
      </c>
      <c r="S1270" s="162">
        <f t="shared" si="416"/>
        <v>0</v>
      </c>
      <c r="T1270" s="162">
        <f t="shared" si="416"/>
        <v>0</v>
      </c>
      <c r="U1270" s="162">
        <f t="shared" si="416"/>
        <v>0</v>
      </c>
      <c r="V1270" s="162">
        <f t="shared" si="416"/>
        <v>0</v>
      </c>
      <c r="W1270" s="162">
        <f t="shared" si="416"/>
        <v>0</v>
      </c>
      <c r="X1270" s="162">
        <f t="shared" si="416"/>
        <v>0</v>
      </c>
      <c r="Y1270" s="162">
        <f t="shared" si="416"/>
        <v>0</v>
      </c>
      <c r="Z1270" s="162">
        <f t="shared" si="416"/>
        <v>0</v>
      </c>
      <c r="AA1270" s="162">
        <f t="shared" si="416"/>
        <v>0</v>
      </c>
      <c r="AB1270" s="163">
        <f t="shared" si="409"/>
        <v>0</v>
      </c>
      <c r="AC1270" s="198"/>
      <c r="AE1270" s="194" t="str">
        <f t="shared" si="413"/>
        <v/>
      </c>
      <c r="AF1270" s="161">
        <f t="shared" si="417"/>
        <v>0</v>
      </c>
      <c r="AG1270" s="162">
        <f t="shared" si="417"/>
        <v>0</v>
      </c>
      <c r="AH1270" s="162">
        <f t="shared" si="417"/>
        <v>0</v>
      </c>
      <c r="AI1270" s="162">
        <f t="shared" si="417"/>
        <v>0</v>
      </c>
      <c r="AJ1270" s="162">
        <f t="shared" si="417"/>
        <v>0</v>
      </c>
      <c r="AK1270" s="162">
        <f t="shared" si="417"/>
        <v>0</v>
      </c>
      <c r="AL1270" s="162">
        <f t="shared" si="417"/>
        <v>0</v>
      </c>
      <c r="AM1270" s="162">
        <f t="shared" si="417"/>
        <v>0</v>
      </c>
      <c r="AN1270" s="162">
        <f t="shared" si="417"/>
        <v>0</v>
      </c>
      <c r="AO1270" s="162">
        <f t="shared" si="417"/>
        <v>0</v>
      </c>
      <c r="AP1270" s="162">
        <f t="shared" si="417"/>
        <v>0</v>
      </c>
      <c r="AQ1270" s="162">
        <f t="shared" si="417"/>
        <v>0</v>
      </c>
      <c r="AR1270" s="163">
        <f t="shared" si="411"/>
        <v>0</v>
      </c>
      <c r="AT1270" s="208">
        <f>IFERROR(VLOOKUP(J1270,#REF!,10,0),0)</f>
        <v>0</v>
      </c>
    </row>
    <row r="1271" spans="1:46" hidden="1" outlineLevel="1" x14ac:dyDescent="0.25">
      <c r="A1271" s="14" t="str">
        <f t="shared" si="414"/>
        <v>PROP_OPER__25</v>
      </c>
      <c r="B1271" s="15" t="str">
        <f t="shared" si="406"/>
        <v>PROP_OPER__0_0</v>
      </c>
      <c r="C1271" s="83"/>
      <c r="D1271" s="15">
        <v>1</v>
      </c>
      <c r="E1271" s="15">
        <v>25</v>
      </c>
      <c r="F1271" s="190">
        <f t="shared" si="415"/>
        <v>0</v>
      </c>
      <c r="G1271" s="149" t="str">
        <f t="shared" si="415"/>
        <v/>
      </c>
      <c r="H1271" s="150" t="str">
        <f t="shared" si="415"/>
        <v/>
      </c>
      <c r="I1271" s="150">
        <f t="shared" si="415"/>
        <v>0</v>
      </c>
      <c r="J1271" s="150">
        <f t="shared" si="415"/>
        <v>0</v>
      </c>
      <c r="K1271" s="196" t="str">
        <f t="shared" si="415"/>
        <v/>
      </c>
      <c r="L1271" s="197" t="str">
        <f t="shared" si="415"/>
        <v/>
      </c>
      <c r="M1271" s="191">
        <f t="shared" si="415"/>
        <v>0</v>
      </c>
      <c r="N1271" s="150">
        <f t="shared" si="415"/>
        <v>0</v>
      </c>
      <c r="O1271" s="193">
        <f t="shared" si="415"/>
        <v>0</v>
      </c>
      <c r="P1271" s="162">
        <f t="shared" si="416"/>
        <v>0</v>
      </c>
      <c r="Q1271" s="162">
        <f t="shared" si="416"/>
        <v>0</v>
      </c>
      <c r="R1271" s="162">
        <f t="shared" si="416"/>
        <v>0</v>
      </c>
      <c r="S1271" s="162">
        <f t="shared" si="416"/>
        <v>0</v>
      </c>
      <c r="T1271" s="162">
        <f t="shared" si="416"/>
        <v>0</v>
      </c>
      <c r="U1271" s="162">
        <f t="shared" si="416"/>
        <v>0</v>
      </c>
      <c r="V1271" s="162">
        <f t="shared" si="416"/>
        <v>0</v>
      </c>
      <c r="W1271" s="162">
        <f t="shared" si="416"/>
        <v>0</v>
      </c>
      <c r="X1271" s="162">
        <f t="shared" si="416"/>
        <v>0</v>
      </c>
      <c r="Y1271" s="162">
        <f t="shared" si="416"/>
        <v>0</v>
      </c>
      <c r="Z1271" s="162">
        <f t="shared" si="416"/>
        <v>0</v>
      </c>
      <c r="AA1271" s="162">
        <f t="shared" si="416"/>
        <v>0</v>
      </c>
      <c r="AB1271" s="163">
        <f t="shared" si="409"/>
        <v>0</v>
      </c>
      <c r="AC1271" s="198"/>
      <c r="AE1271" s="194" t="str">
        <f t="shared" si="413"/>
        <v/>
      </c>
      <c r="AF1271" s="161">
        <f t="shared" si="417"/>
        <v>0</v>
      </c>
      <c r="AG1271" s="162">
        <f t="shared" si="417"/>
        <v>0</v>
      </c>
      <c r="AH1271" s="162">
        <f t="shared" si="417"/>
        <v>0</v>
      </c>
      <c r="AI1271" s="162">
        <f t="shared" si="417"/>
        <v>0</v>
      </c>
      <c r="AJ1271" s="162">
        <f t="shared" si="417"/>
        <v>0</v>
      </c>
      <c r="AK1271" s="162">
        <f t="shared" si="417"/>
        <v>0</v>
      </c>
      <c r="AL1271" s="162">
        <f t="shared" si="417"/>
        <v>0</v>
      </c>
      <c r="AM1271" s="162">
        <f t="shared" si="417"/>
        <v>0</v>
      </c>
      <c r="AN1271" s="162">
        <f t="shared" si="417"/>
        <v>0</v>
      </c>
      <c r="AO1271" s="162">
        <f t="shared" si="417"/>
        <v>0</v>
      </c>
      <c r="AP1271" s="162">
        <f t="shared" si="417"/>
        <v>0</v>
      </c>
      <c r="AQ1271" s="162">
        <f t="shared" si="417"/>
        <v>0</v>
      </c>
      <c r="AR1271" s="163">
        <f t="shared" si="411"/>
        <v>0</v>
      </c>
      <c r="AT1271" s="208">
        <f>IFERROR(VLOOKUP(J1271,#REF!,10,0),0)</f>
        <v>0</v>
      </c>
    </row>
    <row r="1272" spans="1:46" hidden="1" outlineLevel="1" x14ac:dyDescent="0.25">
      <c r="A1272" s="14" t="str">
        <f t="shared" si="414"/>
        <v>PROP_OPER__26</v>
      </c>
      <c r="B1272" s="15" t="str">
        <f t="shared" si="406"/>
        <v>PROP_OPER__0_0</v>
      </c>
      <c r="C1272" s="83"/>
      <c r="D1272" s="15">
        <v>1</v>
      </c>
      <c r="E1272" s="15">
        <v>26</v>
      </c>
      <c r="F1272" s="190">
        <f t="shared" si="415"/>
        <v>0</v>
      </c>
      <c r="G1272" s="149" t="str">
        <f t="shared" si="415"/>
        <v/>
      </c>
      <c r="H1272" s="150" t="str">
        <f t="shared" si="415"/>
        <v/>
      </c>
      <c r="I1272" s="150">
        <f t="shared" si="415"/>
        <v>0</v>
      </c>
      <c r="J1272" s="150">
        <f t="shared" si="415"/>
        <v>0</v>
      </c>
      <c r="K1272" s="196" t="str">
        <f t="shared" si="415"/>
        <v/>
      </c>
      <c r="L1272" s="197" t="str">
        <f t="shared" si="415"/>
        <v/>
      </c>
      <c r="M1272" s="191">
        <f t="shared" si="415"/>
        <v>0</v>
      </c>
      <c r="N1272" s="150">
        <f t="shared" si="415"/>
        <v>0</v>
      </c>
      <c r="O1272" s="193">
        <f t="shared" si="415"/>
        <v>0</v>
      </c>
      <c r="P1272" s="162">
        <f t="shared" si="416"/>
        <v>0</v>
      </c>
      <c r="Q1272" s="162">
        <f t="shared" si="416"/>
        <v>0</v>
      </c>
      <c r="R1272" s="162">
        <f t="shared" si="416"/>
        <v>0</v>
      </c>
      <c r="S1272" s="162">
        <f t="shared" si="416"/>
        <v>0</v>
      </c>
      <c r="T1272" s="162">
        <f t="shared" si="416"/>
        <v>0</v>
      </c>
      <c r="U1272" s="162">
        <f t="shared" si="416"/>
        <v>0</v>
      </c>
      <c r="V1272" s="162">
        <f t="shared" si="416"/>
        <v>0</v>
      </c>
      <c r="W1272" s="162">
        <f t="shared" si="416"/>
        <v>0</v>
      </c>
      <c r="X1272" s="162">
        <f t="shared" si="416"/>
        <v>0</v>
      </c>
      <c r="Y1272" s="162">
        <f t="shared" si="416"/>
        <v>0</v>
      </c>
      <c r="Z1272" s="162">
        <f t="shared" si="416"/>
        <v>0</v>
      </c>
      <c r="AA1272" s="162">
        <f t="shared" si="416"/>
        <v>0</v>
      </c>
      <c r="AB1272" s="163">
        <f t="shared" si="409"/>
        <v>0</v>
      </c>
      <c r="AC1272" s="198"/>
      <c r="AE1272" s="194" t="str">
        <f t="shared" si="413"/>
        <v/>
      </c>
      <c r="AF1272" s="161">
        <f t="shared" si="417"/>
        <v>0</v>
      </c>
      <c r="AG1272" s="162">
        <f t="shared" si="417"/>
        <v>0</v>
      </c>
      <c r="AH1272" s="162">
        <f t="shared" si="417"/>
        <v>0</v>
      </c>
      <c r="AI1272" s="162">
        <f t="shared" si="417"/>
        <v>0</v>
      </c>
      <c r="AJ1272" s="162">
        <f t="shared" si="417"/>
        <v>0</v>
      </c>
      <c r="AK1272" s="162">
        <f t="shared" si="417"/>
        <v>0</v>
      </c>
      <c r="AL1272" s="162">
        <f t="shared" si="417"/>
        <v>0</v>
      </c>
      <c r="AM1272" s="162">
        <f t="shared" si="417"/>
        <v>0</v>
      </c>
      <c r="AN1272" s="162">
        <f t="shared" si="417"/>
        <v>0</v>
      </c>
      <c r="AO1272" s="162">
        <f t="shared" si="417"/>
        <v>0</v>
      </c>
      <c r="AP1272" s="162">
        <f t="shared" si="417"/>
        <v>0</v>
      </c>
      <c r="AQ1272" s="162">
        <f t="shared" si="417"/>
        <v>0</v>
      </c>
      <c r="AR1272" s="163">
        <f t="shared" si="411"/>
        <v>0</v>
      </c>
      <c r="AT1272" s="208">
        <f>IFERROR(VLOOKUP(J1272,#REF!,10,0),0)</f>
        <v>0</v>
      </c>
    </row>
    <row r="1273" spans="1:46" hidden="1" outlineLevel="1" x14ac:dyDescent="0.25">
      <c r="A1273" s="14" t="str">
        <f t="shared" si="414"/>
        <v>PROP_OPER__27</v>
      </c>
      <c r="B1273" s="15" t="str">
        <f t="shared" si="406"/>
        <v>PROP_OPER__0_0</v>
      </c>
      <c r="C1273" s="83"/>
      <c r="D1273" s="15">
        <v>1</v>
      </c>
      <c r="E1273" s="15">
        <v>27</v>
      </c>
      <c r="F1273" s="190">
        <f t="shared" si="415"/>
        <v>0</v>
      </c>
      <c r="G1273" s="149" t="str">
        <f t="shared" si="415"/>
        <v/>
      </c>
      <c r="H1273" s="150" t="str">
        <f t="shared" si="415"/>
        <v/>
      </c>
      <c r="I1273" s="150">
        <f t="shared" si="415"/>
        <v>0</v>
      </c>
      <c r="J1273" s="150">
        <f t="shared" si="415"/>
        <v>0</v>
      </c>
      <c r="K1273" s="196" t="str">
        <f t="shared" si="415"/>
        <v/>
      </c>
      <c r="L1273" s="197" t="str">
        <f t="shared" si="415"/>
        <v/>
      </c>
      <c r="M1273" s="191">
        <f t="shared" si="415"/>
        <v>0</v>
      </c>
      <c r="N1273" s="150">
        <f t="shared" si="415"/>
        <v>0</v>
      </c>
      <c r="O1273" s="193">
        <f t="shared" si="415"/>
        <v>0</v>
      </c>
      <c r="P1273" s="162">
        <f t="shared" si="416"/>
        <v>0</v>
      </c>
      <c r="Q1273" s="162">
        <f t="shared" si="416"/>
        <v>0</v>
      </c>
      <c r="R1273" s="162">
        <f t="shared" si="416"/>
        <v>0</v>
      </c>
      <c r="S1273" s="162">
        <f t="shared" si="416"/>
        <v>0</v>
      </c>
      <c r="T1273" s="162">
        <f t="shared" si="416"/>
        <v>0</v>
      </c>
      <c r="U1273" s="162">
        <f t="shared" si="416"/>
        <v>0</v>
      </c>
      <c r="V1273" s="162">
        <f t="shared" si="416"/>
        <v>0</v>
      </c>
      <c r="W1273" s="162">
        <f t="shared" si="416"/>
        <v>0</v>
      </c>
      <c r="X1273" s="162">
        <f t="shared" si="416"/>
        <v>0</v>
      </c>
      <c r="Y1273" s="162">
        <f t="shared" si="416"/>
        <v>0</v>
      </c>
      <c r="Z1273" s="162">
        <f t="shared" si="416"/>
        <v>0</v>
      </c>
      <c r="AA1273" s="162">
        <f t="shared" si="416"/>
        <v>0</v>
      </c>
      <c r="AB1273" s="163">
        <f t="shared" si="409"/>
        <v>0</v>
      </c>
      <c r="AC1273" s="198"/>
      <c r="AE1273" s="194" t="str">
        <f t="shared" si="413"/>
        <v/>
      </c>
      <c r="AF1273" s="161">
        <f t="shared" si="417"/>
        <v>0</v>
      </c>
      <c r="AG1273" s="162">
        <f t="shared" si="417"/>
        <v>0</v>
      </c>
      <c r="AH1273" s="162">
        <f t="shared" si="417"/>
        <v>0</v>
      </c>
      <c r="AI1273" s="162">
        <f t="shared" si="417"/>
        <v>0</v>
      </c>
      <c r="AJ1273" s="162">
        <f t="shared" si="417"/>
        <v>0</v>
      </c>
      <c r="AK1273" s="162">
        <f t="shared" si="417"/>
        <v>0</v>
      </c>
      <c r="AL1273" s="162">
        <f t="shared" si="417"/>
        <v>0</v>
      </c>
      <c r="AM1273" s="162">
        <f t="shared" si="417"/>
        <v>0</v>
      </c>
      <c r="AN1273" s="162">
        <f t="shared" si="417"/>
        <v>0</v>
      </c>
      <c r="AO1273" s="162">
        <f t="shared" si="417"/>
        <v>0</v>
      </c>
      <c r="AP1273" s="162">
        <f t="shared" si="417"/>
        <v>0</v>
      </c>
      <c r="AQ1273" s="162">
        <f t="shared" si="417"/>
        <v>0</v>
      </c>
      <c r="AR1273" s="163">
        <f t="shared" si="411"/>
        <v>0</v>
      </c>
      <c r="AT1273" s="208">
        <f>IFERROR(VLOOKUP(J1273,#REF!,10,0),0)</f>
        <v>0</v>
      </c>
    </row>
    <row r="1274" spans="1:46" hidden="1" outlineLevel="1" x14ac:dyDescent="0.25">
      <c r="A1274" s="14" t="str">
        <f t="shared" si="414"/>
        <v>PROP_OPER__28</v>
      </c>
      <c r="B1274" s="15" t="str">
        <f t="shared" si="406"/>
        <v>PROP_OPER__0_0</v>
      </c>
      <c r="C1274" s="83"/>
      <c r="D1274" s="15">
        <v>1</v>
      </c>
      <c r="E1274" s="15">
        <v>28</v>
      </c>
      <c r="F1274" s="190">
        <f t="shared" si="415"/>
        <v>0</v>
      </c>
      <c r="G1274" s="149" t="str">
        <f t="shared" si="415"/>
        <v/>
      </c>
      <c r="H1274" s="150" t="str">
        <f t="shared" si="415"/>
        <v/>
      </c>
      <c r="I1274" s="150">
        <f t="shared" si="415"/>
        <v>0</v>
      </c>
      <c r="J1274" s="150">
        <f t="shared" si="415"/>
        <v>0</v>
      </c>
      <c r="K1274" s="196" t="str">
        <f t="shared" si="415"/>
        <v/>
      </c>
      <c r="L1274" s="197" t="str">
        <f t="shared" si="415"/>
        <v/>
      </c>
      <c r="M1274" s="191">
        <f t="shared" si="415"/>
        <v>0</v>
      </c>
      <c r="N1274" s="150">
        <f t="shared" si="415"/>
        <v>0</v>
      </c>
      <c r="O1274" s="193">
        <f t="shared" si="415"/>
        <v>0</v>
      </c>
      <c r="P1274" s="162">
        <f t="shared" si="416"/>
        <v>0</v>
      </c>
      <c r="Q1274" s="162">
        <f t="shared" si="416"/>
        <v>0</v>
      </c>
      <c r="R1274" s="162">
        <f t="shared" si="416"/>
        <v>0</v>
      </c>
      <c r="S1274" s="162">
        <f t="shared" si="416"/>
        <v>0</v>
      </c>
      <c r="T1274" s="162">
        <f t="shared" si="416"/>
        <v>0</v>
      </c>
      <c r="U1274" s="162">
        <f t="shared" si="416"/>
        <v>0</v>
      </c>
      <c r="V1274" s="162">
        <f t="shared" si="416"/>
        <v>0</v>
      </c>
      <c r="W1274" s="162">
        <f t="shared" si="416"/>
        <v>0</v>
      </c>
      <c r="X1274" s="162">
        <f t="shared" si="416"/>
        <v>0</v>
      </c>
      <c r="Y1274" s="162">
        <f t="shared" si="416"/>
        <v>0</v>
      </c>
      <c r="Z1274" s="162">
        <f t="shared" si="416"/>
        <v>0</v>
      </c>
      <c r="AA1274" s="162">
        <f t="shared" si="416"/>
        <v>0</v>
      </c>
      <c r="AB1274" s="163">
        <f t="shared" si="409"/>
        <v>0</v>
      </c>
      <c r="AC1274" s="198"/>
      <c r="AE1274" s="194" t="str">
        <f t="shared" si="413"/>
        <v/>
      </c>
      <c r="AF1274" s="161">
        <f t="shared" si="417"/>
        <v>0</v>
      </c>
      <c r="AG1274" s="162">
        <f t="shared" si="417"/>
        <v>0</v>
      </c>
      <c r="AH1274" s="162">
        <f t="shared" si="417"/>
        <v>0</v>
      </c>
      <c r="AI1274" s="162">
        <f t="shared" si="417"/>
        <v>0</v>
      </c>
      <c r="AJ1274" s="162">
        <f t="shared" si="417"/>
        <v>0</v>
      </c>
      <c r="AK1274" s="162">
        <f t="shared" si="417"/>
        <v>0</v>
      </c>
      <c r="AL1274" s="162">
        <f t="shared" si="417"/>
        <v>0</v>
      </c>
      <c r="AM1274" s="162">
        <f t="shared" si="417"/>
        <v>0</v>
      </c>
      <c r="AN1274" s="162">
        <f t="shared" si="417"/>
        <v>0</v>
      </c>
      <c r="AO1274" s="162">
        <f t="shared" si="417"/>
        <v>0</v>
      </c>
      <c r="AP1274" s="162">
        <f t="shared" si="417"/>
        <v>0</v>
      </c>
      <c r="AQ1274" s="162">
        <f t="shared" si="417"/>
        <v>0</v>
      </c>
      <c r="AR1274" s="163">
        <f t="shared" si="411"/>
        <v>0</v>
      </c>
      <c r="AT1274" s="208">
        <f>IFERROR(VLOOKUP(J1274,#REF!,10,0),0)</f>
        <v>0</v>
      </c>
    </row>
    <row r="1275" spans="1:46" hidden="1" outlineLevel="1" x14ac:dyDescent="0.25">
      <c r="A1275" s="14" t="str">
        <f t="shared" si="414"/>
        <v>PROP_OPER__29</v>
      </c>
      <c r="B1275" s="15" t="str">
        <f t="shared" si="406"/>
        <v>PROP_OPER__0_0</v>
      </c>
      <c r="C1275" s="83"/>
      <c r="D1275" s="15">
        <v>1</v>
      </c>
      <c r="E1275" s="15">
        <v>29</v>
      </c>
      <c r="F1275" s="190">
        <f t="shared" si="415"/>
        <v>0</v>
      </c>
      <c r="G1275" s="149" t="str">
        <f t="shared" si="415"/>
        <v/>
      </c>
      <c r="H1275" s="150" t="str">
        <f t="shared" si="415"/>
        <v/>
      </c>
      <c r="I1275" s="150">
        <f t="shared" si="415"/>
        <v>0</v>
      </c>
      <c r="J1275" s="150">
        <f t="shared" si="415"/>
        <v>0</v>
      </c>
      <c r="K1275" s="196" t="str">
        <f t="shared" si="415"/>
        <v/>
      </c>
      <c r="L1275" s="197" t="str">
        <f t="shared" si="415"/>
        <v/>
      </c>
      <c r="M1275" s="191">
        <f t="shared" si="415"/>
        <v>0</v>
      </c>
      <c r="N1275" s="150">
        <f t="shared" si="415"/>
        <v>0</v>
      </c>
      <c r="O1275" s="193">
        <f t="shared" si="415"/>
        <v>0</v>
      </c>
      <c r="P1275" s="162">
        <f t="shared" si="416"/>
        <v>0</v>
      </c>
      <c r="Q1275" s="162">
        <f t="shared" si="416"/>
        <v>0</v>
      </c>
      <c r="R1275" s="162">
        <f t="shared" si="416"/>
        <v>0</v>
      </c>
      <c r="S1275" s="162">
        <f t="shared" si="416"/>
        <v>0</v>
      </c>
      <c r="T1275" s="162">
        <f t="shared" si="416"/>
        <v>0</v>
      </c>
      <c r="U1275" s="162">
        <f t="shared" si="416"/>
        <v>0</v>
      </c>
      <c r="V1275" s="162">
        <f t="shared" si="416"/>
        <v>0</v>
      </c>
      <c r="W1275" s="162">
        <f t="shared" si="416"/>
        <v>0</v>
      </c>
      <c r="X1275" s="162">
        <f t="shared" si="416"/>
        <v>0</v>
      </c>
      <c r="Y1275" s="162">
        <f t="shared" si="416"/>
        <v>0</v>
      </c>
      <c r="Z1275" s="162">
        <f t="shared" si="416"/>
        <v>0</v>
      </c>
      <c r="AA1275" s="162">
        <f t="shared" si="416"/>
        <v>0</v>
      </c>
      <c r="AB1275" s="163">
        <f t="shared" si="409"/>
        <v>0</v>
      </c>
      <c r="AC1275" s="198"/>
      <c r="AE1275" s="194" t="str">
        <f t="shared" si="413"/>
        <v/>
      </c>
      <c r="AF1275" s="161">
        <f t="shared" si="417"/>
        <v>0</v>
      </c>
      <c r="AG1275" s="162">
        <f t="shared" si="417"/>
        <v>0</v>
      </c>
      <c r="AH1275" s="162">
        <f t="shared" si="417"/>
        <v>0</v>
      </c>
      <c r="AI1275" s="162">
        <f t="shared" si="417"/>
        <v>0</v>
      </c>
      <c r="AJ1275" s="162">
        <f t="shared" si="417"/>
        <v>0</v>
      </c>
      <c r="AK1275" s="162">
        <f t="shared" si="417"/>
        <v>0</v>
      </c>
      <c r="AL1275" s="162">
        <f t="shared" si="417"/>
        <v>0</v>
      </c>
      <c r="AM1275" s="162">
        <f t="shared" si="417"/>
        <v>0</v>
      </c>
      <c r="AN1275" s="162">
        <f t="shared" si="417"/>
        <v>0</v>
      </c>
      <c r="AO1275" s="162">
        <f t="shared" si="417"/>
        <v>0</v>
      </c>
      <c r="AP1275" s="162">
        <f t="shared" si="417"/>
        <v>0</v>
      </c>
      <c r="AQ1275" s="162">
        <f t="shared" si="417"/>
        <v>0</v>
      </c>
      <c r="AR1275" s="163">
        <f t="shared" si="411"/>
        <v>0</v>
      </c>
      <c r="AT1275" s="208">
        <f>IFERROR(VLOOKUP(J1275,#REF!,10,0),0)</f>
        <v>0</v>
      </c>
    </row>
    <row r="1276" spans="1:46" hidden="1" outlineLevel="1" x14ac:dyDescent="0.25">
      <c r="A1276" s="14" t="str">
        <f t="shared" si="414"/>
        <v>PROP_OPER__30</v>
      </c>
      <c r="B1276" s="15" t="str">
        <f t="shared" si="406"/>
        <v>PROP_OPER__0_0</v>
      </c>
      <c r="C1276" s="83"/>
      <c r="D1276" s="15">
        <v>1</v>
      </c>
      <c r="E1276" s="15">
        <v>30</v>
      </c>
      <c r="F1276" s="190">
        <f t="shared" si="415"/>
        <v>0</v>
      </c>
      <c r="G1276" s="149" t="str">
        <f t="shared" si="415"/>
        <v/>
      </c>
      <c r="H1276" s="150" t="str">
        <f t="shared" si="415"/>
        <v/>
      </c>
      <c r="I1276" s="150">
        <f t="shared" si="415"/>
        <v>0</v>
      </c>
      <c r="J1276" s="150">
        <f t="shared" si="415"/>
        <v>0</v>
      </c>
      <c r="K1276" s="196" t="str">
        <f t="shared" si="415"/>
        <v/>
      </c>
      <c r="L1276" s="197" t="str">
        <f t="shared" si="415"/>
        <v/>
      </c>
      <c r="M1276" s="191">
        <f t="shared" si="415"/>
        <v>0</v>
      </c>
      <c r="N1276" s="150">
        <f t="shared" si="415"/>
        <v>0</v>
      </c>
      <c r="O1276" s="193">
        <f t="shared" si="415"/>
        <v>0</v>
      </c>
      <c r="P1276" s="162">
        <f t="shared" si="416"/>
        <v>0</v>
      </c>
      <c r="Q1276" s="162">
        <f t="shared" si="416"/>
        <v>0</v>
      </c>
      <c r="R1276" s="162">
        <f t="shared" si="416"/>
        <v>0</v>
      </c>
      <c r="S1276" s="162">
        <f t="shared" si="416"/>
        <v>0</v>
      </c>
      <c r="T1276" s="162">
        <f t="shared" si="416"/>
        <v>0</v>
      </c>
      <c r="U1276" s="162">
        <f t="shared" si="416"/>
        <v>0</v>
      </c>
      <c r="V1276" s="162">
        <f t="shared" si="416"/>
        <v>0</v>
      </c>
      <c r="W1276" s="162">
        <f t="shared" si="416"/>
        <v>0</v>
      </c>
      <c r="X1276" s="162">
        <f t="shared" si="416"/>
        <v>0</v>
      </c>
      <c r="Y1276" s="162">
        <f t="shared" si="416"/>
        <v>0</v>
      </c>
      <c r="Z1276" s="162">
        <f t="shared" si="416"/>
        <v>0</v>
      </c>
      <c r="AA1276" s="162">
        <f t="shared" si="416"/>
        <v>0</v>
      </c>
      <c r="AB1276" s="163">
        <f t="shared" si="409"/>
        <v>0</v>
      </c>
      <c r="AC1276" s="198"/>
      <c r="AE1276" s="194" t="str">
        <f t="shared" si="413"/>
        <v/>
      </c>
      <c r="AF1276" s="161">
        <f t="shared" si="417"/>
        <v>0</v>
      </c>
      <c r="AG1276" s="162">
        <f t="shared" si="417"/>
        <v>0</v>
      </c>
      <c r="AH1276" s="162">
        <f t="shared" si="417"/>
        <v>0</v>
      </c>
      <c r="AI1276" s="162">
        <f t="shared" si="417"/>
        <v>0</v>
      </c>
      <c r="AJ1276" s="162">
        <f t="shared" si="417"/>
        <v>0</v>
      </c>
      <c r="AK1276" s="162">
        <f t="shared" si="417"/>
        <v>0</v>
      </c>
      <c r="AL1276" s="162">
        <f t="shared" si="417"/>
        <v>0</v>
      </c>
      <c r="AM1276" s="162">
        <f t="shared" si="417"/>
        <v>0</v>
      </c>
      <c r="AN1276" s="162">
        <f t="shared" si="417"/>
        <v>0</v>
      </c>
      <c r="AO1276" s="162">
        <f t="shared" si="417"/>
        <v>0</v>
      </c>
      <c r="AP1276" s="162">
        <f t="shared" si="417"/>
        <v>0</v>
      </c>
      <c r="AQ1276" s="162">
        <f t="shared" si="417"/>
        <v>0</v>
      </c>
      <c r="AR1276" s="163">
        <f t="shared" si="411"/>
        <v>0</v>
      </c>
      <c r="AT1276" s="208">
        <f>IFERROR(VLOOKUP(J1276,#REF!,10,0),0)</f>
        <v>0</v>
      </c>
    </row>
    <row r="1277" spans="1:46" hidden="1" outlineLevel="1" x14ac:dyDescent="0.25">
      <c r="A1277" s="14" t="str">
        <f t="shared" si="414"/>
        <v>PROP_OPER__31</v>
      </c>
      <c r="B1277" s="15" t="str">
        <f t="shared" si="406"/>
        <v>PROP_OPER__0_0</v>
      </c>
      <c r="C1277" s="83"/>
      <c r="D1277" s="15">
        <v>1</v>
      </c>
      <c r="E1277" s="15">
        <v>31</v>
      </c>
      <c r="F1277" s="190">
        <f t="shared" si="415"/>
        <v>0</v>
      </c>
      <c r="G1277" s="149" t="str">
        <f t="shared" si="415"/>
        <v/>
      </c>
      <c r="H1277" s="150" t="str">
        <f t="shared" si="415"/>
        <v/>
      </c>
      <c r="I1277" s="150">
        <f t="shared" si="415"/>
        <v>0</v>
      </c>
      <c r="J1277" s="150">
        <f t="shared" si="415"/>
        <v>0</v>
      </c>
      <c r="K1277" s="196" t="str">
        <f t="shared" si="415"/>
        <v/>
      </c>
      <c r="L1277" s="197" t="str">
        <f t="shared" si="415"/>
        <v/>
      </c>
      <c r="M1277" s="191">
        <f t="shared" si="415"/>
        <v>0</v>
      </c>
      <c r="N1277" s="150">
        <f t="shared" si="415"/>
        <v>0</v>
      </c>
      <c r="O1277" s="193">
        <f t="shared" si="415"/>
        <v>0</v>
      </c>
      <c r="P1277" s="162">
        <f t="shared" si="416"/>
        <v>0</v>
      </c>
      <c r="Q1277" s="162">
        <f t="shared" si="416"/>
        <v>0</v>
      </c>
      <c r="R1277" s="162">
        <f t="shared" si="416"/>
        <v>0</v>
      </c>
      <c r="S1277" s="162">
        <f t="shared" si="416"/>
        <v>0</v>
      </c>
      <c r="T1277" s="162">
        <f t="shared" si="416"/>
        <v>0</v>
      </c>
      <c r="U1277" s="162">
        <f t="shared" si="416"/>
        <v>0</v>
      </c>
      <c r="V1277" s="162">
        <f t="shared" si="416"/>
        <v>0</v>
      </c>
      <c r="W1277" s="162">
        <f t="shared" si="416"/>
        <v>0</v>
      </c>
      <c r="X1277" s="162">
        <f t="shared" si="416"/>
        <v>0</v>
      </c>
      <c r="Y1277" s="162">
        <f t="shared" si="416"/>
        <v>0</v>
      </c>
      <c r="Z1277" s="162">
        <f t="shared" si="416"/>
        <v>0</v>
      </c>
      <c r="AA1277" s="162">
        <f t="shared" si="416"/>
        <v>0</v>
      </c>
      <c r="AB1277" s="163">
        <f t="shared" si="409"/>
        <v>0</v>
      </c>
      <c r="AC1277" s="198"/>
      <c r="AE1277" s="194" t="str">
        <f t="shared" si="413"/>
        <v/>
      </c>
      <c r="AF1277" s="161">
        <f t="shared" si="417"/>
        <v>0</v>
      </c>
      <c r="AG1277" s="162">
        <f t="shared" si="417"/>
        <v>0</v>
      </c>
      <c r="AH1277" s="162">
        <f t="shared" si="417"/>
        <v>0</v>
      </c>
      <c r="AI1277" s="162">
        <f t="shared" si="417"/>
        <v>0</v>
      </c>
      <c r="AJ1277" s="162">
        <f t="shared" si="417"/>
        <v>0</v>
      </c>
      <c r="AK1277" s="162">
        <f t="shared" si="417"/>
        <v>0</v>
      </c>
      <c r="AL1277" s="162">
        <f t="shared" si="417"/>
        <v>0</v>
      </c>
      <c r="AM1277" s="162">
        <f t="shared" si="417"/>
        <v>0</v>
      </c>
      <c r="AN1277" s="162">
        <f t="shared" si="417"/>
        <v>0</v>
      </c>
      <c r="AO1277" s="162">
        <f t="shared" si="417"/>
        <v>0</v>
      </c>
      <c r="AP1277" s="162">
        <f t="shared" si="417"/>
        <v>0</v>
      </c>
      <c r="AQ1277" s="162">
        <f t="shared" si="417"/>
        <v>0</v>
      </c>
      <c r="AR1277" s="163">
        <f t="shared" si="411"/>
        <v>0</v>
      </c>
      <c r="AT1277" s="208">
        <f>IFERROR(VLOOKUP(J1277,#REF!,10,0),0)</f>
        <v>0</v>
      </c>
    </row>
    <row r="1278" spans="1:46" hidden="1" outlineLevel="1" x14ac:dyDescent="0.25">
      <c r="A1278" s="14" t="str">
        <f t="shared" si="414"/>
        <v>PROP_OPER__32</v>
      </c>
      <c r="B1278" s="15" t="str">
        <f t="shared" si="406"/>
        <v>PROP_OPER__0_0</v>
      </c>
      <c r="C1278" s="83"/>
      <c r="D1278" s="15">
        <v>1</v>
      </c>
      <c r="E1278" s="15">
        <v>32</v>
      </c>
      <c r="F1278" s="190">
        <f t="shared" si="415"/>
        <v>0</v>
      </c>
      <c r="G1278" s="149" t="str">
        <f t="shared" si="415"/>
        <v/>
      </c>
      <c r="H1278" s="150" t="str">
        <f t="shared" si="415"/>
        <v/>
      </c>
      <c r="I1278" s="150">
        <f t="shared" si="415"/>
        <v>0</v>
      </c>
      <c r="J1278" s="150">
        <f t="shared" si="415"/>
        <v>0</v>
      </c>
      <c r="K1278" s="196" t="str">
        <f t="shared" si="415"/>
        <v/>
      </c>
      <c r="L1278" s="197" t="str">
        <f t="shared" si="415"/>
        <v/>
      </c>
      <c r="M1278" s="191">
        <f t="shared" si="415"/>
        <v>0</v>
      </c>
      <c r="N1278" s="150">
        <f t="shared" si="415"/>
        <v>0</v>
      </c>
      <c r="O1278" s="193">
        <f t="shared" si="415"/>
        <v>0</v>
      </c>
      <c r="P1278" s="162">
        <f t="shared" si="416"/>
        <v>0</v>
      </c>
      <c r="Q1278" s="162">
        <f t="shared" si="416"/>
        <v>0</v>
      </c>
      <c r="R1278" s="162">
        <f t="shared" si="416"/>
        <v>0</v>
      </c>
      <c r="S1278" s="162">
        <f t="shared" si="416"/>
        <v>0</v>
      </c>
      <c r="T1278" s="162">
        <f t="shared" si="416"/>
        <v>0</v>
      </c>
      <c r="U1278" s="162">
        <f t="shared" si="416"/>
        <v>0</v>
      </c>
      <c r="V1278" s="162">
        <f t="shared" si="416"/>
        <v>0</v>
      </c>
      <c r="W1278" s="162">
        <f t="shared" si="416"/>
        <v>0</v>
      </c>
      <c r="X1278" s="162">
        <f t="shared" si="416"/>
        <v>0</v>
      </c>
      <c r="Y1278" s="162">
        <f t="shared" si="416"/>
        <v>0</v>
      </c>
      <c r="Z1278" s="162">
        <f t="shared" si="416"/>
        <v>0</v>
      </c>
      <c r="AA1278" s="162">
        <f t="shared" si="416"/>
        <v>0</v>
      </c>
      <c r="AB1278" s="163">
        <f t="shared" si="409"/>
        <v>0</v>
      </c>
      <c r="AC1278" s="198"/>
      <c r="AE1278" s="194" t="str">
        <f t="shared" si="413"/>
        <v/>
      </c>
      <c r="AF1278" s="161">
        <f t="shared" si="417"/>
        <v>0</v>
      </c>
      <c r="AG1278" s="162">
        <f t="shared" si="417"/>
        <v>0</v>
      </c>
      <c r="AH1278" s="162">
        <f t="shared" si="417"/>
        <v>0</v>
      </c>
      <c r="AI1278" s="162">
        <f t="shared" si="417"/>
        <v>0</v>
      </c>
      <c r="AJ1278" s="162">
        <f t="shared" si="417"/>
        <v>0</v>
      </c>
      <c r="AK1278" s="162">
        <f t="shared" si="417"/>
        <v>0</v>
      </c>
      <c r="AL1278" s="162">
        <f t="shared" si="417"/>
        <v>0</v>
      </c>
      <c r="AM1278" s="162">
        <f t="shared" si="417"/>
        <v>0</v>
      </c>
      <c r="AN1278" s="162">
        <f t="shared" si="417"/>
        <v>0</v>
      </c>
      <c r="AO1278" s="162">
        <f t="shared" si="417"/>
        <v>0</v>
      </c>
      <c r="AP1278" s="162">
        <f t="shared" si="417"/>
        <v>0</v>
      </c>
      <c r="AQ1278" s="162">
        <f t="shared" si="417"/>
        <v>0</v>
      </c>
      <c r="AR1278" s="163">
        <f t="shared" si="411"/>
        <v>0</v>
      </c>
      <c r="AT1278" s="208">
        <f>IFERROR(VLOOKUP(J1278,#REF!,10,0),0)</f>
        <v>0</v>
      </c>
    </row>
    <row r="1279" spans="1:46" hidden="1" outlineLevel="1" x14ac:dyDescent="0.25">
      <c r="A1279" s="14" t="str">
        <f t="shared" si="414"/>
        <v>PROP_OPER__33</v>
      </c>
      <c r="B1279" s="15" t="str">
        <f t="shared" si="406"/>
        <v>PROP_OPER__0_0</v>
      </c>
      <c r="C1279" s="83"/>
      <c r="D1279" s="15">
        <v>1</v>
      </c>
      <c r="E1279" s="15">
        <v>33</v>
      </c>
      <c r="F1279" s="190">
        <f t="shared" si="415"/>
        <v>0</v>
      </c>
      <c r="G1279" s="149" t="str">
        <f t="shared" si="415"/>
        <v/>
      </c>
      <c r="H1279" s="150" t="str">
        <f t="shared" si="415"/>
        <v/>
      </c>
      <c r="I1279" s="150">
        <f t="shared" si="415"/>
        <v>0</v>
      </c>
      <c r="J1279" s="150">
        <f t="shared" si="415"/>
        <v>0</v>
      </c>
      <c r="K1279" s="196" t="str">
        <f t="shared" si="415"/>
        <v/>
      </c>
      <c r="L1279" s="197" t="str">
        <f t="shared" si="415"/>
        <v/>
      </c>
      <c r="M1279" s="191">
        <f t="shared" si="415"/>
        <v>0</v>
      </c>
      <c r="N1279" s="150">
        <f t="shared" si="415"/>
        <v>0</v>
      </c>
      <c r="O1279" s="193">
        <f t="shared" si="415"/>
        <v>0</v>
      </c>
      <c r="P1279" s="162">
        <f t="shared" si="416"/>
        <v>0</v>
      </c>
      <c r="Q1279" s="162">
        <f t="shared" si="416"/>
        <v>0</v>
      </c>
      <c r="R1279" s="162">
        <f t="shared" si="416"/>
        <v>0</v>
      </c>
      <c r="S1279" s="162">
        <f t="shared" si="416"/>
        <v>0</v>
      </c>
      <c r="T1279" s="162">
        <f t="shared" si="416"/>
        <v>0</v>
      </c>
      <c r="U1279" s="162">
        <f t="shared" si="416"/>
        <v>0</v>
      </c>
      <c r="V1279" s="162">
        <f t="shared" si="416"/>
        <v>0</v>
      </c>
      <c r="W1279" s="162">
        <f t="shared" si="416"/>
        <v>0</v>
      </c>
      <c r="X1279" s="162">
        <f t="shared" si="416"/>
        <v>0</v>
      </c>
      <c r="Y1279" s="162">
        <f t="shared" si="416"/>
        <v>0</v>
      </c>
      <c r="Z1279" s="162">
        <f t="shared" si="416"/>
        <v>0</v>
      </c>
      <c r="AA1279" s="162">
        <f t="shared" si="416"/>
        <v>0</v>
      </c>
      <c r="AB1279" s="163">
        <f t="shared" si="409"/>
        <v>0</v>
      </c>
      <c r="AC1279" s="198"/>
      <c r="AE1279" s="194" t="str">
        <f t="shared" si="413"/>
        <v/>
      </c>
      <c r="AF1279" s="161">
        <f t="shared" si="417"/>
        <v>0</v>
      </c>
      <c r="AG1279" s="162">
        <f t="shared" si="417"/>
        <v>0</v>
      </c>
      <c r="AH1279" s="162">
        <f t="shared" si="417"/>
        <v>0</v>
      </c>
      <c r="AI1279" s="162">
        <f t="shared" si="417"/>
        <v>0</v>
      </c>
      <c r="AJ1279" s="162">
        <f t="shared" si="417"/>
        <v>0</v>
      </c>
      <c r="AK1279" s="162">
        <f t="shared" si="417"/>
        <v>0</v>
      </c>
      <c r="AL1279" s="162">
        <f t="shared" si="417"/>
        <v>0</v>
      </c>
      <c r="AM1279" s="162">
        <f t="shared" si="417"/>
        <v>0</v>
      </c>
      <c r="AN1279" s="162">
        <f t="shared" si="417"/>
        <v>0</v>
      </c>
      <c r="AO1279" s="162">
        <f t="shared" si="417"/>
        <v>0</v>
      </c>
      <c r="AP1279" s="162">
        <f t="shared" si="417"/>
        <v>0</v>
      </c>
      <c r="AQ1279" s="162">
        <f t="shared" si="417"/>
        <v>0</v>
      </c>
      <c r="AR1279" s="163">
        <f t="shared" si="411"/>
        <v>0</v>
      </c>
      <c r="AT1279" s="208">
        <f>IFERROR(VLOOKUP(J1279,#REF!,10,0),0)</f>
        <v>0</v>
      </c>
    </row>
    <row r="1280" spans="1:46" hidden="1" outlineLevel="1" x14ac:dyDescent="0.25">
      <c r="A1280" s="14" t="str">
        <f t="shared" si="414"/>
        <v>PROP_OPER__34</v>
      </c>
      <c r="B1280" s="15" t="str">
        <f t="shared" si="406"/>
        <v>PROP_OPER__0_0</v>
      </c>
      <c r="C1280" s="83"/>
      <c r="D1280" s="15">
        <v>1</v>
      </c>
      <c r="E1280" s="15">
        <v>34</v>
      </c>
      <c r="F1280" s="190">
        <f t="shared" ref="F1280:O1291" si="418">F1234</f>
        <v>0</v>
      </c>
      <c r="G1280" s="149" t="str">
        <f t="shared" si="418"/>
        <v/>
      </c>
      <c r="H1280" s="150" t="str">
        <f t="shared" si="418"/>
        <v/>
      </c>
      <c r="I1280" s="150">
        <f t="shared" si="418"/>
        <v>0</v>
      </c>
      <c r="J1280" s="150">
        <f t="shared" si="418"/>
        <v>0</v>
      </c>
      <c r="K1280" s="196" t="str">
        <f t="shared" si="418"/>
        <v/>
      </c>
      <c r="L1280" s="197" t="str">
        <f t="shared" si="418"/>
        <v/>
      </c>
      <c r="M1280" s="191">
        <f t="shared" si="418"/>
        <v>0</v>
      </c>
      <c r="N1280" s="150">
        <f t="shared" si="418"/>
        <v>0</v>
      </c>
      <c r="O1280" s="193">
        <f t="shared" si="418"/>
        <v>0</v>
      </c>
      <c r="P1280" s="162">
        <f t="shared" si="416"/>
        <v>0</v>
      </c>
      <c r="Q1280" s="162">
        <f t="shared" si="416"/>
        <v>0</v>
      </c>
      <c r="R1280" s="162">
        <f t="shared" si="416"/>
        <v>0</v>
      </c>
      <c r="S1280" s="162">
        <f t="shared" si="416"/>
        <v>0</v>
      </c>
      <c r="T1280" s="162">
        <f t="shared" si="416"/>
        <v>0</v>
      </c>
      <c r="U1280" s="162">
        <f t="shared" si="416"/>
        <v>0</v>
      </c>
      <c r="V1280" s="162">
        <f t="shared" si="416"/>
        <v>0</v>
      </c>
      <c r="W1280" s="162">
        <f t="shared" si="416"/>
        <v>0</v>
      </c>
      <c r="X1280" s="162">
        <f t="shared" si="416"/>
        <v>0</v>
      </c>
      <c r="Y1280" s="162">
        <f t="shared" si="416"/>
        <v>0</v>
      </c>
      <c r="Z1280" s="162">
        <f t="shared" si="416"/>
        <v>0</v>
      </c>
      <c r="AA1280" s="162">
        <f t="shared" si="416"/>
        <v>0</v>
      </c>
      <c r="AB1280" s="163">
        <f t="shared" si="409"/>
        <v>0</v>
      </c>
      <c r="AC1280" s="198"/>
      <c r="AE1280" s="194" t="str">
        <f t="shared" si="413"/>
        <v/>
      </c>
      <c r="AF1280" s="161">
        <f t="shared" si="417"/>
        <v>0</v>
      </c>
      <c r="AG1280" s="162">
        <f t="shared" si="417"/>
        <v>0</v>
      </c>
      <c r="AH1280" s="162">
        <f t="shared" si="417"/>
        <v>0</v>
      </c>
      <c r="AI1280" s="162">
        <f t="shared" si="417"/>
        <v>0</v>
      </c>
      <c r="AJ1280" s="162">
        <f t="shared" si="417"/>
        <v>0</v>
      </c>
      <c r="AK1280" s="162">
        <f t="shared" si="417"/>
        <v>0</v>
      </c>
      <c r="AL1280" s="162">
        <f t="shared" si="417"/>
        <v>0</v>
      </c>
      <c r="AM1280" s="162">
        <f t="shared" si="417"/>
        <v>0</v>
      </c>
      <c r="AN1280" s="162">
        <f t="shared" si="417"/>
        <v>0</v>
      </c>
      <c r="AO1280" s="162">
        <f t="shared" si="417"/>
        <v>0</v>
      </c>
      <c r="AP1280" s="162">
        <f t="shared" si="417"/>
        <v>0</v>
      </c>
      <c r="AQ1280" s="162">
        <f t="shared" si="417"/>
        <v>0</v>
      </c>
      <c r="AR1280" s="163">
        <f t="shared" si="411"/>
        <v>0</v>
      </c>
      <c r="AT1280" s="208">
        <f>IFERROR(VLOOKUP(J1280,#REF!,10,0),0)</f>
        <v>0</v>
      </c>
    </row>
    <row r="1281" spans="1:46" hidden="1" outlineLevel="1" x14ac:dyDescent="0.25">
      <c r="A1281" s="14" t="str">
        <f t="shared" si="414"/>
        <v>PROP_OPER__35</v>
      </c>
      <c r="B1281" s="15" t="str">
        <f t="shared" si="406"/>
        <v>PROP_OPER__0_0</v>
      </c>
      <c r="C1281" s="83"/>
      <c r="D1281" s="15">
        <v>1</v>
      </c>
      <c r="E1281" s="15">
        <v>35</v>
      </c>
      <c r="F1281" s="190">
        <f t="shared" si="418"/>
        <v>0</v>
      </c>
      <c r="G1281" s="149" t="str">
        <f t="shared" si="418"/>
        <v/>
      </c>
      <c r="H1281" s="150" t="str">
        <f t="shared" si="418"/>
        <v/>
      </c>
      <c r="I1281" s="150">
        <f t="shared" si="418"/>
        <v>0</v>
      </c>
      <c r="J1281" s="150">
        <f t="shared" si="418"/>
        <v>0</v>
      </c>
      <c r="K1281" s="196" t="str">
        <f t="shared" si="418"/>
        <v/>
      </c>
      <c r="L1281" s="197" t="str">
        <f t="shared" si="418"/>
        <v/>
      </c>
      <c r="M1281" s="191">
        <f t="shared" si="418"/>
        <v>0</v>
      </c>
      <c r="N1281" s="150">
        <f t="shared" si="418"/>
        <v>0</v>
      </c>
      <c r="O1281" s="193">
        <f t="shared" si="418"/>
        <v>0</v>
      </c>
      <c r="P1281" s="162">
        <f t="shared" ref="P1281:AA1291" si="419">IFERROR(SUMIF($B$483:$B$547,$C1281&amp;$I1281,P$483:P$547)/SUMIF($D$483:$D$547,$I1281,P$483:P$547)*P628,0)</f>
        <v>0</v>
      </c>
      <c r="Q1281" s="162">
        <f t="shared" si="419"/>
        <v>0</v>
      </c>
      <c r="R1281" s="162">
        <f t="shared" si="419"/>
        <v>0</v>
      </c>
      <c r="S1281" s="162">
        <f t="shared" si="419"/>
        <v>0</v>
      </c>
      <c r="T1281" s="162">
        <f t="shared" si="419"/>
        <v>0</v>
      </c>
      <c r="U1281" s="162">
        <f t="shared" si="419"/>
        <v>0</v>
      </c>
      <c r="V1281" s="162">
        <f t="shared" si="419"/>
        <v>0</v>
      </c>
      <c r="W1281" s="162">
        <f t="shared" si="419"/>
        <v>0</v>
      </c>
      <c r="X1281" s="162">
        <f t="shared" si="419"/>
        <v>0</v>
      </c>
      <c r="Y1281" s="162">
        <f t="shared" si="419"/>
        <v>0</v>
      </c>
      <c r="Z1281" s="162">
        <f t="shared" si="419"/>
        <v>0</v>
      </c>
      <c r="AA1281" s="162">
        <f t="shared" si="419"/>
        <v>0</v>
      </c>
      <c r="AB1281" s="163">
        <f t="shared" si="409"/>
        <v>0</v>
      </c>
      <c r="AC1281" s="198"/>
      <c r="AE1281" s="194" t="str">
        <f t="shared" si="413"/>
        <v/>
      </c>
      <c r="AF1281" s="161">
        <f t="shared" ref="AF1281:AQ1291" si="420">IFERROR(SUMIF($B$483:$B$547,$C1281&amp;$I1281,P$483:P$547)/SUMIF($D$483:$D$547,$I1281,P$483:P$547)*AF628,0)</f>
        <v>0</v>
      </c>
      <c r="AG1281" s="162">
        <f t="shared" si="420"/>
        <v>0</v>
      </c>
      <c r="AH1281" s="162">
        <f t="shared" si="420"/>
        <v>0</v>
      </c>
      <c r="AI1281" s="162">
        <f t="shared" si="420"/>
        <v>0</v>
      </c>
      <c r="AJ1281" s="162">
        <f t="shared" si="420"/>
        <v>0</v>
      </c>
      <c r="AK1281" s="162">
        <f t="shared" si="420"/>
        <v>0</v>
      </c>
      <c r="AL1281" s="162">
        <f t="shared" si="420"/>
        <v>0</v>
      </c>
      <c r="AM1281" s="162">
        <f t="shared" si="420"/>
        <v>0</v>
      </c>
      <c r="AN1281" s="162">
        <f t="shared" si="420"/>
        <v>0</v>
      </c>
      <c r="AO1281" s="162">
        <f t="shared" si="420"/>
        <v>0</v>
      </c>
      <c r="AP1281" s="162">
        <f t="shared" si="420"/>
        <v>0</v>
      </c>
      <c r="AQ1281" s="162">
        <f t="shared" si="420"/>
        <v>0</v>
      </c>
      <c r="AR1281" s="163">
        <f t="shared" si="411"/>
        <v>0</v>
      </c>
      <c r="AT1281" s="208">
        <f>IFERROR(VLOOKUP(J1281,#REF!,10,0),0)</f>
        <v>0</v>
      </c>
    </row>
    <row r="1282" spans="1:46" hidden="1" outlineLevel="1" x14ac:dyDescent="0.25">
      <c r="A1282" s="14" t="str">
        <f t="shared" si="414"/>
        <v>PROP_OPER__36</v>
      </c>
      <c r="B1282" s="15" t="str">
        <f t="shared" si="406"/>
        <v>PROP_OPER__0_0</v>
      </c>
      <c r="C1282" s="83"/>
      <c r="D1282" s="15">
        <v>1</v>
      </c>
      <c r="E1282" s="15">
        <v>36</v>
      </c>
      <c r="F1282" s="190">
        <f t="shared" si="418"/>
        <v>0</v>
      </c>
      <c r="G1282" s="149" t="str">
        <f t="shared" si="418"/>
        <v/>
      </c>
      <c r="H1282" s="150" t="str">
        <f t="shared" si="418"/>
        <v/>
      </c>
      <c r="I1282" s="150">
        <f t="shared" si="418"/>
        <v>0</v>
      </c>
      <c r="J1282" s="150">
        <f t="shared" si="418"/>
        <v>0</v>
      </c>
      <c r="K1282" s="196" t="str">
        <f t="shared" si="418"/>
        <v/>
      </c>
      <c r="L1282" s="197" t="str">
        <f t="shared" si="418"/>
        <v/>
      </c>
      <c r="M1282" s="191">
        <f t="shared" si="418"/>
        <v>0</v>
      </c>
      <c r="N1282" s="150">
        <f t="shared" si="418"/>
        <v>0</v>
      </c>
      <c r="O1282" s="193">
        <f t="shared" si="418"/>
        <v>0</v>
      </c>
      <c r="P1282" s="162">
        <f t="shared" si="419"/>
        <v>0</v>
      </c>
      <c r="Q1282" s="162">
        <f t="shared" si="419"/>
        <v>0</v>
      </c>
      <c r="R1282" s="162">
        <f t="shared" si="419"/>
        <v>0</v>
      </c>
      <c r="S1282" s="162">
        <f t="shared" si="419"/>
        <v>0</v>
      </c>
      <c r="T1282" s="162">
        <f t="shared" si="419"/>
        <v>0</v>
      </c>
      <c r="U1282" s="162">
        <f t="shared" si="419"/>
        <v>0</v>
      </c>
      <c r="V1282" s="162">
        <f t="shared" si="419"/>
        <v>0</v>
      </c>
      <c r="W1282" s="162">
        <f t="shared" si="419"/>
        <v>0</v>
      </c>
      <c r="X1282" s="162">
        <f t="shared" si="419"/>
        <v>0</v>
      </c>
      <c r="Y1282" s="162">
        <f t="shared" si="419"/>
        <v>0</v>
      </c>
      <c r="Z1282" s="162">
        <f t="shared" si="419"/>
        <v>0</v>
      </c>
      <c r="AA1282" s="162">
        <f t="shared" si="419"/>
        <v>0</v>
      </c>
      <c r="AB1282" s="163">
        <f t="shared" si="409"/>
        <v>0</v>
      </c>
      <c r="AC1282" s="198"/>
      <c r="AE1282" s="194" t="str">
        <f t="shared" si="413"/>
        <v/>
      </c>
      <c r="AF1282" s="161">
        <f t="shared" si="420"/>
        <v>0</v>
      </c>
      <c r="AG1282" s="162">
        <f t="shared" si="420"/>
        <v>0</v>
      </c>
      <c r="AH1282" s="162">
        <f t="shared" si="420"/>
        <v>0</v>
      </c>
      <c r="AI1282" s="162">
        <f t="shared" si="420"/>
        <v>0</v>
      </c>
      <c r="AJ1282" s="162">
        <f t="shared" si="420"/>
        <v>0</v>
      </c>
      <c r="AK1282" s="162">
        <f t="shared" si="420"/>
        <v>0</v>
      </c>
      <c r="AL1282" s="162">
        <f t="shared" si="420"/>
        <v>0</v>
      </c>
      <c r="AM1282" s="162">
        <f t="shared" si="420"/>
        <v>0</v>
      </c>
      <c r="AN1282" s="162">
        <f t="shared" si="420"/>
        <v>0</v>
      </c>
      <c r="AO1282" s="162">
        <f t="shared" si="420"/>
        <v>0</v>
      </c>
      <c r="AP1282" s="162">
        <f t="shared" si="420"/>
        <v>0</v>
      </c>
      <c r="AQ1282" s="162">
        <f t="shared" si="420"/>
        <v>0</v>
      </c>
      <c r="AR1282" s="163">
        <f t="shared" si="411"/>
        <v>0</v>
      </c>
      <c r="AT1282" s="208">
        <f>IFERROR(VLOOKUP(J1282,#REF!,10,0),0)</f>
        <v>0</v>
      </c>
    </row>
    <row r="1283" spans="1:46" hidden="1" outlineLevel="1" x14ac:dyDescent="0.25">
      <c r="A1283" s="14" t="str">
        <f t="shared" si="414"/>
        <v>PROP_OPER__37</v>
      </c>
      <c r="B1283" s="15" t="str">
        <f t="shared" si="406"/>
        <v>PROP_OPER__0_0</v>
      </c>
      <c r="C1283" s="83"/>
      <c r="D1283" s="15">
        <v>1</v>
      </c>
      <c r="E1283" s="15">
        <v>37</v>
      </c>
      <c r="F1283" s="190">
        <f t="shared" si="418"/>
        <v>0</v>
      </c>
      <c r="G1283" s="149" t="str">
        <f t="shared" si="418"/>
        <v/>
      </c>
      <c r="H1283" s="150" t="str">
        <f t="shared" si="418"/>
        <v/>
      </c>
      <c r="I1283" s="150">
        <f t="shared" si="418"/>
        <v>0</v>
      </c>
      <c r="J1283" s="150">
        <f t="shared" si="418"/>
        <v>0</v>
      </c>
      <c r="K1283" s="196" t="str">
        <f t="shared" si="418"/>
        <v/>
      </c>
      <c r="L1283" s="197" t="str">
        <f t="shared" si="418"/>
        <v/>
      </c>
      <c r="M1283" s="191">
        <f t="shared" si="418"/>
        <v>0</v>
      </c>
      <c r="N1283" s="150">
        <f t="shared" si="418"/>
        <v>0</v>
      </c>
      <c r="O1283" s="193">
        <f t="shared" si="418"/>
        <v>0</v>
      </c>
      <c r="P1283" s="162">
        <f t="shared" si="419"/>
        <v>0</v>
      </c>
      <c r="Q1283" s="162">
        <f t="shared" si="419"/>
        <v>0</v>
      </c>
      <c r="R1283" s="162">
        <f t="shared" si="419"/>
        <v>0</v>
      </c>
      <c r="S1283" s="162">
        <f t="shared" si="419"/>
        <v>0</v>
      </c>
      <c r="T1283" s="162">
        <f t="shared" si="419"/>
        <v>0</v>
      </c>
      <c r="U1283" s="162">
        <f t="shared" si="419"/>
        <v>0</v>
      </c>
      <c r="V1283" s="162">
        <f t="shared" si="419"/>
        <v>0</v>
      </c>
      <c r="W1283" s="162">
        <f t="shared" si="419"/>
        <v>0</v>
      </c>
      <c r="X1283" s="162">
        <f t="shared" si="419"/>
        <v>0</v>
      </c>
      <c r="Y1283" s="162">
        <f t="shared" si="419"/>
        <v>0</v>
      </c>
      <c r="Z1283" s="162">
        <f t="shared" si="419"/>
        <v>0</v>
      </c>
      <c r="AA1283" s="162">
        <f t="shared" si="419"/>
        <v>0</v>
      </c>
      <c r="AB1283" s="163">
        <f t="shared" si="409"/>
        <v>0</v>
      </c>
      <c r="AC1283" s="198"/>
      <c r="AE1283" s="194" t="str">
        <f t="shared" si="413"/>
        <v/>
      </c>
      <c r="AF1283" s="161">
        <f t="shared" si="420"/>
        <v>0</v>
      </c>
      <c r="AG1283" s="162">
        <f t="shared" si="420"/>
        <v>0</v>
      </c>
      <c r="AH1283" s="162">
        <f t="shared" si="420"/>
        <v>0</v>
      </c>
      <c r="AI1283" s="162">
        <f t="shared" si="420"/>
        <v>0</v>
      </c>
      <c r="AJ1283" s="162">
        <f t="shared" si="420"/>
        <v>0</v>
      </c>
      <c r="AK1283" s="162">
        <f t="shared" si="420"/>
        <v>0</v>
      </c>
      <c r="AL1283" s="162">
        <f t="shared" si="420"/>
        <v>0</v>
      </c>
      <c r="AM1283" s="162">
        <f t="shared" si="420"/>
        <v>0</v>
      </c>
      <c r="AN1283" s="162">
        <f t="shared" si="420"/>
        <v>0</v>
      </c>
      <c r="AO1283" s="162">
        <f t="shared" si="420"/>
        <v>0</v>
      </c>
      <c r="AP1283" s="162">
        <f t="shared" si="420"/>
        <v>0</v>
      </c>
      <c r="AQ1283" s="162">
        <f t="shared" si="420"/>
        <v>0</v>
      </c>
      <c r="AR1283" s="163">
        <f t="shared" si="411"/>
        <v>0</v>
      </c>
      <c r="AT1283" s="208">
        <f>IFERROR(VLOOKUP(J1283,#REF!,10,0),0)</f>
        <v>0</v>
      </c>
    </row>
    <row r="1284" spans="1:46" hidden="1" outlineLevel="1" x14ac:dyDescent="0.25">
      <c r="A1284" s="14" t="str">
        <f t="shared" si="414"/>
        <v>PROP_OPER__38</v>
      </c>
      <c r="B1284" s="15" t="str">
        <f t="shared" si="406"/>
        <v>PROP_OPER__0_0</v>
      </c>
      <c r="C1284" s="83"/>
      <c r="D1284" s="15">
        <v>1</v>
      </c>
      <c r="E1284" s="15">
        <v>38</v>
      </c>
      <c r="F1284" s="190">
        <f t="shared" si="418"/>
        <v>0</v>
      </c>
      <c r="G1284" s="149" t="str">
        <f t="shared" si="418"/>
        <v/>
      </c>
      <c r="H1284" s="150" t="str">
        <f t="shared" si="418"/>
        <v/>
      </c>
      <c r="I1284" s="150">
        <f t="shared" si="418"/>
        <v>0</v>
      </c>
      <c r="J1284" s="150">
        <f t="shared" si="418"/>
        <v>0</v>
      </c>
      <c r="K1284" s="196" t="str">
        <f t="shared" si="418"/>
        <v/>
      </c>
      <c r="L1284" s="197" t="str">
        <f t="shared" si="418"/>
        <v/>
      </c>
      <c r="M1284" s="191">
        <f t="shared" si="418"/>
        <v>0</v>
      </c>
      <c r="N1284" s="150">
        <f t="shared" si="418"/>
        <v>0</v>
      </c>
      <c r="O1284" s="193">
        <f t="shared" si="418"/>
        <v>0</v>
      </c>
      <c r="P1284" s="162">
        <f t="shared" si="419"/>
        <v>0</v>
      </c>
      <c r="Q1284" s="162">
        <f t="shared" si="419"/>
        <v>0</v>
      </c>
      <c r="R1284" s="162">
        <f t="shared" si="419"/>
        <v>0</v>
      </c>
      <c r="S1284" s="162">
        <f t="shared" si="419"/>
        <v>0</v>
      </c>
      <c r="T1284" s="162">
        <f t="shared" si="419"/>
        <v>0</v>
      </c>
      <c r="U1284" s="162">
        <f t="shared" si="419"/>
        <v>0</v>
      </c>
      <c r="V1284" s="162">
        <f t="shared" si="419"/>
        <v>0</v>
      </c>
      <c r="W1284" s="162">
        <f t="shared" si="419"/>
        <v>0</v>
      </c>
      <c r="X1284" s="162">
        <f t="shared" si="419"/>
        <v>0</v>
      </c>
      <c r="Y1284" s="162">
        <f t="shared" si="419"/>
        <v>0</v>
      </c>
      <c r="Z1284" s="162">
        <f t="shared" si="419"/>
        <v>0</v>
      </c>
      <c r="AA1284" s="162">
        <f t="shared" si="419"/>
        <v>0</v>
      </c>
      <c r="AB1284" s="163">
        <f t="shared" si="409"/>
        <v>0</v>
      </c>
      <c r="AC1284" s="198"/>
      <c r="AE1284" s="194" t="str">
        <f t="shared" si="413"/>
        <v/>
      </c>
      <c r="AF1284" s="161">
        <f t="shared" si="420"/>
        <v>0</v>
      </c>
      <c r="AG1284" s="162">
        <f t="shared" si="420"/>
        <v>0</v>
      </c>
      <c r="AH1284" s="162">
        <f t="shared" si="420"/>
        <v>0</v>
      </c>
      <c r="AI1284" s="162">
        <f t="shared" si="420"/>
        <v>0</v>
      </c>
      <c r="AJ1284" s="162">
        <f t="shared" si="420"/>
        <v>0</v>
      </c>
      <c r="AK1284" s="162">
        <f t="shared" si="420"/>
        <v>0</v>
      </c>
      <c r="AL1284" s="162">
        <f t="shared" si="420"/>
        <v>0</v>
      </c>
      <c r="AM1284" s="162">
        <f t="shared" si="420"/>
        <v>0</v>
      </c>
      <c r="AN1284" s="162">
        <f t="shared" si="420"/>
        <v>0</v>
      </c>
      <c r="AO1284" s="162">
        <f t="shared" si="420"/>
        <v>0</v>
      </c>
      <c r="AP1284" s="162">
        <f t="shared" si="420"/>
        <v>0</v>
      </c>
      <c r="AQ1284" s="162">
        <f t="shared" si="420"/>
        <v>0</v>
      </c>
      <c r="AR1284" s="163">
        <f t="shared" si="411"/>
        <v>0</v>
      </c>
      <c r="AT1284" s="208">
        <f>IFERROR(VLOOKUP(J1284,#REF!,10,0),0)</f>
        <v>0</v>
      </c>
    </row>
    <row r="1285" spans="1:46" hidden="1" outlineLevel="1" x14ac:dyDescent="0.25">
      <c r="A1285" s="14" t="str">
        <f t="shared" si="414"/>
        <v>PROP_OPER__39</v>
      </c>
      <c r="B1285" s="15" t="str">
        <f t="shared" si="406"/>
        <v>PROP_OPER__0_0</v>
      </c>
      <c r="C1285" s="83"/>
      <c r="D1285" s="15">
        <v>1</v>
      </c>
      <c r="E1285" s="15">
        <v>39</v>
      </c>
      <c r="F1285" s="190">
        <f t="shared" si="418"/>
        <v>0</v>
      </c>
      <c r="G1285" s="149" t="str">
        <f t="shared" si="418"/>
        <v/>
      </c>
      <c r="H1285" s="150" t="str">
        <f t="shared" si="418"/>
        <v/>
      </c>
      <c r="I1285" s="150">
        <f t="shared" si="418"/>
        <v>0</v>
      </c>
      <c r="J1285" s="150">
        <f t="shared" si="418"/>
        <v>0</v>
      </c>
      <c r="K1285" s="196" t="str">
        <f t="shared" si="418"/>
        <v/>
      </c>
      <c r="L1285" s="197" t="str">
        <f t="shared" si="418"/>
        <v/>
      </c>
      <c r="M1285" s="191">
        <f t="shared" si="418"/>
        <v>0</v>
      </c>
      <c r="N1285" s="150">
        <f t="shared" si="418"/>
        <v>0</v>
      </c>
      <c r="O1285" s="193">
        <f t="shared" si="418"/>
        <v>0</v>
      </c>
      <c r="P1285" s="162">
        <f t="shared" si="419"/>
        <v>0</v>
      </c>
      <c r="Q1285" s="162">
        <f t="shared" si="419"/>
        <v>0</v>
      </c>
      <c r="R1285" s="162">
        <f t="shared" si="419"/>
        <v>0</v>
      </c>
      <c r="S1285" s="162">
        <f t="shared" si="419"/>
        <v>0</v>
      </c>
      <c r="T1285" s="162">
        <f t="shared" si="419"/>
        <v>0</v>
      </c>
      <c r="U1285" s="162">
        <f t="shared" si="419"/>
        <v>0</v>
      </c>
      <c r="V1285" s="162">
        <f t="shared" si="419"/>
        <v>0</v>
      </c>
      <c r="W1285" s="162">
        <f t="shared" si="419"/>
        <v>0</v>
      </c>
      <c r="X1285" s="162">
        <f t="shared" si="419"/>
        <v>0</v>
      </c>
      <c r="Y1285" s="162">
        <f t="shared" si="419"/>
        <v>0</v>
      </c>
      <c r="Z1285" s="162">
        <f t="shared" si="419"/>
        <v>0</v>
      </c>
      <c r="AA1285" s="162">
        <f t="shared" si="419"/>
        <v>0</v>
      </c>
      <c r="AB1285" s="163">
        <f t="shared" si="409"/>
        <v>0</v>
      </c>
      <c r="AC1285" s="198"/>
      <c r="AE1285" s="194" t="str">
        <f t="shared" si="413"/>
        <v/>
      </c>
      <c r="AF1285" s="161">
        <f t="shared" si="420"/>
        <v>0</v>
      </c>
      <c r="AG1285" s="162">
        <f t="shared" si="420"/>
        <v>0</v>
      </c>
      <c r="AH1285" s="162">
        <f t="shared" si="420"/>
        <v>0</v>
      </c>
      <c r="AI1285" s="162">
        <f t="shared" si="420"/>
        <v>0</v>
      </c>
      <c r="AJ1285" s="162">
        <f t="shared" si="420"/>
        <v>0</v>
      </c>
      <c r="AK1285" s="162">
        <f t="shared" si="420"/>
        <v>0</v>
      </c>
      <c r="AL1285" s="162">
        <f t="shared" si="420"/>
        <v>0</v>
      </c>
      <c r="AM1285" s="162">
        <f t="shared" si="420"/>
        <v>0</v>
      </c>
      <c r="AN1285" s="162">
        <f t="shared" si="420"/>
        <v>0</v>
      </c>
      <c r="AO1285" s="162">
        <f t="shared" si="420"/>
        <v>0</v>
      </c>
      <c r="AP1285" s="162">
        <f t="shared" si="420"/>
        <v>0</v>
      </c>
      <c r="AQ1285" s="162">
        <f t="shared" si="420"/>
        <v>0</v>
      </c>
      <c r="AR1285" s="163">
        <f t="shared" si="411"/>
        <v>0</v>
      </c>
      <c r="AT1285" s="208">
        <f>IFERROR(VLOOKUP(J1285,#REF!,10,0),0)</f>
        <v>0</v>
      </c>
    </row>
    <row r="1286" spans="1:46" hidden="1" outlineLevel="1" x14ac:dyDescent="0.25">
      <c r="A1286" s="14" t="str">
        <f t="shared" si="414"/>
        <v>PROP_OPER__40</v>
      </c>
      <c r="B1286" s="15" t="str">
        <f t="shared" si="406"/>
        <v>PROP_OPER__0_0</v>
      </c>
      <c r="C1286" s="83"/>
      <c r="D1286" s="15">
        <v>1</v>
      </c>
      <c r="E1286" s="15">
        <v>40</v>
      </c>
      <c r="F1286" s="190">
        <f t="shared" si="418"/>
        <v>0</v>
      </c>
      <c r="G1286" s="149" t="str">
        <f t="shared" si="418"/>
        <v/>
      </c>
      <c r="H1286" s="150" t="str">
        <f t="shared" si="418"/>
        <v/>
      </c>
      <c r="I1286" s="150">
        <f t="shared" si="418"/>
        <v>0</v>
      </c>
      <c r="J1286" s="150">
        <f t="shared" si="418"/>
        <v>0</v>
      </c>
      <c r="K1286" s="196" t="str">
        <f t="shared" si="418"/>
        <v/>
      </c>
      <c r="L1286" s="197" t="str">
        <f t="shared" si="418"/>
        <v/>
      </c>
      <c r="M1286" s="191">
        <f t="shared" si="418"/>
        <v>0</v>
      </c>
      <c r="N1286" s="150">
        <f t="shared" si="418"/>
        <v>0</v>
      </c>
      <c r="O1286" s="193">
        <f t="shared" si="418"/>
        <v>0</v>
      </c>
      <c r="P1286" s="162">
        <f t="shared" si="419"/>
        <v>0</v>
      </c>
      <c r="Q1286" s="162">
        <f t="shared" si="419"/>
        <v>0</v>
      </c>
      <c r="R1286" s="162">
        <f t="shared" si="419"/>
        <v>0</v>
      </c>
      <c r="S1286" s="162">
        <f t="shared" si="419"/>
        <v>0</v>
      </c>
      <c r="T1286" s="162">
        <f t="shared" si="419"/>
        <v>0</v>
      </c>
      <c r="U1286" s="162">
        <f t="shared" si="419"/>
        <v>0</v>
      </c>
      <c r="V1286" s="162">
        <f t="shared" si="419"/>
        <v>0</v>
      </c>
      <c r="W1286" s="162">
        <f t="shared" si="419"/>
        <v>0</v>
      </c>
      <c r="X1286" s="162">
        <f t="shared" si="419"/>
        <v>0</v>
      </c>
      <c r="Y1286" s="162">
        <f t="shared" si="419"/>
        <v>0</v>
      </c>
      <c r="Z1286" s="162">
        <f t="shared" si="419"/>
        <v>0</v>
      </c>
      <c r="AA1286" s="162">
        <f t="shared" si="419"/>
        <v>0</v>
      </c>
      <c r="AB1286" s="163">
        <f t="shared" si="409"/>
        <v>0</v>
      </c>
      <c r="AC1286" s="198"/>
      <c r="AE1286" s="194" t="str">
        <f t="shared" si="413"/>
        <v/>
      </c>
      <c r="AF1286" s="161">
        <f t="shared" si="420"/>
        <v>0</v>
      </c>
      <c r="AG1286" s="162">
        <f t="shared" si="420"/>
        <v>0</v>
      </c>
      <c r="AH1286" s="162">
        <f t="shared" si="420"/>
        <v>0</v>
      </c>
      <c r="AI1286" s="162">
        <f t="shared" si="420"/>
        <v>0</v>
      </c>
      <c r="AJ1286" s="162">
        <f t="shared" si="420"/>
        <v>0</v>
      </c>
      <c r="AK1286" s="162">
        <f t="shared" si="420"/>
        <v>0</v>
      </c>
      <c r="AL1286" s="162">
        <f t="shared" si="420"/>
        <v>0</v>
      </c>
      <c r="AM1286" s="162">
        <f t="shared" si="420"/>
        <v>0</v>
      </c>
      <c r="AN1286" s="162">
        <f t="shared" si="420"/>
        <v>0</v>
      </c>
      <c r="AO1286" s="162">
        <f t="shared" si="420"/>
        <v>0</v>
      </c>
      <c r="AP1286" s="162">
        <f t="shared" si="420"/>
        <v>0</v>
      </c>
      <c r="AQ1286" s="162">
        <f t="shared" si="420"/>
        <v>0</v>
      </c>
      <c r="AR1286" s="163">
        <f t="shared" si="411"/>
        <v>0</v>
      </c>
      <c r="AT1286" s="208">
        <f>IFERROR(VLOOKUP(J1286,#REF!,10,0),0)</f>
        <v>0</v>
      </c>
    </row>
    <row r="1287" spans="1:46" hidden="1" outlineLevel="1" x14ac:dyDescent="0.25">
      <c r="A1287" s="14" t="str">
        <f t="shared" si="414"/>
        <v>PROP_OPER__41</v>
      </c>
      <c r="B1287" s="15" t="str">
        <f t="shared" si="406"/>
        <v>PROP_OPER__0_0</v>
      </c>
      <c r="C1287" s="83"/>
      <c r="D1287" s="15">
        <v>1</v>
      </c>
      <c r="E1287" s="15">
        <v>41</v>
      </c>
      <c r="F1287" s="190">
        <f t="shared" si="418"/>
        <v>0</v>
      </c>
      <c r="G1287" s="149" t="str">
        <f t="shared" si="418"/>
        <v/>
      </c>
      <c r="H1287" s="150" t="str">
        <f t="shared" si="418"/>
        <v/>
      </c>
      <c r="I1287" s="150">
        <f t="shared" si="418"/>
        <v>0</v>
      </c>
      <c r="J1287" s="150">
        <f t="shared" si="418"/>
        <v>0</v>
      </c>
      <c r="K1287" s="196" t="str">
        <f t="shared" si="418"/>
        <v/>
      </c>
      <c r="L1287" s="197" t="str">
        <f t="shared" si="418"/>
        <v/>
      </c>
      <c r="M1287" s="191">
        <f t="shared" si="418"/>
        <v>0</v>
      </c>
      <c r="N1287" s="150">
        <f t="shared" si="418"/>
        <v>0</v>
      </c>
      <c r="O1287" s="193">
        <f t="shared" si="418"/>
        <v>0</v>
      </c>
      <c r="P1287" s="162">
        <f t="shared" si="419"/>
        <v>0</v>
      </c>
      <c r="Q1287" s="162">
        <f t="shared" si="419"/>
        <v>0</v>
      </c>
      <c r="R1287" s="162">
        <f t="shared" si="419"/>
        <v>0</v>
      </c>
      <c r="S1287" s="162">
        <f t="shared" si="419"/>
        <v>0</v>
      </c>
      <c r="T1287" s="162">
        <f t="shared" si="419"/>
        <v>0</v>
      </c>
      <c r="U1287" s="162">
        <f t="shared" si="419"/>
        <v>0</v>
      </c>
      <c r="V1287" s="162">
        <f t="shared" si="419"/>
        <v>0</v>
      </c>
      <c r="W1287" s="162">
        <f t="shared" si="419"/>
        <v>0</v>
      </c>
      <c r="X1287" s="162">
        <f t="shared" si="419"/>
        <v>0</v>
      </c>
      <c r="Y1287" s="162">
        <f t="shared" si="419"/>
        <v>0</v>
      </c>
      <c r="Z1287" s="162">
        <f t="shared" si="419"/>
        <v>0</v>
      </c>
      <c r="AA1287" s="162">
        <f t="shared" si="419"/>
        <v>0</v>
      </c>
      <c r="AB1287" s="163">
        <f t="shared" si="409"/>
        <v>0</v>
      </c>
      <c r="AC1287" s="198"/>
      <c r="AE1287" s="194" t="str">
        <f t="shared" si="413"/>
        <v/>
      </c>
      <c r="AF1287" s="161">
        <f t="shared" si="420"/>
        <v>0</v>
      </c>
      <c r="AG1287" s="162">
        <f t="shared" si="420"/>
        <v>0</v>
      </c>
      <c r="AH1287" s="162">
        <f t="shared" si="420"/>
        <v>0</v>
      </c>
      <c r="AI1287" s="162">
        <f t="shared" si="420"/>
        <v>0</v>
      </c>
      <c r="AJ1287" s="162">
        <f t="shared" si="420"/>
        <v>0</v>
      </c>
      <c r="AK1287" s="162">
        <f t="shared" si="420"/>
        <v>0</v>
      </c>
      <c r="AL1287" s="162">
        <f t="shared" si="420"/>
        <v>0</v>
      </c>
      <c r="AM1287" s="162">
        <f t="shared" si="420"/>
        <v>0</v>
      </c>
      <c r="AN1287" s="162">
        <f t="shared" si="420"/>
        <v>0</v>
      </c>
      <c r="AO1287" s="162">
        <f t="shared" si="420"/>
        <v>0</v>
      </c>
      <c r="AP1287" s="162">
        <f t="shared" si="420"/>
        <v>0</v>
      </c>
      <c r="AQ1287" s="162">
        <f t="shared" si="420"/>
        <v>0</v>
      </c>
      <c r="AR1287" s="163">
        <f t="shared" si="411"/>
        <v>0</v>
      </c>
      <c r="AT1287" s="208">
        <f>IFERROR(VLOOKUP(J1287,#REF!,10,0),0)</f>
        <v>0</v>
      </c>
    </row>
    <row r="1288" spans="1:46" hidden="1" outlineLevel="1" x14ac:dyDescent="0.25">
      <c r="A1288" s="14" t="str">
        <f t="shared" si="414"/>
        <v>PROP_OPER__42</v>
      </c>
      <c r="B1288" s="15" t="str">
        <f t="shared" si="406"/>
        <v>PROP_OPER__0_0</v>
      </c>
      <c r="C1288" s="83"/>
      <c r="D1288" s="15">
        <v>1</v>
      </c>
      <c r="E1288" s="15">
        <v>42</v>
      </c>
      <c r="F1288" s="190">
        <f t="shared" si="418"/>
        <v>0</v>
      </c>
      <c r="G1288" s="149" t="str">
        <f t="shared" si="418"/>
        <v/>
      </c>
      <c r="H1288" s="150" t="str">
        <f t="shared" si="418"/>
        <v/>
      </c>
      <c r="I1288" s="150">
        <f t="shared" si="418"/>
        <v>0</v>
      </c>
      <c r="J1288" s="150">
        <f t="shared" si="418"/>
        <v>0</v>
      </c>
      <c r="K1288" s="196" t="str">
        <f t="shared" si="418"/>
        <v/>
      </c>
      <c r="L1288" s="197" t="str">
        <f t="shared" si="418"/>
        <v/>
      </c>
      <c r="M1288" s="191">
        <f t="shared" si="418"/>
        <v>0</v>
      </c>
      <c r="N1288" s="150">
        <f t="shared" si="418"/>
        <v>0</v>
      </c>
      <c r="O1288" s="193">
        <f t="shared" si="418"/>
        <v>0</v>
      </c>
      <c r="P1288" s="162">
        <f t="shared" si="419"/>
        <v>0</v>
      </c>
      <c r="Q1288" s="162">
        <f t="shared" si="419"/>
        <v>0</v>
      </c>
      <c r="R1288" s="162">
        <f t="shared" si="419"/>
        <v>0</v>
      </c>
      <c r="S1288" s="162">
        <f t="shared" si="419"/>
        <v>0</v>
      </c>
      <c r="T1288" s="162">
        <f t="shared" si="419"/>
        <v>0</v>
      </c>
      <c r="U1288" s="162">
        <f t="shared" si="419"/>
        <v>0</v>
      </c>
      <c r="V1288" s="162">
        <f t="shared" si="419"/>
        <v>0</v>
      </c>
      <c r="W1288" s="162">
        <f t="shared" si="419"/>
        <v>0</v>
      </c>
      <c r="X1288" s="162">
        <f t="shared" si="419"/>
        <v>0</v>
      </c>
      <c r="Y1288" s="162">
        <f t="shared" si="419"/>
        <v>0</v>
      </c>
      <c r="Z1288" s="162">
        <f t="shared" si="419"/>
        <v>0</v>
      </c>
      <c r="AA1288" s="162">
        <f t="shared" si="419"/>
        <v>0</v>
      </c>
      <c r="AB1288" s="163">
        <f t="shared" si="409"/>
        <v>0</v>
      </c>
      <c r="AC1288" s="198"/>
      <c r="AE1288" s="194" t="str">
        <f t="shared" si="413"/>
        <v/>
      </c>
      <c r="AF1288" s="161">
        <f t="shared" si="420"/>
        <v>0</v>
      </c>
      <c r="AG1288" s="162">
        <f t="shared" si="420"/>
        <v>0</v>
      </c>
      <c r="AH1288" s="162">
        <f t="shared" si="420"/>
        <v>0</v>
      </c>
      <c r="AI1288" s="162">
        <f t="shared" si="420"/>
        <v>0</v>
      </c>
      <c r="AJ1288" s="162">
        <f t="shared" si="420"/>
        <v>0</v>
      </c>
      <c r="AK1288" s="162">
        <f t="shared" si="420"/>
        <v>0</v>
      </c>
      <c r="AL1288" s="162">
        <f t="shared" si="420"/>
        <v>0</v>
      </c>
      <c r="AM1288" s="162">
        <f t="shared" si="420"/>
        <v>0</v>
      </c>
      <c r="AN1288" s="162">
        <f t="shared" si="420"/>
        <v>0</v>
      </c>
      <c r="AO1288" s="162">
        <f t="shared" si="420"/>
        <v>0</v>
      </c>
      <c r="AP1288" s="162">
        <f t="shared" si="420"/>
        <v>0</v>
      </c>
      <c r="AQ1288" s="162">
        <f t="shared" si="420"/>
        <v>0</v>
      </c>
      <c r="AR1288" s="163">
        <f t="shared" si="411"/>
        <v>0</v>
      </c>
      <c r="AT1288" s="208">
        <f>IFERROR(VLOOKUP(J1288,#REF!,10,0),0)</f>
        <v>0</v>
      </c>
    </row>
    <row r="1289" spans="1:46" hidden="1" outlineLevel="1" x14ac:dyDescent="0.25">
      <c r="A1289" s="14" t="str">
        <f t="shared" si="414"/>
        <v>PROP_OPER__43</v>
      </c>
      <c r="B1289" s="15" t="str">
        <f t="shared" si="406"/>
        <v>PROP_OPER__0_0</v>
      </c>
      <c r="C1289" s="83"/>
      <c r="D1289" s="15">
        <v>1</v>
      </c>
      <c r="E1289" s="15">
        <v>43</v>
      </c>
      <c r="F1289" s="190">
        <f t="shared" si="418"/>
        <v>0</v>
      </c>
      <c r="G1289" s="149" t="str">
        <f t="shared" si="418"/>
        <v/>
      </c>
      <c r="H1289" s="150" t="str">
        <f t="shared" si="418"/>
        <v/>
      </c>
      <c r="I1289" s="150">
        <f t="shared" si="418"/>
        <v>0</v>
      </c>
      <c r="J1289" s="150">
        <f t="shared" si="418"/>
        <v>0</v>
      </c>
      <c r="K1289" s="196" t="str">
        <f t="shared" si="418"/>
        <v/>
      </c>
      <c r="L1289" s="197" t="str">
        <f t="shared" si="418"/>
        <v/>
      </c>
      <c r="M1289" s="191">
        <f t="shared" si="418"/>
        <v>0</v>
      </c>
      <c r="N1289" s="150">
        <f t="shared" si="418"/>
        <v>0</v>
      </c>
      <c r="O1289" s="193">
        <f t="shared" si="418"/>
        <v>0</v>
      </c>
      <c r="P1289" s="162">
        <f t="shared" si="419"/>
        <v>0</v>
      </c>
      <c r="Q1289" s="162">
        <f t="shared" si="419"/>
        <v>0</v>
      </c>
      <c r="R1289" s="162">
        <f t="shared" si="419"/>
        <v>0</v>
      </c>
      <c r="S1289" s="162">
        <f t="shared" si="419"/>
        <v>0</v>
      </c>
      <c r="T1289" s="162">
        <f t="shared" si="419"/>
        <v>0</v>
      </c>
      <c r="U1289" s="162">
        <f t="shared" si="419"/>
        <v>0</v>
      </c>
      <c r="V1289" s="162">
        <f t="shared" si="419"/>
        <v>0</v>
      </c>
      <c r="W1289" s="162">
        <f t="shared" si="419"/>
        <v>0</v>
      </c>
      <c r="X1289" s="162">
        <f t="shared" si="419"/>
        <v>0</v>
      </c>
      <c r="Y1289" s="162">
        <f t="shared" si="419"/>
        <v>0</v>
      </c>
      <c r="Z1289" s="162">
        <f t="shared" si="419"/>
        <v>0</v>
      </c>
      <c r="AA1289" s="162">
        <f t="shared" si="419"/>
        <v>0</v>
      </c>
      <c r="AB1289" s="163">
        <f t="shared" si="409"/>
        <v>0</v>
      </c>
      <c r="AC1289" s="198"/>
      <c r="AE1289" s="194" t="str">
        <f t="shared" si="413"/>
        <v/>
      </c>
      <c r="AF1289" s="161">
        <f t="shared" si="420"/>
        <v>0</v>
      </c>
      <c r="AG1289" s="162">
        <f t="shared" si="420"/>
        <v>0</v>
      </c>
      <c r="AH1289" s="162">
        <f t="shared" si="420"/>
        <v>0</v>
      </c>
      <c r="AI1289" s="162">
        <f t="shared" si="420"/>
        <v>0</v>
      </c>
      <c r="AJ1289" s="162">
        <f t="shared" si="420"/>
        <v>0</v>
      </c>
      <c r="AK1289" s="162">
        <f t="shared" si="420"/>
        <v>0</v>
      </c>
      <c r="AL1289" s="162">
        <f t="shared" si="420"/>
        <v>0</v>
      </c>
      <c r="AM1289" s="162">
        <f t="shared" si="420"/>
        <v>0</v>
      </c>
      <c r="AN1289" s="162">
        <f t="shared" si="420"/>
        <v>0</v>
      </c>
      <c r="AO1289" s="162">
        <f t="shared" si="420"/>
        <v>0</v>
      </c>
      <c r="AP1289" s="162">
        <f t="shared" si="420"/>
        <v>0</v>
      </c>
      <c r="AQ1289" s="162">
        <f t="shared" si="420"/>
        <v>0</v>
      </c>
      <c r="AR1289" s="163">
        <f t="shared" si="411"/>
        <v>0</v>
      </c>
      <c r="AT1289" s="208">
        <f>IFERROR(VLOOKUP(J1289,#REF!,10,0),0)</f>
        <v>0</v>
      </c>
    </row>
    <row r="1290" spans="1:46" hidden="1" outlineLevel="1" x14ac:dyDescent="0.25">
      <c r="A1290" s="14" t="str">
        <f t="shared" si="414"/>
        <v>PROP_OPER__44</v>
      </c>
      <c r="B1290" s="15" t="str">
        <f t="shared" si="406"/>
        <v>PROP_OPER__0_0</v>
      </c>
      <c r="C1290" s="83"/>
      <c r="D1290" s="15">
        <v>1</v>
      </c>
      <c r="E1290" s="15">
        <v>44</v>
      </c>
      <c r="F1290" s="190">
        <f t="shared" si="418"/>
        <v>0</v>
      </c>
      <c r="G1290" s="149" t="str">
        <f t="shared" si="418"/>
        <v/>
      </c>
      <c r="H1290" s="150" t="str">
        <f t="shared" si="418"/>
        <v/>
      </c>
      <c r="I1290" s="150">
        <f t="shared" si="418"/>
        <v>0</v>
      </c>
      <c r="J1290" s="150">
        <f t="shared" si="418"/>
        <v>0</v>
      </c>
      <c r="K1290" s="196" t="str">
        <f t="shared" si="418"/>
        <v/>
      </c>
      <c r="L1290" s="197" t="str">
        <f t="shared" si="418"/>
        <v/>
      </c>
      <c r="M1290" s="191">
        <f t="shared" si="418"/>
        <v>0</v>
      </c>
      <c r="N1290" s="150">
        <f t="shared" si="418"/>
        <v>0</v>
      </c>
      <c r="O1290" s="193">
        <f t="shared" si="418"/>
        <v>0</v>
      </c>
      <c r="P1290" s="162">
        <f t="shared" si="419"/>
        <v>0</v>
      </c>
      <c r="Q1290" s="162">
        <f t="shared" si="419"/>
        <v>0</v>
      </c>
      <c r="R1290" s="162">
        <f t="shared" si="419"/>
        <v>0</v>
      </c>
      <c r="S1290" s="162">
        <f t="shared" si="419"/>
        <v>0</v>
      </c>
      <c r="T1290" s="162">
        <f t="shared" si="419"/>
        <v>0</v>
      </c>
      <c r="U1290" s="162">
        <f t="shared" si="419"/>
        <v>0</v>
      </c>
      <c r="V1290" s="162">
        <f t="shared" si="419"/>
        <v>0</v>
      </c>
      <c r="W1290" s="162">
        <f t="shared" si="419"/>
        <v>0</v>
      </c>
      <c r="X1290" s="162">
        <f t="shared" si="419"/>
        <v>0</v>
      </c>
      <c r="Y1290" s="162">
        <f t="shared" si="419"/>
        <v>0</v>
      </c>
      <c r="Z1290" s="162">
        <f t="shared" si="419"/>
        <v>0</v>
      </c>
      <c r="AA1290" s="162">
        <f t="shared" si="419"/>
        <v>0</v>
      </c>
      <c r="AB1290" s="163">
        <f t="shared" si="409"/>
        <v>0</v>
      </c>
      <c r="AC1290" s="198"/>
      <c r="AE1290" s="194" t="str">
        <f t="shared" si="413"/>
        <v/>
      </c>
      <c r="AF1290" s="161">
        <f t="shared" si="420"/>
        <v>0</v>
      </c>
      <c r="AG1290" s="162">
        <f t="shared" si="420"/>
        <v>0</v>
      </c>
      <c r="AH1290" s="162">
        <f t="shared" si="420"/>
        <v>0</v>
      </c>
      <c r="AI1290" s="162">
        <f t="shared" si="420"/>
        <v>0</v>
      </c>
      <c r="AJ1290" s="162">
        <f t="shared" si="420"/>
        <v>0</v>
      </c>
      <c r="AK1290" s="162">
        <f t="shared" si="420"/>
        <v>0</v>
      </c>
      <c r="AL1290" s="162">
        <f t="shared" si="420"/>
        <v>0</v>
      </c>
      <c r="AM1290" s="162">
        <f t="shared" si="420"/>
        <v>0</v>
      </c>
      <c r="AN1290" s="162">
        <f t="shared" si="420"/>
        <v>0</v>
      </c>
      <c r="AO1290" s="162">
        <f t="shared" si="420"/>
        <v>0</v>
      </c>
      <c r="AP1290" s="162">
        <f t="shared" si="420"/>
        <v>0</v>
      </c>
      <c r="AQ1290" s="162">
        <f t="shared" si="420"/>
        <v>0</v>
      </c>
      <c r="AR1290" s="163">
        <f t="shared" si="411"/>
        <v>0</v>
      </c>
      <c r="AT1290" s="208">
        <f>IFERROR(VLOOKUP(J1290,#REF!,10,0),0)</f>
        <v>0</v>
      </c>
    </row>
    <row r="1291" spans="1:46" hidden="1" outlineLevel="1" x14ac:dyDescent="0.25">
      <c r="A1291" s="14" t="str">
        <f t="shared" si="414"/>
        <v>PROP_OPER__45</v>
      </c>
      <c r="B1291" s="15" t="str">
        <f t="shared" si="406"/>
        <v>PROP_OPER__0_0</v>
      </c>
      <c r="C1291" s="83"/>
      <c r="D1291" s="15">
        <v>1</v>
      </c>
      <c r="E1291" s="15">
        <v>45</v>
      </c>
      <c r="F1291" s="209">
        <f t="shared" si="418"/>
        <v>0</v>
      </c>
      <c r="G1291" s="183" t="str">
        <f t="shared" si="418"/>
        <v/>
      </c>
      <c r="H1291" s="184" t="str">
        <f t="shared" si="418"/>
        <v/>
      </c>
      <c r="I1291" s="184">
        <f t="shared" si="418"/>
        <v>0</v>
      </c>
      <c r="J1291" s="184">
        <f t="shared" si="418"/>
        <v>0</v>
      </c>
      <c r="K1291" s="210" t="str">
        <f t="shared" si="418"/>
        <v/>
      </c>
      <c r="L1291" s="211" t="str">
        <f t="shared" si="418"/>
        <v/>
      </c>
      <c r="M1291" s="212">
        <f t="shared" si="418"/>
        <v>0</v>
      </c>
      <c r="N1291" s="184">
        <f t="shared" si="418"/>
        <v>0</v>
      </c>
      <c r="O1291" s="213">
        <f t="shared" si="418"/>
        <v>0</v>
      </c>
      <c r="P1291" s="175">
        <f t="shared" si="419"/>
        <v>0</v>
      </c>
      <c r="Q1291" s="175">
        <f t="shared" si="419"/>
        <v>0</v>
      </c>
      <c r="R1291" s="175">
        <f t="shared" si="419"/>
        <v>0</v>
      </c>
      <c r="S1291" s="175">
        <f t="shared" si="419"/>
        <v>0</v>
      </c>
      <c r="T1291" s="175">
        <f t="shared" si="419"/>
        <v>0</v>
      </c>
      <c r="U1291" s="175">
        <f t="shared" si="419"/>
        <v>0</v>
      </c>
      <c r="V1291" s="175">
        <f t="shared" si="419"/>
        <v>0</v>
      </c>
      <c r="W1291" s="175">
        <f t="shared" si="419"/>
        <v>0</v>
      </c>
      <c r="X1291" s="175">
        <f t="shared" si="419"/>
        <v>0</v>
      </c>
      <c r="Y1291" s="175">
        <f t="shared" si="419"/>
        <v>0</v>
      </c>
      <c r="Z1291" s="175">
        <f t="shared" si="419"/>
        <v>0</v>
      </c>
      <c r="AA1291" s="175">
        <f t="shared" si="419"/>
        <v>0</v>
      </c>
      <c r="AB1291" s="176">
        <f t="shared" si="409"/>
        <v>0</v>
      </c>
      <c r="AC1291" s="172"/>
      <c r="AE1291" s="195" t="str">
        <f t="shared" si="413"/>
        <v/>
      </c>
      <c r="AF1291" s="174">
        <f t="shared" si="420"/>
        <v>0</v>
      </c>
      <c r="AG1291" s="175">
        <f t="shared" si="420"/>
        <v>0</v>
      </c>
      <c r="AH1291" s="175">
        <f t="shared" si="420"/>
        <v>0</v>
      </c>
      <c r="AI1291" s="175">
        <f t="shared" si="420"/>
        <v>0</v>
      </c>
      <c r="AJ1291" s="175">
        <f t="shared" si="420"/>
        <v>0</v>
      </c>
      <c r="AK1291" s="175">
        <f t="shared" si="420"/>
        <v>0</v>
      </c>
      <c r="AL1291" s="175">
        <f t="shared" si="420"/>
        <v>0</v>
      </c>
      <c r="AM1291" s="175">
        <f t="shared" si="420"/>
        <v>0</v>
      </c>
      <c r="AN1291" s="175">
        <f t="shared" si="420"/>
        <v>0</v>
      </c>
      <c r="AO1291" s="175">
        <f t="shared" si="420"/>
        <v>0</v>
      </c>
      <c r="AP1291" s="175">
        <f t="shared" si="420"/>
        <v>0</v>
      </c>
      <c r="AQ1291" s="175">
        <f t="shared" si="420"/>
        <v>0</v>
      </c>
      <c r="AR1291" s="176">
        <f t="shared" si="411"/>
        <v>0</v>
      </c>
      <c r="AT1291" s="208">
        <f>IFERROR(VLOOKUP(J1291,#REF!,10,0),0)</f>
        <v>0</v>
      </c>
    </row>
    <row r="1292" spans="1:46" hidden="1" outlineLevel="1" x14ac:dyDescent="0.25">
      <c r="A1292" s="14" t="str">
        <f t="shared" si="414"/>
        <v>PROP_OPER__</v>
      </c>
      <c r="F1292" s="137" t="s">
        <v>285</v>
      </c>
      <c r="G1292" s="138"/>
      <c r="H1292" s="139" t="s">
        <v>217</v>
      </c>
      <c r="I1292" s="139"/>
      <c r="J1292" s="139" t="s">
        <v>229</v>
      </c>
      <c r="K1292" s="140"/>
      <c r="L1292" s="141"/>
      <c r="M1292" s="142" t="s">
        <v>220</v>
      </c>
      <c r="N1292" s="139" t="s">
        <v>221</v>
      </c>
      <c r="O1292" s="143" t="s">
        <v>222</v>
      </c>
      <c r="P1292" s="35">
        <f t="shared" ref="P1292:AA1292" si="421">P$9</f>
        <v>46113</v>
      </c>
      <c r="Q1292" s="35">
        <f t="shared" si="421"/>
        <v>46143</v>
      </c>
      <c r="R1292" s="35">
        <f t="shared" si="421"/>
        <v>46174</v>
      </c>
      <c r="S1292" s="35">
        <f t="shared" si="421"/>
        <v>46204</v>
      </c>
      <c r="T1292" s="35">
        <f t="shared" si="421"/>
        <v>46235</v>
      </c>
      <c r="U1292" s="35">
        <f t="shared" si="421"/>
        <v>46266</v>
      </c>
      <c r="V1292" s="35">
        <f t="shared" si="421"/>
        <v>46296</v>
      </c>
      <c r="W1292" s="35">
        <f t="shared" si="421"/>
        <v>46327</v>
      </c>
      <c r="X1292" s="35">
        <f t="shared" si="421"/>
        <v>46357</v>
      </c>
      <c r="Y1292" s="35">
        <f t="shared" si="421"/>
        <v>46388</v>
      </c>
      <c r="Z1292" s="35">
        <f t="shared" si="421"/>
        <v>46419</v>
      </c>
      <c r="AA1292" s="35">
        <f t="shared" si="421"/>
        <v>46447</v>
      </c>
      <c r="AB1292" s="81" t="s">
        <v>223</v>
      </c>
      <c r="AC1292" s="82" t="s">
        <v>192</v>
      </c>
      <c r="AE1292" s="189" t="str">
        <f>"Qtde Recursos em: "&amp;F1292</f>
        <v>Qtde Recursos em: PLANTIO MECANIZADO - FORNECEDOR</v>
      </c>
      <c r="AF1292" s="147">
        <f>P1292</f>
        <v>46113</v>
      </c>
      <c r="AG1292" s="35">
        <f t="shared" ref="AG1292:AQ1292" si="422">Q1292</f>
        <v>46143</v>
      </c>
      <c r="AH1292" s="35">
        <f t="shared" si="422"/>
        <v>46174</v>
      </c>
      <c r="AI1292" s="35">
        <f t="shared" si="422"/>
        <v>46204</v>
      </c>
      <c r="AJ1292" s="35">
        <f t="shared" si="422"/>
        <v>46235</v>
      </c>
      <c r="AK1292" s="35">
        <f t="shared" si="422"/>
        <v>46266</v>
      </c>
      <c r="AL1292" s="35">
        <f t="shared" si="422"/>
        <v>46296</v>
      </c>
      <c r="AM1292" s="35">
        <f t="shared" si="422"/>
        <v>46327</v>
      </c>
      <c r="AN1292" s="35">
        <f t="shared" si="422"/>
        <v>46357</v>
      </c>
      <c r="AO1292" s="35">
        <f t="shared" si="422"/>
        <v>46388</v>
      </c>
      <c r="AP1292" s="35">
        <f t="shared" si="422"/>
        <v>46419</v>
      </c>
      <c r="AQ1292" s="35">
        <f t="shared" si="422"/>
        <v>46447</v>
      </c>
      <c r="AR1292" s="81" t="s">
        <v>223</v>
      </c>
      <c r="AT1292" s="189" t="s">
        <v>258</v>
      </c>
    </row>
    <row r="1293" spans="1:46" hidden="1" outlineLevel="1" x14ac:dyDescent="0.25">
      <c r="A1293" s="14" t="str">
        <f t="shared" si="414"/>
        <v>PROP_OPER__1</v>
      </c>
      <c r="B1293" s="15" t="str">
        <f t="shared" ref="B1293:B1337" si="423">"PROP_OPER_"&amp;C1293&amp;"_"&amp;F1293&amp;"_"&amp;J1293</f>
        <v>PROP_OPER__1018_0</v>
      </c>
      <c r="C1293" s="83"/>
      <c r="D1293" s="15">
        <v>1</v>
      </c>
      <c r="E1293" s="15">
        <v>1</v>
      </c>
      <c r="F1293" s="190">
        <f>F1247</f>
        <v>1018</v>
      </c>
      <c r="G1293" s="149" t="str">
        <f t="shared" ref="G1293:O1293" si="424">G1247</f>
        <v/>
      </c>
      <c r="H1293" s="150" t="str">
        <f t="shared" si="424"/>
        <v/>
      </c>
      <c r="I1293" s="150" t="str">
        <f t="shared" si="424"/>
        <v>PLANCP</v>
      </c>
      <c r="J1293" s="150">
        <f t="shared" si="424"/>
        <v>0</v>
      </c>
      <c r="K1293" s="196" t="str">
        <f t="shared" si="424"/>
        <v/>
      </c>
      <c r="L1293" s="197" t="str">
        <f t="shared" si="424"/>
        <v/>
      </c>
      <c r="M1293" s="191">
        <f t="shared" si="424"/>
        <v>0</v>
      </c>
      <c r="N1293" s="150">
        <f t="shared" si="424"/>
        <v>0</v>
      </c>
      <c r="O1293" s="193">
        <f t="shared" si="424"/>
        <v>1</v>
      </c>
      <c r="P1293" s="162">
        <f t="shared" ref="P1293:AA1306" si="425">IFERROR(SUMIF($B$483:$B$547,$C1293&amp;$I1293,P$483:P$547)/SUMIF($D$483:$D$547,$I1293,P$483:P$547)*P598,0)</f>
        <v>0</v>
      </c>
      <c r="Q1293" s="162">
        <f t="shared" si="425"/>
        <v>0</v>
      </c>
      <c r="R1293" s="162">
        <f t="shared" si="425"/>
        <v>0</v>
      </c>
      <c r="S1293" s="162">
        <f t="shared" si="425"/>
        <v>0</v>
      </c>
      <c r="T1293" s="162">
        <f t="shared" si="425"/>
        <v>0</v>
      </c>
      <c r="U1293" s="162">
        <f t="shared" si="425"/>
        <v>0</v>
      </c>
      <c r="V1293" s="162">
        <f t="shared" si="425"/>
        <v>0</v>
      </c>
      <c r="W1293" s="162">
        <f t="shared" si="425"/>
        <v>0</v>
      </c>
      <c r="X1293" s="162">
        <f t="shared" si="425"/>
        <v>0</v>
      </c>
      <c r="Y1293" s="162">
        <f t="shared" si="425"/>
        <v>0</v>
      </c>
      <c r="Z1293" s="162">
        <f t="shared" si="425"/>
        <v>0</v>
      </c>
      <c r="AA1293" s="162">
        <f t="shared" si="425"/>
        <v>0</v>
      </c>
      <c r="AB1293" s="163">
        <f t="shared" ref="AB1293:AB1337" si="426">SUM(P1293:AA1293)</f>
        <v>0</v>
      </c>
      <c r="AC1293" s="198"/>
      <c r="AE1293" s="194" t="str">
        <f>AE1247</f>
        <v/>
      </c>
      <c r="AF1293" s="161">
        <f t="shared" ref="AF1293:AQ1306" si="427">IFERROR(SUMIF($B$483:$B$547,$C1293&amp;$I1293,P$483:P$547)/SUMIF($D$483:$D$547,$I1293,P$483:P$547)*AF598,0)</f>
        <v>0</v>
      </c>
      <c r="AG1293" s="162">
        <f t="shared" si="427"/>
        <v>0</v>
      </c>
      <c r="AH1293" s="162">
        <f t="shared" si="427"/>
        <v>0</v>
      </c>
      <c r="AI1293" s="162">
        <f t="shared" si="427"/>
        <v>0</v>
      </c>
      <c r="AJ1293" s="162">
        <f t="shared" si="427"/>
        <v>0</v>
      </c>
      <c r="AK1293" s="162">
        <f t="shared" si="427"/>
        <v>0</v>
      </c>
      <c r="AL1293" s="162">
        <f t="shared" si="427"/>
        <v>0</v>
      </c>
      <c r="AM1293" s="162">
        <f t="shared" si="427"/>
        <v>0</v>
      </c>
      <c r="AN1293" s="162">
        <f t="shared" si="427"/>
        <v>0</v>
      </c>
      <c r="AO1293" s="162">
        <f t="shared" si="427"/>
        <v>0</v>
      </c>
      <c r="AP1293" s="162">
        <f t="shared" si="427"/>
        <v>0</v>
      </c>
      <c r="AQ1293" s="162">
        <f t="shared" si="427"/>
        <v>0</v>
      </c>
      <c r="AR1293" s="163">
        <f t="shared" ref="AR1293:AR1337" si="428">SUM(AF1293:AQ1293)</f>
        <v>0</v>
      </c>
      <c r="AT1293" s="207">
        <f>IFERROR(VLOOKUP(J1293,#REF!,10,0),0)</f>
        <v>0</v>
      </c>
    </row>
    <row r="1294" spans="1:46" hidden="1" outlineLevel="1" x14ac:dyDescent="0.25">
      <c r="A1294" s="14" t="str">
        <f t="shared" si="414"/>
        <v>PROP_OPER__2</v>
      </c>
      <c r="B1294" s="15" t="str">
        <f t="shared" si="423"/>
        <v>PROP_OPER__1023_0</v>
      </c>
      <c r="C1294" s="83"/>
      <c r="D1294" s="15">
        <v>1</v>
      </c>
      <c r="E1294" s="15">
        <v>2</v>
      </c>
      <c r="F1294" s="190">
        <f t="shared" ref="F1294:O1309" si="429">F1248</f>
        <v>1023</v>
      </c>
      <c r="G1294" s="149" t="str">
        <f t="shared" si="429"/>
        <v/>
      </c>
      <c r="H1294" s="150" t="str">
        <f t="shared" si="429"/>
        <v/>
      </c>
      <c r="I1294" s="150" t="str">
        <f t="shared" si="429"/>
        <v>PLANCP</v>
      </c>
      <c r="J1294" s="150">
        <f t="shared" si="429"/>
        <v>0</v>
      </c>
      <c r="K1294" s="196" t="str">
        <f t="shared" si="429"/>
        <v/>
      </c>
      <c r="L1294" s="197" t="str">
        <f t="shared" si="429"/>
        <v/>
      </c>
      <c r="M1294" s="191">
        <f t="shared" si="429"/>
        <v>0</v>
      </c>
      <c r="N1294" s="150">
        <f t="shared" si="429"/>
        <v>0</v>
      </c>
      <c r="O1294" s="193">
        <f t="shared" si="429"/>
        <v>1</v>
      </c>
      <c r="P1294" s="162">
        <f t="shared" si="425"/>
        <v>0</v>
      </c>
      <c r="Q1294" s="162">
        <f t="shared" si="425"/>
        <v>0</v>
      </c>
      <c r="R1294" s="162">
        <f t="shared" si="425"/>
        <v>0</v>
      </c>
      <c r="S1294" s="162">
        <f t="shared" si="425"/>
        <v>0</v>
      </c>
      <c r="T1294" s="162">
        <f t="shared" si="425"/>
        <v>0</v>
      </c>
      <c r="U1294" s="162">
        <f t="shared" si="425"/>
        <v>0</v>
      </c>
      <c r="V1294" s="162">
        <f t="shared" si="425"/>
        <v>0</v>
      </c>
      <c r="W1294" s="162">
        <f t="shared" si="425"/>
        <v>0</v>
      </c>
      <c r="X1294" s="162">
        <f t="shared" si="425"/>
        <v>0</v>
      </c>
      <c r="Y1294" s="162">
        <f t="shared" si="425"/>
        <v>0</v>
      </c>
      <c r="Z1294" s="162">
        <f t="shared" si="425"/>
        <v>0</v>
      </c>
      <c r="AA1294" s="162">
        <f t="shared" si="425"/>
        <v>0</v>
      </c>
      <c r="AB1294" s="163">
        <f t="shared" si="426"/>
        <v>0</v>
      </c>
      <c r="AC1294" s="198"/>
      <c r="AE1294" s="194" t="str">
        <f t="shared" ref="AE1294:AE1337" si="430">AE1248</f>
        <v/>
      </c>
      <c r="AF1294" s="161">
        <f t="shared" si="427"/>
        <v>0</v>
      </c>
      <c r="AG1294" s="162">
        <f t="shared" si="427"/>
        <v>0</v>
      </c>
      <c r="AH1294" s="162">
        <f t="shared" si="427"/>
        <v>0</v>
      </c>
      <c r="AI1294" s="162">
        <f t="shared" si="427"/>
        <v>0</v>
      </c>
      <c r="AJ1294" s="162">
        <f t="shared" si="427"/>
        <v>0</v>
      </c>
      <c r="AK1294" s="162">
        <f t="shared" si="427"/>
        <v>0</v>
      </c>
      <c r="AL1294" s="162">
        <f t="shared" si="427"/>
        <v>0</v>
      </c>
      <c r="AM1294" s="162">
        <f t="shared" si="427"/>
        <v>0</v>
      </c>
      <c r="AN1294" s="162">
        <f t="shared" si="427"/>
        <v>0</v>
      </c>
      <c r="AO1294" s="162">
        <f t="shared" si="427"/>
        <v>0</v>
      </c>
      <c r="AP1294" s="162">
        <f t="shared" si="427"/>
        <v>0</v>
      </c>
      <c r="AQ1294" s="162">
        <f t="shared" si="427"/>
        <v>0</v>
      </c>
      <c r="AR1294" s="163">
        <f t="shared" si="428"/>
        <v>0</v>
      </c>
      <c r="AT1294" s="208">
        <f>IFERROR(VLOOKUP(J1294,#REF!,10,0),0)</f>
        <v>0</v>
      </c>
    </row>
    <row r="1295" spans="1:46" hidden="1" outlineLevel="1" x14ac:dyDescent="0.25">
      <c r="A1295" s="14" t="str">
        <f t="shared" si="414"/>
        <v>PROP_OPER__3</v>
      </c>
      <c r="B1295" s="15" t="str">
        <f t="shared" si="423"/>
        <v>PROP_OPER__1018_0</v>
      </c>
      <c r="C1295" s="83"/>
      <c r="D1295" s="15">
        <v>1</v>
      </c>
      <c r="E1295" s="15">
        <v>3</v>
      </c>
      <c r="F1295" s="190">
        <f t="shared" si="429"/>
        <v>1018</v>
      </c>
      <c r="G1295" s="149" t="str">
        <f t="shared" si="429"/>
        <v/>
      </c>
      <c r="H1295" s="150" t="str">
        <f t="shared" si="429"/>
        <v/>
      </c>
      <c r="I1295" s="150" t="str">
        <f t="shared" si="429"/>
        <v>PLANCF</v>
      </c>
      <c r="J1295" s="150">
        <f t="shared" si="429"/>
        <v>0</v>
      </c>
      <c r="K1295" s="196" t="str">
        <f t="shared" si="429"/>
        <v/>
      </c>
      <c r="L1295" s="197" t="str">
        <f t="shared" si="429"/>
        <v/>
      </c>
      <c r="M1295" s="191">
        <f t="shared" si="429"/>
        <v>0</v>
      </c>
      <c r="N1295" s="150">
        <f t="shared" si="429"/>
        <v>0</v>
      </c>
      <c r="O1295" s="193">
        <f t="shared" si="429"/>
        <v>1</v>
      </c>
      <c r="P1295" s="162">
        <f t="shared" si="425"/>
        <v>0</v>
      </c>
      <c r="Q1295" s="162">
        <f t="shared" si="425"/>
        <v>0</v>
      </c>
      <c r="R1295" s="162">
        <f t="shared" si="425"/>
        <v>0</v>
      </c>
      <c r="S1295" s="162">
        <f t="shared" si="425"/>
        <v>0</v>
      </c>
      <c r="T1295" s="162">
        <f t="shared" si="425"/>
        <v>0</v>
      </c>
      <c r="U1295" s="162">
        <f t="shared" si="425"/>
        <v>0</v>
      </c>
      <c r="V1295" s="162">
        <f t="shared" si="425"/>
        <v>0</v>
      </c>
      <c r="W1295" s="162">
        <f t="shared" si="425"/>
        <v>0</v>
      </c>
      <c r="X1295" s="162">
        <f t="shared" si="425"/>
        <v>0</v>
      </c>
      <c r="Y1295" s="162">
        <f t="shared" si="425"/>
        <v>0</v>
      </c>
      <c r="Z1295" s="162">
        <f t="shared" si="425"/>
        <v>0</v>
      </c>
      <c r="AA1295" s="162">
        <f t="shared" si="425"/>
        <v>0</v>
      </c>
      <c r="AB1295" s="163">
        <f t="shared" si="426"/>
        <v>0</v>
      </c>
      <c r="AC1295" s="198"/>
      <c r="AE1295" s="194" t="str">
        <f t="shared" si="430"/>
        <v/>
      </c>
      <c r="AF1295" s="161">
        <f t="shared" si="427"/>
        <v>0</v>
      </c>
      <c r="AG1295" s="162">
        <f t="shared" si="427"/>
        <v>0</v>
      </c>
      <c r="AH1295" s="162">
        <f t="shared" si="427"/>
        <v>0</v>
      </c>
      <c r="AI1295" s="162">
        <f t="shared" si="427"/>
        <v>0</v>
      </c>
      <c r="AJ1295" s="162">
        <f t="shared" si="427"/>
        <v>0</v>
      </c>
      <c r="AK1295" s="162">
        <f t="shared" si="427"/>
        <v>0</v>
      </c>
      <c r="AL1295" s="162">
        <f t="shared" si="427"/>
        <v>0</v>
      </c>
      <c r="AM1295" s="162">
        <f t="shared" si="427"/>
        <v>0</v>
      </c>
      <c r="AN1295" s="162">
        <f t="shared" si="427"/>
        <v>0</v>
      </c>
      <c r="AO1295" s="162">
        <f t="shared" si="427"/>
        <v>0</v>
      </c>
      <c r="AP1295" s="162">
        <f t="shared" si="427"/>
        <v>0</v>
      </c>
      <c r="AQ1295" s="162">
        <f t="shared" si="427"/>
        <v>0</v>
      </c>
      <c r="AR1295" s="163">
        <f t="shared" si="428"/>
        <v>0</v>
      </c>
      <c r="AT1295" s="208">
        <f>IFERROR(VLOOKUP(J1295,#REF!,10,0),0)</f>
        <v>0</v>
      </c>
    </row>
    <row r="1296" spans="1:46" hidden="1" outlineLevel="1" x14ac:dyDescent="0.25">
      <c r="A1296" s="14" t="str">
        <f t="shared" si="414"/>
        <v>PROP_OPER__4</v>
      </c>
      <c r="B1296" s="15" t="str">
        <f t="shared" si="423"/>
        <v>PROP_OPER__1023_0</v>
      </c>
      <c r="C1296" s="83"/>
      <c r="D1296" s="15">
        <v>1</v>
      </c>
      <c r="E1296" s="15">
        <v>4</v>
      </c>
      <c r="F1296" s="190">
        <f t="shared" si="429"/>
        <v>1023</v>
      </c>
      <c r="G1296" s="149" t="str">
        <f t="shared" si="429"/>
        <v/>
      </c>
      <c r="H1296" s="150" t="str">
        <f t="shared" si="429"/>
        <v/>
      </c>
      <c r="I1296" s="150" t="str">
        <f t="shared" si="429"/>
        <v>PLANCF</v>
      </c>
      <c r="J1296" s="150">
        <f t="shared" si="429"/>
        <v>0</v>
      </c>
      <c r="K1296" s="196" t="str">
        <f t="shared" si="429"/>
        <v/>
      </c>
      <c r="L1296" s="197" t="str">
        <f t="shared" si="429"/>
        <v/>
      </c>
      <c r="M1296" s="191">
        <f t="shared" si="429"/>
        <v>0</v>
      </c>
      <c r="N1296" s="150">
        <f t="shared" si="429"/>
        <v>0</v>
      </c>
      <c r="O1296" s="193">
        <f t="shared" si="429"/>
        <v>1</v>
      </c>
      <c r="P1296" s="162">
        <f t="shared" si="425"/>
        <v>0</v>
      </c>
      <c r="Q1296" s="162">
        <f t="shared" si="425"/>
        <v>0</v>
      </c>
      <c r="R1296" s="162">
        <f t="shared" si="425"/>
        <v>0</v>
      </c>
      <c r="S1296" s="162">
        <f t="shared" si="425"/>
        <v>0</v>
      </c>
      <c r="T1296" s="162">
        <f t="shared" si="425"/>
        <v>0</v>
      </c>
      <c r="U1296" s="162">
        <f t="shared" si="425"/>
        <v>0</v>
      </c>
      <c r="V1296" s="162">
        <f t="shared" si="425"/>
        <v>0</v>
      </c>
      <c r="W1296" s="162">
        <f t="shared" si="425"/>
        <v>0</v>
      </c>
      <c r="X1296" s="162">
        <f t="shared" si="425"/>
        <v>0</v>
      </c>
      <c r="Y1296" s="162">
        <f t="shared" si="425"/>
        <v>0</v>
      </c>
      <c r="Z1296" s="162">
        <f t="shared" si="425"/>
        <v>0</v>
      </c>
      <c r="AA1296" s="162">
        <f t="shared" si="425"/>
        <v>0</v>
      </c>
      <c r="AB1296" s="163">
        <f t="shared" si="426"/>
        <v>0</v>
      </c>
      <c r="AC1296" s="159"/>
      <c r="AE1296" s="194" t="str">
        <f t="shared" si="430"/>
        <v/>
      </c>
      <c r="AF1296" s="161">
        <f t="shared" si="427"/>
        <v>0</v>
      </c>
      <c r="AG1296" s="162">
        <f t="shared" si="427"/>
        <v>0</v>
      </c>
      <c r="AH1296" s="162">
        <f t="shared" si="427"/>
        <v>0</v>
      </c>
      <c r="AI1296" s="162">
        <f t="shared" si="427"/>
        <v>0</v>
      </c>
      <c r="AJ1296" s="162">
        <f t="shared" si="427"/>
        <v>0</v>
      </c>
      <c r="AK1296" s="162">
        <f t="shared" si="427"/>
        <v>0</v>
      </c>
      <c r="AL1296" s="162">
        <f t="shared" si="427"/>
        <v>0</v>
      </c>
      <c r="AM1296" s="162">
        <f t="shared" si="427"/>
        <v>0</v>
      </c>
      <c r="AN1296" s="162">
        <f t="shared" si="427"/>
        <v>0</v>
      </c>
      <c r="AO1296" s="162">
        <f t="shared" si="427"/>
        <v>0</v>
      </c>
      <c r="AP1296" s="162">
        <f t="shared" si="427"/>
        <v>0</v>
      </c>
      <c r="AQ1296" s="162">
        <f t="shared" si="427"/>
        <v>0</v>
      </c>
      <c r="AR1296" s="163">
        <f t="shared" si="428"/>
        <v>0</v>
      </c>
      <c r="AT1296" s="208">
        <f>IFERROR(VLOOKUP(J1296,#REF!,10,0),0)</f>
        <v>0</v>
      </c>
    </row>
    <row r="1297" spans="1:46" hidden="1" outlineLevel="1" x14ac:dyDescent="0.25">
      <c r="A1297" s="14" t="str">
        <f t="shared" si="414"/>
        <v>PROP_OPER__5</v>
      </c>
      <c r="B1297" s="15" t="str">
        <f t="shared" si="423"/>
        <v>PROP_OPER__1044_0</v>
      </c>
      <c r="C1297" s="83"/>
      <c r="D1297" s="15">
        <v>1</v>
      </c>
      <c r="E1297" s="15">
        <v>5</v>
      </c>
      <c r="F1297" s="190">
        <f t="shared" si="429"/>
        <v>1044</v>
      </c>
      <c r="G1297" s="149" t="str">
        <f t="shared" si="429"/>
        <v/>
      </c>
      <c r="H1297" s="150" t="str">
        <f t="shared" si="429"/>
        <v/>
      </c>
      <c r="I1297" s="150" t="str">
        <f t="shared" si="429"/>
        <v>PLANMP</v>
      </c>
      <c r="J1297" s="150">
        <f t="shared" si="429"/>
        <v>0</v>
      </c>
      <c r="K1297" s="196" t="str">
        <f t="shared" si="429"/>
        <v/>
      </c>
      <c r="L1297" s="197" t="str">
        <f t="shared" si="429"/>
        <v/>
      </c>
      <c r="M1297" s="191">
        <f t="shared" si="429"/>
        <v>0</v>
      </c>
      <c r="N1297" s="150">
        <f t="shared" si="429"/>
        <v>0</v>
      </c>
      <c r="O1297" s="193">
        <f t="shared" si="429"/>
        <v>1</v>
      </c>
      <c r="P1297" s="162">
        <f t="shared" si="425"/>
        <v>0</v>
      </c>
      <c r="Q1297" s="162">
        <f t="shared" si="425"/>
        <v>0</v>
      </c>
      <c r="R1297" s="162">
        <f t="shared" si="425"/>
        <v>0</v>
      </c>
      <c r="S1297" s="162">
        <f t="shared" si="425"/>
        <v>0</v>
      </c>
      <c r="T1297" s="162">
        <f t="shared" si="425"/>
        <v>0</v>
      </c>
      <c r="U1297" s="162">
        <f t="shared" si="425"/>
        <v>0</v>
      </c>
      <c r="V1297" s="162">
        <f t="shared" si="425"/>
        <v>0</v>
      </c>
      <c r="W1297" s="162">
        <f t="shared" si="425"/>
        <v>0</v>
      </c>
      <c r="X1297" s="162">
        <f t="shared" si="425"/>
        <v>0</v>
      </c>
      <c r="Y1297" s="162">
        <f t="shared" si="425"/>
        <v>0</v>
      </c>
      <c r="Z1297" s="162">
        <f t="shared" si="425"/>
        <v>0</v>
      </c>
      <c r="AA1297" s="162">
        <f t="shared" si="425"/>
        <v>0</v>
      </c>
      <c r="AB1297" s="163">
        <f t="shared" si="426"/>
        <v>0</v>
      </c>
      <c r="AC1297" s="159"/>
      <c r="AE1297" s="194" t="str">
        <f t="shared" si="430"/>
        <v/>
      </c>
      <c r="AF1297" s="161">
        <f t="shared" si="427"/>
        <v>0</v>
      </c>
      <c r="AG1297" s="162">
        <f t="shared" si="427"/>
        <v>0</v>
      </c>
      <c r="AH1297" s="162">
        <f t="shared" si="427"/>
        <v>0</v>
      </c>
      <c r="AI1297" s="162">
        <f t="shared" si="427"/>
        <v>0</v>
      </c>
      <c r="AJ1297" s="162">
        <f t="shared" si="427"/>
        <v>0</v>
      </c>
      <c r="AK1297" s="162">
        <f t="shared" si="427"/>
        <v>0</v>
      </c>
      <c r="AL1297" s="162">
        <f t="shared" si="427"/>
        <v>0</v>
      </c>
      <c r="AM1297" s="162">
        <f t="shared" si="427"/>
        <v>0</v>
      </c>
      <c r="AN1297" s="162">
        <f t="shared" si="427"/>
        <v>0</v>
      </c>
      <c r="AO1297" s="162">
        <f t="shared" si="427"/>
        <v>0</v>
      </c>
      <c r="AP1297" s="162">
        <f t="shared" si="427"/>
        <v>0</v>
      </c>
      <c r="AQ1297" s="162">
        <f t="shared" si="427"/>
        <v>0</v>
      </c>
      <c r="AR1297" s="163">
        <f t="shared" si="428"/>
        <v>0</v>
      </c>
      <c r="AT1297" s="208">
        <f>IFERROR(VLOOKUP(J1297,#REF!,10,0),0)</f>
        <v>0</v>
      </c>
    </row>
    <row r="1298" spans="1:46" hidden="1" outlineLevel="1" x14ac:dyDescent="0.25">
      <c r="A1298" s="14" t="str">
        <f t="shared" si="414"/>
        <v>PROP_OPER__6</v>
      </c>
      <c r="B1298" s="15" t="str">
        <f t="shared" si="423"/>
        <v>PROP_OPER__1033_0</v>
      </c>
      <c r="C1298" s="83"/>
      <c r="D1298" s="15">
        <v>1</v>
      </c>
      <c r="E1298" s="15">
        <v>6</v>
      </c>
      <c r="F1298" s="190">
        <f t="shared" si="429"/>
        <v>1033</v>
      </c>
      <c r="G1298" s="149" t="str">
        <f t="shared" si="429"/>
        <v/>
      </c>
      <c r="H1298" s="150" t="str">
        <f t="shared" si="429"/>
        <v/>
      </c>
      <c r="I1298" s="150" t="str">
        <f t="shared" si="429"/>
        <v>PLANCP</v>
      </c>
      <c r="J1298" s="150">
        <f t="shared" si="429"/>
        <v>0</v>
      </c>
      <c r="K1298" s="196" t="str">
        <f t="shared" si="429"/>
        <v/>
      </c>
      <c r="L1298" s="197" t="str">
        <f t="shared" si="429"/>
        <v/>
      </c>
      <c r="M1298" s="191">
        <f t="shared" si="429"/>
        <v>0</v>
      </c>
      <c r="N1298" s="150">
        <f t="shared" si="429"/>
        <v>0</v>
      </c>
      <c r="O1298" s="193">
        <f t="shared" si="429"/>
        <v>1</v>
      </c>
      <c r="P1298" s="162">
        <f t="shared" si="425"/>
        <v>0</v>
      </c>
      <c r="Q1298" s="162">
        <f t="shared" si="425"/>
        <v>0</v>
      </c>
      <c r="R1298" s="162">
        <f t="shared" si="425"/>
        <v>0</v>
      </c>
      <c r="S1298" s="162">
        <f t="shared" si="425"/>
        <v>0</v>
      </c>
      <c r="T1298" s="162">
        <f t="shared" si="425"/>
        <v>0</v>
      </c>
      <c r="U1298" s="162">
        <f t="shared" si="425"/>
        <v>0</v>
      </c>
      <c r="V1298" s="162">
        <f t="shared" si="425"/>
        <v>0</v>
      </c>
      <c r="W1298" s="162">
        <f t="shared" si="425"/>
        <v>0</v>
      </c>
      <c r="X1298" s="162">
        <f t="shared" si="425"/>
        <v>0</v>
      </c>
      <c r="Y1298" s="162">
        <f t="shared" si="425"/>
        <v>0</v>
      </c>
      <c r="Z1298" s="162">
        <f t="shared" si="425"/>
        <v>0</v>
      </c>
      <c r="AA1298" s="162">
        <f t="shared" si="425"/>
        <v>0</v>
      </c>
      <c r="AB1298" s="163">
        <f t="shared" si="426"/>
        <v>0</v>
      </c>
      <c r="AC1298" s="159"/>
      <c r="AE1298" s="194" t="str">
        <f t="shared" si="430"/>
        <v/>
      </c>
      <c r="AF1298" s="161">
        <f t="shared" si="427"/>
        <v>0</v>
      </c>
      <c r="AG1298" s="162">
        <f t="shared" si="427"/>
        <v>0</v>
      </c>
      <c r="AH1298" s="162">
        <f t="shared" si="427"/>
        <v>0</v>
      </c>
      <c r="AI1298" s="162">
        <f t="shared" si="427"/>
        <v>0</v>
      </c>
      <c r="AJ1298" s="162">
        <f t="shared" si="427"/>
        <v>0</v>
      </c>
      <c r="AK1298" s="162">
        <f t="shared" si="427"/>
        <v>0</v>
      </c>
      <c r="AL1298" s="162">
        <f t="shared" si="427"/>
        <v>0</v>
      </c>
      <c r="AM1298" s="162">
        <f t="shared" si="427"/>
        <v>0</v>
      </c>
      <c r="AN1298" s="162">
        <f t="shared" si="427"/>
        <v>0</v>
      </c>
      <c r="AO1298" s="162">
        <f t="shared" si="427"/>
        <v>0</v>
      </c>
      <c r="AP1298" s="162">
        <f t="shared" si="427"/>
        <v>0</v>
      </c>
      <c r="AQ1298" s="162">
        <f t="shared" si="427"/>
        <v>0</v>
      </c>
      <c r="AR1298" s="163">
        <f t="shared" si="428"/>
        <v>0</v>
      </c>
      <c r="AT1298" s="208">
        <f>IFERROR(VLOOKUP(J1298,#REF!,10,0),0)</f>
        <v>0</v>
      </c>
    </row>
    <row r="1299" spans="1:46" hidden="1" outlineLevel="1" x14ac:dyDescent="0.25">
      <c r="A1299" s="14" t="str">
        <f t="shared" si="414"/>
        <v>PROP_OPER__7</v>
      </c>
      <c r="B1299" s="15" t="str">
        <f t="shared" si="423"/>
        <v>PROP_OPER__0_0</v>
      </c>
      <c r="C1299" s="83"/>
      <c r="D1299" s="15">
        <v>1</v>
      </c>
      <c r="E1299" s="15">
        <v>7</v>
      </c>
      <c r="F1299" s="190">
        <f t="shared" si="429"/>
        <v>0</v>
      </c>
      <c r="G1299" s="149" t="str">
        <f t="shared" si="429"/>
        <v/>
      </c>
      <c r="H1299" s="150" t="str">
        <f t="shared" si="429"/>
        <v/>
      </c>
      <c r="I1299" s="150">
        <f t="shared" si="429"/>
        <v>0</v>
      </c>
      <c r="J1299" s="150">
        <f t="shared" si="429"/>
        <v>0</v>
      </c>
      <c r="K1299" s="196" t="str">
        <f t="shared" si="429"/>
        <v/>
      </c>
      <c r="L1299" s="197" t="str">
        <f t="shared" si="429"/>
        <v/>
      </c>
      <c r="M1299" s="191">
        <f t="shared" si="429"/>
        <v>0</v>
      </c>
      <c r="N1299" s="150">
        <f t="shared" si="429"/>
        <v>0</v>
      </c>
      <c r="O1299" s="193">
        <f t="shared" si="429"/>
        <v>0</v>
      </c>
      <c r="P1299" s="162">
        <f t="shared" si="425"/>
        <v>0</v>
      </c>
      <c r="Q1299" s="162">
        <f t="shared" si="425"/>
        <v>0</v>
      </c>
      <c r="R1299" s="162">
        <f t="shared" si="425"/>
        <v>0</v>
      </c>
      <c r="S1299" s="162">
        <f t="shared" si="425"/>
        <v>0</v>
      </c>
      <c r="T1299" s="162">
        <f t="shared" si="425"/>
        <v>0</v>
      </c>
      <c r="U1299" s="162">
        <f t="shared" si="425"/>
        <v>0</v>
      </c>
      <c r="V1299" s="162">
        <f t="shared" si="425"/>
        <v>0</v>
      </c>
      <c r="W1299" s="162">
        <f t="shared" si="425"/>
        <v>0</v>
      </c>
      <c r="X1299" s="162">
        <f t="shared" si="425"/>
        <v>0</v>
      </c>
      <c r="Y1299" s="162">
        <f t="shared" si="425"/>
        <v>0</v>
      </c>
      <c r="Z1299" s="162">
        <f t="shared" si="425"/>
        <v>0</v>
      </c>
      <c r="AA1299" s="162">
        <f t="shared" si="425"/>
        <v>0</v>
      </c>
      <c r="AB1299" s="163">
        <f t="shared" si="426"/>
        <v>0</v>
      </c>
      <c r="AC1299" s="159"/>
      <c r="AE1299" s="194" t="str">
        <f t="shared" si="430"/>
        <v/>
      </c>
      <c r="AF1299" s="161">
        <f t="shared" si="427"/>
        <v>0</v>
      </c>
      <c r="AG1299" s="162">
        <f t="shared" si="427"/>
        <v>0</v>
      </c>
      <c r="AH1299" s="162">
        <f t="shared" si="427"/>
        <v>0</v>
      </c>
      <c r="AI1299" s="162">
        <f t="shared" si="427"/>
        <v>0</v>
      </c>
      <c r="AJ1299" s="162">
        <f t="shared" si="427"/>
        <v>0</v>
      </c>
      <c r="AK1299" s="162">
        <f t="shared" si="427"/>
        <v>0</v>
      </c>
      <c r="AL1299" s="162">
        <f t="shared" si="427"/>
        <v>0</v>
      </c>
      <c r="AM1299" s="162">
        <f t="shared" si="427"/>
        <v>0</v>
      </c>
      <c r="AN1299" s="162">
        <f t="shared" si="427"/>
        <v>0</v>
      </c>
      <c r="AO1299" s="162">
        <f t="shared" si="427"/>
        <v>0</v>
      </c>
      <c r="AP1299" s="162">
        <f t="shared" si="427"/>
        <v>0</v>
      </c>
      <c r="AQ1299" s="162">
        <f t="shared" si="427"/>
        <v>0</v>
      </c>
      <c r="AR1299" s="163">
        <f t="shared" si="428"/>
        <v>0</v>
      </c>
      <c r="AT1299" s="208">
        <f>IFERROR(VLOOKUP(J1299,#REF!,10,0),0)</f>
        <v>0</v>
      </c>
    </row>
    <row r="1300" spans="1:46" hidden="1" outlineLevel="1" x14ac:dyDescent="0.25">
      <c r="A1300" s="14" t="str">
        <f t="shared" si="414"/>
        <v>PROP_OPER__8</v>
      </c>
      <c r="B1300" s="15" t="str">
        <f t="shared" si="423"/>
        <v>PROP_OPER__0_0</v>
      </c>
      <c r="C1300" s="83"/>
      <c r="D1300" s="15">
        <v>1</v>
      </c>
      <c r="E1300" s="15">
        <v>8</v>
      </c>
      <c r="F1300" s="190">
        <f t="shared" si="429"/>
        <v>0</v>
      </c>
      <c r="G1300" s="149" t="str">
        <f t="shared" si="429"/>
        <v/>
      </c>
      <c r="H1300" s="150" t="str">
        <f t="shared" si="429"/>
        <v/>
      </c>
      <c r="I1300" s="150">
        <f t="shared" si="429"/>
        <v>0</v>
      </c>
      <c r="J1300" s="150">
        <f t="shared" si="429"/>
        <v>0</v>
      </c>
      <c r="K1300" s="196" t="str">
        <f t="shared" si="429"/>
        <v/>
      </c>
      <c r="L1300" s="197" t="str">
        <f t="shared" si="429"/>
        <v/>
      </c>
      <c r="M1300" s="191">
        <f t="shared" si="429"/>
        <v>0</v>
      </c>
      <c r="N1300" s="150">
        <f t="shared" si="429"/>
        <v>0</v>
      </c>
      <c r="O1300" s="193">
        <f t="shared" si="429"/>
        <v>0</v>
      </c>
      <c r="P1300" s="162">
        <f t="shared" si="425"/>
        <v>0</v>
      </c>
      <c r="Q1300" s="162">
        <f t="shared" si="425"/>
        <v>0</v>
      </c>
      <c r="R1300" s="162">
        <f t="shared" si="425"/>
        <v>0</v>
      </c>
      <c r="S1300" s="162">
        <f t="shared" si="425"/>
        <v>0</v>
      </c>
      <c r="T1300" s="162">
        <f t="shared" si="425"/>
        <v>0</v>
      </c>
      <c r="U1300" s="162">
        <f t="shared" si="425"/>
        <v>0</v>
      </c>
      <c r="V1300" s="162">
        <f t="shared" si="425"/>
        <v>0</v>
      </c>
      <c r="W1300" s="162">
        <f t="shared" si="425"/>
        <v>0</v>
      </c>
      <c r="X1300" s="162">
        <f t="shared" si="425"/>
        <v>0</v>
      </c>
      <c r="Y1300" s="162">
        <f t="shared" si="425"/>
        <v>0</v>
      </c>
      <c r="Z1300" s="162">
        <f t="shared" si="425"/>
        <v>0</v>
      </c>
      <c r="AA1300" s="162">
        <f t="shared" si="425"/>
        <v>0</v>
      </c>
      <c r="AB1300" s="163">
        <f t="shared" si="426"/>
        <v>0</v>
      </c>
      <c r="AC1300" s="159"/>
      <c r="AE1300" s="194" t="str">
        <f t="shared" si="430"/>
        <v/>
      </c>
      <c r="AF1300" s="161">
        <f t="shared" si="427"/>
        <v>0</v>
      </c>
      <c r="AG1300" s="162">
        <f t="shared" si="427"/>
        <v>0</v>
      </c>
      <c r="AH1300" s="162">
        <f t="shared" si="427"/>
        <v>0</v>
      </c>
      <c r="AI1300" s="162">
        <f t="shared" si="427"/>
        <v>0</v>
      </c>
      <c r="AJ1300" s="162">
        <f t="shared" si="427"/>
        <v>0</v>
      </c>
      <c r="AK1300" s="162">
        <f t="shared" si="427"/>
        <v>0</v>
      </c>
      <c r="AL1300" s="162">
        <f t="shared" si="427"/>
        <v>0</v>
      </c>
      <c r="AM1300" s="162">
        <f t="shared" si="427"/>
        <v>0</v>
      </c>
      <c r="AN1300" s="162">
        <f t="shared" si="427"/>
        <v>0</v>
      </c>
      <c r="AO1300" s="162">
        <f t="shared" si="427"/>
        <v>0</v>
      </c>
      <c r="AP1300" s="162">
        <f t="shared" si="427"/>
        <v>0</v>
      </c>
      <c r="AQ1300" s="162">
        <f t="shared" si="427"/>
        <v>0</v>
      </c>
      <c r="AR1300" s="163">
        <f t="shared" si="428"/>
        <v>0</v>
      </c>
      <c r="AT1300" s="208">
        <f>IFERROR(VLOOKUP(J1300,#REF!,10,0),0)</f>
        <v>0</v>
      </c>
    </row>
    <row r="1301" spans="1:46" hidden="1" outlineLevel="1" x14ac:dyDescent="0.25">
      <c r="A1301" s="14" t="str">
        <f t="shared" si="414"/>
        <v>PROP_OPER__9</v>
      </c>
      <c r="B1301" s="15" t="str">
        <f t="shared" si="423"/>
        <v>PROP_OPER__0_0</v>
      </c>
      <c r="C1301" s="83"/>
      <c r="D1301" s="15">
        <v>1</v>
      </c>
      <c r="E1301" s="15">
        <v>9</v>
      </c>
      <c r="F1301" s="190">
        <f t="shared" si="429"/>
        <v>0</v>
      </c>
      <c r="G1301" s="149" t="str">
        <f t="shared" si="429"/>
        <v/>
      </c>
      <c r="H1301" s="150" t="str">
        <f t="shared" si="429"/>
        <v/>
      </c>
      <c r="I1301" s="150">
        <f t="shared" si="429"/>
        <v>0</v>
      </c>
      <c r="J1301" s="150">
        <f t="shared" si="429"/>
        <v>0</v>
      </c>
      <c r="K1301" s="196" t="str">
        <f t="shared" si="429"/>
        <v/>
      </c>
      <c r="L1301" s="197" t="str">
        <f t="shared" si="429"/>
        <v/>
      </c>
      <c r="M1301" s="191">
        <f t="shared" si="429"/>
        <v>0</v>
      </c>
      <c r="N1301" s="150">
        <f t="shared" si="429"/>
        <v>0</v>
      </c>
      <c r="O1301" s="193">
        <f t="shared" si="429"/>
        <v>0</v>
      </c>
      <c r="P1301" s="162">
        <f t="shared" si="425"/>
        <v>0</v>
      </c>
      <c r="Q1301" s="162">
        <f t="shared" si="425"/>
        <v>0</v>
      </c>
      <c r="R1301" s="162">
        <f t="shared" si="425"/>
        <v>0</v>
      </c>
      <c r="S1301" s="162">
        <f t="shared" si="425"/>
        <v>0</v>
      </c>
      <c r="T1301" s="162">
        <f t="shared" si="425"/>
        <v>0</v>
      </c>
      <c r="U1301" s="162">
        <f t="shared" si="425"/>
        <v>0</v>
      </c>
      <c r="V1301" s="162">
        <f t="shared" si="425"/>
        <v>0</v>
      </c>
      <c r="W1301" s="162">
        <f t="shared" si="425"/>
        <v>0</v>
      </c>
      <c r="X1301" s="162">
        <f t="shared" si="425"/>
        <v>0</v>
      </c>
      <c r="Y1301" s="162">
        <f t="shared" si="425"/>
        <v>0</v>
      </c>
      <c r="Z1301" s="162">
        <f t="shared" si="425"/>
        <v>0</v>
      </c>
      <c r="AA1301" s="162">
        <f t="shared" si="425"/>
        <v>0</v>
      </c>
      <c r="AB1301" s="163">
        <f t="shared" si="426"/>
        <v>0</v>
      </c>
      <c r="AC1301" s="159"/>
      <c r="AE1301" s="194" t="str">
        <f t="shared" si="430"/>
        <v/>
      </c>
      <c r="AF1301" s="161">
        <f t="shared" si="427"/>
        <v>0</v>
      </c>
      <c r="AG1301" s="162">
        <f t="shared" si="427"/>
        <v>0</v>
      </c>
      <c r="AH1301" s="162">
        <f t="shared" si="427"/>
        <v>0</v>
      </c>
      <c r="AI1301" s="162">
        <f t="shared" si="427"/>
        <v>0</v>
      </c>
      <c r="AJ1301" s="162">
        <f t="shared" si="427"/>
        <v>0</v>
      </c>
      <c r="AK1301" s="162">
        <f t="shared" si="427"/>
        <v>0</v>
      </c>
      <c r="AL1301" s="162">
        <f t="shared" si="427"/>
        <v>0</v>
      </c>
      <c r="AM1301" s="162">
        <f t="shared" si="427"/>
        <v>0</v>
      </c>
      <c r="AN1301" s="162">
        <f t="shared" si="427"/>
        <v>0</v>
      </c>
      <c r="AO1301" s="162">
        <f t="shared" si="427"/>
        <v>0</v>
      </c>
      <c r="AP1301" s="162">
        <f t="shared" si="427"/>
        <v>0</v>
      </c>
      <c r="AQ1301" s="162">
        <f t="shared" si="427"/>
        <v>0</v>
      </c>
      <c r="AR1301" s="163">
        <f t="shared" si="428"/>
        <v>0</v>
      </c>
      <c r="AT1301" s="208">
        <f>IFERROR(VLOOKUP(J1301,#REF!,10,0),0)</f>
        <v>0</v>
      </c>
    </row>
    <row r="1302" spans="1:46" hidden="1" outlineLevel="1" x14ac:dyDescent="0.25">
      <c r="A1302" s="14" t="str">
        <f t="shared" si="414"/>
        <v>PROP_OPER__10</v>
      </c>
      <c r="B1302" s="15" t="str">
        <f t="shared" si="423"/>
        <v>PROP_OPER__0_0</v>
      </c>
      <c r="C1302" s="83"/>
      <c r="D1302" s="15">
        <v>1</v>
      </c>
      <c r="E1302" s="15">
        <v>10</v>
      </c>
      <c r="F1302" s="190">
        <f t="shared" si="429"/>
        <v>0</v>
      </c>
      <c r="G1302" s="149" t="str">
        <f t="shared" si="429"/>
        <v/>
      </c>
      <c r="H1302" s="150" t="str">
        <f t="shared" si="429"/>
        <v/>
      </c>
      <c r="I1302" s="150">
        <f t="shared" si="429"/>
        <v>0</v>
      </c>
      <c r="J1302" s="150">
        <f t="shared" si="429"/>
        <v>0</v>
      </c>
      <c r="K1302" s="196" t="str">
        <f t="shared" si="429"/>
        <v/>
      </c>
      <c r="L1302" s="197" t="str">
        <f t="shared" si="429"/>
        <v/>
      </c>
      <c r="M1302" s="191">
        <f t="shared" si="429"/>
        <v>0</v>
      </c>
      <c r="N1302" s="150">
        <f t="shared" si="429"/>
        <v>0</v>
      </c>
      <c r="O1302" s="193">
        <f t="shared" si="429"/>
        <v>0</v>
      </c>
      <c r="P1302" s="162">
        <f t="shared" si="425"/>
        <v>0</v>
      </c>
      <c r="Q1302" s="162">
        <f t="shared" si="425"/>
        <v>0</v>
      </c>
      <c r="R1302" s="162">
        <f t="shared" si="425"/>
        <v>0</v>
      </c>
      <c r="S1302" s="162">
        <f t="shared" si="425"/>
        <v>0</v>
      </c>
      <c r="T1302" s="162">
        <f t="shared" si="425"/>
        <v>0</v>
      </c>
      <c r="U1302" s="162">
        <f t="shared" si="425"/>
        <v>0</v>
      </c>
      <c r="V1302" s="162">
        <f t="shared" si="425"/>
        <v>0</v>
      </c>
      <c r="W1302" s="162">
        <f t="shared" si="425"/>
        <v>0</v>
      </c>
      <c r="X1302" s="162">
        <f t="shared" si="425"/>
        <v>0</v>
      </c>
      <c r="Y1302" s="162">
        <f t="shared" si="425"/>
        <v>0</v>
      </c>
      <c r="Z1302" s="162">
        <f t="shared" si="425"/>
        <v>0</v>
      </c>
      <c r="AA1302" s="162">
        <f t="shared" si="425"/>
        <v>0</v>
      </c>
      <c r="AB1302" s="163">
        <f t="shared" si="426"/>
        <v>0</v>
      </c>
      <c r="AC1302" s="159"/>
      <c r="AE1302" s="194" t="str">
        <f t="shared" si="430"/>
        <v/>
      </c>
      <c r="AF1302" s="161">
        <f t="shared" si="427"/>
        <v>0</v>
      </c>
      <c r="AG1302" s="162">
        <f t="shared" si="427"/>
        <v>0</v>
      </c>
      <c r="AH1302" s="162">
        <f t="shared" si="427"/>
        <v>0</v>
      </c>
      <c r="AI1302" s="162">
        <f t="shared" si="427"/>
        <v>0</v>
      </c>
      <c r="AJ1302" s="162">
        <f t="shared" si="427"/>
        <v>0</v>
      </c>
      <c r="AK1302" s="162">
        <f t="shared" si="427"/>
        <v>0</v>
      </c>
      <c r="AL1302" s="162">
        <f t="shared" si="427"/>
        <v>0</v>
      </c>
      <c r="AM1302" s="162">
        <f t="shared" si="427"/>
        <v>0</v>
      </c>
      <c r="AN1302" s="162">
        <f t="shared" si="427"/>
        <v>0</v>
      </c>
      <c r="AO1302" s="162">
        <f t="shared" si="427"/>
        <v>0</v>
      </c>
      <c r="AP1302" s="162">
        <f t="shared" si="427"/>
        <v>0</v>
      </c>
      <c r="AQ1302" s="162">
        <f t="shared" si="427"/>
        <v>0</v>
      </c>
      <c r="AR1302" s="163">
        <f t="shared" si="428"/>
        <v>0</v>
      </c>
      <c r="AT1302" s="208">
        <f>IFERROR(VLOOKUP(J1302,#REF!,10,0),0)</f>
        <v>0</v>
      </c>
    </row>
    <row r="1303" spans="1:46" hidden="1" outlineLevel="1" x14ac:dyDescent="0.25">
      <c r="A1303" s="14" t="str">
        <f t="shared" si="414"/>
        <v>PROP_OPER__11</v>
      </c>
      <c r="B1303" s="15" t="str">
        <f t="shared" si="423"/>
        <v>PROP_OPER__0_0</v>
      </c>
      <c r="C1303" s="83"/>
      <c r="D1303" s="15">
        <v>1</v>
      </c>
      <c r="E1303" s="15">
        <v>11</v>
      </c>
      <c r="F1303" s="190">
        <f t="shared" si="429"/>
        <v>0</v>
      </c>
      <c r="G1303" s="149" t="str">
        <f t="shared" si="429"/>
        <v/>
      </c>
      <c r="H1303" s="150" t="str">
        <f t="shared" si="429"/>
        <v/>
      </c>
      <c r="I1303" s="150">
        <f t="shared" si="429"/>
        <v>0</v>
      </c>
      <c r="J1303" s="150">
        <f t="shared" si="429"/>
        <v>0</v>
      </c>
      <c r="K1303" s="196" t="str">
        <f t="shared" si="429"/>
        <v/>
      </c>
      <c r="L1303" s="197" t="str">
        <f t="shared" si="429"/>
        <v/>
      </c>
      <c r="M1303" s="191">
        <f t="shared" si="429"/>
        <v>0</v>
      </c>
      <c r="N1303" s="150">
        <f t="shared" si="429"/>
        <v>0</v>
      </c>
      <c r="O1303" s="193">
        <f t="shared" si="429"/>
        <v>0</v>
      </c>
      <c r="P1303" s="162">
        <f t="shared" si="425"/>
        <v>0</v>
      </c>
      <c r="Q1303" s="162">
        <f t="shared" si="425"/>
        <v>0</v>
      </c>
      <c r="R1303" s="162">
        <f t="shared" si="425"/>
        <v>0</v>
      </c>
      <c r="S1303" s="162">
        <f t="shared" si="425"/>
        <v>0</v>
      </c>
      <c r="T1303" s="162">
        <f t="shared" si="425"/>
        <v>0</v>
      </c>
      <c r="U1303" s="162">
        <f t="shared" si="425"/>
        <v>0</v>
      </c>
      <c r="V1303" s="162">
        <f t="shared" si="425"/>
        <v>0</v>
      </c>
      <c r="W1303" s="162">
        <f t="shared" si="425"/>
        <v>0</v>
      </c>
      <c r="X1303" s="162">
        <f t="shared" si="425"/>
        <v>0</v>
      </c>
      <c r="Y1303" s="162">
        <f t="shared" si="425"/>
        <v>0</v>
      </c>
      <c r="Z1303" s="162">
        <f t="shared" si="425"/>
        <v>0</v>
      </c>
      <c r="AA1303" s="162">
        <f t="shared" si="425"/>
        <v>0</v>
      </c>
      <c r="AB1303" s="163">
        <f t="shared" si="426"/>
        <v>0</v>
      </c>
      <c r="AC1303" s="198"/>
      <c r="AE1303" s="194" t="str">
        <f t="shared" si="430"/>
        <v/>
      </c>
      <c r="AF1303" s="161">
        <f t="shared" si="427"/>
        <v>0</v>
      </c>
      <c r="AG1303" s="162">
        <f t="shared" si="427"/>
        <v>0</v>
      </c>
      <c r="AH1303" s="162">
        <f t="shared" si="427"/>
        <v>0</v>
      </c>
      <c r="AI1303" s="162">
        <f t="shared" si="427"/>
        <v>0</v>
      </c>
      <c r="AJ1303" s="162">
        <f t="shared" si="427"/>
        <v>0</v>
      </c>
      <c r="AK1303" s="162">
        <f t="shared" si="427"/>
        <v>0</v>
      </c>
      <c r="AL1303" s="162">
        <f t="shared" si="427"/>
        <v>0</v>
      </c>
      <c r="AM1303" s="162">
        <f t="shared" si="427"/>
        <v>0</v>
      </c>
      <c r="AN1303" s="162">
        <f t="shared" si="427"/>
        <v>0</v>
      </c>
      <c r="AO1303" s="162">
        <f t="shared" si="427"/>
        <v>0</v>
      </c>
      <c r="AP1303" s="162">
        <f t="shared" si="427"/>
        <v>0</v>
      </c>
      <c r="AQ1303" s="162">
        <f t="shared" si="427"/>
        <v>0</v>
      </c>
      <c r="AR1303" s="163">
        <f t="shared" si="428"/>
        <v>0</v>
      </c>
      <c r="AT1303" s="208">
        <f>IFERROR(VLOOKUP(J1303,#REF!,10,0),0)</f>
        <v>0</v>
      </c>
    </row>
    <row r="1304" spans="1:46" hidden="1" outlineLevel="1" x14ac:dyDescent="0.25">
      <c r="A1304" s="14" t="str">
        <f t="shared" si="414"/>
        <v>PROP_OPER__12</v>
      </c>
      <c r="B1304" s="15" t="str">
        <f t="shared" si="423"/>
        <v>PROP_OPER__0_0</v>
      </c>
      <c r="C1304" s="83"/>
      <c r="D1304" s="15">
        <v>1</v>
      </c>
      <c r="E1304" s="15">
        <v>12</v>
      </c>
      <c r="F1304" s="190">
        <f t="shared" si="429"/>
        <v>0</v>
      </c>
      <c r="G1304" s="149" t="str">
        <f t="shared" si="429"/>
        <v/>
      </c>
      <c r="H1304" s="150" t="str">
        <f t="shared" si="429"/>
        <v/>
      </c>
      <c r="I1304" s="150">
        <f t="shared" si="429"/>
        <v>0</v>
      </c>
      <c r="J1304" s="150">
        <f t="shared" si="429"/>
        <v>0</v>
      </c>
      <c r="K1304" s="196" t="str">
        <f t="shared" si="429"/>
        <v/>
      </c>
      <c r="L1304" s="197" t="str">
        <f t="shared" si="429"/>
        <v/>
      </c>
      <c r="M1304" s="191">
        <f t="shared" si="429"/>
        <v>0</v>
      </c>
      <c r="N1304" s="150">
        <f t="shared" si="429"/>
        <v>0</v>
      </c>
      <c r="O1304" s="193">
        <f t="shared" si="429"/>
        <v>0</v>
      </c>
      <c r="P1304" s="162">
        <f t="shared" si="425"/>
        <v>0</v>
      </c>
      <c r="Q1304" s="162">
        <f t="shared" si="425"/>
        <v>0</v>
      </c>
      <c r="R1304" s="162">
        <f t="shared" si="425"/>
        <v>0</v>
      </c>
      <c r="S1304" s="162">
        <f t="shared" si="425"/>
        <v>0</v>
      </c>
      <c r="T1304" s="162">
        <f t="shared" si="425"/>
        <v>0</v>
      </c>
      <c r="U1304" s="162">
        <f t="shared" si="425"/>
        <v>0</v>
      </c>
      <c r="V1304" s="162">
        <f t="shared" si="425"/>
        <v>0</v>
      </c>
      <c r="W1304" s="162">
        <f t="shared" si="425"/>
        <v>0</v>
      </c>
      <c r="X1304" s="162">
        <f t="shared" si="425"/>
        <v>0</v>
      </c>
      <c r="Y1304" s="162">
        <f t="shared" si="425"/>
        <v>0</v>
      </c>
      <c r="Z1304" s="162">
        <f t="shared" si="425"/>
        <v>0</v>
      </c>
      <c r="AA1304" s="162">
        <f t="shared" si="425"/>
        <v>0</v>
      </c>
      <c r="AB1304" s="163">
        <f t="shared" si="426"/>
        <v>0</v>
      </c>
      <c r="AC1304" s="198"/>
      <c r="AE1304" s="194" t="str">
        <f t="shared" si="430"/>
        <v/>
      </c>
      <c r="AF1304" s="161">
        <f t="shared" si="427"/>
        <v>0</v>
      </c>
      <c r="AG1304" s="162">
        <f t="shared" si="427"/>
        <v>0</v>
      </c>
      <c r="AH1304" s="162">
        <f t="shared" si="427"/>
        <v>0</v>
      </c>
      <c r="AI1304" s="162">
        <f t="shared" si="427"/>
        <v>0</v>
      </c>
      <c r="AJ1304" s="162">
        <f t="shared" si="427"/>
        <v>0</v>
      </c>
      <c r="AK1304" s="162">
        <f t="shared" si="427"/>
        <v>0</v>
      </c>
      <c r="AL1304" s="162">
        <f t="shared" si="427"/>
        <v>0</v>
      </c>
      <c r="AM1304" s="162">
        <f t="shared" si="427"/>
        <v>0</v>
      </c>
      <c r="AN1304" s="162">
        <f t="shared" si="427"/>
        <v>0</v>
      </c>
      <c r="AO1304" s="162">
        <f t="shared" si="427"/>
        <v>0</v>
      </c>
      <c r="AP1304" s="162">
        <f t="shared" si="427"/>
        <v>0</v>
      </c>
      <c r="AQ1304" s="162">
        <f t="shared" si="427"/>
        <v>0</v>
      </c>
      <c r="AR1304" s="163">
        <f t="shared" si="428"/>
        <v>0</v>
      </c>
      <c r="AT1304" s="208">
        <f>IFERROR(VLOOKUP(J1304,#REF!,10,0),0)</f>
        <v>0</v>
      </c>
    </row>
    <row r="1305" spans="1:46" hidden="1" outlineLevel="1" x14ac:dyDescent="0.25">
      <c r="A1305" s="14" t="str">
        <f t="shared" si="414"/>
        <v>PROP_OPER__13</v>
      </c>
      <c r="B1305" s="15" t="str">
        <f t="shared" si="423"/>
        <v>PROP_OPER__0_0</v>
      </c>
      <c r="C1305" s="83"/>
      <c r="D1305" s="15">
        <v>1</v>
      </c>
      <c r="E1305" s="15">
        <v>13</v>
      </c>
      <c r="F1305" s="190">
        <f t="shared" si="429"/>
        <v>0</v>
      </c>
      <c r="G1305" s="149" t="str">
        <f t="shared" si="429"/>
        <v/>
      </c>
      <c r="H1305" s="150" t="str">
        <f t="shared" si="429"/>
        <v/>
      </c>
      <c r="I1305" s="150">
        <f t="shared" si="429"/>
        <v>0</v>
      </c>
      <c r="J1305" s="150">
        <f t="shared" si="429"/>
        <v>0</v>
      </c>
      <c r="K1305" s="196" t="str">
        <f t="shared" si="429"/>
        <v/>
      </c>
      <c r="L1305" s="197" t="str">
        <f t="shared" si="429"/>
        <v/>
      </c>
      <c r="M1305" s="191">
        <f t="shared" si="429"/>
        <v>0</v>
      </c>
      <c r="N1305" s="150">
        <f t="shared" si="429"/>
        <v>0</v>
      </c>
      <c r="O1305" s="193">
        <f t="shared" si="429"/>
        <v>0</v>
      </c>
      <c r="P1305" s="162">
        <f t="shared" si="425"/>
        <v>0</v>
      </c>
      <c r="Q1305" s="162">
        <f t="shared" si="425"/>
        <v>0</v>
      </c>
      <c r="R1305" s="162">
        <f t="shared" si="425"/>
        <v>0</v>
      </c>
      <c r="S1305" s="162">
        <f t="shared" si="425"/>
        <v>0</v>
      </c>
      <c r="T1305" s="162">
        <f t="shared" si="425"/>
        <v>0</v>
      </c>
      <c r="U1305" s="162">
        <f t="shared" si="425"/>
        <v>0</v>
      </c>
      <c r="V1305" s="162">
        <f t="shared" si="425"/>
        <v>0</v>
      </c>
      <c r="W1305" s="162">
        <f t="shared" si="425"/>
        <v>0</v>
      </c>
      <c r="X1305" s="162">
        <f t="shared" si="425"/>
        <v>0</v>
      </c>
      <c r="Y1305" s="162">
        <f t="shared" si="425"/>
        <v>0</v>
      </c>
      <c r="Z1305" s="162">
        <f t="shared" si="425"/>
        <v>0</v>
      </c>
      <c r="AA1305" s="162">
        <f t="shared" si="425"/>
        <v>0</v>
      </c>
      <c r="AB1305" s="163">
        <f t="shared" si="426"/>
        <v>0</v>
      </c>
      <c r="AC1305" s="198"/>
      <c r="AE1305" s="194" t="str">
        <f t="shared" si="430"/>
        <v/>
      </c>
      <c r="AF1305" s="161">
        <f t="shared" si="427"/>
        <v>0</v>
      </c>
      <c r="AG1305" s="162">
        <f t="shared" si="427"/>
        <v>0</v>
      </c>
      <c r="AH1305" s="162">
        <f t="shared" si="427"/>
        <v>0</v>
      </c>
      <c r="AI1305" s="162">
        <f t="shared" si="427"/>
        <v>0</v>
      </c>
      <c r="AJ1305" s="162">
        <f t="shared" si="427"/>
        <v>0</v>
      </c>
      <c r="AK1305" s="162">
        <f t="shared" si="427"/>
        <v>0</v>
      </c>
      <c r="AL1305" s="162">
        <f t="shared" si="427"/>
        <v>0</v>
      </c>
      <c r="AM1305" s="162">
        <f t="shared" si="427"/>
        <v>0</v>
      </c>
      <c r="AN1305" s="162">
        <f t="shared" si="427"/>
        <v>0</v>
      </c>
      <c r="AO1305" s="162">
        <f t="shared" si="427"/>
        <v>0</v>
      </c>
      <c r="AP1305" s="162">
        <f t="shared" si="427"/>
        <v>0</v>
      </c>
      <c r="AQ1305" s="162">
        <f t="shared" si="427"/>
        <v>0</v>
      </c>
      <c r="AR1305" s="163">
        <f t="shared" si="428"/>
        <v>0</v>
      </c>
      <c r="AT1305" s="208">
        <f>IFERROR(VLOOKUP(J1305,#REF!,10,0),0)</f>
        <v>0</v>
      </c>
    </row>
    <row r="1306" spans="1:46" hidden="1" outlineLevel="1" x14ac:dyDescent="0.25">
      <c r="A1306" s="14" t="str">
        <f t="shared" si="414"/>
        <v>PROP_OPER__14</v>
      </c>
      <c r="B1306" s="15" t="str">
        <f t="shared" si="423"/>
        <v>PROP_OPER__0_0</v>
      </c>
      <c r="C1306" s="83"/>
      <c r="D1306" s="15">
        <v>1</v>
      </c>
      <c r="E1306" s="15">
        <v>14</v>
      </c>
      <c r="F1306" s="190">
        <f t="shared" si="429"/>
        <v>0</v>
      </c>
      <c r="G1306" s="149" t="str">
        <f t="shared" si="429"/>
        <v/>
      </c>
      <c r="H1306" s="150" t="str">
        <f t="shared" si="429"/>
        <v/>
      </c>
      <c r="I1306" s="150">
        <f t="shared" si="429"/>
        <v>0</v>
      </c>
      <c r="J1306" s="150">
        <f t="shared" si="429"/>
        <v>0</v>
      </c>
      <c r="K1306" s="196" t="str">
        <f t="shared" si="429"/>
        <v/>
      </c>
      <c r="L1306" s="197" t="str">
        <f t="shared" si="429"/>
        <v/>
      </c>
      <c r="M1306" s="191">
        <f t="shared" si="429"/>
        <v>0</v>
      </c>
      <c r="N1306" s="150">
        <f t="shared" si="429"/>
        <v>0</v>
      </c>
      <c r="O1306" s="193">
        <f t="shared" si="429"/>
        <v>0</v>
      </c>
      <c r="P1306" s="162">
        <f t="shared" si="425"/>
        <v>0</v>
      </c>
      <c r="Q1306" s="162">
        <f t="shared" si="425"/>
        <v>0</v>
      </c>
      <c r="R1306" s="162">
        <f t="shared" si="425"/>
        <v>0</v>
      </c>
      <c r="S1306" s="162">
        <f t="shared" si="425"/>
        <v>0</v>
      </c>
      <c r="T1306" s="162">
        <f t="shared" si="425"/>
        <v>0</v>
      </c>
      <c r="U1306" s="162">
        <f t="shared" si="425"/>
        <v>0</v>
      </c>
      <c r="V1306" s="162">
        <f t="shared" si="425"/>
        <v>0</v>
      </c>
      <c r="W1306" s="162">
        <f t="shared" si="425"/>
        <v>0</v>
      </c>
      <c r="X1306" s="162">
        <f t="shared" si="425"/>
        <v>0</v>
      </c>
      <c r="Y1306" s="162">
        <f t="shared" si="425"/>
        <v>0</v>
      </c>
      <c r="Z1306" s="162">
        <f t="shared" si="425"/>
        <v>0</v>
      </c>
      <c r="AA1306" s="162">
        <f t="shared" si="425"/>
        <v>0</v>
      </c>
      <c r="AB1306" s="163">
        <f t="shared" si="426"/>
        <v>0</v>
      </c>
      <c r="AC1306" s="198"/>
      <c r="AE1306" s="194" t="str">
        <f t="shared" si="430"/>
        <v/>
      </c>
      <c r="AF1306" s="161">
        <f t="shared" si="427"/>
        <v>0</v>
      </c>
      <c r="AG1306" s="162">
        <f t="shared" si="427"/>
        <v>0</v>
      </c>
      <c r="AH1306" s="162">
        <f t="shared" si="427"/>
        <v>0</v>
      </c>
      <c r="AI1306" s="162">
        <f t="shared" si="427"/>
        <v>0</v>
      </c>
      <c r="AJ1306" s="162">
        <f t="shared" si="427"/>
        <v>0</v>
      </c>
      <c r="AK1306" s="162">
        <f t="shared" si="427"/>
        <v>0</v>
      </c>
      <c r="AL1306" s="162">
        <f t="shared" si="427"/>
        <v>0</v>
      </c>
      <c r="AM1306" s="162">
        <f t="shared" si="427"/>
        <v>0</v>
      </c>
      <c r="AN1306" s="162">
        <f t="shared" si="427"/>
        <v>0</v>
      </c>
      <c r="AO1306" s="162">
        <f t="shared" si="427"/>
        <v>0</v>
      </c>
      <c r="AP1306" s="162">
        <f t="shared" si="427"/>
        <v>0</v>
      </c>
      <c r="AQ1306" s="162">
        <f t="shared" si="427"/>
        <v>0</v>
      </c>
      <c r="AR1306" s="163">
        <f t="shared" si="428"/>
        <v>0</v>
      </c>
      <c r="AT1306" s="208">
        <f>IFERROR(VLOOKUP(J1306,#REF!,10,0),0)</f>
        <v>0</v>
      </c>
    </row>
    <row r="1307" spans="1:46" hidden="1" outlineLevel="1" x14ac:dyDescent="0.25">
      <c r="A1307" s="14" t="str">
        <f t="shared" si="414"/>
        <v>PROP_OPER__15</v>
      </c>
      <c r="B1307" s="15" t="e">
        <f t="shared" si="423"/>
        <v>#REF!</v>
      </c>
      <c r="C1307" s="83"/>
      <c r="D1307" s="15">
        <v>1</v>
      </c>
      <c r="E1307" s="15">
        <v>15</v>
      </c>
      <c r="F1307" s="190" t="e">
        <f t="shared" si="429"/>
        <v>#REF!</v>
      </c>
      <c r="G1307" s="149" t="e">
        <f t="shared" si="429"/>
        <v>#REF!</v>
      </c>
      <c r="H1307" s="150" t="e">
        <f t="shared" si="429"/>
        <v>#REF!</v>
      </c>
      <c r="I1307" s="150" t="e">
        <f t="shared" si="429"/>
        <v>#REF!</v>
      </c>
      <c r="J1307" s="150" t="e">
        <f t="shared" si="429"/>
        <v>#REF!</v>
      </c>
      <c r="K1307" s="196" t="e">
        <f t="shared" si="429"/>
        <v>#REF!</v>
      </c>
      <c r="L1307" s="197" t="e">
        <f t="shared" si="429"/>
        <v>#REF!</v>
      </c>
      <c r="M1307" s="191" t="e">
        <f t="shared" si="429"/>
        <v>#REF!</v>
      </c>
      <c r="N1307" s="150" t="e">
        <f t="shared" si="429"/>
        <v>#REF!</v>
      </c>
      <c r="O1307" s="193" t="e">
        <f t="shared" si="429"/>
        <v>#REF!</v>
      </c>
      <c r="P1307" s="162">
        <f>IFERROR(SUMIF($B$483:$B$547,$C1307&amp;$I1307,P$483:P$547)/SUMIF($D$483:$D$547,$I1307,P$483:P$547)*#REF!,0)</f>
        <v>0</v>
      </c>
      <c r="Q1307" s="162">
        <f>IFERROR(SUMIF($B$483:$B$547,$C1307&amp;$I1307,Q$483:Q$547)/SUMIF($D$483:$D$547,$I1307,Q$483:Q$547)*#REF!,0)</f>
        <v>0</v>
      </c>
      <c r="R1307" s="162">
        <f>IFERROR(SUMIF($B$483:$B$547,$C1307&amp;$I1307,R$483:R$547)/SUMIF($D$483:$D$547,$I1307,R$483:R$547)*#REF!,0)</f>
        <v>0</v>
      </c>
      <c r="S1307" s="162">
        <f>IFERROR(SUMIF($B$483:$B$547,$C1307&amp;$I1307,S$483:S$547)/SUMIF($D$483:$D$547,$I1307,S$483:S$547)*#REF!,0)</f>
        <v>0</v>
      </c>
      <c r="T1307" s="162">
        <f>IFERROR(SUMIF($B$483:$B$547,$C1307&amp;$I1307,T$483:T$547)/SUMIF($D$483:$D$547,$I1307,T$483:T$547)*#REF!,0)</f>
        <v>0</v>
      </c>
      <c r="U1307" s="162">
        <f>IFERROR(SUMIF($B$483:$B$547,$C1307&amp;$I1307,U$483:U$547)/SUMIF($D$483:$D$547,$I1307,U$483:U$547)*#REF!,0)</f>
        <v>0</v>
      </c>
      <c r="V1307" s="162">
        <f>IFERROR(SUMIF($B$483:$B$547,$C1307&amp;$I1307,V$483:V$547)/SUMIF($D$483:$D$547,$I1307,V$483:V$547)*#REF!,0)</f>
        <v>0</v>
      </c>
      <c r="W1307" s="162">
        <f>IFERROR(SUMIF($B$483:$B$547,$C1307&amp;$I1307,W$483:W$547)/SUMIF($D$483:$D$547,$I1307,W$483:W$547)*#REF!,0)</f>
        <v>0</v>
      </c>
      <c r="X1307" s="162">
        <f>IFERROR(SUMIF($B$483:$B$547,$C1307&amp;$I1307,X$483:X$547)/SUMIF($D$483:$D$547,$I1307,X$483:X$547)*#REF!,0)</f>
        <v>0</v>
      </c>
      <c r="Y1307" s="162">
        <f>IFERROR(SUMIF($B$483:$B$547,$C1307&amp;$I1307,Y$483:Y$547)/SUMIF($D$483:$D$547,$I1307,Y$483:Y$547)*#REF!,0)</f>
        <v>0</v>
      </c>
      <c r="Z1307" s="162">
        <f>IFERROR(SUMIF($B$483:$B$547,$C1307&amp;$I1307,Z$483:Z$547)/SUMIF($D$483:$D$547,$I1307,Z$483:Z$547)*#REF!,0)</f>
        <v>0</v>
      </c>
      <c r="AA1307" s="162">
        <f>IFERROR(SUMIF($B$483:$B$547,$C1307&amp;$I1307,AA$483:AA$547)/SUMIF($D$483:$D$547,$I1307,AA$483:AA$547)*#REF!,0)</f>
        <v>0</v>
      </c>
      <c r="AB1307" s="163">
        <f t="shared" si="426"/>
        <v>0</v>
      </c>
      <c r="AC1307" s="198"/>
      <c r="AE1307" s="194" t="e">
        <f t="shared" si="430"/>
        <v>#REF!</v>
      </c>
      <c r="AF1307" s="161">
        <f>IFERROR(SUMIF($B$483:$B$547,$C1307&amp;$I1307,P$483:P$547)/SUMIF($D$483:$D$547,$I1307,P$483:P$547)*#REF!,0)</f>
        <v>0</v>
      </c>
      <c r="AG1307" s="162">
        <f>IFERROR(SUMIF($B$483:$B$547,$C1307&amp;$I1307,Q$483:Q$547)/SUMIF($D$483:$D$547,$I1307,Q$483:Q$547)*#REF!,0)</f>
        <v>0</v>
      </c>
      <c r="AH1307" s="162">
        <f>IFERROR(SUMIF($B$483:$B$547,$C1307&amp;$I1307,R$483:R$547)/SUMIF($D$483:$D$547,$I1307,R$483:R$547)*#REF!,0)</f>
        <v>0</v>
      </c>
      <c r="AI1307" s="162">
        <f>IFERROR(SUMIF($B$483:$B$547,$C1307&amp;$I1307,S$483:S$547)/SUMIF($D$483:$D$547,$I1307,S$483:S$547)*#REF!,0)</f>
        <v>0</v>
      </c>
      <c r="AJ1307" s="162">
        <f>IFERROR(SUMIF($B$483:$B$547,$C1307&amp;$I1307,T$483:T$547)/SUMIF($D$483:$D$547,$I1307,T$483:T$547)*#REF!,0)</f>
        <v>0</v>
      </c>
      <c r="AK1307" s="162">
        <f>IFERROR(SUMIF($B$483:$B$547,$C1307&amp;$I1307,U$483:U$547)/SUMIF($D$483:$D$547,$I1307,U$483:U$547)*#REF!,0)</f>
        <v>0</v>
      </c>
      <c r="AL1307" s="162">
        <f>IFERROR(SUMIF($B$483:$B$547,$C1307&amp;$I1307,V$483:V$547)/SUMIF($D$483:$D$547,$I1307,V$483:V$547)*#REF!,0)</f>
        <v>0</v>
      </c>
      <c r="AM1307" s="162">
        <f>IFERROR(SUMIF($B$483:$B$547,$C1307&amp;$I1307,W$483:W$547)/SUMIF($D$483:$D$547,$I1307,W$483:W$547)*#REF!,0)</f>
        <v>0</v>
      </c>
      <c r="AN1307" s="162">
        <f>IFERROR(SUMIF($B$483:$B$547,$C1307&amp;$I1307,X$483:X$547)/SUMIF($D$483:$D$547,$I1307,X$483:X$547)*#REF!,0)</f>
        <v>0</v>
      </c>
      <c r="AO1307" s="162">
        <f>IFERROR(SUMIF($B$483:$B$547,$C1307&amp;$I1307,Y$483:Y$547)/SUMIF($D$483:$D$547,$I1307,Y$483:Y$547)*#REF!,0)</f>
        <v>0</v>
      </c>
      <c r="AP1307" s="162">
        <f>IFERROR(SUMIF($B$483:$B$547,$C1307&amp;$I1307,Z$483:Z$547)/SUMIF($D$483:$D$547,$I1307,Z$483:Z$547)*#REF!,0)</f>
        <v>0</v>
      </c>
      <c r="AQ1307" s="162">
        <f>IFERROR(SUMIF($B$483:$B$547,$C1307&amp;$I1307,AA$483:AA$547)/SUMIF($D$483:$D$547,$I1307,AA$483:AA$547)*#REF!,0)</f>
        <v>0</v>
      </c>
      <c r="AR1307" s="163">
        <f t="shared" si="428"/>
        <v>0</v>
      </c>
      <c r="AT1307" s="208">
        <f>IFERROR(VLOOKUP(J1307,#REF!,10,0),0)</f>
        <v>0</v>
      </c>
    </row>
    <row r="1308" spans="1:46" hidden="1" outlineLevel="1" x14ac:dyDescent="0.25">
      <c r="A1308" s="14" t="str">
        <f t="shared" si="414"/>
        <v>PROP_OPER__16</v>
      </c>
      <c r="B1308" s="15" t="e">
        <f t="shared" si="423"/>
        <v>#REF!</v>
      </c>
      <c r="C1308" s="83"/>
      <c r="D1308" s="15">
        <v>1</v>
      </c>
      <c r="E1308" s="15">
        <v>16</v>
      </c>
      <c r="F1308" s="190" t="e">
        <f t="shared" si="429"/>
        <v>#REF!</v>
      </c>
      <c r="G1308" s="149" t="e">
        <f t="shared" si="429"/>
        <v>#REF!</v>
      </c>
      <c r="H1308" s="150" t="e">
        <f t="shared" si="429"/>
        <v>#REF!</v>
      </c>
      <c r="I1308" s="150" t="e">
        <f t="shared" si="429"/>
        <v>#REF!</v>
      </c>
      <c r="J1308" s="150" t="e">
        <f t="shared" si="429"/>
        <v>#REF!</v>
      </c>
      <c r="K1308" s="196" t="e">
        <f t="shared" si="429"/>
        <v>#REF!</v>
      </c>
      <c r="L1308" s="197" t="e">
        <f t="shared" si="429"/>
        <v>#REF!</v>
      </c>
      <c r="M1308" s="191" t="e">
        <f t="shared" si="429"/>
        <v>#REF!</v>
      </c>
      <c r="N1308" s="150" t="e">
        <f t="shared" si="429"/>
        <v>#REF!</v>
      </c>
      <c r="O1308" s="193" t="e">
        <f t="shared" si="429"/>
        <v>#REF!</v>
      </c>
      <c r="P1308" s="162">
        <f>IFERROR(SUMIF($B$483:$B$547,$C1308&amp;$I1308,P$483:P$547)/SUMIF($D$483:$D$547,$I1308,P$483:P$547)*#REF!,0)</f>
        <v>0</v>
      </c>
      <c r="Q1308" s="162">
        <f>IFERROR(SUMIF($B$483:$B$547,$C1308&amp;$I1308,Q$483:Q$547)/SUMIF($D$483:$D$547,$I1308,Q$483:Q$547)*#REF!,0)</f>
        <v>0</v>
      </c>
      <c r="R1308" s="162">
        <f>IFERROR(SUMIF($B$483:$B$547,$C1308&amp;$I1308,R$483:R$547)/SUMIF($D$483:$D$547,$I1308,R$483:R$547)*#REF!,0)</f>
        <v>0</v>
      </c>
      <c r="S1308" s="162">
        <f>IFERROR(SUMIF($B$483:$B$547,$C1308&amp;$I1308,S$483:S$547)/SUMIF($D$483:$D$547,$I1308,S$483:S$547)*#REF!,0)</f>
        <v>0</v>
      </c>
      <c r="T1308" s="162">
        <f>IFERROR(SUMIF($B$483:$B$547,$C1308&amp;$I1308,T$483:T$547)/SUMIF($D$483:$D$547,$I1308,T$483:T$547)*#REF!,0)</f>
        <v>0</v>
      </c>
      <c r="U1308" s="162">
        <f>IFERROR(SUMIF($B$483:$B$547,$C1308&amp;$I1308,U$483:U$547)/SUMIF($D$483:$D$547,$I1308,U$483:U$547)*#REF!,0)</f>
        <v>0</v>
      </c>
      <c r="V1308" s="162">
        <f>IFERROR(SUMIF($B$483:$B$547,$C1308&amp;$I1308,V$483:V$547)/SUMIF($D$483:$D$547,$I1308,V$483:V$547)*#REF!,0)</f>
        <v>0</v>
      </c>
      <c r="W1308" s="162">
        <f>IFERROR(SUMIF($B$483:$B$547,$C1308&amp;$I1308,W$483:W$547)/SUMIF($D$483:$D$547,$I1308,W$483:W$547)*#REF!,0)</f>
        <v>0</v>
      </c>
      <c r="X1308" s="162">
        <f>IFERROR(SUMIF($B$483:$B$547,$C1308&amp;$I1308,X$483:X$547)/SUMIF($D$483:$D$547,$I1308,X$483:X$547)*#REF!,0)</f>
        <v>0</v>
      </c>
      <c r="Y1308" s="162">
        <f>IFERROR(SUMIF($B$483:$B$547,$C1308&amp;$I1308,Y$483:Y$547)/SUMIF($D$483:$D$547,$I1308,Y$483:Y$547)*#REF!,0)</f>
        <v>0</v>
      </c>
      <c r="Z1308" s="162">
        <f>IFERROR(SUMIF($B$483:$B$547,$C1308&amp;$I1308,Z$483:Z$547)/SUMIF($D$483:$D$547,$I1308,Z$483:Z$547)*#REF!,0)</f>
        <v>0</v>
      </c>
      <c r="AA1308" s="162">
        <f>IFERROR(SUMIF($B$483:$B$547,$C1308&amp;$I1308,AA$483:AA$547)/SUMIF($D$483:$D$547,$I1308,AA$483:AA$547)*#REF!,0)</f>
        <v>0</v>
      </c>
      <c r="AB1308" s="163">
        <f t="shared" si="426"/>
        <v>0</v>
      </c>
      <c r="AC1308" s="198"/>
      <c r="AE1308" s="194" t="e">
        <f t="shared" si="430"/>
        <v>#REF!</v>
      </c>
      <c r="AF1308" s="161">
        <f>IFERROR(SUMIF($B$483:$B$547,$C1308&amp;$I1308,P$483:P$547)/SUMIF($D$483:$D$547,$I1308,P$483:P$547)*#REF!,0)</f>
        <v>0</v>
      </c>
      <c r="AG1308" s="162">
        <f>IFERROR(SUMIF($B$483:$B$547,$C1308&amp;$I1308,Q$483:Q$547)/SUMIF($D$483:$D$547,$I1308,Q$483:Q$547)*#REF!,0)</f>
        <v>0</v>
      </c>
      <c r="AH1308" s="162">
        <f>IFERROR(SUMIF($B$483:$B$547,$C1308&amp;$I1308,R$483:R$547)/SUMIF($D$483:$D$547,$I1308,R$483:R$547)*#REF!,0)</f>
        <v>0</v>
      </c>
      <c r="AI1308" s="162">
        <f>IFERROR(SUMIF($B$483:$B$547,$C1308&amp;$I1308,S$483:S$547)/SUMIF($D$483:$D$547,$I1308,S$483:S$547)*#REF!,0)</f>
        <v>0</v>
      </c>
      <c r="AJ1308" s="162">
        <f>IFERROR(SUMIF($B$483:$B$547,$C1308&amp;$I1308,T$483:T$547)/SUMIF($D$483:$D$547,$I1308,T$483:T$547)*#REF!,0)</f>
        <v>0</v>
      </c>
      <c r="AK1308" s="162">
        <f>IFERROR(SUMIF($B$483:$B$547,$C1308&amp;$I1308,U$483:U$547)/SUMIF($D$483:$D$547,$I1308,U$483:U$547)*#REF!,0)</f>
        <v>0</v>
      </c>
      <c r="AL1308" s="162">
        <f>IFERROR(SUMIF($B$483:$B$547,$C1308&amp;$I1308,V$483:V$547)/SUMIF($D$483:$D$547,$I1308,V$483:V$547)*#REF!,0)</f>
        <v>0</v>
      </c>
      <c r="AM1308" s="162">
        <f>IFERROR(SUMIF($B$483:$B$547,$C1308&amp;$I1308,W$483:W$547)/SUMIF($D$483:$D$547,$I1308,W$483:W$547)*#REF!,0)</f>
        <v>0</v>
      </c>
      <c r="AN1308" s="162">
        <f>IFERROR(SUMIF($B$483:$B$547,$C1308&amp;$I1308,X$483:X$547)/SUMIF($D$483:$D$547,$I1308,X$483:X$547)*#REF!,0)</f>
        <v>0</v>
      </c>
      <c r="AO1308" s="162">
        <f>IFERROR(SUMIF($B$483:$B$547,$C1308&amp;$I1308,Y$483:Y$547)/SUMIF($D$483:$D$547,$I1308,Y$483:Y$547)*#REF!,0)</f>
        <v>0</v>
      </c>
      <c r="AP1308" s="162">
        <f>IFERROR(SUMIF($B$483:$B$547,$C1308&amp;$I1308,Z$483:Z$547)/SUMIF($D$483:$D$547,$I1308,Z$483:Z$547)*#REF!,0)</f>
        <v>0</v>
      </c>
      <c r="AQ1308" s="162">
        <f>IFERROR(SUMIF($B$483:$B$547,$C1308&amp;$I1308,AA$483:AA$547)/SUMIF($D$483:$D$547,$I1308,AA$483:AA$547)*#REF!,0)</f>
        <v>0</v>
      </c>
      <c r="AR1308" s="163">
        <f t="shared" si="428"/>
        <v>0</v>
      </c>
      <c r="AT1308" s="208">
        <f>IFERROR(VLOOKUP(J1308,#REF!,10,0),0)</f>
        <v>0</v>
      </c>
    </row>
    <row r="1309" spans="1:46" hidden="1" outlineLevel="1" x14ac:dyDescent="0.25">
      <c r="A1309" s="14" t="str">
        <f t="shared" si="414"/>
        <v>PROP_OPER__17</v>
      </c>
      <c r="B1309" s="15" t="e">
        <f t="shared" si="423"/>
        <v>#REF!</v>
      </c>
      <c r="C1309" s="83"/>
      <c r="D1309" s="15">
        <v>1</v>
      </c>
      <c r="E1309" s="15">
        <v>17</v>
      </c>
      <c r="F1309" s="190" t="e">
        <f t="shared" si="429"/>
        <v>#REF!</v>
      </c>
      <c r="G1309" s="149" t="e">
        <f t="shared" si="429"/>
        <v>#REF!</v>
      </c>
      <c r="H1309" s="150" t="e">
        <f t="shared" si="429"/>
        <v>#REF!</v>
      </c>
      <c r="I1309" s="150" t="e">
        <f t="shared" si="429"/>
        <v>#REF!</v>
      </c>
      <c r="J1309" s="150" t="e">
        <f t="shared" si="429"/>
        <v>#REF!</v>
      </c>
      <c r="K1309" s="196" t="e">
        <f t="shared" si="429"/>
        <v>#REF!</v>
      </c>
      <c r="L1309" s="197" t="e">
        <f t="shared" si="429"/>
        <v>#REF!</v>
      </c>
      <c r="M1309" s="191" t="e">
        <f t="shared" si="429"/>
        <v>#REF!</v>
      </c>
      <c r="N1309" s="150" t="e">
        <f t="shared" si="429"/>
        <v>#REF!</v>
      </c>
      <c r="O1309" s="193" t="e">
        <f t="shared" si="429"/>
        <v>#REF!</v>
      </c>
      <c r="P1309" s="162">
        <f>IFERROR(SUMIF($B$483:$B$547,$C1309&amp;$I1309,P$483:P$547)/SUMIF($D$483:$D$547,$I1309,P$483:P$547)*#REF!,0)</f>
        <v>0</v>
      </c>
      <c r="Q1309" s="162">
        <f>IFERROR(SUMIF($B$483:$B$547,$C1309&amp;$I1309,Q$483:Q$547)/SUMIF($D$483:$D$547,$I1309,Q$483:Q$547)*#REF!,0)</f>
        <v>0</v>
      </c>
      <c r="R1309" s="162">
        <f>IFERROR(SUMIF($B$483:$B$547,$C1309&amp;$I1309,R$483:R$547)/SUMIF($D$483:$D$547,$I1309,R$483:R$547)*#REF!,0)</f>
        <v>0</v>
      </c>
      <c r="S1309" s="162">
        <f>IFERROR(SUMIF($B$483:$B$547,$C1309&amp;$I1309,S$483:S$547)/SUMIF($D$483:$D$547,$I1309,S$483:S$547)*#REF!,0)</f>
        <v>0</v>
      </c>
      <c r="T1309" s="162">
        <f>IFERROR(SUMIF($B$483:$B$547,$C1309&amp;$I1309,T$483:T$547)/SUMIF($D$483:$D$547,$I1309,T$483:T$547)*#REF!,0)</f>
        <v>0</v>
      </c>
      <c r="U1309" s="162">
        <f>IFERROR(SUMIF($B$483:$B$547,$C1309&amp;$I1309,U$483:U$547)/SUMIF($D$483:$D$547,$I1309,U$483:U$547)*#REF!,0)</f>
        <v>0</v>
      </c>
      <c r="V1309" s="162">
        <f>IFERROR(SUMIF($B$483:$B$547,$C1309&amp;$I1309,V$483:V$547)/SUMIF($D$483:$D$547,$I1309,V$483:V$547)*#REF!,0)</f>
        <v>0</v>
      </c>
      <c r="W1309" s="162">
        <f>IFERROR(SUMIF($B$483:$B$547,$C1309&amp;$I1309,W$483:W$547)/SUMIF($D$483:$D$547,$I1309,W$483:W$547)*#REF!,0)</f>
        <v>0</v>
      </c>
      <c r="X1309" s="162">
        <f>IFERROR(SUMIF($B$483:$B$547,$C1309&amp;$I1309,X$483:X$547)/SUMIF($D$483:$D$547,$I1309,X$483:X$547)*#REF!,0)</f>
        <v>0</v>
      </c>
      <c r="Y1309" s="162">
        <f>IFERROR(SUMIF($B$483:$B$547,$C1309&amp;$I1309,Y$483:Y$547)/SUMIF($D$483:$D$547,$I1309,Y$483:Y$547)*#REF!,0)</f>
        <v>0</v>
      </c>
      <c r="Z1309" s="162">
        <f>IFERROR(SUMIF($B$483:$B$547,$C1309&amp;$I1309,Z$483:Z$547)/SUMIF($D$483:$D$547,$I1309,Z$483:Z$547)*#REF!,0)</f>
        <v>0</v>
      </c>
      <c r="AA1309" s="162">
        <f>IFERROR(SUMIF($B$483:$B$547,$C1309&amp;$I1309,AA$483:AA$547)/SUMIF($D$483:$D$547,$I1309,AA$483:AA$547)*#REF!,0)</f>
        <v>0</v>
      </c>
      <c r="AB1309" s="163">
        <f t="shared" si="426"/>
        <v>0</v>
      </c>
      <c r="AC1309" s="198"/>
      <c r="AE1309" s="194" t="e">
        <f t="shared" si="430"/>
        <v>#REF!</v>
      </c>
      <c r="AF1309" s="161">
        <f>IFERROR(SUMIF($B$483:$B$547,$C1309&amp;$I1309,P$483:P$547)/SUMIF($D$483:$D$547,$I1309,P$483:P$547)*#REF!,0)</f>
        <v>0</v>
      </c>
      <c r="AG1309" s="162">
        <f>IFERROR(SUMIF($B$483:$B$547,$C1309&amp;$I1309,Q$483:Q$547)/SUMIF($D$483:$D$547,$I1309,Q$483:Q$547)*#REF!,0)</f>
        <v>0</v>
      </c>
      <c r="AH1309" s="162">
        <f>IFERROR(SUMIF($B$483:$B$547,$C1309&amp;$I1309,R$483:R$547)/SUMIF($D$483:$D$547,$I1309,R$483:R$547)*#REF!,0)</f>
        <v>0</v>
      </c>
      <c r="AI1309" s="162">
        <f>IFERROR(SUMIF($B$483:$B$547,$C1309&amp;$I1309,S$483:S$547)/SUMIF($D$483:$D$547,$I1309,S$483:S$547)*#REF!,0)</f>
        <v>0</v>
      </c>
      <c r="AJ1309" s="162">
        <f>IFERROR(SUMIF($B$483:$B$547,$C1309&amp;$I1309,T$483:T$547)/SUMIF($D$483:$D$547,$I1309,T$483:T$547)*#REF!,0)</f>
        <v>0</v>
      </c>
      <c r="AK1309" s="162">
        <f>IFERROR(SUMIF($B$483:$B$547,$C1309&amp;$I1309,U$483:U$547)/SUMIF($D$483:$D$547,$I1309,U$483:U$547)*#REF!,0)</f>
        <v>0</v>
      </c>
      <c r="AL1309" s="162">
        <f>IFERROR(SUMIF($B$483:$B$547,$C1309&amp;$I1309,V$483:V$547)/SUMIF($D$483:$D$547,$I1309,V$483:V$547)*#REF!,0)</f>
        <v>0</v>
      </c>
      <c r="AM1309" s="162">
        <f>IFERROR(SUMIF($B$483:$B$547,$C1309&amp;$I1309,W$483:W$547)/SUMIF($D$483:$D$547,$I1309,W$483:W$547)*#REF!,0)</f>
        <v>0</v>
      </c>
      <c r="AN1309" s="162">
        <f>IFERROR(SUMIF($B$483:$B$547,$C1309&amp;$I1309,X$483:X$547)/SUMIF($D$483:$D$547,$I1309,X$483:X$547)*#REF!,0)</f>
        <v>0</v>
      </c>
      <c r="AO1309" s="162">
        <f>IFERROR(SUMIF($B$483:$B$547,$C1309&amp;$I1309,Y$483:Y$547)/SUMIF($D$483:$D$547,$I1309,Y$483:Y$547)*#REF!,0)</f>
        <v>0</v>
      </c>
      <c r="AP1309" s="162">
        <f>IFERROR(SUMIF($B$483:$B$547,$C1309&amp;$I1309,Z$483:Z$547)/SUMIF($D$483:$D$547,$I1309,Z$483:Z$547)*#REF!,0)</f>
        <v>0</v>
      </c>
      <c r="AQ1309" s="162">
        <f>IFERROR(SUMIF($B$483:$B$547,$C1309&amp;$I1309,AA$483:AA$547)/SUMIF($D$483:$D$547,$I1309,AA$483:AA$547)*#REF!,0)</f>
        <v>0</v>
      </c>
      <c r="AR1309" s="163">
        <f t="shared" si="428"/>
        <v>0</v>
      </c>
      <c r="AT1309" s="208">
        <f>IFERROR(VLOOKUP(J1309,#REF!,10,0),0)</f>
        <v>0</v>
      </c>
    </row>
    <row r="1310" spans="1:46" hidden="1" outlineLevel="1" x14ac:dyDescent="0.25">
      <c r="A1310" s="14" t="str">
        <f t="shared" si="414"/>
        <v>PROP_OPER__18</v>
      </c>
      <c r="B1310" s="15" t="e">
        <f t="shared" si="423"/>
        <v>#REF!</v>
      </c>
      <c r="C1310" s="83"/>
      <c r="D1310" s="15">
        <v>1</v>
      </c>
      <c r="E1310" s="15">
        <v>18</v>
      </c>
      <c r="F1310" s="190" t="e">
        <f t="shared" ref="F1310:O1325" si="431">F1264</f>
        <v>#REF!</v>
      </c>
      <c r="G1310" s="149" t="e">
        <f t="shared" si="431"/>
        <v>#REF!</v>
      </c>
      <c r="H1310" s="150" t="e">
        <f t="shared" si="431"/>
        <v>#REF!</v>
      </c>
      <c r="I1310" s="150" t="e">
        <f t="shared" si="431"/>
        <v>#REF!</v>
      </c>
      <c r="J1310" s="150" t="e">
        <f t="shared" si="431"/>
        <v>#REF!</v>
      </c>
      <c r="K1310" s="196" t="e">
        <f t="shared" si="431"/>
        <v>#REF!</v>
      </c>
      <c r="L1310" s="197" t="e">
        <f t="shared" si="431"/>
        <v>#REF!</v>
      </c>
      <c r="M1310" s="191" t="e">
        <f t="shared" si="431"/>
        <v>#REF!</v>
      </c>
      <c r="N1310" s="150" t="e">
        <f t="shared" si="431"/>
        <v>#REF!</v>
      </c>
      <c r="O1310" s="193" t="e">
        <f t="shared" si="431"/>
        <v>#REF!</v>
      </c>
      <c r="P1310" s="162">
        <f>IFERROR(SUMIF($B$483:$B$547,$C1310&amp;$I1310,P$483:P$547)/SUMIF($D$483:$D$547,$I1310,P$483:P$547)*#REF!,0)</f>
        <v>0</v>
      </c>
      <c r="Q1310" s="162">
        <f>IFERROR(SUMIF($B$483:$B$547,$C1310&amp;$I1310,Q$483:Q$547)/SUMIF($D$483:$D$547,$I1310,Q$483:Q$547)*#REF!,0)</f>
        <v>0</v>
      </c>
      <c r="R1310" s="162">
        <f>IFERROR(SUMIF($B$483:$B$547,$C1310&amp;$I1310,R$483:R$547)/SUMIF($D$483:$D$547,$I1310,R$483:R$547)*#REF!,0)</f>
        <v>0</v>
      </c>
      <c r="S1310" s="162">
        <f>IFERROR(SUMIF($B$483:$B$547,$C1310&amp;$I1310,S$483:S$547)/SUMIF($D$483:$D$547,$I1310,S$483:S$547)*#REF!,0)</f>
        <v>0</v>
      </c>
      <c r="T1310" s="162">
        <f>IFERROR(SUMIF($B$483:$B$547,$C1310&amp;$I1310,T$483:T$547)/SUMIF($D$483:$D$547,$I1310,T$483:T$547)*#REF!,0)</f>
        <v>0</v>
      </c>
      <c r="U1310" s="162">
        <f>IFERROR(SUMIF($B$483:$B$547,$C1310&amp;$I1310,U$483:U$547)/SUMIF($D$483:$D$547,$I1310,U$483:U$547)*#REF!,0)</f>
        <v>0</v>
      </c>
      <c r="V1310" s="162">
        <f>IFERROR(SUMIF($B$483:$B$547,$C1310&amp;$I1310,V$483:V$547)/SUMIF($D$483:$D$547,$I1310,V$483:V$547)*#REF!,0)</f>
        <v>0</v>
      </c>
      <c r="W1310" s="162">
        <f>IFERROR(SUMIF($B$483:$B$547,$C1310&amp;$I1310,W$483:W$547)/SUMIF($D$483:$D$547,$I1310,W$483:W$547)*#REF!,0)</f>
        <v>0</v>
      </c>
      <c r="X1310" s="162">
        <f>IFERROR(SUMIF($B$483:$B$547,$C1310&amp;$I1310,X$483:X$547)/SUMIF($D$483:$D$547,$I1310,X$483:X$547)*#REF!,0)</f>
        <v>0</v>
      </c>
      <c r="Y1310" s="162">
        <f>IFERROR(SUMIF($B$483:$B$547,$C1310&amp;$I1310,Y$483:Y$547)/SUMIF($D$483:$D$547,$I1310,Y$483:Y$547)*#REF!,0)</f>
        <v>0</v>
      </c>
      <c r="Z1310" s="162">
        <f>IFERROR(SUMIF($B$483:$B$547,$C1310&amp;$I1310,Z$483:Z$547)/SUMIF($D$483:$D$547,$I1310,Z$483:Z$547)*#REF!,0)</f>
        <v>0</v>
      </c>
      <c r="AA1310" s="162">
        <f>IFERROR(SUMIF($B$483:$B$547,$C1310&amp;$I1310,AA$483:AA$547)/SUMIF($D$483:$D$547,$I1310,AA$483:AA$547)*#REF!,0)</f>
        <v>0</v>
      </c>
      <c r="AB1310" s="163">
        <f t="shared" si="426"/>
        <v>0</v>
      </c>
      <c r="AC1310" s="198"/>
      <c r="AE1310" s="194" t="e">
        <f t="shared" si="430"/>
        <v>#REF!</v>
      </c>
      <c r="AF1310" s="161">
        <f>IFERROR(SUMIF($B$483:$B$547,$C1310&amp;$I1310,P$483:P$547)/SUMIF($D$483:$D$547,$I1310,P$483:P$547)*#REF!,0)</f>
        <v>0</v>
      </c>
      <c r="AG1310" s="162">
        <f>IFERROR(SUMIF($B$483:$B$547,$C1310&amp;$I1310,Q$483:Q$547)/SUMIF($D$483:$D$547,$I1310,Q$483:Q$547)*#REF!,0)</f>
        <v>0</v>
      </c>
      <c r="AH1310" s="162">
        <f>IFERROR(SUMIF($B$483:$B$547,$C1310&amp;$I1310,R$483:R$547)/SUMIF($D$483:$D$547,$I1310,R$483:R$547)*#REF!,0)</f>
        <v>0</v>
      </c>
      <c r="AI1310" s="162">
        <f>IFERROR(SUMIF($B$483:$B$547,$C1310&amp;$I1310,S$483:S$547)/SUMIF($D$483:$D$547,$I1310,S$483:S$547)*#REF!,0)</f>
        <v>0</v>
      </c>
      <c r="AJ1310" s="162">
        <f>IFERROR(SUMIF($B$483:$B$547,$C1310&amp;$I1310,T$483:T$547)/SUMIF($D$483:$D$547,$I1310,T$483:T$547)*#REF!,0)</f>
        <v>0</v>
      </c>
      <c r="AK1310" s="162">
        <f>IFERROR(SUMIF($B$483:$B$547,$C1310&amp;$I1310,U$483:U$547)/SUMIF($D$483:$D$547,$I1310,U$483:U$547)*#REF!,0)</f>
        <v>0</v>
      </c>
      <c r="AL1310" s="162">
        <f>IFERROR(SUMIF($B$483:$B$547,$C1310&amp;$I1310,V$483:V$547)/SUMIF($D$483:$D$547,$I1310,V$483:V$547)*#REF!,0)</f>
        <v>0</v>
      </c>
      <c r="AM1310" s="162">
        <f>IFERROR(SUMIF($B$483:$B$547,$C1310&amp;$I1310,W$483:W$547)/SUMIF($D$483:$D$547,$I1310,W$483:W$547)*#REF!,0)</f>
        <v>0</v>
      </c>
      <c r="AN1310" s="162">
        <f>IFERROR(SUMIF($B$483:$B$547,$C1310&amp;$I1310,X$483:X$547)/SUMIF($D$483:$D$547,$I1310,X$483:X$547)*#REF!,0)</f>
        <v>0</v>
      </c>
      <c r="AO1310" s="162">
        <f>IFERROR(SUMIF($B$483:$B$547,$C1310&amp;$I1310,Y$483:Y$547)/SUMIF($D$483:$D$547,$I1310,Y$483:Y$547)*#REF!,0)</f>
        <v>0</v>
      </c>
      <c r="AP1310" s="162">
        <f>IFERROR(SUMIF($B$483:$B$547,$C1310&amp;$I1310,Z$483:Z$547)/SUMIF($D$483:$D$547,$I1310,Z$483:Z$547)*#REF!,0)</f>
        <v>0</v>
      </c>
      <c r="AQ1310" s="162">
        <f>IFERROR(SUMIF($B$483:$B$547,$C1310&amp;$I1310,AA$483:AA$547)/SUMIF($D$483:$D$547,$I1310,AA$483:AA$547)*#REF!,0)</f>
        <v>0</v>
      </c>
      <c r="AR1310" s="163">
        <f t="shared" si="428"/>
        <v>0</v>
      </c>
      <c r="AT1310" s="208">
        <f>IFERROR(VLOOKUP(J1310,#REF!,10,0),0)</f>
        <v>0</v>
      </c>
    </row>
    <row r="1311" spans="1:46" hidden="1" outlineLevel="1" x14ac:dyDescent="0.25">
      <c r="A1311" s="14" t="str">
        <f t="shared" si="414"/>
        <v>PROP_OPER__19</v>
      </c>
      <c r="B1311" s="15" t="str">
        <f t="shared" si="423"/>
        <v>PROP_OPER__0_0</v>
      </c>
      <c r="C1311" s="83"/>
      <c r="D1311" s="15">
        <v>1</v>
      </c>
      <c r="E1311" s="15">
        <v>19</v>
      </c>
      <c r="F1311" s="190">
        <f t="shared" si="431"/>
        <v>0</v>
      </c>
      <c r="G1311" s="149" t="str">
        <f t="shared" si="431"/>
        <v/>
      </c>
      <c r="H1311" s="150" t="str">
        <f t="shared" si="431"/>
        <v/>
      </c>
      <c r="I1311" s="150">
        <f t="shared" si="431"/>
        <v>0</v>
      </c>
      <c r="J1311" s="150">
        <f t="shared" si="431"/>
        <v>0</v>
      </c>
      <c r="K1311" s="196" t="str">
        <f t="shared" si="431"/>
        <v/>
      </c>
      <c r="L1311" s="197" t="str">
        <f t="shared" si="431"/>
        <v/>
      </c>
      <c r="M1311" s="191">
        <f t="shared" si="431"/>
        <v>0</v>
      </c>
      <c r="N1311" s="150">
        <f t="shared" si="431"/>
        <v>0</v>
      </c>
      <c r="O1311" s="193">
        <f t="shared" si="431"/>
        <v>0</v>
      </c>
      <c r="P1311" s="162">
        <f t="shared" ref="P1311:AA1326" si="432">IFERROR(SUMIF($B$483:$B$547,$C1311&amp;$I1311,P$483:P$547)/SUMIF($D$483:$D$547,$I1311,P$483:P$547)*P612,0)</f>
        <v>0</v>
      </c>
      <c r="Q1311" s="162">
        <f t="shared" si="432"/>
        <v>0</v>
      </c>
      <c r="R1311" s="162">
        <f t="shared" si="432"/>
        <v>0</v>
      </c>
      <c r="S1311" s="162">
        <f t="shared" si="432"/>
        <v>0</v>
      </c>
      <c r="T1311" s="162">
        <f t="shared" si="432"/>
        <v>0</v>
      </c>
      <c r="U1311" s="162">
        <f t="shared" si="432"/>
        <v>0</v>
      </c>
      <c r="V1311" s="162">
        <f t="shared" si="432"/>
        <v>0</v>
      </c>
      <c r="W1311" s="162">
        <f t="shared" si="432"/>
        <v>0</v>
      </c>
      <c r="X1311" s="162">
        <f t="shared" si="432"/>
        <v>0</v>
      </c>
      <c r="Y1311" s="162">
        <f t="shared" si="432"/>
        <v>0</v>
      </c>
      <c r="Z1311" s="162">
        <f t="shared" si="432"/>
        <v>0</v>
      </c>
      <c r="AA1311" s="162">
        <f t="shared" si="432"/>
        <v>0</v>
      </c>
      <c r="AB1311" s="163">
        <f t="shared" si="426"/>
        <v>0</v>
      </c>
      <c r="AC1311" s="198"/>
      <c r="AE1311" s="194" t="str">
        <f t="shared" si="430"/>
        <v/>
      </c>
      <c r="AF1311" s="161">
        <f t="shared" ref="AF1311:AQ1326" si="433">IFERROR(SUMIF($B$483:$B$547,$C1311&amp;$I1311,P$483:P$547)/SUMIF($D$483:$D$547,$I1311,P$483:P$547)*AF612,0)</f>
        <v>0</v>
      </c>
      <c r="AG1311" s="162">
        <f t="shared" si="433"/>
        <v>0</v>
      </c>
      <c r="AH1311" s="162">
        <f t="shared" si="433"/>
        <v>0</v>
      </c>
      <c r="AI1311" s="162">
        <f t="shared" si="433"/>
        <v>0</v>
      </c>
      <c r="AJ1311" s="162">
        <f t="shared" si="433"/>
        <v>0</v>
      </c>
      <c r="AK1311" s="162">
        <f t="shared" si="433"/>
        <v>0</v>
      </c>
      <c r="AL1311" s="162">
        <f t="shared" si="433"/>
        <v>0</v>
      </c>
      <c r="AM1311" s="162">
        <f t="shared" si="433"/>
        <v>0</v>
      </c>
      <c r="AN1311" s="162">
        <f t="shared" si="433"/>
        <v>0</v>
      </c>
      <c r="AO1311" s="162">
        <f t="shared" si="433"/>
        <v>0</v>
      </c>
      <c r="AP1311" s="162">
        <f t="shared" si="433"/>
        <v>0</v>
      </c>
      <c r="AQ1311" s="162">
        <f t="shared" si="433"/>
        <v>0</v>
      </c>
      <c r="AR1311" s="163">
        <f t="shared" si="428"/>
        <v>0</v>
      </c>
      <c r="AT1311" s="208">
        <f>IFERROR(VLOOKUP(J1311,#REF!,10,0),0)</f>
        <v>0</v>
      </c>
    </row>
    <row r="1312" spans="1:46" hidden="1" outlineLevel="1" x14ac:dyDescent="0.25">
      <c r="A1312" s="14" t="str">
        <f t="shared" si="414"/>
        <v>PROP_OPER__20</v>
      </c>
      <c r="B1312" s="15" t="str">
        <f t="shared" si="423"/>
        <v>PROP_OPER__0_0</v>
      </c>
      <c r="C1312" s="83"/>
      <c r="D1312" s="15">
        <v>1</v>
      </c>
      <c r="E1312" s="15">
        <v>20</v>
      </c>
      <c r="F1312" s="190">
        <f t="shared" si="431"/>
        <v>0</v>
      </c>
      <c r="G1312" s="149" t="str">
        <f t="shared" si="431"/>
        <v/>
      </c>
      <c r="H1312" s="150" t="str">
        <f t="shared" si="431"/>
        <v/>
      </c>
      <c r="I1312" s="150">
        <f t="shared" si="431"/>
        <v>0</v>
      </c>
      <c r="J1312" s="150">
        <f t="shared" si="431"/>
        <v>0</v>
      </c>
      <c r="K1312" s="196" t="str">
        <f t="shared" si="431"/>
        <v/>
      </c>
      <c r="L1312" s="197" t="str">
        <f t="shared" si="431"/>
        <v/>
      </c>
      <c r="M1312" s="191">
        <f t="shared" si="431"/>
        <v>0</v>
      </c>
      <c r="N1312" s="150">
        <f t="shared" si="431"/>
        <v>0</v>
      </c>
      <c r="O1312" s="193">
        <f t="shared" si="431"/>
        <v>0</v>
      </c>
      <c r="P1312" s="162">
        <f t="shared" si="432"/>
        <v>0</v>
      </c>
      <c r="Q1312" s="162">
        <f t="shared" si="432"/>
        <v>0</v>
      </c>
      <c r="R1312" s="162">
        <f t="shared" si="432"/>
        <v>0</v>
      </c>
      <c r="S1312" s="162">
        <f t="shared" si="432"/>
        <v>0</v>
      </c>
      <c r="T1312" s="162">
        <f t="shared" si="432"/>
        <v>0</v>
      </c>
      <c r="U1312" s="162">
        <f t="shared" si="432"/>
        <v>0</v>
      </c>
      <c r="V1312" s="162">
        <f t="shared" si="432"/>
        <v>0</v>
      </c>
      <c r="W1312" s="162">
        <f t="shared" si="432"/>
        <v>0</v>
      </c>
      <c r="X1312" s="162">
        <f t="shared" si="432"/>
        <v>0</v>
      </c>
      <c r="Y1312" s="162">
        <f t="shared" si="432"/>
        <v>0</v>
      </c>
      <c r="Z1312" s="162">
        <f t="shared" si="432"/>
        <v>0</v>
      </c>
      <c r="AA1312" s="162">
        <f t="shared" si="432"/>
        <v>0</v>
      </c>
      <c r="AB1312" s="163">
        <f t="shared" si="426"/>
        <v>0</v>
      </c>
      <c r="AC1312" s="198"/>
      <c r="AE1312" s="194" t="str">
        <f t="shared" si="430"/>
        <v/>
      </c>
      <c r="AF1312" s="161">
        <f t="shared" si="433"/>
        <v>0</v>
      </c>
      <c r="AG1312" s="162">
        <f t="shared" si="433"/>
        <v>0</v>
      </c>
      <c r="AH1312" s="162">
        <f t="shared" si="433"/>
        <v>0</v>
      </c>
      <c r="AI1312" s="162">
        <f t="shared" si="433"/>
        <v>0</v>
      </c>
      <c r="AJ1312" s="162">
        <f t="shared" si="433"/>
        <v>0</v>
      </c>
      <c r="AK1312" s="162">
        <f t="shared" si="433"/>
        <v>0</v>
      </c>
      <c r="AL1312" s="162">
        <f t="shared" si="433"/>
        <v>0</v>
      </c>
      <c r="AM1312" s="162">
        <f t="shared" si="433"/>
        <v>0</v>
      </c>
      <c r="AN1312" s="162">
        <f t="shared" si="433"/>
        <v>0</v>
      </c>
      <c r="AO1312" s="162">
        <f t="shared" si="433"/>
        <v>0</v>
      </c>
      <c r="AP1312" s="162">
        <f t="shared" si="433"/>
        <v>0</v>
      </c>
      <c r="AQ1312" s="162">
        <f t="shared" si="433"/>
        <v>0</v>
      </c>
      <c r="AR1312" s="163">
        <f t="shared" si="428"/>
        <v>0</v>
      </c>
      <c r="AT1312" s="208">
        <f>IFERROR(VLOOKUP(J1312,#REF!,10,0),0)</f>
        <v>0</v>
      </c>
    </row>
    <row r="1313" spans="1:46" hidden="1" outlineLevel="1" x14ac:dyDescent="0.25">
      <c r="A1313" s="14" t="str">
        <f t="shared" si="414"/>
        <v>PROP_OPER__21</v>
      </c>
      <c r="B1313" s="15" t="str">
        <f t="shared" si="423"/>
        <v>PROP_OPER__0_0</v>
      </c>
      <c r="C1313" s="83"/>
      <c r="D1313" s="15">
        <v>1</v>
      </c>
      <c r="E1313" s="15">
        <v>21</v>
      </c>
      <c r="F1313" s="190">
        <f t="shared" si="431"/>
        <v>0</v>
      </c>
      <c r="G1313" s="149" t="str">
        <f t="shared" si="431"/>
        <v/>
      </c>
      <c r="H1313" s="150" t="str">
        <f t="shared" si="431"/>
        <v/>
      </c>
      <c r="I1313" s="150">
        <f t="shared" si="431"/>
        <v>0</v>
      </c>
      <c r="J1313" s="150">
        <f t="shared" si="431"/>
        <v>0</v>
      </c>
      <c r="K1313" s="196" t="str">
        <f t="shared" si="431"/>
        <v/>
      </c>
      <c r="L1313" s="197" t="str">
        <f t="shared" si="431"/>
        <v/>
      </c>
      <c r="M1313" s="191">
        <f t="shared" si="431"/>
        <v>0</v>
      </c>
      <c r="N1313" s="150">
        <f t="shared" si="431"/>
        <v>0</v>
      </c>
      <c r="O1313" s="193">
        <f t="shared" si="431"/>
        <v>0</v>
      </c>
      <c r="P1313" s="162">
        <f t="shared" si="432"/>
        <v>0</v>
      </c>
      <c r="Q1313" s="162">
        <f t="shared" si="432"/>
        <v>0</v>
      </c>
      <c r="R1313" s="162">
        <f t="shared" si="432"/>
        <v>0</v>
      </c>
      <c r="S1313" s="162">
        <f t="shared" si="432"/>
        <v>0</v>
      </c>
      <c r="T1313" s="162">
        <f t="shared" si="432"/>
        <v>0</v>
      </c>
      <c r="U1313" s="162">
        <f t="shared" si="432"/>
        <v>0</v>
      </c>
      <c r="V1313" s="162">
        <f t="shared" si="432"/>
        <v>0</v>
      </c>
      <c r="W1313" s="162">
        <f t="shared" si="432"/>
        <v>0</v>
      </c>
      <c r="X1313" s="162">
        <f t="shared" si="432"/>
        <v>0</v>
      </c>
      <c r="Y1313" s="162">
        <f t="shared" si="432"/>
        <v>0</v>
      </c>
      <c r="Z1313" s="162">
        <f t="shared" si="432"/>
        <v>0</v>
      </c>
      <c r="AA1313" s="162">
        <f t="shared" si="432"/>
        <v>0</v>
      </c>
      <c r="AB1313" s="163">
        <f t="shared" si="426"/>
        <v>0</v>
      </c>
      <c r="AC1313" s="198"/>
      <c r="AE1313" s="194" t="str">
        <f t="shared" si="430"/>
        <v/>
      </c>
      <c r="AF1313" s="161">
        <f t="shared" si="433"/>
        <v>0</v>
      </c>
      <c r="AG1313" s="162">
        <f t="shared" si="433"/>
        <v>0</v>
      </c>
      <c r="AH1313" s="162">
        <f t="shared" si="433"/>
        <v>0</v>
      </c>
      <c r="AI1313" s="162">
        <f t="shared" si="433"/>
        <v>0</v>
      </c>
      <c r="AJ1313" s="162">
        <f t="shared" si="433"/>
        <v>0</v>
      </c>
      <c r="AK1313" s="162">
        <f t="shared" si="433"/>
        <v>0</v>
      </c>
      <c r="AL1313" s="162">
        <f t="shared" si="433"/>
        <v>0</v>
      </c>
      <c r="AM1313" s="162">
        <f t="shared" si="433"/>
        <v>0</v>
      </c>
      <c r="AN1313" s="162">
        <f t="shared" si="433"/>
        <v>0</v>
      </c>
      <c r="AO1313" s="162">
        <f t="shared" si="433"/>
        <v>0</v>
      </c>
      <c r="AP1313" s="162">
        <f t="shared" si="433"/>
        <v>0</v>
      </c>
      <c r="AQ1313" s="162">
        <f t="shared" si="433"/>
        <v>0</v>
      </c>
      <c r="AR1313" s="163">
        <f t="shared" si="428"/>
        <v>0</v>
      </c>
      <c r="AT1313" s="208">
        <f>IFERROR(VLOOKUP(J1313,#REF!,10,0),0)</f>
        <v>0</v>
      </c>
    </row>
    <row r="1314" spans="1:46" hidden="1" outlineLevel="1" x14ac:dyDescent="0.25">
      <c r="A1314" s="14" t="str">
        <f t="shared" si="414"/>
        <v>PROP_OPER__22</v>
      </c>
      <c r="B1314" s="15" t="str">
        <f t="shared" si="423"/>
        <v>PROP_OPER__0_0</v>
      </c>
      <c r="C1314" s="83"/>
      <c r="D1314" s="15">
        <v>1</v>
      </c>
      <c r="E1314" s="15">
        <v>22</v>
      </c>
      <c r="F1314" s="190">
        <f t="shared" si="431"/>
        <v>0</v>
      </c>
      <c r="G1314" s="149" t="str">
        <f t="shared" si="431"/>
        <v/>
      </c>
      <c r="H1314" s="150" t="str">
        <f t="shared" si="431"/>
        <v/>
      </c>
      <c r="I1314" s="150">
        <f t="shared" si="431"/>
        <v>0</v>
      </c>
      <c r="J1314" s="150">
        <f t="shared" si="431"/>
        <v>0</v>
      </c>
      <c r="K1314" s="196" t="str">
        <f t="shared" si="431"/>
        <v/>
      </c>
      <c r="L1314" s="197" t="str">
        <f t="shared" si="431"/>
        <v/>
      </c>
      <c r="M1314" s="191">
        <f t="shared" si="431"/>
        <v>0</v>
      </c>
      <c r="N1314" s="150">
        <f t="shared" si="431"/>
        <v>0</v>
      </c>
      <c r="O1314" s="193">
        <f t="shared" si="431"/>
        <v>0</v>
      </c>
      <c r="P1314" s="162">
        <f t="shared" si="432"/>
        <v>0</v>
      </c>
      <c r="Q1314" s="162">
        <f t="shared" si="432"/>
        <v>0</v>
      </c>
      <c r="R1314" s="162">
        <f t="shared" si="432"/>
        <v>0</v>
      </c>
      <c r="S1314" s="162">
        <f t="shared" si="432"/>
        <v>0</v>
      </c>
      <c r="T1314" s="162">
        <f t="shared" si="432"/>
        <v>0</v>
      </c>
      <c r="U1314" s="162">
        <f t="shared" si="432"/>
        <v>0</v>
      </c>
      <c r="V1314" s="162">
        <f t="shared" si="432"/>
        <v>0</v>
      </c>
      <c r="W1314" s="162">
        <f t="shared" si="432"/>
        <v>0</v>
      </c>
      <c r="X1314" s="162">
        <f t="shared" si="432"/>
        <v>0</v>
      </c>
      <c r="Y1314" s="162">
        <f t="shared" si="432"/>
        <v>0</v>
      </c>
      <c r="Z1314" s="162">
        <f t="shared" si="432"/>
        <v>0</v>
      </c>
      <c r="AA1314" s="162">
        <f t="shared" si="432"/>
        <v>0</v>
      </c>
      <c r="AB1314" s="163">
        <f t="shared" si="426"/>
        <v>0</v>
      </c>
      <c r="AC1314" s="198"/>
      <c r="AE1314" s="194" t="str">
        <f t="shared" si="430"/>
        <v/>
      </c>
      <c r="AF1314" s="161">
        <f t="shared" si="433"/>
        <v>0</v>
      </c>
      <c r="AG1314" s="162">
        <f t="shared" si="433"/>
        <v>0</v>
      </c>
      <c r="AH1314" s="162">
        <f t="shared" si="433"/>
        <v>0</v>
      </c>
      <c r="AI1314" s="162">
        <f t="shared" si="433"/>
        <v>0</v>
      </c>
      <c r="AJ1314" s="162">
        <f t="shared" si="433"/>
        <v>0</v>
      </c>
      <c r="AK1314" s="162">
        <f t="shared" si="433"/>
        <v>0</v>
      </c>
      <c r="AL1314" s="162">
        <f t="shared" si="433"/>
        <v>0</v>
      </c>
      <c r="AM1314" s="162">
        <f t="shared" si="433"/>
        <v>0</v>
      </c>
      <c r="AN1314" s="162">
        <f t="shared" si="433"/>
        <v>0</v>
      </c>
      <c r="AO1314" s="162">
        <f t="shared" si="433"/>
        <v>0</v>
      </c>
      <c r="AP1314" s="162">
        <f t="shared" si="433"/>
        <v>0</v>
      </c>
      <c r="AQ1314" s="162">
        <f t="shared" si="433"/>
        <v>0</v>
      </c>
      <c r="AR1314" s="163">
        <f t="shared" si="428"/>
        <v>0</v>
      </c>
      <c r="AT1314" s="208">
        <f>IFERROR(VLOOKUP(J1314,#REF!,10,0),0)</f>
        <v>0</v>
      </c>
    </row>
    <row r="1315" spans="1:46" hidden="1" outlineLevel="1" x14ac:dyDescent="0.25">
      <c r="A1315" s="14" t="str">
        <f t="shared" si="414"/>
        <v>PROP_OPER__23</v>
      </c>
      <c r="B1315" s="15" t="str">
        <f t="shared" si="423"/>
        <v>PROP_OPER__0_0</v>
      </c>
      <c r="C1315" s="83"/>
      <c r="D1315" s="15">
        <v>1</v>
      </c>
      <c r="E1315" s="15">
        <v>23</v>
      </c>
      <c r="F1315" s="190">
        <f t="shared" si="431"/>
        <v>0</v>
      </c>
      <c r="G1315" s="149" t="str">
        <f t="shared" si="431"/>
        <v/>
      </c>
      <c r="H1315" s="150" t="str">
        <f t="shared" si="431"/>
        <v/>
      </c>
      <c r="I1315" s="150">
        <f t="shared" si="431"/>
        <v>0</v>
      </c>
      <c r="J1315" s="150">
        <f t="shared" si="431"/>
        <v>0</v>
      </c>
      <c r="K1315" s="196" t="str">
        <f t="shared" si="431"/>
        <v/>
      </c>
      <c r="L1315" s="197" t="str">
        <f t="shared" si="431"/>
        <v/>
      </c>
      <c r="M1315" s="191">
        <f t="shared" si="431"/>
        <v>0</v>
      </c>
      <c r="N1315" s="150">
        <f t="shared" si="431"/>
        <v>0</v>
      </c>
      <c r="O1315" s="193">
        <f t="shared" si="431"/>
        <v>0</v>
      </c>
      <c r="P1315" s="162">
        <f t="shared" si="432"/>
        <v>0</v>
      </c>
      <c r="Q1315" s="162">
        <f t="shared" si="432"/>
        <v>0</v>
      </c>
      <c r="R1315" s="162">
        <f t="shared" si="432"/>
        <v>0</v>
      </c>
      <c r="S1315" s="162">
        <f t="shared" si="432"/>
        <v>0</v>
      </c>
      <c r="T1315" s="162">
        <f t="shared" si="432"/>
        <v>0</v>
      </c>
      <c r="U1315" s="162">
        <f t="shared" si="432"/>
        <v>0</v>
      </c>
      <c r="V1315" s="162">
        <f t="shared" si="432"/>
        <v>0</v>
      </c>
      <c r="W1315" s="162">
        <f t="shared" si="432"/>
        <v>0</v>
      </c>
      <c r="X1315" s="162">
        <f t="shared" si="432"/>
        <v>0</v>
      </c>
      <c r="Y1315" s="162">
        <f t="shared" si="432"/>
        <v>0</v>
      </c>
      <c r="Z1315" s="162">
        <f t="shared" si="432"/>
        <v>0</v>
      </c>
      <c r="AA1315" s="162">
        <f t="shared" si="432"/>
        <v>0</v>
      </c>
      <c r="AB1315" s="163">
        <f t="shared" si="426"/>
        <v>0</v>
      </c>
      <c r="AC1315" s="198"/>
      <c r="AE1315" s="194" t="str">
        <f t="shared" si="430"/>
        <v/>
      </c>
      <c r="AF1315" s="161">
        <f t="shared" si="433"/>
        <v>0</v>
      </c>
      <c r="AG1315" s="162">
        <f t="shared" si="433"/>
        <v>0</v>
      </c>
      <c r="AH1315" s="162">
        <f t="shared" si="433"/>
        <v>0</v>
      </c>
      <c r="AI1315" s="162">
        <f t="shared" si="433"/>
        <v>0</v>
      </c>
      <c r="AJ1315" s="162">
        <f t="shared" si="433"/>
        <v>0</v>
      </c>
      <c r="AK1315" s="162">
        <f t="shared" si="433"/>
        <v>0</v>
      </c>
      <c r="AL1315" s="162">
        <f t="shared" si="433"/>
        <v>0</v>
      </c>
      <c r="AM1315" s="162">
        <f t="shared" si="433"/>
        <v>0</v>
      </c>
      <c r="AN1315" s="162">
        <f t="shared" si="433"/>
        <v>0</v>
      </c>
      <c r="AO1315" s="162">
        <f t="shared" si="433"/>
        <v>0</v>
      </c>
      <c r="AP1315" s="162">
        <f t="shared" si="433"/>
        <v>0</v>
      </c>
      <c r="AQ1315" s="162">
        <f t="shared" si="433"/>
        <v>0</v>
      </c>
      <c r="AR1315" s="163">
        <f t="shared" si="428"/>
        <v>0</v>
      </c>
      <c r="AT1315" s="208">
        <f>IFERROR(VLOOKUP(J1315,#REF!,10,0),0)</f>
        <v>0</v>
      </c>
    </row>
    <row r="1316" spans="1:46" hidden="1" outlineLevel="1" x14ac:dyDescent="0.25">
      <c r="A1316" s="14" t="str">
        <f t="shared" si="414"/>
        <v>PROP_OPER__24</v>
      </c>
      <c r="B1316" s="15" t="str">
        <f t="shared" si="423"/>
        <v>PROP_OPER__0_0</v>
      </c>
      <c r="C1316" s="83"/>
      <c r="D1316" s="15">
        <v>1</v>
      </c>
      <c r="E1316" s="15">
        <v>24</v>
      </c>
      <c r="F1316" s="190">
        <f t="shared" si="431"/>
        <v>0</v>
      </c>
      <c r="G1316" s="149" t="str">
        <f t="shared" si="431"/>
        <v/>
      </c>
      <c r="H1316" s="150" t="str">
        <f t="shared" si="431"/>
        <v/>
      </c>
      <c r="I1316" s="150">
        <f t="shared" si="431"/>
        <v>0</v>
      </c>
      <c r="J1316" s="150">
        <f t="shared" si="431"/>
        <v>0</v>
      </c>
      <c r="K1316" s="196" t="str">
        <f t="shared" si="431"/>
        <v/>
      </c>
      <c r="L1316" s="197" t="str">
        <f t="shared" si="431"/>
        <v/>
      </c>
      <c r="M1316" s="191">
        <f t="shared" si="431"/>
        <v>0</v>
      </c>
      <c r="N1316" s="150">
        <f t="shared" si="431"/>
        <v>0</v>
      </c>
      <c r="O1316" s="193">
        <f t="shared" si="431"/>
        <v>0</v>
      </c>
      <c r="P1316" s="162">
        <f t="shared" si="432"/>
        <v>0</v>
      </c>
      <c r="Q1316" s="162">
        <f t="shared" si="432"/>
        <v>0</v>
      </c>
      <c r="R1316" s="162">
        <f t="shared" si="432"/>
        <v>0</v>
      </c>
      <c r="S1316" s="162">
        <f t="shared" si="432"/>
        <v>0</v>
      </c>
      <c r="T1316" s="162">
        <f t="shared" si="432"/>
        <v>0</v>
      </c>
      <c r="U1316" s="162">
        <f t="shared" si="432"/>
        <v>0</v>
      </c>
      <c r="V1316" s="162">
        <f t="shared" si="432"/>
        <v>0</v>
      </c>
      <c r="W1316" s="162">
        <f t="shared" si="432"/>
        <v>0</v>
      </c>
      <c r="X1316" s="162">
        <f t="shared" si="432"/>
        <v>0</v>
      </c>
      <c r="Y1316" s="162">
        <f t="shared" si="432"/>
        <v>0</v>
      </c>
      <c r="Z1316" s="162">
        <f t="shared" si="432"/>
        <v>0</v>
      </c>
      <c r="AA1316" s="162">
        <f t="shared" si="432"/>
        <v>0</v>
      </c>
      <c r="AB1316" s="163">
        <f t="shared" si="426"/>
        <v>0</v>
      </c>
      <c r="AC1316" s="198"/>
      <c r="AE1316" s="194" t="str">
        <f t="shared" si="430"/>
        <v/>
      </c>
      <c r="AF1316" s="161">
        <f t="shared" si="433"/>
        <v>0</v>
      </c>
      <c r="AG1316" s="162">
        <f t="shared" si="433"/>
        <v>0</v>
      </c>
      <c r="AH1316" s="162">
        <f t="shared" si="433"/>
        <v>0</v>
      </c>
      <c r="AI1316" s="162">
        <f t="shared" si="433"/>
        <v>0</v>
      </c>
      <c r="AJ1316" s="162">
        <f t="shared" si="433"/>
        <v>0</v>
      </c>
      <c r="AK1316" s="162">
        <f t="shared" si="433"/>
        <v>0</v>
      </c>
      <c r="AL1316" s="162">
        <f t="shared" si="433"/>
        <v>0</v>
      </c>
      <c r="AM1316" s="162">
        <f t="shared" si="433"/>
        <v>0</v>
      </c>
      <c r="AN1316" s="162">
        <f t="shared" si="433"/>
        <v>0</v>
      </c>
      <c r="AO1316" s="162">
        <f t="shared" si="433"/>
        <v>0</v>
      </c>
      <c r="AP1316" s="162">
        <f t="shared" si="433"/>
        <v>0</v>
      </c>
      <c r="AQ1316" s="162">
        <f t="shared" si="433"/>
        <v>0</v>
      </c>
      <c r="AR1316" s="163">
        <f t="shared" si="428"/>
        <v>0</v>
      </c>
      <c r="AT1316" s="208">
        <f>IFERROR(VLOOKUP(J1316,#REF!,10,0),0)</f>
        <v>0</v>
      </c>
    </row>
    <row r="1317" spans="1:46" hidden="1" outlineLevel="1" x14ac:dyDescent="0.25">
      <c r="A1317" s="14" t="str">
        <f t="shared" si="414"/>
        <v>PROP_OPER__25</v>
      </c>
      <c r="B1317" s="15" t="str">
        <f t="shared" si="423"/>
        <v>PROP_OPER__0_0</v>
      </c>
      <c r="C1317" s="83"/>
      <c r="D1317" s="15">
        <v>1</v>
      </c>
      <c r="E1317" s="15">
        <v>25</v>
      </c>
      <c r="F1317" s="190">
        <f t="shared" si="431"/>
        <v>0</v>
      </c>
      <c r="G1317" s="149" t="str">
        <f t="shared" si="431"/>
        <v/>
      </c>
      <c r="H1317" s="150" t="str">
        <f t="shared" si="431"/>
        <v/>
      </c>
      <c r="I1317" s="150">
        <f t="shared" si="431"/>
        <v>0</v>
      </c>
      <c r="J1317" s="150">
        <f t="shared" si="431"/>
        <v>0</v>
      </c>
      <c r="K1317" s="196" t="str">
        <f t="shared" si="431"/>
        <v/>
      </c>
      <c r="L1317" s="197" t="str">
        <f t="shared" si="431"/>
        <v/>
      </c>
      <c r="M1317" s="191">
        <f t="shared" si="431"/>
        <v>0</v>
      </c>
      <c r="N1317" s="150">
        <f t="shared" si="431"/>
        <v>0</v>
      </c>
      <c r="O1317" s="193">
        <f t="shared" si="431"/>
        <v>0</v>
      </c>
      <c r="P1317" s="162">
        <f t="shared" si="432"/>
        <v>0</v>
      </c>
      <c r="Q1317" s="162">
        <f t="shared" si="432"/>
        <v>0</v>
      </c>
      <c r="R1317" s="162">
        <f t="shared" si="432"/>
        <v>0</v>
      </c>
      <c r="S1317" s="162">
        <f t="shared" si="432"/>
        <v>0</v>
      </c>
      <c r="T1317" s="162">
        <f t="shared" si="432"/>
        <v>0</v>
      </c>
      <c r="U1317" s="162">
        <f t="shared" si="432"/>
        <v>0</v>
      </c>
      <c r="V1317" s="162">
        <f t="shared" si="432"/>
        <v>0</v>
      </c>
      <c r="W1317" s="162">
        <f t="shared" si="432"/>
        <v>0</v>
      </c>
      <c r="X1317" s="162">
        <f t="shared" si="432"/>
        <v>0</v>
      </c>
      <c r="Y1317" s="162">
        <f t="shared" si="432"/>
        <v>0</v>
      </c>
      <c r="Z1317" s="162">
        <f t="shared" si="432"/>
        <v>0</v>
      </c>
      <c r="AA1317" s="162">
        <f t="shared" si="432"/>
        <v>0</v>
      </c>
      <c r="AB1317" s="163">
        <f t="shared" si="426"/>
        <v>0</v>
      </c>
      <c r="AC1317" s="198"/>
      <c r="AE1317" s="194" t="str">
        <f t="shared" si="430"/>
        <v/>
      </c>
      <c r="AF1317" s="161">
        <f t="shared" si="433"/>
        <v>0</v>
      </c>
      <c r="AG1317" s="162">
        <f t="shared" si="433"/>
        <v>0</v>
      </c>
      <c r="AH1317" s="162">
        <f t="shared" si="433"/>
        <v>0</v>
      </c>
      <c r="AI1317" s="162">
        <f t="shared" si="433"/>
        <v>0</v>
      </c>
      <c r="AJ1317" s="162">
        <f t="shared" si="433"/>
        <v>0</v>
      </c>
      <c r="AK1317" s="162">
        <f t="shared" si="433"/>
        <v>0</v>
      </c>
      <c r="AL1317" s="162">
        <f t="shared" si="433"/>
        <v>0</v>
      </c>
      <c r="AM1317" s="162">
        <f t="shared" si="433"/>
        <v>0</v>
      </c>
      <c r="AN1317" s="162">
        <f t="shared" si="433"/>
        <v>0</v>
      </c>
      <c r="AO1317" s="162">
        <f t="shared" si="433"/>
        <v>0</v>
      </c>
      <c r="AP1317" s="162">
        <f t="shared" si="433"/>
        <v>0</v>
      </c>
      <c r="AQ1317" s="162">
        <f t="shared" si="433"/>
        <v>0</v>
      </c>
      <c r="AR1317" s="163">
        <f t="shared" si="428"/>
        <v>0</v>
      </c>
      <c r="AT1317" s="208">
        <f>IFERROR(VLOOKUP(J1317,#REF!,10,0),0)</f>
        <v>0</v>
      </c>
    </row>
    <row r="1318" spans="1:46" hidden="1" outlineLevel="1" x14ac:dyDescent="0.25">
      <c r="A1318" s="14" t="str">
        <f t="shared" si="414"/>
        <v>PROP_OPER__26</v>
      </c>
      <c r="B1318" s="15" t="str">
        <f t="shared" si="423"/>
        <v>PROP_OPER__0_0</v>
      </c>
      <c r="C1318" s="83"/>
      <c r="D1318" s="15">
        <v>1</v>
      </c>
      <c r="E1318" s="15">
        <v>26</v>
      </c>
      <c r="F1318" s="190">
        <f t="shared" si="431"/>
        <v>0</v>
      </c>
      <c r="G1318" s="149" t="str">
        <f t="shared" si="431"/>
        <v/>
      </c>
      <c r="H1318" s="150" t="str">
        <f t="shared" si="431"/>
        <v/>
      </c>
      <c r="I1318" s="150">
        <f t="shared" si="431"/>
        <v>0</v>
      </c>
      <c r="J1318" s="150">
        <f t="shared" si="431"/>
        <v>0</v>
      </c>
      <c r="K1318" s="196" t="str">
        <f t="shared" si="431"/>
        <v/>
      </c>
      <c r="L1318" s="197" t="str">
        <f t="shared" si="431"/>
        <v/>
      </c>
      <c r="M1318" s="191">
        <f t="shared" si="431"/>
        <v>0</v>
      </c>
      <c r="N1318" s="150">
        <f t="shared" si="431"/>
        <v>0</v>
      </c>
      <c r="O1318" s="193">
        <f t="shared" si="431"/>
        <v>0</v>
      </c>
      <c r="P1318" s="162">
        <f t="shared" si="432"/>
        <v>0</v>
      </c>
      <c r="Q1318" s="162">
        <f t="shared" si="432"/>
        <v>0</v>
      </c>
      <c r="R1318" s="162">
        <f t="shared" si="432"/>
        <v>0</v>
      </c>
      <c r="S1318" s="162">
        <f t="shared" si="432"/>
        <v>0</v>
      </c>
      <c r="T1318" s="162">
        <f t="shared" si="432"/>
        <v>0</v>
      </c>
      <c r="U1318" s="162">
        <f t="shared" si="432"/>
        <v>0</v>
      </c>
      <c r="V1318" s="162">
        <f t="shared" si="432"/>
        <v>0</v>
      </c>
      <c r="W1318" s="162">
        <f t="shared" si="432"/>
        <v>0</v>
      </c>
      <c r="X1318" s="162">
        <f t="shared" si="432"/>
        <v>0</v>
      </c>
      <c r="Y1318" s="162">
        <f t="shared" si="432"/>
        <v>0</v>
      </c>
      <c r="Z1318" s="162">
        <f t="shared" si="432"/>
        <v>0</v>
      </c>
      <c r="AA1318" s="162">
        <f t="shared" si="432"/>
        <v>0</v>
      </c>
      <c r="AB1318" s="163">
        <f t="shared" si="426"/>
        <v>0</v>
      </c>
      <c r="AC1318" s="198"/>
      <c r="AE1318" s="194" t="str">
        <f t="shared" si="430"/>
        <v/>
      </c>
      <c r="AF1318" s="161">
        <f t="shared" si="433"/>
        <v>0</v>
      </c>
      <c r="AG1318" s="162">
        <f t="shared" si="433"/>
        <v>0</v>
      </c>
      <c r="AH1318" s="162">
        <f t="shared" si="433"/>
        <v>0</v>
      </c>
      <c r="AI1318" s="162">
        <f t="shared" si="433"/>
        <v>0</v>
      </c>
      <c r="AJ1318" s="162">
        <f t="shared" si="433"/>
        <v>0</v>
      </c>
      <c r="AK1318" s="162">
        <f t="shared" si="433"/>
        <v>0</v>
      </c>
      <c r="AL1318" s="162">
        <f t="shared" si="433"/>
        <v>0</v>
      </c>
      <c r="AM1318" s="162">
        <f t="shared" si="433"/>
        <v>0</v>
      </c>
      <c r="AN1318" s="162">
        <f t="shared" si="433"/>
        <v>0</v>
      </c>
      <c r="AO1318" s="162">
        <f t="shared" si="433"/>
        <v>0</v>
      </c>
      <c r="AP1318" s="162">
        <f t="shared" si="433"/>
        <v>0</v>
      </c>
      <c r="AQ1318" s="162">
        <f t="shared" si="433"/>
        <v>0</v>
      </c>
      <c r="AR1318" s="163">
        <f t="shared" si="428"/>
        <v>0</v>
      </c>
      <c r="AT1318" s="208">
        <f>IFERROR(VLOOKUP(J1318,#REF!,10,0),0)</f>
        <v>0</v>
      </c>
    </row>
    <row r="1319" spans="1:46" hidden="1" outlineLevel="1" x14ac:dyDescent="0.25">
      <c r="A1319" s="14" t="str">
        <f t="shared" ref="A1319:A1337" si="434">"PROP_OPER_"&amp;C1319&amp;"_"&amp;E1319</f>
        <v>PROP_OPER__27</v>
      </c>
      <c r="B1319" s="15" t="str">
        <f t="shared" si="423"/>
        <v>PROP_OPER__0_0</v>
      </c>
      <c r="C1319" s="83"/>
      <c r="D1319" s="15">
        <v>1</v>
      </c>
      <c r="E1319" s="15">
        <v>27</v>
      </c>
      <c r="F1319" s="190">
        <f t="shared" si="431"/>
        <v>0</v>
      </c>
      <c r="G1319" s="149" t="str">
        <f t="shared" si="431"/>
        <v/>
      </c>
      <c r="H1319" s="150" t="str">
        <f t="shared" si="431"/>
        <v/>
      </c>
      <c r="I1319" s="150">
        <f t="shared" si="431"/>
        <v>0</v>
      </c>
      <c r="J1319" s="150">
        <f t="shared" si="431"/>
        <v>0</v>
      </c>
      <c r="K1319" s="196" t="str">
        <f t="shared" si="431"/>
        <v/>
      </c>
      <c r="L1319" s="197" t="str">
        <f t="shared" si="431"/>
        <v/>
      </c>
      <c r="M1319" s="191">
        <f t="shared" si="431"/>
        <v>0</v>
      </c>
      <c r="N1319" s="150">
        <f t="shared" si="431"/>
        <v>0</v>
      </c>
      <c r="O1319" s="193">
        <f t="shared" si="431"/>
        <v>0</v>
      </c>
      <c r="P1319" s="162">
        <f t="shared" si="432"/>
        <v>0</v>
      </c>
      <c r="Q1319" s="162">
        <f t="shared" si="432"/>
        <v>0</v>
      </c>
      <c r="R1319" s="162">
        <f t="shared" si="432"/>
        <v>0</v>
      </c>
      <c r="S1319" s="162">
        <f t="shared" si="432"/>
        <v>0</v>
      </c>
      <c r="T1319" s="162">
        <f t="shared" si="432"/>
        <v>0</v>
      </c>
      <c r="U1319" s="162">
        <f t="shared" si="432"/>
        <v>0</v>
      </c>
      <c r="V1319" s="162">
        <f t="shared" si="432"/>
        <v>0</v>
      </c>
      <c r="W1319" s="162">
        <f t="shared" si="432"/>
        <v>0</v>
      </c>
      <c r="X1319" s="162">
        <f t="shared" si="432"/>
        <v>0</v>
      </c>
      <c r="Y1319" s="162">
        <f t="shared" si="432"/>
        <v>0</v>
      </c>
      <c r="Z1319" s="162">
        <f t="shared" si="432"/>
        <v>0</v>
      </c>
      <c r="AA1319" s="162">
        <f t="shared" si="432"/>
        <v>0</v>
      </c>
      <c r="AB1319" s="163">
        <f t="shared" si="426"/>
        <v>0</v>
      </c>
      <c r="AC1319" s="198"/>
      <c r="AE1319" s="194" t="str">
        <f t="shared" si="430"/>
        <v/>
      </c>
      <c r="AF1319" s="161">
        <f t="shared" si="433"/>
        <v>0</v>
      </c>
      <c r="AG1319" s="162">
        <f t="shared" si="433"/>
        <v>0</v>
      </c>
      <c r="AH1319" s="162">
        <f t="shared" si="433"/>
        <v>0</v>
      </c>
      <c r="AI1319" s="162">
        <f t="shared" si="433"/>
        <v>0</v>
      </c>
      <c r="AJ1319" s="162">
        <f t="shared" si="433"/>
        <v>0</v>
      </c>
      <c r="AK1319" s="162">
        <f t="shared" si="433"/>
        <v>0</v>
      </c>
      <c r="AL1319" s="162">
        <f t="shared" si="433"/>
        <v>0</v>
      </c>
      <c r="AM1319" s="162">
        <f t="shared" si="433"/>
        <v>0</v>
      </c>
      <c r="AN1319" s="162">
        <f t="shared" si="433"/>
        <v>0</v>
      </c>
      <c r="AO1319" s="162">
        <f t="shared" si="433"/>
        <v>0</v>
      </c>
      <c r="AP1319" s="162">
        <f t="shared" si="433"/>
        <v>0</v>
      </c>
      <c r="AQ1319" s="162">
        <f t="shared" si="433"/>
        <v>0</v>
      </c>
      <c r="AR1319" s="163">
        <f t="shared" si="428"/>
        <v>0</v>
      </c>
      <c r="AT1319" s="208">
        <f>IFERROR(VLOOKUP(J1319,#REF!,10,0),0)</f>
        <v>0</v>
      </c>
    </row>
    <row r="1320" spans="1:46" hidden="1" outlineLevel="1" x14ac:dyDescent="0.25">
      <c r="A1320" s="14" t="str">
        <f t="shared" si="434"/>
        <v>PROP_OPER__28</v>
      </c>
      <c r="B1320" s="15" t="str">
        <f t="shared" si="423"/>
        <v>PROP_OPER__0_0</v>
      </c>
      <c r="C1320" s="83"/>
      <c r="D1320" s="15">
        <v>1</v>
      </c>
      <c r="E1320" s="15">
        <v>28</v>
      </c>
      <c r="F1320" s="190">
        <f t="shared" si="431"/>
        <v>0</v>
      </c>
      <c r="G1320" s="149" t="str">
        <f t="shared" si="431"/>
        <v/>
      </c>
      <c r="H1320" s="150" t="str">
        <f t="shared" si="431"/>
        <v/>
      </c>
      <c r="I1320" s="150">
        <f t="shared" si="431"/>
        <v>0</v>
      </c>
      <c r="J1320" s="150">
        <f t="shared" si="431"/>
        <v>0</v>
      </c>
      <c r="K1320" s="196" t="str">
        <f t="shared" si="431"/>
        <v/>
      </c>
      <c r="L1320" s="197" t="str">
        <f t="shared" si="431"/>
        <v/>
      </c>
      <c r="M1320" s="191">
        <f t="shared" si="431"/>
        <v>0</v>
      </c>
      <c r="N1320" s="150">
        <f t="shared" si="431"/>
        <v>0</v>
      </c>
      <c r="O1320" s="193">
        <f t="shared" si="431"/>
        <v>0</v>
      </c>
      <c r="P1320" s="162">
        <f t="shared" si="432"/>
        <v>0</v>
      </c>
      <c r="Q1320" s="162">
        <f t="shared" si="432"/>
        <v>0</v>
      </c>
      <c r="R1320" s="162">
        <f t="shared" si="432"/>
        <v>0</v>
      </c>
      <c r="S1320" s="162">
        <f t="shared" si="432"/>
        <v>0</v>
      </c>
      <c r="T1320" s="162">
        <f t="shared" si="432"/>
        <v>0</v>
      </c>
      <c r="U1320" s="162">
        <f t="shared" si="432"/>
        <v>0</v>
      </c>
      <c r="V1320" s="162">
        <f t="shared" si="432"/>
        <v>0</v>
      </c>
      <c r="W1320" s="162">
        <f t="shared" si="432"/>
        <v>0</v>
      </c>
      <c r="X1320" s="162">
        <f t="shared" si="432"/>
        <v>0</v>
      </c>
      <c r="Y1320" s="162">
        <f t="shared" si="432"/>
        <v>0</v>
      </c>
      <c r="Z1320" s="162">
        <f t="shared" si="432"/>
        <v>0</v>
      </c>
      <c r="AA1320" s="162">
        <f t="shared" si="432"/>
        <v>0</v>
      </c>
      <c r="AB1320" s="163">
        <f t="shared" si="426"/>
        <v>0</v>
      </c>
      <c r="AC1320" s="198"/>
      <c r="AE1320" s="194" t="str">
        <f t="shared" si="430"/>
        <v/>
      </c>
      <c r="AF1320" s="161">
        <f t="shared" si="433"/>
        <v>0</v>
      </c>
      <c r="AG1320" s="162">
        <f t="shared" si="433"/>
        <v>0</v>
      </c>
      <c r="AH1320" s="162">
        <f t="shared" si="433"/>
        <v>0</v>
      </c>
      <c r="AI1320" s="162">
        <f t="shared" si="433"/>
        <v>0</v>
      </c>
      <c r="AJ1320" s="162">
        <f t="shared" si="433"/>
        <v>0</v>
      </c>
      <c r="AK1320" s="162">
        <f t="shared" si="433"/>
        <v>0</v>
      </c>
      <c r="AL1320" s="162">
        <f t="shared" si="433"/>
        <v>0</v>
      </c>
      <c r="AM1320" s="162">
        <f t="shared" si="433"/>
        <v>0</v>
      </c>
      <c r="AN1320" s="162">
        <f t="shared" si="433"/>
        <v>0</v>
      </c>
      <c r="AO1320" s="162">
        <f t="shared" si="433"/>
        <v>0</v>
      </c>
      <c r="AP1320" s="162">
        <f t="shared" si="433"/>
        <v>0</v>
      </c>
      <c r="AQ1320" s="162">
        <f t="shared" si="433"/>
        <v>0</v>
      </c>
      <c r="AR1320" s="163">
        <f t="shared" si="428"/>
        <v>0</v>
      </c>
      <c r="AT1320" s="208">
        <f>IFERROR(VLOOKUP(J1320,#REF!,10,0),0)</f>
        <v>0</v>
      </c>
    </row>
    <row r="1321" spans="1:46" hidden="1" outlineLevel="1" x14ac:dyDescent="0.25">
      <c r="A1321" s="14" t="str">
        <f t="shared" si="434"/>
        <v>PROP_OPER__29</v>
      </c>
      <c r="B1321" s="15" t="str">
        <f t="shared" si="423"/>
        <v>PROP_OPER__0_0</v>
      </c>
      <c r="C1321" s="83"/>
      <c r="D1321" s="15">
        <v>1</v>
      </c>
      <c r="E1321" s="15">
        <v>29</v>
      </c>
      <c r="F1321" s="190">
        <f t="shared" si="431"/>
        <v>0</v>
      </c>
      <c r="G1321" s="149" t="str">
        <f t="shared" si="431"/>
        <v/>
      </c>
      <c r="H1321" s="150" t="str">
        <f t="shared" si="431"/>
        <v/>
      </c>
      <c r="I1321" s="150">
        <f t="shared" si="431"/>
        <v>0</v>
      </c>
      <c r="J1321" s="150">
        <f t="shared" si="431"/>
        <v>0</v>
      </c>
      <c r="K1321" s="196" t="str">
        <f t="shared" si="431"/>
        <v/>
      </c>
      <c r="L1321" s="197" t="str">
        <f t="shared" si="431"/>
        <v/>
      </c>
      <c r="M1321" s="191">
        <f t="shared" si="431"/>
        <v>0</v>
      </c>
      <c r="N1321" s="150">
        <f t="shared" si="431"/>
        <v>0</v>
      </c>
      <c r="O1321" s="193">
        <f t="shared" si="431"/>
        <v>0</v>
      </c>
      <c r="P1321" s="162">
        <f t="shared" si="432"/>
        <v>0</v>
      </c>
      <c r="Q1321" s="162">
        <f t="shared" si="432"/>
        <v>0</v>
      </c>
      <c r="R1321" s="162">
        <f t="shared" si="432"/>
        <v>0</v>
      </c>
      <c r="S1321" s="162">
        <f t="shared" si="432"/>
        <v>0</v>
      </c>
      <c r="T1321" s="162">
        <f t="shared" si="432"/>
        <v>0</v>
      </c>
      <c r="U1321" s="162">
        <f t="shared" si="432"/>
        <v>0</v>
      </c>
      <c r="V1321" s="162">
        <f t="shared" si="432"/>
        <v>0</v>
      </c>
      <c r="W1321" s="162">
        <f t="shared" si="432"/>
        <v>0</v>
      </c>
      <c r="X1321" s="162">
        <f t="shared" si="432"/>
        <v>0</v>
      </c>
      <c r="Y1321" s="162">
        <f t="shared" si="432"/>
        <v>0</v>
      </c>
      <c r="Z1321" s="162">
        <f t="shared" si="432"/>
        <v>0</v>
      </c>
      <c r="AA1321" s="162">
        <f t="shared" si="432"/>
        <v>0</v>
      </c>
      <c r="AB1321" s="163">
        <f t="shared" si="426"/>
        <v>0</v>
      </c>
      <c r="AC1321" s="198"/>
      <c r="AE1321" s="194" t="str">
        <f t="shared" si="430"/>
        <v/>
      </c>
      <c r="AF1321" s="161">
        <f t="shared" si="433"/>
        <v>0</v>
      </c>
      <c r="AG1321" s="162">
        <f t="shared" si="433"/>
        <v>0</v>
      </c>
      <c r="AH1321" s="162">
        <f t="shared" si="433"/>
        <v>0</v>
      </c>
      <c r="AI1321" s="162">
        <f t="shared" si="433"/>
        <v>0</v>
      </c>
      <c r="AJ1321" s="162">
        <f t="shared" si="433"/>
        <v>0</v>
      </c>
      <c r="AK1321" s="162">
        <f t="shared" si="433"/>
        <v>0</v>
      </c>
      <c r="AL1321" s="162">
        <f t="shared" si="433"/>
        <v>0</v>
      </c>
      <c r="AM1321" s="162">
        <f t="shared" si="433"/>
        <v>0</v>
      </c>
      <c r="AN1321" s="162">
        <f t="shared" si="433"/>
        <v>0</v>
      </c>
      <c r="AO1321" s="162">
        <f t="shared" si="433"/>
        <v>0</v>
      </c>
      <c r="AP1321" s="162">
        <f t="shared" si="433"/>
        <v>0</v>
      </c>
      <c r="AQ1321" s="162">
        <f t="shared" si="433"/>
        <v>0</v>
      </c>
      <c r="AR1321" s="163">
        <f t="shared" si="428"/>
        <v>0</v>
      </c>
      <c r="AT1321" s="208">
        <f>IFERROR(VLOOKUP(J1321,#REF!,10,0),0)</f>
        <v>0</v>
      </c>
    </row>
    <row r="1322" spans="1:46" hidden="1" outlineLevel="1" x14ac:dyDescent="0.25">
      <c r="A1322" s="14" t="str">
        <f t="shared" si="434"/>
        <v>PROP_OPER__30</v>
      </c>
      <c r="B1322" s="15" t="str">
        <f t="shared" si="423"/>
        <v>PROP_OPER__0_0</v>
      </c>
      <c r="C1322" s="83"/>
      <c r="D1322" s="15">
        <v>1</v>
      </c>
      <c r="E1322" s="15">
        <v>30</v>
      </c>
      <c r="F1322" s="190">
        <f t="shared" si="431"/>
        <v>0</v>
      </c>
      <c r="G1322" s="149" t="str">
        <f t="shared" si="431"/>
        <v/>
      </c>
      <c r="H1322" s="150" t="str">
        <f t="shared" si="431"/>
        <v/>
      </c>
      <c r="I1322" s="150">
        <f t="shared" si="431"/>
        <v>0</v>
      </c>
      <c r="J1322" s="150">
        <f t="shared" si="431"/>
        <v>0</v>
      </c>
      <c r="K1322" s="196" t="str">
        <f t="shared" si="431"/>
        <v/>
      </c>
      <c r="L1322" s="197" t="str">
        <f t="shared" si="431"/>
        <v/>
      </c>
      <c r="M1322" s="191">
        <f t="shared" si="431"/>
        <v>0</v>
      </c>
      <c r="N1322" s="150">
        <f t="shared" si="431"/>
        <v>0</v>
      </c>
      <c r="O1322" s="193">
        <f t="shared" si="431"/>
        <v>0</v>
      </c>
      <c r="P1322" s="162">
        <f t="shared" si="432"/>
        <v>0</v>
      </c>
      <c r="Q1322" s="162">
        <f t="shared" si="432"/>
        <v>0</v>
      </c>
      <c r="R1322" s="162">
        <f t="shared" si="432"/>
        <v>0</v>
      </c>
      <c r="S1322" s="162">
        <f t="shared" si="432"/>
        <v>0</v>
      </c>
      <c r="T1322" s="162">
        <f t="shared" si="432"/>
        <v>0</v>
      </c>
      <c r="U1322" s="162">
        <f t="shared" si="432"/>
        <v>0</v>
      </c>
      <c r="V1322" s="162">
        <f t="shared" si="432"/>
        <v>0</v>
      </c>
      <c r="W1322" s="162">
        <f t="shared" si="432"/>
        <v>0</v>
      </c>
      <c r="X1322" s="162">
        <f t="shared" si="432"/>
        <v>0</v>
      </c>
      <c r="Y1322" s="162">
        <f t="shared" si="432"/>
        <v>0</v>
      </c>
      <c r="Z1322" s="162">
        <f t="shared" si="432"/>
        <v>0</v>
      </c>
      <c r="AA1322" s="162">
        <f t="shared" si="432"/>
        <v>0</v>
      </c>
      <c r="AB1322" s="163">
        <f t="shared" si="426"/>
        <v>0</v>
      </c>
      <c r="AC1322" s="198"/>
      <c r="AE1322" s="194" t="str">
        <f t="shared" si="430"/>
        <v/>
      </c>
      <c r="AF1322" s="161">
        <f t="shared" si="433"/>
        <v>0</v>
      </c>
      <c r="AG1322" s="162">
        <f t="shared" si="433"/>
        <v>0</v>
      </c>
      <c r="AH1322" s="162">
        <f t="shared" si="433"/>
        <v>0</v>
      </c>
      <c r="AI1322" s="162">
        <f t="shared" si="433"/>
        <v>0</v>
      </c>
      <c r="AJ1322" s="162">
        <f t="shared" si="433"/>
        <v>0</v>
      </c>
      <c r="AK1322" s="162">
        <f t="shared" si="433"/>
        <v>0</v>
      </c>
      <c r="AL1322" s="162">
        <f t="shared" si="433"/>
        <v>0</v>
      </c>
      <c r="AM1322" s="162">
        <f t="shared" si="433"/>
        <v>0</v>
      </c>
      <c r="AN1322" s="162">
        <f t="shared" si="433"/>
        <v>0</v>
      </c>
      <c r="AO1322" s="162">
        <f t="shared" si="433"/>
        <v>0</v>
      </c>
      <c r="AP1322" s="162">
        <f t="shared" si="433"/>
        <v>0</v>
      </c>
      <c r="AQ1322" s="162">
        <f t="shared" si="433"/>
        <v>0</v>
      </c>
      <c r="AR1322" s="163">
        <f t="shared" si="428"/>
        <v>0</v>
      </c>
      <c r="AT1322" s="208">
        <f>IFERROR(VLOOKUP(J1322,#REF!,10,0),0)</f>
        <v>0</v>
      </c>
    </row>
    <row r="1323" spans="1:46" hidden="1" outlineLevel="1" x14ac:dyDescent="0.25">
      <c r="A1323" s="14" t="str">
        <f t="shared" si="434"/>
        <v>PROP_OPER__31</v>
      </c>
      <c r="B1323" s="15" t="str">
        <f t="shared" si="423"/>
        <v>PROP_OPER__0_0</v>
      </c>
      <c r="C1323" s="83"/>
      <c r="D1323" s="15">
        <v>1</v>
      </c>
      <c r="E1323" s="15">
        <v>31</v>
      </c>
      <c r="F1323" s="190">
        <f t="shared" si="431"/>
        <v>0</v>
      </c>
      <c r="G1323" s="149" t="str">
        <f t="shared" si="431"/>
        <v/>
      </c>
      <c r="H1323" s="150" t="str">
        <f t="shared" si="431"/>
        <v/>
      </c>
      <c r="I1323" s="150">
        <f t="shared" si="431"/>
        <v>0</v>
      </c>
      <c r="J1323" s="150">
        <f t="shared" si="431"/>
        <v>0</v>
      </c>
      <c r="K1323" s="196" t="str">
        <f t="shared" si="431"/>
        <v/>
      </c>
      <c r="L1323" s="197" t="str">
        <f t="shared" si="431"/>
        <v/>
      </c>
      <c r="M1323" s="191">
        <f t="shared" si="431"/>
        <v>0</v>
      </c>
      <c r="N1323" s="150">
        <f t="shared" si="431"/>
        <v>0</v>
      </c>
      <c r="O1323" s="193">
        <f t="shared" si="431"/>
        <v>0</v>
      </c>
      <c r="P1323" s="162">
        <f t="shared" si="432"/>
        <v>0</v>
      </c>
      <c r="Q1323" s="162">
        <f t="shared" si="432"/>
        <v>0</v>
      </c>
      <c r="R1323" s="162">
        <f t="shared" si="432"/>
        <v>0</v>
      </c>
      <c r="S1323" s="162">
        <f t="shared" si="432"/>
        <v>0</v>
      </c>
      <c r="T1323" s="162">
        <f t="shared" si="432"/>
        <v>0</v>
      </c>
      <c r="U1323" s="162">
        <f t="shared" si="432"/>
        <v>0</v>
      </c>
      <c r="V1323" s="162">
        <f t="shared" si="432"/>
        <v>0</v>
      </c>
      <c r="W1323" s="162">
        <f t="shared" si="432"/>
        <v>0</v>
      </c>
      <c r="X1323" s="162">
        <f t="shared" si="432"/>
        <v>0</v>
      </c>
      <c r="Y1323" s="162">
        <f t="shared" si="432"/>
        <v>0</v>
      </c>
      <c r="Z1323" s="162">
        <f t="shared" si="432"/>
        <v>0</v>
      </c>
      <c r="AA1323" s="162">
        <f t="shared" si="432"/>
        <v>0</v>
      </c>
      <c r="AB1323" s="163">
        <f t="shared" si="426"/>
        <v>0</v>
      </c>
      <c r="AC1323" s="198"/>
      <c r="AE1323" s="194" t="str">
        <f t="shared" si="430"/>
        <v/>
      </c>
      <c r="AF1323" s="161">
        <f t="shared" si="433"/>
        <v>0</v>
      </c>
      <c r="AG1323" s="162">
        <f t="shared" si="433"/>
        <v>0</v>
      </c>
      <c r="AH1323" s="162">
        <f t="shared" si="433"/>
        <v>0</v>
      </c>
      <c r="AI1323" s="162">
        <f t="shared" si="433"/>
        <v>0</v>
      </c>
      <c r="AJ1323" s="162">
        <f t="shared" si="433"/>
        <v>0</v>
      </c>
      <c r="AK1323" s="162">
        <f t="shared" si="433"/>
        <v>0</v>
      </c>
      <c r="AL1323" s="162">
        <f t="shared" si="433"/>
        <v>0</v>
      </c>
      <c r="AM1323" s="162">
        <f t="shared" si="433"/>
        <v>0</v>
      </c>
      <c r="AN1323" s="162">
        <f t="shared" si="433"/>
        <v>0</v>
      </c>
      <c r="AO1323" s="162">
        <f t="shared" si="433"/>
        <v>0</v>
      </c>
      <c r="AP1323" s="162">
        <f t="shared" si="433"/>
        <v>0</v>
      </c>
      <c r="AQ1323" s="162">
        <f t="shared" si="433"/>
        <v>0</v>
      </c>
      <c r="AR1323" s="163">
        <f t="shared" si="428"/>
        <v>0</v>
      </c>
      <c r="AT1323" s="208">
        <f>IFERROR(VLOOKUP(J1323,#REF!,10,0),0)</f>
        <v>0</v>
      </c>
    </row>
    <row r="1324" spans="1:46" hidden="1" outlineLevel="1" x14ac:dyDescent="0.25">
      <c r="A1324" s="14" t="str">
        <f t="shared" si="434"/>
        <v>PROP_OPER__32</v>
      </c>
      <c r="B1324" s="15" t="str">
        <f t="shared" si="423"/>
        <v>PROP_OPER__0_0</v>
      </c>
      <c r="C1324" s="83"/>
      <c r="D1324" s="15">
        <v>1</v>
      </c>
      <c r="E1324" s="15">
        <v>32</v>
      </c>
      <c r="F1324" s="190">
        <f t="shared" si="431"/>
        <v>0</v>
      </c>
      <c r="G1324" s="149" t="str">
        <f t="shared" si="431"/>
        <v/>
      </c>
      <c r="H1324" s="150" t="str">
        <f t="shared" si="431"/>
        <v/>
      </c>
      <c r="I1324" s="150">
        <f t="shared" si="431"/>
        <v>0</v>
      </c>
      <c r="J1324" s="150">
        <f t="shared" si="431"/>
        <v>0</v>
      </c>
      <c r="K1324" s="196" t="str">
        <f t="shared" si="431"/>
        <v/>
      </c>
      <c r="L1324" s="197" t="str">
        <f t="shared" si="431"/>
        <v/>
      </c>
      <c r="M1324" s="191">
        <f t="shared" si="431"/>
        <v>0</v>
      </c>
      <c r="N1324" s="150">
        <f t="shared" si="431"/>
        <v>0</v>
      </c>
      <c r="O1324" s="193">
        <f t="shared" si="431"/>
        <v>0</v>
      </c>
      <c r="P1324" s="162">
        <f t="shared" si="432"/>
        <v>0</v>
      </c>
      <c r="Q1324" s="162">
        <f t="shared" si="432"/>
        <v>0</v>
      </c>
      <c r="R1324" s="162">
        <f t="shared" si="432"/>
        <v>0</v>
      </c>
      <c r="S1324" s="162">
        <f t="shared" si="432"/>
        <v>0</v>
      </c>
      <c r="T1324" s="162">
        <f t="shared" si="432"/>
        <v>0</v>
      </c>
      <c r="U1324" s="162">
        <f t="shared" si="432"/>
        <v>0</v>
      </c>
      <c r="V1324" s="162">
        <f t="shared" si="432"/>
        <v>0</v>
      </c>
      <c r="W1324" s="162">
        <f t="shared" si="432"/>
        <v>0</v>
      </c>
      <c r="X1324" s="162">
        <f t="shared" si="432"/>
        <v>0</v>
      </c>
      <c r="Y1324" s="162">
        <f t="shared" si="432"/>
        <v>0</v>
      </c>
      <c r="Z1324" s="162">
        <f t="shared" si="432"/>
        <v>0</v>
      </c>
      <c r="AA1324" s="162">
        <f t="shared" si="432"/>
        <v>0</v>
      </c>
      <c r="AB1324" s="163">
        <f t="shared" si="426"/>
        <v>0</v>
      </c>
      <c r="AC1324" s="198"/>
      <c r="AE1324" s="194" t="str">
        <f t="shared" si="430"/>
        <v/>
      </c>
      <c r="AF1324" s="161">
        <f t="shared" si="433"/>
        <v>0</v>
      </c>
      <c r="AG1324" s="162">
        <f t="shared" si="433"/>
        <v>0</v>
      </c>
      <c r="AH1324" s="162">
        <f t="shared" si="433"/>
        <v>0</v>
      </c>
      <c r="AI1324" s="162">
        <f t="shared" si="433"/>
        <v>0</v>
      </c>
      <c r="AJ1324" s="162">
        <f t="shared" si="433"/>
        <v>0</v>
      </c>
      <c r="AK1324" s="162">
        <f t="shared" si="433"/>
        <v>0</v>
      </c>
      <c r="AL1324" s="162">
        <f t="shared" si="433"/>
        <v>0</v>
      </c>
      <c r="AM1324" s="162">
        <f t="shared" si="433"/>
        <v>0</v>
      </c>
      <c r="AN1324" s="162">
        <f t="shared" si="433"/>
        <v>0</v>
      </c>
      <c r="AO1324" s="162">
        <f t="shared" si="433"/>
        <v>0</v>
      </c>
      <c r="AP1324" s="162">
        <f t="shared" si="433"/>
        <v>0</v>
      </c>
      <c r="AQ1324" s="162">
        <f t="shared" si="433"/>
        <v>0</v>
      </c>
      <c r="AR1324" s="163">
        <f t="shared" si="428"/>
        <v>0</v>
      </c>
      <c r="AT1324" s="208">
        <f>IFERROR(VLOOKUP(J1324,#REF!,10,0),0)</f>
        <v>0</v>
      </c>
    </row>
    <row r="1325" spans="1:46" hidden="1" outlineLevel="1" x14ac:dyDescent="0.25">
      <c r="A1325" s="14" t="str">
        <f t="shared" si="434"/>
        <v>PROP_OPER__33</v>
      </c>
      <c r="B1325" s="15" t="str">
        <f t="shared" si="423"/>
        <v>PROP_OPER__0_0</v>
      </c>
      <c r="C1325" s="83"/>
      <c r="D1325" s="15">
        <v>1</v>
      </c>
      <c r="E1325" s="15">
        <v>33</v>
      </c>
      <c r="F1325" s="190">
        <f t="shared" si="431"/>
        <v>0</v>
      </c>
      <c r="G1325" s="149" t="str">
        <f t="shared" si="431"/>
        <v/>
      </c>
      <c r="H1325" s="150" t="str">
        <f t="shared" si="431"/>
        <v/>
      </c>
      <c r="I1325" s="150">
        <f t="shared" si="431"/>
        <v>0</v>
      </c>
      <c r="J1325" s="150">
        <f t="shared" si="431"/>
        <v>0</v>
      </c>
      <c r="K1325" s="196" t="str">
        <f t="shared" si="431"/>
        <v/>
      </c>
      <c r="L1325" s="197" t="str">
        <f t="shared" si="431"/>
        <v/>
      </c>
      <c r="M1325" s="191">
        <f t="shared" si="431"/>
        <v>0</v>
      </c>
      <c r="N1325" s="150">
        <f t="shared" si="431"/>
        <v>0</v>
      </c>
      <c r="O1325" s="193">
        <f t="shared" si="431"/>
        <v>0</v>
      </c>
      <c r="P1325" s="162">
        <f t="shared" si="432"/>
        <v>0</v>
      </c>
      <c r="Q1325" s="162">
        <f t="shared" si="432"/>
        <v>0</v>
      </c>
      <c r="R1325" s="162">
        <f t="shared" si="432"/>
        <v>0</v>
      </c>
      <c r="S1325" s="162">
        <f t="shared" si="432"/>
        <v>0</v>
      </c>
      <c r="T1325" s="162">
        <f t="shared" si="432"/>
        <v>0</v>
      </c>
      <c r="U1325" s="162">
        <f t="shared" si="432"/>
        <v>0</v>
      </c>
      <c r="V1325" s="162">
        <f t="shared" si="432"/>
        <v>0</v>
      </c>
      <c r="W1325" s="162">
        <f t="shared" si="432"/>
        <v>0</v>
      </c>
      <c r="X1325" s="162">
        <f t="shared" si="432"/>
        <v>0</v>
      </c>
      <c r="Y1325" s="162">
        <f t="shared" si="432"/>
        <v>0</v>
      </c>
      <c r="Z1325" s="162">
        <f t="shared" si="432"/>
        <v>0</v>
      </c>
      <c r="AA1325" s="162">
        <f t="shared" si="432"/>
        <v>0</v>
      </c>
      <c r="AB1325" s="163">
        <f t="shared" si="426"/>
        <v>0</v>
      </c>
      <c r="AC1325" s="198"/>
      <c r="AE1325" s="194" t="str">
        <f t="shared" si="430"/>
        <v/>
      </c>
      <c r="AF1325" s="161">
        <f t="shared" si="433"/>
        <v>0</v>
      </c>
      <c r="AG1325" s="162">
        <f t="shared" si="433"/>
        <v>0</v>
      </c>
      <c r="AH1325" s="162">
        <f t="shared" si="433"/>
        <v>0</v>
      </c>
      <c r="AI1325" s="162">
        <f t="shared" si="433"/>
        <v>0</v>
      </c>
      <c r="AJ1325" s="162">
        <f t="shared" si="433"/>
        <v>0</v>
      </c>
      <c r="AK1325" s="162">
        <f t="shared" si="433"/>
        <v>0</v>
      </c>
      <c r="AL1325" s="162">
        <f t="shared" si="433"/>
        <v>0</v>
      </c>
      <c r="AM1325" s="162">
        <f t="shared" si="433"/>
        <v>0</v>
      </c>
      <c r="AN1325" s="162">
        <f t="shared" si="433"/>
        <v>0</v>
      </c>
      <c r="AO1325" s="162">
        <f t="shared" si="433"/>
        <v>0</v>
      </c>
      <c r="AP1325" s="162">
        <f t="shared" si="433"/>
        <v>0</v>
      </c>
      <c r="AQ1325" s="162">
        <f t="shared" si="433"/>
        <v>0</v>
      </c>
      <c r="AR1325" s="163">
        <f t="shared" si="428"/>
        <v>0</v>
      </c>
      <c r="AT1325" s="208">
        <f>IFERROR(VLOOKUP(J1325,#REF!,10,0),0)</f>
        <v>0</v>
      </c>
    </row>
    <row r="1326" spans="1:46" hidden="1" outlineLevel="1" x14ac:dyDescent="0.25">
      <c r="A1326" s="14" t="str">
        <f t="shared" si="434"/>
        <v>PROP_OPER__34</v>
      </c>
      <c r="B1326" s="15" t="str">
        <f t="shared" si="423"/>
        <v>PROP_OPER__0_0</v>
      </c>
      <c r="C1326" s="83"/>
      <c r="D1326" s="15">
        <v>1</v>
      </c>
      <c r="E1326" s="15">
        <v>34</v>
      </c>
      <c r="F1326" s="190">
        <f t="shared" ref="F1326:O1337" si="435">F1280</f>
        <v>0</v>
      </c>
      <c r="G1326" s="149" t="str">
        <f t="shared" si="435"/>
        <v/>
      </c>
      <c r="H1326" s="150" t="str">
        <f t="shared" si="435"/>
        <v/>
      </c>
      <c r="I1326" s="150">
        <f t="shared" si="435"/>
        <v>0</v>
      </c>
      <c r="J1326" s="150">
        <f t="shared" si="435"/>
        <v>0</v>
      </c>
      <c r="K1326" s="196" t="str">
        <f t="shared" si="435"/>
        <v/>
      </c>
      <c r="L1326" s="197" t="str">
        <f t="shared" si="435"/>
        <v/>
      </c>
      <c r="M1326" s="191">
        <f t="shared" si="435"/>
        <v>0</v>
      </c>
      <c r="N1326" s="150">
        <f t="shared" si="435"/>
        <v>0</v>
      </c>
      <c r="O1326" s="193">
        <f t="shared" si="435"/>
        <v>0</v>
      </c>
      <c r="P1326" s="162">
        <f t="shared" si="432"/>
        <v>0</v>
      </c>
      <c r="Q1326" s="162">
        <f t="shared" si="432"/>
        <v>0</v>
      </c>
      <c r="R1326" s="162">
        <f t="shared" si="432"/>
        <v>0</v>
      </c>
      <c r="S1326" s="162">
        <f t="shared" si="432"/>
        <v>0</v>
      </c>
      <c r="T1326" s="162">
        <f t="shared" si="432"/>
        <v>0</v>
      </c>
      <c r="U1326" s="162">
        <f t="shared" si="432"/>
        <v>0</v>
      </c>
      <c r="V1326" s="162">
        <f t="shared" si="432"/>
        <v>0</v>
      </c>
      <c r="W1326" s="162">
        <f t="shared" si="432"/>
        <v>0</v>
      </c>
      <c r="X1326" s="162">
        <f t="shared" si="432"/>
        <v>0</v>
      </c>
      <c r="Y1326" s="162">
        <f t="shared" si="432"/>
        <v>0</v>
      </c>
      <c r="Z1326" s="162">
        <f t="shared" si="432"/>
        <v>0</v>
      </c>
      <c r="AA1326" s="162">
        <f t="shared" si="432"/>
        <v>0</v>
      </c>
      <c r="AB1326" s="163">
        <f t="shared" si="426"/>
        <v>0</v>
      </c>
      <c r="AC1326" s="198"/>
      <c r="AE1326" s="194" t="str">
        <f t="shared" si="430"/>
        <v/>
      </c>
      <c r="AF1326" s="161">
        <f t="shared" si="433"/>
        <v>0</v>
      </c>
      <c r="AG1326" s="162">
        <f t="shared" si="433"/>
        <v>0</v>
      </c>
      <c r="AH1326" s="162">
        <f t="shared" si="433"/>
        <v>0</v>
      </c>
      <c r="AI1326" s="162">
        <f t="shared" si="433"/>
        <v>0</v>
      </c>
      <c r="AJ1326" s="162">
        <f t="shared" si="433"/>
        <v>0</v>
      </c>
      <c r="AK1326" s="162">
        <f t="shared" si="433"/>
        <v>0</v>
      </c>
      <c r="AL1326" s="162">
        <f t="shared" si="433"/>
        <v>0</v>
      </c>
      <c r="AM1326" s="162">
        <f t="shared" si="433"/>
        <v>0</v>
      </c>
      <c r="AN1326" s="162">
        <f t="shared" si="433"/>
        <v>0</v>
      </c>
      <c r="AO1326" s="162">
        <f t="shared" si="433"/>
        <v>0</v>
      </c>
      <c r="AP1326" s="162">
        <f t="shared" si="433"/>
        <v>0</v>
      </c>
      <c r="AQ1326" s="162">
        <f t="shared" si="433"/>
        <v>0</v>
      </c>
      <c r="AR1326" s="163">
        <f t="shared" si="428"/>
        <v>0</v>
      </c>
      <c r="AT1326" s="208">
        <f>IFERROR(VLOOKUP(J1326,#REF!,10,0),0)</f>
        <v>0</v>
      </c>
    </row>
    <row r="1327" spans="1:46" hidden="1" outlineLevel="1" x14ac:dyDescent="0.25">
      <c r="A1327" s="14" t="str">
        <f t="shared" si="434"/>
        <v>PROP_OPER__35</v>
      </c>
      <c r="B1327" s="15" t="str">
        <f t="shared" si="423"/>
        <v>PROP_OPER__0_0</v>
      </c>
      <c r="C1327" s="83"/>
      <c r="D1327" s="15">
        <v>1</v>
      </c>
      <c r="E1327" s="15">
        <v>35</v>
      </c>
      <c r="F1327" s="190">
        <f t="shared" si="435"/>
        <v>0</v>
      </c>
      <c r="G1327" s="149" t="str">
        <f t="shared" si="435"/>
        <v/>
      </c>
      <c r="H1327" s="150" t="str">
        <f t="shared" si="435"/>
        <v/>
      </c>
      <c r="I1327" s="150">
        <f t="shared" si="435"/>
        <v>0</v>
      </c>
      <c r="J1327" s="150">
        <f t="shared" si="435"/>
        <v>0</v>
      </c>
      <c r="K1327" s="196" t="str">
        <f t="shared" si="435"/>
        <v/>
      </c>
      <c r="L1327" s="197" t="str">
        <f t="shared" si="435"/>
        <v/>
      </c>
      <c r="M1327" s="191">
        <f t="shared" si="435"/>
        <v>0</v>
      </c>
      <c r="N1327" s="150">
        <f t="shared" si="435"/>
        <v>0</v>
      </c>
      <c r="O1327" s="193">
        <f t="shared" si="435"/>
        <v>0</v>
      </c>
      <c r="P1327" s="162">
        <f t="shared" ref="P1327:AA1337" si="436">IFERROR(SUMIF($B$483:$B$547,$C1327&amp;$I1327,P$483:P$547)/SUMIF($D$483:$D$547,$I1327,P$483:P$547)*P628,0)</f>
        <v>0</v>
      </c>
      <c r="Q1327" s="162">
        <f t="shared" si="436"/>
        <v>0</v>
      </c>
      <c r="R1327" s="162">
        <f t="shared" si="436"/>
        <v>0</v>
      </c>
      <c r="S1327" s="162">
        <f t="shared" si="436"/>
        <v>0</v>
      </c>
      <c r="T1327" s="162">
        <f t="shared" si="436"/>
        <v>0</v>
      </c>
      <c r="U1327" s="162">
        <f t="shared" si="436"/>
        <v>0</v>
      </c>
      <c r="V1327" s="162">
        <f t="shared" si="436"/>
        <v>0</v>
      </c>
      <c r="W1327" s="162">
        <f t="shared" si="436"/>
        <v>0</v>
      </c>
      <c r="X1327" s="162">
        <f t="shared" si="436"/>
        <v>0</v>
      </c>
      <c r="Y1327" s="162">
        <f t="shared" si="436"/>
        <v>0</v>
      </c>
      <c r="Z1327" s="162">
        <f t="shared" si="436"/>
        <v>0</v>
      </c>
      <c r="AA1327" s="162">
        <f t="shared" si="436"/>
        <v>0</v>
      </c>
      <c r="AB1327" s="163">
        <f t="shared" si="426"/>
        <v>0</v>
      </c>
      <c r="AC1327" s="198"/>
      <c r="AE1327" s="194" t="str">
        <f t="shared" si="430"/>
        <v/>
      </c>
      <c r="AF1327" s="161">
        <f t="shared" ref="AF1327:AQ1337" si="437">IFERROR(SUMIF($B$483:$B$547,$C1327&amp;$I1327,P$483:P$547)/SUMIF($D$483:$D$547,$I1327,P$483:P$547)*AF628,0)</f>
        <v>0</v>
      </c>
      <c r="AG1327" s="162">
        <f t="shared" si="437"/>
        <v>0</v>
      </c>
      <c r="AH1327" s="162">
        <f t="shared" si="437"/>
        <v>0</v>
      </c>
      <c r="AI1327" s="162">
        <f t="shared" si="437"/>
        <v>0</v>
      </c>
      <c r="AJ1327" s="162">
        <f t="shared" si="437"/>
        <v>0</v>
      </c>
      <c r="AK1327" s="162">
        <f t="shared" si="437"/>
        <v>0</v>
      </c>
      <c r="AL1327" s="162">
        <f t="shared" si="437"/>
        <v>0</v>
      </c>
      <c r="AM1327" s="162">
        <f t="shared" si="437"/>
        <v>0</v>
      </c>
      <c r="AN1327" s="162">
        <f t="shared" si="437"/>
        <v>0</v>
      </c>
      <c r="AO1327" s="162">
        <f t="shared" si="437"/>
        <v>0</v>
      </c>
      <c r="AP1327" s="162">
        <f t="shared" si="437"/>
        <v>0</v>
      </c>
      <c r="AQ1327" s="162">
        <f t="shared" si="437"/>
        <v>0</v>
      </c>
      <c r="AR1327" s="163">
        <f t="shared" si="428"/>
        <v>0</v>
      </c>
      <c r="AT1327" s="208">
        <f>IFERROR(VLOOKUP(J1327,#REF!,10,0),0)</f>
        <v>0</v>
      </c>
    </row>
    <row r="1328" spans="1:46" hidden="1" outlineLevel="1" x14ac:dyDescent="0.25">
      <c r="A1328" s="14" t="str">
        <f t="shared" si="434"/>
        <v>PROP_OPER__36</v>
      </c>
      <c r="B1328" s="15" t="str">
        <f t="shared" si="423"/>
        <v>PROP_OPER__0_0</v>
      </c>
      <c r="C1328" s="83"/>
      <c r="D1328" s="15">
        <v>1</v>
      </c>
      <c r="E1328" s="15">
        <v>36</v>
      </c>
      <c r="F1328" s="190">
        <f t="shared" si="435"/>
        <v>0</v>
      </c>
      <c r="G1328" s="149" t="str">
        <f t="shared" si="435"/>
        <v/>
      </c>
      <c r="H1328" s="150" t="str">
        <f t="shared" si="435"/>
        <v/>
      </c>
      <c r="I1328" s="150">
        <f t="shared" si="435"/>
        <v>0</v>
      </c>
      <c r="J1328" s="150">
        <f t="shared" si="435"/>
        <v>0</v>
      </c>
      <c r="K1328" s="196" t="str">
        <f t="shared" si="435"/>
        <v/>
      </c>
      <c r="L1328" s="197" t="str">
        <f t="shared" si="435"/>
        <v/>
      </c>
      <c r="M1328" s="191">
        <f t="shared" si="435"/>
        <v>0</v>
      </c>
      <c r="N1328" s="150">
        <f t="shared" si="435"/>
        <v>0</v>
      </c>
      <c r="O1328" s="193">
        <f t="shared" si="435"/>
        <v>0</v>
      </c>
      <c r="P1328" s="162">
        <f t="shared" si="436"/>
        <v>0</v>
      </c>
      <c r="Q1328" s="162">
        <f t="shared" si="436"/>
        <v>0</v>
      </c>
      <c r="R1328" s="162">
        <f t="shared" si="436"/>
        <v>0</v>
      </c>
      <c r="S1328" s="162">
        <f t="shared" si="436"/>
        <v>0</v>
      </c>
      <c r="T1328" s="162">
        <f t="shared" si="436"/>
        <v>0</v>
      </c>
      <c r="U1328" s="162">
        <f t="shared" si="436"/>
        <v>0</v>
      </c>
      <c r="V1328" s="162">
        <f t="shared" si="436"/>
        <v>0</v>
      </c>
      <c r="W1328" s="162">
        <f t="shared" si="436"/>
        <v>0</v>
      </c>
      <c r="X1328" s="162">
        <f t="shared" si="436"/>
        <v>0</v>
      </c>
      <c r="Y1328" s="162">
        <f t="shared" si="436"/>
        <v>0</v>
      </c>
      <c r="Z1328" s="162">
        <f t="shared" si="436"/>
        <v>0</v>
      </c>
      <c r="AA1328" s="162">
        <f t="shared" si="436"/>
        <v>0</v>
      </c>
      <c r="AB1328" s="163">
        <f t="shared" si="426"/>
        <v>0</v>
      </c>
      <c r="AC1328" s="198"/>
      <c r="AE1328" s="194" t="str">
        <f t="shared" si="430"/>
        <v/>
      </c>
      <c r="AF1328" s="161">
        <f t="shared" si="437"/>
        <v>0</v>
      </c>
      <c r="AG1328" s="162">
        <f t="shared" si="437"/>
        <v>0</v>
      </c>
      <c r="AH1328" s="162">
        <f t="shared" si="437"/>
        <v>0</v>
      </c>
      <c r="AI1328" s="162">
        <f t="shared" si="437"/>
        <v>0</v>
      </c>
      <c r="AJ1328" s="162">
        <f t="shared" si="437"/>
        <v>0</v>
      </c>
      <c r="AK1328" s="162">
        <f t="shared" si="437"/>
        <v>0</v>
      </c>
      <c r="AL1328" s="162">
        <f t="shared" si="437"/>
        <v>0</v>
      </c>
      <c r="AM1328" s="162">
        <f t="shared" si="437"/>
        <v>0</v>
      </c>
      <c r="AN1328" s="162">
        <f t="shared" si="437"/>
        <v>0</v>
      </c>
      <c r="AO1328" s="162">
        <f t="shared" si="437"/>
        <v>0</v>
      </c>
      <c r="AP1328" s="162">
        <f t="shared" si="437"/>
        <v>0</v>
      </c>
      <c r="AQ1328" s="162">
        <f t="shared" si="437"/>
        <v>0</v>
      </c>
      <c r="AR1328" s="163">
        <f t="shared" si="428"/>
        <v>0</v>
      </c>
      <c r="AT1328" s="208">
        <f>IFERROR(VLOOKUP(J1328,#REF!,10,0),0)</f>
        <v>0</v>
      </c>
    </row>
    <row r="1329" spans="1:46" hidden="1" outlineLevel="1" x14ac:dyDescent="0.25">
      <c r="A1329" s="14" t="str">
        <f t="shared" si="434"/>
        <v>PROP_OPER__37</v>
      </c>
      <c r="B1329" s="15" t="str">
        <f t="shared" si="423"/>
        <v>PROP_OPER__0_0</v>
      </c>
      <c r="C1329" s="83"/>
      <c r="D1329" s="15">
        <v>1</v>
      </c>
      <c r="E1329" s="15">
        <v>37</v>
      </c>
      <c r="F1329" s="190">
        <f t="shared" si="435"/>
        <v>0</v>
      </c>
      <c r="G1329" s="149" t="str">
        <f t="shared" si="435"/>
        <v/>
      </c>
      <c r="H1329" s="150" t="str">
        <f t="shared" si="435"/>
        <v/>
      </c>
      <c r="I1329" s="150">
        <f t="shared" si="435"/>
        <v>0</v>
      </c>
      <c r="J1329" s="150">
        <f t="shared" si="435"/>
        <v>0</v>
      </c>
      <c r="K1329" s="196" t="str">
        <f t="shared" si="435"/>
        <v/>
      </c>
      <c r="L1329" s="197" t="str">
        <f t="shared" si="435"/>
        <v/>
      </c>
      <c r="M1329" s="191">
        <f t="shared" si="435"/>
        <v>0</v>
      </c>
      <c r="N1329" s="150">
        <f t="shared" si="435"/>
        <v>0</v>
      </c>
      <c r="O1329" s="193">
        <f t="shared" si="435"/>
        <v>0</v>
      </c>
      <c r="P1329" s="162">
        <f t="shared" si="436"/>
        <v>0</v>
      </c>
      <c r="Q1329" s="162">
        <f t="shared" si="436"/>
        <v>0</v>
      </c>
      <c r="R1329" s="162">
        <f t="shared" si="436"/>
        <v>0</v>
      </c>
      <c r="S1329" s="162">
        <f t="shared" si="436"/>
        <v>0</v>
      </c>
      <c r="T1329" s="162">
        <f t="shared" si="436"/>
        <v>0</v>
      </c>
      <c r="U1329" s="162">
        <f t="shared" si="436"/>
        <v>0</v>
      </c>
      <c r="V1329" s="162">
        <f t="shared" si="436"/>
        <v>0</v>
      </c>
      <c r="W1329" s="162">
        <f t="shared" si="436"/>
        <v>0</v>
      </c>
      <c r="X1329" s="162">
        <f t="shared" si="436"/>
        <v>0</v>
      </c>
      <c r="Y1329" s="162">
        <f t="shared" si="436"/>
        <v>0</v>
      </c>
      <c r="Z1329" s="162">
        <f t="shared" si="436"/>
        <v>0</v>
      </c>
      <c r="AA1329" s="162">
        <f t="shared" si="436"/>
        <v>0</v>
      </c>
      <c r="AB1329" s="163">
        <f t="shared" si="426"/>
        <v>0</v>
      </c>
      <c r="AC1329" s="198"/>
      <c r="AE1329" s="194" t="str">
        <f t="shared" si="430"/>
        <v/>
      </c>
      <c r="AF1329" s="161">
        <f t="shared" si="437"/>
        <v>0</v>
      </c>
      <c r="AG1329" s="162">
        <f t="shared" si="437"/>
        <v>0</v>
      </c>
      <c r="AH1329" s="162">
        <f t="shared" si="437"/>
        <v>0</v>
      </c>
      <c r="AI1329" s="162">
        <f t="shared" si="437"/>
        <v>0</v>
      </c>
      <c r="AJ1329" s="162">
        <f t="shared" si="437"/>
        <v>0</v>
      </c>
      <c r="AK1329" s="162">
        <f t="shared" si="437"/>
        <v>0</v>
      </c>
      <c r="AL1329" s="162">
        <f t="shared" si="437"/>
        <v>0</v>
      </c>
      <c r="AM1329" s="162">
        <f t="shared" si="437"/>
        <v>0</v>
      </c>
      <c r="AN1329" s="162">
        <f t="shared" si="437"/>
        <v>0</v>
      </c>
      <c r="AO1329" s="162">
        <f t="shared" si="437"/>
        <v>0</v>
      </c>
      <c r="AP1329" s="162">
        <f t="shared" si="437"/>
        <v>0</v>
      </c>
      <c r="AQ1329" s="162">
        <f t="shared" si="437"/>
        <v>0</v>
      </c>
      <c r="AR1329" s="163">
        <f t="shared" si="428"/>
        <v>0</v>
      </c>
      <c r="AT1329" s="208">
        <f>IFERROR(VLOOKUP(J1329,#REF!,10,0),0)</f>
        <v>0</v>
      </c>
    </row>
    <row r="1330" spans="1:46" hidden="1" outlineLevel="1" x14ac:dyDescent="0.25">
      <c r="A1330" s="14" t="str">
        <f t="shared" si="434"/>
        <v>PROP_OPER__38</v>
      </c>
      <c r="B1330" s="15" t="str">
        <f t="shared" si="423"/>
        <v>PROP_OPER__0_0</v>
      </c>
      <c r="C1330" s="83"/>
      <c r="D1330" s="15">
        <v>1</v>
      </c>
      <c r="E1330" s="15">
        <v>38</v>
      </c>
      <c r="F1330" s="190">
        <f t="shared" si="435"/>
        <v>0</v>
      </c>
      <c r="G1330" s="149" t="str">
        <f t="shared" si="435"/>
        <v/>
      </c>
      <c r="H1330" s="150" t="str">
        <f t="shared" si="435"/>
        <v/>
      </c>
      <c r="I1330" s="150">
        <f t="shared" si="435"/>
        <v>0</v>
      </c>
      <c r="J1330" s="150">
        <f t="shared" si="435"/>
        <v>0</v>
      </c>
      <c r="K1330" s="196" t="str">
        <f t="shared" si="435"/>
        <v/>
      </c>
      <c r="L1330" s="197" t="str">
        <f t="shared" si="435"/>
        <v/>
      </c>
      <c r="M1330" s="191">
        <f t="shared" si="435"/>
        <v>0</v>
      </c>
      <c r="N1330" s="150">
        <f t="shared" si="435"/>
        <v>0</v>
      </c>
      <c r="O1330" s="193">
        <f t="shared" si="435"/>
        <v>0</v>
      </c>
      <c r="P1330" s="162">
        <f t="shared" si="436"/>
        <v>0</v>
      </c>
      <c r="Q1330" s="162">
        <f t="shared" si="436"/>
        <v>0</v>
      </c>
      <c r="R1330" s="162">
        <f t="shared" si="436"/>
        <v>0</v>
      </c>
      <c r="S1330" s="162">
        <f t="shared" si="436"/>
        <v>0</v>
      </c>
      <c r="T1330" s="162">
        <f t="shared" si="436"/>
        <v>0</v>
      </c>
      <c r="U1330" s="162">
        <f t="shared" si="436"/>
        <v>0</v>
      </c>
      <c r="V1330" s="162">
        <f t="shared" si="436"/>
        <v>0</v>
      </c>
      <c r="W1330" s="162">
        <f t="shared" si="436"/>
        <v>0</v>
      </c>
      <c r="X1330" s="162">
        <f t="shared" si="436"/>
        <v>0</v>
      </c>
      <c r="Y1330" s="162">
        <f t="shared" si="436"/>
        <v>0</v>
      </c>
      <c r="Z1330" s="162">
        <f t="shared" si="436"/>
        <v>0</v>
      </c>
      <c r="AA1330" s="162">
        <f t="shared" si="436"/>
        <v>0</v>
      </c>
      <c r="AB1330" s="163">
        <f t="shared" si="426"/>
        <v>0</v>
      </c>
      <c r="AC1330" s="198"/>
      <c r="AE1330" s="194" t="str">
        <f t="shared" si="430"/>
        <v/>
      </c>
      <c r="AF1330" s="161">
        <f t="shared" si="437"/>
        <v>0</v>
      </c>
      <c r="AG1330" s="162">
        <f t="shared" si="437"/>
        <v>0</v>
      </c>
      <c r="AH1330" s="162">
        <f t="shared" si="437"/>
        <v>0</v>
      </c>
      <c r="AI1330" s="162">
        <f t="shared" si="437"/>
        <v>0</v>
      </c>
      <c r="AJ1330" s="162">
        <f t="shared" si="437"/>
        <v>0</v>
      </c>
      <c r="AK1330" s="162">
        <f t="shared" si="437"/>
        <v>0</v>
      </c>
      <c r="AL1330" s="162">
        <f t="shared" si="437"/>
        <v>0</v>
      </c>
      <c r="AM1330" s="162">
        <f t="shared" si="437"/>
        <v>0</v>
      </c>
      <c r="AN1330" s="162">
        <f t="shared" si="437"/>
        <v>0</v>
      </c>
      <c r="AO1330" s="162">
        <f t="shared" si="437"/>
        <v>0</v>
      </c>
      <c r="AP1330" s="162">
        <f t="shared" si="437"/>
        <v>0</v>
      </c>
      <c r="AQ1330" s="162">
        <f t="shared" si="437"/>
        <v>0</v>
      </c>
      <c r="AR1330" s="163">
        <f t="shared" si="428"/>
        <v>0</v>
      </c>
      <c r="AT1330" s="208">
        <f>IFERROR(VLOOKUP(J1330,#REF!,10,0),0)</f>
        <v>0</v>
      </c>
    </row>
    <row r="1331" spans="1:46" hidden="1" outlineLevel="1" x14ac:dyDescent="0.25">
      <c r="A1331" s="14" t="str">
        <f t="shared" si="434"/>
        <v>PROP_OPER__39</v>
      </c>
      <c r="B1331" s="15" t="str">
        <f t="shared" si="423"/>
        <v>PROP_OPER__0_0</v>
      </c>
      <c r="C1331" s="83"/>
      <c r="D1331" s="15">
        <v>1</v>
      </c>
      <c r="E1331" s="15">
        <v>39</v>
      </c>
      <c r="F1331" s="190">
        <f t="shared" si="435"/>
        <v>0</v>
      </c>
      <c r="G1331" s="149" t="str">
        <f t="shared" si="435"/>
        <v/>
      </c>
      <c r="H1331" s="150" t="str">
        <f t="shared" si="435"/>
        <v/>
      </c>
      <c r="I1331" s="150">
        <f t="shared" si="435"/>
        <v>0</v>
      </c>
      <c r="J1331" s="150">
        <f t="shared" si="435"/>
        <v>0</v>
      </c>
      <c r="K1331" s="196" t="str">
        <f t="shared" si="435"/>
        <v/>
      </c>
      <c r="L1331" s="197" t="str">
        <f t="shared" si="435"/>
        <v/>
      </c>
      <c r="M1331" s="191">
        <f t="shared" si="435"/>
        <v>0</v>
      </c>
      <c r="N1331" s="150">
        <f t="shared" si="435"/>
        <v>0</v>
      </c>
      <c r="O1331" s="193">
        <f t="shared" si="435"/>
        <v>0</v>
      </c>
      <c r="P1331" s="162">
        <f t="shared" si="436"/>
        <v>0</v>
      </c>
      <c r="Q1331" s="162">
        <f t="shared" si="436"/>
        <v>0</v>
      </c>
      <c r="R1331" s="162">
        <f t="shared" si="436"/>
        <v>0</v>
      </c>
      <c r="S1331" s="162">
        <f t="shared" si="436"/>
        <v>0</v>
      </c>
      <c r="T1331" s="162">
        <f t="shared" si="436"/>
        <v>0</v>
      </c>
      <c r="U1331" s="162">
        <f t="shared" si="436"/>
        <v>0</v>
      </c>
      <c r="V1331" s="162">
        <f t="shared" si="436"/>
        <v>0</v>
      </c>
      <c r="W1331" s="162">
        <f t="shared" si="436"/>
        <v>0</v>
      </c>
      <c r="X1331" s="162">
        <f t="shared" si="436"/>
        <v>0</v>
      </c>
      <c r="Y1331" s="162">
        <f t="shared" si="436"/>
        <v>0</v>
      </c>
      <c r="Z1331" s="162">
        <f t="shared" si="436"/>
        <v>0</v>
      </c>
      <c r="AA1331" s="162">
        <f t="shared" si="436"/>
        <v>0</v>
      </c>
      <c r="AB1331" s="163">
        <f t="shared" si="426"/>
        <v>0</v>
      </c>
      <c r="AC1331" s="198"/>
      <c r="AE1331" s="194" t="str">
        <f t="shared" si="430"/>
        <v/>
      </c>
      <c r="AF1331" s="161">
        <f t="shared" si="437"/>
        <v>0</v>
      </c>
      <c r="AG1331" s="162">
        <f t="shared" si="437"/>
        <v>0</v>
      </c>
      <c r="AH1331" s="162">
        <f t="shared" si="437"/>
        <v>0</v>
      </c>
      <c r="AI1331" s="162">
        <f t="shared" si="437"/>
        <v>0</v>
      </c>
      <c r="AJ1331" s="162">
        <f t="shared" si="437"/>
        <v>0</v>
      </c>
      <c r="AK1331" s="162">
        <f t="shared" si="437"/>
        <v>0</v>
      </c>
      <c r="AL1331" s="162">
        <f t="shared" si="437"/>
        <v>0</v>
      </c>
      <c r="AM1331" s="162">
        <f t="shared" si="437"/>
        <v>0</v>
      </c>
      <c r="AN1331" s="162">
        <f t="shared" si="437"/>
        <v>0</v>
      </c>
      <c r="AO1331" s="162">
        <f t="shared" si="437"/>
        <v>0</v>
      </c>
      <c r="AP1331" s="162">
        <f t="shared" si="437"/>
        <v>0</v>
      </c>
      <c r="AQ1331" s="162">
        <f t="shared" si="437"/>
        <v>0</v>
      </c>
      <c r="AR1331" s="163">
        <f t="shared" si="428"/>
        <v>0</v>
      </c>
      <c r="AT1331" s="208">
        <f>IFERROR(VLOOKUP(J1331,#REF!,10,0),0)</f>
        <v>0</v>
      </c>
    </row>
    <row r="1332" spans="1:46" hidden="1" outlineLevel="1" x14ac:dyDescent="0.25">
      <c r="A1332" s="14" t="str">
        <f t="shared" si="434"/>
        <v>PROP_OPER__40</v>
      </c>
      <c r="B1332" s="15" t="str">
        <f t="shared" si="423"/>
        <v>PROP_OPER__0_0</v>
      </c>
      <c r="C1332" s="83"/>
      <c r="D1332" s="15">
        <v>1</v>
      </c>
      <c r="E1332" s="15">
        <v>40</v>
      </c>
      <c r="F1332" s="190">
        <f t="shared" si="435"/>
        <v>0</v>
      </c>
      <c r="G1332" s="149" t="str">
        <f t="shared" si="435"/>
        <v/>
      </c>
      <c r="H1332" s="150" t="str">
        <f t="shared" si="435"/>
        <v/>
      </c>
      <c r="I1332" s="150">
        <f t="shared" si="435"/>
        <v>0</v>
      </c>
      <c r="J1332" s="150">
        <f t="shared" si="435"/>
        <v>0</v>
      </c>
      <c r="K1332" s="196" t="str">
        <f t="shared" si="435"/>
        <v/>
      </c>
      <c r="L1332" s="197" t="str">
        <f t="shared" si="435"/>
        <v/>
      </c>
      <c r="M1332" s="191">
        <f t="shared" si="435"/>
        <v>0</v>
      </c>
      <c r="N1332" s="150">
        <f t="shared" si="435"/>
        <v>0</v>
      </c>
      <c r="O1332" s="193">
        <f t="shared" si="435"/>
        <v>0</v>
      </c>
      <c r="P1332" s="162">
        <f t="shared" si="436"/>
        <v>0</v>
      </c>
      <c r="Q1332" s="162">
        <f t="shared" si="436"/>
        <v>0</v>
      </c>
      <c r="R1332" s="162">
        <f t="shared" si="436"/>
        <v>0</v>
      </c>
      <c r="S1332" s="162">
        <f t="shared" si="436"/>
        <v>0</v>
      </c>
      <c r="T1332" s="162">
        <f t="shared" si="436"/>
        <v>0</v>
      </c>
      <c r="U1332" s="162">
        <f t="shared" si="436"/>
        <v>0</v>
      </c>
      <c r="V1332" s="162">
        <f t="shared" si="436"/>
        <v>0</v>
      </c>
      <c r="W1332" s="162">
        <f t="shared" si="436"/>
        <v>0</v>
      </c>
      <c r="X1332" s="162">
        <f t="shared" si="436"/>
        <v>0</v>
      </c>
      <c r="Y1332" s="162">
        <f t="shared" si="436"/>
        <v>0</v>
      </c>
      <c r="Z1332" s="162">
        <f t="shared" si="436"/>
        <v>0</v>
      </c>
      <c r="AA1332" s="162">
        <f t="shared" si="436"/>
        <v>0</v>
      </c>
      <c r="AB1332" s="163">
        <f t="shared" si="426"/>
        <v>0</v>
      </c>
      <c r="AC1332" s="198"/>
      <c r="AE1332" s="194" t="str">
        <f t="shared" si="430"/>
        <v/>
      </c>
      <c r="AF1332" s="161">
        <f t="shared" si="437"/>
        <v>0</v>
      </c>
      <c r="AG1332" s="162">
        <f t="shared" si="437"/>
        <v>0</v>
      </c>
      <c r="AH1332" s="162">
        <f t="shared" si="437"/>
        <v>0</v>
      </c>
      <c r="AI1332" s="162">
        <f t="shared" si="437"/>
        <v>0</v>
      </c>
      <c r="AJ1332" s="162">
        <f t="shared" si="437"/>
        <v>0</v>
      </c>
      <c r="AK1332" s="162">
        <f t="shared" si="437"/>
        <v>0</v>
      </c>
      <c r="AL1332" s="162">
        <f t="shared" si="437"/>
        <v>0</v>
      </c>
      <c r="AM1332" s="162">
        <f t="shared" si="437"/>
        <v>0</v>
      </c>
      <c r="AN1332" s="162">
        <f t="shared" si="437"/>
        <v>0</v>
      </c>
      <c r="AO1332" s="162">
        <f t="shared" si="437"/>
        <v>0</v>
      </c>
      <c r="AP1332" s="162">
        <f t="shared" si="437"/>
        <v>0</v>
      </c>
      <c r="AQ1332" s="162">
        <f t="shared" si="437"/>
        <v>0</v>
      </c>
      <c r="AR1332" s="163">
        <f t="shared" si="428"/>
        <v>0</v>
      </c>
      <c r="AT1332" s="208">
        <f>IFERROR(VLOOKUP(J1332,#REF!,10,0),0)</f>
        <v>0</v>
      </c>
    </row>
    <row r="1333" spans="1:46" hidden="1" outlineLevel="1" x14ac:dyDescent="0.25">
      <c r="A1333" s="14" t="str">
        <f t="shared" si="434"/>
        <v>PROP_OPER__41</v>
      </c>
      <c r="B1333" s="15" t="str">
        <f t="shared" si="423"/>
        <v>PROP_OPER__0_0</v>
      </c>
      <c r="C1333" s="83"/>
      <c r="D1333" s="15">
        <v>1</v>
      </c>
      <c r="E1333" s="15">
        <v>41</v>
      </c>
      <c r="F1333" s="190">
        <f t="shared" si="435"/>
        <v>0</v>
      </c>
      <c r="G1333" s="149" t="str">
        <f t="shared" si="435"/>
        <v/>
      </c>
      <c r="H1333" s="150" t="str">
        <f t="shared" si="435"/>
        <v/>
      </c>
      <c r="I1333" s="150">
        <f t="shared" si="435"/>
        <v>0</v>
      </c>
      <c r="J1333" s="150">
        <f t="shared" si="435"/>
        <v>0</v>
      </c>
      <c r="K1333" s="196" t="str">
        <f t="shared" si="435"/>
        <v/>
      </c>
      <c r="L1333" s="197" t="str">
        <f t="shared" si="435"/>
        <v/>
      </c>
      <c r="M1333" s="191">
        <f t="shared" si="435"/>
        <v>0</v>
      </c>
      <c r="N1333" s="150">
        <f t="shared" si="435"/>
        <v>0</v>
      </c>
      <c r="O1333" s="193">
        <f t="shared" si="435"/>
        <v>0</v>
      </c>
      <c r="P1333" s="162">
        <f t="shared" si="436"/>
        <v>0</v>
      </c>
      <c r="Q1333" s="162">
        <f t="shared" si="436"/>
        <v>0</v>
      </c>
      <c r="R1333" s="162">
        <f t="shared" si="436"/>
        <v>0</v>
      </c>
      <c r="S1333" s="162">
        <f t="shared" si="436"/>
        <v>0</v>
      </c>
      <c r="T1333" s="162">
        <f t="shared" si="436"/>
        <v>0</v>
      </c>
      <c r="U1333" s="162">
        <f t="shared" si="436"/>
        <v>0</v>
      </c>
      <c r="V1333" s="162">
        <f t="shared" si="436"/>
        <v>0</v>
      </c>
      <c r="W1333" s="162">
        <f t="shared" si="436"/>
        <v>0</v>
      </c>
      <c r="X1333" s="162">
        <f t="shared" si="436"/>
        <v>0</v>
      </c>
      <c r="Y1333" s="162">
        <f t="shared" si="436"/>
        <v>0</v>
      </c>
      <c r="Z1333" s="162">
        <f t="shared" si="436"/>
        <v>0</v>
      </c>
      <c r="AA1333" s="162">
        <f t="shared" si="436"/>
        <v>0</v>
      </c>
      <c r="AB1333" s="163">
        <f t="shared" si="426"/>
        <v>0</v>
      </c>
      <c r="AC1333" s="198"/>
      <c r="AE1333" s="194" t="str">
        <f t="shared" si="430"/>
        <v/>
      </c>
      <c r="AF1333" s="161">
        <f t="shared" si="437"/>
        <v>0</v>
      </c>
      <c r="AG1333" s="162">
        <f t="shared" si="437"/>
        <v>0</v>
      </c>
      <c r="AH1333" s="162">
        <f t="shared" si="437"/>
        <v>0</v>
      </c>
      <c r="AI1333" s="162">
        <f t="shared" si="437"/>
        <v>0</v>
      </c>
      <c r="AJ1333" s="162">
        <f t="shared" si="437"/>
        <v>0</v>
      </c>
      <c r="AK1333" s="162">
        <f t="shared" si="437"/>
        <v>0</v>
      </c>
      <c r="AL1333" s="162">
        <f t="shared" si="437"/>
        <v>0</v>
      </c>
      <c r="AM1333" s="162">
        <f t="shared" si="437"/>
        <v>0</v>
      </c>
      <c r="AN1333" s="162">
        <f t="shared" si="437"/>
        <v>0</v>
      </c>
      <c r="AO1333" s="162">
        <f t="shared" si="437"/>
        <v>0</v>
      </c>
      <c r="AP1333" s="162">
        <f t="shared" si="437"/>
        <v>0</v>
      </c>
      <c r="AQ1333" s="162">
        <f t="shared" si="437"/>
        <v>0</v>
      </c>
      <c r="AR1333" s="163">
        <f t="shared" si="428"/>
        <v>0</v>
      </c>
      <c r="AT1333" s="208">
        <f>IFERROR(VLOOKUP(J1333,#REF!,10,0),0)</f>
        <v>0</v>
      </c>
    </row>
    <row r="1334" spans="1:46" hidden="1" outlineLevel="1" x14ac:dyDescent="0.25">
      <c r="A1334" s="14" t="str">
        <f t="shared" si="434"/>
        <v>PROP_OPER__42</v>
      </c>
      <c r="B1334" s="15" t="str">
        <f t="shared" si="423"/>
        <v>PROP_OPER__0_0</v>
      </c>
      <c r="C1334" s="83"/>
      <c r="D1334" s="15">
        <v>1</v>
      </c>
      <c r="E1334" s="15">
        <v>42</v>
      </c>
      <c r="F1334" s="190">
        <f t="shared" si="435"/>
        <v>0</v>
      </c>
      <c r="G1334" s="149" t="str">
        <f t="shared" si="435"/>
        <v/>
      </c>
      <c r="H1334" s="150" t="str">
        <f t="shared" si="435"/>
        <v/>
      </c>
      <c r="I1334" s="150">
        <f t="shared" si="435"/>
        <v>0</v>
      </c>
      <c r="J1334" s="150">
        <f t="shared" si="435"/>
        <v>0</v>
      </c>
      <c r="K1334" s="196" t="str">
        <f t="shared" si="435"/>
        <v/>
      </c>
      <c r="L1334" s="197" t="str">
        <f t="shared" si="435"/>
        <v/>
      </c>
      <c r="M1334" s="191">
        <f t="shared" si="435"/>
        <v>0</v>
      </c>
      <c r="N1334" s="150">
        <f t="shared" si="435"/>
        <v>0</v>
      </c>
      <c r="O1334" s="193">
        <f t="shared" si="435"/>
        <v>0</v>
      </c>
      <c r="P1334" s="162">
        <f t="shared" si="436"/>
        <v>0</v>
      </c>
      <c r="Q1334" s="162">
        <f t="shared" si="436"/>
        <v>0</v>
      </c>
      <c r="R1334" s="162">
        <f t="shared" si="436"/>
        <v>0</v>
      </c>
      <c r="S1334" s="162">
        <f t="shared" si="436"/>
        <v>0</v>
      </c>
      <c r="T1334" s="162">
        <f t="shared" si="436"/>
        <v>0</v>
      </c>
      <c r="U1334" s="162">
        <f t="shared" si="436"/>
        <v>0</v>
      </c>
      <c r="V1334" s="162">
        <f t="shared" si="436"/>
        <v>0</v>
      </c>
      <c r="W1334" s="162">
        <f t="shared" si="436"/>
        <v>0</v>
      </c>
      <c r="X1334" s="162">
        <f t="shared" si="436"/>
        <v>0</v>
      </c>
      <c r="Y1334" s="162">
        <f t="shared" si="436"/>
        <v>0</v>
      </c>
      <c r="Z1334" s="162">
        <f t="shared" si="436"/>
        <v>0</v>
      </c>
      <c r="AA1334" s="162">
        <f t="shared" si="436"/>
        <v>0</v>
      </c>
      <c r="AB1334" s="163">
        <f t="shared" si="426"/>
        <v>0</v>
      </c>
      <c r="AC1334" s="198"/>
      <c r="AE1334" s="194" t="str">
        <f t="shared" si="430"/>
        <v/>
      </c>
      <c r="AF1334" s="161">
        <f t="shared" si="437"/>
        <v>0</v>
      </c>
      <c r="AG1334" s="162">
        <f t="shared" si="437"/>
        <v>0</v>
      </c>
      <c r="AH1334" s="162">
        <f t="shared" si="437"/>
        <v>0</v>
      </c>
      <c r="AI1334" s="162">
        <f t="shared" si="437"/>
        <v>0</v>
      </c>
      <c r="AJ1334" s="162">
        <f t="shared" si="437"/>
        <v>0</v>
      </c>
      <c r="AK1334" s="162">
        <f t="shared" si="437"/>
        <v>0</v>
      </c>
      <c r="AL1334" s="162">
        <f t="shared" si="437"/>
        <v>0</v>
      </c>
      <c r="AM1334" s="162">
        <f t="shared" si="437"/>
        <v>0</v>
      </c>
      <c r="AN1334" s="162">
        <f t="shared" si="437"/>
        <v>0</v>
      </c>
      <c r="AO1334" s="162">
        <f t="shared" si="437"/>
        <v>0</v>
      </c>
      <c r="AP1334" s="162">
        <f t="shared" si="437"/>
        <v>0</v>
      </c>
      <c r="AQ1334" s="162">
        <f t="shared" si="437"/>
        <v>0</v>
      </c>
      <c r="AR1334" s="163">
        <f t="shared" si="428"/>
        <v>0</v>
      </c>
      <c r="AT1334" s="208">
        <f>IFERROR(VLOOKUP(J1334,#REF!,10,0),0)</f>
        <v>0</v>
      </c>
    </row>
    <row r="1335" spans="1:46" hidden="1" outlineLevel="1" x14ac:dyDescent="0.25">
      <c r="A1335" s="14" t="str">
        <f t="shared" si="434"/>
        <v>PROP_OPER__43</v>
      </c>
      <c r="B1335" s="15" t="str">
        <f t="shared" si="423"/>
        <v>PROP_OPER__0_0</v>
      </c>
      <c r="C1335" s="83"/>
      <c r="D1335" s="15">
        <v>1</v>
      </c>
      <c r="E1335" s="15">
        <v>43</v>
      </c>
      <c r="F1335" s="190">
        <f t="shared" si="435"/>
        <v>0</v>
      </c>
      <c r="G1335" s="149" t="str">
        <f t="shared" si="435"/>
        <v/>
      </c>
      <c r="H1335" s="150" t="str">
        <f t="shared" si="435"/>
        <v/>
      </c>
      <c r="I1335" s="150">
        <f t="shared" si="435"/>
        <v>0</v>
      </c>
      <c r="J1335" s="150">
        <f t="shared" si="435"/>
        <v>0</v>
      </c>
      <c r="K1335" s="196" t="str">
        <f t="shared" si="435"/>
        <v/>
      </c>
      <c r="L1335" s="197" t="str">
        <f t="shared" si="435"/>
        <v/>
      </c>
      <c r="M1335" s="191">
        <f t="shared" si="435"/>
        <v>0</v>
      </c>
      <c r="N1335" s="150">
        <f t="shared" si="435"/>
        <v>0</v>
      </c>
      <c r="O1335" s="193">
        <f t="shared" si="435"/>
        <v>0</v>
      </c>
      <c r="P1335" s="162">
        <f t="shared" si="436"/>
        <v>0</v>
      </c>
      <c r="Q1335" s="162">
        <f t="shared" si="436"/>
        <v>0</v>
      </c>
      <c r="R1335" s="162">
        <f t="shared" si="436"/>
        <v>0</v>
      </c>
      <c r="S1335" s="162">
        <f t="shared" si="436"/>
        <v>0</v>
      </c>
      <c r="T1335" s="162">
        <f t="shared" si="436"/>
        <v>0</v>
      </c>
      <c r="U1335" s="162">
        <f t="shared" si="436"/>
        <v>0</v>
      </c>
      <c r="V1335" s="162">
        <f t="shared" si="436"/>
        <v>0</v>
      </c>
      <c r="W1335" s="162">
        <f t="shared" si="436"/>
        <v>0</v>
      </c>
      <c r="X1335" s="162">
        <f t="shared" si="436"/>
        <v>0</v>
      </c>
      <c r="Y1335" s="162">
        <f t="shared" si="436"/>
        <v>0</v>
      </c>
      <c r="Z1335" s="162">
        <f t="shared" si="436"/>
        <v>0</v>
      </c>
      <c r="AA1335" s="162">
        <f t="shared" si="436"/>
        <v>0</v>
      </c>
      <c r="AB1335" s="163">
        <f t="shared" si="426"/>
        <v>0</v>
      </c>
      <c r="AC1335" s="198"/>
      <c r="AE1335" s="194" t="str">
        <f t="shared" si="430"/>
        <v/>
      </c>
      <c r="AF1335" s="161">
        <f t="shared" si="437"/>
        <v>0</v>
      </c>
      <c r="AG1335" s="162">
        <f t="shared" si="437"/>
        <v>0</v>
      </c>
      <c r="AH1335" s="162">
        <f t="shared" si="437"/>
        <v>0</v>
      </c>
      <c r="AI1335" s="162">
        <f t="shared" si="437"/>
        <v>0</v>
      </c>
      <c r="AJ1335" s="162">
        <f t="shared" si="437"/>
        <v>0</v>
      </c>
      <c r="AK1335" s="162">
        <f t="shared" si="437"/>
        <v>0</v>
      </c>
      <c r="AL1335" s="162">
        <f t="shared" si="437"/>
        <v>0</v>
      </c>
      <c r="AM1335" s="162">
        <f t="shared" si="437"/>
        <v>0</v>
      </c>
      <c r="AN1335" s="162">
        <f t="shared" si="437"/>
        <v>0</v>
      </c>
      <c r="AO1335" s="162">
        <f t="shared" si="437"/>
        <v>0</v>
      </c>
      <c r="AP1335" s="162">
        <f t="shared" si="437"/>
        <v>0</v>
      </c>
      <c r="AQ1335" s="162">
        <f t="shared" si="437"/>
        <v>0</v>
      </c>
      <c r="AR1335" s="163">
        <f t="shared" si="428"/>
        <v>0</v>
      </c>
      <c r="AT1335" s="208">
        <f>IFERROR(VLOOKUP(J1335,#REF!,10,0),0)</f>
        <v>0</v>
      </c>
    </row>
    <row r="1336" spans="1:46" hidden="1" outlineLevel="1" x14ac:dyDescent="0.25">
      <c r="A1336" s="14" t="str">
        <f t="shared" si="434"/>
        <v>PROP_OPER__44</v>
      </c>
      <c r="B1336" s="15" t="str">
        <f t="shared" si="423"/>
        <v>PROP_OPER__0_0</v>
      </c>
      <c r="C1336" s="83"/>
      <c r="D1336" s="15">
        <v>1</v>
      </c>
      <c r="E1336" s="15">
        <v>44</v>
      </c>
      <c r="F1336" s="190">
        <f t="shared" si="435"/>
        <v>0</v>
      </c>
      <c r="G1336" s="149" t="str">
        <f t="shared" si="435"/>
        <v/>
      </c>
      <c r="H1336" s="150" t="str">
        <f t="shared" si="435"/>
        <v/>
      </c>
      <c r="I1336" s="150">
        <f t="shared" si="435"/>
        <v>0</v>
      </c>
      <c r="J1336" s="150">
        <f t="shared" si="435"/>
        <v>0</v>
      </c>
      <c r="K1336" s="196" t="str">
        <f t="shared" si="435"/>
        <v/>
      </c>
      <c r="L1336" s="197" t="str">
        <f t="shared" si="435"/>
        <v/>
      </c>
      <c r="M1336" s="191">
        <f t="shared" si="435"/>
        <v>0</v>
      </c>
      <c r="N1336" s="150">
        <f t="shared" si="435"/>
        <v>0</v>
      </c>
      <c r="O1336" s="193">
        <f t="shared" si="435"/>
        <v>0</v>
      </c>
      <c r="P1336" s="162">
        <f t="shared" si="436"/>
        <v>0</v>
      </c>
      <c r="Q1336" s="162">
        <f t="shared" si="436"/>
        <v>0</v>
      </c>
      <c r="R1336" s="162">
        <f t="shared" si="436"/>
        <v>0</v>
      </c>
      <c r="S1336" s="162">
        <f t="shared" si="436"/>
        <v>0</v>
      </c>
      <c r="T1336" s="162">
        <f t="shared" si="436"/>
        <v>0</v>
      </c>
      <c r="U1336" s="162">
        <f t="shared" si="436"/>
        <v>0</v>
      </c>
      <c r="V1336" s="162">
        <f t="shared" si="436"/>
        <v>0</v>
      </c>
      <c r="W1336" s="162">
        <f t="shared" si="436"/>
        <v>0</v>
      </c>
      <c r="X1336" s="162">
        <f t="shared" si="436"/>
        <v>0</v>
      </c>
      <c r="Y1336" s="162">
        <f t="shared" si="436"/>
        <v>0</v>
      </c>
      <c r="Z1336" s="162">
        <f t="shared" si="436"/>
        <v>0</v>
      </c>
      <c r="AA1336" s="162">
        <f t="shared" si="436"/>
        <v>0</v>
      </c>
      <c r="AB1336" s="163">
        <f t="shared" si="426"/>
        <v>0</v>
      </c>
      <c r="AC1336" s="198"/>
      <c r="AE1336" s="194" t="str">
        <f t="shared" si="430"/>
        <v/>
      </c>
      <c r="AF1336" s="161">
        <f t="shared" si="437"/>
        <v>0</v>
      </c>
      <c r="AG1336" s="162">
        <f t="shared" si="437"/>
        <v>0</v>
      </c>
      <c r="AH1336" s="162">
        <f t="shared" si="437"/>
        <v>0</v>
      </c>
      <c r="AI1336" s="162">
        <f t="shared" si="437"/>
        <v>0</v>
      </c>
      <c r="AJ1336" s="162">
        <f t="shared" si="437"/>
        <v>0</v>
      </c>
      <c r="AK1336" s="162">
        <f t="shared" si="437"/>
        <v>0</v>
      </c>
      <c r="AL1336" s="162">
        <f t="shared" si="437"/>
        <v>0</v>
      </c>
      <c r="AM1336" s="162">
        <f t="shared" si="437"/>
        <v>0</v>
      </c>
      <c r="AN1336" s="162">
        <f t="shared" si="437"/>
        <v>0</v>
      </c>
      <c r="AO1336" s="162">
        <f t="shared" si="437"/>
        <v>0</v>
      </c>
      <c r="AP1336" s="162">
        <f t="shared" si="437"/>
        <v>0</v>
      </c>
      <c r="AQ1336" s="162">
        <f t="shared" si="437"/>
        <v>0</v>
      </c>
      <c r="AR1336" s="163">
        <f t="shared" si="428"/>
        <v>0</v>
      </c>
      <c r="AT1336" s="208">
        <f>IFERROR(VLOOKUP(J1336,#REF!,10,0),0)</f>
        <v>0</v>
      </c>
    </row>
    <row r="1337" spans="1:46" hidden="1" outlineLevel="1" x14ac:dyDescent="0.25">
      <c r="A1337" s="14" t="str">
        <f t="shared" si="434"/>
        <v>PROP_OPER__45</v>
      </c>
      <c r="B1337" s="15" t="str">
        <f t="shared" si="423"/>
        <v>PROP_OPER__0_0</v>
      </c>
      <c r="C1337" s="83"/>
      <c r="D1337" s="15">
        <v>1</v>
      </c>
      <c r="E1337" s="15">
        <v>45</v>
      </c>
      <c r="F1337" s="209">
        <f t="shared" si="435"/>
        <v>0</v>
      </c>
      <c r="G1337" s="183" t="str">
        <f t="shared" si="435"/>
        <v/>
      </c>
      <c r="H1337" s="184" t="str">
        <f t="shared" si="435"/>
        <v/>
      </c>
      <c r="I1337" s="184">
        <f t="shared" si="435"/>
        <v>0</v>
      </c>
      <c r="J1337" s="184">
        <f t="shared" si="435"/>
        <v>0</v>
      </c>
      <c r="K1337" s="210" t="str">
        <f t="shared" si="435"/>
        <v/>
      </c>
      <c r="L1337" s="211" t="str">
        <f t="shared" si="435"/>
        <v/>
      </c>
      <c r="M1337" s="212">
        <f t="shared" si="435"/>
        <v>0</v>
      </c>
      <c r="N1337" s="184">
        <f t="shared" si="435"/>
        <v>0</v>
      </c>
      <c r="O1337" s="213">
        <f t="shared" si="435"/>
        <v>0</v>
      </c>
      <c r="P1337" s="175">
        <f t="shared" si="436"/>
        <v>0</v>
      </c>
      <c r="Q1337" s="175">
        <f t="shared" si="436"/>
        <v>0</v>
      </c>
      <c r="R1337" s="175">
        <f t="shared" si="436"/>
        <v>0</v>
      </c>
      <c r="S1337" s="175">
        <f t="shared" si="436"/>
        <v>0</v>
      </c>
      <c r="T1337" s="175">
        <f t="shared" si="436"/>
        <v>0</v>
      </c>
      <c r="U1337" s="175">
        <f t="shared" si="436"/>
        <v>0</v>
      </c>
      <c r="V1337" s="175">
        <f t="shared" si="436"/>
        <v>0</v>
      </c>
      <c r="W1337" s="175">
        <f t="shared" si="436"/>
        <v>0</v>
      </c>
      <c r="X1337" s="175">
        <f t="shared" si="436"/>
        <v>0</v>
      </c>
      <c r="Y1337" s="175">
        <f t="shared" si="436"/>
        <v>0</v>
      </c>
      <c r="Z1337" s="175">
        <f t="shared" si="436"/>
        <v>0</v>
      </c>
      <c r="AA1337" s="175">
        <f t="shared" si="436"/>
        <v>0</v>
      </c>
      <c r="AB1337" s="176">
        <f t="shared" si="426"/>
        <v>0</v>
      </c>
      <c r="AC1337" s="172"/>
      <c r="AE1337" s="195" t="str">
        <f t="shared" si="430"/>
        <v/>
      </c>
      <c r="AF1337" s="174">
        <f t="shared" si="437"/>
        <v>0</v>
      </c>
      <c r="AG1337" s="175">
        <f t="shared" si="437"/>
        <v>0</v>
      </c>
      <c r="AH1337" s="175">
        <f t="shared" si="437"/>
        <v>0</v>
      </c>
      <c r="AI1337" s="175">
        <f t="shared" si="437"/>
        <v>0</v>
      </c>
      <c r="AJ1337" s="175">
        <f t="shared" si="437"/>
        <v>0</v>
      </c>
      <c r="AK1337" s="175">
        <f t="shared" si="437"/>
        <v>0</v>
      </c>
      <c r="AL1337" s="175">
        <f t="shared" si="437"/>
        <v>0</v>
      </c>
      <c r="AM1337" s="175">
        <f t="shared" si="437"/>
        <v>0</v>
      </c>
      <c r="AN1337" s="175">
        <f t="shared" si="437"/>
        <v>0</v>
      </c>
      <c r="AO1337" s="175">
        <f t="shared" si="437"/>
        <v>0</v>
      </c>
      <c r="AP1337" s="175">
        <f t="shared" si="437"/>
        <v>0</v>
      </c>
      <c r="AQ1337" s="175">
        <f t="shared" si="437"/>
        <v>0</v>
      </c>
      <c r="AR1337" s="176">
        <f t="shared" si="428"/>
        <v>0</v>
      </c>
      <c r="AT1337" s="214">
        <f>IFERROR(VLOOKUP(J1337,#REF!,10,0),0)</f>
        <v>0</v>
      </c>
    </row>
    <row r="1338" spans="1:46" collapsed="1" x14ac:dyDescent="0.25"/>
    <row r="1340" spans="1:46" x14ac:dyDescent="0.25">
      <c r="F1340" s="20" t="s">
        <v>287</v>
      </c>
      <c r="G1340" s="21"/>
      <c r="H1340" s="22"/>
      <c r="I1340" s="22"/>
      <c r="J1340" s="22"/>
      <c r="K1340" s="22"/>
      <c r="L1340" s="22"/>
      <c r="M1340" s="23"/>
      <c r="N1340" s="22"/>
      <c r="O1340" s="22"/>
      <c r="P1340" s="23"/>
      <c r="Q1340" s="23"/>
      <c r="R1340" s="23"/>
      <c r="S1340" s="23"/>
      <c r="T1340" s="23"/>
      <c r="U1340" s="23"/>
      <c r="V1340" s="24"/>
      <c r="W1340" s="23"/>
      <c r="X1340" s="23"/>
      <c r="Y1340" s="23"/>
      <c r="Z1340" s="23"/>
      <c r="AA1340" s="23"/>
      <c r="AB1340" s="23"/>
      <c r="AC1340" s="25"/>
    </row>
    <row r="1342" spans="1:46" x14ac:dyDescent="0.25">
      <c r="F1342" s="26" t="s">
        <v>288</v>
      </c>
      <c r="G1342" s="27"/>
    </row>
    <row r="1344" spans="1:46" x14ac:dyDescent="0.25">
      <c r="A1344" s="28"/>
      <c r="B1344" s="28"/>
      <c r="C1344" s="28"/>
      <c r="D1344" s="28"/>
      <c r="E1344" s="28"/>
      <c r="F1344" s="29" t="s">
        <v>190</v>
      </c>
      <c r="G1344" s="30"/>
      <c r="H1344" s="31" t="s">
        <v>191</v>
      </c>
      <c r="I1344" s="32"/>
      <c r="J1344" s="33"/>
      <c r="K1344" s="33"/>
      <c r="L1344" s="33"/>
      <c r="M1344" s="34"/>
      <c r="N1344" s="33"/>
      <c r="O1344" s="30"/>
      <c r="P1344" s="35">
        <v>46113</v>
      </c>
      <c r="Q1344" s="35">
        <v>46143</v>
      </c>
      <c r="R1344" s="35">
        <v>46174</v>
      </c>
      <c r="S1344" s="35">
        <v>46204</v>
      </c>
      <c r="T1344" s="35">
        <v>46235</v>
      </c>
      <c r="U1344" s="35">
        <v>46266</v>
      </c>
      <c r="V1344" s="35">
        <v>46296</v>
      </c>
      <c r="W1344" s="35">
        <v>46327</v>
      </c>
      <c r="X1344" s="35">
        <v>46357</v>
      </c>
      <c r="Y1344" s="35">
        <v>46388</v>
      </c>
      <c r="Z1344" s="35">
        <v>46419</v>
      </c>
      <c r="AA1344" s="35">
        <v>46447</v>
      </c>
      <c r="AB1344" s="36" t="s">
        <v>85</v>
      </c>
      <c r="AC1344" s="37" t="s">
        <v>192</v>
      </c>
    </row>
    <row r="1345" spans="1:29" x14ac:dyDescent="0.25">
      <c r="A1345" s="28"/>
      <c r="B1345" s="28"/>
      <c r="C1345" s="28"/>
      <c r="D1345" s="28"/>
      <c r="E1345" s="38"/>
      <c r="F1345" s="39" t="s">
        <v>193</v>
      </c>
      <c r="G1345" s="40"/>
      <c r="H1345" s="41" t="s">
        <v>194</v>
      </c>
      <c r="I1345" s="42"/>
      <c r="J1345" s="43"/>
      <c r="K1345" s="43"/>
      <c r="L1345" s="43"/>
      <c r="M1345" s="44"/>
      <c r="N1345" s="43"/>
      <c r="O1345" s="40"/>
      <c r="P1345" s="45">
        <v>30</v>
      </c>
      <c r="Q1345" s="45">
        <v>31</v>
      </c>
      <c r="R1345" s="45">
        <v>30</v>
      </c>
      <c r="S1345" s="45">
        <v>31</v>
      </c>
      <c r="T1345" s="45">
        <v>31</v>
      </c>
      <c r="U1345" s="45">
        <v>30</v>
      </c>
      <c r="V1345" s="45">
        <v>31</v>
      </c>
      <c r="W1345" s="45">
        <v>30</v>
      </c>
      <c r="X1345" s="45">
        <v>31</v>
      </c>
      <c r="Y1345" s="45">
        <v>31</v>
      </c>
      <c r="Z1345" s="45">
        <v>28</v>
      </c>
      <c r="AA1345" s="45">
        <v>31</v>
      </c>
      <c r="AB1345" s="46">
        <f>SUM(P1345:AA1345)</f>
        <v>365</v>
      </c>
      <c r="AC1345" s="47"/>
    </row>
    <row r="1346" spans="1:29" x14ac:dyDescent="0.25">
      <c r="A1346" s="28"/>
      <c r="B1346" s="28"/>
      <c r="C1346" s="28"/>
      <c r="D1346" s="28"/>
      <c r="E1346" s="38"/>
      <c r="F1346" s="39" t="s">
        <v>195</v>
      </c>
      <c r="G1346" s="40"/>
      <c r="H1346" s="41" t="s">
        <v>194</v>
      </c>
      <c r="I1346" s="42"/>
      <c r="J1346" s="43"/>
      <c r="K1346" s="43"/>
      <c r="L1346" s="43"/>
      <c r="M1346" s="44"/>
      <c r="N1346" s="43"/>
      <c r="O1346" s="40"/>
      <c r="P1346" s="48">
        <f t="shared" ref="P1346:W1346" si="438">P11</f>
        <v>16</v>
      </c>
      <c r="Q1346" s="48">
        <f t="shared" si="438"/>
        <v>28</v>
      </c>
      <c r="R1346" s="48">
        <f t="shared" si="438"/>
        <v>28</v>
      </c>
      <c r="S1346" s="48">
        <f t="shared" si="438"/>
        <v>30</v>
      </c>
      <c r="T1346" s="48">
        <f t="shared" si="438"/>
        <v>29</v>
      </c>
      <c r="U1346" s="48">
        <f t="shared" si="438"/>
        <v>27</v>
      </c>
      <c r="V1346" s="48">
        <f t="shared" si="438"/>
        <v>14</v>
      </c>
      <c r="W1346" s="48">
        <f t="shared" si="438"/>
        <v>0</v>
      </c>
      <c r="X1346" s="48">
        <f>X11</f>
        <v>0</v>
      </c>
      <c r="Y1346" s="48">
        <f>Y11</f>
        <v>0</v>
      </c>
      <c r="Z1346" s="48">
        <f>Z11</f>
        <v>0</v>
      </c>
      <c r="AA1346" s="48">
        <f>AA11</f>
        <v>0</v>
      </c>
      <c r="AB1346" s="46">
        <f>SUM(P1346:AA1346)</f>
        <v>172</v>
      </c>
      <c r="AC1346" s="47"/>
    </row>
    <row r="1347" spans="1:29" x14ac:dyDescent="0.25">
      <c r="A1347" s="28"/>
      <c r="B1347" s="28"/>
      <c r="C1347" s="28"/>
      <c r="D1347" s="28"/>
      <c r="E1347" s="38"/>
      <c r="F1347" s="49" t="s">
        <v>196</v>
      </c>
      <c r="G1347" s="50"/>
      <c r="H1347" s="51" t="s">
        <v>41</v>
      </c>
      <c r="I1347" s="52"/>
      <c r="J1347" s="53"/>
      <c r="K1347" s="53"/>
      <c r="L1347" s="53"/>
      <c r="M1347" s="54"/>
      <c r="N1347" s="53"/>
      <c r="O1347" s="55"/>
      <c r="P1347" s="56">
        <f t="shared" ref="P1347:AB1347" si="439">IFERROR(P1346/P1345,0)</f>
        <v>0.53333333333333333</v>
      </c>
      <c r="Q1347" s="56">
        <f t="shared" si="439"/>
        <v>0.90322580645161288</v>
      </c>
      <c r="R1347" s="56">
        <f t="shared" si="439"/>
        <v>0.93333333333333335</v>
      </c>
      <c r="S1347" s="56">
        <f t="shared" si="439"/>
        <v>0.967741935483871</v>
      </c>
      <c r="T1347" s="56">
        <f t="shared" si="439"/>
        <v>0.93548387096774188</v>
      </c>
      <c r="U1347" s="56">
        <f t="shared" si="439"/>
        <v>0.9</v>
      </c>
      <c r="V1347" s="56">
        <f t="shared" si="439"/>
        <v>0.45161290322580644</v>
      </c>
      <c r="W1347" s="56">
        <f t="shared" si="439"/>
        <v>0</v>
      </c>
      <c r="X1347" s="56">
        <f t="shared" si="439"/>
        <v>0</v>
      </c>
      <c r="Y1347" s="56">
        <f t="shared" si="439"/>
        <v>0</v>
      </c>
      <c r="Z1347" s="56">
        <f t="shared" si="439"/>
        <v>0</v>
      </c>
      <c r="AA1347" s="56">
        <f t="shared" si="439"/>
        <v>0</v>
      </c>
      <c r="AB1347" s="57">
        <f t="shared" si="439"/>
        <v>0.47123287671232877</v>
      </c>
      <c r="AC1347" s="58"/>
    </row>
    <row r="1348" spans="1:29" x14ac:dyDescent="0.25">
      <c r="A1348" s="28"/>
      <c r="B1348" s="28"/>
      <c r="C1348" s="28"/>
      <c r="D1348" s="28"/>
      <c r="E1348" s="38"/>
      <c r="F1348" s="59"/>
      <c r="G1348" s="60"/>
      <c r="H1348" s="60"/>
      <c r="I1348" s="60"/>
      <c r="J1348" s="60"/>
      <c r="K1348" s="60"/>
      <c r="L1348" s="60"/>
      <c r="M1348" s="61"/>
      <c r="N1348" s="60"/>
      <c r="O1348" s="60"/>
      <c r="P1348" s="240"/>
      <c r="Q1348" s="61"/>
      <c r="R1348" s="61"/>
      <c r="S1348" s="61"/>
      <c r="T1348" s="61"/>
      <c r="U1348" s="61"/>
      <c r="V1348" s="61"/>
      <c r="W1348" s="61"/>
      <c r="X1348" s="61"/>
      <c r="Y1348" s="61"/>
      <c r="Z1348" s="61"/>
      <c r="AA1348" s="61"/>
      <c r="AB1348" s="62"/>
      <c r="AC1348" s="63"/>
    </row>
    <row r="1349" spans="1:29" x14ac:dyDescent="0.25">
      <c r="F1349" s="26" t="s">
        <v>289</v>
      </c>
      <c r="G1349" s="27"/>
      <c r="H1349" s="27"/>
      <c r="I1349" s="27"/>
      <c r="J1349" s="64"/>
      <c r="K1349" s="64"/>
      <c r="L1349" s="64"/>
      <c r="M1349" s="65"/>
      <c r="N1349" s="64"/>
      <c r="O1349" s="64"/>
      <c r="P1349" s="65"/>
      <c r="Q1349" s="65"/>
      <c r="R1349" s="65"/>
      <c r="S1349" s="65"/>
      <c r="T1349" s="65"/>
      <c r="U1349" s="65"/>
      <c r="V1349" s="65"/>
      <c r="W1349" s="66"/>
      <c r="X1349" s="66"/>
      <c r="Y1349" s="66"/>
      <c r="Z1349" s="66"/>
      <c r="AA1349" s="66"/>
      <c r="AB1349" s="66"/>
      <c r="AC1349" s="67"/>
    </row>
    <row r="1350" spans="1:29" x14ac:dyDescent="0.25">
      <c r="A1350" s="68"/>
      <c r="B1350" s="68"/>
      <c r="C1350" s="68"/>
      <c r="D1350" s="68"/>
      <c r="E1350" s="68"/>
      <c r="F1350" s="69"/>
      <c r="G1350" s="70"/>
      <c r="H1350" s="70"/>
      <c r="I1350" s="70"/>
      <c r="J1350" s="71"/>
      <c r="K1350" s="71"/>
      <c r="L1350" s="71"/>
      <c r="M1350" s="72"/>
      <c r="N1350" s="71"/>
      <c r="O1350" s="71"/>
      <c r="P1350" s="72"/>
      <c r="Q1350" s="72"/>
      <c r="R1350" s="72"/>
      <c r="S1350" s="72"/>
      <c r="T1350" s="72"/>
      <c r="U1350" s="72"/>
      <c r="V1350" s="72"/>
      <c r="W1350" s="73"/>
      <c r="X1350" s="73"/>
      <c r="Y1350" s="73"/>
      <c r="Z1350" s="73"/>
      <c r="AA1350" s="73"/>
      <c r="AB1350" s="73"/>
      <c r="AC1350" s="70"/>
    </row>
    <row r="1351" spans="1:29" x14ac:dyDescent="0.25">
      <c r="A1351" s="74"/>
      <c r="B1351" s="74"/>
      <c r="C1351" s="74"/>
      <c r="D1351" s="74"/>
      <c r="E1351" s="74"/>
      <c r="F1351" s="75" t="s">
        <v>198</v>
      </c>
      <c r="G1351" s="76"/>
      <c r="H1351" s="77" t="s">
        <v>271</v>
      </c>
      <c r="I1351" s="78"/>
      <c r="J1351" s="79"/>
      <c r="K1351" s="79"/>
      <c r="L1351" s="79"/>
      <c r="M1351" s="80"/>
      <c r="N1351" s="79"/>
      <c r="O1351" s="79"/>
      <c r="P1351" s="35">
        <f t="shared" ref="P1351:AA1351" si="440">P$9</f>
        <v>46113</v>
      </c>
      <c r="Q1351" s="35">
        <f t="shared" si="440"/>
        <v>46143</v>
      </c>
      <c r="R1351" s="35">
        <f t="shared" si="440"/>
        <v>46174</v>
      </c>
      <c r="S1351" s="35">
        <f t="shared" si="440"/>
        <v>46204</v>
      </c>
      <c r="T1351" s="35">
        <f t="shared" si="440"/>
        <v>46235</v>
      </c>
      <c r="U1351" s="35">
        <f t="shared" si="440"/>
        <v>46266</v>
      </c>
      <c r="V1351" s="35">
        <f t="shared" si="440"/>
        <v>46296</v>
      </c>
      <c r="W1351" s="35">
        <f t="shared" si="440"/>
        <v>46327</v>
      </c>
      <c r="X1351" s="35">
        <f t="shared" si="440"/>
        <v>46357</v>
      </c>
      <c r="Y1351" s="35">
        <f t="shared" si="440"/>
        <v>46388</v>
      </c>
      <c r="Z1351" s="35">
        <f t="shared" si="440"/>
        <v>46419</v>
      </c>
      <c r="AA1351" s="35">
        <f t="shared" si="440"/>
        <v>46447</v>
      </c>
      <c r="AB1351" s="81" t="s">
        <v>85</v>
      </c>
      <c r="AC1351" s="82" t="s">
        <v>192</v>
      </c>
    </row>
    <row r="1352" spans="1:29" x14ac:dyDescent="0.25">
      <c r="A1352" s="83"/>
      <c r="B1352" s="83"/>
      <c r="C1352" s="83"/>
      <c r="D1352" s="83"/>
      <c r="E1352" s="83"/>
      <c r="F1352" s="84" t="s">
        <v>290</v>
      </c>
      <c r="G1352" s="85"/>
      <c r="H1352" s="86" t="s">
        <v>201</v>
      </c>
      <c r="I1352" s="87"/>
      <c r="J1352" s="88"/>
      <c r="K1352" s="88"/>
      <c r="L1352" s="88"/>
      <c r="M1352" s="89"/>
      <c r="N1352" s="88"/>
      <c r="O1352" s="88"/>
      <c r="P1352" s="90">
        <v>0</v>
      </c>
      <c r="Q1352" s="90">
        <v>0</v>
      </c>
      <c r="R1352" s="90">
        <v>0</v>
      </c>
      <c r="S1352" s="90">
        <v>0</v>
      </c>
      <c r="T1352" s="90">
        <v>0</v>
      </c>
      <c r="U1352" s="90">
        <v>0</v>
      </c>
      <c r="V1352" s="90">
        <v>0</v>
      </c>
      <c r="W1352" s="90">
        <v>0</v>
      </c>
      <c r="X1352" s="90">
        <v>0</v>
      </c>
      <c r="Y1352" s="90">
        <v>0</v>
      </c>
      <c r="Z1352" s="90">
        <v>0</v>
      </c>
      <c r="AA1352" s="90">
        <v>0</v>
      </c>
      <c r="AB1352" s="91">
        <f>SUM(P1352:AA1352)</f>
        <v>0</v>
      </c>
      <c r="AC1352" s="92"/>
    </row>
    <row r="1353" spans="1:29" x14ac:dyDescent="0.25">
      <c r="A1353" s="83"/>
      <c r="B1353" s="83"/>
      <c r="C1353" s="83"/>
      <c r="D1353" s="83"/>
      <c r="E1353" s="83"/>
      <c r="F1353" s="84" t="s">
        <v>291</v>
      </c>
      <c r="G1353" s="85"/>
      <c r="H1353" s="86" t="s">
        <v>201</v>
      </c>
      <c r="I1353" s="87"/>
      <c r="J1353" s="88"/>
      <c r="K1353" s="88"/>
      <c r="L1353" s="88"/>
      <c r="M1353" s="89"/>
      <c r="N1353" s="88"/>
      <c r="O1353" s="88"/>
      <c r="P1353" s="90">
        <v>400</v>
      </c>
      <c r="Q1353" s="90">
        <v>800</v>
      </c>
      <c r="R1353" s="90">
        <v>1100</v>
      </c>
      <c r="S1353" s="90">
        <v>600</v>
      </c>
      <c r="T1353" s="90">
        <v>0</v>
      </c>
      <c r="U1353" s="90">
        <v>0</v>
      </c>
      <c r="V1353" s="90">
        <v>370</v>
      </c>
      <c r="W1353" s="90">
        <v>370</v>
      </c>
      <c r="X1353" s="90">
        <v>0</v>
      </c>
      <c r="Y1353" s="90">
        <v>50</v>
      </c>
      <c r="Z1353" s="90">
        <v>200</v>
      </c>
      <c r="AA1353" s="90">
        <v>300</v>
      </c>
      <c r="AB1353" s="93">
        <f>SUM(P1353:AA1353)</f>
        <v>4190</v>
      </c>
      <c r="AC1353" s="94"/>
    </row>
    <row r="1354" spans="1:29" x14ac:dyDescent="0.25">
      <c r="A1354" s="83"/>
      <c r="B1354" s="83"/>
      <c r="C1354" s="83"/>
      <c r="D1354" s="83"/>
      <c r="E1354" s="83"/>
      <c r="F1354" s="95" t="s">
        <v>292</v>
      </c>
      <c r="G1354" s="85"/>
      <c r="H1354" s="86" t="s">
        <v>201</v>
      </c>
      <c r="I1354" s="87"/>
      <c r="J1354" s="88"/>
      <c r="K1354" s="88"/>
      <c r="L1354" s="88"/>
      <c r="M1354" s="89"/>
      <c r="N1354" s="88"/>
      <c r="O1354" s="88"/>
      <c r="P1354" s="90">
        <v>250</v>
      </c>
      <c r="Q1354" s="90">
        <v>0</v>
      </c>
      <c r="R1354" s="90">
        <v>0</v>
      </c>
      <c r="S1354" s="90">
        <v>0</v>
      </c>
      <c r="T1354" s="90">
        <v>0</v>
      </c>
      <c r="U1354" s="90">
        <v>0</v>
      </c>
      <c r="V1354" s="90">
        <v>0</v>
      </c>
      <c r="W1354" s="90">
        <v>0</v>
      </c>
      <c r="X1354" s="90">
        <v>0</v>
      </c>
      <c r="Y1354" s="90">
        <v>0</v>
      </c>
      <c r="Z1354" s="90">
        <v>250</v>
      </c>
      <c r="AA1354" s="90">
        <v>400</v>
      </c>
      <c r="AB1354" s="93">
        <f>SUM(P1354:AA1354)</f>
        <v>900</v>
      </c>
      <c r="AC1354" s="94"/>
    </row>
    <row r="1355" spans="1:29" x14ac:dyDescent="0.25">
      <c r="A1355" s="83"/>
      <c r="B1355" s="83"/>
      <c r="C1355" s="83"/>
      <c r="D1355" s="83"/>
      <c r="E1355" s="83"/>
      <c r="F1355" s="95" t="s">
        <v>293</v>
      </c>
      <c r="G1355" s="85"/>
      <c r="H1355" s="86" t="s">
        <v>201</v>
      </c>
      <c r="I1355" s="87"/>
      <c r="J1355" s="88"/>
      <c r="K1355" s="88"/>
      <c r="L1355" s="88"/>
      <c r="M1355" s="89"/>
      <c r="N1355" s="88"/>
      <c r="O1355" s="88"/>
      <c r="P1355" s="90">
        <v>0</v>
      </c>
      <c r="Q1355" s="90">
        <v>0</v>
      </c>
      <c r="R1355" s="90">
        <v>0</v>
      </c>
      <c r="S1355" s="90">
        <v>0</v>
      </c>
      <c r="T1355" s="90">
        <v>0</v>
      </c>
      <c r="U1355" s="90">
        <v>0</v>
      </c>
      <c r="V1355" s="90">
        <v>0</v>
      </c>
      <c r="W1355" s="90">
        <v>0</v>
      </c>
      <c r="X1355" s="90">
        <v>0</v>
      </c>
      <c r="Y1355" s="90">
        <v>0</v>
      </c>
      <c r="Z1355" s="90">
        <v>0</v>
      </c>
      <c r="AA1355" s="90">
        <v>0</v>
      </c>
      <c r="AB1355" s="93">
        <f>SUM(P1355:AA1355)</f>
        <v>0</v>
      </c>
      <c r="AC1355" s="94"/>
    </row>
    <row r="1356" spans="1:29" x14ac:dyDescent="0.25">
      <c r="A1356" s="83"/>
      <c r="B1356" s="83"/>
      <c r="C1356" s="83"/>
      <c r="D1356" s="83"/>
      <c r="E1356" s="83"/>
      <c r="F1356" s="96" t="s">
        <v>85</v>
      </c>
      <c r="G1356" s="97"/>
      <c r="H1356" s="98" t="s">
        <v>201</v>
      </c>
      <c r="I1356" s="99"/>
      <c r="J1356" s="100"/>
      <c r="K1356" s="100"/>
      <c r="L1356" s="100"/>
      <c r="M1356" s="101"/>
      <c r="N1356" s="100"/>
      <c r="O1356" s="100"/>
      <c r="P1356" s="102">
        <f t="shared" ref="P1356:AB1356" si="441">SUM(P1352:P1355)</f>
        <v>650</v>
      </c>
      <c r="Q1356" s="102">
        <f t="shared" si="441"/>
        <v>800</v>
      </c>
      <c r="R1356" s="102">
        <f t="shared" si="441"/>
        <v>1100</v>
      </c>
      <c r="S1356" s="102">
        <f t="shared" si="441"/>
        <v>600</v>
      </c>
      <c r="T1356" s="102">
        <f t="shared" si="441"/>
        <v>0</v>
      </c>
      <c r="U1356" s="102">
        <f t="shared" si="441"/>
        <v>0</v>
      </c>
      <c r="V1356" s="102">
        <f t="shared" si="441"/>
        <v>370</v>
      </c>
      <c r="W1356" s="102">
        <f t="shared" si="441"/>
        <v>370</v>
      </c>
      <c r="X1356" s="102">
        <f t="shared" si="441"/>
        <v>0</v>
      </c>
      <c r="Y1356" s="102">
        <f t="shared" si="441"/>
        <v>50</v>
      </c>
      <c r="Z1356" s="102">
        <f t="shared" si="441"/>
        <v>450</v>
      </c>
      <c r="AA1356" s="102">
        <f t="shared" si="441"/>
        <v>700</v>
      </c>
      <c r="AB1356" s="103">
        <f t="shared" si="441"/>
        <v>5090</v>
      </c>
      <c r="AC1356" s="104"/>
    </row>
    <row r="1357" spans="1:29" x14ac:dyDescent="0.25">
      <c r="A1357" s="83"/>
      <c r="B1357" s="83"/>
      <c r="C1357" s="83"/>
      <c r="D1357" s="83"/>
      <c r="E1357" s="83"/>
      <c r="F1357" s="105"/>
      <c r="G1357" s="106"/>
      <c r="H1357" s="106"/>
      <c r="I1357" s="106"/>
      <c r="J1357" s="106"/>
      <c r="K1357" s="106"/>
      <c r="L1357" s="106"/>
      <c r="M1357" s="107"/>
      <c r="N1357" s="106"/>
      <c r="O1357" s="106"/>
      <c r="P1357" s="107"/>
      <c r="Q1357" s="107"/>
      <c r="R1357" s="107"/>
      <c r="S1357" s="107"/>
      <c r="T1357" s="107"/>
      <c r="U1357" s="107"/>
      <c r="V1357" s="107"/>
      <c r="W1357" s="107"/>
      <c r="X1357" s="107"/>
      <c r="Y1357" s="107"/>
      <c r="Z1357" s="107"/>
      <c r="AA1357" s="107"/>
      <c r="AB1357" s="108"/>
      <c r="AC1357" s="109"/>
    </row>
    <row r="1358" spans="1:29" x14ac:dyDescent="0.25">
      <c r="A1358" s="83"/>
      <c r="B1358" s="83"/>
      <c r="C1358" s="83"/>
      <c r="D1358" s="83"/>
      <c r="E1358" s="83"/>
      <c r="F1358" s="69" t="s">
        <v>205</v>
      </c>
      <c r="G1358" s="106"/>
      <c r="H1358" s="106"/>
      <c r="I1358" s="106"/>
      <c r="J1358" s="106"/>
      <c r="K1358" s="106"/>
      <c r="L1358" s="106"/>
      <c r="M1358" s="110"/>
      <c r="N1358" s="106"/>
      <c r="O1358" s="106"/>
      <c r="P1358" s="110"/>
      <c r="Q1358" s="110"/>
      <c r="R1358" s="110"/>
      <c r="S1358" s="110"/>
      <c r="T1358" s="110"/>
      <c r="U1358" s="110"/>
      <c r="V1358" s="110"/>
      <c r="W1358" s="110"/>
      <c r="X1358" s="110"/>
      <c r="Y1358" s="110"/>
      <c r="Z1358" s="110"/>
      <c r="AA1358" s="110"/>
      <c r="AB1358" s="109"/>
      <c r="AC1358" s="109"/>
    </row>
    <row r="1359" spans="1:29" x14ac:dyDescent="0.25">
      <c r="A1359" s="74"/>
      <c r="B1359" s="74" t="s">
        <v>206</v>
      </c>
      <c r="C1359" s="74" t="s">
        <v>207</v>
      </c>
      <c r="D1359" s="74" t="s">
        <v>208</v>
      </c>
      <c r="E1359" s="74"/>
      <c r="F1359" s="75" t="s">
        <v>209</v>
      </c>
      <c r="G1359" s="76"/>
      <c r="H1359" s="77" t="s">
        <v>271</v>
      </c>
      <c r="I1359" s="78"/>
      <c r="J1359" s="79"/>
      <c r="K1359" s="79"/>
      <c r="L1359" s="79"/>
      <c r="M1359" s="80"/>
      <c r="N1359" s="79"/>
      <c r="O1359" s="111"/>
      <c r="P1359" s="35">
        <f t="shared" ref="P1359:AA1359" si="442">P$9</f>
        <v>46113</v>
      </c>
      <c r="Q1359" s="35">
        <f t="shared" si="442"/>
        <v>46143</v>
      </c>
      <c r="R1359" s="35">
        <f t="shared" si="442"/>
        <v>46174</v>
      </c>
      <c r="S1359" s="35">
        <f t="shared" si="442"/>
        <v>46204</v>
      </c>
      <c r="T1359" s="35">
        <f t="shared" si="442"/>
        <v>46235</v>
      </c>
      <c r="U1359" s="35">
        <f t="shared" si="442"/>
        <v>46266</v>
      </c>
      <c r="V1359" s="35">
        <f t="shared" si="442"/>
        <v>46296</v>
      </c>
      <c r="W1359" s="35">
        <f t="shared" si="442"/>
        <v>46327</v>
      </c>
      <c r="X1359" s="35">
        <f t="shared" si="442"/>
        <v>46357</v>
      </c>
      <c r="Y1359" s="35">
        <f t="shared" si="442"/>
        <v>46388</v>
      </c>
      <c r="Z1359" s="35">
        <f t="shared" si="442"/>
        <v>46419</v>
      </c>
      <c r="AA1359" s="35">
        <f t="shared" si="442"/>
        <v>46447</v>
      </c>
      <c r="AB1359" s="112" t="s">
        <v>85</v>
      </c>
      <c r="AC1359" s="113" t="s">
        <v>192</v>
      </c>
    </row>
    <row r="1360" spans="1:29" x14ac:dyDescent="0.25">
      <c r="A1360" s="83"/>
      <c r="B1360" s="83" t="str">
        <f>C1360&amp;D1360</f>
        <v/>
      </c>
      <c r="C1360" s="83"/>
      <c r="D1360" s="83"/>
      <c r="E1360" s="83"/>
      <c r="F1360" s="114" t="s">
        <v>290</v>
      </c>
      <c r="G1360" s="115"/>
      <c r="H1360" s="116" t="s">
        <v>41</v>
      </c>
      <c r="I1360" s="117"/>
      <c r="J1360" s="118"/>
      <c r="K1360" s="118"/>
      <c r="L1360" s="118"/>
      <c r="M1360" s="119"/>
      <c r="N1360" s="118"/>
      <c r="O1360" s="120"/>
      <c r="P1360" s="121">
        <v>1</v>
      </c>
      <c r="Q1360" s="121">
        <v>1</v>
      </c>
      <c r="R1360" s="121">
        <v>1</v>
      </c>
      <c r="S1360" s="121">
        <v>1</v>
      </c>
      <c r="T1360" s="121">
        <v>1</v>
      </c>
      <c r="U1360" s="121">
        <v>1</v>
      </c>
      <c r="V1360" s="121">
        <v>1</v>
      </c>
      <c r="W1360" s="121">
        <v>1</v>
      </c>
      <c r="X1360" s="121">
        <v>1</v>
      </c>
      <c r="Y1360" s="121">
        <v>1</v>
      </c>
      <c r="Z1360" s="121">
        <v>1</v>
      </c>
      <c r="AA1360" s="121">
        <v>1</v>
      </c>
      <c r="AB1360" s="122">
        <v>1</v>
      </c>
      <c r="AC1360" s="123"/>
    </row>
    <row r="1361" spans="1:29" x14ac:dyDescent="0.25">
      <c r="A1361" s="83"/>
      <c r="B1361" s="83" t="str">
        <f>C1361&amp;D1361</f>
        <v/>
      </c>
      <c r="C1361" s="83"/>
      <c r="D1361" s="83"/>
      <c r="E1361" s="83"/>
      <c r="F1361" s="114" t="s">
        <v>291</v>
      </c>
      <c r="G1361" s="115"/>
      <c r="H1361" s="116" t="s">
        <v>41</v>
      </c>
      <c r="I1361" s="117"/>
      <c r="J1361" s="118"/>
      <c r="K1361" s="118"/>
      <c r="L1361" s="118"/>
      <c r="M1361" s="119"/>
      <c r="N1361" s="118"/>
      <c r="O1361" s="120"/>
      <c r="P1361" s="121">
        <v>1</v>
      </c>
      <c r="Q1361" s="121">
        <v>1</v>
      </c>
      <c r="R1361" s="121">
        <v>1</v>
      </c>
      <c r="S1361" s="121">
        <v>1</v>
      </c>
      <c r="T1361" s="121">
        <v>1</v>
      </c>
      <c r="U1361" s="121">
        <v>1</v>
      </c>
      <c r="V1361" s="121">
        <v>1</v>
      </c>
      <c r="W1361" s="121">
        <v>1</v>
      </c>
      <c r="X1361" s="121">
        <v>1</v>
      </c>
      <c r="Y1361" s="121">
        <v>1</v>
      </c>
      <c r="Z1361" s="121">
        <v>1</v>
      </c>
      <c r="AA1361" s="121">
        <v>1</v>
      </c>
      <c r="AB1361" s="122">
        <v>1</v>
      </c>
      <c r="AC1361" s="123"/>
    </row>
    <row r="1362" spans="1:29" x14ac:dyDescent="0.25">
      <c r="A1362" s="83"/>
      <c r="B1362" s="83" t="str">
        <f>C1362&amp;D1362</f>
        <v/>
      </c>
      <c r="C1362" s="83"/>
      <c r="D1362" s="83"/>
      <c r="E1362" s="83"/>
      <c r="F1362" s="135" t="s">
        <v>292</v>
      </c>
      <c r="G1362" s="115"/>
      <c r="H1362" s="116" t="s">
        <v>41</v>
      </c>
      <c r="I1362" s="117"/>
      <c r="J1362" s="118"/>
      <c r="K1362" s="118"/>
      <c r="L1362" s="118"/>
      <c r="M1362" s="119"/>
      <c r="N1362" s="118"/>
      <c r="O1362" s="120"/>
      <c r="P1362" s="121">
        <v>1</v>
      </c>
      <c r="Q1362" s="121">
        <v>1</v>
      </c>
      <c r="R1362" s="121">
        <v>1</v>
      </c>
      <c r="S1362" s="121">
        <v>1</v>
      </c>
      <c r="T1362" s="121">
        <v>1</v>
      </c>
      <c r="U1362" s="121">
        <v>1</v>
      </c>
      <c r="V1362" s="121">
        <v>1</v>
      </c>
      <c r="W1362" s="121">
        <v>1</v>
      </c>
      <c r="X1362" s="121">
        <v>1</v>
      </c>
      <c r="Y1362" s="121">
        <v>1</v>
      </c>
      <c r="Z1362" s="121">
        <v>1</v>
      </c>
      <c r="AA1362" s="121">
        <v>1</v>
      </c>
      <c r="AB1362" s="122">
        <v>1</v>
      </c>
      <c r="AC1362" s="123"/>
    </row>
    <row r="1363" spans="1:29" x14ac:dyDescent="0.25">
      <c r="A1363" s="83"/>
      <c r="B1363" s="83" t="str">
        <f>C1363&amp;D1363</f>
        <v/>
      </c>
      <c r="C1363" s="83"/>
      <c r="D1363" s="83"/>
      <c r="E1363" s="83"/>
      <c r="F1363" s="135" t="s">
        <v>293</v>
      </c>
      <c r="G1363" s="115"/>
      <c r="H1363" s="116" t="s">
        <v>41</v>
      </c>
      <c r="I1363" s="117"/>
      <c r="J1363" s="118"/>
      <c r="K1363" s="118"/>
      <c r="L1363" s="118"/>
      <c r="M1363" s="119"/>
      <c r="N1363" s="118"/>
      <c r="O1363" s="120"/>
      <c r="P1363" s="121">
        <v>1</v>
      </c>
      <c r="Q1363" s="121">
        <v>1</v>
      </c>
      <c r="R1363" s="121">
        <v>1</v>
      </c>
      <c r="S1363" s="121">
        <v>1</v>
      </c>
      <c r="T1363" s="121">
        <v>1</v>
      </c>
      <c r="U1363" s="121">
        <v>1</v>
      </c>
      <c r="V1363" s="121">
        <v>1</v>
      </c>
      <c r="W1363" s="121">
        <v>1</v>
      </c>
      <c r="X1363" s="121">
        <v>1</v>
      </c>
      <c r="Y1363" s="121">
        <v>1</v>
      </c>
      <c r="Z1363" s="121">
        <v>1</v>
      </c>
      <c r="AA1363" s="121">
        <v>1</v>
      </c>
      <c r="AB1363" s="122">
        <v>1</v>
      </c>
      <c r="AC1363" s="123"/>
    </row>
    <row r="1364" spans="1:29" x14ac:dyDescent="0.25">
      <c r="A1364" s="83"/>
      <c r="B1364" s="83"/>
      <c r="C1364" s="83"/>
      <c r="D1364" s="83"/>
      <c r="E1364" s="83"/>
      <c r="F1364" s="124" t="s">
        <v>85</v>
      </c>
      <c r="G1364" s="125"/>
      <c r="H1364" s="126" t="s">
        <v>41</v>
      </c>
      <c r="I1364" s="127"/>
      <c r="J1364" s="128"/>
      <c r="K1364" s="128"/>
      <c r="L1364" s="128"/>
      <c r="M1364" s="129"/>
      <c r="N1364" s="128"/>
      <c r="O1364" s="130"/>
      <c r="P1364" s="131">
        <v>1</v>
      </c>
      <c r="Q1364" s="131">
        <v>1</v>
      </c>
      <c r="R1364" s="131">
        <v>1</v>
      </c>
      <c r="S1364" s="131">
        <v>1</v>
      </c>
      <c r="T1364" s="131">
        <v>1</v>
      </c>
      <c r="U1364" s="131">
        <v>1</v>
      </c>
      <c r="V1364" s="131">
        <v>1</v>
      </c>
      <c r="W1364" s="131">
        <v>1</v>
      </c>
      <c r="X1364" s="131">
        <v>1</v>
      </c>
      <c r="Y1364" s="131">
        <v>1</v>
      </c>
      <c r="Z1364" s="131">
        <v>1</v>
      </c>
      <c r="AA1364" s="131">
        <v>1</v>
      </c>
      <c r="AB1364" s="132">
        <v>1</v>
      </c>
      <c r="AC1364" s="133"/>
    </row>
    <row r="1365" spans="1:29" x14ac:dyDescent="0.25">
      <c r="A1365" s="68"/>
      <c r="B1365" s="68"/>
      <c r="C1365" s="68"/>
      <c r="D1365" s="68"/>
      <c r="E1365" s="68"/>
      <c r="F1365" s="134"/>
      <c r="G1365" s="106"/>
      <c r="H1365" s="106"/>
      <c r="I1365" s="106"/>
      <c r="J1365" s="106"/>
      <c r="K1365" s="106"/>
      <c r="L1365" s="106"/>
      <c r="M1365" s="110"/>
      <c r="N1365" s="106"/>
      <c r="O1365" s="106"/>
      <c r="P1365" s="110"/>
      <c r="Q1365" s="110"/>
      <c r="R1365" s="110"/>
      <c r="S1365" s="110"/>
      <c r="T1365" s="110"/>
      <c r="U1365" s="110"/>
      <c r="V1365" s="110"/>
      <c r="W1365" s="110"/>
      <c r="X1365" s="110"/>
      <c r="Y1365" s="110"/>
      <c r="Z1365" s="110"/>
      <c r="AA1365" s="110"/>
      <c r="AB1365" s="110"/>
      <c r="AC1365" s="106"/>
    </row>
    <row r="1366" spans="1:29" x14ac:dyDescent="0.25">
      <c r="A1366" s="83"/>
      <c r="B1366" s="83"/>
      <c r="C1366" s="83"/>
      <c r="D1366" s="83"/>
      <c r="E1366" s="83"/>
      <c r="F1366" s="69" t="s">
        <v>212</v>
      </c>
      <c r="G1366" s="106"/>
      <c r="H1366" s="106"/>
      <c r="I1366" s="106"/>
      <c r="J1366" s="106"/>
      <c r="K1366" s="106"/>
      <c r="L1366" s="106"/>
      <c r="M1366" s="110"/>
      <c r="N1366" s="106"/>
      <c r="O1366" s="106"/>
      <c r="P1366" s="110"/>
      <c r="Q1366" s="110"/>
      <c r="R1366" s="110"/>
      <c r="S1366" s="110"/>
      <c r="T1366" s="110"/>
      <c r="U1366" s="110"/>
      <c r="V1366" s="110"/>
      <c r="W1366" s="110"/>
      <c r="X1366" s="110"/>
      <c r="Y1366" s="110"/>
      <c r="Z1366" s="110"/>
      <c r="AA1366" s="110"/>
      <c r="AB1366" s="109"/>
      <c r="AC1366" s="109"/>
    </row>
    <row r="1367" spans="1:29" x14ac:dyDescent="0.25">
      <c r="A1367" s="74"/>
      <c r="B1367" s="74" t="s">
        <v>206</v>
      </c>
      <c r="C1367" s="74" t="s">
        <v>207</v>
      </c>
      <c r="D1367" s="74" t="s">
        <v>208</v>
      </c>
      <c r="E1367" s="74"/>
      <c r="F1367" s="75" t="s">
        <v>209</v>
      </c>
      <c r="G1367" s="76"/>
      <c r="H1367" s="77" t="s">
        <v>271</v>
      </c>
      <c r="I1367" s="78"/>
      <c r="J1367" s="79"/>
      <c r="K1367" s="79"/>
      <c r="L1367" s="79"/>
      <c r="M1367" s="80"/>
      <c r="N1367" s="79"/>
      <c r="O1367" s="111"/>
      <c r="P1367" s="35">
        <f t="shared" ref="P1367:AA1367" si="443">P$9</f>
        <v>46113</v>
      </c>
      <c r="Q1367" s="35">
        <f t="shared" si="443"/>
        <v>46143</v>
      </c>
      <c r="R1367" s="35">
        <f t="shared" si="443"/>
        <v>46174</v>
      </c>
      <c r="S1367" s="35">
        <f t="shared" si="443"/>
        <v>46204</v>
      </c>
      <c r="T1367" s="35">
        <f t="shared" si="443"/>
        <v>46235</v>
      </c>
      <c r="U1367" s="35">
        <f t="shared" si="443"/>
        <v>46266</v>
      </c>
      <c r="V1367" s="35">
        <f t="shared" si="443"/>
        <v>46296</v>
      </c>
      <c r="W1367" s="35">
        <f t="shared" si="443"/>
        <v>46327</v>
      </c>
      <c r="X1367" s="35">
        <f t="shared" si="443"/>
        <v>46357</v>
      </c>
      <c r="Y1367" s="35">
        <f t="shared" si="443"/>
        <v>46388</v>
      </c>
      <c r="Z1367" s="35">
        <f t="shared" si="443"/>
        <v>46419</v>
      </c>
      <c r="AA1367" s="35">
        <f t="shared" si="443"/>
        <v>46447</v>
      </c>
      <c r="AB1367" s="112" t="s">
        <v>85</v>
      </c>
      <c r="AC1367" s="113" t="s">
        <v>192</v>
      </c>
    </row>
    <row r="1368" spans="1:29" x14ac:dyDescent="0.25">
      <c r="A1368" s="83"/>
      <c r="B1368" s="83" t="str">
        <f>C1368&amp;D1368</f>
        <v/>
      </c>
      <c r="C1368" s="83"/>
      <c r="D1368" s="83"/>
      <c r="E1368" s="83"/>
      <c r="F1368" s="114" t="s">
        <v>290</v>
      </c>
      <c r="G1368" s="115"/>
      <c r="H1368" s="116" t="s">
        <v>41</v>
      </c>
      <c r="I1368" s="117"/>
      <c r="J1368" s="118"/>
      <c r="K1368" s="118"/>
      <c r="L1368" s="118"/>
      <c r="M1368" s="119"/>
      <c r="N1368" s="118"/>
      <c r="O1368" s="120"/>
      <c r="P1368" s="121">
        <f t="shared" ref="P1368:AA1368" si="444">IFERROR(IF(SUM(P$1352:P$1353)=0,$AB1368,P1352/SUM(P$1352:P$1353)),0)</f>
        <v>0</v>
      </c>
      <c r="Q1368" s="121">
        <f t="shared" si="444"/>
        <v>0</v>
      </c>
      <c r="R1368" s="121">
        <f t="shared" si="444"/>
        <v>0</v>
      </c>
      <c r="S1368" s="121">
        <f t="shared" si="444"/>
        <v>0</v>
      </c>
      <c r="T1368" s="121">
        <f t="shared" si="444"/>
        <v>0</v>
      </c>
      <c r="U1368" s="121">
        <f t="shared" si="444"/>
        <v>0</v>
      </c>
      <c r="V1368" s="121">
        <f t="shared" si="444"/>
        <v>0</v>
      </c>
      <c r="W1368" s="121">
        <f t="shared" si="444"/>
        <v>0</v>
      </c>
      <c r="X1368" s="121">
        <f t="shared" si="444"/>
        <v>0</v>
      </c>
      <c r="Y1368" s="121">
        <f t="shared" si="444"/>
        <v>0</v>
      </c>
      <c r="Z1368" s="121">
        <f t="shared" si="444"/>
        <v>0</v>
      </c>
      <c r="AA1368" s="121">
        <f t="shared" si="444"/>
        <v>0</v>
      </c>
      <c r="AB1368" s="122">
        <f>IFERROR(AB1352/SUM(AB$1352:AB$1353),0)</f>
        <v>0</v>
      </c>
      <c r="AC1368" s="123"/>
    </row>
    <row r="1369" spans="1:29" x14ac:dyDescent="0.25">
      <c r="A1369" s="83"/>
      <c r="B1369" s="83" t="str">
        <f>C1369&amp;D1369</f>
        <v/>
      </c>
      <c r="C1369" s="83"/>
      <c r="D1369" s="83"/>
      <c r="E1369" s="83"/>
      <c r="F1369" s="114" t="s">
        <v>291</v>
      </c>
      <c r="G1369" s="115"/>
      <c r="H1369" s="116" t="s">
        <v>41</v>
      </c>
      <c r="I1369" s="117"/>
      <c r="J1369" s="118"/>
      <c r="K1369" s="118"/>
      <c r="L1369" s="118"/>
      <c r="M1369" s="119"/>
      <c r="N1369" s="118"/>
      <c r="O1369" s="120"/>
      <c r="P1369" s="121">
        <f t="shared" ref="P1369:AA1369" si="445">IFERROR(IF(SUM(P$1352:P$1353)=0,$AB1369,P1353/SUM(P$1352:P$1353)),0)</f>
        <v>1</v>
      </c>
      <c r="Q1369" s="121">
        <f t="shared" si="445"/>
        <v>1</v>
      </c>
      <c r="R1369" s="121">
        <f t="shared" si="445"/>
        <v>1</v>
      </c>
      <c r="S1369" s="121">
        <f t="shared" si="445"/>
        <v>1</v>
      </c>
      <c r="T1369" s="121">
        <f t="shared" si="445"/>
        <v>1</v>
      </c>
      <c r="U1369" s="121">
        <f t="shared" si="445"/>
        <v>1</v>
      </c>
      <c r="V1369" s="121">
        <f t="shared" si="445"/>
        <v>1</v>
      </c>
      <c r="W1369" s="121">
        <f t="shared" si="445"/>
        <v>1</v>
      </c>
      <c r="X1369" s="121">
        <f t="shared" si="445"/>
        <v>1</v>
      </c>
      <c r="Y1369" s="121">
        <f t="shared" si="445"/>
        <v>1</v>
      </c>
      <c r="Z1369" s="121">
        <f t="shared" si="445"/>
        <v>1</v>
      </c>
      <c r="AA1369" s="121">
        <f t="shared" si="445"/>
        <v>1</v>
      </c>
      <c r="AB1369" s="122">
        <f>IFERROR(AB1353/SUM(AB$1352:AB$1353),0)</f>
        <v>1</v>
      </c>
      <c r="AC1369" s="123"/>
    </row>
    <row r="1370" spans="1:29" x14ac:dyDescent="0.25">
      <c r="A1370" s="83"/>
      <c r="B1370" s="83"/>
      <c r="C1370" s="83"/>
      <c r="D1370" s="83"/>
      <c r="E1370" s="83"/>
      <c r="F1370" s="124" t="s">
        <v>85</v>
      </c>
      <c r="G1370" s="125"/>
      <c r="H1370" s="126" t="s">
        <v>41</v>
      </c>
      <c r="I1370" s="127"/>
      <c r="J1370" s="128"/>
      <c r="K1370" s="128"/>
      <c r="L1370" s="128"/>
      <c r="M1370" s="129"/>
      <c r="N1370" s="128"/>
      <c r="O1370" s="130"/>
      <c r="P1370" s="131">
        <f t="shared" ref="P1370:AB1370" si="446">SUM(P1368:P1369)</f>
        <v>1</v>
      </c>
      <c r="Q1370" s="131">
        <f t="shared" si="446"/>
        <v>1</v>
      </c>
      <c r="R1370" s="131">
        <f t="shared" si="446"/>
        <v>1</v>
      </c>
      <c r="S1370" s="131">
        <f t="shared" si="446"/>
        <v>1</v>
      </c>
      <c r="T1370" s="131">
        <f t="shared" si="446"/>
        <v>1</v>
      </c>
      <c r="U1370" s="131">
        <f t="shared" si="446"/>
        <v>1</v>
      </c>
      <c r="V1370" s="131">
        <f t="shared" si="446"/>
        <v>1</v>
      </c>
      <c r="W1370" s="131">
        <f t="shared" si="446"/>
        <v>1</v>
      </c>
      <c r="X1370" s="131">
        <f t="shared" si="446"/>
        <v>1</v>
      </c>
      <c r="Y1370" s="131">
        <f t="shared" si="446"/>
        <v>1</v>
      </c>
      <c r="Z1370" s="131">
        <f t="shared" si="446"/>
        <v>1</v>
      </c>
      <c r="AA1370" s="131">
        <f t="shared" si="446"/>
        <v>1</v>
      </c>
      <c r="AB1370" s="132">
        <f t="shared" si="446"/>
        <v>1</v>
      </c>
      <c r="AC1370" s="133"/>
    </row>
    <row r="1371" spans="1:29" x14ac:dyDescent="0.25">
      <c r="A1371" s="68"/>
      <c r="B1371" s="68"/>
      <c r="C1371" s="68"/>
      <c r="D1371" s="68"/>
      <c r="E1371" s="68"/>
      <c r="F1371" s="134"/>
      <c r="G1371" s="106"/>
      <c r="H1371" s="106"/>
      <c r="I1371" s="106"/>
      <c r="J1371" s="106"/>
      <c r="K1371" s="106"/>
      <c r="L1371" s="106"/>
      <c r="M1371" s="110"/>
      <c r="N1371" s="106"/>
      <c r="O1371" s="106"/>
      <c r="P1371" s="110"/>
      <c r="Q1371" s="110"/>
      <c r="R1371" s="110"/>
      <c r="S1371" s="110"/>
      <c r="T1371" s="110"/>
      <c r="U1371" s="110"/>
      <c r="V1371" s="110"/>
      <c r="W1371" s="110"/>
      <c r="X1371" s="110"/>
      <c r="Y1371" s="110"/>
      <c r="Z1371" s="110"/>
      <c r="AA1371" s="110"/>
      <c r="AB1371" s="110"/>
      <c r="AC1371" s="106"/>
    </row>
    <row r="1372" spans="1:29" x14ac:dyDescent="0.25">
      <c r="A1372" s="83"/>
      <c r="B1372" s="83"/>
      <c r="C1372" s="83"/>
      <c r="D1372" s="83"/>
      <c r="E1372" s="83"/>
      <c r="F1372" s="69" t="s">
        <v>213</v>
      </c>
      <c r="G1372" s="106"/>
      <c r="H1372" s="106"/>
      <c r="I1372" s="106"/>
      <c r="J1372" s="106"/>
      <c r="K1372" s="106"/>
      <c r="L1372" s="106"/>
      <c r="M1372" s="110"/>
      <c r="N1372" s="106"/>
      <c r="O1372" s="106"/>
      <c r="P1372" s="110"/>
      <c r="Q1372" s="110"/>
      <c r="R1372" s="110"/>
      <c r="S1372" s="110"/>
      <c r="T1372" s="110"/>
      <c r="U1372" s="110"/>
      <c r="V1372" s="110"/>
      <c r="W1372" s="110"/>
      <c r="X1372" s="110"/>
      <c r="Y1372" s="110"/>
      <c r="Z1372" s="110"/>
      <c r="AA1372" s="110"/>
      <c r="AB1372" s="109"/>
      <c r="AC1372" s="109"/>
    </row>
    <row r="1373" spans="1:29" x14ac:dyDescent="0.25">
      <c r="A1373" s="74"/>
      <c r="B1373" s="74" t="s">
        <v>206</v>
      </c>
      <c r="C1373" s="74" t="s">
        <v>207</v>
      </c>
      <c r="D1373" s="74" t="s">
        <v>208</v>
      </c>
      <c r="E1373" s="74"/>
      <c r="F1373" s="75" t="s">
        <v>209</v>
      </c>
      <c r="G1373" s="76"/>
      <c r="H1373" s="77" t="s">
        <v>271</v>
      </c>
      <c r="I1373" s="78"/>
      <c r="J1373" s="79"/>
      <c r="K1373" s="79"/>
      <c r="L1373" s="79"/>
      <c r="M1373" s="80"/>
      <c r="N1373" s="79"/>
      <c r="O1373" s="111"/>
      <c r="P1373" s="35">
        <f t="shared" ref="P1373:AA1373" si="447">P$9</f>
        <v>46113</v>
      </c>
      <c r="Q1373" s="35">
        <f t="shared" si="447"/>
        <v>46143</v>
      </c>
      <c r="R1373" s="35">
        <f t="shared" si="447"/>
        <v>46174</v>
      </c>
      <c r="S1373" s="35">
        <f t="shared" si="447"/>
        <v>46204</v>
      </c>
      <c r="T1373" s="35">
        <f t="shared" si="447"/>
        <v>46235</v>
      </c>
      <c r="U1373" s="35">
        <f t="shared" si="447"/>
        <v>46266</v>
      </c>
      <c r="V1373" s="35">
        <f t="shared" si="447"/>
        <v>46296</v>
      </c>
      <c r="W1373" s="35">
        <f t="shared" si="447"/>
        <v>46327</v>
      </c>
      <c r="X1373" s="35">
        <f t="shared" si="447"/>
        <v>46357</v>
      </c>
      <c r="Y1373" s="35">
        <f t="shared" si="447"/>
        <v>46388</v>
      </c>
      <c r="Z1373" s="35">
        <f t="shared" si="447"/>
        <v>46419</v>
      </c>
      <c r="AA1373" s="35">
        <f t="shared" si="447"/>
        <v>46447</v>
      </c>
      <c r="AB1373" s="112" t="s">
        <v>85</v>
      </c>
      <c r="AC1373" s="113" t="s">
        <v>192</v>
      </c>
    </row>
    <row r="1374" spans="1:29" x14ac:dyDescent="0.25">
      <c r="A1374" s="83"/>
      <c r="B1374" s="83" t="str">
        <f>C1374&amp;D1374</f>
        <v/>
      </c>
      <c r="C1374" s="83"/>
      <c r="D1374" s="83"/>
      <c r="E1374" s="83"/>
      <c r="F1374" s="114" t="s">
        <v>290</v>
      </c>
      <c r="G1374" s="115"/>
      <c r="H1374" s="116" t="s">
        <v>41</v>
      </c>
      <c r="I1374" s="117"/>
      <c r="J1374" s="118"/>
      <c r="K1374" s="118"/>
      <c r="L1374" s="118"/>
      <c r="M1374" s="119"/>
      <c r="N1374" s="118"/>
      <c r="O1374" s="120"/>
      <c r="P1374" s="121">
        <f t="shared" ref="P1374:AA1377" si="448">IFERROR(IF(P$1356=0,$AB1374,P1352/P$1356),0)</f>
        <v>0</v>
      </c>
      <c r="Q1374" s="121">
        <f t="shared" si="448"/>
        <v>0</v>
      </c>
      <c r="R1374" s="121">
        <f t="shared" si="448"/>
        <v>0</v>
      </c>
      <c r="S1374" s="121">
        <f t="shared" si="448"/>
        <v>0</v>
      </c>
      <c r="T1374" s="121">
        <f t="shared" si="448"/>
        <v>0</v>
      </c>
      <c r="U1374" s="121">
        <f t="shared" si="448"/>
        <v>0</v>
      </c>
      <c r="V1374" s="121">
        <f t="shared" si="448"/>
        <v>0</v>
      </c>
      <c r="W1374" s="121">
        <f t="shared" si="448"/>
        <v>0</v>
      </c>
      <c r="X1374" s="121">
        <f t="shared" si="448"/>
        <v>0</v>
      </c>
      <c r="Y1374" s="121">
        <f t="shared" si="448"/>
        <v>0</v>
      </c>
      <c r="Z1374" s="121">
        <f t="shared" si="448"/>
        <v>0</v>
      </c>
      <c r="AA1374" s="121">
        <f t="shared" si="448"/>
        <v>0</v>
      </c>
      <c r="AB1374" s="122">
        <f>IFERROR(AB1352/AB$1356,0)</f>
        <v>0</v>
      </c>
      <c r="AC1374" s="123"/>
    </row>
    <row r="1375" spans="1:29" x14ac:dyDescent="0.25">
      <c r="A1375" s="83"/>
      <c r="B1375" s="83" t="str">
        <f>C1375&amp;D1375</f>
        <v/>
      </c>
      <c r="C1375" s="83"/>
      <c r="D1375" s="83"/>
      <c r="E1375" s="83"/>
      <c r="F1375" s="114" t="s">
        <v>291</v>
      </c>
      <c r="G1375" s="115"/>
      <c r="H1375" s="116" t="s">
        <v>41</v>
      </c>
      <c r="I1375" s="117"/>
      <c r="J1375" s="118"/>
      <c r="K1375" s="118"/>
      <c r="L1375" s="118"/>
      <c r="M1375" s="119"/>
      <c r="N1375" s="118"/>
      <c r="O1375" s="120"/>
      <c r="P1375" s="121">
        <f t="shared" si="448"/>
        <v>0.61538461538461542</v>
      </c>
      <c r="Q1375" s="121">
        <f t="shared" si="448"/>
        <v>1</v>
      </c>
      <c r="R1375" s="121">
        <f t="shared" si="448"/>
        <v>1</v>
      </c>
      <c r="S1375" s="121">
        <f t="shared" si="448"/>
        <v>1</v>
      </c>
      <c r="T1375" s="121">
        <f t="shared" si="448"/>
        <v>0.82318271119842834</v>
      </c>
      <c r="U1375" s="121">
        <f t="shared" si="448"/>
        <v>0.82318271119842834</v>
      </c>
      <c r="V1375" s="121">
        <f t="shared" si="448"/>
        <v>1</v>
      </c>
      <c r="W1375" s="121">
        <f t="shared" si="448"/>
        <v>1</v>
      </c>
      <c r="X1375" s="121">
        <f t="shared" si="448"/>
        <v>0.82318271119842834</v>
      </c>
      <c r="Y1375" s="121">
        <f t="shared" si="448"/>
        <v>1</v>
      </c>
      <c r="Z1375" s="121">
        <f t="shared" si="448"/>
        <v>0.44444444444444442</v>
      </c>
      <c r="AA1375" s="121">
        <f t="shared" si="448"/>
        <v>0.42857142857142855</v>
      </c>
      <c r="AB1375" s="122">
        <f>IFERROR(AB1353/AB$1356,0)</f>
        <v>0.82318271119842834</v>
      </c>
      <c r="AC1375" s="123"/>
    </row>
    <row r="1376" spans="1:29" x14ac:dyDescent="0.25">
      <c r="A1376" s="83"/>
      <c r="B1376" s="83" t="str">
        <f>C1376&amp;D1376</f>
        <v/>
      </c>
      <c r="C1376" s="83"/>
      <c r="D1376" s="83"/>
      <c r="E1376" s="83"/>
      <c r="F1376" s="135" t="s">
        <v>292</v>
      </c>
      <c r="G1376" s="115"/>
      <c r="H1376" s="116" t="s">
        <v>41</v>
      </c>
      <c r="I1376" s="117"/>
      <c r="J1376" s="118"/>
      <c r="K1376" s="118"/>
      <c r="L1376" s="118"/>
      <c r="M1376" s="119"/>
      <c r="N1376" s="118"/>
      <c r="O1376" s="120"/>
      <c r="P1376" s="121">
        <f t="shared" si="448"/>
        <v>0.38461538461538464</v>
      </c>
      <c r="Q1376" s="121">
        <f t="shared" si="448"/>
        <v>0</v>
      </c>
      <c r="R1376" s="121">
        <f t="shared" si="448"/>
        <v>0</v>
      </c>
      <c r="S1376" s="121">
        <f t="shared" si="448"/>
        <v>0</v>
      </c>
      <c r="T1376" s="121">
        <f t="shared" si="448"/>
        <v>0.17681728880157171</v>
      </c>
      <c r="U1376" s="121">
        <f t="shared" si="448"/>
        <v>0.17681728880157171</v>
      </c>
      <c r="V1376" s="121">
        <f t="shared" si="448"/>
        <v>0</v>
      </c>
      <c r="W1376" s="121">
        <f t="shared" si="448"/>
        <v>0</v>
      </c>
      <c r="X1376" s="121">
        <f t="shared" si="448"/>
        <v>0.17681728880157171</v>
      </c>
      <c r="Y1376" s="121">
        <f t="shared" si="448"/>
        <v>0</v>
      </c>
      <c r="Z1376" s="121">
        <f t="shared" si="448"/>
        <v>0.55555555555555558</v>
      </c>
      <c r="AA1376" s="121">
        <f t="shared" si="448"/>
        <v>0.5714285714285714</v>
      </c>
      <c r="AB1376" s="122">
        <f>IFERROR(AB1354/AB$1356,0)</f>
        <v>0.17681728880157171</v>
      </c>
      <c r="AC1376" s="123"/>
    </row>
    <row r="1377" spans="1:44" x14ac:dyDescent="0.25">
      <c r="A1377" s="83"/>
      <c r="B1377" s="83" t="str">
        <f>C1377&amp;D1377</f>
        <v/>
      </c>
      <c r="C1377" s="83"/>
      <c r="D1377" s="83"/>
      <c r="E1377" s="83"/>
      <c r="F1377" s="135" t="s">
        <v>293</v>
      </c>
      <c r="G1377" s="115"/>
      <c r="H1377" s="116" t="s">
        <v>41</v>
      </c>
      <c r="I1377" s="117"/>
      <c r="J1377" s="118"/>
      <c r="K1377" s="118"/>
      <c r="L1377" s="118"/>
      <c r="M1377" s="119"/>
      <c r="N1377" s="118"/>
      <c r="O1377" s="120"/>
      <c r="P1377" s="121">
        <f t="shared" si="448"/>
        <v>0</v>
      </c>
      <c r="Q1377" s="121">
        <f t="shared" si="448"/>
        <v>0</v>
      </c>
      <c r="R1377" s="121">
        <f t="shared" si="448"/>
        <v>0</v>
      </c>
      <c r="S1377" s="121">
        <f t="shared" si="448"/>
        <v>0</v>
      </c>
      <c r="T1377" s="121">
        <f t="shared" si="448"/>
        <v>0</v>
      </c>
      <c r="U1377" s="121">
        <f t="shared" si="448"/>
        <v>0</v>
      </c>
      <c r="V1377" s="121">
        <f t="shared" si="448"/>
        <v>0</v>
      </c>
      <c r="W1377" s="121">
        <f t="shared" si="448"/>
        <v>0</v>
      </c>
      <c r="X1377" s="121">
        <f t="shared" si="448"/>
        <v>0</v>
      </c>
      <c r="Y1377" s="121">
        <f t="shared" si="448"/>
        <v>0</v>
      </c>
      <c r="Z1377" s="121">
        <f t="shared" si="448"/>
        <v>0</v>
      </c>
      <c r="AA1377" s="121">
        <f t="shared" si="448"/>
        <v>0</v>
      </c>
      <c r="AB1377" s="122">
        <f>IFERROR(AB1355/AB$1356,0)</f>
        <v>0</v>
      </c>
      <c r="AC1377" s="123"/>
    </row>
    <row r="1378" spans="1:44" x14ac:dyDescent="0.25">
      <c r="A1378" s="83"/>
      <c r="B1378" s="83"/>
      <c r="C1378" s="83"/>
      <c r="D1378" s="83"/>
      <c r="E1378" s="83"/>
      <c r="F1378" s="124" t="s">
        <v>85</v>
      </c>
      <c r="G1378" s="125"/>
      <c r="H1378" s="126" t="s">
        <v>41</v>
      </c>
      <c r="I1378" s="127"/>
      <c r="J1378" s="128"/>
      <c r="K1378" s="128"/>
      <c r="L1378" s="128"/>
      <c r="M1378" s="129"/>
      <c r="N1378" s="128"/>
      <c r="O1378" s="130"/>
      <c r="P1378" s="131">
        <f t="shared" ref="P1378:AB1378" si="449">SUM(P1374:P1377)</f>
        <v>1</v>
      </c>
      <c r="Q1378" s="131">
        <f t="shared" si="449"/>
        <v>1</v>
      </c>
      <c r="R1378" s="131">
        <f t="shared" si="449"/>
        <v>1</v>
      </c>
      <c r="S1378" s="131">
        <f t="shared" si="449"/>
        <v>1</v>
      </c>
      <c r="T1378" s="131">
        <f t="shared" si="449"/>
        <v>1</v>
      </c>
      <c r="U1378" s="131">
        <f t="shared" si="449"/>
        <v>1</v>
      </c>
      <c r="V1378" s="131">
        <f t="shared" si="449"/>
        <v>1</v>
      </c>
      <c r="W1378" s="131">
        <f t="shared" si="449"/>
        <v>1</v>
      </c>
      <c r="X1378" s="131">
        <f t="shared" si="449"/>
        <v>1</v>
      </c>
      <c r="Y1378" s="131">
        <f t="shared" si="449"/>
        <v>1</v>
      </c>
      <c r="Z1378" s="131">
        <f t="shared" si="449"/>
        <v>1</v>
      </c>
      <c r="AA1378" s="131">
        <f t="shared" si="449"/>
        <v>1</v>
      </c>
      <c r="AB1378" s="132">
        <f t="shared" si="449"/>
        <v>1</v>
      </c>
      <c r="AC1378" s="133"/>
    </row>
    <row r="1379" spans="1:44" x14ac:dyDescent="0.25">
      <c r="A1379" s="68"/>
      <c r="B1379" s="68"/>
      <c r="C1379" s="68"/>
      <c r="D1379" s="68"/>
      <c r="E1379" s="68"/>
      <c r="F1379" s="134"/>
      <c r="G1379" s="106"/>
      <c r="H1379" s="106"/>
      <c r="I1379" s="106"/>
      <c r="J1379" s="106"/>
      <c r="K1379" s="106"/>
      <c r="L1379" s="106"/>
      <c r="M1379" s="110"/>
      <c r="N1379" s="106"/>
      <c r="O1379" s="106"/>
      <c r="P1379" s="110"/>
      <c r="Q1379" s="110"/>
      <c r="R1379" s="110"/>
      <c r="S1379" s="110"/>
      <c r="T1379" s="110"/>
      <c r="U1379" s="110"/>
      <c r="V1379" s="110"/>
      <c r="W1379" s="110"/>
      <c r="X1379" s="110"/>
      <c r="Y1379" s="110"/>
      <c r="Z1379" s="110"/>
      <c r="AA1379" s="110"/>
      <c r="AB1379" s="110"/>
      <c r="AC1379" s="106"/>
    </row>
    <row r="1380" spans="1:44" x14ac:dyDescent="0.25">
      <c r="F1380" s="136" t="s">
        <v>294</v>
      </c>
      <c r="G1380" s="70"/>
      <c r="H1380" s="106"/>
      <c r="I1380" s="106"/>
      <c r="J1380" s="106"/>
      <c r="K1380" s="106"/>
      <c r="L1380" s="106"/>
      <c r="M1380" s="107"/>
      <c r="N1380" s="106"/>
    </row>
    <row r="1381" spans="1:44" x14ac:dyDescent="0.25">
      <c r="F1381" s="134"/>
      <c r="G1381" s="70"/>
    </row>
    <row r="1382" spans="1:44" x14ac:dyDescent="0.25">
      <c r="F1382" s="68" t="s">
        <v>215</v>
      </c>
      <c r="G1382" s="68"/>
      <c r="V1382" s="18"/>
    </row>
    <row r="1383" spans="1:44" x14ac:dyDescent="0.25">
      <c r="F1383" s="137" t="s">
        <v>216</v>
      </c>
      <c r="G1383" s="138"/>
      <c r="H1383" s="139" t="s">
        <v>217</v>
      </c>
      <c r="I1383" s="139" t="s">
        <v>218</v>
      </c>
      <c r="J1383" s="139" t="s">
        <v>219</v>
      </c>
      <c r="K1383" s="140"/>
      <c r="L1383" s="141"/>
      <c r="M1383" s="142" t="s">
        <v>220</v>
      </c>
      <c r="N1383" s="139" t="s">
        <v>221</v>
      </c>
      <c r="O1383" s="143" t="s">
        <v>222</v>
      </c>
      <c r="P1383" s="35">
        <f t="shared" ref="P1383:AA1383" si="450">P$9</f>
        <v>46113</v>
      </c>
      <c r="Q1383" s="35">
        <f t="shared" si="450"/>
        <v>46143</v>
      </c>
      <c r="R1383" s="35">
        <f t="shared" si="450"/>
        <v>46174</v>
      </c>
      <c r="S1383" s="35">
        <f t="shared" si="450"/>
        <v>46204</v>
      </c>
      <c r="T1383" s="35">
        <f t="shared" si="450"/>
        <v>46235</v>
      </c>
      <c r="U1383" s="35">
        <f t="shared" si="450"/>
        <v>46266</v>
      </c>
      <c r="V1383" s="35">
        <f t="shared" si="450"/>
        <v>46296</v>
      </c>
      <c r="W1383" s="35">
        <f t="shared" si="450"/>
        <v>46327</v>
      </c>
      <c r="X1383" s="35">
        <f t="shared" si="450"/>
        <v>46357</v>
      </c>
      <c r="Y1383" s="35">
        <f t="shared" si="450"/>
        <v>46388</v>
      </c>
      <c r="Z1383" s="35">
        <f t="shared" si="450"/>
        <v>46419</v>
      </c>
      <c r="AA1383" s="35">
        <f t="shared" si="450"/>
        <v>46447</v>
      </c>
      <c r="AB1383" s="144" t="s">
        <v>223</v>
      </c>
      <c r="AC1383" s="145" t="s">
        <v>192</v>
      </c>
      <c r="AE1383" s="146" t="s">
        <v>224</v>
      </c>
      <c r="AF1383" s="147">
        <f>P1383</f>
        <v>46113</v>
      </c>
      <c r="AG1383" s="35">
        <f t="shared" ref="AG1383:AQ1383" si="451">Q1383</f>
        <v>46143</v>
      </c>
      <c r="AH1383" s="35">
        <f t="shared" si="451"/>
        <v>46174</v>
      </c>
      <c r="AI1383" s="35">
        <f t="shared" si="451"/>
        <v>46204</v>
      </c>
      <c r="AJ1383" s="35">
        <f t="shared" si="451"/>
        <v>46235</v>
      </c>
      <c r="AK1383" s="35">
        <f t="shared" si="451"/>
        <v>46266</v>
      </c>
      <c r="AL1383" s="35">
        <f t="shared" si="451"/>
        <v>46296</v>
      </c>
      <c r="AM1383" s="35">
        <f t="shared" si="451"/>
        <v>46327</v>
      </c>
      <c r="AN1383" s="35">
        <f t="shared" si="451"/>
        <v>46357</v>
      </c>
      <c r="AO1383" s="35">
        <f t="shared" si="451"/>
        <v>46388</v>
      </c>
      <c r="AP1383" s="35">
        <f t="shared" si="451"/>
        <v>46419</v>
      </c>
      <c r="AQ1383" s="35">
        <f t="shared" si="451"/>
        <v>46447</v>
      </c>
      <c r="AR1383" s="144" t="s">
        <v>225</v>
      </c>
    </row>
    <row r="1384" spans="1:44" x14ac:dyDescent="0.25">
      <c r="B1384" s="15" t="s">
        <v>226</v>
      </c>
      <c r="C1384" s="83" t="str">
        <f t="shared" ref="C1384:C1447" si="452">I1384</f>
        <v>TRATCPP</v>
      </c>
      <c r="F1384" s="148">
        <v>911</v>
      </c>
      <c r="G1384" s="149" t="str">
        <f>IFERROR(VLOOKUP(F1384,#REF!,2,0),"")</f>
        <v/>
      </c>
      <c r="H1384" s="150" t="str">
        <f>IFERROR(VLOOKUP(F1384,#REF!,3,0),"")</f>
        <v/>
      </c>
      <c r="I1384" s="151" t="s">
        <v>295</v>
      </c>
      <c r="J1384" s="151">
        <v>1</v>
      </c>
      <c r="K1384" s="152"/>
      <c r="L1384" s="153"/>
      <c r="M1384" s="154"/>
      <c r="N1384" s="151"/>
      <c r="O1384" s="155">
        <v>1</v>
      </c>
      <c r="P1384" s="156">
        <v>400</v>
      </c>
      <c r="Q1384" s="156">
        <v>600</v>
      </c>
      <c r="R1384" s="156">
        <v>600</v>
      </c>
      <c r="S1384" s="156">
        <v>200</v>
      </c>
      <c r="T1384" s="156">
        <v>200</v>
      </c>
      <c r="U1384" s="156">
        <v>0</v>
      </c>
      <c r="V1384" s="156">
        <v>0</v>
      </c>
      <c r="W1384" s="156">
        <v>145</v>
      </c>
      <c r="X1384" s="156">
        <v>0</v>
      </c>
      <c r="Y1384" s="156">
        <v>25</v>
      </c>
      <c r="Z1384" s="156">
        <v>0</v>
      </c>
      <c r="AA1384" s="156">
        <v>0</v>
      </c>
      <c r="AB1384" s="158">
        <f t="shared" ref="AB1384:AB1426" si="453">SUM(P1384:AA1384)</f>
        <v>2170</v>
      </c>
      <c r="AC1384" s="159"/>
      <c r="AE1384" s="160" t="str">
        <f t="shared" ref="AE1384:AE1426" si="454">IF(F1384="","",F1384&amp;" - "&amp;G1384&amp;" - "&amp;H1384&amp;" - "&amp;J1384&amp;" - (R$/"&amp;H1384&amp;")")</f>
        <v>911 -  -  - 1 - (R$/)</v>
      </c>
      <c r="AF1384" s="161">
        <f>IFERROR(VLOOKUP($F1384&amp;"-"&amp;$J1384,#REF!,#REF!+6,0),0)</f>
        <v>0</v>
      </c>
      <c r="AG1384" s="162">
        <f>IFERROR(VLOOKUP($F1384&amp;"-"&amp;$J1384,#REF!,#REF!+6,0),0)</f>
        <v>0</v>
      </c>
      <c r="AH1384" s="162">
        <f>IFERROR(VLOOKUP($F1384&amp;"-"&amp;$J1384,#REF!,#REF!+6,0),0)</f>
        <v>0</v>
      </c>
      <c r="AI1384" s="162">
        <f>IFERROR(VLOOKUP($F1384&amp;"-"&amp;$J1384,#REF!,#REF!+6,0),0)</f>
        <v>0</v>
      </c>
      <c r="AJ1384" s="162">
        <f>IFERROR(VLOOKUP($F1384&amp;"-"&amp;$J1384,#REF!,#REF!+6,0),0)</f>
        <v>0</v>
      </c>
      <c r="AK1384" s="162">
        <f>IFERROR(VLOOKUP($F1384&amp;"-"&amp;$J1384,#REF!,#REF!+6,0),0)</f>
        <v>0</v>
      </c>
      <c r="AL1384" s="162">
        <f>IFERROR(VLOOKUP($F1384&amp;"-"&amp;$J1384,#REF!,#REF!+6,0),0)</f>
        <v>0</v>
      </c>
      <c r="AM1384" s="162">
        <f>IFERROR(VLOOKUP($F1384&amp;"-"&amp;$J1384,#REF!,#REF!+6,0),0)</f>
        <v>0</v>
      </c>
      <c r="AN1384" s="162">
        <f>IFERROR(VLOOKUP($F1384&amp;"-"&amp;$J1384,#REF!,#REF!+6,0),0)</f>
        <v>0</v>
      </c>
      <c r="AO1384" s="162">
        <f>IFERROR(VLOOKUP($F1384&amp;"-"&amp;$J1384,#REF!,#REF!+6,0),0)</f>
        <v>0</v>
      </c>
      <c r="AP1384" s="162">
        <f>IFERROR(VLOOKUP($F1384&amp;"-"&amp;$J1384,#REF!,#REF!+6,0),0)</f>
        <v>0</v>
      </c>
      <c r="AQ1384" s="162">
        <f>IFERROR(VLOOKUP($F1384&amp;"-"&amp;$J1384,#REF!,#REF!+6,0),0)</f>
        <v>0</v>
      </c>
      <c r="AR1384" s="163">
        <f t="shared" ref="AR1384:AR1426" si="455">IFERROR(AVERAGE(AF1384:AQ1384),0)</f>
        <v>0</v>
      </c>
    </row>
    <row r="1385" spans="1:44" x14ac:dyDescent="0.25">
      <c r="B1385" s="15" t="s">
        <v>226</v>
      </c>
      <c r="C1385" s="83" t="str">
        <f t="shared" si="452"/>
        <v>TRATCPP</v>
      </c>
      <c r="F1385" s="148">
        <v>910</v>
      </c>
      <c r="G1385" s="149" t="str">
        <f>IFERROR(VLOOKUP(F1385,#REF!,2,0),"")</f>
        <v/>
      </c>
      <c r="H1385" s="150" t="str">
        <f>IFERROR(VLOOKUP(F1385,#REF!,3,0),"")</f>
        <v/>
      </c>
      <c r="I1385" s="151" t="s">
        <v>295</v>
      </c>
      <c r="J1385" s="151">
        <v>1</v>
      </c>
      <c r="K1385" s="241"/>
      <c r="L1385" s="153"/>
      <c r="M1385" s="154"/>
      <c r="N1385" s="151"/>
      <c r="O1385" s="155">
        <v>1</v>
      </c>
      <c r="P1385" s="156">
        <v>0</v>
      </c>
      <c r="Q1385" s="156">
        <v>0</v>
      </c>
      <c r="R1385" s="156">
        <v>0</v>
      </c>
      <c r="S1385" s="156">
        <v>0</v>
      </c>
      <c r="T1385" s="156">
        <v>0</v>
      </c>
      <c r="U1385" s="156">
        <v>0</v>
      </c>
      <c r="V1385" s="156">
        <v>0</v>
      </c>
      <c r="W1385" s="156">
        <v>0</v>
      </c>
      <c r="X1385" s="156">
        <v>2000</v>
      </c>
      <c r="Y1385" s="156">
        <v>2000</v>
      </c>
      <c r="Z1385" s="156">
        <v>0</v>
      </c>
      <c r="AA1385" s="156">
        <v>0</v>
      </c>
      <c r="AB1385" s="158">
        <f t="shared" si="453"/>
        <v>4000</v>
      </c>
      <c r="AC1385" s="159" t="s">
        <v>296</v>
      </c>
      <c r="AE1385" s="160" t="str">
        <f t="shared" si="454"/>
        <v>910 -  -  - 1 - (R$/)</v>
      </c>
      <c r="AF1385" s="161">
        <f>IFERROR(VLOOKUP($F1385&amp;"-"&amp;$J1385,#REF!,#REF!+6,0),0)</f>
        <v>0</v>
      </c>
      <c r="AG1385" s="162">
        <f>IFERROR(VLOOKUP($F1385&amp;"-"&amp;$J1385,#REF!,#REF!+6,0),0)</f>
        <v>0</v>
      </c>
      <c r="AH1385" s="162">
        <f>IFERROR(VLOOKUP($F1385&amp;"-"&amp;$J1385,#REF!,#REF!+6,0),0)</f>
        <v>0</v>
      </c>
      <c r="AI1385" s="162">
        <f>IFERROR(VLOOKUP($F1385&amp;"-"&amp;$J1385,#REF!,#REF!+6,0),0)</f>
        <v>0</v>
      </c>
      <c r="AJ1385" s="162">
        <f>IFERROR(VLOOKUP($F1385&amp;"-"&amp;$J1385,#REF!,#REF!+6,0),0)</f>
        <v>0</v>
      </c>
      <c r="AK1385" s="162">
        <f>IFERROR(VLOOKUP($F1385&amp;"-"&amp;$J1385,#REF!,#REF!+6,0),0)</f>
        <v>0</v>
      </c>
      <c r="AL1385" s="162">
        <f>IFERROR(VLOOKUP($F1385&amp;"-"&amp;$J1385,#REF!,#REF!+6,0),0)</f>
        <v>0</v>
      </c>
      <c r="AM1385" s="162">
        <f>IFERROR(VLOOKUP($F1385&amp;"-"&amp;$J1385,#REF!,#REF!+6,0),0)</f>
        <v>0</v>
      </c>
      <c r="AN1385" s="162">
        <f>IFERROR(VLOOKUP($F1385&amp;"-"&amp;$J1385,#REF!,#REF!+6,0),0)</f>
        <v>0</v>
      </c>
      <c r="AO1385" s="162">
        <f>IFERROR(VLOOKUP($F1385&amp;"-"&amp;$J1385,#REF!,#REF!+6,0),0)</f>
        <v>0</v>
      </c>
      <c r="AP1385" s="162">
        <f>IFERROR(VLOOKUP($F1385&amp;"-"&amp;$J1385,#REF!,#REF!+6,0),0)</f>
        <v>0</v>
      </c>
      <c r="AQ1385" s="162">
        <f>IFERROR(VLOOKUP($F1385&amp;"-"&amp;$J1385,#REF!,#REF!+6,0),0)</f>
        <v>0</v>
      </c>
      <c r="AR1385" s="163">
        <f t="shared" si="455"/>
        <v>0</v>
      </c>
    </row>
    <row r="1386" spans="1:44" x14ac:dyDescent="0.25">
      <c r="B1386" s="15" t="s">
        <v>226</v>
      </c>
      <c r="C1386" s="83" t="str">
        <f t="shared" si="452"/>
        <v>TRATCPP</v>
      </c>
      <c r="F1386" s="148">
        <v>1026</v>
      </c>
      <c r="G1386" s="149" t="str">
        <f>IFERROR(VLOOKUP(F1386,#REF!,2,0),"")</f>
        <v/>
      </c>
      <c r="H1386" s="150" t="str">
        <f>IFERROR(VLOOKUP(F1386,#REF!,3,0),"")</f>
        <v/>
      </c>
      <c r="I1386" s="151" t="s">
        <v>295</v>
      </c>
      <c r="J1386" s="151">
        <v>1</v>
      </c>
      <c r="K1386" s="152"/>
      <c r="L1386" s="153"/>
      <c r="M1386" s="154"/>
      <c r="N1386" s="151"/>
      <c r="O1386" s="155">
        <v>1</v>
      </c>
      <c r="P1386" s="156">
        <v>0</v>
      </c>
      <c r="Q1386" s="156">
        <v>0</v>
      </c>
      <c r="R1386" s="156">
        <v>0</v>
      </c>
      <c r="S1386" s="156">
        <v>0</v>
      </c>
      <c r="T1386" s="156">
        <v>0</v>
      </c>
      <c r="U1386" s="156">
        <v>0</v>
      </c>
      <c r="V1386" s="156">
        <v>0</v>
      </c>
      <c r="W1386" s="156">
        <v>0</v>
      </c>
      <c r="X1386" s="156">
        <v>0</v>
      </c>
      <c r="Y1386" s="156">
        <v>0</v>
      </c>
      <c r="Z1386" s="156">
        <v>0</v>
      </c>
      <c r="AA1386" s="156">
        <v>0</v>
      </c>
      <c r="AB1386" s="158">
        <f>SUM(P1386:AA1386)</f>
        <v>0</v>
      </c>
      <c r="AC1386" s="159" t="s">
        <v>297</v>
      </c>
      <c r="AE1386" s="160" t="str">
        <f t="shared" si="454"/>
        <v>1026 -  -  - 1 - (R$/)</v>
      </c>
      <c r="AF1386" s="161">
        <f>IFERROR(VLOOKUP($F1386&amp;"-"&amp;$J1386,#REF!,#REF!+6,0),0)</f>
        <v>0</v>
      </c>
      <c r="AG1386" s="162">
        <f>IFERROR(VLOOKUP($F1386&amp;"-"&amp;$J1386,#REF!,#REF!+6,0),0)</f>
        <v>0</v>
      </c>
      <c r="AH1386" s="162">
        <f>IFERROR(VLOOKUP($F1386&amp;"-"&amp;$J1386,#REF!,#REF!+6,0),0)</f>
        <v>0</v>
      </c>
      <c r="AI1386" s="162">
        <f>IFERROR(VLOOKUP($F1386&amp;"-"&amp;$J1386,#REF!,#REF!+6,0),0)</f>
        <v>0</v>
      </c>
      <c r="AJ1386" s="162">
        <f>IFERROR(VLOOKUP($F1386&amp;"-"&amp;$J1386,#REF!,#REF!+6,0),0)</f>
        <v>0</v>
      </c>
      <c r="AK1386" s="162">
        <f>IFERROR(VLOOKUP($F1386&amp;"-"&amp;$J1386,#REF!,#REF!+6,0),0)</f>
        <v>0</v>
      </c>
      <c r="AL1386" s="162">
        <f>IFERROR(VLOOKUP($F1386&amp;"-"&amp;$J1386,#REF!,#REF!+6,0),0)</f>
        <v>0</v>
      </c>
      <c r="AM1386" s="162">
        <f>IFERROR(VLOOKUP($F1386&amp;"-"&amp;$J1386,#REF!,#REF!+6,0),0)</f>
        <v>0</v>
      </c>
      <c r="AN1386" s="162">
        <f>IFERROR(VLOOKUP($F1386&amp;"-"&amp;$J1386,#REF!,#REF!+6,0),0)</f>
        <v>0</v>
      </c>
      <c r="AO1386" s="162">
        <f>IFERROR(VLOOKUP($F1386&amp;"-"&amp;$J1386,#REF!,#REF!+6,0),0)</f>
        <v>0</v>
      </c>
      <c r="AP1386" s="162">
        <f>IFERROR(VLOOKUP($F1386&amp;"-"&amp;$J1386,#REF!,#REF!+6,0),0)</f>
        <v>0</v>
      </c>
      <c r="AQ1386" s="162">
        <f>IFERROR(VLOOKUP($F1386&amp;"-"&amp;$J1386,#REF!,#REF!+6,0),0)</f>
        <v>0</v>
      </c>
      <c r="AR1386" s="163">
        <f t="shared" si="455"/>
        <v>0</v>
      </c>
    </row>
    <row r="1387" spans="1:44" x14ac:dyDescent="0.25">
      <c r="B1387" s="15" t="s">
        <v>226</v>
      </c>
      <c r="C1387" s="83">
        <f t="shared" si="452"/>
        <v>0</v>
      </c>
      <c r="F1387" s="148"/>
      <c r="G1387" s="149"/>
      <c r="H1387" s="150"/>
      <c r="I1387" s="151"/>
      <c r="J1387" s="151"/>
      <c r="K1387" s="152"/>
      <c r="L1387" s="153"/>
      <c r="M1387" s="154"/>
      <c r="N1387" s="151"/>
      <c r="O1387" s="155"/>
      <c r="P1387" s="156"/>
      <c r="Q1387" s="156"/>
      <c r="R1387" s="156"/>
      <c r="S1387" s="156"/>
      <c r="T1387" s="156"/>
      <c r="U1387" s="156"/>
      <c r="V1387" s="156"/>
      <c r="W1387" s="156"/>
      <c r="X1387" s="156"/>
      <c r="Y1387" s="156"/>
      <c r="Z1387" s="156"/>
      <c r="AA1387" s="156"/>
      <c r="AB1387" s="158">
        <f t="shared" si="453"/>
        <v>0</v>
      </c>
      <c r="AC1387" s="159"/>
      <c r="AE1387" s="160" t="str">
        <f t="shared" si="454"/>
        <v/>
      </c>
      <c r="AF1387" s="161">
        <f>IFERROR(VLOOKUP($F1387&amp;"-"&amp;$J1387,#REF!,#REF!+6,0),0)</f>
        <v>0</v>
      </c>
      <c r="AG1387" s="162">
        <f>IFERROR(VLOOKUP($F1387&amp;"-"&amp;$J1387,#REF!,#REF!+6,0),0)</f>
        <v>0</v>
      </c>
      <c r="AH1387" s="162">
        <f>IFERROR(VLOOKUP($F1387&amp;"-"&amp;$J1387,#REF!,#REF!+6,0),0)</f>
        <v>0</v>
      </c>
      <c r="AI1387" s="162">
        <f>IFERROR(VLOOKUP($F1387&amp;"-"&amp;$J1387,#REF!,#REF!+6,0),0)</f>
        <v>0</v>
      </c>
      <c r="AJ1387" s="162">
        <f>IFERROR(VLOOKUP($F1387&amp;"-"&amp;$J1387,#REF!,#REF!+6,0),0)</f>
        <v>0</v>
      </c>
      <c r="AK1387" s="162">
        <f>IFERROR(VLOOKUP($F1387&amp;"-"&amp;$J1387,#REF!,#REF!+6,0),0)</f>
        <v>0</v>
      </c>
      <c r="AL1387" s="162">
        <f>IFERROR(VLOOKUP($F1387&amp;"-"&amp;$J1387,#REF!,#REF!+6,0),0)</f>
        <v>0</v>
      </c>
      <c r="AM1387" s="162">
        <f>IFERROR(VLOOKUP($F1387&amp;"-"&amp;$J1387,#REF!,#REF!+6,0),0)</f>
        <v>0</v>
      </c>
      <c r="AN1387" s="162">
        <f>IFERROR(VLOOKUP($F1387&amp;"-"&amp;$J1387,#REF!,#REF!+6,0),0)</f>
        <v>0</v>
      </c>
      <c r="AO1387" s="162">
        <f>IFERROR(VLOOKUP($F1387&amp;"-"&amp;$J1387,#REF!,#REF!+6,0),0)</f>
        <v>0</v>
      </c>
      <c r="AP1387" s="162">
        <f>IFERROR(VLOOKUP($F1387&amp;"-"&amp;$J1387,#REF!,#REF!+6,0),0)</f>
        <v>0</v>
      </c>
      <c r="AQ1387" s="162">
        <f>IFERROR(VLOOKUP($F1387&amp;"-"&amp;$J1387,#REF!,#REF!+6,0),0)</f>
        <v>0</v>
      </c>
      <c r="AR1387" s="163">
        <f t="shared" si="455"/>
        <v>0</v>
      </c>
    </row>
    <row r="1388" spans="1:44" x14ac:dyDescent="0.25">
      <c r="B1388" s="15" t="s">
        <v>226</v>
      </c>
      <c r="C1388" s="83">
        <f t="shared" si="452"/>
        <v>0</v>
      </c>
      <c r="F1388" s="148"/>
      <c r="G1388" s="149"/>
      <c r="H1388" s="150"/>
      <c r="I1388" s="151"/>
      <c r="J1388" s="151"/>
      <c r="K1388" s="152"/>
      <c r="L1388" s="153"/>
      <c r="M1388" s="154"/>
      <c r="N1388" s="151"/>
      <c r="O1388" s="155"/>
      <c r="P1388" s="156"/>
      <c r="Q1388" s="156"/>
      <c r="R1388" s="156"/>
      <c r="S1388" s="156"/>
      <c r="T1388" s="156"/>
      <c r="U1388" s="156"/>
      <c r="V1388" s="156"/>
      <c r="W1388" s="156"/>
      <c r="X1388" s="156"/>
      <c r="Y1388" s="156"/>
      <c r="Z1388" s="156"/>
      <c r="AA1388" s="156"/>
      <c r="AB1388" s="158">
        <f t="shared" si="453"/>
        <v>0</v>
      </c>
      <c r="AC1388" s="159"/>
      <c r="AE1388" s="160" t="str">
        <f t="shared" si="454"/>
        <v/>
      </c>
      <c r="AF1388" s="161">
        <f>IFERROR(VLOOKUP($F1388&amp;"-"&amp;$J1388,#REF!,#REF!+6,0),0)</f>
        <v>0</v>
      </c>
      <c r="AG1388" s="162">
        <f>IFERROR(VLOOKUP($F1388&amp;"-"&amp;$J1388,#REF!,#REF!+6,0),0)</f>
        <v>0</v>
      </c>
      <c r="AH1388" s="162">
        <f>IFERROR(VLOOKUP($F1388&amp;"-"&amp;$J1388,#REF!,#REF!+6,0),0)</f>
        <v>0</v>
      </c>
      <c r="AI1388" s="162">
        <f>IFERROR(VLOOKUP($F1388&amp;"-"&amp;$J1388,#REF!,#REF!+6,0),0)</f>
        <v>0</v>
      </c>
      <c r="AJ1388" s="162">
        <f>IFERROR(VLOOKUP($F1388&amp;"-"&amp;$J1388,#REF!,#REF!+6,0),0)</f>
        <v>0</v>
      </c>
      <c r="AK1388" s="162">
        <f>IFERROR(VLOOKUP($F1388&amp;"-"&amp;$J1388,#REF!,#REF!+6,0),0)</f>
        <v>0</v>
      </c>
      <c r="AL1388" s="162">
        <f>IFERROR(VLOOKUP($F1388&amp;"-"&amp;$J1388,#REF!,#REF!+6,0),0)</f>
        <v>0</v>
      </c>
      <c r="AM1388" s="162">
        <f>IFERROR(VLOOKUP($F1388&amp;"-"&amp;$J1388,#REF!,#REF!+6,0),0)</f>
        <v>0</v>
      </c>
      <c r="AN1388" s="162">
        <f>IFERROR(VLOOKUP($F1388&amp;"-"&amp;$J1388,#REF!,#REF!+6,0),0)</f>
        <v>0</v>
      </c>
      <c r="AO1388" s="162">
        <f>IFERROR(VLOOKUP($F1388&amp;"-"&amp;$J1388,#REF!,#REF!+6,0),0)</f>
        <v>0</v>
      </c>
      <c r="AP1388" s="162">
        <f>IFERROR(VLOOKUP($F1388&amp;"-"&amp;$J1388,#REF!,#REF!+6,0),0)</f>
        <v>0</v>
      </c>
      <c r="AQ1388" s="162">
        <f>IFERROR(VLOOKUP($F1388&amp;"-"&amp;$J1388,#REF!,#REF!+6,0),0)</f>
        <v>0</v>
      </c>
      <c r="AR1388" s="163">
        <f t="shared" si="455"/>
        <v>0</v>
      </c>
    </row>
    <row r="1389" spans="1:44" x14ac:dyDescent="0.25">
      <c r="B1389" s="15" t="s">
        <v>226</v>
      </c>
      <c r="C1389" s="83">
        <f t="shared" si="452"/>
        <v>0</v>
      </c>
      <c r="F1389" s="148"/>
      <c r="G1389" s="149" t="str">
        <f>IFERROR(VLOOKUP(F1389,#REF!,2,0),"")</f>
        <v/>
      </c>
      <c r="H1389" s="150" t="str">
        <f>IFERROR(VLOOKUP(F1389,#REF!,3,0),"")</f>
        <v/>
      </c>
      <c r="I1389" s="151"/>
      <c r="J1389" s="151"/>
      <c r="K1389" s="152"/>
      <c r="L1389" s="153"/>
      <c r="M1389" s="154"/>
      <c r="N1389" s="151"/>
      <c r="O1389" s="155"/>
      <c r="P1389" s="156"/>
      <c r="Q1389" s="156"/>
      <c r="R1389" s="156"/>
      <c r="S1389" s="156"/>
      <c r="T1389" s="156"/>
      <c r="U1389" s="156"/>
      <c r="V1389" s="156"/>
      <c r="W1389" s="156"/>
      <c r="X1389" s="156"/>
      <c r="Y1389" s="156"/>
      <c r="Z1389" s="156"/>
      <c r="AA1389" s="156"/>
      <c r="AB1389" s="158">
        <f t="shared" si="453"/>
        <v>0</v>
      </c>
      <c r="AC1389" s="159"/>
      <c r="AE1389" s="160" t="str">
        <f t="shared" si="454"/>
        <v/>
      </c>
      <c r="AF1389" s="161">
        <f>IFERROR(VLOOKUP($F1389&amp;"-"&amp;$J1389,#REF!,#REF!+6,0),0)</f>
        <v>0</v>
      </c>
      <c r="AG1389" s="162">
        <f>IFERROR(VLOOKUP($F1389&amp;"-"&amp;$J1389,#REF!,#REF!+6,0),0)</f>
        <v>0</v>
      </c>
      <c r="AH1389" s="162">
        <f>IFERROR(VLOOKUP($F1389&amp;"-"&amp;$J1389,#REF!,#REF!+6,0),0)</f>
        <v>0</v>
      </c>
      <c r="AI1389" s="162">
        <f>IFERROR(VLOOKUP($F1389&amp;"-"&amp;$J1389,#REF!,#REF!+6,0),0)</f>
        <v>0</v>
      </c>
      <c r="AJ1389" s="162">
        <f>IFERROR(VLOOKUP($F1389&amp;"-"&amp;$J1389,#REF!,#REF!+6,0),0)</f>
        <v>0</v>
      </c>
      <c r="AK1389" s="162">
        <f>IFERROR(VLOOKUP($F1389&amp;"-"&amp;$J1389,#REF!,#REF!+6,0),0)</f>
        <v>0</v>
      </c>
      <c r="AL1389" s="162">
        <f>IFERROR(VLOOKUP($F1389&amp;"-"&amp;$J1389,#REF!,#REF!+6,0),0)</f>
        <v>0</v>
      </c>
      <c r="AM1389" s="162">
        <f>IFERROR(VLOOKUP($F1389&amp;"-"&amp;$J1389,#REF!,#REF!+6,0),0)</f>
        <v>0</v>
      </c>
      <c r="AN1389" s="162">
        <f>IFERROR(VLOOKUP($F1389&amp;"-"&amp;$J1389,#REF!,#REF!+6,0),0)</f>
        <v>0</v>
      </c>
      <c r="AO1389" s="162">
        <f>IFERROR(VLOOKUP($F1389&amp;"-"&amp;$J1389,#REF!,#REF!+6,0),0)</f>
        <v>0</v>
      </c>
      <c r="AP1389" s="162">
        <f>IFERROR(VLOOKUP($F1389&amp;"-"&amp;$J1389,#REF!,#REF!+6,0),0)</f>
        <v>0</v>
      </c>
      <c r="AQ1389" s="162">
        <f>IFERROR(VLOOKUP($F1389&amp;"-"&amp;$J1389,#REF!,#REF!+6,0),0)</f>
        <v>0</v>
      </c>
      <c r="AR1389" s="163">
        <f t="shared" si="455"/>
        <v>0</v>
      </c>
    </row>
    <row r="1390" spans="1:44" x14ac:dyDescent="0.25">
      <c r="B1390" s="15" t="s">
        <v>226</v>
      </c>
      <c r="C1390" s="83">
        <f t="shared" si="452"/>
        <v>0</v>
      </c>
      <c r="F1390" s="148"/>
      <c r="G1390" s="149" t="str">
        <f>IFERROR(VLOOKUP(F1390,#REF!,2,0),"")</f>
        <v/>
      </c>
      <c r="H1390" s="150" t="str">
        <f>IFERROR(VLOOKUP(F1390,#REF!,3,0),"")</f>
        <v/>
      </c>
      <c r="I1390" s="151"/>
      <c r="J1390" s="151"/>
      <c r="K1390" s="152"/>
      <c r="L1390" s="153"/>
      <c r="M1390" s="154"/>
      <c r="N1390" s="151"/>
      <c r="O1390" s="155"/>
      <c r="P1390" s="156"/>
      <c r="Q1390" s="156"/>
      <c r="R1390" s="156"/>
      <c r="S1390" s="156"/>
      <c r="T1390" s="156"/>
      <c r="U1390" s="156"/>
      <c r="V1390" s="156"/>
      <c r="W1390" s="156"/>
      <c r="X1390" s="156"/>
      <c r="Y1390" s="156"/>
      <c r="Z1390" s="156"/>
      <c r="AA1390" s="156"/>
      <c r="AB1390" s="158">
        <f t="shared" si="453"/>
        <v>0</v>
      </c>
      <c r="AC1390" s="159"/>
      <c r="AE1390" s="160" t="str">
        <f t="shared" si="454"/>
        <v/>
      </c>
      <c r="AF1390" s="161">
        <f>IFERROR(VLOOKUP($F1390&amp;"-"&amp;$J1390,#REF!,#REF!+6,0),0)</f>
        <v>0</v>
      </c>
      <c r="AG1390" s="162">
        <f>IFERROR(VLOOKUP($F1390&amp;"-"&amp;$J1390,#REF!,#REF!+6,0),0)</f>
        <v>0</v>
      </c>
      <c r="AH1390" s="162">
        <f>IFERROR(VLOOKUP($F1390&amp;"-"&amp;$J1390,#REF!,#REF!+6,0),0)</f>
        <v>0</v>
      </c>
      <c r="AI1390" s="162">
        <f>IFERROR(VLOOKUP($F1390&amp;"-"&amp;$J1390,#REF!,#REF!+6,0),0)</f>
        <v>0</v>
      </c>
      <c r="AJ1390" s="162">
        <f>IFERROR(VLOOKUP($F1390&amp;"-"&amp;$J1390,#REF!,#REF!+6,0),0)</f>
        <v>0</v>
      </c>
      <c r="AK1390" s="162">
        <f>IFERROR(VLOOKUP($F1390&amp;"-"&amp;$J1390,#REF!,#REF!+6,0),0)</f>
        <v>0</v>
      </c>
      <c r="AL1390" s="162">
        <f>IFERROR(VLOOKUP($F1390&amp;"-"&amp;$J1390,#REF!,#REF!+6,0),0)</f>
        <v>0</v>
      </c>
      <c r="AM1390" s="162">
        <f>IFERROR(VLOOKUP($F1390&amp;"-"&amp;$J1390,#REF!,#REF!+6,0),0)</f>
        <v>0</v>
      </c>
      <c r="AN1390" s="162">
        <f>IFERROR(VLOOKUP($F1390&amp;"-"&amp;$J1390,#REF!,#REF!+6,0),0)</f>
        <v>0</v>
      </c>
      <c r="AO1390" s="162">
        <f>IFERROR(VLOOKUP($F1390&amp;"-"&amp;$J1390,#REF!,#REF!+6,0),0)</f>
        <v>0</v>
      </c>
      <c r="AP1390" s="162">
        <f>IFERROR(VLOOKUP($F1390&amp;"-"&amp;$J1390,#REF!,#REF!+6,0),0)</f>
        <v>0</v>
      </c>
      <c r="AQ1390" s="162">
        <f>IFERROR(VLOOKUP($F1390&amp;"-"&amp;$J1390,#REF!,#REF!+6,0),0)</f>
        <v>0</v>
      </c>
      <c r="AR1390" s="163">
        <f t="shared" si="455"/>
        <v>0</v>
      </c>
    </row>
    <row r="1391" spans="1:44" x14ac:dyDescent="0.25">
      <c r="B1391" s="15" t="s">
        <v>226</v>
      </c>
      <c r="C1391" s="83">
        <f t="shared" si="452"/>
        <v>0</v>
      </c>
      <c r="F1391" s="148"/>
      <c r="G1391" s="149" t="str">
        <f>IFERROR(VLOOKUP(F1391,#REF!,2,0),"")</f>
        <v/>
      </c>
      <c r="H1391" s="150" t="str">
        <f>IFERROR(VLOOKUP(F1391,#REF!,3,0),"")</f>
        <v/>
      </c>
      <c r="I1391" s="151"/>
      <c r="J1391" s="151"/>
      <c r="K1391" s="152"/>
      <c r="L1391" s="153"/>
      <c r="M1391" s="154"/>
      <c r="N1391" s="151"/>
      <c r="O1391" s="155"/>
      <c r="P1391" s="156"/>
      <c r="Q1391" s="156"/>
      <c r="R1391" s="156"/>
      <c r="S1391" s="156"/>
      <c r="T1391" s="156"/>
      <c r="U1391" s="156"/>
      <c r="V1391" s="156"/>
      <c r="W1391" s="156"/>
      <c r="X1391" s="156"/>
      <c r="Y1391" s="156"/>
      <c r="Z1391" s="156"/>
      <c r="AA1391" s="156"/>
      <c r="AB1391" s="158">
        <f t="shared" si="453"/>
        <v>0</v>
      </c>
      <c r="AC1391" s="159"/>
      <c r="AE1391" s="160" t="str">
        <f t="shared" si="454"/>
        <v/>
      </c>
      <c r="AF1391" s="161">
        <f>IFERROR(VLOOKUP($F1391&amp;"-"&amp;$J1391,#REF!,#REF!+6,0),0)</f>
        <v>0</v>
      </c>
      <c r="AG1391" s="162">
        <f>IFERROR(VLOOKUP($F1391&amp;"-"&amp;$J1391,#REF!,#REF!+6,0),0)</f>
        <v>0</v>
      </c>
      <c r="AH1391" s="162">
        <f>IFERROR(VLOOKUP($F1391&amp;"-"&amp;$J1391,#REF!,#REF!+6,0),0)</f>
        <v>0</v>
      </c>
      <c r="AI1391" s="162">
        <f>IFERROR(VLOOKUP($F1391&amp;"-"&amp;$J1391,#REF!,#REF!+6,0),0)</f>
        <v>0</v>
      </c>
      <c r="AJ1391" s="162">
        <f>IFERROR(VLOOKUP($F1391&amp;"-"&amp;$J1391,#REF!,#REF!+6,0),0)</f>
        <v>0</v>
      </c>
      <c r="AK1391" s="162">
        <f>IFERROR(VLOOKUP($F1391&amp;"-"&amp;$J1391,#REF!,#REF!+6,0),0)</f>
        <v>0</v>
      </c>
      <c r="AL1391" s="162">
        <f>IFERROR(VLOOKUP($F1391&amp;"-"&amp;$J1391,#REF!,#REF!+6,0),0)</f>
        <v>0</v>
      </c>
      <c r="AM1391" s="162">
        <f>IFERROR(VLOOKUP($F1391&amp;"-"&amp;$J1391,#REF!,#REF!+6,0),0)</f>
        <v>0</v>
      </c>
      <c r="AN1391" s="162">
        <f>IFERROR(VLOOKUP($F1391&amp;"-"&amp;$J1391,#REF!,#REF!+6,0),0)</f>
        <v>0</v>
      </c>
      <c r="AO1391" s="162">
        <f>IFERROR(VLOOKUP($F1391&amp;"-"&amp;$J1391,#REF!,#REF!+6,0),0)</f>
        <v>0</v>
      </c>
      <c r="AP1391" s="162">
        <f>IFERROR(VLOOKUP($F1391&amp;"-"&amp;$J1391,#REF!,#REF!+6,0),0)</f>
        <v>0</v>
      </c>
      <c r="AQ1391" s="162">
        <f>IFERROR(VLOOKUP($F1391&amp;"-"&amp;$J1391,#REF!,#REF!+6,0),0)</f>
        <v>0</v>
      </c>
      <c r="AR1391" s="163">
        <f t="shared" si="455"/>
        <v>0</v>
      </c>
    </row>
    <row r="1392" spans="1:44" x14ac:dyDescent="0.25">
      <c r="B1392" s="15" t="s">
        <v>226</v>
      </c>
      <c r="C1392" s="83">
        <f t="shared" si="452"/>
        <v>0</v>
      </c>
      <c r="F1392" s="148"/>
      <c r="G1392" s="149" t="str">
        <f>IFERROR(VLOOKUP(F1392,#REF!,2,0),"")</f>
        <v/>
      </c>
      <c r="H1392" s="150" t="str">
        <f>IFERROR(VLOOKUP(F1392,#REF!,3,0),"")</f>
        <v/>
      </c>
      <c r="I1392" s="151"/>
      <c r="J1392" s="151"/>
      <c r="K1392" s="152"/>
      <c r="L1392" s="153"/>
      <c r="M1392" s="154"/>
      <c r="N1392" s="151"/>
      <c r="O1392" s="155"/>
      <c r="P1392" s="156"/>
      <c r="Q1392" s="156"/>
      <c r="R1392" s="156"/>
      <c r="S1392" s="156"/>
      <c r="T1392" s="156"/>
      <c r="U1392" s="156"/>
      <c r="V1392" s="156"/>
      <c r="W1392" s="156"/>
      <c r="X1392" s="156"/>
      <c r="Y1392" s="156"/>
      <c r="Z1392" s="156"/>
      <c r="AA1392" s="156"/>
      <c r="AB1392" s="158">
        <f t="shared" si="453"/>
        <v>0</v>
      </c>
      <c r="AC1392" s="159"/>
      <c r="AE1392" s="160" t="str">
        <f t="shared" si="454"/>
        <v/>
      </c>
      <c r="AF1392" s="161">
        <f>IFERROR(VLOOKUP($F1392&amp;"-"&amp;$J1392,#REF!,#REF!+6,0),0)</f>
        <v>0</v>
      </c>
      <c r="AG1392" s="162">
        <f>IFERROR(VLOOKUP($F1392&amp;"-"&amp;$J1392,#REF!,#REF!+6,0),0)</f>
        <v>0</v>
      </c>
      <c r="AH1392" s="162">
        <f>IFERROR(VLOOKUP($F1392&amp;"-"&amp;$J1392,#REF!,#REF!+6,0),0)</f>
        <v>0</v>
      </c>
      <c r="AI1392" s="162">
        <f>IFERROR(VLOOKUP($F1392&amp;"-"&amp;$J1392,#REF!,#REF!+6,0),0)</f>
        <v>0</v>
      </c>
      <c r="AJ1392" s="162">
        <f>IFERROR(VLOOKUP($F1392&amp;"-"&amp;$J1392,#REF!,#REF!+6,0),0)</f>
        <v>0</v>
      </c>
      <c r="AK1392" s="162">
        <f>IFERROR(VLOOKUP($F1392&amp;"-"&amp;$J1392,#REF!,#REF!+6,0),0)</f>
        <v>0</v>
      </c>
      <c r="AL1392" s="162">
        <f>IFERROR(VLOOKUP($F1392&amp;"-"&amp;$J1392,#REF!,#REF!+6,0),0)</f>
        <v>0</v>
      </c>
      <c r="AM1392" s="162">
        <f>IFERROR(VLOOKUP($F1392&amp;"-"&amp;$J1392,#REF!,#REF!+6,0),0)</f>
        <v>0</v>
      </c>
      <c r="AN1392" s="162">
        <f>IFERROR(VLOOKUP($F1392&amp;"-"&amp;$J1392,#REF!,#REF!+6,0),0)</f>
        <v>0</v>
      </c>
      <c r="AO1392" s="162">
        <f>IFERROR(VLOOKUP($F1392&amp;"-"&amp;$J1392,#REF!,#REF!+6,0),0)</f>
        <v>0</v>
      </c>
      <c r="AP1392" s="162">
        <f>IFERROR(VLOOKUP($F1392&amp;"-"&amp;$J1392,#REF!,#REF!+6,0),0)</f>
        <v>0</v>
      </c>
      <c r="AQ1392" s="162">
        <f>IFERROR(VLOOKUP($F1392&amp;"-"&amp;$J1392,#REF!,#REF!+6,0),0)</f>
        <v>0</v>
      </c>
      <c r="AR1392" s="163">
        <f t="shared" si="455"/>
        <v>0</v>
      </c>
    </row>
    <row r="1393" spans="2:44" x14ac:dyDescent="0.25">
      <c r="B1393" s="15" t="s">
        <v>226</v>
      </c>
      <c r="C1393" s="83">
        <f t="shared" si="452"/>
        <v>0</v>
      </c>
      <c r="F1393" s="148"/>
      <c r="G1393" s="149" t="str">
        <f>IFERROR(VLOOKUP(F1393,#REF!,2,0),"")</f>
        <v/>
      </c>
      <c r="H1393" s="150" t="str">
        <f>IFERROR(VLOOKUP(F1393,#REF!,3,0),"")</f>
        <v/>
      </c>
      <c r="I1393" s="151"/>
      <c r="J1393" s="151"/>
      <c r="K1393" s="152"/>
      <c r="L1393" s="153"/>
      <c r="M1393" s="154"/>
      <c r="N1393" s="151"/>
      <c r="O1393" s="155"/>
      <c r="P1393" s="156"/>
      <c r="Q1393" s="156"/>
      <c r="R1393" s="156"/>
      <c r="S1393" s="156"/>
      <c r="T1393" s="156"/>
      <c r="U1393" s="156"/>
      <c r="V1393" s="156"/>
      <c r="W1393" s="156"/>
      <c r="X1393" s="156"/>
      <c r="Y1393" s="156"/>
      <c r="Z1393" s="156"/>
      <c r="AA1393" s="156"/>
      <c r="AB1393" s="158">
        <f t="shared" si="453"/>
        <v>0</v>
      </c>
      <c r="AC1393" s="159"/>
      <c r="AE1393" s="160" t="str">
        <f t="shared" si="454"/>
        <v/>
      </c>
      <c r="AF1393" s="161">
        <f>IFERROR(VLOOKUP($F1393&amp;"-"&amp;$J1393,#REF!,#REF!+6,0),0)</f>
        <v>0</v>
      </c>
      <c r="AG1393" s="162">
        <f>IFERROR(VLOOKUP($F1393&amp;"-"&amp;$J1393,#REF!,#REF!+6,0),0)</f>
        <v>0</v>
      </c>
      <c r="AH1393" s="162">
        <f>IFERROR(VLOOKUP($F1393&amp;"-"&amp;$J1393,#REF!,#REF!+6,0),0)</f>
        <v>0</v>
      </c>
      <c r="AI1393" s="162">
        <f>IFERROR(VLOOKUP($F1393&amp;"-"&amp;$J1393,#REF!,#REF!+6,0),0)</f>
        <v>0</v>
      </c>
      <c r="AJ1393" s="162">
        <f>IFERROR(VLOOKUP($F1393&amp;"-"&amp;$J1393,#REF!,#REF!+6,0),0)</f>
        <v>0</v>
      </c>
      <c r="AK1393" s="162">
        <f>IFERROR(VLOOKUP($F1393&amp;"-"&amp;$J1393,#REF!,#REF!+6,0),0)</f>
        <v>0</v>
      </c>
      <c r="AL1393" s="162">
        <f>IFERROR(VLOOKUP($F1393&amp;"-"&amp;$J1393,#REF!,#REF!+6,0),0)</f>
        <v>0</v>
      </c>
      <c r="AM1393" s="162">
        <f>IFERROR(VLOOKUP($F1393&amp;"-"&amp;$J1393,#REF!,#REF!+6,0),0)</f>
        <v>0</v>
      </c>
      <c r="AN1393" s="162">
        <f>IFERROR(VLOOKUP($F1393&amp;"-"&amp;$J1393,#REF!,#REF!+6,0),0)</f>
        <v>0</v>
      </c>
      <c r="AO1393" s="162">
        <f>IFERROR(VLOOKUP($F1393&amp;"-"&amp;$J1393,#REF!,#REF!+6,0),0)</f>
        <v>0</v>
      </c>
      <c r="AP1393" s="162">
        <f>IFERROR(VLOOKUP($F1393&amp;"-"&amp;$J1393,#REF!,#REF!+6,0),0)</f>
        <v>0</v>
      </c>
      <c r="AQ1393" s="162">
        <f>IFERROR(VLOOKUP($F1393&amp;"-"&amp;$J1393,#REF!,#REF!+6,0),0)</f>
        <v>0</v>
      </c>
      <c r="AR1393" s="163">
        <f t="shared" si="455"/>
        <v>0</v>
      </c>
    </row>
    <row r="1394" spans="2:44" x14ac:dyDescent="0.25">
      <c r="B1394" s="15" t="s">
        <v>226</v>
      </c>
      <c r="C1394" s="83">
        <f t="shared" si="452"/>
        <v>0</v>
      </c>
      <c r="F1394" s="148"/>
      <c r="G1394" s="149" t="str">
        <f>IFERROR(VLOOKUP(F1394,#REF!,2,0),"")</f>
        <v/>
      </c>
      <c r="H1394" s="150" t="str">
        <f>IFERROR(VLOOKUP(F1394,#REF!,3,0),"")</f>
        <v/>
      </c>
      <c r="I1394" s="151"/>
      <c r="J1394" s="151"/>
      <c r="K1394" s="152"/>
      <c r="L1394" s="153"/>
      <c r="M1394" s="154"/>
      <c r="N1394" s="151"/>
      <c r="O1394" s="155"/>
      <c r="P1394" s="156"/>
      <c r="Q1394" s="156"/>
      <c r="R1394" s="156"/>
      <c r="S1394" s="156"/>
      <c r="T1394" s="156"/>
      <c r="U1394" s="156"/>
      <c r="V1394" s="156"/>
      <c r="W1394" s="156"/>
      <c r="X1394" s="156"/>
      <c r="Y1394" s="156"/>
      <c r="Z1394" s="156"/>
      <c r="AA1394" s="156"/>
      <c r="AB1394" s="158">
        <f t="shared" si="453"/>
        <v>0</v>
      </c>
      <c r="AC1394" s="198"/>
      <c r="AE1394" s="160" t="str">
        <f t="shared" si="454"/>
        <v/>
      </c>
      <c r="AF1394" s="161">
        <f>IFERROR(VLOOKUP($F1394&amp;"-"&amp;$J1394,#REF!,#REF!+6,0),0)</f>
        <v>0</v>
      </c>
      <c r="AG1394" s="162">
        <f>IFERROR(VLOOKUP($F1394&amp;"-"&amp;$J1394,#REF!,#REF!+6,0),0)</f>
        <v>0</v>
      </c>
      <c r="AH1394" s="162">
        <f>IFERROR(VLOOKUP($F1394&amp;"-"&amp;$J1394,#REF!,#REF!+6,0),0)</f>
        <v>0</v>
      </c>
      <c r="AI1394" s="162">
        <f>IFERROR(VLOOKUP($F1394&amp;"-"&amp;$J1394,#REF!,#REF!+6,0),0)</f>
        <v>0</v>
      </c>
      <c r="AJ1394" s="162">
        <f>IFERROR(VLOOKUP($F1394&amp;"-"&amp;$J1394,#REF!,#REF!+6,0),0)</f>
        <v>0</v>
      </c>
      <c r="AK1394" s="162">
        <f>IFERROR(VLOOKUP($F1394&amp;"-"&amp;$J1394,#REF!,#REF!+6,0),0)</f>
        <v>0</v>
      </c>
      <c r="AL1394" s="162">
        <f>IFERROR(VLOOKUP($F1394&amp;"-"&amp;$J1394,#REF!,#REF!+6,0),0)</f>
        <v>0</v>
      </c>
      <c r="AM1394" s="162">
        <f>IFERROR(VLOOKUP($F1394&amp;"-"&amp;$J1394,#REF!,#REF!+6,0),0)</f>
        <v>0</v>
      </c>
      <c r="AN1394" s="162">
        <f>IFERROR(VLOOKUP($F1394&amp;"-"&amp;$J1394,#REF!,#REF!+6,0),0)</f>
        <v>0</v>
      </c>
      <c r="AO1394" s="162">
        <f>IFERROR(VLOOKUP($F1394&amp;"-"&amp;$J1394,#REF!,#REF!+6,0),0)</f>
        <v>0</v>
      </c>
      <c r="AP1394" s="162">
        <f>IFERROR(VLOOKUP($F1394&amp;"-"&amp;$J1394,#REF!,#REF!+6,0),0)</f>
        <v>0</v>
      </c>
      <c r="AQ1394" s="162">
        <f>IFERROR(VLOOKUP($F1394&amp;"-"&amp;$J1394,#REF!,#REF!+6,0),0)</f>
        <v>0</v>
      </c>
      <c r="AR1394" s="163">
        <f t="shared" si="455"/>
        <v>0</v>
      </c>
    </row>
    <row r="1395" spans="2:44" x14ac:dyDescent="0.25">
      <c r="B1395" s="15" t="s">
        <v>226</v>
      </c>
      <c r="C1395" s="83">
        <f t="shared" si="452"/>
        <v>0</v>
      </c>
      <c r="F1395" s="148"/>
      <c r="G1395" s="149" t="str">
        <f>IFERROR(VLOOKUP(F1395,#REF!,2,0),"")</f>
        <v/>
      </c>
      <c r="H1395" s="150" t="str">
        <f>IFERROR(VLOOKUP(F1395,#REF!,3,0),"")</f>
        <v/>
      </c>
      <c r="I1395" s="151"/>
      <c r="J1395" s="151"/>
      <c r="K1395" s="152"/>
      <c r="L1395" s="153"/>
      <c r="M1395" s="154"/>
      <c r="N1395" s="151"/>
      <c r="O1395" s="155"/>
      <c r="P1395" s="156"/>
      <c r="Q1395" s="156"/>
      <c r="R1395" s="156"/>
      <c r="S1395" s="156"/>
      <c r="T1395" s="156"/>
      <c r="U1395" s="156"/>
      <c r="V1395" s="156"/>
      <c r="W1395" s="156"/>
      <c r="X1395" s="156"/>
      <c r="Y1395" s="156"/>
      <c r="Z1395" s="156"/>
      <c r="AA1395" s="156"/>
      <c r="AB1395" s="158">
        <f t="shared" si="453"/>
        <v>0</v>
      </c>
      <c r="AC1395" s="198"/>
      <c r="AE1395" s="160" t="str">
        <f t="shared" si="454"/>
        <v/>
      </c>
      <c r="AF1395" s="161">
        <f>IFERROR(VLOOKUP($F1395&amp;"-"&amp;$J1395,#REF!,#REF!+6,0),0)</f>
        <v>0</v>
      </c>
      <c r="AG1395" s="162">
        <f>IFERROR(VLOOKUP($F1395&amp;"-"&amp;$J1395,#REF!,#REF!+6,0),0)</f>
        <v>0</v>
      </c>
      <c r="AH1395" s="162">
        <f>IFERROR(VLOOKUP($F1395&amp;"-"&amp;$J1395,#REF!,#REF!+6,0),0)</f>
        <v>0</v>
      </c>
      <c r="AI1395" s="162">
        <f>IFERROR(VLOOKUP($F1395&amp;"-"&amp;$J1395,#REF!,#REF!+6,0),0)</f>
        <v>0</v>
      </c>
      <c r="AJ1395" s="162">
        <f>IFERROR(VLOOKUP($F1395&amp;"-"&amp;$J1395,#REF!,#REF!+6,0),0)</f>
        <v>0</v>
      </c>
      <c r="AK1395" s="162">
        <f>IFERROR(VLOOKUP($F1395&amp;"-"&amp;$J1395,#REF!,#REF!+6,0),0)</f>
        <v>0</v>
      </c>
      <c r="AL1395" s="162">
        <f>IFERROR(VLOOKUP($F1395&amp;"-"&amp;$J1395,#REF!,#REF!+6,0),0)</f>
        <v>0</v>
      </c>
      <c r="AM1395" s="162">
        <f>IFERROR(VLOOKUP($F1395&amp;"-"&amp;$J1395,#REF!,#REF!+6,0),0)</f>
        <v>0</v>
      </c>
      <c r="AN1395" s="162">
        <f>IFERROR(VLOOKUP($F1395&amp;"-"&amp;$J1395,#REF!,#REF!+6,0),0)</f>
        <v>0</v>
      </c>
      <c r="AO1395" s="162">
        <f>IFERROR(VLOOKUP($F1395&amp;"-"&amp;$J1395,#REF!,#REF!+6,0),0)</f>
        <v>0</v>
      </c>
      <c r="AP1395" s="162">
        <f>IFERROR(VLOOKUP($F1395&amp;"-"&amp;$J1395,#REF!,#REF!+6,0),0)</f>
        <v>0</v>
      </c>
      <c r="AQ1395" s="162">
        <f>IFERROR(VLOOKUP($F1395&amp;"-"&amp;$J1395,#REF!,#REF!+6,0),0)</f>
        <v>0</v>
      </c>
      <c r="AR1395" s="163">
        <f t="shared" si="455"/>
        <v>0</v>
      </c>
    </row>
    <row r="1396" spans="2:44" x14ac:dyDescent="0.25">
      <c r="B1396" s="15" t="s">
        <v>226</v>
      </c>
      <c r="C1396" s="83">
        <f t="shared" si="452"/>
        <v>0</v>
      </c>
      <c r="F1396" s="148"/>
      <c r="G1396" s="149" t="str">
        <f>IFERROR(VLOOKUP(F1396,#REF!,2,0),"")</f>
        <v/>
      </c>
      <c r="H1396" s="150" t="str">
        <f>IFERROR(VLOOKUP(F1396,#REF!,3,0),"")</f>
        <v/>
      </c>
      <c r="I1396" s="151"/>
      <c r="J1396" s="151"/>
      <c r="K1396" s="152"/>
      <c r="L1396" s="153"/>
      <c r="M1396" s="154"/>
      <c r="N1396" s="151"/>
      <c r="O1396" s="155"/>
      <c r="P1396" s="156"/>
      <c r="Q1396" s="156"/>
      <c r="R1396" s="156"/>
      <c r="S1396" s="156"/>
      <c r="T1396" s="156"/>
      <c r="U1396" s="156"/>
      <c r="V1396" s="156"/>
      <c r="W1396" s="156"/>
      <c r="X1396" s="156"/>
      <c r="Y1396" s="156"/>
      <c r="Z1396" s="156"/>
      <c r="AA1396" s="156"/>
      <c r="AB1396" s="158">
        <f t="shared" si="453"/>
        <v>0</v>
      </c>
      <c r="AC1396" s="198"/>
      <c r="AE1396" s="160" t="str">
        <f t="shared" si="454"/>
        <v/>
      </c>
      <c r="AF1396" s="161">
        <f>IFERROR(VLOOKUP($F1396&amp;"-"&amp;$J1396,#REF!,#REF!+6,0),0)</f>
        <v>0</v>
      </c>
      <c r="AG1396" s="162">
        <f>IFERROR(VLOOKUP($F1396&amp;"-"&amp;$J1396,#REF!,#REF!+6,0),0)</f>
        <v>0</v>
      </c>
      <c r="AH1396" s="162">
        <f>IFERROR(VLOOKUP($F1396&amp;"-"&amp;$J1396,#REF!,#REF!+6,0),0)</f>
        <v>0</v>
      </c>
      <c r="AI1396" s="162">
        <f>IFERROR(VLOOKUP($F1396&amp;"-"&amp;$J1396,#REF!,#REF!+6,0),0)</f>
        <v>0</v>
      </c>
      <c r="AJ1396" s="162">
        <f>IFERROR(VLOOKUP($F1396&amp;"-"&amp;$J1396,#REF!,#REF!+6,0),0)</f>
        <v>0</v>
      </c>
      <c r="AK1396" s="162">
        <f>IFERROR(VLOOKUP($F1396&amp;"-"&amp;$J1396,#REF!,#REF!+6,0),0)</f>
        <v>0</v>
      </c>
      <c r="AL1396" s="162">
        <f>IFERROR(VLOOKUP($F1396&amp;"-"&amp;$J1396,#REF!,#REF!+6,0),0)</f>
        <v>0</v>
      </c>
      <c r="AM1396" s="162">
        <f>IFERROR(VLOOKUP($F1396&amp;"-"&amp;$J1396,#REF!,#REF!+6,0),0)</f>
        <v>0</v>
      </c>
      <c r="AN1396" s="162">
        <f>IFERROR(VLOOKUP($F1396&amp;"-"&amp;$J1396,#REF!,#REF!+6,0),0)</f>
        <v>0</v>
      </c>
      <c r="AO1396" s="162">
        <f>IFERROR(VLOOKUP($F1396&amp;"-"&amp;$J1396,#REF!,#REF!+6,0),0)</f>
        <v>0</v>
      </c>
      <c r="AP1396" s="162">
        <f>IFERROR(VLOOKUP($F1396&amp;"-"&amp;$J1396,#REF!,#REF!+6,0),0)</f>
        <v>0</v>
      </c>
      <c r="AQ1396" s="162">
        <f>IFERROR(VLOOKUP($F1396&amp;"-"&amp;$J1396,#REF!,#REF!+6,0),0)</f>
        <v>0</v>
      </c>
      <c r="AR1396" s="163">
        <f t="shared" si="455"/>
        <v>0</v>
      </c>
    </row>
    <row r="1397" spans="2:44" x14ac:dyDescent="0.25">
      <c r="B1397" s="15" t="s">
        <v>226</v>
      </c>
      <c r="C1397" s="83">
        <f t="shared" si="452"/>
        <v>0</v>
      </c>
      <c r="F1397" s="148"/>
      <c r="G1397" s="149" t="str">
        <f>IFERROR(VLOOKUP(F1397,#REF!,2,0),"")</f>
        <v/>
      </c>
      <c r="H1397" s="150" t="str">
        <f>IFERROR(VLOOKUP(F1397,#REF!,3,0),"")</f>
        <v/>
      </c>
      <c r="I1397" s="151"/>
      <c r="J1397" s="151"/>
      <c r="K1397" s="152"/>
      <c r="L1397" s="153"/>
      <c r="M1397" s="154"/>
      <c r="N1397" s="151"/>
      <c r="O1397" s="155"/>
      <c r="P1397" s="156"/>
      <c r="Q1397" s="156"/>
      <c r="R1397" s="156"/>
      <c r="S1397" s="156"/>
      <c r="T1397" s="156"/>
      <c r="U1397" s="156"/>
      <c r="V1397" s="156"/>
      <c r="W1397" s="156"/>
      <c r="X1397" s="156"/>
      <c r="Y1397" s="156"/>
      <c r="Z1397" s="156"/>
      <c r="AA1397" s="156"/>
      <c r="AB1397" s="158">
        <f t="shared" si="453"/>
        <v>0</v>
      </c>
      <c r="AC1397" s="198"/>
      <c r="AE1397" s="160" t="str">
        <f t="shared" si="454"/>
        <v/>
      </c>
      <c r="AF1397" s="161">
        <f>IFERROR(VLOOKUP($F1397&amp;"-"&amp;$J1397,#REF!,#REF!+6,0),0)</f>
        <v>0</v>
      </c>
      <c r="AG1397" s="162">
        <f>IFERROR(VLOOKUP($F1397&amp;"-"&amp;$J1397,#REF!,#REF!+6,0),0)</f>
        <v>0</v>
      </c>
      <c r="AH1397" s="162">
        <f>IFERROR(VLOOKUP($F1397&amp;"-"&amp;$J1397,#REF!,#REF!+6,0),0)</f>
        <v>0</v>
      </c>
      <c r="AI1397" s="162">
        <f>IFERROR(VLOOKUP($F1397&amp;"-"&amp;$J1397,#REF!,#REF!+6,0),0)</f>
        <v>0</v>
      </c>
      <c r="AJ1397" s="162">
        <f>IFERROR(VLOOKUP($F1397&amp;"-"&amp;$J1397,#REF!,#REF!+6,0),0)</f>
        <v>0</v>
      </c>
      <c r="AK1397" s="162">
        <f>IFERROR(VLOOKUP($F1397&amp;"-"&amp;$J1397,#REF!,#REF!+6,0),0)</f>
        <v>0</v>
      </c>
      <c r="AL1397" s="162">
        <f>IFERROR(VLOOKUP($F1397&amp;"-"&amp;$J1397,#REF!,#REF!+6,0),0)</f>
        <v>0</v>
      </c>
      <c r="AM1397" s="162">
        <f>IFERROR(VLOOKUP($F1397&amp;"-"&amp;$J1397,#REF!,#REF!+6,0),0)</f>
        <v>0</v>
      </c>
      <c r="AN1397" s="162">
        <f>IFERROR(VLOOKUP($F1397&amp;"-"&amp;$J1397,#REF!,#REF!+6,0),0)</f>
        <v>0</v>
      </c>
      <c r="AO1397" s="162">
        <f>IFERROR(VLOOKUP($F1397&amp;"-"&amp;$J1397,#REF!,#REF!+6,0),0)</f>
        <v>0</v>
      </c>
      <c r="AP1397" s="162">
        <f>IFERROR(VLOOKUP($F1397&amp;"-"&amp;$J1397,#REF!,#REF!+6,0),0)</f>
        <v>0</v>
      </c>
      <c r="AQ1397" s="162">
        <f>IFERROR(VLOOKUP($F1397&amp;"-"&amp;$J1397,#REF!,#REF!+6,0),0)</f>
        <v>0</v>
      </c>
      <c r="AR1397" s="163">
        <f t="shared" si="455"/>
        <v>0</v>
      </c>
    </row>
    <row r="1398" spans="2:44" x14ac:dyDescent="0.25">
      <c r="B1398" s="15" t="s">
        <v>226</v>
      </c>
      <c r="C1398" s="83">
        <f t="shared" si="452"/>
        <v>0</v>
      </c>
      <c r="F1398" s="148"/>
      <c r="G1398" s="149" t="str">
        <f>IFERROR(VLOOKUP(F1398,#REF!,2,0),"")</f>
        <v/>
      </c>
      <c r="H1398" s="150" t="str">
        <f>IFERROR(VLOOKUP(F1398,#REF!,3,0),"")</f>
        <v/>
      </c>
      <c r="I1398" s="151"/>
      <c r="J1398" s="151"/>
      <c r="K1398" s="152"/>
      <c r="L1398" s="153"/>
      <c r="M1398" s="154"/>
      <c r="N1398" s="151"/>
      <c r="O1398" s="155"/>
      <c r="P1398" s="156"/>
      <c r="Q1398" s="156"/>
      <c r="R1398" s="156"/>
      <c r="S1398" s="156"/>
      <c r="T1398" s="156"/>
      <c r="U1398" s="156"/>
      <c r="V1398" s="156"/>
      <c r="W1398" s="156"/>
      <c r="X1398" s="156"/>
      <c r="Y1398" s="156"/>
      <c r="Z1398" s="156"/>
      <c r="AA1398" s="156"/>
      <c r="AB1398" s="158">
        <f t="shared" si="453"/>
        <v>0</v>
      </c>
      <c r="AC1398" s="198"/>
      <c r="AE1398" s="160" t="str">
        <f t="shared" si="454"/>
        <v/>
      </c>
      <c r="AF1398" s="161">
        <f>IFERROR(VLOOKUP($F1398&amp;"-"&amp;$J1398,#REF!,#REF!+6,0),0)</f>
        <v>0</v>
      </c>
      <c r="AG1398" s="162">
        <f>IFERROR(VLOOKUP($F1398&amp;"-"&amp;$J1398,#REF!,#REF!+6,0),0)</f>
        <v>0</v>
      </c>
      <c r="AH1398" s="162">
        <f>IFERROR(VLOOKUP($F1398&amp;"-"&amp;$J1398,#REF!,#REF!+6,0),0)</f>
        <v>0</v>
      </c>
      <c r="AI1398" s="162">
        <f>IFERROR(VLOOKUP($F1398&amp;"-"&amp;$J1398,#REF!,#REF!+6,0),0)</f>
        <v>0</v>
      </c>
      <c r="AJ1398" s="162">
        <f>IFERROR(VLOOKUP($F1398&amp;"-"&amp;$J1398,#REF!,#REF!+6,0),0)</f>
        <v>0</v>
      </c>
      <c r="AK1398" s="162">
        <f>IFERROR(VLOOKUP($F1398&amp;"-"&amp;$J1398,#REF!,#REF!+6,0),0)</f>
        <v>0</v>
      </c>
      <c r="AL1398" s="162">
        <f>IFERROR(VLOOKUP($F1398&amp;"-"&amp;$J1398,#REF!,#REF!+6,0),0)</f>
        <v>0</v>
      </c>
      <c r="AM1398" s="162">
        <f>IFERROR(VLOOKUP($F1398&amp;"-"&amp;$J1398,#REF!,#REF!+6,0),0)</f>
        <v>0</v>
      </c>
      <c r="AN1398" s="162">
        <f>IFERROR(VLOOKUP($F1398&amp;"-"&amp;$J1398,#REF!,#REF!+6,0),0)</f>
        <v>0</v>
      </c>
      <c r="AO1398" s="162">
        <f>IFERROR(VLOOKUP($F1398&amp;"-"&amp;$J1398,#REF!,#REF!+6,0),0)</f>
        <v>0</v>
      </c>
      <c r="AP1398" s="162">
        <f>IFERROR(VLOOKUP($F1398&amp;"-"&amp;$J1398,#REF!,#REF!+6,0),0)</f>
        <v>0</v>
      </c>
      <c r="AQ1398" s="162">
        <f>IFERROR(VLOOKUP($F1398&amp;"-"&amp;$J1398,#REF!,#REF!+6,0),0)</f>
        <v>0</v>
      </c>
      <c r="AR1398" s="163">
        <f t="shared" si="455"/>
        <v>0</v>
      </c>
    </row>
    <row r="1399" spans="2:44" x14ac:dyDescent="0.25">
      <c r="B1399" s="15" t="s">
        <v>226</v>
      </c>
      <c r="C1399" s="83">
        <f t="shared" si="452"/>
        <v>0</v>
      </c>
      <c r="F1399" s="148"/>
      <c r="G1399" s="149" t="str">
        <f>IFERROR(VLOOKUP(F1399,#REF!,2,0),"")</f>
        <v/>
      </c>
      <c r="H1399" s="150" t="str">
        <f>IFERROR(VLOOKUP(F1399,#REF!,3,0),"")</f>
        <v/>
      </c>
      <c r="I1399" s="151"/>
      <c r="J1399" s="151"/>
      <c r="K1399" s="152"/>
      <c r="L1399" s="153"/>
      <c r="M1399" s="154"/>
      <c r="N1399" s="151"/>
      <c r="O1399" s="155"/>
      <c r="P1399" s="156"/>
      <c r="Q1399" s="156"/>
      <c r="R1399" s="156"/>
      <c r="S1399" s="156"/>
      <c r="T1399" s="156"/>
      <c r="U1399" s="156"/>
      <c r="V1399" s="156"/>
      <c r="W1399" s="156"/>
      <c r="X1399" s="156"/>
      <c r="Y1399" s="156"/>
      <c r="Z1399" s="156"/>
      <c r="AA1399" s="156"/>
      <c r="AB1399" s="158">
        <f t="shared" si="453"/>
        <v>0</v>
      </c>
      <c r="AC1399" s="198"/>
      <c r="AE1399" s="160" t="str">
        <f t="shared" si="454"/>
        <v/>
      </c>
      <c r="AF1399" s="161">
        <f>IFERROR(VLOOKUP($F1399&amp;"-"&amp;$J1399,#REF!,#REF!+6,0),0)</f>
        <v>0</v>
      </c>
      <c r="AG1399" s="162">
        <f>IFERROR(VLOOKUP($F1399&amp;"-"&amp;$J1399,#REF!,#REF!+6,0),0)</f>
        <v>0</v>
      </c>
      <c r="AH1399" s="162">
        <f>IFERROR(VLOOKUP($F1399&amp;"-"&amp;$J1399,#REF!,#REF!+6,0),0)</f>
        <v>0</v>
      </c>
      <c r="AI1399" s="162">
        <f>IFERROR(VLOOKUP($F1399&amp;"-"&amp;$J1399,#REF!,#REF!+6,0),0)</f>
        <v>0</v>
      </c>
      <c r="AJ1399" s="162">
        <f>IFERROR(VLOOKUP($F1399&amp;"-"&amp;$J1399,#REF!,#REF!+6,0),0)</f>
        <v>0</v>
      </c>
      <c r="AK1399" s="162">
        <f>IFERROR(VLOOKUP($F1399&amp;"-"&amp;$J1399,#REF!,#REF!+6,0),0)</f>
        <v>0</v>
      </c>
      <c r="AL1399" s="162">
        <f>IFERROR(VLOOKUP($F1399&amp;"-"&amp;$J1399,#REF!,#REF!+6,0),0)</f>
        <v>0</v>
      </c>
      <c r="AM1399" s="162">
        <f>IFERROR(VLOOKUP($F1399&amp;"-"&amp;$J1399,#REF!,#REF!+6,0),0)</f>
        <v>0</v>
      </c>
      <c r="AN1399" s="162">
        <f>IFERROR(VLOOKUP($F1399&amp;"-"&amp;$J1399,#REF!,#REF!+6,0),0)</f>
        <v>0</v>
      </c>
      <c r="AO1399" s="162">
        <f>IFERROR(VLOOKUP($F1399&amp;"-"&amp;$J1399,#REF!,#REF!+6,0),0)</f>
        <v>0</v>
      </c>
      <c r="AP1399" s="162">
        <f>IFERROR(VLOOKUP($F1399&amp;"-"&amp;$J1399,#REF!,#REF!+6,0),0)</f>
        <v>0</v>
      </c>
      <c r="AQ1399" s="162">
        <f>IFERROR(VLOOKUP($F1399&amp;"-"&amp;$J1399,#REF!,#REF!+6,0),0)</f>
        <v>0</v>
      </c>
      <c r="AR1399" s="163">
        <f t="shared" si="455"/>
        <v>0</v>
      </c>
    </row>
    <row r="1400" spans="2:44" x14ac:dyDescent="0.25">
      <c r="B1400" s="15" t="s">
        <v>226</v>
      </c>
      <c r="C1400" s="83">
        <f t="shared" si="452"/>
        <v>0</v>
      </c>
      <c r="F1400" s="148"/>
      <c r="G1400" s="149" t="str">
        <f>IFERROR(VLOOKUP(F1400,#REF!,2,0),"")</f>
        <v/>
      </c>
      <c r="H1400" s="150" t="str">
        <f>IFERROR(VLOOKUP(F1400,#REF!,3,0),"")</f>
        <v/>
      </c>
      <c r="I1400" s="151"/>
      <c r="J1400" s="151"/>
      <c r="K1400" s="152"/>
      <c r="L1400" s="153"/>
      <c r="M1400" s="154"/>
      <c r="N1400" s="151"/>
      <c r="O1400" s="155"/>
      <c r="P1400" s="156"/>
      <c r="Q1400" s="156"/>
      <c r="R1400" s="156"/>
      <c r="S1400" s="156"/>
      <c r="T1400" s="156"/>
      <c r="U1400" s="156"/>
      <c r="V1400" s="156"/>
      <c r="W1400" s="156"/>
      <c r="X1400" s="156"/>
      <c r="Y1400" s="156"/>
      <c r="Z1400" s="156"/>
      <c r="AA1400" s="156"/>
      <c r="AB1400" s="158">
        <f t="shared" si="453"/>
        <v>0</v>
      </c>
      <c r="AC1400" s="198"/>
      <c r="AE1400" s="160" t="str">
        <f t="shared" si="454"/>
        <v/>
      </c>
      <c r="AF1400" s="161">
        <f>IFERROR(VLOOKUP($F1400&amp;"-"&amp;$J1400,#REF!,#REF!+6,0),0)</f>
        <v>0</v>
      </c>
      <c r="AG1400" s="162">
        <f>IFERROR(VLOOKUP($F1400&amp;"-"&amp;$J1400,#REF!,#REF!+6,0),0)</f>
        <v>0</v>
      </c>
      <c r="AH1400" s="162">
        <f>IFERROR(VLOOKUP($F1400&amp;"-"&amp;$J1400,#REF!,#REF!+6,0),0)</f>
        <v>0</v>
      </c>
      <c r="AI1400" s="162">
        <f>IFERROR(VLOOKUP($F1400&amp;"-"&amp;$J1400,#REF!,#REF!+6,0),0)</f>
        <v>0</v>
      </c>
      <c r="AJ1400" s="162">
        <f>IFERROR(VLOOKUP($F1400&amp;"-"&amp;$J1400,#REF!,#REF!+6,0),0)</f>
        <v>0</v>
      </c>
      <c r="AK1400" s="162">
        <f>IFERROR(VLOOKUP($F1400&amp;"-"&amp;$J1400,#REF!,#REF!+6,0),0)</f>
        <v>0</v>
      </c>
      <c r="AL1400" s="162">
        <f>IFERROR(VLOOKUP($F1400&amp;"-"&amp;$J1400,#REF!,#REF!+6,0),0)</f>
        <v>0</v>
      </c>
      <c r="AM1400" s="162">
        <f>IFERROR(VLOOKUP($F1400&amp;"-"&amp;$J1400,#REF!,#REF!+6,0),0)</f>
        <v>0</v>
      </c>
      <c r="AN1400" s="162">
        <f>IFERROR(VLOOKUP($F1400&amp;"-"&amp;$J1400,#REF!,#REF!+6,0),0)</f>
        <v>0</v>
      </c>
      <c r="AO1400" s="162">
        <f>IFERROR(VLOOKUP($F1400&amp;"-"&amp;$J1400,#REF!,#REF!+6,0),0)</f>
        <v>0</v>
      </c>
      <c r="AP1400" s="162">
        <f>IFERROR(VLOOKUP($F1400&amp;"-"&amp;$J1400,#REF!,#REF!+6,0),0)</f>
        <v>0</v>
      </c>
      <c r="AQ1400" s="162">
        <f>IFERROR(VLOOKUP($F1400&amp;"-"&amp;$J1400,#REF!,#REF!+6,0),0)</f>
        <v>0</v>
      </c>
      <c r="AR1400" s="163">
        <f t="shared" si="455"/>
        <v>0</v>
      </c>
    </row>
    <row r="1401" spans="2:44" x14ac:dyDescent="0.25">
      <c r="B1401" s="15" t="s">
        <v>226</v>
      </c>
      <c r="C1401" s="83">
        <f t="shared" si="452"/>
        <v>0</v>
      </c>
      <c r="F1401" s="148"/>
      <c r="G1401" s="149" t="str">
        <f>IFERROR(VLOOKUP(F1401,#REF!,2,0),"")</f>
        <v/>
      </c>
      <c r="H1401" s="150" t="str">
        <f>IFERROR(VLOOKUP(F1401,#REF!,3,0),"")</f>
        <v/>
      </c>
      <c r="I1401" s="151"/>
      <c r="J1401" s="151"/>
      <c r="K1401" s="152"/>
      <c r="L1401" s="153"/>
      <c r="M1401" s="154"/>
      <c r="N1401" s="151"/>
      <c r="O1401" s="155"/>
      <c r="P1401" s="156"/>
      <c r="Q1401" s="156"/>
      <c r="R1401" s="156"/>
      <c r="S1401" s="156"/>
      <c r="T1401" s="156"/>
      <c r="U1401" s="156"/>
      <c r="V1401" s="156"/>
      <c r="W1401" s="156"/>
      <c r="X1401" s="156"/>
      <c r="Y1401" s="156"/>
      <c r="Z1401" s="156"/>
      <c r="AA1401" s="156"/>
      <c r="AB1401" s="158">
        <f t="shared" si="453"/>
        <v>0</v>
      </c>
      <c r="AC1401" s="198"/>
      <c r="AE1401" s="160" t="str">
        <f t="shared" si="454"/>
        <v/>
      </c>
      <c r="AF1401" s="161">
        <f>IFERROR(VLOOKUP($F1401&amp;"-"&amp;$J1401,#REF!,#REF!+6,0),0)</f>
        <v>0</v>
      </c>
      <c r="AG1401" s="162">
        <f>IFERROR(VLOOKUP($F1401&amp;"-"&amp;$J1401,#REF!,#REF!+6,0),0)</f>
        <v>0</v>
      </c>
      <c r="AH1401" s="162">
        <f>IFERROR(VLOOKUP($F1401&amp;"-"&amp;$J1401,#REF!,#REF!+6,0),0)</f>
        <v>0</v>
      </c>
      <c r="AI1401" s="162">
        <f>IFERROR(VLOOKUP($F1401&amp;"-"&amp;$J1401,#REF!,#REF!+6,0),0)</f>
        <v>0</v>
      </c>
      <c r="AJ1401" s="162">
        <f>IFERROR(VLOOKUP($F1401&amp;"-"&amp;$J1401,#REF!,#REF!+6,0),0)</f>
        <v>0</v>
      </c>
      <c r="AK1401" s="162">
        <f>IFERROR(VLOOKUP($F1401&amp;"-"&amp;$J1401,#REF!,#REF!+6,0),0)</f>
        <v>0</v>
      </c>
      <c r="AL1401" s="162">
        <f>IFERROR(VLOOKUP($F1401&amp;"-"&amp;$J1401,#REF!,#REF!+6,0),0)</f>
        <v>0</v>
      </c>
      <c r="AM1401" s="162">
        <f>IFERROR(VLOOKUP($F1401&amp;"-"&amp;$J1401,#REF!,#REF!+6,0),0)</f>
        <v>0</v>
      </c>
      <c r="AN1401" s="162">
        <f>IFERROR(VLOOKUP($F1401&amp;"-"&amp;$J1401,#REF!,#REF!+6,0),0)</f>
        <v>0</v>
      </c>
      <c r="AO1401" s="162">
        <f>IFERROR(VLOOKUP($F1401&amp;"-"&amp;$J1401,#REF!,#REF!+6,0),0)</f>
        <v>0</v>
      </c>
      <c r="AP1401" s="162">
        <f>IFERROR(VLOOKUP($F1401&amp;"-"&amp;$J1401,#REF!,#REF!+6,0),0)</f>
        <v>0</v>
      </c>
      <c r="AQ1401" s="162">
        <f>IFERROR(VLOOKUP($F1401&amp;"-"&amp;$J1401,#REF!,#REF!+6,0),0)</f>
        <v>0</v>
      </c>
      <c r="AR1401" s="163">
        <f t="shared" si="455"/>
        <v>0</v>
      </c>
    </row>
    <row r="1402" spans="2:44" x14ac:dyDescent="0.25">
      <c r="B1402" s="15" t="s">
        <v>226</v>
      </c>
      <c r="C1402" s="83">
        <f t="shared" si="452"/>
        <v>0</v>
      </c>
      <c r="F1402" s="148"/>
      <c r="G1402" s="149" t="str">
        <f>IFERROR(VLOOKUP(F1402,#REF!,2,0),"")</f>
        <v/>
      </c>
      <c r="H1402" s="150" t="str">
        <f>IFERROR(VLOOKUP(F1402,#REF!,3,0),"")</f>
        <v/>
      </c>
      <c r="I1402" s="151"/>
      <c r="J1402" s="151"/>
      <c r="K1402" s="152"/>
      <c r="L1402" s="153"/>
      <c r="M1402" s="154"/>
      <c r="N1402" s="151"/>
      <c r="O1402" s="155"/>
      <c r="P1402" s="156"/>
      <c r="Q1402" s="156"/>
      <c r="R1402" s="156"/>
      <c r="S1402" s="156"/>
      <c r="T1402" s="156"/>
      <c r="U1402" s="156"/>
      <c r="V1402" s="156"/>
      <c r="W1402" s="156"/>
      <c r="X1402" s="156"/>
      <c r="Y1402" s="156"/>
      <c r="Z1402" s="156"/>
      <c r="AA1402" s="156"/>
      <c r="AB1402" s="158">
        <f t="shared" si="453"/>
        <v>0</v>
      </c>
      <c r="AC1402" s="198"/>
      <c r="AE1402" s="160" t="str">
        <f t="shared" si="454"/>
        <v/>
      </c>
      <c r="AF1402" s="161">
        <f>IFERROR(VLOOKUP($F1402&amp;"-"&amp;$J1402,#REF!,#REF!+6,0),0)</f>
        <v>0</v>
      </c>
      <c r="AG1402" s="162">
        <f>IFERROR(VLOOKUP($F1402&amp;"-"&amp;$J1402,#REF!,#REF!+6,0),0)</f>
        <v>0</v>
      </c>
      <c r="AH1402" s="162">
        <f>IFERROR(VLOOKUP($F1402&amp;"-"&amp;$J1402,#REF!,#REF!+6,0),0)</f>
        <v>0</v>
      </c>
      <c r="AI1402" s="162">
        <f>IFERROR(VLOOKUP($F1402&amp;"-"&amp;$J1402,#REF!,#REF!+6,0),0)</f>
        <v>0</v>
      </c>
      <c r="AJ1402" s="162">
        <f>IFERROR(VLOOKUP($F1402&amp;"-"&amp;$J1402,#REF!,#REF!+6,0),0)</f>
        <v>0</v>
      </c>
      <c r="AK1402" s="162">
        <f>IFERROR(VLOOKUP($F1402&amp;"-"&amp;$J1402,#REF!,#REF!+6,0),0)</f>
        <v>0</v>
      </c>
      <c r="AL1402" s="162">
        <f>IFERROR(VLOOKUP($F1402&amp;"-"&amp;$J1402,#REF!,#REF!+6,0),0)</f>
        <v>0</v>
      </c>
      <c r="AM1402" s="162">
        <f>IFERROR(VLOOKUP($F1402&amp;"-"&amp;$J1402,#REF!,#REF!+6,0),0)</f>
        <v>0</v>
      </c>
      <c r="AN1402" s="162">
        <f>IFERROR(VLOOKUP($F1402&amp;"-"&amp;$J1402,#REF!,#REF!+6,0),0)</f>
        <v>0</v>
      </c>
      <c r="AO1402" s="162">
        <f>IFERROR(VLOOKUP($F1402&amp;"-"&amp;$J1402,#REF!,#REF!+6,0),0)</f>
        <v>0</v>
      </c>
      <c r="AP1402" s="162">
        <f>IFERROR(VLOOKUP($F1402&amp;"-"&amp;$J1402,#REF!,#REF!+6,0),0)</f>
        <v>0</v>
      </c>
      <c r="AQ1402" s="162">
        <f>IFERROR(VLOOKUP($F1402&amp;"-"&amp;$J1402,#REF!,#REF!+6,0),0)</f>
        <v>0</v>
      </c>
      <c r="AR1402" s="163">
        <f t="shared" si="455"/>
        <v>0</v>
      </c>
    </row>
    <row r="1403" spans="2:44" x14ac:dyDescent="0.25">
      <c r="B1403" s="15" t="s">
        <v>226</v>
      </c>
      <c r="C1403" s="83">
        <f t="shared" si="452"/>
        <v>0</v>
      </c>
      <c r="F1403" s="148"/>
      <c r="G1403" s="149" t="str">
        <f>IFERROR(VLOOKUP(F1403,#REF!,2,0),"")</f>
        <v/>
      </c>
      <c r="H1403" s="150" t="str">
        <f>IFERROR(VLOOKUP(F1403,#REF!,3,0),"")</f>
        <v/>
      </c>
      <c r="I1403" s="151"/>
      <c r="J1403" s="151"/>
      <c r="K1403" s="152"/>
      <c r="L1403" s="153"/>
      <c r="M1403" s="154"/>
      <c r="N1403" s="151"/>
      <c r="O1403" s="155"/>
      <c r="P1403" s="156"/>
      <c r="Q1403" s="156"/>
      <c r="R1403" s="156"/>
      <c r="S1403" s="156"/>
      <c r="T1403" s="156"/>
      <c r="U1403" s="156"/>
      <c r="V1403" s="156"/>
      <c r="W1403" s="156"/>
      <c r="X1403" s="156"/>
      <c r="Y1403" s="156"/>
      <c r="Z1403" s="156"/>
      <c r="AA1403" s="156"/>
      <c r="AB1403" s="158">
        <f t="shared" si="453"/>
        <v>0</v>
      </c>
      <c r="AC1403" s="198"/>
      <c r="AE1403" s="160" t="str">
        <f t="shared" si="454"/>
        <v/>
      </c>
      <c r="AF1403" s="161">
        <f>IFERROR(VLOOKUP($F1403&amp;"-"&amp;$J1403,#REF!,#REF!+6,0),0)</f>
        <v>0</v>
      </c>
      <c r="AG1403" s="162">
        <f>IFERROR(VLOOKUP($F1403&amp;"-"&amp;$J1403,#REF!,#REF!+6,0),0)</f>
        <v>0</v>
      </c>
      <c r="AH1403" s="162">
        <f>IFERROR(VLOOKUP($F1403&amp;"-"&amp;$J1403,#REF!,#REF!+6,0),0)</f>
        <v>0</v>
      </c>
      <c r="AI1403" s="162">
        <f>IFERROR(VLOOKUP($F1403&amp;"-"&amp;$J1403,#REF!,#REF!+6,0),0)</f>
        <v>0</v>
      </c>
      <c r="AJ1403" s="162">
        <f>IFERROR(VLOOKUP($F1403&amp;"-"&amp;$J1403,#REF!,#REF!+6,0),0)</f>
        <v>0</v>
      </c>
      <c r="AK1403" s="162">
        <f>IFERROR(VLOOKUP($F1403&amp;"-"&amp;$J1403,#REF!,#REF!+6,0),0)</f>
        <v>0</v>
      </c>
      <c r="AL1403" s="162">
        <f>IFERROR(VLOOKUP($F1403&amp;"-"&amp;$J1403,#REF!,#REF!+6,0),0)</f>
        <v>0</v>
      </c>
      <c r="AM1403" s="162">
        <f>IFERROR(VLOOKUP($F1403&amp;"-"&amp;$J1403,#REF!,#REF!+6,0),0)</f>
        <v>0</v>
      </c>
      <c r="AN1403" s="162">
        <f>IFERROR(VLOOKUP($F1403&amp;"-"&amp;$J1403,#REF!,#REF!+6,0),0)</f>
        <v>0</v>
      </c>
      <c r="AO1403" s="162">
        <f>IFERROR(VLOOKUP($F1403&amp;"-"&amp;$J1403,#REF!,#REF!+6,0),0)</f>
        <v>0</v>
      </c>
      <c r="AP1403" s="162">
        <f>IFERROR(VLOOKUP($F1403&amp;"-"&amp;$J1403,#REF!,#REF!+6,0),0)</f>
        <v>0</v>
      </c>
      <c r="AQ1403" s="162">
        <f>IFERROR(VLOOKUP($F1403&amp;"-"&amp;$J1403,#REF!,#REF!+6,0),0)</f>
        <v>0</v>
      </c>
      <c r="AR1403" s="163">
        <f t="shared" si="455"/>
        <v>0</v>
      </c>
    </row>
    <row r="1404" spans="2:44" x14ac:dyDescent="0.25">
      <c r="B1404" s="15" t="s">
        <v>226</v>
      </c>
      <c r="C1404" s="83">
        <f t="shared" si="452"/>
        <v>0</v>
      </c>
      <c r="F1404" s="148"/>
      <c r="G1404" s="149" t="str">
        <f>IFERROR(VLOOKUP(F1404,#REF!,2,0),"")</f>
        <v/>
      </c>
      <c r="H1404" s="150" t="str">
        <f>IFERROR(VLOOKUP(F1404,#REF!,3,0),"")</f>
        <v/>
      </c>
      <c r="I1404" s="151"/>
      <c r="J1404" s="151"/>
      <c r="K1404" s="152"/>
      <c r="L1404" s="153"/>
      <c r="M1404" s="154"/>
      <c r="N1404" s="151"/>
      <c r="O1404" s="155"/>
      <c r="P1404" s="156"/>
      <c r="Q1404" s="156"/>
      <c r="R1404" s="156"/>
      <c r="S1404" s="156"/>
      <c r="T1404" s="156"/>
      <c r="U1404" s="156"/>
      <c r="V1404" s="156"/>
      <c r="W1404" s="156"/>
      <c r="X1404" s="156"/>
      <c r="Y1404" s="156"/>
      <c r="Z1404" s="156"/>
      <c r="AA1404" s="156"/>
      <c r="AB1404" s="158">
        <f t="shared" si="453"/>
        <v>0</v>
      </c>
      <c r="AC1404" s="198"/>
      <c r="AE1404" s="160" t="str">
        <f t="shared" si="454"/>
        <v/>
      </c>
      <c r="AF1404" s="161">
        <f>IFERROR(VLOOKUP($F1404&amp;"-"&amp;$J1404,#REF!,#REF!+6,0),0)</f>
        <v>0</v>
      </c>
      <c r="AG1404" s="162">
        <f>IFERROR(VLOOKUP($F1404&amp;"-"&amp;$J1404,#REF!,#REF!+6,0),0)</f>
        <v>0</v>
      </c>
      <c r="AH1404" s="162">
        <f>IFERROR(VLOOKUP($F1404&amp;"-"&amp;$J1404,#REF!,#REF!+6,0),0)</f>
        <v>0</v>
      </c>
      <c r="AI1404" s="162">
        <f>IFERROR(VLOOKUP($F1404&amp;"-"&amp;$J1404,#REF!,#REF!+6,0),0)</f>
        <v>0</v>
      </c>
      <c r="AJ1404" s="162">
        <f>IFERROR(VLOOKUP($F1404&amp;"-"&amp;$J1404,#REF!,#REF!+6,0),0)</f>
        <v>0</v>
      </c>
      <c r="AK1404" s="162">
        <f>IFERROR(VLOOKUP($F1404&amp;"-"&amp;$J1404,#REF!,#REF!+6,0),0)</f>
        <v>0</v>
      </c>
      <c r="AL1404" s="162">
        <f>IFERROR(VLOOKUP($F1404&amp;"-"&amp;$J1404,#REF!,#REF!+6,0),0)</f>
        <v>0</v>
      </c>
      <c r="AM1404" s="162">
        <f>IFERROR(VLOOKUP($F1404&amp;"-"&amp;$J1404,#REF!,#REF!+6,0),0)</f>
        <v>0</v>
      </c>
      <c r="AN1404" s="162">
        <f>IFERROR(VLOOKUP($F1404&amp;"-"&amp;$J1404,#REF!,#REF!+6,0),0)</f>
        <v>0</v>
      </c>
      <c r="AO1404" s="162">
        <f>IFERROR(VLOOKUP($F1404&amp;"-"&amp;$J1404,#REF!,#REF!+6,0),0)</f>
        <v>0</v>
      </c>
      <c r="AP1404" s="162">
        <f>IFERROR(VLOOKUP($F1404&amp;"-"&amp;$J1404,#REF!,#REF!+6,0),0)</f>
        <v>0</v>
      </c>
      <c r="AQ1404" s="162">
        <f>IFERROR(VLOOKUP($F1404&amp;"-"&amp;$J1404,#REF!,#REF!+6,0),0)</f>
        <v>0</v>
      </c>
      <c r="AR1404" s="163">
        <f t="shared" si="455"/>
        <v>0</v>
      </c>
    </row>
    <row r="1405" spans="2:44" x14ac:dyDescent="0.25">
      <c r="B1405" s="15" t="s">
        <v>226</v>
      </c>
      <c r="C1405" s="83">
        <f t="shared" si="452"/>
        <v>0</v>
      </c>
      <c r="F1405" s="148"/>
      <c r="G1405" s="149" t="str">
        <f>IFERROR(VLOOKUP(F1405,#REF!,2,0),"")</f>
        <v/>
      </c>
      <c r="H1405" s="150" t="str">
        <f>IFERROR(VLOOKUP(F1405,#REF!,3,0),"")</f>
        <v/>
      </c>
      <c r="I1405" s="151"/>
      <c r="J1405" s="151"/>
      <c r="K1405" s="152"/>
      <c r="L1405" s="153"/>
      <c r="M1405" s="154"/>
      <c r="N1405" s="151"/>
      <c r="O1405" s="155"/>
      <c r="P1405" s="156"/>
      <c r="Q1405" s="156"/>
      <c r="R1405" s="156"/>
      <c r="S1405" s="156"/>
      <c r="T1405" s="156"/>
      <c r="U1405" s="156"/>
      <c r="V1405" s="156"/>
      <c r="W1405" s="156"/>
      <c r="X1405" s="156"/>
      <c r="Y1405" s="156"/>
      <c r="Z1405" s="156"/>
      <c r="AA1405" s="156"/>
      <c r="AB1405" s="158">
        <f t="shared" si="453"/>
        <v>0</v>
      </c>
      <c r="AC1405" s="198"/>
      <c r="AE1405" s="160" t="str">
        <f t="shared" si="454"/>
        <v/>
      </c>
      <c r="AF1405" s="161">
        <f>IFERROR(VLOOKUP($F1405&amp;"-"&amp;$J1405,#REF!,#REF!+6,0),0)</f>
        <v>0</v>
      </c>
      <c r="AG1405" s="162">
        <f>IFERROR(VLOOKUP($F1405&amp;"-"&amp;$J1405,#REF!,#REF!+6,0),0)</f>
        <v>0</v>
      </c>
      <c r="AH1405" s="162">
        <f>IFERROR(VLOOKUP($F1405&amp;"-"&amp;$J1405,#REF!,#REF!+6,0),0)</f>
        <v>0</v>
      </c>
      <c r="AI1405" s="162">
        <f>IFERROR(VLOOKUP($F1405&amp;"-"&amp;$J1405,#REF!,#REF!+6,0),0)</f>
        <v>0</v>
      </c>
      <c r="AJ1405" s="162">
        <f>IFERROR(VLOOKUP($F1405&amp;"-"&amp;$J1405,#REF!,#REF!+6,0),0)</f>
        <v>0</v>
      </c>
      <c r="AK1405" s="162">
        <f>IFERROR(VLOOKUP($F1405&amp;"-"&amp;$J1405,#REF!,#REF!+6,0),0)</f>
        <v>0</v>
      </c>
      <c r="AL1405" s="162">
        <f>IFERROR(VLOOKUP($F1405&amp;"-"&amp;$J1405,#REF!,#REF!+6,0),0)</f>
        <v>0</v>
      </c>
      <c r="AM1405" s="162">
        <f>IFERROR(VLOOKUP($F1405&amp;"-"&amp;$J1405,#REF!,#REF!+6,0),0)</f>
        <v>0</v>
      </c>
      <c r="AN1405" s="162">
        <f>IFERROR(VLOOKUP($F1405&amp;"-"&amp;$J1405,#REF!,#REF!+6,0),0)</f>
        <v>0</v>
      </c>
      <c r="AO1405" s="162">
        <f>IFERROR(VLOOKUP($F1405&amp;"-"&amp;$J1405,#REF!,#REF!+6,0),0)</f>
        <v>0</v>
      </c>
      <c r="AP1405" s="162">
        <f>IFERROR(VLOOKUP($F1405&amp;"-"&amp;$J1405,#REF!,#REF!+6,0),0)</f>
        <v>0</v>
      </c>
      <c r="AQ1405" s="162">
        <f>IFERROR(VLOOKUP($F1405&amp;"-"&amp;$J1405,#REF!,#REF!+6,0),0)</f>
        <v>0</v>
      </c>
      <c r="AR1405" s="163">
        <f t="shared" si="455"/>
        <v>0</v>
      </c>
    </row>
    <row r="1406" spans="2:44" x14ac:dyDescent="0.25">
      <c r="B1406" s="15" t="s">
        <v>226</v>
      </c>
      <c r="C1406" s="83">
        <f t="shared" si="452"/>
        <v>0</v>
      </c>
      <c r="F1406" s="148"/>
      <c r="G1406" s="149" t="str">
        <f>IFERROR(VLOOKUP(F1406,#REF!,2,0),"")</f>
        <v/>
      </c>
      <c r="H1406" s="150" t="str">
        <f>IFERROR(VLOOKUP(F1406,#REF!,3,0),"")</f>
        <v/>
      </c>
      <c r="I1406" s="151"/>
      <c r="J1406" s="151"/>
      <c r="K1406" s="152"/>
      <c r="L1406" s="153"/>
      <c r="M1406" s="154"/>
      <c r="N1406" s="151"/>
      <c r="O1406" s="155"/>
      <c r="P1406" s="156"/>
      <c r="Q1406" s="156"/>
      <c r="R1406" s="156"/>
      <c r="S1406" s="156"/>
      <c r="T1406" s="156"/>
      <c r="U1406" s="156"/>
      <c r="V1406" s="156"/>
      <c r="W1406" s="156"/>
      <c r="X1406" s="156"/>
      <c r="Y1406" s="156"/>
      <c r="Z1406" s="156"/>
      <c r="AA1406" s="156"/>
      <c r="AB1406" s="158">
        <f t="shared" si="453"/>
        <v>0</v>
      </c>
      <c r="AC1406" s="198"/>
      <c r="AE1406" s="160" t="str">
        <f t="shared" si="454"/>
        <v/>
      </c>
      <c r="AF1406" s="161">
        <f>IFERROR(VLOOKUP($F1406&amp;"-"&amp;$J1406,#REF!,#REF!+6,0),0)</f>
        <v>0</v>
      </c>
      <c r="AG1406" s="162">
        <f>IFERROR(VLOOKUP($F1406&amp;"-"&amp;$J1406,#REF!,#REF!+6,0),0)</f>
        <v>0</v>
      </c>
      <c r="AH1406" s="162">
        <f>IFERROR(VLOOKUP($F1406&amp;"-"&amp;$J1406,#REF!,#REF!+6,0),0)</f>
        <v>0</v>
      </c>
      <c r="AI1406" s="162">
        <f>IFERROR(VLOOKUP($F1406&amp;"-"&amp;$J1406,#REF!,#REF!+6,0),0)</f>
        <v>0</v>
      </c>
      <c r="AJ1406" s="162">
        <f>IFERROR(VLOOKUP($F1406&amp;"-"&amp;$J1406,#REF!,#REF!+6,0),0)</f>
        <v>0</v>
      </c>
      <c r="AK1406" s="162">
        <f>IFERROR(VLOOKUP($F1406&amp;"-"&amp;$J1406,#REF!,#REF!+6,0),0)</f>
        <v>0</v>
      </c>
      <c r="AL1406" s="162">
        <f>IFERROR(VLOOKUP($F1406&amp;"-"&amp;$J1406,#REF!,#REF!+6,0),0)</f>
        <v>0</v>
      </c>
      <c r="AM1406" s="162">
        <f>IFERROR(VLOOKUP($F1406&amp;"-"&amp;$J1406,#REF!,#REF!+6,0),0)</f>
        <v>0</v>
      </c>
      <c r="AN1406" s="162">
        <f>IFERROR(VLOOKUP($F1406&amp;"-"&amp;$J1406,#REF!,#REF!+6,0),0)</f>
        <v>0</v>
      </c>
      <c r="AO1406" s="162">
        <f>IFERROR(VLOOKUP($F1406&amp;"-"&amp;$J1406,#REF!,#REF!+6,0),0)</f>
        <v>0</v>
      </c>
      <c r="AP1406" s="162">
        <f>IFERROR(VLOOKUP($F1406&amp;"-"&amp;$J1406,#REF!,#REF!+6,0),0)</f>
        <v>0</v>
      </c>
      <c r="AQ1406" s="162">
        <f>IFERROR(VLOOKUP($F1406&amp;"-"&amp;$J1406,#REF!,#REF!+6,0),0)</f>
        <v>0</v>
      </c>
      <c r="AR1406" s="163">
        <f t="shared" si="455"/>
        <v>0</v>
      </c>
    </row>
    <row r="1407" spans="2:44" x14ac:dyDescent="0.25">
      <c r="B1407" s="15" t="s">
        <v>226</v>
      </c>
      <c r="C1407" s="83">
        <f t="shared" si="452"/>
        <v>0</v>
      </c>
      <c r="F1407" s="148"/>
      <c r="G1407" s="149" t="str">
        <f>IFERROR(VLOOKUP(F1407,#REF!,2,0),"")</f>
        <v/>
      </c>
      <c r="H1407" s="150" t="str">
        <f>IFERROR(VLOOKUP(F1407,#REF!,3,0),"")</f>
        <v/>
      </c>
      <c r="I1407" s="151"/>
      <c r="J1407" s="151"/>
      <c r="K1407" s="152"/>
      <c r="L1407" s="153"/>
      <c r="M1407" s="154"/>
      <c r="N1407" s="151"/>
      <c r="O1407" s="155"/>
      <c r="P1407" s="156"/>
      <c r="Q1407" s="156"/>
      <c r="R1407" s="156"/>
      <c r="S1407" s="156"/>
      <c r="T1407" s="156"/>
      <c r="U1407" s="156"/>
      <c r="V1407" s="156"/>
      <c r="W1407" s="156"/>
      <c r="X1407" s="156"/>
      <c r="Y1407" s="156"/>
      <c r="Z1407" s="156"/>
      <c r="AA1407" s="156"/>
      <c r="AB1407" s="158">
        <f t="shared" si="453"/>
        <v>0</v>
      </c>
      <c r="AC1407" s="198"/>
      <c r="AE1407" s="160" t="str">
        <f t="shared" si="454"/>
        <v/>
      </c>
      <c r="AF1407" s="161">
        <f>IFERROR(VLOOKUP($F1407&amp;"-"&amp;$J1407,#REF!,#REF!+6,0),0)</f>
        <v>0</v>
      </c>
      <c r="AG1407" s="162">
        <f>IFERROR(VLOOKUP($F1407&amp;"-"&amp;$J1407,#REF!,#REF!+6,0),0)</f>
        <v>0</v>
      </c>
      <c r="AH1407" s="162">
        <f>IFERROR(VLOOKUP($F1407&amp;"-"&amp;$J1407,#REF!,#REF!+6,0),0)</f>
        <v>0</v>
      </c>
      <c r="AI1407" s="162">
        <f>IFERROR(VLOOKUP($F1407&amp;"-"&amp;$J1407,#REF!,#REF!+6,0),0)</f>
        <v>0</v>
      </c>
      <c r="AJ1407" s="162">
        <f>IFERROR(VLOOKUP($F1407&amp;"-"&amp;$J1407,#REF!,#REF!+6,0),0)</f>
        <v>0</v>
      </c>
      <c r="AK1407" s="162">
        <f>IFERROR(VLOOKUP($F1407&amp;"-"&amp;$J1407,#REF!,#REF!+6,0),0)</f>
        <v>0</v>
      </c>
      <c r="AL1407" s="162">
        <f>IFERROR(VLOOKUP($F1407&amp;"-"&amp;$J1407,#REF!,#REF!+6,0),0)</f>
        <v>0</v>
      </c>
      <c r="AM1407" s="162">
        <f>IFERROR(VLOOKUP($F1407&amp;"-"&amp;$J1407,#REF!,#REF!+6,0),0)</f>
        <v>0</v>
      </c>
      <c r="AN1407" s="162">
        <f>IFERROR(VLOOKUP($F1407&amp;"-"&amp;$J1407,#REF!,#REF!+6,0),0)</f>
        <v>0</v>
      </c>
      <c r="AO1407" s="162">
        <f>IFERROR(VLOOKUP($F1407&amp;"-"&amp;$J1407,#REF!,#REF!+6,0),0)</f>
        <v>0</v>
      </c>
      <c r="AP1407" s="162">
        <f>IFERROR(VLOOKUP($F1407&amp;"-"&amp;$J1407,#REF!,#REF!+6,0),0)</f>
        <v>0</v>
      </c>
      <c r="AQ1407" s="162">
        <f>IFERROR(VLOOKUP($F1407&amp;"-"&amp;$J1407,#REF!,#REF!+6,0),0)</f>
        <v>0</v>
      </c>
      <c r="AR1407" s="163">
        <f t="shared" si="455"/>
        <v>0</v>
      </c>
    </row>
    <row r="1408" spans="2:44" x14ac:dyDescent="0.25">
      <c r="B1408" s="15" t="s">
        <v>226</v>
      </c>
      <c r="C1408" s="83">
        <f t="shared" si="452"/>
        <v>0</v>
      </c>
      <c r="F1408" s="148"/>
      <c r="G1408" s="149" t="str">
        <f>IFERROR(VLOOKUP(F1408,#REF!,2,0),"")</f>
        <v/>
      </c>
      <c r="H1408" s="150" t="str">
        <f>IFERROR(VLOOKUP(F1408,#REF!,3,0),"")</f>
        <v/>
      </c>
      <c r="I1408" s="151"/>
      <c r="J1408" s="151"/>
      <c r="K1408" s="152"/>
      <c r="L1408" s="153"/>
      <c r="M1408" s="154"/>
      <c r="N1408" s="151"/>
      <c r="O1408" s="155"/>
      <c r="P1408" s="156"/>
      <c r="Q1408" s="156"/>
      <c r="R1408" s="156"/>
      <c r="S1408" s="156"/>
      <c r="T1408" s="156"/>
      <c r="U1408" s="156"/>
      <c r="V1408" s="156"/>
      <c r="W1408" s="156"/>
      <c r="X1408" s="156"/>
      <c r="Y1408" s="156"/>
      <c r="Z1408" s="156"/>
      <c r="AA1408" s="156"/>
      <c r="AB1408" s="158">
        <f t="shared" si="453"/>
        <v>0</v>
      </c>
      <c r="AC1408" s="198"/>
      <c r="AE1408" s="160" t="str">
        <f t="shared" si="454"/>
        <v/>
      </c>
      <c r="AF1408" s="161">
        <f>IFERROR(VLOOKUP($F1408&amp;"-"&amp;$J1408,#REF!,#REF!+6,0),0)</f>
        <v>0</v>
      </c>
      <c r="AG1408" s="162">
        <f>IFERROR(VLOOKUP($F1408&amp;"-"&amp;$J1408,#REF!,#REF!+6,0),0)</f>
        <v>0</v>
      </c>
      <c r="AH1408" s="162">
        <f>IFERROR(VLOOKUP($F1408&amp;"-"&amp;$J1408,#REF!,#REF!+6,0),0)</f>
        <v>0</v>
      </c>
      <c r="AI1408" s="162">
        <f>IFERROR(VLOOKUP($F1408&amp;"-"&amp;$J1408,#REF!,#REF!+6,0),0)</f>
        <v>0</v>
      </c>
      <c r="AJ1408" s="162">
        <f>IFERROR(VLOOKUP($F1408&amp;"-"&amp;$J1408,#REF!,#REF!+6,0),0)</f>
        <v>0</v>
      </c>
      <c r="AK1408" s="162">
        <f>IFERROR(VLOOKUP($F1408&amp;"-"&amp;$J1408,#REF!,#REF!+6,0),0)</f>
        <v>0</v>
      </c>
      <c r="AL1408" s="162">
        <f>IFERROR(VLOOKUP($F1408&amp;"-"&amp;$J1408,#REF!,#REF!+6,0),0)</f>
        <v>0</v>
      </c>
      <c r="AM1408" s="162">
        <f>IFERROR(VLOOKUP($F1408&amp;"-"&amp;$J1408,#REF!,#REF!+6,0),0)</f>
        <v>0</v>
      </c>
      <c r="AN1408" s="162">
        <f>IFERROR(VLOOKUP($F1408&amp;"-"&amp;$J1408,#REF!,#REF!+6,0),0)</f>
        <v>0</v>
      </c>
      <c r="AO1408" s="162">
        <f>IFERROR(VLOOKUP($F1408&amp;"-"&amp;$J1408,#REF!,#REF!+6,0),0)</f>
        <v>0</v>
      </c>
      <c r="AP1408" s="162">
        <f>IFERROR(VLOOKUP($F1408&amp;"-"&amp;$J1408,#REF!,#REF!+6,0),0)</f>
        <v>0</v>
      </c>
      <c r="AQ1408" s="162">
        <f>IFERROR(VLOOKUP($F1408&amp;"-"&amp;$J1408,#REF!,#REF!+6,0),0)</f>
        <v>0</v>
      </c>
      <c r="AR1408" s="163">
        <f t="shared" si="455"/>
        <v>0</v>
      </c>
    </row>
    <row r="1409" spans="2:44" x14ac:dyDescent="0.25">
      <c r="B1409" s="15" t="s">
        <v>226</v>
      </c>
      <c r="C1409" s="83">
        <f t="shared" si="452"/>
        <v>0</v>
      </c>
      <c r="F1409" s="148"/>
      <c r="G1409" s="149" t="str">
        <f>IFERROR(VLOOKUP(F1409,#REF!,2,0),"")</f>
        <v/>
      </c>
      <c r="H1409" s="150" t="str">
        <f>IFERROR(VLOOKUP(F1409,#REF!,3,0),"")</f>
        <v/>
      </c>
      <c r="I1409" s="151"/>
      <c r="J1409" s="151"/>
      <c r="K1409" s="152"/>
      <c r="L1409" s="153"/>
      <c r="M1409" s="154"/>
      <c r="N1409" s="151"/>
      <c r="O1409" s="155"/>
      <c r="P1409" s="156"/>
      <c r="Q1409" s="156"/>
      <c r="R1409" s="156"/>
      <c r="S1409" s="156"/>
      <c r="T1409" s="156"/>
      <c r="U1409" s="156"/>
      <c r="V1409" s="156"/>
      <c r="W1409" s="156"/>
      <c r="X1409" s="156"/>
      <c r="Y1409" s="156"/>
      <c r="Z1409" s="156"/>
      <c r="AA1409" s="156"/>
      <c r="AB1409" s="158">
        <f t="shared" si="453"/>
        <v>0</v>
      </c>
      <c r="AC1409" s="198"/>
      <c r="AE1409" s="160" t="str">
        <f t="shared" si="454"/>
        <v/>
      </c>
      <c r="AF1409" s="161">
        <f>IFERROR(VLOOKUP($F1409&amp;"-"&amp;$J1409,#REF!,#REF!+6,0),0)</f>
        <v>0</v>
      </c>
      <c r="AG1409" s="162">
        <f>IFERROR(VLOOKUP($F1409&amp;"-"&amp;$J1409,#REF!,#REF!+6,0),0)</f>
        <v>0</v>
      </c>
      <c r="AH1409" s="162">
        <f>IFERROR(VLOOKUP($F1409&amp;"-"&amp;$J1409,#REF!,#REF!+6,0),0)</f>
        <v>0</v>
      </c>
      <c r="AI1409" s="162">
        <f>IFERROR(VLOOKUP($F1409&amp;"-"&amp;$J1409,#REF!,#REF!+6,0),0)</f>
        <v>0</v>
      </c>
      <c r="AJ1409" s="162">
        <f>IFERROR(VLOOKUP($F1409&amp;"-"&amp;$J1409,#REF!,#REF!+6,0),0)</f>
        <v>0</v>
      </c>
      <c r="AK1409" s="162">
        <f>IFERROR(VLOOKUP($F1409&amp;"-"&amp;$J1409,#REF!,#REF!+6,0),0)</f>
        <v>0</v>
      </c>
      <c r="AL1409" s="162">
        <f>IFERROR(VLOOKUP($F1409&amp;"-"&amp;$J1409,#REF!,#REF!+6,0),0)</f>
        <v>0</v>
      </c>
      <c r="AM1409" s="162">
        <f>IFERROR(VLOOKUP($F1409&amp;"-"&amp;$J1409,#REF!,#REF!+6,0),0)</f>
        <v>0</v>
      </c>
      <c r="AN1409" s="162">
        <f>IFERROR(VLOOKUP($F1409&amp;"-"&amp;$J1409,#REF!,#REF!+6,0),0)</f>
        <v>0</v>
      </c>
      <c r="AO1409" s="162">
        <f>IFERROR(VLOOKUP($F1409&amp;"-"&amp;$J1409,#REF!,#REF!+6,0),0)</f>
        <v>0</v>
      </c>
      <c r="AP1409" s="162">
        <f>IFERROR(VLOOKUP($F1409&amp;"-"&amp;$J1409,#REF!,#REF!+6,0),0)</f>
        <v>0</v>
      </c>
      <c r="AQ1409" s="162">
        <f>IFERROR(VLOOKUP($F1409&amp;"-"&amp;$J1409,#REF!,#REF!+6,0),0)</f>
        <v>0</v>
      </c>
      <c r="AR1409" s="163">
        <f t="shared" si="455"/>
        <v>0</v>
      </c>
    </row>
    <row r="1410" spans="2:44" x14ac:dyDescent="0.25">
      <c r="B1410" s="15" t="s">
        <v>226</v>
      </c>
      <c r="C1410" s="83">
        <f t="shared" si="452"/>
        <v>0</v>
      </c>
      <c r="F1410" s="148"/>
      <c r="G1410" s="149" t="str">
        <f>IFERROR(VLOOKUP(F1410,#REF!,2,0),"")</f>
        <v/>
      </c>
      <c r="H1410" s="150" t="str">
        <f>IFERROR(VLOOKUP(F1410,#REF!,3,0),"")</f>
        <v/>
      </c>
      <c r="I1410" s="151"/>
      <c r="J1410" s="151"/>
      <c r="K1410" s="152"/>
      <c r="L1410" s="153"/>
      <c r="M1410" s="154"/>
      <c r="N1410" s="151"/>
      <c r="O1410" s="155"/>
      <c r="P1410" s="156"/>
      <c r="Q1410" s="156"/>
      <c r="R1410" s="156"/>
      <c r="S1410" s="156"/>
      <c r="T1410" s="156"/>
      <c r="U1410" s="156"/>
      <c r="V1410" s="156"/>
      <c r="W1410" s="156"/>
      <c r="X1410" s="156"/>
      <c r="Y1410" s="156"/>
      <c r="Z1410" s="156"/>
      <c r="AA1410" s="156"/>
      <c r="AB1410" s="158">
        <f t="shared" si="453"/>
        <v>0</v>
      </c>
      <c r="AC1410" s="198"/>
      <c r="AE1410" s="160" t="str">
        <f t="shared" si="454"/>
        <v/>
      </c>
      <c r="AF1410" s="161">
        <f>IFERROR(VLOOKUP($F1410&amp;"-"&amp;$J1410,#REF!,#REF!+6,0),0)</f>
        <v>0</v>
      </c>
      <c r="AG1410" s="162">
        <f>IFERROR(VLOOKUP($F1410&amp;"-"&amp;$J1410,#REF!,#REF!+6,0),0)</f>
        <v>0</v>
      </c>
      <c r="AH1410" s="162">
        <f>IFERROR(VLOOKUP($F1410&amp;"-"&amp;$J1410,#REF!,#REF!+6,0),0)</f>
        <v>0</v>
      </c>
      <c r="AI1410" s="162">
        <f>IFERROR(VLOOKUP($F1410&amp;"-"&amp;$J1410,#REF!,#REF!+6,0),0)</f>
        <v>0</v>
      </c>
      <c r="AJ1410" s="162">
        <f>IFERROR(VLOOKUP($F1410&amp;"-"&amp;$J1410,#REF!,#REF!+6,0),0)</f>
        <v>0</v>
      </c>
      <c r="AK1410" s="162">
        <f>IFERROR(VLOOKUP($F1410&amp;"-"&amp;$J1410,#REF!,#REF!+6,0),0)</f>
        <v>0</v>
      </c>
      <c r="AL1410" s="162">
        <f>IFERROR(VLOOKUP($F1410&amp;"-"&amp;$J1410,#REF!,#REF!+6,0),0)</f>
        <v>0</v>
      </c>
      <c r="AM1410" s="162">
        <f>IFERROR(VLOOKUP($F1410&amp;"-"&amp;$J1410,#REF!,#REF!+6,0),0)</f>
        <v>0</v>
      </c>
      <c r="AN1410" s="162">
        <f>IFERROR(VLOOKUP($F1410&amp;"-"&amp;$J1410,#REF!,#REF!+6,0),0)</f>
        <v>0</v>
      </c>
      <c r="AO1410" s="162">
        <f>IFERROR(VLOOKUP($F1410&amp;"-"&amp;$J1410,#REF!,#REF!+6,0),0)</f>
        <v>0</v>
      </c>
      <c r="AP1410" s="162">
        <f>IFERROR(VLOOKUP($F1410&amp;"-"&amp;$J1410,#REF!,#REF!+6,0),0)</f>
        <v>0</v>
      </c>
      <c r="AQ1410" s="162">
        <f>IFERROR(VLOOKUP($F1410&amp;"-"&amp;$J1410,#REF!,#REF!+6,0),0)</f>
        <v>0</v>
      </c>
      <c r="AR1410" s="163">
        <f t="shared" si="455"/>
        <v>0</v>
      </c>
    </row>
    <row r="1411" spans="2:44" x14ac:dyDescent="0.25">
      <c r="B1411" s="15" t="s">
        <v>226</v>
      </c>
      <c r="C1411" s="83">
        <f t="shared" si="452"/>
        <v>0</v>
      </c>
      <c r="F1411" s="148"/>
      <c r="G1411" s="149" t="str">
        <f>IFERROR(VLOOKUP(F1411,#REF!,2,0),"")</f>
        <v/>
      </c>
      <c r="H1411" s="150" t="str">
        <f>IFERROR(VLOOKUP(F1411,#REF!,3,0),"")</f>
        <v/>
      </c>
      <c r="I1411" s="151"/>
      <c r="J1411" s="151"/>
      <c r="K1411" s="152"/>
      <c r="L1411" s="153"/>
      <c r="M1411" s="154"/>
      <c r="N1411" s="151"/>
      <c r="O1411" s="155"/>
      <c r="P1411" s="156"/>
      <c r="Q1411" s="156"/>
      <c r="R1411" s="156"/>
      <c r="S1411" s="156"/>
      <c r="T1411" s="156"/>
      <c r="U1411" s="156"/>
      <c r="V1411" s="156"/>
      <c r="W1411" s="156"/>
      <c r="X1411" s="156"/>
      <c r="Y1411" s="156"/>
      <c r="Z1411" s="156"/>
      <c r="AA1411" s="156"/>
      <c r="AB1411" s="158">
        <f t="shared" si="453"/>
        <v>0</v>
      </c>
      <c r="AC1411" s="198"/>
      <c r="AE1411" s="160" t="str">
        <f t="shared" si="454"/>
        <v/>
      </c>
      <c r="AF1411" s="161">
        <f>IFERROR(VLOOKUP($F1411&amp;"-"&amp;$J1411,#REF!,#REF!+6,0),0)</f>
        <v>0</v>
      </c>
      <c r="AG1411" s="162">
        <f>IFERROR(VLOOKUP($F1411&amp;"-"&amp;$J1411,#REF!,#REF!+6,0),0)</f>
        <v>0</v>
      </c>
      <c r="AH1411" s="162">
        <f>IFERROR(VLOOKUP($F1411&amp;"-"&amp;$J1411,#REF!,#REF!+6,0),0)</f>
        <v>0</v>
      </c>
      <c r="AI1411" s="162">
        <f>IFERROR(VLOOKUP($F1411&amp;"-"&amp;$J1411,#REF!,#REF!+6,0),0)</f>
        <v>0</v>
      </c>
      <c r="AJ1411" s="162">
        <f>IFERROR(VLOOKUP($F1411&amp;"-"&amp;$J1411,#REF!,#REF!+6,0),0)</f>
        <v>0</v>
      </c>
      <c r="AK1411" s="162">
        <f>IFERROR(VLOOKUP($F1411&amp;"-"&amp;$J1411,#REF!,#REF!+6,0),0)</f>
        <v>0</v>
      </c>
      <c r="AL1411" s="162">
        <f>IFERROR(VLOOKUP($F1411&amp;"-"&amp;$J1411,#REF!,#REF!+6,0),0)</f>
        <v>0</v>
      </c>
      <c r="AM1411" s="162">
        <f>IFERROR(VLOOKUP($F1411&amp;"-"&amp;$J1411,#REF!,#REF!+6,0),0)</f>
        <v>0</v>
      </c>
      <c r="AN1411" s="162">
        <f>IFERROR(VLOOKUP($F1411&amp;"-"&amp;$J1411,#REF!,#REF!+6,0),0)</f>
        <v>0</v>
      </c>
      <c r="AO1411" s="162">
        <f>IFERROR(VLOOKUP($F1411&amp;"-"&amp;$J1411,#REF!,#REF!+6,0),0)</f>
        <v>0</v>
      </c>
      <c r="AP1411" s="162">
        <f>IFERROR(VLOOKUP($F1411&amp;"-"&amp;$J1411,#REF!,#REF!+6,0),0)</f>
        <v>0</v>
      </c>
      <c r="AQ1411" s="162">
        <f>IFERROR(VLOOKUP($F1411&amp;"-"&amp;$J1411,#REF!,#REF!+6,0),0)</f>
        <v>0</v>
      </c>
      <c r="AR1411" s="163">
        <f t="shared" si="455"/>
        <v>0</v>
      </c>
    </row>
    <row r="1412" spans="2:44" x14ac:dyDescent="0.25">
      <c r="B1412" s="15" t="s">
        <v>226</v>
      </c>
      <c r="C1412" s="83">
        <f t="shared" si="452"/>
        <v>0</v>
      </c>
      <c r="F1412" s="148"/>
      <c r="G1412" s="149" t="str">
        <f>IFERROR(VLOOKUP(F1412,#REF!,2,0),"")</f>
        <v/>
      </c>
      <c r="H1412" s="150" t="str">
        <f>IFERROR(VLOOKUP(F1412,#REF!,3,0),"")</f>
        <v/>
      </c>
      <c r="I1412" s="151"/>
      <c r="J1412" s="151"/>
      <c r="K1412" s="152"/>
      <c r="L1412" s="153"/>
      <c r="M1412" s="154"/>
      <c r="N1412" s="151"/>
      <c r="O1412" s="155"/>
      <c r="P1412" s="156"/>
      <c r="Q1412" s="156"/>
      <c r="R1412" s="156"/>
      <c r="S1412" s="156"/>
      <c r="T1412" s="156"/>
      <c r="U1412" s="156"/>
      <c r="V1412" s="156"/>
      <c r="W1412" s="156"/>
      <c r="X1412" s="156"/>
      <c r="Y1412" s="156"/>
      <c r="Z1412" s="156"/>
      <c r="AA1412" s="156"/>
      <c r="AB1412" s="158">
        <f t="shared" si="453"/>
        <v>0</v>
      </c>
      <c r="AC1412" s="198"/>
      <c r="AE1412" s="160" t="str">
        <f t="shared" si="454"/>
        <v/>
      </c>
      <c r="AF1412" s="161">
        <f>IFERROR(VLOOKUP($F1412&amp;"-"&amp;$J1412,#REF!,#REF!+6,0),0)</f>
        <v>0</v>
      </c>
      <c r="AG1412" s="162">
        <f>IFERROR(VLOOKUP($F1412&amp;"-"&amp;$J1412,#REF!,#REF!+6,0),0)</f>
        <v>0</v>
      </c>
      <c r="AH1412" s="162">
        <f>IFERROR(VLOOKUP($F1412&amp;"-"&amp;$J1412,#REF!,#REF!+6,0),0)</f>
        <v>0</v>
      </c>
      <c r="AI1412" s="162">
        <f>IFERROR(VLOOKUP($F1412&amp;"-"&amp;$J1412,#REF!,#REF!+6,0),0)</f>
        <v>0</v>
      </c>
      <c r="AJ1412" s="162">
        <f>IFERROR(VLOOKUP($F1412&amp;"-"&amp;$J1412,#REF!,#REF!+6,0),0)</f>
        <v>0</v>
      </c>
      <c r="AK1412" s="162">
        <f>IFERROR(VLOOKUP($F1412&amp;"-"&amp;$J1412,#REF!,#REF!+6,0),0)</f>
        <v>0</v>
      </c>
      <c r="AL1412" s="162">
        <f>IFERROR(VLOOKUP($F1412&amp;"-"&amp;$J1412,#REF!,#REF!+6,0),0)</f>
        <v>0</v>
      </c>
      <c r="AM1412" s="162">
        <f>IFERROR(VLOOKUP($F1412&amp;"-"&amp;$J1412,#REF!,#REF!+6,0),0)</f>
        <v>0</v>
      </c>
      <c r="AN1412" s="162">
        <f>IFERROR(VLOOKUP($F1412&amp;"-"&amp;$J1412,#REF!,#REF!+6,0),0)</f>
        <v>0</v>
      </c>
      <c r="AO1412" s="162">
        <f>IFERROR(VLOOKUP($F1412&amp;"-"&amp;$J1412,#REF!,#REF!+6,0),0)</f>
        <v>0</v>
      </c>
      <c r="AP1412" s="162">
        <f>IFERROR(VLOOKUP($F1412&amp;"-"&amp;$J1412,#REF!,#REF!+6,0),0)</f>
        <v>0</v>
      </c>
      <c r="AQ1412" s="162">
        <f>IFERROR(VLOOKUP($F1412&amp;"-"&amp;$J1412,#REF!,#REF!+6,0),0)</f>
        <v>0</v>
      </c>
      <c r="AR1412" s="163">
        <f t="shared" si="455"/>
        <v>0</v>
      </c>
    </row>
    <row r="1413" spans="2:44" x14ac:dyDescent="0.25">
      <c r="B1413" s="15" t="s">
        <v>226</v>
      </c>
      <c r="C1413" s="83">
        <f t="shared" si="452"/>
        <v>0</v>
      </c>
      <c r="F1413" s="148"/>
      <c r="G1413" s="149" t="str">
        <f>IFERROR(VLOOKUP(F1413,#REF!,2,0),"")</f>
        <v/>
      </c>
      <c r="H1413" s="150" t="str">
        <f>IFERROR(VLOOKUP(F1413,#REF!,3,0),"")</f>
        <v/>
      </c>
      <c r="I1413" s="151"/>
      <c r="J1413" s="151"/>
      <c r="K1413" s="152"/>
      <c r="L1413" s="153"/>
      <c r="M1413" s="154"/>
      <c r="N1413" s="151"/>
      <c r="O1413" s="155"/>
      <c r="P1413" s="156"/>
      <c r="Q1413" s="156"/>
      <c r="R1413" s="156"/>
      <c r="S1413" s="156"/>
      <c r="T1413" s="156"/>
      <c r="U1413" s="156"/>
      <c r="V1413" s="156"/>
      <c r="W1413" s="156"/>
      <c r="X1413" s="156"/>
      <c r="Y1413" s="156"/>
      <c r="Z1413" s="156"/>
      <c r="AA1413" s="156"/>
      <c r="AB1413" s="158">
        <f t="shared" si="453"/>
        <v>0</v>
      </c>
      <c r="AC1413" s="198"/>
      <c r="AE1413" s="160" t="str">
        <f t="shared" si="454"/>
        <v/>
      </c>
      <c r="AF1413" s="161">
        <f>IFERROR(VLOOKUP($F1413&amp;"-"&amp;$J1413,#REF!,#REF!+6,0),0)</f>
        <v>0</v>
      </c>
      <c r="AG1413" s="162">
        <f>IFERROR(VLOOKUP($F1413&amp;"-"&amp;$J1413,#REF!,#REF!+6,0),0)</f>
        <v>0</v>
      </c>
      <c r="AH1413" s="162">
        <f>IFERROR(VLOOKUP($F1413&amp;"-"&amp;$J1413,#REF!,#REF!+6,0),0)</f>
        <v>0</v>
      </c>
      <c r="AI1413" s="162">
        <f>IFERROR(VLOOKUP($F1413&amp;"-"&amp;$J1413,#REF!,#REF!+6,0),0)</f>
        <v>0</v>
      </c>
      <c r="AJ1413" s="162">
        <f>IFERROR(VLOOKUP($F1413&amp;"-"&amp;$J1413,#REF!,#REF!+6,0),0)</f>
        <v>0</v>
      </c>
      <c r="AK1413" s="162">
        <f>IFERROR(VLOOKUP($F1413&amp;"-"&amp;$J1413,#REF!,#REF!+6,0),0)</f>
        <v>0</v>
      </c>
      <c r="AL1413" s="162">
        <f>IFERROR(VLOOKUP($F1413&amp;"-"&amp;$J1413,#REF!,#REF!+6,0),0)</f>
        <v>0</v>
      </c>
      <c r="AM1413" s="162">
        <f>IFERROR(VLOOKUP($F1413&amp;"-"&amp;$J1413,#REF!,#REF!+6,0),0)</f>
        <v>0</v>
      </c>
      <c r="AN1413" s="162">
        <f>IFERROR(VLOOKUP($F1413&amp;"-"&amp;$J1413,#REF!,#REF!+6,0),0)</f>
        <v>0</v>
      </c>
      <c r="AO1413" s="162">
        <f>IFERROR(VLOOKUP($F1413&amp;"-"&amp;$J1413,#REF!,#REF!+6,0),0)</f>
        <v>0</v>
      </c>
      <c r="AP1413" s="162">
        <f>IFERROR(VLOOKUP($F1413&amp;"-"&amp;$J1413,#REF!,#REF!+6,0),0)</f>
        <v>0</v>
      </c>
      <c r="AQ1413" s="162">
        <f>IFERROR(VLOOKUP($F1413&amp;"-"&amp;$J1413,#REF!,#REF!+6,0),0)</f>
        <v>0</v>
      </c>
      <c r="AR1413" s="163">
        <f t="shared" si="455"/>
        <v>0</v>
      </c>
    </row>
    <row r="1414" spans="2:44" x14ac:dyDescent="0.25">
      <c r="B1414" s="15" t="s">
        <v>226</v>
      </c>
      <c r="C1414" s="83">
        <f t="shared" si="452"/>
        <v>0</v>
      </c>
      <c r="F1414" s="148"/>
      <c r="G1414" s="149" t="str">
        <f>IFERROR(VLOOKUP(F1414,#REF!,2,0),"")</f>
        <v/>
      </c>
      <c r="H1414" s="150" t="str">
        <f>IFERROR(VLOOKUP(F1414,#REF!,3,0),"")</f>
        <v/>
      </c>
      <c r="I1414" s="151"/>
      <c r="J1414" s="151"/>
      <c r="K1414" s="152"/>
      <c r="L1414" s="153"/>
      <c r="M1414" s="154"/>
      <c r="N1414" s="151"/>
      <c r="O1414" s="155"/>
      <c r="P1414" s="156"/>
      <c r="Q1414" s="156"/>
      <c r="R1414" s="156"/>
      <c r="S1414" s="156"/>
      <c r="T1414" s="156"/>
      <c r="U1414" s="156"/>
      <c r="V1414" s="156"/>
      <c r="W1414" s="156"/>
      <c r="X1414" s="156"/>
      <c r="Y1414" s="156"/>
      <c r="Z1414" s="156"/>
      <c r="AA1414" s="156"/>
      <c r="AB1414" s="158">
        <f t="shared" si="453"/>
        <v>0</v>
      </c>
      <c r="AC1414" s="198"/>
      <c r="AE1414" s="160" t="str">
        <f t="shared" si="454"/>
        <v/>
      </c>
      <c r="AF1414" s="161">
        <f>IFERROR(VLOOKUP($F1414&amp;"-"&amp;$J1414,#REF!,#REF!+6,0),0)</f>
        <v>0</v>
      </c>
      <c r="AG1414" s="162">
        <f>IFERROR(VLOOKUP($F1414&amp;"-"&amp;$J1414,#REF!,#REF!+6,0),0)</f>
        <v>0</v>
      </c>
      <c r="AH1414" s="162">
        <f>IFERROR(VLOOKUP($F1414&amp;"-"&amp;$J1414,#REF!,#REF!+6,0),0)</f>
        <v>0</v>
      </c>
      <c r="AI1414" s="162">
        <f>IFERROR(VLOOKUP($F1414&amp;"-"&amp;$J1414,#REF!,#REF!+6,0),0)</f>
        <v>0</v>
      </c>
      <c r="AJ1414" s="162">
        <f>IFERROR(VLOOKUP($F1414&amp;"-"&amp;$J1414,#REF!,#REF!+6,0),0)</f>
        <v>0</v>
      </c>
      <c r="AK1414" s="162">
        <f>IFERROR(VLOOKUP($F1414&amp;"-"&amp;$J1414,#REF!,#REF!+6,0),0)</f>
        <v>0</v>
      </c>
      <c r="AL1414" s="162">
        <f>IFERROR(VLOOKUP($F1414&amp;"-"&amp;$J1414,#REF!,#REF!+6,0),0)</f>
        <v>0</v>
      </c>
      <c r="AM1414" s="162">
        <f>IFERROR(VLOOKUP($F1414&amp;"-"&amp;$J1414,#REF!,#REF!+6,0),0)</f>
        <v>0</v>
      </c>
      <c r="AN1414" s="162">
        <f>IFERROR(VLOOKUP($F1414&amp;"-"&amp;$J1414,#REF!,#REF!+6,0),0)</f>
        <v>0</v>
      </c>
      <c r="AO1414" s="162">
        <f>IFERROR(VLOOKUP($F1414&amp;"-"&amp;$J1414,#REF!,#REF!+6,0),0)</f>
        <v>0</v>
      </c>
      <c r="AP1414" s="162">
        <f>IFERROR(VLOOKUP($F1414&amp;"-"&amp;$J1414,#REF!,#REF!+6,0),0)</f>
        <v>0</v>
      </c>
      <c r="AQ1414" s="162">
        <f>IFERROR(VLOOKUP($F1414&amp;"-"&amp;$J1414,#REF!,#REF!+6,0),0)</f>
        <v>0</v>
      </c>
      <c r="AR1414" s="163">
        <f t="shared" si="455"/>
        <v>0</v>
      </c>
    </row>
    <row r="1415" spans="2:44" x14ac:dyDescent="0.25">
      <c r="B1415" s="15" t="s">
        <v>226</v>
      </c>
      <c r="C1415" s="83">
        <f t="shared" si="452"/>
        <v>0</v>
      </c>
      <c r="F1415" s="148"/>
      <c r="G1415" s="149" t="str">
        <f>IFERROR(VLOOKUP(F1415,#REF!,2,0),"")</f>
        <v/>
      </c>
      <c r="H1415" s="150" t="str">
        <f>IFERROR(VLOOKUP(F1415,#REF!,3,0),"")</f>
        <v/>
      </c>
      <c r="I1415" s="151"/>
      <c r="J1415" s="151"/>
      <c r="K1415" s="152"/>
      <c r="L1415" s="153"/>
      <c r="M1415" s="154"/>
      <c r="N1415" s="151"/>
      <c r="O1415" s="155"/>
      <c r="P1415" s="156"/>
      <c r="Q1415" s="156"/>
      <c r="R1415" s="156"/>
      <c r="S1415" s="156"/>
      <c r="T1415" s="156"/>
      <c r="U1415" s="156"/>
      <c r="V1415" s="156"/>
      <c r="W1415" s="156"/>
      <c r="X1415" s="156"/>
      <c r="Y1415" s="156"/>
      <c r="Z1415" s="156"/>
      <c r="AA1415" s="156"/>
      <c r="AB1415" s="158">
        <f t="shared" si="453"/>
        <v>0</v>
      </c>
      <c r="AC1415" s="198"/>
      <c r="AE1415" s="160" t="str">
        <f t="shared" si="454"/>
        <v/>
      </c>
      <c r="AF1415" s="161">
        <f>IFERROR(VLOOKUP($F1415&amp;"-"&amp;$J1415,#REF!,#REF!+6,0),0)</f>
        <v>0</v>
      </c>
      <c r="AG1415" s="162">
        <f>IFERROR(VLOOKUP($F1415&amp;"-"&amp;$J1415,#REF!,#REF!+6,0),0)</f>
        <v>0</v>
      </c>
      <c r="AH1415" s="162">
        <f>IFERROR(VLOOKUP($F1415&amp;"-"&amp;$J1415,#REF!,#REF!+6,0),0)</f>
        <v>0</v>
      </c>
      <c r="AI1415" s="162">
        <f>IFERROR(VLOOKUP($F1415&amp;"-"&amp;$J1415,#REF!,#REF!+6,0),0)</f>
        <v>0</v>
      </c>
      <c r="AJ1415" s="162">
        <f>IFERROR(VLOOKUP($F1415&amp;"-"&amp;$J1415,#REF!,#REF!+6,0),0)</f>
        <v>0</v>
      </c>
      <c r="AK1415" s="162">
        <f>IFERROR(VLOOKUP($F1415&amp;"-"&amp;$J1415,#REF!,#REF!+6,0),0)</f>
        <v>0</v>
      </c>
      <c r="AL1415" s="162">
        <f>IFERROR(VLOOKUP($F1415&amp;"-"&amp;$J1415,#REF!,#REF!+6,0),0)</f>
        <v>0</v>
      </c>
      <c r="AM1415" s="162">
        <f>IFERROR(VLOOKUP($F1415&amp;"-"&amp;$J1415,#REF!,#REF!+6,0),0)</f>
        <v>0</v>
      </c>
      <c r="AN1415" s="162">
        <f>IFERROR(VLOOKUP($F1415&amp;"-"&amp;$J1415,#REF!,#REF!+6,0),0)</f>
        <v>0</v>
      </c>
      <c r="AO1415" s="162">
        <f>IFERROR(VLOOKUP($F1415&amp;"-"&amp;$J1415,#REF!,#REF!+6,0),0)</f>
        <v>0</v>
      </c>
      <c r="AP1415" s="162">
        <f>IFERROR(VLOOKUP($F1415&amp;"-"&amp;$J1415,#REF!,#REF!+6,0),0)</f>
        <v>0</v>
      </c>
      <c r="AQ1415" s="162">
        <f>IFERROR(VLOOKUP($F1415&amp;"-"&amp;$J1415,#REF!,#REF!+6,0),0)</f>
        <v>0</v>
      </c>
      <c r="AR1415" s="163">
        <f t="shared" si="455"/>
        <v>0</v>
      </c>
    </row>
    <row r="1416" spans="2:44" x14ac:dyDescent="0.25">
      <c r="B1416" s="15" t="s">
        <v>226</v>
      </c>
      <c r="C1416" s="83">
        <f t="shared" si="452"/>
        <v>0</v>
      </c>
      <c r="F1416" s="148"/>
      <c r="G1416" s="149" t="str">
        <f>IFERROR(VLOOKUP(F1416,#REF!,2,0),"")</f>
        <v/>
      </c>
      <c r="H1416" s="150" t="str">
        <f>IFERROR(VLOOKUP(F1416,#REF!,3,0),"")</f>
        <v/>
      </c>
      <c r="I1416" s="151"/>
      <c r="J1416" s="151"/>
      <c r="K1416" s="152"/>
      <c r="L1416" s="153"/>
      <c r="M1416" s="154"/>
      <c r="N1416" s="151"/>
      <c r="O1416" s="155"/>
      <c r="P1416" s="156"/>
      <c r="Q1416" s="156"/>
      <c r="R1416" s="156"/>
      <c r="S1416" s="156"/>
      <c r="T1416" s="156"/>
      <c r="U1416" s="156"/>
      <c r="V1416" s="156"/>
      <c r="W1416" s="156"/>
      <c r="X1416" s="156"/>
      <c r="Y1416" s="156"/>
      <c r="Z1416" s="156"/>
      <c r="AA1416" s="156"/>
      <c r="AB1416" s="158">
        <f t="shared" si="453"/>
        <v>0</v>
      </c>
      <c r="AC1416" s="198"/>
      <c r="AE1416" s="160" t="str">
        <f t="shared" si="454"/>
        <v/>
      </c>
      <c r="AF1416" s="161">
        <f>IFERROR(VLOOKUP($F1416&amp;"-"&amp;$J1416,#REF!,#REF!+6,0),0)</f>
        <v>0</v>
      </c>
      <c r="AG1416" s="162">
        <f>IFERROR(VLOOKUP($F1416&amp;"-"&amp;$J1416,#REF!,#REF!+6,0),0)</f>
        <v>0</v>
      </c>
      <c r="AH1416" s="162">
        <f>IFERROR(VLOOKUP($F1416&amp;"-"&amp;$J1416,#REF!,#REF!+6,0),0)</f>
        <v>0</v>
      </c>
      <c r="AI1416" s="162">
        <f>IFERROR(VLOOKUP($F1416&amp;"-"&amp;$J1416,#REF!,#REF!+6,0),0)</f>
        <v>0</v>
      </c>
      <c r="AJ1416" s="162">
        <f>IFERROR(VLOOKUP($F1416&amp;"-"&amp;$J1416,#REF!,#REF!+6,0),0)</f>
        <v>0</v>
      </c>
      <c r="AK1416" s="162">
        <f>IFERROR(VLOOKUP($F1416&amp;"-"&amp;$J1416,#REF!,#REF!+6,0),0)</f>
        <v>0</v>
      </c>
      <c r="AL1416" s="162">
        <f>IFERROR(VLOOKUP($F1416&amp;"-"&amp;$J1416,#REF!,#REF!+6,0),0)</f>
        <v>0</v>
      </c>
      <c r="AM1416" s="162">
        <f>IFERROR(VLOOKUP($F1416&amp;"-"&amp;$J1416,#REF!,#REF!+6,0),0)</f>
        <v>0</v>
      </c>
      <c r="AN1416" s="162">
        <f>IFERROR(VLOOKUP($F1416&amp;"-"&amp;$J1416,#REF!,#REF!+6,0),0)</f>
        <v>0</v>
      </c>
      <c r="AO1416" s="162">
        <f>IFERROR(VLOOKUP($F1416&amp;"-"&amp;$J1416,#REF!,#REF!+6,0),0)</f>
        <v>0</v>
      </c>
      <c r="AP1416" s="162">
        <f>IFERROR(VLOOKUP($F1416&amp;"-"&amp;$J1416,#REF!,#REF!+6,0),0)</f>
        <v>0</v>
      </c>
      <c r="AQ1416" s="162">
        <f>IFERROR(VLOOKUP($F1416&amp;"-"&amp;$J1416,#REF!,#REF!+6,0),0)</f>
        <v>0</v>
      </c>
      <c r="AR1416" s="163">
        <f t="shared" si="455"/>
        <v>0</v>
      </c>
    </row>
    <row r="1417" spans="2:44" x14ac:dyDescent="0.25">
      <c r="B1417" s="15" t="s">
        <v>226</v>
      </c>
      <c r="C1417" s="83">
        <f t="shared" si="452"/>
        <v>0</v>
      </c>
      <c r="F1417" s="148"/>
      <c r="G1417" s="149" t="str">
        <f>IFERROR(VLOOKUP(F1417,#REF!,2,0),"")</f>
        <v/>
      </c>
      <c r="H1417" s="150" t="str">
        <f>IFERROR(VLOOKUP(F1417,#REF!,3,0),"")</f>
        <v/>
      </c>
      <c r="I1417" s="151"/>
      <c r="J1417" s="151"/>
      <c r="K1417" s="152"/>
      <c r="L1417" s="153"/>
      <c r="M1417" s="154"/>
      <c r="N1417" s="151"/>
      <c r="O1417" s="155"/>
      <c r="P1417" s="156"/>
      <c r="Q1417" s="156"/>
      <c r="R1417" s="156"/>
      <c r="S1417" s="156"/>
      <c r="T1417" s="156"/>
      <c r="U1417" s="156"/>
      <c r="V1417" s="156"/>
      <c r="W1417" s="156"/>
      <c r="X1417" s="156"/>
      <c r="Y1417" s="156"/>
      <c r="Z1417" s="156"/>
      <c r="AA1417" s="156"/>
      <c r="AB1417" s="158">
        <f t="shared" si="453"/>
        <v>0</v>
      </c>
      <c r="AC1417" s="198"/>
      <c r="AE1417" s="160" t="str">
        <f t="shared" si="454"/>
        <v/>
      </c>
      <c r="AF1417" s="161">
        <f>IFERROR(VLOOKUP($F1417&amp;"-"&amp;$J1417,#REF!,#REF!+6,0),0)</f>
        <v>0</v>
      </c>
      <c r="AG1417" s="162">
        <f>IFERROR(VLOOKUP($F1417&amp;"-"&amp;$J1417,#REF!,#REF!+6,0),0)</f>
        <v>0</v>
      </c>
      <c r="AH1417" s="162">
        <f>IFERROR(VLOOKUP($F1417&amp;"-"&amp;$J1417,#REF!,#REF!+6,0),0)</f>
        <v>0</v>
      </c>
      <c r="AI1417" s="162">
        <f>IFERROR(VLOOKUP($F1417&amp;"-"&amp;$J1417,#REF!,#REF!+6,0),0)</f>
        <v>0</v>
      </c>
      <c r="AJ1417" s="162">
        <f>IFERROR(VLOOKUP($F1417&amp;"-"&amp;$J1417,#REF!,#REF!+6,0),0)</f>
        <v>0</v>
      </c>
      <c r="AK1417" s="162">
        <f>IFERROR(VLOOKUP($F1417&amp;"-"&amp;$J1417,#REF!,#REF!+6,0),0)</f>
        <v>0</v>
      </c>
      <c r="AL1417" s="162">
        <f>IFERROR(VLOOKUP($F1417&amp;"-"&amp;$J1417,#REF!,#REF!+6,0),0)</f>
        <v>0</v>
      </c>
      <c r="AM1417" s="162">
        <f>IFERROR(VLOOKUP($F1417&amp;"-"&amp;$J1417,#REF!,#REF!+6,0),0)</f>
        <v>0</v>
      </c>
      <c r="AN1417" s="162">
        <f>IFERROR(VLOOKUP($F1417&amp;"-"&amp;$J1417,#REF!,#REF!+6,0),0)</f>
        <v>0</v>
      </c>
      <c r="AO1417" s="162">
        <f>IFERROR(VLOOKUP($F1417&amp;"-"&amp;$J1417,#REF!,#REF!+6,0),0)</f>
        <v>0</v>
      </c>
      <c r="AP1417" s="162">
        <f>IFERROR(VLOOKUP($F1417&amp;"-"&amp;$J1417,#REF!,#REF!+6,0),0)</f>
        <v>0</v>
      </c>
      <c r="AQ1417" s="162">
        <f>IFERROR(VLOOKUP($F1417&amp;"-"&amp;$J1417,#REF!,#REF!+6,0),0)</f>
        <v>0</v>
      </c>
      <c r="AR1417" s="163">
        <f t="shared" si="455"/>
        <v>0</v>
      </c>
    </row>
    <row r="1418" spans="2:44" x14ac:dyDescent="0.25">
      <c r="B1418" s="15" t="s">
        <v>226</v>
      </c>
      <c r="C1418" s="83">
        <f t="shared" si="452"/>
        <v>0</v>
      </c>
      <c r="F1418" s="148"/>
      <c r="G1418" s="149" t="str">
        <f>IFERROR(VLOOKUP(F1418,#REF!,2,0),"")</f>
        <v/>
      </c>
      <c r="H1418" s="150" t="str">
        <f>IFERROR(VLOOKUP(F1418,#REF!,3,0),"")</f>
        <v/>
      </c>
      <c r="I1418" s="151"/>
      <c r="J1418" s="151"/>
      <c r="K1418" s="152"/>
      <c r="L1418" s="153"/>
      <c r="M1418" s="154"/>
      <c r="N1418" s="151"/>
      <c r="O1418" s="155"/>
      <c r="P1418" s="156"/>
      <c r="Q1418" s="156"/>
      <c r="R1418" s="156"/>
      <c r="S1418" s="156"/>
      <c r="T1418" s="156"/>
      <c r="U1418" s="156"/>
      <c r="V1418" s="156"/>
      <c r="W1418" s="156"/>
      <c r="X1418" s="156"/>
      <c r="Y1418" s="156"/>
      <c r="Z1418" s="156"/>
      <c r="AA1418" s="156"/>
      <c r="AB1418" s="158">
        <f t="shared" si="453"/>
        <v>0</v>
      </c>
      <c r="AC1418" s="198"/>
      <c r="AE1418" s="160" t="str">
        <f t="shared" si="454"/>
        <v/>
      </c>
      <c r="AF1418" s="161">
        <f>IFERROR(VLOOKUP($F1418&amp;"-"&amp;$J1418,#REF!,#REF!+6,0),0)</f>
        <v>0</v>
      </c>
      <c r="AG1418" s="162">
        <f>IFERROR(VLOOKUP($F1418&amp;"-"&amp;$J1418,#REF!,#REF!+6,0),0)</f>
        <v>0</v>
      </c>
      <c r="AH1418" s="162">
        <f>IFERROR(VLOOKUP($F1418&amp;"-"&amp;$J1418,#REF!,#REF!+6,0),0)</f>
        <v>0</v>
      </c>
      <c r="AI1418" s="162">
        <f>IFERROR(VLOOKUP($F1418&amp;"-"&amp;$J1418,#REF!,#REF!+6,0),0)</f>
        <v>0</v>
      </c>
      <c r="AJ1418" s="162">
        <f>IFERROR(VLOOKUP($F1418&amp;"-"&amp;$J1418,#REF!,#REF!+6,0),0)</f>
        <v>0</v>
      </c>
      <c r="AK1418" s="162">
        <f>IFERROR(VLOOKUP($F1418&amp;"-"&amp;$J1418,#REF!,#REF!+6,0),0)</f>
        <v>0</v>
      </c>
      <c r="AL1418" s="162">
        <f>IFERROR(VLOOKUP($F1418&amp;"-"&amp;$J1418,#REF!,#REF!+6,0),0)</f>
        <v>0</v>
      </c>
      <c r="AM1418" s="162">
        <f>IFERROR(VLOOKUP($F1418&amp;"-"&amp;$J1418,#REF!,#REF!+6,0),0)</f>
        <v>0</v>
      </c>
      <c r="AN1418" s="162">
        <f>IFERROR(VLOOKUP($F1418&amp;"-"&amp;$J1418,#REF!,#REF!+6,0),0)</f>
        <v>0</v>
      </c>
      <c r="AO1418" s="162">
        <f>IFERROR(VLOOKUP($F1418&amp;"-"&amp;$J1418,#REF!,#REF!+6,0),0)</f>
        <v>0</v>
      </c>
      <c r="AP1418" s="162">
        <f>IFERROR(VLOOKUP($F1418&amp;"-"&amp;$J1418,#REF!,#REF!+6,0),0)</f>
        <v>0</v>
      </c>
      <c r="AQ1418" s="162">
        <f>IFERROR(VLOOKUP($F1418&amp;"-"&amp;$J1418,#REF!,#REF!+6,0),0)</f>
        <v>0</v>
      </c>
      <c r="AR1418" s="163">
        <f t="shared" si="455"/>
        <v>0</v>
      </c>
    </row>
    <row r="1419" spans="2:44" x14ac:dyDescent="0.25">
      <c r="B1419" s="15" t="s">
        <v>226</v>
      </c>
      <c r="C1419" s="83">
        <f t="shared" si="452"/>
        <v>0</v>
      </c>
      <c r="F1419" s="148"/>
      <c r="G1419" s="149" t="str">
        <f>IFERROR(VLOOKUP(F1419,#REF!,2,0),"")</f>
        <v/>
      </c>
      <c r="H1419" s="150" t="str">
        <f>IFERROR(VLOOKUP(F1419,#REF!,3,0),"")</f>
        <v/>
      </c>
      <c r="I1419" s="151"/>
      <c r="J1419" s="151"/>
      <c r="K1419" s="152"/>
      <c r="L1419" s="153"/>
      <c r="M1419" s="154"/>
      <c r="N1419" s="151"/>
      <c r="O1419" s="155"/>
      <c r="P1419" s="156"/>
      <c r="Q1419" s="156"/>
      <c r="R1419" s="156"/>
      <c r="S1419" s="156"/>
      <c r="T1419" s="156"/>
      <c r="U1419" s="156"/>
      <c r="V1419" s="156"/>
      <c r="W1419" s="156"/>
      <c r="X1419" s="156"/>
      <c r="Y1419" s="156"/>
      <c r="Z1419" s="156"/>
      <c r="AA1419" s="156"/>
      <c r="AB1419" s="158">
        <f t="shared" si="453"/>
        <v>0</v>
      </c>
      <c r="AC1419" s="198"/>
      <c r="AE1419" s="160" t="str">
        <f t="shared" si="454"/>
        <v/>
      </c>
      <c r="AF1419" s="161">
        <f>IFERROR(VLOOKUP($F1419&amp;"-"&amp;$J1419,#REF!,#REF!+6,0),0)</f>
        <v>0</v>
      </c>
      <c r="AG1419" s="162">
        <f>IFERROR(VLOOKUP($F1419&amp;"-"&amp;$J1419,#REF!,#REF!+6,0),0)</f>
        <v>0</v>
      </c>
      <c r="AH1419" s="162">
        <f>IFERROR(VLOOKUP($F1419&amp;"-"&amp;$J1419,#REF!,#REF!+6,0),0)</f>
        <v>0</v>
      </c>
      <c r="AI1419" s="162">
        <f>IFERROR(VLOOKUP($F1419&amp;"-"&amp;$J1419,#REF!,#REF!+6,0),0)</f>
        <v>0</v>
      </c>
      <c r="AJ1419" s="162">
        <f>IFERROR(VLOOKUP($F1419&amp;"-"&amp;$J1419,#REF!,#REF!+6,0),0)</f>
        <v>0</v>
      </c>
      <c r="AK1419" s="162">
        <f>IFERROR(VLOOKUP($F1419&amp;"-"&amp;$J1419,#REF!,#REF!+6,0),0)</f>
        <v>0</v>
      </c>
      <c r="AL1419" s="162">
        <f>IFERROR(VLOOKUP($F1419&amp;"-"&amp;$J1419,#REF!,#REF!+6,0),0)</f>
        <v>0</v>
      </c>
      <c r="AM1419" s="162">
        <f>IFERROR(VLOOKUP($F1419&amp;"-"&amp;$J1419,#REF!,#REF!+6,0),0)</f>
        <v>0</v>
      </c>
      <c r="AN1419" s="162">
        <f>IFERROR(VLOOKUP($F1419&amp;"-"&amp;$J1419,#REF!,#REF!+6,0),0)</f>
        <v>0</v>
      </c>
      <c r="AO1419" s="162">
        <f>IFERROR(VLOOKUP($F1419&amp;"-"&amp;$J1419,#REF!,#REF!+6,0),0)</f>
        <v>0</v>
      </c>
      <c r="AP1419" s="162">
        <f>IFERROR(VLOOKUP($F1419&amp;"-"&amp;$J1419,#REF!,#REF!+6,0),0)</f>
        <v>0</v>
      </c>
      <c r="AQ1419" s="162">
        <f>IFERROR(VLOOKUP($F1419&amp;"-"&amp;$J1419,#REF!,#REF!+6,0),0)</f>
        <v>0</v>
      </c>
      <c r="AR1419" s="163">
        <f t="shared" si="455"/>
        <v>0</v>
      </c>
    </row>
    <row r="1420" spans="2:44" x14ac:dyDescent="0.25">
      <c r="B1420" s="15" t="s">
        <v>226</v>
      </c>
      <c r="C1420" s="83">
        <f t="shared" si="452"/>
        <v>0</v>
      </c>
      <c r="F1420" s="148"/>
      <c r="G1420" s="149" t="str">
        <f>IFERROR(VLOOKUP(F1420,#REF!,2,0),"")</f>
        <v/>
      </c>
      <c r="H1420" s="150" t="str">
        <f>IFERROR(VLOOKUP(F1420,#REF!,3,0),"")</f>
        <v/>
      </c>
      <c r="I1420" s="151"/>
      <c r="J1420" s="151"/>
      <c r="K1420" s="152"/>
      <c r="L1420" s="153"/>
      <c r="M1420" s="154"/>
      <c r="N1420" s="151"/>
      <c r="O1420" s="155"/>
      <c r="P1420" s="156"/>
      <c r="Q1420" s="156"/>
      <c r="R1420" s="156"/>
      <c r="S1420" s="156"/>
      <c r="T1420" s="156"/>
      <c r="U1420" s="156"/>
      <c r="V1420" s="156"/>
      <c r="W1420" s="156"/>
      <c r="X1420" s="156"/>
      <c r="Y1420" s="156"/>
      <c r="Z1420" s="156"/>
      <c r="AA1420" s="156"/>
      <c r="AB1420" s="158">
        <f t="shared" si="453"/>
        <v>0</v>
      </c>
      <c r="AC1420" s="198"/>
      <c r="AE1420" s="160" t="str">
        <f t="shared" si="454"/>
        <v/>
      </c>
      <c r="AF1420" s="161">
        <f>IFERROR(VLOOKUP($F1420&amp;"-"&amp;$J1420,#REF!,#REF!+6,0),0)</f>
        <v>0</v>
      </c>
      <c r="AG1420" s="162">
        <f>IFERROR(VLOOKUP($F1420&amp;"-"&amp;$J1420,#REF!,#REF!+6,0),0)</f>
        <v>0</v>
      </c>
      <c r="AH1420" s="162">
        <f>IFERROR(VLOOKUP($F1420&amp;"-"&amp;$J1420,#REF!,#REF!+6,0),0)</f>
        <v>0</v>
      </c>
      <c r="AI1420" s="162">
        <f>IFERROR(VLOOKUP($F1420&amp;"-"&amp;$J1420,#REF!,#REF!+6,0),0)</f>
        <v>0</v>
      </c>
      <c r="AJ1420" s="162">
        <f>IFERROR(VLOOKUP($F1420&amp;"-"&amp;$J1420,#REF!,#REF!+6,0),0)</f>
        <v>0</v>
      </c>
      <c r="AK1420" s="162">
        <f>IFERROR(VLOOKUP($F1420&amp;"-"&amp;$J1420,#REF!,#REF!+6,0),0)</f>
        <v>0</v>
      </c>
      <c r="AL1420" s="162">
        <f>IFERROR(VLOOKUP($F1420&amp;"-"&amp;$J1420,#REF!,#REF!+6,0),0)</f>
        <v>0</v>
      </c>
      <c r="AM1420" s="162">
        <f>IFERROR(VLOOKUP($F1420&amp;"-"&amp;$J1420,#REF!,#REF!+6,0),0)</f>
        <v>0</v>
      </c>
      <c r="AN1420" s="162">
        <f>IFERROR(VLOOKUP($F1420&amp;"-"&amp;$J1420,#REF!,#REF!+6,0),0)</f>
        <v>0</v>
      </c>
      <c r="AO1420" s="162">
        <f>IFERROR(VLOOKUP($F1420&amp;"-"&amp;$J1420,#REF!,#REF!+6,0),0)</f>
        <v>0</v>
      </c>
      <c r="AP1420" s="162">
        <f>IFERROR(VLOOKUP($F1420&amp;"-"&amp;$J1420,#REF!,#REF!+6,0),0)</f>
        <v>0</v>
      </c>
      <c r="AQ1420" s="162">
        <f>IFERROR(VLOOKUP($F1420&amp;"-"&amp;$J1420,#REF!,#REF!+6,0),0)</f>
        <v>0</v>
      </c>
      <c r="AR1420" s="163">
        <f t="shared" si="455"/>
        <v>0</v>
      </c>
    </row>
    <row r="1421" spans="2:44" x14ac:dyDescent="0.25">
      <c r="B1421" s="15" t="s">
        <v>226</v>
      </c>
      <c r="C1421" s="83">
        <f t="shared" si="452"/>
        <v>0</v>
      </c>
      <c r="F1421" s="148"/>
      <c r="G1421" s="149" t="str">
        <f>IFERROR(VLOOKUP(F1421,#REF!,2,0),"")</f>
        <v/>
      </c>
      <c r="H1421" s="150" t="str">
        <f>IFERROR(VLOOKUP(F1421,#REF!,3,0),"")</f>
        <v/>
      </c>
      <c r="I1421" s="151"/>
      <c r="J1421" s="151"/>
      <c r="K1421" s="152"/>
      <c r="L1421" s="153"/>
      <c r="M1421" s="154"/>
      <c r="N1421" s="151"/>
      <c r="O1421" s="155"/>
      <c r="P1421" s="156"/>
      <c r="Q1421" s="156"/>
      <c r="R1421" s="156"/>
      <c r="S1421" s="156"/>
      <c r="T1421" s="156"/>
      <c r="U1421" s="156"/>
      <c r="V1421" s="156"/>
      <c r="W1421" s="156"/>
      <c r="X1421" s="156"/>
      <c r="Y1421" s="156"/>
      <c r="Z1421" s="156"/>
      <c r="AA1421" s="156"/>
      <c r="AB1421" s="158">
        <f t="shared" si="453"/>
        <v>0</v>
      </c>
      <c r="AC1421" s="198"/>
      <c r="AE1421" s="160" t="str">
        <f t="shared" si="454"/>
        <v/>
      </c>
      <c r="AF1421" s="161">
        <f>IFERROR(VLOOKUP($F1421&amp;"-"&amp;$J1421,#REF!,#REF!+6,0),0)</f>
        <v>0</v>
      </c>
      <c r="AG1421" s="162">
        <f>IFERROR(VLOOKUP($F1421&amp;"-"&amp;$J1421,#REF!,#REF!+6,0),0)</f>
        <v>0</v>
      </c>
      <c r="AH1421" s="162">
        <f>IFERROR(VLOOKUP($F1421&amp;"-"&amp;$J1421,#REF!,#REF!+6,0),0)</f>
        <v>0</v>
      </c>
      <c r="AI1421" s="162">
        <f>IFERROR(VLOOKUP($F1421&amp;"-"&amp;$J1421,#REF!,#REF!+6,0),0)</f>
        <v>0</v>
      </c>
      <c r="AJ1421" s="162">
        <f>IFERROR(VLOOKUP($F1421&amp;"-"&amp;$J1421,#REF!,#REF!+6,0),0)</f>
        <v>0</v>
      </c>
      <c r="AK1421" s="162">
        <f>IFERROR(VLOOKUP($F1421&amp;"-"&amp;$J1421,#REF!,#REF!+6,0),0)</f>
        <v>0</v>
      </c>
      <c r="AL1421" s="162">
        <f>IFERROR(VLOOKUP($F1421&amp;"-"&amp;$J1421,#REF!,#REF!+6,0),0)</f>
        <v>0</v>
      </c>
      <c r="AM1421" s="162">
        <f>IFERROR(VLOOKUP($F1421&amp;"-"&amp;$J1421,#REF!,#REF!+6,0),0)</f>
        <v>0</v>
      </c>
      <c r="AN1421" s="162">
        <f>IFERROR(VLOOKUP($F1421&amp;"-"&amp;$J1421,#REF!,#REF!+6,0),0)</f>
        <v>0</v>
      </c>
      <c r="AO1421" s="162">
        <f>IFERROR(VLOOKUP($F1421&amp;"-"&amp;$J1421,#REF!,#REF!+6,0),0)</f>
        <v>0</v>
      </c>
      <c r="AP1421" s="162">
        <f>IFERROR(VLOOKUP($F1421&amp;"-"&amp;$J1421,#REF!,#REF!+6,0),0)</f>
        <v>0</v>
      </c>
      <c r="AQ1421" s="162">
        <f>IFERROR(VLOOKUP($F1421&amp;"-"&amp;$J1421,#REF!,#REF!+6,0),0)</f>
        <v>0</v>
      </c>
      <c r="AR1421" s="163">
        <f t="shared" si="455"/>
        <v>0</v>
      </c>
    </row>
    <row r="1422" spans="2:44" x14ac:dyDescent="0.25">
      <c r="B1422" s="15" t="s">
        <v>226</v>
      </c>
      <c r="C1422" s="83">
        <f t="shared" si="452"/>
        <v>0</v>
      </c>
      <c r="F1422" s="148"/>
      <c r="G1422" s="149" t="str">
        <f>IFERROR(VLOOKUP(F1422,#REF!,2,0),"")</f>
        <v/>
      </c>
      <c r="H1422" s="150" t="str">
        <f>IFERROR(VLOOKUP(F1422,#REF!,3,0),"")</f>
        <v/>
      </c>
      <c r="I1422" s="151"/>
      <c r="J1422" s="151"/>
      <c r="K1422" s="152"/>
      <c r="L1422" s="153"/>
      <c r="M1422" s="154"/>
      <c r="N1422" s="151"/>
      <c r="O1422" s="155"/>
      <c r="P1422" s="156"/>
      <c r="Q1422" s="156"/>
      <c r="R1422" s="156"/>
      <c r="S1422" s="156"/>
      <c r="T1422" s="156"/>
      <c r="U1422" s="156"/>
      <c r="V1422" s="156"/>
      <c r="W1422" s="156"/>
      <c r="X1422" s="156"/>
      <c r="Y1422" s="156"/>
      <c r="Z1422" s="156"/>
      <c r="AA1422" s="156"/>
      <c r="AB1422" s="158">
        <f t="shared" si="453"/>
        <v>0</v>
      </c>
      <c r="AC1422" s="198"/>
      <c r="AE1422" s="160" t="str">
        <f t="shared" si="454"/>
        <v/>
      </c>
      <c r="AF1422" s="161">
        <f>IFERROR(VLOOKUP($F1422&amp;"-"&amp;$J1422,#REF!,#REF!+6,0),0)</f>
        <v>0</v>
      </c>
      <c r="AG1422" s="162">
        <f>IFERROR(VLOOKUP($F1422&amp;"-"&amp;$J1422,#REF!,#REF!+6,0),0)</f>
        <v>0</v>
      </c>
      <c r="AH1422" s="162">
        <f>IFERROR(VLOOKUP($F1422&amp;"-"&amp;$J1422,#REF!,#REF!+6,0),0)</f>
        <v>0</v>
      </c>
      <c r="AI1422" s="162">
        <f>IFERROR(VLOOKUP($F1422&amp;"-"&amp;$J1422,#REF!,#REF!+6,0),0)</f>
        <v>0</v>
      </c>
      <c r="AJ1422" s="162">
        <f>IFERROR(VLOOKUP($F1422&amp;"-"&amp;$J1422,#REF!,#REF!+6,0),0)</f>
        <v>0</v>
      </c>
      <c r="AK1422" s="162">
        <f>IFERROR(VLOOKUP($F1422&amp;"-"&amp;$J1422,#REF!,#REF!+6,0),0)</f>
        <v>0</v>
      </c>
      <c r="AL1422" s="162">
        <f>IFERROR(VLOOKUP($F1422&amp;"-"&amp;$J1422,#REF!,#REF!+6,0),0)</f>
        <v>0</v>
      </c>
      <c r="AM1422" s="162">
        <f>IFERROR(VLOOKUP($F1422&amp;"-"&amp;$J1422,#REF!,#REF!+6,0),0)</f>
        <v>0</v>
      </c>
      <c r="AN1422" s="162">
        <f>IFERROR(VLOOKUP($F1422&amp;"-"&amp;$J1422,#REF!,#REF!+6,0),0)</f>
        <v>0</v>
      </c>
      <c r="AO1422" s="162">
        <f>IFERROR(VLOOKUP($F1422&amp;"-"&amp;$J1422,#REF!,#REF!+6,0),0)</f>
        <v>0</v>
      </c>
      <c r="AP1422" s="162">
        <f>IFERROR(VLOOKUP($F1422&amp;"-"&amp;$J1422,#REF!,#REF!+6,0),0)</f>
        <v>0</v>
      </c>
      <c r="AQ1422" s="162">
        <f>IFERROR(VLOOKUP($F1422&amp;"-"&amp;$J1422,#REF!,#REF!+6,0),0)</f>
        <v>0</v>
      </c>
      <c r="AR1422" s="163">
        <f t="shared" si="455"/>
        <v>0</v>
      </c>
    </row>
    <row r="1423" spans="2:44" x14ac:dyDescent="0.25">
      <c r="B1423" s="15" t="s">
        <v>226</v>
      </c>
      <c r="C1423" s="83">
        <f t="shared" si="452"/>
        <v>0</v>
      </c>
      <c r="F1423" s="148"/>
      <c r="G1423" s="149" t="str">
        <f>IFERROR(VLOOKUP(F1423,#REF!,2,0),"")</f>
        <v/>
      </c>
      <c r="H1423" s="150" t="str">
        <f>IFERROR(VLOOKUP(F1423,#REF!,3,0),"")</f>
        <v/>
      </c>
      <c r="I1423" s="151"/>
      <c r="J1423" s="151"/>
      <c r="K1423" s="152"/>
      <c r="L1423" s="153"/>
      <c r="M1423" s="154"/>
      <c r="N1423" s="151"/>
      <c r="O1423" s="155"/>
      <c r="P1423" s="156"/>
      <c r="Q1423" s="156"/>
      <c r="R1423" s="156"/>
      <c r="S1423" s="156"/>
      <c r="T1423" s="156"/>
      <c r="U1423" s="156"/>
      <c r="V1423" s="156"/>
      <c r="W1423" s="156"/>
      <c r="X1423" s="156"/>
      <c r="Y1423" s="156"/>
      <c r="Z1423" s="156"/>
      <c r="AA1423" s="156"/>
      <c r="AB1423" s="158">
        <f t="shared" si="453"/>
        <v>0</v>
      </c>
      <c r="AC1423" s="198"/>
      <c r="AE1423" s="160" t="str">
        <f t="shared" si="454"/>
        <v/>
      </c>
      <c r="AF1423" s="161">
        <f>IFERROR(VLOOKUP($F1423&amp;"-"&amp;$J1423,#REF!,#REF!+6,0),0)</f>
        <v>0</v>
      </c>
      <c r="AG1423" s="162">
        <f>IFERROR(VLOOKUP($F1423&amp;"-"&amp;$J1423,#REF!,#REF!+6,0),0)</f>
        <v>0</v>
      </c>
      <c r="AH1423" s="162">
        <f>IFERROR(VLOOKUP($F1423&amp;"-"&amp;$J1423,#REF!,#REF!+6,0),0)</f>
        <v>0</v>
      </c>
      <c r="AI1423" s="162">
        <f>IFERROR(VLOOKUP($F1423&amp;"-"&amp;$J1423,#REF!,#REF!+6,0),0)</f>
        <v>0</v>
      </c>
      <c r="AJ1423" s="162">
        <f>IFERROR(VLOOKUP($F1423&amp;"-"&amp;$J1423,#REF!,#REF!+6,0),0)</f>
        <v>0</v>
      </c>
      <c r="AK1423" s="162">
        <f>IFERROR(VLOOKUP($F1423&amp;"-"&amp;$J1423,#REF!,#REF!+6,0),0)</f>
        <v>0</v>
      </c>
      <c r="AL1423" s="162">
        <f>IFERROR(VLOOKUP($F1423&amp;"-"&amp;$J1423,#REF!,#REF!+6,0),0)</f>
        <v>0</v>
      </c>
      <c r="AM1423" s="162">
        <f>IFERROR(VLOOKUP($F1423&amp;"-"&amp;$J1423,#REF!,#REF!+6,0),0)</f>
        <v>0</v>
      </c>
      <c r="AN1423" s="162">
        <f>IFERROR(VLOOKUP($F1423&amp;"-"&amp;$J1423,#REF!,#REF!+6,0),0)</f>
        <v>0</v>
      </c>
      <c r="AO1423" s="162">
        <f>IFERROR(VLOOKUP($F1423&amp;"-"&amp;$J1423,#REF!,#REF!+6,0),0)</f>
        <v>0</v>
      </c>
      <c r="AP1423" s="162">
        <f>IFERROR(VLOOKUP($F1423&amp;"-"&amp;$J1423,#REF!,#REF!+6,0),0)</f>
        <v>0</v>
      </c>
      <c r="AQ1423" s="162">
        <f>IFERROR(VLOOKUP($F1423&amp;"-"&amp;$J1423,#REF!,#REF!+6,0),0)</f>
        <v>0</v>
      </c>
      <c r="AR1423" s="163">
        <f t="shared" si="455"/>
        <v>0</v>
      </c>
    </row>
    <row r="1424" spans="2:44" x14ac:dyDescent="0.25">
      <c r="B1424" s="15" t="s">
        <v>226</v>
      </c>
      <c r="C1424" s="83">
        <f t="shared" si="452"/>
        <v>0</v>
      </c>
      <c r="F1424" s="148"/>
      <c r="G1424" s="149" t="str">
        <f>IFERROR(VLOOKUP(F1424,#REF!,2,0),"")</f>
        <v/>
      </c>
      <c r="H1424" s="150" t="str">
        <f>IFERROR(VLOOKUP(F1424,#REF!,3,0),"")</f>
        <v/>
      </c>
      <c r="I1424" s="151"/>
      <c r="J1424" s="151"/>
      <c r="K1424" s="152"/>
      <c r="L1424" s="153"/>
      <c r="M1424" s="154"/>
      <c r="N1424" s="151"/>
      <c r="O1424" s="155"/>
      <c r="P1424" s="156"/>
      <c r="Q1424" s="156"/>
      <c r="R1424" s="156"/>
      <c r="S1424" s="156"/>
      <c r="T1424" s="156"/>
      <c r="U1424" s="156"/>
      <c r="V1424" s="156"/>
      <c r="W1424" s="156"/>
      <c r="X1424" s="156"/>
      <c r="Y1424" s="156"/>
      <c r="Z1424" s="156"/>
      <c r="AA1424" s="156"/>
      <c r="AB1424" s="158">
        <f t="shared" si="453"/>
        <v>0</v>
      </c>
      <c r="AC1424" s="198"/>
      <c r="AE1424" s="160" t="str">
        <f t="shared" si="454"/>
        <v/>
      </c>
      <c r="AF1424" s="161">
        <f>IFERROR(VLOOKUP($F1424&amp;"-"&amp;$J1424,#REF!,#REF!+6,0),0)</f>
        <v>0</v>
      </c>
      <c r="AG1424" s="162">
        <f>IFERROR(VLOOKUP($F1424&amp;"-"&amp;$J1424,#REF!,#REF!+6,0),0)</f>
        <v>0</v>
      </c>
      <c r="AH1424" s="162">
        <f>IFERROR(VLOOKUP($F1424&amp;"-"&amp;$J1424,#REF!,#REF!+6,0),0)</f>
        <v>0</v>
      </c>
      <c r="AI1424" s="162">
        <f>IFERROR(VLOOKUP($F1424&amp;"-"&amp;$J1424,#REF!,#REF!+6,0),0)</f>
        <v>0</v>
      </c>
      <c r="AJ1424" s="162">
        <f>IFERROR(VLOOKUP($F1424&amp;"-"&amp;$J1424,#REF!,#REF!+6,0),0)</f>
        <v>0</v>
      </c>
      <c r="AK1424" s="162">
        <f>IFERROR(VLOOKUP($F1424&amp;"-"&amp;$J1424,#REF!,#REF!+6,0),0)</f>
        <v>0</v>
      </c>
      <c r="AL1424" s="162">
        <f>IFERROR(VLOOKUP($F1424&amp;"-"&amp;$J1424,#REF!,#REF!+6,0),0)</f>
        <v>0</v>
      </c>
      <c r="AM1424" s="162">
        <f>IFERROR(VLOOKUP($F1424&amp;"-"&amp;$J1424,#REF!,#REF!+6,0),0)</f>
        <v>0</v>
      </c>
      <c r="AN1424" s="162">
        <f>IFERROR(VLOOKUP($F1424&amp;"-"&amp;$J1424,#REF!,#REF!+6,0),0)</f>
        <v>0</v>
      </c>
      <c r="AO1424" s="162">
        <f>IFERROR(VLOOKUP($F1424&amp;"-"&amp;$J1424,#REF!,#REF!+6,0),0)</f>
        <v>0</v>
      </c>
      <c r="AP1424" s="162">
        <f>IFERROR(VLOOKUP($F1424&amp;"-"&amp;$J1424,#REF!,#REF!+6,0),0)</f>
        <v>0</v>
      </c>
      <c r="AQ1424" s="162">
        <f>IFERROR(VLOOKUP($F1424&amp;"-"&amp;$J1424,#REF!,#REF!+6,0),0)</f>
        <v>0</v>
      </c>
      <c r="AR1424" s="163">
        <f t="shared" si="455"/>
        <v>0</v>
      </c>
    </row>
    <row r="1425" spans="1:59" x14ac:dyDescent="0.25">
      <c r="B1425" s="15" t="s">
        <v>226</v>
      </c>
      <c r="C1425" s="83">
        <f t="shared" si="452"/>
        <v>0</v>
      </c>
      <c r="F1425" s="148"/>
      <c r="G1425" s="149" t="str">
        <f>IFERROR(VLOOKUP(F1425,#REF!,2,0),"")</f>
        <v/>
      </c>
      <c r="H1425" s="150" t="str">
        <f>IFERROR(VLOOKUP(F1425,#REF!,3,0),"")</f>
        <v/>
      </c>
      <c r="I1425" s="151"/>
      <c r="J1425" s="151"/>
      <c r="K1425" s="152"/>
      <c r="L1425" s="153"/>
      <c r="M1425" s="154"/>
      <c r="N1425" s="151"/>
      <c r="O1425" s="155"/>
      <c r="P1425" s="156"/>
      <c r="Q1425" s="156"/>
      <c r="R1425" s="156"/>
      <c r="S1425" s="156"/>
      <c r="T1425" s="156"/>
      <c r="U1425" s="156"/>
      <c r="V1425" s="156"/>
      <c r="W1425" s="156"/>
      <c r="X1425" s="156"/>
      <c r="Y1425" s="156"/>
      <c r="Z1425" s="156"/>
      <c r="AA1425" s="156"/>
      <c r="AB1425" s="158">
        <f t="shared" si="453"/>
        <v>0</v>
      </c>
      <c r="AC1425" s="198"/>
      <c r="AE1425" s="160" t="str">
        <f t="shared" si="454"/>
        <v/>
      </c>
      <c r="AF1425" s="161">
        <f>IFERROR(VLOOKUP($F1425&amp;"-"&amp;$J1425,#REF!,#REF!+6,0),0)</f>
        <v>0</v>
      </c>
      <c r="AG1425" s="162">
        <f>IFERROR(VLOOKUP($F1425&amp;"-"&amp;$J1425,#REF!,#REF!+6,0),0)</f>
        <v>0</v>
      </c>
      <c r="AH1425" s="162">
        <f>IFERROR(VLOOKUP($F1425&amp;"-"&amp;$J1425,#REF!,#REF!+6,0),0)</f>
        <v>0</v>
      </c>
      <c r="AI1425" s="162">
        <f>IFERROR(VLOOKUP($F1425&amp;"-"&amp;$J1425,#REF!,#REF!+6,0),0)</f>
        <v>0</v>
      </c>
      <c r="AJ1425" s="162">
        <f>IFERROR(VLOOKUP($F1425&amp;"-"&amp;$J1425,#REF!,#REF!+6,0),0)</f>
        <v>0</v>
      </c>
      <c r="AK1425" s="162">
        <f>IFERROR(VLOOKUP($F1425&amp;"-"&amp;$J1425,#REF!,#REF!+6,0),0)</f>
        <v>0</v>
      </c>
      <c r="AL1425" s="162">
        <f>IFERROR(VLOOKUP($F1425&amp;"-"&amp;$J1425,#REF!,#REF!+6,0),0)</f>
        <v>0</v>
      </c>
      <c r="AM1425" s="162">
        <f>IFERROR(VLOOKUP($F1425&amp;"-"&amp;$J1425,#REF!,#REF!+6,0),0)</f>
        <v>0</v>
      </c>
      <c r="AN1425" s="162">
        <f>IFERROR(VLOOKUP($F1425&amp;"-"&amp;$J1425,#REF!,#REF!+6,0),0)</f>
        <v>0</v>
      </c>
      <c r="AO1425" s="162">
        <f>IFERROR(VLOOKUP($F1425&amp;"-"&amp;$J1425,#REF!,#REF!+6,0),0)</f>
        <v>0</v>
      </c>
      <c r="AP1425" s="162">
        <f>IFERROR(VLOOKUP($F1425&amp;"-"&amp;$J1425,#REF!,#REF!+6,0),0)</f>
        <v>0</v>
      </c>
      <c r="AQ1425" s="162">
        <f>IFERROR(VLOOKUP($F1425&amp;"-"&amp;$J1425,#REF!,#REF!+6,0),0)</f>
        <v>0</v>
      </c>
      <c r="AR1425" s="163">
        <f t="shared" si="455"/>
        <v>0</v>
      </c>
    </row>
    <row r="1426" spans="1:59" x14ac:dyDescent="0.25">
      <c r="B1426" s="15" t="s">
        <v>226</v>
      </c>
      <c r="C1426" s="83">
        <f t="shared" si="452"/>
        <v>0</v>
      </c>
      <c r="F1426" s="164"/>
      <c r="G1426" s="149" t="str">
        <f>IFERROR(VLOOKUP(F1426,#REF!,2,0),"")</f>
        <v/>
      </c>
      <c r="H1426" s="184" t="str">
        <f>IFERROR(VLOOKUP(F1426,#REF!,3,0),"")</f>
        <v/>
      </c>
      <c r="I1426" s="165"/>
      <c r="J1426" s="165"/>
      <c r="K1426" s="166"/>
      <c r="L1426" s="167"/>
      <c r="M1426" s="168"/>
      <c r="N1426" s="165"/>
      <c r="O1426" s="169"/>
      <c r="P1426" s="170"/>
      <c r="Q1426" s="170"/>
      <c r="R1426" s="170"/>
      <c r="S1426" s="170"/>
      <c r="T1426" s="170"/>
      <c r="U1426" s="170"/>
      <c r="V1426" s="170"/>
      <c r="W1426" s="170"/>
      <c r="X1426" s="170"/>
      <c r="Y1426" s="170"/>
      <c r="Z1426" s="170"/>
      <c r="AA1426" s="170"/>
      <c r="AB1426" s="171">
        <f t="shared" si="453"/>
        <v>0</v>
      </c>
      <c r="AC1426" s="172"/>
      <c r="AE1426" s="173" t="str">
        <f t="shared" si="454"/>
        <v/>
      </c>
      <c r="AF1426" s="174">
        <f>IFERROR(VLOOKUP($F1426&amp;"-"&amp;$J1426,#REF!,#REF!+6,0),0)</f>
        <v>0</v>
      </c>
      <c r="AG1426" s="175">
        <f>IFERROR(VLOOKUP($F1426&amp;"-"&amp;$J1426,#REF!,#REF!+6,0),0)</f>
        <v>0</v>
      </c>
      <c r="AH1426" s="175">
        <f>IFERROR(VLOOKUP($F1426&amp;"-"&amp;$J1426,#REF!,#REF!+6,0),0)</f>
        <v>0</v>
      </c>
      <c r="AI1426" s="175">
        <f>IFERROR(VLOOKUP($F1426&amp;"-"&amp;$J1426,#REF!,#REF!+6,0),0)</f>
        <v>0</v>
      </c>
      <c r="AJ1426" s="175">
        <f>IFERROR(VLOOKUP($F1426&amp;"-"&amp;$J1426,#REF!,#REF!+6,0),0)</f>
        <v>0</v>
      </c>
      <c r="AK1426" s="175">
        <f>IFERROR(VLOOKUP($F1426&amp;"-"&amp;$J1426,#REF!,#REF!+6,0),0)</f>
        <v>0</v>
      </c>
      <c r="AL1426" s="175">
        <f>IFERROR(VLOOKUP($F1426&amp;"-"&amp;$J1426,#REF!,#REF!+6,0),0)</f>
        <v>0</v>
      </c>
      <c r="AM1426" s="175">
        <f>IFERROR(VLOOKUP($F1426&amp;"-"&amp;$J1426,#REF!,#REF!+6,0),0)</f>
        <v>0</v>
      </c>
      <c r="AN1426" s="175">
        <f>IFERROR(VLOOKUP($F1426&amp;"-"&amp;$J1426,#REF!,#REF!+6,0),0)</f>
        <v>0</v>
      </c>
      <c r="AO1426" s="175">
        <f>IFERROR(VLOOKUP($F1426&amp;"-"&amp;$J1426,#REF!,#REF!+6,0),0)</f>
        <v>0</v>
      </c>
      <c r="AP1426" s="175">
        <f>IFERROR(VLOOKUP($F1426&amp;"-"&amp;$J1426,#REF!,#REF!+6,0),0)</f>
        <v>0</v>
      </c>
      <c r="AQ1426" s="175">
        <f>IFERROR(VLOOKUP($F1426&amp;"-"&amp;$J1426,#REF!,#REF!+6,0),0)</f>
        <v>0</v>
      </c>
      <c r="AR1426" s="176">
        <f t="shared" si="455"/>
        <v>0</v>
      </c>
    </row>
    <row r="1427" spans="1:59" ht="38.25" x14ac:dyDescent="0.25">
      <c r="C1427" s="83"/>
      <c r="F1427" s="137" t="s">
        <v>228</v>
      </c>
      <c r="G1427" s="138"/>
      <c r="H1427" s="139" t="s">
        <v>217</v>
      </c>
      <c r="I1427" s="139" t="s">
        <v>218</v>
      </c>
      <c r="J1427" s="139" t="s">
        <v>229</v>
      </c>
      <c r="K1427" s="139" t="s">
        <v>230</v>
      </c>
      <c r="L1427" s="143" t="s">
        <v>231</v>
      </c>
      <c r="M1427" s="142" t="s">
        <v>232</v>
      </c>
      <c r="N1427" s="142" t="s">
        <v>233</v>
      </c>
      <c r="O1427" s="143" t="s">
        <v>222</v>
      </c>
      <c r="P1427" s="35">
        <f t="shared" ref="P1427:AA1427" si="456">P$9</f>
        <v>46113</v>
      </c>
      <c r="Q1427" s="35">
        <f t="shared" si="456"/>
        <v>46143</v>
      </c>
      <c r="R1427" s="35">
        <f t="shared" si="456"/>
        <v>46174</v>
      </c>
      <c r="S1427" s="35">
        <f t="shared" si="456"/>
        <v>46204</v>
      </c>
      <c r="T1427" s="35">
        <f t="shared" si="456"/>
        <v>46235</v>
      </c>
      <c r="U1427" s="35">
        <f t="shared" si="456"/>
        <v>46266</v>
      </c>
      <c r="V1427" s="35">
        <f t="shared" si="456"/>
        <v>46296</v>
      </c>
      <c r="W1427" s="35">
        <f t="shared" si="456"/>
        <v>46327</v>
      </c>
      <c r="X1427" s="35">
        <f t="shared" si="456"/>
        <v>46357</v>
      </c>
      <c r="Y1427" s="35">
        <f t="shared" si="456"/>
        <v>46388</v>
      </c>
      <c r="Z1427" s="35">
        <f t="shared" si="456"/>
        <v>46419</v>
      </c>
      <c r="AA1427" s="35">
        <f t="shared" si="456"/>
        <v>46447</v>
      </c>
      <c r="AB1427" s="177" t="s">
        <v>223</v>
      </c>
      <c r="AC1427" s="82" t="s">
        <v>192</v>
      </c>
      <c r="AE1427" s="146" t="s">
        <v>222</v>
      </c>
      <c r="AF1427" s="147">
        <f t="shared" ref="AF1427:AQ1427" si="457">P1427</f>
        <v>46113</v>
      </c>
      <c r="AG1427" s="35">
        <f t="shared" si="457"/>
        <v>46143</v>
      </c>
      <c r="AH1427" s="35">
        <f t="shared" si="457"/>
        <v>46174</v>
      </c>
      <c r="AI1427" s="35">
        <f t="shared" si="457"/>
        <v>46204</v>
      </c>
      <c r="AJ1427" s="35">
        <f t="shared" si="457"/>
        <v>46235</v>
      </c>
      <c r="AK1427" s="35">
        <f t="shared" si="457"/>
        <v>46266</v>
      </c>
      <c r="AL1427" s="35">
        <f t="shared" si="457"/>
        <v>46296</v>
      </c>
      <c r="AM1427" s="35">
        <f t="shared" si="457"/>
        <v>46327</v>
      </c>
      <c r="AN1427" s="35">
        <f t="shared" si="457"/>
        <v>46357</v>
      </c>
      <c r="AO1427" s="35">
        <f t="shared" si="457"/>
        <v>46388</v>
      </c>
      <c r="AP1427" s="35">
        <f t="shared" si="457"/>
        <v>46419</v>
      </c>
      <c r="AQ1427" s="35">
        <f t="shared" si="457"/>
        <v>46447</v>
      </c>
      <c r="AR1427" s="81" t="s">
        <v>223</v>
      </c>
      <c r="AT1427" s="178" t="s">
        <v>231</v>
      </c>
      <c r="AU1427" s="35">
        <v>46113</v>
      </c>
      <c r="AV1427" s="35">
        <v>46143</v>
      </c>
      <c r="AW1427" s="35">
        <v>46174</v>
      </c>
      <c r="AX1427" s="35">
        <v>46204</v>
      </c>
      <c r="AY1427" s="35">
        <v>46235</v>
      </c>
      <c r="AZ1427" s="35">
        <v>46266</v>
      </c>
      <c r="BA1427" s="35">
        <v>46296</v>
      </c>
      <c r="BB1427" s="35">
        <v>46327</v>
      </c>
      <c r="BC1427" s="35">
        <v>46357</v>
      </c>
      <c r="BD1427" s="35">
        <v>46388</v>
      </c>
      <c r="BE1427" s="35">
        <v>46419</v>
      </c>
      <c r="BF1427" s="35">
        <v>46447</v>
      </c>
      <c r="BG1427" s="179" t="s">
        <v>225</v>
      </c>
    </row>
    <row r="1428" spans="1:59" x14ac:dyDescent="0.25">
      <c r="B1428" s="15" t="str">
        <f>"IND_OPER_"&amp;F1428&amp;"_"&amp;J1428</f>
        <v>IND_OPER_1031_</v>
      </c>
      <c r="C1428" s="83" t="str">
        <f t="shared" si="452"/>
        <v>TRATCPP</v>
      </c>
      <c r="D1428" s="15" t="str">
        <f>IFERROR("QTD_REC_"&amp;VLOOKUP($J1428,#REF!,7,0),"")</f>
        <v/>
      </c>
      <c r="F1428" s="148">
        <v>1031</v>
      </c>
      <c r="G1428" s="149" t="str">
        <f>IFERROR(VLOOKUP(F1428,#REF!,2,0),"")</f>
        <v/>
      </c>
      <c r="H1428" s="150" t="str">
        <f>IFERROR(VLOOKUP(F1428,#REF!,3,0),"")</f>
        <v/>
      </c>
      <c r="I1428" s="151" t="s">
        <v>295</v>
      </c>
      <c r="J1428" s="151"/>
      <c r="K1428" s="150" t="str">
        <f>IFERROR(VLOOKUP($J1428,#REF!,2,0),"")</f>
        <v/>
      </c>
      <c r="L1428" s="150" t="str">
        <f t="shared" ref="L1428:L1472" si="458">IF(K1428="","",IF(H1428=K1428,K1428,H1428&amp;"/"&amp;K1428))</f>
        <v/>
      </c>
      <c r="M1428" s="154"/>
      <c r="N1428" s="154"/>
      <c r="O1428" s="155"/>
      <c r="P1428" s="157">
        <f>P485*1</f>
        <v>600</v>
      </c>
      <c r="Q1428" s="157">
        <f t="shared" ref="Q1428:AA1428" si="459">Q485*1</f>
        <v>110</v>
      </c>
      <c r="R1428" s="156">
        <f t="shared" si="459"/>
        <v>0</v>
      </c>
      <c r="S1428" s="156">
        <f t="shared" si="459"/>
        <v>0</v>
      </c>
      <c r="T1428" s="156">
        <f t="shared" si="459"/>
        <v>0</v>
      </c>
      <c r="U1428" s="156">
        <f t="shared" si="459"/>
        <v>250</v>
      </c>
      <c r="V1428" s="156">
        <f t="shared" si="459"/>
        <v>250</v>
      </c>
      <c r="W1428" s="156">
        <f t="shared" si="459"/>
        <v>0</v>
      </c>
      <c r="X1428" s="156">
        <f t="shared" si="459"/>
        <v>0</v>
      </c>
      <c r="Y1428" s="156">
        <f t="shared" si="459"/>
        <v>0</v>
      </c>
      <c r="Z1428" s="156">
        <f t="shared" si="459"/>
        <v>400</v>
      </c>
      <c r="AA1428" s="156">
        <f t="shared" si="459"/>
        <v>650</v>
      </c>
      <c r="AB1428" s="158">
        <f t="shared" ref="AB1428:AB1472" si="460">SUM(P1428:AA1428)</f>
        <v>2260</v>
      </c>
      <c r="AC1428" s="159"/>
      <c r="AE1428" s="160" t="str">
        <f>IF(J1428="","",J1428&amp;" - "&amp;K1428&amp;" ("&amp;F1428&amp;" - "&amp;G1428&amp;")")</f>
        <v/>
      </c>
      <c r="AF1428" s="161">
        <f t="shared" ref="AF1428:AQ1443" si="461">IFERROR(P1428/AU1428,0)</f>
        <v>0</v>
      </c>
      <c r="AG1428" s="162">
        <f t="shared" si="461"/>
        <v>0</v>
      </c>
      <c r="AH1428" s="162">
        <f t="shared" si="461"/>
        <v>0</v>
      </c>
      <c r="AI1428" s="162">
        <f t="shared" si="461"/>
        <v>0</v>
      </c>
      <c r="AJ1428" s="162">
        <f t="shared" si="461"/>
        <v>0</v>
      </c>
      <c r="AK1428" s="162">
        <f t="shared" si="461"/>
        <v>0</v>
      </c>
      <c r="AL1428" s="162">
        <f t="shared" si="461"/>
        <v>0</v>
      </c>
      <c r="AM1428" s="162">
        <f t="shared" si="461"/>
        <v>0</v>
      </c>
      <c r="AN1428" s="162">
        <f t="shared" si="461"/>
        <v>0</v>
      </c>
      <c r="AO1428" s="162">
        <f t="shared" si="461"/>
        <v>0</v>
      </c>
      <c r="AP1428" s="162">
        <f t="shared" si="461"/>
        <v>0</v>
      </c>
      <c r="AQ1428" s="162">
        <f t="shared" si="461"/>
        <v>0</v>
      </c>
      <c r="AR1428" s="163">
        <f>SUM(AF1428:AQ1428)</f>
        <v>0</v>
      </c>
      <c r="AT1428" s="181" t="str">
        <f>L1428</f>
        <v/>
      </c>
      <c r="AU1428" s="156">
        <f>M1428</f>
        <v>0</v>
      </c>
      <c r="AV1428" s="156">
        <f>AU1428</f>
        <v>0</v>
      </c>
      <c r="AW1428" s="156">
        <f t="shared" ref="AW1428:BF1443" si="462">AV1428</f>
        <v>0</v>
      </c>
      <c r="AX1428" s="156">
        <f t="shared" si="462"/>
        <v>0</v>
      </c>
      <c r="AY1428" s="156">
        <f t="shared" si="462"/>
        <v>0</v>
      </c>
      <c r="AZ1428" s="156">
        <f t="shared" si="462"/>
        <v>0</v>
      </c>
      <c r="BA1428" s="156">
        <f t="shared" si="462"/>
        <v>0</v>
      </c>
      <c r="BB1428" s="156">
        <f t="shared" si="462"/>
        <v>0</v>
      </c>
      <c r="BC1428" s="156">
        <f t="shared" si="462"/>
        <v>0</v>
      </c>
      <c r="BD1428" s="156">
        <f t="shared" si="462"/>
        <v>0</v>
      </c>
      <c r="BE1428" s="156">
        <f t="shared" si="462"/>
        <v>0</v>
      </c>
      <c r="BF1428" s="156">
        <f t="shared" si="462"/>
        <v>0</v>
      </c>
      <c r="BG1428" s="158">
        <f>IFERROR(SUM(AU1428:BF1428)/COUNTIF(AU1428:BF1428,"&gt;0"),0)</f>
        <v>0</v>
      </c>
    </row>
    <row r="1429" spans="1:59" x14ac:dyDescent="0.25">
      <c r="B1429" s="15" t="str">
        <f t="shared" ref="B1429:B1472" si="463">"IND_OPER_"&amp;F1429&amp;"_"&amp;J1429</f>
        <v>IND_OPER_1020_</v>
      </c>
      <c r="C1429" s="83" t="str">
        <f t="shared" si="452"/>
        <v>TRATCPP</v>
      </c>
      <c r="D1429" s="15" t="str">
        <f>IFERROR("QTD_REC_"&amp;VLOOKUP($J1429,#REF!,7,0),"")</f>
        <v/>
      </c>
      <c r="F1429" s="148">
        <v>1020</v>
      </c>
      <c r="G1429" s="149" t="str">
        <f>IFERROR(VLOOKUP(F1429,#REF!,2,0),"")</f>
        <v/>
      </c>
      <c r="H1429" s="150" t="str">
        <f>IFERROR(VLOOKUP(F1429,#REF!,3,0),"")</f>
        <v/>
      </c>
      <c r="I1429" s="151" t="s">
        <v>295</v>
      </c>
      <c r="J1429" s="151"/>
      <c r="K1429" s="150" t="str">
        <f>IFERROR(VLOOKUP($J1429,#REF!,2,0),"")</f>
        <v/>
      </c>
      <c r="L1429" s="150" t="str">
        <f t="shared" si="458"/>
        <v/>
      </c>
      <c r="M1429" s="154"/>
      <c r="N1429" s="154"/>
      <c r="O1429" s="155"/>
      <c r="P1429" s="156">
        <f>P1353*1</f>
        <v>400</v>
      </c>
      <c r="Q1429" s="156">
        <f t="shared" ref="Q1429:Y1429" si="464">Q1353*1</f>
        <v>800</v>
      </c>
      <c r="R1429" s="156">
        <f t="shared" si="464"/>
        <v>1100</v>
      </c>
      <c r="S1429" s="156">
        <f t="shared" si="464"/>
        <v>600</v>
      </c>
      <c r="T1429" s="156">
        <f t="shared" si="464"/>
        <v>0</v>
      </c>
      <c r="U1429" s="156">
        <f t="shared" si="464"/>
        <v>0</v>
      </c>
      <c r="V1429" s="156">
        <f t="shared" si="464"/>
        <v>370</v>
      </c>
      <c r="W1429" s="156">
        <f t="shared" si="464"/>
        <v>370</v>
      </c>
      <c r="X1429" s="156">
        <f t="shared" si="464"/>
        <v>0</v>
      </c>
      <c r="Y1429" s="156">
        <f t="shared" si="464"/>
        <v>50</v>
      </c>
      <c r="Z1429" s="156">
        <v>0</v>
      </c>
      <c r="AA1429" s="156">
        <v>0</v>
      </c>
      <c r="AB1429" s="158">
        <f>SUM(P1429:AA1429)</f>
        <v>3690</v>
      </c>
      <c r="AC1429" s="159"/>
      <c r="AE1429" s="160" t="str">
        <f t="shared" ref="AE1429:AE1472" si="465">IF(J1429="","",J1429&amp;" - "&amp;K1429&amp;" ("&amp;F1429&amp;" - "&amp;G1429&amp;")")</f>
        <v/>
      </c>
      <c r="AF1429" s="161">
        <f t="shared" si="461"/>
        <v>0</v>
      </c>
      <c r="AG1429" s="162">
        <f t="shared" si="461"/>
        <v>0</v>
      </c>
      <c r="AH1429" s="162">
        <f t="shared" si="461"/>
        <v>0</v>
      </c>
      <c r="AI1429" s="162">
        <f t="shared" si="461"/>
        <v>0</v>
      </c>
      <c r="AJ1429" s="162">
        <f t="shared" si="461"/>
        <v>0</v>
      </c>
      <c r="AK1429" s="162">
        <f t="shared" si="461"/>
        <v>0</v>
      </c>
      <c r="AL1429" s="162">
        <f t="shared" si="461"/>
        <v>0</v>
      </c>
      <c r="AM1429" s="162">
        <f t="shared" si="461"/>
        <v>0</v>
      </c>
      <c r="AN1429" s="162">
        <f t="shared" si="461"/>
        <v>0</v>
      </c>
      <c r="AO1429" s="162">
        <f t="shared" si="461"/>
        <v>0</v>
      </c>
      <c r="AP1429" s="162">
        <f t="shared" si="461"/>
        <v>0</v>
      </c>
      <c r="AQ1429" s="162">
        <f t="shared" si="461"/>
        <v>0</v>
      </c>
      <c r="AR1429" s="163">
        <f t="shared" ref="AR1429:AR1472" si="466">SUM(AF1429:AQ1429)</f>
        <v>0</v>
      </c>
      <c r="AT1429" s="181" t="str">
        <f t="shared" ref="AT1429:AU1472" si="467">L1429</f>
        <v/>
      </c>
      <c r="AU1429" s="156">
        <f t="shared" si="467"/>
        <v>0</v>
      </c>
      <c r="AV1429" s="156">
        <f t="shared" ref="AV1429:BF1465" si="468">AU1429</f>
        <v>0</v>
      </c>
      <c r="AW1429" s="156">
        <f t="shared" si="462"/>
        <v>0</v>
      </c>
      <c r="AX1429" s="156">
        <f t="shared" si="462"/>
        <v>0</v>
      </c>
      <c r="AY1429" s="156">
        <f t="shared" si="462"/>
        <v>0</v>
      </c>
      <c r="AZ1429" s="156">
        <f t="shared" si="462"/>
        <v>0</v>
      </c>
      <c r="BA1429" s="156">
        <f t="shared" si="462"/>
        <v>0</v>
      </c>
      <c r="BB1429" s="156">
        <f t="shared" si="462"/>
        <v>0</v>
      </c>
      <c r="BC1429" s="156">
        <f t="shared" si="462"/>
        <v>0</v>
      </c>
      <c r="BD1429" s="156">
        <f t="shared" si="462"/>
        <v>0</v>
      </c>
      <c r="BE1429" s="156">
        <f t="shared" si="462"/>
        <v>0</v>
      </c>
      <c r="BF1429" s="156">
        <f t="shared" si="462"/>
        <v>0</v>
      </c>
      <c r="BG1429" s="158">
        <f t="shared" ref="BG1429:BG1472" si="469">IFERROR(SUM(AU1429:BF1429)/COUNTIF(AU1429:BF1429,"&gt;0"),0)</f>
        <v>0</v>
      </c>
    </row>
    <row r="1430" spans="1:59" x14ac:dyDescent="0.25">
      <c r="B1430" s="15" t="str">
        <f t="shared" si="463"/>
        <v>IND_OPER_1078_</v>
      </c>
      <c r="C1430" s="83" t="str">
        <f t="shared" si="452"/>
        <v>TRATCPP</v>
      </c>
      <c r="D1430" s="15" t="str">
        <f>IFERROR("QTD_REC_"&amp;VLOOKUP($J1430,#REF!,7,0),"")</f>
        <v/>
      </c>
      <c r="F1430" s="148">
        <v>1078</v>
      </c>
      <c r="G1430" s="149" t="str">
        <f>IFERROR(VLOOKUP(F1430,#REF!,2,0),"")</f>
        <v/>
      </c>
      <c r="H1430" s="150" t="str">
        <f>IFERROR(VLOOKUP(F1430,#REF!,3,0),"")</f>
        <v/>
      </c>
      <c r="I1430" s="151" t="s">
        <v>295</v>
      </c>
      <c r="J1430" s="151"/>
      <c r="K1430" s="150" t="str">
        <f>IFERROR(VLOOKUP($J1430,#REF!,2,0),"")</f>
        <v/>
      </c>
      <c r="L1430" s="150" t="str">
        <f t="shared" si="458"/>
        <v/>
      </c>
      <c r="M1430" s="154"/>
      <c r="N1430" s="154"/>
      <c r="O1430" s="155"/>
      <c r="P1430" s="156">
        <f>P1353*1</f>
        <v>400</v>
      </c>
      <c r="Q1430" s="156">
        <f t="shared" ref="Q1430:Y1430" si="470">Q1353*1</f>
        <v>800</v>
      </c>
      <c r="R1430" s="156">
        <f t="shared" si="470"/>
        <v>1100</v>
      </c>
      <c r="S1430" s="156">
        <f t="shared" si="470"/>
        <v>600</v>
      </c>
      <c r="T1430" s="156">
        <f t="shared" si="470"/>
        <v>0</v>
      </c>
      <c r="U1430" s="156">
        <f t="shared" si="470"/>
        <v>0</v>
      </c>
      <c r="V1430" s="156">
        <f t="shared" si="470"/>
        <v>370</v>
      </c>
      <c r="W1430" s="156">
        <f t="shared" si="470"/>
        <v>370</v>
      </c>
      <c r="X1430" s="156">
        <f t="shared" si="470"/>
        <v>0</v>
      </c>
      <c r="Y1430" s="156">
        <f t="shared" si="470"/>
        <v>50</v>
      </c>
      <c r="Z1430" s="156">
        <v>0</v>
      </c>
      <c r="AA1430" s="156">
        <v>0</v>
      </c>
      <c r="AB1430" s="158">
        <f t="shared" si="460"/>
        <v>3690</v>
      </c>
      <c r="AC1430" s="159" t="s">
        <v>298</v>
      </c>
      <c r="AE1430" s="160" t="str">
        <f t="shared" si="465"/>
        <v/>
      </c>
      <c r="AF1430" s="161">
        <f t="shared" si="461"/>
        <v>0</v>
      </c>
      <c r="AG1430" s="162">
        <f t="shared" si="461"/>
        <v>0</v>
      </c>
      <c r="AH1430" s="162">
        <f t="shared" si="461"/>
        <v>0</v>
      </c>
      <c r="AI1430" s="162">
        <f t="shared" si="461"/>
        <v>0</v>
      </c>
      <c r="AJ1430" s="162">
        <f t="shared" si="461"/>
        <v>0</v>
      </c>
      <c r="AK1430" s="162">
        <f t="shared" si="461"/>
        <v>0</v>
      </c>
      <c r="AL1430" s="162">
        <f t="shared" si="461"/>
        <v>0</v>
      </c>
      <c r="AM1430" s="162">
        <f t="shared" si="461"/>
        <v>0</v>
      </c>
      <c r="AN1430" s="162">
        <f t="shared" si="461"/>
        <v>0</v>
      </c>
      <c r="AO1430" s="162">
        <f t="shared" si="461"/>
        <v>0</v>
      </c>
      <c r="AP1430" s="162">
        <f t="shared" si="461"/>
        <v>0</v>
      </c>
      <c r="AQ1430" s="162">
        <f t="shared" si="461"/>
        <v>0</v>
      </c>
      <c r="AR1430" s="163">
        <f t="shared" si="466"/>
        <v>0</v>
      </c>
      <c r="AT1430" s="181" t="str">
        <f t="shared" si="467"/>
        <v/>
      </c>
      <c r="AU1430" s="156">
        <f t="shared" si="467"/>
        <v>0</v>
      </c>
      <c r="AV1430" s="156">
        <f t="shared" si="468"/>
        <v>0</v>
      </c>
      <c r="AW1430" s="156">
        <f t="shared" si="462"/>
        <v>0</v>
      </c>
      <c r="AX1430" s="156">
        <f t="shared" si="462"/>
        <v>0</v>
      </c>
      <c r="AY1430" s="156">
        <f t="shared" si="462"/>
        <v>0</v>
      </c>
      <c r="AZ1430" s="156">
        <f t="shared" si="462"/>
        <v>0</v>
      </c>
      <c r="BA1430" s="156">
        <f t="shared" si="462"/>
        <v>0</v>
      </c>
      <c r="BB1430" s="156">
        <f t="shared" si="462"/>
        <v>0</v>
      </c>
      <c r="BC1430" s="156">
        <f t="shared" si="462"/>
        <v>0</v>
      </c>
      <c r="BD1430" s="156">
        <f t="shared" si="462"/>
        <v>0</v>
      </c>
      <c r="BE1430" s="156">
        <f t="shared" si="462"/>
        <v>0</v>
      </c>
      <c r="BF1430" s="156">
        <f t="shared" si="462"/>
        <v>0</v>
      </c>
      <c r="BG1430" s="158">
        <f t="shared" si="469"/>
        <v>0</v>
      </c>
    </row>
    <row r="1431" spans="1:59" x14ac:dyDescent="0.25">
      <c r="B1431" s="15" t="str">
        <f t="shared" si="463"/>
        <v>IND_OPER_1091_</v>
      </c>
      <c r="C1431" s="83" t="str">
        <f t="shared" si="452"/>
        <v>TRATCPP</v>
      </c>
      <c r="D1431" s="15" t="str">
        <f>IFERROR("QTD_REC_"&amp;VLOOKUP($J1431,#REF!,7,0),"")</f>
        <v/>
      </c>
      <c r="F1431" s="148">
        <v>1091</v>
      </c>
      <c r="G1431" s="149" t="str">
        <f>IFERROR(VLOOKUP(F1431,#REF!,2,0),"")</f>
        <v/>
      </c>
      <c r="H1431" s="150" t="str">
        <f>IFERROR(VLOOKUP(F1431,#REF!,3,0),"")</f>
        <v/>
      </c>
      <c r="I1431" s="151" t="s">
        <v>295</v>
      </c>
      <c r="J1431" s="151"/>
      <c r="K1431" s="150" t="str">
        <f>IFERROR(VLOOKUP($J1431,#REF!,2,0),"")</f>
        <v/>
      </c>
      <c r="L1431" s="150" t="str">
        <f t="shared" si="458"/>
        <v/>
      </c>
      <c r="M1431" s="154"/>
      <c r="N1431" s="154"/>
      <c r="O1431" s="155"/>
      <c r="P1431" s="156">
        <v>40</v>
      </c>
      <c r="Q1431" s="156">
        <v>40</v>
      </c>
      <c r="R1431" s="156">
        <v>40</v>
      </c>
      <c r="S1431" s="156">
        <v>40</v>
      </c>
      <c r="T1431" s="156">
        <v>40</v>
      </c>
      <c r="U1431" s="156">
        <v>40</v>
      </c>
      <c r="V1431" s="156">
        <v>40</v>
      </c>
      <c r="W1431" s="156">
        <v>40</v>
      </c>
      <c r="X1431" s="156">
        <v>40</v>
      </c>
      <c r="Y1431" s="156">
        <v>40</v>
      </c>
      <c r="Z1431" s="156">
        <v>40</v>
      </c>
      <c r="AA1431" s="156">
        <v>40</v>
      </c>
      <c r="AB1431" s="158">
        <f>SUM(P1431:AA1431)</f>
        <v>480</v>
      </c>
      <c r="AC1431" s="159"/>
      <c r="AE1431" s="160" t="str">
        <f t="shared" si="465"/>
        <v/>
      </c>
      <c r="AF1431" s="161">
        <f t="shared" si="461"/>
        <v>0</v>
      </c>
      <c r="AG1431" s="162">
        <f t="shared" si="461"/>
        <v>0</v>
      </c>
      <c r="AH1431" s="162">
        <f t="shared" si="461"/>
        <v>0</v>
      </c>
      <c r="AI1431" s="162">
        <f t="shared" si="461"/>
        <v>0</v>
      </c>
      <c r="AJ1431" s="162">
        <f t="shared" si="461"/>
        <v>0</v>
      </c>
      <c r="AK1431" s="162">
        <f t="shared" si="461"/>
        <v>0</v>
      </c>
      <c r="AL1431" s="162">
        <f t="shared" si="461"/>
        <v>0</v>
      </c>
      <c r="AM1431" s="162">
        <f t="shared" si="461"/>
        <v>0</v>
      </c>
      <c r="AN1431" s="162">
        <f t="shared" si="461"/>
        <v>0</v>
      </c>
      <c r="AO1431" s="162">
        <f t="shared" si="461"/>
        <v>0</v>
      </c>
      <c r="AP1431" s="162">
        <f t="shared" si="461"/>
        <v>0</v>
      </c>
      <c r="AQ1431" s="162">
        <f t="shared" si="461"/>
        <v>0</v>
      </c>
      <c r="AR1431" s="163">
        <f t="shared" si="466"/>
        <v>0</v>
      </c>
      <c r="AT1431" s="181" t="str">
        <f t="shared" si="467"/>
        <v/>
      </c>
      <c r="AU1431" s="156">
        <f t="shared" si="467"/>
        <v>0</v>
      </c>
      <c r="AV1431" s="156">
        <f t="shared" si="468"/>
        <v>0</v>
      </c>
      <c r="AW1431" s="156">
        <f t="shared" si="462"/>
        <v>0</v>
      </c>
      <c r="AX1431" s="156">
        <f t="shared" si="462"/>
        <v>0</v>
      </c>
      <c r="AY1431" s="156">
        <f t="shared" si="462"/>
        <v>0</v>
      </c>
      <c r="AZ1431" s="156">
        <f t="shared" si="462"/>
        <v>0</v>
      </c>
      <c r="BA1431" s="156">
        <f t="shared" si="462"/>
        <v>0</v>
      </c>
      <c r="BB1431" s="156">
        <f t="shared" si="462"/>
        <v>0</v>
      </c>
      <c r="BC1431" s="156">
        <f t="shared" si="462"/>
        <v>0</v>
      </c>
      <c r="BD1431" s="156">
        <f t="shared" si="462"/>
        <v>0</v>
      </c>
      <c r="BE1431" s="156">
        <f t="shared" si="462"/>
        <v>0</v>
      </c>
      <c r="BF1431" s="156">
        <f t="shared" si="462"/>
        <v>0</v>
      </c>
      <c r="BG1431" s="158">
        <f t="shared" si="469"/>
        <v>0</v>
      </c>
    </row>
    <row r="1432" spans="1:59" x14ac:dyDescent="0.25">
      <c r="B1432" s="15" t="str">
        <f t="shared" si="463"/>
        <v>IND_OPER_1093_</v>
      </c>
      <c r="C1432" s="83" t="str">
        <f t="shared" si="452"/>
        <v>TRATCPP</v>
      </c>
      <c r="D1432" s="15" t="str">
        <f>IFERROR("QTD_REC_"&amp;VLOOKUP($J1432,#REF!,7,0),"")</f>
        <v/>
      </c>
      <c r="F1432" s="148">
        <v>1093</v>
      </c>
      <c r="G1432" s="149" t="str">
        <f>IFERROR(VLOOKUP(F1432,#REF!,2,0),"")</f>
        <v/>
      </c>
      <c r="H1432" s="150" t="str">
        <f>IFERROR(VLOOKUP(F1432,#REF!,3,0),"")</f>
        <v/>
      </c>
      <c r="I1432" s="151" t="s">
        <v>295</v>
      </c>
      <c r="J1432" s="151"/>
      <c r="K1432" s="150" t="str">
        <f>IFERROR(VLOOKUP($J1432,#REF!,2,0),"")</f>
        <v/>
      </c>
      <c r="L1432" s="150" t="str">
        <f t="shared" si="458"/>
        <v/>
      </c>
      <c r="M1432" s="154"/>
      <c r="N1432" s="151"/>
      <c r="O1432" s="155"/>
      <c r="P1432" s="156">
        <v>40</v>
      </c>
      <c r="Q1432" s="156">
        <v>40</v>
      </c>
      <c r="R1432" s="156">
        <v>40</v>
      </c>
      <c r="S1432" s="156">
        <v>40</v>
      </c>
      <c r="T1432" s="156">
        <v>40</v>
      </c>
      <c r="U1432" s="156">
        <v>40</v>
      </c>
      <c r="V1432" s="156">
        <v>40</v>
      </c>
      <c r="W1432" s="156">
        <v>40</v>
      </c>
      <c r="X1432" s="156">
        <v>40</v>
      </c>
      <c r="Y1432" s="156">
        <v>40</v>
      </c>
      <c r="Z1432" s="156">
        <v>40</v>
      </c>
      <c r="AA1432" s="156">
        <v>40</v>
      </c>
      <c r="AB1432" s="158">
        <f t="shared" si="460"/>
        <v>480</v>
      </c>
      <c r="AC1432" s="159"/>
      <c r="AE1432" s="160" t="str">
        <f t="shared" si="465"/>
        <v/>
      </c>
      <c r="AF1432" s="161">
        <f t="shared" si="461"/>
        <v>0</v>
      </c>
      <c r="AG1432" s="162">
        <f t="shared" si="461"/>
        <v>0</v>
      </c>
      <c r="AH1432" s="162">
        <f t="shared" si="461"/>
        <v>0</v>
      </c>
      <c r="AI1432" s="162">
        <f t="shared" si="461"/>
        <v>0</v>
      </c>
      <c r="AJ1432" s="162">
        <f t="shared" si="461"/>
        <v>0</v>
      </c>
      <c r="AK1432" s="162">
        <f t="shared" si="461"/>
        <v>0</v>
      </c>
      <c r="AL1432" s="162">
        <f t="shared" si="461"/>
        <v>0</v>
      </c>
      <c r="AM1432" s="162">
        <f t="shared" si="461"/>
        <v>0</v>
      </c>
      <c r="AN1432" s="162">
        <f t="shared" si="461"/>
        <v>0</v>
      </c>
      <c r="AO1432" s="162">
        <f t="shared" si="461"/>
        <v>0</v>
      </c>
      <c r="AP1432" s="162">
        <f t="shared" si="461"/>
        <v>0</v>
      </c>
      <c r="AQ1432" s="162">
        <f t="shared" si="461"/>
        <v>0</v>
      </c>
      <c r="AR1432" s="163">
        <f t="shared" si="466"/>
        <v>0</v>
      </c>
      <c r="AT1432" s="181" t="str">
        <f t="shared" si="467"/>
        <v/>
      </c>
      <c r="AU1432" s="156">
        <f t="shared" si="467"/>
        <v>0</v>
      </c>
      <c r="AV1432" s="156">
        <f t="shared" si="468"/>
        <v>0</v>
      </c>
      <c r="AW1432" s="156">
        <f t="shared" si="462"/>
        <v>0</v>
      </c>
      <c r="AX1432" s="156">
        <f t="shared" si="462"/>
        <v>0</v>
      </c>
      <c r="AY1432" s="156">
        <f t="shared" si="462"/>
        <v>0</v>
      </c>
      <c r="AZ1432" s="156">
        <f t="shared" si="462"/>
        <v>0</v>
      </c>
      <c r="BA1432" s="156">
        <f t="shared" si="462"/>
        <v>0</v>
      </c>
      <c r="BB1432" s="156">
        <f t="shared" si="462"/>
        <v>0</v>
      </c>
      <c r="BC1432" s="156">
        <f t="shared" si="462"/>
        <v>0</v>
      </c>
      <c r="BD1432" s="156">
        <f t="shared" si="462"/>
        <v>0</v>
      </c>
      <c r="BE1432" s="156">
        <f t="shared" si="462"/>
        <v>0</v>
      </c>
      <c r="BF1432" s="156">
        <f t="shared" si="462"/>
        <v>0</v>
      </c>
      <c r="BG1432" s="158">
        <f t="shared" si="469"/>
        <v>0</v>
      </c>
    </row>
    <row r="1433" spans="1:59" x14ac:dyDescent="0.25">
      <c r="A1433" s="14"/>
      <c r="B1433" s="15" t="str">
        <f t="shared" si="463"/>
        <v>IND_OPER_1032_</v>
      </c>
      <c r="C1433" s="83" t="str">
        <f t="shared" si="452"/>
        <v>TRATCPP</v>
      </c>
      <c r="D1433" s="15" t="str">
        <f>IFERROR("QTD_REC_"&amp;VLOOKUP($J1433,#REF!,7,0),"")</f>
        <v/>
      </c>
      <c r="E1433" s="14"/>
      <c r="F1433" s="148">
        <v>1032</v>
      </c>
      <c r="G1433" s="149" t="str">
        <f>IFERROR(VLOOKUP(F1433,#REF!,2,0),"")</f>
        <v/>
      </c>
      <c r="H1433" s="150" t="str">
        <f>IFERROR(VLOOKUP(F1433,#REF!,3,0),"")</f>
        <v/>
      </c>
      <c r="I1433" s="151" t="s">
        <v>295</v>
      </c>
      <c r="J1433" s="151"/>
      <c r="K1433" s="150" t="str">
        <f>IFERROR(VLOOKUP($J1433,#REF!,2,0),"")</f>
        <v/>
      </c>
      <c r="L1433" s="150" t="str">
        <f t="shared" si="458"/>
        <v/>
      </c>
      <c r="M1433" s="154"/>
      <c r="N1433" s="180"/>
      <c r="O1433" s="155"/>
      <c r="P1433" s="156">
        <f>P1430</f>
        <v>400</v>
      </c>
      <c r="Q1433" s="156">
        <f>Q1430</f>
        <v>800</v>
      </c>
      <c r="R1433" s="156">
        <f t="shared" ref="R1433:AA1433" si="471">R1430</f>
        <v>1100</v>
      </c>
      <c r="S1433" s="156">
        <f t="shared" si="471"/>
        <v>600</v>
      </c>
      <c r="T1433" s="156">
        <f t="shared" si="471"/>
        <v>0</v>
      </c>
      <c r="U1433" s="156">
        <f t="shared" si="471"/>
        <v>0</v>
      </c>
      <c r="V1433" s="156">
        <f t="shared" si="471"/>
        <v>370</v>
      </c>
      <c r="W1433" s="156">
        <f t="shared" si="471"/>
        <v>370</v>
      </c>
      <c r="X1433" s="156">
        <f t="shared" si="471"/>
        <v>0</v>
      </c>
      <c r="Y1433" s="156">
        <f t="shared" si="471"/>
        <v>50</v>
      </c>
      <c r="Z1433" s="156">
        <f t="shared" si="471"/>
        <v>0</v>
      </c>
      <c r="AA1433" s="156">
        <f t="shared" si="471"/>
        <v>0</v>
      </c>
      <c r="AB1433" s="158">
        <f t="shared" si="460"/>
        <v>3690</v>
      </c>
      <c r="AC1433" s="159"/>
      <c r="AE1433" s="160" t="str">
        <f t="shared" si="465"/>
        <v/>
      </c>
      <c r="AF1433" s="161">
        <f t="shared" si="461"/>
        <v>0</v>
      </c>
      <c r="AG1433" s="162">
        <f t="shared" si="461"/>
        <v>0</v>
      </c>
      <c r="AH1433" s="162">
        <f t="shared" si="461"/>
        <v>0</v>
      </c>
      <c r="AI1433" s="162">
        <f t="shared" si="461"/>
        <v>0</v>
      </c>
      <c r="AJ1433" s="162">
        <f t="shared" si="461"/>
        <v>0</v>
      </c>
      <c r="AK1433" s="162">
        <f t="shared" si="461"/>
        <v>0</v>
      </c>
      <c r="AL1433" s="162">
        <f t="shared" si="461"/>
        <v>0</v>
      </c>
      <c r="AM1433" s="162">
        <f t="shared" si="461"/>
        <v>0</v>
      </c>
      <c r="AN1433" s="162">
        <f t="shared" si="461"/>
        <v>0</v>
      </c>
      <c r="AO1433" s="162">
        <f t="shared" si="461"/>
        <v>0</v>
      </c>
      <c r="AP1433" s="162">
        <f t="shared" si="461"/>
        <v>0</v>
      </c>
      <c r="AQ1433" s="162">
        <f t="shared" si="461"/>
        <v>0</v>
      </c>
      <c r="AR1433" s="163">
        <f t="shared" si="466"/>
        <v>0</v>
      </c>
      <c r="AT1433" s="181" t="str">
        <f t="shared" si="467"/>
        <v/>
      </c>
      <c r="AU1433" s="156">
        <f t="shared" si="467"/>
        <v>0</v>
      </c>
      <c r="AV1433" s="156">
        <f t="shared" si="468"/>
        <v>0</v>
      </c>
      <c r="AW1433" s="156">
        <f t="shared" si="462"/>
        <v>0</v>
      </c>
      <c r="AX1433" s="156">
        <f t="shared" si="462"/>
        <v>0</v>
      </c>
      <c r="AY1433" s="156">
        <f t="shared" si="462"/>
        <v>0</v>
      </c>
      <c r="AZ1433" s="156">
        <f t="shared" si="462"/>
        <v>0</v>
      </c>
      <c r="BA1433" s="156">
        <f t="shared" si="462"/>
        <v>0</v>
      </c>
      <c r="BB1433" s="156">
        <f t="shared" si="462"/>
        <v>0</v>
      </c>
      <c r="BC1433" s="156">
        <f t="shared" si="462"/>
        <v>0</v>
      </c>
      <c r="BD1433" s="156">
        <f t="shared" si="462"/>
        <v>0</v>
      </c>
      <c r="BE1433" s="156">
        <f t="shared" si="462"/>
        <v>0</v>
      </c>
      <c r="BF1433" s="156">
        <f t="shared" si="462"/>
        <v>0</v>
      </c>
      <c r="BG1433" s="158">
        <f t="shared" si="469"/>
        <v>0</v>
      </c>
    </row>
    <row r="1434" spans="1:59" x14ac:dyDescent="0.25">
      <c r="A1434" s="14"/>
      <c r="B1434" s="15" t="e">
        <f>"IND_OPER_"&amp;#REF!&amp;"_"&amp;#REF!</f>
        <v>#REF!</v>
      </c>
      <c r="C1434" s="83" t="e">
        <f>#REF!</f>
        <v>#REF!</v>
      </c>
      <c r="D1434" s="15" t="str">
        <f>IFERROR("QTD_REC_"&amp;VLOOKUP(#REF!,#REF!,7,0),"")</f>
        <v/>
      </c>
      <c r="E1434" s="14"/>
      <c r="F1434" s="148">
        <v>1031</v>
      </c>
      <c r="G1434" s="149" t="str">
        <f>IFERROR(VLOOKUP(F1434,#REF!,2,0),"")</f>
        <v/>
      </c>
      <c r="H1434" s="150" t="str">
        <f>IFERROR(VLOOKUP(F1434,#REF!,3,0),"")</f>
        <v/>
      </c>
      <c r="I1434" s="151" t="s">
        <v>299</v>
      </c>
      <c r="J1434" s="151"/>
      <c r="K1434" s="150"/>
      <c r="L1434" s="150"/>
      <c r="M1434" s="154"/>
      <c r="N1434" s="151"/>
      <c r="O1434" s="155"/>
      <c r="P1434" s="156">
        <f>P486</f>
        <v>250</v>
      </c>
      <c r="Q1434" s="156">
        <f t="shared" ref="Q1434:AA1434" si="472">Q486</f>
        <v>0</v>
      </c>
      <c r="R1434" s="156">
        <f t="shared" si="472"/>
        <v>0</v>
      </c>
      <c r="S1434" s="156">
        <f t="shared" si="472"/>
        <v>0</v>
      </c>
      <c r="T1434" s="156">
        <f t="shared" si="472"/>
        <v>0</v>
      </c>
      <c r="U1434" s="156">
        <f t="shared" si="472"/>
        <v>0</v>
      </c>
      <c r="V1434" s="156">
        <f t="shared" si="472"/>
        <v>0</v>
      </c>
      <c r="W1434" s="156">
        <f t="shared" si="472"/>
        <v>0</v>
      </c>
      <c r="X1434" s="156">
        <f t="shared" si="472"/>
        <v>0</v>
      </c>
      <c r="Y1434" s="156">
        <f t="shared" si="472"/>
        <v>0</v>
      </c>
      <c r="Z1434" s="156">
        <f t="shared" si="472"/>
        <v>250</v>
      </c>
      <c r="AA1434" s="156">
        <f t="shared" si="472"/>
        <v>400</v>
      </c>
      <c r="AB1434" s="158">
        <f>SUM(P1434:AA1434)</f>
        <v>900</v>
      </c>
      <c r="AC1434" s="159"/>
      <c r="AE1434" s="160" t="e">
        <f>IF(#REF!="","",#REF!&amp;" - "&amp;#REF!&amp;" ("&amp;#REF!&amp;" - "&amp;#REF!&amp;")")</f>
        <v>#REF!</v>
      </c>
      <c r="AF1434" s="161">
        <f>IFERROR(#REF!/AU1434,0)</f>
        <v>0</v>
      </c>
      <c r="AG1434" s="162">
        <f>IFERROR(#REF!/AV1434,0)</f>
        <v>0</v>
      </c>
      <c r="AH1434" s="162">
        <f>IFERROR(#REF!/AW1434,0)</f>
        <v>0</v>
      </c>
      <c r="AI1434" s="162">
        <f>IFERROR(#REF!/AX1434,0)</f>
        <v>0</v>
      </c>
      <c r="AJ1434" s="162">
        <f>IFERROR(#REF!/AY1434,0)</f>
        <v>0</v>
      </c>
      <c r="AK1434" s="162">
        <f>IFERROR(#REF!/AZ1434,0)</f>
        <v>0</v>
      </c>
      <c r="AL1434" s="162">
        <f>IFERROR(#REF!/BA1434,0)</f>
        <v>0</v>
      </c>
      <c r="AM1434" s="162">
        <f>IFERROR(#REF!/BB1434,0)</f>
        <v>0</v>
      </c>
      <c r="AN1434" s="162">
        <f>IFERROR(#REF!/BC1434,0)</f>
        <v>0</v>
      </c>
      <c r="AO1434" s="162">
        <f>IFERROR(#REF!/BD1434,0)</f>
        <v>0</v>
      </c>
      <c r="AP1434" s="162">
        <f>IFERROR(#REF!/BE1434,0)</f>
        <v>0</v>
      </c>
      <c r="AQ1434" s="162">
        <f>IFERROR(#REF!/BF1434,0)</f>
        <v>0</v>
      </c>
      <c r="AR1434" s="163">
        <f t="shared" si="466"/>
        <v>0</v>
      </c>
      <c r="AT1434" s="181" t="e">
        <f>#REF!</f>
        <v>#REF!</v>
      </c>
      <c r="AU1434" s="156" t="e">
        <f>#REF!</f>
        <v>#REF!</v>
      </c>
      <c r="AV1434" s="156" t="e">
        <f t="shared" si="468"/>
        <v>#REF!</v>
      </c>
      <c r="AW1434" s="156" t="e">
        <f t="shared" si="462"/>
        <v>#REF!</v>
      </c>
      <c r="AX1434" s="156" t="e">
        <f t="shared" si="462"/>
        <v>#REF!</v>
      </c>
      <c r="AY1434" s="156" t="e">
        <f t="shared" si="462"/>
        <v>#REF!</v>
      </c>
      <c r="AZ1434" s="156" t="e">
        <f t="shared" si="462"/>
        <v>#REF!</v>
      </c>
      <c r="BA1434" s="156" t="e">
        <f t="shared" si="462"/>
        <v>#REF!</v>
      </c>
      <c r="BB1434" s="156" t="e">
        <f t="shared" si="462"/>
        <v>#REF!</v>
      </c>
      <c r="BC1434" s="156" t="e">
        <f t="shared" si="462"/>
        <v>#REF!</v>
      </c>
      <c r="BD1434" s="156" t="e">
        <f t="shared" si="462"/>
        <v>#REF!</v>
      </c>
      <c r="BE1434" s="156" t="e">
        <f t="shared" si="462"/>
        <v>#REF!</v>
      </c>
      <c r="BF1434" s="156" t="e">
        <f t="shared" si="462"/>
        <v>#REF!</v>
      </c>
      <c r="BG1434" s="158">
        <f t="shared" si="469"/>
        <v>0</v>
      </c>
    </row>
    <row r="1435" spans="1:59" x14ac:dyDescent="0.25">
      <c r="A1435" s="14"/>
      <c r="B1435" s="15" t="str">
        <f t="shared" si="463"/>
        <v>IND_OPER__</v>
      </c>
      <c r="C1435" s="83">
        <f t="shared" si="452"/>
        <v>0</v>
      </c>
      <c r="D1435" s="15" t="str">
        <f>IFERROR("QTD_REC_"&amp;VLOOKUP($J1435,#REF!,7,0),"")</f>
        <v/>
      </c>
      <c r="E1435" s="14"/>
      <c r="F1435" s="148"/>
      <c r="G1435" s="149" t="str">
        <f>IFERROR(VLOOKUP(F1435,#REF!,2,0),"")</f>
        <v/>
      </c>
      <c r="H1435" s="150" t="str">
        <f>IFERROR(VLOOKUP(F1435,#REF!,3,0),"")</f>
        <v/>
      </c>
      <c r="I1435" s="151"/>
      <c r="J1435" s="151"/>
      <c r="K1435" s="150" t="str">
        <f>IFERROR(VLOOKUP($J1435,#REF!,2,0),"")</f>
        <v/>
      </c>
      <c r="L1435" s="150" t="str">
        <f t="shared" si="458"/>
        <v/>
      </c>
      <c r="M1435" s="154"/>
      <c r="N1435" s="154"/>
      <c r="O1435" s="155"/>
      <c r="P1435" s="156"/>
      <c r="Q1435" s="156"/>
      <c r="R1435" s="156"/>
      <c r="S1435" s="156"/>
      <c r="T1435" s="156"/>
      <c r="U1435" s="156"/>
      <c r="V1435" s="156"/>
      <c r="W1435" s="156"/>
      <c r="X1435" s="156"/>
      <c r="Y1435" s="156"/>
      <c r="Z1435" s="156"/>
      <c r="AA1435" s="156"/>
      <c r="AB1435" s="158">
        <f t="shared" si="460"/>
        <v>0</v>
      </c>
      <c r="AC1435" s="159"/>
      <c r="AE1435" s="160" t="str">
        <f t="shared" si="465"/>
        <v/>
      </c>
      <c r="AF1435" s="161">
        <f t="shared" si="461"/>
        <v>0</v>
      </c>
      <c r="AG1435" s="162">
        <f>IFERROR(Q1435/AV1435,0)</f>
        <v>0</v>
      </c>
      <c r="AH1435" s="162">
        <f t="shared" si="461"/>
        <v>0</v>
      </c>
      <c r="AI1435" s="162">
        <f t="shared" si="461"/>
        <v>0</v>
      </c>
      <c r="AJ1435" s="162">
        <f t="shared" si="461"/>
        <v>0</v>
      </c>
      <c r="AK1435" s="162">
        <f t="shared" si="461"/>
        <v>0</v>
      </c>
      <c r="AL1435" s="162">
        <f t="shared" si="461"/>
        <v>0</v>
      </c>
      <c r="AM1435" s="162">
        <f t="shared" si="461"/>
        <v>0</v>
      </c>
      <c r="AN1435" s="162">
        <f t="shared" si="461"/>
        <v>0</v>
      </c>
      <c r="AO1435" s="162">
        <f t="shared" si="461"/>
        <v>0</v>
      </c>
      <c r="AP1435" s="162">
        <f t="shared" si="461"/>
        <v>0</v>
      </c>
      <c r="AQ1435" s="162">
        <f t="shared" si="461"/>
        <v>0</v>
      </c>
      <c r="AR1435" s="163">
        <f t="shared" si="466"/>
        <v>0</v>
      </c>
      <c r="AT1435" s="181" t="str">
        <f t="shared" si="467"/>
        <v/>
      </c>
      <c r="AU1435" s="156">
        <f t="shared" si="467"/>
        <v>0</v>
      </c>
      <c r="AV1435" s="156">
        <f t="shared" si="468"/>
        <v>0</v>
      </c>
      <c r="AW1435" s="156">
        <f t="shared" si="462"/>
        <v>0</v>
      </c>
      <c r="AX1435" s="156">
        <f t="shared" si="462"/>
        <v>0</v>
      </c>
      <c r="AY1435" s="156">
        <f t="shared" si="462"/>
        <v>0</v>
      </c>
      <c r="AZ1435" s="156">
        <f t="shared" si="462"/>
        <v>0</v>
      </c>
      <c r="BA1435" s="156">
        <f t="shared" si="462"/>
        <v>0</v>
      </c>
      <c r="BB1435" s="156">
        <f t="shared" si="462"/>
        <v>0</v>
      </c>
      <c r="BC1435" s="156">
        <f t="shared" si="462"/>
        <v>0</v>
      </c>
      <c r="BD1435" s="156">
        <f t="shared" si="462"/>
        <v>0</v>
      </c>
      <c r="BE1435" s="156">
        <f t="shared" si="462"/>
        <v>0</v>
      </c>
      <c r="BF1435" s="156">
        <f t="shared" si="462"/>
        <v>0</v>
      </c>
      <c r="BG1435" s="158">
        <f t="shared" si="469"/>
        <v>0</v>
      </c>
    </row>
    <row r="1436" spans="1:59" x14ac:dyDescent="0.25">
      <c r="A1436" s="14"/>
      <c r="B1436" s="15" t="str">
        <f t="shared" si="463"/>
        <v>IND_OPER__</v>
      </c>
      <c r="C1436" s="83">
        <f t="shared" si="452"/>
        <v>0</v>
      </c>
      <c r="D1436" s="15" t="str">
        <f>IFERROR("QTD_REC_"&amp;VLOOKUP($J1436,#REF!,7,0),"")</f>
        <v/>
      </c>
      <c r="E1436" s="14"/>
      <c r="F1436" s="148"/>
      <c r="G1436" s="149" t="str">
        <f>IFERROR(VLOOKUP(F1436,#REF!,2,0),"")</f>
        <v/>
      </c>
      <c r="H1436" s="150" t="str">
        <f>IFERROR(VLOOKUP(F1436,#REF!,3,0),"")</f>
        <v/>
      </c>
      <c r="I1436" s="151"/>
      <c r="J1436" s="151"/>
      <c r="K1436" s="150" t="str">
        <f>IFERROR(VLOOKUP($J1436,#REF!,2,0),"")</f>
        <v/>
      </c>
      <c r="L1436" s="150" t="str">
        <f t="shared" si="458"/>
        <v/>
      </c>
      <c r="M1436" s="154"/>
      <c r="N1436" s="180"/>
      <c r="O1436" s="155"/>
      <c r="P1436" s="156"/>
      <c r="Q1436" s="156"/>
      <c r="R1436" s="156"/>
      <c r="S1436" s="156"/>
      <c r="T1436" s="156"/>
      <c r="U1436" s="156"/>
      <c r="V1436" s="156"/>
      <c r="W1436" s="156"/>
      <c r="X1436" s="156"/>
      <c r="Y1436" s="156"/>
      <c r="Z1436" s="156"/>
      <c r="AA1436" s="156"/>
      <c r="AB1436" s="158">
        <f t="shared" si="460"/>
        <v>0</v>
      </c>
      <c r="AC1436" s="159"/>
      <c r="AE1436" s="160" t="str">
        <f t="shared" si="465"/>
        <v/>
      </c>
      <c r="AF1436" s="161">
        <f t="shared" si="461"/>
        <v>0</v>
      </c>
      <c r="AG1436" s="162">
        <f t="shared" si="461"/>
        <v>0</v>
      </c>
      <c r="AH1436" s="162">
        <f t="shared" si="461"/>
        <v>0</v>
      </c>
      <c r="AI1436" s="162">
        <f t="shared" si="461"/>
        <v>0</v>
      </c>
      <c r="AJ1436" s="162">
        <f t="shared" si="461"/>
        <v>0</v>
      </c>
      <c r="AK1436" s="162">
        <f t="shared" si="461"/>
        <v>0</v>
      </c>
      <c r="AL1436" s="162">
        <f t="shared" si="461"/>
        <v>0</v>
      </c>
      <c r="AM1436" s="162">
        <f t="shared" si="461"/>
        <v>0</v>
      </c>
      <c r="AN1436" s="162">
        <f t="shared" si="461"/>
        <v>0</v>
      </c>
      <c r="AO1436" s="162">
        <f t="shared" si="461"/>
        <v>0</v>
      </c>
      <c r="AP1436" s="162">
        <f t="shared" si="461"/>
        <v>0</v>
      </c>
      <c r="AQ1436" s="162">
        <f t="shared" si="461"/>
        <v>0</v>
      </c>
      <c r="AR1436" s="163">
        <f t="shared" si="466"/>
        <v>0</v>
      </c>
      <c r="AT1436" s="181" t="str">
        <f t="shared" si="467"/>
        <v/>
      </c>
      <c r="AU1436" s="156">
        <f t="shared" si="467"/>
        <v>0</v>
      </c>
      <c r="AV1436" s="156">
        <f t="shared" si="468"/>
        <v>0</v>
      </c>
      <c r="AW1436" s="156">
        <f t="shared" si="462"/>
        <v>0</v>
      </c>
      <c r="AX1436" s="156">
        <f t="shared" si="462"/>
        <v>0</v>
      </c>
      <c r="AY1436" s="156">
        <f t="shared" si="462"/>
        <v>0</v>
      </c>
      <c r="AZ1436" s="156">
        <f t="shared" si="462"/>
        <v>0</v>
      </c>
      <c r="BA1436" s="156">
        <f t="shared" si="462"/>
        <v>0</v>
      </c>
      <c r="BB1436" s="156">
        <f t="shared" si="462"/>
        <v>0</v>
      </c>
      <c r="BC1436" s="156">
        <f t="shared" si="462"/>
        <v>0</v>
      </c>
      <c r="BD1436" s="156">
        <f t="shared" si="462"/>
        <v>0</v>
      </c>
      <c r="BE1436" s="156">
        <f t="shared" si="462"/>
        <v>0</v>
      </c>
      <c r="BF1436" s="156">
        <f t="shared" si="462"/>
        <v>0</v>
      </c>
      <c r="BG1436" s="158">
        <f t="shared" si="469"/>
        <v>0</v>
      </c>
    </row>
    <row r="1437" spans="1:59" x14ac:dyDescent="0.25">
      <c r="A1437" s="14"/>
      <c r="B1437" s="15" t="str">
        <f t="shared" si="463"/>
        <v>IND_OPER__</v>
      </c>
      <c r="C1437" s="83">
        <f t="shared" si="452"/>
        <v>0</v>
      </c>
      <c r="D1437" s="15" t="str">
        <f>IFERROR("QTD_REC_"&amp;VLOOKUP($J1437,#REF!,7,0),"")</f>
        <v/>
      </c>
      <c r="E1437" s="14"/>
      <c r="F1437" s="148"/>
      <c r="G1437" s="149" t="str">
        <f>IFERROR(VLOOKUP(F1437,#REF!,2,0),"")</f>
        <v/>
      </c>
      <c r="H1437" s="150" t="str">
        <f>IFERROR(VLOOKUP(F1437,#REF!,3,0),"")</f>
        <v/>
      </c>
      <c r="I1437" s="151"/>
      <c r="J1437" s="151"/>
      <c r="K1437" s="150" t="str">
        <f>IFERROR(VLOOKUP($J1437,#REF!,2,0),"")</f>
        <v/>
      </c>
      <c r="L1437" s="150" t="str">
        <f t="shared" si="458"/>
        <v/>
      </c>
      <c r="M1437" s="154"/>
      <c r="N1437" s="180"/>
      <c r="O1437" s="155"/>
      <c r="P1437" s="156"/>
      <c r="Q1437" s="156"/>
      <c r="R1437" s="156"/>
      <c r="S1437" s="156"/>
      <c r="T1437" s="156"/>
      <c r="U1437" s="156"/>
      <c r="V1437" s="156"/>
      <c r="W1437" s="156"/>
      <c r="X1437" s="156"/>
      <c r="Y1437" s="156"/>
      <c r="Z1437" s="156"/>
      <c r="AA1437" s="156"/>
      <c r="AB1437" s="158">
        <f t="shared" si="460"/>
        <v>0</v>
      </c>
      <c r="AC1437" s="159"/>
      <c r="AE1437" s="160" t="str">
        <f t="shared" si="465"/>
        <v/>
      </c>
      <c r="AF1437" s="161">
        <f t="shared" si="461"/>
        <v>0</v>
      </c>
      <c r="AG1437" s="162">
        <f t="shared" si="461"/>
        <v>0</v>
      </c>
      <c r="AH1437" s="162">
        <f t="shared" si="461"/>
        <v>0</v>
      </c>
      <c r="AI1437" s="162">
        <f t="shared" si="461"/>
        <v>0</v>
      </c>
      <c r="AJ1437" s="162">
        <f t="shared" si="461"/>
        <v>0</v>
      </c>
      <c r="AK1437" s="162">
        <f t="shared" si="461"/>
        <v>0</v>
      </c>
      <c r="AL1437" s="162">
        <f t="shared" si="461"/>
        <v>0</v>
      </c>
      <c r="AM1437" s="162">
        <f t="shared" si="461"/>
        <v>0</v>
      </c>
      <c r="AN1437" s="162">
        <f t="shared" si="461"/>
        <v>0</v>
      </c>
      <c r="AO1437" s="162">
        <f t="shared" si="461"/>
        <v>0</v>
      </c>
      <c r="AP1437" s="162">
        <f t="shared" si="461"/>
        <v>0</v>
      </c>
      <c r="AQ1437" s="162">
        <f t="shared" si="461"/>
        <v>0</v>
      </c>
      <c r="AR1437" s="163">
        <f t="shared" si="466"/>
        <v>0</v>
      </c>
      <c r="AT1437" s="181" t="str">
        <f t="shared" si="467"/>
        <v/>
      </c>
      <c r="AU1437" s="156">
        <f t="shared" si="467"/>
        <v>0</v>
      </c>
      <c r="AV1437" s="156">
        <f t="shared" si="468"/>
        <v>0</v>
      </c>
      <c r="AW1437" s="156">
        <f t="shared" si="462"/>
        <v>0</v>
      </c>
      <c r="AX1437" s="156">
        <f t="shared" si="462"/>
        <v>0</v>
      </c>
      <c r="AY1437" s="156">
        <f t="shared" si="462"/>
        <v>0</v>
      </c>
      <c r="AZ1437" s="156">
        <f t="shared" si="462"/>
        <v>0</v>
      </c>
      <c r="BA1437" s="156">
        <f t="shared" si="462"/>
        <v>0</v>
      </c>
      <c r="BB1437" s="156">
        <f t="shared" si="462"/>
        <v>0</v>
      </c>
      <c r="BC1437" s="156">
        <f t="shared" si="462"/>
        <v>0</v>
      </c>
      <c r="BD1437" s="156">
        <f t="shared" si="462"/>
        <v>0</v>
      </c>
      <c r="BE1437" s="156">
        <f t="shared" si="462"/>
        <v>0</v>
      </c>
      <c r="BF1437" s="156">
        <f t="shared" si="462"/>
        <v>0</v>
      </c>
      <c r="BG1437" s="158">
        <f t="shared" si="469"/>
        <v>0</v>
      </c>
    </row>
    <row r="1438" spans="1:59" x14ac:dyDescent="0.25">
      <c r="A1438" s="14"/>
      <c r="B1438" s="15" t="str">
        <f t="shared" si="463"/>
        <v>IND_OPER__</v>
      </c>
      <c r="C1438" s="83">
        <f t="shared" si="452"/>
        <v>0</v>
      </c>
      <c r="D1438" s="15" t="str">
        <f>IFERROR("QTD_REC_"&amp;VLOOKUP($J1438,#REF!,7,0),"")</f>
        <v/>
      </c>
      <c r="E1438" s="14"/>
      <c r="F1438" s="148"/>
      <c r="G1438" s="149" t="str">
        <f>IFERROR(VLOOKUP(F1438,#REF!,2,0),"")</f>
        <v/>
      </c>
      <c r="H1438" s="150" t="str">
        <f>IFERROR(VLOOKUP(F1438,#REF!,3,0),"")</f>
        <v/>
      </c>
      <c r="I1438" s="151"/>
      <c r="J1438" s="151"/>
      <c r="K1438" s="150" t="str">
        <f>IFERROR(VLOOKUP($J1438,#REF!,2,0),"")</f>
        <v/>
      </c>
      <c r="L1438" s="150" t="str">
        <f t="shared" si="458"/>
        <v/>
      </c>
      <c r="M1438" s="154"/>
      <c r="N1438" s="180"/>
      <c r="O1438" s="155"/>
      <c r="P1438" s="156"/>
      <c r="Q1438" s="156"/>
      <c r="R1438" s="156"/>
      <c r="S1438" s="156"/>
      <c r="T1438" s="156"/>
      <c r="U1438" s="156"/>
      <c r="V1438" s="156"/>
      <c r="W1438" s="156"/>
      <c r="X1438" s="156"/>
      <c r="Y1438" s="156"/>
      <c r="Z1438" s="156"/>
      <c r="AA1438" s="156"/>
      <c r="AB1438" s="158">
        <f t="shared" si="460"/>
        <v>0</v>
      </c>
      <c r="AC1438" s="159"/>
      <c r="AE1438" s="160" t="str">
        <f t="shared" si="465"/>
        <v/>
      </c>
      <c r="AF1438" s="161">
        <f t="shared" si="461"/>
        <v>0</v>
      </c>
      <c r="AG1438" s="162">
        <f t="shared" si="461"/>
        <v>0</v>
      </c>
      <c r="AH1438" s="162">
        <f t="shared" si="461"/>
        <v>0</v>
      </c>
      <c r="AI1438" s="162">
        <f t="shared" si="461"/>
        <v>0</v>
      </c>
      <c r="AJ1438" s="162">
        <f t="shared" si="461"/>
        <v>0</v>
      </c>
      <c r="AK1438" s="162">
        <f t="shared" si="461"/>
        <v>0</v>
      </c>
      <c r="AL1438" s="162">
        <f t="shared" si="461"/>
        <v>0</v>
      </c>
      <c r="AM1438" s="162">
        <f t="shared" si="461"/>
        <v>0</v>
      </c>
      <c r="AN1438" s="162">
        <f t="shared" si="461"/>
        <v>0</v>
      </c>
      <c r="AO1438" s="162">
        <f t="shared" si="461"/>
        <v>0</v>
      </c>
      <c r="AP1438" s="162">
        <f t="shared" si="461"/>
        <v>0</v>
      </c>
      <c r="AQ1438" s="162">
        <f t="shared" si="461"/>
        <v>0</v>
      </c>
      <c r="AR1438" s="163">
        <f t="shared" si="466"/>
        <v>0</v>
      </c>
      <c r="AT1438" s="181" t="str">
        <f t="shared" si="467"/>
        <v/>
      </c>
      <c r="AU1438" s="156">
        <f t="shared" si="467"/>
        <v>0</v>
      </c>
      <c r="AV1438" s="156">
        <f t="shared" si="468"/>
        <v>0</v>
      </c>
      <c r="AW1438" s="156">
        <f t="shared" si="462"/>
        <v>0</v>
      </c>
      <c r="AX1438" s="156">
        <f t="shared" si="462"/>
        <v>0</v>
      </c>
      <c r="AY1438" s="156">
        <f t="shared" si="462"/>
        <v>0</v>
      </c>
      <c r="AZ1438" s="156">
        <f t="shared" si="462"/>
        <v>0</v>
      </c>
      <c r="BA1438" s="156">
        <f t="shared" si="462"/>
        <v>0</v>
      </c>
      <c r="BB1438" s="156">
        <f t="shared" si="462"/>
        <v>0</v>
      </c>
      <c r="BC1438" s="156">
        <f t="shared" si="462"/>
        <v>0</v>
      </c>
      <c r="BD1438" s="156">
        <f t="shared" si="462"/>
        <v>0</v>
      </c>
      <c r="BE1438" s="156">
        <f t="shared" si="462"/>
        <v>0</v>
      </c>
      <c r="BF1438" s="156">
        <f t="shared" si="462"/>
        <v>0</v>
      </c>
      <c r="BG1438" s="158">
        <f t="shared" si="469"/>
        <v>0</v>
      </c>
    </row>
    <row r="1439" spans="1:59" x14ac:dyDescent="0.25">
      <c r="A1439" s="14"/>
      <c r="B1439" s="15" t="str">
        <f t="shared" si="463"/>
        <v>IND_OPER__</v>
      </c>
      <c r="C1439" s="83">
        <f t="shared" si="452"/>
        <v>0</v>
      </c>
      <c r="D1439" s="15" t="str">
        <f>IFERROR("QTD_REC_"&amp;VLOOKUP($J1439,#REF!,7,0),"")</f>
        <v/>
      </c>
      <c r="E1439" s="14"/>
      <c r="F1439" s="148"/>
      <c r="G1439" s="149" t="str">
        <f>IFERROR(VLOOKUP(F1439,#REF!,2,0),"")</f>
        <v/>
      </c>
      <c r="H1439" s="150" t="str">
        <f>IFERROR(VLOOKUP(F1439,#REF!,3,0),"")</f>
        <v/>
      </c>
      <c r="I1439" s="151"/>
      <c r="J1439" s="151"/>
      <c r="K1439" s="150" t="str">
        <f>IFERROR(VLOOKUP($J1439,#REF!,2,0),"")</f>
        <v/>
      </c>
      <c r="L1439" s="150" t="str">
        <f t="shared" si="458"/>
        <v/>
      </c>
      <c r="M1439" s="154"/>
      <c r="N1439" s="180"/>
      <c r="O1439" s="155"/>
      <c r="P1439" s="156"/>
      <c r="Q1439" s="156"/>
      <c r="R1439" s="156"/>
      <c r="S1439" s="156"/>
      <c r="T1439" s="156"/>
      <c r="U1439" s="156"/>
      <c r="V1439" s="156"/>
      <c r="W1439" s="156"/>
      <c r="X1439" s="156"/>
      <c r="Y1439" s="156"/>
      <c r="Z1439" s="156"/>
      <c r="AA1439" s="156"/>
      <c r="AB1439" s="158">
        <f t="shared" si="460"/>
        <v>0</v>
      </c>
      <c r="AC1439" s="159"/>
      <c r="AE1439" s="160" t="str">
        <f t="shared" si="465"/>
        <v/>
      </c>
      <c r="AF1439" s="161">
        <f t="shared" si="461"/>
        <v>0</v>
      </c>
      <c r="AG1439" s="162">
        <f t="shared" si="461"/>
        <v>0</v>
      </c>
      <c r="AH1439" s="162">
        <f t="shared" si="461"/>
        <v>0</v>
      </c>
      <c r="AI1439" s="162">
        <f t="shared" si="461"/>
        <v>0</v>
      </c>
      <c r="AJ1439" s="162">
        <f t="shared" si="461"/>
        <v>0</v>
      </c>
      <c r="AK1439" s="162">
        <f t="shared" si="461"/>
        <v>0</v>
      </c>
      <c r="AL1439" s="162">
        <f t="shared" si="461"/>
        <v>0</v>
      </c>
      <c r="AM1439" s="162">
        <f t="shared" si="461"/>
        <v>0</v>
      </c>
      <c r="AN1439" s="162">
        <f t="shared" si="461"/>
        <v>0</v>
      </c>
      <c r="AO1439" s="162">
        <f t="shared" si="461"/>
        <v>0</v>
      </c>
      <c r="AP1439" s="162">
        <f t="shared" si="461"/>
        <v>0</v>
      </c>
      <c r="AQ1439" s="162">
        <f t="shared" si="461"/>
        <v>0</v>
      </c>
      <c r="AR1439" s="163">
        <f t="shared" si="466"/>
        <v>0</v>
      </c>
      <c r="AT1439" s="181" t="str">
        <f t="shared" si="467"/>
        <v/>
      </c>
      <c r="AU1439" s="156">
        <f t="shared" si="467"/>
        <v>0</v>
      </c>
      <c r="AV1439" s="156">
        <f t="shared" si="468"/>
        <v>0</v>
      </c>
      <c r="AW1439" s="156">
        <f t="shared" si="462"/>
        <v>0</v>
      </c>
      <c r="AX1439" s="156">
        <f t="shared" si="462"/>
        <v>0</v>
      </c>
      <c r="AY1439" s="156">
        <f t="shared" si="462"/>
        <v>0</v>
      </c>
      <c r="AZ1439" s="156">
        <f t="shared" si="462"/>
        <v>0</v>
      </c>
      <c r="BA1439" s="156">
        <f t="shared" si="462"/>
        <v>0</v>
      </c>
      <c r="BB1439" s="156">
        <f t="shared" si="462"/>
        <v>0</v>
      </c>
      <c r="BC1439" s="156">
        <f t="shared" si="462"/>
        <v>0</v>
      </c>
      <c r="BD1439" s="156">
        <f t="shared" si="462"/>
        <v>0</v>
      </c>
      <c r="BE1439" s="156">
        <f t="shared" si="462"/>
        <v>0</v>
      </c>
      <c r="BF1439" s="156">
        <f t="shared" si="462"/>
        <v>0</v>
      </c>
      <c r="BG1439" s="158">
        <f t="shared" si="469"/>
        <v>0</v>
      </c>
    </row>
    <row r="1440" spans="1:59" x14ac:dyDescent="0.25">
      <c r="A1440" s="14"/>
      <c r="B1440" s="15" t="str">
        <f t="shared" si="463"/>
        <v>IND_OPER__</v>
      </c>
      <c r="C1440" s="83">
        <f t="shared" si="452"/>
        <v>0</v>
      </c>
      <c r="D1440" s="15" t="str">
        <f>IFERROR("QTD_REC_"&amp;VLOOKUP($J1440,#REF!,7,0),"")</f>
        <v/>
      </c>
      <c r="E1440" s="14"/>
      <c r="F1440" s="148"/>
      <c r="G1440" s="149" t="str">
        <f>IFERROR(VLOOKUP(F1440,#REF!,2,0),"")</f>
        <v/>
      </c>
      <c r="H1440" s="150" t="str">
        <f>IFERROR(VLOOKUP(F1440,#REF!,3,0),"")</f>
        <v/>
      </c>
      <c r="I1440" s="151"/>
      <c r="J1440" s="151"/>
      <c r="K1440" s="150" t="str">
        <f>IFERROR(VLOOKUP($J1440,#REF!,2,0),"")</f>
        <v/>
      </c>
      <c r="L1440" s="150" t="str">
        <f t="shared" si="458"/>
        <v/>
      </c>
      <c r="M1440" s="154"/>
      <c r="N1440" s="180"/>
      <c r="O1440" s="155"/>
      <c r="P1440" s="156"/>
      <c r="Q1440" s="156"/>
      <c r="R1440" s="156"/>
      <c r="S1440" s="156"/>
      <c r="T1440" s="156"/>
      <c r="U1440" s="156"/>
      <c r="V1440" s="156"/>
      <c r="W1440" s="156"/>
      <c r="X1440" s="156"/>
      <c r="Y1440" s="156"/>
      <c r="Z1440" s="156"/>
      <c r="AA1440" s="156"/>
      <c r="AB1440" s="158">
        <f t="shared" si="460"/>
        <v>0</v>
      </c>
      <c r="AC1440" s="159"/>
      <c r="AE1440" s="160" t="str">
        <f t="shared" si="465"/>
        <v/>
      </c>
      <c r="AF1440" s="161">
        <f t="shared" si="461"/>
        <v>0</v>
      </c>
      <c r="AG1440" s="162">
        <f t="shared" si="461"/>
        <v>0</v>
      </c>
      <c r="AH1440" s="162">
        <f t="shared" si="461"/>
        <v>0</v>
      </c>
      <c r="AI1440" s="162">
        <f t="shared" si="461"/>
        <v>0</v>
      </c>
      <c r="AJ1440" s="162">
        <f t="shared" si="461"/>
        <v>0</v>
      </c>
      <c r="AK1440" s="162">
        <f t="shared" si="461"/>
        <v>0</v>
      </c>
      <c r="AL1440" s="162">
        <f t="shared" si="461"/>
        <v>0</v>
      </c>
      <c r="AM1440" s="162">
        <f t="shared" si="461"/>
        <v>0</v>
      </c>
      <c r="AN1440" s="162">
        <f t="shared" si="461"/>
        <v>0</v>
      </c>
      <c r="AO1440" s="162">
        <f t="shared" si="461"/>
        <v>0</v>
      </c>
      <c r="AP1440" s="162">
        <f t="shared" si="461"/>
        <v>0</v>
      </c>
      <c r="AQ1440" s="162">
        <f t="shared" si="461"/>
        <v>0</v>
      </c>
      <c r="AR1440" s="163">
        <f t="shared" si="466"/>
        <v>0</v>
      </c>
      <c r="AT1440" s="181" t="str">
        <f t="shared" si="467"/>
        <v/>
      </c>
      <c r="AU1440" s="156">
        <f t="shared" si="467"/>
        <v>0</v>
      </c>
      <c r="AV1440" s="156">
        <f t="shared" si="468"/>
        <v>0</v>
      </c>
      <c r="AW1440" s="156">
        <f t="shared" si="462"/>
        <v>0</v>
      </c>
      <c r="AX1440" s="156">
        <f t="shared" si="462"/>
        <v>0</v>
      </c>
      <c r="AY1440" s="156">
        <f t="shared" si="462"/>
        <v>0</v>
      </c>
      <c r="AZ1440" s="156">
        <f t="shared" si="462"/>
        <v>0</v>
      </c>
      <c r="BA1440" s="156">
        <f t="shared" si="462"/>
        <v>0</v>
      </c>
      <c r="BB1440" s="156">
        <f t="shared" si="462"/>
        <v>0</v>
      </c>
      <c r="BC1440" s="156">
        <f t="shared" si="462"/>
        <v>0</v>
      </c>
      <c r="BD1440" s="156">
        <f t="shared" si="462"/>
        <v>0</v>
      </c>
      <c r="BE1440" s="156">
        <f t="shared" si="462"/>
        <v>0</v>
      </c>
      <c r="BF1440" s="156">
        <f t="shared" si="462"/>
        <v>0</v>
      </c>
      <c r="BG1440" s="158">
        <f t="shared" si="469"/>
        <v>0</v>
      </c>
    </row>
    <row r="1441" spans="1:59" x14ac:dyDescent="0.25">
      <c r="A1441" s="14"/>
      <c r="B1441" s="15" t="str">
        <f t="shared" si="463"/>
        <v>IND_OPER__</v>
      </c>
      <c r="C1441" s="83">
        <f t="shared" si="452"/>
        <v>0</v>
      </c>
      <c r="D1441" s="15" t="str">
        <f>IFERROR("QTD_REC_"&amp;VLOOKUP($J1441,#REF!,7,0),"")</f>
        <v/>
      </c>
      <c r="E1441" s="14"/>
      <c r="F1441" s="148"/>
      <c r="G1441" s="149" t="str">
        <f>IFERROR(VLOOKUP(F1441,#REF!,2,0),"")</f>
        <v/>
      </c>
      <c r="H1441" s="150" t="str">
        <f>IFERROR(VLOOKUP(F1441,#REF!,3,0),"")</f>
        <v/>
      </c>
      <c r="I1441" s="151"/>
      <c r="J1441" s="151"/>
      <c r="K1441" s="150" t="str">
        <f>IFERROR(VLOOKUP($J1441,#REF!,2,0),"")</f>
        <v/>
      </c>
      <c r="L1441" s="150" t="str">
        <f t="shared" si="458"/>
        <v/>
      </c>
      <c r="M1441" s="154"/>
      <c r="N1441" s="182"/>
      <c r="O1441" s="155"/>
      <c r="P1441" s="156"/>
      <c r="Q1441" s="156"/>
      <c r="R1441" s="156"/>
      <c r="S1441" s="156"/>
      <c r="T1441" s="156"/>
      <c r="U1441" s="156"/>
      <c r="V1441" s="156"/>
      <c r="W1441" s="156"/>
      <c r="X1441" s="156"/>
      <c r="Y1441" s="156"/>
      <c r="Z1441" s="156"/>
      <c r="AA1441" s="156"/>
      <c r="AB1441" s="158">
        <f t="shared" ref="AB1441:AB1449" si="473">SUM(P1441:AA1441)</f>
        <v>0</v>
      </c>
      <c r="AC1441" s="159" t="s">
        <v>242</v>
      </c>
      <c r="AE1441" s="160" t="str">
        <f t="shared" si="465"/>
        <v/>
      </c>
      <c r="AF1441" s="161">
        <f t="shared" si="461"/>
        <v>0</v>
      </c>
      <c r="AG1441" s="162">
        <f t="shared" si="461"/>
        <v>0</v>
      </c>
      <c r="AH1441" s="162">
        <f t="shared" si="461"/>
        <v>0</v>
      </c>
      <c r="AI1441" s="162">
        <f t="shared" si="461"/>
        <v>0</v>
      </c>
      <c r="AJ1441" s="162">
        <f t="shared" si="461"/>
        <v>0</v>
      </c>
      <c r="AK1441" s="162">
        <f t="shared" si="461"/>
        <v>0</v>
      </c>
      <c r="AL1441" s="162">
        <f t="shared" si="461"/>
        <v>0</v>
      </c>
      <c r="AM1441" s="162">
        <f t="shared" si="461"/>
        <v>0</v>
      </c>
      <c r="AN1441" s="162">
        <f t="shared" si="461"/>
        <v>0</v>
      </c>
      <c r="AO1441" s="162">
        <f t="shared" si="461"/>
        <v>0</v>
      </c>
      <c r="AP1441" s="162">
        <f t="shared" si="461"/>
        <v>0</v>
      </c>
      <c r="AQ1441" s="162">
        <f t="shared" si="461"/>
        <v>0</v>
      </c>
      <c r="AR1441" s="163">
        <f t="shared" si="466"/>
        <v>0</v>
      </c>
      <c r="AT1441" s="181" t="str">
        <f t="shared" si="467"/>
        <v/>
      </c>
      <c r="AU1441" s="156">
        <f t="shared" si="467"/>
        <v>0</v>
      </c>
      <c r="AV1441" s="156">
        <f t="shared" si="468"/>
        <v>0</v>
      </c>
      <c r="AW1441" s="156">
        <f t="shared" si="462"/>
        <v>0</v>
      </c>
      <c r="AX1441" s="156">
        <f t="shared" si="462"/>
        <v>0</v>
      </c>
      <c r="AY1441" s="156">
        <f t="shared" si="462"/>
        <v>0</v>
      </c>
      <c r="AZ1441" s="156">
        <f t="shared" si="462"/>
        <v>0</v>
      </c>
      <c r="BA1441" s="156">
        <f t="shared" si="462"/>
        <v>0</v>
      </c>
      <c r="BB1441" s="156">
        <f t="shared" si="462"/>
        <v>0</v>
      </c>
      <c r="BC1441" s="156">
        <f t="shared" si="462"/>
        <v>0</v>
      </c>
      <c r="BD1441" s="156">
        <f t="shared" si="462"/>
        <v>0</v>
      </c>
      <c r="BE1441" s="156">
        <f t="shared" si="462"/>
        <v>0</v>
      </c>
      <c r="BF1441" s="156">
        <f t="shared" si="462"/>
        <v>0</v>
      </c>
      <c r="BG1441" s="158">
        <f t="shared" si="469"/>
        <v>0</v>
      </c>
    </row>
    <row r="1442" spans="1:59" x14ac:dyDescent="0.25">
      <c r="A1442" s="14"/>
      <c r="B1442" s="15" t="str">
        <f t="shared" si="463"/>
        <v>IND_OPER__</v>
      </c>
      <c r="C1442" s="83">
        <f t="shared" si="452"/>
        <v>0</v>
      </c>
      <c r="D1442" s="15" t="str">
        <f>IFERROR("QTD_REC_"&amp;VLOOKUP($J1442,#REF!,7,0),"")</f>
        <v/>
      </c>
      <c r="E1442" s="14"/>
      <c r="F1442" s="148"/>
      <c r="G1442" s="149" t="str">
        <f>IFERROR(VLOOKUP(F1442,#REF!,2,0),"")</f>
        <v/>
      </c>
      <c r="H1442" s="150" t="str">
        <f>IFERROR(VLOOKUP(F1442,#REF!,3,0),"")</f>
        <v/>
      </c>
      <c r="I1442" s="151"/>
      <c r="J1442" s="151"/>
      <c r="K1442" s="150" t="str">
        <f>IFERROR(VLOOKUP($J1442,#REF!,2,0),"")</f>
        <v/>
      </c>
      <c r="L1442" s="150" t="str">
        <f t="shared" si="458"/>
        <v/>
      </c>
      <c r="M1442" s="154"/>
      <c r="N1442" s="182"/>
      <c r="O1442" s="155"/>
      <c r="P1442" s="156"/>
      <c r="Q1442" s="156"/>
      <c r="R1442" s="156"/>
      <c r="S1442" s="156"/>
      <c r="T1442" s="156"/>
      <c r="U1442" s="156"/>
      <c r="V1442" s="156"/>
      <c r="W1442" s="156"/>
      <c r="X1442" s="156"/>
      <c r="Y1442" s="156"/>
      <c r="Z1442" s="156"/>
      <c r="AA1442" s="156"/>
      <c r="AB1442" s="158">
        <f t="shared" si="473"/>
        <v>0</v>
      </c>
      <c r="AC1442" s="159" t="s">
        <v>242</v>
      </c>
      <c r="AE1442" s="160" t="str">
        <f t="shared" si="465"/>
        <v/>
      </c>
      <c r="AF1442" s="161">
        <f t="shared" si="461"/>
        <v>0</v>
      </c>
      <c r="AG1442" s="162">
        <f t="shared" si="461"/>
        <v>0</v>
      </c>
      <c r="AH1442" s="162">
        <f t="shared" si="461"/>
        <v>0</v>
      </c>
      <c r="AI1442" s="162">
        <f t="shared" si="461"/>
        <v>0</v>
      </c>
      <c r="AJ1442" s="162">
        <f t="shared" si="461"/>
        <v>0</v>
      </c>
      <c r="AK1442" s="162">
        <f t="shared" si="461"/>
        <v>0</v>
      </c>
      <c r="AL1442" s="162">
        <f t="shared" si="461"/>
        <v>0</v>
      </c>
      <c r="AM1442" s="162">
        <f t="shared" si="461"/>
        <v>0</v>
      </c>
      <c r="AN1442" s="162">
        <f t="shared" si="461"/>
        <v>0</v>
      </c>
      <c r="AO1442" s="162">
        <f t="shared" si="461"/>
        <v>0</v>
      </c>
      <c r="AP1442" s="162">
        <f t="shared" si="461"/>
        <v>0</v>
      </c>
      <c r="AQ1442" s="162">
        <f t="shared" si="461"/>
        <v>0</v>
      </c>
      <c r="AR1442" s="163">
        <f t="shared" si="466"/>
        <v>0</v>
      </c>
      <c r="AT1442" s="181" t="str">
        <f t="shared" si="467"/>
        <v/>
      </c>
      <c r="AU1442" s="156">
        <f t="shared" si="467"/>
        <v>0</v>
      </c>
      <c r="AV1442" s="156">
        <f t="shared" si="468"/>
        <v>0</v>
      </c>
      <c r="AW1442" s="156">
        <f t="shared" si="462"/>
        <v>0</v>
      </c>
      <c r="AX1442" s="156">
        <f t="shared" si="462"/>
        <v>0</v>
      </c>
      <c r="AY1442" s="156">
        <f t="shared" si="462"/>
        <v>0</v>
      </c>
      <c r="AZ1442" s="156">
        <f t="shared" si="462"/>
        <v>0</v>
      </c>
      <c r="BA1442" s="156">
        <f t="shared" si="462"/>
        <v>0</v>
      </c>
      <c r="BB1442" s="156">
        <f t="shared" si="462"/>
        <v>0</v>
      </c>
      <c r="BC1442" s="156">
        <f t="shared" si="462"/>
        <v>0</v>
      </c>
      <c r="BD1442" s="156">
        <f t="shared" si="462"/>
        <v>0</v>
      </c>
      <c r="BE1442" s="156">
        <f t="shared" si="462"/>
        <v>0</v>
      </c>
      <c r="BF1442" s="156">
        <f t="shared" si="462"/>
        <v>0</v>
      </c>
      <c r="BG1442" s="158">
        <f t="shared" si="469"/>
        <v>0</v>
      </c>
    </row>
    <row r="1443" spans="1:59" x14ac:dyDescent="0.25">
      <c r="A1443" s="14"/>
      <c r="B1443" s="15" t="str">
        <f t="shared" si="463"/>
        <v>IND_OPER__</v>
      </c>
      <c r="C1443" s="83">
        <f t="shared" si="452"/>
        <v>0</v>
      </c>
      <c r="D1443" s="15" t="str">
        <f>IFERROR("QTD_REC_"&amp;VLOOKUP($J1443,#REF!,7,0),"")</f>
        <v/>
      </c>
      <c r="E1443" s="14"/>
      <c r="F1443" s="148"/>
      <c r="G1443" s="149" t="str">
        <f>IFERROR(VLOOKUP(F1443,#REF!,2,0),"")</f>
        <v/>
      </c>
      <c r="H1443" s="150" t="str">
        <f>IFERROR(VLOOKUP(F1443,#REF!,3,0),"")</f>
        <v/>
      </c>
      <c r="I1443" s="151"/>
      <c r="J1443" s="151"/>
      <c r="K1443" s="150" t="str">
        <f>IFERROR(VLOOKUP($J1443,#REF!,2,0),"")</f>
        <v/>
      </c>
      <c r="L1443" s="150" t="str">
        <f t="shared" si="458"/>
        <v/>
      </c>
      <c r="M1443" s="154"/>
      <c r="N1443" s="182"/>
      <c r="O1443" s="155"/>
      <c r="P1443" s="156"/>
      <c r="Q1443" s="156"/>
      <c r="R1443" s="156"/>
      <c r="S1443" s="156"/>
      <c r="T1443" s="156"/>
      <c r="U1443" s="156"/>
      <c r="V1443" s="156"/>
      <c r="W1443" s="156"/>
      <c r="X1443" s="156"/>
      <c r="Y1443" s="156"/>
      <c r="Z1443" s="156"/>
      <c r="AA1443" s="156"/>
      <c r="AB1443" s="158">
        <f t="shared" si="473"/>
        <v>0</v>
      </c>
      <c r="AC1443" s="159" t="s">
        <v>242</v>
      </c>
      <c r="AE1443" s="160" t="str">
        <f t="shared" si="465"/>
        <v/>
      </c>
      <c r="AF1443" s="161">
        <f t="shared" si="461"/>
        <v>0</v>
      </c>
      <c r="AG1443" s="162">
        <f t="shared" si="461"/>
        <v>0</v>
      </c>
      <c r="AH1443" s="162">
        <f t="shared" si="461"/>
        <v>0</v>
      </c>
      <c r="AI1443" s="162">
        <f t="shared" si="461"/>
        <v>0</v>
      </c>
      <c r="AJ1443" s="162">
        <f t="shared" si="461"/>
        <v>0</v>
      </c>
      <c r="AK1443" s="162">
        <f t="shared" si="461"/>
        <v>0</v>
      </c>
      <c r="AL1443" s="162">
        <f t="shared" si="461"/>
        <v>0</v>
      </c>
      <c r="AM1443" s="162">
        <f t="shared" si="461"/>
        <v>0</v>
      </c>
      <c r="AN1443" s="162">
        <f t="shared" si="461"/>
        <v>0</v>
      </c>
      <c r="AO1443" s="162">
        <f t="shared" si="461"/>
        <v>0</v>
      </c>
      <c r="AP1443" s="162">
        <f t="shared" si="461"/>
        <v>0</v>
      </c>
      <c r="AQ1443" s="162">
        <f t="shared" si="461"/>
        <v>0</v>
      </c>
      <c r="AR1443" s="163">
        <f t="shared" si="466"/>
        <v>0</v>
      </c>
      <c r="AT1443" s="181" t="str">
        <f t="shared" si="467"/>
        <v/>
      </c>
      <c r="AU1443" s="156">
        <f t="shared" si="467"/>
        <v>0</v>
      </c>
      <c r="AV1443" s="156">
        <f t="shared" si="468"/>
        <v>0</v>
      </c>
      <c r="AW1443" s="156">
        <f t="shared" si="462"/>
        <v>0</v>
      </c>
      <c r="AX1443" s="156">
        <f t="shared" si="462"/>
        <v>0</v>
      </c>
      <c r="AY1443" s="156">
        <f t="shared" si="462"/>
        <v>0</v>
      </c>
      <c r="AZ1443" s="156">
        <f t="shared" si="462"/>
        <v>0</v>
      </c>
      <c r="BA1443" s="156">
        <f t="shared" si="462"/>
        <v>0</v>
      </c>
      <c r="BB1443" s="156">
        <f t="shared" si="462"/>
        <v>0</v>
      </c>
      <c r="BC1443" s="156">
        <f t="shared" si="462"/>
        <v>0</v>
      </c>
      <c r="BD1443" s="156">
        <f t="shared" si="462"/>
        <v>0</v>
      </c>
      <c r="BE1443" s="156">
        <f t="shared" si="462"/>
        <v>0</v>
      </c>
      <c r="BF1443" s="156">
        <f t="shared" si="462"/>
        <v>0</v>
      </c>
      <c r="BG1443" s="158">
        <f t="shared" si="469"/>
        <v>0</v>
      </c>
    </row>
    <row r="1444" spans="1:59" x14ac:dyDescent="0.25">
      <c r="A1444" s="14"/>
      <c r="B1444" s="15" t="str">
        <f t="shared" si="463"/>
        <v>IND_OPER__</v>
      </c>
      <c r="C1444" s="83">
        <f t="shared" si="452"/>
        <v>0</v>
      </c>
      <c r="D1444" s="15" t="str">
        <f>IFERROR("QTD_REC_"&amp;VLOOKUP($J1444,#REF!,7,0),"")</f>
        <v/>
      </c>
      <c r="E1444" s="14"/>
      <c r="F1444" s="148"/>
      <c r="G1444" s="149" t="str">
        <f>IFERROR(VLOOKUP(F1444,#REF!,2,0),"")</f>
        <v/>
      </c>
      <c r="H1444" s="150" t="str">
        <f>IFERROR(VLOOKUP(F1444,#REF!,3,0),"")</f>
        <v/>
      </c>
      <c r="I1444" s="151"/>
      <c r="J1444" s="151"/>
      <c r="K1444" s="150" t="str">
        <f>IFERROR(VLOOKUP($J1444,#REF!,2,0),"")</f>
        <v/>
      </c>
      <c r="L1444" s="150" t="str">
        <f t="shared" si="458"/>
        <v/>
      </c>
      <c r="M1444" s="154"/>
      <c r="N1444" s="182"/>
      <c r="O1444" s="155"/>
      <c r="P1444" s="156"/>
      <c r="Q1444" s="156"/>
      <c r="R1444" s="156"/>
      <c r="S1444" s="156"/>
      <c r="T1444" s="156"/>
      <c r="U1444" s="156"/>
      <c r="V1444" s="156"/>
      <c r="W1444" s="156"/>
      <c r="X1444" s="156"/>
      <c r="Y1444" s="156"/>
      <c r="Z1444" s="156"/>
      <c r="AA1444" s="156"/>
      <c r="AB1444" s="158">
        <f t="shared" si="473"/>
        <v>0</v>
      </c>
      <c r="AC1444" s="159" t="s">
        <v>242</v>
      </c>
      <c r="AE1444" s="160" t="str">
        <f t="shared" si="465"/>
        <v/>
      </c>
      <c r="AF1444" s="161">
        <f t="shared" ref="AF1444:AQ1465" si="474">IFERROR(P1444/AU1444,0)</f>
        <v>0</v>
      </c>
      <c r="AG1444" s="162">
        <f t="shared" si="474"/>
        <v>0</v>
      </c>
      <c r="AH1444" s="162">
        <f t="shared" si="474"/>
        <v>0</v>
      </c>
      <c r="AI1444" s="162">
        <f t="shared" si="474"/>
        <v>0</v>
      </c>
      <c r="AJ1444" s="162">
        <f t="shared" si="474"/>
        <v>0</v>
      </c>
      <c r="AK1444" s="162">
        <f t="shared" si="474"/>
        <v>0</v>
      </c>
      <c r="AL1444" s="162">
        <f t="shared" si="474"/>
        <v>0</v>
      </c>
      <c r="AM1444" s="162">
        <f t="shared" si="474"/>
        <v>0</v>
      </c>
      <c r="AN1444" s="162">
        <f t="shared" si="474"/>
        <v>0</v>
      </c>
      <c r="AO1444" s="162">
        <f t="shared" si="474"/>
        <v>0</v>
      </c>
      <c r="AP1444" s="162">
        <f t="shared" si="474"/>
        <v>0</v>
      </c>
      <c r="AQ1444" s="162">
        <f t="shared" si="474"/>
        <v>0</v>
      </c>
      <c r="AR1444" s="163">
        <f t="shared" si="466"/>
        <v>0</v>
      </c>
      <c r="AT1444" s="181" t="str">
        <f t="shared" si="467"/>
        <v/>
      </c>
      <c r="AU1444" s="156">
        <f t="shared" si="467"/>
        <v>0</v>
      </c>
      <c r="AV1444" s="156">
        <f t="shared" si="468"/>
        <v>0</v>
      </c>
      <c r="AW1444" s="156">
        <f t="shared" si="468"/>
        <v>0</v>
      </c>
      <c r="AX1444" s="156">
        <f t="shared" si="468"/>
        <v>0</v>
      </c>
      <c r="AY1444" s="156">
        <f t="shared" si="468"/>
        <v>0</v>
      </c>
      <c r="AZ1444" s="156">
        <f t="shared" si="468"/>
        <v>0</v>
      </c>
      <c r="BA1444" s="156">
        <f t="shared" si="468"/>
        <v>0</v>
      </c>
      <c r="BB1444" s="156">
        <f t="shared" si="468"/>
        <v>0</v>
      </c>
      <c r="BC1444" s="156">
        <f t="shared" si="468"/>
        <v>0</v>
      </c>
      <c r="BD1444" s="156">
        <f t="shared" si="468"/>
        <v>0</v>
      </c>
      <c r="BE1444" s="156">
        <f t="shared" si="468"/>
        <v>0</v>
      </c>
      <c r="BF1444" s="156">
        <f t="shared" si="468"/>
        <v>0</v>
      </c>
      <c r="BG1444" s="158">
        <f t="shared" si="469"/>
        <v>0</v>
      </c>
    </row>
    <row r="1445" spans="1:59" x14ac:dyDescent="0.25">
      <c r="A1445" s="14"/>
      <c r="B1445" s="15" t="str">
        <f t="shared" si="463"/>
        <v>IND_OPER__</v>
      </c>
      <c r="C1445" s="83">
        <f t="shared" si="452"/>
        <v>0</v>
      </c>
      <c r="D1445" s="15" t="str">
        <f>IFERROR("QTD_REC_"&amp;VLOOKUP($J1445,#REF!,7,0),"")</f>
        <v/>
      </c>
      <c r="E1445" s="14"/>
      <c r="F1445" s="148"/>
      <c r="G1445" s="149" t="str">
        <f>IFERROR(VLOOKUP(F1445,#REF!,2,0),"")</f>
        <v/>
      </c>
      <c r="H1445" s="150" t="str">
        <f>IFERROR(VLOOKUP(F1445,#REF!,3,0),"")</f>
        <v/>
      </c>
      <c r="I1445" s="151"/>
      <c r="J1445" s="151"/>
      <c r="K1445" s="150" t="str">
        <f>IFERROR(VLOOKUP($J1445,#REF!,2,0),"")</f>
        <v/>
      </c>
      <c r="L1445" s="150" t="str">
        <f t="shared" si="458"/>
        <v/>
      </c>
      <c r="M1445" s="154"/>
      <c r="N1445" s="182"/>
      <c r="O1445" s="155"/>
      <c r="P1445" s="156"/>
      <c r="Q1445" s="156"/>
      <c r="R1445" s="156"/>
      <c r="S1445" s="156"/>
      <c r="T1445" s="156"/>
      <c r="U1445" s="156"/>
      <c r="V1445" s="156"/>
      <c r="W1445" s="156"/>
      <c r="X1445" s="156"/>
      <c r="Y1445" s="156"/>
      <c r="Z1445" s="156"/>
      <c r="AA1445" s="156"/>
      <c r="AB1445" s="158">
        <f t="shared" si="473"/>
        <v>0</v>
      </c>
      <c r="AC1445" s="159" t="s">
        <v>242</v>
      </c>
      <c r="AE1445" s="160" t="str">
        <f t="shared" si="465"/>
        <v/>
      </c>
      <c r="AF1445" s="161">
        <f t="shared" si="474"/>
        <v>0</v>
      </c>
      <c r="AG1445" s="162">
        <f t="shared" si="474"/>
        <v>0</v>
      </c>
      <c r="AH1445" s="162">
        <f t="shared" si="474"/>
        <v>0</v>
      </c>
      <c r="AI1445" s="162">
        <f t="shared" si="474"/>
        <v>0</v>
      </c>
      <c r="AJ1445" s="162">
        <f t="shared" si="474"/>
        <v>0</v>
      </c>
      <c r="AK1445" s="162">
        <f t="shared" si="474"/>
        <v>0</v>
      </c>
      <c r="AL1445" s="162">
        <f t="shared" si="474"/>
        <v>0</v>
      </c>
      <c r="AM1445" s="162">
        <f t="shared" si="474"/>
        <v>0</v>
      </c>
      <c r="AN1445" s="162">
        <f t="shared" si="474"/>
        <v>0</v>
      </c>
      <c r="AO1445" s="162">
        <f t="shared" si="474"/>
        <v>0</v>
      </c>
      <c r="AP1445" s="162">
        <f t="shared" si="474"/>
        <v>0</v>
      </c>
      <c r="AQ1445" s="162">
        <f t="shared" si="474"/>
        <v>0</v>
      </c>
      <c r="AR1445" s="163">
        <f t="shared" si="466"/>
        <v>0</v>
      </c>
      <c r="AT1445" s="181" t="str">
        <f t="shared" si="467"/>
        <v/>
      </c>
      <c r="AU1445" s="156">
        <f t="shared" si="467"/>
        <v>0</v>
      </c>
      <c r="AV1445" s="156">
        <f t="shared" si="468"/>
        <v>0</v>
      </c>
      <c r="AW1445" s="156">
        <f t="shared" si="468"/>
        <v>0</v>
      </c>
      <c r="AX1445" s="156">
        <f t="shared" si="468"/>
        <v>0</v>
      </c>
      <c r="AY1445" s="156">
        <f t="shared" si="468"/>
        <v>0</v>
      </c>
      <c r="AZ1445" s="156">
        <f t="shared" si="468"/>
        <v>0</v>
      </c>
      <c r="BA1445" s="156">
        <f t="shared" si="468"/>
        <v>0</v>
      </c>
      <c r="BB1445" s="156">
        <f t="shared" si="468"/>
        <v>0</v>
      </c>
      <c r="BC1445" s="156">
        <f t="shared" si="468"/>
        <v>0</v>
      </c>
      <c r="BD1445" s="156">
        <f t="shared" si="468"/>
        <v>0</v>
      </c>
      <c r="BE1445" s="156">
        <f t="shared" si="468"/>
        <v>0</v>
      </c>
      <c r="BF1445" s="156">
        <f t="shared" si="468"/>
        <v>0</v>
      </c>
      <c r="BG1445" s="158">
        <f t="shared" si="469"/>
        <v>0</v>
      </c>
    </row>
    <row r="1446" spans="1:59" x14ac:dyDescent="0.25">
      <c r="A1446" s="14"/>
      <c r="B1446" s="15" t="str">
        <f t="shared" si="463"/>
        <v>IND_OPER__</v>
      </c>
      <c r="C1446" s="83">
        <f t="shared" si="452"/>
        <v>0</v>
      </c>
      <c r="D1446" s="15" t="str">
        <f>IFERROR("QTD_REC_"&amp;VLOOKUP($J1446,#REF!,7,0),"")</f>
        <v/>
      </c>
      <c r="E1446" s="14"/>
      <c r="F1446" s="148"/>
      <c r="G1446" s="149" t="str">
        <f>IFERROR(VLOOKUP(F1446,#REF!,2,0),"")</f>
        <v/>
      </c>
      <c r="H1446" s="150" t="str">
        <f>IFERROR(VLOOKUP(F1446,#REF!,3,0),"")</f>
        <v/>
      </c>
      <c r="I1446" s="151"/>
      <c r="J1446" s="151"/>
      <c r="K1446" s="150" t="str">
        <f>IFERROR(VLOOKUP($J1446,#REF!,2,0),"")</f>
        <v/>
      </c>
      <c r="L1446" s="150" t="str">
        <f t="shared" si="458"/>
        <v/>
      </c>
      <c r="M1446" s="154"/>
      <c r="N1446" s="182"/>
      <c r="O1446" s="155"/>
      <c r="P1446" s="156"/>
      <c r="Q1446" s="156"/>
      <c r="R1446" s="156"/>
      <c r="S1446" s="156"/>
      <c r="T1446" s="156"/>
      <c r="U1446" s="156"/>
      <c r="V1446" s="156"/>
      <c r="W1446" s="156"/>
      <c r="X1446" s="156"/>
      <c r="Y1446" s="156"/>
      <c r="Z1446" s="156"/>
      <c r="AA1446" s="156"/>
      <c r="AB1446" s="158">
        <f t="shared" si="473"/>
        <v>0</v>
      </c>
      <c r="AC1446" s="159" t="s">
        <v>242</v>
      </c>
      <c r="AE1446" s="160" t="str">
        <f t="shared" si="465"/>
        <v/>
      </c>
      <c r="AF1446" s="161">
        <f t="shared" si="474"/>
        <v>0</v>
      </c>
      <c r="AG1446" s="162">
        <f t="shared" si="474"/>
        <v>0</v>
      </c>
      <c r="AH1446" s="162">
        <f t="shared" si="474"/>
        <v>0</v>
      </c>
      <c r="AI1446" s="162">
        <f t="shared" si="474"/>
        <v>0</v>
      </c>
      <c r="AJ1446" s="162">
        <f t="shared" si="474"/>
        <v>0</v>
      </c>
      <c r="AK1446" s="162">
        <f t="shared" si="474"/>
        <v>0</v>
      </c>
      <c r="AL1446" s="162">
        <f t="shared" si="474"/>
        <v>0</v>
      </c>
      <c r="AM1446" s="162">
        <f t="shared" si="474"/>
        <v>0</v>
      </c>
      <c r="AN1446" s="162">
        <f t="shared" si="474"/>
        <v>0</v>
      </c>
      <c r="AO1446" s="162">
        <f t="shared" si="474"/>
        <v>0</v>
      </c>
      <c r="AP1446" s="162">
        <f t="shared" si="474"/>
        <v>0</v>
      </c>
      <c r="AQ1446" s="162">
        <f t="shared" si="474"/>
        <v>0</v>
      </c>
      <c r="AR1446" s="163">
        <f t="shared" si="466"/>
        <v>0</v>
      </c>
      <c r="AT1446" s="181" t="str">
        <f t="shared" si="467"/>
        <v/>
      </c>
      <c r="AU1446" s="156">
        <f t="shared" si="467"/>
        <v>0</v>
      </c>
      <c r="AV1446" s="156">
        <f t="shared" si="468"/>
        <v>0</v>
      </c>
      <c r="AW1446" s="156">
        <f t="shared" si="468"/>
        <v>0</v>
      </c>
      <c r="AX1446" s="156">
        <f t="shared" si="468"/>
        <v>0</v>
      </c>
      <c r="AY1446" s="156">
        <f t="shared" si="468"/>
        <v>0</v>
      </c>
      <c r="AZ1446" s="156">
        <f t="shared" si="468"/>
        <v>0</v>
      </c>
      <c r="BA1446" s="156">
        <f t="shared" si="468"/>
        <v>0</v>
      </c>
      <c r="BB1446" s="156">
        <f t="shared" si="468"/>
        <v>0</v>
      </c>
      <c r="BC1446" s="156">
        <f t="shared" si="468"/>
        <v>0</v>
      </c>
      <c r="BD1446" s="156">
        <f t="shared" si="468"/>
        <v>0</v>
      </c>
      <c r="BE1446" s="156">
        <f t="shared" si="468"/>
        <v>0</v>
      </c>
      <c r="BF1446" s="156">
        <f t="shared" si="468"/>
        <v>0</v>
      </c>
      <c r="BG1446" s="158">
        <f t="shared" si="469"/>
        <v>0</v>
      </c>
    </row>
    <row r="1447" spans="1:59" x14ac:dyDescent="0.25">
      <c r="A1447" s="14"/>
      <c r="B1447" s="15" t="str">
        <f t="shared" si="463"/>
        <v>IND_OPER__</v>
      </c>
      <c r="C1447" s="83">
        <f t="shared" si="452"/>
        <v>0</v>
      </c>
      <c r="D1447" s="15" t="str">
        <f>IFERROR("QTD_REC_"&amp;VLOOKUP($J1447,#REF!,7,0),"")</f>
        <v/>
      </c>
      <c r="E1447" s="14"/>
      <c r="F1447" s="148"/>
      <c r="G1447" s="149" t="str">
        <f>IFERROR(VLOOKUP(F1447,#REF!,2,0),"")</f>
        <v/>
      </c>
      <c r="H1447" s="150" t="str">
        <f>IFERROR(VLOOKUP(F1447,#REF!,3,0),"")</f>
        <v/>
      </c>
      <c r="I1447" s="151"/>
      <c r="J1447" s="151"/>
      <c r="K1447" s="150" t="str">
        <f>IFERROR(VLOOKUP($J1447,#REF!,2,0),"")</f>
        <v/>
      </c>
      <c r="L1447" s="150" t="str">
        <f t="shared" si="458"/>
        <v/>
      </c>
      <c r="M1447" s="154"/>
      <c r="N1447" s="182"/>
      <c r="O1447" s="155"/>
      <c r="P1447" s="156"/>
      <c r="Q1447" s="156"/>
      <c r="R1447" s="156"/>
      <c r="S1447" s="156"/>
      <c r="T1447" s="156"/>
      <c r="U1447" s="156"/>
      <c r="V1447" s="156"/>
      <c r="W1447" s="156"/>
      <c r="X1447" s="156"/>
      <c r="Y1447" s="156"/>
      <c r="Z1447" s="156"/>
      <c r="AA1447" s="156"/>
      <c r="AB1447" s="158">
        <f t="shared" si="473"/>
        <v>0</v>
      </c>
      <c r="AC1447" s="159" t="s">
        <v>242</v>
      </c>
      <c r="AE1447" s="160" t="str">
        <f t="shared" si="465"/>
        <v/>
      </c>
      <c r="AF1447" s="161">
        <f t="shared" si="474"/>
        <v>0</v>
      </c>
      <c r="AG1447" s="162">
        <f t="shared" si="474"/>
        <v>0</v>
      </c>
      <c r="AH1447" s="162">
        <f t="shared" si="474"/>
        <v>0</v>
      </c>
      <c r="AI1447" s="162">
        <f t="shared" si="474"/>
        <v>0</v>
      </c>
      <c r="AJ1447" s="162">
        <f t="shared" si="474"/>
        <v>0</v>
      </c>
      <c r="AK1447" s="162">
        <f t="shared" si="474"/>
        <v>0</v>
      </c>
      <c r="AL1447" s="162">
        <f t="shared" si="474"/>
        <v>0</v>
      </c>
      <c r="AM1447" s="162">
        <f t="shared" si="474"/>
        <v>0</v>
      </c>
      <c r="AN1447" s="162">
        <f t="shared" si="474"/>
        <v>0</v>
      </c>
      <c r="AO1447" s="162">
        <f t="shared" si="474"/>
        <v>0</v>
      </c>
      <c r="AP1447" s="162">
        <f t="shared" si="474"/>
        <v>0</v>
      </c>
      <c r="AQ1447" s="162">
        <f t="shared" si="474"/>
        <v>0</v>
      </c>
      <c r="AR1447" s="163">
        <f t="shared" si="466"/>
        <v>0</v>
      </c>
      <c r="AT1447" s="181" t="str">
        <f t="shared" si="467"/>
        <v/>
      </c>
      <c r="AU1447" s="156">
        <f t="shared" si="467"/>
        <v>0</v>
      </c>
      <c r="AV1447" s="156">
        <f t="shared" si="468"/>
        <v>0</v>
      </c>
      <c r="AW1447" s="156">
        <f t="shared" si="468"/>
        <v>0</v>
      </c>
      <c r="AX1447" s="156">
        <f t="shared" si="468"/>
        <v>0</v>
      </c>
      <c r="AY1447" s="156">
        <f t="shared" si="468"/>
        <v>0</v>
      </c>
      <c r="AZ1447" s="156">
        <f t="shared" si="468"/>
        <v>0</v>
      </c>
      <c r="BA1447" s="156">
        <f t="shared" si="468"/>
        <v>0</v>
      </c>
      <c r="BB1447" s="156">
        <f t="shared" si="468"/>
        <v>0</v>
      </c>
      <c r="BC1447" s="156">
        <f t="shared" si="468"/>
        <v>0</v>
      </c>
      <c r="BD1447" s="156">
        <f t="shared" si="468"/>
        <v>0</v>
      </c>
      <c r="BE1447" s="156">
        <f t="shared" si="468"/>
        <v>0</v>
      </c>
      <c r="BF1447" s="156">
        <f t="shared" si="468"/>
        <v>0</v>
      </c>
      <c r="BG1447" s="158">
        <f t="shared" si="469"/>
        <v>0</v>
      </c>
    </row>
    <row r="1448" spans="1:59" x14ac:dyDescent="0.25">
      <c r="A1448" s="14"/>
      <c r="B1448" s="15" t="str">
        <f t="shared" si="463"/>
        <v>IND_OPER__</v>
      </c>
      <c r="C1448" s="83">
        <f t="shared" ref="C1448:C1472" si="475">I1448</f>
        <v>0</v>
      </c>
      <c r="D1448" s="15" t="str">
        <f>IFERROR("QTD_REC_"&amp;VLOOKUP($J1448,#REF!,7,0),"")</f>
        <v/>
      </c>
      <c r="E1448" s="14"/>
      <c r="F1448" s="148"/>
      <c r="G1448" s="149" t="str">
        <f>IFERROR(VLOOKUP(F1448,#REF!,2,0),"")</f>
        <v/>
      </c>
      <c r="H1448" s="150" t="str">
        <f>IFERROR(VLOOKUP(F1448,#REF!,3,0),"")</f>
        <v/>
      </c>
      <c r="I1448" s="151"/>
      <c r="J1448" s="151"/>
      <c r="K1448" s="150" t="str">
        <f>IFERROR(VLOOKUP($J1448,#REF!,2,0),"")</f>
        <v/>
      </c>
      <c r="L1448" s="150" t="str">
        <f t="shared" si="458"/>
        <v/>
      </c>
      <c r="M1448" s="154"/>
      <c r="N1448" s="182"/>
      <c r="O1448" s="155"/>
      <c r="P1448" s="156"/>
      <c r="Q1448" s="156"/>
      <c r="R1448" s="156"/>
      <c r="S1448" s="156"/>
      <c r="T1448" s="156"/>
      <c r="U1448" s="156"/>
      <c r="V1448" s="156"/>
      <c r="W1448" s="156"/>
      <c r="X1448" s="156"/>
      <c r="Y1448" s="156"/>
      <c r="Z1448" s="156"/>
      <c r="AA1448" s="156"/>
      <c r="AB1448" s="158">
        <f t="shared" si="473"/>
        <v>0</v>
      </c>
      <c r="AC1448" s="159" t="s">
        <v>242</v>
      </c>
      <c r="AE1448" s="160" t="str">
        <f t="shared" si="465"/>
        <v/>
      </c>
      <c r="AF1448" s="161">
        <f t="shared" si="474"/>
        <v>0</v>
      </c>
      <c r="AG1448" s="162">
        <f t="shared" si="474"/>
        <v>0</v>
      </c>
      <c r="AH1448" s="162">
        <f t="shared" si="474"/>
        <v>0</v>
      </c>
      <c r="AI1448" s="162">
        <f t="shared" si="474"/>
        <v>0</v>
      </c>
      <c r="AJ1448" s="162">
        <f t="shared" si="474"/>
        <v>0</v>
      </c>
      <c r="AK1448" s="162">
        <f t="shared" si="474"/>
        <v>0</v>
      </c>
      <c r="AL1448" s="162">
        <f t="shared" si="474"/>
        <v>0</v>
      </c>
      <c r="AM1448" s="162">
        <f t="shared" si="474"/>
        <v>0</v>
      </c>
      <c r="AN1448" s="162">
        <f t="shared" si="474"/>
        <v>0</v>
      </c>
      <c r="AO1448" s="162">
        <f t="shared" si="474"/>
        <v>0</v>
      </c>
      <c r="AP1448" s="162">
        <f t="shared" si="474"/>
        <v>0</v>
      </c>
      <c r="AQ1448" s="162">
        <f t="shared" si="474"/>
        <v>0</v>
      </c>
      <c r="AR1448" s="163">
        <f t="shared" si="466"/>
        <v>0</v>
      </c>
      <c r="AT1448" s="181" t="str">
        <f t="shared" si="467"/>
        <v/>
      </c>
      <c r="AU1448" s="156">
        <f t="shared" si="467"/>
        <v>0</v>
      </c>
      <c r="AV1448" s="156">
        <f t="shared" si="468"/>
        <v>0</v>
      </c>
      <c r="AW1448" s="156">
        <f t="shared" si="468"/>
        <v>0</v>
      </c>
      <c r="AX1448" s="156">
        <f t="shared" si="468"/>
        <v>0</v>
      </c>
      <c r="AY1448" s="156">
        <f t="shared" si="468"/>
        <v>0</v>
      </c>
      <c r="AZ1448" s="156">
        <f t="shared" si="468"/>
        <v>0</v>
      </c>
      <c r="BA1448" s="156">
        <f t="shared" si="468"/>
        <v>0</v>
      </c>
      <c r="BB1448" s="156">
        <f t="shared" si="468"/>
        <v>0</v>
      </c>
      <c r="BC1448" s="156">
        <f t="shared" si="468"/>
        <v>0</v>
      </c>
      <c r="BD1448" s="156">
        <f t="shared" si="468"/>
        <v>0</v>
      </c>
      <c r="BE1448" s="156">
        <f t="shared" si="468"/>
        <v>0</v>
      </c>
      <c r="BF1448" s="156">
        <f t="shared" si="468"/>
        <v>0</v>
      </c>
      <c r="BG1448" s="158">
        <f t="shared" si="469"/>
        <v>0</v>
      </c>
    </row>
    <row r="1449" spans="1:59" x14ac:dyDescent="0.25">
      <c r="A1449" s="14"/>
      <c r="B1449" s="15" t="str">
        <f t="shared" si="463"/>
        <v>IND_OPER__</v>
      </c>
      <c r="C1449" s="83">
        <f t="shared" si="475"/>
        <v>0</v>
      </c>
      <c r="D1449" s="15" t="str">
        <f>IFERROR("QTD_REC_"&amp;VLOOKUP($J1449,#REF!,7,0),"")</f>
        <v/>
      </c>
      <c r="E1449" s="14"/>
      <c r="F1449" s="148"/>
      <c r="G1449" s="149" t="str">
        <f>IFERROR(VLOOKUP(F1449,#REF!,2,0),"")</f>
        <v/>
      </c>
      <c r="H1449" s="150" t="str">
        <f>IFERROR(VLOOKUP(F1449,#REF!,3,0),"")</f>
        <v/>
      </c>
      <c r="I1449" s="151"/>
      <c r="J1449" s="151"/>
      <c r="K1449" s="150" t="str">
        <f>IFERROR(VLOOKUP($J1449,#REF!,2,0),"")</f>
        <v/>
      </c>
      <c r="L1449" s="150" t="str">
        <f t="shared" si="458"/>
        <v/>
      </c>
      <c r="M1449" s="154"/>
      <c r="N1449" s="182"/>
      <c r="O1449" s="155"/>
      <c r="P1449" s="156"/>
      <c r="Q1449" s="156"/>
      <c r="R1449" s="156"/>
      <c r="S1449" s="156"/>
      <c r="T1449" s="156"/>
      <c r="U1449" s="156"/>
      <c r="V1449" s="156"/>
      <c r="W1449" s="156"/>
      <c r="X1449" s="156"/>
      <c r="Y1449" s="156"/>
      <c r="Z1449" s="156"/>
      <c r="AA1449" s="156"/>
      <c r="AB1449" s="158">
        <f t="shared" si="473"/>
        <v>0</v>
      </c>
      <c r="AC1449" s="159" t="s">
        <v>242</v>
      </c>
      <c r="AE1449" s="160" t="str">
        <f t="shared" si="465"/>
        <v/>
      </c>
      <c r="AF1449" s="161">
        <f t="shared" si="474"/>
        <v>0</v>
      </c>
      <c r="AG1449" s="162">
        <f t="shared" si="474"/>
        <v>0</v>
      </c>
      <c r="AH1449" s="162">
        <f t="shared" si="474"/>
        <v>0</v>
      </c>
      <c r="AI1449" s="162">
        <f t="shared" si="474"/>
        <v>0</v>
      </c>
      <c r="AJ1449" s="162">
        <f t="shared" si="474"/>
        <v>0</v>
      </c>
      <c r="AK1449" s="162">
        <f t="shared" si="474"/>
        <v>0</v>
      </c>
      <c r="AL1449" s="162">
        <f t="shared" si="474"/>
        <v>0</v>
      </c>
      <c r="AM1449" s="162">
        <f t="shared" si="474"/>
        <v>0</v>
      </c>
      <c r="AN1449" s="162">
        <f t="shared" si="474"/>
        <v>0</v>
      </c>
      <c r="AO1449" s="162">
        <f t="shared" si="474"/>
        <v>0</v>
      </c>
      <c r="AP1449" s="162">
        <f t="shared" si="474"/>
        <v>0</v>
      </c>
      <c r="AQ1449" s="162">
        <f t="shared" si="474"/>
        <v>0</v>
      </c>
      <c r="AR1449" s="163">
        <f t="shared" si="466"/>
        <v>0</v>
      </c>
      <c r="AT1449" s="181" t="str">
        <f t="shared" si="467"/>
        <v/>
      </c>
      <c r="AU1449" s="156">
        <f t="shared" si="467"/>
        <v>0</v>
      </c>
      <c r="AV1449" s="156">
        <f t="shared" si="468"/>
        <v>0</v>
      </c>
      <c r="AW1449" s="156">
        <f t="shared" si="468"/>
        <v>0</v>
      </c>
      <c r="AX1449" s="156">
        <f t="shared" si="468"/>
        <v>0</v>
      </c>
      <c r="AY1449" s="156">
        <f t="shared" si="468"/>
        <v>0</v>
      </c>
      <c r="AZ1449" s="156">
        <f t="shared" si="468"/>
        <v>0</v>
      </c>
      <c r="BA1449" s="156">
        <f t="shared" si="468"/>
        <v>0</v>
      </c>
      <c r="BB1449" s="156">
        <f t="shared" si="468"/>
        <v>0</v>
      </c>
      <c r="BC1449" s="156">
        <f t="shared" si="468"/>
        <v>0</v>
      </c>
      <c r="BD1449" s="156">
        <f t="shared" si="468"/>
        <v>0</v>
      </c>
      <c r="BE1449" s="156">
        <f t="shared" si="468"/>
        <v>0</v>
      </c>
      <c r="BF1449" s="156">
        <f t="shared" si="468"/>
        <v>0</v>
      </c>
      <c r="BG1449" s="158">
        <f t="shared" si="469"/>
        <v>0</v>
      </c>
    </row>
    <row r="1450" spans="1:59" x14ac:dyDescent="0.25">
      <c r="A1450" s="14"/>
      <c r="B1450" s="15" t="str">
        <f t="shared" si="463"/>
        <v>IND_OPER__</v>
      </c>
      <c r="C1450" s="83">
        <f t="shared" si="475"/>
        <v>0</v>
      </c>
      <c r="D1450" s="15" t="str">
        <f>IFERROR("QTD_REC_"&amp;VLOOKUP($J1450,#REF!,7,0),"")</f>
        <v/>
      </c>
      <c r="E1450" s="14"/>
      <c r="F1450" s="148"/>
      <c r="G1450" s="149" t="str">
        <f>IFERROR(VLOOKUP(F1450,#REF!,2,0),"")</f>
        <v/>
      </c>
      <c r="H1450" s="150" t="str">
        <f>IFERROR(VLOOKUP(F1450,#REF!,3,0),"")</f>
        <v/>
      </c>
      <c r="I1450" s="151"/>
      <c r="J1450" s="151"/>
      <c r="K1450" s="150" t="str">
        <f>IFERROR(VLOOKUP($J1450,#REF!,2,0),"")</f>
        <v/>
      </c>
      <c r="L1450" s="150" t="str">
        <f t="shared" si="458"/>
        <v/>
      </c>
      <c r="M1450" s="154"/>
      <c r="N1450" s="180"/>
      <c r="O1450" s="155"/>
      <c r="P1450" s="156"/>
      <c r="Q1450" s="156"/>
      <c r="R1450" s="156"/>
      <c r="S1450" s="156"/>
      <c r="T1450" s="156"/>
      <c r="U1450" s="156"/>
      <c r="V1450" s="156"/>
      <c r="W1450" s="156"/>
      <c r="X1450" s="156"/>
      <c r="Y1450" s="156"/>
      <c r="Z1450" s="156"/>
      <c r="AA1450" s="156"/>
      <c r="AB1450" s="158">
        <f t="shared" si="460"/>
        <v>0</v>
      </c>
      <c r="AC1450" s="159"/>
      <c r="AE1450" s="160" t="str">
        <f t="shared" si="465"/>
        <v/>
      </c>
      <c r="AF1450" s="161">
        <f t="shared" si="474"/>
        <v>0</v>
      </c>
      <c r="AG1450" s="162">
        <f t="shared" si="474"/>
        <v>0</v>
      </c>
      <c r="AH1450" s="162">
        <f t="shared" si="474"/>
        <v>0</v>
      </c>
      <c r="AI1450" s="162">
        <f t="shared" si="474"/>
        <v>0</v>
      </c>
      <c r="AJ1450" s="162">
        <f t="shared" si="474"/>
        <v>0</v>
      </c>
      <c r="AK1450" s="162">
        <f t="shared" si="474"/>
        <v>0</v>
      </c>
      <c r="AL1450" s="162">
        <f t="shared" si="474"/>
        <v>0</v>
      </c>
      <c r="AM1450" s="162">
        <f t="shared" si="474"/>
        <v>0</v>
      </c>
      <c r="AN1450" s="162">
        <f t="shared" si="474"/>
        <v>0</v>
      </c>
      <c r="AO1450" s="162">
        <f t="shared" si="474"/>
        <v>0</v>
      </c>
      <c r="AP1450" s="162">
        <f t="shared" si="474"/>
        <v>0</v>
      </c>
      <c r="AQ1450" s="162">
        <f t="shared" si="474"/>
        <v>0</v>
      </c>
      <c r="AR1450" s="163">
        <f t="shared" si="466"/>
        <v>0</v>
      </c>
      <c r="AT1450" s="181" t="str">
        <f t="shared" si="467"/>
        <v/>
      </c>
      <c r="AU1450" s="156">
        <f t="shared" si="467"/>
        <v>0</v>
      </c>
      <c r="AV1450" s="156">
        <f t="shared" si="468"/>
        <v>0</v>
      </c>
      <c r="AW1450" s="156">
        <f t="shared" si="468"/>
        <v>0</v>
      </c>
      <c r="AX1450" s="156">
        <f t="shared" si="468"/>
        <v>0</v>
      </c>
      <c r="AY1450" s="156">
        <f t="shared" si="468"/>
        <v>0</v>
      </c>
      <c r="AZ1450" s="156">
        <f t="shared" si="468"/>
        <v>0</v>
      </c>
      <c r="BA1450" s="156">
        <f t="shared" si="468"/>
        <v>0</v>
      </c>
      <c r="BB1450" s="156">
        <f t="shared" si="468"/>
        <v>0</v>
      </c>
      <c r="BC1450" s="156">
        <f t="shared" si="468"/>
        <v>0</v>
      </c>
      <c r="BD1450" s="156">
        <f t="shared" si="468"/>
        <v>0</v>
      </c>
      <c r="BE1450" s="156">
        <f t="shared" si="468"/>
        <v>0</v>
      </c>
      <c r="BF1450" s="156">
        <f t="shared" si="468"/>
        <v>0</v>
      </c>
      <c r="BG1450" s="158">
        <f t="shared" si="469"/>
        <v>0</v>
      </c>
    </row>
    <row r="1451" spans="1:59" x14ac:dyDescent="0.25">
      <c r="A1451" s="14"/>
      <c r="B1451" s="15" t="str">
        <f t="shared" si="463"/>
        <v>IND_OPER__</v>
      </c>
      <c r="C1451" s="83">
        <f t="shared" si="475"/>
        <v>0</v>
      </c>
      <c r="D1451" s="15" t="str">
        <f>IFERROR("QTD_REC_"&amp;VLOOKUP($J1451,#REF!,7,0),"")</f>
        <v/>
      </c>
      <c r="E1451" s="14"/>
      <c r="F1451" s="148"/>
      <c r="G1451" s="149" t="str">
        <f>IFERROR(VLOOKUP(F1451,#REF!,2,0),"")</f>
        <v/>
      </c>
      <c r="H1451" s="150" t="str">
        <f>IFERROR(VLOOKUP(F1451,#REF!,3,0),"")</f>
        <v/>
      </c>
      <c r="I1451" s="151"/>
      <c r="J1451" s="151"/>
      <c r="K1451" s="150" t="str">
        <f>IFERROR(VLOOKUP($J1451,#REF!,2,0),"")</f>
        <v/>
      </c>
      <c r="L1451" s="150" t="str">
        <f t="shared" si="458"/>
        <v/>
      </c>
      <c r="M1451" s="154"/>
      <c r="N1451" s="180"/>
      <c r="O1451" s="155"/>
      <c r="P1451" s="156"/>
      <c r="Q1451" s="156"/>
      <c r="R1451" s="156"/>
      <c r="S1451" s="156"/>
      <c r="T1451" s="156"/>
      <c r="U1451" s="156"/>
      <c r="V1451" s="156"/>
      <c r="W1451" s="156"/>
      <c r="X1451" s="156"/>
      <c r="Y1451" s="156"/>
      <c r="Z1451" s="156"/>
      <c r="AA1451" s="156"/>
      <c r="AB1451" s="158">
        <f t="shared" si="460"/>
        <v>0</v>
      </c>
      <c r="AC1451" s="159"/>
      <c r="AE1451" s="160" t="str">
        <f t="shared" si="465"/>
        <v/>
      </c>
      <c r="AF1451" s="161">
        <f t="shared" si="474"/>
        <v>0</v>
      </c>
      <c r="AG1451" s="162">
        <f t="shared" si="474"/>
        <v>0</v>
      </c>
      <c r="AH1451" s="162">
        <f t="shared" si="474"/>
        <v>0</v>
      </c>
      <c r="AI1451" s="162">
        <f t="shared" si="474"/>
        <v>0</v>
      </c>
      <c r="AJ1451" s="162">
        <f t="shared" si="474"/>
        <v>0</v>
      </c>
      <c r="AK1451" s="162">
        <f t="shared" si="474"/>
        <v>0</v>
      </c>
      <c r="AL1451" s="162">
        <f t="shared" si="474"/>
        <v>0</v>
      </c>
      <c r="AM1451" s="162">
        <f t="shared" si="474"/>
        <v>0</v>
      </c>
      <c r="AN1451" s="162">
        <f t="shared" si="474"/>
        <v>0</v>
      </c>
      <c r="AO1451" s="162">
        <f t="shared" si="474"/>
        <v>0</v>
      </c>
      <c r="AP1451" s="162">
        <f t="shared" si="474"/>
        <v>0</v>
      </c>
      <c r="AQ1451" s="162">
        <f t="shared" si="474"/>
        <v>0</v>
      </c>
      <c r="AR1451" s="163">
        <f t="shared" si="466"/>
        <v>0</v>
      </c>
      <c r="AT1451" s="181" t="str">
        <f t="shared" si="467"/>
        <v/>
      </c>
      <c r="AU1451" s="156">
        <f t="shared" si="467"/>
        <v>0</v>
      </c>
      <c r="AV1451" s="156">
        <f t="shared" si="468"/>
        <v>0</v>
      </c>
      <c r="AW1451" s="156">
        <f t="shared" si="468"/>
        <v>0</v>
      </c>
      <c r="AX1451" s="156">
        <f t="shared" si="468"/>
        <v>0</v>
      </c>
      <c r="AY1451" s="156">
        <f t="shared" si="468"/>
        <v>0</v>
      </c>
      <c r="AZ1451" s="156">
        <f t="shared" si="468"/>
        <v>0</v>
      </c>
      <c r="BA1451" s="156">
        <f t="shared" si="468"/>
        <v>0</v>
      </c>
      <c r="BB1451" s="156">
        <f t="shared" si="468"/>
        <v>0</v>
      </c>
      <c r="BC1451" s="156">
        <f t="shared" si="468"/>
        <v>0</v>
      </c>
      <c r="BD1451" s="156">
        <f t="shared" si="468"/>
        <v>0</v>
      </c>
      <c r="BE1451" s="156">
        <f t="shared" si="468"/>
        <v>0</v>
      </c>
      <c r="BF1451" s="156">
        <f t="shared" si="468"/>
        <v>0</v>
      </c>
      <c r="BG1451" s="158">
        <f t="shared" si="469"/>
        <v>0</v>
      </c>
    </row>
    <row r="1452" spans="1:59" x14ac:dyDescent="0.25">
      <c r="A1452" s="14"/>
      <c r="B1452" s="15" t="str">
        <f t="shared" si="463"/>
        <v>IND_OPER__</v>
      </c>
      <c r="C1452" s="83">
        <f t="shared" si="475"/>
        <v>0</v>
      </c>
      <c r="D1452" s="15" t="str">
        <f>IFERROR("QTD_REC_"&amp;VLOOKUP($J1452,#REF!,7,0),"")</f>
        <v/>
      </c>
      <c r="E1452" s="14"/>
      <c r="F1452" s="148"/>
      <c r="G1452" s="149" t="str">
        <f>IFERROR(VLOOKUP(F1452,#REF!,2,0),"")</f>
        <v/>
      </c>
      <c r="H1452" s="150" t="str">
        <f>IFERROR(VLOOKUP(F1452,#REF!,3,0),"")</f>
        <v/>
      </c>
      <c r="I1452" s="151"/>
      <c r="J1452" s="151"/>
      <c r="K1452" s="150" t="str">
        <f>IFERROR(VLOOKUP($J1452,#REF!,2,0),"")</f>
        <v/>
      </c>
      <c r="L1452" s="150" t="str">
        <f t="shared" si="458"/>
        <v/>
      </c>
      <c r="M1452" s="154"/>
      <c r="N1452" s="180"/>
      <c r="O1452" s="155"/>
      <c r="P1452" s="156"/>
      <c r="Q1452" s="156"/>
      <c r="R1452" s="156"/>
      <c r="S1452" s="156"/>
      <c r="T1452" s="156"/>
      <c r="U1452" s="156"/>
      <c r="V1452" s="156"/>
      <c r="W1452" s="156"/>
      <c r="X1452" s="156"/>
      <c r="Y1452" s="156"/>
      <c r="Z1452" s="156"/>
      <c r="AA1452" s="156"/>
      <c r="AB1452" s="158">
        <f t="shared" si="460"/>
        <v>0</v>
      </c>
      <c r="AC1452" s="159"/>
      <c r="AE1452" s="160" t="str">
        <f t="shared" si="465"/>
        <v/>
      </c>
      <c r="AF1452" s="161">
        <f t="shared" si="474"/>
        <v>0</v>
      </c>
      <c r="AG1452" s="162">
        <f t="shared" si="474"/>
        <v>0</v>
      </c>
      <c r="AH1452" s="162">
        <f t="shared" si="474"/>
        <v>0</v>
      </c>
      <c r="AI1452" s="162">
        <f t="shared" si="474"/>
        <v>0</v>
      </c>
      <c r="AJ1452" s="162">
        <f t="shared" si="474"/>
        <v>0</v>
      </c>
      <c r="AK1452" s="162">
        <f t="shared" si="474"/>
        <v>0</v>
      </c>
      <c r="AL1452" s="162">
        <f t="shared" si="474"/>
        <v>0</v>
      </c>
      <c r="AM1452" s="162">
        <f t="shared" si="474"/>
        <v>0</v>
      </c>
      <c r="AN1452" s="162">
        <f t="shared" si="474"/>
        <v>0</v>
      </c>
      <c r="AO1452" s="162">
        <f t="shared" si="474"/>
        <v>0</v>
      </c>
      <c r="AP1452" s="162">
        <f t="shared" si="474"/>
        <v>0</v>
      </c>
      <c r="AQ1452" s="162">
        <f t="shared" si="474"/>
        <v>0</v>
      </c>
      <c r="AR1452" s="163">
        <f t="shared" si="466"/>
        <v>0</v>
      </c>
      <c r="AT1452" s="181" t="str">
        <f t="shared" si="467"/>
        <v/>
      </c>
      <c r="AU1452" s="156">
        <f t="shared" si="467"/>
        <v>0</v>
      </c>
      <c r="AV1452" s="156">
        <f t="shared" si="468"/>
        <v>0</v>
      </c>
      <c r="AW1452" s="156">
        <f t="shared" si="468"/>
        <v>0</v>
      </c>
      <c r="AX1452" s="156">
        <f t="shared" si="468"/>
        <v>0</v>
      </c>
      <c r="AY1452" s="156">
        <f t="shared" si="468"/>
        <v>0</v>
      </c>
      <c r="AZ1452" s="156">
        <f t="shared" si="468"/>
        <v>0</v>
      </c>
      <c r="BA1452" s="156">
        <f t="shared" si="468"/>
        <v>0</v>
      </c>
      <c r="BB1452" s="156">
        <f t="shared" si="468"/>
        <v>0</v>
      </c>
      <c r="BC1452" s="156">
        <f t="shared" si="468"/>
        <v>0</v>
      </c>
      <c r="BD1452" s="156">
        <f t="shared" si="468"/>
        <v>0</v>
      </c>
      <c r="BE1452" s="156">
        <f t="shared" si="468"/>
        <v>0</v>
      </c>
      <c r="BF1452" s="156">
        <f t="shared" si="468"/>
        <v>0</v>
      </c>
      <c r="BG1452" s="158">
        <f t="shared" si="469"/>
        <v>0</v>
      </c>
    </row>
    <row r="1453" spans="1:59" x14ac:dyDescent="0.25">
      <c r="A1453" s="14"/>
      <c r="B1453" s="15" t="str">
        <f t="shared" si="463"/>
        <v>IND_OPER__</v>
      </c>
      <c r="C1453" s="83">
        <f t="shared" si="475"/>
        <v>0</v>
      </c>
      <c r="D1453" s="15" t="str">
        <f>IFERROR("QTD_REC_"&amp;VLOOKUP($J1453,#REF!,7,0),"")</f>
        <v/>
      </c>
      <c r="E1453" s="14"/>
      <c r="F1453" s="148"/>
      <c r="G1453" s="149" t="str">
        <f>IFERROR(VLOOKUP(F1453,#REF!,2,0),"")</f>
        <v/>
      </c>
      <c r="H1453" s="150" t="str">
        <f>IFERROR(VLOOKUP(F1453,#REF!,3,0),"")</f>
        <v/>
      </c>
      <c r="I1453" s="151"/>
      <c r="J1453" s="151"/>
      <c r="K1453" s="150" t="str">
        <f>IFERROR(VLOOKUP($J1453,#REF!,2,0),"")</f>
        <v/>
      </c>
      <c r="L1453" s="150" t="str">
        <f t="shared" si="458"/>
        <v/>
      </c>
      <c r="M1453" s="154"/>
      <c r="N1453" s="180"/>
      <c r="O1453" s="155"/>
      <c r="P1453" s="156"/>
      <c r="Q1453" s="156"/>
      <c r="R1453" s="156"/>
      <c r="S1453" s="156"/>
      <c r="T1453" s="156"/>
      <c r="U1453" s="156"/>
      <c r="V1453" s="156"/>
      <c r="W1453" s="156"/>
      <c r="X1453" s="156"/>
      <c r="Y1453" s="156"/>
      <c r="Z1453" s="156"/>
      <c r="AA1453" s="156"/>
      <c r="AB1453" s="158">
        <f t="shared" si="460"/>
        <v>0</v>
      </c>
      <c r="AC1453" s="159"/>
      <c r="AE1453" s="160" t="str">
        <f t="shared" si="465"/>
        <v/>
      </c>
      <c r="AF1453" s="161">
        <f t="shared" si="474"/>
        <v>0</v>
      </c>
      <c r="AG1453" s="162">
        <f t="shared" si="474"/>
        <v>0</v>
      </c>
      <c r="AH1453" s="162">
        <f t="shared" si="474"/>
        <v>0</v>
      </c>
      <c r="AI1453" s="162">
        <f t="shared" si="474"/>
        <v>0</v>
      </c>
      <c r="AJ1453" s="162">
        <f t="shared" si="474"/>
        <v>0</v>
      </c>
      <c r="AK1453" s="162">
        <f t="shared" si="474"/>
        <v>0</v>
      </c>
      <c r="AL1453" s="162">
        <f t="shared" si="474"/>
        <v>0</v>
      </c>
      <c r="AM1453" s="162">
        <f t="shared" si="474"/>
        <v>0</v>
      </c>
      <c r="AN1453" s="162">
        <f t="shared" si="474"/>
        <v>0</v>
      </c>
      <c r="AO1453" s="162">
        <f t="shared" si="474"/>
        <v>0</v>
      </c>
      <c r="AP1453" s="162">
        <f t="shared" si="474"/>
        <v>0</v>
      </c>
      <c r="AQ1453" s="162">
        <f t="shared" si="474"/>
        <v>0</v>
      </c>
      <c r="AR1453" s="163">
        <f t="shared" si="466"/>
        <v>0</v>
      </c>
      <c r="AT1453" s="181" t="str">
        <f t="shared" si="467"/>
        <v/>
      </c>
      <c r="AU1453" s="156">
        <f t="shared" si="467"/>
        <v>0</v>
      </c>
      <c r="AV1453" s="156">
        <f t="shared" si="468"/>
        <v>0</v>
      </c>
      <c r="AW1453" s="156">
        <f t="shared" si="468"/>
        <v>0</v>
      </c>
      <c r="AX1453" s="156">
        <f t="shared" si="468"/>
        <v>0</v>
      </c>
      <c r="AY1453" s="156">
        <f t="shared" si="468"/>
        <v>0</v>
      </c>
      <c r="AZ1453" s="156">
        <f t="shared" si="468"/>
        <v>0</v>
      </c>
      <c r="BA1453" s="156">
        <f t="shared" si="468"/>
        <v>0</v>
      </c>
      <c r="BB1453" s="156">
        <f t="shared" si="468"/>
        <v>0</v>
      </c>
      <c r="BC1453" s="156">
        <f t="shared" si="468"/>
        <v>0</v>
      </c>
      <c r="BD1453" s="156">
        <f t="shared" si="468"/>
        <v>0</v>
      </c>
      <c r="BE1453" s="156">
        <f t="shared" si="468"/>
        <v>0</v>
      </c>
      <c r="BF1453" s="156">
        <f t="shared" si="468"/>
        <v>0</v>
      </c>
      <c r="BG1453" s="158">
        <f t="shared" si="469"/>
        <v>0</v>
      </c>
    </row>
    <row r="1454" spans="1:59" x14ac:dyDescent="0.25">
      <c r="A1454" s="14"/>
      <c r="B1454" s="15" t="str">
        <f t="shared" si="463"/>
        <v>IND_OPER__</v>
      </c>
      <c r="C1454" s="83">
        <f t="shared" si="475"/>
        <v>0</v>
      </c>
      <c r="D1454" s="15" t="str">
        <f>IFERROR("QTD_REC_"&amp;VLOOKUP($J1454,#REF!,7,0),"")</f>
        <v/>
      </c>
      <c r="E1454" s="14"/>
      <c r="F1454" s="148"/>
      <c r="G1454" s="149" t="str">
        <f>IFERROR(VLOOKUP(F1454,#REF!,2,0),"")</f>
        <v/>
      </c>
      <c r="H1454" s="150" t="str">
        <f>IFERROR(VLOOKUP(F1454,#REF!,3,0),"")</f>
        <v/>
      </c>
      <c r="I1454" s="151"/>
      <c r="J1454" s="151"/>
      <c r="K1454" s="150" t="str">
        <f>IFERROR(VLOOKUP($J1454,#REF!,2,0),"")</f>
        <v/>
      </c>
      <c r="L1454" s="150" t="str">
        <f t="shared" si="458"/>
        <v/>
      </c>
      <c r="M1454" s="154"/>
      <c r="N1454" s="180"/>
      <c r="O1454" s="155"/>
      <c r="P1454" s="156"/>
      <c r="Q1454" s="156"/>
      <c r="R1454" s="156"/>
      <c r="S1454" s="156"/>
      <c r="T1454" s="156"/>
      <c r="U1454" s="156"/>
      <c r="V1454" s="156"/>
      <c r="W1454" s="156"/>
      <c r="X1454" s="156"/>
      <c r="Y1454" s="156"/>
      <c r="Z1454" s="156"/>
      <c r="AA1454" s="156"/>
      <c r="AB1454" s="158">
        <f t="shared" si="460"/>
        <v>0</v>
      </c>
      <c r="AC1454" s="159"/>
      <c r="AE1454" s="160" t="str">
        <f t="shared" si="465"/>
        <v/>
      </c>
      <c r="AF1454" s="161">
        <f t="shared" si="474"/>
        <v>0</v>
      </c>
      <c r="AG1454" s="162">
        <f t="shared" si="474"/>
        <v>0</v>
      </c>
      <c r="AH1454" s="162">
        <f t="shared" si="474"/>
        <v>0</v>
      </c>
      <c r="AI1454" s="162">
        <f t="shared" si="474"/>
        <v>0</v>
      </c>
      <c r="AJ1454" s="162">
        <f t="shared" si="474"/>
        <v>0</v>
      </c>
      <c r="AK1454" s="162">
        <f t="shared" si="474"/>
        <v>0</v>
      </c>
      <c r="AL1454" s="162">
        <f t="shared" si="474"/>
        <v>0</v>
      </c>
      <c r="AM1454" s="162">
        <f t="shared" si="474"/>
        <v>0</v>
      </c>
      <c r="AN1454" s="162">
        <f t="shared" si="474"/>
        <v>0</v>
      </c>
      <c r="AO1454" s="162">
        <f t="shared" si="474"/>
        <v>0</v>
      </c>
      <c r="AP1454" s="162">
        <f t="shared" si="474"/>
        <v>0</v>
      </c>
      <c r="AQ1454" s="162">
        <f t="shared" si="474"/>
        <v>0</v>
      </c>
      <c r="AR1454" s="163">
        <f t="shared" si="466"/>
        <v>0</v>
      </c>
      <c r="AT1454" s="181" t="str">
        <f t="shared" si="467"/>
        <v/>
      </c>
      <c r="AU1454" s="156">
        <f t="shared" si="467"/>
        <v>0</v>
      </c>
      <c r="AV1454" s="156">
        <f t="shared" si="468"/>
        <v>0</v>
      </c>
      <c r="AW1454" s="156">
        <f t="shared" si="468"/>
        <v>0</v>
      </c>
      <c r="AX1454" s="156">
        <f t="shared" si="468"/>
        <v>0</v>
      </c>
      <c r="AY1454" s="156">
        <f t="shared" si="468"/>
        <v>0</v>
      </c>
      <c r="AZ1454" s="156">
        <f t="shared" si="468"/>
        <v>0</v>
      </c>
      <c r="BA1454" s="156">
        <f t="shared" si="468"/>
        <v>0</v>
      </c>
      <c r="BB1454" s="156">
        <f t="shared" si="468"/>
        <v>0</v>
      </c>
      <c r="BC1454" s="156">
        <f t="shared" si="468"/>
        <v>0</v>
      </c>
      <c r="BD1454" s="156">
        <f t="shared" si="468"/>
        <v>0</v>
      </c>
      <c r="BE1454" s="156">
        <f t="shared" si="468"/>
        <v>0</v>
      </c>
      <c r="BF1454" s="156">
        <f t="shared" si="468"/>
        <v>0</v>
      </c>
      <c r="BG1454" s="158">
        <f t="shared" si="469"/>
        <v>0</v>
      </c>
    </row>
    <row r="1455" spans="1:59" x14ac:dyDescent="0.25">
      <c r="A1455" s="14"/>
      <c r="B1455" s="15" t="str">
        <f t="shared" si="463"/>
        <v>IND_OPER__</v>
      </c>
      <c r="C1455" s="83">
        <f t="shared" si="475"/>
        <v>0</v>
      </c>
      <c r="D1455" s="15" t="str">
        <f>IFERROR("QTD_REC_"&amp;VLOOKUP($J1455,#REF!,7,0),"")</f>
        <v/>
      </c>
      <c r="E1455" s="14"/>
      <c r="F1455" s="148"/>
      <c r="G1455" s="149" t="str">
        <f>IFERROR(VLOOKUP(F1455,#REF!,2,0),"")</f>
        <v/>
      </c>
      <c r="H1455" s="150" t="str">
        <f>IFERROR(VLOOKUP(F1455,#REF!,3,0),"")</f>
        <v/>
      </c>
      <c r="I1455" s="151"/>
      <c r="J1455" s="151"/>
      <c r="K1455" s="150" t="str">
        <f>IFERROR(VLOOKUP($J1455,#REF!,2,0),"")</f>
        <v/>
      </c>
      <c r="L1455" s="150" t="str">
        <f t="shared" si="458"/>
        <v/>
      </c>
      <c r="M1455" s="154"/>
      <c r="N1455" s="180"/>
      <c r="O1455" s="155"/>
      <c r="P1455" s="156"/>
      <c r="Q1455" s="156"/>
      <c r="R1455" s="156"/>
      <c r="S1455" s="156"/>
      <c r="T1455" s="156"/>
      <c r="U1455" s="156"/>
      <c r="V1455" s="156"/>
      <c r="W1455" s="156"/>
      <c r="X1455" s="156"/>
      <c r="Y1455" s="156"/>
      <c r="Z1455" s="156"/>
      <c r="AA1455" s="156"/>
      <c r="AB1455" s="158">
        <f t="shared" si="460"/>
        <v>0</v>
      </c>
      <c r="AC1455" s="159"/>
      <c r="AE1455" s="160" t="str">
        <f t="shared" si="465"/>
        <v/>
      </c>
      <c r="AF1455" s="161">
        <f t="shared" si="474"/>
        <v>0</v>
      </c>
      <c r="AG1455" s="162">
        <f t="shared" si="474"/>
        <v>0</v>
      </c>
      <c r="AH1455" s="162">
        <f t="shared" si="474"/>
        <v>0</v>
      </c>
      <c r="AI1455" s="162">
        <f t="shared" si="474"/>
        <v>0</v>
      </c>
      <c r="AJ1455" s="162">
        <f t="shared" si="474"/>
        <v>0</v>
      </c>
      <c r="AK1455" s="162">
        <f t="shared" si="474"/>
        <v>0</v>
      </c>
      <c r="AL1455" s="162">
        <f t="shared" si="474"/>
        <v>0</v>
      </c>
      <c r="AM1455" s="162">
        <f t="shared" si="474"/>
        <v>0</v>
      </c>
      <c r="AN1455" s="162">
        <f t="shared" si="474"/>
        <v>0</v>
      </c>
      <c r="AO1455" s="162">
        <f t="shared" si="474"/>
        <v>0</v>
      </c>
      <c r="AP1455" s="162">
        <f t="shared" si="474"/>
        <v>0</v>
      </c>
      <c r="AQ1455" s="162">
        <f t="shared" si="474"/>
        <v>0</v>
      </c>
      <c r="AR1455" s="163">
        <f t="shared" si="466"/>
        <v>0</v>
      </c>
      <c r="AT1455" s="181" t="str">
        <f t="shared" si="467"/>
        <v/>
      </c>
      <c r="AU1455" s="156">
        <f t="shared" si="467"/>
        <v>0</v>
      </c>
      <c r="AV1455" s="156">
        <f t="shared" si="468"/>
        <v>0</v>
      </c>
      <c r="AW1455" s="156">
        <f t="shared" si="468"/>
        <v>0</v>
      </c>
      <c r="AX1455" s="156">
        <f t="shared" si="468"/>
        <v>0</v>
      </c>
      <c r="AY1455" s="156">
        <f t="shared" si="468"/>
        <v>0</v>
      </c>
      <c r="AZ1455" s="156">
        <f t="shared" si="468"/>
        <v>0</v>
      </c>
      <c r="BA1455" s="156">
        <f t="shared" si="468"/>
        <v>0</v>
      </c>
      <c r="BB1455" s="156">
        <f t="shared" si="468"/>
        <v>0</v>
      </c>
      <c r="BC1455" s="156">
        <f t="shared" si="468"/>
        <v>0</v>
      </c>
      <c r="BD1455" s="156">
        <f t="shared" si="468"/>
        <v>0</v>
      </c>
      <c r="BE1455" s="156">
        <f t="shared" si="468"/>
        <v>0</v>
      </c>
      <c r="BF1455" s="156">
        <f t="shared" si="468"/>
        <v>0</v>
      </c>
      <c r="BG1455" s="158">
        <f t="shared" si="469"/>
        <v>0</v>
      </c>
    </row>
    <row r="1456" spans="1:59" x14ac:dyDescent="0.25">
      <c r="A1456" s="14"/>
      <c r="B1456" s="15" t="str">
        <f t="shared" si="463"/>
        <v>IND_OPER__</v>
      </c>
      <c r="C1456" s="83">
        <f t="shared" si="475"/>
        <v>0</v>
      </c>
      <c r="D1456" s="15" t="str">
        <f>IFERROR("QTD_REC_"&amp;VLOOKUP($J1456,#REF!,7,0),"")</f>
        <v/>
      </c>
      <c r="E1456" s="14"/>
      <c r="F1456" s="148"/>
      <c r="G1456" s="149" t="str">
        <f>IFERROR(VLOOKUP(F1456,#REF!,2,0),"")</f>
        <v/>
      </c>
      <c r="H1456" s="150" t="str">
        <f>IFERROR(VLOOKUP(F1456,#REF!,3,0),"")</f>
        <v/>
      </c>
      <c r="I1456" s="151"/>
      <c r="J1456" s="151"/>
      <c r="K1456" s="150" t="str">
        <f>IFERROR(VLOOKUP($J1456,#REF!,2,0),"")</f>
        <v/>
      </c>
      <c r="L1456" s="150" t="str">
        <f t="shared" si="458"/>
        <v/>
      </c>
      <c r="M1456" s="154"/>
      <c r="N1456" s="180"/>
      <c r="O1456" s="155"/>
      <c r="P1456" s="156"/>
      <c r="Q1456" s="156"/>
      <c r="R1456" s="156"/>
      <c r="S1456" s="156"/>
      <c r="T1456" s="156"/>
      <c r="U1456" s="156"/>
      <c r="V1456" s="156"/>
      <c r="W1456" s="156"/>
      <c r="X1456" s="156"/>
      <c r="Y1456" s="156"/>
      <c r="Z1456" s="156"/>
      <c r="AA1456" s="156"/>
      <c r="AB1456" s="158">
        <f t="shared" si="460"/>
        <v>0</v>
      </c>
      <c r="AC1456" s="159"/>
      <c r="AE1456" s="160" t="str">
        <f t="shared" si="465"/>
        <v/>
      </c>
      <c r="AF1456" s="161">
        <f t="shared" si="474"/>
        <v>0</v>
      </c>
      <c r="AG1456" s="162">
        <f t="shared" si="474"/>
        <v>0</v>
      </c>
      <c r="AH1456" s="162">
        <f t="shared" si="474"/>
        <v>0</v>
      </c>
      <c r="AI1456" s="162">
        <f t="shared" si="474"/>
        <v>0</v>
      </c>
      <c r="AJ1456" s="162">
        <f t="shared" si="474"/>
        <v>0</v>
      </c>
      <c r="AK1456" s="162">
        <f t="shared" si="474"/>
        <v>0</v>
      </c>
      <c r="AL1456" s="162">
        <f t="shared" si="474"/>
        <v>0</v>
      </c>
      <c r="AM1456" s="162">
        <f t="shared" si="474"/>
        <v>0</v>
      </c>
      <c r="AN1456" s="162">
        <f t="shared" si="474"/>
        <v>0</v>
      </c>
      <c r="AO1456" s="162">
        <f t="shared" si="474"/>
        <v>0</v>
      </c>
      <c r="AP1456" s="162">
        <f t="shared" si="474"/>
        <v>0</v>
      </c>
      <c r="AQ1456" s="162">
        <f t="shared" si="474"/>
        <v>0</v>
      </c>
      <c r="AR1456" s="163">
        <f t="shared" si="466"/>
        <v>0</v>
      </c>
      <c r="AT1456" s="181" t="str">
        <f t="shared" si="467"/>
        <v/>
      </c>
      <c r="AU1456" s="156">
        <f t="shared" si="467"/>
        <v>0</v>
      </c>
      <c r="AV1456" s="156">
        <f t="shared" si="468"/>
        <v>0</v>
      </c>
      <c r="AW1456" s="156">
        <f t="shared" si="468"/>
        <v>0</v>
      </c>
      <c r="AX1456" s="156">
        <f t="shared" si="468"/>
        <v>0</v>
      </c>
      <c r="AY1456" s="156">
        <f t="shared" si="468"/>
        <v>0</v>
      </c>
      <c r="AZ1456" s="156">
        <f t="shared" si="468"/>
        <v>0</v>
      </c>
      <c r="BA1456" s="156">
        <f t="shared" si="468"/>
        <v>0</v>
      </c>
      <c r="BB1456" s="156">
        <f t="shared" si="468"/>
        <v>0</v>
      </c>
      <c r="BC1456" s="156">
        <f t="shared" si="468"/>
        <v>0</v>
      </c>
      <c r="BD1456" s="156">
        <f t="shared" si="468"/>
        <v>0</v>
      </c>
      <c r="BE1456" s="156">
        <f t="shared" si="468"/>
        <v>0</v>
      </c>
      <c r="BF1456" s="156">
        <f t="shared" si="468"/>
        <v>0</v>
      </c>
      <c r="BG1456" s="158">
        <f t="shared" si="469"/>
        <v>0</v>
      </c>
    </row>
    <row r="1457" spans="1:59" x14ac:dyDescent="0.25">
      <c r="A1457" s="14"/>
      <c r="B1457" s="15" t="str">
        <f t="shared" si="463"/>
        <v>IND_OPER__</v>
      </c>
      <c r="C1457" s="83">
        <f t="shared" si="475"/>
        <v>0</v>
      </c>
      <c r="D1457" s="15" t="str">
        <f>IFERROR("QTD_REC_"&amp;VLOOKUP($J1457,#REF!,7,0),"")</f>
        <v/>
      </c>
      <c r="E1457" s="14"/>
      <c r="F1457" s="148"/>
      <c r="G1457" s="149" t="str">
        <f>IFERROR(VLOOKUP(F1457,#REF!,2,0),"")</f>
        <v/>
      </c>
      <c r="H1457" s="150" t="str">
        <f>IFERROR(VLOOKUP(F1457,#REF!,3,0),"")</f>
        <v/>
      </c>
      <c r="I1457" s="151"/>
      <c r="J1457" s="151"/>
      <c r="K1457" s="150" t="str">
        <f>IFERROR(VLOOKUP($J1457,#REF!,2,0),"")</f>
        <v/>
      </c>
      <c r="L1457" s="150" t="str">
        <f t="shared" si="458"/>
        <v/>
      </c>
      <c r="M1457" s="154"/>
      <c r="N1457" s="180"/>
      <c r="O1457" s="155"/>
      <c r="P1457" s="156"/>
      <c r="Q1457" s="156"/>
      <c r="R1457" s="156"/>
      <c r="S1457" s="156"/>
      <c r="T1457" s="156"/>
      <c r="U1457" s="156"/>
      <c r="V1457" s="156"/>
      <c r="W1457" s="156"/>
      <c r="X1457" s="156"/>
      <c r="Y1457" s="156"/>
      <c r="Z1457" s="156"/>
      <c r="AA1457" s="156"/>
      <c r="AB1457" s="158">
        <f t="shared" si="460"/>
        <v>0</v>
      </c>
      <c r="AC1457" s="159"/>
      <c r="AE1457" s="160" t="str">
        <f t="shared" si="465"/>
        <v/>
      </c>
      <c r="AF1457" s="161">
        <f t="shared" si="474"/>
        <v>0</v>
      </c>
      <c r="AG1457" s="162">
        <f t="shared" si="474"/>
        <v>0</v>
      </c>
      <c r="AH1457" s="162">
        <f t="shared" si="474"/>
        <v>0</v>
      </c>
      <c r="AI1457" s="162">
        <f t="shared" si="474"/>
        <v>0</v>
      </c>
      <c r="AJ1457" s="162">
        <f t="shared" si="474"/>
        <v>0</v>
      </c>
      <c r="AK1457" s="162">
        <f t="shared" si="474"/>
        <v>0</v>
      </c>
      <c r="AL1457" s="162">
        <f t="shared" si="474"/>
        <v>0</v>
      </c>
      <c r="AM1457" s="162">
        <f t="shared" si="474"/>
        <v>0</v>
      </c>
      <c r="AN1457" s="162">
        <f t="shared" si="474"/>
        <v>0</v>
      </c>
      <c r="AO1457" s="162">
        <f t="shared" si="474"/>
        <v>0</v>
      </c>
      <c r="AP1457" s="162">
        <f t="shared" si="474"/>
        <v>0</v>
      </c>
      <c r="AQ1457" s="162">
        <f t="shared" si="474"/>
        <v>0</v>
      </c>
      <c r="AR1457" s="163">
        <f t="shared" si="466"/>
        <v>0</v>
      </c>
      <c r="AT1457" s="181" t="str">
        <f t="shared" si="467"/>
        <v/>
      </c>
      <c r="AU1457" s="156">
        <f t="shared" si="467"/>
        <v>0</v>
      </c>
      <c r="AV1457" s="156">
        <f t="shared" si="468"/>
        <v>0</v>
      </c>
      <c r="AW1457" s="156">
        <f t="shared" si="468"/>
        <v>0</v>
      </c>
      <c r="AX1457" s="156">
        <f t="shared" si="468"/>
        <v>0</v>
      </c>
      <c r="AY1457" s="156">
        <f t="shared" si="468"/>
        <v>0</v>
      </c>
      <c r="AZ1457" s="156">
        <f t="shared" si="468"/>
        <v>0</v>
      </c>
      <c r="BA1457" s="156">
        <f t="shared" si="468"/>
        <v>0</v>
      </c>
      <c r="BB1457" s="156">
        <f t="shared" si="468"/>
        <v>0</v>
      </c>
      <c r="BC1457" s="156">
        <f t="shared" si="468"/>
        <v>0</v>
      </c>
      <c r="BD1457" s="156">
        <f t="shared" si="468"/>
        <v>0</v>
      </c>
      <c r="BE1457" s="156">
        <f t="shared" si="468"/>
        <v>0</v>
      </c>
      <c r="BF1457" s="156">
        <f t="shared" si="468"/>
        <v>0</v>
      </c>
      <c r="BG1457" s="158">
        <f t="shared" si="469"/>
        <v>0</v>
      </c>
    </row>
    <row r="1458" spans="1:59" x14ac:dyDescent="0.25">
      <c r="A1458" s="14"/>
      <c r="B1458" s="15" t="str">
        <f t="shared" si="463"/>
        <v>IND_OPER__</v>
      </c>
      <c r="C1458" s="83">
        <f t="shared" si="475"/>
        <v>0</v>
      </c>
      <c r="D1458" s="15" t="str">
        <f>IFERROR("QTD_REC_"&amp;VLOOKUP($J1458,#REF!,7,0),"")</f>
        <v/>
      </c>
      <c r="E1458" s="14"/>
      <c r="F1458" s="148"/>
      <c r="G1458" s="149" t="str">
        <f>IFERROR(VLOOKUP(F1458,#REF!,2,0),"")</f>
        <v/>
      </c>
      <c r="H1458" s="150" t="str">
        <f>IFERROR(VLOOKUP(F1458,#REF!,3,0),"")</f>
        <v/>
      </c>
      <c r="I1458" s="151"/>
      <c r="J1458" s="151"/>
      <c r="K1458" s="150" t="str">
        <f>IFERROR(VLOOKUP($J1458,#REF!,2,0),"")</f>
        <v/>
      </c>
      <c r="L1458" s="150" t="str">
        <f t="shared" si="458"/>
        <v/>
      </c>
      <c r="M1458" s="154"/>
      <c r="N1458" s="180"/>
      <c r="O1458" s="155"/>
      <c r="P1458" s="156"/>
      <c r="Q1458" s="156"/>
      <c r="R1458" s="156"/>
      <c r="S1458" s="156"/>
      <c r="T1458" s="156"/>
      <c r="U1458" s="156"/>
      <c r="V1458" s="156"/>
      <c r="W1458" s="156"/>
      <c r="X1458" s="156"/>
      <c r="Y1458" s="156"/>
      <c r="Z1458" s="156"/>
      <c r="AA1458" s="156"/>
      <c r="AB1458" s="158">
        <f t="shared" si="460"/>
        <v>0</v>
      </c>
      <c r="AC1458" s="159"/>
      <c r="AE1458" s="160" t="str">
        <f t="shared" si="465"/>
        <v/>
      </c>
      <c r="AF1458" s="161">
        <f t="shared" si="474"/>
        <v>0</v>
      </c>
      <c r="AG1458" s="162">
        <f t="shared" si="474"/>
        <v>0</v>
      </c>
      <c r="AH1458" s="162">
        <f t="shared" si="474"/>
        <v>0</v>
      </c>
      <c r="AI1458" s="162">
        <f t="shared" si="474"/>
        <v>0</v>
      </c>
      <c r="AJ1458" s="162">
        <f t="shared" si="474"/>
        <v>0</v>
      </c>
      <c r="AK1458" s="162">
        <f t="shared" si="474"/>
        <v>0</v>
      </c>
      <c r="AL1458" s="162">
        <f t="shared" si="474"/>
        <v>0</v>
      </c>
      <c r="AM1458" s="162">
        <f t="shared" si="474"/>
        <v>0</v>
      </c>
      <c r="AN1458" s="162">
        <f t="shared" si="474"/>
        <v>0</v>
      </c>
      <c r="AO1458" s="162">
        <f t="shared" si="474"/>
        <v>0</v>
      </c>
      <c r="AP1458" s="162">
        <f t="shared" si="474"/>
        <v>0</v>
      </c>
      <c r="AQ1458" s="162">
        <f t="shared" si="474"/>
        <v>0</v>
      </c>
      <c r="AR1458" s="163">
        <f t="shared" si="466"/>
        <v>0</v>
      </c>
      <c r="AT1458" s="181" t="str">
        <f t="shared" si="467"/>
        <v/>
      </c>
      <c r="AU1458" s="156">
        <f t="shared" si="467"/>
        <v>0</v>
      </c>
      <c r="AV1458" s="156">
        <f t="shared" si="468"/>
        <v>0</v>
      </c>
      <c r="AW1458" s="156">
        <f t="shared" si="468"/>
        <v>0</v>
      </c>
      <c r="AX1458" s="156">
        <f t="shared" si="468"/>
        <v>0</v>
      </c>
      <c r="AY1458" s="156">
        <f t="shared" si="468"/>
        <v>0</v>
      </c>
      <c r="AZ1458" s="156">
        <f t="shared" si="468"/>
        <v>0</v>
      </c>
      <c r="BA1458" s="156">
        <f t="shared" si="468"/>
        <v>0</v>
      </c>
      <c r="BB1458" s="156">
        <f t="shared" si="468"/>
        <v>0</v>
      </c>
      <c r="BC1458" s="156">
        <f t="shared" si="468"/>
        <v>0</v>
      </c>
      <c r="BD1458" s="156">
        <f t="shared" si="468"/>
        <v>0</v>
      </c>
      <c r="BE1458" s="156">
        <f t="shared" si="468"/>
        <v>0</v>
      </c>
      <c r="BF1458" s="156">
        <f t="shared" si="468"/>
        <v>0</v>
      </c>
      <c r="BG1458" s="158">
        <f t="shared" si="469"/>
        <v>0</v>
      </c>
    </row>
    <row r="1459" spans="1:59" x14ac:dyDescent="0.25">
      <c r="A1459" s="14"/>
      <c r="B1459" s="15" t="str">
        <f t="shared" si="463"/>
        <v>IND_OPER__</v>
      </c>
      <c r="C1459" s="83">
        <f t="shared" si="475"/>
        <v>0</v>
      </c>
      <c r="D1459" s="15" t="str">
        <f>IFERROR("QTD_REC_"&amp;VLOOKUP($J1459,#REF!,7,0),"")</f>
        <v/>
      </c>
      <c r="E1459" s="14"/>
      <c r="F1459" s="148"/>
      <c r="G1459" s="149" t="str">
        <f>IFERROR(VLOOKUP(F1459,#REF!,2,0),"")</f>
        <v/>
      </c>
      <c r="H1459" s="150" t="str">
        <f>IFERROR(VLOOKUP(F1459,#REF!,3,0),"")</f>
        <v/>
      </c>
      <c r="I1459" s="151"/>
      <c r="J1459" s="151"/>
      <c r="K1459" s="150" t="str">
        <f>IFERROR(VLOOKUP($J1459,#REF!,2,0),"")</f>
        <v/>
      </c>
      <c r="L1459" s="150" t="str">
        <f t="shared" si="458"/>
        <v/>
      </c>
      <c r="M1459" s="154"/>
      <c r="N1459" s="180"/>
      <c r="O1459" s="155"/>
      <c r="P1459" s="156"/>
      <c r="Q1459" s="156"/>
      <c r="R1459" s="156"/>
      <c r="S1459" s="156"/>
      <c r="T1459" s="156"/>
      <c r="U1459" s="156"/>
      <c r="V1459" s="156"/>
      <c r="W1459" s="156"/>
      <c r="X1459" s="156"/>
      <c r="Y1459" s="156"/>
      <c r="Z1459" s="156"/>
      <c r="AA1459" s="156"/>
      <c r="AB1459" s="158">
        <f t="shared" si="460"/>
        <v>0</v>
      </c>
      <c r="AC1459" s="159"/>
      <c r="AE1459" s="160" t="str">
        <f t="shared" si="465"/>
        <v/>
      </c>
      <c r="AF1459" s="161">
        <f t="shared" si="474"/>
        <v>0</v>
      </c>
      <c r="AG1459" s="162">
        <f t="shared" si="474"/>
        <v>0</v>
      </c>
      <c r="AH1459" s="162">
        <f t="shared" si="474"/>
        <v>0</v>
      </c>
      <c r="AI1459" s="162">
        <f t="shared" si="474"/>
        <v>0</v>
      </c>
      <c r="AJ1459" s="162">
        <f t="shared" si="474"/>
        <v>0</v>
      </c>
      <c r="AK1459" s="162">
        <f t="shared" si="474"/>
        <v>0</v>
      </c>
      <c r="AL1459" s="162">
        <f t="shared" si="474"/>
        <v>0</v>
      </c>
      <c r="AM1459" s="162">
        <f t="shared" si="474"/>
        <v>0</v>
      </c>
      <c r="AN1459" s="162">
        <f t="shared" si="474"/>
        <v>0</v>
      </c>
      <c r="AO1459" s="162">
        <f t="shared" si="474"/>
        <v>0</v>
      </c>
      <c r="AP1459" s="162">
        <f t="shared" si="474"/>
        <v>0</v>
      </c>
      <c r="AQ1459" s="162">
        <f t="shared" si="474"/>
        <v>0</v>
      </c>
      <c r="AR1459" s="163">
        <f t="shared" si="466"/>
        <v>0</v>
      </c>
      <c r="AT1459" s="181" t="str">
        <f t="shared" si="467"/>
        <v/>
      </c>
      <c r="AU1459" s="156">
        <f t="shared" si="467"/>
        <v>0</v>
      </c>
      <c r="AV1459" s="156">
        <f t="shared" si="468"/>
        <v>0</v>
      </c>
      <c r="AW1459" s="156">
        <f t="shared" si="468"/>
        <v>0</v>
      </c>
      <c r="AX1459" s="156">
        <f t="shared" si="468"/>
        <v>0</v>
      </c>
      <c r="AY1459" s="156">
        <f t="shared" si="468"/>
        <v>0</v>
      </c>
      <c r="AZ1459" s="156">
        <f t="shared" si="468"/>
        <v>0</v>
      </c>
      <c r="BA1459" s="156">
        <f t="shared" si="468"/>
        <v>0</v>
      </c>
      <c r="BB1459" s="156">
        <f t="shared" si="468"/>
        <v>0</v>
      </c>
      <c r="BC1459" s="156">
        <f t="shared" si="468"/>
        <v>0</v>
      </c>
      <c r="BD1459" s="156">
        <f t="shared" si="468"/>
        <v>0</v>
      </c>
      <c r="BE1459" s="156">
        <f t="shared" si="468"/>
        <v>0</v>
      </c>
      <c r="BF1459" s="156">
        <f t="shared" si="468"/>
        <v>0</v>
      </c>
      <c r="BG1459" s="158">
        <f t="shared" si="469"/>
        <v>0</v>
      </c>
    </row>
    <row r="1460" spans="1:59" x14ac:dyDescent="0.25">
      <c r="A1460" s="14"/>
      <c r="B1460" s="15" t="str">
        <f t="shared" si="463"/>
        <v>IND_OPER__</v>
      </c>
      <c r="C1460" s="83">
        <f t="shared" si="475"/>
        <v>0</v>
      </c>
      <c r="D1460" s="15" t="str">
        <f>IFERROR("QTD_REC_"&amp;VLOOKUP($J1460,#REF!,7,0),"")</f>
        <v/>
      </c>
      <c r="E1460" s="14"/>
      <c r="F1460" s="148"/>
      <c r="G1460" s="149" t="str">
        <f>IFERROR(VLOOKUP(F1460,#REF!,2,0),"")</f>
        <v/>
      </c>
      <c r="H1460" s="150" t="str">
        <f>IFERROR(VLOOKUP(F1460,#REF!,3,0),"")</f>
        <v/>
      </c>
      <c r="I1460" s="151"/>
      <c r="J1460" s="151"/>
      <c r="K1460" s="150" t="str">
        <f>IFERROR(VLOOKUP($J1460,#REF!,2,0),"")</f>
        <v/>
      </c>
      <c r="L1460" s="150" t="str">
        <f t="shared" si="458"/>
        <v/>
      </c>
      <c r="M1460" s="154"/>
      <c r="N1460" s="180"/>
      <c r="O1460" s="155"/>
      <c r="P1460" s="156"/>
      <c r="Q1460" s="156"/>
      <c r="R1460" s="156"/>
      <c r="S1460" s="156"/>
      <c r="T1460" s="156"/>
      <c r="U1460" s="156"/>
      <c r="V1460" s="156"/>
      <c r="W1460" s="156"/>
      <c r="X1460" s="156"/>
      <c r="Y1460" s="156"/>
      <c r="Z1460" s="156"/>
      <c r="AA1460" s="156"/>
      <c r="AB1460" s="158">
        <f t="shared" si="460"/>
        <v>0</v>
      </c>
      <c r="AC1460" s="159"/>
      <c r="AE1460" s="160" t="str">
        <f t="shared" si="465"/>
        <v/>
      </c>
      <c r="AF1460" s="161">
        <f t="shared" si="474"/>
        <v>0</v>
      </c>
      <c r="AG1460" s="162">
        <f t="shared" si="474"/>
        <v>0</v>
      </c>
      <c r="AH1460" s="162">
        <f t="shared" si="474"/>
        <v>0</v>
      </c>
      <c r="AI1460" s="162">
        <f t="shared" si="474"/>
        <v>0</v>
      </c>
      <c r="AJ1460" s="162">
        <f t="shared" si="474"/>
        <v>0</v>
      </c>
      <c r="AK1460" s="162">
        <f t="shared" si="474"/>
        <v>0</v>
      </c>
      <c r="AL1460" s="162">
        <f t="shared" si="474"/>
        <v>0</v>
      </c>
      <c r="AM1460" s="162">
        <f t="shared" si="474"/>
        <v>0</v>
      </c>
      <c r="AN1460" s="162">
        <f t="shared" si="474"/>
        <v>0</v>
      </c>
      <c r="AO1460" s="162">
        <f t="shared" si="474"/>
        <v>0</v>
      </c>
      <c r="AP1460" s="162">
        <f t="shared" si="474"/>
        <v>0</v>
      </c>
      <c r="AQ1460" s="162">
        <f t="shared" si="474"/>
        <v>0</v>
      </c>
      <c r="AR1460" s="163">
        <f t="shared" si="466"/>
        <v>0</v>
      </c>
      <c r="AT1460" s="181" t="str">
        <f t="shared" si="467"/>
        <v/>
      </c>
      <c r="AU1460" s="156">
        <f t="shared" si="467"/>
        <v>0</v>
      </c>
      <c r="AV1460" s="156">
        <f t="shared" si="468"/>
        <v>0</v>
      </c>
      <c r="AW1460" s="156">
        <f t="shared" si="468"/>
        <v>0</v>
      </c>
      <c r="AX1460" s="156">
        <f t="shared" si="468"/>
        <v>0</v>
      </c>
      <c r="AY1460" s="156">
        <f t="shared" si="468"/>
        <v>0</v>
      </c>
      <c r="AZ1460" s="156">
        <f t="shared" si="468"/>
        <v>0</v>
      </c>
      <c r="BA1460" s="156">
        <f t="shared" si="468"/>
        <v>0</v>
      </c>
      <c r="BB1460" s="156">
        <f t="shared" si="468"/>
        <v>0</v>
      </c>
      <c r="BC1460" s="156">
        <f t="shared" si="468"/>
        <v>0</v>
      </c>
      <c r="BD1460" s="156">
        <f t="shared" si="468"/>
        <v>0</v>
      </c>
      <c r="BE1460" s="156">
        <f t="shared" si="468"/>
        <v>0</v>
      </c>
      <c r="BF1460" s="156">
        <f t="shared" si="468"/>
        <v>0</v>
      </c>
      <c r="BG1460" s="158">
        <f t="shared" si="469"/>
        <v>0</v>
      </c>
    </row>
    <row r="1461" spans="1:59" x14ac:dyDescent="0.25">
      <c r="A1461" s="14"/>
      <c r="B1461" s="15" t="str">
        <f t="shared" si="463"/>
        <v>IND_OPER__</v>
      </c>
      <c r="C1461" s="83">
        <f t="shared" si="475"/>
        <v>0</v>
      </c>
      <c r="D1461" s="15" t="str">
        <f>IFERROR("QTD_REC_"&amp;VLOOKUP($J1461,#REF!,7,0),"")</f>
        <v/>
      </c>
      <c r="E1461" s="14"/>
      <c r="F1461" s="148"/>
      <c r="G1461" s="149" t="str">
        <f>IFERROR(VLOOKUP(F1461,#REF!,2,0),"")</f>
        <v/>
      </c>
      <c r="H1461" s="150" t="str">
        <f>IFERROR(VLOOKUP(F1461,#REF!,3,0),"")</f>
        <v/>
      </c>
      <c r="I1461" s="151"/>
      <c r="J1461" s="151"/>
      <c r="K1461" s="150" t="str">
        <f>IFERROR(VLOOKUP($J1461,#REF!,2,0),"")</f>
        <v/>
      </c>
      <c r="L1461" s="150" t="str">
        <f t="shared" si="458"/>
        <v/>
      </c>
      <c r="M1461" s="154"/>
      <c r="N1461" s="180"/>
      <c r="O1461" s="155"/>
      <c r="P1461" s="156"/>
      <c r="Q1461" s="156"/>
      <c r="R1461" s="156"/>
      <c r="S1461" s="156"/>
      <c r="T1461" s="156"/>
      <c r="U1461" s="156"/>
      <c r="V1461" s="156"/>
      <c r="W1461" s="156"/>
      <c r="X1461" s="156"/>
      <c r="Y1461" s="156"/>
      <c r="Z1461" s="156"/>
      <c r="AA1461" s="156"/>
      <c r="AB1461" s="158">
        <f t="shared" si="460"/>
        <v>0</v>
      </c>
      <c r="AC1461" s="159"/>
      <c r="AE1461" s="160" t="str">
        <f t="shared" si="465"/>
        <v/>
      </c>
      <c r="AF1461" s="161">
        <f t="shared" si="474"/>
        <v>0</v>
      </c>
      <c r="AG1461" s="162">
        <f t="shared" si="474"/>
        <v>0</v>
      </c>
      <c r="AH1461" s="162">
        <f t="shared" si="474"/>
        <v>0</v>
      </c>
      <c r="AI1461" s="162">
        <f t="shared" si="474"/>
        <v>0</v>
      </c>
      <c r="AJ1461" s="162">
        <f t="shared" si="474"/>
        <v>0</v>
      </c>
      <c r="AK1461" s="162">
        <f t="shared" si="474"/>
        <v>0</v>
      </c>
      <c r="AL1461" s="162">
        <f t="shared" si="474"/>
        <v>0</v>
      </c>
      <c r="AM1461" s="162">
        <f t="shared" si="474"/>
        <v>0</v>
      </c>
      <c r="AN1461" s="162">
        <f t="shared" si="474"/>
        <v>0</v>
      </c>
      <c r="AO1461" s="162">
        <f t="shared" si="474"/>
        <v>0</v>
      </c>
      <c r="AP1461" s="162">
        <f t="shared" si="474"/>
        <v>0</v>
      </c>
      <c r="AQ1461" s="162">
        <f t="shared" si="474"/>
        <v>0</v>
      </c>
      <c r="AR1461" s="163">
        <f t="shared" si="466"/>
        <v>0</v>
      </c>
      <c r="AT1461" s="181" t="str">
        <f t="shared" si="467"/>
        <v/>
      </c>
      <c r="AU1461" s="156">
        <f t="shared" si="467"/>
        <v>0</v>
      </c>
      <c r="AV1461" s="156">
        <f t="shared" si="468"/>
        <v>0</v>
      </c>
      <c r="AW1461" s="156">
        <f t="shared" si="468"/>
        <v>0</v>
      </c>
      <c r="AX1461" s="156">
        <f t="shared" si="468"/>
        <v>0</v>
      </c>
      <c r="AY1461" s="156">
        <f t="shared" si="468"/>
        <v>0</v>
      </c>
      <c r="AZ1461" s="156">
        <f t="shared" si="468"/>
        <v>0</v>
      </c>
      <c r="BA1461" s="156">
        <f t="shared" si="468"/>
        <v>0</v>
      </c>
      <c r="BB1461" s="156">
        <f t="shared" si="468"/>
        <v>0</v>
      </c>
      <c r="BC1461" s="156">
        <f t="shared" si="468"/>
        <v>0</v>
      </c>
      <c r="BD1461" s="156">
        <f t="shared" si="468"/>
        <v>0</v>
      </c>
      <c r="BE1461" s="156">
        <f t="shared" si="468"/>
        <v>0</v>
      </c>
      <c r="BF1461" s="156">
        <f t="shared" si="468"/>
        <v>0</v>
      </c>
      <c r="BG1461" s="158">
        <f t="shared" si="469"/>
        <v>0</v>
      </c>
    </row>
    <row r="1462" spans="1:59" x14ac:dyDescent="0.25">
      <c r="A1462" s="14"/>
      <c r="B1462" s="15" t="str">
        <f t="shared" si="463"/>
        <v>IND_OPER__</v>
      </c>
      <c r="C1462" s="83">
        <f t="shared" si="475"/>
        <v>0</v>
      </c>
      <c r="D1462" s="15" t="str">
        <f>IFERROR("QTD_REC_"&amp;VLOOKUP($J1462,#REF!,7,0),"")</f>
        <v/>
      </c>
      <c r="E1462" s="14"/>
      <c r="F1462" s="148"/>
      <c r="G1462" s="149" t="str">
        <f>IFERROR(VLOOKUP(F1462,#REF!,2,0),"")</f>
        <v/>
      </c>
      <c r="H1462" s="150" t="str">
        <f>IFERROR(VLOOKUP(F1462,#REF!,3,0),"")</f>
        <v/>
      </c>
      <c r="I1462" s="151"/>
      <c r="J1462" s="151"/>
      <c r="K1462" s="150" t="str">
        <f>IFERROR(VLOOKUP($J1462,#REF!,2,0),"")</f>
        <v/>
      </c>
      <c r="L1462" s="150" t="str">
        <f t="shared" si="458"/>
        <v/>
      </c>
      <c r="M1462" s="154"/>
      <c r="N1462" s="180"/>
      <c r="O1462" s="155"/>
      <c r="P1462" s="156"/>
      <c r="Q1462" s="156"/>
      <c r="R1462" s="156"/>
      <c r="S1462" s="156"/>
      <c r="T1462" s="156"/>
      <c r="U1462" s="156"/>
      <c r="V1462" s="156"/>
      <c r="W1462" s="156"/>
      <c r="X1462" s="156"/>
      <c r="Y1462" s="156"/>
      <c r="Z1462" s="156"/>
      <c r="AA1462" s="156"/>
      <c r="AB1462" s="158">
        <f t="shared" si="460"/>
        <v>0</v>
      </c>
      <c r="AC1462" s="159"/>
      <c r="AE1462" s="160" t="str">
        <f t="shared" si="465"/>
        <v/>
      </c>
      <c r="AF1462" s="161">
        <f t="shared" si="474"/>
        <v>0</v>
      </c>
      <c r="AG1462" s="162">
        <f t="shared" si="474"/>
        <v>0</v>
      </c>
      <c r="AH1462" s="162">
        <f t="shared" si="474"/>
        <v>0</v>
      </c>
      <c r="AI1462" s="162">
        <f t="shared" si="474"/>
        <v>0</v>
      </c>
      <c r="AJ1462" s="162">
        <f t="shared" si="474"/>
        <v>0</v>
      </c>
      <c r="AK1462" s="162">
        <f t="shared" si="474"/>
        <v>0</v>
      </c>
      <c r="AL1462" s="162">
        <f t="shared" si="474"/>
        <v>0</v>
      </c>
      <c r="AM1462" s="162">
        <f t="shared" si="474"/>
        <v>0</v>
      </c>
      <c r="AN1462" s="162">
        <f t="shared" si="474"/>
        <v>0</v>
      </c>
      <c r="AO1462" s="162">
        <f t="shared" si="474"/>
        <v>0</v>
      </c>
      <c r="AP1462" s="162">
        <f t="shared" si="474"/>
        <v>0</v>
      </c>
      <c r="AQ1462" s="162">
        <f t="shared" si="474"/>
        <v>0</v>
      </c>
      <c r="AR1462" s="163">
        <f t="shared" si="466"/>
        <v>0</v>
      </c>
      <c r="AT1462" s="181" t="str">
        <f t="shared" si="467"/>
        <v/>
      </c>
      <c r="AU1462" s="156">
        <f t="shared" si="467"/>
        <v>0</v>
      </c>
      <c r="AV1462" s="156">
        <f t="shared" si="468"/>
        <v>0</v>
      </c>
      <c r="AW1462" s="156">
        <f t="shared" si="468"/>
        <v>0</v>
      </c>
      <c r="AX1462" s="156">
        <f t="shared" si="468"/>
        <v>0</v>
      </c>
      <c r="AY1462" s="156">
        <f t="shared" si="468"/>
        <v>0</v>
      </c>
      <c r="AZ1462" s="156">
        <f t="shared" si="468"/>
        <v>0</v>
      </c>
      <c r="BA1462" s="156">
        <f t="shared" si="468"/>
        <v>0</v>
      </c>
      <c r="BB1462" s="156">
        <f t="shared" si="468"/>
        <v>0</v>
      </c>
      <c r="BC1462" s="156">
        <f t="shared" si="468"/>
        <v>0</v>
      </c>
      <c r="BD1462" s="156">
        <f t="shared" si="468"/>
        <v>0</v>
      </c>
      <c r="BE1462" s="156">
        <f t="shared" si="468"/>
        <v>0</v>
      </c>
      <c r="BF1462" s="156">
        <f t="shared" si="468"/>
        <v>0</v>
      </c>
      <c r="BG1462" s="158">
        <f t="shared" si="469"/>
        <v>0</v>
      </c>
    </row>
    <row r="1463" spans="1:59" x14ac:dyDescent="0.25">
      <c r="A1463" s="14"/>
      <c r="B1463" s="15" t="str">
        <f t="shared" si="463"/>
        <v>IND_OPER__</v>
      </c>
      <c r="C1463" s="83">
        <f t="shared" si="475"/>
        <v>0</v>
      </c>
      <c r="D1463" s="15" t="str">
        <f>IFERROR("QTD_REC_"&amp;VLOOKUP($J1463,#REF!,7,0),"")</f>
        <v/>
      </c>
      <c r="E1463" s="14"/>
      <c r="F1463" s="148"/>
      <c r="G1463" s="149" t="str">
        <f>IFERROR(VLOOKUP(F1463,#REF!,2,0),"")</f>
        <v/>
      </c>
      <c r="H1463" s="150" t="str">
        <f>IFERROR(VLOOKUP(F1463,#REF!,3,0),"")</f>
        <v/>
      </c>
      <c r="I1463" s="151"/>
      <c r="J1463" s="151"/>
      <c r="K1463" s="150" t="str">
        <f>IFERROR(VLOOKUP($J1463,#REF!,2,0),"")</f>
        <v/>
      </c>
      <c r="L1463" s="150" t="str">
        <f t="shared" si="458"/>
        <v/>
      </c>
      <c r="M1463" s="154"/>
      <c r="N1463" s="180"/>
      <c r="O1463" s="155"/>
      <c r="P1463" s="156"/>
      <c r="Q1463" s="156"/>
      <c r="R1463" s="156"/>
      <c r="S1463" s="156"/>
      <c r="T1463" s="156"/>
      <c r="U1463" s="156"/>
      <c r="V1463" s="156"/>
      <c r="W1463" s="156"/>
      <c r="X1463" s="156"/>
      <c r="Y1463" s="156"/>
      <c r="Z1463" s="156"/>
      <c r="AA1463" s="156"/>
      <c r="AB1463" s="158">
        <f t="shared" si="460"/>
        <v>0</v>
      </c>
      <c r="AC1463" s="159"/>
      <c r="AE1463" s="160" t="str">
        <f t="shared" si="465"/>
        <v/>
      </c>
      <c r="AF1463" s="161">
        <f t="shared" si="474"/>
        <v>0</v>
      </c>
      <c r="AG1463" s="162">
        <f t="shared" si="474"/>
        <v>0</v>
      </c>
      <c r="AH1463" s="162">
        <f t="shared" si="474"/>
        <v>0</v>
      </c>
      <c r="AI1463" s="162">
        <f t="shared" si="474"/>
        <v>0</v>
      </c>
      <c r="AJ1463" s="162">
        <f t="shared" si="474"/>
        <v>0</v>
      </c>
      <c r="AK1463" s="162">
        <f t="shared" si="474"/>
        <v>0</v>
      </c>
      <c r="AL1463" s="162">
        <f t="shared" si="474"/>
        <v>0</v>
      </c>
      <c r="AM1463" s="162">
        <f t="shared" si="474"/>
        <v>0</v>
      </c>
      <c r="AN1463" s="162">
        <f t="shared" si="474"/>
        <v>0</v>
      </c>
      <c r="AO1463" s="162">
        <f t="shared" si="474"/>
        <v>0</v>
      </c>
      <c r="AP1463" s="162">
        <f t="shared" si="474"/>
        <v>0</v>
      </c>
      <c r="AQ1463" s="162">
        <f t="shared" si="474"/>
        <v>0</v>
      </c>
      <c r="AR1463" s="163">
        <f t="shared" si="466"/>
        <v>0</v>
      </c>
      <c r="AT1463" s="181" t="str">
        <f t="shared" si="467"/>
        <v/>
      </c>
      <c r="AU1463" s="156">
        <f t="shared" si="467"/>
        <v>0</v>
      </c>
      <c r="AV1463" s="156">
        <f t="shared" si="468"/>
        <v>0</v>
      </c>
      <c r="AW1463" s="156">
        <f t="shared" si="468"/>
        <v>0</v>
      </c>
      <c r="AX1463" s="156">
        <f t="shared" si="468"/>
        <v>0</v>
      </c>
      <c r="AY1463" s="156">
        <f t="shared" si="468"/>
        <v>0</v>
      </c>
      <c r="AZ1463" s="156">
        <f t="shared" si="468"/>
        <v>0</v>
      </c>
      <c r="BA1463" s="156">
        <f t="shared" si="468"/>
        <v>0</v>
      </c>
      <c r="BB1463" s="156">
        <f t="shared" si="468"/>
        <v>0</v>
      </c>
      <c r="BC1463" s="156">
        <f t="shared" si="468"/>
        <v>0</v>
      </c>
      <c r="BD1463" s="156">
        <f t="shared" si="468"/>
        <v>0</v>
      </c>
      <c r="BE1463" s="156">
        <f t="shared" si="468"/>
        <v>0</v>
      </c>
      <c r="BF1463" s="156">
        <f t="shared" si="468"/>
        <v>0</v>
      </c>
      <c r="BG1463" s="158">
        <f t="shared" si="469"/>
        <v>0</v>
      </c>
    </row>
    <row r="1464" spans="1:59" x14ac:dyDescent="0.25">
      <c r="A1464" s="14"/>
      <c r="B1464" s="15" t="str">
        <f t="shared" si="463"/>
        <v>IND_OPER__</v>
      </c>
      <c r="C1464" s="83">
        <f t="shared" si="475"/>
        <v>0</v>
      </c>
      <c r="D1464" s="15" t="str">
        <f>IFERROR("QTD_REC_"&amp;VLOOKUP($J1464,#REF!,7,0),"")</f>
        <v/>
      </c>
      <c r="E1464" s="14"/>
      <c r="F1464" s="148"/>
      <c r="G1464" s="149" t="str">
        <f>IFERROR(VLOOKUP(F1464,#REF!,2,0),"")</f>
        <v/>
      </c>
      <c r="H1464" s="150" t="str">
        <f>IFERROR(VLOOKUP(F1464,#REF!,3,0),"")</f>
        <v/>
      </c>
      <c r="I1464" s="151"/>
      <c r="J1464" s="151"/>
      <c r="K1464" s="150" t="str">
        <f>IFERROR(VLOOKUP($J1464,#REF!,2,0),"")</f>
        <v/>
      </c>
      <c r="L1464" s="150" t="str">
        <f t="shared" si="458"/>
        <v/>
      </c>
      <c r="M1464" s="154"/>
      <c r="N1464" s="180"/>
      <c r="O1464" s="155"/>
      <c r="P1464" s="156"/>
      <c r="Q1464" s="156"/>
      <c r="R1464" s="156"/>
      <c r="S1464" s="156"/>
      <c r="T1464" s="156"/>
      <c r="U1464" s="156"/>
      <c r="V1464" s="156"/>
      <c r="W1464" s="156"/>
      <c r="X1464" s="156"/>
      <c r="Y1464" s="156"/>
      <c r="Z1464" s="156"/>
      <c r="AA1464" s="156"/>
      <c r="AB1464" s="158">
        <f t="shared" si="460"/>
        <v>0</v>
      </c>
      <c r="AC1464" s="159"/>
      <c r="AE1464" s="160" t="str">
        <f t="shared" si="465"/>
        <v/>
      </c>
      <c r="AF1464" s="161">
        <f t="shared" si="474"/>
        <v>0</v>
      </c>
      <c r="AG1464" s="162">
        <f t="shared" si="474"/>
        <v>0</v>
      </c>
      <c r="AH1464" s="162">
        <f t="shared" si="474"/>
        <v>0</v>
      </c>
      <c r="AI1464" s="162">
        <f t="shared" si="474"/>
        <v>0</v>
      </c>
      <c r="AJ1464" s="162">
        <f t="shared" si="474"/>
        <v>0</v>
      </c>
      <c r="AK1464" s="162">
        <f t="shared" si="474"/>
        <v>0</v>
      </c>
      <c r="AL1464" s="162">
        <f t="shared" si="474"/>
        <v>0</v>
      </c>
      <c r="AM1464" s="162">
        <f t="shared" si="474"/>
        <v>0</v>
      </c>
      <c r="AN1464" s="162">
        <f t="shared" si="474"/>
        <v>0</v>
      </c>
      <c r="AO1464" s="162">
        <f t="shared" si="474"/>
        <v>0</v>
      </c>
      <c r="AP1464" s="162">
        <f t="shared" si="474"/>
        <v>0</v>
      </c>
      <c r="AQ1464" s="162">
        <f t="shared" si="474"/>
        <v>0</v>
      </c>
      <c r="AR1464" s="163">
        <f t="shared" si="466"/>
        <v>0</v>
      </c>
      <c r="AT1464" s="181" t="str">
        <f t="shared" si="467"/>
        <v/>
      </c>
      <c r="AU1464" s="156">
        <f t="shared" si="467"/>
        <v>0</v>
      </c>
      <c r="AV1464" s="156">
        <f t="shared" si="468"/>
        <v>0</v>
      </c>
      <c r="AW1464" s="156">
        <f t="shared" si="468"/>
        <v>0</v>
      </c>
      <c r="AX1464" s="156">
        <f t="shared" si="468"/>
        <v>0</v>
      </c>
      <c r="AY1464" s="156">
        <f t="shared" si="468"/>
        <v>0</v>
      </c>
      <c r="AZ1464" s="156">
        <f t="shared" si="468"/>
        <v>0</v>
      </c>
      <c r="BA1464" s="156">
        <f t="shared" si="468"/>
        <v>0</v>
      </c>
      <c r="BB1464" s="156">
        <f t="shared" si="468"/>
        <v>0</v>
      </c>
      <c r="BC1464" s="156">
        <f t="shared" si="468"/>
        <v>0</v>
      </c>
      <c r="BD1464" s="156">
        <f t="shared" si="468"/>
        <v>0</v>
      </c>
      <c r="BE1464" s="156">
        <f t="shared" si="468"/>
        <v>0</v>
      </c>
      <c r="BF1464" s="156">
        <f t="shared" si="468"/>
        <v>0</v>
      </c>
      <c r="BG1464" s="158">
        <f t="shared" si="469"/>
        <v>0</v>
      </c>
    </row>
    <row r="1465" spans="1:59" x14ac:dyDescent="0.25">
      <c r="A1465" s="14"/>
      <c r="B1465" s="15" t="str">
        <f t="shared" si="463"/>
        <v>IND_OPER__</v>
      </c>
      <c r="C1465" s="83">
        <f t="shared" si="475"/>
        <v>0</v>
      </c>
      <c r="D1465" s="15" t="str">
        <f>IFERROR("QTD_REC_"&amp;VLOOKUP($J1465,#REF!,7,0),"")</f>
        <v/>
      </c>
      <c r="E1465" s="14"/>
      <c r="F1465" s="148"/>
      <c r="G1465" s="149" t="str">
        <f>IFERROR(VLOOKUP(F1465,#REF!,2,0),"")</f>
        <v/>
      </c>
      <c r="H1465" s="150" t="str">
        <f>IFERROR(VLOOKUP(F1465,#REF!,3,0),"")</f>
        <v/>
      </c>
      <c r="I1465" s="151"/>
      <c r="J1465" s="151"/>
      <c r="K1465" s="150" t="str">
        <f>IFERROR(VLOOKUP($J1465,#REF!,2,0),"")</f>
        <v/>
      </c>
      <c r="L1465" s="150" t="str">
        <f t="shared" si="458"/>
        <v/>
      </c>
      <c r="M1465" s="154"/>
      <c r="N1465" s="180"/>
      <c r="O1465" s="155"/>
      <c r="P1465" s="156"/>
      <c r="Q1465" s="156"/>
      <c r="R1465" s="156"/>
      <c r="S1465" s="156"/>
      <c r="T1465" s="156"/>
      <c r="U1465" s="156"/>
      <c r="V1465" s="156"/>
      <c r="W1465" s="156"/>
      <c r="X1465" s="156"/>
      <c r="Y1465" s="156"/>
      <c r="Z1465" s="156"/>
      <c r="AA1465" s="156"/>
      <c r="AB1465" s="158">
        <f t="shared" si="460"/>
        <v>0</v>
      </c>
      <c r="AC1465" s="159"/>
      <c r="AE1465" s="160" t="str">
        <f t="shared" si="465"/>
        <v/>
      </c>
      <c r="AF1465" s="161">
        <f t="shared" si="474"/>
        <v>0</v>
      </c>
      <c r="AG1465" s="162">
        <f t="shared" si="474"/>
        <v>0</v>
      </c>
      <c r="AH1465" s="162">
        <f t="shared" si="474"/>
        <v>0</v>
      </c>
      <c r="AI1465" s="162">
        <f t="shared" ref="AI1465:AQ1472" si="476">IFERROR(S1465/AX1465,0)</f>
        <v>0</v>
      </c>
      <c r="AJ1465" s="162">
        <f t="shared" si="476"/>
        <v>0</v>
      </c>
      <c r="AK1465" s="162">
        <f t="shared" si="476"/>
        <v>0</v>
      </c>
      <c r="AL1465" s="162">
        <f t="shared" si="476"/>
        <v>0</v>
      </c>
      <c r="AM1465" s="162">
        <f t="shared" si="476"/>
        <v>0</v>
      </c>
      <c r="AN1465" s="162">
        <f t="shared" si="476"/>
        <v>0</v>
      </c>
      <c r="AO1465" s="162">
        <f t="shared" si="476"/>
        <v>0</v>
      </c>
      <c r="AP1465" s="162">
        <f t="shared" si="476"/>
        <v>0</v>
      </c>
      <c r="AQ1465" s="162">
        <f t="shared" si="476"/>
        <v>0</v>
      </c>
      <c r="AR1465" s="163">
        <f t="shared" si="466"/>
        <v>0</v>
      </c>
      <c r="AT1465" s="181" t="str">
        <f t="shared" si="467"/>
        <v/>
      </c>
      <c r="AU1465" s="156">
        <f t="shared" si="467"/>
        <v>0</v>
      </c>
      <c r="AV1465" s="156">
        <f t="shared" si="468"/>
        <v>0</v>
      </c>
      <c r="AW1465" s="156">
        <f t="shared" si="468"/>
        <v>0</v>
      </c>
      <c r="AX1465" s="156">
        <f t="shared" si="468"/>
        <v>0</v>
      </c>
      <c r="AY1465" s="156">
        <f t="shared" si="468"/>
        <v>0</v>
      </c>
      <c r="AZ1465" s="156">
        <f t="shared" si="468"/>
        <v>0</v>
      </c>
      <c r="BA1465" s="156">
        <f t="shared" si="468"/>
        <v>0</v>
      </c>
      <c r="BB1465" s="156">
        <f t="shared" si="468"/>
        <v>0</v>
      </c>
      <c r="BC1465" s="156">
        <f t="shared" si="468"/>
        <v>0</v>
      </c>
      <c r="BD1465" s="156">
        <f t="shared" si="468"/>
        <v>0</v>
      </c>
      <c r="BE1465" s="156">
        <f t="shared" ref="BE1465:BF1472" si="477">BD1465</f>
        <v>0</v>
      </c>
      <c r="BF1465" s="156">
        <f t="shared" si="477"/>
        <v>0</v>
      </c>
      <c r="BG1465" s="158">
        <f t="shared" si="469"/>
        <v>0</v>
      </c>
    </row>
    <row r="1466" spans="1:59" x14ac:dyDescent="0.25">
      <c r="A1466" s="14"/>
      <c r="B1466" s="15" t="str">
        <f t="shared" si="463"/>
        <v>IND_OPER__</v>
      </c>
      <c r="C1466" s="83">
        <f t="shared" si="475"/>
        <v>0</v>
      </c>
      <c r="D1466" s="15" t="str">
        <f>IFERROR("QTD_REC_"&amp;VLOOKUP($J1466,#REF!,7,0),"")</f>
        <v/>
      </c>
      <c r="E1466" s="14"/>
      <c r="F1466" s="148"/>
      <c r="G1466" s="149" t="str">
        <f>IFERROR(VLOOKUP(F1466,#REF!,2,0),"")</f>
        <v/>
      </c>
      <c r="H1466" s="150" t="str">
        <f>IFERROR(VLOOKUP(F1466,#REF!,3,0),"")</f>
        <v/>
      </c>
      <c r="I1466" s="151"/>
      <c r="J1466" s="151"/>
      <c r="K1466" s="150" t="str">
        <f>IFERROR(VLOOKUP($J1466,#REF!,2,0),"")</f>
        <v/>
      </c>
      <c r="L1466" s="150" t="str">
        <f t="shared" si="458"/>
        <v/>
      </c>
      <c r="M1466" s="154"/>
      <c r="N1466" s="180"/>
      <c r="O1466" s="155"/>
      <c r="P1466" s="156"/>
      <c r="Q1466" s="156"/>
      <c r="R1466" s="156"/>
      <c r="S1466" s="156"/>
      <c r="T1466" s="156"/>
      <c r="U1466" s="156"/>
      <c r="V1466" s="156"/>
      <c r="W1466" s="156"/>
      <c r="X1466" s="156"/>
      <c r="Y1466" s="156"/>
      <c r="Z1466" s="156"/>
      <c r="AA1466" s="156"/>
      <c r="AB1466" s="158">
        <f t="shared" si="460"/>
        <v>0</v>
      </c>
      <c r="AC1466" s="159"/>
      <c r="AE1466" s="160" t="str">
        <f t="shared" si="465"/>
        <v/>
      </c>
      <c r="AF1466" s="161">
        <f t="shared" ref="AF1466:AH1472" si="478">IFERROR(P1466/AU1466,0)</f>
        <v>0</v>
      </c>
      <c r="AG1466" s="162">
        <f t="shared" si="478"/>
        <v>0</v>
      </c>
      <c r="AH1466" s="162">
        <f t="shared" si="478"/>
        <v>0</v>
      </c>
      <c r="AI1466" s="162">
        <f t="shared" si="476"/>
        <v>0</v>
      </c>
      <c r="AJ1466" s="162">
        <f t="shared" si="476"/>
        <v>0</v>
      </c>
      <c r="AK1466" s="162">
        <f t="shared" si="476"/>
        <v>0</v>
      </c>
      <c r="AL1466" s="162">
        <f t="shared" si="476"/>
        <v>0</v>
      </c>
      <c r="AM1466" s="162">
        <f t="shared" si="476"/>
        <v>0</v>
      </c>
      <c r="AN1466" s="162">
        <f t="shared" si="476"/>
        <v>0</v>
      </c>
      <c r="AO1466" s="162">
        <f t="shared" si="476"/>
        <v>0</v>
      </c>
      <c r="AP1466" s="162">
        <f t="shared" si="476"/>
        <v>0</v>
      </c>
      <c r="AQ1466" s="162">
        <f t="shared" si="476"/>
        <v>0</v>
      </c>
      <c r="AR1466" s="163">
        <f t="shared" si="466"/>
        <v>0</v>
      </c>
      <c r="AT1466" s="181" t="str">
        <f t="shared" si="467"/>
        <v/>
      </c>
      <c r="AU1466" s="156">
        <f t="shared" si="467"/>
        <v>0</v>
      </c>
      <c r="AV1466" s="156">
        <f t="shared" ref="AV1466:BD1472" si="479">AU1466</f>
        <v>0</v>
      </c>
      <c r="AW1466" s="156">
        <f t="shared" si="479"/>
        <v>0</v>
      </c>
      <c r="AX1466" s="156">
        <f t="shared" si="479"/>
        <v>0</v>
      </c>
      <c r="AY1466" s="156">
        <f t="shared" si="479"/>
        <v>0</v>
      </c>
      <c r="AZ1466" s="156">
        <f t="shared" si="479"/>
        <v>0</v>
      </c>
      <c r="BA1466" s="156">
        <f t="shared" si="479"/>
        <v>0</v>
      </c>
      <c r="BB1466" s="156">
        <f t="shared" si="479"/>
        <v>0</v>
      </c>
      <c r="BC1466" s="156">
        <f t="shared" si="479"/>
        <v>0</v>
      </c>
      <c r="BD1466" s="156">
        <f t="shared" si="479"/>
        <v>0</v>
      </c>
      <c r="BE1466" s="156">
        <f t="shared" si="477"/>
        <v>0</v>
      </c>
      <c r="BF1466" s="156">
        <f t="shared" si="477"/>
        <v>0</v>
      </c>
      <c r="BG1466" s="158">
        <f t="shared" si="469"/>
        <v>0</v>
      </c>
    </row>
    <row r="1467" spans="1:59" x14ac:dyDescent="0.25">
      <c r="A1467" s="14"/>
      <c r="B1467" s="15" t="str">
        <f t="shared" si="463"/>
        <v>IND_OPER__</v>
      </c>
      <c r="C1467" s="83">
        <f t="shared" si="475"/>
        <v>0</v>
      </c>
      <c r="D1467" s="15" t="str">
        <f>IFERROR("QTD_REC_"&amp;VLOOKUP($J1467,#REF!,7,0),"")</f>
        <v/>
      </c>
      <c r="E1467" s="14"/>
      <c r="F1467" s="148"/>
      <c r="G1467" s="149" t="str">
        <f>IFERROR(VLOOKUP(F1467,#REF!,2,0),"")</f>
        <v/>
      </c>
      <c r="H1467" s="150" t="str">
        <f>IFERROR(VLOOKUP(F1467,#REF!,3,0),"")</f>
        <v/>
      </c>
      <c r="I1467" s="151"/>
      <c r="J1467" s="151"/>
      <c r="K1467" s="150" t="str">
        <f>IFERROR(VLOOKUP($J1467,#REF!,2,0),"")</f>
        <v/>
      </c>
      <c r="L1467" s="150" t="str">
        <f t="shared" si="458"/>
        <v/>
      </c>
      <c r="M1467" s="154"/>
      <c r="N1467" s="180"/>
      <c r="O1467" s="155"/>
      <c r="P1467" s="156"/>
      <c r="Q1467" s="156"/>
      <c r="R1467" s="156"/>
      <c r="S1467" s="156"/>
      <c r="T1467" s="156"/>
      <c r="U1467" s="156"/>
      <c r="V1467" s="156"/>
      <c r="W1467" s="156"/>
      <c r="X1467" s="156"/>
      <c r="Y1467" s="156"/>
      <c r="Z1467" s="156"/>
      <c r="AA1467" s="156"/>
      <c r="AB1467" s="158">
        <f t="shared" si="460"/>
        <v>0</v>
      </c>
      <c r="AC1467" s="159"/>
      <c r="AE1467" s="160" t="str">
        <f t="shared" si="465"/>
        <v/>
      </c>
      <c r="AF1467" s="161">
        <f t="shared" si="478"/>
        <v>0</v>
      </c>
      <c r="AG1467" s="162">
        <f t="shared" si="478"/>
        <v>0</v>
      </c>
      <c r="AH1467" s="162">
        <f t="shared" si="478"/>
        <v>0</v>
      </c>
      <c r="AI1467" s="162">
        <f t="shared" si="476"/>
        <v>0</v>
      </c>
      <c r="AJ1467" s="162">
        <f t="shared" si="476"/>
        <v>0</v>
      </c>
      <c r="AK1467" s="162">
        <f t="shared" si="476"/>
        <v>0</v>
      </c>
      <c r="AL1467" s="162">
        <f t="shared" si="476"/>
        <v>0</v>
      </c>
      <c r="AM1467" s="162">
        <f t="shared" si="476"/>
        <v>0</v>
      </c>
      <c r="AN1467" s="162">
        <f t="shared" si="476"/>
        <v>0</v>
      </c>
      <c r="AO1467" s="162">
        <f t="shared" si="476"/>
        <v>0</v>
      </c>
      <c r="AP1467" s="162">
        <f t="shared" si="476"/>
        <v>0</v>
      </c>
      <c r="AQ1467" s="162">
        <f t="shared" si="476"/>
        <v>0</v>
      </c>
      <c r="AR1467" s="163">
        <f t="shared" si="466"/>
        <v>0</v>
      </c>
      <c r="AT1467" s="181" t="str">
        <f t="shared" si="467"/>
        <v/>
      </c>
      <c r="AU1467" s="156">
        <f t="shared" si="467"/>
        <v>0</v>
      </c>
      <c r="AV1467" s="156">
        <f t="shared" si="479"/>
        <v>0</v>
      </c>
      <c r="AW1467" s="156">
        <f t="shared" si="479"/>
        <v>0</v>
      </c>
      <c r="AX1467" s="156">
        <f t="shared" si="479"/>
        <v>0</v>
      </c>
      <c r="AY1467" s="156">
        <f t="shared" si="479"/>
        <v>0</v>
      </c>
      <c r="AZ1467" s="156">
        <f t="shared" si="479"/>
        <v>0</v>
      </c>
      <c r="BA1467" s="156">
        <f t="shared" si="479"/>
        <v>0</v>
      </c>
      <c r="BB1467" s="156">
        <f t="shared" si="479"/>
        <v>0</v>
      </c>
      <c r="BC1467" s="156">
        <f t="shared" si="479"/>
        <v>0</v>
      </c>
      <c r="BD1467" s="156">
        <f t="shared" si="479"/>
        <v>0</v>
      </c>
      <c r="BE1467" s="156">
        <f t="shared" si="477"/>
        <v>0</v>
      </c>
      <c r="BF1467" s="156">
        <f t="shared" si="477"/>
        <v>0</v>
      </c>
      <c r="BG1467" s="158">
        <f t="shared" si="469"/>
        <v>0</v>
      </c>
    </row>
    <row r="1468" spans="1:59" x14ac:dyDescent="0.25">
      <c r="A1468" s="14"/>
      <c r="B1468" s="15" t="str">
        <f t="shared" si="463"/>
        <v>IND_OPER__</v>
      </c>
      <c r="C1468" s="83">
        <f t="shared" si="475"/>
        <v>0</v>
      </c>
      <c r="D1468" s="15" t="str">
        <f>IFERROR("QTD_REC_"&amp;VLOOKUP($J1468,#REF!,7,0),"")</f>
        <v/>
      </c>
      <c r="E1468" s="14"/>
      <c r="F1468" s="148"/>
      <c r="G1468" s="149" t="str">
        <f>IFERROR(VLOOKUP(F1468,#REF!,2,0),"")</f>
        <v/>
      </c>
      <c r="H1468" s="150" t="str">
        <f>IFERROR(VLOOKUP(F1468,#REF!,3,0),"")</f>
        <v/>
      </c>
      <c r="I1468" s="151"/>
      <c r="J1468" s="151"/>
      <c r="K1468" s="150" t="str">
        <f>IFERROR(VLOOKUP($J1468,#REF!,2,0),"")</f>
        <v/>
      </c>
      <c r="L1468" s="150" t="str">
        <f t="shared" si="458"/>
        <v/>
      </c>
      <c r="M1468" s="154"/>
      <c r="N1468" s="180"/>
      <c r="O1468" s="155"/>
      <c r="P1468" s="156"/>
      <c r="Q1468" s="156"/>
      <c r="R1468" s="156"/>
      <c r="S1468" s="156"/>
      <c r="T1468" s="156"/>
      <c r="U1468" s="156"/>
      <c r="V1468" s="156"/>
      <c r="W1468" s="156"/>
      <c r="X1468" s="156"/>
      <c r="Y1468" s="156"/>
      <c r="Z1468" s="156"/>
      <c r="AA1468" s="156"/>
      <c r="AB1468" s="158">
        <f t="shared" si="460"/>
        <v>0</v>
      </c>
      <c r="AC1468" s="159"/>
      <c r="AE1468" s="160" t="str">
        <f t="shared" si="465"/>
        <v/>
      </c>
      <c r="AF1468" s="161">
        <f t="shared" si="478"/>
        <v>0</v>
      </c>
      <c r="AG1468" s="162">
        <f t="shared" si="478"/>
        <v>0</v>
      </c>
      <c r="AH1468" s="162">
        <f t="shared" si="478"/>
        <v>0</v>
      </c>
      <c r="AI1468" s="162">
        <f t="shared" si="476"/>
        <v>0</v>
      </c>
      <c r="AJ1468" s="162">
        <f t="shared" si="476"/>
        <v>0</v>
      </c>
      <c r="AK1468" s="162">
        <f t="shared" si="476"/>
        <v>0</v>
      </c>
      <c r="AL1468" s="162">
        <f t="shared" si="476"/>
        <v>0</v>
      </c>
      <c r="AM1468" s="162">
        <f t="shared" si="476"/>
        <v>0</v>
      </c>
      <c r="AN1468" s="162">
        <f t="shared" si="476"/>
        <v>0</v>
      </c>
      <c r="AO1468" s="162">
        <f t="shared" si="476"/>
        <v>0</v>
      </c>
      <c r="AP1468" s="162">
        <f t="shared" si="476"/>
        <v>0</v>
      </c>
      <c r="AQ1468" s="162">
        <f t="shared" si="476"/>
        <v>0</v>
      </c>
      <c r="AR1468" s="163">
        <f t="shared" si="466"/>
        <v>0</v>
      </c>
      <c r="AT1468" s="181" t="str">
        <f t="shared" si="467"/>
        <v/>
      </c>
      <c r="AU1468" s="156">
        <f t="shared" si="467"/>
        <v>0</v>
      </c>
      <c r="AV1468" s="156">
        <f t="shared" si="479"/>
        <v>0</v>
      </c>
      <c r="AW1468" s="156">
        <f t="shared" si="479"/>
        <v>0</v>
      </c>
      <c r="AX1468" s="156">
        <f t="shared" si="479"/>
        <v>0</v>
      </c>
      <c r="AY1468" s="156">
        <f t="shared" si="479"/>
        <v>0</v>
      </c>
      <c r="AZ1468" s="156">
        <f t="shared" si="479"/>
        <v>0</v>
      </c>
      <c r="BA1468" s="156">
        <f t="shared" si="479"/>
        <v>0</v>
      </c>
      <c r="BB1468" s="156">
        <f t="shared" si="479"/>
        <v>0</v>
      </c>
      <c r="BC1468" s="156">
        <f t="shared" si="479"/>
        <v>0</v>
      </c>
      <c r="BD1468" s="156">
        <f t="shared" si="479"/>
        <v>0</v>
      </c>
      <c r="BE1468" s="156">
        <f t="shared" si="477"/>
        <v>0</v>
      </c>
      <c r="BF1468" s="156">
        <f t="shared" si="477"/>
        <v>0</v>
      </c>
      <c r="BG1468" s="158">
        <f t="shared" si="469"/>
        <v>0</v>
      </c>
    </row>
    <row r="1469" spans="1:59" x14ac:dyDescent="0.25">
      <c r="A1469" s="14"/>
      <c r="B1469" s="15" t="str">
        <f t="shared" si="463"/>
        <v>IND_OPER__</v>
      </c>
      <c r="C1469" s="83">
        <f t="shared" si="475"/>
        <v>0</v>
      </c>
      <c r="D1469" s="15" t="str">
        <f>IFERROR("QTD_REC_"&amp;VLOOKUP($J1469,#REF!,7,0),"")</f>
        <v/>
      </c>
      <c r="E1469" s="14"/>
      <c r="F1469" s="148"/>
      <c r="G1469" s="149" t="str">
        <f>IFERROR(VLOOKUP(F1469,#REF!,2,0),"")</f>
        <v/>
      </c>
      <c r="H1469" s="150" t="str">
        <f>IFERROR(VLOOKUP(F1469,#REF!,3,0),"")</f>
        <v/>
      </c>
      <c r="I1469" s="151"/>
      <c r="J1469" s="151"/>
      <c r="K1469" s="150" t="str">
        <f>IFERROR(VLOOKUP($J1469,#REF!,2,0),"")</f>
        <v/>
      </c>
      <c r="L1469" s="150" t="str">
        <f t="shared" si="458"/>
        <v/>
      </c>
      <c r="M1469" s="154"/>
      <c r="N1469" s="180"/>
      <c r="O1469" s="155"/>
      <c r="P1469" s="156"/>
      <c r="Q1469" s="156"/>
      <c r="R1469" s="156"/>
      <c r="S1469" s="156"/>
      <c r="T1469" s="156"/>
      <c r="U1469" s="156"/>
      <c r="V1469" s="156"/>
      <c r="W1469" s="156"/>
      <c r="X1469" s="156"/>
      <c r="Y1469" s="156"/>
      <c r="Z1469" s="156"/>
      <c r="AA1469" s="156"/>
      <c r="AB1469" s="158">
        <f t="shared" si="460"/>
        <v>0</v>
      </c>
      <c r="AC1469" s="159"/>
      <c r="AE1469" s="160" t="str">
        <f t="shared" si="465"/>
        <v/>
      </c>
      <c r="AF1469" s="161">
        <f t="shared" si="478"/>
        <v>0</v>
      </c>
      <c r="AG1469" s="162">
        <f t="shared" si="478"/>
        <v>0</v>
      </c>
      <c r="AH1469" s="162">
        <f t="shared" si="478"/>
        <v>0</v>
      </c>
      <c r="AI1469" s="162">
        <f t="shared" si="476"/>
        <v>0</v>
      </c>
      <c r="AJ1469" s="162">
        <f t="shared" si="476"/>
        <v>0</v>
      </c>
      <c r="AK1469" s="162">
        <f t="shared" si="476"/>
        <v>0</v>
      </c>
      <c r="AL1469" s="162">
        <f t="shared" si="476"/>
        <v>0</v>
      </c>
      <c r="AM1469" s="162">
        <f t="shared" si="476"/>
        <v>0</v>
      </c>
      <c r="AN1469" s="162">
        <f t="shared" si="476"/>
        <v>0</v>
      </c>
      <c r="AO1469" s="162">
        <f t="shared" si="476"/>
        <v>0</v>
      </c>
      <c r="AP1469" s="162">
        <f t="shared" si="476"/>
        <v>0</v>
      </c>
      <c r="AQ1469" s="162">
        <f t="shared" si="476"/>
        <v>0</v>
      </c>
      <c r="AR1469" s="163">
        <f t="shared" si="466"/>
        <v>0</v>
      </c>
      <c r="AT1469" s="181" t="str">
        <f t="shared" si="467"/>
        <v/>
      </c>
      <c r="AU1469" s="156">
        <f t="shared" si="467"/>
        <v>0</v>
      </c>
      <c r="AV1469" s="156">
        <f t="shared" si="479"/>
        <v>0</v>
      </c>
      <c r="AW1469" s="156">
        <f t="shared" si="479"/>
        <v>0</v>
      </c>
      <c r="AX1469" s="156">
        <f t="shared" si="479"/>
        <v>0</v>
      </c>
      <c r="AY1469" s="156">
        <f t="shared" si="479"/>
        <v>0</v>
      </c>
      <c r="AZ1469" s="156">
        <f t="shared" si="479"/>
        <v>0</v>
      </c>
      <c r="BA1469" s="156">
        <f t="shared" si="479"/>
        <v>0</v>
      </c>
      <c r="BB1469" s="156">
        <f t="shared" si="479"/>
        <v>0</v>
      </c>
      <c r="BC1469" s="156">
        <f t="shared" si="479"/>
        <v>0</v>
      </c>
      <c r="BD1469" s="156">
        <f t="shared" si="479"/>
        <v>0</v>
      </c>
      <c r="BE1469" s="156">
        <f t="shared" si="477"/>
        <v>0</v>
      </c>
      <c r="BF1469" s="156">
        <f t="shared" si="477"/>
        <v>0</v>
      </c>
      <c r="BG1469" s="158">
        <f t="shared" si="469"/>
        <v>0</v>
      </c>
    </row>
    <row r="1470" spans="1:59" x14ac:dyDescent="0.25">
      <c r="A1470" s="14"/>
      <c r="B1470" s="15" t="str">
        <f t="shared" si="463"/>
        <v>IND_OPER__</v>
      </c>
      <c r="C1470" s="83">
        <f t="shared" si="475"/>
        <v>0</v>
      </c>
      <c r="D1470" s="15" t="str">
        <f>IFERROR("QTD_REC_"&amp;VLOOKUP($J1470,#REF!,7,0),"")</f>
        <v/>
      </c>
      <c r="E1470" s="14"/>
      <c r="F1470" s="148"/>
      <c r="G1470" s="149" t="str">
        <f>IFERROR(VLOOKUP(F1470,#REF!,2,0),"")</f>
        <v/>
      </c>
      <c r="H1470" s="150" t="str">
        <f>IFERROR(VLOOKUP(F1470,#REF!,3,0),"")</f>
        <v/>
      </c>
      <c r="I1470" s="151"/>
      <c r="J1470" s="151"/>
      <c r="K1470" s="150" t="str">
        <f>IFERROR(VLOOKUP($J1470,#REF!,2,0),"")</f>
        <v/>
      </c>
      <c r="L1470" s="150" t="str">
        <f t="shared" si="458"/>
        <v/>
      </c>
      <c r="M1470" s="154"/>
      <c r="N1470" s="180"/>
      <c r="O1470" s="155"/>
      <c r="P1470" s="156"/>
      <c r="Q1470" s="156"/>
      <c r="R1470" s="156"/>
      <c r="S1470" s="156"/>
      <c r="T1470" s="156"/>
      <c r="U1470" s="156"/>
      <c r="V1470" s="156"/>
      <c r="W1470" s="156"/>
      <c r="X1470" s="156"/>
      <c r="Y1470" s="156"/>
      <c r="Z1470" s="156"/>
      <c r="AA1470" s="156"/>
      <c r="AB1470" s="158">
        <f t="shared" si="460"/>
        <v>0</v>
      </c>
      <c r="AC1470" s="159"/>
      <c r="AE1470" s="160" t="str">
        <f t="shared" si="465"/>
        <v/>
      </c>
      <c r="AF1470" s="161">
        <f t="shared" si="478"/>
        <v>0</v>
      </c>
      <c r="AG1470" s="162">
        <f t="shared" si="478"/>
        <v>0</v>
      </c>
      <c r="AH1470" s="162">
        <f t="shared" si="478"/>
        <v>0</v>
      </c>
      <c r="AI1470" s="162">
        <f t="shared" si="476"/>
        <v>0</v>
      </c>
      <c r="AJ1470" s="162">
        <f t="shared" si="476"/>
        <v>0</v>
      </c>
      <c r="AK1470" s="162">
        <f t="shared" si="476"/>
        <v>0</v>
      </c>
      <c r="AL1470" s="162">
        <f t="shared" si="476"/>
        <v>0</v>
      </c>
      <c r="AM1470" s="162">
        <f t="shared" si="476"/>
        <v>0</v>
      </c>
      <c r="AN1470" s="162">
        <f t="shared" si="476"/>
        <v>0</v>
      </c>
      <c r="AO1470" s="162">
        <f t="shared" si="476"/>
        <v>0</v>
      </c>
      <c r="AP1470" s="162">
        <f t="shared" si="476"/>
        <v>0</v>
      </c>
      <c r="AQ1470" s="162">
        <f t="shared" si="476"/>
        <v>0</v>
      </c>
      <c r="AR1470" s="163">
        <f t="shared" si="466"/>
        <v>0</v>
      </c>
      <c r="AT1470" s="181" t="str">
        <f t="shared" si="467"/>
        <v/>
      </c>
      <c r="AU1470" s="156">
        <f t="shared" si="467"/>
        <v>0</v>
      </c>
      <c r="AV1470" s="156">
        <f t="shared" si="479"/>
        <v>0</v>
      </c>
      <c r="AW1470" s="156">
        <f t="shared" si="479"/>
        <v>0</v>
      </c>
      <c r="AX1470" s="156">
        <f t="shared" si="479"/>
        <v>0</v>
      </c>
      <c r="AY1470" s="156">
        <f t="shared" si="479"/>
        <v>0</v>
      </c>
      <c r="AZ1470" s="156">
        <f t="shared" si="479"/>
        <v>0</v>
      </c>
      <c r="BA1470" s="156">
        <f t="shared" si="479"/>
        <v>0</v>
      </c>
      <c r="BB1470" s="156">
        <f t="shared" si="479"/>
        <v>0</v>
      </c>
      <c r="BC1470" s="156">
        <f t="shared" si="479"/>
        <v>0</v>
      </c>
      <c r="BD1470" s="156">
        <f t="shared" si="479"/>
        <v>0</v>
      </c>
      <c r="BE1470" s="156">
        <f t="shared" si="477"/>
        <v>0</v>
      </c>
      <c r="BF1470" s="156">
        <f t="shared" si="477"/>
        <v>0</v>
      </c>
      <c r="BG1470" s="158">
        <f t="shared" si="469"/>
        <v>0</v>
      </c>
    </row>
    <row r="1471" spans="1:59" x14ac:dyDescent="0.25">
      <c r="A1471" s="14"/>
      <c r="B1471" s="15" t="str">
        <f t="shared" si="463"/>
        <v>IND_OPER__</v>
      </c>
      <c r="C1471" s="83">
        <f t="shared" si="475"/>
        <v>0</v>
      </c>
      <c r="D1471" s="15" t="str">
        <f>IFERROR("QTD_REC_"&amp;VLOOKUP($J1471,#REF!,7,0),"")</f>
        <v/>
      </c>
      <c r="E1471" s="14"/>
      <c r="F1471" s="148"/>
      <c r="G1471" s="149" t="str">
        <f>IFERROR(VLOOKUP(F1471,#REF!,2,0),"")</f>
        <v/>
      </c>
      <c r="H1471" s="150" t="str">
        <f>IFERROR(VLOOKUP(F1471,#REF!,3,0),"")</f>
        <v/>
      </c>
      <c r="I1471" s="151"/>
      <c r="J1471" s="151"/>
      <c r="K1471" s="150" t="str">
        <f>IFERROR(VLOOKUP($J1471,#REF!,2,0),"")</f>
        <v/>
      </c>
      <c r="L1471" s="150" t="str">
        <f t="shared" si="458"/>
        <v/>
      </c>
      <c r="M1471" s="154"/>
      <c r="N1471" s="180"/>
      <c r="O1471" s="155"/>
      <c r="P1471" s="156"/>
      <c r="Q1471" s="156"/>
      <c r="R1471" s="156"/>
      <c r="S1471" s="156"/>
      <c r="T1471" s="156"/>
      <c r="U1471" s="156"/>
      <c r="V1471" s="156"/>
      <c r="W1471" s="156"/>
      <c r="X1471" s="156"/>
      <c r="Y1471" s="156"/>
      <c r="Z1471" s="156"/>
      <c r="AA1471" s="156"/>
      <c r="AB1471" s="158">
        <f t="shared" si="460"/>
        <v>0</v>
      </c>
      <c r="AC1471" s="159"/>
      <c r="AE1471" s="160" t="str">
        <f t="shared" si="465"/>
        <v/>
      </c>
      <c r="AF1471" s="161">
        <f t="shared" si="478"/>
        <v>0</v>
      </c>
      <c r="AG1471" s="162">
        <f t="shared" si="478"/>
        <v>0</v>
      </c>
      <c r="AH1471" s="162">
        <f t="shared" si="478"/>
        <v>0</v>
      </c>
      <c r="AI1471" s="162">
        <f t="shared" si="476"/>
        <v>0</v>
      </c>
      <c r="AJ1471" s="162">
        <f t="shared" si="476"/>
        <v>0</v>
      </c>
      <c r="AK1471" s="162">
        <f t="shared" si="476"/>
        <v>0</v>
      </c>
      <c r="AL1471" s="162">
        <f t="shared" si="476"/>
        <v>0</v>
      </c>
      <c r="AM1471" s="162">
        <f t="shared" si="476"/>
        <v>0</v>
      </c>
      <c r="AN1471" s="162">
        <f t="shared" si="476"/>
        <v>0</v>
      </c>
      <c r="AO1471" s="162">
        <f t="shared" si="476"/>
        <v>0</v>
      </c>
      <c r="AP1471" s="162">
        <f t="shared" si="476"/>
        <v>0</v>
      </c>
      <c r="AQ1471" s="162">
        <f t="shared" si="476"/>
        <v>0</v>
      </c>
      <c r="AR1471" s="163">
        <f t="shared" si="466"/>
        <v>0</v>
      </c>
      <c r="AT1471" s="181" t="str">
        <f t="shared" si="467"/>
        <v/>
      </c>
      <c r="AU1471" s="156">
        <f t="shared" si="467"/>
        <v>0</v>
      </c>
      <c r="AV1471" s="156">
        <f t="shared" si="479"/>
        <v>0</v>
      </c>
      <c r="AW1471" s="156">
        <f t="shared" si="479"/>
        <v>0</v>
      </c>
      <c r="AX1471" s="156">
        <f t="shared" si="479"/>
        <v>0</v>
      </c>
      <c r="AY1471" s="156">
        <f t="shared" si="479"/>
        <v>0</v>
      </c>
      <c r="AZ1471" s="156">
        <f t="shared" si="479"/>
        <v>0</v>
      </c>
      <c r="BA1471" s="156">
        <f t="shared" si="479"/>
        <v>0</v>
      </c>
      <c r="BB1471" s="156">
        <f t="shared" si="479"/>
        <v>0</v>
      </c>
      <c r="BC1471" s="156">
        <f t="shared" si="479"/>
        <v>0</v>
      </c>
      <c r="BD1471" s="156">
        <f t="shared" si="479"/>
        <v>0</v>
      </c>
      <c r="BE1471" s="156">
        <f t="shared" si="477"/>
        <v>0</v>
      </c>
      <c r="BF1471" s="156">
        <f t="shared" si="477"/>
        <v>0</v>
      </c>
      <c r="BG1471" s="158">
        <f t="shared" si="469"/>
        <v>0</v>
      </c>
    </row>
    <row r="1472" spans="1:59" x14ac:dyDescent="0.25">
      <c r="A1472" s="14"/>
      <c r="B1472" s="15" t="str">
        <f t="shared" si="463"/>
        <v>IND_OPER__</v>
      </c>
      <c r="C1472" s="83">
        <f t="shared" si="475"/>
        <v>0</v>
      </c>
      <c r="D1472" s="15" t="str">
        <f>IFERROR("QTD_REC_"&amp;VLOOKUP($J1472,#REF!,7,0),"")</f>
        <v/>
      </c>
      <c r="F1472" s="164"/>
      <c r="G1472" s="183" t="str">
        <f>IFERROR(VLOOKUP(F1472,#REF!,2,0),"")</f>
        <v/>
      </c>
      <c r="H1472" s="184" t="str">
        <f>IFERROR(VLOOKUP(F1472,#REF!,3,0),"")</f>
        <v/>
      </c>
      <c r="I1472" s="165"/>
      <c r="J1472" s="165"/>
      <c r="K1472" s="184" t="str">
        <f>IFERROR(VLOOKUP($J1472,#REF!,2,0),"")</f>
        <v/>
      </c>
      <c r="L1472" s="184" t="str">
        <f t="shared" si="458"/>
        <v/>
      </c>
      <c r="M1472" s="168"/>
      <c r="N1472" s="185"/>
      <c r="O1472" s="169"/>
      <c r="P1472" s="170"/>
      <c r="Q1472" s="170"/>
      <c r="R1472" s="170"/>
      <c r="S1472" s="170"/>
      <c r="T1472" s="170"/>
      <c r="U1472" s="170"/>
      <c r="V1472" s="170"/>
      <c r="W1472" s="170"/>
      <c r="X1472" s="170"/>
      <c r="Y1472" s="170"/>
      <c r="Z1472" s="170"/>
      <c r="AA1472" s="170"/>
      <c r="AB1472" s="171">
        <f t="shared" si="460"/>
        <v>0</v>
      </c>
      <c r="AC1472" s="186"/>
      <c r="AE1472" s="173" t="str">
        <f t="shared" si="465"/>
        <v/>
      </c>
      <c r="AF1472" s="174">
        <f t="shared" si="478"/>
        <v>0</v>
      </c>
      <c r="AG1472" s="175">
        <f t="shared" si="478"/>
        <v>0</v>
      </c>
      <c r="AH1472" s="175">
        <f t="shared" si="478"/>
        <v>0</v>
      </c>
      <c r="AI1472" s="175">
        <f t="shared" si="476"/>
        <v>0</v>
      </c>
      <c r="AJ1472" s="175">
        <f t="shared" si="476"/>
        <v>0</v>
      </c>
      <c r="AK1472" s="175">
        <f t="shared" si="476"/>
        <v>0</v>
      </c>
      <c r="AL1472" s="175">
        <f t="shared" si="476"/>
        <v>0</v>
      </c>
      <c r="AM1472" s="175">
        <f t="shared" si="476"/>
        <v>0</v>
      </c>
      <c r="AN1472" s="175">
        <f t="shared" si="476"/>
        <v>0</v>
      </c>
      <c r="AO1472" s="175">
        <f t="shared" si="476"/>
        <v>0</v>
      </c>
      <c r="AP1472" s="175">
        <f t="shared" si="476"/>
        <v>0</v>
      </c>
      <c r="AQ1472" s="175">
        <f t="shared" si="476"/>
        <v>0</v>
      </c>
      <c r="AR1472" s="176">
        <f t="shared" si="466"/>
        <v>0</v>
      </c>
      <c r="AT1472" s="187" t="str">
        <f t="shared" si="467"/>
        <v/>
      </c>
      <c r="AU1472" s="170">
        <f t="shared" si="467"/>
        <v>0</v>
      </c>
      <c r="AV1472" s="170">
        <f t="shared" si="479"/>
        <v>0</v>
      </c>
      <c r="AW1472" s="170">
        <f t="shared" si="479"/>
        <v>0</v>
      </c>
      <c r="AX1472" s="170">
        <f t="shared" si="479"/>
        <v>0</v>
      </c>
      <c r="AY1472" s="170">
        <f t="shared" si="479"/>
        <v>0</v>
      </c>
      <c r="AZ1472" s="170">
        <f t="shared" si="479"/>
        <v>0</v>
      </c>
      <c r="BA1472" s="170">
        <f t="shared" si="479"/>
        <v>0</v>
      </c>
      <c r="BB1472" s="170">
        <f t="shared" si="479"/>
        <v>0</v>
      </c>
      <c r="BC1472" s="170">
        <f t="shared" si="479"/>
        <v>0</v>
      </c>
      <c r="BD1472" s="170">
        <f t="shared" si="479"/>
        <v>0</v>
      </c>
      <c r="BE1472" s="170">
        <f t="shared" si="477"/>
        <v>0</v>
      </c>
      <c r="BF1472" s="170">
        <f t="shared" si="477"/>
        <v>0</v>
      </c>
      <c r="BG1472" s="171">
        <f t="shared" si="469"/>
        <v>0</v>
      </c>
    </row>
    <row r="1473" spans="1:44" x14ac:dyDescent="0.25">
      <c r="A1473" s="14"/>
      <c r="F1473" s="105"/>
      <c r="G1473" s="188"/>
      <c r="AE1473" s="15"/>
      <c r="AF1473" s="18"/>
      <c r="AG1473" s="18"/>
      <c r="AH1473" s="18"/>
      <c r="AI1473" s="18"/>
      <c r="AJ1473" s="18"/>
      <c r="AK1473" s="18"/>
      <c r="AL1473" s="19"/>
      <c r="AM1473" s="18"/>
      <c r="AN1473" s="18"/>
      <c r="AO1473" s="18"/>
      <c r="AP1473" s="18"/>
      <c r="AQ1473" s="18"/>
      <c r="AR1473" s="18"/>
    </row>
    <row r="1474" spans="1:44" ht="38.25" x14ac:dyDescent="0.25">
      <c r="A1474" s="14"/>
      <c r="F1474" s="137" t="s">
        <v>244</v>
      </c>
      <c r="G1474" s="138"/>
      <c r="H1474" s="139" t="s">
        <v>217</v>
      </c>
      <c r="I1474" s="139" t="s">
        <v>218</v>
      </c>
      <c r="J1474" s="139" t="s">
        <v>229</v>
      </c>
      <c r="K1474" s="139" t="s">
        <v>245</v>
      </c>
      <c r="L1474" s="143" t="s">
        <v>246</v>
      </c>
      <c r="M1474" s="142" t="s">
        <v>233</v>
      </c>
      <c r="N1474" s="142" t="s">
        <v>233</v>
      </c>
      <c r="O1474" s="143" t="s">
        <v>222</v>
      </c>
      <c r="P1474" s="35">
        <f t="shared" ref="P1474:AA1474" si="480">P$9</f>
        <v>46113</v>
      </c>
      <c r="Q1474" s="35">
        <f t="shared" si="480"/>
        <v>46143</v>
      </c>
      <c r="R1474" s="35">
        <f t="shared" si="480"/>
        <v>46174</v>
      </c>
      <c r="S1474" s="35">
        <f t="shared" si="480"/>
        <v>46204</v>
      </c>
      <c r="T1474" s="35">
        <f t="shared" si="480"/>
        <v>46235</v>
      </c>
      <c r="U1474" s="35">
        <f t="shared" si="480"/>
        <v>46266</v>
      </c>
      <c r="V1474" s="35">
        <f t="shared" si="480"/>
        <v>46296</v>
      </c>
      <c r="W1474" s="35">
        <f t="shared" si="480"/>
        <v>46327</v>
      </c>
      <c r="X1474" s="35">
        <f t="shared" si="480"/>
        <v>46357</v>
      </c>
      <c r="Y1474" s="35">
        <f t="shared" si="480"/>
        <v>46388</v>
      </c>
      <c r="Z1474" s="35">
        <f t="shared" si="480"/>
        <v>46419</v>
      </c>
      <c r="AA1474" s="35">
        <f t="shared" si="480"/>
        <v>46447</v>
      </c>
      <c r="AB1474" s="81" t="s">
        <v>225</v>
      </c>
      <c r="AC1474" s="82" t="s">
        <v>192</v>
      </c>
      <c r="AE1474" s="189" t="s">
        <v>247</v>
      </c>
      <c r="AF1474" s="35">
        <f t="shared" ref="AF1474:AQ1474" si="481">P1474</f>
        <v>46113</v>
      </c>
      <c r="AG1474" s="35">
        <f t="shared" si="481"/>
        <v>46143</v>
      </c>
      <c r="AH1474" s="35">
        <f t="shared" si="481"/>
        <v>46174</v>
      </c>
      <c r="AI1474" s="35">
        <f t="shared" si="481"/>
        <v>46204</v>
      </c>
      <c r="AJ1474" s="35">
        <f t="shared" si="481"/>
        <v>46235</v>
      </c>
      <c r="AK1474" s="35">
        <f t="shared" si="481"/>
        <v>46266</v>
      </c>
      <c r="AL1474" s="35">
        <f t="shared" si="481"/>
        <v>46296</v>
      </c>
      <c r="AM1474" s="35">
        <f t="shared" si="481"/>
        <v>46327</v>
      </c>
      <c r="AN1474" s="35">
        <f t="shared" si="481"/>
        <v>46357</v>
      </c>
      <c r="AO1474" s="35">
        <f t="shared" si="481"/>
        <v>46388</v>
      </c>
      <c r="AP1474" s="35">
        <f t="shared" si="481"/>
        <v>46419</v>
      </c>
      <c r="AQ1474" s="35">
        <f t="shared" si="481"/>
        <v>46447</v>
      </c>
      <c r="AR1474" s="81" t="s">
        <v>85</v>
      </c>
    </row>
    <row r="1475" spans="1:44" x14ac:dyDescent="0.25">
      <c r="A1475" s="14"/>
      <c r="B1475" s="15" t="str">
        <f t="shared" ref="B1475:B1519" si="482">"IND_COMB_"&amp;F1475&amp;"_"&amp;J1475</f>
        <v>IND_COMB_1031_0</v>
      </c>
      <c r="F1475" s="190">
        <f t="shared" ref="F1475:J1490" si="483">F1428</f>
        <v>1031</v>
      </c>
      <c r="G1475" s="149" t="str">
        <f t="shared" si="483"/>
        <v/>
      </c>
      <c r="H1475" s="150" t="str">
        <f t="shared" si="483"/>
        <v/>
      </c>
      <c r="I1475" s="150" t="str">
        <f t="shared" si="483"/>
        <v>TRATCPP</v>
      </c>
      <c r="J1475" s="150">
        <f t="shared" si="483"/>
        <v>0</v>
      </c>
      <c r="K1475" s="150" t="str">
        <f>IFERROR(VLOOKUP($J1475,#REF!,3,0),"")</f>
        <v/>
      </c>
      <c r="L1475" s="150" t="str">
        <f>IFERROR(VLOOKUP($J1475,#REF!,5,0),"")</f>
        <v/>
      </c>
      <c r="M1475" s="191">
        <f t="shared" ref="M1475:M1519" si="484">N1428</f>
        <v>0</v>
      </c>
      <c r="N1475" s="192">
        <f t="shared" ref="N1475:O1490" si="485">N1428</f>
        <v>0</v>
      </c>
      <c r="O1475" s="193">
        <f t="shared" si="485"/>
        <v>0</v>
      </c>
      <c r="P1475" s="162">
        <f t="shared" ref="P1475:AA1490" si="486">$M1475</f>
        <v>0</v>
      </c>
      <c r="Q1475" s="162">
        <f t="shared" si="486"/>
        <v>0</v>
      </c>
      <c r="R1475" s="162">
        <f t="shared" si="486"/>
        <v>0</v>
      </c>
      <c r="S1475" s="162">
        <f t="shared" si="486"/>
        <v>0</v>
      </c>
      <c r="T1475" s="162">
        <f t="shared" si="486"/>
        <v>0</v>
      </c>
      <c r="U1475" s="162">
        <f t="shared" si="486"/>
        <v>0</v>
      </c>
      <c r="V1475" s="162">
        <f t="shared" si="486"/>
        <v>0</v>
      </c>
      <c r="W1475" s="162">
        <f t="shared" si="486"/>
        <v>0</v>
      </c>
      <c r="X1475" s="162">
        <f t="shared" si="486"/>
        <v>0</v>
      </c>
      <c r="Y1475" s="162">
        <f t="shared" si="486"/>
        <v>0</v>
      </c>
      <c r="Z1475" s="162">
        <f t="shared" si="486"/>
        <v>0</v>
      </c>
      <c r="AA1475" s="162">
        <f t="shared" si="486"/>
        <v>0</v>
      </c>
      <c r="AB1475" s="163">
        <f t="shared" ref="AB1475:AB1519" si="487">AVERAGE(P1475:AA1475)</f>
        <v>0</v>
      </c>
      <c r="AC1475" s="159"/>
      <c r="AE1475" s="194" t="str">
        <f>IF(J1475="","",J1475&amp;" - "&amp;"LTS"&amp;" ("&amp;F1475&amp;" - "&amp;G1475&amp;")")</f>
        <v>0 - LTS (1031 - )</v>
      </c>
      <c r="AF1475" s="161">
        <f t="shared" ref="AF1475:AQ1490" si="488">IFERROR(IF($L1475="LTS/HS",P1475*AF1428,IF($L1475="KM/LTS",AF1428/P1475,0)),0)</f>
        <v>0</v>
      </c>
      <c r="AG1475" s="162">
        <f t="shared" si="488"/>
        <v>0</v>
      </c>
      <c r="AH1475" s="162">
        <f t="shared" si="488"/>
        <v>0</v>
      </c>
      <c r="AI1475" s="162">
        <f t="shared" si="488"/>
        <v>0</v>
      </c>
      <c r="AJ1475" s="162">
        <f t="shared" si="488"/>
        <v>0</v>
      </c>
      <c r="AK1475" s="162">
        <f t="shared" si="488"/>
        <v>0</v>
      </c>
      <c r="AL1475" s="162">
        <f t="shared" si="488"/>
        <v>0</v>
      </c>
      <c r="AM1475" s="162">
        <f t="shared" si="488"/>
        <v>0</v>
      </c>
      <c r="AN1475" s="162">
        <f t="shared" si="488"/>
        <v>0</v>
      </c>
      <c r="AO1475" s="162">
        <f t="shared" si="488"/>
        <v>0</v>
      </c>
      <c r="AP1475" s="162">
        <f t="shared" si="488"/>
        <v>0</v>
      </c>
      <c r="AQ1475" s="162">
        <f t="shared" si="488"/>
        <v>0</v>
      </c>
      <c r="AR1475" s="163">
        <f>SUM(AF1475:AQ1475)</f>
        <v>0</v>
      </c>
    </row>
    <row r="1476" spans="1:44" x14ac:dyDescent="0.25">
      <c r="A1476" s="14"/>
      <c r="B1476" s="15" t="str">
        <f t="shared" si="482"/>
        <v>IND_COMB_1020_0</v>
      </c>
      <c r="F1476" s="190">
        <f t="shared" si="483"/>
        <v>1020</v>
      </c>
      <c r="G1476" s="149" t="str">
        <f t="shared" si="483"/>
        <v/>
      </c>
      <c r="H1476" s="150" t="str">
        <f t="shared" si="483"/>
        <v/>
      </c>
      <c r="I1476" s="150" t="str">
        <f t="shared" si="483"/>
        <v>TRATCPP</v>
      </c>
      <c r="J1476" s="150">
        <f t="shared" si="483"/>
        <v>0</v>
      </c>
      <c r="K1476" s="150" t="str">
        <f>IFERROR(VLOOKUP($J1476,#REF!,3,0),"")</f>
        <v/>
      </c>
      <c r="L1476" s="150" t="str">
        <f>IFERROR(VLOOKUP($J1476,#REF!,5,0),"")</f>
        <v/>
      </c>
      <c r="M1476" s="191">
        <f t="shared" si="484"/>
        <v>0</v>
      </c>
      <c r="N1476" s="192">
        <f t="shared" si="485"/>
        <v>0</v>
      </c>
      <c r="O1476" s="193">
        <f t="shared" si="485"/>
        <v>0</v>
      </c>
      <c r="P1476" s="162">
        <f t="shared" si="486"/>
        <v>0</v>
      </c>
      <c r="Q1476" s="162">
        <f t="shared" si="486"/>
        <v>0</v>
      </c>
      <c r="R1476" s="162">
        <f t="shared" si="486"/>
        <v>0</v>
      </c>
      <c r="S1476" s="162">
        <f t="shared" si="486"/>
        <v>0</v>
      </c>
      <c r="T1476" s="162">
        <f t="shared" si="486"/>
        <v>0</v>
      </c>
      <c r="U1476" s="162">
        <f t="shared" si="486"/>
        <v>0</v>
      </c>
      <c r="V1476" s="162">
        <f t="shared" si="486"/>
        <v>0</v>
      </c>
      <c r="W1476" s="162">
        <f t="shared" si="486"/>
        <v>0</v>
      </c>
      <c r="X1476" s="162">
        <f t="shared" si="486"/>
        <v>0</v>
      </c>
      <c r="Y1476" s="162">
        <f t="shared" si="486"/>
        <v>0</v>
      </c>
      <c r="Z1476" s="162">
        <f t="shared" si="486"/>
        <v>0</v>
      </c>
      <c r="AA1476" s="162">
        <f t="shared" si="486"/>
        <v>0</v>
      </c>
      <c r="AB1476" s="163">
        <f t="shared" si="487"/>
        <v>0</v>
      </c>
      <c r="AC1476" s="159"/>
      <c r="AE1476" s="194" t="str">
        <f t="shared" ref="AE1476:AE1519" si="489">IF(J1476="","",J1476&amp;" - "&amp;"LTS"&amp;" ("&amp;F1476&amp;" - "&amp;G1476&amp;")")</f>
        <v>0 - LTS (1020 - )</v>
      </c>
      <c r="AF1476" s="161">
        <f t="shared" si="488"/>
        <v>0</v>
      </c>
      <c r="AG1476" s="162">
        <f t="shared" si="488"/>
        <v>0</v>
      </c>
      <c r="AH1476" s="162">
        <f t="shared" si="488"/>
        <v>0</v>
      </c>
      <c r="AI1476" s="162">
        <f t="shared" si="488"/>
        <v>0</v>
      </c>
      <c r="AJ1476" s="162">
        <f t="shared" si="488"/>
        <v>0</v>
      </c>
      <c r="AK1476" s="162">
        <f t="shared" si="488"/>
        <v>0</v>
      </c>
      <c r="AL1476" s="162">
        <f t="shared" si="488"/>
        <v>0</v>
      </c>
      <c r="AM1476" s="162">
        <f t="shared" si="488"/>
        <v>0</v>
      </c>
      <c r="AN1476" s="162">
        <f t="shared" si="488"/>
        <v>0</v>
      </c>
      <c r="AO1476" s="162">
        <f t="shared" si="488"/>
        <v>0</v>
      </c>
      <c r="AP1476" s="162">
        <f t="shared" si="488"/>
        <v>0</v>
      </c>
      <c r="AQ1476" s="162">
        <f t="shared" si="488"/>
        <v>0</v>
      </c>
      <c r="AR1476" s="163">
        <f t="shared" ref="AR1476:AR1519" si="490">SUM(AF1476:AQ1476)</f>
        <v>0</v>
      </c>
    </row>
    <row r="1477" spans="1:44" x14ac:dyDescent="0.25">
      <c r="A1477" s="14"/>
      <c r="B1477" s="15" t="str">
        <f t="shared" si="482"/>
        <v>IND_COMB_1078_0</v>
      </c>
      <c r="F1477" s="190">
        <f t="shared" si="483"/>
        <v>1078</v>
      </c>
      <c r="G1477" s="149" t="str">
        <f t="shared" si="483"/>
        <v/>
      </c>
      <c r="H1477" s="150" t="str">
        <f t="shared" si="483"/>
        <v/>
      </c>
      <c r="I1477" s="150" t="str">
        <f t="shared" si="483"/>
        <v>TRATCPP</v>
      </c>
      <c r="J1477" s="150">
        <f t="shared" si="483"/>
        <v>0</v>
      </c>
      <c r="K1477" s="150" t="str">
        <f>IFERROR(VLOOKUP($J1477,#REF!,3,0),"")</f>
        <v/>
      </c>
      <c r="L1477" s="150" t="str">
        <f>IFERROR(VLOOKUP($J1477,#REF!,5,0),"")</f>
        <v/>
      </c>
      <c r="M1477" s="191">
        <f t="shared" si="484"/>
        <v>0</v>
      </c>
      <c r="N1477" s="192">
        <f t="shared" si="485"/>
        <v>0</v>
      </c>
      <c r="O1477" s="193">
        <f t="shared" si="485"/>
        <v>0</v>
      </c>
      <c r="P1477" s="162">
        <f t="shared" si="486"/>
        <v>0</v>
      </c>
      <c r="Q1477" s="162">
        <f t="shared" si="486"/>
        <v>0</v>
      </c>
      <c r="R1477" s="162">
        <f t="shared" si="486"/>
        <v>0</v>
      </c>
      <c r="S1477" s="162">
        <f t="shared" si="486"/>
        <v>0</v>
      </c>
      <c r="T1477" s="162">
        <f t="shared" si="486"/>
        <v>0</v>
      </c>
      <c r="U1477" s="162">
        <f t="shared" si="486"/>
        <v>0</v>
      </c>
      <c r="V1477" s="162">
        <f t="shared" si="486"/>
        <v>0</v>
      </c>
      <c r="W1477" s="162">
        <f t="shared" si="486"/>
        <v>0</v>
      </c>
      <c r="X1477" s="162">
        <f t="shared" si="486"/>
        <v>0</v>
      </c>
      <c r="Y1477" s="162">
        <f t="shared" si="486"/>
        <v>0</v>
      </c>
      <c r="Z1477" s="162">
        <f t="shared" si="486"/>
        <v>0</v>
      </c>
      <c r="AA1477" s="162">
        <f t="shared" si="486"/>
        <v>0</v>
      </c>
      <c r="AB1477" s="163">
        <f t="shared" si="487"/>
        <v>0</v>
      </c>
      <c r="AC1477" s="159"/>
      <c r="AE1477" s="194" t="str">
        <f t="shared" si="489"/>
        <v>0 - LTS (1078 - )</v>
      </c>
      <c r="AF1477" s="161">
        <f t="shared" si="488"/>
        <v>0</v>
      </c>
      <c r="AG1477" s="162">
        <f t="shared" si="488"/>
        <v>0</v>
      </c>
      <c r="AH1477" s="162">
        <f t="shared" si="488"/>
        <v>0</v>
      </c>
      <c r="AI1477" s="162">
        <f t="shared" si="488"/>
        <v>0</v>
      </c>
      <c r="AJ1477" s="162">
        <f t="shared" si="488"/>
        <v>0</v>
      </c>
      <c r="AK1477" s="162">
        <f t="shared" si="488"/>
        <v>0</v>
      </c>
      <c r="AL1477" s="162">
        <f t="shared" si="488"/>
        <v>0</v>
      </c>
      <c r="AM1477" s="162">
        <f t="shared" si="488"/>
        <v>0</v>
      </c>
      <c r="AN1477" s="162">
        <f t="shared" si="488"/>
        <v>0</v>
      </c>
      <c r="AO1477" s="162">
        <f t="shared" si="488"/>
        <v>0</v>
      </c>
      <c r="AP1477" s="162">
        <f t="shared" si="488"/>
        <v>0</v>
      </c>
      <c r="AQ1477" s="162">
        <f t="shared" si="488"/>
        <v>0</v>
      </c>
      <c r="AR1477" s="163">
        <f t="shared" si="490"/>
        <v>0</v>
      </c>
    </row>
    <row r="1478" spans="1:44" x14ac:dyDescent="0.25">
      <c r="A1478" s="14"/>
      <c r="B1478" s="15" t="str">
        <f t="shared" si="482"/>
        <v>IND_COMB_1091_0</v>
      </c>
      <c r="F1478" s="190">
        <f t="shared" si="483"/>
        <v>1091</v>
      </c>
      <c r="G1478" s="149" t="str">
        <f t="shared" si="483"/>
        <v/>
      </c>
      <c r="H1478" s="150" t="str">
        <f t="shared" si="483"/>
        <v/>
      </c>
      <c r="I1478" s="150" t="str">
        <f t="shared" si="483"/>
        <v>TRATCPP</v>
      </c>
      <c r="J1478" s="150">
        <f t="shared" si="483"/>
        <v>0</v>
      </c>
      <c r="K1478" s="150" t="str">
        <f>IFERROR(VLOOKUP($J1478,#REF!,3,0),"")</f>
        <v/>
      </c>
      <c r="L1478" s="150" t="str">
        <f>IFERROR(VLOOKUP($J1478,#REF!,5,0),"")</f>
        <v/>
      </c>
      <c r="M1478" s="191">
        <f t="shared" si="484"/>
        <v>0</v>
      </c>
      <c r="N1478" s="192">
        <f t="shared" si="485"/>
        <v>0</v>
      </c>
      <c r="O1478" s="193">
        <f t="shared" si="485"/>
        <v>0</v>
      </c>
      <c r="P1478" s="162">
        <f t="shared" si="486"/>
        <v>0</v>
      </c>
      <c r="Q1478" s="162">
        <f t="shared" si="486"/>
        <v>0</v>
      </c>
      <c r="R1478" s="162">
        <f t="shared" si="486"/>
        <v>0</v>
      </c>
      <c r="S1478" s="162">
        <f t="shared" si="486"/>
        <v>0</v>
      </c>
      <c r="T1478" s="162">
        <f t="shared" si="486"/>
        <v>0</v>
      </c>
      <c r="U1478" s="162">
        <f t="shared" si="486"/>
        <v>0</v>
      </c>
      <c r="V1478" s="162">
        <f t="shared" si="486"/>
        <v>0</v>
      </c>
      <c r="W1478" s="162">
        <f t="shared" si="486"/>
        <v>0</v>
      </c>
      <c r="X1478" s="162">
        <f t="shared" si="486"/>
        <v>0</v>
      </c>
      <c r="Y1478" s="162">
        <f t="shared" si="486"/>
        <v>0</v>
      </c>
      <c r="Z1478" s="162">
        <f t="shared" si="486"/>
        <v>0</v>
      </c>
      <c r="AA1478" s="162">
        <f t="shared" si="486"/>
        <v>0</v>
      </c>
      <c r="AB1478" s="163">
        <f t="shared" si="487"/>
        <v>0</v>
      </c>
      <c r="AC1478" s="159"/>
      <c r="AE1478" s="194" t="str">
        <f t="shared" si="489"/>
        <v>0 - LTS (1091 - )</v>
      </c>
      <c r="AF1478" s="161">
        <f t="shared" si="488"/>
        <v>0</v>
      </c>
      <c r="AG1478" s="162">
        <f t="shared" si="488"/>
        <v>0</v>
      </c>
      <c r="AH1478" s="162">
        <f t="shared" si="488"/>
        <v>0</v>
      </c>
      <c r="AI1478" s="162">
        <f t="shared" si="488"/>
        <v>0</v>
      </c>
      <c r="AJ1478" s="162">
        <f t="shared" si="488"/>
        <v>0</v>
      </c>
      <c r="AK1478" s="162">
        <f t="shared" si="488"/>
        <v>0</v>
      </c>
      <c r="AL1478" s="162">
        <f t="shared" si="488"/>
        <v>0</v>
      </c>
      <c r="AM1478" s="162">
        <f t="shared" si="488"/>
        <v>0</v>
      </c>
      <c r="AN1478" s="162">
        <f t="shared" si="488"/>
        <v>0</v>
      </c>
      <c r="AO1478" s="162">
        <f t="shared" si="488"/>
        <v>0</v>
      </c>
      <c r="AP1478" s="162">
        <f t="shared" si="488"/>
        <v>0</v>
      </c>
      <c r="AQ1478" s="162">
        <f t="shared" si="488"/>
        <v>0</v>
      </c>
      <c r="AR1478" s="163">
        <f t="shared" si="490"/>
        <v>0</v>
      </c>
    </row>
    <row r="1479" spans="1:44" x14ac:dyDescent="0.25">
      <c r="A1479" s="14"/>
      <c r="B1479" s="15" t="str">
        <f t="shared" si="482"/>
        <v>IND_COMB_1093_0</v>
      </c>
      <c r="F1479" s="190">
        <f t="shared" si="483"/>
        <v>1093</v>
      </c>
      <c r="G1479" s="149" t="str">
        <f t="shared" si="483"/>
        <v/>
      </c>
      <c r="H1479" s="150" t="str">
        <f t="shared" si="483"/>
        <v/>
      </c>
      <c r="I1479" s="150" t="str">
        <f t="shared" si="483"/>
        <v>TRATCPP</v>
      </c>
      <c r="J1479" s="150">
        <f t="shared" si="483"/>
        <v>0</v>
      </c>
      <c r="K1479" s="150" t="str">
        <f>IFERROR(VLOOKUP($J1479,#REF!,3,0),"")</f>
        <v/>
      </c>
      <c r="L1479" s="150" t="str">
        <f>IFERROR(VLOOKUP($J1479,#REF!,5,0),"")</f>
        <v/>
      </c>
      <c r="M1479" s="191">
        <f t="shared" si="484"/>
        <v>0</v>
      </c>
      <c r="N1479" s="192">
        <f t="shared" si="485"/>
        <v>0</v>
      </c>
      <c r="O1479" s="193">
        <f t="shared" si="485"/>
        <v>0</v>
      </c>
      <c r="P1479" s="162">
        <f t="shared" si="486"/>
        <v>0</v>
      </c>
      <c r="Q1479" s="162">
        <f t="shared" si="486"/>
        <v>0</v>
      </c>
      <c r="R1479" s="162">
        <f t="shared" si="486"/>
        <v>0</v>
      </c>
      <c r="S1479" s="162">
        <f t="shared" si="486"/>
        <v>0</v>
      </c>
      <c r="T1479" s="162">
        <f t="shared" si="486"/>
        <v>0</v>
      </c>
      <c r="U1479" s="162">
        <f t="shared" si="486"/>
        <v>0</v>
      </c>
      <c r="V1479" s="162">
        <f t="shared" si="486"/>
        <v>0</v>
      </c>
      <c r="W1479" s="162">
        <f t="shared" si="486"/>
        <v>0</v>
      </c>
      <c r="X1479" s="162">
        <f t="shared" si="486"/>
        <v>0</v>
      </c>
      <c r="Y1479" s="162">
        <f t="shared" si="486"/>
        <v>0</v>
      </c>
      <c r="Z1479" s="162">
        <f t="shared" si="486"/>
        <v>0</v>
      </c>
      <c r="AA1479" s="162">
        <f t="shared" si="486"/>
        <v>0</v>
      </c>
      <c r="AB1479" s="163">
        <f t="shared" si="487"/>
        <v>0</v>
      </c>
      <c r="AC1479" s="159"/>
      <c r="AE1479" s="194" t="str">
        <f t="shared" si="489"/>
        <v>0 - LTS (1093 - )</v>
      </c>
      <c r="AF1479" s="161">
        <f t="shared" si="488"/>
        <v>0</v>
      </c>
      <c r="AG1479" s="162">
        <f t="shared" si="488"/>
        <v>0</v>
      </c>
      <c r="AH1479" s="162">
        <f t="shared" si="488"/>
        <v>0</v>
      </c>
      <c r="AI1479" s="162">
        <f t="shared" si="488"/>
        <v>0</v>
      </c>
      <c r="AJ1479" s="162">
        <f t="shared" si="488"/>
        <v>0</v>
      </c>
      <c r="AK1479" s="162">
        <f t="shared" si="488"/>
        <v>0</v>
      </c>
      <c r="AL1479" s="162">
        <f t="shared" si="488"/>
        <v>0</v>
      </c>
      <c r="AM1479" s="162">
        <f t="shared" si="488"/>
        <v>0</v>
      </c>
      <c r="AN1479" s="162">
        <f t="shared" si="488"/>
        <v>0</v>
      </c>
      <c r="AO1479" s="162">
        <f t="shared" si="488"/>
        <v>0</v>
      </c>
      <c r="AP1479" s="162">
        <f t="shared" si="488"/>
        <v>0</v>
      </c>
      <c r="AQ1479" s="162">
        <f t="shared" si="488"/>
        <v>0</v>
      </c>
      <c r="AR1479" s="163">
        <f t="shared" si="490"/>
        <v>0</v>
      </c>
    </row>
    <row r="1480" spans="1:44" x14ac:dyDescent="0.25">
      <c r="A1480" s="14"/>
      <c r="B1480" s="15" t="str">
        <f t="shared" si="482"/>
        <v>IND_COMB_1032_0</v>
      </c>
      <c r="F1480" s="190">
        <f t="shared" si="483"/>
        <v>1032</v>
      </c>
      <c r="G1480" s="149" t="str">
        <f t="shared" si="483"/>
        <v/>
      </c>
      <c r="H1480" s="150" t="str">
        <f t="shared" si="483"/>
        <v/>
      </c>
      <c r="I1480" s="150" t="str">
        <f t="shared" si="483"/>
        <v>TRATCPP</v>
      </c>
      <c r="J1480" s="150">
        <f t="shared" si="483"/>
        <v>0</v>
      </c>
      <c r="K1480" s="150" t="str">
        <f>IFERROR(VLOOKUP($J1480,#REF!,3,0),"")</f>
        <v/>
      </c>
      <c r="L1480" s="150" t="str">
        <f>IFERROR(VLOOKUP($J1480,#REF!,5,0),"")</f>
        <v/>
      </c>
      <c r="M1480" s="191">
        <f t="shared" si="484"/>
        <v>0</v>
      </c>
      <c r="N1480" s="192">
        <f t="shared" si="485"/>
        <v>0</v>
      </c>
      <c r="O1480" s="193">
        <f t="shared" si="485"/>
        <v>0</v>
      </c>
      <c r="P1480" s="162">
        <f t="shared" si="486"/>
        <v>0</v>
      </c>
      <c r="Q1480" s="162">
        <f t="shared" si="486"/>
        <v>0</v>
      </c>
      <c r="R1480" s="162">
        <f t="shared" si="486"/>
        <v>0</v>
      </c>
      <c r="S1480" s="162">
        <f t="shared" si="486"/>
        <v>0</v>
      </c>
      <c r="T1480" s="162">
        <f t="shared" si="486"/>
        <v>0</v>
      </c>
      <c r="U1480" s="162">
        <f t="shared" si="486"/>
        <v>0</v>
      </c>
      <c r="V1480" s="162">
        <f t="shared" si="486"/>
        <v>0</v>
      </c>
      <c r="W1480" s="162">
        <f t="shared" si="486"/>
        <v>0</v>
      </c>
      <c r="X1480" s="162">
        <f t="shared" si="486"/>
        <v>0</v>
      </c>
      <c r="Y1480" s="162">
        <f t="shared" si="486"/>
        <v>0</v>
      </c>
      <c r="Z1480" s="162">
        <f t="shared" si="486"/>
        <v>0</v>
      </c>
      <c r="AA1480" s="162">
        <f t="shared" si="486"/>
        <v>0</v>
      </c>
      <c r="AB1480" s="163">
        <f t="shared" si="487"/>
        <v>0</v>
      </c>
      <c r="AC1480" s="159"/>
      <c r="AE1480" s="194" t="str">
        <f t="shared" si="489"/>
        <v>0 - LTS (1032 - )</v>
      </c>
      <c r="AF1480" s="161">
        <f t="shared" si="488"/>
        <v>0</v>
      </c>
      <c r="AG1480" s="162">
        <f t="shared" si="488"/>
        <v>0</v>
      </c>
      <c r="AH1480" s="162">
        <f t="shared" si="488"/>
        <v>0</v>
      </c>
      <c r="AI1480" s="162">
        <f t="shared" si="488"/>
        <v>0</v>
      </c>
      <c r="AJ1480" s="162">
        <f t="shared" si="488"/>
        <v>0</v>
      </c>
      <c r="AK1480" s="162">
        <f t="shared" si="488"/>
        <v>0</v>
      </c>
      <c r="AL1480" s="162">
        <f t="shared" si="488"/>
        <v>0</v>
      </c>
      <c r="AM1480" s="162">
        <f t="shared" si="488"/>
        <v>0</v>
      </c>
      <c r="AN1480" s="162">
        <f t="shared" si="488"/>
        <v>0</v>
      </c>
      <c r="AO1480" s="162">
        <f t="shared" si="488"/>
        <v>0</v>
      </c>
      <c r="AP1480" s="162">
        <f t="shared" si="488"/>
        <v>0</v>
      </c>
      <c r="AQ1480" s="162">
        <f t="shared" si="488"/>
        <v>0</v>
      </c>
      <c r="AR1480" s="163">
        <f t="shared" si="490"/>
        <v>0</v>
      </c>
    </row>
    <row r="1481" spans="1:44" x14ac:dyDescent="0.25">
      <c r="A1481" s="14"/>
      <c r="B1481" s="15" t="str">
        <f t="shared" si="482"/>
        <v>IND_COMB_1031_0</v>
      </c>
      <c r="F1481" s="190">
        <f t="shared" si="483"/>
        <v>1031</v>
      </c>
      <c r="G1481" s="149" t="str">
        <f t="shared" si="483"/>
        <v/>
      </c>
      <c r="H1481" s="150" t="str">
        <f t="shared" si="483"/>
        <v/>
      </c>
      <c r="I1481" s="150" t="str">
        <f t="shared" si="483"/>
        <v>TRATCPF</v>
      </c>
      <c r="J1481" s="150">
        <f t="shared" si="483"/>
        <v>0</v>
      </c>
      <c r="K1481" s="150" t="str">
        <f>IFERROR(VLOOKUP($J1481,#REF!,3,0),"")</f>
        <v/>
      </c>
      <c r="L1481" s="150" t="str">
        <f>IFERROR(VLOOKUP($J1481,#REF!,5,0),"")</f>
        <v/>
      </c>
      <c r="M1481" s="191">
        <f t="shared" si="484"/>
        <v>0</v>
      </c>
      <c r="N1481" s="192">
        <f t="shared" si="485"/>
        <v>0</v>
      </c>
      <c r="O1481" s="193">
        <f t="shared" si="485"/>
        <v>0</v>
      </c>
      <c r="P1481" s="162">
        <f t="shared" si="486"/>
        <v>0</v>
      </c>
      <c r="Q1481" s="162">
        <f t="shared" si="486"/>
        <v>0</v>
      </c>
      <c r="R1481" s="162">
        <f t="shared" si="486"/>
        <v>0</v>
      </c>
      <c r="S1481" s="162">
        <f t="shared" si="486"/>
        <v>0</v>
      </c>
      <c r="T1481" s="162">
        <f t="shared" si="486"/>
        <v>0</v>
      </c>
      <c r="U1481" s="162">
        <f t="shared" si="486"/>
        <v>0</v>
      </c>
      <c r="V1481" s="162">
        <f t="shared" si="486"/>
        <v>0</v>
      </c>
      <c r="W1481" s="162">
        <f t="shared" si="486"/>
        <v>0</v>
      </c>
      <c r="X1481" s="162">
        <f t="shared" si="486"/>
        <v>0</v>
      </c>
      <c r="Y1481" s="162">
        <f t="shared" si="486"/>
        <v>0</v>
      </c>
      <c r="Z1481" s="162">
        <f t="shared" si="486"/>
        <v>0</v>
      </c>
      <c r="AA1481" s="162">
        <f t="shared" si="486"/>
        <v>0</v>
      </c>
      <c r="AB1481" s="163">
        <f t="shared" si="487"/>
        <v>0</v>
      </c>
      <c r="AC1481" s="159"/>
      <c r="AE1481" s="194" t="str">
        <f t="shared" si="489"/>
        <v>0 - LTS (1031 - )</v>
      </c>
      <c r="AF1481" s="161">
        <f t="shared" si="488"/>
        <v>0</v>
      </c>
      <c r="AG1481" s="162">
        <f t="shared" si="488"/>
        <v>0</v>
      </c>
      <c r="AH1481" s="162">
        <f t="shared" si="488"/>
        <v>0</v>
      </c>
      <c r="AI1481" s="162">
        <f t="shared" si="488"/>
        <v>0</v>
      </c>
      <c r="AJ1481" s="162">
        <f t="shared" si="488"/>
        <v>0</v>
      </c>
      <c r="AK1481" s="162">
        <f t="shared" si="488"/>
        <v>0</v>
      </c>
      <c r="AL1481" s="162">
        <f t="shared" si="488"/>
        <v>0</v>
      </c>
      <c r="AM1481" s="162">
        <f t="shared" si="488"/>
        <v>0</v>
      </c>
      <c r="AN1481" s="162">
        <f t="shared" si="488"/>
        <v>0</v>
      </c>
      <c r="AO1481" s="162">
        <f t="shared" si="488"/>
        <v>0</v>
      </c>
      <c r="AP1481" s="162">
        <f t="shared" si="488"/>
        <v>0</v>
      </c>
      <c r="AQ1481" s="162">
        <f t="shared" si="488"/>
        <v>0</v>
      </c>
      <c r="AR1481" s="163">
        <f t="shared" si="490"/>
        <v>0</v>
      </c>
    </row>
    <row r="1482" spans="1:44" x14ac:dyDescent="0.25">
      <c r="A1482" s="14"/>
      <c r="B1482" s="15" t="str">
        <f t="shared" si="482"/>
        <v>IND_COMB_0_0</v>
      </c>
      <c r="F1482" s="190">
        <f t="shared" si="483"/>
        <v>0</v>
      </c>
      <c r="G1482" s="149" t="str">
        <f t="shared" si="483"/>
        <v/>
      </c>
      <c r="H1482" s="150" t="str">
        <f t="shared" si="483"/>
        <v/>
      </c>
      <c r="I1482" s="150">
        <f t="shared" si="483"/>
        <v>0</v>
      </c>
      <c r="J1482" s="150">
        <f t="shared" si="483"/>
        <v>0</v>
      </c>
      <c r="K1482" s="150" t="str">
        <f>IFERROR(VLOOKUP($J1482,#REF!,3,0),"")</f>
        <v/>
      </c>
      <c r="L1482" s="150" t="str">
        <f>IFERROR(VLOOKUP($J1482,#REF!,5,0),"")</f>
        <v/>
      </c>
      <c r="M1482" s="191">
        <f t="shared" si="484"/>
        <v>0</v>
      </c>
      <c r="N1482" s="192">
        <f t="shared" si="485"/>
        <v>0</v>
      </c>
      <c r="O1482" s="193">
        <f t="shared" si="485"/>
        <v>0</v>
      </c>
      <c r="P1482" s="162">
        <f t="shared" si="486"/>
        <v>0</v>
      </c>
      <c r="Q1482" s="162">
        <f t="shared" si="486"/>
        <v>0</v>
      </c>
      <c r="R1482" s="162">
        <f t="shared" si="486"/>
        <v>0</v>
      </c>
      <c r="S1482" s="162">
        <f t="shared" si="486"/>
        <v>0</v>
      </c>
      <c r="T1482" s="162">
        <f t="shared" si="486"/>
        <v>0</v>
      </c>
      <c r="U1482" s="162">
        <f t="shared" si="486"/>
        <v>0</v>
      </c>
      <c r="V1482" s="162">
        <f t="shared" si="486"/>
        <v>0</v>
      </c>
      <c r="W1482" s="162">
        <f t="shared" si="486"/>
        <v>0</v>
      </c>
      <c r="X1482" s="162">
        <f t="shared" si="486"/>
        <v>0</v>
      </c>
      <c r="Y1482" s="162">
        <f t="shared" si="486"/>
        <v>0</v>
      </c>
      <c r="Z1482" s="162">
        <f t="shared" si="486"/>
        <v>0</v>
      </c>
      <c r="AA1482" s="162">
        <f t="shared" si="486"/>
        <v>0</v>
      </c>
      <c r="AB1482" s="163">
        <f t="shared" si="487"/>
        <v>0</v>
      </c>
      <c r="AC1482" s="159"/>
      <c r="AE1482" s="194" t="str">
        <f t="shared" si="489"/>
        <v>0 - LTS (0 - )</v>
      </c>
      <c r="AF1482" s="161">
        <f t="shared" si="488"/>
        <v>0</v>
      </c>
      <c r="AG1482" s="162">
        <f t="shared" si="488"/>
        <v>0</v>
      </c>
      <c r="AH1482" s="162">
        <f t="shared" si="488"/>
        <v>0</v>
      </c>
      <c r="AI1482" s="162">
        <f t="shared" si="488"/>
        <v>0</v>
      </c>
      <c r="AJ1482" s="162">
        <f t="shared" si="488"/>
        <v>0</v>
      </c>
      <c r="AK1482" s="162">
        <f t="shared" si="488"/>
        <v>0</v>
      </c>
      <c r="AL1482" s="162">
        <f t="shared" si="488"/>
        <v>0</v>
      </c>
      <c r="AM1482" s="162">
        <f t="shared" si="488"/>
        <v>0</v>
      </c>
      <c r="AN1482" s="162">
        <f t="shared" si="488"/>
        <v>0</v>
      </c>
      <c r="AO1482" s="162">
        <f t="shared" si="488"/>
        <v>0</v>
      </c>
      <c r="AP1482" s="162">
        <f t="shared" si="488"/>
        <v>0</v>
      </c>
      <c r="AQ1482" s="162">
        <f t="shared" si="488"/>
        <v>0</v>
      </c>
      <c r="AR1482" s="163">
        <f t="shared" si="490"/>
        <v>0</v>
      </c>
    </row>
    <row r="1483" spans="1:44" x14ac:dyDescent="0.25">
      <c r="A1483" s="14"/>
      <c r="B1483" s="15" t="str">
        <f t="shared" si="482"/>
        <v>IND_COMB_0_0</v>
      </c>
      <c r="F1483" s="190">
        <f t="shared" si="483"/>
        <v>0</v>
      </c>
      <c r="G1483" s="149" t="str">
        <f t="shared" si="483"/>
        <v/>
      </c>
      <c r="H1483" s="150" t="str">
        <f t="shared" si="483"/>
        <v/>
      </c>
      <c r="I1483" s="150">
        <f t="shared" si="483"/>
        <v>0</v>
      </c>
      <c r="J1483" s="150">
        <f t="shared" si="483"/>
        <v>0</v>
      </c>
      <c r="K1483" s="150" t="str">
        <f>IFERROR(VLOOKUP($J1483,#REF!,3,0),"")</f>
        <v/>
      </c>
      <c r="L1483" s="150" t="str">
        <f>IFERROR(VLOOKUP($J1483,#REF!,5,0),"")</f>
        <v/>
      </c>
      <c r="M1483" s="191">
        <f t="shared" si="484"/>
        <v>0</v>
      </c>
      <c r="N1483" s="192">
        <f t="shared" si="485"/>
        <v>0</v>
      </c>
      <c r="O1483" s="193">
        <f t="shared" si="485"/>
        <v>0</v>
      </c>
      <c r="P1483" s="162">
        <f t="shared" si="486"/>
        <v>0</v>
      </c>
      <c r="Q1483" s="162">
        <f t="shared" si="486"/>
        <v>0</v>
      </c>
      <c r="R1483" s="162">
        <f t="shared" si="486"/>
        <v>0</v>
      </c>
      <c r="S1483" s="162">
        <f t="shared" si="486"/>
        <v>0</v>
      </c>
      <c r="T1483" s="162">
        <f t="shared" si="486"/>
        <v>0</v>
      </c>
      <c r="U1483" s="162">
        <f t="shared" si="486"/>
        <v>0</v>
      </c>
      <c r="V1483" s="162">
        <f t="shared" si="486"/>
        <v>0</v>
      </c>
      <c r="W1483" s="162">
        <f t="shared" si="486"/>
        <v>0</v>
      </c>
      <c r="X1483" s="162">
        <f t="shared" si="486"/>
        <v>0</v>
      </c>
      <c r="Y1483" s="162">
        <f t="shared" si="486"/>
        <v>0</v>
      </c>
      <c r="Z1483" s="162">
        <f t="shared" si="486"/>
        <v>0</v>
      </c>
      <c r="AA1483" s="162">
        <f t="shared" si="486"/>
        <v>0</v>
      </c>
      <c r="AB1483" s="163">
        <f t="shared" si="487"/>
        <v>0</v>
      </c>
      <c r="AC1483" s="159"/>
      <c r="AE1483" s="194" t="str">
        <f t="shared" si="489"/>
        <v>0 - LTS (0 - )</v>
      </c>
      <c r="AF1483" s="161">
        <f t="shared" si="488"/>
        <v>0</v>
      </c>
      <c r="AG1483" s="162">
        <f t="shared" si="488"/>
        <v>0</v>
      </c>
      <c r="AH1483" s="162">
        <f t="shared" si="488"/>
        <v>0</v>
      </c>
      <c r="AI1483" s="162">
        <f t="shared" si="488"/>
        <v>0</v>
      </c>
      <c r="AJ1483" s="162">
        <f t="shared" si="488"/>
        <v>0</v>
      </c>
      <c r="AK1483" s="162">
        <f t="shared" si="488"/>
        <v>0</v>
      </c>
      <c r="AL1483" s="162">
        <f t="shared" si="488"/>
        <v>0</v>
      </c>
      <c r="AM1483" s="162">
        <f t="shared" si="488"/>
        <v>0</v>
      </c>
      <c r="AN1483" s="162">
        <f t="shared" si="488"/>
        <v>0</v>
      </c>
      <c r="AO1483" s="162">
        <f t="shared" si="488"/>
        <v>0</v>
      </c>
      <c r="AP1483" s="162">
        <f t="shared" si="488"/>
        <v>0</v>
      </c>
      <c r="AQ1483" s="162">
        <f t="shared" si="488"/>
        <v>0</v>
      </c>
      <c r="AR1483" s="163">
        <f t="shared" si="490"/>
        <v>0</v>
      </c>
    </row>
    <row r="1484" spans="1:44" x14ac:dyDescent="0.25">
      <c r="A1484" s="14"/>
      <c r="B1484" s="15" t="str">
        <f t="shared" si="482"/>
        <v>IND_COMB_0_0</v>
      </c>
      <c r="F1484" s="190">
        <f t="shared" si="483"/>
        <v>0</v>
      </c>
      <c r="G1484" s="149" t="str">
        <f t="shared" si="483"/>
        <v/>
      </c>
      <c r="H1484" s="150" t="str">
        <f t="shared" si="483"/>
        <v/>
      </c>
      <c r="I1484" s="150">
        <f t="shared" si="483"/>
        <v>0</v>
      </c>
      <c r="J1484" s="150">
        <f t="shared" si="483"/>
        <v>0</v>
      </c>
      <c r="K1484" s="150" t="str">
        <f>IFERROR(VLOOKUP($J1484,#REF!,3,0),"")</f>
        <v/>
      </c>
      <c r="L1484" s="150" t="str">
        <f>IFERROR(VLOOKUP($J1484,#REF!,5,0),"")</f>
        <v/>
      </c>
      <c r="M1484" s="191">
        <f t="shared" si="484"/>
        <v>0</v>
      </c>
      <c r="N1484" s="192">
        <f t="shared" si="485"/>
        <v>0</v>
      </c>
      <c r="O1484" s="193">
        <f t="shared" si="485"/>
        <v>0</v>
      </c>
      <c r="P1484" s="162">
        <f t="shared" si="486"/>
        <v>0</v>
      </c>
      <c r="Q1484" s="162">
        <f t="shared" si="486"/>
        <v>0</v>
      </c>
      <c r="R1484" s="162">
        <f t="shared" si="486"/>
        <v>0</v>
      </c>
      <c r="S1484" s="162">
        <f t="shared" si="486"/>
        <v>0</v>
      </c>
      <c r="T1484" s="162">
        <f t="shared" si="486"/>
        <v>0</v>
      </c>
      <c r="U1484" s="162">
        <f t="shared" si="486"/>
        <v>0</v>
      </c>
      <c r="V1484" s="162">
        <f t="shared" si="486"/>
        <v>0</v>
      </c>
      <c r="W1484" s="162">
        <f t="shared" si="486"/>
        <v>0</v>
      </c>
      <c r="X1484" s="162">
        <f t="shared" si="486"/>
        <v>0</v>
      </c>
      <c r="Y1484" s="162">
        <f t="shared" si="486"/>
        <v>0</v>
      </c>
      <c r="Z1484" s="162">
        <f t="shared" si="486"/>
        <v>0</v>
      </c>
      <c r="AA1484" s="162">
        <f t="shared" si="486"/>
        <v>0</v>
      </c>
      <c r="AB1484" s="163">
        <f t="shared" si="487"/>
        <v>0</v>
      </c>
      <c r="AC1484" s="159"/>
      <c r="AE1484" s="194" t="str">
        <f t="shared" si="489"/>
        <v>0 - LTS (0 - )</v>
      </c>
      <c r="AF1484" s="161">
        <f t="shared" si="488"/>
        <v>0</v>
      </c>
      <c r="AG1484" s="162">
        <f t="shared" si="488"/>
        <v>0</v>
      </c>
      <c r="AH1484" s="162">
        <f t="shared" si="488"/>
        <v>0</v>
      </c>
      <c r="AI1484" s="162">
        <f t="shared" si="488"/>
        <v>0</v>
      </c>
      <c r="AJ1484" s="162">
        <f t="shared" si="488"/>
        <v>0</v>
      </c>
      <c r="AK1484" s="162">
        <f t="shared" si="488"/>
        <v>0</v>
      </c>
      <c r="AL1484" s="162">
        <f t="shared" si="488"/>
        <v>0</v>
      </c>
      <c r="AM1484" s="162">
        <f t="shared" si="488"/>
        <v>0</v>
      </c>
      <c r="AN1484" s="162">
        <f t="shared" si="488"/>
        <v>0</v>
      </c>
      <c r="AO1484" s="162">
        <f t="shared" si="488"/>
        <v>0</v>
      </c>
      <c r="AP1484" s="162">
        <f t="shared" si="488"/>
        <v>0</v>
      </c>
      <c r="AQ1484" s="162">
        <f t="shared" si="488"/>
        <v>0</v>
      </c>
      <c r="AR1484" s="163">
        <f t="shared" si="490"/>
        <v>0</v>
      </c>
    </row>
    <row r="1485" spans="1:44" x14ac:dyDescent="0.25">
      <c r="A1485" s="14"/>
      <c r="B1485" s="15" t="str">
        <f t="shared" si="482"/>
        <v>IND_COMB_0_0</v>
      </c>
      <c r="F1485" s="190">
        <f t="shared" si="483"/>
        <v>0</v>
      </c>
      <c r="G1485" s="149" t="str">
        <f t="shared" si="483"/>
        <v/>
      </c>
      <c r="H1485" s="150" t="str">
        <f t="shared" si="483"/>
        <v/>
      </c>
      <c r="I1485" s="150">
        <f t="shared" si="483"/>
        <v>0</v>
      </c>
      <c r="J1485" s="150">
        <f t="shared" si="483"/>
        <v>0</v>
      </c>
      <c r="K1485" s="150" t="str">
        <f>IFERROR(VLOOKUP($J1485,#REF!,3,0),"")</f>
        <v/>
      </c>
      <c r="L1485" s="150" t="str">
        <f>IFERROR(VLOOKUP($J1485,#REF!,5,0),"")</f>
        <v/>
      </c>
      <c r="M1485" s="191">
        <f t="shared" si="484"/>
        <v>0</v>
      </c>
      <c r="N1485" s="192">
        <f t="shared" si="485"/>
        <v>0</v>
      </c>
      <c r="O1485" s="193">
        <f t="shared" si="485"/>
        <v>0</v>
      </c>
      <c r="P1485" s="162">
        <f t="shared" si="486"/>
        <v>0</v>
      </c>
      <c r="Q1485" s="162">
        <f t="shared" si="486"/>
        <v>0</v>
      </c>
      <c r="R1485" s="162">
        <f t="shared" si="486"/>
        <v>0</v>
      </c>
      <c r="S1485" s="162">
        <f t="shared" si="486"/>
        <v>0</v>
      </c>
      <c r="T1485" s="162">
        <f t="shared" si="486"/>
        <v>0</v>
      </c>
      <c r="U1485" s="162">
        <f t="shared" si="486"/>
        <v>0</v>
      </c>
      <c r="V1485" s="162">
        <f t="shared" si="486"/>
        <v>0</v>
      </c>
      <c r="W1485" s="162">
        <f t="shared" si="486"/>
        <v>0</v>
      </c>
      <c r="X1485" s="162">
        <f t="shared" si="486"/>
        <v>0</v>
      </c>
      <c r="Y1485" s="162">
        <f t="shared" si="486"/>
        <v>0</v>
      </c>
      <c r="Z1485" s="162">
        <f t="shared" si="486"/>
        <v>0</v>
      </c>
      <c r="AA1485" s="162">
        <f t="shared" si="486"/>
        <v>0</v>
      </c>
      <c r="AB1485" s="163">
        <f t="shared" si="487"/>
        <v>0</v>
      </c>
      <c r="AC1485" s="159"/>
      <c r="AE1485" s="194" t="str">
        <f t="shared" si="489"/>
        <v>0 - LTS (0 - )</v>
      </c>
      <c r="AF1485" s="161">
        <f t="shared" si="488"/>
        <v>0</v>
      </c>
      <c r="AG1485" s="162">
        <f t="shared" si="488"/>
        <v>0</v>
      </c>
      <c r="AH1485" s="162">
        <f t="shared" si="488"/>
        <v>0</v>
      </c>
      <c r="AI1485" s="162">
        <f t="shared" si="488"/>
        <v>0</v>
      </c>
      <c r="AJ1485" s="162">
        <f t="shared" si="488"/>
        <v>0</v>
      </c>
      <c r="AK1485" s="162">
        <f t="shared" si="488"/>
        <v>0</v>
      </c>
      <c r="AL1485" s="162">
        <f t="shared" si="488"/>
        <v>0</v>
      </c>
      <c r="AM1485" s="162">
        <f t="shared" si="488"/>
        <v>0</v>
      </c>
      <c r="AN1485" s="162">
        <f t="shared" si="488"/>
        <v>0</v>
      </c>
      <c r="AO1485" s="162">
        <f t="shared" si="488"/>
        <v>0</v>
      </c>
      <c r="AP1485" s="162">
        <f t="shared" si="488"/>
        <v>0</v>
      </c>
      <c r="AQ1485" s="162">
        <f t="shared" si="488"/>
        <v>0</v>
      </c>
      <c r="AR1485" s="163">
        <f t="shared" si="490"/>
        <v>0</v>
      </c>
    </row>
    <row r="1486" spans="1:44" x14ac:dyDescent="0.25">
      <c r="A1486" s="14"/>
      <c r="B1486" s="15" t="str">
        <f t="shared" si="482"/>
        <v>IND_COMB_0_0</v>
      </c>
      <c r="F1486" s="190">
        <f t="shared" si="483"/>
        <v>0</v>
      </c>
      <c r="G1486" s="149" t="str">
        <f t="shared" si="483"/>
        <v/>
      </c>
      <c r="H1486" s="150" t="str">
        <f t="shared" si="483"/>
        <v/>
      </c>
      <c r="I1486" s="150">
        <f t="shared" si="483"/>
        <v>0</v>
      </c>
      <c r="J1486" s="150">
        <f t="shared" si="483"/>
        <v>0</v>
      </c>
      <c r="K1486" s="150" t="str">
        <f>IFERROR(VLOOKUP($J1486,#REF!,3,0),"")</f>
        <v/>
      </c>
      <c r="L1486" s="150" t="str">
        <f>IFERROR(VLOOKUP($J1486,#REF!,5,0),"")</f>
        <v/>
      </c>
      <c r="M1486" s="191">
        <f t="shared" si="484"/>
        <v>0</v>
      </c>
      <c r="N1486" s="192">
        <f t="shared" si="485"/>
        <v>0</v>
      </c>
      <c r="O1486" s="193">
        <f t="shared" si="485"/>
        <v>0</v>
      </c>
      <c r="P1486" s="162">
        <f t="shared" si="486"/>
        <v>0</v>
      </c>
      <c r="Q1486" s="162">
        <f t="shared" si="486"/>
        <v>0</v>
      </c>
      <c r="R1486" s="162">
        <f t="shared" si="486"/>
        <v>0</v>
      </c>
      <c r="S1486" s="162">
        <f t="shared" si="486"/>
        <v>0</v>
      </c>
      <c r="T1486" s="162">
        <f t="shared" si="486"/>
        <v>0</v>
      </c>
      <c r="U1486" s="162">
        <f t="shared" si="486"/>
        <v>0</v>
      </c>
      <c r="V1486" s="162">
        <f t="shared" si="486"/>
        <v>0</v>
      </c>
      <c r="W1486" s="162">
        <f t="shared" si="486"/>
        <v>0</v>
      </c>
      <c r="X1486" s="162">
        <f t="shared" si="486"/>
        <v>0</v>
      </c>
      <c r="Y1486" s="162">
        <f t="shared" si="486"/>
        <v>0</v>
      </c>
      <c r="Z1486" s="162">
        <f t="shared" si="486"/>
        <v>0</v>
      </c>
      <c r="AA1486" s="162">
        <f t="shared" si="486"/>
        <v>0</v>
      </c>
      <c r="AB1486" s="163">
        <f t="shared" si="487"/>
        <v>0</v>
      </c>
      <c r="AC1486" s="159"/>
      <c r="AE1486" s="194" t="str">
        <f t="shared" si="489"/>
        <v>0 - LTS (0 - )</v>
      </c>
      <c r="AF1486" s="161">
        <f t="shared" si="488"/>
        <v>0</v>
      </c>
      <c r="AG1486" s="162">
        <f t="shared" si="488"/>
        <v>0</v>
      </c>
      <c r="AH1486" s="162">
        <f t="shared" si="488"/>
        <v>0</v>
      </c>
      <c r="AI1486" s="162">
        <f t="shared" si="488"/>
        <v>0</v>
      </c>
      <c r="AJ1486" s="162">
        <f t="shared" si="488"/>
        <v>0</v>
      </c>
      <c r="AK1486" s="162">
        <f t="shared" si="488"/>
        <v>0</v>
      </c>
      <c r="AL1486" s="162">
        <f t="shared" si="488"/>
        <v>0</v>
      </c>
      <c r="AM1486" s="162">
        <f t="shared" si="488"/>
        <v>0</v>
      </c>
      <c r="AN1486" s="162">
        <f t="shared" si="488"/>
        <v>0</v>
      </c>
      <c r="AO1486" s="162">
        <f t="shared" si="488"/>
        <v>0</v>
      </c>
      <c r="AP1486" s="162">
        <f t="shared" si="488"/>
        <v>0</v>
      </c>
      <c r="AQ1486" s="162">
        <f t="shared" si="488"/>
        <v>0</v>
      </c>
      <c r="AR1486" s="163">
        <f t="shared" si="490"/>
        <v>0</v>
      </c>
    </row>
    <row r="1487" spans="1:44" x14ac:dyDescent="0.25">
      <c r="A1487" s="14"/>
      <c r="B1487" s="15" t="str">
        <f t="shared" si="482"/>
        <v>IND_COMB_0_0</v>
      </c>
      <c r="F1487" s="190">
        <f t="shared" si="483"/>
        <v>0</v>
      </c>
      <c r="G1487" s="149" t="str">
        <f t="shared" si="483"/>
        <v/>
      </c>
      <c r="H1487" s="150" t="str">
        <f t="shared" si="483"/>
        <v/>
      </c>
      <c r="I1487" s="150">
        <f t="shared" si="483"/>
        <v>0</v>
      </c>
      <c r="J1487" s="150">
        <f t="shared" si="483"/>
        <v>0</v>
      </c>
      <c r="K1487" s="150" t="str">
        <f>IFERROR(VLOOKUP($J1487,#REF!,3,0),"")</f>
        <v/>
      </c>
      <c r="L1487" s="150" t="str">
        <f>IFERROR(VLOOKUP($J1487,#REF!,5,0),"")</f>
        <v/>
      </c>
      <c r="M1487" s="191">
        <f t="shared" si="484"/>
        <v>0</v>
      </c>
      <c r="N1487" s="192">
        <f t="shared" si="485"/>
        <v>0</v>
      </c>
      <c r="O1487" s="193">
        <f t="shared" si="485"/>
        <v>0</v>
      </c>
      <c r="P1487" s="162">
        <f t="shared" si="486"/>
        <v>0</v>
      </c>
      <c r="Q1487" s="162">
        <f t="shared" si="486"/>
        <v>0</v>
      </c>
      <c r="R1487" s="162">
        <f t="shared" si="486"/>
        <v>0</v>
      </c>
      <c r="S1487" s="162">
        <f t="shared" si="486"/>
        <v>0</v>
      </c>
      <c r="T1487" s="162">
        <f t="shared" si="486"/>
        <v>0</v>
      </c>
      <c r="U1487" s="162">
        <f t="shared" si="486"/>
        <v>0</v>
      </c>
      <c r="V1487" s="162">
        <f t="shared" si="486"/>
        <v>0</v>
      </c>
      <c r="W1487" s="162">
        <f t="shared" si="486"/>
        <v>0</v>
      </c>
      <c r="X1487" s="162">
        <f t="shared" si="486"/>
        <v>0</v>
      </c>
      <c r="Y1487" s="162">
        <f t="shared" si="486"/>
        <v>0</v>
      </c>
      <c r="Z1487" s="162">
        <f t="shared" si="486"/>
        <v>0</v>
      </c>
      <c r="AA1487" s="162">
        <f t="shared" si="486"/>
        <v>0</v>
      </c>
      <c r="AB1487" s="163">
        <f t="shared" si="487"/>
        <v>0</v>
      </c>
      <c r="AC1487" s="159"/>
      <c r="AE1487" s="194" t="str">
        <f t="shared" si="489"/>
        <v>0 - LTS (0 - )</v>
      </c>
      <c r="AF1487" s="161">
        <f t="shared" si="488"/>
        <v>0</v>
      </c>
      <c r="AG1487" s="162">
        <f t="shared" si="488"/>
        <v>0</v>
      </c>
      <c r="AH1487" s="162">
        <f t="shared" si="488"/>
        <v>0</v>
      </c>
      <c r="AI1487" s="162">
        <f t="shared" si="488"/>
        <v>0</v>
      </c>
      <c r="AJ1487" s="162">
        <f t="shared" si="488"/>
        <v>0</v>
      </c>
      <c r="AK1487" s="162">
        <f t="shared" si="488"/>
        <v>0</v>
      </c>
      <c r="AL1487" s="162">
        <f t="shared" si="488"/>
        <v>0</v>
      </c>
      <c r="AM1487" s="162">
        <f t="shared" si="488"/>
        <v>0</v>
      </c>
      <c r="AN1487" s="162">
        <f t="shared" si="488"/>
        <v>0</v>
      </c>
      <c r="AO1487" s="162">
        <f t="shared" si="488"/>
        <v>0</v>
      </c>
      <c r="AP1487" s="162">
        <f t="shared" si="488"/>
        <v>0</v>
      </c>
      <c r="AQ1487" s="162">
        <f t="shared" si="488"/>
        <v>0</v>
      </c>
      <c r="AR1487" s="163">
        <f t="shared" si="490"/>
        <v>0</v>
      </c>
    </row>
    <row r="1488" spans="1:44" x14ac:dyDescent="0.25">
      <c r="A1488" s="14"/>
      <c r="B1488" s="15" t="str">
        <f t="shared" si="482"/>
        <v>IND_COMB_0_0</v>
      </c>
      <c r="F1488" s="190">
        <f t="shared" si="483"/>
        <v>0</v>
      </c>
      <c r="G1488" s="149" t="str">
        <f t="shared" si="483"/>
        <v/>
      </c>
      <c r="H1488" s="150" t="str">
        <f t="shared" si="483"/>
        <v/>
      </c>
      <c r="I1488" s="150">
        <f t="shared" si="483"/>
        <v>0</v>
      </c>
      <c r="J1488" s="150">
        <f t="shared" si="483"/>
        <v>0</v>
      </c>
      <c r="K1488" s="150" t="str">
        <f>IFERROR(VLOOKUP($J1488,#REF!,3,0),"")</f>
        <v/>
      </c>
      <c r="L1488" s="150" t="str">
        <f>IFERROR(VLOOKUP($J1488,#REF!,5,0),"")</f>
        <v/>
      </c>
      <c r="M1488" s="191">
        <f t="shared" si="484"/>
        <v>0</v>
      </c>
      <c r="N1488" s="192">
        <f t="shared" si="485"/>
        <v>0</v>
      </c>
      <c r="O1488" s="193">
        <f t="shared" si="485"/>
        <v>0</v>
      </c>
      <c r="P1488" s="162">
        <f t="shared" si="486"/>
        <v>0</v>
      </c>
      <c r="Q1488" s="162">
        <f t="shared" si="486"/>
        <v>0</v>
      </c>
      <c r="R1488" s="162">
        <f t="shared" si="486"/>
        <v>0</v>
      </c>
      <c r="S1488" s="162">
        <f t="shared" si="486"/>
        <v>0</v>
      </c>
      <c r="T1488" s="162">
        <f t="shared" si="486"/>
        <v>0</v>
      </c>
      <c r="U1488" s="162">
        <f t="shared" si="486"/>
        <v>0</v>
      </c>
      <c r="V1488" s="162">
        <f t="shared" si="486"/>
        <v>0</v>
      </c>
      <c r="W1488" s="162">
        <f t="shared" si="486"/>
        <v>0</v>
      </c>
      <c r="X1488" s="162">
        <f t="shared" si="486"/>
        <v>0</v>
      </c>
      <c r="Y1488" s="162">
        <f t="shared" si="486"/>
        <v>0</v>
      </c>
      <c r="Z1488" s="162">
        <f t="shared" si="486"/>
        <v>0</v>
      </c>
      <c r="AA1488" s="162">
        <f t="shared" si="486"/>
        <v>0</v>
      </c>
      <c r="AB1488" s="163">
        <f t="shared" si="487"/>
        <v>0</v>
      </c>
      <c r="AC1488" s="159"/>
      <c r="AE1488" s="194" t="str">
        <f t="shared" si="489"/>
        <v>0 - LTS (0 - )</v>
      </c>
      <c r="AF1488" s="161">
        <f t="shared" si="488"/>
        <v>0</v>
      </c>
      <c r="AG1488" s="162">
        <f t="shared" si="488"/>
        <v>0</v>
      </c>
      <c r="AH1488" s="162">
        <f t="shared" si="488"/>
        <v>0</v>
      </c>
      <c r="AI1488" s="162">
        <f t="shared" si="488"/>
        <v>0</v>
      </c>
      <c r="AJ1488" s="162">
        <f t="shared" si="488"/>
        <v>0</v>
      </c>
      <c r="AK1488" s="162">
        <f t="shared" si="488"/>
        <v>0</v>
      </c>
      <c r="AL1488" s="162">
        <f t="shared" si="488"/>
        <v>0</v>
      </c>
      <c r="AM1488" s="162">
        <f t="shared" si="488"/>
        <v>0</v>
      </c>
      <c r="AN1488" s="162">
        <f t="shared" si="488"/>
        <v>0</v>
      </c>
      <c r="AO1488" s="162">
        <f t="shared" si="488"/>
        <v>0</v>
      </c>
      <c r="AP1488" s="162">
        <f t="shared" si="488"/>
        <v>0</v>
      </c>
      <c r="AQ1488" s="162">
        <f t="shared" si="488"/>
        <v>0</v>
      </c>
      <c r="AR1488" s="163">
        <f t="shared" si="490"/>
        <v>0</v>
      </c>
    </row>
    <row r="1489" spans="1:44" x14ac:dyDescent="0.25">
      <c r="A1489" s="14"/>
      <c r="B1489" s="15" t="str">
        <f t="shared" si="482"/>
        <v>IND_COMB_0_0</v>
      </c>
      <c r="F1489" s="190">
        <f t="shared" si="483"/>
        <v>0</v>
      </c>
      <c r="G1489" s="149" t="str">
        <f t="shared" si="483"/>
        <v/>
      </c>
      <c r="H1489" s="150" t="str">
        <f t="shared" si="483"/>
        <v/>
      </c>
      <c r="I1489" s="150">
        <f t="shared" si="483"/>
        <v>0</v>
      </c>
      <c r="J1489" s="150">
        <f t="shared" si="483"/>
        <v>0</v>
      </c>
      <c r="K1489" s="150" t="str">
        <f>IFERROR(VLOOKUP($J1489,#REF!,3,0),"")</f>
        <v/>
      </c>
      <c r="L1489" s="150" t="str">
        <f>IFERROR(VLOOKUP($J1489,#REF!,5,0),"")</f>
        <v/>
      </c>
      <c r="M1489" s="191">
        <f t="shared" si="484"/>
        <v>0</v>
      </c>
      <c r="N1489" s="192">
        <f t="shared" si="485"/>
        <v>0</v>
      </c>
      <c r="O1489" s="193">
        <f t="shared" si="485"/>
        <v>0</v>
      </c>
      <c r="P1489" s="162">
        <f t="shared" si="486"/>
        <v>0</v>
      </c>
      <c r="Q1489" s="162">
        <f t="shared" si="486"/>
        <v>0</v>
      </c>
      <c r="R1489" s="162">
        <f t="shared" si="486"/>
        <v>0</v>
      </c>
      <c r="S1489" s="162">
        <f t="shared" si="486"/>
        <v>0</v>
      </c>
      <c r="T1489" s="162">
        <f t="shared" si="486"/>
        <v>0</v>
      </c>
      <c r="U1489" s="162">
        <f t="shared" si="486"/>
        <v>0</v>
      </c>
      <c r="V1489" s="162">
        <f t="shared" si="486"/>
        <v>0</v>
      </c>
      <c r="W1489" s="162">
        <f t="shared" si="486"/>
        <v>0</v>
      </c>
      <c r="X1489" s="162">
        <f t="shared" si="486"/>
        <v>0</v>
      </c>
      <c r="Y1489" s="162">
        <f t="shared" si="486"/>
        <v>0</v>
      </c>
      <c r="Z1489" s="162">
        <f t="shared" si="486"/>
        <v>0</v>
      </c>
      <c r="AA1489" s="162">
        <f t="shared" si="486"/>
        <v>0</v>
      </c>
      <c r="AB1489" s="163">
        <f t="shared" si="487"/>
        <v>0</v>
      </c>
      <c r="AC1489" s="159"/>
      <c r="AE1489" s="194" t="str">
        <f t="shared" si="489"/>
        <v>0 - LTS (0 - )</v>
      </c>
      <c r="AF1489" s="161">
        <f t="shared" si="488"/>
        <v>0</v>
      </c>
      <c r="AG1489" s="162">
        <f t="shared" si="488"/>
        <v>0</v>
      </c>
      <c r="AH1489" s="162">
        <f t="shared" si="488"/>
        <v>0</v>
      </c>
      <c r="AI1489" s="162">
        <f t="shared" si="488"/>
        <v>0</v>
      </c>
      <c r="AJ1489" s="162">
        <f t="shared" si="488"/>
        <v>0</v>
      </c>
      <c r="AK1489" s="162">
        <f t="shared" si="488"/>
        <v>0</v>
      </c>
      <c r="AL1489" s="162">
        <f t="shared" si="488"/>
        <v>0</v>
      </c>
      <c r="AM1489" s="162">
        <f t="shared" si="488"/>
        <v>0</v>
      </c>
      <c r="AN1489" s="162">
        <f t="shared" si="488"/>
        <v>0</v>
      </c>
      <c r="AO1489" s="162">
        <f t="shared" si="488"/>
        <v>0</v>
      </c>
      <c r="AP1489" s="162">
        <f t="shared" si="488"/>
        <v>0</v>
      </c>
      <c r="AQ1489" s="162">
        <f t="shared" si="488"/>
        <v>0</v>
      </c>
      <c r="AR1489" s="163">
        <f t="shared" si="490"/>
        <v>0</v>
      </c>
    </row>
    <row r="1490" spans="1:44" x14ac:dyDescent="0.25">
      <c r="A1490" s="14"/>
      <c r="B1490" s="15" t="str">
        <f t="shared" si="482"/>
        <v>IND_COMB_0_0</v>
      </c>
      <c r="F1490" s="190">
        <f t="shared" si="483"/>
        <v>0</v>
      </c>
      <c r="G1490" s="149" t="str">
        <f t="shared" si="483"/>
        <v/>
      </c>
      <c r="H1490" s="150" t="str">
        <f t="shared" si="483"/>
        <v/>
      </c>
      <c r="I1490" s="150">
        <f t="shared" si="483"/>
        <v>0</v>
      </c>
      <c r="J1490" s="150">
        <f t="shared" si="483"/>
        <v>0</v>
      </c>
      <c r="K1490" s="150" t="str">
        <f>IFERROR(VLOOKUP($J1490,#REF!,3,0),"")</f>
        <v/>
      </c>
      <c r="L1490" s="150" t="str">
        <f>IFERROR(VLOOKUP($J1490,#REF!,5,0),"")</f>
        <v/>
      </c>
      <c r="M1490" s="191">
        <f t="shared" si="484"/>
        <v>0</v>
      </c>
      <c r="N1490" s="192">
        <f t="shared" si="485"/>
        <v>0</v>
      </c>
      <c r="O1490" s="193">
        <f t="shared" si="485"/>
        <v>0</v>
      </c>
      <c r="P1490" s="162">
        <f t="shared" si="486"/>
        <v>0</v>
      </c>
      <c r="Q1490" s="162">
        <f t="shared" si="486"/>
        <v>0</v>
      </c>
      <c r="R1490" s="162">
        <f t="shared" si="486"/>
        <v>0</v>
      </c>
      <c r="S1490" s="162">
        <f t="shared" si="486"/>
        <v>0</v>
      </c>
      <c r="T1490" s="162">
        <f t="shared" si="486"/>
        <v>0</v>
      </c>
      <c r="U1490" s="162">
        <f t="shared" si="486"/>
        <v>0</v>
      </c>
      <c r="V1490" s="162">
        <f t="shared" si="486"/>
        <v>0</v>
      </c>
      <c r="W1490" s="162">
        <f t="shared" si="486"/>
        <v>0</v>
      </c>
      <c r="X1490" s="162">
        <f t="shared" si="486"/>
        <v>0</v>
      </c>
      <c r="Y1490" s="162">
        <f t="shared" si="486"/>
        <v>0</v>
      </c>
      <c r="Z1490" s="162">
        <f t="shared" si="486"/>
        <v>0</v>
      </c>
      <c r="AA1490" s="162">
        <f t="shared" si="486"/>
        <v>0</v>
      </c>
      <c r="AB1490" s="163">
        <f t="shared" si="487"/>
        <v>0</v>
      </c>
      <c r="AC1490" s="159"/>
      <c r="AE1490" s="194" t="str">
        <f t="shared" si="489"/>
        <v>0 - LTS (0 - )</v>
      </c>
      <c r="AF1490" s="161">
        <f t="shared" si="488"/>
        <v>0</v>
      </c>
      <c r="AG1490" s="162">
        <f t="shared" si="488"/>
        <v>0</v>
      </c>
      <c r="AH1490" s="162">
        <f t="shared" si="488"/>
        <v>0</v>
      </c>
      <c r="AI1490" s="162">
        <f t="shared" si="488"/>
        <v>0</v>
      </c>
      <c r="AJ1490" s="162">
        <f t="shared" si="488"/>
        <v>0</v>
      </c>
      <c r="AK1490" s="162">
        <f t="shared" si="488"/>
        <v>0</v>
      </c>
      <c r="AL1490" s="162">
        <f t="shared" si="488"/>
        <v>0</v>
      </c>
      <c r="AM1490" s="162">
        <f t="shared" si="488"/>
        <v>0</v>
      </c>
      <c r="AN1490" s="162">
        <f t="shared" si="488"/>
        <v>0</v>
      </c>
      <c r="AO1490" s="162">
        <f t="shared" si="488"/>
        <v>0</v>
      </c>
      <c r="AP1490" s="162">
        <f t="shared" si="488"/>
        <v>0</v>
      </c>
      <c r="AQ1490" s="162">
        <f t="shared" si="488"/>
        <v>0</v>
      </c>
      <c r="AR1490" s="163">
        <f t="shared" si="490"/>
        <v>0</v>
      </c>
    </row>
    <row r="1491" spans="1:44" x14ac:dyDescent="0.25">
      <c r="A1491" s="14"/>
      <c r="B1491" s="15" t="str">
        <f t="shared" si="482"/>
        <v>IND_COMB_0_0</v>
      </c>
      <c r="F1491" s="190">
        <f t="shared" ref="F1491:J1506" si="491">F1444</f>
        <v>0</v>
      </c>
      <c r="G1491" s="149" t="str">
        <f t="shared" si="491"/>
        <v/>
      </c>
      <c r="H1491" s="150" t="str">
        <f t="shared" si="491"/>
        <v/>
      </c>
      <c r="I1491" s="150">
        <f t="shared" si="491"/>
        <v>0</v>
      </c>
      <c r="J1491" s="150">
        <f t="shared" si="491"/>
        <v>0</v>
      </c>
      <c r="K1491" s="150" t="str">
        <f>IFERROR(VLOOKUP($J1491,#REF!,3,0),"")</f>
        <v/>
      </c>
      <c r="L1491" s="150" t="str">
        <f>IFERROR(VLOOKUP($J1491,#REF!,5,0),"")</f>
        <v/>
      </c>
      <c r="M1491" s="191">
        <f t="shared" si="484"/>
        <v>0</v>
      </c>
      <c r="N1491" s="192">
        <f t="shared" ref="N1491:O1506" si="492">N1444</f>
        <v>0</v>
      </c>
      <c r="O1491" s="193">
        <f t="shared" si="492"/>
        <v>0</v>
      </c>
      <c r="P1491" s="162">
        <f t="shared" ref="P1491:AA1506" si="493">$M1491</f>
        <v>0</v>
      </c>
      <c r="Q1491" s="162">
        <f t="shared" si="493"/>
        <v>0</v>
      </c>
      <c r="R1491" s="162">
        <f t="shared" si="493"/>
        <v>0</v>
      </c>
      <c r="S1491" s="162">
        <f t="shared" si="493"/>
        <v>0</v>
      </c>
      <c r="T1491" s="162">
        <f t="shared" si="493"/>
        <v>0</v>
      </c>
      <c r="U1491" s="162">
        <f t="shared" si="493"/>
        <v>0</v>
      </c>
      <c r="V1491" s="162">
        <f t="shared" si="493"/>
        <v>0</v>
      </c>
      <c r="W1491" s="162">
        <f t="shared" si="493"/>
        <v>0</v>
      </c>
      <c r="X1491" s="162">
        <f t="shared" si="493"/>
        <v>0</v>
      </c>
      <c r="Y1491" s="162">
        <f t="shared" si="493"/>
        <v>0</v>
      </c>
      <c r="Z1491" s="162">
        <f t="shared" si="493"/>
        <v>0</v>
      </c>
      <c r="AA1491" s="162">
        <f t="shared" si="493"/>
        <v>0</v>
      </c>
      <c r="AB1491" s="163">
        <f t="shared" si="487"/>
        <v>0</v>
      </c>
      <c r="AC1491" s="159"/>
      <c r="AE1491" s="194" t="str">
        <f t="shared" si="489"/>
        <v>0 - LTS (0 - )</v>
      </c>
      <c r="AF1491" s="161">
        <f t="shared" ref="AF1491:AQ1506" si="494">IFERROR(IF($L1491="LTS/HS",P1491*AF1444,IF($L1491="KM/LTS",AF1444/P1491,0)),0)</f>
        <v>0</v>
      </c>
      <c r="AG1491" s="162">
        <f t="shared" si="494"/>
        <v>0</v>
      </c>
      <c r="AH1491" s="162">
        <f t="shared" si="494"/>
        <v>0</v>
      </c>
      <c r="AI1491" s="162">
        <f t="shared" si="494"/>
        <v>0</v>
      </c>
      <c r="AJ1491" s="162">
        <f t="shared" si="494"/>
        <v>0</v>
      </c>
      <c r="AK1491" s="162">
        <f t="shared" si="494"/>
        <v>0</v>
      </c>
      <c r="AL1491" s="162">
        <f t="shared" si="494"/>
        <v>0</v>
      </c>
      <c r="AM1491" s="162">
        <f t="shared" si="494"/>
        <v>0</v>
      </c>
      <c r="AN1491" s="162">
        <f t="shared" si="494"/>
        <v>0</v>
      </c>
      <c r="AO1491" s="162">
        <f t="shared" si="494"/>
        <v>0</v>
      </c>
      <c r="AP1491" s="162">
        <f t="shared" si="494"/>
        <v>0</v>
      </c>
      <c r="AQ1491" s="162">
        <f t="shared" si="494"/>
        <v>0</v>
      </c>
      <c r="AR1491" s="163">
        <f t="shared" si="490"/>
        <v>0</v>
      </c>
    </row>
    <row r="1492" spans="1:44" x14ac:dyDescent="0.25">
      <c r="A1492" s="14"/>
      <c r="B1492" s="15" t="str">
        <f t="shared" si="482"/>
        <v>IND_COMB_0_0</v>
      </c>
      <c r="F1492" s="190">
        <f t="shared" si="491"/>
        <v>0</v>
      </c>
      <c r="G1492" s="149" t="str">
        <f t="shared" si="491"/>
        <v/>
      </c>
      <c r="H1492" s="150" t="str">
        <f t="shared" si="491"/>
        <v/>
      </c>
      <c r="I1492" s="150">
        <f t="shared" si="491"/>
        <v>0</v>
      </c>
      <c r="J1492" s="150">
        <f t="shared" si="491"/>
        <v>0</v>
      </c>
      <c r="K1492" s="150" t="str">
        <f>IFERROR(VLOOKUP($J1492,#REF!,3,0),"")</f>
        <v/>
      </c>
      <c r="L1492" s="150" t="str">
        <f>IFERROR(VLOOKUP($J1492,#REF!,5,0),"")</f>
        <v/>
      </c>
      <c r="M1492" s="191">
        <f t="shared" si="484"/>
        <v>0</v>
      </c>
      <c r="N1492" s="192">
        <f t="shared" si="492"/>
        <v>0</v>
      </c>
      <c r="O1492" s="193">
        <f t="shared" si="492"/>
        <v>0</v>
      </c>
      <c r="P1492" s="162">
        <f t="shared" si="493"/>
        <v>0</v>
      </c>
      <c r="Q1492" s="162">
        <f t="shared" si="493"/>
        <v>0</v>
      </c>
      <c r="R1492" s="162">
        <f t="shared" si="493"/>
        <v>0</v>
      </c>
      <c r="S1492" s="162">
        <f t="shared" si="493"/>
        <v>0</v>
      </c>
      <c r="T1492" s="162">
        <f t="shared" si="493"/>
        <v>0</v>
      </c>
      <c r="U1492" s="162">
        <f t="shared" si="493"/>
        <v>0</v>
      </c>
      <c r="V1492" s="162">
        <f t="shared" si="493"/>
        <v>0</v>
      </c>
      <c r="W1492" s="162">
        <f t="shared" si="493"/>
        <v>0</v>
      </c>
      <c r="X1492" s="162">
        <f t="shared" si="493"/>
        <v>0</v>
      </c>
      <c r="Y1492" s="162">
        <f t="shared" si="493"/>
        <v>0</v>
      </c>
      <c r="Z1492" s="162">
        <f t="shared" si="493"/>
        <v>0</v>
      </c>
      <c r="AA1492" s="162">
        <f t="shared" si="493"/>
        <v>0</v>
      </c>
      <c r="AB1492" s="163">
        <f t="shared" si="487"/>
        <v>0</v>
      </c>
      <c r="AC1492" s="159"/>
      <c r="AE1492" s="194" t="str">
        <f t="shared" si="489"/>
        <v>0 - LTS (0 - )</v>
      </c>
      <c r="AF1492" s="161">
        <f t="shared" si="494"/>
        <v>0</v>
      </c>
      <c r="AG1492" s="162">
        <f t="shared" si="494"/>
        <v>0</v>
      </c>
      <c r="AH1492" s="162">
        <f t="shared" si="494"/>
        <v>0</v>
      </c>
      <c r="AI1492" s="162">
        <f t="shared" si="494"/>
        <v>0</v>
      </c>
      <c r="AJ1492" s="162">
        <f t="shared" si="494"/>
        <v>0</v>
      </c>
      <c r="AK1492" s="162">
        <f t="shared" si="494"/>
        <v>0</v>
      </c>
      <c r="AL1492" s="162">
        <f t="shared" si="494"/>
        <v>0</v>
      </c>
      <c r="AM1492" s="162">
        <f t="shared" si="494"/>
        <v>0</v>
      </c>
      <c r="AN1492" s="162">
        <f t="shared" si="494"/>
        <v>0</v>
      </c>
      <c r="AO1492" s="162">
        <f t="shared" si="494"/>
        <v>0</v>
      </c>
      <c r="AP1492" s="162">
        <f t="shared" si="494"/>
        <v>0</v>
      </c>
      <c r="AQ1492" s="162">
        <f t="shared" si="494"/>
        <v>0</v>
      </c>
      <c r="AR1492" s="163">
        <f t="shared" si="490"/>
        <v>0</v>
      </c>
    </row>
    <row r="1493" spans="1:44" x14ac:dyDescent="0.25">
      <c r="A1493" s="14"/>
      <c r="B1493" s="15" t="str">
        <f t="shared" si="482"/>
        <v>IND_COMB_0_0</v>
      </c>
      <c r="F1493" s="190">
        <f t="shared" si="491"/>
        <v>0</v>
      </c>
      <c r="G1493" s="149" t="str">
        <f t="shared" si="491"/>
        <v/>
      </c>
      <c r="H1493" s="150" t="str">
        <f t="shared" si="491"/>
        <v/>
      </c>
      <c r="I1493" s="150">
        <f t="shared" si="491"/>
        <v>0</v>
      </c>
      <c r="J1493" s="150">
        <f t="shared" si="491"/>
        <v>0</v>
      </c>
      <c r="K1493" s="150" t="str">
        <f>IFERROR(VLOOKUP($J1493,#REF!,3,0),"")</f>
        <v/>
      </c>
      <c r="L1493" s="150" t="str">
        <f>IFERROR(VLOOKUP($J1493,#REF!,5,0),"")</f>
        <v/>
      </c>
      <c r="M1493" s="191">
        <f t="shared" si="484"/>
        <v>0</v>
      </c>
      <c r="N1493" s="192">
        <f t="shared" si="492"/>
        <v>0</v>
      </c>
      <c r="O1493" s="193">
        <f t="shared" si="492"/>
        <v>0</v>
      </c>
      <c r="P1493" s="162">
        <f t="shared" si="493"/>
        <v>0</v>
      </c>
      <c r="Q1493" s="162">
        <f t="shared" si="493"/>
        <v>0</v>
      </c>
      <c r="R1493" s="162">
        <f t="shared" si="493"/>
        <v>0</v>
      </c>
      <c r="S1493" s="162">
        <f t="shared" si="493"/>
        <v>0</v>
      </c>
      <c r="T1493" s="162">
        <f t="shared" si="493"/>
        <v>0</v>
      </c>
      <c r="U1493" s="162">
        <f t="shared" si="493"/>
        <v>0</v>
      </c>
      <c r="V1493" s="162">
        <f t="shared" si="493"/>
        <v>0</v>
      </c>
      <c r="W1493" s="162">
        <f t="shared" si="493"/>
        <v>0</v>
      </c>
      <c r="X1493" s="162">
        <f t="shared" si="493"/>
        <v>0</v>
      </c>
      <c r="Y1493" s="162">
        <f t="shared" si="493"/>
        <v>0</v>
      </c>
      <c r="Z1493" s="162">
        <f t="shared" si="493"/>
        <v>0</v>
      </c>
      <c r="AA1493" s="162">
        <f t="shared" si="493"/>
        <v>0</v>
      </c>
      <c r="AB1493" s="163">
        <f t="shared" si="487"/>
        <v>0</v>
      </c>
      <c r="AC1493" s="159"/>
      <c r="AE1493" s="194" t="str">
        <f t="shared" si="489"/>
        <v>0 - LTS (0 - )</v>
      </c>
      <c r="AF1493" s="161">
        <f t="shared" si="494"/>
        <v>0</v>
      </c>
      <c r="AG1493" s="162">
        <f t="shared" si="494"/>
        <v>0</v>
      </c>
      <c r="AH1493" s="162">
        <f t="shared" si="494"/>
        <v>0</v>
      </c>
      <c r="AI1493" s="162">
        <f t="shared" si="494"/>
        <v>0</v>
      </c>
      <c r="AJ1493" s="162">
        <f t="shared" si="494"/>
        <v>0</v>
      </c>
      <c r="AK1493" s="162">
        <f t="shared" si="494"/>
        <v>0</v>
      </c>
      <c r="AL1493" s="162">
        <f t="shared" si="494"/>
        <v>0</v>
      </c>
      <c r="AM1493" s="162">
        <f t="shared" si="494"/>
        <v>0</v>
      </c>
      <c r="AN1493" s="162">
        <f t="shared" si="494"/>
        <v>0</v>
      </c>
      <c r="AO1493" s="162">
        <f t="shared" si="494"/>
        <v>0</v>
      </c>
      <c r="AP1493" s="162">
        <f t="shared" si="494"/>
        <v>0</v>
      </c>
      <c r="AQ1493" s="162">
        <f t="shared" si="494"/>
        <v>0</v>
      </c>
      <c r="AR1493" s="163">
        <f t="shared" si="490"/>
        <v>0</v>
      </c>
    </row>
    <row r="1494" spans="1:44" x14ac:dyDescent="0.25">
      <c r="A1494" s="14"/>
      <c r="B1494" s="15" t="str">
        <f t="shared" si="482"/>
        <v>IND_COMB_0_0</v>
      </c>
      <c r="F1494" s="190">
        <f t="shared" si="491"/>
        <v>0</v>
      </c>
      <c r="G1494" s="149" t="str">
        <f t="shared" si="491"/>
        <v/>
      </c>
      <c r="H1494" s="150" t="str">
        <f t="shared" si="491"/>
        <v/>
      </c>
      <c r="I1494" s="150">
        <f t="shared" si="491"/>
        <v>0</v>
      </c>
      <c r="J1494" s="150">
        <f t="shared" si="491"/>
        <v>0</v>
      </c>
      <c r="K1494" s="150" t="str">
        <f>IFERROR(VLOOKUP($J1494,#REF!,3,0),"")</f>
        <v/>
      </c>
      <c r="L1494" s="150" t="str">
        <f>IFERROR(VLOOKUP($J1494,#REF!,5,0),"")</f>
        <v/>
      </c>
      <c r="M1494" s="191">
        <f t="shared" si="484"/>
        <v>0</v>
      </c>
      <c r="N1494" s="192">
        <f t="shared" si="492"/>
        <v>0</v>
      </c>
      <c r="O1494" s="193">
        <f t="shared" si="492"/>
        <v>0</v>
      </c>
      <c r="P1494" s="162">
        <f t="shared" si="493"/>
        <v>0</v>
      </c>
      <c r="Q1494" s="162">
        <f t="shared" si="493"/>
        <v>0</v>
      </c>
      <c r="R1494" s="162">
        <f t="shared" si="493"/>
        <v>0</v>
      </c>
      <c r="S1494" s="162">
        <f t="shared" si="493"/>
        <v>0</v>
      </c>
      <c r="T1494" s="162">
        <f t="shared" si="493"/>
        <v>0</v>
      </c>
      <c r="U1494" s="162">
        <f t="shared" si="493"/>
        <v>0</v>
      </c>
      <c r="V1494" s="162">
        <f t="shared" si="493"/>
        <v>0</v>
      </c>
      <c r="W1494" s="162">
        <f t="shared" si="493"/>
        <v>0</v>
      </c>
      <c r="X1494" s="162">
        <f t="shared" si="493"/>
        <v>0</v>
      </c>
      <c r="Y1494" s="162">
        <f t="shared" si="493"/>
        <v>0</v>
      </c>
      <c r="Z1494" s="162">
        <f t="shared" si="493"/>
        <v>0</v>
      </c>
      <c r="AA1494" s="162">
        <f t="shared" si="493"/>
        <v>0</v>
      </c>
      <c r="AB1494" s="163">
        <f t="shared" si="487"/>
        <v>0</v>
      </c>
      <c r="AC1494" s="159"/>
      <c r="AE1494" s="194" t="str">
        <f t="shared" si="489"/>
        <v>0 - LTS (0 - )</v>
      </c>
      <c r="AF1494" s="161">
        <f t="shared" si="494"/>
        <v>0</v>
      </c>
      <c r="AG1494" s="162">
        <f t="shared" si="494"/>
        <v>0</v>
      </c>
      <c r="AH1494" s="162">
        <f t="shared" si="494"/>
        <v>0</v>
      </c>
      <c r="AI1494" s="162">
        <f t="shared" si="494"/>
        <v>0</v>
      </c>
      <c r="AJ1494" s="162">
        <f t="shared" si="494"/>
        <v>0</v>
      </c>
      <c r="AK1494" s="162">
        <f t="shared" si="494"/>
        <v>0</v>
      </c>
      <c r="AL1494" s="162">
        <f t="shared" si="494"/>
        <v>0</v>
      </c>
      <c r="AM1494" s="162">
        <f t="shared" si="494"/>
        <v>0</v>
      </c>
      <c r="AN1494" s="162">
        <f t="shared" si="494"/>
        <v>0</v>
      </c>
      <c r="AO1494" s="162">
        <f t="shared" si="494"/>
        <v>0</v>
      </c>
      <c r="AP1494" s="162">
        <f t="shared" si="494"/>
        <v>0</v>
      </c>
      <c r="AQ1494" s="162">
        <f t="shared" si="494"/>
        <v>0</v>
      </c>
      <c r="AR1494" s="163">
        <f t="shared" si="490"/>
        <v>0</v>
      </c>
    </row>
    <row r="1495" spans="1:44" x14ac:dyDescent="0.25">
      <c r="A1495" s="14"/>
      <c r="B1495" s="15" t="str">
        <f t="shared" si="482"/>
        <v>IND_COMB_0_0</v>
      </c>
      <c r="F1495" s="190">
        <f t="shared" si="491"/>
        <v>0</v>
      </c>
      <c r="G1495" s="149" t="str">
        <f t="shared" si="491"/>
        <v/>
      </c>
      <c r="H1495" s="150" t="str">
        <f t="shared" si="491"/>
        <v/>
      </c>
      <c r="I1495" s="150">
        <f t="shared" si="491"/>
        <v>0</v>
      </c>
      <c r="J1495" s="150">
        <f t="shared" si="491"/>
        <v>0</v>
      </c>
      <c r="K1495" s="150" t="str">
        <f>IFERROR(VLOOKUP($J1495,#REF!,3,0),"")</f>
        <v/>
      </c>
      <c r="L1495" s="150" t="str">
        <f>IFERROR(VLOOKUP($J1495,#REF!,5,0),"")</f>
        <v/>
      </c>
      <c r="M1495" s="191">
        <f t="shared" si="484"/>
        <v>0</v>
      </c>
      <c r="N1495" s="192">
        <f t="shared" si="492"/>
        <v>0</v>
      </c>
      <c r="O1495" s="193">
        <f t="shared" si="492"/>
        <v>0</v>
      </c>
      <c r="P1495" s="162">
        <f t="shared" si="493"/>
        <v>0</v>
      </c>
      <c r="Q1495" s="162">
        <f t="shared" si="493"/>
        <v>0</v>
      </c>
      <c r="R1495" s="162">
        <f t="shared" si="493"/>
        <v>0</v>
      </c>
      <c r="S1495" s="162">
        <f t="shared" si="493"/>
        <v>0</v>
      </c>
      <c r="T1495" s="162">
        <f t="shared" si="493"/>
        <v>0</v>
      </c>
      <c r="U1495" s="162">
        <f t="shared" si="493"/>
        <v>0</v>
      </c>
      <c r="V1495" s="162">
        <f t="shared" si="493"/>
        <v>0</v>
      </c>
      <c r="W1495" s="162">
        <f t="shared" si="493"/>
        <v>0</v>
      </c>
      <c r="X1495" s="162">
        <f t="shared" si="493"/>
        <v>0</v>
      </c>
      <c r="Y1495" s="162">
        <f t="shared" si="493"/>
        <v>0</v>
      </c>
      <c r="Z1495" s="162">
        <f t="shared" si="493"/>
        <v>0</v>
      </c>
      <c r="AA1495" s="162">
        <f t="shared" si="493"/>
        <v>0</v>
      </c>
      <c r="AB1495" s="163">
        <f t="shared" si="487"/>
        <v>0</v>
      </c>
      <c r="AC1495" s="159"/>
      <c r="AE1495" s="194" t="str">
        <f t="shared" si="489"/>
        <v>0 - LTS (0 - )</v>
      </c>
      <c r="AF1495" s="161">
        <f t="shared" si="494"/>
        <v>0</v>
      </c>
      <c r="AG1495" s="162">
        <f t="shared" si="494"/>
        <v>0</v>
      </c>
      <c r="AH1495" s="162">
        <f t="shared" si="494"/>
        <v>0</v>
      </c>
      <c r="AI1495" s="162">
        <f t="shared" si="494"/>
        <v>0</v>
      </c>
      <c r="AJ1495" s="162">
        <f t="shared" si="494"/>
        <v>0</v>
      </c>
      <c r="AK1495" s="162">
        <f t="shared" si="494"/>
        <v>0</v>
      </c>
      <c r="AL1495" s="162">
        <f t="shared" si="494"/>
        <v>0</v>
      </c>
      <c r="AM1495" s="162">
        <f t="shared" si="494"/>
        <v>0</v>
      </c>
      <c r="AN1495" s="162">
        <f t="shared" si="494"/>
        <v>0</v>
      </c>
      <c r="AO1495" s="162">
        <f t="shared" si="494"/>
        <v>0</v>
      </c>
      <c r="AP1495" s="162">
        <f t="shared" si="494"/>
        <v>0</v>
      </c>
      <c r="AQ1495" s="162">
        <f t="shared" si="494"/>
        <v>0</v>
      </c>
      <c r="AR1495" s="163">
        <f t="shared" si="490"/>
        <v>0</v>
      </c>
    </row>
    <row r="1496" spans="1:44" x14ac:dyDescent="0.25">
      <c r="A1496" s="14"/>
      <c r="B1496" s="15" t="str">
        <f t="shared" si="482"/>
        <v>IND_COMB_0_0</v>
      </c>
      <c r="F1496" s="190">
        <f t="shared" si="491"/>
        <v>0</v>
      </c>
      <c r="G1496" s="149" t="str">
        <f t="shared" si="491"/>
        <v/>
      </c>
      <c r="H1496" s="150" t="str">
        <f t="shared" si="491"/>
        <v/>
      </c>
      <c r="I1496" s="150">
        <f t="shared" si="491"/>
        <v>0</v>
      </c>
      <c r="J1496" s="150">
        <f t="shared" si="491"/>
        <v>0</v>
      </c>
      <c r="K1496" s="150" t="str">
        <f>IFERROR(VLOOKUP($J1496,#REF!,3,0),"")</f>
        <v/>
      </c>
      <c r="L1496" s="150" t="str">
        <f>IFERROR(VLOOKUP($J1496,#REF!,5,0),"")</f>
        <v/>
      </c>
      <c r="M1496" s="191">
        <f t="shared" si="484"/>
        <v>0</v>
      </c>
      <c r="N1496" s="192">
        <f t="shared" si="492"/>
        <v>0</v>
      </c>
      <c r="O1496" s="193">
        <f t="shared" si="492"/>
        <v>0</v>
      </c>
      <c r="P1496" s="162">
        <f t="shared" si="493"/>
        <v>0</v>
      </c>
      <c r="Q1496" s="162">
        <f t="shared" si="493"/>
        <v>0</v>
      </c>
      <c r="R1496" s="162">
        <f t="shared" si="493"/>
        <v>0</v>
      </c>
      <c r="S1496" s="162">
        <f t="shared" si="493"/>
        <v>0</v>
      </c>
      <c r="T1496" s="162">
        <f t="shared" si="493"/>
        <v>0</v>
      </c>
      <c r="U1496" s="162">
        <f t="shared" si="493"/>
        <v>0</v>
      </c>
      <c r="V1496" s="162">
        <f t="shared" si="493"/>
        <v>0</v>
      </c>
      <c r="W1496" s="162">
        <f t="shared" si="493"/>
        <v>0</v>
      </c>
      <c r="X1496" s="162">
        <f t="shared" si="493"/>
        <v>0</v>
      </c>
      <c r="Y1496" s="162">
        <f t="shared" si="493"/>
        <v>0</v>
      </c>
      <c r="Z1496" s="162">
        <f t="shared" si="493"/>
        <v>0</v>
      </c>
      <c r="AA1496" s="162">
        <f t="shared" si="493"/>
        <v>0</v>
      </c>
      <c r="AB1496" s="163">
        <f t="shared" si="487"/>
        <v>0</v>
      </c>
      <c r="AC1496" s="159"/>
      <c r="AE1496" s="194" t="str">
        <f t="shared" si="489"/>
        <v>0 - LTS (0 - )</v>
      </c>
      <c r="AF1496" s="161">
        <f t="shared" si="494"/>
        <v>0</v>
      </c>
      <c r="AG1496" s="162">
        <f t="shared" si="494"/>
        <v>0</v>
      </c>
      <c r="AH1496" s="162">
        <f t="shared" si="494"/>
        <v>0</v>
      </c>
      <c r="AI1496" s="162">
        <f t="shared" si="494"/>
        <v>0</v>
      </c>
      <c r="AJ1496" s="162">
        <f t="shared" si="494"/>
        <v>0</v>
      </c>
      <c r="AK1496" s="162">
        <f t="shared" si="494"/>
        <v>0</v>
      </c>
      <c r="AL1496" s="162">
        <f t="shared" si="494"/>
        <v>0</v>
      </c>
      <c r="AM1496" s="162">
        <f t="shared" si="494"/>
        <v>0</v>
      </c>
      <c r="AN1496" s="162">
        <f t="shared" si="494"/>
        <v>0</v>
      </c>
      <c r="AO1496" s="162">
        <f t="shared" si="494"/>
        <v>0</v>
      </c>
      <c r="AP1496" s="162">
        <f t="shared" si="494"/>
        <v>0</v>
      </c>
      <c r="AQ1496" s="162">
        <f t="shared" si="494"/>
        <v>0</v>
      </c>
      <c r="AR1496" s="163">
        <f t="shared" si="490"/>
        <v>0</v>
      </c>
    </row>
    <row r="1497" spans="1:44" x14ac:dyDescent="0.25">
      <c r="A1497" s="14"/>
      <c r="B1497" s="15" t="str">
        <f t="shared" si="482"/>
        <v>IND_COMB_0_0</v>
      </c>
      <c r="F1497" s="190">
        <f t="shared" si="491"/>
        <v>0</v>
      </c>
      <c r="G1497" s="149" t="str">
        <f t="shared" si="491"/>
        <v/>
      </c>
      <c r="H1497" s="150" t="str">
        <f t="shared" si="491"/>
        <v/>
      </c>
      <c r="I1497" s="150">
        <f t="shared" si="491"/>
        <v>0</v>
      </c>
      <c r="J1497" s="150">
        <f t="shared" si="491"/>
        <v>0</v>
      </c>
      <c r="K1497" s="150" t="str">
        <f>IFERROR(VLOOKUP($J1497,#REF!,3,0),"")</f>
        <v/>
      </c>
      <c r="L1497" s="150" t="str">
        <f>IFERROR(VLOOKUP($J1497,#REF!,5,0),"")</f>
        <v/>
      </c>
      <c r="M1497" s="191">
        <f t="shared" si="484"/>
        <v>0</v>
      </c>
      <c r="N1497" s="192">
        <f t="shared" si="492"/>
        <v>0</v>
      </c>
      <c r="O1497" s="193">
        <f t="shared" si="492"/>
        <v>0</v>
      </c>
      <c r="P1497" s="162">
        <f t="shared" si="493"/>
        <v>0</v>
      </c>
      <c r="Q1497" s="162">
        <f t="shared" si="493"/>
        <v>0</v>
      </c>
      <c r="R1497" s="162">
        <f t="shared" si="493"/>
        <v>0</v>
      </c>
      <c r="S1497" s="162">
        <f t="shared" si="493"/>
        <v>0</v>
      </c>
      <c r="T1497" s="162">
        <f t="shared" si="493"/>
        <v>0</v>
      </c>
      <c r="U1497" s="162">
        <f t="shared" si="493"/>
        <v>0</v>
      </c>
      <c r="V1497" s="162">
        <f t="shared" si="493"/>
        <v>0</v>
      </c>
      <c r="W1497" s="162">
        <f t="shared" si="493"/>
        <v>0</v>
      </c>
      <c r="X1497" s="162">
        <f t="shared" si="493"/>
        <v>0</v>
      </c>
      <c r="Y1497" s="162">
        <f t="shared" si="493"/>
        <v>0</v>
      </c>
      <c r="Z1497" s="162">
        <f t="shared" si="493"/>
        <v>0</v>
      </c>
      <c r="AA1497" s="162">
        <f t="shared" si="493"/>
        <v>0</v>
      </c>
      <c r="AB1497" s="163">
        <f t="shared" si="487"/>
        <v>0</v>
      </c>
      <c r="AC1497" s="159"/>
      <c r="AE1497" s="194" t="str">
        <f t="shared" si="489"/>
        <v>0 - LTS (0 - )</v>
      </c>
      <c r="AF1497" s="161">
        <f t="shared" si="494"/>
        <v>0</v>
      </c>
      <c r="AG1497" s="162">
        <f t="shared" si="494"/>
        <v>0</v>
      </c>
      <c r="AH1497" s="162">
        <f t="shared" si="494"/>
        <v>0</v>
      </c>
      <c r="AI1497" s="162">
        <f t="shared" si="494"/>
        <v>0</v>
      </c>
      <c r="AJ1497" s="162">
        <f t="shared" si="494"/>
        <v>0</v>
      </c>
      <c r="AK1497" s="162">
        <f t="shared" si="494"/>
        <v>0</v>
      </c>
      <c r="AL1497" s="162">
        <f t="shared" si="494"/>
        <v>0</v>
      </c>
      <c r="AM1497" s="162">
        <f t="shared" si="494"/>
        <v>0</v>
      </c>
      <c r="AN1497" s="162">
        <f t="shared" si="494"/>
        <v>0</v>
      </c>
      <c r="AO1497" s="162">
        <f t="shared" si="494"/>
        <v>0</v>
      </c>
      <c r="AP1497" s="162">
        <f t="shared" si="494"/>
        <v>0</v>
      </c>
      <c r="AQ1497" s="162">
        <f t="shared" si="494"/>
        <v>0</v>
      </c>
      <c r="AR1497" s="163">
        <f t="shared" si="490"/>
        <v>0</v>
      </c>
    </row>
    <row r="1498" spans="1:44" x14ac:dyDescent="0.25">
      <c r="A1498" s="14"/>
      <c r="B1498" s="15" t="str">
        <f t="shared" si="482"/>
        <v>IND_COMB_0_0</v>
      </c>
      <c r="F1498" s="190">
        <f t="shared" si="491"/>
        <v>0</v>
      </c>
      <c r="G1498" s="149" t="str">
        <f t="shared" si="491"/>
        <v/>
      </c>
      <c r="H1498" s="150" t="str">
        <f t="shared" si="491"/>
        <v/>
      </c>
      <c r="I1498" s="150">
        <f t="shared" si="491"/>
        <v>0</v>
      </c>
      <c r="J1498" s="150">
        <f t="shared" si="491"/>
        <v>0</v>
      </c>
      <c r="K1498" s="150" t="str">
        <f>IFERROR(VLOOKUP($J1498,#REF!,3,0),"")</f>
        <v/>
      </c>
      <c r="L1498" s="150" t="str">
        <f>IFERROR(VLOOKUP($J1498,#REF!,5,0),"")</f>
        <v/>
      </c>
      <c r="M1498" s="191">
        <f t="shared" si="484"/>
        <v>0</v>
      </c>
      <c r="N1498" s="192">
        <f t="shared" si="492"/>
        <v>0</v>
      </c>
      <c r="O1498" s="193">
        <f t="shared" si="492"/>
        <v>0</v>
      </c>
      <c r="P1498" s="162">
        <f t="shared" si="493"/>
        <v>0</v>
      </c>
      <c r="Q1498" s="162">
        <f t="shared" si="493"/>
        <v>0</v>
      </c>
      <c r="R1498" s="162">
        <f t="shared" si="493"/>
        <v>0</v>
      </c>
      <c r="S1498" s="162">
        <f t="shared" si="493"/>
        <v>0</v>
      </c>
      <c r="T1498" s="162">
        <f t="shared" si="493"/>
        <v>0</v>
      </c>
      <c r="U1498" s="162">
        <f t="shared" si="493"/>
        <v>0</v>
      </c>
      <c r="V1498" s="162">
        <f t="shared" si="493"/>
        <v>0</v>
      </c>
      <c r="W1498" s="162">
        <f t="shared" si="493"/>
        <v>0</v>
      </c>
      <c r="X1498" s="162">
        <f t="shared" si="493"/>
        <v>0</v>
      </c>
      <c r="Y1498" s="162">
        <f t="shared" si="493"/>
        <v>0</v>
      </c>
      <c r="Z1498" s="162">
        <f t="shared" si="493"/>
        <v>0</v>
      </c>
      <c r="AA1498" s="162">
        <f t="shared" si="493"/>
        <v>0</v>
      </c>
      <c r="AB1498" s="163">
        <f t="shared" si="487"/>
        <v>0</v>
      </c>
      <c r="AC1498" s="159"/>
      <c r="AE1498" s="194" t="str">
        <f t="shared" si="489"/>
        <v>0 - LTS (0 - )</v>
      </c>
      <c r="AF1498" s="161">
        <f t="shared" si="494"/>
        <v>0</v>
      </c>
      <c r="AG1498" s="162">
        <f t="shared" si="494"/>
        <v>0</v>
      </c>
      <c r="AH1498" s="162">
        <f t="shared" si="494"/>
        <v>0</v>
      </c>
      <c r="AI1498" s="162">
        <f t="shared" si="494"/>
        <v>0</v>
      </c>
      <c r="AJ1498" s="162">
        <f t="shared" si="494"/>
        <v>0</v>
      </c>
      <c r="AK1498" s="162">
        <f t="shared" si="494"/>
        <v>0</v>
      </c>
      <c r="AL1498" s="162">
        <f t="shared" si="494"/>
        <v>0</v>
      </c>
      <c r="AM1498" s="162">
        <f t="shared" si="494"/>
        <v>0</v>
      </c>
      <c r="AN1498" s="162">
        <f t="shared" si="494"/>
        <v>0</v>
      </c>
      <c r="AO1498" s="162">
        <f t="shared" si="494"/>
        <v>0</v>
      </c>
      <c r="AP1498" s="162">
        <f t="shared" si="494"/>
        <v>0</v>
      </c>
      <c r="AQ1498" s="162">
        <f t="shared" si="494"/>
        <v>0</v>
      </c>
      <c r="AR1498" s="163">
        <f t="shared" si="490"/>
        <v>0</v>
      </c>
    </row>
    <row r="1499" spans="1:44" x14ac:dyDescent="0.25">
      <c r="A1499" s="14"/>
      <c r="B1499" s="15" t="str">
        <f t="shared" si="482"/>
        <v>IND_COMB_0_0</v>
      </c>
      <c r="F1499" s="190">
        <f t="shared" si="491"/>
        <v>0</v>
      </c>
      <c r="G1499" s="149" t="str">
        <f t="shared" si="491"/>
        <v/>
      </c>
      <c r="H1499" s="150" t="str">
        <f t="shared" si="491"/>
        <v/>
      </c>
      <c r="I1499" s="150">
        <f t="shared" si="491"/>
        <v>0</v>
      </c>
      <c r="J1499" s="150">
        <f t="shared" si="491"/>
        <v>0</v>
      </c>
      <c r="K1499" s="150" t="str">
        <f>IFERROR(VLOOKUP($J1499,#REF!,3,0),"")</f>
        <v/>
      </c>
      <c r="L1499" s="150" t="str">
        <f>IFERROR(VLOOKUP($J1499,#REF!,5,0),"")</f>
        <v/>
      </c>
      <c r="M1499" s="191">
        <f t="shared" si="484"/>
        <v>0</v>
      </c>
      <c r="N1499" s="192">
        <f t="shared" si="492"/>
        <v>0</v>
      </c>
      <c r="O1499" s="193">
        <f t="shared" si="492"/>
        <v>0</v>
      </c>
      <c r="P1499" s="162">
        <f t="shared" si="493"/>
        <v>0</v>
      </c>
      <c r="Q1499" s="162">
        <f t="shared" si="493"/>
        <v>0</v>
      </c>
      <c r="R1499" s="162">
        <f t="shared" si="493"/>
        <v>0</v>
      </c>
      <c r="S1499" s="162">
        <f t="shared" si="493"/>
        <v>0</v>
      </c>
      <c r="T1499" s="162">
        <f t="shared" si="493"/>
        <v>0</v>
      </c>
      <c r="U1499" s="162">
        <f t="shared" si="493"/>
        <v>0</v>
      </c>
      <c r="V1499" s="162">
        <f t="shared" si="493"/>
        <v>0</v>
      </c>
      <c r="W1499" s="162">
        <f t="shared" si="493"/>
        <v>0</v>
      </c>
      <c r="X1499" s="162">
        <f t="shared" si="493"/>
        <v>0</v>
      </c>
      <c r="Y1499" s="162">
        <f t="shared" si="493"/>
        <v>0</v>
      </c>
      <c r="Z1499" s="162">
        <f t="shared" si="493"/>
        <v>0</v>
      </c>
      <c r="AA1499" s="162">
        <f t="shared" si="493"/>
        <v>0</v>
      </c>
      <c r="AB1499" s="163">
        <f t="shared" si="487"/>
        <v>0</v>
      </c>
      <c r="AC1499" s="159"/>
      <c r="AE1499" s="194" t="str">
        <f t="shared" si="489"/>
        <v>0 - LTS (0 - )</v>
      </c>
      <c r="AF1499" s="161">
        <f t="shared" si="494"/>
        <v>0</v>
      </c>
      <c r="AG1499" s="162">
        <f t="shared" si="494"/>
        <v>0</v>
      </c>
      <c r="AH1499" s="162">
        <f t="shared" si="494"/>
        <v>0</v>
      </c>
      <c r="AI1499" s="162">
        <f t="shared" si="494"/>
        <v>0</v>
      </c>
      <c r="AJ1499" s="162">
        <f t="shared" si="494"/>
        <v>0</v>
      </c>
      <c r="AK1499" s="162">
        <f t="shared" si="494"/>
        <v>0</v>
      </c>
      <c r="AL1499" s="162">
        <f t="shared" si="494"/>
        <v>0</v>
      </c>
      <c r="AM1499" s="162">
        <f t="shared" si="494"/>
        <v>0</v>
      </c>
      <c r="AN1499" s="162">
        <f t="shared" si="494"/>
        <v>0</v>
      </c>
      <c r="AO1499" s="162">
        <f t="shared" si="494"/>
        <v>0</v>
      </c>
      <c r="AP1499" s="162">
        <f t="shared" si="494"/>
        <v>0</v>
      </c>
      <c r="AQ1499" s="162">
        <f t="shared" si="494"/>
        <v>0</v>
      </c>
      <c r="AR1499" s="163">
        <f t="shared" si="490"/>
        <v>0</v>
      </c>
    </row>
    <row r="1500" spans="1:44" x14ac:dyDescent="0.25">
      <c r="A1500" s="14"/>
      <c r="B1500" s="15" t="str">
        <f t="shared" si="482"/>
        <v>IND_COMB_0_0</v>
      </c>
      <c r="F1500" s="190">
        <f t="shared" si="491"/>
        <v>0</v>
      </c>
      <c r="G1500" s="149" t="str">
        <f t="shared" si="491"/>
        <v/>
      </c>
      <c r="H1500" s="150" t="str">
        <f t="shared" si="491"/>
        <v/>
      </c>
      <c r="I1500" s="150">
        <f t="shared" si="491"/>
        <v>0</v>
      </c>
      <c r="J1500" s="150">
        <f t="shared" si="491"/>
        <v>0</v>
      </c>
      <c r="K1500" s="150" t="str">
        <f>IFERROR(VLOOKUP($J1500,#REF!,3,0),"")</f>
        <v/>
      </c>
      <c r="L1500" s="150" t="str">
        <f>IFERROR(VLOOKUP($J1500,#REF!,5,0),"")</f>
        <v/>
      </c>
      <c r="M1500" s="191">
        <f t="shared" si="484"/>
        <v>0</v>
      </c>
      <c r="N1500" s="192">
        <f t="shared" si="492"/>
        <v>0</v>
      </c>
      <c r="O1500" s="193">
        <f t="shared" si="492"/>
        <v>0</v>
      </c>
      <c r="P1500" s="162">
        <f t="shared" si="493"/>
        <v>0</v>
      </c>
      <c r="Q1500" s="162">
        <f t="shared" si="493"/>
        <v>0</v>
      </c>
      <c r="R1500" s="162">
        <f t="shared" si="493"/>
        <v>0</v>
      </c>
      <c r="S1500" s="162">
        <f t="shared" si="493"/>
        <v>0</v>
      </c>
      <c r="T1500" s="162">
        <f t="shared" si="493"/>
        <v>0</v>
      </c>
      <c r="U1500" s="162">
        <f t="shared" si="493"/>
        <v>0</v>
      </c>
      <c r="V1500" s="162">
        <f t="shared" si="493"/>
        <v>0</v>
      </c>
      <c r="W1500" s="162">
        <f t="shared" si="493"/>
        <v>0</v>
      </c>
      <c r="X1500" s="162">
        <f t="shared" si="493"/>
        <v>0</v>
      </c>
      <c r="Y1500" s="162">
        <f t="shared" si="493"/>
        <v>0</v>
      </c>
      <c r="Z1500" s="162">
        <f t="shared" si="493"/>
        <v>0</v>
      </c>
      <c r="AA1500" s="162">
        <f t="shared" si="493"/>
        <v>0</v>
      </c>
      <c r="AB1500" s="163">
        <f t="shared" si="487"/>
        <v>0</v>
      </c>
      <c r="AC1500" s="159"/>
      <c r="AE1500" s="194" t="str">
        <f t="shared" si="489"/>
        <v>0 - LTS (0 - )</v>
      </c>
      <c r="AF1500" s="161">
        <f t="shared" si="494"/>
        <v>0</v>
      </c>
      <c r="AG1500" s="162">
        <f t="shared" si="494"/>
        <v>0</v>
      </c>
      <c r="AH1500" s="162">
        <f t="shared" si="494"/>
        <v>0</v>
      </c>
      <c r="AI1500" s="162">
        <f t="shared" si="494"/>
        <v>0</v>
      </c>
      <c r="AJ1500" s="162">
        <f t="shared" si="494"/>
        <v>0</v>
      </c>
      <c r="AK1500" s="162">
        <f t="shared" si="494"/>
        <v>0</v>
      </c>
      <c r="AL1500" s="162">
        <f t="shared" si="494"/>
        <v>0</v>
      </c>
      <c r="AM1500" s="162">
        <f t="shared" si="494"/>
        <v>0</v>
      </c>
      <c r="AN1500" s="162">
        <f t="shared" si="494"/>
        <v>0</v>
      </c>
      <c r="AO1500" s="162">
        <f t="shared" si="494"/>
        <v>0</v>
      </c>
      <c r="AP1500" s="162">
        <f t="shared" si="494"/>
        <v>0</v>
      </c>
      <c r="AQ1500" s="162">
        <f t="shared" si="494"/>
        <v>0</v>
      </c>
      <c r="AR1500" s="163">
        <f t="shared" si="490"/>
        <v>0</v>
      </c>
    </row>
    <row r="1501" spans="1:44" x14ac:dyDescent="0.25">
      <c r="A1501" s="14"/>
      <c r="B1501" s="15" t="str">
        <f t="shared" si="482"/>
        <v>IND_COMB_0_0</v>
      </c>
      <c r="F1501" s="190">
        <f t="shared" si="491"/>
        <v>0</v>
      </c>
      <c r="G1501" s="149" t="str">
        <f t="shared" si="491"/>
        <v/>
      </c>
      <c r="H1501" s="150" t="str">
        <f t="shared" si="491"/>
        <v/>
      </c>
      <c r="I1501" s="150">
        <f t="shared" si="491"/>
        <v>0</v>
      </c>
      <c r="J1501" s="150">
        <f t="shared" si="491"/>
        <v>0</v>
      </c>
      <c r="K1501" s="150" t="str">
        <f>IFERROR(VLOOKUP($J1501,#REF!,3,0),"")</f>
        <v/>
      </c>
      <c r="L1501" s="150" t="str">
        <f>IFERROR(VLOOKUP($J1501,#REF!,5,0),"")</f>
        <v/>
      </c>
      <c r="M1501" s="191">
        <f t="shared" si="484"/>
        <v>0</v>
      </c>
      <c r="N1501" s="192">
        <f t="shared" si="492"/>
        <v>0</v>
      </c>
      <c r="O1501" s="193">
        <f t="shared" si="492"/>
        <v>0</v>
      </c>
      <c r="P1501" s="162">
        <f t="shared" si="493"/>
        <v>0</v>
      </c>
      <c r="Q1501" s="162">
        <f t="shared" si="493"/>
        <v>0</v>
      </c>
      <c r="R1501" s="162">
        <f t="shared" si="493"/>
        <v>0</v>
      </c>
      <c r="S1501" s="162">
        <f t="shared" si="493"/>
        <v>0</v>
      </c>
      <c r="T1501" s="162">
        <f t="shared" si="493"/>
        <v>0</v>
      </c>
      <c r="U1501" s="162">
        <f t="shared" si="493"/>
        <v>0</v>
      </c>
      <c r="V1501" s="162">
        <f t="shared" si="493"/>
        <v>0</v>
      </c>
      <c r="W1501" s="162">
        <f t="shared" si="493"/>
        <v>0</v>
      </c>
      <c r="X1501" s="162">
        <f t="shared" si="493"/>
        <v>0</v>
      </c>
      <c r="Y1501" s="162">
        <f t="shared" si="493"/>
        <v>0</v>
      </c>
      <c r="Z1501" s="162">
        <f t="shared" si="493"/>
        <v>0</v>
      </c>
      <c r="AA1501" s="162">
        <f t="shared" si="493"/>
        <v>0</v>
      </c>
      <c r="AB1501" s="163">
        <f t="shared" si="487"/>
        <v>0</v>
      </c>
      <c r="AC1501" s="159"/>
      <c r="AE1501" s="194" t="str">
        <f t="shared" si="489"/>
        <v>0 - LTS (0 - )</v>
      </c>
      <c r="AF1501" s="161">
        <f t="shared" si="494"/>
        <v>0</v>
      </c>
      <c r="AG1501" s="162">
        <f t="shared" si="494"/>
        <v>0</v>
      </c>
      <c r="AH1501" s="162">
        <f t="shared" si="494"/>
        <v>0</v>
      </c>
      <c r="AI1501" s="162">
        <f t="shared" si="494"/>
        <v>0</v>
      </c>
      <c r="AJ1501" s="162">
        <f t="shared" si="494"/>
        <v>0</v>
      </c>
      <c r="AK1501" s="162">
        <f t="shared" si="494"/>
        <v>0</v>
      </c>
      <c r="AL1501" s="162">
        <f t="shared" si="494"/>
        <v>0</v>
      </c>
      <c r="AM1501" s="162">
        <f t="shared" si="494"/>
        <v>0</v>
      </c>
      <c r="AN1501" s="162">
        <f t="shared" si="494"/>
        <v>0</v>
      </c>
      <c r="AO1501" s="162">
        <f t="shared" si="494"/>
        <v>0</v>
      </c>
      <c r="AP1501" s="162">
        <f t="shared" si="494"/>
        <v>0</v>
      </c>
      <c r="AQ1501" s="162">
        <f t="shared" si="494"/>
        <v>0</v>
      </c>
      <c r="AR1501" s="163">
        <f t="shared" si="490"/>
        <v>0</v>
      </c>
    </row>
    <row r="1502" spans="1:44" x14ac:dyDescent="0.25">
      <c r="A1502" s="14"/>
      <c r="B1502" s="15" t="str">
        <f t="shared" si="482"/>
        <v>IND_COMB_0_0</v>
      </c>
      <c r="F1502" s="190">
        <f t="shared" si="491"/>
        <v>0</v>
      </c>
      <c r="G1502" s="149" t="str">
        <f t="shared" si="491"/>
        <v/>
      </c>
      <c r="H1502" s="150" t="str">
        <f t="shared" si="491"/>
        <v/>
      </c>
      <c r="I1502" s="150">
        <f t="shared" si="491"/>
        <v>0</v>
      </c>
      <c r="J1502" s="150">
        <f t="shared" si="491"/>
        <v>0</v>
      </c>
      <c r="K1502" s="150" t="str">
        <f>IFERROR(VLOOKUP($J1502,#REF!,3,0),"")</f>
        <v/>
      </c>
      <c r="L1502" s="150" t="str">
        <f>IFERROR(VLOOKUP($J1502,#REF!,5,0),"")</f>
        <v/>
      </c>
      <c r="M1502" s="191">
        <f t="shared" si="484"/>
        <v>0</v>
      </c>
      <c r="N1502" s="192">
        <f t="shared" si="492"/>
        <v>0</v>
      </c>
      <c r="O1502" s="193">
        <f t="shared" si="492"/>
        <v>0</v>
      </c>
      <c r="P1502" s="162">
        <f t="shared" si="493"/>
        <v>0</v>
      </c>
      <c r="Q1502" s="162">
        <f t="shared" si="493"/>
        <v>0</v>
      </c>
      <c r="R1502" s="162">
        <f t="shared" si="493"/>
        <v>0</v>
      </c>
      <c r="S1502" s="162">
        <f t="shared" si="493"/>
        <v>0</v>
      </c>
      <c r="T1502" s="162">
        <f t="shared" si="493"/>
        <v>0</v>
      </c>
      <c r="U1502" s="162">
        <f t="shared" si="493"/>
        <v>0</v>
      </c>
      <c r="V1502" s="162">
        <f t="shared" si="493"/>
        <v>0</v>
      </c>
      <c r="W1502" s="162">
        <f t="shared" si="493"/>
        <v>0</v>
      </c>
      <c r="X1502" s="162">
        <f t="shared" si="493"/>
        <v>0</v>
      </c>
      <c r="Y1502" s="162">
        <f t="shared" si="493"/>
        <v>0</v>
      </c>
      <c r="Z1502" s="162">
        <f t="shared" si="493"/>
        <v>0</v>
      </c>
      <c r="AA1502" s="162">
        <f t="shared" si="493"/>
        <v>0</v>
      </c>
      <c r="AB1502" s="163">
        <f t="shared" si="487"/>
        <v>0</v>
      </c>
      <c r="AC1502" s="159"/>
      <c r="AE1502" s="194" t="str">
        <f t="shared" si="489"/>
        <v>0 - LTS (0 - )</v>
      </c>
      <c r="AF1502" s="161">
        <f t="shared" si="494"/>
        <v>0</v>
      </c>
      <c r="AG1502" s="162">
        <f t="shared" si="494"/>
        <v>0</v>
      </c>
      <c r="AH1502" s="162">
        <f t="shared" si="494"/>
        <v>0</v>
      </c>
      <c r="AI1502" s="162">
        <f t="shared" si="494"/>
        <v>0</v>
      </c>
      <c r="AJ1502" s="162">
        <f t="shared" si="494"/>
        <v>0</v>
      </c>
      <c r="AK1502" s="162">
        <f t="shared" si="494"/>
        <v>0</v>
      </c>
      <c r="AL1502" s="162">
        <f t="shared" si="494"/>
        <v>0</v>
      </c>
      <c r="AM1502" s="162">
        <f t="shared" si="494"/>
        <v>0</v>
      </c>
      <c r="AN1502" s="162">
        <f t="shared" si="494"/>
        <v>0</v>
      </c>
      <c r="AO1502" s="162">
        <f t="shared" si="494"/>
        <v>0</v>
      </c>
      <c r="AP1502" s="162">
        <f t="shared" si="494"/>
        <v>0</v>
      </c>
      <c r="AQ1502" s="162">
        <f t="shared" si="494"/>
        <v>0</v>
      </c>
      <c r="AR1502" s="163">
        <f t="shared" si="490"/>
        <v>0</v>
      </c>
    </row>
    <row r="1503" spans="1:44" x14ac:dyDescent="0.25">
      <c r="A1503" s="14"/>
      <c r="B1503" s="15" t="str">
        <f t="shared" si="482"/>
        <v>IND_COMB_0_0</v>
      </c>
      <c r="F1503" s="190">
        <f t="shared" si="491"/>
        <v>0</v>
      </c>
      <c r="G1503" s="149" t="str">
        <f t="shared" si="491"/>
        <v/>
      </c>
      <c r="H1503" s="150" t="str">
        <f t="shared" si="491"/>
        <v/>
      </c>
      <c r="I1503" s="150">
        <f t="shared" si="491"/>
        <v>0</v>
      </c>
      <c r="J1503" s="150">
        <f t="shared" si="491"/>
        <v>0</v>
      </c>
      <c r="K1503" s="150" t="str">
        <f>IFERROR(VLOOKUP($J1503,#REF!,3,0),"")</f>
        <v/>
      </c>
      <c r="L1503" s="150" t="str">
        <f>IFERROR(VLOOKUP($J1503,#REF!,5,0),"")</f>
        <v/>
      </c>
      <c r="M1503" s="191">
        <f t="shared" si="484"/>
        <v>0</v>
      </c>
      <c r="N1503" s="192">
        <f t="shared" si="492"/>
        <v>0</v>
      </c>
      <c r="O1503" s="193">
        <f t="shared" si="492"/>
        <v>0</v>
      </c>
      <c r="P1503" s="162">
        <f t="shared" si="493"/>
        <v>0</v>
      </c>
      <c r="Q1503" s="162">
        <f t="shared" si="493"/>
        <v>0</v>
      </c>
      <c r="R1503" s="162">
        <f t="shared" si="493"/>
        <v>0</v>
      </c>
      <c r="S1503" s="162">
        <f t="shared" si="493"/>
        <v>0</v>
      </c>
      <c r="T1503" s="162">
        <f t="shared" si="493"/>
        <v>0</v>
      </c>
      <c r="U1503" s="162">
        <f t="shared" si="493"/>
        <v>0</v>
      </c>
      <c r="V1503" s="162">
        <f t="shared" si="493"/>
        <v>0</v>
      </c>
      <c r="W1503" s="162">
        <f t="shared" si="493"/>
        <v>0</v>
      </c>
      <c r="X1503" s="162">
        <f t="shared" si="493"/>
        <v>0</v>
      </c>
      <c r="Y1503" s="162">
        <f t="shared" si="493"/>
        <v>0</v>
      </c>
      <c r="Z1503" s="162">
        <f t="shared" si="493"/>
        <v>0</v>
      </c>
      <c r="AA1503" s="162">
        <f t="shared" si="493"/>
        <v>0</v>
      </c>
      <c r="AB1503" s="163">
        <f t="shared" si="487"/>
        <v>0</v>
      </c>
      <c r="AC1503" s="159"/>
      <c r="AE1503" s="194" t="str">
        <f t="shared" si="489"/>
        <v>0 - LTS (0 - )</v>
      </c>
      <c r="AF1503" s="161">
        <f t="shared" si="494"/>
        <v>0</v>
      </c>
      <c r="AG1503" s="162">
        <f t="shared" si="494"/>
        <v>0</v>
      </c>
      <c r="AH1503" s="162">
        <f t="shared" si="494"/>
        <v>0</v>
      </c>
      <c r="AI1503" s="162">
        <f t="shared" si="494"/>
        <v>0</v>
      </c>
      <c r="AJ1503" s="162">
        <f t="shared" si="494"/>
        <v>0</v>
      </c>
      <c r="AK1503" s="162">
        <f t="shared" si="494"/>
        <v>0</v>
      </c>
      <c r="AL1503" s="162">
        <f t="shared" si="494"/>
        <v>0</v>
      </c>
      <c r="AM1503" s="162">
        <f t="shared" si="494"/>
        <v>0</v>
      </c>
      <c r="AN1503" s="162">
        <f t="shared" si="494"/>
        <v>0</v>
      </c>
      <c r="AO1503" s="162">
        <f t="shared" si="494"/>
        <v>0</v>
      </c>
      <c r="AP1503" s="162">
        <f t="shared" si="494"/>
        <v>0</v>
      </c>
      <c r="AQ1503" s="162">
        <f t="shared" si="494"/>
        <v>0</v>
      </c>
      <c r="AR1503" s="163">
        <f t="shared" si="490"/>
        <v>0</v>
      </c>
    </row>
    <row r="1504" spans="1:44" x14ac:dyDescent="0.25">
      <c r="A1504" s="14"/>
      <c r="B1504" s="15" t="str">
        <f t="shared" si="482"/>
        <v>IND_COMB_0_0</v>
      </c>
      <c r="F1504" s="190">
        <f t="shared" si="491"/>
        <v>0</v>
      </c>
      <c r="G1504" s="149" t="str">
        <f t="shared" si="491"/>
        <v/>
      </c>
      <c r="H1504" s="150" t="str">
        <f t="shared" si="491"/>
        <v/>
      </c>
      <c r="I1504" s="150">
        <f t="shared" si="491"/>
        <v>0</v>
      </c>
      <c r="J1504" s="150">
        <f t="shared" si="491"/>
        <v>0</v>
      </c>
      <c r="K1504" s="150" t="str">
        <f>IFERROR(VLOOKUP($J1504,#REF!,3,0),"")</f>
        <v/>
      </c>
      <c r="L1504" s="150" t="str">
        <f>IFERROR(VLOOKUP($J1504,#REF!,5,0),"")</f>
        <v/>
      </c>
      <c r="M1504" s="191">
        <f t="shared" si="484"/>
        <v>0</v>
      </c>
      <c r="N1504" s="192">
        <f t="shared" si="492"/>
        <v>0</v>
      </c>
      <c r="O1504" s="193">
        <f t="shared" si="492"/>
        <v>0</v>
      </c>
      <c r="P1504" s="162">
        <f t="shared" si="493"/>
        <v>0</v>
      </c>
      <c r="Q1504" s="162">
        <f t="shared" si="493"/>
        <v>0</v>
      </c>
      <c r="R1504" s="162">
        <f t="shared" si="493"/>
        <v>0</v>
      </c>
      <c r="S1504" s="162">
        <f t="shared" si="493"/>
        <v>0</v>
      </c>
      <c r="T1504" s="162">
        <f t="shared" si="493"/>
        <v>0</v>
      </c>
      <c r="U1504" s="162">
        <f t="shared" si="493"/>
        <v>0</v>
      </c>
      <c r="V1504" s="162">
        <f t="shared" si="493"/>
        <v>0</v>
      </c>
      <c r="W1504" s="162">
        <f t="shared" si="493"/>
        <v>0</v>
      </c>
      <c r="X1504" s="162">
        <f t="shared" si="493"/>
        <v>0</v>
      </c>
      <c r="Y1504" s="162">
        <f t="shared" si="493"/>
        <v>0</v>
      </c>
      <c r="Z1504" s="162">
        <f t="shared" si="493"/>
        <v>0</v>
      </c>
      <c r="AA1504" s="162">
        <f t="shared" si="493"/>
        <v>0</v>
      </c>
      <c r="AB1504" s="163">
        <f t="shared" si="487"/>
        <v>0</v>
      </c>
      <c r="AC1504" s="159"/>
      <c r="AE1504" s="194" t="str">
        <f t="shared" si="489"/>
        <v>0 - LTS (0 - )</v>
      </c>
      <c r="AF1504" s="161">
        <f t="shared" si="494"/>
        <v>0</v>
      </c>
      <c r="AG1504" s="162">
        <f t="shared" si="494"/>
        <v>0</v>
      </c>
      <c r="AH1504" s="162">
        <f t="shared" si="494"/>
        <v>0</v>
      </c>
      <c r="AI1504" s="162">
        <f t="shared" si="494"/>
        <v>0</v>
      </c>
      <c r="AJ1504" s="162">
        <f t="shared" si="494"/>
        <v>0</v>
      </c>
      <c r="AK1504" s="162">
        <f t="shared" si="494"/>
        <v>0</v>
      </c>
      <c r="AL1504" s="162">
        <f t="shared" si="494"/>
        <v>0</v>
      </c>
      <c r="AM1504" s="162">
        <f t="shared" si="494"/>
        <v>0</v>
      </c>
      <c r="AN1504" s="162">
        <f t="shared" si="494"/>
        <v>0</v>
      </c>
      <c r="AO1504" s="162">
        <f t="shared" si="494"/>
        <v>0</v>
      </c>
      <c r="AP1504" s="162">
        <f t="shared" si="494"/>
        <v>0</v>
      </c>
      <c r="AQ1504" s="162">
        <f t="shared" si="494"/>
        <v>0</v>
      </c>
      <c r="AR1504" s="163">
        <f t="shared" si="490"/>
        <v>0</v>
      </c>
    </row>
    <row r="1505" spans="1:44" x14ac:dyDescent="0.25">
      <c r="A1505" s="14"/>
      <c r="B1505" s="15" t="str">
        <f t="shared" si="482"/>
        <v>IND_COMB_0_0</v>
      </c>
      <c r="F1505" s="190">
        <f t="shared" si="491"/>
        <v>0</v>
      </c>
      <c r="G1505" s="149" t="str">
        <f t="shared" si="491"/>
        <v/>
      </c>
      <c r="H1505" s="150" t="str">
        <f t="shared" si="491"/>
        <v/>
      </c>
      <c r="I1505" s="150">
        <f t="shared" si="491"/>
        <v>0</v>
      </c>
      <c r="J1505" s="150">
        <f t="shared" si="491"/>
        <v>0</v>
      </c>
      <c r="K1505" s="150" t="str">
        <f>IFERROR(VLOOKUP($J1505,#REF!,3,0),"")</f>
        <v/>
      </c>
      <c r="L1505" s="150" t="str">
        <f>IFERROR(VLOOKUP($J1505,#REF!,5,0),"")</f>
        <v/>
      </c>
      <c r="M1505" s="191">
        <f t="shared" si="484"/>
        <v>0</v>
      </c>
      <c r="N1505" s="192">
        <f t="shared" si="492"/>
        <v>0</v>
      </c>
      <c r="O1505" s="193">
        <f t="shared" si="492"/>
        <v>0</v>
      </c>
      <c r="P1505" s="162">
        <f t="shared" si="493"/>
        <v>0</v>
      </c>
      <c r="Q1505" s="162">
        <f t="shared" si="493"/>
        <v>0</v>
      </c>
      <c r="R1505" s="162">
        <f t="shared" si="493"/>
        <v>0</v>
      </c>
      <c r="S1505" s="162">
        <f t="shared" si="493"/>
        <v>0</v>
      </c>
      <c r="T1505" s="162">
        <f t="shared" si="493"/>
        <v>0</v>
      </c>
      <c r="U1505" s="162">
        <f t="shared" si="493"/>
        <v>0</v>
      </c>
      <c r="V1505" s="162">
        <f t="shared" si="493"/>
        <v>0</v>
      </c>
      <c r="W1505" s="162">
        <f t="shared" si="493"/>
        <v>0</v>
      </c>
      <c r="X1505" s="162">
        <f t="shared" si="493"/>
        <v>0</v>
      </c>
      <c r="Y1505" s="162">
        <f t="shared" si="493"/>
        <v>0</v>
      </c>
      <c r="Z1505" s="162">
        <f t="shared" si="493"/>
        <v>0</v>
      </c>
      <c r="AA1505" s="162">
        <f t="shared" si="493"/>
        <v>0</v>
      </c>
      <c r="AB1505" s="163">
        <f t="shared" si="487"/>
        <v>0</v>
      </c>
      <c r="AC1505" s="159"/>
      <c r="AE1505" s="194" t="str">
        <f t="shared" si="489"/>
        <v>0 - LTS (0 - )</v>
      </c>
      <c r="AF1505" s="161">
        <f t="shared" si="494"/>
        <v>0</v>
      </c>
      <c r="AG1505" s="162">
        <f t="shared" si="494"/>
        <v>0</v>
      </c>
      <c r="AH1505" s="162">
        <f t="shared" si="494"/>
        <v>0</v>
      </c>
      <c r="AI1505" s="162">
        <f t="shared" si="494"/>
        <v>0</v>
      </c>
      <c r="AJ1505" s="162">
        <f t="shared" si="494"/>
        <v>0</v>
      </c>
      <c r="AK1505" s="162">
        <f t="shared" si="494"/>
        <v>0</v>
      </c>
      <c r="AL1505" s="162">
        <f t="shared" si="494"/>
        <v>0</v>
      </c>
      <c r="AM1505" s="162">
        <f t="shared" si="494"/>
        <v>0</v>
      </c>
      <c r="AN1505" s="162">
        <f t="shared" si="494"/>
        <v>0</v>
      </c>
      <c r="AO1505" s="162">
        <f t="shared" si="494"/>
        <v>0</v>
      </c>
      <c r="AP1505" s="162">
        <f t="shared" si="494"/>
        <v>0</v>
      </c>
      <c r="AQ1505" s="162">
        <f t="shared" si="494"/>
        <v>0</v>
      </c>
      <c r="AR1505" s="163">
        <f t="shared" si="490"/>
        <v>0</v>
      </c>
    </row>
    <row r="1506" spans="1:44" x14ac:dyDescent="0.25">
      <c r="A1506" s="14"/>
      <c r="B1506" s="15" t="str">
        <f t="shared" si="482"/>
        <v>IND_COMB_0_0</v>
      </c>
      <c r="F1506" s="190">
        <f t="shared" si="491"/>
        <v>0</v>
      </c>
      <c r="G1506" s="149" t="str">
        <f t="shared" si="491"/>
        <v/>
      </c>
      <c r="H1506" s="150" t="str">
        <f t="shared" si="491"/>
        <v/>
      </c>
      <c r="I1506" s="150">
        <f t="shared" si="491"/>
        <v>0</v>
      </c>
      <c r="J1506" s="150">
        <f t="shared" si="491"/>
        <v>0</v>
      </c>
      <c r="K1506" s="150" t="str">
        <f>IFERROR(VLOOKUP($J1506,#REF!,3,0),"")</f>
        <v/>
      </c>
      <c r="L1506" s="150" t="str">
        <f>IFERROR(VLOOKUP($J1506,#REF!,5,0),"")</f>
        <v/>
      </c>
      <c r="M1506" s="191">
        <f t="shared" si="484"/>
        <v>0</v>
      </c>
      <c r="N1506" s="192">
        <f t="shared" si="492"/>
        <v>0</v>
      </c>
      <c r="O1506" s="193">
        <f t="shared" si="492"/>
        <v>0</v>
      </c>
      <c r="P1506" s="162">
        <f t="shared" si="493"/>
        <v>0</v>
      </c>
      <c r="Q1506" s="162">
        <f t="shared" si="493"/>
        <v>0</v>
      </c>
      <c r="R1506" s="162">
        <f t="shared" si="493"/>
        <v>0</v>
      </c>
      <c r="S1506" s="162">
        <f t="shared" si="493"/>
        <v>0</v>
      </c>
      <c r="T1506" s="162">
        <f t="shared" si="493"/>
        <v>0</v>
      </c>
      <c r="U1506" s="162">
        <f t="shared" si="493"/>
        <v>0</v>
      </c>
      <c r="V1506" s="162">
        <f t="shared" si="493"/>
        <v>0</v>
      </c>
      <c r="W1506" s="162">
        <f t="shared" si="493"/>
        <v>0</v>
      </c>
      <c r="X1506" s="162">
        <f t="shared" si="493"/>
        <v>0</v>
      </c>
      <c r="Y1506" s="162">
        <f t="shared" si="493"/>
        <v>0</v>
      </c>
      <c r="Z1506" s="162">
        <f t="shared" si="493"/>
        <v>0</v>
      </c>
      <c r="AA1506" s="162">
        <f t="shared" si="493"/>
        <v>0</v>
      </c>
      <c r="AB1506" s="163">
        <f t="shared" si="487"/>
        <v>0</v>
      </c>
      <c r="AC1506" s="159"/>
      <c r="AE1506" s="194" t="str">
        <f t="shared" si="489"/>
        <v>0 - LTS (0 - )</v>
      </c>
      <c r="AF1506" s="161">
        <f t="shared" si="494"/>
        <v>0</v>
      </c>
      <c r="AG1506" s="162">
        <f t="shared" si="494"/>
        <v>0</v>
      </c>
      <c r="AH1506" s="162">
        <f t="shared" si="494"/>
        <v>0</v>
      </c>
      <c r="AI1506" s="162">
        <f t="shared" si="494"/>
        <v>0</v>
      </c>
      <c r="AJ1506" s="162">
        <f t="shared" si="494"/>
        <v>0</v>
      </c>
      <c r="AK1506" s="162">
        <f t="shared" si="494"/>
        <v>0</v>
      </c>
      <c r="AL1506" s="162">
        <f t="shared" si="494"/>
        <v>0</v>
      </c>
      <c r="AM1506" s="162">
        <f t="shared" si="494"/>
        <v>0</v>
      </c>
      <c r="AN1506" s="162">
        <f t="shared" si="494"/>
        <v>0</v>
      </c>
      <c r="AO1506" s="162">
        <f t="shared" si="494"/>
        <v>0</v>
      </c>
      <c r="AP1506" s="162">
        <f t="shared" si="494"/>
        <v>0</v>
      </c>
      <c r="AQ1506" s="162">
        <f t="shared" si="494"/>
        <v>0</v>
      </c>
      <c r="AR1506" s="163">
        <f t="shared" si="490"/>
        <v>0</v>
      </c>
    </row>
    <row r="1507" spans="1:44" x14ac:dyDescent="0.25">
      <c r="A1507" s="14"/>
      <c r="B1507" s="15" t="str">
        <f t="shared" si="482"/>
        <v>IND_COMB_0_0</v>
      </c>
      <c r="F1507" s="190">
        <f t="shared" ref="F1507:J1519" si="495">F1460</f>
        <v>0</v>
      </c>
      <c r="G1507" s="149" t="str">
        <f t="shared" si="495"/>
        <v/>
      </c>
      <c r="H1507" s="150" t="str">
        <f t="shared" si="495"/>
        <v/>
      </c>
      <c r="I1507" s="150">
        <f t="shared" si="495"/>
        <v>0</v>
      </c>
      <c r="J1507" s="150">
        <f t="shared" si="495"/>
        <v>0</v>
      </c>
      <c r="K1507" s="150" t="str">
        <f>IFERROR(VLOOKUP($J1507,#REF!,3,0),"")</f>
        <v/>
      </c>
      <c r="L1507" s="150" t="str">
        <f>IFERROR(VLOOKUP($J1507,#REF!,5,0),"")</f>
        <v/>
      </c>
      <c r="M1507" s="191">
        <f t="shared" si="484"/>
        <v>0</v>
      </c>
      <c r="N1507" s="192">
        <f t="shared" ref="N1507:O1519" si="496">N1460</f>
        <v>0</v>
      </c>
      <c r="O1507" s="193">
        <f t="shared" si="496"/>
        <v>0</v>
      </c>
      <c r="P1507" s="162">
        <f t="shared" ref="P1507:AA1519" si="497">$M1507</f>
        <v>0</v>
      </c>
      <c r="Q1507" s="162">
        <f t="shared" si="497"/>
        <v>0</v>
      </c>
      <c r="R1507" s="162">
        <f t="shared" si="497"/>
        <v>0</v>
      </c>
      <c r="S1507" s="162">
        <f t="shared" si="497"/>
        <v>0</v>
      </c>
      <c r="T1507" s="162">
        <f t="shared" si="497"/>
        <v>0</v>
      </c>
      <c r="U1507" s="162">
        <f t="shared" si="497"/>
        <v>0</v>
      </c>
      <c r="V1507" s="162">
        <f t="shared" si="497"/>
        <v>0</v>
      </c>
      <c r="W1507" s="162">
        <f t="shared" si="497"/>
        <v>0</v>
      </c>
      <c r="X1507" s="162">
        <f t="shared" si="497"/>
        <v>0</v>
      </c>
      <c r="Y1507" s="162">
        <f t="shared" si="497"/>
        <v>0</v>
      </c>
      <c r="Z1507" s="162">
        <f t="shared" si="497"/>
        <v>0</v>
      </c>
      <c r="AA1507" s="162">
        <f t="shared" si="497"/>
        <v>0</v>
      </c>
      <c r="AB1507" s="163">
        <f t="shared" si="487"/>
        <v>0</v>
      </c>
      <c r="AC1507" s="159"/>
      <c r="AE1507" s="194" t="str">
        <f t="shared" si="489"/>
        <v>0 - LTS (0 - )</v>
      </c>
      <c r="AF1507" s="161">
        <f t="shared" ref="AF1507:AQ1519" si="498">IFERROR(IF($L1507="LTS/HS",P1507*AF1460,IF($L1507="KM/LTS",AF1460/P1507,0)),0)</f>
        <v>0</v>
      </c>
      <c r="AG1507" s="162">
        <f t="shared" si="498"/>
        <v>0</v>
      </c>
      <c r="AH1507" s="162">
        <f t="shared" si="498"/>
        <v>0</v>
      </c>
      <c r="AI1507" s="162">
        <f t="shared" si="498"/>
        <v>0</v>
      </c>
      <c r="AJ1507" s="162">
        <f t="shared" si="498"/>
        <v>0</v>
      </c>
      <c r="AK1507" s="162">
        <f t="shared" si="498"/>
        <v>0</v>
      </c>
      <c r="AL1507" s="162">
        <f t="shared" si="498"/>
        <v>0</v>
      </c>
      <c r="AM1507" s="162">
        <f t="shared" si="498"/>
        <v>0</v>
      </c>
      <c r="AN1507" s="162">
        <f t="shared" si="498"/>
        <v>0</v>
      </c>
      <c r="AO1507" s="162">
        <f t="shared" si="498"/>
        <v>0</v>
      </c>
      <c r="AP1507" s="162">
        <f t="shared" si="498"/>
        <v>0</v>
      </c>
      <c r="AQ1507" s="162">
        <f t="shared" si="498"/>
        <v>0</v>
      </c>
      <c r="AR1507" s="163">
        <f t="shared" si="490"/>
        <v>0</v>
      </c>
    </row>
    <row r="1508" spans="1:44" x14ac:dyDescent="0.25">
      <c r="A1508" s="14"/>
      <c r="B1508" s="15" t="str">
        <f t="shared" si="482"/>
        <v>IND_COMB_0_0</v>
      </c>
      <c r="F1508" s="190">
        <f t="shared" si="495"/>
        <v>0</v>
      </c>
      <c r="G1508" s="149" t="str">
        <f t="shared" si="495"/>
        <v/>
      </c>
      <c r="H1508" s="150" t="str">
        <f t="shared" si="495"/>
        <v/>
      </c>
      <c r="I1508" s="150">
        <f t="shared" si="495"/>
        <v>0</v>
      </c>
      <c r="J1508" s="150">
        <f t="shared" si="495"/>
        <v>0</v>
      </c>
      <c r="K1508" s="150" t="str">
        <f>IFERROR(VLOOKUP($J1508,#REF!,3,0),"")</f>
        <v/>
      </c>
      <c r="L1508" s="150" t="str">
        <f>IFERROR(VLOOKUP($J1508,#REF!,5,0),"")</f>
        <v/>
      </c>
      <c r="M1508" s="191">
        <f t="shared" si="484"/>
        <v>0</v>
      </c>
      <c r="N1508" s="192">
        <f t="shared" si="496"/>
        <v>0</v>
      </c>
      <c r="O1508" s="193">
        <f t="shared" si="496"/>
        <v>0</v>
      </c>
      <c r="P1508" s="162">
        <f t="shared" si="497"/>
        <v>0</v>
      </c>
      <c r="Q1508" s="162">
        <f t="shared" si="497"/>
        <v>0</v>
      </c>
      <c r="R1508" s="162">
        <f t="shared" si="497"/>
        <v>0</v>
      </c>
      <c r="S1508" s="162">
        <f t="shared" si="497"/>
        <v>0</v>
      </c>
      <c r="T1508" s="162">
        <f t="shared" si="497"/>
        <v>0</v>
      </c>
      <c r="U1508" s="162">
        <f t="shared" si="497"/>
        <v>0</v>
      </c>
      <c r="V1508" s="162">
        <f t="shared" si="497"/>
        <v>0</v>
      </c>
      <c r="W1508" s="162">
        <f t="shared" si="497"/>
        <v>0</v>
      </c>
      <c r="X1508" s="162">
        <f t="shared" si="497"/>
        <v>0</v>
      </c>
      <c r="Y1508" s="162">
        <f t="shared" si="497"/>
        <v>0</v>
      </c>
      <c r="Z1508" s="162">
        <f t="shared" si="497"/>
        <v>0</v>
      </c>
      <c r="AA1508" s="162">
        <f t="shared" si="497"/>
        <v>0</v>
      </c>
      <c r="AB1508" s="163">
        <f t="shared" si="487"/>
        <v>0</v>
      </c>
      <c r="AC1508" s="159"/>
      <c r="AE1508" s="194" t="str">
        <f t="shared" si="489"/>
        <v>0 - LTS (0 - )</v>
      </c>
      <c r="AF1508" s="161">
        <f t="shared" si="498"/>
        <v>0</v>
      </c>
      <c r="AG1508" s="162">
        <f t="shared" si="498"/>
        <v>0</v>
      </c>
      <c r="AH1508" s="162">
        <f t="shared" si="498"/>
        <v>0</v>
      </c>
      <c r="AI1508" s="162">
        <f t="shared" si="498"/>
        <v>0</v>
      </c>
      <c r="AJ1508" s="162">
        <f t="shared" si="498"/>
        <v>0</v>
      </c>
      <c r="AK1508" s="162">
        <f t="shared" si="498"/>
        <v>0</v>
      </c>
      <c r="AL1508" s="162">
        <f t="shared" si="498"/>
        <v>0</v>
      </c>
      <c r="AM1508" s="162">
        <f t="shared" si="498"/>
        <v>0</v>
      </c>
      <c r="AN1508" s="162">
        <f t="shared" si="498"/>
        <v>0</v>
      </c>
      <c r="AO1508" s="162">
        <f t="shared" si="498"/>
        <v>0</v>
      </c>
      <c r="AP1508" s="162">
        <f t="shared" si="498"/>
        <v>0</v>
      </c>
      <c r="AQ1508" s="162">
        <f t="shared" si="498"/>
        <v>0</v>
      </c>
      <c r="AR1508" s="163">
        <f t="shared" si="490"/>
        <v>0</v>
      </c>
    </row>
    <row r="1509" spans="1:44" x14ac:dyDescent="0.25">
      <c r="A1509" s="14"/>
      <c r="B1509" s="15" t="str">
        <f t="shared" si="482"/>
        <v>IND_COMB_0_0</v>
      </c>
      <c r="F1509" s="190">
        <f t="shared" si="495"/>
        <v>0</v>
      </c>
      <c r="G1509" s="149" t="str">
        <f t="shared" si="495"/>
        <v/>
      </c>
      <c r="H1509" s="150" t="str">
        <f t="shared" si="495"/>
        <v/>
      </c>
      <c r="I1509" s="150">
        <f t="shared" si="495"/>
        <v>0</v>
      </c>
      <c r="J1509" s="150">
        <f t="shared" si="495"/>
        <v>0</v>
      </c>
      <c r="K1509" s="150" t="str">
        <f>IFERROR(VLOOKUP($J1509,#REF!,3,0),"")</f>
        <v/>
      </c>
      <c r="L1509" s="150" t="str">
        <f>IFERROR(VLOOKUP($J1509,#REF!,5,0),"")</f>
        <v/>
      </c>
      <c r="M1509" s="191">
        <f t="shared" si="484"/>
        <v>0</v>
      </c>
      <c r="N1509" s="192">
        <f t="shared" si="496"/>
        <v>0</v>
      </c>
      <c r="O1509" s="193">
        <f t="shared" si="496"/>
        <v>0</v>
      </c>
      <c r="P1509" s="162">
        <f t="shared" si="497"/>
        <v>0</v>
      </c>
      <c r="Q1509" s="162">
        <f t="shared" si="497"/>
        <v>0</v>
      </c>
      <c r="R1509" s="162">
        <f t="shared" si="497"/>
        <v>0</v>
      </c>
      <c r="S1509" s="162">
        <f t="shared" si="497"/>
        <v>0</v>
      </c>
      <c r="T1509" s="162">
        <f t="shared" si="497"/>
        <v>0</v>
      </c>
      <c r="U1509" s="162">
        <f t="shared" si="497"/>
        <v>0</v>
      </c>
      <c r="V1509" s="162">
        <f t="shared" si="497"/>
        <v>0</v>
      </c>
      <c r="W1509" s="162">
        <f t="shared" si="497"/>
        <v>0</v>
      </c>
      <c r="X1509" s="162">
        <f t="shared" si="497"/>
        <v>0</v>
      </c>
      <c r="Y1509" s="162">
        <f t="shared" si="497"/>
        <v>0</v>
      </c>
      <c r="Z1509" s="162">
        <f t="shared" si="497"/>
        <v>0</v>
      </c>
      <c r="AA1509" s="162">
        <f t="shared" si="497"/>
        <v>0</v>
      </c>
      <c r="AB1509" s="163">
        <f t="shared" si="487"/>
        <v>0</v>
      </c>
      <c r="AC1509" s="159"/>
      <c r="AE1509" s="194" t="str">
        <f t="shared" si="489"/>
        <v>0 - LTS (0 - )</v>
      </c>
      <c r="AF1509" s="161">
        <f t="shared" si="498"/>
        <v>0</v>
      </c>
      <c r="AG1509" s="162">
        <f t="shared" si="498"/>
        <v>0</v>
      </c>
      <c r="AH1509" s="162">
        <f t="shared" si="498"/>
        <v>0</v>
      </c>
      <c r="AI1509" s="162">
        <f t="shared" si="498"/>
        <v>0</v>
      </c>
      <c r="AJ1509" s="162">
        <f t="shared" si="498"/>
        <v>0</v>
      </c>
      <c r="AK1509" s="162">
        <f t="shared" si="498"/>
        <v>0</v>
      </c>
      <c r="AL1509" s="162">
        <f t="shared" si="498"/>
        <v>0</v>
      </c>
      <c r="AM1509" s="162">
        <f t="shared" si="498"/>
        <v>0</v>
      </c>
      <c r="AN1509" s="162">
        <f t="shared" si="498"/>
        <v>0</v>
      </c>
      <c r="AO1509" s="162">
        <f t="shared" si="498"/>
        <v>0</v>
      </c>
      <c r="AP1509" s="162">
        <f t="shared" si="498"/>
        <v>0</v>
      </c>
      <c r="AQ1509" s="162">
        <f t="shared" si="498"/>
        <v>0</v>
      </c>
      <c r="AR1509" s="163">
        <f t="shared" si="490"/>
        <v>0</v>
      </c>
    </row>
    <row r="1510" spans="1:44" x14ac:dyDescent="0.25">
      <c r="A1510" s="14"/>
      <c r="B1510" s="15" t="str">
        <f t="shared" si="482"/>
        <v>IND_COMB_0_0</v>
      </c>
      <c r="F1510" s="190">
        <f t="shared" si="495"/>
        <v>0</v>
      </c>
      <c r="G1510" s="149" t="str">
        <f t="shared" si="495"/>
        <v/>
      </c>
      <c r="H1510" s="150" t="str">
        <f t="shared" si="495"/>
        <v/>
      </c>
      <c r="I1510" s="150">
        <f t="shared" si="495"/>
        <v>0</v>
      </c>
      <c r="J1510" s="150">
        <f t="shared" si="495"/>
        <v>0</v>
      </c>
      <c r="K1510" s="150" t="str">
        <f>IFERROR(VLOOKUP($J1510,#REF!,3,0),"")</f>
        <v/>
      </c>
      <c r="L1510" s="150" t="str">
        <f>IFERROR(VLOOKUP($J1510,#REF!,5,0),"")</f>
        <v/>
      </c>
      <c r="M1510" s="191">
        <f t="shared" si="484"/>
        <v>0</v>
      </c>
      <c r="N1510" s="192">
        <f t="shared" si="496"/>
        <v>0</v>
      </c>
      <c r="O1510" s="193">
        <f t="shared" si="496"/>
        <v>0</v>
      </c>
      <c r="P1510" s="162">
        <f t="shared" si="497"/>
        <v>0</v>
      </c>
      <c r="Q1510" s="162">
        <f t="shared" si="497"/>
        <v>0</v>
      </c>
      <c r="R1510" s="162">
        <f t="shared" si="497"/>
        <v>0</v>
      </c>
      <c r="S1510" s="162">
        <f t="shared" si="497"/>
        <v>0</v>
      </c>
      <c r="T1510" s="162">
        <f t="shared" si="497"/>
        <v>0</v>
      </c>
      <c r="U1510" s="162">
        <f t="shared" si="497"/>
        <v>0</v>
      </c>
      <c r="V1510" s="162">
        <f t="shared" si="497"/>
        <v>0</v>
      </c>
      <c r="W1510" s="162">
        <f t="shared" si="497"/>
        <v>0</v>
      </c>
      <c r="X1510" s="162">
        <f t="shared" si="497"/>
        <v>0</v>
      </c>
      <c r="Y1510" s="162">
        <f t="shared" si="497"/>
        <v>0</v>
      </c>
      <c r="Z1510" s="162">
        <f t="shared" si="497"/>
        <v>0</v>
      </c>
      <c r="AA1510" s="162">
        <f t="shared" si="497"/>
        <v>0</v>
      </c>
      <c r="AB1510" s="163">
        <f t="shared" si="487"/>
        <v>0</v>
      </c>
      <c r="AC1510" s="159"/>
      <c r="AE1510" s="194" t="str">
        <f t="shared" si="489"/>
        <v>0 - LTS (0 - )</v>
      </c>
      <c r="AF1510" s="161">
        <f t="shared" si="498"/>
        <v>0</v>
      </c>
      <c r="AG1510" s="162">
        <f t="shared" si="498"/>
        <v>0</v>
      </c>
      <c r="AH1510" s="162">
        <f t="shared" si="498"/>
        <v>0</v>
      </c>
      <c r="AI1510" s="162">
        <f t="shared" si="498"/>
        <v>0</v>
      </c>
      <c r="AJ1510" s="162">
        <f t="shared" si="498"/>
        <v>0</v>
      </c>
      <c r="AK1510" s="162">
        <f t="shared" si="498"/>
        <v>0</v>
      </c>
      <c r="AL1510" s="162">
        <f t="shared" si="498"/>
        <v>0</v>
      </c>
      <c r="AM1510" s="162">
        <f t="shared" si="498"/>
        <v>0</v>
      </c>
      <c r="AN1510" s="162">
        <f t="shared" si="498"/>
        <v>0</v>
      </c>
      <c r="AO1510" s="162">
        <f t="shared" si="498"/>
        <v>0</v>
      </c>
      <c r="AP1510" s="162">
        <f t="shared" si="498"/>
        <v>0</v>
      </c>
      <c r="AQ1510" s="162">
        <f t="shared" si="498"/>
        <v>0</v>
      </c>
      <c r="AR1510" s="163">
        <f t="shared" si="490"/>
        <v>0</v>
      </c>
    </row>
    <row r="1511" spans="1:44" x14ac:dyDescent="0.25">
      <c r="A1511" s="14"/>
      <c r="B1511" s="15" t="str">
        <f t="shared" si="482"/>
        <v>IND_COMB_0_0</v>
      </c>
      <c r="F1511" s="190">
        <f t="shared" si="495"/>
        <v>0</v>
      </c>
      <c r="G1511" s="149" t="str">
        <f t="shared" si="495"/>
        <v/>
      </c>
      <c r="H1511" s="150" t="str">
        <f t="shared" si="495"/>
        <v/>
      </c>
      <c r="I1511" s="150">
        <f t="shared" si="495"/>
        <v>0</v>
      </c>
      <c r="J1511" s="150">
        <f t="shared" si="495"/>
        <v>0</v>
      </c>
      <c r="K1511" s="150" t="str">
        <f>IFERROR(VLOOKUP($J1511,#REF!,3,0),"")</f>
        <v/>
      </c>
      <c r="L1511" s="150" t="str">
        <f>IFERROR(VLOOKUP($J1511,#REF!,5,0),"")</f>
        <v/>
      </c>
      <c r="M1511" s="191">
        <f t="shared" si="484"/>
        <v>0</v>
      </c>
      <c r="N1511" s="192">
        <f t="shared" si="496"/>
        <v>0</v>
      </c>
      <c r="O1511" s="193">
        <f t="shared" si="496"/>
        <v>0</v>
      </c>
      <c r="P1511" s="162">
        <f t="shared" si="497"/>
        <v>0</v>
      </c>
      <c r="Q1511" s="162">
        <f t="shared" si="497"/>
        <v>0</v>
      </c>
      <c r="R1511" s="162">
        <f t="shared" si="497"/>
        <v>0</v>
      </c>
      <c r="S1511" s="162">
        <f t="shared" si="497"/>
        <v>0</v>
      </c>
      <c r="T1511" s="162">
        <f t="shared" si="497"/>
        <v>0</v>
      </c>
      <c r="U1511" s="162">
        <f t="shared" si="497"/>
        <v>0</v>
      </c>
      <c r="V1511" s="162">
        <f t="shared" si="497"/>
        <v>0</v>
      </c>
      <c r="W1511" s="162">
        <f t="shared" si="497"/>
        <v>0</v>
      </c>
      <c r="X1511" s="162">
        <f t="shared" si="497"/>
        <v>0</v>
      </c>
      <c r="Y1511" s="162">
        <f t="shared" si="497"/>
        <v>0</v>
      </c>
      <c r="Z1511" s="162">
        <f t="shared" si="497"/>
        <v>0</v>
      </c>
      <c r="AA1511" s="162">
        <f t="shared" si="497"/>
        <v>0</v>
      </c>
      <c r="AB1511" s="163">
        <f t="shared" si="487"/>
        <v>0</v>
      </c>
      <c r="AC1511" s="159"/>
      <c r="AE1511" s="194" t="str">
        <f t="shared" si="489"/>
        <v>0 - LTS (0 - )</v>
      </c>
      <c r="AF1511" s="161">
        <f t="shared" si="498"/>
        <v>0</v>
      </c>
      <c r="AG1511" s="162">
        <f t="shared" si="498"/>
        <v>0</v>
      </c>
      <c r="AH1511" s="162">
        <f t="shared" si="498"/>
        <v>0</v>
      </c>
      <c r="AI1511" s="162">
        <f t="shared" si="498"/>
        <v>0</v>
      </c>
      <c r="AJ1511" s="162">
        <f t="shared" si="498"/>
        <v>0</v>
      </c>
      <c r="AK1511" s="162">
        <f t="shared" si="498"/>
        <v>0</v>
      </c>
      <c r="AL1511" s="162">
        <f t="shared" si="498"/>
        <v>0</v>
      </c>
      <c r="AM1511" s="162">
        <f t="shared" si="498"/>
        <v>0</v>
      </c>
      <c r="AN1511" s="162">
        <f t="shared" si="498"/>
        <v>0</v>
      </c>
      <c r="AO1511" s="162">
        <f t="shared" si="498"/>
        <v>0</v>
      </c>
      <c r="AP1511" s="162">
        <f t="shared" si="498"/>
        <v>0</v>
      </c>
      <c r="AQ1511" s="162">
        <f t="shared" si="498"/>
        <v>0</v>
      </c>
      <c r="AR1511" s="163">
        <f t="shared" si="490"/>
        <v>0</v>
      </c>
    </row>
    <row r="1512" spans="1:44" x14ac:dyDescent="0.25">
      <c r="A1512" s="14"/>
      <c r="B1512" s="15" t="str">
        <f t="shared" si="482"/>
        <v>IND_COMB_0_0</v>
      </c>
      <c r="F1512" s="190">
        <f t="shared" si="495"/>
        <v>0</v>
      </c>
      <c r="G1512" s="149" t="str">
        <f t="shared" si="495"/>
        <v/>
      </c>
      <c r="H1512" s="150" t="str">
        <f t="shared" si="495"/>
        <v/>
      </c>
      <c r="I1512" s="150">
        <f t="shared" si="495"/>
        <v>0</v>
      </c>
      <c r="J1512" s="150">
        <f t="shared" si="495"/>
        <v>0</v>
      </c>
      <c r="K1512" s="150" t="str">
        <f>IFERROR(VLOOKUP($J1512,#REF!,3,0),"")</f>
        <v/>
      </c>
      <c r="L1512" s="150" t="str">
        <f>IFERROR(VLOOKUP($J1512,#REF!,5,0),"")</f>
        <v/>
      </c>
      <c r="M1512" s="191">
        <f t="shared" si="484"/>
        <v>0</v>
      </c>
      <c r="N1512" s="192">
        <f t="shared" si="496"/>
        <v>0</v>
      </c>
      <c r="O1512" s="193">
        <f t="shared" si="496"/>
        <v>0</v>
      </c>
      <c r="P1512" s="162">
        <f t="shared" si="497"/>
        <v>0</v>
      </c>
      <c r="Q1512" s="162">
        <f t="shared" si="497"/>
        <v>0</v>
      </c>
      <c r="R1512" s="162">
        <f t="shared" si="497"/>
        <v>0</v>
      </c>
      <c r="S1512" s="162">
        <f t="shared" si="497"/>
        <v>0</v>
      </c>
      <c r="T1512" s="162">
        <f t="shared" si="497"/>
        <v>0</v>
      </c>
      <c r="U1512" s="162">
        <f t="shared" si="497"/>
        <v>0</v>
      </c>
      <c r="V1512" s="162">
        <f t="shared" si="497"/>
        <v>0</v>
      </c>
      <c r="W1512" s="162">
        <f t="shared" si="497"/>
        <v>0</v>
      </c>
      <c r="X1512" s="162">
        <f t="shared" si="497"/>
        <v>0</v>
      </c>
      <c r="Y1512" s="162">
        <f t="shared" si="497"/>
        <v>0</v>
      </c>
      <c r="Z1512" s="162">
        <f t="shared" si="497"/>
        <v>0</v>
      </c>
      <c r="AA1512" s="162">
        <f t="shared" si="497"/>
        <v>0</v>
      </c>
      <c r="AB1512" s="163">
        <f t="shared" si="487"/>
        <v>0</v>
      </c>
      <c r="AC1512" s="159"/>
      <c r="AE1512" s="194" t="str">
        <f t="shared" si="489"/>
        <v>0 - LTS (0 - )</v>
      </c>
      <c r="AF1512" s="161">
        <f t="shared" si="498"/>
        <v>0</v>
      </c>
      <c r="AG1512" s="162">
        <f t="shared" si="498"/>
        <v>0</v>
      </c>
      <c r="AH1512" s="162">
        <f t="shared" si="498"/>
        <v>0</v>
      </c>
      <c r="AI1512" s="162">
        <f t="shared" si="498"/>
        <v>0</v>
      </c>
      <c r="AJ1512" s="162">
        <f t="shared" si="498"/>
        <v>0</v>
      </c>
      <c r="AK1512" s="162">
        <f t="shared" si="498"/>
        <v>0</v>
      </c>
      <c r="AL1512" s="162">
        <f t="shared" si="498"/>
        <v>0</v>
      </c>
      <c r="AM1512" s="162">
        <f t="shared" si="498"/>
        <v>0</v>
      </c>
      <c r="AN1512" s="162">
        <f t="shared" si="498"/>
        <v>0</v>
      </c>
      <c r="AO1512" s="162">
        <f t="shared" si="498"/>
        <v>0</v>
      </c>
      <c r="AP1512" s="162">
        <f t="shared" si="498"/>
        <v>0</v>
      </c>
      <c r="AQ1512" s="162">
        <f t="shared" si="498"/>
        <v>0</v>
      </c>
      <c r="AR1512" s="163">
        <f t="shared" si="490"/>
        <v>0</v>
      </c>
    </row>
    <row r="1513" spans="1:44" x14ac:dyDescent="0.25">
      <c r="A1513" s="14"/>
      <c r="B1513" s="15" t="str">
        <f t="shared" si="482"/>
        <v>IND_COMB_0_0</v>
      </c>
      <c r="F1513" s="190">
        <f t="shared" si="495"/>
        <v>0</v>
      </c>
      <c r="G1513" s="149" t="str">
        <f t="shared" si="495"/>
        <v/>
      </c>
      <c r="H1513" s="150" t="str">
        <f t="shared" si="495"/>
        <v/>
      </c>
      <c r="I1513" s="150">
        <f t="shared" si="495"/>
        <v>0</v>
      </c>
      <c r="J1513" s="150">
        <f t="shared" si="495"/>
        <v>0</v>
      </c>
      <c r="K1513" s="150" t="str">
        <f>IFERROR(VLOOKUP($J1513,#REF!,3,0),"")</f>
        <v/>
      </c>
      <c r="L1513" s="150" t="str">
        <f>IFERROR(VLOOKUP($J1513,#REF!,5,0),"")</f>
        <v/>
      </c>
      <c r="M1513" s="191">
        <f t="shared" si="484"/>
        <v>0</v>
      </c>
      <c r="N1513" s="192">
        <f t="shared" si="496"/>
        <v>0</v>
      </c>
      <c r="O1513" s="193">
        <f t="shared" si="496"/>
        <v>0</v>
      </c>
      <c r="P1513" s="162">
        <f t="shared" si="497"/>
        <v>0</v>
      </c>
      <c r="Q1513" s="162">
        <f t="shared" si="497"/>
        <v>0</v>
      </c>
      <c r="R1513" s="162">
        <f t="shared" si="497"/>
        <v>0</v>
      </c>
      <c r="S1513" s="162">
        <f t="shared" si="497"/>
        <v>0</v>
      </c>
      <c r="T1513" s="162">
        <f t="shared" si="497"/>
        <v>0</v>
      </c>
      <c r="U1513" s="162">
        <f t="shared" si="497"/>
        <v>0</v>
      </c>
      <c r="V1513" s="162">
        <f t="shared" si="497"/>
        <v>0</v>
      </c>
      <c r="W1513" s="162">
        <f t="shared" si="497"/>
        <v>0</v>
      </c>
      <c r="X1513" s="162">
        <f t="shared" si="497"/>
        <v>0</v>
      </c>
      <c r="Y1513" s="162">
        <f t="shared" si="497"/>
        <v>0</v>
      </c>
      <c r="Z1513" s="162">
        <f t="shared" si="497"/>
        <v>0</v>
      </c>
      <c r="AA1513" s="162">
        <f t="shared" si="497"/>
        <v>0</v>
      </c>
      <c r="AB1513" s="163">
        <f t="shared" si="487"/>
        <v>0</v>
      </c>
      <c r="AC1513" s="159"/>
      <c r="AE1513" s="194" t="str">
        <f t="shared" si="489"/>
        <v>0 - LTS (0 - )</v>
      </c>
      <c r="AF1513" s="161">
        <f t="shared" si="498"/>
        <v>0</v>
      </c>
      <c r="AG1513" s="162">
        <f t="shared" si="498"/>
        <v>0</v>
      </c>
      <c r="AH1513" s="162">
        <f t="shared" si="498"/>
        <v>0</v>
      </c>
      <c r="AI1513" s="162">
        <f t="shared" si="498"/>
        <v>0</v>
      </c>
      <c r="AJ1513" s="162">
        <f t="shared" si="498"/>
        <v>0</v>
      </c>
      <c r="AK1513" s="162">
        <f t="shared" si="498"/>
        <v>0</v>
      </c>
      <c r="AL1513" s="162">
        <f t="shared" si="498"/>
        <v>0</v>
      </c>
      <c r="AM1513" s="162">
        <f t="shared" si="498"/>
        <v>0</v>
      </c>
      <c r="AN1513" s="162">
        <f t="shared" si="498"/>
        <v>0</v>
      </c>
      <c r="AO1513" s="162">
        <f t="shared" si="498"/>
        <v>0</v>
      </c>
      <c r="AP1513" s="162">
        <f t="shared" si="498"/>
        <v>0</v>
      </c>
      <c r="AQ1513" s="162">
        <f t="shared" si="498"/>
        <v>0</v>
      </c>
      <c r="AR1513" s="163">
        <f t="shared" si="490"/>
        <v>0</v>
      </c>
    </row>
    <row r="1514" spans="1:44" x14ac:dyDescent="0.25">
      <c r="A1514" s="14"/>
      <c r="B1514" s="15" t="str">
        <f t="shared" si="482"/>
        <v>IND_COMB_0_0</v>
      </c>
      <c r="F1514" s="190">
        <f t="shared" si="495"/>
        <v>0</v>
      </c>
      <c r="G1514" s="149" t="str">
        <f t="shared" si="495"/>
        <v/>
      </c>
      <c r="H1514" s="150" t="str">
        <f t="shared" si="495"/>
        <v/>
      </c>
      <c r="I1514" s="150">
        <f t="shared" si="495"/>
        <v>0</v>
      </c>
      <c r="J1514" s="150">
        <f t="shared" si="495"/>
        <v>0</v>
      </c>
      <c r="K1514" s="150" t="str">
        <f>IFERROR(VLOOKUP($J1514,#REF!,3,0),"")</f>
        <v/>
      </c>
      <c r="L1514" s="150" t="str">
        <f>IFERROR(VLOOKUP($J1514,#REF!,5,0),"")</f>
        <v/>
      </c>
      <c r="M1514" s="191">
        <f t="shared" si="484"/>
        <v>0</v>
      </c>
      <c r="N1514" s="192">
        <f t="shared" si="496"/>
        <v>0</v>
      </c>
      <c r="O1514" s="193">
        <f t="shared" si="496"/>
        <v>0</v>
      </c>
      <c r="P1514" s="162">
        <f t="shared" si="497"/>
        <v>0</v>
      </c>
      <c r="Q1514" s="162">
        <f t="shared" si="497"/>
        <v>0</v>
      </c>
      <c r="R1514" s="162">
        <f t="shared" si="497"/>
        <v>0</v>
      </c>
      <c r="S1514" s="162">
        <f t="shared" si="497"/>
        <v>0</v>
      </c>
      <c r="T1514" s="162">
        <f t="shared" si="497"/>
        <v>0</v>
      </c>
      <c r="U1514" s="162">
        <f t="shared" si="497"/>
        <v>0</v>
      </c>
      <c r="V1514" s="162">
        <f t="shared" si="497"/>
        <v>0</v>
      </c>
      <c r="W1514" s="162">
        <f t="shared" si="497"/>
        <v>0</v>
      </c>
      <c r="X1514" s="162">
        <f t="shared" si="497"/>
        <v>0</v>
      </c>
      <c r="Y1514" s="162">
        <f t="shared" si="497"/>
        <v>0</v>
      </c>
      <c r="Z1514" s="162">
        <f t="shared" si="497"/>
        <v>0</v>
      </c>
      <c r="AA1514" s="162">
        <f t="shared" si="497"/>
        <v>0</v>
      </c>
      <c r="AB1514" s="163">
        <f t="shared" si="487"/>
        <v>0</v>
      </c>
      <c r="AC1514" s="159"/>
      <c r="AE1514" s="194" t="str">
        <f t="shared" si="489"/>
        <v>0 - LTS (0 - )</v>
      </c>
      <c r="AF1514" s="161">
        <f t="shared" si="498"/>
        <v>0</v>
      </c>
      <c r="AG1514" s="162">
        <f t="shared" si="498"/>
        <v>0</v>
      </c>
      <c r="AH1514" s="162">
        <f t="shared" si="498"/>
        <v>0</v>
      </c>
      <c r="AI1514" s="162">
        <f t="shared" si="498"/>
        <v>0</v>
      </c>
      <c r="AJ1514" s="162">
        <f t="shared" si="498"/>
        <v>0</v>
      </c>
      <c r="AK1514" s="162">
        <f t="shared" si="498"/>
        <v>0</v>
      </c>
      <c r="AL1514" s="162">
        <f t="shared" si="498"/>
        <v>0</v>
      </c>
      <c r="AM1514" s="162">
        <f t="shared" si="498"/>
        <v>0</v>
      </c>
      <c r="AN1514" s="162">
        <f t="shared" si="498"/>
        <v>0</v>
      </c>
      <c r="AO1514" s="162">
        <f t="shared" si="498"/>
        <v>0</v>
      </c>
      <c r="AP1514" s="162">
        <f t="shared" si="498"/>
        <v>0</v>
      </c>
      <c r="AQ1514" s="162">
        <f t="shared" si="498"/>
        <v>0</v>
      </c>
      <c r="AR1514" s="163">
        <f t="shared" si="490"/>
        <v>0</v>
      </c>
    </row>
    <row r="1515" spans="1:44" x14ac:dyDescent="0.25">
      <c r="A1515" s="14"/>
      <c r="B1515" s="15" t="str">
        <f t="shared" si="482"/>
        <v>IND_COMB_0_0</v>
      </c>
      <c r="F1515" s="190">
        <f t="shared" si="495"/>
        <v>0</v>
      </c>
      <c r="G1515" s="149" t="str">
        <f t="shared" si="495"/>
        <v/>
      </c>
      <c r="H1515" s="150" t="str">
        <f t="shared" si="495"/>
        <v/>
      </c>
      <c r="I1515" s="150">
        <f t="shared" si="495"/>
        <v>0</v>
      </c>
      <c r="J1515" s="150">
        <f t="shared" si="495"/>
        <v>0</v>
      </c>
      <c r="K1515" s="150" t="str">
        <f>IFERROR(VLOOKUP($J1515,#REF!,3,0),"")</f>
        <v/>
      </c>
      <c r="L1515" s="150" t="str">
        <f>IFERROR(VLOOKUP($J1515,#REF!,5,0),"")</f>
        <v/>
      </c>
      <c r="M1515" s="191">
        <f t="shared" si="484"/>
        <v>0</v>
      </c>
      <c r="N1515" s="192">
        <f t="shared" si="496"/>
        <v>0</v>
      </c>
      <c r="O1515" s="193">
        <f>O1468</f>
        <v>0</v>
      </c>
      <c r="P1515" s="162">
        <f t="shared" si="497"/>
        <v>0</v>
      </c>
      <c r="Q1515" s="162">
        <f t="shared" si="497"/>
        <v>0</v>
      </c>
      <c r="R1515" s="162">
        <f t="shared" si="497"/>
        <v>0</v>
      </c>
      <c r="S1515" s="162">
        <f t="shared" si="497"/>
        <v>0</v>
      </c>
      <c r="T1515" s="162">
        <f t="shared" si="497"/>
        <v>0</v>
      </c>
      <c r="U1515" s="162">
        <f t="shared" si="497"/>
        <v>0</v>
      </c>
      <c r="V1515" s="162">
        <f t="shared" si="497"/>
        <v>0</v>
      </c>
      <c r="W1515" s="162">
        <f t="shared" si="497"/>
        <v>0</v>
      </c>
      <c r="X1515" s="162">
        <f t="shared" si="497"/>
        <v>0</v>
      </c>
      <c r="Y1515" s="162">
        <f t="shared" si="497"/>
        <v>0</v>
      </c>
      <c r="Z1515" s="162">
        <f t="shared" si="497"/>
        <v>0</v>
      </c>
      <c r="AA1515" s="162">
        <f t="shared" si="497"/>
        <v>0</v>
      </c>
      <c r="AB1515" s="163">
        <f t="shared" si="487"/>
        <v>0</v>
      </c>
      <c r="AC1515" s="159"/>
      <c r="AE1515" s="194" t="str">
        <f t="shared" si="489"/>
        <v>0 - LTS (0 - )</v>
      </c>
      <c r="AF1515" s="161">
        <f t="shared" si="498"/>
        <v>0</v>
      </c>
      <c r="AG1515" s="162">
        <f t="shared" si="498"/>
        <v>0</v>
      </c>
      <c r="AH1515" s="162">
        <f t="shared" si="498"/>
        <v>0</v>
      </c>
      <c r="AI1515" s="162">
        <f t="shared" si="498"/>
        <v>0</v>
      </c>
      <c r="AJ1515" s="162">
        <f t="shared" si="498"/>
        <v>0</v>
      </c>
      <c r="AK1515" s="162">
        <f t="shared" si="498"/>
        <v>0</v>
      </c>
      <c r="AL1515" s="162">
        <f t="shared" si="498"/>
        <v>0</v>
      </c>
      <c r="AM1515" s="162">
        <f t="shared" si="498"/>
        <v>0</v>
      </c>
      <c r="AN1515" s="162">
        <f t="shared" si="498"/>
        <v>0</v>
      </c>
      <c r="AO1515" s="162">
        <f t="shared" si="498"/>
        <v>0</v>
      </c>
      <c r="AP1515" s="162">
        <f t="shared" si="498"/>
        <v>0</v>
      </c>
      <c r="AQ1515" s="162">
        <f t="shared" si="498"/>
        <v>0</v>
      </c>
      <c r="AR1515" s="163">
        <f t="shared" si="490"/>
        <v>0</v>
      </c>
    </row>
    <row r="1516" spans="1:44" x14ac:dyDescent="0.25">
      <c r="A1516" s="14"/>
      <c r="B1516" s="15" t="str">
        <f t="shared" si="482"/>
        <v>IND_COMB_0_0</v>
      </c>
      <c r="F1516" s="190">
        <f t="shared" si="495"/>
        <v>0</v>
      </c>
      <c r="G1516" s="149" t="str">
        <f t="shared" si="495"/>
        <v/>
      </c>
      <c r="H1516" s="150" t="str">
        <f t="shared" si="495"/>
        <v/>
      </c>
      <c r="I1516" s="150">
        <f t="shared" si="495"/>
        <v>0</v>
      </c>
      <c r="J1516" s="150">
        <f t="shared" si="495"/>
        <v>0</v>
      </c>
      <c r="K1516" s="150" t="str">
        <f>IFERROR(VLOOKUP($J1516,#REF!,3,0),"")</f>
        <v/>
      </c>
      <c r="L1516" s="150" t="str">
        <f>IFERROR(VLOOKUP($J1516,#REF!,5,0),"")</f>
        <v/>
      </c>
      <c r="M1516" s="191">
        <f t="shared" si="484"/>
        <v>0</v>
      </c>
      <c r="N1516" s="192">
        <f t="shared" si="496"/>
        <v>0</v>
      </c>
      <c r="O1516" s="193">
        <f>O1469</f>
        <v>0</v>
      </c>
      <c r="P1516" s="162">
        <f t="shared" si="497"/>
        <v>0</v>
      </c>
      <c r="Q1516" s="162">
        <f t="shared" si="497"/>
        <v>0</v>
      </c>
      <c r="R1516" s="162">
        <f t="shared" si="497"/>
        <v>0</v>
      </c>
      <c r="S1516" s="162">
        <f t="shared" si="497"/>
        <v>0</v>
      </c>
      <c r="T1516" s="162">
        <f t="shared" si="497"/>
        <v>0</v>
      </c>
      <c r="U1516" s="162">
        <f t="shared" si="497"/>
        <v>0</v>
      </c>
      <c r="V1516" s="162">
        <f t="shared" si="497"/>
        <v>0</v>
      </c>
      <c r="W1516" s="162">
        <f t="shared" si="497"/>
        <v>0</v>
      </c>
      <c r="X1516" s="162">
        <f t="shared" si="497"/>
        <v>0</v>
      </c>
      <c r="Y1516" s="162">
        <f t="shared" si="497"/>
        <v>0</v>
      </c>
      <c r="Z1516" s="162">
        <f t="shared" si="497"/>
        <v>0</v>
      </c>
      <c r="AA1516" s="162">
        <f t="shared" si="497"/>
        <v>0</v>
      </c>
      <c r="AB1516" s="163">
        <f t="shared" si="487"/>
        <v>0</v>
      </c>
      <c r="AC1516" s="159"/>
      <c r="AE1516" s="194" t="str">
        <f t="shared" si="489"/>
        <v>0 - LTS (0 - )</v>
      </c>
      <c r="AF1516" s="161">
        <f t="shared" si="498"/>
        <v>0</v>
      </c>
      <c r="AG1516" s="162">
        <f t="shared" si="498"/>
        <v>0</v>
      </c>
      <c r="AH1516" s="162">
        <f t="shared" si="498"/>
        <v>0</v>
      </c>
      <c r="AI1516" s="162">
        <f t="shared" si="498"/>
        <v>0</v>
      </c>
      <c r="AJ1516" s="162">
        <f t="shared" si="498"/>
        <v>0</v>
      </c>
      <c r="AK1516" s="162">
        <f t="shared" si="498"/>
        <v>0</v>
      </c>
      <c r="AL1516" s="162">
        <f t="shared" si="498"/>
        <v>0</v>
      </c>
      <c r="AM1516" s="162">
        <f t="shared" si="498"/>
        <v>0</v>
      </c>
      <c r="AN1516" s="162">
        <f t="shared" si="498"/>
        <v>0</v>
      </c>
      <c r="AO1516" s="162">
        <f t="shared" si="498"/>
        <v>0</v>
      </c>
      <c r="AP1516" s="162">
        <f t="shared" si="498"/>
        <v>0</v>
      </c>
      <c r="AQ1516" s="162">
        <f t="shared" si="498"/>
        <v>0</v>
      </c>
      <c r="AR1516" s="163">
        <f t="shared" si="490"/>
        <v>0</v>
      </c>
    </row>
    <row r="1517" spans="1:44" x14ac:dyDescent="0.25">
      <c r="A1517" s="14"/>
      <c r="B1517" s="15" t="str">
        <f t="shared" si="482"/>
        <v>IND_COMB_0_0</v>
      </c>
      <c r="F1517" s="190">
        <f t="shared" si="495"/>
        <v>0</v>
      </c>
      <c r="G1517" s="149" t="str">
        <f t="shared" si="495"/>
        <v/>
      </c>
      <c r="H1517" s="150" t="str">
        <f t="shared" si="495"/>
        <v/>
      </c>
      <c r="I1517" s="150">
        <f t="shared" si="495"/>
        <v>0</v>
      </c>
      <c r="J1517" s="150">
        <f t="shared" si="495"/>
        <v>0</v>
      </c>
      <c r="K1517" s="150" t="str">
        <f>IFERROR(VLOOKUP($J1517,#REF!,3,0),"")</f>
        <v/>
      </c>
      <c r="L1517" s="150" t="str">
        <f>IFERROR(VLOOKUP($J1517,#REF!,5,0),"")</f>
        <v/>
      </c>
      <c r="M1517" s="191">
        <f t="shared" si="484"/>
        <v>0</v>
      </c>
      <c r="N1517" s="192">
        <f t="shared" si="496"/>
        <v>0</v>
      </c>
      <c r="O1517" s="193">
        <f>O1470</f>
        <v>0</v>
      </c>
      <c r="P1517" s="162">
        <f t="shared" si="497"/>
        <v>0</v>
      </c>
      <c r="Q1517" s="162">
        <f t="shared" si="497"/>
        <v>0</v>
      </c>
      <c r="R1517" s="162">
        <f t="shared" si="497"/>
        <v>0</v>
      </c>
      <c r="S1517" s="162">
        <f t="shared" si="497"/>
        <v>0</v>
      </c>
      <c r="T1517" s="162">
        <f t="shared" si="497"/>
        <v>0</v>
      </c>
      <c r="U1517" s="162">
        <f t="shared" si="497"/>
        <v>0</v>
      </c>
      <c r="V1517" s="162">
        <f t="shared" si="497"/>
        <v>0</v>
      </c>
      <c r="W1517" s="162">
        <f t="shared" si="497"/>
        <v>0</v>
      </c>
      <c r="X1517" s="162">
        <f t="shared" si="497"/>
        <v>0</v>
      </c>
      <c r="Y1517" s="162">
        <f t="shared" si="497"/>
        <v>0</v>
      </c>
      <c r="Z1517" s="162">
        <f t="shared" si="497"/>
        <v>0</v>
      </c>
      <c r="AA1517" s="162">
        <f t="shared" si="497"/>
        <v>0</v>
      </c>
      <c r="AB1517" s="163">
        <f t="shared" si="487"/>
        <v>0</v>
      </c>
      <c r="AC1517" s="159"/>
      <c r="AE1517" s="194" t="str">
        <f t="shared" si="489"/>
        <v>0 - LTS (0 - )</v>
      </c>
      <c r="AF1517" s="161">
        <f t="shared" si="498"/>
        <v>0</v>
      </c>
      <c r="AG1517" s="162">
        <f t="shared" si="498"/>
        <v>0</v>
      </c>
      <c r="AH1517" s="162">
        <f t="shared" si="498"/>
        <v>0</v>
      </c>
      <c r="AI1517" s="162">
        <f t="shared" si="498"/>
        <v>0</v>
      </c>
      <c r="AJ1517" s="162">
        <f t="shared" si="498"/>
        <v>0</v>
      </c>
      <c r="AK1517" s="162">
        <f t="shared" si="498"/>
        <v>0</v>
      </c>
      <c r="AL1517" s="162">
        <f t="shared" si="498"/>
        <v>0</v>
      </c>
      <c r="AM1517" s="162">
        <f t="shared" si="498"/>
        <v>0</v>
      </c>
      <c r="AN1517" s="162">
        <f t="shared" si="498"/>
        <v>0</v>
      </c>
      <c r="AO1517" s="162">
        <f t="shared" si="498"/>
        <v>0</v>
      </c>
      <c r="AP1517" s="162">
        <f t="shared" si="498"/>
        <v>0</v>
      </c>
      <c r="AQ1517" s="162">
        <f t="shared" si="498"/>
        <v>0</v>
      </c>
      <c r="AR1517" s="163">
        <f t="shared" si="490"/>
        <v>0</v>
      </c>
    </row>
    <row r="1518" spans="1:44" x14ac:dyDescent="0.25">
      <c r="A1518" s="14"/>
      <c r="B1518" s="15" t="str">
        <f t="shared" si="482"/>
        <v>IND_COMB_0_0</v>
      </c>
      <c r="F1518" s="190">
        <f t="shared" si="495"/>
        <v>0</v>
      </c>
      <c r="G1518" s="149" t="str">
        <f t="shared" si="495"/>
        <v/>
      </c>
      <c r="H1518" s="150" t="str">
        <f t="shared" si="495"/>
        <v/>
      </c>
      <c r="I1518" s="150">
        <f t="shared" si="495"/>
        <v>0</v>
      </c>
      <c r="J1518" s="150">
        <f t="shared" si="495"/>
        <v>0</v>
      </c>
      <c r="K1518" s="150" t="str">
        <f>IFERROR(VLOOKUP($J1518,#REF!,3,0),"")</f>
        <v/>
      </c>
      <c r="L1518" s="150" t="str">
        <f>IFERROR(VLOOKUP($J1518,#REF!,5,0),"")</f>
        <v/>
      </c>
      <c r="M1518" s="191">
        <f t="shared" si="484"/>
        <v>0</v>
      </c>
      <c r="N1518" s="192">
        <f t="shared" si="496"/>
        <v>0</v>
      </c>
      <c r="O1518" s="193">
        <f>O1471</f>
        <v>0</v>
      </c>
      <c r="P1518" s="162">
        <f t="shared" si="497"/>
        <v>0</v>
      </c>
      <c r="Q1518" s="162">
        <f t="shared" si="497"/>
        <v>0</v>
      </c>
      <c r="R1518" s="162">
        <f t="shared" si="497"/>
        <v>0</v>
      </c>
      <c r="S1518" s="162">
        <f t="shared" si="497"/>
        <v>0</v>
      </c>
      <c r="T1518" s="162">
        <f t="shared" si="497"/>
        <v>0</v>
      </c>
      <c r="U1518" s="162">
        <f t="shared" si="497"/>
        <v>0</v>
      </c>
      <c r="V1518" s="162">
        <f t="shared" si="497"/>
        <v>0</v>
      </c>
      <c r="W1518" s="162">
        <f t="shared" si="497"/>
        <v>0</v>
      </c>
      <c r="X1518" s="162">
        <f t="shared" si="497"/>
        <v>0</v>
      </c>
      <c r="Y1518" s="162">
        <f t="shared" si="497"/>
        <v>0</v>
      </c>
      <c r="Z1518" s="162">
        <f t="shared" si="497"/>
        <v>0</v>
      </c>
      <c r="AA1518" s="162">
        <f t="shared" si="497"/>
        <v>0</v>
      </c>
      <c r="AB1518" s="163">
        <f t="shared" si="487"/>
        <v>0</v>
      </c>
      <c r="AC1518" s="159"/>
      <c r="AE1518" s="194" t="str">
        <f t="shared" si="489"/>
        <v>0 - LTS (0 - )</v>
      </c>
      <c r="AF1518" s="161">
        <f t="shared" si="498"/>
        <v>0</v>
      </c>
      <c r="AG1518" s="162">
        <f t="shared" si="498"/>
        <v>0</v>
      </c>
      <c r="AH1518" s="162">
        <f t="shared" si="498"/>
        <v>0</v>
      </c>
      <c r="AI1518" s="162">
        <f t="shared" si="498"/>
        <v>0</v>
      </c>
      <c r="AJ1518" s="162">
        <f t="shared" si="498"/>
        <v>0</v>
      </c>
      <c r="AK1518" s="162">
        <f t="shared" si="498"/>
        <v>0</v>
      </c>
      <c r="AL1518" s="162">
        <f t="shared" si="498"/>
        <v>0</v>
      </c>
      <c r="AM1518" s="162">
        <f t="shared" si="498"/>
        <v>0</v>
      </c>
      <c r="AN1518" s="162">
        <f t="shared" si="498"/>
        <v>0</v>
      </c>
      <c r="AO1518" s="162">
        <f t="shared" si="498"/>
        <v>0</v>
      </c>
      <c r="AP1518" s="162">
        <f t="shared" si="498"/>
        <v>0</v>
      </c>
      <c r="AQ1518" s="162">
        <f t="shared" si="498"/>
        <v>0</v>
      </c>
      <c r="AR1518" s="163">
        <f t="shared" si="490"/>
        <v>0</v>
      </c>
    </row>
    <row r="1519" spans="1:44" x14ac:dyDescent="0.25">
      <c r="A1519" s="14"/>
      <c r="B1519" s="15" t="str">
        <f t="shared" si="482"/>
        <v>IND_COMB_0_0</v>
      </c>
      <c r="F1519" s="209">
        <f t="shared" si="495"/>
        <v>0</v>
      </c>
      <c r="G1519" s="183" t="str">
        <f t="shared" si="495"/>
        <v/>
      </c>
      <c r="H1519" s="184" t="str">
        <f t="shared" si="495"/>
        <v/>
      </c>
      <c r="I1519" s="184">
        <f t="shared" si="495"/>
        <v>0</v>
      </c>
      <c r="J1519" s="184">
        <f t="shared" si="495"/>
        <v>0</v>
      </c>
      <c r="K1519" s="184" t="str">
        <f>IFERROR(VLOOKUP($J1519,#REF!,3,0),"")</f>
        <v/>
      </c>
      <c r="L1519" s="184" t="str">
        <f>IFERROR(VLOOKUP($J1519,#REF!,5,0),"")</f>
        <v/>
      </c>
      <c r="M1519" s="212">
        <f t="shared" si="484"/>
        <v>0</v>
      </c>
      <c r="N1519" s="239">
        <f t="shared" si="496"/>
        <v>0</v>
      </c>
      <c r="O1519" s="213">
        <f>O1472</f>
        <v>0</v>
      </c>
      <c r="P1519" s="175">
        <f t="shared" si="497"/>
        <v>0</v>
      </c>
      <c r="Q1519" s="175">
        <f t="shared" si="497"/>
        <v>0</v>
      </c>
      <c r="R1519" s="175">
        <f t="shared" si="497"/>
        <v>0</v>
      </c>
      <c r="S1519" s="175">
        <f t="shared" si="497"/>
        <v>0</v>
      </c>
      <c r="T1519" s="175">
        <f t="shared" si="497"/>
        <v>0</v>
      </c>
      <c r="U1519" s="175">
        <f t="shared" si="497"/>
        <v>0</v>
      </c>
      <c r="V1519" s="175">
        <f t="shared" si="497"/>
        <v>0</v>
      </c>
      <c r="W1519" s="175">
        <f t="shared" si="497"/>
        <v>0</v>
      </c>
      <c r="X1519" s="175">
        <f t="shared" si="497"/>
        <v>0</v>
      </c>
      <c r="Y1519" s="175">
        <f t="shared" si="497"/>
        <v>0</v>
      </c>
      <c r="Z1519" s="175">
        <f t="shared" si="497"/>
        <v>0</v>
      </c>
      <c r="AA1519" s="175">
        <f t="shared" si="497"/>
        <v>0</v>
      </c>
      <c r="AB1519" s="176">
        <f t="shared" si="487"/>
        <v>0</v>
      </c>
      <c r="AC1519" s="186"/>
      <c r="AE1519" s="195" t="str">
        <f t="shared" si="489"/>
        <v>0 - LTS (0 - )</v>
      </c>
      <c r="AF1519" s="174">
        <f t="shared" si="498"/>
        <v>0</v>
      </c>
      <c r="AG1519" s="175">
        <f t="shared" si="498"/>
        <v>0</v>
      </c>
      <c r="AH1519" s="175">
        <f t="shared" si="498"/>
        <v>0</v>
      </c>
      <c r="AI1519" s="175">
        <f t="shared" si="498"/>
        <v>0</v>
      </c>
      <c r="AJ1519" s="175">
        <f t="shared" si="498"/>
        <v>0</v>
      </c>
      <c r="AK1519" s="175">
        <f t="shared" si="498"/>
        <v>0</v>
      </c>
      <c r="AL1519" s="175">
        <f t="shared" si="498"/>
        <v>0</v>
      </c>
      <c r="AM1519" s="175">
        <f t="shared" si="498"/>
        <v>0</v>
      </c>
      <c r="AN1519" s="175">
        <f t="shared" si="498"/>
        <v>0</v>
      </c>
      <c r="AO1519" s="175">
        <f t="shared" si="498"/>
        <v>0</v>
      </c>
      <c r="AP1519" s="175">
        <f t="shared" si="498"/>
        <v>0</v>
      </c>
      <c r="AQ1519" s="175">
        <f t="shared" si="498"/>
        <v>0</v>
      </c>
      <c r="AR1519" s="176">
        <f t="shared" si="490"/>
        <v>0</v>
      </c>
    </row>
    <row r="1520" spans="1:44" x14ac:dyDescent="0.25">
      <c r="A1520" s="14"/>
    </row>
    <row r="1521" spans="1:29" hidden="1" outlineLevel="1" x14ac:dyDescent="0.25">
      <c r="A1521" s="14"/>
      <c r="F1521" s="136" t="s">
        <v>300</v>
      </c>
      <c r="G1521" s="70"/>
      <c r="H1521" s="106"/>
      <c r="I1521" s="106"/>
      <c r="J1521" s="106"/>
      <c r="K1521" s="106"/>
      <c r="L1521" s="106"/>
      <c r="M1521" s="107"/>
      <c r="N1521" s="106"/>
    </row>
    <row r="1522" spans="1:29" hidden="1" outlineLevel="1" x14ac:dyDescent="0.25">
      <c r="A1522" s="14"/>
      <c r="F1522" s="134"/>
      <c r="G1522" s="70"/>
    </row>
    <row r="1523" spans="1:29" hidden="1" outlineLevel="1" x14ac:dyDescent="0.25">
      <c r="A1523" s="14"/>
      <c r="B1523" s="15" t="s">
        <v>250</v>
      </c>
      <c r="C1523" s="15" t="s">
        <v>251</v>
      </c>
      <c r="D1523" s="15" t="s">
        <v>219</v>
      </c>
      <c r="F1523" s="137" t="s">
        <v>301</v>
      </c>
      <c r="G1523" s="138"/>
      <c r="H1523" s="139" t="s">
        <v>217</v>
      </c>
      <c r="I1523" s="139" t="s">
        <v>218</v>
      </c>
      <c r="J1523" s="139" t="s">
        <v>219</v>
      </c>
      <c r="K1523" s="140"/>
      <c r="L1523" s="141"/>
      <c r="M1523" s="142" t="s">
        <v>220</v>
      </c>
      <c r="N1523" s="139" t="s">
        <v>221</v>
      </c>
      <c r="O1523" s="143" t="s">
        <v>222</v>
      </c>
      <c r="P1523" s="35">
        <f t="shared" ref="P1523:AA1523" si="499">P$9</f>
        <v>46113</v>
      </c>
      <c r="Q1523" s="35">
        <f t="shared" si="499"/>
        <v>46143</v>
      </c>
      <c r="R1523" s="35">
        <f t="shared" si="499"/>
        <v>46174</v>
      </c>
      <c r="S1523" s="35">
        <f t="shared" si="499"/>
        <v>46204</v>
      </c>
      <c r="T1523" s="35">
        <f t="shared" si="499"/>
        <v>46235</v>
      </c>
      <c r="U1523" s="35">
        <f t="shared" si="499"/>
        <v>46266</v>
      </c>
      <c r="V1523" s="35">
        <f t="shared" si="499"/>
        <v>46296</v>
      </c>
      <c r="W1523" s="35">
        <f t="shared" si="499"/>
        <v>46327</v>
      </c>
      <c r="X1523" s="35">
        <f t="shared" si="499"/>
        <v>46357</v>
      </c>
      <c r="Y1523" s="35">
        <f t="shared" si="499"/>
        <v>46388</v>
      </c>
      <c r="Z1523" s="35">
        <f t="shared" si="499"/>
        <v>46419</v>
      </c>
      <c r="AA1523" s="35">
        <f t="shared" si="499"/>
        <v>46447</v>
      </c>
      <c r="AB1523" s="81" t="s">
        <v>223</v>
      </c>
      <c r="AC1523" s="82" t="s">
        <v>192</v>
      </c>
    </row>
    <row r="1524" spans="1:29" hidden="1" outlineLevel="1" x14ac:dyDescent="0.25">
      <c r="A1524" s="14" t="str">
        <f t="shared" ref="A1524:A1587" si="500">"TERC_OPER_"&amp;C1524&amp;"_"&amp;E1524</f>
        <v>TERC_OPER__1</v>
      </c>
      <c r="B1524" s="15" t="e">
        <f t="shared" ref="B1524:B1568" si="501">"TERC_OPER_"&amp;C1524&amp;"_"&amp;F1524&amp;"_"&amp;J1524</f>
        <v>#REF!</v>
      </c>
      <c r="C1524" s="83"/>
      <c r="D1524" s="15" t="e">
        <f t="shared" ref="D1524:D1568" si="502">J1524</f>
        <v>#REF!</v>
      </c>
      <c r="E1524" s="15">
        <v>1</v>
      </c>
      <c r="F1524" s="190" t="e">
        <f>#REF!</f>
        <v>#REF!</v>
      </c>
      <c r="G1524" s="149" t="e">
        <f>#REF!</f>
        <v>#REF!</v>
      </c>
      <c r="H1524" s="150" t="e">
        <f>#REF!</f>
        <v>#REF!</v>
      </c>
      <c r="I1524" s="150" t="e">
        <f>#REF!</f>
        <v>#REF!</v>
      </c>
      <c r="J1524" s="150" t="e">
        <f>#REF!</f>
        <v>#REF!</v>
      </c>
      <c r="K1524" s="196"/>
      <c r="L1524" s="197"/>
      <c r="M1524" s="191" t="e">
        <f>#REF!</f>
        <v>#REF!</v>
      </c>
      <c r="N1524" s="150" t="e">
        <f>#REF!</f>
        <v>#REF!</v>
      </c>
      <c r="O1524" s="193" t="e">
        <f>#REF!</f>
        <v>#REF!</v>
      </c>
      <c r="P1524" s="162">
        <f>IFERROR(SUMIF($B$1351:$B$1378,$C1524&amp;$I1524,P$1351:P$1378)/SUMIF($D$1351:$D$1378,$I1524,P$1351:P$1378)*#REF!,0)</f>
        <v>0</v>
      </c>
      <c r="Q1524" s="162">
        <f>IFERROR(SUMIF($B$1351:$B$1378,$C1524&amp;$I1524,Q$1351:Q$1378)/SUMIF($D$1351:$D$1378,$I1524,Q$1351:Q$1378)*#REF!,0)</f>
        <v>0</v>
      </c>
      <c r="R1524" s="162">
        <f>IFERROR(SUMIF($B$1351:$B$1378,$C1524&amp;$I1524,R$1351:R$1378)/SUMIF($D$1351:$D$1378,$I1524,R$1351:R$1378)*#REF!,0)</f>
        <v>0</v>
      </c>
      <c r="S1524" s="162">
        <f>IFERROR(SUMIF($B$1351:$B$1378,$C1524&amp;$I1524,S$1351:S$1378)/SUMIF($D$1351:$D$1378,$I1524,S$1351:S$1378)*#REF!,0)</f>
        <v>0</v>
      </c>
      <c r="T1524" s="162">
        <f>IFERROR(SUMIF($B$1351:$B$1378,$C1524&amp;$I1524,T$1351:T$1378)/SUMIF($D$1351:$D$1378,$I1524,T$1351:T$1378)*#REF!,0)</f>
        <v>0</v>
      </c>
      <c r="U1524" s="162">
        <f>IFERROR(SUMIF($B$1351:$B$1378,$C1524&amp;$I1524,U$1351:U$1378)/SUMIF($D$1351:$D$1378,$I1524,U$1351:U$1378)*#REF!,0)</f>
        <v>0</v>
      </c>
      <c r="V1524" s="162">
        <f>IFERROR(SUMIF($B$1351:$B$1378,$C1524&amp;$I1524,V$1351:V$1378)/SUMIF($D$1351:$D$1378,$I1524,V$1351:V$1378)*#REF!,0)</f>
        <v>0</v>
      </c>
      <c r="W1524" s="162">
        <f>IFERROR(SUMIF($B$1351:$B$1378,$C1524&amp;$I1524,W$1351:W$1378)/SUMIF($D$1351:$D$1378,$I1524,W$1351:W$1378)*#REF!,0)</f>
        <v>0</v>
      </c>
      <c r="X1524" s="162">
        <f>IFERROR(SUMIF($B$1351:$B$1378,$C1524&amp;$I1524,X$1351:X$1378)/SUMIF($D$1351:$D$1378,$I1524,X$1351:X$1378)*#REF!,0)</f>
        <v>0</v>
      </c>
      <c r="Y1524" s="162">
        <f>IFERROR(SUMIF($B$1351:$B$1378,$C1524&amp;$I1524,Y$1351:Y$1378)/SUMIF($D$1351:$D$1378,$I1524,Y$1351:Y$1378)*#REF!,0)</f>
        <v>0</v>
      </c>
      <c r="Z1524" s="162">
        <f>IFERROR(SUMIF($B$1351:$B$1378,$C1524&amp;$I1524,Z$1351:Z$1378)/SUMIF($D$1351:$D$1378,$I1524,Z$1351:Z$1378)*#REF!,0)</f>
        <v>0</v>
      </c>
      <c r="AA1524" s="162">
        <f>IFERROR(SUMIF($B$1351:$B$1378,$C1524&amp;$I1524,AA$1351:AA$1378)/SUMIF($D$1351:$D$1378,$I1524,AA$1351:AA$1378)*#REF!,0)</f>
        <v>0</v>
      </c>
      <c r="AB1524" s="163">
        <f t="shared" ref="AB1524:AB1568" si="503">SUM(P1524:AA1524)</f>
        <v>0</v>
      </c>
      <c r="AC1524" s="198"/>
    </row>
    <row r="1525" spans="1:29" hidden="1" outlineLevel="1" x14ac:dyDescent="0.25">
      <c r="A1525" s="14" t="str">
        <f t="shared" si="500"/>
        <v>TERC_OPER__2</v>
      </c>
      <c r="B1525" s="15" t="str">
        <f t="shared" si="501"/>
        <v>TERC_OPER__911_1</v>
      </c>
      <c r="C1525" s="83"/>
      <c r="D1525" s="15">
        <f t="shared" si="502"/>
        <v>1</v>
      </c>
      <c r="E1525" s="15">
        <v>2</v>
      </c>
      <c r="F1525" s="190">
        <f t="shared" ref="F1525:J1527" si="504">F1384</f>
        <v>911</v>
      </c>
      <c r="G1525" s="149" t="str">
        <f t="shared" si="504"/>
        <v/>
      </c>
      <c r="H1525" s="150" t="str">
        <f t="shared" si="504"/>
        <v/>
      </c>
      <c r="I1525" s="150" t="str">
        <f t="shared" si="504"/>
        <v>TRATCPP</v>
      </c>
      <c r="J1525" s="150">
        <f t="shared" si="504"/>
        <v>1</v>
      </c>
      <c r="K1525" s="196"/>
      <c r="L1525" s="197"/>
      <c r="M1525" s="191">
        <f t="shared" ref="M1525:O1527" si="505">M1384</f>
        <v>0</v>
      </c>
      <c r="N1525" s="150">
        <f t="shared" si="505"/>
        <v>0</v>
      </c>
      <c r="O1525" s="193">
        <f t="shared" si="505"/>
        <v>1</v>
      </c>
      <c r="P1525" s="162">
        <f t="shared" ref="P1525:AA1527" si="506">IFERROR(SUMIF($B$1351:$B$1378,$C1525&amp;$I1525,P$1351:P$1378)/SUMIF($D$1351:$D$1378,$I1525,P$1351:P$1378)*P1384,0)</f>
        <v>0</v>
      </c>
      <c r="Q1525" s="162">
        <f t="shared" si="506"/>
        <v>0</v>
      </c>
      <c r="R1525" s="162">
        <f t="shared" si="506"/>
        <v>0</v>
      </c>
      <c r="S1525" s="162">
        <f t="shared" si="506"/>
        <v>0</v>
      </c>
      <c r="T1525" s="162">
        <f t="shared" si="506"/>
        <v>0</v>
      </c>
      <c r="U1525" s="162">
        <f t="shared" si="506"/>
        <v>0</v>
      </c>
      <c r="V1525" s="162">
        <f t="shared" si="506"/>
        <v>0</v>
      </c>
      <c r="W1525" s="162">
        <f t="shared" si="506"/>
        <v>0</v>
      </c>
      <c r="X1525" s="162">
        <f t="shared" si="506"/>
        <v>0</v>
      </c>
      <c r="Y1525" s="162">
        <f t="shared" si="506"/>
        <v>0</v>
      </c>
      <c r="Z1525" s="162">
        <f t="shared" si="506"/>
        <v>0</v>
      </c>
      <c r="AA1525" s="162">
        <f t="shared" si="506"/>
        <v>0</v>
      </c>
      <c r="AB1525" s="163">
        <f t="shared" si="503"/>
        <v>0</v>
      </c>
      <c r="AC1525" s="198"/>
    </row>
    <row r="1526" spans="1:29" hidden="1" outlineLevel="1" x14ac:dyDescent="0.25">
      <c r="A1526" s="14" t="str">
        <f t="shared" si="500"/>
        <v>TERC_OPER__3</v>
      </c>
      <c r="B1526" s="15" t="str">
        <f t="shared" si="501"/>
        <v>TERC_OPER__910_1</v>
      </c>
      <c r="C1526" s="83"/>
      <c r="D1526" s="15">
        <f t="shared" si="502"/>
        <v>1</v>
      </c>
      <c r="E1526" s="15">
        <v>3</v>
      </c>
      <c r="F1526" s="190">
        <f t="shared" si="504"/>
        <v>910</v>
      </c>
      <c r="G1526" s="149" t="str">
        <f t="shared" si="504"/>
        <v/>
      </c>
      <c r="H1526" s="150" t="str">
        <f t="shared" si="504"/>
        <v/>
      </c>
      <c r="I1526" s="150" t="str">
        <f t="shared" si="504"/>
        <v>TRATCPP</v>
      </c>
      <c r="J1526" s="150">
        <f t="shared" si="504"/>
        <v>1</v>
      </c>
      <c r="K1526" s="196"/>
      <c r="L1526" s="197"/>
      <c r="M1526" s="191">
        <f t="shared" si="505"/>
        <v>0</v>
      </c>
      <c r="N1526" s="150">
        <f t="shared" si="505"/>
        <v>0</v>
      </c>
      <c r="O1526" s="193">
        <f t="shared" si="505"/>
        <v>1</v>
      </c>
      <c r="P1526" s="162">
        <f t="shared" si="506"/>
        <v>0</v>
      </c>
      <c r="Q1526" s="162">
        <f t="shared" si="506"/>
        <v>0</v>
      </c>
      <c r="R1526" s="162">
        <f t="shared" si="506"/>
        <v>0</v>
      </c>
      <c r="S1526" s="162">
        <f t="shared" si="506"/>
        <v>0</v>
      </c>
      <c r="T1526" s="162">
        <f t="shared" si="506"/>
        <v>0</v>
      </c>
      <c r="U1526" s="162">
        <f t="shared" si="506"/>
        <v>0</v>
      </c>
      <c r="V1526" s="162">
        <f t="shared" si="506"/>
        <v>0</v>
      </c>
      <c r="W1526" s="162">
        <f t="shared" si="506"/>
        <v>0</v>
      </c>
      <c r="X1526" s="162">
        <f t="shared" si="506"/>
        <v>0</v>
      </c>
      <c r="Y1526" s="162">
        <f t="shared" si="506"/>
        <v>0</v>
      </c>
      <c r="Z1526" s="162">
        <f t="shared" si="506"/>
        <v>0</v>
      </c>
      <c r="AA1526" s="162">
        <f t="shared" si="506"/>
        <v>0</v>
      </c>
      <c r="AB1526" s="163">
        <f t="shared" si="503"/>
        <v>0</v>
      </c>
      <c r="AC1526" s="198"/>
    </row>
    <row r="1527" spans="1:29" hidden="1" outlineLevel="1" x14ac:dyDescent="0.25">
      <c r="A1527" s="14" t="str">
        <f t="shared" si="500"/>
        <v>TERC_OPER__4</v>
      </c>
      <c r="B1527" s="15" t="str">
        <f t="shared" si="501"/>
        <v>TERC_OPER__1026_1</v>
      </c>
      <c r="C1527" s="83"/>
      <c r="D1527" s="15">
        <f t="shared" si="502"/>
        <v>1</v>
      </c>
      <c r="E1527" s="15">
        <v>4</v>
      </c>
      <c r="F1527" s="190">
        <f t="shared" si="504"/>
        <v>1026</v>
      </c>
      <c r="G1527" s="149" t="str">
        <f t="shared" si="504"/>
        <v/>
      </c>
      <c r="H1527" s="150" t="str">
        <f t="shared" si="504"/>
        <v/>
      </c>
      <c r="I1527" s="150" t="str">
        <f t="shared" si="504"/>
        <v>TRATCPP</v>
      </c>
      <c r="J1527" s="150">
        <f t="shared" si="504"/>
        <v>1</v>
      </c>
      <c r="K1527" s="196"/>
      <c r="L1527" s="197"/>
      <c r="M1527" s="191">
        <f t="shared" si="505"/>
        <v>0</v>
      </c>
      <c r="N1527" s="150">
        <f t="shared" si="505"/>
        <v>0</v>
      </c>
      <c r="O1527" s="193">
        <f t="shared" si="505"/>
        <v>1</v>
      </c>
      <c r="P1527" s="162">
        <f t="shared" si="506"/>
        <v>0</v>
      </c>
      <c r="Q1527" s="162">
        <f t="shared" si="506"/>
        <v>0</v>
      </c>
      <c r="R1527" s="162">
        <f t="shared" si="506"/>
        <v>0</v>
      </c>
      <c r="S1527" s="162">
        <f t="shared" si="506"/>
        <v>0</v>
      </c>
      <c r="T1527" s="162">
        <f t="shared" si="506"/>
        <v>0</v>
      </c>
      <c r="U1527" s="162">
        <f t="shared" si="506"/>
        <v>0</v>
      </c>
      <c r="V1527" s="162">
        <f t="shared" si="506"/>
        <v>0</v>
      </c>
      <c r="W1527" s="162">
        <f t="shared" si="506"/>
        <v>0</v>
      </c>
      <c r="X1527" s="162">
        <f t="shared" si="506"/>
        <v>0</v>
      </c>
      <c r="Y1527" s="162">
        <f t="shared" si="506"/>
        <v>0</v>
      </c>
      <c r="Z1527" s="162">
        <f t="shared" si="506"/>
        <v>0</v>
      </c>
      <c r="AA1527" s="162">
        <f t="shared" si="506"/>
        <v>0</v>
      </c>
      <c r="AB1527" s="163">
        <f t="shared" si="503"/>
        <v>0</v>
      </c>
      <c r="AC1527" s="159"/>
    </row>
    <row r="1528" spans="1:29" hidden="1" outlineLevel="1" x14ac:dyDescent="0.25">
      <c r="A1528" s="14" t="str">
        <f t="shared" si="500"/>
        <v>TERC_OPER__5</v>
      </c>
      <c r="B1528" s="15" t="str">
        <f t="shared" si="501"/>
        <v>TERC_OPER__1031_0</v>
      </c>
      <c r="C1528" s="83"/>
      <c r="D1528" s="15">
        <f t="shared" si="502"/>
        <v>0</v>
      </c>
      <c r="E1528" s="15">
        <v>5</v>
      </c>
      <c r="F1528" s="190">
        <f>F1434</f>
        <v>1031</v>
      </c>
      <c r="G1528" s="149" t="str">
        <f>G1434</f>
        <v/>
      </c>
      <c r="H1528" s="150" t="str">
        <f>H1434</f>
        <v/>
      </c>
      <c r="I1528" s="150" t="str">
        <f>I1434</f>
        <v>TRATCPF</v>
      </c>
      <c r="J1528" s="150">
        <f>J1434</f>
        <v>0</v>
      </c>
      <c r="K1528" s="196"/>
      <c r="L1528" s="197"/>
      <c r="M1528" s="191">
        <f>M1434</f>
        <v>0</v>
      </c>
      <c r="N1528" s="150">
        <f>N1434</f>
        <v>0</v>
      </c>
      <c r="O1528" s="193">
        <f>O1434</f>
        <v>0</v>
      </c>
      <c r="P1528" s="162">
        <f>IFERROR(SUMIF($B$1351:$B$1378,$C1528&amp;$I1528,P$1351:P$1378)/SUMIF($D$1351:$D$1378,$I1528,P$1351:P$1378)*P1434,0)</f>
        <v>0</v>
      </c>
      <c r="Q1528" s="162">
        <f t="shared" ref="Q1528:AA1528" si="507">IFERROR(SUMIF($B$1351:$B$1378,$C1528&amp;$I1528,Q$1351:Q$1378)/SUMIF($D$1351:$D$1378,$I1528,Q$1351:Q$1378)*Q1434,0)</f>
        <v>0</v>
      </c>
      <c r="R1528" s="162">
        <f t="shared" si="507"/>
        <v>0</v>
      </c>
      <c r="S1528" s="162">
        <f t="shared" si="507"/>
        <v>0</v>
      </c>
      <c r="T1528" s="162">
        <f t="shared" si="507"/>
        <v>0</v>
      </c>
      <c r="U1528" s="162">
        <f t="shared" si="507"/>
        <v>0</v>
      </c>
      <c r="V1528" s="162">
        <f t="shared" si="507"/>
        <v>0</v>
      </c>
      <c r="W1528" s="162">
        <f t="shared" si="507"/>
        <v>0</v>
      </c>
      <c r="X1528" s="162">
        <f t="shared" si="507"/>
        <v>0</v>
      </c>
      <c r="Y1528" s="162">
        <f t="shared" si="507"/>
        <v>0</v>
      </c>
      <c r="Z1528" s="162">
        <f t="shared" si="507"/>
        <v>0</v>
      </c>
      <c r="AA1528" s="162">
        <f t="shared" si="507"/>
        <v>0</v>
      </c>
      <c r="AB1528" s="163">
        <f t="shared" si="503"/>
        <v>0</v>
      </c>
      <c r="AC1528" s="159"/>
    </row>
    <row r="1529" spans="1:29" hidden="1" outlineLevel="1" x14ac:dyDescent="0.25">
      <c r="A1529" s="14" t="str">
        <f t="shared" si="500"/>
        <v>TERC_OPER__6</v>
      </c>
      <c r="B1529" s="15" t="str">
        <f t="shared" si="501"/>
        <v>TERC_OPER__0_0</v>
      </c>
      <c r="C1529" s="83"/>
      <c r="D1529" s="15">
        <f t="shared" si="502"/>
        <v>0</v>
      </c>
      <c r="E1529" s="15">
        <v>6</v>
      </c>
      <c r="F1529" s="190">
        <f t="shared" ref="F1529:J1544" si="508">F1387</f>
        <v>0</v>
      </c>
      <c r="G1529" s="149">
        <f t="shared" si="508"/>
        <v>0</v>
      </c>
      <c r="H1529" s="150">
        <f t="shared" si="508"/>
        <v>0</v>
      </c>
      <c r="I1529" s="150">
        <f t="shared" si="508"/>
        <v>0</v>
      </c>
      <c r="J1529" s="150">
        <f t="shared" si="508"/>
        <v>0</v>
      </c>
      <c r="K1529" s="196"/>
      <c r="L1529" s="197"/>
      <c r="M1529" s="191">
        <f t="shared" ref="M1529:O1544" si="509">M1387</f>
        <v>0</v>
      </c>
      <c r="N1529" s="150">
        <f t="shared" si="509"/>
        <v>0</v>
      </c>
      <c r="O1529" s="193">
        <f t="shared" si="509"/>
        <v>0</v>
      </c>
      <c r="P1529" s="162">
        <f t="shared" ref="P1529:AA1544" si="510">IFERROR(SUMIF($B$1351:$B$1378,$C1529&amp;$I1529,P$1351:P$1378)/SUMIF($D$1351:$D$1378,$I1529,P$1351:P$1378)*P1387,0)</f>
        <v>0</v>
      </c>
      <c r="Q1529" s="162">
        <f t="shared" si="510"/>
        <v>0</v>
      </c>
      <c r="R1529" s="162">
        <f t="shared" si="510"/>
        <v>0</v>
      </c>
      <c r="S1529" s="162">
        <f t="shared" si="510"/>
        <v>0</v>
      </c>
      <c r="T1529" s="162">
        <f t="shared" si="510"/>
        <v>0</v>
      </c>
      <c r="U1529" s="162">
        <f t="shared" si="510"/>
        <v>0</v>
      </c>
      <c r="V1529" s="162">
        <f t="shared" si="510"/>
        <v>0</v>
      </c>
      <c r="W1529" s="162">
        <f t="shared" si="510"/>
        <v>0</v>
      </c>
      <c r="X1529" s="162">
        <f t="shared" si="510"/>
        <v>0</v>
      </c>
      <c r="Y1529" s="162">
        <f t="shared" si="510"/>
        <v>0</v>
      </c>
      <c r="Z1529" s="162">
        <f t="shared" si="510"/>
        <v>0</v>
      </c>
      <c r="AA1529" s="162">
        <f t="shared" si="510"/>
        <v>0</v>
      </c>
      <c r="AB1529" s="163">
        <f t="shared" si="503"/>
        <v>0</v>
      </c>
      <c r="AC1529" s="159"/>
    </row>
    <row r="1530" spans="1:29" hidden="1" outlineLevel="1" x14ac:dyDescent="0.25">
      <c r="A1530" s="14" t="str">
        <f t="shared" si="500"/>
        <v>TERC_OPER__7</v>
      </c>
      <c r="B1530" s="15" t="str">
        <f t="shared" si="501"/>
        <v>TERC_OPER__0_0</v>
      </c>
      <c r="C1530" s="83"/>
      <c r="D1530" s="15">
        <f t="shared" si="502"/>
        <v>0</v>
      </c>
      <c r="E1530" s="15">
        <v>7</v>
      </c>
      <c r="F1530" s="190">
        <f t="shared" si="508"/>
        <v>0</v>
      </c>
      <c r="G1530" s="149">
        <f t="shared" si="508"/>
        <v>0</v>
      </c>
      <c r="H1530" s="150">
        <f t="shared" si="508"/>
        <v>0</v>
      </c>
      <c r="I1530" s="150">
        <f t="shared" si="508"/>
        <v>0</v>
      </c>
      <c r="J1530" s="150">
        <f t="shared" si="508"/>
        <v>0</v>
      </c>
      <c r="K1530" s="196"/>
      <c r="L1530" s="197"/>
      <c r="M1530" s="191">
        <f t="shared" si="509"/>
        <v>0</v>
      </c>
      <c r="N1530" s="150">
        <f t="shared" si="509"/>
        <v>0</v>
      </c>
      <c r="O1530" s="193">
        <f t="shared" si="509"/>
        <v>0</v>
      </c>
      <c r="P1530" s="162">
        <f t="shared" si="510"/>
        <v>0</v>
      </c>
      <c r="Q1530" s="162">
        <f t="shared" si="510"/>
        <v>0</v>
      </c>
      <c r="R1530" s="162">
        <f t="shared" si="510"/>
        <v>0</v>
      </c>
      <c r="S1530" s="162">
        <f t="shared" si="510"/>
        <v>0</v>
      </c>
      <c r="T1530" s="162">
        <f t="shared" si="510"/>
        <v>0</v>
      </c>
      <c r="U1530" s="162">
        <f t="shared" si="510"/>
        <v>0</v>
      </c>
      <c r="V1530" s="162">
        <f t="shared" si="510"/>
        <v>0</v>
      </c>
      <c r="W1530" s="162">
        <f t="shared" si="510"/>
        <v>0</v>
      </c>
      <c r="X1530" s="162">
        <f t="shared" si="510"/>
        <v>0</v>
      </c>
      <c r="Y1530" s="162">
        <f t="shared" si="510"/>
        <v>0</v>
      </c>
      <c r="Z1530" s="162">
        <f t="shared" si="510"/>
        <v>0</v>
      </c>
      <c r="AA1530" s="162">
        <f t="shared" si="510"/>
        <v>0</v>
      </c>
      <c r="AB1530" s="163">
        <f t="shared" si="503"/>
        <v>0</v>
      </c>
      <c r="AC1530" s="159"/>
    </row>
    <row r="1531" spans="1:29" hidden="1" outlineLevel="1" x14ac:dyDescent="0.25">
      <c r="A1531" s="14" t="str">
        <f t="shared" si="500"/>
        <v>TERC_OPER__8</v>
      </c>
      <c r="B1531" s="15" t="str">
        <f t="shared" si="501"/>
        <v>TERC_OPER__0_0</v>
      </c>
      <c r="C1531" s="83"/>
      <c r="D1531" s="15">
        <f t="shared" si="502"/>
        <v>0</v>
      </c>
      <c r="E1531" s="15">
        <v>8</v>
      </c>
      <c r="F1531" s="190">
        <f t="shared" si="508"/>
        <v>0</v>
      </c>
      <c r="G1531" s="149" t="str">
        <f t="shared" si="508"/>
        <v/>
      </c>
      <c r="H1531" s="150" t="str">
        <f t="shared" si="508"/>
        <v/>
      </c>
      <c r="I1531" s="150">
        <f t="shared" si="508"/>
        <v>0</v>
      </c>
      <c r="J1531" s="150">
        <f t="shared" si="508"/>
        <v>0</v>
      </c>
      <c r="K1531" s="196"/>
      <c r="L1531" s="197"/>
      <c r="M1531" s="191">
        <f t="shared" si="509"/>
        <v>0</v>
      </c>
      <c r="N1531" s="150">
        <f t="shared" si="509"/>
        <v>0</v>
      </c>
      <c r="O1531" s="193">
        <f t="shared" si="509"/>
        <v>0</v>
      </c>
      <c r="P1531" s="162">
        <f t="shared" si="510"/>
        <v>0</v>
      </c>
      <c r="Q1531" s="162">
        <f t="shared" si="510"/>
        <v>0</v>
      </c>
      <c r="R1531" s="162">
        <f t="shared" si="510"/>
        <v>0</v>
      </c>
      <c r="S1531" s="162">
        <f t="shared" si="510"/>
        <v>0</v>
      </c>
      <c r="T1531" s="162">
        <f t="shared" si="510"/>
        <v>0</v>
      </c>
      <c r="U1531" s="162">
        <f t="shared" si="510"/>
        <v>0</v>
      </c>
      <c r="V1531" s="162">
        <f t="shared" si="510"/>
        <v>0</v>
      </c>
      <c r="W1531" s="162">
        <f t="shared" si="510"/>
        <v>0</v>
      </c>
      <c r="X1531" s="162">
        <f t="shared" si="510"/>
        <v>0</v>
      </c>
      <c r="Y1531" s="162">
        <f t="shared" si="510"/>
        <v>0</v>
      </c>
      <c r="Z1531" s="162">
        <f t="shared" si="510"/>
        <v>0</v>
      </c>
      <c r="AA1531" s="162">
        <f t="shared" si="510"/>
        <v>0</v>
      </c>
      <c r="AB1531" s="163">
        <f t="shared" si="503"/>
        <v>0</v>
      </c>
      <c r="AC1531" s="159"/>
    </row>
    <row r="1532" spans="1:29" hidden="1" outlineLevel="1" x14ac:dyDescent="0.25">
      <c r="A1532" s="14" t="str">
        <f t="shared" si="500"/>
        <v>TERC_OPER__9</v>
      </c>
      <c r="B1532" s="15" t="str">
        <f t="shared" si="501"/>
        <v>TERC_OPER__0_0</v>
      </c>
      <c r="C1532" s="83"/>
      <c r="D1532" s="15">
        <f t="shared" si="502"/>
        <v>0</v>
      </c>
      <c r="E1532" s="15">
        <v>9</v>
      </c>
      <c r="F1532" s="190">
        <f t="shared" si="508"/>
        <v>0</v>
      </c>
      <c r="G1532" s="149" t="str">
        <f t="shared" si="508"/>
        <v/>
      </c>
      <c r="H1532" s="150" t="str">
        <f t="shared" si="508"/>
        <v/>
      </c>
      <c r="I1532" s="150">
        <f t="shared" si="508"/>
        <v>0</v>
      </c>
      <c r="J1532" s="150">
        <f t="shared" si="508"/>
        <v>0</v>
      </c>
      <c r="K1532" s="196"/>
      <c r="L1532" s="197"/>
      <c r="M1532" s="191">
        <f t="shared" si="509"/>
        <v>0</v>
      </c>
      <c r="N1532" s="150">
        <f t="shared" si="509"/>
        <v>0</v>
      </c>
      <c r="O1532" s="193">
        <f t="shared" si="509"/>
        <v>0</v>
      </c>
      <c r="P1532" s="162">
        <f t="shared" si="510"/>
        <v>0</v>
      </c>
      <c r="Q1532" s="162">
        <f t="shared" si="510"/>
        <v>0</v>
      </c>
      <c r="R1532" s="162">
        <f t="shared" si="510"/>
        <v>0</v>
      </c>
      <c r="S1532" s="162">
        <f t="shared" si="510"/>
        <v>0</v>
      </c>
      <c r="T1532" s="162">
        <f t="shared" si="510"/>
        <v>0</v>
      </c>
      <c r="U1532" s="162">
        <f t="shared" si="510"/>
        <v>0</v>
      </c>
      <c r="V1532" s="162">
        <f t="shared" si="510"/>
        <v>0</v>
      </c>
      <c r="W1532" s="162">
        <f t="shared" si="510"/>
        <v>0</v>
      </c>
      <c r="X1532" s="162">
        <f t="shared" si="510"/>
        <v>0</v>
      </c>
      <c r="Y1532" s="162">
        <f t="shared" si="510"/>
        <v>0</v>
      </c>
      <c r="Z1532" s="162">
        <f t="shared" si="510"/>
        <v>0</v>
      </c>
      <c r="AA1532" s="162">
        <f t="shared" si="510"/>
        <v>0</v>
      </c>
      <c r="AB1532" s="163">
        <f t="shared" si="503"/>
        <v>0</v>
      </c>
      <c r="AC1532" s="159"/>
    </row>
    <row r="1533" spans="1:29" hidden="1" outlineLevel="1" x14ac:dyDescent="0.25">
      <c r="A1533" s="14" t="str">
        <f t="shared" si="500"/>
        <v>TERC_OPER__10</v>
      </c>
      <c r="B1533" s="15" t="str">
        <f t="shared" si="501"/>
        <v>TERC_OPER__0_0</v>
      </c>
      <c r="C1533" s="83"/>
      <c r="D1533" s="15">
        <f t="shared" si="502"/>
        <v>0</v>
      </c>
      <c r="E1533" s="15">
        <v>10</v>
      </c>
      <c r="F1533" s="190">
        <f t="shared" si="508"/>
        <v>0</v>
      </c>
      <c r="G1533" s="149" t="str">
        <f t="shared" si="508"/>
        <v/>
      </c>
      <c r="H1533" s="150" t="str">
        <f t="shared" si="508"/>
        <v/>
      </c>
      <c r="I1533" s="150">
        <f t="shared" si="508"/>
        <v>0</v>
      </c>
      <c r="J1533" s="150">
        <f t="shared" si="508"/>
        <v>0</v>
      </c>
      <c r="K1533" s="196"/>
      <c r="L1533" s="197"/>
      <c r="M1533" s="191">
        <f t="shared" si="509"/>
        <v>0</v>
      </c>
      <c r="N1533" s="150">
        <f t="shared" si="509"/>
        <v>0</v>
      </c>
      <c r="O1533" s="193">
        <f t="shared" si="509"/>
        <v>0</v>
      </c>
      <c r="P1533" s="162">
        <f t="shared" si="510"/>
        <v>0</v>
      </c>
      <c r="Q1533" s="162">
        <f t="shared" si="510"/>
        <v>0</v>
      </c>
      <c r="R1533" s="162">
        <f t="shared" si="510"/>
        <v>0</v>
      </c>
      <c r="S1533" s="162">
        <f t="shared" si="510"/>
        <v>0</v>
      </c>
      <c r="T1533" s="162">
        <f t="shared" si="510"/>
        <v>0</v>
      </c>
      <c r="U1533" s="162">
        <f t="shared" si="510"/>
        <v>0</v>
      </c>
      <c r="V1533" s="162">
        <f t="shared" si="510"/>
        <v>0</v>
      </c>
      <c r="W1533" s="162">
        <f t="shared" si="510"/>
        <v>0</v>
      </c>
      <c r="X1533" s="162">
        <f t="shared" si="510"/>
        <v>0</v>
      </c>
      <c r="Y1533" s="162">
        <f t="shared" si="510"/>
        <v>0</v>
      </c>
      <c r="Z1533" s="162">
        <f t="shared" si="510"/>
        <v>0</v>
      </c>
      <c r="AA1533" s="162">
        <f t="shared" si="510"/>
        <v>0</v>
      </c>
      <c r="AB1533" s="163">
        <f t="shared" si="503"/>
        <v>0</v>
      </c>
      <c r="AC1533" s="159"/>
    </row>
    <row r="1534" spans="1:29" hidden="1" outlineLevel="1" x14ac:dyDescent="0.25">
      <c r="A1534" s="14" t="str">
        <f t="shared" si="500"/>
        <v>TERC_OPER__11</v>
      </c>
      <c r="B1534" s="15" t="str">
        <f t="shared" si="501"/>
        <v>TERC_OPER__0_0</v>
      </c>
      <c r="C1534" s="83"/>
      <c r="D1534" s="15">
        <f t="shared" si="502"/>
        <v>0</v>
      </c>
      <c r="E1534" s="15">
        <v>11</v>
      </c>
      <c r="F1534" s="190">
        <f t="shared" si="508"/>
        <v>0</v>
      </c>
      <c r="G1534" s="149" t="str">
        <f t="shared" si="508"/>
        <v/>
      </c>
      <c r="H1534" s="150" t="str">
        <f t="shared" si="508"/>
        <v/>
      </c>
      <c r="I1534" s="150">
        <f t="shared" si="508"/>
        <v>0</v>
      </c>
      <c r="J1534" s="150">
        <f t="shared" si="508"/>
        <v>0</v>
      </c>
      <c r="K1534" s="196"/>
      <c r="L1534" s="197"/>
      <c r="M1534" s="191">
        <f t="shared" si="509"/>
        <v>0</v>
      </c>
      <c r="N1534" s="150">
        <f t="shared" si="509"/>
        <v>0</v>
      </c>
      <c r="O1534" s="193">
        <f t="shared" si="509"/>
        <v>0</v>
      </c>
      <c r="P1534" s="162">
        <f t="shared" si="510"/>
        <v>0</v>
      </c>
      <c r="Q1534" s="162">
        <f t="shared" si="510"/>
        <v>0</v>
      </c>
      <c r="R1534" s="162">
        <f t="shared" si="510"/>
        <v>0</v>
      </c>
      <c r="S1534" s="162">
        <f t="shared" si="510"/>
        <v>0</v>
      </c>
      <c r="T1534" s="162">
        <f t="shared" si="510"/>
        <v>0</v>
      </c>
      <c r="U1534" s="162">
        <f t="shared" si="510"/>
        <v>0</v>
      </c>
      <c r="V1534" s="162">
        <f t="shared" si="510"/>
        <v>0</v>
      </c>
      <c r="W1534" s="162">
        <f t="shared" si="510"/>
        <v>0</v>
      </c>
      <c r="X1534" s="162">
        <f t="shared" si="510"/>
        <v>0</v>
      </c>
      <c r="Y1534" s="162">
        <f t="shared" si="510"/>
        <v>0</v>
      </c>
      <c r="Z1534" s="162">
        <f t="shared" si="510"/>
        <v>0</v>
      </c>
      <c r="AA1534" s="162">
        <f t="shared" si="510"/>
        <v>0</v>
      </c>
      <c r="AB1534" s="163">
        <f t="shared" si="503"/>
        <v>0</v>
      </c>
      <c r="AC1534" s="198"/>
    </row>
    <row r="1535" spans="1:29" hidden="1" outlineLevel="1" x14ac:dyDescent="0.25">
      <c r="A1535" s="14" t="str">
        <f t="shared" si="500"/>
        <v>TERC_OPER__12</v>
      </c>
      <c r="B1535" s="15" t="str">
        <f t="shared" si="501"/>
        <v>TERC_OPER__0_0</v>
      </c>
      <c r="C1535" s="83"/>
      <c r="D1535" s="15">
        <f t="shared" si="502"/>
        <v>0</v>
      </c>
      <c r="E1535" s="15">
        <v>12</v>
      </c>
      <c r="F1535" s="190">
        <f t="shared" si="508"/>
        <v>0</v>
      </c>
      <c r="G1535" s="149" t="str">
        <f t="shared" si="508"/>
        <v/>
      </c>
      <c r="H1535" s="150" t="str">
        <f t="shared" si="508"/>
        <v/>
      </c>
      <c r="I1535" s="150">
        <f t="shared" si="508"/>
        <v>0</v>
      </c>
      <c r="J1535" s="150">
        <f t="shared" si="508"/>
        <v>0</v>
      </c>
      <c r="K1535" s="196"/>
      <c r="L1535" s="197"/>
      <c r="M1535" s="191">
        <f t="shared" si="509"/>
        <v>0</v>
      </c>
      <c r="N1535" s="150">
        <f t="shared" si="509"/>
        <v>0</v>
      </c>
      <c r="O1535" s="193">
        <f t="shared" si="509"/>
        <v>0</v>
      </c>
      <c r="P1535" s="162">
        <f t="shared" si="510"/>
        <v>0</v>
      </c>
      <c r="Q1535" s="162">
        <f t="shared" si="510"/>
        <v>0</v>
      </c>
      <c r="R1535" s="162">
        <f t="shared" si="510"/>
        <v>0</v>
      </c>
      <c r="S1535" s="162">
        <f t="shared" si="510"/>
        <v>0</v>
      </c>
      <c r="T1535" s="162">
        <f t="shared" si="510"/>
        <v>0</v>
      </c>
      <c r="U1535" s="162">
        <f t="shared" si="510"/>
        <v>0</v>
      </c>
      <c r="V1535" s="162">
        <f t="shared" si="510"/>
        <v>0</v>
      </c>
      <c r="W1535" s="162">
        <f t="shared" si="510"/>
        <v>0</v>
      </c>
      <c r="X1535" s="162">
        <f t="shared" si="510"/>
        <v>0</v>
      </c>
      <c r="Y1535" s="162">
        <f t="shared" si="510"/>
        <v>0</v>
      </c>
      <c r="Z1535" s="162">
        <f t="shared" si="510"/>
        <v>0</v>
      </c>
      <c r="AA1535" s="162">
        <f t="shared" si="510"/>
        <v>0</v>
      </c>
      <c r="AB1535" s="163">
        <f t="shared" si="503"/>
        <v>0</v>
      </c>
      <c r="AC1535" s="198"/>
    </row>
    <row r="1536" spans="1:29" hidden="1" outlineLevel="1" x14ac:dyDescent="0.25">
      <c r="A1536" s="14" t="str">
        <f t="shared" si="500"/>
        <v>TERC_OPER__13</v>
      </c>
      <c r="B1536" s="15" t="str">
        <f t="shared" si="501"/>
        <v>TERC_OPER__0_0</v>
      </c>
      <c r="C1536" s="83"/>
      <c r="D1536" s="15">
        <f t="shared" si="502"/>
        <v>0</v>
      </c>
      <c r="E1536" s="15">
        <v>13</v>
      </c>
      <c r="F1536" s="190">
        <f t="shared" si="508"/>
        <v>0</v>
      </c>
      <c r="G1536" s="149" t="str">
        <f t="shared" si="508"/>
        <v/>
      </c>
      <c r="H1536" s="150" t="str">
        <f t="shared" si="508"/>
        <v/>
      </c>
      <c r="I1536" s="150">
        <f t="shared" si="508"/>
        <v>0</v>
      </c>
      <c r="J1536" s="150">
        <f t="shared" si="508"/>
        <v>0</v>
      </c>
      <c r="K1536" s="196"/>
      <c r="L1536" s="197"/>
      <c r="M1536" s="191">
        <f t="shared" si="509"/>
        <v>0</v>
      </c>
      <c r="N1536" s="150">
        <f t="shared" si="509"/>
        <v>0</v>
      </c>
      <c r="O1536" s="193">
        <f t="shared" si="509"/>
        <v>0</v>
      </c>
      <c r="P1536" s="162">
        <f t="shared" si="510"/>
        <v>0</v>
      </c>
      <c r="Q1536" s="162">
        <f t="shared" si="510"/>
        <v>0</v>
      </c>
      <c r="R1536" s="162">
        <f t="shared" si="510"/>
        <v>0</v>
      </c>
      <c r="S1536" s="162">
        <f t="shared" si="510"/>
        <v>0</v>
      </c>
      <c r="T1536" s="162">
        <f t="shared" si="510"/>
        <v>0</v>
      </c>
      <c r="U1536" s="162">
        <f t="shared" si="510"/>
        <v>0</v>
      </c>
      <c r="V1536" s="162">
        <f t="shared" si="510"/>
        <v>0</v>
      </c>
      <c r="W1536" s="162">
        <f t="shared" si="510"/>
        <v>0</v>
      </c>
      <c r="X1536" s="162">
        <f t="shared" si="510"/>
        <v>0</v>
      </c>
      <c r="Y1536" s="162">
        <f t="shared" si="510"/>
        <v>0</v>
      </c>
      <c r="Z1536" s="162">
        <f t="shared" si="510"/>
        <v>0</v>
      </c>
      <c r="AA1536" s="162">
        <f t="shared" si="510"/>
        <v>0</v>
      </c>
      <c r="AB1536" s="163">
        <f t="shared" si="503"/>
        <v>0</v>
      </c>
      <c r="AC1536" s="198"/>
    </row>
    <row r="1537" spans="1:29" hidden="1" outlineLevel="1" x14ac:dyDescent="0.25">
      <c r="A1537" s="14" t="str">
        <f t="shared" si="500"/>
        <v>TERC_OPER__14</v>
      </c>
      <c r="B1537" s="15" t="str">
        <f t="shared" si="501"/>
        <v>TERC_OPER__0_0</v>
      </c>
      <c r="C1537" s="83"/>
      <c r="D1537" s="15">
        <f t="shared" si="502"/>
        <v>0</v>
      </c>
      <c r="E1537" s="15">
        <v>14</v>
      </c>
      <c r="F1537" s="190">
        <f t="shared" si="508"/>
        <v>0</v>
      </c>
      <c r="G1537" s="149" t="str">
        <f t="shared" si="508"/>
        <v/>
      </c>
      <c r="H1537" s="150" t="str">
        <f t="shared" si="508"/>
        <v/>
      </c>
      <c r="I1537" s="150">
        <f t="shared" si="508"/>
        <v>0</v>
      </c>
      <c r="J1537" s="150">
        <f t="shared" si="508"/>
        <v>0</v>
      </c>
      <c r="K1537" s="196"/>
      <c r="L1537" s="197"/>
      <c r="M1537" s="191">
        <f t="shared" si="509"/>
        <v>0</v>
      </c>
      <c r="N1537" s="150">
        <f t="shared" si="509"/>
        <v>0</v>
      </c>
      <c r="O1537" s="193">
        <f t="shared" si="509"/>
        <v>0</v>
      </c>
      <c r="P1537" s="162">
        <f t="shared" si="510"/>
        <v>0</v>
      </c>
      <c r="Q1537" s="162">
        <f t="shared" si="510"/>
        <v>0</v>
      </c>
      <c r="R1537" s="162">
        <f t="shared" si="510"/>
        <v>0</v>
      </c>
      <c r="S1537" s="162">
        <f t="shared" si="510"/>
        <v>0</v>
      </c>
      <c r="T1537" s="162">
        <f t="shared" si="510"/>
        <v>0</v>
      </c>
      <c r="U1537" s="162">
        <f t="shared" si="510"/>
        <v>0</v>
      </c>
      <c r="V1537" s="162">
        <f t="shared" si="510"/>
        <v>0</v>
      </c>
      <c r="W1537" s="162">
        <f t="shared" si="510"/>
        <v>0</v>
      </c>
      <c r="X1537" s="162">
        <f t="shared" si="510"/>
        <v>0</v>
      </c>
      <c r="Y1537" s="162">
        <f t="shared" si="510"/>
        <v>0</v>
      </c>
      <c r="Z1537" s="162">
        <f t="shared" si="510"/>
        <v>0</v>
      </c>
      <c r="AA1537" s="162">
        <f t="shared" si="510"/>
        <v>0</v>
      </c>
      <c r="AB1537" s="163">
        <f t="shared" si="503"/>
        <v>0</v>
      </c>
      <c r="AC1537" s="198"/>
    </row>
    <row r="1538" spans="1:29" hidden="1" outlineLevel="1" x14ac:dyDescent="0.25">
      <c r="A1538" s="14" t="str">
        <f t="shared" si="500"/>
        <v>TERC_OPER__15</v>
      </c>
      <c r="B1538" s="15" t="str">
        <f t="shared" si="501"/>
        <v>TERC_OPER__0_0</v>
      </c>
      <c r="C1538" s="83"/>
      <c r="D1538" s="15">
        <f t="shared" si="502"/>
        <v>0</v>
      </c>
      <c r="E1538" s="15">
        <v>15</v>
      </c>
      <c r="F1538" s="190">
        <f t="shared" si="508"/>
        <v>0</v>
      </c>
      <c r="G1538" s="149" t="str">
        <f t="shared" si="508"/>
        <v/>
      </c>
      <c r="H1538" s="150" t="str">
        <f t="shared" si="508"/>
        <v/>
      </c>
      <c r="I1538" s="150">
        <f t="shared" si="508"/>
        <v>0</v>
      </c>
      <c r="J1538" s="150">
        <f t="shared" si="508"/>
        <v>0</v>
      </c>
      <c r="K1538" s="196"/>
      <c r="L1538" s="197"/>
      <c r="M1538" s="191">
        <f t="shared" si="509"/>
        <v>0</v>
      </c>
      <c r="N1538" s="150">
        <f t="shared" si="509"/>
        <v>0</v>
      </c>
      <c r="O1538" s="193">
        <f t="shared" si="509"/>
        <v>0</v>
      </c>
      <c r="P1538" s="162">
        <f t="shared" si="510"/>
        <v>0</v>
      </c>
      <c r="Q1538" s="162">
        <f t="shared" si="510"/>
        <v>0</v>
      </c>
      <c r="R1538" s="162">
        <f t="shared" si="510"/>
        <v>0</v>
      </c>
      <c r="S1538" s="162">
        <f t="shared" si="510"/>
        <v>0</v>
      </c>
      <c r="T1538" s="162">
        <f t="shared" si="510"/>
        <v>0</v>
      </c>
      <c r="U1538" s="162">
        <f t="shared" si="510"/>
        <v>0</v>
      </c>
      <c r="V1538" s="162">
        <f t="shared" si="510"/>
        <v>0</v>
      </c>
      <c r="W1538" s="162">
        <f t="shared" si="510"/>
        <v>0</v>
      </c>
      <c r="X1538" s="162">
        <f t="shared" si="510"/>
        <v>0</v>
      </c>
      <c r="Y1538" s="162">
        <f t="shared" si="510"/>
        <v>0</v>
      </c>
      <c r="Z1538" s="162">
        <f t="shared" si="510"/>
        <v>0</v>
      </c>
      <c r="AA1538" s="162">
        <f t="shared" si="510"/>
        <v>0</v>
      </c>
      <c r="AB1538" s="163">
        <f t="shared" si="503"/>
        <v>0</v>
      </c>
      <c r="AC1538" s="198"/>
    </row>
    <row r="1539" spans="1:29" hidden="1" outlineLevel="1" x14ac:dyDescent="0.25">
      <c r="A1539" s="14" t="str">
        <f t="shared" si="500"/>
        <v>TERC_OPER__16</v>
      </c>
      <c r="B1539" s="15" t="str">
        <f t="shared" si="501"/>
        <v>TERC_OPER__0_0</v>
      </c>
      <c r="C1539" s="83"/>
      <c r="D1539" s="15">
        <f t="shared" si="502"/>
        <v>0</v>
      </c>
      <c r="E1539" s="15">
        <v>16</v>
      </c>
      <c r="F1539" s="190">
        <f t="shared" si="508"/>
        <v>0</v>
      </c>
      <c r="G1539" s="149" t="str">
        <f t="shared" si="508"/>
        <v/>
      </c>
      <c r="H1539" s="150" t="str">
        <f t="shared" si="508"/>
        <v/>
      </c>
      <c r="I1539" s="150">
        <f t="shared" si="508"/>
        <v>0</v>
      </c>
      <c r="J1539" s="150">
        <f t="shared" si="508"/>
        <v>0</v>
      </c>
      <c r="K1539" s="196"/>
      <c r="L1539" s="197"/>
      <c r="M1539" s="191">
        <f t="shared" si="509"/>
        <v>0</v>
      </c>
      <c r="N1539" s="150">
        <f t="shared" si="509"/>
        <v>0</v>
      </c>
      <c r="O1539" s="193">
        <f t="shared" si="509"/>
        <v>0</v>
      </c>
      <c r="P1539" s="162">
        <f t="shared" si="510"/>
        <v>0</v>
      </c>
      <c r="Q1539" s="162">
        <f t="shared" si="510"/>
        <v>0</v>
      </c>
      <c r="R1539" s="162">
        <f t="shared" si="510"/>
        <v>0</v>
      </c>
      <c r="S1539" s="162">
        <f t="shared" si="510"/>
        <v>0</v>
      </c>
      <c r="T1539" s="162">
        <f t="shared" si="510"/>
        <v>0</v>
      </c>
      <c r="U1539" s="162">
        <f t="shared" si="510"/>
        <v>0</v>
      </c>
      <c r="V1539" s="162">
        <f t="shared" si="510"/>
        <v>0</v>
      </c>
      <c r="W1539" s="162">
        <f t="shared" si="510"/>
        <v>0</v>
      </c>
      <c r="X1539" s="162">
        <f t="shared" si="510"/>
        <v>0</v>
      </c>
      <c r="Y1539" s="162">
        <f t="shared" si="510"/>
        <v>0</v>
      </c>
      <c r="Z1539" s="162">
        <f t="shared" si="510"/>
        <v>0</v>
      </c>
      <c r="AA1539" s="162">
        <f t="shared" si="510"/>
        <v>0</v>
      </c>
      <c r="AB1539" s="163">
        <f t="shared" si="503"/>
        <v>0</v>
      </c>
      <c r="AC1539" s="198"/>
    </row>
    <row r="1540" spans="1:29" hidden="1" outlineLevel="1" x14ac:dyDescent="0.25">
      <c r="A1540" s="14" t="str">
        <f t="shared" si="500"/>
        <v>TERC_OPER__17</v>
      </c>
      <c r="B1540" s="15" t="str">
        <f t="shared" si="501"/>
        <v>TERC_OPER__0_0</v>
      </c>
      <c r="C1540" s="83"/>
      <c r="D1540" s="15">
        <f t="shared" si="502"/>
        <v>0</v>
      </c>
      <c r="E1540" s="15">
        <v>17</v>
      </c>
      <c r="F1540" s="190">
        <f t="shared" si="508"/>
        <v>0</v>
      </c>
      <c r="G1540" s="149" t="str">
        <f t="shared" si="508"/>
        <v/>
      </c>
      <c r="H1540" s="150" t="str">
        <f t="shared" si="508"/>
        <v/>
      </c>
      <c r="I1540" s="150">
        <f t="shared" si="508"/>
        <v>0</v>
      </c>
      <c r="J1540" s="150">
        <f t="shared" si="508"/>
        <v>0</v>
      </c>
      <c r="K1540" s="196"/>
      <c r="L1540" s="197"/>
      <c r="M1540" s="191">
        <f t="shared" si="509"/>
        <v>0</v>
      </c>
      <c r="N1540" s="150">
        <f t="shared" si="509"/>
        <v>0</v>
      </c>
      <c r="O1540" s="193">
        <f t="shared" si="509"/>
        <v>0</v>
      </c>
      <c r="P1540" s="162">
        <f t="shared" si="510"/>
        <v>0</v>
      </c>
      <c r="Q1540" s="162">
        <f t="shared" si="510"/>
        <v>0</v>
      </c>
      <c r="R1540" s="162">
        <f t="shared" si="510"/>
        <v>0</v>
      </c>
      <c r="S1540" s="162">
        <f t="shared" si="510"/>
        <v>0</v>
      </c>
      <c r="T1540" s="162">
        <f t="shared" si="510"/>
        <v>0</v>
      </c>
      <c r="U1540" s="162">
        <f t="shared" si="510"/>
        <v>0</v>
      </c>
      <c r="V1540" s="162">
        <f t="shared" si="510"/>
        <v>0</v>
      </c>
      <c r="W1540" s="162">
        <f t="shared" si="510"/>
        <v>0</v>
      </c>
      <c r="X1540" s="162">
        <f t="shared" si="510"/>
        <v>0</v>
      </c>
      <c r="Y1540" s="162">
        <f t="shared" si="510"/>
        <v>0</v>
      </c>
      <c r="Z1540" s="162">
        <f t="shared" si="510"/>
        <v>0</v>
      </c>
      <c r="AA1540" s="162">
        <f t="shared" si="510"/>
        <v>0</v>
      </c>
      <c r="AB1540" s="163">
        <f t="shared" si="503"/>
        <v>0</v>
      </c>
      <c r="AC1540" s="198"/>
    </row>
    <row r="1541" spans="1:29" hidden="1" outlineLevel="1" x14ac:dyDescent="0.25">
      <c r="A1541" s="14" t="str">
        <f t="shared" si="500"/>
        <v>TERC_OPER__18</v>
      </c>
      <c r="B1541" s="15" t="str">
        <f t="shared" si="501"/>
        <v>TERC_OPER__0_0</v>
      </c>
      <c r="C1541" s="83"/>
      <c r="D1541" s="15">
        <f t="shared" si="502"/>
        <v>0</v>
      </c>
      <c r="E1541" s="15">
        <v>18</v>
      </c>
      <c r="F1541" s="190">
        <f t="shared" si="508"/>
        <v>0</v>
      </c>
      <c r="G1541" s="149" t="str">
        <f t="shared" si="508"/>
        <v/>
      </c>
      <c r="H1541" s="150" t="str">
        <f t="shared" si="508"/>
        <v/>
      </c>
      <c r="I1541" s="150">
        <f t="shared" si="508"/>
        <v>0</v>
      </c>
      <c r="J1541" s="150">
        <f t="shared" si="508"/>
        <v>0</v>
      </c>
      <c r="K1541" s="196"/>
      <c r="L1541" s="197"/>
      <c r="M1541" s="191">
        <f t="shared" si="509"/>
        <v>0</v>
      </c>
      <c r="N1541" s="150">
        <f t="shared" si="509"/>
        <v>0</v>
      </c>
      <c r="O1541" s="193">
        <f t="shared" si="509"/>
        <v>0</v>
      </c>
      <c r="P1541" s="162">
        <f t="shared" si="510"/>
        <v>0</v>
      </c>
      <c r="Q1541" s="162">
        <f t="shared" si="510"/>
        <v>0</v>
      </c>
      <c r="R1541" s="162">
        <f t="shared" si="510"/>
        <v>0</v>
      </c>
      <c r="S1541" s="162">
        <f t="shared" si="510"/>
        <v>0</v>
      </c>
      <c r="T1541" s="162">
        <f t="shared" si="510"/>
        <v>0</v>
      </c>
      <c r="U1541" s="162">
        <f t="shared" si="510"/>
        <v>0</v>
      </c>
      <c r="V1541" s="162">
        <f t="shared" si="510"/>
        <v>0</v>
      </c>
      <c r="W1541" s="162">
        <f t="shared" si="510"/>
        <v>0</v>
      </c>
      <c r="X1541" s="162">
        <f t="shared" si="510"/>
        <v>0</v>
      </c>
      <c r="Y1541" s="162">
        <f t="shared" si="510"/>
        <v>0</v>
      </c>
      <c r="Z1541" s="162">
        <f t="shared" si="510"/>
        <v>0</v>
      </c>
      <c r="AA1541" s="162">
        <f t="shared" si="510"/>
        <v>0</v>
      </c>
      <c r="AB1541" s="163">
        <f t="shared" si="503"/>
        <v>0</v>
      </c>
      <c r="AC1541" s="198"/>
    </row>
    <row r="1542" spans="1:29" hidden="1" outlineLevel="1" x14ac:dyDescent="0.25">
      <c r="A1542" s="14" t="str">
        <f t="shared" si="500"/>
        <v>TERC_OPER__19</v>
      </c>
      <c r="B1542" s="15" t="str">
        <f t="shared" si="501"/>
        <v>TERC_OPER__0_0</v>
      </c>
      <c r="C1542" s="83"/>
      <c r="D1542" s="15">
        <f t="shared" si="502"/>
        <v>0</v>
      </c>
      <c r="E1542" s="15">
        <v>19</v>
      </c>
      <c r="F1542" s="190">
        <f t="shared" si="508"/>
        <v>0</v>
      </c>
      <c r="G1542" s="149" t="str">
        <f t="shared" si="508"/>
        <v/>
      </c>
      <c r="H1542" s="150" t="str">
        <f t="shared" si="508"/>
        <v/>
      </c>
      <c r="I1542" s="150">
        <f t="shared" si="508"/>
        <v>0</v>
      </c>
      <c r="J1542" s="150">
        <f t="shared" si="508"/>
        <v>0</v>
      </c>
      <c r="K1542" s="196"/>
      <c r="L1542" s="197"/>
      <c r="M1542" s="191">
        <f t="shared" si="509"/>
        <v>0</v>
      </c>
      <c r="N1542" s="150">
        <f t="shared" si="509"/>
        <v>0</v>
      </c>
      <c r="O1542" s="193">
        <f t="shared" si="509"/>
        <v>0</v>
      </c>
      <c r="P1542" s="162">
        <f t="shared" si="510"/>
        <v>0</v>
      </c>
      <c r="Q1542" s="162">
        <f t="shared" si="510"/>
        <v>0</v>
      </c>
      <c r="R1542" s="162">
        <f t="shared" si="510"/>
        <v>0</v>
      </c>
      <c r="S1542" s="162">
        <f t="shared" si="510"/>
        <v>0</v>
      </c>
      <c r="T1542" s="162">
        <f t="shared" si="510"/>
        <v>0</v>
      </c>
      <c r="U1542" s="162">
        <f t="shared" si="510"/>
        <v>0</v>
      </c>
      <c r="V1542" s="162">
        <f t="shared" si="510"/>
        <v>0</v>
      </c>
      <c r="W1542" s="162">
        <f t="shared" si="510"/>
        <v>0</v>
      </c>
      <c r="X1542" s="162">
        <f t="shared" si="510"/>
        <v>0</v>
      </c>
      <c r="Y1542" s="162">
        <f t="shared" si="510"/>
        <v>0</v>
      </c>
      <c r="Z1542" s="162">
        <f t="shared" si="510"/>
        <v>0</v>
      </c>
      <c r="AA1542" s="162">
        <f t="shared" si="510"/>
        <v>0</v>
      </c>
      <c r="AB1542" s="163">
        <f t="shared" si="503"/>
        <v>0</v>
      </c>
      <c r="AC1542" s="198"/>
    </row>
    <row r="1543" spans="1:29" hidden="1" outlineLevel="1" x14ac:dyDescent="0.25">
      <c r="A1543" s="14" t="str">
        <f t="shared" si="500"/>
        <v>TERC_OPER__20</v>
      </c>
      <c r="B1543" s="15" t="str">
        <f t="shared" si="501"/>
        <v>TERC_OPER__0_0</v>
      </c>
      <c r="C1543" s="83"/>
      <c r="D1543" s="15">
        <f t="shared" si="502"/>
        <v>0</v>
      </c>
      <c r="E1543" s="15">
        <v>20</v>
      </c>
      <c r="F1543" s="190">
        <f t="shared" si="508"/>
        <v>0</v>
      </c>
      <c r="G1543" s="149" t="str">
        <f t="shared" si="508"/>
        <v/>
      </c>
      <c r="H1543" s="150" t="str">
        <f t="shared" si="508"/>
        <v/>
      </c>
      <c r="I1543" s="150">
        <f t="shared" si="508"/>
        <v>0</v>
      </c>
      <c r="J1543" s="150">
        <f t="shared" si="508"/>
        <v>0</v>
      </c>
      <c r="K1543" s="196"/>
      <c r="L1543" s="197"/>
      <c r="M1543" s="191">
        <f t="shared" si="509"/>
        <v>0</v>
      </c>
      <c r="N1543" s="150">
        <f t="shared" si="509"/>
        <v>0</v>
      </c>
      <c r="O1543" s="193">
        <f t="shared" si="509"/>
        <v>0</v>
      </c>
      <c r="P1543" s="162">
        <f t="shared" si="510"/>
        <v>0</v>
      </c>
      <c r="Q1543" s="162">
        <f t="shared" si="510"/>
        <v>0</v>
      </c>
      <c r="R1543" s="162">
        <f t="shared" si="510"/>
        <v>0</v>
      </c>
      <c r="S1543" s="162">
        <f t="shared" si="510"/>
        <v>0</v>
      </c>
      <c r="T1543" s="162">
        <f t="shared" si="510"/>
        <v>0</v>
      </c>
      <c r="U1543" s="162">
        <f t="shared" si="510"/>
        <v>0</v>
      </c>
      <c r="V1543" s="162">
        <f t="shared" si="510"/>
        <v>0</v>
      </c>
      <c r="W1543" s="162">
        <f t="shared" si="510"/>
        <v>0</v>
      </c>
      <c r="X1543" s="162">
        <f t="shared" si="510"/>
        <v>0</v>
      </c>
      <c r="Y1543" s="162">
        <f t="shared" si="510"/>
        <v>0</v>
      </c>
      <c r="Z1543" s="162">
        <f t="shared" si="510"/>
        <v>0</v>
      </c>
      <c r="AA1543" s="162">
        <f t="shared" si="510"/>
        <v>0</v>
      </c>
      <c r="AB1543" s="163">
        <f t="shared" si="503"/>
        <v>0</v>
      </c>
      <c r="AC1543" s="198"/>
    </row>
    <row r="1544" spans="1:29" hidden="1" outlineLevel="1" x14ac:dyDescent="0.25">
      <c r="A1544" s="14" t="str">
        <f t="shared" si="500"/>
        <v>TERC_OPER__21</v>
      </c>
      <c r="B1544" s="15" t="str">
        <f t="shared" si="501"/>
        <v>TERC_OPER__0_0</v>
      </c>
      <c r="C1544" s="83"/>
      <c r="D1544" s="15">
        <f t="shared" si="502"/>
        <v>0</v>
      </c>
      <c r="E1544" s="15">
        <v>21</v>
      </c>
      <c r="F1544" s="190">
        <f t="shared" si="508"/>
        <v>0</v>
      </c>
      <c r="G1544" s="149" t="str">
        <f t="shared" si="508"/>
        <v/>
      </c>
      <c r="H1544" s="150" t="str">
        <f t="shared" si="508"/>
        <v/>
      </c>
      <c r="I1544" s="150">
        <f t="shared" si="508"/>
        <v>0</v>
      </c>
      <c r="J1544" s="150">
        <f t="shared" si="508"/>
        <v>0</v>
      </c>
      <c r="K1544" s="196"/>
      <c r="L1544" s="197"/>
      <c r="M1544" s="191">
        <f t="shared" si="509"/>
        <v>0</v>
      </c>
      <c r="N1544" s="150">
        <f t="shared" si="509"/>
        <v>0</v>
      </c>
      <c r="O1544" s="193">
        <f t="shared" si="509"/>
        <v>0</v>
      </c>
      <c r="P1544" s="162">
        <f t="shared" si="510"/>
        <v>0</v>
      </c>
      <c r="Q1544" s="162">
        <f t="shared" si="510"/>
        <v>0</v>
      </c>
      <c r="R1544" s="162">
        <f t="shared" si="510"/>
        <v>0</v>
      </c>
      <c r="S1544" s="162">
        <f t="shared" si="510"/>
        <v>0</v>
      </c>
      <c r="T1544" s="162">
        <f t="shared" si="510"/>
        <v>0</v>
      </c>
      <c r="U1544" s="162">
        <f t="shared" si="510"/>
        <v>0</v>
      </c>
      <c r="V1544" s="162">
        <f t="shared" si="510"/>
        <v>0</v>
      </c>
      <c r="W1544" s="162">
        <f t="shared" si="510"/>
        <v>0</v>
      </c>
      <c r="X1544" s="162">
        <f t="shared" si="510"/>
        <v>0</v>
      </c>
      <c r="Y1544" s="162">
        <f t="shared" si="510"/>
        <v>0</v>
      </c>
      <c r="Z1544" s="162">
        <f t="shared" si="510"/>
        <v>0</v>
      </c>
      <c r="AA1544" s="162">
        <f t="shared" si="510"/>
        <v>0</v>
      </c>
      <c r="AB1544" s="163">
        <f t="shared" si="503"/>
        <v>0</v>
      </c>
      <c r="AC1544" s="198"/>
    </row>
    <row r="1545" spans="1:29" hidden="1" outlineLevel="1" x14ac:dyDescent="0.25">
      <c r="A1545" s="14" t="str">
        <f t="shared" si="500"/>
        <v>TERC_OPER__22</v>
      </c>
      <c r="B1545" s="15" t="str">
        <f t="shared" si="501"/>
        <v>TERC_OPER__0_0</v>
      </c>
      <c r="C1545" s="83"/>
      <c r="D1545" s="15">
        <f t="shared" si="502"/>
        <v>0</v>
      </c>
      <c r="E1545" s="15">
        <v>22</v>
      </c>
      <c r="F1545" s="190">
        <f t="shared" ref="F1545:J1560" si="511">F1403</f>
        <v>0</v>
      </c>
      <c r="G1545" s="149" t="str">
        <f t="shared" si="511"/>
        <v/>
      </c>
      <c r="H1545" s="150" t="str">
        <f t="shared" si="511"/>
        <v/>
      </c>
      <c r="I1545" s="150">
        <f t="shared" si="511"/>
        <v>0</v>
      </c>
      <c r="J1545" s="150">
        <f t="shared" si="511"/>
        <v>0</v>
      </c>
      <c r="K1545" s="196"/>
      <c r="L1545" s="197"/>
      <c r="M1545" s="191">
        <f t="shared" ref="M1545:O1560" si="512">M1403</f>
        <v>0</v>
      </c>
      <c r="N1545" s="150">
        <f t="shared" si="512"/>
        <v>0</v>
      </c>
      <c r="O1545" s="193">
        <f t="shared" si="512"/>
        <v>0</v>
      </c>
      <c r="P1545" s="162">
        <f t="shared" ref="P1545:AA1560" si="513">IFERROR(SUMIF($B$1351:$B$1378,$C1545&amp;$I1545,P$1351:P$1378)/SUMIF($D$1351:$D$1378,$I1545,P$1351:P$1378)*P1403,0)</f>
        <v>0</v>
      </c>
      <c r="Q1545" s="162">
        <f t="shared" si="513"/>
        <v>0</v>
      </c>
      <c r="R1545" s="162">
        <f t="shared" si="513"/>
        <v>0</v>
      </c>
      <c r="S1545" s="162">
        <f t="shared" si="513"/>
        <v>0</v>
      </c>
      <c r="T1545" s="162">
        <f t="shared" si="513"/>
        <v>0</v>
      </c>
      <c r="U1545" s="162">
        <f t="shared" si="513"/>
        <v>0</v>
      </c>
      <c r="V1545" s="162">
        <f t="shared" si="513"/>
        <v>0</v>
      </c>
      <c r="W1545" s="162">
        <f t="shared" si="513"/>
        <v>0</v>
      </c>
      <c r="X1545" s="162">
        <f t="shared" si="513"/>
        <v>0</v>
      </c>
      <c r="Y1545" s="162">
        <f t="shared" si="513"/>
        <v>0</v>
      </c>
      <c r="Z1545" s="162">
        <f t="shared" si="513"/>
        <v>0</v>
      </c>
      <c r="AA1545" s="162">
        <f t="shared" si="513"/>
        <v>0</v>
      </c>
      <c r="AB1545" s="163">
        <f t="shared" si="503"/>
        <v>0</v>
      </c>
      <c r="AC1545" s="198"/>
    </row>
    <row r="1546" spans="1:29" hidden="1" outlineLevel="1" x14ac:dyDescent="0.25">
      <c r="A1546" s="14" t="str">
        <f t="shared" si="500"/>
        <v>TERC_OPER__23</v>
      </c>
      <c r="B1546" s="15" t="str">
        <f t="shared" si="501"/>
        <v>TERC_OPER__0_0</v>
      </c>
      <c r="C1546" s="83"/>
      <c r="D1546" s="15">
        <f t="shared" si="502"/>
        <v>0</v>
      </c>
      <c r="E1546" s="15">
        <v>23</v>
      </c>
      <c r="F1546" s="190">
        <f t="shared" si="511"/>
        <v>0</v>
      </c>
      <c r="G1546" s="149" t="str">
        <f t="shared" si="511"/>
        <v/>
      </c>
      <c r="H1546" s="150" t="str">
        <f t="shared" si="511"/>
        <v/>
      </c>
      <c r="I1546" s="150">
        <f t="shared" si="511"/>
        <v>0</v>
      </c>
      <c r="J1546" s="150">
        <f t="shared" si="511"/>
        <v>0</v>
      </c>
      <c r="K1546" s="196"/>
      <c r="L1546" s="197"/>
      <c r="M1546" s="191">
        <f t="shared" si="512"/>
        <v>0</v>
      </c>
      <c r="N1546" s="150">
        <f t="shared" si="512"/>
        <v>0</v>
      </c>
      <c r="O1546" s="193">
        <f t="shared" si="512"/>
        <v>0</v>
      </c>
      <c r="P1546" s="162">
        <f t="shared" si="513"/>
        <v>0</v>
      </c>
      <c r="Q1546" s="162">
        <f t="shared" si="513"/>
        <v>0</v>
      </c>
      <c r="R1546" s="162">
        <f t="shared" si="513"/>
        <v>0</v>
      </c>
      <c r="S1546" s="162">
        <f t="shared" si="513"/>
        <v>0</v>
      </c>
      <c r="T1546" s="162">
        <f t="shared" si="513"/>
        <v>0</v>
      </c>
      <c r="U1546" s="162">
        <f t="shared" si="513"/>
        <v>0</v>
      </c>
      <c r="V1546" s="162">
        <f t="shared" si="513"/>
        <v>0</v>
      </c>
      <c r="W1546" s="162">
        <f t="shared" si="513"/>
        <v>0</v>
      </c>
      <c r="X1546" s="162">
        <f t="shared" si="513"/>
        <v>0</v>
      </c>
      <c r="Y1546" s="162">
        <f t="shared" si="513"/>
        <v>0</v>
      </c>
      <c r="Z1546" s="162">
        <f t="shared" si="513"/>
        <v>0</v>
      </c>
      <c r="AA1546" s="162">
        <f t="shared" si="513"/>
        <v>0</v>
      </c>
      <c r="AB1546" s="163">
        <f t="shared" si="503"/>
        <v>0</v>
      </c>
      <c r="AC1546" s="198"/>
    </row>
    <row r="1547" spans="1:29" hidden="1" outlineLevel="1" x14ac:dyDescent="0.25">
      <c r="A1547" s="14" t="str">
        <f t="shared" si="500"/>
        <v>TERC_OPER__24</v>
      </c>
      <c r="B1547" s="15" t="str">
        <f t="shared" si="501"/>
        <v>TERC_OPER__0_0</v>
      </c>
      <c r="C1547" s="83"/>
      <c r="D1547" s="15">
        <f t="shared" si="502"/>
        <v>0</v>
      </c>
      <c r="E1547" s="15">
        <v>24</v>
      </c>
      <c r="F1547" s="190">
        <f t="shared" si="511"/>
        <v>0</v>
      </c>
      <c r="G1547" s="149" t="str">
        <f t="shared" si="511"/>
        <v/>
      </c>
      <c r="H1547" s="150" t="str">
        <f t="shared" si="511"/>
        <v/>
      </c>
      <c r="I1547" s="150">
        <f t="shared" si="511"/>
        <v>0</v>
      </c>
      <c r="J1547" s="150">
        <f t="shared" si="511"/>
        <v>0</v>
      </c>
      <c r="K1547" s="196"/>
      <c r="L1547" s="197"/>
      <c r="M1547" s="191">
        <f t="shared" si="512"/>
        <v>0</v>
      </c>
      <c r="N1547" s="150">
        <f t="shared" si="512"/>
        <v>0</v>
      </c>
      <c r="O1547" s="193">
        <f t="shared" si="512"/>
        <v>0</v>
      </c>
      <c r="P1547" s="162">
        <f t="shared" si="513"/>
        <v>0</v>
      </c>
      <c r="Q1547" s="162">
        <f t="shared" si="513"/>
        <v>0</v>
      </c>
      <c r="R1547" s="162">
        <f t="shared" si="513"/>
        <v>0</v>
      </c>
      <c r="S1547" s="162">
        <f t="shared" si="513"/>
        <v>0</v>
      </c>
      <c r="T1547" s="162">
        <f t="shared" si="513"/>
        <v>0</v>
      </c>
      <c r="U1547" s="162">
        <f t="shared" si="513"/>
        <v>0</v>
      </c>
      <c r="V1547" s="162">
        <f t="shared" si="513"/>
        <v>0</v>
      </c>
      <c r="W1547" s="162">
        <f t="shared" si="513"/>
        <v>0</v>
      </c>
      <c r="X1547" s="162">
        <f t="shared" si="513"/>
        <v>0</v>
      </c>
      <c r="Y1547" s="162">
        <f t="shared" si="513"/>
        <v>0</v>
      </c>
      <c r="Z1547" s="162">
        <f t="shared" si="513"/>
        <v>0</v>
      </c>
      <c r="AA1547" s="162">
        <f t="shared" si="513"/>
        <v>0</v>
      </c>
      <c r="AB1547" s="163">
        <f t="shared" si="503"/>
        <v>0</v>
      </c>
      <c r="AC1547" s="198"/>
    </row>
    <row r="1548" spans="1:29" hidden="1" outlineLevel="1" x14ac:dyDescent="0.25">
      <c r="A1548" s="14" t="str">
        <f t="shared" si="500"/>
        <v>TERC_OPER__25</v>
      </c>
      <c r="B1548" s="15" t="str">
        <f t="shared" si="501"/>
        <v>TERC_OPER__0_0</v>
      </c>
      <c r="C1548" s="83"/>
      <c r="D1548" s="15">
        <f t="shared" si="502"/>
        <v>0</v>
      </c>
      <c r="E1548" s="15">
        <v>25</v>
      </c>
      <c r="F1548" s="190">
        <f t="shared" si="511"/>
        <v>0</v>
      </c>
      <c r="G1548" s="149" t="str">
        <f t="shared" si="511"/>
        <v/>
      </c>
      <c r="H1548" s="150" t="str">
        <f t="shared" si="511"/>
        <v/>
      </c>
      <c r="I1548" s="150">
        <f t="shared" si="511"/>
        <v>0</v>
      </c>
      <c r="J1548" s="150">
        <f t="shared" si="511"/>
        <v>0</v>
      </c>
      <c r="K1548" s="196"/>
      <c r="L1548" s="197"/>
      <c r="M1548" s="191">
        <f t="shared" si="512"/>
        <v>0</v>
      </c>
      <c r="N1548" s="150">
        <f t="shared" si="512"/>
        <v>0</v>
      </c>
      <c r="O1548" s="193">
        <f t="shared" si="512"/>
        <v>0</v>
      </c>
      <c r="P1548" s="162">
        <f t="shared" si="513"/>
        <v>0</v>
      </c>
      <c r="Q1548" s="162">
        <f t="shared" si="513"/>
        <v>0</v>
      </c>
      <c r="R1548" s="162">
        <f t="shared" si="513"/>
        <v>0</v>
      </c>
      <c r="S1548" s="162">
        <f t="shared" si="513"/>
        <v>0</v>
      </c>
      <c r="T1548" s="162">
        <f t="shared" si="513"/>
        <v>0</v>
      </c>
      <c r="U1548" s="162">
        <f t="shared" si="513"/>
        <v>0</v>
      </c>
      <c r="V1548" s="162">
        <f t="shared" si="513"/>
        <v>0</v>
      </c>
      <c r="W1548" s="162">
        <f t="shared" si="513"/>
        <v>0</v>
      </c>
      <c r="X1548" s="162">
        <f t="shared" si="513"/>
        <v>0</v>
      </c>
      <c r="Y1548" s="162">
        <f t="shared" si="513"/>
        <v>0</v>
      </c>
      <c r="Z1548" s="162">
        <f t="shared" si="513"/>
        <v>0</v>
      </c>
      <c r="AA1548" s="162">
        <f t="shared" si="513"/>
        <v>0</v>
      </c>
      <c r="AB1548" s="163">
        <f t="shared" si="503"/>
        <v>0</v>
      </c>
      <c r="AC1548" s="198"/>
    </row>
    <row r="1549" spans="1:29" hidden="1" outlineLevel="1" x14ac:dyDescent="0.25">
      <c r="A1549" s="14" t="str">
        <f t="shared" si="500"/>
        <v>TERC_OPER__26</v>
      </c>
      <c r="B1549" s="15" t="str">
        <f t="shared" si="501"/>
        <v>TERC_OPER__0_0</v>
      </c>
      <c r="C1549" s="83"/>
      <c r="D1549" s="15">
        <f t="shared" si="502"/>
        <v>0</v>
      </c>
      <c r="E1549" s="15">
        <v>26</v>
      </c>
      <c r="F1549" s="190">
        <f t="shared" si="511"/>
        <v>0</v>
      </c>
      <c r="G1549" s="149" t="str">
        <f t="shared" si="511"/>
        <v/>
      </c>
      <c r="H1549" s="150" t="str">
        <f t="shared" si="511"/>
        <v/>
      </c>
      <c r="I1549" s="150">
        <f t="shared" si="511"/>
        <v>0</v>
      </c>
      <c r="J1549" s="150">
        <f t="shared" si="511"/>
        <v>0</v>
      </c>
      <c r="K1549" s="196"/>
      <c r="L1549" s="197"/>
      <c r="M1549" s="191">
        <f t="shared" si="512"/>
        <v>0</v>
      </c>
      <c r="N1549" s="150">
        <f t="shared" si="512"/>
        <v>0</v>
      </c>
      <c r="O1549" s="193">
        <f t="shared" si="512"/>
        <v>0</v>
      </c>
      <c r="P1549" s="162">
        <f t="shared" si="513"/>
        <v>0</v>
      </c>
      <c r="Q1549" s="162">
        <f t="shared" si="513"/>
        <v>0</v>
      </c>
      <c r="R1549" s="162">
        <f t="shared" si="513"/>
        <v>0</v>
      </c>
      <c r="S1549" s="162">
        <f t="shared" si="513"/>
        <v>0</v>
      </c>
      <c r="T1549" s="162">
        <f t="shared" si="513"/>
        <v>0</v>
      </c>
      <c r="U1549" s="162">
        <f t="shared" si="513"/>
        <v>0</v>
      </c>
      <c r="V1549" s="162">
        <f t="shared" si="513"/>
        <v>0</v>
      </c>
      <c r="W1549" s="162">
        <f t="shared" si="513"/>
        <v>0</v>
      </c>
      <c r="X1549" s="162">
        <f t="shared" si="513"/>
        <v>0</v>
      </c>
      <c r="Y1549" s="162">
        <f t="shared" si="513"/>
        <v>0</v>
      </c>
      <c r="Z1549" s="162">
        <f t="shared" si="513"/>
        <v>0</v>
      </c>
      <c r="AA1549" s="162">
        <f t="shared" si="513"/>
        <v>0</v>
      </c>
      <c r="AB1549" s="163">
        <f t="shared" si="503"/>
        <v>0</v>
      </c>
      <c r="AC1549" s="198"/>
    </row>
    <row r="1550" spans="1:29" hidden="1" outlineLevel="1" x14ac:dyDescent="0.25">
      <c r="A1550" s="14" t="str">
        <f t="shared" si="500"/>
        <v>TERC_OPER__27</v>
      </c>
      <c r="B1550" s="15" t="str">
        <f t="shared" si="501"/>
        <v>TERC_OPER__0_0</v>
      </c>
      <c r="C1550" s="83"/>
      <c r="D1550" s="15">
        <f t="shared" si="502"/>
        <v>0</v>
      </c>
      <c r="E1550" s="15">
        <v>27</v>
      </c>
      <c r="F1550" s="190">
        <f t="shared" si="511"/>
        <v>0</v>
      </c>
      <c r="G1550" s="149" t="str">
        <f t="shared" si="511"/>
        <v/>
      </c>
      <c r="H1550" s="150" t="str">
        <f t="shared" si="511"/>
        <v/>
      </c>
      <c r="I1550" s="150">
        <f t="shared" si="511"/>
        <v>0</v>
      </c>
      <c r="J1550" s="150">
        <f t="shared" si="511"/>
        <v>0</v>
      </c>
      <c r="K1550" s="196"/>
      <c r="L1550" s="197"/>
      <c r="M1550" s="191">
        <f t="shared" si="512"/>
        <v>0</v>
      </c>
      <c r="N1550" s="150">
        <f t="shared" si="512"/>
        <v>0</v>
      </c>
      <c r="O1550" s="193">
        <f t="shared" si="512"/>
        <v>0</v>
      </c>
      <c r="P1550" s="162">
        <f t="shared" si="513"/>
        <v>0</v>
      </c>
      <c r="Q1550" s="162">
        <f t="shared" si="513"/>
        <v>0</v>
      </c>
      <c r="R1550" s="162">
        <f t="shared" si="513"/>
        <v>0</v>
      </c>
      <c r="S1550" s="162">
        <f t="shared" si="513"/>
        <v>0</v>
      </c>
      <c r="T1550" s="162">
        <f t="shared" si="513"/>
        <v>0</v>
      </c>
      <c r="U1550" s="162">
        <f t="shared" si="513"/>
        <v>0</v>
      </c>
      <c r="V1550" s="162">
        <f t="shared" si="513"/>
        <v>0</v>
      </c>
      <c r="W1550" s="162">
        <f t="shared" si="513"/>
        <v>0</v>
      </c>
      <c r="X1550" s="162">
        <f t="shared" si="513"/>
        <v>0</v>
      </c>
      <c r="Y1550" s="162">
        <f t="shared" si="513"/>
        <v>0</v>
      </c>
      <c r="Z1550" s="162">
        <f t="shared" si="513"/>
        <v>0</v>
      </c>
      <c r="AA1550" s="162">
        <f t="shared" si="513"/>
        <v>0</v>
      </c>
      <c r="AB1550" s="163">
        <f t="shared" si="503"/>
        <v>0</v>
      </c>
      <c r="AC1550" s="198"/>
    </row>
    <row r="1551" spans="1:29" hidden="1" outlineLevel="1" x14ac:dyDescent="0.25">
      <c r="A1551" s="14" t="str">
        <f t="shared" si="500"/>
        <v>TERC_OPER__28</v>
      </c>
      <c r="B1551" s="15" t="str">
        <f t="shared" si="501"/>
        <v>TERC_OPER__0_0</v>
      </c>
      <c r="C1551" s="83"/>
      <c r="D1551" s="15">
        <f t="shared" si="502"/>
        <v>0</v>
      </c>
      <c r="E1551" s="15">
        <v>28</v>
      </c>
      <c r="F1551" s="190">
        <f t="shared" si="511"/>
        <v>0</v>
      </c>
      <c r="G1551" s="149" t="str">
        <f t="shared" si="511"/>
        <v/>
      </c>
      <c r="H1551" s="150" t="str">
        <f t="shared" si="511"/>
        <v/>
      </c>
      <c r="I1551" s="150">
        <f t="shared" si="511"/>
        <v>0</v>
      </c>
      <c r="J1551" s="150">
        <f t="shared" si="511"/>
        <v>0</v>
      </c>
      <c r="K1551" s="196"/>
      <c r="L1551" s="197"/>
      <c r="M1551" s="191">
        <f t="shared" si="512"/>
        <v>0</v>
      </c>
      <c r="N1551" s="150">
        <f t="shared" si="512"/>
        <v>0</v>
      </c>
      <c r="O1551" s="193">
        <f t="shared" si="512"/>
        <v>0</v>
      </c>
      <c r="P1551" s="162">
        <f t="shared" si="513"/>
        <v>0</v>
      </c>
      <c r="Q1551" s="162">
        <f t="shared" si="513"/>
        <v>0</v>
      </c>
      <c r="R1551" s="162">
        <f t="shared" si="513"/>
        <v>0</v>
      </c>
      <c r="S1551" s="162">
        <f t="shared" si="513"/>
        <v>0</v>
      </c>
      <c r="T1551" s="162">
        <f t="shared" si="513"/>
        <v>0</v>
      </c>
      <c r="U1551" s="162">
        <f t="shared" si="513"/>
        <v>0</v>
      </c>
      <c r="V1551" s="162">
        <f t="shared" si="513"/>
        <v>0</v>
      </c>
      <c r="W1551" s="162">
        <f t="shared" si="513"/>
        <v>0</v>
      </c>
      <c r="X1551" s="162">
        <f t="shared" si="513"/>
        <v>0</v>
      </c>
      <c r="Y1551" s="162">
        <f t="shared" si="513"/>
        <v>0</v>
      </c>
      <c r="Z1551" s="162">
        <f t="shared" si="513"/>
        <v>0</v>
      </c>
      <c r="AA1551" s="162">
        <f t="shared" si="513"/>
        <v>0</v>
      </c>
      <c r="AB1551" s="163">
        <f t="shared" si="503"/>
        <v>0</v>
      </c>
      <c r="AC1551" s="198"/>
    </row>
    <row r="1552" spans="1:29" hidden="1" outlineLevel="1" x14ac:dyDescent="0.25">
      <c r="A1552" s="14" t="str">
        <f t="shared" si="500"/>
        <v>TERC_OPER__29</v>
      </c>
      <c r="B1552" s="15" t="str">
        <f t="shared" si="501"/>
        <v>TERC_OPER__0_0</v>
      </c>
      <c r="C1552" s="83"/>
      <c r="D1552" s="15">
        <f t="shared" si="502"/>
        <v>0</v>
      </c>
      <c r="E1552" s="15">
        <v>29</v>
      </c>
      <c r="F1552" s="190">
        <f t="shared" si="511"/>
        <v>0</v>
      </c>
      <c r="G1552" s="149" t="str">
        <f t="shared" si="511"/>
        <v/>
      </c>
      <c r="H1552" s="150" t="str">
        <f t="shared" si="511"/>
        <v/>
      </c>
      <c r="I1552" s="150">
        <f t="shared" si="511"/>
        <v>0</v>
      </c>
      <c r="J1552" s="150">
        <f t="shared" si="511"/>
        <v>0</v>
      </c>
      <c r="K1552" s="196"/>
      <c r="L1552" s="197"/>
      <c r="M1552" s="191">
        <f t="shared" si="512"/>
        <v>0</v>
      </c>
      <c r="N1552" s="150">
        <f t="shared" si="512"/>
        <v>0</v>
      </c>
      <c r="O1552" s="193">
        <f t="shared" si="512"/>
        <v>0</v>
      </c>
      <c r="P1552" s="162">
        <f t="shared" si="513"/>
        <v>0</v>
      </c>
      <c r="Q1552" s="162">
        <f t="shared" si="513"/>
        <v>0</v>
      </c>
      <c r="R1552" s="162">
        <f t="shared" si="513"/>
        <v>0</v>
      </c>
      <c r="S1552" s="162">
        <f t="shared" si="513"/>
        <v>0</v>
      </c>
      <c r="T1552" s="162">
        <f t="shared" si="513"/>
        <v>0</v>
      </c>
      <c r="U1552" s="162">
        <f t="shared" si="513"/>
        <v>0</v>
      </c>
      <c r="V1552" s="162">
        <f t="shared" si="513"/>
        <v>0</v>
      </c>
      <c r="W1552" s="162">
        <f t="shared" si="513"/>
        <v>0</v>
      </c>
      <c r="X1552" s="162">
        <f t="shared" si="513"/>
        <v>0</v>
      </c>
      <c r="Y1552" s="162">
        <f t="shared" si="513"/>
        <v>0</v>
      </c>
      <c r="Z1552" s="162">
        <f t="shared" si="513"/>
        <v>0</v>
      </c>
      <c r="AA1552" s="162">
        <f t="shared" si="513"/>
        <v>0</v>
      </c>
      <c r="AB1552" s="163">
        <f t="shared" si="503"/>
        <v>0</v>
      </c>
      <c r="AC1552" s="198"/>
    </row>
    <row r="1553" spans="1:29" hidden="1" outlineLevel="1" x14ac:dyDescent="0.25">
      <c r="A1553" s="14" t="str">
        <f t="shared" si="500"/>
        <v>TERC_OPER__30</v>
      </c>
      <c r="B1553" s="15" t="str">
        <f t="shared" si="501"/>
        <v>TERC_OPER__0_0</v>
      </c>
      <c r="C1553" s="83"/>
      <c r="D1553" s="15">
        <f t="shared" si="502"/>
        <v>0</v>
      </c>
      <c r="E1553" s="15">
        <v>30</v>
      </c>
      <c r="F1553" s="190">
        <f t="shared" si="511"/>
        <v>0</v>
      </c>
      <c r="G1553" s="149" t="str">
        <f t="shared" si="511"/>
        <v/>
      </c>
      <c r="H1553" s="150" t="str">
        <f t="shared" si="511"/>
        <v/>
      </c>
      <c r="I1553" s="150">
        <f t="shared" si="511"/>
        <v>0</v>
      </c>
      <c r="J1553" s="150">
        <f t="shared" si="511"/>
        <v>0</v>
      </c>
      <c r="K1553" s="196"/>
      <c r="L1553" s="197"/>
      <c r="M1553" s="191">
        <f t="shared" si="512"/>
        <v>0</v>
      </c>
      <c r="N1553" s="150">
        <f t="shared" si="512"/>
        <v>0</v>
      </c>
      <c r="O1553" s="193">
        <f t="shared" si="512"/>
        <v>0</v>
      </c>
      <c r="P1553" s="162">
        <f t="shared" si="513"/>
        <v>0</v>
      </c>
      <c r="Q1553" s="162">
        <f t="shared" si="513"/>
        <v>0</v>
      </c>
      <c r="R1553" s="162">
        <f t="shared" si="513"/>
        <v>0</v>
      </c>
      <c r="S1553" s="162">
        <f t="shared" si="513"/>
        <v>0</v>
      </c>
      <c r="T1553" s="162">
        <f t="shared" si="513"/>
        <v>0</v>
      </c>
      <c r="U1553" s="162">
        <f t="shared" si="513"/>
        <v>0</v>
      </c>
      <c r="V1553" s="162">
        <f t="shared" si="513"/>
        <v>0</v>
      </c>
      <c r="W1553" s="162">
        <f t="shared" si="513"/>
        <v>0</v>
      </c>
      <c r="X1553" s="162">
        <f t="shared" si="513"/>
        <v>0</v>
      </c>
      <c r="Y1553" s="162">
        <f t="shared" si="513"/>
        <v>0</v>
      </c>
      <c r="Z1553" s="162">
        <f t="shared" si="513"/>
        <v>0</v>
      </c>
      <c r="AA1553" s="162">
        <f t="shared" si="513"/>
        <v>0</v>
      </c>
      <c r="AB1553" s="163">
        <f t="shared" si="503"/>
        <v>0</v>
      </c>
      <c r="AC1553" s="198"/>
    </row>
    <row r="1554" spans="1:29" hidden="1" outlineLevel="1" x14ac:dyDescent="0.25">
      <c r="A1554" s="14" t="str">
        <f t="shared" si="500"/>
        <v>TERC_OPER__31</v>
      </c>
      <c r="B1554" s="15" t="str">
        <f t="shared" si="501"/>
        <v>TERC_OPER__0_0</v>
      </c>
      <c r="C1554" s="83"/>
      <c r="D1554" s="15">
        <f t="shared" si="502"/>
        <v>0</v>
      </c>
      <c r="E1554" s="15">
        <v>31</v>
      </c>
      <c r="F1554" s="190">
        <f t="shared" si="511"/>
        <v>0</v>
      </c>
      <c r="G1554" s="149" t="str">
        <f t="shared" si="511"/>
        <v/>
      </c>
      <c r="H1554" s="150" t="str">
        <f t="shared" si="511"/>
        <v/>
      </c>
      <c r="I1554" s="150">
        <f t="shared" si="511"/>
        <v>0</v>
      </c>
      <c r="J1554" s="150">
        <f t="shared" si="511"/>
        <v>0</v>
      </c>
      <c r="K1554" s="196"/>
      <c r="L1554" s="197"/>
      <c r="M1554" s="191">
        <f t="shared" si="512"/>
        <v>0</v>
      </c>
      <c r="N1554" s="150">
        <f t="shared" si="512"/>
        <v>0</v>
      </c>
      <c r="O1554" s="193">
        <f t="shared" si="512"/>
        <v>0</v>
      </c>
      <c r="P1554" s="162">
        <f t="shared" si="513"/>
        <v>0</v>
      </c>
      <c r="Q1554" s="162">
        <f t="shared" si="513"/>
        <v>0</v>
      </c>
      <c r="R1554" s="162">
        <f t="shared" si="513"/>
        <v>0</v>
      </c>
      <c r="S1554" s="162">
        <f t="shared" si="513"/>
        <v>0</v>
      </c>
      <c r="T1554" s="162">
        <f t="shared" si="513"/>
        <v>0</v>
      </c>
      <c r="U1554" s="162">
        <f t="shared" si="513"/>
        <v>0</v>
      </c>
      <c r="V1554" s="162">
        <f t="shared" si="513"/>
        <v>0</v>
      </c>
      <c r="W1554" s="162">
        <f t="shared" si="513"/>
        <v>0</v>
      </c>
      <c r="X1554" s="162">
        <f t="shared" si="513"/>
        <v>0</v>
      </c>
      <c r="Y1554" s="162">
        <f t="shared" si="513"/>
        <v>0</v>
      </c>
      <c r="Z1554" s="162">
        <f t="shared" si="513"/>
        <v>0</v>
      </c>
      <c r="AA1554" s="162">
        <f t="shared" si="513"/>
        <v>0</v>
      </c>
      <c r="AB1554" s="163">
        <f t="shared" si="503"/>
        <v>0</v>
      </c>
      <c r="AC1554" s="198"/>
    </row>
    <row r="1555" spans="1:29" hidden="1" outlineLevel="1" x14ac:dyDescent="0.25">
      <c r="A1555" s="14" t="str">
        <f t="shared" si="500"/>
        <v>TERC_OPER__32</v>
      </c>
      <c r="B1555" s="15" t="str">
        <f t="shared" si="501"/>
        <v>TERC_OPER__0_0</v>
      </c>
      <c r="C1555" s="83"/>
      <c r="D1555" s="15">
        <f t="shared" si="502"/>
        <v>0</v>
      </c>
      <c r="E1555" s="15">
        <v>32</v>
      </c>
      <c r="F1555" s="190">
        <f t="shared" si="511"/>
        <v>0</v>
      </c>
      <c r="G1555" s="149" t="str">
        <f t="shared" si="511"/>
        <v/>
      </c>
      <c r="H1555" s="150" t="str">
        <f t="shared" si="511"/>
        <v/>
      </c>
      <c r="I1555" s="150">
        <f t="shared" si="511"/>
        <v>0</v>
      </c>
      <c r="J1555" s="150">
        <f t="shared" si="511"/>
        <v>0</v>
      </c>
      <c r="K1555" s="196"/>
      <c r="L1555" s="197"/>
      <c r="M1555" s="191">
        <f t="shared" si="512"/>
        <v>0</v>
      </c>
      <c r="N1555" s="150">
        <f t="shared" si="512"/>
        <v>0</v>
      </c>
      <c r="O1555" s="193">
        <f t="shared" si="512"/>
        <v>0</v>
      </c>
      <c r="P1555" s="162">
        <f t="shared" si="513"/>
        <v>0</v>
      </c>
      <c r="Q1555" s="162">
        <f t="shared" si="513"/>
        <v>0</v>
      </c>
      <c r="R1555" s="162">
        <f t="shared" si="513"/>
        <v>0</v>
      </c>
      <c r="S1555" s="162">
        <f t="shared" si="513"/>
        <v>0</v>
      </c>
      <c r="T1555" s="162">
        <f t="shared" si="513"/>
        <v>0</v>
      </c>
      <c r="U1555" s="162">
        <f t="shared" si="513"/>
        <v>0</v>
      </c>
      <c r="V1555" s="162">
        <f t="shared" si="513"/>
        <v>0</v>
      </c>
      <c r="W1555" s="162">
        <f t="shared" si="513"/>
        <v>0</v>
      </c>
      <c r="X1555" s="162">
        <f t="shared" si="513"/>
        <v>0</v>
      </c>
      <c r="Y1555" s="162">
        <f t="shared" si="513"/>
        <v>0</v>
      </c>
      <c r="Z1555" s="162">
        <f t="shared" si="513"/>
        <v>0</v>
      </c>
      <c r="AA1555" s="162">
        <f t="shared" si="513"/>
        <v>0</v>
      </c>
      <c r="AB1555" s="163">
        <f t="shared" si="503"/>
        <v>0</v>
      </c>
      <c r="AC1555" s="198"/>
    </row>
    <row r="1556" spans="1:29" hidden="1" outlineLevel="1" x14ac:dyDescent="0.25">
      <c r="A1556" s="14" t="str">
        <f t="shared" si="500"/>
        <v>TERC_OPER__33</v>
      </c>
      <c r="B1556" s="15" t="str">
        <f t="shared" si="501"/>
        <v>TERC_OPER__0_0</v>
      </c>
      <c r="C1556" s="83"/>
      <c r="D1556" s="15">
        <f t="shared" si="502"/>
        <v>0</v>
      </c>
      <c r="E1556" s="15">
        <v>33</v>
      </c>
      <c r="F1556" s="190">
        <f t="shared" si="511"/>
        <v>0</v>
      </c>
      <c r="G1556" s="149" t="str">
        <f t="shared" si="511"/>
        <v/>
      </c>
      <c r="H1556" s="150" t="str">
        <f t="shared" si="511"/>
        <v/>
      </c>
      <c r="I1556" s="150">
        <f t="shared" si="511"/>
        <v>0</v>
      </c>
      <c r="J1556" s="150">
        <f t="shared" si="511"/>
        <v>0</v>
      </c>
      <c r="K1556" s="196"/>
      <c r="L1556" s="197"/>
      <c r="M1556" s="191">
        <f t="shared" si="512"/>
        <v>0</v>
      </c>
      <c r="N1556" s="150">
        <f t="shared" si="512"/>
        <v>0</v>
      </c>
      <c r="O1556" s="193">
        <f t="shared" si="512"/>
        <v>0</v>
      </c>
      <c r="P1556" s="162">
        <f t="shared" si="513"/>
        <v>0</v>
      </c>
      <c r="Q1556" s="162">
        <f t="shared" si="513"/>
        <v>0</v>
      </c>
      <c r="R1556" s="162">
        <f t="shared" si="513"/>
        <v>0</v>
      </c>
      <c r="S1556" s="162">
        <f t="shared" si="513"/>
        <v>0</v>
      </c>
      <c r="T1556" s="162">
        <f t="shared" si="513"/>
        <v>0</v>
      </c>
      <c r="U1556" s="162">
        <f t="shared" si="513"/>
        <v>0</v>
      </c>
      <c r="V1556" s="162">
        <f t="shared" si="513"/>
        <v>0</v>
      </c>
      <c r="W1556" s="162">
        <f t="shared" si="513"/>
        <v>0</v>
      </c>
      <c r="X1556" s="162">
        <f t="shared" si="513"/>
        <v>0</v>
      </c>
      <c r="Y1556" s="162">
        <f t="shared" si="513"/>
        <v>0</v>
      </c>
      <c r="Z1556" s="162">
        <f t="shared" si="513"/>
        <v>0</v>
      </c>
      <c r="AA1556" s="162">
        <f t="shared" si="513"/>
        <v>0</v>
      </c>
      <c r="AB1556" s="163">
        <f t="shared" si="503"/>
        <v>0</v>
      </c>
      <c r="AC1556" s="198"/>
    </row>
    <row r="1557" spans="1:29" hidden="1" outlineLevel="1" x14ac:dyDescent="0.25">
      <c r="A1557" s="14" t="str">
        <f t="shared" si="500"/>
        <v>TERC_OPER__34</v>
      </c>
      <c r="B1557" s="15" t="str">
        <f t="shared" si="501"/>
        <v>TERC_OPER__0_0</v>
      </c>
      <c r="C1557" s="83"/>
      <c r="D1557" s="15">
        <f t="shared" si="502"/>
        <v>0</v>
      </c>
      <c r="E1557" s="15">
        <v>34</v>
      </c>
      <c r="F1557" s="190">
        <f t="shared" si="511"/>
        <v>0</v>
      </c>
      <c r="G1557" s="149" t="str">
        <f t="shared" si="511"/>
        <v/>
      </c>
      <c r="H1557" s="150" t="str">
        <f t="shared" si="511"/>
        <v/>
      </c>
      <c r="I1557" s="150">
        <f t="shared" si="511"/>
        <v>0</v>
      </c>
      <c r="J1557" s="150">
        <f t="shared" si="511"/>
        <v>0</v>
      </c>
      <c r="K1557" s="196"/>
      <c r="L1557" s="197"/>
      <c r="M1557" s="191">
        <f t="shared" si="512"/>
        <v>0</v>
      </c>
      <c r="N1557" s="150">
        <f t="shared" si="512"/>
        <v>0</v>
      </c>
      <c r="O1557" s="193">
        <f t="shared" si="512"/>
        <v>0</v>
      </c>
      <c r="P1557" s="162">
        <f t="shared" si="513"/>
        <v>0</v>
      </c>
      <c r="Q1557" s="162">
        <f t="shared" si="513"/>
        <v>0</v>
      </c>
      <c r="R1557" s="162">
        <f t="shared" si="513"/>
        <v>0</v>
      </c>
      <c r="S1557" s="162">
        <f t="shared" si="513"/>
        <v>0</v>
      </c>
      <c r="T1557" s="162">
        <f t="shared" si="513"/>
        <v>0</v>
      </c>
      <c r="U1557" s="162">
        <f t="shared" si="513"/>
        <v>0</v>
      </c>
      <c r="V1557" s="162">
        <f t="shared" si="513"/>
        <v>0</v>
      </c>
      <c r="W1557" s="162">
        <f t="shared" si="513"/>
        <v>0</v>
      </c>
      <c r="X1557" s="162">
        <f t="shared" si="513"/>
        <v>0</v>
      </c>
      <c r="Y1557" s="162">
        <f t="shared" si="513"/>
        <v>0</v>
      </c>
      <c r="Z1557" s="162">
        <f t="shared" si="513"/>
        <v>0</v>
      </c>
      <c r="AA1557" s="162">
        <f t="shared" si="513"/>
        <v>0</v>
      </c>
      <c r="AB1557" s="163">
        <f t="shared" si="503"/>
        <v>0</v>
      </c>
      <c r="AC1557" s="198"/>
    </row>
    <row r="1558" spans="1:29" hidden="1" outlineLevel="1" x14ac:dyDescent="0.25">
      <c r="A1558" s="14" t="str">
        <f t="shared" si="500"/>
        <v>TERC_OPER__35</v>
      </c>
      <c r="B1558" s="15" t="str">
        <f t="shared" si="501"/>
        <v>TERC_OPER__0_0</v>
      </c>
      <c r="C1558" s="83"/>
      <c r="D1558" s="15">
        <f t="shared" si="502"/>
        <v>0</v>
      </c>
      <c r="E1558" s="15">
        <v>35</v>
      </c>
      <c r="F1558" s="190">
        <f t="shared" si="511"/>
        <v>0</v>
      </c>
      <c r="G1558" s="149" t="str">
        <f t="shared" si="511"/>
        <v/>
      </c>
      <c r="H1558" s="150" t="str">
        <f t="shared" si="511"/>
        <v/>
      </c>
      <c r="I1558" s="150">
        <f t="shared" si="511"/>
        <v>0</v>
      </c>
      <c r="J1558" s="150">
        <f t="shared" si="511"/>
        <v>0</v>
      </c>
      <c r="K1558" s="196"/>
      <c r="L1558" s="197"/>
      <c r="M1558" s="191">
        <f t="shared" si="512"/>
        <v>0</v>
      </c>
      <c r="N1558" s="150">
        <f t="shared" si="512"/>
        <v>0</v>
      </c>
      <c r="O1558" s="193">
        <f t="shared" si="512"/>
        <v>0</v>
      </c>
      <c r="P1558" s="162">
        <f t="shared" si="513"/>
        <v>0</v>
      </c>
      <c r="Q1558" s="162">
        <f t="shared" si="513"/>
        <v>0</v>
      </c>
      <c r="R1558" s="162">
        <f t="shared" si="513"/>
        <v>0</v>
      </c>
      <c r="S1558" s="162">
        <f t="shared" si="513"/>
        <v>0</v>
      </c>
      <c r="T1558" s="162">
        <f t="shared" si="513"/>
        <v>0</v>
      </c>
      <c r="U1558" s="162">
        <f t="shared" si="513"/>
        <v>0</v>
      </c>
      <c r="V1558" s="162">
        <f t="shared" si="513"/>
        <v>0</v>
      </c>
      <c r="W1558" s="162">
        <f t="shared" si="513"/>
        <v>0</v>
      </c>
      <c r="X1558" s="162">
        <f t="shared" si="513"/>
        <v>0</v>
      </c>
      <c r="Y1558" s="162">
        <f t="shared" si="513"/>
        <v>0</v>
      </c>
      <c r="Z1558" s="162">
        <f t="shared" si="513"/>
        <v>0</v>
      </c>
      <c r="AA1558" s="162">
        <f t="shared" si="513"/>
        <v>0</v>
      </c>
      <c r="AB1558" s="163">
        <f t="shared" si="503"/>
        <v>0</v>
      </c>
      <c r="AC1558" s="198"/>
    </row>
    <row r="1559" spans="1:29" hidden="1" outlineLevel="1" x14ac:dyDescent="0.25">
      <c r="A1559" s="14" t="str">
        <f t="shared" si="500"/>
        <v>TERC_OPER__36</v>
      </c>
      <c r="B1559" s="15" t="str">
        <f t="shared" si="501"/>
        <v>TERC_OPER__0_0</v>
      </c>
      <c r="C1559" s="83"/>
      <c r="D1559" s="15">
        <f t="shared" si="502"/>
        <v>0</v>
      </c>
      <c r="E1559" s="15">
        <v>36</v>
      </c>
      <c r="F1559" s="190">
        <f t="shared" si="511"/>
        <v>0</v>
      </c>
      <c r="G1559" s="149" t="str">
        <f t="shared" si="511"/>
        <v/>
      </c>
      <c r="H1559" s="150" t="str">
        <f t="shared" si="511"/>
        <v/>
      </c>
      <c r="I1559" s="150">
        <f t="shared" si="511"/>
        <v>0</v>
      </c>
      <c r="J1559" s="150">
        <f t="shared" si="511"/>
        <v>0</v>
      </c>
      <c r="K1559" s="196"/>
      <c r="L1559" s="197"/>
      <c r="M1559" s="191">
        <f t="shared" si="512"/>
        <v>0</v>
      </c>
      <c r="N1559" s="150">
        <f t="shared" si="512"/>
        <v>0</v>
      </c>
      <c r="O1559" s="193">
        <f t="shared" si="512"/>
        <v>0</v>
      </c>
      <c r="P1559" s="162">
        <f t="shared" si="513"/>
        <v>0</v>
      </c>
      <c r="Q1559" s="162">
        <f t="shared" si="513"/>
        <v>0</v>
      </c>
      <c r="R1559" s="162">
        <f t="shared" si="513"/>
        <v>0</v>
      </c>
      <c r="S1559" s="162">
        <f t="shared" si="513"/>
        <v>0</v>
      </c>
      <c r="T1559" s="162">
        <f t="shared" si="513"/>
        <v>0</v>
      </c>
      <c r="U1559" s="162">
        <f t="shared" si="513"/>
        <v>0</v>
      </c>
      <c r="V1559" s="162">
        <f t="shared" si="513"/>
        <v>0</v>
      </c>
      <c r="W1559" s="162">
        <f t="shared" si="513"/>
        <v>0</v>
      </c>
      <c r="X1559" s="162">
        <f t="shared" si="513"/>
        <v>0</v>
      </c>
      <c r="Y1559" s="162">
        <f t="shared" si="513"/>
        <v>0</v>
      </c>
      <c r="Z1559" s="162">
        <f t="shared" si="513"/>
        <v>0</v>
      </c>
      <c r="AA1559" s="162">
        <f t="shared" si="513"/>
        <v>0</v>
      </c>
      <c r="AB1559" s="163">
        <f t="shared" si="503"/>
        <v>0</v>
      </c>
      <c r="AC1559" s="198"/>
    </row>
    <row r="1560" spans="1:29" hidden="1" outlineLevel="1" x14ac:dyDescent="0.25">
      <c r="A1560" s="14" t="str">
        <f t="shared" si="500"/>
        <v>TERC_OPER__37</v>
      </c>
      <c r="B1560" s="15" t="str">
        <f t="shared" si="501"/>
        <v>TERC_OPER__0_0</v>
      </c>
      <c r="C1560" s="83"/>
      <c r="D1560" s="15">
        <f t="shared" si="502"/>
        <v>0</v>
      </c>
      <c r="E1560" s="15">
        <v>37</v>
      </c>
      <c r="F1560" s="190">
        <f t="shared" si="511"/>
        <v>0</v>
      </c>
      <c r="G1560" s="149" t="str">
        <f t="shared" si="511"/>
        <v/>
      </c>
      <c r="H1560" s="150" t="str">
        <f t="shared" si="511"/>
        <v/>
      </c>
      <c r="I1560" s="150">
        <f t="shared" si="511"/>
        <v>0</v>
      </c>
      <c r="J1560" s="150">
        <f t="shared" si="511"/>
        <v>0</v>
      </c>
      <c r="K1560" s="196"/>
      <c r="L1560" s="197"/>
      <c r="M1560" s="191">
        <f t="shared" si="512"/>
        <v>0</v>
      </c>
      <c r="N1560" s="150">
        <f t="shared" si="512"/>
        <v>0</v>
      </c>
      <c r="O1560" s="193">
        <f t="shared" si="512"/>
        <v>0</v>
      </c>
      <c r="P1560" s="162">
        <f t="shared" si="513"/>
        <v>0</v>
      </c>
      <c r="Q1560" s="162">
        <f t="shared" si="513"/>
        <v>0</v>
      </c>
      <c r="R1560" s="162">
        <f t="shared" si="513"/>
        <v>0</v>
      </c>
      <c r="S1560" s="162">
        <f t="shared" si="513"/>
        <v>0</v>
      </c>
      <c r="T1560" s="162">
        <f t="shared" si="513"/>
        <v>0</v>
      </c>
      <c r="U1560" s="162">
        <f t="shared" si="513"/>
        <v>0</v>
      </c>
      <c r="V1560" s="162">
        <f t="shared" si="513"/>
        <v>0</v>
      </c>
      <c r="W1560" s="162">
        <f t="shared" si="513"/>
        <v>0</v>
      </c>
      <c r="X1560" s="162">
        <f t="shared" si="513"/>
        <v>0</v>
      </c>
      <c r="Y1560" s="162">
        <f t="shared" si="513"/>
        <v>0</v>
      </c>
      <c r="Z1560" s="162">
        <f t="shared" si="513"/>
        <v>0</v>
      </c>
      <c r="AA1560" s="162">
        <f t="shared" si="513"/>
        <v>0</v>
      </c>
      <c r="AB1560" s="163">
        <f t="shared" si="503"/>
        <v>0</v>
      </c>
      <c r="AC1560" s="198"/>
    </row>
    <row r="1561" spans="1:29" hidden="1" outlineLevel="1" x14ac:dyDescent="0.25">
      <c r="A1561" s="14" t="str">
        <f t="shared" si="500"/>
        <v>TERC_OPER__38</v>
      </c>
      <c r="B1561" s="15" t="str">
        <f t="shared" si="501"/>
        <v>TERC_OPER__0_0</v>
      </c>
      <c r="C1561" s="83"/>
      <c r="D1561" s="15">
        <f t="shared" si="502"/>
        <v>0</v>
      </c>
      <c r="E1561" s="15">
        <v>38</v>
      </c>
      <c r="F1561" s="190">
        <f t="shared" ref="F1561:J1568" si="514">F1419</f>
        <v>0</v>
      </c>
      <c r="G1561" s="149" t="str">
        <f t="shared" si="514"/>
        <v/>
      </c>
      <c r="H1561" s="150" t="str">
        <f t="shared" si="514"/>
        <v/>
      </c>
      <c r="I1561" s="150">
        <f t="shared" si="514"/>
        <v>0</v>
      </c>
      <c r="J1561" s="150">
        <f t="shared" si="514"/>
        <v>0</v>
      </c>
      <c r="K1561" s="196"/>
      <c r="L1561" s="197"/>
      <c r="M1561" s="191">
        <f t="shared" ref="M1561:O1568" si="515">M1419</f>
        <v>0</v>
      </c>
      <c r="N1561" s="150">
        <f t="shared" si="515"/>
        <v>0</v>
      </c>
      <c r="O1561" s="193">
        <f t="shared" si="515"/>
        <v>0</v>
      </c>
      <c r="P1561" s="162">
        <f t="shared" ref="P1561:AA1568" si="516">IFERROR(SUMIF($B$1351:$B$1378,$C1561&amp;$I1561,P$1351:P$1378)/SUMIF($D$1351:$D$1378,$I1561,P$1351:P$1378)*P1419,0)</f>
        <v>0</v>
      </c>
      <c r="Q1561" s="162">
        <f t="shared" si="516"/>
        <v>0</v>
      </c>
      <c r="R1561" s="162">
        <f t="shared" si="516"/>
        <v>0</v>
      </c>
      <c r="S1561" s="162">
        <f t="shared" si="516"/>
        <v>0</v>
      </c>
      <c r="T1561" s="162">
        <f t="shared" si="516"/>
        <v>0</v>
      </c>
      <c r="U1561" s="162">
        <f t="shared" si="516"/>
        <v>0</v>
      </c>
      <c r="V1561" s="162">
        <f t="shared" si="516"/>
        <v>0</v>
      </c>
      <c r="W1561" s="162">
        <f t="shared" si="516"/>
        <v>0</v>
      </c>
      <c r="X1561" s="162">
        <f t="shared" si="516"/>
        <v>0</v>
      </c>
      <c r="Y1561" s="162">
        <f t="shared" si="516"/>
        <v>0</v>
      </c>
      <c r="Z1561" s="162">
        <f t="shared" si="516"/>
        <v>0</v>
      </c>
      <c r="AA1561" s="162">
        <f t="shared" si="516"/>
        <v>0</v>
      </c>
      <c r="AB1561" s="163">
        <f t="shared" si="503"/>
        <v>0</v>
      </c>
      <c r="AC1561" s="198"/>
    </row>
    <row r="1562" spans="1:29" hidden="1" outlineLevel="1" x14ac:dyDescent="0.25">
      <c r="A1562" s="14" t="str">
        <f t="shared" si="500"/>
        <v>TERC_OPER__39</v>
      </c>
      <c r="B1562" s="15" t="str">
        <f t="shared" si="501"/>
        <v>TERC_OPER__0_0</v>
      </c>
      <c r="C1562" s="83"/>
      <c r="D1562" s="15">
        <f t="shared" si="502"/>
        <v>0</v>
      </c>
      <c r="E1562" s="15">
        <v>39</v>
      </c>
      <c r="F1562" s="190">
        <f t="shared" si="514"/>
        <v>0</v>
      </c>
      <c r="G1562" s="149" t="str">
        <f t="shared" si="514"/>
        <v/>
      </c>
      <c r="H1562" s="150" t="str">
        <f t="shared" si="514"/>
        <v/>
      </c>
      <c r="I1562" s="150">
        <f t="shared" si="514"/>
        <v>0</v>
      </c>
      <c r="J1562" s="150">
        <f t="shared" si="514"/>
        <v>0</v>
      </c>
      <c r="K1562" s="196"/>
      <c r="L1562" s="197"/>
      <c r="M1562" s="191">
        <f t="shared" si="515"/>
        <v>0</v>
      </c>
      <c r="N1562" s="150">
        <f t="shared" si="515"/>
        <v>0</v>
      </c>
      <c r="O1562" s="193">
        <f t="shared" si="515"/>
        <v>0</v>
      </c>
      <c r="P1562" s="162">
        <f t="shared" si="516"/>
        <v>0</v>
      </c>
      <c r="Q1562" s="162">
        <f t="shared" si="516"/>
        <v>0</v>
      </c>
      <c r="R1562" s="162">
        <f t="shared" si="516"/>
        <v>0</v>
      </c>
      <c r="S1562" s="162">
        <f t="shared" si="516"/>
        <v>0</v>
      </c>
      <c r="T1562" s="162">
        <f t="shared" si="516"/>
        <v>0</v>
      </c>
      <c r="U1562" s="162">
        <f t="shared" si="516"/>
        <v>0</v>
      </c>
      <c r="V1562" s="162">
        <f t="shared" si="516"/>
        <v>0</v>
      </c>
      <c r="W1562" s="162">
        <f t="shared" si="516"/>
        <v>0</v>
      </c>
      <c r="X1562" s="162">
        <f t="shared" si="516"/>
        <v>0</v>
      </c>
      <c r="Y1562" s="162">
        <f t="shared" si="516"/>
        <v>0</v>
      </c>
      <c r="Z1562" s="162">
        <f t="shared" si="516"/>
        <v>0</v>
      </c>
      <c r="AA1562" s="162">
        <f t="shared" si="516"/>
        <v>0</v>
      </c>
      <c r="AB1562" s="163">
        <f t="shared" si="503"/>
        <v>0</v>
      </c>
      <c r="AC1562" s="198"/>
    </row>
    <row r="1563" spans="1:29" hidden="1" outlineLevel="1" x14ac:dyDescent="0.25">
      <c r="A1563" s="14" t="str">
        <f t="shared" si="500"/>
        <v>TERC_OPER__40</v>
      </c>
      <c r="B1563" s="15" t="str">
        <f t="shared" si="501"/>
        <v>TERC_OPER__0_0</v>
      </c>
      <c r="C1563" s="83"/>
      <c r="D1563" s="15">
        <f t="shared" si="502"/>
        <v>0</v>
      </c>
      <c r="E1563" s="15">
        <v>40</v>
      </c>
      <c r="F1563" s="190">
        <f t="shared" si="514"/>
        <v>0</v>
      </c>
      <c r="G1563" s="149" t="str">
        <f t="shared" si="514"/>
        <v/>
      </c>
      <c r="H1563" s="150" t="str">
        <f t="shared" si="514"/>
        <v/>
      </c>
      <c r="I1563" s="150">
        <f t="shared" si="514"/>
        <v>0</v>
      </c>
      <c r="J1563" s="150">
        <f t="shared" si="514"/>
        <v>0</v>
      </c>
      <c r="K1563" s="196"/>
      <c r="L1563" s="197"/>
      <c r="M1563" s="191">
        <f t="shared" si="515"/>
        <v>0</v>
      </c>
      <c r="N1563" s="150">
        <f t="shared" si="515"/>
        <v>0</v>
      </c>
      <c r="O1563" s="193">
        <f t="shared" si="515"/>
        <v>0</v>
      </c>
      <c r="P1563" s="162">
        <f t="shared" si="516"/>
        <v>0</v>
      </c>
      <c r="Q1563" s="162">
        <f t="shared" si="516"/>
        <v>0</v>
      </c>
      <c r="R1563" s="162">
        <f t="shared" si="516"/>
        <v>0</v>
      </c>
      <c r="S1563" s="162">
        <f t="shared" si="516"/>
        <v>0</v>
      </c>
      <c r="T1563" s="162">
        <f t="shared" si="516"/>
        <v>0</v>
      </c>
      <c r="U1563" s="162">
        <f t="shared" si="516"/>
        <v>0</v>
      </c>
      <c r="V1563" s="162">
        <f t="shared" si="516"/>
        <v>0</v>
      </c>
      <c r="W1563" s="162">
        <f t="shared" si="516"/>
        <v>0</v>
      </c>
      <c r="X1563" s="162">
        <f t="shared" si="516"/>
        <v>0</v>
      </c>
      <c r="Y1563" s="162">
        <f t="shared" si="516"/>
        <v>0</v>
      </c>
      <c r="Z1563" s="162">
        <f t="shared" si="516"/>
        <v>0</v>
      </c>
      <c r="AA1563" s="162">
        <f t="shared" si="516"/>
        <v>0</v>
      </c>
      <c r="AB1563" s="163">
        <f t="shared" si="503"/>
        <v>0</v>
      </c>
      <c r="AC1563" s="198"/>
    </row>
    <row r="1564" spans="1:29" hidden="1" outlineLevel="1" x14ac:dyDescent="0.25">
      <c r="A1564" s="14" t="str">
        <f t="shared" si="500"/>
        <v>TERC_OPER__41</v>
      </c>
      <c r="B1564" s="15" t="str">
        <f t="shared" si="501"/>
        <v>TERC_OPER__0_0</v>
      </c>
      <c r="C1564" s="83"/>
      <c r="D1564" s="15">
        <f t="shared" si="502"/>
        <v>0</v>
      </c>
      <c r="E1564" s="15">
        <v>41</v>
      </c>
      <c r="F1564" s="190">
        <f t="shared" si="514"/>
        <v>0</v>
      </c>
      <c r="G1564" s="149" t="str">
        <f t="shared" si="514"/>
        <v/>
      </c>
      <c r="H1564" s="150" t="str">
        <f t="shared" si="514"/>
        <v/>
      </c>
      <c r="I1564" s="150">
        <f t="shared" si="514"/>
        <v>0</v>
      </c>
      <c r="J1564" s="150">
        <f t="shared" si="514"/>
        <v>0</v>
      </c>
      <c r="K1564" s="196"/>
      <c r="L1564" s="197"/>
      <c r="M1564" s="191">
        <f t="shared" si="515"/>
        <v>0</v>
      </c>
      <c r="N1564" s="150">
        <f t="shared" si="515"/>
        <v>0</v>
      </c>
      <c r="O1564" s="193">
        <f t="shared" si="515"/>
        <v>0</v>
      </c>
      <c r="P1564" s="162">
        <f t="shared" si="516"/>
        <v>0</v>
      </c>
      <c r="Q1564" s="162">
        <f t="shared" si="516"/>
        <v>0</v>
      </c>
      <c r="R1564" s="162">
        <f t="shared" si="516"/>
        <v>0</v>
      </c>
      <c r="S1564" s="162">
        <f t="shared" si="516"/>
        <v>0</v>
      </c>
      <c r="T1564" s="162">
        <f t="shared" si="516"/>
        <v>0</v>
      </c>
      <c r="U1564" s="162">
        <f t="shared" si="516"/>
        <v>0</v>
      </c>
      <c r="V1564" s="162">
        <f t="shared" si="516"/>
        <v>0</v>
      </c>
      <c r="W1564" s="162">
        <f t="shared" si="516"/>
        <v>0</v>
      </c>
      <c r="X1564" s="162">
        <f t="shared" si="516"/>
        <v>0</v>
      </c>
      <c r="Y1564" s="162">
        <f t="shared" si="516"/>
        <v>0</v>
      </c>
      <c r="Z1564" s="162">
        <f t="shared" si="516"/>
        <v>0</v>
      </c>
      <c r="AA1564" s="162">
        <f t="shared" si="516"/>
        <v>0</v>
      </c>
      <c r="AB1564" s="163">
        <f t="shared" si="503"/>
        <v>0</v>
      </c>
      <c r="AC1564" s="198"/>
    </row>
    <row r="1565" spans="1:29" hidden="1" outlineLevel="1" x14ac:dyDescent="0.25">
      <c r="A1565" s="14" t="str">
        <f t="shared" si="500"/>
        <v>TERC_OPER__42</v>
      </c>
      <c r="B1565" s="15" t="str">
        <f t="shared" si="501"/>
        <v>TERC_OPER__0_0</v>
      </c>
      <c r="C1565" s="83"/>
      <c r="D1565" s="15">
        <f t="shared" si="502"/>
        <v>0</v>
      </c>
      <c r="E1565" s="15">
        <v>42</v>
      </c>
      <c r="F1565" s="190">
        <f t="shared" si="514"/>
        <v>0</v>
      </c>
      <c r="G1565" s="149" t="str">
        <f t="shared" si="514"/>
        <v/>
      </c>
      <c r="H1565" s="150" t="str">
        <f t="shared" si="514"/>
        <v/>
      </c>
      <c r="I1565" s="150">
        <f t="shared" si="514"/>
        <v>0</v>
      </c>
      <c r="J1565" s="150">
        <f t="shared" si="514"/>
        <v>0</v>
      </c>
      <c r="K1565" s="196"/>
      <c r="L1565" s="197"/>
      <c r="M1565" s="191">
        <f t="shared" si="515"/>
        <v>0</v>
      </c>
      <c r="N1565" s="150">
        <f t="shared" si="515"/>
        <v>0</v>
      </c>
      <c r="O1565" s="193">
        <f t="shared" si="515"/>
        <v>0</v>
      </c>
      <c r="P1565" s="162">
        <f t="shared" si="516"/>
        <v>0</v>
      </c>
      <c r="Q1565" s="162">
        <f t="shared" si="516"/>
        <v>0</v>
      </c>
      <c r="R1565" s="162">
        <f t="shared" si="516"/>
        <v>0</v>
      </c>
      <c r="S1565" s="162">
        <f t="shared" si="516"/>
        <v>0</v>
      </c>
      <c r="T1565" s="162">
        <f t="shared" si="516"/>
        <v>0</v>
      </c>
      <c r="U1565" s="162">
        <f t="shared" si="516"/>
        <v>0</v>
      </c>
      <c r="V1565" s="162">
        <f t="shared" si="516"/>
        <v>0</v>
      </c>
      <c r="W1565" s="162">
        <f t="shared" si="516"/>
        <v>0</v>
      </c>
      <c r="X1565" s="162">
        <f t="shared" si="516"/>
        <v>0</v>
      </c>
      <c r="Y1565" s="162">
        <f t="shared" si="516"/>
        <v>0</v>
      </c>
      <c r="Z1565" s="162">
        <f t="shared" si="516"/>
        <v>0</v>
      </c>
      <c r="AA1565" s="162">
        <f t="shared" si="516"/>
        <v>0</v>
      </c>
      <c r="AB1565" s="163">
        <f t="shared" si="503"/>
        <v>0</v>
      </c>
      <c r="AC1565" s="198"/>
    </row>
    <row r="1566" spans="1:29" hidden="1" outlineLevel="1" x14ac:dyDescent="0.25">
      <c r="A1566" s="14" t="str">
        <f t="shared" si="500"/>
        <v>TERC_OPER__43</v>
      </c>
      <c r="B1566" s="15" t="str">
        <f t="shared" si="501"/>
        <v>TERC_OPER__0_0</v>
      </c>
      <c r="C1566" s="83"/>
      <c r="D1566" s="15">
        <f t="shared" si="502"/>
        <v>0</v>
      </c>
      <c r="E1566" s="15">
        <v>43</v>
      </c>
      <c r="F1566" s="190">
        <f t="shared" si="514"/>
        <v>0</v>
      </c>
      <c r="G1566" s="149" t="str">
        <f t="shared" si="514"/>
        <v/>
      </c>
      <c r="H1566" s="150" t="str">
        <f t="shared" si="514"/>
        <v/>
      </c>
      <c r="I1566" s="150">
        <f t="shared" si="514"/>
        <v>0</v>
      </c>
      <c r="J1566" s="150">
        <f t="shared" si="514"/>
        <v>0</v>
      </c>
      <c r="K1566" s="196"/>
      <c r="L1566" s="197"/>
      <c r="M1566" s="191">
        <f t="shared" si="515"/>
        <v>0</v>
      </c>
      <c r="N1566" s="150">
        <f t="shared" si="515"/>
        <v>0</v>
      </c>
      <c r="O1566" s="193">
        <f t="shared" si="515"/>
        <v>0</v>
      </c>
      <c r="P1566" s="162">
        <f t="shared" si="516"/>
        <v>0</v>
      </c>
      <c r="Q1566" s="162">
        <f t="shared" si="516"/>
        <v>0</v>
      </c>
      <c r="R1566" s="162">
        <f t="shared" si="516"/>
        <v>0</v>
      </c>
      <c r="S1566" s="162">
        <f t="shared" si="516"/>
        <v>0</v>
      </c>
      <c r="T1566" s="162">
        <f t="shared" si="516"/>
        <v>0</v>
      </c>
      <c r="U1566" s="162">
        <f t="shared" si="516"/>
        <v>0</v>
      </c>
      <c r="V1566" s="162">
        <f t="shared" si="516"/>
        <v>0</v>
      </c>
      <c r="W1566" s="162">
        <f t="shared" si="516"/>
        <v>0</v>
      </c>
      <c r="X1566" s="162">
        <f t="shared" si="516"/>
        <v>0</v>
      </c>
      <c r="Y1566" s="162">
        <f t="shared" si="516"/>
        <v>0</v>
      </c>
      <c r="Z1566" s="162">
        <f t="shared" si="516"/>
        <v>0</v>
      </c>
      <c r="AA1566" s="162">
        <f t="shared" si="516"/>
        <v>0</v>
      </c>
      <c r="AB1566" s="163">
        <f t="shared" si="503"/>
        <v>0</v>
      </c>
      <c r="AC1566" s="198"/>
    </row>
    <row r="1567" spans="1:29" hidden="1" outlineLevel="1" x14ac:dyDescent="0.25">
      <c r="A1567" s="14" t="str">
        <f t="shared" si="500"/>
        <v>TERC_OPER__44</v>
      </c>
      <c r="B1567" s="15" t="str">
        <f t="shared" si="501"/>
        <v>TERC_OPER__0_0</v>
      </c>
      <c r="C1567" s="83"/>
      <c r="D1567" s="15">
        <f t="shared" si="502"/>
        <v>0</v>
      </c>
      <c r="E1567" s="15">
        <v>44</v>
      </c>
      <c r="F1567" s="190">
        <f t="shared" si="514"/>
        <v>0</v>
      </c>
      <c r="G1567" s="149" t="str">
        <f t="shared" si="514"/>
        <v/>
      </c>
      <c r="H1567" s="150" t="str">
        <f t="shared" si="514"/>
        <v/>
      </c>
      <c r="I1567" s="150">
        <f t="shared" si="514"/>
        <v>0</v>
      </c>
      <c r="J1567" s="150">
        <f t="shared" si="514"/>
        <v>0</v>
      </c>
      <c r="K1567" s="196"/>
      <c r="L1567" s="197"/>
      <c r="M1567" s="191">
        <f t="shared" si="515"/>
        <v>0</v>
      </c>
      <c r="N1567" s="150">
        <f t="shared" si="515"/>
        <v>0</v>
      </c>
      <c r="O1567" s="193">
        <f t="shared" si="515"/>
        <v>0</v>
      </c>
      <c r="P1567" s="162">
        <f t="shared" si="516"/>
        <v>0</v>
      </c>
      <c r="Q1567" s="162">
        <f t="shared" si="516"/>
        <v>0</v>
      </c>
      <c r="R1567" s="162">
        <f t="shared" si="516"/>
        <v>0</v>
      </c>
      <c r="S1567" s="162">
        <f t="shared" si="516"/>
        <v>0</v>
      </c>
      <c r="T1567" s="162">
        <f t="shared" si="516"/>
        <v>0</v>
      </c>
      <c r="U1567" s="162">
        <f t="shared" si="516"/>
        <v>0</v>
      </c>
      <c r="V1567" s="162">
        <f t="shared" si="516"/>
        <v>0</v>
      </c>
      <c r="W1567" s="162">
        <f t="shared" si="516"/>
        <v>0</v>
      </c>
      <c r="X1567" s="162">
        <f t="shared" si="516"/>
        <v>0</v>
      </c>
      <c r="Y1567" s="162">
        <f t="shared" si="516"/>
        <v>0</v>
      </c>
      <c r="Z1567" s="162">
        <f t="shared" si="516"/>
        <v>0</v>
      </c>
      <c r="AA1567" s="162">
        <f t="shared" si="516"/>
        <v>0</v>
      </c>
      <c r="AB1567" s="163">
        <f t="shared" si="503"/>
        <v>0</v>
      </c>
      <c r="AC1567" s="198"/>
    </row>
    <row r="1568" spans="1:29" hidden="1" outlineLevel="1" x14ac:dyDescent="0.25">
      <c r="A1568" s="14" t="str">
        <f t="shared" si="500"/>
        <v>TERC_OPER__45</v>
      </c>
      <c r="B1568" s="15" t="str">
        <f t="shared" si="501"/>
        <v>TERC_OPER__0_0</v>
      </c>
      <c r="C1568" s="83"/>
      <c r="D1568" s="15">
        <f t="shared" si="502"/>
        <v>0</v>
      </c>
      <c r="E1568" s="15">
        <v>45</v>
      </c>
      <c r="F1568" s="209">
        <f t="shared" si="514"/>
        <v>0</v>
      </c>
      <c r="G1568" s="183" t="str">
        <f t="shared" si="514"/>
        <v/>
      </c>
      <c r="H1568" s="184" t="str">
        <f t="shared" si="514"/>
        <v/>
      </c>
      <c r="I1568" s="184">
        <f t="shared" si="514"/>
        <v>0</v>
      </c>
      <c r="J1568" s="184">
        <f t="shared" si="514"/>
        <v>0</v>
      </c>
      <c r="K1568" s="210"/>
      <c r="L1568" s="211"/>
      <c r="M1568" s="212">
        <f t="shared" si="515"/>
        <v>0</v>
      </c>
      <c r="N1568" s="184">
        <f t="shared" si="515"/>
        <v>0</v>
      </c>
      <c r="O1568" s="213">
        <f t="shared" si="515"/>
        <v>0</v>
      </c>
      <c r="P1568" s="175">
        <f t="shared" si="516"/>
        <v>0</v>
      </c>
      <c r="Q1568" s="175">
        <f t="shared" si="516"/>
        <v>0</v>
      </c>
      <c r="R1568" s="175">
        <f t="shared" si="516"/>
        <v>0</v>
      </c>
      <c r="S1568" s="175">
        <f t="shared" si="516"/>
        <v>0</v>
      </c>
      <c r="T1568" s="175">
        <f t="shared" si="516"/>
        <v>0</v>
      </c>
      <c r="U1568" s="175">
        <f t="shared" si="516"/>
        <v>0</v>
      </c>
      <c r="V1568" s="175">
        <f t="shared" si="516"/>
        <v>0</v>
      </c>
      <c r="W1568" s="175">
        <f t="shared" si="516"/>
        <v>0</v>
      </c>
      <c r="X1568" s="175">
        <f t="shared" si="516"/>
        <v>0</v>
      </c>
      <c r="Y1568" s="175">
        <f t="shared" si="516"/>
        <v>0</v>
      </c>
      <c r="Z1568" s="175">
        <f t="shared" si="516"/>
        <v>0</v>
      </c>
      <c r="AA1568" s="175">
        <f t="shared" si="516"/>
        <v>0</v>
      </c>
      <c r="AB1568" s="176">
        <f t="shared" si="503"/>
        <v>0</v>
      </c>
      <c r="AC1568" s="172"/>
    </row>
    <row r="1569" spans="1:29" hidden="1" outlineLevel="1" x14ac:dyDescent="0.25">
      <c r="A1569" s="14" t="str">
        <f t="shared" si="500"/>
        <v>TERC_OPER__</v>
      </c>
      <c r="F1569" s="137" t="s">
        <v>302</v>
      </c>
      <c r="G1569" s="138"/>
      <c r="H1569" s="139" t="s">
        <v>217</v>
      </c>
      <c r="I1569" s="139" t="s">
        <v>218</v>
      </c>
      <c r="J1569" s="139" t="s">
        <v>219</v>
      </c>
      <c r="K1569" s="140"/>
      <c r="L1569" s="141"/>
      <c r="M1569" s="142" t="s">
        <v>220</v>
      </c>
      <c r="N1569" s="139" t="s">
        <v>221</v>
      </c>
      <c r="O1569" s="143" t="s">
        <v>222</v>
      </c>
      <c r="P1569" s="35">
        <f t="shared" ref="P1569:AA1569" si="517">P$9</f>
        <v>46113</v>
      </c>
      <c r="Q1569" s="35">
        <f t="shared" si="517"/>
        <v>46143</v>
      </c>
      <c r="R1569" s="35">
        <f t="shared" si="517"/>
        <v>46174</v>
      </c>
      <c r="S1569" s="35">
        <f t="shared" si="517"/>
        <v>46204</v>
      </c>
      <c r="T1569" s="35">
        <f t="shared" si="517"/>
        <v>46235</v>
      </c>
      <c r="U1569" s="35">
        <f t="shared" si="517"/>
        <v>46266</v>
      </c>
      <c r="V1569" s="35">
        <f t="shared" si="517"/>
        <v>46296</v>
      </c>
      <c r="W1569" s="35">
        <f t="shared" si="517"/>
        <v>46327</v>
      </c>
      <c r="X1569" s="35">
        <f t="shared" si="517"/>
        <v>46357</v>
      </c>
      <c r="Y1569" s="35">
        <f t="shared" si="517"/>
        <v>46388</v>
      </c>
      <c r="Z1569" s="35">
        <f t="shared" si="517"/>
        <v>46419</v>
      </c>
      <c r="AA1569" s="35">
        <f t="shared" si="517"/>
        <v>46447</v>
      </c>
      <c r="AB1569" s="81" t="s">
        <v>223</v>
      </c>
      <c r="AC1569" s="82" t="s">
        <v>192</v>
      </c>
    </row>
    <row r="1570" spans="1:29" hidden="1" outlineLevel="1" x14ac:dyDescent="0.25">
      <c r="A1570" s="14" t="str">
        <f t="shared" si="500"/>
        <v>TERC_OPER__1</v>
      </c>
      <c r="B1570" s="15" t="e">
        <f t="shared" ref="B1570:B1614" si="518">"TERC_OPER_"&amp;C1570&amp;"_"&amp;F1570&amp;"_"&amp;J1570</f>
        <v>#REF!</v>
      </c>
      <c r="C1570" s="83"/>
      <c r="D1570" s="15" t="e">
        <f t="shared" ref="D1570:D1614" si="519">J1570</f>
        <v>#REF!</v>
      </c>
      <c r="E1570" s="15">
        <v>1</v>
      </c>
      <c r="F1570" s="190" t="e">
        <f t="shared" ref="F1570:J1585" si="520">F1524</f>
        <v>#REF!</v>
      </c>
      <c r="G1570" s="149" t="e">
        <f t="shared" si="520"/>
        <v>#REF!</v>
      </c>
      <c r="H1570" s="150" t="e">
        <f t="shared" si="520"/>
        <v>#REF!</v>
      </c>
      <c r="I1570" s="150" t="e">
        <f t="shared" si="520"/>
        <v>#REF!</v>
      </c>
      <c r="J1570" s="150" t="e">
        <f t="shared" si="520"/>
        <v>#REF!</v>
      </c>
      <c r="K1570" s="196"/>
      <c r="L1570" s="197"/>
      <c r="M1570" s="191" t="e">
        <f t="shared" ref="M1570:O1585" si="521">M1524</f>
        <v>#REF!</v>
      </c>
      <c r="N1570" s="150" t="e">
        <f t="shared" si="521"/>
        <v>#REF!</v>
      </c>
      <c r="O1570" s="193" t="e">
        <f t="shared" si="521"/>
        <v>#REF!</v>
      </c>
      <c r="P1570" s="162">
        <f>IFERROR(SUMIF($B$1351:$B$1378,$C1570&amp;$I1570,P$1351:P$1378)/SUMIF($D$1351:$D$1378,$I1570,P$1351:P$1378)*#REF!,0)</f>
        <v>0</v>
      </c>
      <c r="Q1570" s="162">
        <f>IFERROR(SUMIF($B$1351:$B$1378,$C1570&amp;$I1570,Q$1351:Q$1378)/SUMIF($D$1351:$D$1378,$I1570,Q$1351:Q$1378)*#REF!,0)</f>
        <v>0</v>
      </c>
      <c r="R1570" s="162">
        <f>IFERROR(SUMIF($B$1351:$B$1378,$C1570&amp;$I1570,R$1351:R$1378)/SUMIF($D$1351:$D$1378,$I1570,R$1351:R$1378)*#REF!,0)</f>
        <v>0</v>
      </c>
      <c r="S1570" s="162">
        <f>IFERROR(SUMIF($B$1351:$B$1378,$C1570&amp;$I1570,S$1351:S$1378)/SUMIF($D$1351:$D$1378,$I1570,S$1351:S$1378)*#REF!,0)</f>
        <v>0</v>
      </c>
      <c r="T1570" s="162">
        <f>IFERROR(SUMIF($B$1351:$B$1378,$C1570&amp;$I1570,T$1351:T$1378)/SUMIF($D$1351:$D$1378,$I1570,T$1351:T$1378)*#REF!,0)</f>
        <v>0</v>
      </c>
      <c r="U1570" s="162">
        <f>IFERROR(SUMIF($B$1351:$B$1378,$C1570&amp;$I1570,U$1351:U$1378)/SUMIF($D$1351:$D$1378,$I1570,U$1351:U$1378)*#REF!,0)</f>
        <v>0</v>
      </c>
      <c r="V1570" s="162">
        <f>IFERROR(SUMIF($B$1351:$B$1378,$C1570&amp;$I1570,V$1351:V$1378)/SUMIF($D$1351:$D$1378,$I1570,V$1351:V$1378)*#REF!,0)</f>
        <v>0</v>
      </c>
      <c r="W1570" s="162">
        <f>IFERROR(SUMIF($B$1351:$B$1378,$C1570&amp;$I1570,W$1351:W$1378)/SUMIF($D$1351:$D$1378,$I1570,W$1351:W$1378)*#REF!,0)</f>
        <v>0</v>
      </c>
      <c r="X1570" s="162">
        <f>IFERROR(SUMIF($B$1351:$B$1378,$C1570&amp;$I1570,X$1351:X$1378)/SUMIF($D$1351:$D$1378,$I1570,X$1351:X$1378)*#REF!,0)</f>
        <v>0</v>
      </c>
      <c r="Y1570" s="162">
        <f>IFERROR(SUMIF($B$1351:$B$1378,$C1570&amp;$I1570,Y$1351:Y$1378)/SUMIF($D$1351:$D$1378,$I1570,Y$1351:Y$1378)*#REF!,0)</f>
        <v>0</v>
      </c>
      <c r="Z1570" s="162">
        <f>IFERROR(SUMIF($B$1351:$B$1378,$C1570&amp;$I1570,Z$1351:Z$1378)/SUMIF($D$1351:$D$1378,$I1570,Z$1351:Z$1378)*#REF!,0)</f>
        <v>0</v>
      </c>
      <c r="AA1570" s="162">
        <f>IFERROR(SUMIF($B$1351:$B$1378,$C1570&amp;$I1570,AA$1351:AA$1378)/SUMIF($D$1351:$D$1378,$I1570,AA$1351:AA$1378)*#REF!,0)</f>
        <v>0</v>
      </c>
      <c r="AB1570" s="163">
        <f t="shared" ref="AB1570:AB1614" si="522">SUM(P1570:AA1570)</f>
        <v>0</v>
      </c>
      <c r="AC1570" s="198"/>
    </row>
    <row r="1571" spans="1:29" hidden="1" outlineLevel="1" x14ac:dyDescent="0.25">
      <c r="A1571" s="14" t="str">
        <f t="shared" si="500"/>
        <v>TERC_OPER__2</v>
      </c>
      <c r="B1571" s="15" t="str">
        <f t="shared" si="518"/>
        <v>TERC_OPER__911_1</v>
      </c>
      <c r="C1571" s="83"/>
      <c r="D1571" s="15">
        <f t="shared" si="519"/>
        <v>1</v>
      </c>
      <c r="E1571" s="15">
        <v>2</v>
      </c>
      <c r="F1571" s="190">
        <f t="shared" si="520"/>
        <v>911</v>
      </c>
      <c r="G1571" s="149" t="str">
        <f t="shared" si="520"/>
        <v/>
      </c>
      <c r="H1571" s="150" t="str">
        <f t="shared" si="520"/>
        <v/>
      </c>
      <c r="I1571" s="150" t="str">
        <f t="shared" si="520"/>
        <v>TRATCPP</v>
      </c>
      <c r="J1571" s="150">
        <f t="shared" si="520"/>
        <v>1</v>
      </c>
      <c r="K1571" s="196"/>
      <c r="L1571" s="197"/>
      <c r="M1571" s="191">
        <f t="shared" si="521"/>
        <v>0</v>
      </c>
      <c r="N1571" s="150">
        <f t="shared" si="521"/>
        <v>0</v>
      </c>
      <c r="O1571" s="193">
        <f t="shared" si="521"/>
        <v>1</v>
      </c>
      <c r="P1571" s="162">
        <f t="shared" ref="P1571:AA1573" si="523">IFERROR(SUMIF($B$1351:$B$1378,$C1571&amp;$I1571,P$1351:P$1378)/SUMIF($D$1351:$D$1378,$I1571,P$1351:P$1378)*P1384,0)</f>
        <v>0</v>
      </c>
      <c r="Q1571" s="162">
        <f t="shared" si="523"/>
        <v>0</v>
      </c>
      <c r="R1571" s="162">
        <f t="shared" si="523"/>
        <v>0</v>
      </c>
      <c r="S1571" s="162">
        <f t="shared" si="523"/>
        <v>0</v>
      </c>
      <c r="T1571" s="162">
        <f t="shared" si="523"/>
        <v>0</v>
      </c>
      <c r="U1571" s="162">
        <f t="shared" si="523"/>
        <v>0</v>
      </c>
      <c r="V1571" s="162">
        <f t="shared" si="523"/>
        <v>0</v>
      </c>
      <c r="W1571" s="162">
        <f t="shared" si="523"/>
        <v>0</v>
      </c>
      <c r="X1571" s="162">
        <f t="shared" si="523"/>
        <v>0</v>
      </c>
      <c r="Y1571" s="162">
        <f t="shared" si="523"/>
        <v>0</v>
      </c>
      <c r="Z1571" s="162">
        <f t="shared" si="523"/>
        <v>0</v>
      </c>
      <c r="AA1571" s="162">
        <f t="shared" si="523"/>
        <v>0</v>
      </c>
      <c r="AB1571" s="163">
        <f t="shared" si="522"/>
        <v>0</v>
      </c>
      <c r="AC1571" s="198"/>
    </row>
    <row r="1572" spans="1:29" hidden="1" outlineLevel="1" x14ac:dyDescent="0.25">
      <c r="A1572" s="14" t="str">
        <f t="shared" si="500"/>
        <v>TERC_OPER__3</v>
      </c>
      <c r="B1572" s="15" t="str">
        <f t="shared" si="518"/>
        <v>TERC_OPER__910_1</v>
      </c>
      <c r="C1572" s="83"/>
      <c r="D1572" s="15">
        <f t="shared" si="519"/>
        <v>1</v>
      </c>
      <c r="E1572" s="15">
        <v>3</v>
      </c>
      <c r="F1572" s="190">
        <f t="shared" si="520"/>
        <v>910</v>
      </c>
      <c r="G1572" s="149" t="str">
        <f t="shared" si="520"/>
        <v/>
      </c>
      <c r="H1572" s="150" t="str">
        <f t="shared" si="520"/>
        <v/>
      </c>
      <c r="I1572" s="150" t="str">
        <f t="shared" si="520"/>
        <v>TRATCPP</v>
      </c>
      <c r="J1572" s="150">
        <f t="shared" si="520"/>
        <v>1</v>
      </c>
      <c r="K1572" s="196"/>
      <c r="L1572" s="197"/>
      <c r="M1572" s="191">
        <f t="shared" si="521"/>
        <v>0</v>
      </c>
      <c r="N1572" s="150">
        <f t="shared" si="521"/>
        <v>0</v>
      </c>
      <c r="O1572" s="193">
        <f t="shared" si="521"/>
        <v>1</v>
      </c>
      <c r="P1572" s="162">
        <f t="shared" si="523"/>
        <v>0</v>
      </c>
      <c r="Q1572" s="162">
        <f t="shared" si="523"/>
        <v>0</v>
      </c>
      <c r="R1572" s="162">
        <f t="shared" si="523"/>
        <v>0</v>
      </c>
      <c r="S1572" s="162">
        <f t="shared" si="523"/>
        <v>0</v>
      </c>
      <c r="T1572" s="162">
        <f t="shared" si="523"/>
        <v>0</v>
      </c>
      <c r="U1572" s="162">
        <f t="shared" si="523"/>
        <v>0</v>
      </c>
      <c r="V1572" s="162">
        <f t="shared" si="523"/>
        <v>0</v>
      </c>
      <c r="W1572" s="162">
        <f t="shared" si="523"/>
        <v>0</v>
      </c>
      <c r="X1572" s="162">
        <f t="shared" si="523"/>
        <v>0</v>
      </c>
      <c r="Y1572" s="162">
        <f t="shared" si="523"/>
        <v>0</v>
      </c>
      <c r="Z1572" s="162">
        <f t="shared" si="523"/>
        <v>0</v>
      </c>
      <c r="AA1572" s="162">
        <f t="shared" si="523"/>
        <v>0</v>
      </c>
      <c r="AB1572" s="163">
        <f t="shared" si="522"/>
        <v>0</v>
      </c>
      <c r="AC1572" s="198"/>
    </row>
    <row r="1573" spans="1:29" hidden="1" outlineLevel="1" x14ac:dyDescent="0.25">
      <c r="A1573" s="14" t="str">
        <f t="shared" si="500"/>
        <v>TERC_OPER__4</v>
      </c>
      <c r="B1573" s="15" t="str">
        <f t="shared" si="518"/>
        <v>TERC_OPER__1026_1</v>
      </c>
      <c r="C1573" s="83"/>
      <c r="D1573" s="15">
        <f t="shared" si="519"/>
        <v>1</v>
      </c>
      <c r="E1573" s="15">
        <v>4</v>
      </c>
      <c r="F1573" s="190">
        <f t="shared" si="520"/>
        <v>1026</v>
      </c>
      <c r="G1573" s="149" t="str">
        <f t="shared" si="520"/>
        <v/>
      </c>
      <c r="H1573" s="150" t="str">
        <f t="shared" si="520"/>
        <v/>
      </c>
      <c r="I1573" s="150" t="str">
        <f t="shared" si="520"/>
        <v>TRATCPP</v>
      </c>
      <c r="J1573" s="150">
        <f t="shared" si="520"/>
        <v>1</v>
      </c>
      <c r="K1573" s="196"/>
      <c r="L1573" s="197"/>
      <c r="M1573" s="191">
        <f t="shared" si="521"/>
        <v>0</v>
      </c>
      <c r="N1573" s="150">
        <f t="shared" si="521"/>
        <v>0</v>
      </c>
      <c r="O1573" s="193">
        <f t="shared" si="521"/>
        <v>1</v>
      </c>
      <c r="P1573" s="162">
        <f t="shared" si="523"/>
        <v>0</v>
      </c>
      <c r="Q1573" s="162">
        <f t="shared" si="523"/>
        <v>0</v>
      </c>
      <c r="R1573" s="162">
        <f t="shared" si="523"/>
        <v>0</v>
      </c>
      <c r="S1573" s="162">
        <f t="shared" si="523"/>
        <v>0</v>
      </c>
      <c r="T1573" s="162">
        <f t="shared" si="523"/>
        <v>0</v>
      </c>
      <c r="U1573" s="162">
        <f t="shared" si="523"/>
        <v>0</v>
      </c>
      <c r="V1573" s="162">
        <f t="shared" si="523"/>
        <v>0</v>
      </c>
      <c r="W1573" s="162">
        <f t="shared" si="523"/>
        <v>0</v>
      </c>
      <c r="X1573" s="162">
        <f t="shared" si="523"/>
        <v>0</v>
      </c>
      <c r="Y1573" s="162">
        <f t="shared" si="523"/>
        <v>0</v>
      </c>
      <c r="Z1573" s="162">
        <f t="shared" si="523"/>
        <v>0</v>
      </c>
      <c r="AA1573" s="162">
        <f t="shared" si="523"/>
        <v>0</v>
      </c>
      <c r="AB1573" s="163">
        <f t="shared" si="522"/>
        <v>0</v>
      </c>
      <c r="AC1573" s="159"/>
    </row>
    <row r="1574" spans="1:29" hidden="1" outlineLevel="1" x14ac:dyDescent="0.25">
      <c r="A1574" s="14" t="str">
        <f t="shared" si="500"/>
        <v>TERC_OPER__5</v>
      </c>
      <c r="B1574" s="15" t="str">
        <f t="shared" si="518"/>
        <v>TERC_OPER__1031_0</v>
      </c>
      <c r="C1574" s="83"/>
      <c r="D1574" s="15">
        <f t="shared" si="519"/>
        <v>0</v>
      </c>
      <c r="E1574" s="15">
        <v>5</v>
      </c>
      <c r="F1574" s="190">
        <f t="shared" si="520"/>
        <v>1031</v>
      </c>
      <c r="G1574" s="149" t="str">
        <f t="shared" si="520"/>
        <v/>
      </c>
      <c r="H1574" s="150" t="str">
        <f t="shared" si="520"/>
        <v/>
      </c>
      <c r="I1574" s="150" t="str">
        <f t="shared" si="520"/>
        <v>TRATCPF</v>
      </c>
      <c r="J1574" s="150">
        <f t="shared" si="520"/>
        <v>0</v>
      </c>
      <c r="K1574" s="196"/>
      <c r="L1574" s="197"/>
      <c r="M1574" s="191">
        <f t="shared" si="521"/>
        <v>0</v>
      </c>
      <c r="N1574" s="150">
        <f t="shared" si="521"/>
        <v>0</v>
      </c>
      <c r="O1574" s="193">
        <f t="shared" si="521"/>
        <v>0</v>
      </c>
      <c r="P1574" s="162">
        <f>IFERROR(SUMIF($B$1351:$B$1378,$C1574&amp;$I1574,P$1351:P$1378)/SUMIF($D$1351:$D$1378,$I1574,P$1351:P$1378)*P1434,0)</f>
        <v>0</v>
      </c>
      <c r="Q1574" s="162">
        <f t="shared" ref="Q1574:AA1574" si="524">IFERROR(SUMIF($B$1351:$B$1378,$C1574&amp;$I1574,Q$1351:Q$1378)/SUMIF($D$1351:$D$1378,$I1574,Q$1351:Q$1378)*Q1434,0)</f>
        <v>0</v>
      </c>
      <c r="R1574" s="162">
        <f t="shared" si="524"/>
        <v>0</v>
      </c>
      <c r="S1574" s="162">
        <f t="shared" si="524"/>
        <v>0</v>
      </c>
      <c r="T1574" s="162">
        <f t="shared" si="524"/>
        <v>0</v>
      </c>
      <c r="U1574" s="162">
        <f t="shared" si="524"/>
        <v>0</v>
      </c>
      <c r="V1574" s="162">
        <f t="shared" si="524"/>
        <v>0</v>
      </c>
      <c r="W1574" s="162">
        <f t="shared" si="524"/>
        <v>0</v>
      </c>
      <c r="X1574" s="162">
        <f t="shared" si="524"/>
        <v>0</v>
      </c>
      <c r="Y1574" s="162">
        <f t="shared" si="524"/>
        <v>0</v>
      </c>
      <c r="Z1574" s="162">
        <f t="shared" si="524"/>
        <v>0</v>
      </c>
      <c r="AA1574" s="162">
        <f t="shared" si="524"/>
        <v>0</v>
      </c>
      <c r="AB1574" s="163">
        <f t="shared" si="522"/>
        <v>0</v>
      </c>
      <c r="AC1574" s="159"/>
    </row>
    <row r="1575" spans="1:29" hidden="1" outlineLevel="1" x14ac:dyDescent="0.25">
      <c r="A1575" s="14" t="str">
        <f t="shared" si="500"/>
        <v>TERC_OPER__6</v>
      </c>
      <c r="B1575" s="15" t="str">
        <f t="shared" si="518"/>
        <v>TERC_OPER__0_0</v>
      </c>
      <c r="C1575" s="83"/>
      <c r="D1575" s="15">
        <f t="shared" si="519"/>
        <v>0</v>
      </c>
      <c r="E1575" s="15">
        <v>6</v>
      </c>
      <c r="F1575" s="190">
        <f t="shared" si="520"/>
        <v>0</v>
      </c>
      <c r="G1575" s="149">
        <f t="shared" si="520"/>
        <v>0</v>
      </c>
      <c r="H1575" s="150">
        <f t="shared" si="520"/>
        <v>0</v>
      </c>
      <c r="I1575" s="150">
        <f t="shared" si="520"/>
        <v>0</v>
      </c>
      <c r="J1575" s="150">
        <f t="shared" si="520"/>
        <v>0</v>
      </c>
      <c r="K1575" s="196"/>
      <c r="L1575" s="197"/>
      <c r="M1575" s="191">
        <f t="shared" si="521"/>
        <v>0</v>
      </c>
      <c r="N1575" s="150">
        <f t="shared" si="521"/>
        <v>0</v>
      </c>
      <c r="O1575" s="193">
        <f t="shared" si="521"/>
        <v>0</v>
      </c>
      <c r="P1575" s="162">
        <f t="shared" ref="P1575:AA1590" si="525">IFERROR(SUMIF($B$1351:$B$1378,$C1575&amp;$I1575,P$1351:P$1378)/SUMIF($D$1351:$D$1378,$I1575,P$1351:P$1378)*P1387,0)</f>
        <v>0</v>
      </c>
      <c r="Q1575" s="162">
        <f t="shared" si="525"/>
        <v>0</v>
      </c>
      <c r="R1575" s="162">
        <f t="shared" si="525"/>
        <v>0</v>
      </c>
      <c r="S1575" s="162">
        <f t="shared" si="525"/>
        <v>0</v>
      </c>
      <c r="T1575" s="162">
        <f t="shared" si="525"/>
        <v>0</v>
      </c>
      <c r="U1575" s="162">
        <f t="shared" si="525"/>
        <v>0</v>
      </c>
      <c r="V1575" s="162">
        <f t="shared" si="525"/>
        <v>0</v>
      </c>
      <c r="W1575" s="162">
        <f t="shared" si="525"/>
        <v>0</v>
      </c>
      <c r="X1575" s="162">
        <f t="shared" si="525"/>
        <v>0</v>
      </c>
      <c r="Y1575" s="162">
        <f t="shared" si="525"/>
        <v>0</v>
      </c>
      <c r="Z1575" s="162">
        <f t="shared" si="525"/>
        <v>0</v>
      </c>
      <c r="AA1575" s="162">
        <f t="shared" si="525"/>
        <v>0</v>
      </c>
      <c r="AB1575" s="163">
        <f t="shared" si="522"/>
        <v>0</v>
      </c>
      <c r="AC1575" s="159"/>
    </row>
    <row r="1576" spans="1:29" hidden="1" outlineLevel="1" x14ac:dyDescent="0.25">
      <c r="A1576" s="14" t="str">
        <f t="shared" si="500"/>
        <v>TERC_OPER__7</v>
      </c>
      <c r="B1576" s="15" t="str">
        <f t="shared" si="518"/>
        <v>TERC_OPER__0_0</v>
      </c>
      <c r="C1576" s="83"/>
      <c r="D1576" s="15">
        <f t="shared" si="519"/>
        <v>0</v>
      </c>
      <c r="E1576" s="15">
        <v>7</v>
      </c>
      <c r="F1576" s="190">
        <f t="shared" si="520"/>
        <v>0</v>
      </c>
      <c r="G1576" s="149">
        <f t="shared" si="520"/>
        <v>0</v>
      </c>
      <c r="H1576" s="150">
        <f t="shared" si="520"/>
        <v>0</v>
      </c>
      <c r="I1576" s="150">
        <f t="shared" si="520"/>
        <v>0</v>
      </c>
      <c r="J1576" s="150">
        <f t="shared" si="520"/>
        <v>0</v>
      </c>
      <c r="K1576" s="196"/>
      <c r="L1576" s="197"/>
      <c r="M1576" s="191">
        <f t="shared" si="521"/>
        <v>0</v>
      </c>
      <c r="N1576" s="150">
        <f t="shared" si="521"/>
        <v>0</v>
      </c>
      <c r="O1576" s="193">
        <f t="shared" si="521"/>
        <v>0</v>
      </c>
      <c r="P1576" s="162">
        <f t="shared" si="525"/>
        <v>0</v>
      </c>
      <c r="Q1576" s="162">
        <f t="shared" si="525"/>
        <v>0</v>
      </c>
      <c r="R1576" s="162">
        <f t="shared" si="525"/>
        <v>0</v>
      </c>
      <c r="S1576" s="162">
        <f t="shared" si="525"/>
        <v>0</v>
      </c>
      <c r="T1576" s="162">
        <f t="shared" si="525"/>
        <v>0</v>
      </c>
      <c r="U1576" s="162">
        <f t="shared" si="525"/>
        <v>0</v>
      </c>
      <c r="V1576" s="162">
        <f t="shared" si="525"/>
        <v>0</v>
      </c>
      <c r="W1576" s="162">
        <f t="shared" si="525"/>
        <v>0</v>
      </c>
      <c r="X1576" s="162">
        <f t="shared" si="525"/>
        <v>0</v>
      </c>
      <c r="Y1576" s="162">
        <f t="shared" si="525"/>
        <v>0</v>
      </c>
      <c r="Z1576" s="162">
        <f t="shared" si="525"/>
        <v>0</v>
      </c>
      <c r="AA1576" s="162">
        <f t="shared" si="525"/>
        <v>0</v>
      </c>
      <c r="AB1576" s="163">
        <f t="shared" si="522"/>
        <v>0</v>
      </c>
      <c r="AC1576" s="159"/>
    </row>
    <row r="1577" spans="1:29" hidden="1" outlineLevel="1" x14ac:dyDescent="0.25">
      <c r="A1577" s="14" t="str">
        <f t="shared" si="500"/>
        <v>TERC_OPER__8</v>
      </c>
      <c r="B1577" s="15" t="str">
        <f t="shared" si="518"/>
        <v>TERC_OPER__0_0</v>
      </c>
      <c r="C1577" s="83"/>
      <c r="D1577" s="15">
        <f t="shared" si="519"/>
        <v>0</v>
      </c>
      <c r="E1577" s="15">
        <v>8</v>
      </c>
      <c r="F1577" s="190">
        <f t="shared" si="520"/>
        <v>0</v>
      </c>
      <c r="G1577" s="149" t="str">
        <f t="shared" si="520"/>
        <v/>
      </c>
      <c r="H1577" s="150" t="str">
        <f t="shared" si="520"/>
        <v/>
      </c>
      <c r="I1577" s="150">
        <f t="shared" si="520"/>
        <v>0</v>
      </c>
      <c r="J1577" s="150">
        <f t="shared" si="520"/>
        <v>0</v>
      </c>
      <c r="K1577" s="196"/>
      <c r="L1577" s="197"/>
      <c r="M1577" s="191">
        <f t="shared" si="521"/>
        <v>0</v>
      </c>
      <c r="N1577" s="150">
        <f t="shared" si="521"/>
        <v>0</v>
      </c>
      <c r="O1577" s="193">
        <f t="shared" si="521"/>
        <v>0</v>
      </c>
      <c r="P1577" s="162">
        <f t="shared" si="525"/>
        <v>0</v>
      </c>
      <c r="Q1577" s="162">
        <f t="shared" si="525"/>
        <v>0</v>
      </c>
      <c r="R1577" s="162">
        <f t="shared" si="525"/>
        <v>0</v>
      </c>
      <c r="S1577" s="162">
        <f t="shared" si="525"/>
        <v>0</v>
      </c>
      <c r="T1577" s="162">
        <f t="shared" si="525"/>
        <v>0</v>
      </c>
      <c r="U1577" s="162">
        <f t="shared" si="525"/>
        <v>0</v>
      </c>
      <c r="V1577" s="162">
        <f t="shared" si="525"/>
        <v>0</v>
      </c>
      <c r="W1577" s="162">
        <f t="shared" si="525"/>
        <v>0</v>
      </c>
      <c r="X1577" s="162">
        <f t="shared" si="525"/>
        <v>0</v>
      </c>
      <c r="Y1577" s="162">
        <f t="shared" si="525"/>
        <v>0</v>
      </c>
      <c r="Z1577" s="162">
        <f t="shared" si="525"/>
        <v>0</v>
      </c>
      <c r="AA1577" s="162">
        <f t="shared" si="525"/>
        <v>0</v>
      </c>
      <c r="AB1577" s="163">
        <f t="shared" si="522"/>
        <v>0</v>
      </c>
      <c r="AC1577" s="159"/>
    </row>
    <row r="1578" spans="1:29" hidden="1" outlineLevel="1" x14ac:dyDescent="0.25">
      <c r="A1578" s="14" t="str">
        <f t="shared" si="500"/>
        <v>TERC_OPER__9</v>
      </c>
      <c r="B1578" s="15" t="str">
        <f t="shared" si="518"/>
        <v>TERC_OPER__0_0</v>
      </c>
      <c r="C1578" s="83"/>
      <c r="D1578" s="15">
        <f t="shared" si="519"/>
        <v>0</v>
      </c>
      <c r="E1578" s="15">
        <v>9</v>
      </c>
      <c r="F1578" s="190">
        <f t="shared" si="520"/>
        <v>0</v>
      </c>
      <c r="G1578" s="149" t="str">
        <f t="shared" si="520"/>
        <v/>
      </c>
      <c r="H1578" s="150" t="str">
        <f t="shared" si="520"/>
        <v/>
      </c>
      <c r="I1578" s="150">
        <f t="shared" si="520"/>
        <v>0</v>
      </c>
      <c r="J1578" s="150">
        <f t="shared" si="520"/>
        <v>0</v>
      </c>
      <c r="K1578" s="196"/>
      <c r="L1578" s="197"/>
      <c r="M1578" s="191">
        <f t="shared" si="521"/>
        <v>0</v>
      </c>
      <c r="N1578" s="150">
        <f t="shared" si="521"/>
        <v>0</v>
      </c>
      <c r="O1578" s="193">
        <f t="shared" si="521"/>
        <v>0</v>
      </c>
      <c r="P1578" s="162">
        <f t="shared" si="525"/>
        <v>0</v>
      </c>
      <c r="Q1578" s="162">
        <f t="shared" si="525"/>
        <v>0</v>
      </c>
      <c r="R1578" s="162">
        <f t="shared" si="525"/>
        <v>0</v>
      </c>
      <c r="S1578" s="162">
        <f t="shared" si="525"/>
        <v>0</v>
      </c>
      <c r="T1578" s="162">
        <f t="shared" si="525"/>
        <v>0</v>
      </c>
      <c r="U1578" s="162">
        <f t="shared" si="525"/>
        <v>0</v>
      </c>
      <c r="V1578" s="162">
        <f t="shared" si="525"/>
        <v>0</v>
      </c>
      <c r="W1578" s="162">
        <f t="shared" si="525"/>
        <v>0</v>
      </c>
      <c r="X1578" s="162">
        <f t="shared" si="525"/>
        <v>0</v>
      </c>
      <c r="Y1578" s="162">
        <f t="shared" si="525"/>
        <v>0</v>
      </c>
      <c r="Z1578" s="162">
        <f t="shared" si="525"/>
        <v>0</v>
      </c>
      <c r="AA1578" s="162">
        <f t="shared" si="525"/>
        <v>0</v>
      </c>
      <c r="AB1578" s="163">
        <f t="shared" si="522"/>
        <v>0</v>
      </c>
      <c r="AC1578" s="159"/>
    </row>
    <row r="1579" spans="1:29" hidden="1" outlineLevel="1" x14ac:dyDescent="0.25">
      <c r="A1579" s="14" t="str">
        <f t="shared" si="500"/>
        <v>TERC_OPER__10</v>
      </c>
      <c r="B1579" s="15" t="str">
        <f t="shared" si="518"/>
        <v>TERC_OPER__0_0</v>
      </c>
      <c r="C1579" s="83"/>
      <c r="D1579" s="15">
        <f t="shared" si="519"/>
        <v>0</v>
      </c>
      <c r="E1579" s="15">
        <v>10</v>
      </c>
      <c r="F1579" s="190">
        <f t="shared" si="520"/>
        <v>0</v>
      </c>
      <c r="G1579" s="149" t="str">
        <f t="shared" si="520"/>
        <v/>
      </c>
      <c r="H1579" s="150" t="str">
        <f t="shared" si="520"/>
        <v/>
      </c>
      <c r="I1579" s="150">
        <f t="shared" si="520"/>
        <v>0</v>
      </c>
      <c r="J1579" s="150">
        <f t="shared" si="520"/>
        <v>0</v>
      </c>
      <c r="K1579" s="196"/>
      <c r="L1579" s="197"/>
      <c r="M1579" s="191">
        <f t="shared" si="521"/>
        <v>0</v>
      </c>
      <c r="N1579" s="150">
        <f t="shared" si="521"/>
        <v>0</v>
      </c>
      <c r="O1579" s="193">
        <f t="shared" si="521"/>
        <v>0</v>
      </c>
      <c r="P1579" s="162">
        <f t="shared" si="525"/>
        <v>0</v>
      </c>
      <c r="Q1579" s="162">
        <f t="shared" si="525"/>
        <v>0</v>
      </c>
      <c r="R1579" s="162">
        <f t="shared" si="525"/>
        <v>0</v>
      </c>
      <c r="S1579" s="162">
        <f t="shared" si="525"/>
        <v>0</v>
      </c>
      <c r="T1579" s="162">
        <f t="shared" si="525"/>
        <v>0</v>
      </c>
      <c r="U1579" s="162">
        <f t="shared" si="525"/>
        <v>0</v>
      </c>
      <c r="V1579" s="162">
        <f t="shared" si="525"/>
        <v>0</v>
      </c>
      <c r="W1579" s="162">
        <f t="shared" si="525"/>
        <v>0</v>
      </c>
      <c r="X1579" s="162">
        <f t="shared" si="525"/>
        <v>0</v>
      </c>
      <c r="Y1579" s="162">
        <f t="shared" si="525"/>
        <v>0</v>
      </c>
      <c r="Z1579" s="162">
        <f t="shared" si="525"/>
        <v>0</v>
      </c>
      <c r="AA1579" s="162">
        <f t="shared" si="525"/>
        <v>0</v>
      </c>
      <c r="AB1579" s="163">
        <f t="shared" si="522"/>
        <v>0</v>
      </c>
      <c r="AC1579" s="159"/>
    </row>
    <row r="1580" spans="1:29" hidden="1" outlineLevel="1" x14ac:dyDescent="0.25">
      <c r="A1580" s="14" t="str">
        <f t="shared" si="500"/>
        <v>TERC_OPER__11</v>
      </c>
      <c r="B1580" s="15" t="str">
        <f t="shared" si="518"/>
        <v>TERC_OPER__0_0</v>
      </c>
      <c r="C1580" s="83"/>
      <c r="D1580" s="15">
        <f t="shared" si="519"/>
        <v>0</v>
      </c>
      <c r="E1580" s="15">
        <v>11</v>
      </c>
      <c r="F1580" s="190">
        <f t="shared" si="520"/>
        <v>0</v>
      </c>
      <c r="G1580" s="149" t="str">
        <f t="shared" si="520"/>
        <v/>
      </c>
      <c r="H1580" s="150" t="str">
        <f t="shared" si="520"/>
        <v/>
      </c>
      <c r="I1580" s="150">
        <f t="shared" si="520"/>
        <v>0</v>
      </c>
      <c r="J1580" s="150">
        <f t="shared" si="520"/>
        <v>0</v>
      </c>
      <c r="K1580" s="196"/>
      <c r="L1580" s="197"/>
      <c r="M1580" s="191">
        <f t="shared" si="521"/>
        <v>0</v>
      </c>
      <c r="N1580" s="150">
        <f t="shared" si="521"/>
        <v>0</v>
      </c>
      <c r="O1580" s="193">
        <f t="shared" si="521"/>
        <v>0</v>
      </c>
      <c r="P1580" s="162">
        <f t="shared" si="525"/>
        <v>0</v>
      </c>
      <c r="Q1580" s="162">
        <f t="shared" si="525"/>
        <v>0</v>
      </c>
      <c r="R1580" s="162">
        <f t="shared" si="525"/>
        <v>0</v>
      </c>
      <c r="S1580" s="162">
        <f t="shared" si="525"/>
        <v>0</v>
      </c>
      <c r="T1580" s="162">
        <f t="shared" si="525"/>
        <v>0</v>
      </c>
      <c r="U1580" s="162">
        <f t="shared" si="525"/>
        <v>0</v>
      </c>
      <c r="V1580" s="162">
        <f t="shared" si="525"/>
        <v>0</v>
      </c>
      <c r="W1580" s="162">
        <f t="shared" si="525"/>
        <v>0</v>
      </c>
      <c r="X1580" s="162">
        <f t="shared" si="525"/>
        <v>0</v>
      </c>
      <c r="Y1580" s="162">
        <f t="shared" si="525"/>
        <v>0</v>
      </c>
      <c r="Z1580" s="162">
        <f t="shared" si="525"/>
        <v>0</v>
      </c>
      <c r="AA1580" s="162">
        <f t="shared" si="525"/>
        <v>0</v>
      </c>
      <c r="AB1580" s="163">
        <f t="shared" si="522"/>
        <v>0</v>
      </c>
      <c r="AC1580" s="198"/>
    </row>
    <row r="1581" spans="1:29" hidden="1" outlineLevel="1" x14ac:dyDescent="0.25">
      <c r="A1581" s="14" t="str">
        <f t="shared" si="500"/>
        <v>TERC_OPER__12</v>
      </c>
      <c r="B1581" s="15" t="str">
        <f t="shared" si="518"/>
        <v>TERC_OPER__0_0</v>
      </c>
      <c r="C1581" s="83"/>
      <c r="D1581" s="15">
        <f t="shared" si="519"/>
        <v>0</v>
      </c>
      <c r="E1581" s="15">
        <v>12</v>
      </c>
      <c r="F1581" s="190">
        <f t="shared" si="520"/>
        <v>0</v>
      </c>
      <c r="G1581" s="149" t="str">
        <f t="shared" si="520"/>
        <v/>
      </c>
      <c r="H1581" s="150" t="str">
        <f t="shared" si="520"/>
        <v/>
      </c>
      <c r="I1581" s="150">
        <f t="shared" si="520"/>
        <v>0</v>
      </c>
      <c r="J1581" s="150">
        <f t="shared" si="520"/>
        <v>0</v>
      </c>
      <c r="K1581" s="196"/>
      <c r="L1581" s="197"/>
      <c r="M1581" s="191">
        <f t="shared" si="521"/>
        <v>0</v>
      </c>
      <c r="N1581" s="150">
        <f t="shared" si="521"/>
        <v>0</v>
      </c>
      <c r="O1581" s="193">
        <f t="shared" si="521"/>
        <v>0</v>
      </c>
      <c r="P1581" s="162">
        <f t="shared" si="525"/>
        <v>0</v>
      </c>
      <c r="Q1581" s="162">
        <f t="shared" si="525"/>
        <v>0</v>
      </c>
      <c r="R1581" s="162">
        <f t="shared" si="525"/>
        <v>0</v>
      </c>
      <c r="S1581" s="162">
        <f t="shared" si="525"/>
        <v>0</v>
      </c>
      <c r="T1581" s="162">
        <f t="shared" si="525"/>
        <v>0</v>
      </c>
      <c r="U1581" s="162">
        <f t="shared" si="525"/>
        <v>0</v>
      </c>
      <c r="V1581" s="162">
        <f t="shared" si="525"/>
        <v>0</v>
      </c>
      <c r="W1581" s="162">
        <f t="shared" si="525"/>
        <v>0</v>
      </c>
      <c r="X1581" s="162">
        <f t="shared" si="525"/>
        <v>0</v>
      </c>
      <c r="Y1581" s="162">
        <f t="shared" si="525"/>
        <v>0</v>
      </c>
      <c r="Z1581" s="162">
        <f t="shared" si="525"/>
        <v>0</v>
      </c>
      <c r="AA1581" s="162">
        <f t="shared" si="525"/>
        <v>0</v>
      </c>
      <c r="AB1581" s="163">
        <f t="shared" si="522"/>
        <v>0</v>
      </c>
      <c r="AC1581" s="198"/>
    </row>
    <row r="1582" spans="1:29" hidden="1" outlineLevel="1" x14ac:dyDescent="0.25">
      <c r="A1582" s="14" t="str">
        <f t="shared" si="500"/>
        <v>TERC_OPER__13</v>
      </c>
      <c r="B1582" s="15" t="str">
        <f t="shared" si="518"/>
        <v>TERC_OPER__0_0</v>
      </c>
      <c r="C1582" s="83"/>
      <c r="D1582" s="15">
        <f t="shared" si="519"/>
        <v>0</v>
      </c>
      <c r="E1582" s="15">
        <v>13</v>
      </c>
      <c r="F1582" s="190">
        <f t="shared" si="520"/>
        <v>0</v>
      </c>
      <c r="G1582" s="149" t="str">
        <f t="shared" si="520"/>
        <v/>
      </c>
      <c r="H1582" s="150" t="str">
        <f t="shared" si="520"/>
        <v/>
      </c>
      <c r="I1582" s="150">
        <f t="shared" si="520"/>
        <v>0</v>
      </c>
      <c r="J1582" s="150">
        <f t="shared" si="520"/>
        <v>0</v>
      </c>
      <c r="K1582" s="196"/>
      <c r="L1582" s="197"/>
      <c r="M1582" s="191">
        <f t="shared" si="521"/>
        <v>0</v>
      </c>
      <c r="N1582" s="150">
        <f t="shared" si="521"/>
        <v>0</v>
      </c>
      <c r="O1582" s="193">
        <f t="shared" si="521"/>
        <v>0</v>
      </c>
      <c r="P1582" s="162">
        <f t="shared" si="525"/>
        <v>0</v>
      </c>
      <c r="Q1582" s="162">
        <f t="shared" si="525"/>
        <v>0</v>
      </c>
      <c r="R1582" s="162">
        <f t="shared" si="525"/>
        <v>0</v>
      </c>
      <c r="S1582" s="162">
        <f t="shared" si="525"/>
        <v>0</v>
      </c>
      <c r="T1582" s="162">
        <f t="shared" si="525"/>
        <v>0</v>
      </c>
      <c r="U1582" s="162">
        <f t="shared" si="525"/>
        <v>0</v>
      </c>
      <c r="V1582" s="162">
        <f t="shared" si="525"/>
        <v>0</v>
      </c>
      <c r="W1582" s="162">
        <f t="shared" si="525"/>
        <v>0</v>
      </c>
      <c r="X1582" s="162">
        <f t="shared" si="525"/>
        <v>0</v>
      </c>
      <c r="Y1582" s="162">
        <f t="shared" si="525"/>
        <v>0</v>
      </c>
      <c r="Z1582" s="162">
        <f t="shared" si="525"/>
        <v>0</v>
      </c>
      <c r="AA1582" s="162">
        <f t="shared" si="525"/>
        <v>0</v>
      </c>
      <c r="AB1582" s="163">
        <f t="shared" si="522"/>
        <v>0</v>
      </c>
      <c r="AC1582" s="198"/>
    </row>
    <row r="1583" spans="1:29" hidden="1" outlineLevel="1" x14ac:dyDescent="0.25">
      <c r="A1583" s="14" t="str">
        <f t="shared" si="500"/>
        <v>TERC_OPER__14</v>
      </c>
      <c r="B1583" s="15" t="str">
        <f t="shared" si="518"/>
        <v>TERC_OPER__0_0</v>
      </c>
      <c r="C1583" s="83"/>
      <c r="D1583" s="15">
        <f t="shared" si="519"/>
        <v>0</v>
      </c>
      <c r="E1583" s="15">
        <v>14</v>
      </c>
      <c r="F1583" s="190">
        <f t="shared" si="520"/>
        <v>0</v>
      </c>
      <c r="G1583" s="149" t="str">
        <f t="shared" si="520"/>
        <v/>
      </c>
      <c r="H1583" s="150" t="str">
        <f t="shared" si="520"/>
        <v/>
      </c>
      <c r="I1583" s="150">
        <f t="shared" si="520"/>
        <v>0</v>
      </c>
      <c r="J1583" s="150">
        <f t="shared" si="520"/>
        <v>0</v>
      </c>
      <c r="K1583" s="196"/>
      <c r="L1583" s="197"/>
      <c r="M1583" s="191">
        <f t="shared" si="521"/>
        <v>0</v>
      </c>
      <c r="N1583" s="150">
        <f t="shared" si="521"/>
        <v>0</v>
      </c>
      <c r="O1583" s="193">
        <f t="shared" si="521"/>
        <v>0</v>
      </c>
      <c r="P1583" s="162">
        <f t="shared" si="525"/>
        <v>0</v>
      </c>
      <c r="Q1583" s="162">
        <f t="shared" si="525"/>
        <v>0</v>
      </c>
      <c r="R1583" s="162">
        <f t="shared" si="525"/>
        <v>0</v>
      </c>
      <c r="S1583" s="162">
        <f t="shared" si="525"/>
        <v>0</v>
      </c>
      <c r="T1583" s="162">
        <f t="shared" si="525"/>
        <v>0</v>
      </c>
      <c r="U1583" s="162">
        <f t="shared" si="525"/>
        <v>0</v>
      </c>
      <c r="V1583" s="162">
        <f t="shared" si="525"/>
        <v>0</v>
      </c>
      <c r="W1583" s="162">
        <f t="shared" si="525"/>
        <v>0</v>
      </c>
      <c r="X1583" s="162">
        <f t="shared" si="525"/>
        <v>0</v>
      </c>
      <c r="Y1583" s="162">
        <f t="shared" si="525"/>
        <v>0</v>
      </c>
      <c r="Z1583" s="162">
        <f t="shared" si="525"/>
        <v>0</v>
      </c>
      <c r="AA1583" s="162">
        <f t="shared" si="525"/>
        <v>0</v>
      </c>
      <c r="AB1583" s="163">
        <f t="shared" si="522"/>
        <v>0</v>
      </c>
      <c r="AC1583" s="198"/>
    </row>
    <row r="1584" spans="1:29" hidden="1" outlineLevel="1" x14ac:dyDescent="0.25">
      <c r="A1584" s="14" t="str">
        <f t="shared" si="500"/>
        <v>TERC_OPER__15</v>
      </c>
      <c r="B1584" s="15" t="str">
        <f t="shared" si="518"/>
        <v>TERC_OPER__0_0</v>
      </c>
      <c r="C1584" s="83"/>
      <c r="D1584" s="15">
        <f t="shared" si="519"/>
        <v>0</v>
      </c>
      <c r="E1584" s="15">
        <v>15</v>
      </c>
      <c r="F1584" s="190">
        <f t="shared" si="520"/>
        <v>0</v>
      </c>
      <c r="G1584" s="149" t="str">
        <f t="shared" si="520"/>
        <v/>
      </c>
      <c r="H1584" s="150" t="str">
        <f t="shared" si="520"/>
        <v/>
      </c>
      <c r="I1584" s="150">
        <f t="shared" si="520"/>
        <v>0</v>
      </c>
      <c r="J1584" s="150">
        <f t="shared" si="520"/>
        <v>0</v>
      </c>
      <c r="K1584" s="196"/>
      <c r="L1584" s="197"/>
      <c r="M1584" s="191">
        <f t="shared" si="521"/>
        <v>0</v>
      </c>
      <c r="N1584" s="150">
        <f t="shared" si="521"/>
        <v>0</v>
      </c>
      <c r="O1584" s="193">
        <f t="shared" si="521"/>
        <v>0</v>
      </c>
      <c r="P1584" s="162">
        <f t="shared" si="525"/>
        <v>0</v>
      </c>
      <c r="Q1584" s="162">
        <f t="shared" si="525"/>
        <v>0</v>
      </c>
      <c r="R1584" s="162">
        <f t="shared" si="525"/>
        <v>0</v>
      </c>
      <c r="S1584" s="162">
        <f t="shared" si="525"/>
        <v>0</v>
      </c>
      <c r="T1584" s="162">
        <f t="shared" si="525"/>
        <v>0</v>
      </c>
      <c r="U1584" s="162">
        <f t="shared" si="525"/>
        <v>0</v>
      </c>
      <c r="V1584" s="162">
        <f t="shared" si="525"/>
        <v>0</v>
      </c>
      <c r="W1584" s="162">
        <f t="shared" si="525"/>
        <v>0</v>
      </c>
      <c r="X1584" s="162">
        <f t="shared" si="525"/>
        <v>0</v>
      </c>
      <c r="Y1584" s="162">
        <f t="shared" si="525"/>
        <v>0</v>
      </c>
      <c r="Z1584" s="162">
        <f t="shared" si="525"/>
        <v>0</v>
      </c>
      <c r="AA1584" s="162">
        <f t="shared" si="525"/>
        <v>0</v>
      </c>
      <c r="AB1584" s="163">
        <f t="shared" si="522"/>
        <v>0</v>
      </c>
      <c r="AC1584" s="198"/>
    </row>
    <row r="1585" spans="1:29" hidden="1" outlineLevel="1" x14ac:dyDescent="0.25">
      <c r="A1585" s="14" t="str">
        <f t="shared" si="500"/>
        <v>TERC_OPER__16</v>
      </c>
      <c r="B1585" s="15" t="str">
        <f t="shared" si="518"/>
        <v>TERC_OPER__0_0</v>
      </c>
      <c r="C1585" s="83"/>
      <c r="D1585" s="15">
        <f t="shared" si="519"/>
        <v>0</v>
      </c>
      <c r="E1585" s="15">
        <v>16</v>
      </c>
      <c r="F1585" s="190">
        <f t="shared" si="520"/>
        <v>0</v>
      </c>
      <c r="G1585" s="149" t="str">
        <f t="shared" si="520"/>
        <v/>
      </c>
      <c r="H1585" s="150" t="str">
        <f t="shared" si="520"/>
        <v/>
      </c>
      <c r="I1585" s="150">
        <f t="shared" si="520"/>
        <v>0</v>
      </c>
      <c r="J1585" s="150">
        <f t="shared" si="520"/>
        <v>0</v>
      </c>
      <c r="K1585" s="196"/>
      <c r="L1585" s="197"/>
      <c r="M1585" s="191">
        <f t="shared" si="521"/>
        <v>0</v>
      </c>
      <c r="N1585" s="150">
        <f t="shared" si="521"/>
        <v>0</v>
      </c>
      <c r="O1585" s="193">
        <f t="shared" si="521"/>
        <v>0</v>
      </c>
      <c r="P1585" s="162">
        <f t="shared" si="525"/>
        <v>0</v>
      </c>
      <c r="Q1585" s="162">
        <f t="shared" si="525"/>
        <v>0</v>
      </c>
      <c r="R1585" s="162">
        <f t="shared" si="525"/>
        <v>0</v>
      </c>
      <c r="S1585" s="162">
        <f t="shared" si="525"/>
        <v>0</v>
      </c>
      <c r="T1585" s="162">
        <f t="shared" si="525"/>
        <v>0</v>
      </c>
      <c r="U1585" s="162">
        <f t="shared" si="525"/>
        <v>0</v>
      </c>
      <c r="V1585" s="162">
        <f t="shared" si="525"/>
        <v>0</v>
      </c>
      <c r="W1585" s="162">
        <f t="shared" si="525"/>
        <v>0</v>
      </c>
      <c r="X1585" s="162">
        <f t="shared" si="525"/>
        <v>0</v>
      </c>
      <c r="Y1585" s="162">
        <f t="shared" si="525"/>
        <v>0</v>
      </c>
      <c r="Z1585" s="162">
        <f t="shared" si="525"/>
        <v>0</v>
      </c>
      <c r="AA1585" s="162">
        <f t="shared" si="525"/>
        <v>0</v>
      </c>
      <c r="AB1585" s="163">
        <f t="shared" si="522"/>
        <v>0</v>
      </c>
      <c r="AC1585" s="198"/>
    </row>
    <row r="1586" spans="1:29" hidden="1" outlineLevel="1" x14ac:dyDescent="0.25">
      <c r="A1586" s="14" t="str">
        <f t="shared" si="500"/>
        <v>TERC_OPER__17</v>
      </c>
      <c r="B1586" s="15" t="str">
        <f t="shared" si="518"/>
        <v>TERC_OPER__0_0</v>
      </c>
      <c r="C1586" s="83"/>
      <c r="D1586" s="15">
        <f t="shared" si="519"/>
        <v>0</v>
      </c>
      <c r="E1586" s="15">
        <v>17</v>
      </c>
      <c r="F1586" s="190">
        <f t="shared" ref="F1586:J1601" si="526">F1540</f>
        <v>0</v>
      </c>
      <c r="G1586" s="149" t="str">
        <f t="shared" si="526"/>
        <v/>
      </c>
      <c r="H1586" s="150" t="str">
        <f t="shared" si="526"/>
        <v/>
      </c>
      <c r="I1586" s="150">
        <f t="shared" si="526"/>
        <v>0</v>
      </c>
      <c r="J1586" s="150">
        <f t="shared" si="526"/>
        <v>0</v>
      </c>
      <c r="K1586" s="196"/>
      <c r="L1586" s="197"/>
      <c r="M1586" s="191">
        <f t="shared" ref="M1586:O1601" si="527">M1540</f>
        <v>0</v>
      </c>
      <c r="N1586" s="150">
        <f t="shared" si="527"/>
        <v>0</v>
      </c>
      <c r="O1586" s="193">
        <f t="shared" si="527"/>
        <v>0</v>
      </c>
      <c r="P1586" s="162">
        <f t="shared" si="525"/>
        <v>0</v>
      </c>
      <c r="Q1586" s="162">
        <f t="shared" si="525"/>
        <v>0</v>
      </c>
      <c r="R1586" s="162">
        <f t="shared" si="525"/>
        <v>0</v>
      </c>
      <c r="S1586" s="162">
        <f t="shared" si="525"/>
        <v>0</v>
      </c>
      <c r="T1586" s="162">
        <f t="shared" si="525"/>
        <v>0</v>
      </c>
      <c r="U1586" s="162">
        <f t="shared" si="525"/>
        <v>0</v>
      </c>
      <c r="V1586" s="162">
        <f t="shared" si="525"/>
        <v>0</v>
      </c>
      <c r="W1586" s="162">
        <f t="shared" si="525"/>
        <v>0</v>
      </c>
      <c r="X1586" s="162">
        <f t="shared" si="525"/>
        <v>0</v>
      </c>
      <c r="Y1586" s="162">
        <f t="shared" si="525"/>
        <v>0</v>
      </c>
      <c r="Z1586" s="162">
        <f t="shared" si="525"/>
        <v>0</v>
      </c>
      <c r="AA1586" s="162">
        <f t="shared" si="525"/>
        <v>0</v>
      </c>
      <c r="AB1586" s="163">
        <f t="shared" si="522"/>
        <v>0</v>
      </c>
      <c r="AC1586" s="198"/>
    </row>
    <row r="1587" spans="1:29" hidden="1" outlineLevel="1" x14ac:dyDescent="0.25">
      <c r="A1587" s="14" t="str">
        <f t="shared" si="500"/>
        <v>TERC_OPER__18</v>
      </c>
      <c r="B1587" s="15" t="str">
        <f t="shared" si="518"/>
        <v>TERC_OPER__0_0</v>
      </c>
      <c r="C1587" s="83"/>
      <c r="D1587" s="15">
        <f t="shared" si="519"/>
        <v>0</v>
      </c>
      <c r="E1587" s="15">
        <v>18</v>
      </c>
      <c r="F1587" s="190">
        <f t="shared" si="526"/>
        <v>0</v>
      </c>
      <c r="G1587" s="149" t="str">
        <f t="shared" si="526"/>
        <v/>
      </c>
      <c r="H1587" s="150" t="str">
        <f t="shared" si="526"/>
        <v/>
      </c>
      <c r="I1587" s="150">
        <f t="shared" si="526"/>
        <v>0</v>
      </c>
      <c r="J1587" s="150">
        <f t="shared" si="526"/>
        <v>0</v>
      </c>
      <c r="K1587" s="196"/>
      <c r="L1587" s="197"/>
      <c r="M1587" s="191">
        <f t="shared" si="527"/>
        <v>0</v>
      </c>
      <c r="N1587" s="150">
        <f t="shared" si="527"/>
        <v>0</v>
      </c>
      <c r="O1587" s="193">
        <f t="shared" si="527"/>
        <v>0</v>
      </c>
      <c r="P1587" s="162">
        <f t="shared" si="525"/>
        <v>0</v>
      </c>
      <c r="Q1587" s="162">
        <f t="shared" si="525"/>
        <v>0</v>
      </c>
      <c r="R1587" s="162">
        <f t="shared" si="525"/>
        <v>0</v>
      </c>
      <c r="S1587" s="162">
        <f t="shared" si="525"/>
        <v>0</v>
      </c>
      <c r="T1587" s="162">
        <f t="shared" si="525"/>
        <v>0</v>
      </c>
      <c r="U1587" s="162">
        <f t="shared" si="525"/>
        <v>0</v>
      </c>
      <c r="V1587" s="162">
        <f t="shared" si="525"/>
        <v>0</v>
      </c>
      <c r="W1587" s="162">
        <f t="shared" si="525"/>
        <v>0</v>
      </c>
      <c r="X1587" s="162">
        <f t="shared" si="525"/>
        <v>0</v>
      </c>
      <c r="Y1587" s="162">
        <f t="shared" si="525"/>
        <v>0</v>
      </c>
      <c r="Z1587" s="162">
        <f t="shared" si="525"/>
        <v>0</v>
      </c>
      <c r="AA1587" s="162">
        <f t="shared" si="525"/>
        <v>0</v>
      </c>
      <c r="AB1587" s="163">
        <f t="shared" si="522"/>
        <v>0</v>
      </c>
      <c r="AC1587" s="198"/>
    </row>
    <row r="1588" spans="1:29" hidden="1" outlineLevel="1" x14ac:dyDescent="0.25">
      <c r="A1588" s="14" t="str">
        <f t="shared" ref="A1588:A1651" si="528">"TERC_OPER_"&amp;C1588&amp;"_"&amp;E1588</f>
        <v>TERC_OPER__19</v>
      </c>
      <c r="B1588" s="15" t="str">
        <f t="shared" si="518"/>
        <v>TERC_OPER__0_0</v>
      </c>
      <c r="C1588" s="83"/>
      <c r="D1588" s="15">
        <f t="shared" si="519"/>
        <v>0</v>
      </c>
      <c r="E1588" s="15">
        <v>19</v>
      </c>
      <c r="F1588" s="190">
        <f t="shared" si="526"/>
        <v>0</v>
      </c>
      <c r="G1588" s="149" t="str">
        <f t="shared" si="526"/>
        <v/>
      </c>
      <c r="H1588" s="150" t="str">
        <f t="shared" si="526"/>
        <v/>
      </c>
      <c r="I1588" s="150">
        <f t="shared" si="526"/>
        <v>0</v>
      </c>
      <c r="J1588" s="150">
        <f t="shared" si="526"/>
        <v>0</v>
      </c>
      <c r="K1588" s="196"/>
      <c r="L1588" s="197"/>
      <c r="M1588" s="191">
        <f t="shared" si="527"/>
        <v>0</v>
      </c>
      <c r="N1588" s="150">
        <f t="shared" si="527"/>
        <v>0</v>
      </c>
      <c r="O1588" s="193">
        <f t="shared" si="527"/>
        <v>0</v>
      </c>
      <c r="P1588" s="162">
        <f t="shared" si="525"/>
        <v>0</v>
      </c>
      <c r="Q1588" s="162">
        <f t="shared" si="525"/>
        <v>0</v>
      </c>
      <c r="R1588" s="162">
        <f t="shared" si="525"/>
        <v>0</v>
      </c>
      <c r="S1588" s="162">
        <f t="shared" si="525"/>
        <v>0</v>
      </c>
      <c r="T1588" s="162">
        <f t="shared" si="525"/>
        <v>0</v>
      </c>
      <c r="U1588" s="162">
        <f t="shared" si="525"/>
        <v>0</v>
      </c>
      <c r="V1588" s="162">
        <f t="shared" si="525"/>
        <v>0</v>
      </c>
      <c r="W1588" s="162">
        <f t="shared" si="525"/>
        <v>0</v>
      </c>
      <c r="X1588" s="162">
        <f t="shared" si="525"/>
        <v>0</v>
      </c>
      <c r="Y1588" s="162">
        <f t="shared" si="525"/>
        <v>0</v>
      </c>
      <c r="Z1588" s="162">
        <f t="shared" si="525"/>
        <v>0</v>
      </c>
      <c r="AA1588" s="162">
        <f t="shared" si="525"/>
        <v>0</v>
      </c>
      <c r="AB1588" s="163">
        <f t="shared" si="522"/>
        <v>0</v>
      </c>
      <c r="AC1588" s="198"/>
    </row>
    <row r="1589" spans="1:29" hidden="1" outlineLevel="1" x14ac:dyDescent="0.25">
      <c r="A1589" s="14" t="str">
        <f t="shared" si="528"/>
        <v>TERC_OPER__20</v>
      </c>
      <c r="B1589" s="15" t="str">
        <f t="shared" si="518"/>
        <v>TERC_OPER__0_0</v>
      </c>
      <c r="C1589" s="83"/>
      <c r="D1589" s="15">
        <f t="shared" si="519"/>
        <v>0</v>
      </c>
      <c r="E1589" s="15">
        <v>20</v>
      </c>
      <c r="F1589" s="190">
        <f t="shared" si="526"/>
        <v>0</v>
      </c>
      <c r="G1589" s="149" t="str">
        <f t="shared" si="526"/>
        <v/>
      </c>
      <c r="H1589" s="150" t="str">
        <f t="shared" si="526"/>
        <v/>
      </c>
      <c r="I1589" s="150">
        <f t="shared" si="526"/>
        <v>0</v>
      </c>
      <c r="J1589" s="150">
        <f t="shared" si="526"/>
        <v>0</v>
      </c>
      <c r="K1589" s="196"/>
      <c r="L1589" s="197"/>
      <c r="M1589" s="191">
        <f t="shared" si="527"/>
        <v>0</v>
      </c>
      <c r="N1589" s="150">
        <f t="shared" si="527"/>
        <v>0</v>
      </c>
      <c r="O1589" s="193">
        <f t="shared" si="527"/>
        <v>0</v>
      </c>
      <c r="P1589" s="162">
        <f t="shared" si="525"/>
        <v>0</v>
      </c>
      <c r="Q1589" s="162">
        <f t="shared" si="525"/>
        <v>0</v>
      </c>
      <c r="R1589" s="162">
        <f t="shared" si="525"/>
        <v>0</v>
      </c>
      <c r="S1589" s="162">
        <f t="shared" si="525"/>
        <v>0</v>
      </c>
      <c r="T1589" s="162">
        <f t="shared" si="525"/>
        <v>0</v>
      </c>
      <c r="U1589" s="162">
        <f t="shared" si="525"/>
        <v>0</v>
      </c>
      <c r="V1589" s="162">
        <f t="shared" si="525"/>
        <v>0</v>
      </c>
      <c r="W1589" s="162">
        <f t="shared" si="525"/>
        <v>0</v>
      </c>
      <c r="X1589" s="162">
        <f t="shared" si="525"/>
        <v>0</v>
      </c>
      <c r="Y1589" s="162">
        <f t="shared" si="525"/>
        <v>0</v>
      </c>
      <c r="Z1589" s="162">
        <f t="shared" si="525"/>
        <v>0</v>
      </c>
      <c r="AA1589" s="162">
        <f t="shared" si="525"/>
        <v>0</v>
      </c>
      <c r="AB1589" s="163">
        <f t="shared" si="522"/>
        <v>0</v>
      </c>
      <c r="AC1589" s="198"/>
    </row>
    <row r="1590" spans="1:29" hidden="1" outlineLevel="1" x14ac:dyDescent="0.25">
      <c r="A1590" s="14" t="str">
        <f t="shared" si="528"/>
        <v>TERC_OPER__21</v>
      </c>
      <c r="B1590" s="15" t="str">
        <f t="shared" si="518"/>
        <v>TERC_OPER__0_0</v>
      </c>
      <c r="C1590" s="83"/>
      <c r="D1590" s="15">
        <f t="shared" si="519"/>
        <v>0</v>
      </c>
      <c r="E1590" s="15">
        <v>21</v>
      </c>
      <c r="F1590" s="190">
        <f t="shared" si="526"/>
        <v>0</v>
      </c>
      <c r="G1590" s="149" t="str">
        <f t="shared" si="526"/>
        <v/>
      </c>
      <c r="H1590" s="150" t="str">
        <f t="shared" si="526"/>
        <v/>
      </c>
      <c r="I1590" s="150">
        <f t="shared" si="526"/>
        <v>0</v>
      </c>
      <c r="J1590" s="150">
        <f t="shared" si="526"/>
        <v>0</v>
      </c>
      <c r="K1590" s="196"/>
      <c r="L1590" s="197"/>
      <c r="M1590" s="191">
        <f t="shared" si="527"/>
        <v>0</v>
      </c>
      <c r="N1590" s="150">
        <f t="shared" si="527"/>
        <v>0</v>
      </c>
      <c r="O1590" s="193">
        <f t="shared" si="527"/>
        <v>0</v>
      </c>
      <c r="P1590" s="162">
        <f t="shared" si="525"/>
        <v>0</v>
      </c>
      <c r="Q1590" s="162">
        <f t="shared" si="525"/>
        <v>0</v>
      </c>
      <c r="R1590" s="162">
        <f t="shared" si="525"/>
        <v>0</v>
      </c>
      <c r="S1590" s="162">
        <f t="shared" si="525"/>
        <v>0</v>
      </c>
      <c r="T1590" s="162">
        <f t="shared" si="525"/>
        <v>0</v>
      </c>
      <c r="U1590" s="162">
        <f t="shared" si="525"/>
        <v>0</v>
      </c>
      <c r="V1590" s="162">
        <f t="shared" si="525"/>
        <v>0</v>
      </c>
      <c r="W1590" s="162">
        <f t="shared" si="525"/>
        <v>0</v>
      </c>
      <c r="X1590" s="162">
        <f t="shared" si="525"/>
        <v>0</v>
      </c>
      <c r="Y1590" s="162">
        <f t="shared" si="525"/>
        <v>0</v>
      </c>
      <c r="Z1590" s="162">
        <f t="shared" si="525"/>
        <v>0</v>
      </c>
      <c r="AA1590" s="162">
        <f t="shared" si="525"/>
        <v>0</v>
      </c>
      <c r="AB1590" s="163">
        <f t="shared" si="522"/>
        <v>0</v>
      </c>
      <c r="AC1590" s="198"/>
    </row>
    <row r="1591" spans="1:29" hidden="1" outlineLevel="1" x14ac:dyDescent="0.25">
      <c r="A1591" s="14" t="str">
        <f t="shared" si="528"/>
        <v>TERC_OPER__22</v>
      </c>
      <c r="B1591" s="15" t="str">
        <f t="shared" si="518"/>
        <v>TERC_OPER__0_0</v>
      </c>
      <c r="C1591" s="83"/>
      <c r="D1591" s="15">
        <f t="shared" si="519"/>
        <v>0</v>
      </c>
      <c r="E1591" s="15">
        <v>22</v>
      </c>
      <c r="F1591" s="190">
        <f t="shared" si="526"/>
        <v>0</v>
      </c>
      <c r="G1591" s="149" t="str">
        <f t="shared" si="526"/>
        <v/>
      </c>
      <c r="H1591" s="150" t="str">
        <f t="shared" si="526"/>
        <v/>
      </c>
      <c r="I1591" s="150">
        <f t="shared" si="526"/>
        <v>0</v>
      </c>
      <c r="J1591" s="150">
        <f t="shared" si="526"/>
        <v>0</v>
      </c>
      <c r="K1591" s="196"/>
      <c r="L1591" s="197"/>
      <c r="M1591" s="191">
        <f t="shared" si="527"/>
        <v>0</v>
      </c>
      <c r="N1591" s="150">
        <f t="shared" si="527"/>
        <v>0</v>
      </c>
      <c r="O1591" s="193">
        <f t="shared" si="527"/>
        <v>0</v>
      </c>
      <c r="P1591" s="162">
        <f t="shared" ref="P1591:AA1606" si="529">IFERROR(SUMIF($B$1351:$B$1378,$C1591&amp;$I1591,P$1351:P$1378)/SUMIF($D$1351:$D$1378,$I1591,P$1351:P$1378)*P1403,0)</f>
        <v>0</v>
      </c>
      <c r="Q1591" s="162">
        <f t="shared" si="529"/>
        <v>0</v>
      </c>
      <c r="R1591" s="162">
        <f t="shared" si="529"/>
        <v>0</v>
      </c>
      <c r="S1591" s="162">
        <f t="shared" si="529"/>
        <v>0</v>
      </c>
      <c r="T1591" s="162">
        <f t="shared" si="529"/>
        <v>0</v>
      </c>
      <c r="U1591" s="162">
        <f t="shared" si="529"/>
        <v>0</v>
      </c>
      <c r="V1591" s="162">
        <f t="shared" si="529"/>
        <v>0</v>
      </c>
      <c r="W1591" s="162">
        <f t="shared" si="529"/>
        <v>0</v>
      </c>
      <c r="X1591" s="162">
        <f t="shared" si="529"/>
        <v>0</v>
      </c>
      <c r="Y1591" s="162">
        <f t="shared" si="529"/>
        <v>0</v>
      </c>
      <c r="Z1591" s="162">
        <f t="shared" si="529"/>
        <v>0</v>
      </c>
      <c r="AA1591" s="162">
        <f t="shared" si="529"/>
        <v>0</v>
      </c>
      <c r="AB1591" s="163">
        <f t="shared" si="522"/>
        <v>0</v>
      </c>
      <c r="AC1591" s="198"/>
    </row>
    <row r="1592" spans="1:29" hidden="1" outlineLevel="1" x14ac:dyDescent="0.25">
      <c r="A1592" s="14" t="str">
        <f t="shared" si="528"/>
        <v>TERC_OPER__23</v>
      </c>
      <c r="B1592" s="15" t="str">
        <f t="shared" si="518"/>
        <v>TERC_OPER__0_0</v>
      </c>
      <c r="C1592" s="83"/>
      <c r="D1592" s="15">
        <f t="shared" si="519"/>
        <v>0</v>
      </c>
      <c r="E1592" s="15">
        <v>23</v>
      </c>
      <c r="F1592" s="190">
        <f t="shared" si="526"/>
        <v>0</v>
      </c>
      <c r="G1592" s="149" t="str">
        <f t="shared" si="526"/>
        <v/>
      </c>
      <c r="H1592" s="150" t="str">
        <f t="shared" si="526"/>
        <v/>
      </c>
      <c r="I1592" s="150">
        <f t="shared" si="526"/>
        <v>0</v>
      </c>
      <c r="J1592" s="150">
        <f t="shared" si="526"/>
        <v>0</v>
      </c>
      <c r="K1592" s="196"/>
      <c r="L1592" s="197"/>
      <c r="M1592" s="191">
        <f t="shared" si="527"/>
        <v>0</v>
      </c>
      <c r="N1592" s="150">
        <f t="shared" si="527"/>
        <v>0</v>
      </c>
      <c r="O1592" s="193">
        <f t="shared" si="527"/>
        <v>0</v>
      </c>
      <c r="P1592" s="162">
        <f t="shared" si="529"/>
        <v>0</v>
      </c>
      <c r="Q1592" s="162">
        <f t="shared" si="529"/>
        <v>0</v>
      </c>
      <c r="R1592" s="162">
        <f t="shared" si="529"/>
        <v>0</v>
      </c>
      <c r="S1592" s="162">
        <f t="shared" si="529"/>
        <v>0</v>
      </c>
      <c r="T1592" s="162">
        <f t="shared" si="529"/>
        <v>0</v>
      </c>
      <c r="U1592" s="162">
        <f t="shared" si="529"/>
        <v>0</v>
      </c>
      <c r="V1592" s="162">
        <f t="shared" si="529"/>
        <v>0</v>
      </c>
      <c r="W1592" s="162">
        <f t="shared" si="529"/>
        <v>0</v>
      </c>
      <c r="X1592" s="162">
        <f t="shared" si="529"/>
        <v>0</v>
      </c>
      <c r="Y1592" s="162">
        <f t="shared" si="529"/>
        <v>0</v>
      </c>
      <c r="Z1592" s="162">
        <f t="shared" si="529"/>
        <v>0</v>
      </c>
      <c r="AA1592" s="162">
        <f t="shared" si="529"/>
        <v>0</v>
      </c>
      <c r="AB1592" s="163">
        <f t="shared" si="522"/>
        <v>0</v>
      </c>
      <c r="AC1592" s="198"/>
    </row>
    <row r="1593" spans="1:29" hidden="1" outlineLevel="1" x14ac:dyDescent="0.25">
      <c r="A1593" s="14" t="str">
        <f t="shared" si="528"/>
        <v>TERC_OPER__24</v>
      </c>
      <c r="B1593" s="15" t="str">
        <f t="shared" si="518"/>
        <v>TERC_OPER__0_0</v>
      </c>
      <c r="C1593" s="83"/>
      <c r="D1593" s="15">
        <f t="shared" si="519"/>
        <v>0</v>
      </c>
      <c r="E1593" s="15">
        <v>24</v>
      </c>
      <c r="F1593" s="190">
        <f t="shared" si="526"/>
        <v>0</v>
      </c>
      <c r="G1593" s="149" t="str">
        <f t="shared" si="526"/>
        <v/>
      </c>
      <c r="H1593" s="150" t="str">
        <f t="shared" si="526"/>
        <v/>
      </c>
      <c r="I1593" s="150">
        <f t="shared" si="526"/>
        <v>0</v>
      </c>
      <c r="J1593" s="150">
        <f t="shared" si="526"/>
        <v>0</v>
      </c>
      <c r="K1593" s="196"/>
      <c r="L1593" s="197"/>
      <c r="M1593" s="191">
        <f t="shared" si="527"/>
        <v>0</v>
      </c>
      <c r="N1593" s="150">
        <f t="shared" si="527"/>
        <v>0</v>
      </c>
      <c r="O1593" s="193">
        <f t="shared" si="527"/>
        <v>0</v>
      </c>
      <c r="P1593" s="162">
        <f t="shared" si="529"/>
        <v>0</v>
      </c>
      <c r="Q1593" s="162">
        <f t="shared" si="529"/>
        <v>0</v>
      </c>
      <c r="R1593" s="162">
        <f t="shared" si="529"/>
        <v>0</v>
      </c>
      <c r="S1593" s="162">
        <f t="shared" si="529"/>
        <v>0</v>
      </c>
      <c r="T1593" s="162">
        <f t="shared" si="529"/>
        <v>0</v>
      </c>
      <c r="U1593" s="162">
        <f t="shared" si="529"/>
        <v>0</v>
      </c>
      <c r="V1593" s="162">
        <f t="shared" si="529"/>
        <v>0</v>
      </c>
      <c r="W1593" s="162">
        <f t="shared" si="529"/>
        <v>0</v>
      </c>
      <c r="X1593" s="162">
        <f t="shared" si="529"/>
        <v>0</v>
      </c>
      <c r="Y1593" s="162">
        <f t="shared" si="529"/>
        <v>0</v>
      </c>
      <c r="Z1593" s="162">
        <f t="shared" si="529"/>
        <v>0</v>
      </c>
      <c r="AA1593" s="162">
        <f t="shared" si="529"/>
        <v>0</v>
      </c>
      <c r="AB1593" s="163">
        <f t="shared" si="522"/>
        <v>0</v>
      </c>
      <c r="AC1593" s="198"/>
    </row>
    <row r="1594" spans="1:29" hidden="1" outlineLevel="1" x14ac:dyDescent="0.25">
      <c r="A1594" s="14" t="str">
        <f t="shared" si="528"/>
        <v>TERC_OPER__25</v>
      </c>
      <c r="B1594" s="15" t="str">
        <f t="shared" si="518"/>
        <v>TERC_OPER__0_0</v>
      </c>
      <c r="C1594" s="83"/>
      <c r="D1594" s="15">
        <f t="shared" si="519"/>
        <v>0</v>
      </c>
      <c r="E1594" s="15">
        <v>25</v>
      </c>
      <c r="F1594" s="190">
        <f t="shared" si="526"/>
        <v>0</v>
      </c>
      <c r="G1594" s="149" t="str">
        <f t="shared" si="526"/>
        <v/>
      </c>
      <c r="H1594" s="150" t="str">
        <f t="shared" si="526"/>
        <v/>
      </c>
      <c r="I1594" s="150">
        <f t="shared" si="526"/>
        <v>0</v>
      </c>
      <c r="J1594" s="150">
        <f t="shared" si="526"/>
        <v>0</v>
      </c>
      <c r="K1594" s="196"/>
      <c r="L1594" s="197"/>
      <c r="M1594" s="191">
        <f t="shared" si="527"/>
        <v>0</v>
      </c>
      <c r="N1594" s="150">
        <f t="shared" si="527"/>
        <v>0</v>
      </c>
      <c r="O1594" s="193">
        <f t="shared" si="527"/>
        <v>0</v>
      </c>
      <c r="P1594" s="162">
        <f t="shared" si="529"/>
        <v>0</v>
      </c>
      <c r="Q1594" s="162">
        <f t="shared" si="529"/>
        <v>0</v>
      </c>
      <c r="R1594" s="162">
        <f t="shared" si="529"/>
        <v>0</v>
      </c>
      <c r="S1594" s="162">
        <f t="shared" si="529"/>
        <v>0</v>
      </c>
      <c r="T1594" s="162">
        <f t="shared" si="529"/>
        <v>0</v>
      </c>
      <c r="U1594" s="162">
        <f t="shared" si="529"/>
        <v>0</v>
      </c>
      <c r="V1594" s="162">
        <f t="shared" si="529"/>
        <v>0</v>
      </c>
      <c r="W1594" s="162">
        <f t="shared" si="529"/>
        <v>0</v>
      </c>
      <c r="X1594" s="162">
        <f t="shared" si="529"/>
        <v>0</v>
      </c>
      <c r="Y1594" s="162">
        <f t="shared" si="529"/>
        <v>0</v>
      </c>
      <c r="Z1594" s="162">
        <f t="shared" si="529"/>
        <v>0</v>
      </c>
      <c r="AA1594" s="162">
        <f t="shared" si="529"/>
        <v>0</v>
      </c>
      <c r="AB1594" s="163">
        <f t="shared" si="522"/>
        <v>0</v>
      </c>
      <c r="AC1594" s="198"/>
    </row>
    <row r="1595" spans="1:29" hidden="1" outlineLevel="1" x14ac:dyDescent="0.25">
      <c r="A1595" s="14" t="str">
        <f t="shared" si="528"/>
        <v>TERC_OPER__26</v>
      </c>
      <c r="B1595" s="15" t="str">
        <f t="shared" si="518"/>
        <v>TERC_OPER__0_0</v>
      </c>
      <c r="C1595" s="83"/>
      <c r="D1595" s="15">
        <f t="shared" si="519"/>
        <v>0</v>
      </c>
      <c r="E1595" s="15">
        <v>26</v>
      </c>
      <c r="F1595" s="190">
        <f t="shared" si="526"/>
        <v>0</v>
      </c>
      <c r="G1595" s="149" t="str">
        <f t="shared" si="526"/>
        <v/>
      </c>
      <c r="H1595" s="150" t="str">
        <f t="shared" si="526"/>
        <v/>
      </c>
      <c r="I1595" s="150">
        <f t="shared" si="526"/>
        <v>0</v>
      </c>
      <c r="J1595" s="150">
        <f t="shared" si="526"/>
        <v>0</v>
      </c>
      <c r="K1595" s="196"/>
      <c r="L1595" s="197"/>
      <c r="M1595" s="191">
        <f t="shared" si="527"/>
        <v>0</v>
      </c>
      <c r="N1595" s="150">
        <f t="shared" si="527"/>
        <v>0</v>
      </c>
      <c r="O1595" s="193">
        <f t="shared" si="527"/>
        <v>0</v>
      </c>
      <c r="P1595" s="162">
        <f t="shared" si="529"/>
        <v>0</v>
      </c>
      <c r="Q1595" s="162">
        <f t="shared" si="529"/>
        <v>0</v>
      </c>
      <c r="R1595" s="162">
        <f t="shared" si="529"/>
        <v>0</v>
      </c>
      <c r="S1595" s="162">
        <f t="shared" si="529"/>
        <v>0</v>
      </c>
      <c r="T1595" s="162">
        <f t="shared" si="529"/>
        <v>0</v>
      </c>
      <c r="U1595" s="162">
        <f t="shared" si="529"/>
        <v>0</v>
      </c>
      <c r="V1595" s="162">
        <f t="shared" si="529"/>
        <v>0</v>
      </c>
      <c r="W1595" s="162">
        <f t="shared" si="529"/>
        <v>0</v>
      </c>
      <c r="X1595" s="162">
        <f t="shared" si="529"/>
        <v>0</v>
      </c>
      <c r="Y1595" s="162">
        <f t="shared" si="529"/>
        <v>0</v>
      </c>
      <c r="Z1595" s="162">
        <f t="shared" si="529"/>
        <v>0</v>
      </c>
      <c r="AA1595" s="162">
        <f t="shared" si="529"/>
        <v>0</v>
      </c>
      <c r="AB1595" s="163">
        <f t="shared" si="522"/>
        <v>0</v>
      </c>
      <c r="AC1595" s="198"/>
    </row>
    <row r="1596" spans="1:29" hidden="1" outlineLevel="1" x14ac:dyDescent="0.25">
      <c r="A1596" s="14" t="str">
        <f t="shared" si="528"/>
        <v>TERC_OPER__27</v>
      </c>
      <c r="B1596" s="15" t="str">
        <f t="shared" si="518"/>
        <v>TERC_OPER__0_0</v>
      </c>
      <c r="C1596" s="83"/>
      <c r="D1596" s="15">
        <f t="shared" si="519"/>
        <v>0</v>
      </c>
      <c r="E1596" s="15">
        <v>27</v>
      </c>
      <c r="F1596" s="190">
        <f t="shared" si="526"/>
        <v>0</v>
      </c>
      <c r="G1596" s="149" t="str">
        <f t="shared" si="526"/>
        <v/>
      </c>
      <c r="H1596" s="150" t="str">
        <f t="shared" si="526"/>
        <v/>
      </c>
      <c r="I1596" s="150">
        <f t="shared" si="526"/>
        <v>0</v>
      </c>
      <c r="J1596" s="150">
        <f t="shared" si="526"/>
        <v>0</v>
      </c>
      <c r="K1596" s="196"/>
      <c r="L1596" s="197"/>
      <c r="M1596" s="191">
        <f t="shared" si="527"/>
        <v>0</v>
      </c>
      <c r="N1596" s="150">
        <f t="shared" si="527"/>
        <v>0</v>
      </c>
      <c r="O1596" s="193">
        <f t="shared" si="527"/>
        <v>0</v>
      </c>
      <c r="P1596" s="162">
        <f t="shared" si="529"/>
        <v>0</v>
      </c>
      <c r="Q1596" s="162">
        <f t="shared" si="529"/>
        <v>0</v>
      </c>
      <c r="R1596" s="162">
        <f t="shared" si="529"/>
        <v>0</v>
      </c>
      <c r="S1596" s="162">
        <f t="shared" si="529"/>
        <v>0</v>
      </c>
      <c r="T1596" s="162">
        <f t="shared" si="529"/>
        <v>0</v>
      </c>
      <c r="U1596" s="162">
        <f t="shared" si="529"/>
        <v>0</v>
      </c>
      <c r="V1596" s="162">
        <f t="shared" si="529"/>
        <v>0</v>
      </c>
      <c r="W1596" s="162">
        <f t="shared" si="529"/>
        <v>0</v>
      </c>
      <c r="X1596" s="162">
        <f t="shared" si="529"/>
        <v>0</v>
      </c>
      <c r="Y1596" s="162">
        <f t="shared" si="529"/>
        <v>0</v>
      </c>
      <c r="Z1596" s="162">
        <f t="shared" si="529"/>
        <v>0</v>
      </c>
      <c r="AA1596" s="162">
        <f t="shared" si="529"/>
        <v>0</v>
      </c>
      <c r="AB1596" s="163">
        <f t="shared" si="522"/>
        <v>0</v>
      </c>
      <c r="AC1596" s="198"/>
    </row>
    <row r="1597" spans="1:29" hidden="1" outlineLevel="1" x14ac:dyDescent="0.25">
      <c r="A1597" s="14" t="str">
        <f t="shared" si="528"/>
        <v>TERC_OPER__28</v>
      </c>
      <c r="B1597" s="15" t="str">
        <f t="shared" si="518"/>
        <v>TERC_OPER__0_0</v>
      </c>
      <c r="C1597" s="83"/>
      <c r="D1597" s="15">
        <f t="shared" si="519"/>
        <v>0</v>
      </c>
      <c r="E1597" s="15">
        <v>28</v>
      </c>
      <c r="F1597" s="190">
        <f t="shared" si="526"/>
        <v>0</v>
      </c>
      <c r="G1597" s="149" t="str">
        <f t="shared" si="526"/>
        <v/>
      </c>
      <c r="H1597" s="150" t="str">
        <f t="shared" si="526"/>
        <v/>
      </c>
      <c r="I1597" s="150">
        <f t="shared" si="526"/>
        <v>0</v>
      </c>
      <c r="J1597" s="150">
        <f t="shared" si="526"/>
        <v>0</v>
      </c>
      <c r="K1597" s="196"/>
      <c r="L1597" s="197"/>
      <c r="M1597" s="191">
        <f t="shared" si="527"/>
        <v>0</v>
      </c>
      <c r="N1597" s="150">
        <f t="shared" si="527"/>
        <v>0</v>
      </c>
      <c r="O1597" s="193">
        <f t="shared" si="527"/>
        <v>0</v>
      </c>
      <c r="P1597" s="162">
        <f t="shared" si="529"/>
        <v>0</v>
      </c>
      <c r="Q1597" s="162">
        <f t="shared" si="529"/>
        <v>0</v>
      </c>
      <c r="R1597" s="162">
        <f t="shared" si="529"/>
        <v>0</v>
      </c>
      <c r="S1597" s="162">
        <f t="shared" si="529"/>
        <v>0</v>
      </c>
      <c r="T1597" s="162">
        <f t="shared" si="529"/>
        <v>0</v>
      </c>
      <c r="U1597" s="162">
        <f t="shared" si="529"/>
        <v>0</v>
      </c>
      <c r="V1597" s="162">
        <f t="shared" si="529"/>
        <v>0</v>
      </c>
      <c r="W1597" s="162">
        <f t="shared" si="529"/>
        <v>0</v>
      </c>
      <c r="X1597" s="162">
        <f t="shared" si="529"/>
        <v>0</v>
      </c>
      <c r="Y1597" s="162">
        <f t="shared" si="529"/>
        <v>0</v>
      </c>
      <c r="Z1597" s="162">
        <f t="shared" si="529"/>
        <v>0</v>
      </c>
      <c r="AA1597" s="162">
        <f t="shared" si="529"/>
        <v>0</v>
      </c>
      <c r="AB1597" s="163">
        <f t="shared" si="522"/>
        <v>0</v>
      </c>
      <c r="AC1597" s="198"/>
    </row>
    <row r="1598" spans="1:29" hidden="1" outlineLevel="1" x14ac:dyDescent="0.25">
      <c r="A1598" s="14" t="str">
        <f t="shared" si="528"/>
        <v>TERC_OPER__29</v>
      </c>
      <c r="B1598" s="15" t="str">
        <f t="shared" si="518"/>
        <v>TERC_OPER__0_0</v>
      </c>
      <c r="C1598" s="83"/>
      <c r="D1598" s="15">
        <f t="shared" si="519"/>
        <v>0</v>
      </c>
      <c r="E1598" s="15">
        <v>29</v>
      </c>
      <c r="F1598" s="190">
        <f t="shared" si="526"/>
        <v>0</v>
      </c>
      <c r="G1598" s="149" t="str">
        <f t="shared" si="526"/>
        <v/>
      </c>
      <c r="H1598" s="150" t="str">
        <f t="shared" si="526"/>
        <v/>
      </c>
      <c r="I1598" s="150">
        <f t="shared" si="526"/>
        <v>0</v>
      </c>
      <c r="J1598" s="150">
        <f t="shared" si="526"/>
        <v>0</v>
      </c>
      <c r="K1598" s="196"/>
      <c r="L1598" s="197"/>
      <c r="M1598" s="191">
        <f t="shared" si="527"/>
        <v>0</v>
      </c>
      <c r="N1598" s="150">
        <f t="shared" si="527"/>
        <v>0</v>
      </c>
      <c r="O1598" s="193">
        <f t="shared" si="527"/>
        <v>0</v>
      </c>
      <c r="P1598" s="162">
        <f t="shared" si="529"/>
        <v>0</v>
      </c>
      <c r="Q1598" s="162">
        <f t="shared" si="529"/>
        <v>0</v>
      </c>
      <c r="R1598" s="162">
        <f t="shared" si="529"/>
        <v>0</v>
      </c>
      <c r="S1598" s="162">
        <f t="shared" si="529"/>
        <v>0</v>
      </c>
      <c r="T1598" s="162">
        <f t="shared" si="529"/>
        <v>0</v>
      </c>
      <c r="U1598" s="162">
        <f t="shared" si="529"/>
        <v>0</v>
      </c>
      <c r="V1598" s="162">
        <f t="shared" si="529"/>
        <v>0</v>
      </c>
      <c r="W1598" s="162">
        <f t="shared" si="529"/>
        <v>0</v>
      </c>
      <c r="X1598" s="162">
        <f t="shared" si="529"/>
        <v>0</v>
      </c>
      <c r="Y1598" s="162">
        <f t="shared" si="529"/>
        <v>0</v>
      </c>
      <c r="Z1598" s="162">
        <f t="shared" si="529"/>
        <v>0</v>
      </c>
      <c r="AA1598" s="162">
        <f t="shared" si="529"/>
        <v>0</v>
      </c>
      <c r="AB1598" s="163">
        <f t="shared" si="522"/>
        <v>0</v>
      </c>
      <c r="AC1598" s="198"/>
    </row>
    <row r="1599" spans="1:29" hidden="1" outlineLevel="1" x14ac:dyDescent="0.25">
      <c r="A1599" s="14" t="str">
        <f t="shared" si="528"/>
        <v>TERC_OPER__30</v>
      </c>
      <c r="B1599" s="15" t="str">
        <f t="shared" si="518"/>
        <v>TERC_OPER__0_0</v>
      </c>
      <c r="C1599" s="83"/>
      <c r="D1599" s="15">
        <f t="shared" si="519"/>
        <v>0</v>
      </c>
      <c r="E1599" s="15">
        <v>30</v>
      </c>
      <c r="F1599" s="190">
        <f t="shared" si="526"/>
        <v>0</v>
      </c>
      <c r="G1599" s="149" t="str">
        <f t="shared" si="526"/>
        <v/>
      </c>
      <c r="H1599" s="150" t="str">
        <f t="shared" si="526"/>
        <v/>
      </c>
      <c r="I1599" s="150">
        <f t="shared" si="526"/>
        <v>0</v>
      </c>
      <c r="J1599" s="150">
        <f t="shared" si="526"/>
        <v>0</v>
      </c>
      <c r="K1599" s="196"/>
      <c r="L1599" s="197"/>
      <c r="M1599" s="191">
        <f t="shared" si="527"/>
        <v>0</v>
      </c>
      <c r="N1599" s="150">
        <f t="shared" si="527"/>
        <v>0</v>
      </c>
      <c r="O1599" s="193">
        <f t="shared" si="527"/>
        <v>0</v>
      </c>
      <c r="P1599" s="162">
        <f t="shared" si="529"/>
        <v>0</v>
      </c>
      <c r="Q1599" s="162">
        <f t="shared" si="529"/>
        <v>0</v>
      </c>
      <c r="R1599" s="162">
        <f t="shared" si="529"/>
        <v>0</v>
      </c>
      <c r="S1599" s="162">
        <f t="shared" si="529"/>
        <v>0</v>
      </c>
      <c r="T1599" s="162">
        <f t="shared" si="529"/>
        <v>0</v>
      </c>
      <c r="U1599" s="162">
        <f t="shared" si="529"/>
        <v>0</v>
      </c>
      <c r="V1599" s="162">
        <f t="shared" si="529"/>
        <v>0</v>
      </c>
      <c r="W1599" s="162">
        <f t="shared" si="529"/>
        <v>0</v>
      </c>
      <c r="X1599" s="162">
        <f t="shared" si="529"/>
        <v>0</v>
      </c>
      <c r="Y1599" s="162">
        <f t="shared" si="529"/>
        <v>0</v>
      </c>
      <c r="Z1599" s="162">
        <f t="shared" si="529"/>
        <v>0</v>
      </c>
      <c r="AA1599" s="162">
        <f t="shared" si="529"/>
        <v>0</v>
      </c>
      <c r="AB1599" s="163">
        <f t="shared" si="522"/>
        <v>0</v>
      </c>
      <c r="AC1599" s="198"/>
    </row>
    <row r="1600" spans="1:29" hidden="1" outlineLevel="1" x14ac:dyDescent="0.25">
      <c r="A1600" s="14" t="str">
        <f t="shared" si="528"/>
        <v>TERC_OPER__31</v>
      </c>
      <c r="B1600" s="15" t="str">
        <f t="shared" si="518"/>
        <v>TERC_OPER__0_0</v>
      </c>
      <c r="C1600" s="83"/>
      <c r="D1600" s="15">
        <f t="shared" si="519"/>
        <v>0</v>
      </c>
      <c r="E1600" s="15">
        <v>31</v>
      </c>
      <c r="F1600" s="190">
        <f t="shared" si="526"/>
        <v>0</v>
      </c>
      <c r="G1600" s="149" t="str">
        <f t="shared" si="526"/>
        <v/>
      </c>
      <c r="H1600" s="150" t="str">
        <f t="shared" si="526"/>
        <v/>
      </c>
      <c r="I1600" s="150">
        <f t="shared" si="526"/>
        <v>0</v>
      </c>
      <c r="J1600" s="150">
        <f t="shared" si="526"/>
        <v>0</v>
      </c>
      <c r="K1600" s="196"/>
      <c r="L1600" s="197"/>
      <c r="M1600" s="191">
        <f t="shared" si="527"/>
        <v>0</v>
      </c>
      <c r="N1600" s="150">
        <f t="shared" si="527"/>
        <v>0</v>
      </c>
      <c r="O1600" s="193">
        <f t="shared" si="527"/>
        <v>0</v>
      </c>
      <c r="P1600" s="162">
        <f t="shared" si="529"/>
        <v>0</v>
      </c>
      <c r="Q1600" s="162">
        <f t="shared" si="529"/>
        <v>0</v>
      </c>
      <c r="R1600" s="162">
        <f t="shared" si="529"/>
        <v>0</v>
      </c>
      <c r="S1600" s="162">
        <f t="shared" si="529"/>
        <v>0</v>
      </c>
      <c r="T1600" s="162">
        <f t="shared" si="529"/>
        <v>0</v>
      </c>
      <c r="U1600" s="162">
        <f t="shared" si="529"/>
        <v>0</v>
      </c>
      <c r="V1600" s="162">
        <f t="shared" si="529"/>
        <v>0</v>
      </c>
      <c r="W1600" s="162">
        <f t="shared" si="529"/>
        <v>0</v>
      </c>
      <c r="X1600" s="162">
        <f t="shared" si="529"/>
        <v>0</v>
      </c>
      <c r="Y1600" s="162">
        <f t="shared" si="529"/>
        <v>0</v>
      </c>
      <c r="Z1600" s="162">
        <f t="shared" si="529"/>
        <v>0</v>
      </c>
      <c r="AA1600" s="162">
        <f t="shared" si="529"/>
        <v>0</v>
      </c>
      <c r="AB1600" s="163">
        <f t="shared" si="522"/>
        <v>0</v>
      </c>
      <c r="AC1600" s="198"/>
    </row>
    <row r="1601" spans="1:29" hidden="1" outlineLevel="1" x14ac:dyDescent="0.25">
      <c r="A1601" s="14" t="str">
        <f t="shared" si="528"/>
        <v>TERC_OPER__32</v>
      </c>
      <c r="B1601" s="15" t="str">
        <f t="shared" si="518"/>
        <v>TERC_OPER__0_0</v>
      </c>
      <c r="C1601" s="83"/>
      <c r="D1601" s="15">
        <f t="shared" si="519"/>
        <v>0</v>
      </c>
      <c r="E1601" s="15">
        <v>32</v>
      </c>
      <c r="F1601" s="190">
        <f t="shared" si="526"/>
        <v>0</v>
      </c>
      <c r="G1601" s="149" t="str">
        <f t="shared" si="526"/>
        <v/>
      </c>
      <c r="H1601" s="150" t="str">
        <f t="shared" si="526"/>
        <v/>
      </c>
      <c r="I1601" s="150">
        <f t="shared" si="526"/>
        <v>0</v>
      </c>
      <c r="J1601" s="150">
        <f t="shared" si="526"/>
        <v>0</v>
      </c>
      <c r="K1601" s="196"/>
      <c r="L1601" s="197"/>
      <c r="M1601" s="191">
        <f t="shared" si="527"/>
        <v>0</v>
      </c>
      <c r="N1601" s="150">
        <f t="shared" si="527"/>
        <v>0</v>
      </c>
      <c r="O1601" s="193">
        <f t="shared" si="527"/>
        <v>0</v>
      </c>
      <c r="P1601" s="162">
        <f t="shared" si="529"/>
        <v>0</v>
      </c>
      <c r="Q1601" s="162">
        <f t="shared" si="529"/>
        <v>0</v>
      </c>
      <c r="R1601" s="162">
        <f t="shared" si="529"/>
        <v>0</v>
      </c>
      <c r="S1601" s="162">
        <f t="shared" si="529"/>
        <v>0</v>
      </c>
      <c r="T1601" s="162">
        <f t="shared" si="529"/>
        <v>0</v>
      </c>
      <c r="U1601" s="162">
        <f t="shared" si="529"/>
        <v>0</v>
      </c>
      <c r="V1601" s="162">
        <f t="shared" si="529"/>
        <v>0</v>
      </c>
      <c r="W1601" s="162">
        <f t="shared" si="529"/>
        <v>0</v>
      </c>
      <c r="X1601" s="162">
        <f t="shared" si="529"/>
        <v>0</v>
      </c>
      <c r="Y1601" s="162">
        <f t="shared" si="529"/>
        <v>0</v>
      </c>
      <c r="Z1601" s="162">
        <f t="shared" si="529"/>
        <v>0</v>
      </c>
      <c r="AA1601" s="162">
        <f t="shared" si="529"/>
        <v>0</v>
      </c>
      <c r="AB1601" s="163">
        <f t="shared" si="522"/>
        <v>0</v>
      </c>
      <c r="AC1601" s="198"/>
    </row>
    <row r="1602" spans="1:29" hidden="1" outlineLevel="1" x14ac:dyDescent="0.25">
      <c r="A1602" s="14" t="str">
        <f t="shared" si="528"/>
        <v>TERC_OPER__33</v>
      </c>
      <c r="B1602" s="15" t="str">
        <f t="shared" si="518"/>
        <v>TERC_OPER__0_0</v>
      </c>
      <c r="C1602" s="83"/>
      <c r="D1602" s="15">
        <f t="shared" si="519"/>
        <v>0</v>
      </c>
      <c r="E1602" s="15">
        <v>33</v>
      </c>
      <c r="F1602" s="190">
        <f t="shared" ref="F1602:J1614" si="530">F1556</f>
        <v>0</v>
      </c>
      <c r="G1602" s="149" t="str">
        <f t="shared" si="530"/>
        <v/>
      </c>
      <c r="H1602" s="150" t="str">
        <f t="shared" si="530"/>
        <v/>
      </c>
      <c r="I1602" s="150">
        <f t="shared" si="530"/>
        <v>0</v>
      </c>
      <c r="J1602" s="150">
        <f t="shared" si="530"/>
        <v>0</v>
      </c>
      <c r="K1602" s="196"/>
      <c r="L1602" s="197"/>
      <c r="M1602" s="191">
        <f t="shared" ref="M1602:O1614" si="531">M1556</f>
        <v>0</v>
      </c>
      <c r="N1602" s="150">
        <f t="shared" si="531"/>
        <v>0</v>
      </c>
      <c r="O1602" s="193">
        <f t="shared" si="531"/>
        <v>0</v>
      </c>
      <c r="P1602" s="162">
        <f t="shared" si="529"/>
        <v>0</v>
      </c>
      <c r="Q1602" s="162">
        <f t="shared" si="529"/>
        <v>0</v>
      </c>
      <c r="R1602" s="162">
        <f t="shared" si="529"/>
        <v>0</v>
      </c>
      <c r="S1602" s="162">
        <f t="shared" si="529"/>
        <v>0</v>
      </c>
      <c r="T1602" s="162">
        <f t="shared" si="529"/>
        <v>0</v>
      </c>
      <c r="U1602" s="162">
        <f t="shared" si="529"/>
        <v>0</v>
      </c>
      <c r="V1602" s="162">
        <f t="shared" si="529"/>
        <v>0</v>
      </c>
      <c r="W1602" s="162">
        <f t="shared" si="529"/>
        <v>0</v>
      </c>
      <c r="X1602" s="162">
        <f t="shared" si="529"/>
        <v>0</v>
      </c>
      <c r="Y1602" s="162">
        <f t="shared" si="529"/>
        <v>0</v>
      </c>
      <c r="Z1602" s="162">
        <f t="shared" si="529"/>
        <v>0</v>
      </c>
      <c r="AA1602" s="162">
        <f t="shared" si="529"/>
        <v>0</v>
      </c>
      <c r="AB1602" s="163">
        <f t="shared" si="522"/>
        <v>0</v>
      </c>
      <c r="AC1602" s="198"/>
    </row>
    <row r="1603" spans="1:29" hidden="1" outlineLevel="1" x14ac:dyDescent="0.25">
      <c r="A1603" s="14" t="str">
        <f t="shared" si="528"/>
        <v>TERC_OPER__34</v>
      </c>
      <c r="B1603" s="15" t="str">
        <f t="shared" si="518"/>
        <v>TERC_OPER__0_0</v>
      </c>
      <c r="C1603" s="83"/>
      <c r="D1603" s="15">
        <f t="shared" si="519"/>
        <v>0</v>
      </c>
      <c r="E1603" s="15">
        <v>34</v>
      </c>
      <c r="F1603" s="190">
        <f t="shared" si="530"/>
        <v>0</v>
      </c>
      <c r="G1603" s="149" t="str">
        <f t="shared" si="530"/>
        <v/>
      </c>
      <c r="H1603" s="150" t="str">
        <f t="shared" si="530"/>
        <v/>
      </c>
      <c r="I1603" s="150">
        <f t="shared" si="530"/>
        <v>0</v>
      </c>
      <c r="J1603" s="150">
        <f t="shared" si="530"/>
        <v>0</v>
      </c>
      <c r="K1603" s="196"/>
      <c r="L1603" s="197"/>
      <c r="M1603" s="191">
        <f t="shared" si="531"/>
        <v>0</v>
      </c>
      <c r="N1603" s="150">
        <f t="shared" si="531"/>
        <v>0</v>
      </c>
      <c r="O1603" s="193">
        <f t="shared" si="531"/>
        <v>0</v>
      </c>
      <c r="P1603" s="162">
        <f t="shared" si="529"/>
        <v>0</v>
      </c>
      <c r="Q1603" s="162">
        <f t="shared" si="529"/>
        <v>0</v>
      </c>
      <c r="R1603" s="162">
        <f t="shared" si="529"/>
        <v>0</v>
      </c>
      <c r="S1603" s="162">
        <f t="shared" si="529"/>
        <v>0</v>
      </c>
      <c r="T1603" s="162">
        <f t="shared" si="529"/>
        <v>0</v>
      </c>
      <c r="U1603" s="162">
        <f t="shared" si="529"/>
        <v>0</v>
      </c>
      <c r="V1603" s="162">
        <f t="shared" si="529"/>
        <v>0</v>
      </c>
      <c r="W1603" s="162">
        <f t="shared" si="529"/>
        <v>0</v>
      </c>
      <c r="X1603" s="162">
        <f t="shared" si="529"/>
        <v>0</v>
      </c>
      <c r="Y1603" s="162">
        <f t="shared" si="529"/>
        <v>0</v>
      </c>
      <c r="Z1603" s="162">
        <f t="shared" si="529"/>
        <v>0</v>
      </c>
      <c r="AA1603" s="162">
        <f t="shared" si="529"/>
        <v>0</v>
      </c>
      <c r="AB1603" s="163">
        <f t="shared" si="522"/>
        <v>0</v>
      </c>
      <c r="AC1603" s="198"/>
    </row>
    <row r="1604" spans="1:29" hidden="1" outlineLevel="1" x14ac:dyDescent="0.25">
      <c r="A1604" s="14" t="str">
        <f t="shared" si="528"/>
        <v>TERC_OPER__35</v>
      </c>
      <c r="B1604" s="15" t="str">
        <f t="shared" si="518"/>
        <v>TERC_OPER__0_0</v>
      </c>
      <c r="C1604" s="83"/>
      <c r="D1604" s="15">
        <f t="shared" si="519"/>
        <v>0</v>
      </c>
      <c r="E1604" s="15">
        <v>35</v>
      </c>
      <c r="F1604" s="190">
        <f t="shared" si="530"/>
        <v>0</v>
      </c>
      <c r="G1604" s="149" t="str">
        <f t="shared" si="530"/>
        <v/>
      </c>
      <c r="H1604" s="150" t="str">
        <f t="shared" si="530"/>
        <v/>
      </c>
      <c r="I1604" s="150">
        <f t="shared" si="530"/>
        <v>0</v>
      </c>
      <c r="J1604" s="150">
        <f t="shared" si="530"/>
        <v>0</v>
      </c>
      <c r="K1604" s="196"/>
      <c r="L1604" s="197"/>
      <c r="M1604" s="191">
        <f t="shared" si="531"/>
        <v>0</v>
      </c>
      <c r="N1604" s="150">
        <f t="shared" si="531"/>
        <v>0</v>
      </c>
      <c r="O1604" s="193">
        <f t="shared" si="531"/>
        <v>0</v>
      </c>
      <c r="P1604" s="162">
        <f t="shared" si="529"/>
        <v>0</v>
      </c>
      <c r="Q1604" s="162">
        <f t="shared" si="529"/>
        <v>0</v>
      </c>
      <c r="R1604" s="162">
        <f t="shared" si="529"/>
        <v>0</v>
      </c>
      <c r="S1604" s="162">
        <f t="shared" si="529"/>
        <v>0</v>
      </c>
      <c r="T1604" s="162">
        <f t="shared" si="529"/>
        <v>0</v>
      </c>
      <c r="U1604" s="162">
        <f t="shared" si="529"/>
        <v>0</v>
      </c>
      <c r="V1604" s="162">
        <f t="shared" si="529"/>
        <v>0</v>
      </c>
      <c r="W1604" s="162">
        <f t="shared" si="529"/>
        <v>0</v>
      </c>
      <c r="X1604" s="162">
        <f t="shared" si="529"/>
        <v>0</v>
      </c>
      <c r="Y1604" s="162">
        <f t="shared" si="529"/>
        <v>0</v>
      </c>
      <c r="Z1604" s="162">
        <f t="shared" si="529"/>
        <v>0</v>
      </c>
      <c r="AA1604" s="162">
        <f t="shared" si="529"/>
        <v>0</v>
      </c>
      <c r="AB1604" s="163">
        <f t="shared" si="522"/>
        <v>0</v>
      </c>
      <c r="AC1604" s="198"/>
    </row>
    <row r="1605" spans="1:29" hidden="1" outlineLevel="1" x14ac:dyDescent="0.25">
      <c r="A1605" s="14" t="str">
        <f t="shared" si="528"/>
        <v>TERC_OPER__36</v>
      </c>
      <c r="B1605" s="15" t="str">
        <f t="shared" si="518"/>
        <v>TERC_OPER__0_0</v>
      </c>
      <c r="C1605" s="83"/>
      <c r="D1605" s="15">
        <f t="shared" si="519"/>
        <v>0</v>
      </c>
      <c r="E1605" s="15">
        <v>36</v>
      </c>
      <c r="F1605" s="190">
        <f t="shared" si="530"/>
        <v>0</v>
      </c>
      <c r="G1605" s="149" t="str">
        <f t="shared" si="530"/>
        <v/>
      </c>
      <c r="H1605" s="150" t="str">
        <f t="shared" si="530"/>
        <v/>
      </c>
      <c r="I1605" s="150">
        <f t="shared" si="530"/>
        <v>0</v>
      </c>
      <c r="J1605" s="150">
        <f t="shared" si="530"/>
        <v>0</v>
      </c>
      <c r="K1605" s="196"/>
      <c r="L1605" s="197"/>
      <c r="M1605" s="191">
        <f t="shared" si="531"/>
        <v>0</v>
      </c>
      <c r="N1605" s="150">
        <f t="shared" si="531"/>
        <v>0</v>
      </c>
      <c r="O1605" s="193">
        <f t="shared" si="531"/>
        <v>0</v>
      </c>
      <c r="P1605" s="162">
        <f t="shared" si="529"/>
        <v>0</v>
      </c>
      <c r="Q1605" s="162">
        <f t="shared" si="529"/>
        <v>0</v>
      </c>
      <c r="R1605" s="162">
        <f t="shared" si="529"/>
        <v>0</v>
      </c>
      <c r="S1605" s="162">
        <f t="shared" si="529"/>
        <v>0</v>
      </c>
      <c r="T1605" s="162">
        <f t="shared" si="529"/>
        <v>0</v>
      </c>
      <c r="U1605" s="162">
        <f t="shared" si="529"/>
        <v>0</v>
      </c>
      <c r="V1605" s="162">
        <f t="shared" si="529"/>
        <v>0</v>
      </c>
      <c r="W1605" s="162">
        <f t="shared" si="529"/>
        <v>0</v>
      </c>
      <c r="X1605" s="162">
        <f t="shared" si="529"/>
        <v>0</v>
      </c>
      <c r="Y1605" s="162">
        <f t="shared" si="529"/>
        <v>0</v>
      </c>
      <c r="Z1605" s="162">
        <f t="shared" si="529"/>
        <v>0</v>
      </c>
      <c r="AA1605" s="162">
        <f t="shared" si="529"/>
        <v>0</v>
      </c>
      <c r="AB1605" s="163">
        <f t="shared" si="522"/>
        <v>0</v>
      </c>
      <c r="AC1605" s="198"/>
    </row>
    <row r="1606" spans="1:29" hidden="1" outlineLevel="1" x14ac:dyDescent="0.25">
      <c r="A1606" s="14" t="str">
        <f t="shared" si="528"/>
        <v>TERC_OPER__37</v>
      </c>
      <c r="B1606" s="15" t="str">
        <f t="shared" si="518"/>
        <v>TERC_OPER__0_0</v>
      </c>
      <c r="C1606" s="83"/>
      <c r="D1606" s="15">
        <f t="shared" si="519"/>
        <v>0</v>
      </c>
      <c r="E1606" s="15">
        <v>37</v>
      </c>
      <c r="F1606" s="190">
        <f t="shared" si="530"/>
        <v>0</v>
      </c>
      <c r="G1606" s="149" t="str">
        <f t="shared" si="530"/>
        <v/>
      </c>
      <c r="H1606" s="150" t="str">
        <f t="shared" si="530"/>
        <v/>
      </c>
      <c r="I1606" s="150">
        <f t="shared" si="530"/>
        <v>0</v>
      </c>
      <c r="J1606" s="150">
        <f t="shared" si="530"/>
        <v>0</v>
      </c>
      <c r="K1606" s="196"/>
      <c r="L1606" s="197"/>
      <c r="M1606" s="191">
        <f t="shared" si="531"/>
        <v>0</v>
      </c>
      <c r="N1606" s="150">
        <f t="shared" si="531"/>
        <v>0</v>
      </c>
      <c r="O1606" s="193">
        <f t="shared" si="531"/>
        <v>0</v>
      </c>
      <c r="P1606" s="162">
        <f t="shared" si="529"/>
        <v>0</v>
      </c>
      <c r="Q1606" s="162">
        <f t="shared" si="529"/>
        <v>0</v>
      </c>
      <c r="R1606" s="162">
        <f t="shared" si="529"/>
        <v>0</v>
      </c>
      <c r="S1606" s="162">
        <f t="shared" si="529"/>
        <v>0</v>
      </c>
      <c r="T1606" s="162">
        <f t="shared" si="529"/>
        <v>0</v>
      </c>
      <c r="U1606" s="162">
        <f t="shared" si="529"/>
        <v>0</v>
      </c>
      <c r="V1606" s="162">
        <f t="shared" si="529"/>
        <v>0</v>
      </c>
      <c r="W1606" s="162">
        <f t="shared" si="529"/>
        <v>0</v>
      </c>
      <c r="X1606" s="162">
        <f t="shared" si="529"/>
        <v>0</v>
      </c>
      <c r="Y1606" s="162">
        <f t="shared" si="529"/>
        <v>0</v>
      </c>
      <c r="Z1606" s="162">
        <f t="shared" si="529"/>
        <v>0</v>
      </c>
      <c r="AA1606" s="162">
        <f t="shared" si="529"/>
        <v>0</v>
      </c>
      <c r="AB1606" s="163">
        <f t="shared" si="522"/>
        <v>0</v>
      </c>
      <c r="AC1606" s="198"/>
    </row>
    <row r="1607" spans="1:29" hidden="1" outlineLevel="1" x14ac:dyDescent="0.25">
      <c r="A1607" s="14" t="str">
        <f t="shared" si="528"/>
        <v>TERC_OPER__38</v>
      </c>
      <c r="B1607" s="15" t="str">
        <f t="shared" si="518"/>
        <v>TERC_OPER__0_0</v>
      </c>
      <c r="C1607" s="83"/>
      <c r="D1607" s="15">
        <f t="shared" si="519"/>
        <v>0</v>
      </c>
      <c r="E1607" s="15">
        <v>38</v>
      </c>
      <c r="F1607" s="190">
        <f t="shared" si="530"/>
        <v>0</v>
      </c>
      <c r="G1607" s="149" t="str">
        <f t="shared" si="530"/>
        <v/>
      </c>
      <c r="H1607" s="150" t="str">
        <f t="shared" si="530"/>
        <v/>
      </c>
      <c r="I1607" s="150">
        <f t="shared" si="530"/>
        <v>0</v>
      </c>
      <c r="J1607" s="150">
        <f t="shared" si="530"/>
        <v>0</v>
      </c>
      <c r="K1607" s="196"/>
      <c r="L1607" s="197"/>
      <c r="M1607" s="191">
        <f t="shared" si="531"/>
        <v>0</v>
      </c>
      <c r="N1607" s="150">
        <f t="shared" si="531"/>
        <v>0</v>
      </c>
      <c r="O1607" s="193">
        <f t="shared" si="531"/>
        <v>0</v>
      </c>
      <c r="P1607" s="162">
        <f t="shared" ref="P1607:AA1614" si="532">IFERROR(SUMIF($B$1351:$B$1378,$C1607&amp;$I1607,P$1351:P$1378)/SUMIF($D$1351:$D$1378,$I1607,P$1351:P$1378)*P1419,0)</f>
        <v>0</v>
      </c>
      <c r="Q1607" s="162">
        <f t="shared" si="532"/>
        <v>0</v>
      </c>
      <c r="R1607" s="162">
        <f t="shared" si="532"/>
        <v>0</v>
      </c>
      <c r="S1607" s="162">
        <f t="shared" si="532"/>
        <v>0</v>
      </c>
      <c r="T1607" s="162">
        <f t="shared" si="532"/>
        <v>0</v>
      </c>
      <c r="U1607" s="162">
        <f t="shared" si="532"/>
        <v>0</v>
      </c>
      <c r="V1607" s="162">
        <f t="shared" si="532"/>
        <v>0</v>
      </c>
      <c r="W1607" s="162">
        <f t="shared" si="532"/>
        <v>0</v>
      </c>
      <c r="X1607" s="162">
        <f t="shared" si="532"/>
        <v>0</v>
      </c>
      <c r="Y1607" s="162">
        <f t="shared" si="532"/>
        <v>0</v>
      </c>
      <c r="Z1607" s="162">
        <f t="shared" si="532"/>
        <v>0</v>
      </c>
      <c r="AA1607" s="162">
        <f t="shared" si="532"/>
        <v>0</v>
      </c>
      <c r="AB1607" s="163">
        <f t="shared" si="522"/>
        <v>0</v>
      </c>
      <c r="AC1607" s="198"/>
    </row>
    <row r="1608" spans="1:29" hidden="1" outlineLevel="1" x14ac:dyDescent="0.25">
      <c r="A1608" s="14" t="str">
        <f t="shared" si="528"/>
        <v>TERC_OPER__39</v>
      </c>
      <c r="B1608" s="15" t="str">
        <f t="shared" si="518"/>
        <v>TERC_OPER__0_0</v>
      </c>
      <c r="C1608" s="83"/>
      <c r="D1608" s="15">
        <f t="shared" si="519"/>
        <v>0</v>
      </c>
      <c r="E1608" s="15">
        <v>39</v>
      </c>
      <c r="F1608" s="190">
        <f t="shared" si="530"/>
        <v>0</v>
      </c>
      <c r="G1608" s="149" t="str">
        <f t="shared" si="530"/>
        <v/>
      </c>
      <c r="H1608" s="150" t="str">
        <f t="shared" si="530"/>
        <v/>
      </c>
      <c r="I1608" s="150">
        <f t="shared" si="530"/>
        <v>0</v>
      </c>
      <c r="J1608" s="150">
        <f t="shared" si="530"/>
        <v>0</v>
      </c>
      <c r="K1608" s="196"/>
      <c r="L1608" s="197"/>
      <c r="M1608" s="191">
        <f t="shared" si="531"/>
        <v>0</v>
      </c>
      <c r="N1608" s="150">
        <f t="shared" si="531"/>
        <v>0</v>
      </c>
      <c r="O1608" s="193">
        <f t="shared" si="531"/>
        <v>0</v>
      </c>
      <c r="P1608" s="162">
        <f t="shared" si="532"/>
        <v>0</v>
      </c>
      <c r="Q1608" s="162">
        <f t="shared" si="532"/>
        <v>0</v>
      </c>
      <c r="R1608" s="162">
        <f t="shared" si="532"/>
        <v>0</v>
      </c>
      <c r="S1608" s="162">
        <f t="shared" si="532"/>
        <v>0</v>
      </c>
      <c r="T1608" s="162">
        <f t="shared" si="532"/>
        <v>0</v>
      </c>
      <c r="U1608" s="162">
        <f t="shared" si="532"/>
        <v>0</v>
      </c>
      <c r="V1608" s="162">
        <f t="shared" si="532"/>
        <v>0</v>
      </c>
      <c r="W1608" s="162">
        <f t="shared" si="532"/>
        <v>0</v>
      </c>
      <c r="X1608" s="162">
        <f t="shared" si="532"/>
        <v>0</v>
      </c>
      <c r="Y1608" s="162">
        <f t="shared" si="532"/>
        <v>0</v>
      </c>
      <c r="Z1608" s="162">
        <f t="shared" si="532"/>
        <v>0</v>
      </c>
      <c r="AA1608" s="162">
        <f t="shared" si="532"/>
        <v>0</v>
      </c>
      <c r="AB1608" s="163">
        <f t="shared" si="522"/>
        <v>0</v>
      </c>
      <c r="AC1608" s="198"/>
    </row>
    <row r="1609" spans="1:29" hidden="1" outlineLevel="1" x14ac:dyDescent="0.25">
      <c r="A1609" s="14" t="str">
        <f t="shared" si="528"/>
        <v>TERC_OPER__40</v>
      </c>
      <c r="B1609" s="15" t="str">
        <f t="shared" si="518"/>
        <v>TERC_OPER__0_0</v>
      </c>
      <c r="C1609" s="83"/>
      <c r="D1609" s="15">
        <f t="shared" si="519"/>
        <v>0</v>
      </c>
      <c r="E1609" s="15">
        <v>40</v>
      </c>
      <c r="F1609" s="190">
        <f t="shared" si="530"/>
        <v>0</v>
      </c>
      <c r="G1609" s="149" t="str">
        <f t="shared" si="530"/>
        <v/>
      </c>
      <c r="H1609" s="150" t="str">
        <f t="shared" si="530"/>
        <v/>
      </c>
      <c r="I1609" s="150">
        <f t="shared" si="530"/>
        <v>0</v>
      </c>
      <c r="J1609" s="150">
        <f t="shared" si="530"/>
        <v>0</v>
      </c>
      <c r="K1609" s="196"/>
      <c r="L1609" s="197"/>
      <c r="M1609" s="191">
        <f t="shared" si="531"/>
        <v>0</v>
      </c>
      <c r="N1609" s="150">
        <f t="shared" si="531"/>
        <v>0</v>
      </c>
      <c r="O1609" s="193">
        <f t="shared" si="531"/>
        <v>0</v>
      </c>
      <c r="P1609" s="162">
        <f t="shared" si="532"/>
        <v>0</v>
      </c>
      <c r="Q1609" s="162">
        <f t="shared" si="532"/>
        <v>0</v>
      </c>
      <c r="R1609" s="162">
        <f t="shared" si="532"/>
        <v>0</v>
      </c>
      <c r="S1609" s="162">
        <f t="shared" si="532"/>
        <v>0</v>
      </c>
      <c r="T1609" s="162">
        <f t="shared" si="532"/>
        <v>0</v>
      </c>
      <c r="U1609" s="162">
        <f t="shared" si="532"/>
        <v>0</v>
      </c>
      <c r="V1609" s="162">
        <f t="shared" si="532"/>
        <v>0</v>
      </c>
      <c r="W1609" s="162">
        <f t="shared" si="532"/>
        <v>0</v>
      </c>
      <c r="X1609" s="162">
        <f t="shared" si="532"/>
        <v>0</v>
      </c>
      <c r="Y1609" s="162">
        <f t="shared" si="532"/>
        <v>0</v>
      </c>
      <c r="Z1609" s="162">
        <f t="shared" si="532"/>
        <v>0</v>
      </c>
      <c r="AA1609" s="162">
        <f t="shared" si="532"/>
        <v>0</v>
      </c>
      <c r="AB1609" s="163">
        <f t="shared" si="522"/>
        <v>0</v>
      </c>
      <c r="AC1609" s="198"/>
    </row>
    <row r="1610" spans="1:29" hidden="1" outlineLevel="1" x14ac:dyDescent="0.25">
      <c r="A1610" s="14" t="str">
        <f t="shared" si="528"/>
        <v>TERC_OPER__41</v>
      </c>
      <c r="B1610" s="15" t="str">
        <f t="shared" si="518"/>
        <v>TERC_OPER__0_0</v>
      </c>
      <c r="C1610" s="83"/>
      <c r="D1610" s="15">
        <f t="shared" si="519"/>
        <v>0</v>
      </c>
      <c r="E1610" s="15">
        <v>41</v>
      </c>
      <c r="F1610" s="190">
        <f t="shared" si="530"/>
        <v>0</v>
      </c>
      <c r="G1610" s="149" t="str">
        <f t="shared" si="530"/>
        <v/>
      </c>
      <c r="H1610" s="150" t="str">
        <f t="shared" si="530"/>
        <v/>
      </c>
      <c r="I1610" s="150">
        <f t="shared" si="530"/>
        <v>0</v>
      </c>
      <c r="J1610" s="150">
        <f t="shared" si="530"/>
        <v>0</v>
      </c>
      <c r="K1610" s="196"/>
      <c r="L1610" s="197"/>
      <c r="M1610" s="191">
        <f t="shared" si="531"/>
        <v>0</v>
      </c>
      <c r="N1610" s="150">
        <f t="shared" si="531"/>
        <v>0</v>
      </c>
      <c r="O1610" s="193">
        <f t="shared" si="531"/>
        <v>0</v>
      </c>
      <c r="P1610" s="162">
        <f t="shared" si="532"/>
        <v>0</v>
      </c>
      <c r="Q1610" s="162">
        <f t="shared" si="532"/>
        <v>0</v>
      </c>
      <c r="R1610" s="162">
        <f t="shared" si="532"/>
        <v>0</v>
      </c>
      <c r="S1610" s="162">
        <f t="shared" si="532"/>
        <v>0</v>
      </c>
      <c r="T1610" s="162">
        <f t="shared" si="532"/>
        <v>0</v>
      </c>
      <c r="U1610" s="162">
        <f t="shared" si="532"/>
        <v>0</v>
      </c>
      <c r="V1610" s="162">
        <f t="shared" si="532"/>
        <v>0</v>
      </c>
      <c r="W1610" s="162">
        <f t="shared" si="532"/>
        <v>0</v>
      </c>
      <c r="X1610" s="162">
        <f t="shared" si="532"/>
        <v>0</v>
      </c>
      <c r="Y1610" s="162">
        <f t="shared" si="532"/>
        <v>0</v>
      </c>
      <c r="Z1610" s="162">
        <f t="shared" si="532"/>
        <v>0</v>
      </c>
      <c r="AA1610" s="162">
        <f t="shared" si="532"/>
        <v>0</v>
      </c>
      <c r="AB1610" s="163">
        <f t="shared" si="522"/>
        <v>0</v>
      </c>
      <c r="AC1610" s="198"/>
    </row>
    <row r="1611" spans="1:29" hidden="1" outlineLevel="1" x14ac:dyDescent="0.25">
      <c r="A1611" s="14" t="str">
        <f t="shared" si="528"/>
        <v>TERC_OPER__42</v>
      </c>
      <c r="B1611" s="15" t="str">
        <f t="shared" si="518"/>
        <v>TERC_OPER__0_0</v>
      </c>
      <c r="C1611" s="83"/>
      <c r="D1611" s="15">
        <f t="shared" si="519"/>
        <v>0</v>
      </c>
      <c r="E1611" s="15">
        <v>42</v>
      </c>
      <c r="F1611" s="190">
        <f t="shared" si="530"/>
        <v>0</v>
      </c>
      <c r="G1611" s="149" t="str">
        <f t="shared" si="530"/>
        <v/>
      </c>
      <c r="H1611" s="150" t="str">
        <f t="shared" si="530"/>
        <v/>
      </c>
      <c r="I1611" s="150">
        <f t="shared" si="530"/>
        <v>0</v>
      </c>
      <c r="J1611" s="150">
        <f t="shared" si="530"/>
        <v>0</v>
      </c>
      <c r="K1611" s="196"/>
      <c r="L1611" s="197"/>
      <c r="M1611" s="191">
        <f t="shared" si="531"/>
        <v>0</v>
      </c>
      <c r="N1611" s="150">
        <f t="shared" si="531"/>
        <v>0</v>
      </c>
      <c r="O1611" s="193">
        <f t="shared" si="531"/>
        <v>0</v>
      </c>
      <c r="P1611" s="162">
        <f t="shared" si="532"/>
        <v>0</v>
      </c>
      <c r="Q1611" s="162">
        <f t="shared" si="532"/>
        <v>0</v>
      </c>
      <c r="R1611" s="162">
        <f t="shared" si="532"/>
        <v>0</v>
      </c>
      <c r="S1611" s="162">
        <f t="shared" si="532"/>
        <v>0</v>
      </c>
      <c r="T1611" s="162">
        <f t="shared" si="532"/>
        <v>0</v>
      </c>
      <c r="U1611" s="162">
        <f t="shared" si="532"/>
        <v>0</v>
      </c>
      <c r="V1611" s="162">
        <f t="shared" si="532"/>
        <v>0</v>
      </c>
      <c r="W1611" s="162">
        <f t="shared" si="532"/>
        <v>0</v>
      </c>
      <c r="X1611" s="162">
        <f t="shared" si="532"/>
        <v>0</v>
      </c>
      <c r="Y1611" s="162">
        <f t="shared" si="532"/>
        <v>0</v>
      </c>
      <c r="Z1611" s="162">
        <f t="shared" si="532"/>
        <v>0</v>
      </c>
      <c r="AA1611" s="162">
        <f t="shared" si="532"/>
        <v>0</v>
      </c>
      <c r="AB1611" s="163">
        <f t="shared" si="522"/>
        <v>0</v>
      </c>
      <c r="AC1611" s="198"/>
    </row>
    <row r="1612" spans="1:29" hidden="1" outlineLevel="1" x14ac:dyDescent="0.25">
      <c r="A1612" s="14" t="str">
        <f t="shared" si="528"/>
        <v>TERC_OPER__43</v>
      </c>
      <c r="B1612" s="15" t="str">
        <f t="shared" si="518"/>
        <v>TERC_OPER__0_0</v>
      </c>
      <c r="C1612" s="83"/>
      <c r="D1612" s="15">
        <f t="shared" si="519"/>
        <v>0</v>
      </c>
      <c r="E1612" s="15">
        <v>43</v>
      </c>
      <c r="F1612" s="190">
        <f t="shared" si="530"/>
        <v>0</v>
      </c>
      <c r="G1612" s="149" t="str">
        <f t="shared" si="530"/>
        <v/>
      </c>
      <c r="H1612" s="150" t="str">
        <f t="shared" si="530"/>
        <v/>
      </c>
      <c r="I1612" s="150">
        <f t="shared" si="530"/>
        <v>0</v>
      </c>
      <c r="J1612" s="150">
        <f t="shared" si="530"/>
        <v>0</v>
      </c>
      <c r="K1612" s="196"/>
      <c r="L1612" s="197"/>
      <c r="M1612" s="191">
        <f t="shared" si="531"/>
        <v>0</v>
      </c>
      <c r="N1612" s="150">
        <f t="shared" si="531"/>
        <v>0</v>
      </c>
      <c r="O1612" s="193">
        <f t="shared" si="531"/>
        <v>0</v>
      </c>
      <c r="P1612" s="162">
        <f t="shared" si="532"/>
        <v>0</v>
      </c>
      <c r="Q1612" s="162">
        <f t="shared" si="532"/>
        <v>0</v>
      </c>
      <c r="R1612" s="162">
        <f t="shared" si="532"/>
        <v>0</v>
      </c>
      <c r="S1612" s="162">
        <f t="shared" si="532"/>
        <v>0</v>
      </c>
      <c r="T1612" s="162">
        <f t="shared" si="532"/>
        <v>0</v>
      </c>
      <c r="U1612" s="162">
        <f t="shared" si="532"/>
        <v>0</v>
      </c>
      <c r="V1612" s="162">
        <f t="shared" si="532"/>
        <v>0</v>
      </c>
      <c r="W1612" s="162">
        <f t="shared" si="532"/>
        <v>0</v>
      </c>
      <c r="X1612" s="162">
        <f t="shared" si="532"/>
        <v>0</v>
      </c>
      <c r="Y1612" s="162">
        <f t="shared" si="532"/>
        <v>0</v>
      </c>
      <c r="Z1612" s="162">
        <f t="shared" si="532"/>
        <v>0</v>
      </c>
      <c r="AA1612" s="162">
        <f t="shared" si="532"/>
        <v>0</v>
      </c>
      <c r="AB1612" s="163">
        <f t="shared" si="522"/>
        <v>0</v>
      </c>
      <c r="AC1612" s="198"/>
    </row>
    <row r="1613" spans="1:29" hidden="1" outlineLevel="1" x14ac:dyDescent="0.25">
      <c r="A1613" s="14" t="str">
        <f t="shared" si="528"/>
        <v>TERC_OPER__44</v>
      </c>
      <c r="B1613" s="15" t="str">
        <f t="shared" si="518"/>
        <v>TERC_OPER__0_0</v>
      </c>
      <c r="C1613" s="83"/>
      <c r="D1613" s="15">
        <f t="shared" si="519"/>
        <v>0</v>
      </c>
      <c r="E1613" s="15">
        <v>44</v>
      </c>
      <c r="F1613" s="190">
        <f t="shared" si="530"/>
        <v>0</v>
      </c>
      <c r="G1613" s="149" t="str">
        <f t="shared" si="530"/>
        <v/>
      </c>
      <c r="H1613" s="150" t="str">
        <f t="shared" si="530"/>
        <v/>
      </c>
      <c r="I1613" s="150">
        <f t="shared" si="530"/>
        <v>0</v>
      </c>
      <c r="J1613" s="150">
        <f t="shared" si="530"/>
        <v>0</v>
      </c>
      <c r="K1613" s="196"/>
      <c r="L1613" s="197"/>
      <c r="M1613" s="191">
        <f t="shared" si="531"/>
        <v>0</v>
      </c>
      <c r="N1613" s="150">
        <f t="shared" si="531"/>
        <v>0</v>
      </c>
      <c r="O1613" s="193">
        <f t="shared" si="531"/>
        <v>0</v>
      </c>
      <c r="P1613" s="162">
        <f t="shared" si="532"/>
        <v>0</v>
      </c>
      <c r="Q1613" s="162">
        <f t="shared" si="532"/>
        <v>0</v>
      </c>
      <c r="R1613" s="162">
        <f t="shared" si="532"/>
        <v>0</v>
      </c>
      <c r="S1613" s="162">
        <f t="shared" si="532"/>
        <v>0</v>
      </c>
      <c r="T1613" s="162">
        <f t="shared" si="532"/>
        <v>0</v>
      </c>
      <c r="U1613" s="162">
        <f t="shared" si="532"/>
        <v>0</v>
      </c>
      <c r="V1613" s="162">
        <f t="shared" si="532"/>
        <v>0</v>
      </c>
      <c r="W1613" s="162">
        <f t="shared" si="532"/>
        <v>0</v>
      </c>
      <c r="X1613" s="162">
        <f t="shared" si="532"/>
        <v>0</v>
      </c>
      <c r="Y1613" s="162">
        <f t="shared" si="532"/>
        <v>0</v>
      </c>
      <c r="Z1613" s="162">
        <f t="shared" si="532"/>
        <v>0</v>
      </c>
      <c r="AA1613" s="162">
        <f t="shared" si="532"/>
        <v>0</v>
      </c>
      <c r="AB1613" s="163">
        <f t="shared" si="522"/>
        <v>0</v>
      </c>
      <c r="AC1613" s="198"/>
    </row>
    <row r="1614" spans="1:29" hidden="1" outlineLevel="1" x14ac:dyDescent="0.25">
      <c r="A1614" s="14" t="str">
        <f t="shared" si="528"/>
        <v>TERC_OPER__45</v>
      </c>
      <c r="B1614" s="15" t="str">
        <f t="shared" si="518"/>
        <v>TERC_OPER__0_0</v>
      </c>
      <c r="C1614" s="83"/>
      <c r="D1614" s="15">
        <f t="shared" si="519"/>
        <v>0</v>
      </c>
      <c r="E1614" s="15">
        <v>45</v>
      </c>
      <c r="F1614" s="209">
        <f t="shared" si="530"/>
        <v>0</v>
      </c>
      <c r="G1614" s="183" t="str">
        <f t="shared" si="530"/>
        <v/>
      </c>
      <c r="H1614" s="184" t="str">
        <f t="shared" si="530"/>
        <v/>
      </c>
      <c r="I1614" s="184">
        <f t="shared" si="530"/>
        <v>0</v>
      </c>
      <c r="J1614" s="150">
        <f t="shared" si="530"/>
        <v>0</v>
      </c>
      <c r="K1614" s="210"/>
      <c r="L1614" s="211"/>
      <c r="M1614" s="212">
        <f t="shared" si="531"/>
        <v>0</v>
      </c>
      <c r="N1614" s="184">
        <f t="shared" si="531"/>
        <v>0</v>
      </c>
      <c r="O1614" s="213">
        <f t="shared" si="531"/>
        <v>0</v>
      </c>
      <c r="P1614" s="175">
        <f t="shared" si="532"/>
        <v>0</v>
      </c>
      <c r="Q1614" s="175">
        <f t="shared" si="532"/>
        <v>0</v>
      </c>
      <c r="R1614" s="175">
        <f t="shared" si="532"/>
        <v>0</v>
      </c>
      <c r="S1614" s="175">
        <f t="shared" si="532"/>
        <v>0</v>
      </c>
      <c r="T1614" s="175">
        <f t="shared" si="532"/>
        <v>0</v>
      </c>
      <c r="U1614" s="175">
        <f t="shared" si="532"/>
        <v>0</v>
      </c>
      <c r="V1614" s="175">
        <f t="shared" si="532"/>
        <v>0</v>
      </c>
      <c r="W1614" s="175">
        <f t="shared" si="532"/>
        <v>0</v>
      </c>
      <c r="X1614" s="175">
        <f t="shared" si="532"/>
        <v>0</v>
      </c>
      <c r="Y1614" s="175">
        <f t="shared" si="532"/>
        <v>0</v>
      </c>
      <c r="Z1614" s="175">
        <f t="shared" si="532"/>
        <v>0</v>
      </c>
      <c r="AA1614" s="175">
        <f t="shared" si="532"/>
        <v>0</v>
      </c>
      <c r="AB1614" s="176">
        <f t="shared" si="522"/>
        <v>0</v>
      </c>
      <c r="AC1614" s="172"/>
    </row>
    <row r="1615" spans="1:29" hidden="1" outlineLevel="1" x14ac:dyDescent="0.25">
      <c r="A1615" s="14" t="str">
        <f t="shared" si="528"/>
        <v>TERC_OPER__</v>
      </c>
      <c r="F1615" s="137" t="s">
        <v>303</v>
      </c>
      <c r="G1615" s="138"/>
      <c r="H1615" s="139" t="s">
        <v>217</v>
      </c>
      <c r="I1615" s="139" t="s">
        <v>218</v>
      </c>
      <c r="J1615" s="139" t="s">
        <v>219</v>
      </c>
      <c r="K1615" s="140"/>
      <c r="L1615" s="141"/>
      <c r="M1615" s="142" t="s">
        <v>220</v>
      </c>
      <c r="N1615" s="139" t="s">
        <v>221</v>
      </c>
      <c r="O1615" s="143" t="s">
        <v>222</v>
      </c>
      <c r="P1615" s="35">
        <f t="shared" ref="P1615:AA1615" si="533">P$9</f>
        <v>46113</v>
      </c>
      <c r="Q1615" s="35">
        <f t="shared" si="533"/>
        <v>46143</v>
      </c>
      <c r="R1615" s="35">
        <f t="shared" si="533"/>
        <v>46174</v>
      </c>
      <c r="S1615" s="35">
        <f t="shared" si="533"/>
        <v>46204</v>
      </c>
      <c r="T1615" s="35">
        <f t="shared" si="533"/>
        <v>46235</v>
      </c>
      <c r="U1615" s="35">
        <f t="shared" si="533"/>
        <v>46266</v>
      </c>
      <c r="V1615" s="35">
        <f t="shared" si="533"/>
        <v>46296</v>
      </c>
      <c r="W1615" s="35">
        <f t="shared" si="533"/>
        <v>46327</v>
      </c>
      <c r="X1615" s="35">
        <f t="shared" si="533"/>
        <v>46357</v>
      </c>
      <c r="Y1615" s="35">
        <f t="shared" si="533"/>
        <v>46388</v>
      </c>
      <c r="Z1615" s="35">
        <f t="shared" si="533"/>
        <v>46419</v>
      </c>
      <c r="AA1615" s="35">
        <f t="shared" si="533"/>
        <v>46447</v>
      </c>
      <c r="AB1615" s="81" t="s">
        <v>223</v>
      </c>
      <c r="AC1615" s="82" t="s">
        <v>192</v>
      </c>
    </row>
    <row r="1616" spans="1:29" hidden="1" outlineLevel="1" x14ac:dyDescent="0.25">
      <c r="A1616" s="14" t="str">
        <f t="shared" si="528"/>
        <v>TERC_OPER__1</v>
      </c>
      <c r="B1616" s="15" t="e">
        <f t="shared" ref="B1616:B1660" si="534">"TERC_OPER_"&amp;C1616&amp;"_"&amp;F1616&amp;"_"&amp;J1616</f>
        <v>#REF!</v>
      </c>
      <c r="C1616" s="83"/>
      <c r="D1616" s="15" t="e">
        <f t="shared" ref="D1616:D1660" si="535">J1616</f>
        <v>#REF!</v>
      </c>
      <c r="E1616" s="15">
        <v>1</v>
      </c>
      <c r="F1616" s="190" t="e">
        <f t="shared" ref="F1616:J1631" si="536">F1570</f>
        <v>#REF!</v>
      </c>
      <c r="G1616" s="149" t="e">
        <f t="shared" si="536"/>
        <v>#REF!</v>
      </c>
      <c r="H1616" s="150" t="e">
        <f t="shared" si="536"/>
        <v>#REF!</v>
      </c>
      <c r="I1616" s="150" t="e">
        <f t="shared" si="536"/>
        <v>#REF!</v>
      </c>
      <c r="J1616" s="150" t="e">
        <f t="shared" si="536"/>
        <v>#REF!</v>
      </c>
      <c r="K1616" s="196"/>
      <c r="L1616" s="197"/>
      <c r="M1616" s="191" t="e">
        <f t="shared" ref="M1616:O1631" si="537">M1570</f>
        <v>#REF!</v>
      </c>
      <c r="N1616" s="150" t="e">
        <f t="shared" si="537"/>
        <v>#REF!</v>
      </c>
      <c r="O1616" s="193" t="e">
        <f t="shared" si="537"/>
        <v>#REF!</v>
      </c>
      <c r="P1616" s="162">
        <f>IFERROR(SUMIF($B$1351:$B$1378,$C1616&amp;$I1616,P$1351:P$1378)/SUMIF($D$1351:$D$1378,$I1616,P$1351:P$1378)*#REF!,0)</f>
        <v>0</v>
      </c>
      <c r="Q1616" s="162">
        <f>IFERROR(SUMIF($B$1351:$B$1378,$C1616&amp;$I1616,Q$1351:Q$1378)/SUMIF($D$1351:$D$1378,$I1616,Q$1351:Q$1378)*#REF!,0)</f>
        <v>0</v>
      </c>
      <c r="R1616" s="162">
        <f>IFERROR(SUMIF($B$1351:$B$1378,$C1616&amp;$I1616,R$1351:R$1378)/SUMIF($D$1351:$D$1378,$I1616,R$1351:R$1378)*#REF!,0)</f>
        <v>0</v>
      </c>
      <c r="S1616" s="162">
        <f>IFERROR(SUMIF($B$1351:$B$1378,$C1616&amp;$I1616,S$1351:S$1378)/SUMIF($D$1351:$D$1378,$I1616,S$1351:S$1378)*#REF!,0)</f>
        <v>0</v>
      </c>
      <c r="T1616" s="162">
        <f>IFERROR(SUMIF($B$1351:$B$1378,$C1616&amp;$I1616,T$1351:T$1378)/SUMIF($D$1351:$D$1378,$I1616,T$1351:T$1378)*#REF!,0)</f>
        <v>0</v>
      </c>
      <c r="U1616" s="162">
        <f>IFERROR(SUMIF($B$1351:$B$1378,$C1616&amp;$I1616,U$1351:U$1378)/SUMIF($D$1351:$D$1378,$I1616,U$1351:U$1378)*#REF!,0)</f>
        <v>0</v>
      </c>
      <c r="V1616" s="162">
        <f>IFERROR(SUMIF($B$1351:$B$1378,$C1616&amp;$I1616,V$1351:V$1378)/SUMIF($D$1351:$D$1378,$I1616,V$1351:V$1378)*#REF!,0)</f>
        <v>0</v>
      </c>
      <c r="W1616" s="162">
        <f>IFERROR(SUMIF($B$1351:$B$1378,$C1616&amp;$I1616,W$1351:W$1378)/SUMIF($D$1351:$D$1378,$I1616,W$1351:W$1378)*#REF!,0)</f>
        <v>0</v>
      </c>
      <c r="X1616" s="162">
        <f>IFERROR(SUMIF($B$1351:$B$1378,$C1616&amp;$I1616,X$1351:X$1378)/SUMIF($D$1351:$D$1378,$I1616,X$1351:X$1378)*#REF!,0)</f>
        <v>0</v>
      </c>
      <c r="Y1616" s="162">
        <f>IFERROR(SUMIF($B$1351:$B$1378,$C1616&amp;$I1616,Y$1351:Y$1378)/SUMIF($D$1351:$D$1378,$I1616,Y$1351:Y$1378)*#REF!,0)</f>
        <v>0</v>
      </c>
      <c r="Z1616" s="162">
        <f>IFERROR(SUMIF($B$1351:$B$1378,$C1616&amp;$I1616,Z$1351:Z$1378)/SUMIF($D$1351:$D$1378,$I1616,Z$1351:Z$1378)*#REF!,0)</f>
        <v>0</v>
      </c>
      <c r="AA1616" s="162">
        <f>IFERROR(SUMIF($B$1351:$B$1378,$C1616&amp;$I1616,AA$1351:AA$1378)/SUMIF($D$1351:$D$1378,$I1616,AA$1351:AA$1378)*#REF!,0)</f>
        <v>0</v>
      </c>
      <c r="AB1616" s="163">
        <f t="shared" ref="AB1616:AB1660" si="538">SUM(P1616:AA1616)</f>
        <v>0</v>
      </c>
      <c r="AC1616" s="198"/>
    </row>
    <row r="1617" spans="1:29" hidden="1" outlineLevel="1" x14ac:dyDescent="0.25">
      <c r="A1617" s="14" t="str">
        <f t="shared" si="528"/>
        <v>TERC_OPER__2</v>
      </c>
      <c r="B1617" s="15" t="str">
        <f t="shared" si="534"/>
        <v>TERC_OPER__911_1</v>
      </c>
      <c r="C1617" s="83"/>
      <c r="D1617" s="15">
        <f t="shared" si="535"/>
        <v>1</v>
      </c>
      <c r="E1617" s="15">
        <v>2</v>
      </c>
      <c r="F1617" s="190">
        <f t="shared" si="536"/>
        <v>911</v>
      </c>
      <c r="G1617" s="149" t="str">
        <f t="shared" si="536"/>
        <v/>
      </c>
      <c r="H1617" s="150" t="str">
        <f t="shared" si="536"/>
        <v/>
      </c>
      <c r="I1617" s="150" t="str">
        <f t="shared" si="536"/>
        <v>TRATCPP</v>
      </c>
      <c r="J1617" s="150">
        <f t="shared" si="536"/>
        <v>1</v>
      </c>
      <c r="K1617" s="196"/>
      <c r="L1617" s="197"/>
      <c r="M1617" s="191">
        <f t="shared" si="537"/>
        <v>0</v>
      </c>
      <c r="N1617" s="150">
        <f t="shared" si="537"/>
        <v>0</v>
      </c>
      <c r="O1617" s="193">
        <f t="shared" si="537"/>
        <v>1</v>
      </c>
      <c r="P1617" s="162">
        <f t="shared" ref="P1617:AA1619" si="539">IFERROR(SUMIF($B$1351:$B$1378,$C1617&amp;$I1617,P$1351:P$1378)/SUMIF($D$1351:$D$1378,$I1617,P$1351:P$1378)*P1384,0)</f>
        <v>0</v>
      </c>
      <c r="Q1617" s="162">
        <f t="shared" si="539"/>
        <v>0</v>
      </c>
      <c r="R1617" s="162">
        <f t="shared" si="539"/>
        <v>0</v>
      </c>
      <c r="S1617" s="162">
        <f t="shared" si="539"/>
        <v>0</v>
      </c>
      <c r="T1617" s="162">
        <f t="shared" si="539"/>
        <v>0</v>
      </c>
      <c r="U1617" s="162">
        <f t="shared" si="539"/>
        <v>0</v>
      </c>
      <c r="V1617" s="162">
        <f t="shared" si="539"/>
        <v>0</v>
      </c>
      <c r="W1617" s="162">
        <f t="shared" si="539"/>
        <v>0</v>
      </c>
      <c r="X1617" s="162">
        <f t="shared" si="539"/>
        <v>0</v>
      </c>
      <c r="Y1617" s="162">
        <f t="shared" si="539"/>
        <v>0</v>
      </c>
      <c r="Z1617" s="162">
        <f t="shared" si="539"/>
        <v>0</v>
      </c>
      <c r="AA1617" s="162">
        <f t="shared" si="539"/>
        <v>0</v>
      </c>
      <c r="AB1617" s="163">
        <f t="shared" si="538"/>
        <v>0</v>
      </c>
      <c r="AC1617" s="198"/>
    </row>
    <row r="1618" spans="1:29" hidden="1" outlineLevel="1" x14ac:dyDescent="0.25">
      <c r="A1618" s="14" t="str">
        <f t="shared" si="528"/>
        <v>TERC_OPER__3</v>
      </c>
      <c r="B1618" s="15" t="str">
        <f t="shared" si="534"/>
        <v>TERC_OPER__910_1</v>
      </c>
      <c r="C1618" s="83"/>
      <c r="D1618" s="15">
        <f t="shared" si="535"/>
        <v>1</v>
      </c>
      <c r="E1618" s="15">
        <v>3</v>
      </c>
      <c r="F1618" s="190">
        <f t="shared" si="536"/>
        <v>910</v>
      </c>
      <c r="G1618" s="149" t="str">
        <f t="shared" si="536"/>
        <v/>
      </c>
      <c r="H1618" s="150" t="str">
        <f t="shared" si="536"/>
        <v/>
      </c>
      <c r="I1618" s="150" t="str">
        <f t="shared" si="536"/>
        <v>TRATCPP</v>
      </c>
      <c r="J1618" s="150">
        <f t="shared" si="536"/>
        <v>1</v>
      </c>
      <c r="K1618" s="196"/>
      <c r="L1618" s="197"/>
      <c r="M1618" s="191">
        <f t="shared" si="537"/>
        <v>0</v>
      </c>
      <c r="N1618" s="150">
        <f t="shared" si="537"/>
        <v>0</v>
      </c>
      <c r="O1618" s="193">
        <f t="shared" si="537"/>
        <v>1</v>
      </c>
      <c r="P1618" s="162">
        <f t="shared" si="539"/>
        <v>0</v>
      </c>
      <c r="Q1618" s="162">
        <f t="shared" si="539"/>
        <v>0</v>
      </c>
      <c r="R1618" s="162">
        <f t="shared" si="539"/>
        <v>0</v>
      </c>
      <c r="S1618" s="162">
        <f t="shared" si="539"/>
        <v>0</v>
      </c>
      <c r="T1618" s="162">
        <f t="shared" si="539"/>
        <v>0</v>
      </c>
      <c r="U1618" s="162">
        <f t="shared" si="539"/>
        <v>0</v>
      </c>
      <c r="V1618" s="162">
        <f t="shared" si="539"/>
        <v>0</v>
      </c>
      <c r="W1618" s="162">
        <f t="shared" si="539"/>
        <v>0</v>
      </c>
      <c r="X1618" s="162">
        <f t="shared" si="539"/>
        <v>0</v>
      </c>
      <c r="Y1618" s="162">
        <f t="shared" si="539"/>
        <v>0</v>
      </c>
      <c r="Z1618" s="162">
        <f t="shared" si="539"/>
        <v>0</v>
      </c>
      <c r="AA1618" s="162">
        <f t="shared" si="539"/>
        <v>0</v>
      </c>
      <c r="AB1618" s="163">
        <f t="shared" si="538"/>
        <v>0</v>
      </c>
      <c r="AC1618" s="198"/>
    </row>
    <row r="1619" spans="1:29" hidden="1" outlineLevel="1" x14ac:dyDescent="0.25">
      <c r="A1619" s="14" t="str">
        <f t="shared" si="528"/>
        <v>TERC_OPER__4</v>
      </c>
      <c r="B1619" s="15" t="str">
        <f t="shared" si="534"/>
        <v>TERC_OPER__1026_1</v>
      </c>
      <c r="C1619" s="83"/>
      <c r="D1619" s="15">
        <f t="shared" si="535"/>
        <v>1</v>
      </c>
      <c r="E1619" s="15">
        <v>4</v>
      </c>
      <c r="F1619" s="190">
        <f t="shared" si="536"/>
        <v>1026</v>
      </c>
      <c r="G1619" s="149" t="str">
        <f t="shared" si="536"/>
        <v/>
      </c>
      <c r="H1619" s="150" t="str">
        <f t="shared" si="536"/>
        <v/>
      </c>
      <c r="I1619" s="150" t="str">
        <f t="shared" si="536"/>
        <v>TRATCPP</v>
      </c>
      <c r="J1619" s="150">
        <f t="shared" si="536"/>
        <v>1</v>
      </c>
      <c r="K1619" s="196"/>
      <c r="L1619" s="197"/>
      <c r="M1619" s="191">
        <f t="shared" si="537"/>
        <v>0</v>
      </c>
      <c r="N1619" s="150">
        <f t="shared" si="537"/>
        <v>0</v>
      </c>
      <c r="O1619" s="193">
        <f t="shared" si="537"/>
        <v>1</v>
      </c>
      <c r="P1619" s="162">
        <f t="shared" si="539"/>
        <v>0</v>
      </c>
      <c r="Q1619" s="162">
        <f t="shared" si="539"/>
        <v>0</v>
      </c>
      <c r="R1619" s="162">
        <f t="shared" si="539"/>
        <v>0</v>
      </c>
      <c r="S1619" s="162">
        <f t="shared" si="539"/>
        <v>0</v>
      </c>
      <c r="T1619" s="162">
        <f t="shared" si="539"/>
        <v>0</v>
      </c>
      <c r="U1619" s="162">
        <f t="shared" si="539"/>
        <v>0</v>
      </c>
      <c r="V1619" s="162">
        <f t="shared" si="539"/>
        <v>0</v>
      </c>
      <c r="W1619" s="162">
        <f t="shared" si="539"/>
        <v>0</v>
      </c>
      <c r="X1619" s="162">
        <f t="shared" si="539"/>
        <v>0</v>
      </c>
      <c r="Y1619" s="162">
        <f t="shared" si="539"/>
        <v>0</v>
      </c>
      <c r="Z1619" s="162">
        <f t="shared" si="539"/>
        <v>0</v>
      </c>
      <c r="AA1619" s="162">
        <f t="shared" si="539"/>
        <v>0</v>
      </c>
      <c r="AB1619" s="163">
        <f t="shared" si="538"/>
        <v>0</v>
      </c>
      <c r="AC1619" s="159"/>
    </row>
    <row r="1620" spans="1:29" hidden="1" outlineLevel="1" x14ac:dyDescent="0.25">
      <c r="A1620" s="14" t="str">
        <f t="shared" si="528"/>
        <v>TERC_OPER__5</v>
      </c>
      <c r="B1620" s="15" t="str">
        <f t="shared" si="534"/>
        <v>TERC_OPER__1031_0</v>
      </c>
      <c r="C1620" s="83"/>
      <c r="D1620" s="15">
        <f t="shared" si="535"/>
        <v>0</v>
      </c>
      <c r="E1620" s="15">
        <v>5</v>
      </c>
      <c r="F1620" s="190">
        <f t="shared" si="536"/>
        <v>1031</v>
      </c>
      <c r="G1620" s="149" t="str">
        <f t="shared" si="536"/>
        <v/>
      </c>
      <c r="H1620" s="150" t="str">
        <f t="shared" si="536"/>
        <v/>
      </c>
      <c r="I1620" s="150" t="str">
        <f t="shared" si="536"/>
        <v>TRATCPF</v>
      </c>
      <c r="J1620" s="150">
        <f t="shared" si="536"/>
        <v>0</v>
      </c>
      <c r="K1620" s="196"/>
      <c r="L1620" s="197"/>
      <c r="M1620" s="191">
        <f t="shared" si="537"/>
        <v>0</v>
      </c>
      <c r="N1620" s="150">
        <f t="shared" si="537"/>
        <v>0</v>
      </c>
      <c r="O1620" s="193">
        <f t="shared" si="537"/>
        <v>0</v>
      </c>
      <c r="P1620" s="162">
        <f>IFERROR(SUMIF($B$1351:$B$1378,$C1620&amp;$I1620,P$1351:P$1378)/SUMIF($D$1351:$D$1378,$I1620,P$1351:P$1378)*P1434,0)</f>
        <v>0</v>
      </c>
      <c r="Q1620" s="162">
        <f t="shared" ref="Q1620:AA1620" si="540">IFERROR(SUMIF($B$1351:$B$1378,$C1620&amp;$I1620,Q$1351:Q$1378)/SUMIF($D$1351:$D$1378,$I1620,Q$1351:Q$1378)*Q1434,0)</f>
        <v>0</v>
      </c>
      <c r="R1620" s="162">
        <f t="shared" si="540"/>
        <v>0</v>
      </c>
      <c r="S1620" s="162">
        <f t="shared" si="540"/>
        <v>0</v>
      </c>
      <c r="T1620" s="162">
        <f t="shared" si="540"/>
        <v>0</v>
      </c>
      <c r="U1620" s="162">
        <f t="shared" si="540"/>
        <v>0</v>
      </c>
      <c r="V1620" s="162">
        <f t="shared" si="540"/>
        <v>0</v>
      </c>
      <c r="W1620" s="162">
        <f t="shared" si="540"/>
        <v>0</v>
      </c>
      <c r="X1620" s="162">
        <f t="shared" si="540"/>
        <v>0</v>
      </c>
      <c r="Y1620" s="162">
        <f t="shared" si="540"/>
        <v>0</v>
      </c>
      <c r="Z1620" s="162">
        <f t="shared" si="540"/>
        <v>0</v>
      </c>
      <c r="AA1620" s="162">
        <f t="shared" si="540"/>
        <v>0</v>
      </c>
      <c r="AB1620" s="163">
        <f t="shared" si="538"/>
        <v>0</v>
      </c>
      <c r="AC1620" s="159"/>
    </row>
    <row r="1621" spans="1:29" hidden="1" outlineLevel="1" x14ac:dyDescent="0.25">
      <c r="A1621" s="14" t="str">
        <f t="shared" si="528"/>
        <v>TERC_OPER__6</v>
      </c>
      <c r="B1621" s="15" t="str">
        <f t="shared" si="534"/>
        <v>TERC_OPER__0_0</v>
      </c>
      <c r="C1621" s="83"/>
      <c r="D1621" s="15">
        <f t="shared" si="535"/>
        <v>0</v>
      </c>
      <c r="E1621" s="15">
        <v>6</v>
      </c>
      <c r="F1621" s="190">
        <f t="shared" si="536"/>
        <v>0</v>
      </c>
      <c r="G1621" s="149">
        <f t="shared" si="536"/>
        <v>0</v>
      </c>
      <c r="H1621" s="150">
        <f t="shared" si="536"/>
        <v>0</v>
      </c>
      <c r="I1621" s="150">
        <f t="shared" si="536"/>
        <v>0</v>
      </c>
      <c r="J1621" s="150">
        <f t="shared" si="536"/>
        <v>0</v>
      </c>
      <c r="K1621" s="196"/>
      <c r="L1621" s="197"/>
      <c r="M1621" s="191">
        <f t="shared" si="537"/>
        <v>0</v>
      </c>
      <c r="N1621" s="150">
        <f t="shared" si="537"/>
        <v>0</v>
      </c>
      <c r="O1621" s="193">
        <f t="shared" si="537"/>
        <v>0</v>
      </c>
      <c r="P1621" s="162">
        <f t="shared" ref="P1621:AA1636" si="541">IFERROR(SUMIF($B$1351:$B$1378,$C1621&amp;$I1621,P$1351:P$1378)/SUMIF($D$1351:$D$1378,$I1621,P$1351:P$1378)*P1387,0)</f>
        <v>0</v>
      </c>
      <c r="Q1621" s="162">
        <f t="shared" si="541"/>
        <v>0</v>
      </c>
      <c r="R1621" s="162">
        <f t="shared" si="541"/>
        <v>0</v>
      </c>
      <c r="S1621" s="162">
        <f t="shared" si="541"/>
        <v>0</v>
      </c>
      <c r="T1621" s="162">
        <f t="shared" si="541"/>
        <v>0</v>
      </c>
      <c r="U1621" s="162">
        <f t="shared" si="541"/>
        <v>0</v>
      </c>
      <c r="V1621" s="162">
        <f t="shared" si="541"/>
        <v>0</v>
      </c>
      <c r="W1621" s="162">
        <f t="shared" si="541"/>
        <v>0</v>
      </c>
      <c r="X1621" s="162">
        <f t="shared" si="541"/>
        <v>0</v>
      </c>
      <c r="Y1621" s="162">
        <f t="shared" si="541"/>
        <v>0</v>
      </c>
      <c r="Z1621" s="162">
        <f t="shared" si="541"/>
        <v>0</v>
      </c>
      <c r="AA1621" s="162">
        <f t="shared" si="541"/>
        <v>0</v>
      </c>
      <c r="AB1621" s="163">
        <f t="shared" si="538"/>
        <v>0</v>
      </c>
      <c r="AC1621" s="159"/>
    </row>
    <row r="1622" spans="1:29" hidden="1" outlineLevel="1" x14ac:dyDescent="0.25">
      <c r="A1622" s="14" t="str">
        <f t="shared" si="528"/>
        <v>TERC_OPER__7</v>
      </c>
      <c r="B1622" s="15" t="str">
        <f t="shared" si="534"/>
        <v>TERC_OPER__0_0</v>
      </c>
      <c r="C1622" s="83"/>
      <c r="D1622" s="15">
        <f t="shared" si="535"/>
        <v>0</v>
      </c>
      <c r="E1622" s="15">
        <v>7</v>
      </c>
      <c r="F1622" s="190">
        <f t="shared" si="536"/>
        <v>0</v>
      </c>
      <c r="G1622" s="149">
        <f t="shared" si="536"/>
        <v>0</v>
      </c>
      <c r="H1622" s="150">
        <f t="shared" si="536"/>
        <v>0</v>
      </c>
      <c r="I1622" s="150">
        <f t="shared" si="536"/>
        <v>0</v>
      </c>
      <c r="J1622" s="150">
        <f t="shared" si="536"/>
        <v>0</v>
      </c>
      <c r="K1622" s="196"/>
      <c r="L1622" s="197"/>
      <c r="M1622" s="191">
        <f t="shared" si="537"/>
        <v>0</v>
      </c>
      <c r="N1622" s="150">
        <f t="shared" si="537"/>
        <v>0</v>
      </c>
      <c r="O1622" s="193">
        <f t="shared" si="537"/>
        <v>0</v>
      </c>
      <c r="P1622" s="162">
        <f t="shared" si="541"/>
        <v>0</v>
      </c>
      <c r="Q1622" s="162">
        <f t="shared" si="541"/>
        <v>0</v>
      </c>
      <c r="R1622" s="162">
        <f t="shared" si="541"/>
        <v>0</v>
      </c>
      <c r="S1622" s="162">
        <f t="shared" si="541"/>
        <v>0</v>
      </c>
      <c r="T1622" s="162">
        <f t="shared" si="541"/>
        <v>0</v>
      </c>
      <c r="U1622" s="162">
        <f t="shared" si="541"/>
        <v>0</v>
      </c>
      <c r="V1622" s="162">
        <f t="shared" si="541"/>
        <v>0</v>
      </c>
      <c r="W1622" s="162">
        <f t="shared" si="541"/>
        <v>0</v>
      </c>
      <c r="X1622" s="162">
        <f t="shared" si="541"/>
        <v>0</v>
      </c>
      <c r="Y1622" s="162">
        <f t="shared" si="541"/>
        <v>0</v>
      </c>
      <c r="Z1622" s="162">
        <f t="shared" si="541"/>
        <v>0</v>
      </c>
      <c r="AA1622" s="162">
        <f t="shared" si="541"/>
        <v>0</v>
      </c>
      <c r="AB1622" s="163">
        <f t="shared" si="538"/>
        <v>0</v>
      </c>
      <c r="AC1622" s="159"/>
    </row>
    <row r="1623" spans="1:29" hidden="1" outlineLevel="1" x14ac:dyDescent="0.25">
      <c r="A1623" s="14" t="str">
        <f t="shared" si="528"/>
        <v>TERC_OPER__8</v>
      </c>
      <c r="B1623" s="15" t="str">
        <f t="shared" si="534"/>
        <v>TERC_OPER__0_0</v>
      </c>
      <c r="C1623" s="83"/>
      <c r="D1623" s="15">
        <f t="shared" si="535"/>
        <v>0</v>
      </c>
      <c r="E1623" s="15">
        <v>8</v>
      </c>
      <c r="F1623" s="190">
        <f t="shared" si="536"/>
        <v>0</v>
      </c>
      <c r="G1623" s="149" t="str">
        <f t="shared" si="536"/>
        <v/>
      </c>
      <c r="H1623" s="150" t="str">
        <f t="shared" si="536"/>
        <v/>
      </c>
      <c r="I1623" s="150">
        <f t="shared" si="536"/>
        <v>0</v>
      </c>
      <c r="J1623" s="150">
        <f t="shared" si="536"/>
        <v>0</v>
      </c>
      <c r="K1623" s="196"/>
      <c r="L1623" s="197"/>
      <c r="M1623" s="191">
        <f t="shared" si="537"/>
        <v>0</v>
      </c>
      <c r="N1623" s="150">
        <f t="shared" si="537"/>
        <v>0</v>
      </c>
      <c r="O1623" s="193">
        <f t="shared" si="537"/>
        <v>0</v>
      </c>
      <c r="P1623" s="162">
        <f t="shared" si="541"/>
        <v>0</v>
      </c>
      <c r="Q1623" s="162">
        <f t="shared" si="541"/>
        <v>0</v>
      </c>
      <c r="R1623" s="162">
        <f t="shared" si="541"/>
        <v>0</v>
      </c>
      <c r="S1623" s="162">
        <f t="shared" si="541"/>
        <v>0</v>
      </c>
      <c r="T1623" s="162">
        <f t="shared" si="541"/>
        <v>0</v>
      </c>
      <c r="U1623" s="162">
        <f t="shared" si="541"/>
        <v>0</v>
      </c>
      <c r="V1623" s="162">
        <f t="shared" si="541"/>
        <v>0</v>
      </c>
      <c r="W1623" s="162">
        <f t="shared" si="541"/>
        <v>0</v>
      </c>
      <c r="X1623" s="162">
        <f t="shared" si="541"/>
        <v>0</v>
      </c>
      <c r="Y1623" s="162">
        <f t="shared" si="541"/>
        <v>0</v>
      </c>
      <c r="Z1623" s="162">
        <f t="shared" si="541"/>
        <v>0</v>
      </c>
      <c r="AA1623" s="162">
        <f t="shared" si="541"/>
        <v>0</v>
      </c>
      <c r="AB1623" s="163">
        <f t="shared" si="538"/>
        <v>0</v>
      </c>
      <c r="AC1623" s="159"/>
    </row>
    <row r="1624" spans="1:29" hidden="1" outlineLevel="1" x14ac:dyDescent="0.25">
      <c r="A1624" s="14" t="str">
        <f t="shared" si="528"/>
        <v>TERC_OPER__9</v>
      </c>
      <c r="B1624" s="15" t="str">
        <f t="shared" si="534"/>
        <v>TERC_OPER__0_0</v>
      </c>
      <c r="C1624" s="83"/>
      <c r="D1624" s="15">
        <f t="shared" si="535"/>
        <v>0</v>
      </c>
      <c r="E1624" s="15">
        <v>9</v>
      </c>
      <c r="F1624" s="190">
        <f t="shared" si="536"/>
        <v>0</v>
      </c>
      <c r="G1624" s="149" t="str">
        <f t="shared" si="536"/>
        <v/>
      </c>
      <c r="H1624" s="150" t="str">
        <f t="shared" si="536"/>
        <v/>
      </c>
      <c r="I1624" s="150">
        <f t="shared" si="536"/>
        <v>0</v>
      </c>
      <c r="J1624" s="150">
        <f t="shared" si="536"/>
        <v>0</v>
      </c>
      <c r="K1624" s="196"/>
      <c r="L1624" s="197"/>
      <c r="M1624" s="191">
        <f t="shared" si="537"/>
        <v>0</v>
      </c>
      <c r="N1624" s="150">
        <f t="shared" si="537"/>
        <v>0</v>
      </c>
      <c r="O1624" s="193">
        <f t="shared" si="537"/>
        <v>0</v>
      </c>
      <c r="P1624" s="162">
        <f t="shared" si="541"/>
        <v>0</v>
      </c>
      <c r="Q1624" s="162">
        <f t="shared" si="541"/>
        <v>0</v>
      </c>
      <c r="R1624" s="162">
        <f t="shared" si="541"/>
        <v>0</v>
      </c>
      <c r="S1624" s="162">
        <f t="shared" si="541"/>
        <v>0</v>
      </c>
      <c r="T1624" s="162">
        <f t="shared" si="541"/>
        <v>0</v>
      </c>
      <c r="U1624" s="162">
        <f t="shared" si="541"/>
        <v>0</v>
      </c>
      <c r="V1624" s="162">
        <f t="shared" si="541"/>
        <v>0</v>
      </c>
      <c r="W1624" s="162">
        <f t="shared" si="541"/>
        <v>0</v>
      </c>
      <c r="X1624" s="162">
        <f t="shared" si="541"/>
        <v>0</v>
      </c>
      <c r="Y1624" s="162">
        <f t="shared" si="541"/>
        <v>0</v>
      </c>
      <c r="Z1624" s="162">
        <f t="shared" si="541"/>
        <v>0</v>
      </c>
      <c r="AA1624" s="162">
        <f t="shared" si="541"/>
        <v>0</v>
      </c>
      <c r="AB1624" s="163">
        <f t="shared" si="538"/>
        <v>0</v>
      </c>
      <c r="AC1624" s="159"/>
    </row>
    <row r="1625" spans="1:29" hidden="1" outlineLevel="1" x14ac:dyDescent="0.25">
      <c r="A1625" s="14" t="str">
        <f t="shared" si="528"/>
        <v>TERC_OPER__10</v>
      </c>
      <c r="B1625" s="15" t="str">
        <f t="shared" si="534"/>
        <v>TERC_OPER__0_0</v>
      </c>
      <c r="C1625" s="83"/>
      <c r="D1625" s="15">
        <f t="shared" si="535"/>
        <v>0</v>
      </c>
      <c r="E1625" s="15">
        <v>10</v>
      </c>
      <c r="F1625" s="190">
        <f t="shared" si="536"/>
        <v>0</v>
      </c>
      <c r="G1625" s="149" t="str">
        <f t="shared" si="536"/>
        <v/>
      </c>
      <c r="H1625" s="150" t="str">
        <f t="shared" si="536"/>
        <v/>
      </c>
      <c r="I1625" s="150">
        <f t="shared" si="536"/>
        <v>0</v>
      </c>
      <c r="J1625" s="150">
        <f t="shared" si="536"/>
        <v>0</v>
      </c>
      <c r="K1625" s="196"/>
      <c r="L1625" s="197"/>
      <c r="M1625" s="191">
        <f t="shared" si="537"/>
        <v>0</v>
      </c>
      <c r="N1625" s="150">
        <f t="shared" si="537"/>
        <v>0</v>
      </c>
      <c r="O1625" s="193">
        <f t="shared" si="537"/>
        <v>0</v>
      </c>
      <c r="P1625" s="162">
        <f t="shared" si="541"/>
        <v>0</v>
      </c>
      <c r="Q1625" s="162">
        <f t="shared" si="541"/>
        <v>0</v>
      </c>
      <c r="R1625" s="162">
        <f t="shared" si="541"/>
        <v>0</v>
      </c>
      <c r="S1625" s="162">
        <f t="shared" si="541"/>
        <v>0</v>
      </c>
      <c r="T1625" s="162">
        <f t="shared" si="541"/>
        <v>0</v>
      </c>
      <c r="U1625" s="162">
        <f t="shared" si="541"/>
        <v>0</v>
      </c>
      <c r="V1625" s="162">
        <f t="shared" si="541"/>
        <v>0</v>
      </c>
      <c r="W1625" s="162">
        <f t="shared" si="541"/>
        <v>0</v>
      </c>
      <c r="X1625" s="162">
        <f t="shared" si="541"/>
        <v>0</v>
      </c>
      <c r="Y1625" s="162">
        <f t="shared" si="541"/>
        <v>0</v>
      </c>
      <c r="Z1625" s="162">
        <f t="shared" si="541"/>
        <v>0</v>
      </c>
      <c r="AA1625" s="162">
        <f t="shared" si="541"/>
        <v>0</v>
      </c>
      <c r="AB1625" s="163">
        <f t="shared" si="538"/>
        <v>0</v>
      </c>
      <c r="AC1625" s="159"/>
    </row>
    <row r="1626" spans="1:29" hidden="1" outlineLevel="1" x14ac:dyDescent="0.25">
      <c r="A1626" s="14" t="str">
        <f t="shared" si="528"/>
        <v>TERC_OPER__11</v>
      </c>
      <c r="B1626" s="15" t="str">
        <f t="shared" si="534"/>
        <v>TERC_OPER__0_0</v>
      </c>
      <c r="C1626" s="83"/>
      <c r="D1626" s="15">
        <f t="shared" si="535"/>
        <v>0</v>
      </c>
      <c r="E1626" s="15">
        <v>11</v>
      </c>
      <c r="F1626" s="190">
        <f t="shared" si="536"/>
        <v>0</v>
      </c>
      <c r="G1626" s="149" t="str">
        <f t="shared" si="536"/>
        <v/>
      </c>
      <c r="H1626" s="150" t="str">
        <f t="shared" si="536"/>
        <v/>
      </c>
      <c r="I1626" s="150">
        <f t="shared" si="536"/>
        <v>0</v>
      </c>
      <c r="J1626" s="150">
        <f t="shared" si="536"/>
        <v>0</v>
      </c>
      <c r="K1626" s="196"/>
      <c r="L1626" s="197"/>
      <c r="M1626" s="191">
        <f t="shared" si="537"/>
        <v>0</v>
      </c>
      <c r="N1626" s="150">
        <f t="shared" si="537"/>
        <v>0</v>
      </c>
      <c r="O1626" s="193">
        <f t="shared" si="537"/>
        <v>0</v>
      </c>
      <c r="P1626" s="162">
        <f t="shared" si="541"/>
        <v>0</v>
      </c>
      <c r="Q1626" s="162">
        <f t="shared" si="541"/>
        <v>0</v>
      </c>
      <c r="R1626" s="162">
        <f t="shared" si="541"/>
        <v>0</v>
      </c>
      <c r="S1626" s="162">
        <f t="shared" si="541"/>
        <v>0</v>
      </c>
      <c r="T1626" s="162">
        <f t="shared" si="541"/>
        <v>0</v>
      </c>
      <c r="U1626" s="162">
        <f t="shared" si="541"/>
        <v>0</v>
      </c>
      <c r="V1626" s="162">
        <f t="shared" si="541"/>
        <v>0</v>
      </c>
      <c r="W1626" s="162">
        <f t="shared" si="541"/>
        <v>0</v>
      </c>
      <c r="X1626" s="162">
        <f t="shared" si="541"/>
        <v>0</v>
      </c>
      <c r="Y1626" s="162">
        <f t="shared" si="541"/>
        <v>0</v>
      </c>
      <c r="Z1626" s="162">
        <f t="shared" si="541"/>
        <v>0</v>
      </c>
      <c r="AA1626" s="162">
        <f t="shared" si="541"/>
        <v>0</v>
      </c>
      <c r="AB1626" s="163">
        <f t="shared" si="538"/>
        <v>0</v>
      </c>
      <c r="AC1626" s="198"/>
    </row>
    <row r="1627" spans="1:29" hidden="1" outlineLevel="1" x14ac:dyDescent="0.25">
      <c r="A1627" s="14" t="str">
        <f t="shared" si="528"/>
        <v>TERC_OPER__12</v>
      </c>
      <c r="B1627" s="15" t="str">
        <f t="shared" si="534"/>
        <v>TERC_OPER__0_0</v>
      </c>
      <c r="C1627" s="83"/>
      <c r="D1627" s="15">
        <f t="shared" si="535"/>
        <v>0</v>
      </c>
      <c r="E1627" s="15">
        <v>12</v>
      </c>
      <c r="F1627" s="190">
        <f t="shared" si="536"/>
        <v>0</v>
      </c>
      <c r="G1627" s="149" t="str">
        <f t="shared" si="536"/>
        <v/>
      </c>
      <c r="H1627" s="150" t="str">
        <f t="shared" si="536"/>
        <v/>
      </c>
      <c r="I1627" s="150">
        <f t="shared" si="536"/>
        <v>0</v>
      </c>
      <c r="J1627" s="150">
        <f t="shared" si="536"/>
        <v>0</v>
      </c>
      <c r="K1627" s="196"/>
      <c r="L1627" s="197"/>
      <c r="M1627" s="191">
        <f t="shared" si="537"/>
        <v>0</v>
      </c>
      <c r="N1627" s="150">
        <f t="shared" si="537"/>
        <v>0</v>
      </c>
      <c r="O1627" s="193">
        <f t="shared" si="537"/>
        <v>0</v>
      </c>
      <c r="P1627" s="162">
        <f t="shared" si="541"/>
        <v>0</v>
      </c>
      <c r="Q1627" s="162">
        <f t="shared" si="541"/>
        <v>0</v>
      </c>
      <c r="R1627" s="162">
        <f t="shared" si="541"/>
        <v>0</v>
      </c>
      <c r="S1627" s="162">
        <f t="shared" si="541"/>
        <v>0</v>
      </c>
      <c r="T1627" s="162">
        <f t="shared" si="541"/>
        <v>0</v>
      </c>
      <c r="U1627" s="162">
        <f t="shared" si="541"/>
        <v>0</v>
      </c>
      <c r="V1627" s="162">
        <f t="shared" si="541"/>
        <v>0</v>
      </c>
      <c r="W1627" s="162">
        <f t="shared" si="541"/>
        <v>0</v>
      </c>
      <c r="X1627" s="162">
        <f t="shared" si="541"/>
        <v>0</v>
      </c>
      <c r="Y1627" s="162">
        <f t="shared" si="541"/>
        <v>0</v>
      </c>
      <c r="Z1627" s="162">
        <f t="shared" si="541"/>
        <v>0</v>
      </c>
      <c r="AA1627" s="162">
        <f t="shared" si="541"/>
        <v>0</v>
      </c>
      <c r="AB1627" s="163">
        <f t="shared" si="538"/>
        <v>0</v>
      </c>
      <c r="AC1627" s="198"/>
    </row>
    <row r="1628" spans="1:29" hidden="1" outlineLevel="1" x14ac:dyDescent="0.25">
      <c r="A1628" s="14" t="str">
        <f t="shared" si="528"/>
        <v>TERC_OPER__13</v>
      </c>
      <c r="B1628" s="15" t="str">
        <f t="shared" si="534"/>
        <v>TERC_OPER__0_0</v>
      </c>
      <c r="C1628" s="83"/>
      <c r="D1628" s="15">
        <f t="shared" si="535"/>
        <v>0</v>
      </c>
      <c r="E1628" s="15">
        <v>13</v>
      </c>
      <c r="F1628" s="190">
        <f t="shared" si="536"/>
        <v>0</v>
      </c>
      <c r="G1628" s="149" t="str">
        <f t="shared" si="536"/>
        <v/>
      </c>
      <c r="H1628" s="150" t="str">
        <f t="shared" si="536"/>
        <v/>
      </c>
      <c r="I1628" s="150">
        <f t="shared" si="536"/>
        <v>0</v>
      </c>
      <c r="J1628" s="150">
        <f t="shared" si="536"/>
        <v>0</v>
      </c>
      <c r="K1628" s="196"/>
      <c r="L1628" s="197"/>
      <c r="M1628" s="191">
        <f t="shared" si="537"/>
        <v>0</v>
      </c>
      <c r="N1628" s="150">
        <f t="shared" si="537"/>
        <v>0</v>
      </c>
      <c r="O1628" s="193">
        <f t="shared" si="537"/>
        <v>0</v>
      </c>
      <c r="P1628" s="162">
        <f t="shared" si="541"/>
        <v>0</v>
      </c>
      <c r="Q1628" s="162">
        <f t="shared" si="541"/>
        <v>0</v>
      </c>
      <c r="R1628" s="162">
        <f t="shared" si="541"/>
        <v>0</v>
      </c>
      <c r="S1628" s="162">
        <f t="shared" si="541"/>
        <v>0</v>
      </c>
      <c r="T1628" s="162">
        <f t="shared" si="541"/>
        <v>0</v>
      </c>
      <c r="U1628" s="162">
        <f t="shared" si="541"/>
        <v>0</v>
      </c>
      <c r="V1628" s="162">
        <f t="shared" si="541"/>
        <v>0</v>
      </c>
      <c r="W1628" s="162">
        <f t="shared" si="541"/>
        <v>0</v>
      </c>
      <c r="X1628" s="162">
        <f t="shared" si="541"/>
        <v>0</v>
      </c>
      <c r="Y1628" s="162">
        <f t="shared" si="541"/>
        <v>0</v>
      </c>
      <c r="Z1628" s="162">
        <f t="shared" si="541"/>
        <v>0</v>
      </c>
      <c r="AA1628" s="162">
        <f t="shared" si="541"/>
        <v>0</v>
      </c>
      <c r="AB1628" s="163">
        <f t="shared" si="538"/>
        <v>0</v>
      </c>
      <c r="AC1628" s="198"/>
    </row>
    <row r="1629" spans="1:29" hidden="1" outlineLevel="1" x14ac:dyDescent="0.25">
      <c r="A1629" s="14" t="str">
        <f t="shared" si="528"/>
        <v>TERC_OPER__14</v>
      </c>
      <c r="B1629" s="15" t="str">
        <f t="shared" si="534"/>
        <v>TERC_OPER__0_0</v>
      </c>
      <c r="C1629" s="83"/>
      <c r="D1629" s="15">
        <f t="shared" si="535"/>
        <v>0</v>
      </c>
      <c r="E1629" s="15">
        <v>14</v>
      </c>
      <c r="F1629" s="190">
        <f t="shared" si="536"/>
        <v>0</v>
      </c>
      <c r="G1629" s="149" t="str">
        <f t="shared" si="536"/>
        <v/>
      </c>
      <c r="H1629" s="150" t="str">
        <f t="shared" si="536"/>
        <v/>
      </c>
      <c r="I1629" s="150">
        <f t="shared" si="536"/>
        <v>0</v>
      </c>
      <c r="J1629" s="150">
        <f t="shared" si="536"/>
        <v>0</v>
      </c>
      <c r="K1629" s="196"/>
      <c r="L1629" s="197"/>
      <c r="M1629" s="191">
        <f t="shared" si="537"/>
        <v>0</v>
      </c>
      <c r="N1629" s="150">
        <f t="shared" si="537"/>
        <v>0</v>
      </c>
      <c r="O1629" s="193">
        <f t="shared" si="537"/>
        <v>0</v>
      </c>
      <c r="P1629" s="162">
        <f t="shared" si="541"/>
        <v>0</v>
      </c>
      <c r="Q1629" s="162">
        <f t="shared" si="541"/>
        <v>0</v>
      </c>
      <c r="R1629" s="162">
        <f t="shared" si="541"/>
        <v>0</v>
      </c>
      <c r="S1629" s="162">
        <f t="shared" si="541"/>
        <v>0</v>
      </c>
      <c r="T1629" s="162">
        <f t="shared" si="541"/>
        <v>0</v>
      </c>
      <c r="U1629" s="162">
        <f t="shared" si="541"/>
        <v>0</v>
      </c>
      <c r="V1629" s="162">
        <f t="shared" si="541"/>
        <v>0</v>
      </c>
      <c r="W1629" s="162">
        <f t="shared" si="541"/>
        <v>0</v>
      </c>
      <c r="X1629" s="162">
        <f t="shared" si="541"/>
        <v>0</v>
      </c>
      <c r="Y1629" s="162">
        <f t="shared" si="541"/>
        <v>0</v>
      </c>
      <c r="Z1629" s="162">
        <f t="shared" si="541"/>
        <v>0</v>
      </c>
      <c r="AA1629" s="162">
        <f t="shared" si="541"/>
        <v>0</v>
      </c>
      <c r="AB1629" s="163">
        <f t="shared" si="538"/>
        <v>0</v>
      </c>
      <c r="AC1629" s="198"/>
    </row>
    <row r="1630" spans="1:29" hidden="1" outlineLevel="1" x14ac:dyDescent="0.25">
      <c r="A1630" s="14" t="str">
        <f t="shared" si="528"/>
        <v>TERC_OPER__15</v>
      </c>
      <c r="B1630" s="15" t="str">
        <f t="shared" si="534"/>
        <v>TERC_OPER__0_0</v>
      </c>
      <c r="C1630" s="83"/>
      <c r="D1630" s="15">
        <f t="shared" si="535"/>
        <v>0</v>
      </c>
      <c r="E1630" s="15">
        <v>15</v>
      </c>
      <c r="F1630" s="190">
        <f t="shared" si="536"/>
        <v>0</v>
      </c>
      <c r="G1630" s="149" t="str">
        <f t="shared" si="536"/>
        <v/>
      </c>
      <c r="H1630" s="150" t="str">
        <f t="shared" si="536"/>
        <v/>
      </c>
      <c r="I1630" s="150">
        <f t="shared" si="536"/>
        <v>0</v>
      </c>
      <c r="J1630" s="150">
        <f t="shared" si="536"/>
        <v>0</v>
      </c>
      <c r="K1630" s="196"/>
      <c r="L1630" s="197"/>
      <c r="M1630" s="191">
        <f t="shared" si="537"/>
        <v>0</v>
      </c>
      <c r="N1630" s="150">
        <f t="shared" si="537"/>
        <v>0</v>
      </c>
      <c r="O1630" s="193">
        <f t="shared" si="537"/>
        <v>0</v>
      </c>
      <c r="P1630" s="162">
        <f t="shared" si="541"/>
        <v>0</v>
      </c>
      <c r="Q1630" s="162">
        <f t="shared" si="541"/>
        <v>0</v>
      </c>
      <c r="R1630" s="162">
        <f t="shared" si="541"/>
        <v>0</v>
      </c>
      <c r="S1630" s="162">
        <f t="shared" si="541"/>
        <v>0</v>
      </c>
      <c r="T1630" s="162">
        <f t="shared" si="541"/>
        <v>0</v>
      </c>
      <c r="U1630" s="162">
        <f t="shared" si="541"/>
        <v>0</v>
      </c>
      <c r="V1630" s="162">
        <f t="shared" si="541"/>
        <v>0</v>
      </c>
      <c r="W1630" s="162">
        <f t="shared" si="541"/>
        <v>0</v>
      </c>
      <c r="X1630" s="162">
        <f t="shared" si="541"/>
        <v>0</v>
      </c>
      <c r="Y1630" s="162">
        <f t="shared" si="541"/>
        <v>0</v>
      </c>
      <c r="Z1630" s="162">
        <f t="shared" si="541"/>
        <v>0</v>
      </c>
      <c r="AA1630" s="162">
        <f t="shared" si="541"/>
        <v>0</v>
      </c>
      <c r="AB1630" s="163">
        <f t="shared" si="538"/>
        <v>0</v>
      </c>
      <c r="AC1630" s="198"/>
    </row>
    <row r="1631" spans="1:29" hidden="1" outlineLevel="1" x14ac:dyDescent="0.25">
      <c r="A1631" s="14" t="str">
        <f t="shared" si="528"/>
        <v>TERC_OPER__16</v>
      </c>
      <c r="B1631" s="15" t="str">
        <f t="shared" si="534"/>
        <v>TERC_OPER__0_0</v>
      </c>
      <c r="C1631" s="83"/>
      <c r="D1631" s="15">
        <f t="shared" si="535"/>
        <v>0</v>
      </c>
      <c r="E1631" s="15">
        <v>16</v>
      </c>
      <c r="F1631" s="190">
        <f t="shared" si="536"/>
        <v>0</v>
      </c>
      <c r="G1631" s="149" t="str">
        <f t="shared" si="536"/>
        <v/>
      </c>
      <c r="H1631" s="150" t="str">
        <f t="shared" si="536"/>
        <v/>
      </c>
      <c r="I1631" s="150">
        <f t="shared" si="536"/>
        <v>0</v>
      </c>
      <c r="J1631" s="150">
        <f t="shared" si="536"/>
        <v>0</v>
      </c>
      <c r="K1631" s="196"/>
      <c r="L1631" s="197"/>
      <c r="M1631" s="191">
        <f t="shared" si="537"/>
        <v>0</v>
      </c>
      <c r="N1631" s="150">
        <f t="shared" si="537"/>
        <v>0</v>
      </c>
      <c r="O1631" s="193">
        <f t="shared" si="537"/>
        <v>0</v>
      </c>
      <c r="P1631" s="162">
        <f t="shared" si="541"/>
        <v>0</v>
      </c>
      <c r="Q1631" s="162">
        <f t="shared" si="541"/>
        <v>0</v>
      </c>
      <c r="R1631" s="162">
        <f t="shared" si="541"/>
        <v>0</v>
      </c>
      <c r="S1631" s="162">
        <f t="shared" si="541"/>
        <v>0</v>
      </c>
      <c r="T1631" s="162">
        <f t="shared" si="541"/>
        <v>0</v>
      </c>
      <c r="U1631" s="162">
        <f t="shared" si="541"/>
        <v>0</v>
      </c>
      <c r="V1631" s="162">
        <f t="shared" si="541"/>
        <v>0</v>
      </c>
      <c r="W1631" s="162">
        <f t="shared" si="541"/>
        <v>0</v>
      </c>
      <c r="X1631" s="162">
        <f t="shared" si="541"/>
        <v>0</v>
      </c>
      <c r="Y1631" s="162">
        <f t="shared" si="541"/>
        <v>0</v>
      </c>
      <c r="Z1631" s="162">
        <f t="shared" si="541"/>
        <v>0</v>
      </c>
      <c r="AA1631" s="162">
        <f t="shared" si="541"/>
        <v>0</v>
      </c>
      <c r="AB1631" s="163">
        <f t="shared" si="538"/>
        <v>0</v>
      </c>
      <c r="AC1631" s="198"/>
    </row>
    <row r="1632" spans="1:29" hidden="1" outlineLevel="1" x14ac:dyDescent="0.25">
      <c r="A1632" s="14" t="str">
        <f t="shared" si="528"/>
        <v>TERC_OPER__17</v>
      </c>
      <c r="B1632" s="15" t="str">
        <f t="shared" si="534"/>
        <v>TERC_OPER__0_0</v>
      </c>
      <c r="C1632" s="83"/>
      <c r="D1632" s="15">
        <f t="shared" si="535"/>
        <v>0</v>
      </c>
      <c r="E1632" s="15">
        <v>17</v>
      </c>
      <c r="F1632" s="190">
        <f t="shared" ref="F1632:J1647" si="542">F1586</f>
        <v>0</v>
      </c>
      <c r="G1632" s="149" t="str">
        <f t="shared" si="542"/>
        <v/>
      </c>
      <c r="H1632" s="150" t="str">
        <f t="shared" si="542"/>
        <v/>
      </c>
      <c r="I1632" s="150">
        <f t="shared" si="542"/>
        <v>0</v>
      </c>
      <c r="J1632" s="150">
        <f t="shared" si="542"/>
        <v>0</v>
      </c>
      <c r="K1632" s="196"/>
      <c r="L1632" s="197"/>
      <c r="M1632" s="191">
        <f t="shared" ref="M1632:O1647" si="543">M1586</f>
        <v>0</v>
      </c>
      <c r="N1632" s="150">
        <f t="shared" si="543"/>
        <v>0</v>
      </c>
      <c r="O1632" s="193">
        <f t="shared" si="543"/>
        <v>0</v>
      </c>
      <c r="P1632" s="162">
        <f t="shared" si="541"/>
        <v>0</v>
      </c>
      <c r="Q1632" s="162">
        <f t="shared" si="541"/>
        <v>0</v>
      </c>
      <c r="R1632" s="162">
        <f t="shared" si="541"/>
        <v>0</v>
      </c>
      <c r="S1632" s="162">
        <f t="shared" si="541"/>
        <v>0</v>
      </c>
      <c r="T1632" s="162">
        <f t="shared" si="541"/>
        <v>0</v>
      </c>
      <c r="U1632" s="162">
        <f t="shared" si="541"/>
        <v>0</v>
      </c>
      <c r="V1632" s="162">
        <f t="shared" si="541"/>
        <v>0</v>
      </c>
      <c r="W1632" s="162">
        <f t="shared" si="541"/>
        <v>0</v>
      </c>
      <c r="X1632" s="162">
        <f t="shared" si="541"/>
        <v>0</v>
      </c>
      <c r="Y1632" s="162">
        <f t="shared" si="541"/>
        <v>0</v>
      </c>
      <c r="Z1632" s="162">
        <f t="shared" si="541"/>
        <v>0</v>
      </c>
      <c r="AA1632" s="162">
        <f t="shared" si="541"/>
        <v>0</v>
      </c>
      <c r="AB1632" s="163">
        <f t="shared" si="538"/>
        <v>0</v>
      </c>
      <c r="AC1632" s="198"/>
    </row>
    <row r="1633" spans="1:29" hidden="1" outlineLevel="1" x14ac:dyDescent="0.25">
      <c r="A1633" s="14" t="str">
        <f t="shared" si="528"/>
        <v>TERC_OPER__18</v>
      </c>
      <c r="B1633" s="15" t="str">
        <f t="shared" si="534"/>
        <v>TERC_OPER__0_0</v>
      </c>
      <c r="C1633" s="83"/>
      <c r="D1633" s="15">
        <f t="shared" si="535"/>
        <v>0</v>
      </c>
      <c r="E1633" s="15">
        <v>18</v>
      </c>
      <c r="F1633" s="190">
        <f t="shared" si="542"/>
        <v>0</v>
      </c>
      <c r="G1633" s="149" t="str">
        <f t="shared" si="542"/>
        <v/>
      </c>
      <c r="H1633" s="150" t="str">
        <f t="shared" si="542"/>
        <v/>
      </c>
      <c r="I1633" s="150">
        <f t="shared" si="542"/>
        <v>0</v>
      </c>
      <c r="J1633" s="150">
        <f t="shared" si="542"/>
        <v>0</v>
      </c>
      <c r="K1633" s="196"/>
      <c r="L1633" s="197"/>
      <c r="M1633" s="191">
        <f t="shared" si="543"/>
        <v>0</v>
      </c>
      <c r="N1633" s="150">
        <f t="shared" si="543"/>
        <v>0</v>
      </c>
      <c r="O1633" s="193">
        <f t="shared" si="543"/>
        <v>0</v>
      </c>
      <c r="P1633" s="162">
        <f t="shared" si="541"/>
        <v>0</v>
      </c>
      <c r="Q1633" s="162">
        <f t="shared" si="541"/>
        <v>0</v>
      </c>
      <c r="R1633" s="162">
        <f t="shared" si="541"/>
        <v>0</v>
      </c>
      <c r="S1633" s="162">
        <f t="shared" si="541"/>
        <v>0</v>
      </c>
      <c r="T1633" s="162">
        <f t="shared" si="541"/>
        <v>0</v>
      </c>
      <c r="U1633" s="162">
        <f t="shared" si="541"/>
        <v>0</v>
      </c>
      <c r="V1633" s="162">
        <f t="shared" si="541"/>
        <v>0</v>
      </c>
      <c r="W1633" s="162">
        <f t="shared" si="541"/>
        <v>0</v>
      </c>
      <c r="X1633" s="162">
        <f t="shared" si="541"/>
        <v>0</v>
      </c>
      <c r="Y1633" s="162">
        <f t="shared" si="541"/>
        <v>0</v>
      </c>
      <c r="Z1633" s="162">
        <f t="shared" si="541"/>
        <v>0</v>
      </c>
      <c r="AA1633" s="162">
        <f t="shared" si="541"/>
        <v>0</v>
      </c>
      <c r="AB1633" s="163">
        <f t="shared" si="538"/>
        <v>0</v>
      </c>
      <c r="AC1633" s="198"/>
    </row>
    <row r="1634" spans="1:29" hidden="1" outlineLevel="1" x14ac:dyDescent="0.25">
      <c r="A1634" s="14" t="str">
        <f t="shared" si="528"/>
        <v>TERC_OPER__19</v>
      </c>
      <c r="B1634" s="15" t="str">
        <f t="shared" si="534"/>
        <v>TERC_OPER__0_0</v>
      </c>
      <c r="C1634" s="83"/>
      <c r="D1634" s="15">
        <f t="shared" si="535"/>
        <v>0</v>
      </c>
      <c r="E1634" s="15">
        <v>19</v>
      </c>
      <c r="F1634" s="190">
        <f t="shared" si="542"/>
        <v>0</v>
      </c>
      <c r="G1634" s="149" t="str">
        <f t="shared" si="542"/>
        <v/>
      </c>
      <c r="H1634" s="150" t="str">
        <f t="shared" si="542"/>
        <v/>
      </c>
      <c r="I1634" s="150">
        <f t="shared" si="542"/>
        <v>0</v>
      </c>
      <c r="J1634" s="150">
        <f t="shared" si="542"/>
        <v>0</v>
      </c>
      <c r="K1634" s="196"/>
      <c r="L1634" s="197"/>
      <c r="M1634" s="191">
        <f t="shared" si="543"/>
        <v>0</v>
      </c>
      <c r="N1634" s="150">
        <f t="shared" si="543"/>
        <v>0</v>
      </c>
      <c r="O1634" s="193">
        <f t="shared" si="543"/>
        <v>0</v>
      </c>
      <c r="P1634" s="162">
        <f t="shared" si="541"/>
        <v>0</v>
      </c>
      <c r="Q1634" s="162">
        <f t="shared" si="541"/>
        <v>0</v>
      </c>
      <c r="R1634" s="162">
        <f t="shared" si="541"/>
        <v>0</v>
      </c>
      <c r="S1634" s="162">
        <f t="shared" si="541"/>
        <v>0</v>
      </c>
      <c r="T1634" s="162">
        <f t="shared" si="541"/>
        <v>0</v>
      </c>
      <c r="U1634" s="162">
        <f t="shared" si="541"/>
        <v>0</v>
      </c>
      <c r="V1634" s="162">
        <f t="shared" si="541"/>
        <v>0</v>
      </c>
      <c r="W1634" s="162">
        <f t="shared" si="541"/>
        <v>0</v>
      </c>
      <c r="X1634" s="162">
        <f t="shared" si="541"/>
        <v>0</v>
      </c>
      <c r="Y1634" s="162">
        <f t="shared" si="541"/>
        <v>0</v>
      </c>
      <c r="Z1634" s="162">
        <f t="shared" si="541"/>
        <v>0</v>
      </c>
      <c r="AA1634" s="162">
        <f t="shared" si="541"/>
        <v>0</v>
      </c>
      <c r="AB1634" s="163">
        <f t="shared" si="538"/>
        <v>0</v>
      </c>
      <c r="AC1634" s="198"/>
    </row>
    <row r="1635" spans="1:29" hidden="1" outlineLevel="1" x14ac:dyDescent="0.25">
      <c r="A1635" s="14" t="str">
        <f t="shared" si="528"/>
        <v>TERC_OPER__20</v>
      </c>
      <c r="B1635" s="15" t="str">
        <f t="shared" si="534"/>
        <v>TERC_OPER__0_0</v>
      </c>
      <c r="C1635" s="83"/>
      <c r="D1635" s="15">
        <f t="shared" si="535"/>
        <v>0</v>
      </c>
      <c r="E1635" s="15">
        <v>20</v>
      </c>
      <c r="F1635" s="190">
        <f t="shared" si="542"/>
        <v>0</v>
      </c>
      <c r="G1635" s="149" t="str">
        <f t="shared" si="542"/>
        <v/>
      </c>
      <c r="H1635" s="150" t="str">
        <f t="shared" si="542"/>
        <v/>
      </c>
      <c r="I1635" s="150">
        <f t="shared" si="542"/>
        <v>0</v>
      </c>
      <c r="J1635" s="150">
        <f t="shared" si="542"/>
        <v>0</v>
      </c>
      <c r="K1635" s="196"/>
      <c r="L1635" s="197"/>
      <c r="M1635" s="191">
        <f t="shared" si="543"/>
        <v>0</v>
      </c>
      <c r="N1635" s="150">
        <f t="shared" si="543"/>
        <v>0</v>
      </c>
      <c r="O1635" s="193">
        <f t="shared" si="543"/>
        <v>0</v>
      </c>
      <c r="P1635" s="162">
        <f t="shared" si="541"/>
        <v>0</v>
      </c>
      <c r="Q1635" s="162">
        <f t="shared" si="541"/>
        <v>0</v>
      </c>
      <c r="R1635" s="162">
        <f t="shared" si="541"/>
        <v>0</v>
      </c>
      <c r="S1635" s="162">
        <f t="shared" si="541"/>
        <v>0</v>
      </c>
      <c r="T1635" s="162">
        <f t="shared" si="541"/>
        <v>0</v>
      </c>
      <c r="U1635" s="162">
        <f t="shared" si="541"/>
        <v>0</v>
      </c>
      <c r="V1635" s="162">
        <f t="shared" si="541"/>
        <v>0</v>
      </c>
      <c r="W1635" s="162">
        <f t="shared" si="541"/>
        <v>0</v>
      </c>
      <c r="X1635" s="162">
        <f t="shared" si="541"/>
        <v>0</v>
      </c>
      <c r="Y1635" s="162">
        <f t="shared" si="541"/>
        <v>0</v>
      </c>
      <c r="Z1635" s="162">
        <f t="shared" si="541"/>
        <v>0</v>
      </c>
      <c r="AA1635" s="162">
        <f t="shared" si="541"/>
        <v>0</v>
      </c>
      <c r="AB1635" s="163">
        <f t="shared" si="538"/>
        <v>0</v>
      </c>
      <c r="AC1635" s="198"/>
    </row>
    <row r="1636" spans="1:29" hidden="1" outlineLevel="1" x14ac:dyDescent="0.25">
      <c r="A1636" s="14" t="str">
        <f t="shared" si="528"/>
        <v>TERC_OPER__21</v>
      </c>
      <c r="B1636" s="15" t="str">
        <f t="shared" si="534"/>
        <v>TERC_OPER__0_0</v>
      </c>
      <c r="C1636" s="83"/>
      <c r="D1636" s="15">
        <f t="shared" si="535"/>
        <v>0</v>
      </c>
      <c r="E1636" s="15">
        <v>21</v>
      </c>
      <c r="F1636" s="190">
        <f t="shared" si="542"/>
        <v>0</v>
      </c>
      <c r="G1636" s="149" t="str">
        <f t="shared" si="542"/>
        <v/>
      </c>
      <c r="H1636" s="150" t="str">
        <f t="shared" si="542"/>
        <v/>
      </c>
      <c r="I1636" s="150">
        <f t="shared" si="542"/>
        <v>0</v>
      </c>
      <c r="J1636" s="150">
        <f t="shared" si="542"/>
        <v>0</v>
      </c>
      <c r="K1636" s="196"/>
      <c r="L1636" s="197"/>
      <c r="M1636" s="191">
        <f t="shared" si="543"/>
        <v>0</v>
      </c>
      <c r="N1636" s="150">
        <f t="shared" si="543"/>
        <v>0</v>
      </c>
      <c r="O1636" s="193">
        <f t="shared" si="543"/>
        <v>0</v>
      </c>
      <c r="P1636" s="162">
        <f t="shared" si="541"/>
        <v>0</v>
      </c>
      <c r="Q1636" s="162">
        <f t="shared" si="541"/>
        <v>0</v>
      </c>
      <c r="R1636" s="162">
        <f t="shared" si="541"/>
        <v>0</v>
      </c>
      <c r="S1636" s="162">
        <f t="shared" si="541"/>
        <v>0</v>
      </c>
      <c r="T1636" s="162">
        <f t="shared" si="541"/>
        <v>0</v>
      </c>
      <c r="U1636" s="162">
        <f t="shared" si="541"/>
        <v>0</v>
      </c>
      <c r="V1636" s="162">
        <f t="shared" si="541"/>
        <v>0</v>
      </c>
      <c r="W1636" s="162">
        <f t="shared" si="541"/>
        <v>0</v>
      </c>
      <c r="X1636" s="162">
        <f t="shared" si="541"/>
        <v>0</v>
      </c>
      <c r="Y1636" s="162">
        <f t="shared" si="541"/>
        <v>0</v>
      </c>
      <c r="Z1636" s="162">
        <f t="shared" si="541"/>
        <v>0</v>
      </c>
      <c r="AA1636" s="162">
        <f t="shared" si="541"/>
        <v>0</v>
      </c>
      <c r="AB1636" s="163">
        <f t="shared" si="538"/>
        <v>0</v>
      </c>
      <c r="AC1636" s="198"/>
    </row>
    <row r="1637" spans="1:29" hidden="1" outlineLevel="1" x14ac:dyDescent="0.25">
      <c r="A1637" s="14" t="str">
        <f t="shared" si="528"/>
        <v>TERC_OPER__22</v>
      </c>
      <c r="B1637" s="15" t="str">
        <f t="shared" si="534"/>
        <v>TERC_OPER__0_0</v>
      </c>
      <c r="C1637" s="83"/>
      <c r="D1637" s="15">
        <f t="shared" si="535"/>
        <v>0</v>
      </c>
      <c r="E1637" s="15">
        <v>22</v>
      </c>
      <c r="F1637" s="190">
        <f t="shared" si="542"/>
        <v>0</v>
      </c>
      <c r="G1637" s="149" t="str">
        <f t="shared" si="542"/>
        <v/>
      </c>
      <c r="H1637" s="150" t="str">
        <f t="shared" si="542"/>
        <v/>
      </c>
      <c r="I1637" s="150">
        <f t="shared" si="542"/>
        <v>0</v>
      </c>
      <c r="J1637" s="150">
        <f t="shared" si="542"/>
        <v>0</v>
      </c>
      <c r="K1637" s="196"/>
      <c r="L1637" s="197"/>
      <c r="M1637" s="191">
        <f t="shared" si="543"/>
        <v>0</v>
      </c>
      <c r="N1637" s="150">
        <f t="shared" si="543"/>
        <v>0</v>
      </c>
      <c r="O1637" s="193">
        <f t="shared" si="543"/>
        <v>0</v>
      </c>
      <c r="P1637" s="162">
        <f t="shared" ref="P1637:AA1652" si="544">IFERROR(SUMIF($B$1351:$B$1378,$C1637&amp;$I1637,P$1351:P$1378)/SUMIF($D$1351:$D$1378,$I1637,P$1351:P$1378)*P1403,0)</f>
        <v>0</v>
      </c>
      <c r="Q1637" s="162">
        <f t="shared" si="544"/>
        <v>0</v>
      </c>
      <c r="R1637" s="162">
        <f t="shared" si="544"/>
        <v>0</v>
      </c>
      <c r="S1637" s="162">
        <f t="shared" si="544"/>
        <v>0</v>
      </c>
      <c r="T1637" s="162">
        <f t="shared" si="544"/>
        <v>0</v>
      </c>
      <c r="U1637" s="162">
        <f t="shared" si="544"/>
        <v>0</v>
      </c>
      <c r="V1637" s="162">
        <f t="shared" si="544"/>
        <v>0</v>
      </c>
      <c r="W1637" s="162">
        <f t="shared" si="544"/>
        <v>0</v>
      </c>
      <c r="X1637" s="162">
        <f t="shared" si="544"/>
        <v>0</v>
      </c>
      <c r="Y1637" s="162">
        <f t="shared" si="544"/>
        <v>0</v>
      </c>
      <c r="Z1637" s="162">
        <f t="shared" si="544"/>
        <v>0</v>
      </c>
      <c r="AA1637" s="162">
        <f t="shared" si="544"/>
        <v>0</v>
      </c>
      <c r="AB1637" s="163">
        <f t="shared" si="538"/>
        <v>0</v>
      </c>
      <c r="AC1637" s="198"/>
    </row>
    <row r="1638" spans="1:29" hidden="1" outlineLevel="1" x14ac:dyDescent="0.25">
      <c r="A1638" s="14" t="str">
        <f t="shared" si="528"/>
        <v>TERC_OPER__23</v>
      </c>
      <c r="B1638" s="15" t="str">
        <f t="shared" si="534"/>
        <v>TERC_OPER__0_0</v>
      </c>
      <c r="C1638" s="83"/>
      <c r="D1638" s="15">
        <f t="shared" si="535"/>
        <v>0</v>
      </c>
      <c r="E1638" s="15">
        <v>23</v>
      </c>
      <c r="F1638" s="190">
        <f t="shared" si="542"/>
        <v>0</v>
      </c>
      <c r="G1638" s="149" t="str">
        <f t="shared" si="542"/>
        <v/>
      </c>
      <c r="H1638" s="150" t="str">
        <f t="shared" si="542"/>
        <v/>
      </c>
      <c r="I1638" s="150">
        <f t="shared" si="542"/>
        <v>0</v>
      </c>
      <c r="J1638" s="150">
        <f t="shared" si="542"/>
        <v>0</v>
      </c>
      <c r="K1638" s="196"/>
      <c r="L1638" s="197"/>
      <c r="M1638" s="191">
        <f t="shared" si="543"/>
        <v>0</v>
      </c>
      <c r="N1638" s="150">
        <f t="shared" si="543"/>
        <v>0</v>
      </c>
      <c r="O1638" s="193">
        <f t="shared" si="543"/>
        <v>0</v>
      </c>
      <c r="P1638" s="162">
        <f t="shared" si="544"/>
        <v>0</v>
      </c>
      <c r="Q1638" s="162">
        <f t="shared" si="544"/>
        <v>0</v>
      </c>
      <c r="R1638" s="162">
        <f t="shared" si="544"/>
        <v>0</v>
      </c>
      <c r="S1638" s="162">
        <f t="shared" si="544"/>
        <v>0</v>
      </c>
      <c r="T1638" s="162">
        <f t="shared" si="544"/>
        <v>0</v>
      </c>
      <c r="U1638" s="162">
        <f t="shared" si="544"/>
        <v>0</v>
      </c>
      <c r="V1638" s="162">
        <f t="shared" si="544"/>
        <v>0</v>
      </c>
      <c r="W1638" s="162">
        <f t="shared" si="544"/>
        <v>0</v>
      </c>
      <c r="X1638" s="162">
        <f t="shared" si="544"/>
        <v>0</v>
      </c>
      <c r="Y1638" s="162">
        <f t="shared" si="544"/>
        <v>0</v>
      </c>
      <c r="Z1638" s="162">
        <f t="shared" si="544"/>
        <v>0</v>
      </c>
      <c r="AA1638" s="162">
        <f t="shared" si="544"/>
        <v>0</v>
      </c>
      <c r="AB1638" s="163">
        <f t="shared" si="538"/>
        <v>0</v>
      </c>
      <c r="AC1638" s="198"/>
    </row>
    <row r="1639" spans="1:29" hidden="1" outlineLevel="1" x14ac:dyDescent="0.25">
      <c r="A1639" s="14" t="str">
        <f t="shared" si="528"/>
        <v>TERC_OPER__24</v>
      </c>
      <c r="B1639" s="15" t="str">
        <f t="shared" si="534"/>
        <v>TERC_OPER__0_0</v>
      </c>
      <c r="C1639" s="83"/>
      <c r="D1639" s="15">
        <f t="shared" si="535"/>
        <v>0</v>
      </c>
      <c r="E1639" s="15">
        <v>24</v>
      </c>
      <c r="F1639" s="190">
        <f t="shared" si="542"/>
        <v>0</v>
      </c>
      <c r="G1639" s="149" t="str">
        <f t="shared" si="542"/>
        <v/>
      </c>
      <c r="H1639" s="150" t="str">
        <f t="shared" si="542"/>
        <v/>
      </c>
      <c r="I1639" s="150">
        <f t="shared" si="542"/>
        <v>0</v>
      </c>
      <c r="J1639" s="150">
        <f t="shared" si="542"/>
        <v>0</v>
      </c>
      <c r="K1639" s="196"/>
      <c r="L1639" s="197"/>
      <c r="M1639" s="191">
        <f t="shared" si="543"/>
        <v>0</v>
      </c>
      <c r="N1639" s="150">
        <f t="shared" si="543"/>
        <v>0</v>
      </c>
      <c r="O1639" s="193">
        <f t="shared" si="543"/>
        <v>0</v>
      </c>
      <c r="P1639" s="162">
        <f t="shared" si="544"/>
        <v>0</v>
      </c>
      <c r="Q1639" s="162">
        <f t="shared" si="544"/>
        <v>0</v>
      </c>
      <c r="R1639" s="162">
        <f t="shared" si="544"/>
        <v>0</v>
      </c>
      <c r="S1639" s="162">
        <f t="shared" si="544"/>
        <v>0</v>
      </c>
      <c r="T1639" s="162">
        <f t="shared" si="544"/>
        <v>0</v>
      </c>
      <c r="U1639" s="162">
        <f t="shared" si="544"/>
        <v>0</v>
      </c>
      <c r="V1639" s="162">
        <f t="shared" si="544"/>
        <v>0</v>
      </c>
      <c r="W1639" s="162">
        <f t="shared" si="544"/>
        <v>0</v>
      </c>
      <c r="X1639" s="162">
        <f t="shared" si="544"/>
        <v>0</v>
      </c>
      <c r="Y1639" s="162">
        <f t="shared" si="544"/>
        <v>0</v>
      </c>
      <c r="Z1639" s="162">
        <f t="shared" si="544"/>
        <v>0</v>
      </c>
      <c r="AA1639" s="162">
        <f t="shared" si="544"/>
        <v>0</v>
      </c>
      <c r="AB1639" s="163">
        <f t="shared" si="538"/>
        <v>0</v>
      </c>
      <c r="AC1639" s="198"/>
    </row>
    <row r="1640" spans="1:29" hidden="1" outlineLevel="1" x14ac:dyDescent="0.25">
      <c r="A1640" s="14" t="str">
        <f t="shared" si="528"/>
        <v>TERC_OPER__25</v>
      </c>
      <c r="B1640" s="15" t="str">
        <f t="shared" si="534"/>
        <v>TERC_OPER__0_0</v>
      </c>
      <c r="C1640" s="83"/>
      <c r="D1640" s="15">
        <f t="shared" si="535"/>
        <v>0</v>
      </c>
      <c r="E1640" s="15">
        <v>25</v>
      </c>
      <c r="F1640" s="190">
        <f t="shared" si="542"/>
        <v>0</v>
      </c>
      <c r="G1640" s="149" t="str">
        <f t="shared" si="542"/>
        <v/>
      </c>
      <c r="H1640" s="150" t="str">
        <f t="shared" si="542"/>
        <v/>
      </c>
      <c r="I1640" s="150">
        <f t="shared" si="542"/>
        <v>0</v>
      </c>
      <c r="J1640" s="150">
        <f t="shared" si="542"/>
        <v>0</v>
      </c>
      <c r="K1640" s="196"/>
      <c r="L1640" s="197"/>
      <c r="M1640" s="191">
        <f t="shared" si="543"/>
        <v>0</v>
      </c>
      <c r="N1640" s="150">
        <f t="shared" si="543"/>
        <v>0</v>
      </c>
      <c r="O1640" s="193">
        <f t="shared" si="543"/>
        <v>0</v>
      </c>
      <c r="P1640" s="162">
        <f t="shared" si="544"/>
        <v>0</v>
      </c>
      <c r="Q1640" s="162">
        <f t="shared" si="544"/>
        <v>0</v>
      </c>
      <c r="R1640" s="162">
        <f t="shared" si="544"/>
        <v>0</v>
      </c>
      <c r="S1640" s="162">
        <f t="shared" si="544"/>
        <v>0</v>
      </c>
      <c r="T1640" s="162">
        <f t="shared" si="544"/>
        <v>0</v>
      </c>
      <c r="U1640" s="162">
        <f t="shared" si="544"/>
        <v>0</v>
      </c>
      <c r="V1640" s="162">
        <f t="shared" si="544"/>
        <v>0</v>
      </c>
      <c r="W1640" s="162">
        <f t="shared" si="544"/>
        <v>0</v>
      </c>
      <c r="X1640" s="162">
        <f t="shared" si="544"/>
        <v>0</v>
      </c>
      <c r="Y1640" s="162">
        <f t="shared" si="544"/>
        <v>0</v>
      </c>
      <c r="Z1640" s="162">
        <f t="shared" si="544"/>
        <v>0</v>
      </c>
      <c r="AA1640" s="162">
        <f t="shared" si="544"/>
        <v>0</v>
      </c>
      <c r="AB1640" s="163">
        <f t="shared" si="538"/>
        <v>0</v>
      </c>
      <c r="AC1640" s="198"/>
    </row>
    <row r="1641" spans="1:29" hidden="1" outlineLevel="1" x14ac:dyDescent="0.25">
      <c r="A1641" s="14" t="str">
        <f t="shared" si="528"/>
        <v>TERC_OPER__26</v>
      </c>
      <c r="B1641" s="15" t="str">
        <f t="shared" si="534"/>
        <v>TERC_OPER__0_0</v>
      </c>
      <c r="C1641" s="83"/>
      <c r="D1641" s="15">
        <f t="shared" si="535"/>
        <v>0</v>
      </c>
      <c r="E1641" s="15">
        <v>26</v>
      </c>
      <c r="F1641" s="190">
        <f t="shared" si="542"/>
        <v>0</v>
      </c>
      <c r="G1641" s="149" t="str">
        <f t="shared" si="542"/>
        <v/>
      </c>
      <c r="H1641" s="150" t="str">
        <f t="shared" si="542"/>
        <v/>
      </c>
      <c r="I1641" s="150">
        <f t="shared" si="542"/>
        <v>0</v>
      </c>
      <c r="J1641" s="150">
        <f t="shared" si="542"/>
        <v>0</v>
      </c>
      <c r="K1641" s="196"/>
      <c r="L1641" s="197"/>
      <c r="M1641" s="191">
        <f t="shared" si="543"/>
        <v>0</v>
      </c>
      <c r="N1641" s="150">
        <f t="shared" si="543"/>
        <v>0</v>
      </c>
      <c r="O1641" s="193">
        <f t="shared" si="543"/>
        <v>0</v>
      </c>
      <c r="P1641" s="162">
        <f t="shared" si="544"/>
        <v>0</v>
      </c>
      <c r="Q1641" s="162">
        <f t="shared" si="544"/>
        <v>0</v>
      </c>
      <c r="R1641" s="162">
        <f t="shared" si="544"/>
        <v>0</v>
      </c>
      <c r="S1641" s="162">
        <f t="shared" si="544"/>
        <v>0</v>
      </c>
      <c r="T1641" s="162">
        <f t="shared" si="544"/>
        <v>0</v>
      </c>
      <c r="U1641" s="162">
        <f t="shared" si="544"/>
        <v>0</v>
      </c>
      <c r="V1641" s="162">
        <f t="shared" si="544"/>
        <v>0</v>
      </c>
      <c r="W1641" s="162">
        <f t="shared" si="544"/>
        <v>0</v>
      </c>
      <c r="X1641" s="162">
        <f t="shared" si="544"/>
        <v>0</v>
      </c>
      <c r="Y1641" s="162">
        <f t="shared" si="544"/>
        <v>0</v>
      </c>
      <c r="Z1641" s="162">
        <f t="shared" si="544"/>
        <v>0</v>
      </c>
      <c r="AA1641" s="162">
        <f t="shared" si="544"/>
        <v>0</v>
      </c>
      <c r="AB1641" s="163">
        <f t="shared" si="538"/>
        <v>0</v>
      </c>
      <c r="AC1641" s="198"/>
    </row>
    <row r="1642" spans="1:29" hidden="1" outlineLevel="1" x14ac:dyDescent="0.25">
      <c r="A1642" s="14" t="str">
        <f t="shared" si="528"/>
        <v>TERC_OPER__27</v>
      </c>
      <c r="B1642" s="15" t="str">
        <f t="shared" si="534"/>
        <v>TERC_OPER__0_0</v>
      </c>
      <c r="C1642" s="83"/>
      <c r="D1642" s="15">
        <f t="shared" si="535"/>
        <v>0</v>
      </c>
      <c r="E1642" s="15">
        <v>27</v>
      </c>
      <c r="F1642" s="190">
        <f t="shared" si="542"/>
        <v>0</v>
      </c>
      <c r="G1642" s="149" t="str">
        <f t="shared" si="542"/>
        <v/>
      </c>
      <c r="H1642" s="150" t="str">
        <f t="shared" si="542"/>
        <v/>
      </c>
      <c r="I1642" s="150">
        <f t="shared" si="542"/>
        <v>0</v>
      </c>
      <c r="J1642" s="150">
        <f t="shared" si="542"/>
        <v>0</v>
      </c>
      <c r="K1642" s="196"/>
      <c r="L1642" s="197"/>
      <c r="M1642" s="191">
        <f t="shared" si="543"/>
        <v>0</v>
      </c>
      <c r="N1642" s="150">
        <f t="shared" si="543"/>
        <v>0</v>
      </c>
      <c r="O1642" s="193">
        <f t="shared" si="543"/>
        <v>0</v>
      </c>
      <c r="P1642" s="162">
        <f t="shared" si="544"/>
        <v>0</v>
      </c>
      <c r="Q1642" s="162">
        <f t="shared" si="544"/>
        <v>0</v>
      </c>
      <c r="R1642" s="162">
        <f t="shared" si="544"/>
        <v>0</v>
      </c>
      <c r="S1642" s="162">
        <f t="shared" si="544"/>
        <v>0</v>
      </c>
      <c r="T1642" s="162">
        <f t="shared" si="544"/>
        <v>0</v>
      </c>
      <c r="U1642" s="162">
        <f t="shared" si="544"/>
        <v>0</v>
      </c>
      <c r="V1642" s="162">
        <f t="shared" si="544"/>
        <v>0</v>
      </c>
      <c r="W1642" s="162">
        <f t="shared" si="544"/>
        <v>0</v>
      </c>
      <c r="X1642" s="162">
        <f t="shared" si="544"/>
        <v>0</v>
      </c>
      <c r="Y1642" s="162">
        <f t="shared" si="544"/>
        <v>0</v>
      </c>
      <c r="Z1642" s="162">
        <f t="shared" si="544"/>
        <v>0</v>
      </c>
      <c r="AA1642" s="162">
        <f t="shared" si="544"/>
        <v>0</v>
      </c>
      <c r="AB1642" s="163">
        <f t="shared" si="538"/>
        <v>0</v>
      </c>
      <c r="AC1642" s="198"/>
    </row>
    <row r="1643" spans="1:29" hidden="1" outlineLevel="1" x14ac:dyDescent="0.25">
      <c r="A1643" s="14" t="str">
        <f t="shared" si="528"/>
        <v>TERC_OPER__28</v>
      </c>
      <c r="B1643" s="15" t="str">
        <f t="shared" si="534"/>
        <v>TERC_OPER__0_0</v>
      </c>
      <c r="C1643" s="83"/>
      <c r="D1643" s="15">
        <f t="shared" si="535"/>
        <v>0</v>
      </c>
      <c r="E1643" s="15">
        <v>28</v>
      </c>
      <c r="F1643" s="190">
        <f t="shared" si="542"/>
        <v>0</v>
      </c>
      <c r="G1643" s="149" t="str">
        <f t="shared" si="542"/>
        <v/>
      </c>
      <c r="H1643" s="150" t="str">
        <f t="shared" si="542"/>
        <v/>
      </c>
      <c r="I1643" s="150">
        <f t="shared" si="542"/>
        <v>0</v>
      </c>
      <c r="J1643" s="150">
        <f t="shared" si="542"/>
        <v>0</v>
      </c>
      <c r="K1643" s="196"/>
      <c r="L1643" s="197"/>
      <c r="M1643" s="191">
        <f t="shared" si="543"/>
        <v>0</v>
      </c>
      <c r="N1643" s="150">
        <f t="shared" si="543"/>
        <v>0</v>
      </c>
      <c r="O1643" s="193">
        <f t="shared" si="543"/>
        <v>0</v>
      </c>
      <c r="P1643" s="162">
        <f t="shared" si="544"/>
        <v>0</v>
      </c>
      <c r="Q1643" s="162">
        <f t="shared" si="544"/>
        <v>0</v>
      </c>
      <c r="R1643" s="162">
        <f t="shared" si="544"/>
        <v>0</v>
      </c>
      <c r="S1643" s="162">
        <f t="shared" si="544"/>
        <v>0</v>
      </c>
      <c r="T1643" s="162">
        <f t="shared" si="544"/>
        <v>0</v>
      </c>
      <c r="U1643" s="162">
        <f t="shared" si="544"/>
        <v>0</v>
      </c>
      <c r="V1643" s="162">
        <f t="shared" si="544"/>
        <v>0</v>
      </c>
      <c r="W1643" s="162">
        <f t="shared" si="544"/>
        <v>0</v>
      </c>
      <c r="X1643" s="162">
        <f t="shared" si="544"/>
        <v>0</v>
      </c>
      <c r="Y1643" s="162">
        <f t="shared" si="544"/>
        <v>0</v>
      </c>
      <c r="Z1643" s="162">
        <f t="shared" si="544"/>
        <v>0</v>
      </c>
      <c r="AA1643" s="162">
        <f t="shared" si="544"/>
        <v>0</v>
      </c>
      <c r="AB1643" s="163">
        <f t="shared" si="538"/>
        <v>0</v>
      </c>
      <c r="AC1643" s="198"/>
    </row>
    <row r="1644" spans="1:29" hidden="1" outlineLevel="1" x14ac:dyDescent="0.25">
      <c r="A1644" s="14" t="str">
        <f t="shared" si="528"/>
        <v>TERC_OPER__29</v>
      </c>
      <c r="B1644" s="15" t="str">
        <f t="shared" si="534"/>
        <v>TERC_OPER__0_0</v>
      </c>
      <c r="C1644" s="83"/>
      <c r="D1644" s="15">
        <f t="shared" si="535"/>
        <v>0</v>
      </c>
      <c r="E1644" s="15">
        <v>29</v>
      </c>
      <c r="F1644" s="190">
        <f t="shared" si="542"/>
        <v>0</v>
      </c>
      <c r="G1644" s="149" t="str">
        <f t="shared" si="542"/>
        <v/>
      </c>
      <c r="H1644" s="150" t="str">
        <f t="shared" si="542"/>
        <v/>
      </c>
      <c r="I1644" s="150">
        <f t="shared" si="542"/>
        <v>0</v>
      </c>
      <c r="J1644" s="150">
        <f t="shared" si="542"/>
        <v>0</v>
      </c>
      <c r="K1644" s="196"/>
      <c r="L1644" s="197"/>
      <c r="M1644" s="191">
        <f t="shared" si="543"/>
        <v>0</v>
      </c>
      <c r="N1644" s="150">
        <f t="shared" si="543"/>
        <v>0</v>
      </c>
      <c r="O1644" s="193">
        <f t="shared" si="543"/>
        <v>0</v>
      </c>
      <c r="P1644" s="162">
        <f t="shared" si="544"/>
        <v>0</v>
      </c>
      <c r="Q1644" s="162">
        <f t="shared" si="544"/>
        <v>0</v>
      </c>
      <c r="R1644" s="162">
        <f t="shared" si="544"/>
        <v>0</v>
      </c>
      <c r="S1644" s="162">
        <f t="shared" si="544"/>
        <v>0</v>
      </c>
      <c r="T1644" s="162">
        <f t="shared" si="544"/>
        <v>0</v>
      </c>
      <c r="U1644" s="162">
        <f t="shared" si="544"/>
        <v>0</v>
      </c>
      <c r="V1644" s="162">
        <f t="shared" si="544"/>
        <v>0</v>
      </c>
      <c r="W1644" s="162">
        <f t="shared" si="544"/>
        <v>0</v>
      </c>
      <c r="X1644" s="162">
        <f t="shared" si="544"/>
        <v>0</v>
      </c>
      <c r="Y1644" s="162">
        <f t="shared" si="544"/>
        <v>0</v>
      </c>
      <c r="Z1644" s="162">
        <f t="shared" si="544"/>
        <v>0</v>
      </c>
      <c r="AA1644" s="162">
        <f t="shared" si="544"/>
        <v>0</v>
      </c>
      <c r="AB1644" s="163">
        <f t="shared" si="538"/>
        <v>0</v>
      </c>
      <c r="AC1644" s="198"/>
    </row>
    <row r="1645" spans="1:29" hidden="1" outlineLevel="1" x14ac:dyDescent="0.25">
      <c r="A1645" s="14" t="str">
        <f t="shared" si="528"/>
        <v>TERC_OPER__30</v>
      </c>
      <c r="B1645" s="15" t="str">
        <f t="shared" si="534"/>
        <v>TERC_OPER__0_0</v>
      </c>
      <c r="C1645" s="83"/>
      <c r="D1645" s="15">
        <f t="shared" si="535"/>
        <v>0</v>
      </c>
      <c r="E1645" s="15">
        <v>30</v>
      </c>
      <c r="F1645" s="190">
        <f t="shared" si="542"/>
        <v>0</v>
      </c>
      <c r="G1645" s="149" t="str">
        <f t="shared" si="542"/>
        <v/>
      </c>
      <c r="H1645" s="150" t="str">
        <f t="shared" si="542"/>
        <v/>
      </c>
      <c r="I1645" s="150">
        <f t="shared" si="542"/>
        <v>0</v>
      </c>
      <c r="J1645" s="150">
        <f t="shared" si="542"/>
        <v>0</v>
      </c>
      <c r="K1645" s="196"/>
      <c r="L1645" s="197"/>
      <c r="M1645" s="191">
        <f t="shared" si="543"/>
        <v>0</v>
      </c>
      <c r="N1645" s="150">
        <f t="shared" si="543"/>
        <v>0</v>
      </c>
      <c r="O1645" s="193">
        <f t="shared" si="543"/>
        <v>0</v>
      </c>
      <c r="P1645" s="162">
        <f t="shared" si="544"/>
        <v>0</v>
      </c>
      <c r="Q1645" s="162">
        <f t="shared" si="544"/>
        <v>0</v>
      </c>
      <c r="R1645" s="162">
        <f t="shared" si="544"/>
        <v>0</v>
      </c>
      <c r="S1645" s="162">
        <f t="shared" si="544"/>
        <v>0</v>
      </c>
      <c r="T1645" s="162">
        <f t="shared" si="544"/>
        <v>0</v>
      </c>
      <c r="U1645" s="162">
        <f t="shared" si="544"/>
        <v>0</v>
      </c>
      <c r="V1645" s="162">
        <f t="shared" si="544"/>
        <v>0</v>
      </c>
      <c r="W1645" s="162">
        <f t="shared" si="544"/>
        <v>0</v>
      </c>
      <c r="X1645" s="162">
        <f t="shared" si="544"/>
        <v>0</v>
      </c>
      <c r="Y1645" s="162">
        <f t="shared" si="544"/>
        <v>0</v>
      </c>
      <c r="Z1645" s="162">
        <f t="shared" si="544"/>
        <v>0</v>
      </c>
      <c r="AA1645" s="162">
        <f t="shared" si="544"/>
        <v>0</v>
      </c>
      <c r="AB1645" s="163">
        <f t="shared" si="538"/>
        <v>0</v>
      </c>
      <c r="AC1645" s="198"/>
    </row>
    <row r="1646" spans="1:29" hidden="1" outlineLevel="1" x14ac:dyDescent="0.25">
      <c r="A1646" s="14" t="str">
        <f t="shared" si="528"/>
        <v>TERC_OPER__31</v>
      </c>
      <c r="B1646" s="15" t="str">
        <f t="shared" si="534"/>
        <v>TERC_OPER__0_0</v>
      </c>
      <c r="C1646" s="83"/>
      <c r="D1646" s="15">
        <f t="shared" si="535"/>
        <v>0</v>
      </c>
      <c r="E1646" s="15">
        <v>31</v>
      </c>
      <c r="F1646" s="190">
        <f t="shared" si="542"/>
        <v>0</v>
      </c>
      <c r="G1646" s="149" t="str">
        <f t="shared" si="542"/>
        <v/>
      </c>
      <c r="H1646" s="150" t="str">
        <f t="shared" si="542"/>
        <v/>
      </c>
      <c r="I1646" s="150">
        <f t="shared" si="542"/>
        <v>0</v>
      </c>
      <c r="J1646" s="150">
        <f t="shared" si="542"/>
        <v>0</v>
      </c>
      <c r="K1646" s="196"/>
      <c r="L1646" s="197"/>
      <c r="M1646" s="191">
        <f t="shared" si="543"/>
        <v>0</v>
      </c>
      <c r="N1646" s="150">
        <f t="shared" si="543"/>
        <v>0</v>
      </c>
      <c r="O1646" s="193">
        <f t="shared" si="543"/>
        <v>0</v>
      </c>
      <c r="P1646" s="162">
        <f t="shared" si="544"/>
        <v>0</v>
      </c>
      <c r="Q1646" s="162">
        <f t="shared" si="544"/>
        <v>0</v>
      </c>
      <c r="R1646" s="162">
        <f t="shared" si="544"/>
        <v>0</v>
      </c>
      <c r="S1646" s="162">
        <f t="shared" si="544"/>
        <v>0</v>
      </c>
      <c r="T1646" s="162">
        <f t="shared" si="544"/>
        <v>0</v>
      </c>
      <c r="U1646" s="162">
        <f t="shared" si="544"/>
        <v>0</v>
      </c>
      <c r="V1646" s="162">
        <f t="shared" si="544"/>
        <v>0</v>
      </c>
      <c r="W1646" s="162">
        <f t="shared" si="544"/>
        <v>0</v>
      </c>
      <c r="X1646" s="162">
        <f t="shared" si="544"/>
        <v>0</v>
      </c>
      <c r="Y1646" s="162">
        <f t="shared" si="544"/>
        <v>0</v>
      </c>
      <c r="Z1646" s="162">
        <f t="shared" si="544"/>
        <v>0</v>
      </c>
      <c r="AA1646" s="162">
        <f t="shared" si="544"/>
        <v>0</v>
      </c>
      <c r="AB1646" s="163">
        <f t="shared" si="538"/>
        <v>0</v>
      </c>
      <c r="AC1646" s="198"/>
    </row>
    <row r="1647" spans="1:29" hidden="1" outlineLevel="1" x14ac:dyDescent="0.25">
      <c r="A1647" s="14" t="str">
        <f t="shared" si="528"/>
        <v>TERC_OPER__32</v>
      </c>
      <c r="B1647" s="15" t="str">
        <f t="shared" si="534"/>
        <v>TERC_OPER__0_0</v>
      </c>
      <c r="C1647" s="83"/>
      <c r="D1647" s="15">
        <f t="shared" si="535"/>
        <v>0</v>
      </c>
      <c r="E1647" s="15">
        <v>32</v>
      </c>
      <c r="F1647" s="190">
        <f t="shared" si="542"/>
        <v>0</v>
      </c>
      <c r="G1647" s="149" t="str">
        <f t="shared" si="542"/>
        <v/>
      </c>
      <c r="H1647" s="150" t="str">
        <f t="shared" si="542"/>
        <v/>
      </c>
      <c r="I1647" s="150">
        <f t="shared" si="542"/>
        <v>0</v>
      </c>
      <c r="J1647" s="150">
        <f t="shared" si="542"/>
        <v>0</v>
      </c>
      <c r="K1647" s="196"/>
      <c r="L1647" s="197"/>
      <c r="M1647" s="191">
        <f t="shared" si="543"/>
        <v>0</v>
      </c>
      <c r="N1647" s="150">
        <f t="shared" si="543"/>
        <v>0</v>
      </c>
      <c r="O1647" s="193">
        <f t="shared" si="543"/>
        <v>0</v>
      </c>
      <c r="P1647" s="162">
        <f t="shared" si="544"/>
        <v>0</v>
      </c>
      <c r="Q1647" s="162">
        <f t="shared" si="544"/>
        <v>0</v>
      </c>
      <c r="R1647" s="162">
        <f t="shared" si="544"/>
        <v>0</v>
      </c>
      <c r="S1647" s="162">
        <f t="shared" si="544"/>
        <v>0</v>
      </c>
      <c r="T1647" s="162">
        <f t="shared" si="544"/>
        <v>0</v>
      </c>
      <c r="U1647" s="162">
        <f t="shared" si="544"/>
        <v>0</v>
      </c>
      <c r="V1647" s="162">
        <f t="shared" si="544"/>
        <v>0</v>
      </c>
      <c r="W1647" s="162">
        <f t="shared" si="544"/>
        <v>0</v>
      </c>
      <c r="X1647" s="162">
        <f t="shared" si="544"/>
        <v>0</v>
      </c>
      <c r="Y1647" s="162">
        <f t="shared" si="544"/>
        <v>0</v>
      </c>
      <c r="Z1647" s="162">
        <f t="shared" si="544"/>
        <v>0</v>
      </c>
      <c r="AA1647" s="162">
        <f t="shared" si="544"/>
        <v>0</v>
      </c>
      <c r="AB1647" s="163">
        <f t="shared" si="538"/>
        <v>0</v>
      </c>
      <c r="AC1647" s="198"/>
    </row>
    <row r="1648" spans="1:29" hidden="1" outlineLevel="1" x14ac:dyDescent="0.25">
      <c r="A1648" s="14" t="str">
        <f t="shared" si="528"/>
        <v>TERC_OPER__33</v>
      </c>
      <c r="B1648" s="15" t="str">
        <f t="shared" si="534"/>
        <v>TERC_OPER__0_0</v>
      </c>
      <c r="C1648" s="83"/>
      <c r="D1648" s="15">
        <f t="shared" si="535"/>
        <v>0</v>
      </c>
      <c r="E1648" s="15">
        <v>33</v>
      </c>
      <c r="F1648" s="190">
        <f t="shared" ref="F1648:J1660" si="545">F1602</f>
        <v>0</v>
      </c>
      <c r="G1648" s="149" t="str">
        <f t="shared" si="545"/>
        <v/>
      </c>
      <c r="H1648" s="150" t="str">
        <f t="shared" si="545"/>
        <v/>
      </c>
      <c r="I1648" s="150">
        <f t="shared" si="545"/>
        <v>0</v>
      </c>
      <c r="J1648" s="150">
        <f t="shared" si="545"/>
        <v>0</v>
      </c>
      <c r="K1648" s="196"/>
      <c r="L1648" s="197"/>
      <c r="M1648" s="191">
        <f t="shared" ref="M1648:O1660" si="546">M1602</f>
        <v>0</v>
      </c>
      <c r="N1648" s="150">
        <f t="shared" si="546"/>
        <v>0</v>
      </c>
      <c r="O1648" s="193">
        <f t="shared" si="546"/>
        <v>0</v>
      </c>
      <c r="P1648" s="162">
        <f t="shared" si="544"/>
        <v>0</v>
      </c>
      <c r="Q1648" s="162">
        <f t="shared" si="544"/>
        <v>0</v>
      </c>
      <c r="R1648" s="162">
        <f t="shared" si="544"/>
        <v>0</v>
      </c>
      <c r="S1648" s="162">
        <f t="shared" si="544"/>
        <v>0</v>
      </c>
      <c r="T1648" s="162">
        <f t="shared" si="544"/>
        <v>0</v>
      </c>
      <c r="U1648" s="162">
        <f t="shared" si="544"/>
        <v>0</v>
      </c>
      <c r="V1648" s="162">
        <f t="shared" si="544"/>
        <v>0</v>
      </c>
      <c r="W1648" s="162">
        <f t="shared" si="544"/>
        <v>0</v>
      </c>
      <c r="X1648" s="162">
        <f t="shared" si="544"/>
        <v>0</v>
      </c>
      <c r="Y1648" s="162">
        <f t="shared" si="544"/>
        <v>0</v>
      </c>
      <c r="Z1648" s="162">
        <f t="shared" si="544"/>
        <v>0</v>
      </c>
      <c r="AA1648" s="162">
        <f t="shared" si="544"/>
        <v>0</v>
      </c>
      <c r="AB1648" s="163">
        <f t="shared" si="538"/>
        <v>0</v>
      </c>
      <c r="AC1648" s="198"/>
    </row>
    <row r="1649" spans="1:29" hidden="1" outlineLevel="1" x14ac:dyDescent="0.25">
      <c r="A1649" s="14" t="str">
        <f t="shared" si="528"/>
        <v>TERC_OPER__34</v>
      </c>
      <c r="B1649" s="15" t="str">
        <f t="shared" si="534"/>
        <v>TERC_OPER__0_0</v>
      </c>
      <c r="C1649" s="83"/>
      <c r="D1649" s="15">
        <f t="shared" si="535"/>
        <v>0</v>
      </c>
      <c r="E1649" s="15">
        <v>34</v>
      </c>
      <c r="F1649" s="190">
        <f t="shared" si="545"/>
        <v>0</v>
      </c>
      <c r="G1649" s="149" t="str">
        <f t="shared" si="545"/>
        <v/>
      </c>
      <c r="H1649" s="150" t="str">
        <f t="shared" si="545"/>
        <v/>
      </c>
      <c r="I1649" s="150">
        <f t="shared" si="545"/>
        <v>0</v>
      </c>
      <c r="J1649" s="150">
        <f t="shared" si="545"/>
        <v>0</v>
      </c>
      <c r="K1649" s="196"/>
      <c r="L1649" s="197"/>
      <c r="M1649" s="191">
        <f t="shared" si="546"/>
        <v>0</v>
      </c>
      <c r="N1649" s="150">
        <f t="shared" si="546"/>
        <v>0</v>
      </c>
      <c r="O1649" s="193">
        <f t="shared" si="546"/>
        <v>0</v>
      </c>
      <c r="P1649" s="162">
        <f t="shared" si="544"/>
        <v>0</v>
      </c>
      <c r="Q1649" s="162">
        <f t="shared" si="544"/>
        <v>0</v>
      </c>
      <c r="R1649" s="162">
        <f t="shared" si="544"/>
        <v>0</v>
      </c>
      <c r="S1649" s="162">
        <f t="shared" si="544"/>
        <v>0</v>
      </c>
      <c r="T1649" s="162">
        <f t="shared" si="544"/>
        <v>0</v>
      </c>
      <c r="U1649" s="162">
        <f t="shared" si="544"/>
        <v>0</v>
      </c>
      <c r="V1649" s="162">
        <f t="shared" si="544"/>
        <v>0</v>
      </c>
      <c r="W1649" s="162">
        <f t="shared" si="544"/>
        <v>0</v>
      </c>
      <c r="X1649" s="162">
        <f t="shared" si="544"/>
        <v>0</v>
      </c>
      <c r="Y1649" s="162">
        <f t="shared" si="544"/>
        <v>0</v>
      </c>
      <c r="Z1649" s="162">
        <f t="shared" si="544"/>
        <v>0</v>
      </c>
      <c r="AA1649" s="162">
        <f t="shared" si="544"/>
        <v>0</v>
      </c>
      <c r="AB1649" s="163">
        <f t="shared" si="538"/>
        <v>0</v>
      </c>
      <c r="AC1649" s="198"/>
    </row>
    <row r="1650" spans="1:29" hidden="1" outlineLevel="1" x14ac:dyDescent="0.25">
      <c r="A1650" s="14" t="str">
        <f t="shared" si="528"/>
        <v>TERC_OPER__35</v>
      </c>
      <c r="B1650" s="15" t="str">
        <f t="shared" si="534"/>
        <v>TERC_OPER__0_0</v>
      </c>
      <c r="C1650" s="83"/>
      <c r="D1650" s="15">
        <f t="shared" si="535"/>
        <v>0</v>
      </c>
      <c r="E1650" s="15">
        <v>35</v>
      </c>
      <c r="F1650" s="190">
        <f t="shared" si="545"/>
        <v>0</v>
      </c>
      <c r="G1650" s="149" t="str">
        <f t="shared" si="545"/>
        <v/>
      </c>
      <c r="H1650" s="150" t="str">
        <f t="shared" si="545"/>
        <v/>
      </c>
      <c r="I1650" s="150">
        <f t="shared" si="545"/>
        <v>0</v>
      </c>
      <c r="J1650" s="150">
        <f t="shared" si="545"/>
        <v>0</v>
      </c>
      <c r="K1650" s="196"/>
      <c r="L1650" s="197"/>
      <c r="M1650" s="191">
        <f t="shared" si="546"/>
        <v>0</v>
      </c>
      <c r="N1650" s="150">
        <f t="shared" si="546"/>
        <v>0</v>
      </c>
      <c r="O1650" s="193">
        <f t="shared" si="546"/>
        <v>0</v>
      </c>
      <c r="P1650" s="162">
        <f t="shared" si="544"/>
        <v>0</v>
      </c>
      <c r="Q1650" s="162">
        <f t="shared" si="544"/>
        <v>0</v>
      </c>
      <c r="R1650" s="162">
        <f t="shared" si="544"/>
        <v>0</v>
      </c>
      <c r="S1650" s="162">
        <f t="shared" si="544"/>
        <v>0</v>
      </c>
      <c r="T1650" s="162">
        <f t="shared" si="544"/>
        <v>0</v>
      </c>
      <c r="U1650" s="162">
        <f t="shared" si="544"/>
        <v>0</v>
      </c>
      <c r="V1650" s="162">
        <f t="shared" si="544"/>
        <v>0</v>
      </c>
      <c r="W1650" s="162">
        <f t="shared" si="544"/>
        <v>0</v>
      </c>
      <c r="X1650" s="162">
        <f t="shared" si="544"/>
        <v>0</v>
      </c>
      <c r="Y1650" s="162">
        <f t="shared" si="544"/>
        <v>0</v>
      </c>
      <c r="Z1650" s="162">
        <f t="shared" si="544"/>
        <v>0</v>
      </c>
      <c r="AA1650" s="162">
        <f t="shared" si="544"/>
        <v>0</v>
      </c>
      <c r="AB1650" s="163">
        <f t="shared" si="538"/>
        <v>0</v>
      </c>
      <c r="AC1650" s="198"/>
    </row>
    <row r="1651" spans="1:29" hidden="1" outlineLevel="1" x14ac:dyDescent="0.25">
      <c r="A1651" s="14" t="str">
        <f t="shared" si="528"/>
        <v>TERC_OPER__36</v>
      </c>
      <c r="B1651" s="15" t="str">
        <f t="shared" si="534"/>
        <v>TERC_OPER__0_0</v>
      </c>
      <c r="C1651" s="83"/>
      <c r="D1651" s="15">
        <f t="shared" si="535"/>
        <v>0</v>
      </c>
      <c r="E1651" s="15">
        <v>36</v>
      </c>
      <c r="F1651" s="190">
        <f t="shared" si="545"/>
        <v>0</v>
      </c>
      <c r="G1651" s="149" t="str">
        <f t="shared" si="545"/>
        <v/>
      </c>
      <c r="H1651" s="150" t="str">
        <f t="shared" si="545"/>
        <v/>
      </c>
      <c r="I1651" s="150">
        <f t="shared" si="545"/>
        <v>0</v>
      </c>
      <c r="J1651" s="150">
        <f t="shared" si="545"/>
        <v>0</v>
      </c>
      <c r="K1651" s="196"/>
      <c r="L1651" s="197"/>
      <c r="M1651" s="191">
        <f t="shared" si="546"/>
        <v>0</v>
      </c>
      <c r="N1651" s="150">
        <f t="shared" si="546"/>
        <v>0</v>
      </c>
      <c r="O1651" s="193">
        <f t="shared" si="546"/>
        <v>0</v>
      </c>
      <c r="P1651" s="162">
        <f t="shared" si="544"/>
        <v>0</v>
      </c>
      <c r="Q1651" s="162">
        <f t="shared" si="544"/>
        <v>0</v>
      </c>
      <c r="R1651" s="162">
        <f t="shared" si="544"/>
        <v>0</v>
      </c>
      <c r="S1651" s="162">
        <f t="shared" si="544"/>
        <v>0</v>
      </c>
      <c r="T1651" s="162">
        <f t="shared" si="544"/>
        <v>0</v>
      </c>
      <c r="U1651" s="162">
        <f t="shared" si="544"/>
        <v>0</v>
      </c>
      <c r="V1651" s="162">
        <f t="shared" si="544"/>
        <v>0</v>
      </c>
      <c r="W1651" s="162">
        <f t="shared" si="544"/>
        <v>0</v>
      </c>
      <c r="X1651" s="162">
        <f t="shared" si="544"/>
        <v>0</v>
      </c>
      <c r="Y1651" s="162">
        <f t="shared" si="544"/>
        <v>0</v>
      </c>
      <c r="Z1651" s="162">
        <f t="shared" si="544"/>
        <v>0</v>
      </c>
      <c r="AA1651" s="162">
        <f t="shared" si="544"/>
        <v>0</v>
      </c>
      <c r="AB1651" s="163">
        <f t="shared" si="538"/>
        <v>0</v>
      </c>
      <c r="AC1651" s="198"/>
    </row>
    <row r="1652" spans="1:29" hidden="1" outlineLevel="1" x14ac:dyDescent="0.25">
      <c r="A1652" s="14" t="str">
        <f t="shared" ref="A1652:A1660" si="547">"TERC_OPER_"&amp;C1652&amp;"_"&amp;E1652</f>
        <v>TERC_OPER__37</v>
      </c>
      <c r="B1652" s="15" t="str">
        <f t="shared" si="534"/>
        <v>TERC_OPER__0_0</v>
      </c>
      <c r="C1652" s="83"/>
      <c r="D1652" s="15">
        <f t="shared" si="535"/>
        <v>0</v>
      </c>
      <c r="E1652" s="15">
        <v>37</v>
      </c>
      <c r="F1652" s="190">
        <f t="shared" si="545"/>
        <v>0</v>
      </c>
      <c r="G1652" s="149" t="str">
        <f t="shared" si="545"/>
        <v/>
      </c>
      <c r="H1652" s="150" t="str">
        <f t="shared" si="545"/>
        <v/>
      </c>
      <c r="I1652" s="150">
        <f t="shared" si="545"/>
        <v>0</v>
      </c>
      <c r="J1652" s="150">
        <f t="shared" si="545"/>
        <v>0</v>
      </c>
      <c r="K1652" s="196"/>
      <c r="L1652" s="197"/>
      <c r="M1652" s="191">
        <f t="shared" si="546"/>
        <v>0</v>
      </c>
      <c r="N1652" s="150">
        <f t="shared" si="546"/>
        <v>0</v>
      </c>
      <c r="O1652" s="193">
        <f t="shared" si="546"/>
        <v>0</v>
      </c>
      <c r="P1652" s="162">
        <f t="shared" si="544"/>
        <v>0</v>
      </c>
      <c r="Q1652" s="162">
        <f t="shared" si="544"/>
        <v>0</v>
      </c>
      <c r="R1652" s="162">
        <f t="shared" si="544"/>
        <v>0</v>
      </c>
      <c r="S1652" s="162">
        <f t="shared" si="544"/>
        <v>0</v>
      </c>
      <c r="T1652" s="162">
        <f t="shared" si="544"/>
        <v>0</v>
      </c>
      <c r="U1652" s="162">
        <f t="shared" si="544"/>
        <v>0</v>
      </c>
      <c r="V1652" s="162">
        <f t="shared" si="544"/>
        <v>0</v>
      </c>
      <c r="W1652" s="162">
        <f t="shared" si="544"/>
        <v>0</v>
      </c>
      <c r="X1652" s="162">
        <f t="shared" si="544"/>
        <v>0</v>
      </c>
      <c r="Y1652" s="162">
        <f t="shared" si="544"/>
        <v>0</v>
      </c>
      <c r="Z1652" s="162">
        <f t="shared" si="544"/>
        <v>0</v>
      </c>
      <c r="AA1652" s="162">
        <f t="shared" si="544"/>
        <v>0</v>
      </c>
      <c r="AB1652" s="163">
        <f t="shared" si="538"/>
        <v>0</v>
      </c>
      <c r="AC1652" s="198"/>
    </row>
    <row r="1653" spans="1:29" hidden="1" outlineLevel="1" x14ac:dyDescent="0.25">
      <c r="A1653" s="14" t="str">
        <f t="shared" si="547"/>
        <v>TERC_OPER__38</v>
      </c>
      <c r="B1653" s="15" t="str">
        <f t="shared" si="534"/>
        <v>TERC_OPER__0_0</v>
      </c>
      <c r="C1653" s="83"/>
      <c r="D1653" s="15">
        <f t="shared" si="535"/>
        <v>0</v>
      </c>
      <c r="E1653" s="15">
        <v>38</v>
      </c>
      <c r="F1653" s="190">
        <f t="shared" si="545"/>
        <v>0</v>
      </c>
      <c r="G1653" s="149" t="str">
        <f t="shared" si="545"/>
        <v/>
      </c>
      <c r="H1653" s="150" t="str">
        <f t="shared" si="545"/>
        <v/>
      </c>
      <c r="I1653" s="150">
        <f t="shared" si="545"/>
        <v>0</v>
      </c>
      <c r="J1653" s="150">
        <f t="shared" si="545"/>
        <v>0</v>
      </c>
      <c r="K1653" s="196"/>
      <c r="L1653" s="197"/>
      <c r="M1653" s="191">
        <f t="shared" si="546"/>
        <v>0</v>
      </c>
      <c r="N1653" s="150">
        <f t="shared" si="546"/>
        <v>0</v>
      </c>
      <c r="O1653" s="193">
        <f t="shared" si="546"/>
        <v>0</v>
      </c>
      <c r="P1653" s="162">
        <f t="shared" ref="P1653:AA1660" si="548">IFERROR(SUMIF($B$1351:$B$1378,$C1653&amp;$I1653,P$1351:P$1378)/SUMIF($D$1351:$D$1378,$I1653,P$1351:P$1378)*P1419,0)</f>
        <v>0</v>
      </c>
      <c r="Q1653" s="162">
        <f t="shared" si="548"/>
        <v>0</v>
      </c>
      <c r="R1653" s="162">
        <f t="shared" si="548"/>
        <v>0</v>
      </c>
      <c r="S1653" s="162">
        <f t="shared" si="548"/>
        <v>0</v>
      </c>
      <c r="T1653" s="162">
        <f t="shared" si="548"/>
        <v>0</v>
      </c>
      <c r="U1653" s="162">
        <f t="shared" si="548"/>
        <v>0</v>
      </c>
      <c r="V1653" s="162">
        <f t="shared" si="548"/>
        <v>0</v>
      </c>
      <c r="W1653" s="162">
        <f t="shared" si="548"/>
        <v>0</v>
      </c>
      <c r="X1653" s="162">
        <f t="shared" si="548"/>
        <v>0</v>
      </c>
      <c r="Y1653" s="162">
        <f t="shared" si="548"/>
        <v>0</v>
      </c>
      <c r="Z1653" s="162">
        <f t="shared" si="548"/>
        <v>0</v>
      </c>
      <c r="AA1653" s="162">
        <f t="shared" si="548"/>
        <v>0</v>
      </c>
      <c r="AB1653" s="163">
        <f t="shared" si="538"/>
        <v>0</v>
      </c>
      <c r="AC1653" s="198"/>
    </row>
    <row r="1654" spans="1:29" hidden="1" outlineLevel="1" x14ac:dyDescent="0.25">
      <c r="A1654" s="14" t="str">
        <f t="shared" si="547"/>
        <v>TERC_OPER__39</v>
      </c>
      <c r="B1654" s="15" t="str">
        <f t="shared" si="534"/>
        <v>TERC_OPER__0_0</v>
      </c>
      <c r="C1654" s="83"/>
      <c r="D1654" s="15">
        <f t="shared" si="535"/>
        <v>0</v>
      </c>
      <c r="E1654" s="15">
        <v>39</v>
      </c>
      <c r="F1654" s="190">
        <f t="shared" si="545"/>
        <v>0</v>
      </c>
      <c r="G1654" s="149" t="str">
        <f t="shared" si="545"/>
        <v/>
      </c>
      <c r="H1654" s="150" t="str">
        <f t="shared" si="545"/>
        <v/>
      </c>
      <c r="I1654" s="150">
        <f t="shared" si="545"/>
        <v>0</v>
      </c>
      <c r="J1654" s="150">
        <f t="shared" si="545"/>
        <v>0</v>
      </c>
      <c r="K1654" s="196"/>
      <c r="L1654" s="197"/>
      <c r="M1654" s="191">
        <f t="shared" si="546"/>
        <v>0</v>
      </c>
      <c r="N1654" s="150">
        <f t="shared" si="546"/>
        <v>0</v>
      </c>
      <c r="O1654" s="193">
        <f t="shared" si="546"/>
        <v>0</v>
      </c>
      <c r="P1654" s="162">
        <f t="shared" si="548"/>
        <v>0</v>
      </c>
      <c r="Q1654" s="162">
        <f t="shared" si="548"/>
        <v>0</v>
      </c>
      <c r="R1654" s="162">
        <f t="shared" si="548"/>
        <v>0</v>
      </c>
      <c r="S1654" s="162">
        <f t="shared" si="548"/>
        <v>0</v>
      </c>
      <c r="T1654" s="162">
        <f t="shared" si="548"/>
        <v>0</v>
      </c>
      <c r="U1654" s="162">
        <f t="shared" si="548"/>
        <v>0</v>
      </c>
      <c r="V1654" s="162">
        <f t="shared" si="548"/>
        <v>0</v>
      </c>
      <c r="W1654" s="162">
        <f t="shared" si="548"/>
        <v>0</v>
      </c>
      <c r="X1654" s="162">
        <f t="shared" si="548"/>
        <v>0</v>
      </c>
      <c r="Y1654" s="162">
        <f t="shared" si="548"/>
        <v>0</v>
      </c>
      <c r="Z1654" s="162">
        <f t="shared" si="548"/>
        <v>0</v>
      </c>
      <c r="AA1654" s="162">
        <f t="shared" si="548"/>
        <v>0</v>
      </c>
      <c r="AB1654" s="163">
        <f t="shared" si="538"/>
        <v>0</v>
      </c>
      <c r="AC1654" s="198"/>
    </row>
    <row r="1655" spans="1:29" hidden="1" outlineLevel="1" x14ac:dyDescent="0.25">
      <c r="A1655" s="14" t="str">
        <f t="shared" si="547"/>
        <v>TERC_OPER__40</v>
      </c>
      <c r="B1655" s="15" t="str">
        <f t="shared" si="534"/>
        <v>TERC_OPER__0_0</v>
      </c>
      <c r="C1655" s="83"/>
      <c r="D1655" s="15">
        <f t="shared" si="535"/>
        <v>0</v>
      </c>
      <c r="E1655" s="15">
        <v>40</v>
      </c>
      <c r="F1655" s="190">
        <f t="shared" si="545"/>
        <v>0</v>
      </c>
      <c r="G1655" s="149" t="str">
        <f t="shared" si="545"/>
        <v/>
      </c>
      <c r="H1655" s="150" t="str">
        <f t="shared" si="545"/>
        <v/>
      </c>
      <c r="I1655" s="150">
        <f t="shared" si="545"/>
        <v>0</v>
      </c>
      <c r="J1655" s="150">
        <f t="shared" si="545"/>
        <v>0</v>
      </c>
      <c r="K1655" s="196"/>
      <c r="L1655" s="197"/>
      <c r="M1655" s="191">
        <f t="shared" si="546"/>
        <v>0</v>
      </c>
      <c r="N1655" s="150">
        <f t="shared" si="546"/>
        <v>0</v>
      </c>
      <c r="O1655" s="193">
        <f t="shared" si="546"/>
        <v>0</v>
      </c>
      <c r="P1655" s="162">
        <f t="shared" si="548"/>
        <v>0</v>
      </c>
      <c r="Q1655" s="162">
        <f t="shared" si="548"/>
        <v>0</v>
      </c>
      <c r="R1655" s="162">
        <f t="shared" si="548"/>
        <v>0</v>
      </c>
      <c r="S1655" s="162">
        <f t="shared" si="548"/>
        <v>0</v>
      </c>
      <c r="T1655" s="162">
        <f t="shared" si="548"/>
        <v>0</v>
      </c>
      <c r="U1655" s="162">
        <f t="shared" si="548"/>
        <v>0</v>
      </c>
      <c r="V1655" s="162">
        <f t="shared" si="548"/>
        <v>0</v>
      </c>
      <c r="W1655" s="162">
        <f t="shared" si="548"/>
        <v>0</v>
      </c>
      <c r="X1655" s="162">
        <f t="shared" si="548"/>
        <v>0</v>
      </c>
      <c r="Y1655" s="162">
        <f t="shared" si="548"/>
        <v>0</v>
      </c>
      <c r="Z1655" s="162">
        <f t="shared" si="548"/>
        <v>0</v>
      </c>
      <c r="AA1655" s="162">
        <f t="shared" si="548"/>
        <v>0</v>
      </c>
      <c r="AB1655" s="163">
        <f t="shared" si="538"/>
        <v>0</v>
      </c>
      <c r="AC1655" s="198"/>
    </row>
    <row r="1656" spans="1:29" hidden="1" outlineLevel="1" x14ac:dyDescent="0.25">
      <c r="A1656" s="14" t="str">
        <f t="shared" si="547"/>
        <v>TERC_OPER__41</v>
      </c>
      <c r="B1656" s="15" t="str">
        <f t="shared" si="534"/>
        <v>TERC_OPER__0_0</v>
      </c>
      <c r="C1656" s="83"/>
      <c r="D1656" s="15">
        <f t="shared" si="535"/>
        <v>0</v>
      </c>
      <c r="E1656" s="15">
        <v>41</v>
      </c>
      <c r="F1656" s="190">
        <f t="shared" si="545"/>
        <v>0</v>
      </c>
      <c r="G1656" s="149" t="str">
        <f t="shared" si="545"/>
        <v/>
      </c>
      <c r="H1656" s="150" t="str">
        <f t="shared" si="545"/>
        <v/>
      </c>
      <c r="I1656" s="150">
        <f t="shared" si="545"/>
        <v>0</v>
      </c>
      <c r="J1656" s="150">
        <f t="shared" si="545"/>
        <v>0</v>
      </c>
      <c r="K1656" s="196"/>
      <c r="L1656" s="197"/>
      <c r="M1656" s="191">
        <f t="shared" si="546"/>
        <v>0</v>
      </c>
      <c r="N1656" s="150">
        <f t="shared" si="546"/>
        <v>0</v>
      </c>
      <c r="O1656" s="193">
        <f t="shared" si="546"/>
        <v>0</v>
      </c>
      <c r="P1656" s="162">
        <f t="shared" si="548"/>
        <v>0</v>
      </c>
      <c r="Q1656" s="162">
        <f t="shared" si="548"/>
        <v>0</v>
      </c>
      <c r="R1656" s="162">
        <f t="shared" si="548"/>
        <v>0</v>
      </c>
      <c r="S1656" s="162">
        <f t="shared" si="548"/>
        <v>0</v>
      </c>
      <c r="T1656" s="162">
        <f t="shared" si="548"/>
        <v>0</v>
      </c>
      <c r="U1656" s="162">
        <f t="shared" si="548"/>
        <v>0</v>
      </c>
      <c r="V1656" s="162">
        <f t="shared" si="548"/>
        <v>0</v>
      </c>
      <c r="W1656" s="162">
        <f t="shared" si="548"/>
        <v>0</v>
      </c>
      <c r="X1656" s="162">
        <f t="shared" si="548"/>
        <v>0</v>
      </c>
      <c r="Y1656" s="162">
        <f t="shared" si="548"/>
        <v>0</v>
      </c>
      <c r="Z1656" s="162">
        <f t="shared" si="548"/>
        <v>0</v>
      </c>
      <c r="AA1656" s="162">
        <f t="shared" si="548"/>
        <v>0</v>
      </c>
      <c r="AB1656" s="163">
        <f t="shared" si="538"/>
        <v>0</v>
      </c>
      <c r="AC1656" s="198"/>
    </row>
    <row r="1657" spans="1:29" hidden="1" outlineLevel="1" x14ac:dyDescent="0.25">
      <c r="A1657" s="14" t="str">
        <f t="shared" si="547"/>
        <v>TERC_OPER__42</v>
      </c>
      <c r="B1657" s="15" t="str">
        <f t="shared" si="534"/>
        <v>TERC_OPER__0_0</v>
      </c>
      <c r="C1657" s="83"/>
      <c r="D1657" s="15">
        <f t="shared" si="535"/>
        <v>0</v>
      </c>
      <c r="E1657" s="15">
        <v>42</v>
      </c>
      <c r="F1657" s="190">
        <f t="shared" si="545"/>
        <v>0</v>
      </c>
      <c r="G1657" s="149" t="str">
        <f t="shared" si="545"/>
        <v/>
      </c>
      <c r="H1657" s="150" t="str">
        <f t="shared" si="545"/>
        <v/>
      </c>
      <c r="I1657" s="150">
        <f t="shared" si="545"/>
        <v>0</v>
      </c>
      <c r="J1657" s="150">
        <f t="shared" si="545"/>
        <v>0</v>
      </c>
      <c r="K1657" s="196"/>
      <c r="L1657" s="197"/>
      <c r="M1657" s="191">
        <f t="shared" si="546"/>
        <v>0</v>
      </c>
      <c r="N1657" s="150">
        <f t="shared" si="546"/>
        <v>0</v>
      </c>
      <c r="O1657" s="193">
        <f t="shared" si="546"/>
        <v>0</v>
      </c>
      <c r="P1657" s="162">
        <f t="shared" si="548"/>
        <v>0</v>
      </c>
      <c r="Q1657" s="162">
        <f t="shared" si="548"/>
        <v>0</v>
      </c>
      <c r="R1657" s="162">
        <f t="shared" si="548"/>
        <v>0</v>
      </c>
      <c r="S1657" s="162">
        <f t="shared" si="548"/>
        <v>0</v>
      </c>
      <c r="T1657" s="162">
        <f t="shared" si="548"/>
        <v>0</v>
      </c>
      <c r="U1657" s="162">
        <f t="shared" si="548"/>
        <v>0</v>
      </c>
      <c r="V1657" s="162">
        <f t="shared" si="548"/>
        <v>0</v>
      </c>
      <c r="W1657" s="162">
        <f t="shared" si="548"/>
        <v>0</v>
      </c>
      <c r="X1657" s="162">
        <f t="shared" si="548"/>
        <v>0</v>
      </c>
      <c r="Y1657" s="162">
        <f t="shared" si="548"/>
        <v>0</v>
      </c>
      <c r="Z1657" s="162">
        <f t="shared" si="548"/>
        <v>0</v>
      </c>
      <c r="AA1657" s="162">
        <f t="shared" si="548"/>
        <v>0</v>
      </c>
      <c r="AB1657" s="163">
        <f t="shared" si="538"/>
        <v>0</v>
      </c>
      <c r="AC1657" s="198"/>
    </row>
    <row r="1658" spans="1:29" hidden="1" outlineLevel="1" x14ac:dyDescent="0.25">
      <c r="A1658" s="14" t="str">
        <f t="shared" si="547"/>
        <v>TERC_OPER__43</v>
      </c>
      <c r="B1658" s="15" t="str">
        <f t="shared" si="534"/>
        <v>TERC_OPER__0_0</v>
      </c>
      <c r="C1658" s="83"/>
      <c r="D1658" s="15">
        <f t="shared" si="535"/>
        <v>0</v>
      </c>
      <c r="E1658" s="15">
        <v>43</v>
      </c>
      <c r="F1658" s="190">
        <f t="shared" si="545"/>
        <v>0</v>
      </c>
      <c r="G1658" s="149" t="str">
        <f t="shared" si="545"/>
        <v/>
      </c>
      <c r="H1658" s="150" t="str">
        <f t="shared" si="545"/>
        <v/>
      </c>
      <c r="I1658" s="150">
        <f t="shared" si="545"/>
        <v>0</v>
      </c>
      <c r="J1658" s="150">
        <f t="shared" si="545"/>
        <v>0</v>
      </c>
      <c r="K1658" s="196"/>
      <c r="L1658" s="197"/>
      <c r="M1658" s="191">
        <f t="shared" si="546"/>
        <v>0</v>
      </c>
      <c r="N1658" s="150">
        <f t="shared" si="546"/>
        <v>0</v>
      </c>
      <c r="O1658" s="193">
        <f t="shared" si="546"/>
        <v>0</v>
      </c>
      <c r="P1658" s="162">
        <f t="shared" si="548"/>
        <v>0</v>
      </c>
      <c r="Q1658" s="162">
        <f t="shared" si="548"/>
        <v>0</v>
      </c>
      <c r="R1658" s="162">
        <f t="shared" si="548"/>
        <v>0</v>
      </c>
      <c r="S1658" s="162">
        <f t="shared" si="548"/>
        <v>0</v>
      </c>
      <c r="T1658" s="162">
        <f t="shared" si="548"/>
        <v>0</v>
      </c>
      <c r="U1658" s="162">
        <f t="shared" si="548"/>
        <v>0</v>
      </c>
      <c r="V1658" s="162">
        <f t="shared" si="548"/>
        <v>0</v>
      </c>
      <c r="W1658" s="162">
        <f t="shared" si="548"/>
        <v>0</v>
      </c>
      <c r="X1658" s="162">
        <f t="shared" si="548"/>
        <v>0</v>
      </c>
      <c r="Y1658" s="162">
        <f t="shared" si="548"/>
        <v>0</v>
      </c>
      <c r="Z1658" s="162">
        <f t="shared" si="548"/>
        <v>0</v>
      </c>
      <c r="AA1658" s="162">
        <f t="shared" si="548"/>
        <v>0</v>
      </c>
      <c r="AB1658" s="163">
        <f t="shared" si="538"/>
        <v>0</v>
      </c>
      <c r="AC1658" s="198"/>
    </row>
    <row r="1659" spans="1:29" hidden="1" outlineLevel="1" x14ac:dyDescent="0.25">
      <c r="A1659" s="14" t="str">
        <f t="shared" si="547"/>
        <v>TERC_OPER__44</v>
      </c>
      <c r="B1659" s="15" t="str">
        <f t="shared" si="534"/>
        <v>TERC_OPER__0_0</v>
      </c>
      <c r="C1659" s="83"/>
      <c r="D1659" s="15">
        <f t="shared" si="535"/>
        <v>0</v>
      </c>
      <c r="E1659" s="15">
        <v>44</v>
      </c>
      <c r="F1659" s="190">
        <f t="shared" si="545"/>
        <v>0</v>
      </c>
      <c r="G1659" s="149" t="str">
        <f t="shared" si="545"/>
        <v/>
      </c>
      <c r="H1659" s="150" t="str">
        <f t="shared" si="545"/>
        <v/>
      </c>
      <c r="I1659" s="150">
        <f t="shared" si="545"/>
        <v>0</v>
      </c>
      <c r="J1659" s="150">
        <f t="shared" si="545"/>
        <v>0</v>
      </c>
      <c r="K1659" s="196"/>
      <c r="L1659" s="197"/>
      <c r="M1659" s="191">
        <f t="shared" si="546"/>
        <v>0</v>
      </c>
      <c r="N1659" s="150">
        <f t="shared" si="546"/>
        <v>0</v>
      </c>
      <c r="O1659" s="193">
        <f t="shared" si="546"/>
        <v>0</v>
      </c>
      <c r="P1659" s="162">
        <f t="shared" si="548"/>
        <v>0</v>
      </c>
      <c r="Q1659" s="162">
        <f t="shared" si="548"/>
        <v>0</v>
      </c>
      <c r="R1659" s="162">
        <f t="shared" si="548"/>
        <v>0</v>
      </c>
      <c r="S1659" s="162">
        <f t="shared" si="548"/>
        <v>0</v>
      </c>
      <c r="T1659" s="162">
        <f t="shared" si="548"/>
        <v>0</v>
      </c>
      <c r="U1659" s="162">
        <f t="shared" si="548"/>
        <v>0</v>
      </c>
      <c r="V1659" s="162">
        <f t="shared" si="548"/>
        <v>0</v>
      </c>
      <c r="W1659" s="162">
        <f t="shared" si="548"/>
        <v>0</v>
      </c>
      <c r="X1659" s="162">
        <f t="shared" si="548"/>
        <v>0</v>
      </c>
      <c r="Y1659" s="162">
        <f t="shared" si="548"/>
        <v>0</v>
      </c>
      <c r="Z1659" s="162">
        <f t="shared" si="548"/>
        <v>0</v>
      </c>
      <c r="AA1659" s="162">
        <f t="shared" si="548"/>
        <v>0</v>
      </c>
      <c r="AB1659" s="163">
        <f t="shared" si="538"/>
        <v>0</v>
      </c>
      <c r="AC1659" s="198"/>
    </row>
    <row r="1660" spans="1:29" hidden="1" outlineLevel="1" x14ac:dyDescent="0.25">
      <c r="A1660" s="14" t="str">
        <f t="shared" si="547"/>
        <v>TERC_OPER__45</v>
      </c>
      <c r="B1660" s="15" t="str">
        <f t="shared" si="534"/>
        <v>TERC_OPER__0_0</v>
      </c>
      <c r="C1660" s="83"/>
      <c r="D1660" s="15">
        <f t="shared" si="535"/>
        <v>0</v>
      </c>
      <c r="E1660" s="15">
        <v>45</v>
      </c>
      <c r="F1660" s="209">
        <f t="shared" si="545"/>
        <v>0</v>
      </c>
      <c r="G1660" s="183" t="str">
        <f t="shared" si="545"/>
        <v/>
      </c>
      <c r="H1660" s="184" t="str">
        <f t="shared" si="545"/>
        <v/>
      </c>
      <c r="I1660" s="184">
        <f t="shared" si="545"/>
        <v>0</v>
      </c>
      <c r="J1660" s="184">
        <f t="shared" si="545"/>
        <v>0</v>
      </c>
      <c r="K1660" s="210"/>
      <c r="L1660" s="211"/>
      <c r="M1660" s="212">
        <f t="shared" si="546"/>
        <v>0</v>
      </c>
      <c r="N1660" s="184">
        <f t="shared" si="546"/>
        <v>0</v>
      </c>
      <c r="O1660" s="213">
        <f t="shared" si="546"/>
        <v>0</v>
      </c>
      <c r="P1660" s="175">
        <f t="shared" si="548"/>
        <v>0</v>
      </c>
      <c r="Q1660" s="175">
        <f t="shared" si="548"/>
        <v>0</v>
      </c>
      <c r="R1660" s="175">
        <f t="shared" si="548"/>
        <v>0</v>
      </c>
      <c r="S1660" s="175">
        <f t="shared" si="548"/>
        <v>0</v>
      </c>
      <c r="T1660" s="175">
        <f t="shared" si="548"/>
        <v>0</v>
      </c>
      <c r="U1660" s="175">
        <f t="shared" si="548"/>
        <v>0</v>
      </c>
      <c r="V1660" s="175">
        <f t="shared" si="548"/>
        <v>0</v>
      </c>
      <c r="W1660" s="175">
        <f t="shared" si="548"/>
        <v>0</v>
      </c>
      <c r="X1660" s="175">
        <f t="shared" si="548"/>
        <v>0</v>
      </c>
      <c r="Y1660" s="175">
        <f t="shared" si="548"/>
        <v>0</v>
      </c>
      <c r="Z1660" s="175">
        <f t="shared" si="548"/>
        <v>0</v>
      </c>
      <c r="AA1660" s="175">
        <f t="shared" si="548"/>
        <v>0</v>
      </c>
      <c r="AB1660" s="176">
        <f t="shared" si="538"/>
        <v>0</v>
      </c>
      <c r="AC1660" s="172"/>
    </row>
    <row r="1661" spans="1:29" hidden="1" outlineLevel="1" x14ac:dyDescent="0.25"/>
    <row r="1662" spans="1:29" hidden="1" outlineLevel="1" x14ac:dyDescent="0.25">
      <c r="A1662" s="14"/>
      <c r="F1662" s="199" t="s">
        <v>255</v>
      </c>
      <c r="G1662" s="200"/>
      <c r="H1662" s="201"/>
      <c r="I1662" s="201"/>
      <c r="J1662" s="201"/>
      <c r="K1662" s="201"/>
      <c r="L1662" s="201"/>
      <c r="M1662" s="202"/>
      <c r="N1662" s="201"/>
      <c r="O1662" s="203"/>
      <c r="P1662" s="204">
        <f t="shared" ref="P1662:AB1662" si="549">SUM(P1384:P1426)-SUM(P1524:P1568,P1570:P1614,P1616:P1660)</f>
        <v>400</v>
      </c>
      <c r="Q1662" s="204">
        <f t="shared" si="549"/>
        <v>600</v>
      </c>
      <c r="R1662" s="204">
        <f t="shared" si="549"/>
        <v>600</v>
      </c>
      <c r="S1662" s="204">
        <f t="shared" si="549"/>
        <v>200</v>
      </c>
      <c r="T1662" s="204">
        <f t="shared" si="549"/>
        <v>200</v>
      </c>
      <c r="U1662" s="204">
        <f t="shared" si="549"/>
        <v>0</v>
      </c>
      <c r="V1662" s="204">
        <f t="shared" si="549"/>
        <v>0</v>
      </c>
      <c r="W1662" s="204">
        <f t="shared" si="549"/>
        <v>145</v>
      </c>
      <c r="X1662" s="204">
        <f t="shared" si="549"/>
        <v>2000</v>
      </c>
      <c r="Y1662" s="204">
        <f t="shared" si="549"/>
        <v>2025</v>
      </c>
      <c r="Z1662" s="204">
        <f t="shared" si="549"/>
        <v>0</v>
      </c>
      <c r="AA1662" s="204">
        <f t="shared" si="549"/>
        <v>0</v>
      </c>
      <c r="AB1662" s="205">
        <f t="shared" si="549"/>
        <v>6170</v>
      </c>
      <c r="AC1662" s="206"/>
    </row>
    <row r="1663" spans="1:29" hidden="1" outlineLevel="1" x14ac:dyDescent="0.25"/>
    <row r="1664" spans="1:29" hidden="1" outlineLevel="1" x14ac:dyDescent="0.25">
      <c r="A1664" s="14"/>
      <c r="F1664" s="136" t="s">
        <v>304</v>
      </c>
    </row>
    <row r="1665" spans="1:46" hidden="1" outlineLevel="1" x14ac:dyDescent="0.25">
      <c r="A1665" s="14"/>
      <c r="P1665" s="18" t="s">
        <v>257</v>
      </c>
    </row>
    <row r="1666" spans="1:46" hidden="1" outlineLevel="1" x14ac:dyDescent="0.25">
      <c r="A1666" s="14"/>
      <c r="F1666" s="137" t="s">
        <v>301</v>
      </c>
      <c r="G1666" s="138"/>
      <c r="H1666" s="139" t="s">
        <v>217</v>
      </c>
      <c r="I1666" s="139"/>
      <c r="J1666" s="139" t="s">
        <v>229</v>
      </c>
      <c r="K1666" s="140"/>
      <c r="L1666" s="141"/>
      <c r="M1666" s="142" t="s">
        <v>220</v>
      </c>
      <c r="N1666" s="139" t="s">
        <v>221</v>
      </c>
      <c r="O1666" s="143" t="s">
        <v>222</v>
      </c>
      <c r="P1666" s="35">
        <f t="shared" ref="P1666:AA1666" si="550">P$9</f>
        <v>46113</v>
      </c>
      <c r="Q1666" s="35">
        <f t="shared" si="550"/>
        <v>46143</v>
      </c>
      <c r="R1666" s="35">
        <f t="shared" si="550"/>
        <v>46174</v>
      </c>
      <c r="S1666" s="35">
        <f t="shared" si="550"/>
        <v>46204</v>
      </c>
      <c r="T1666" s="35">
        <f t="shared" si="550"/>
        <v>46235</v>
      </c>
      <c r="U1666" s="35">
        <f t="shared" si="550"/>
        <v>46266</v>
      </c>
      <c r="V1666" s="35">
        <f t="shared" si="550"/>
        <v>46296</v>
      </c>
      <c r="W1666" s="35">
        <f t="shared" si="550"/>
        <v>46327</v>
      </c>
      <c r="X1666" s="35">
        <f t="shared" si="550"/>
        <v>46357</v>
      </c>
      <c r="Y1666" s="35">
        <f t="shared" si="550"/>
        <v>46388</v>
      </c>
      <c r="Z1666" s="35">
        <f t="shared" si="550"/>
        <v>46419</v>
      </c>
      <c r="AA1666" s="35">
        <f t="shared" si="550"/>
        <v>46447</v>
      </c>
      <c r="AB1666" s="81" t="s">
        <v>223</v>
      </c>
      <c r="AC1666" s="82" t="s">
        <v>192</v>
      </c>
      <c r="AE1666" s="189" t="str">
        <f>"Qtde Recursos em: "&amp;F1666</f>
        <v>Qtde Recursos em: TRATOS CANA PLANTA - EXPANSÃO</v>
      </c>
      <c r="AF1666" s="147">
        <f>P1666</f>
        <v>46113</v>
      </c>
      <c r="AG1666" s="35">
        <f t="shared" ref="AG1666:AQ1666" si="551">Q1666</f>
        <v>46143</v>
      </c>
      <c r="AH1666" s="35">
        <f t="shared" si="551"/>
        <v>46174</v>
      </c>
      <c r="AI1666" s="35">
        <f t="shared" si="551"/>
        <v>46204</v>
      </c>
      <c r="AJ1666" s="35">
        <f t="shared" si="551"/>
        <v>46235</v>
      </c>
      <c r="AK1666" s="35">
        <f t="shared" si="551"/>
        <v>46266</v>
      </c>
      <c r="AL1666" s="35">
        <f t="shared" si="551"/>
        <v>46296</v>
      </c>
      <c r="AM1666" s="35">
        <f t="shared" si="551"/>
        <v>46327</v>
      </c>
      <c r="AN1666" s="35">
        <f t="shared" si="551"/>
        <v>46357</v>
      </c>
      <c r="AO1666" s="35">
        <f t="shared" si="551"/>
        <v>46388</v>
      </c>
      <c r="AP1666" s="35">
        <f t="shared" si="551"/>
        <v>46419</v>
      </c>
      <c r="AQ1666" s="35">
        <f t="shared" si="551"/>
        <v>46447</v>
      </c>
      <c r="AR1666" s="81" t="s">
        <v>223</v>
      </c>
      <c r="AT1666" s="189" t="s">
        <v>258</v>
      </c>
    </row>
    <row r="1667" spans="1:46" hidden="1" outlineLevel="1" x14ac:dyDescent="0.25">
      <c r="A1667" s="14" t="str">
        <f t="shared" ref="A1667:A1730" si="552">"PROP_OPER_"&amp;C1667&amp;"_"&amp;E1667</f>
        <v>PROP_OPER__1</v>
      </c>
      <c r="B1667" s="15" t="str">
        <f t="shared" ref="B1667:B1711" si="553">"PROP_OPER_"&amp;C1667&amp;"_"&amp;F1667&amp;"_"&amp;J1667</f>
        <v>PROP_OPER__1031_0</v>
      </c>
      <c r="C1667" s="83"/>
      <c r="D1667" s="15">
        <v>1</v>
      </c>
      <c r="E1667" s="15">
        <v>1</v>
      </c>
      <c r="F1667" s="190">
        <f t="shared" ref="F1667:J1682" si="554">F1428</f>
        <v>1031</v>
      </c>
      <c r="G1667" s="149" t="str">
        <f t="shared" si="554"/>
        <v/>
      </c>
      <c r="H1667" s="150" t="str">
        <f t="shared" si="554"/>
        <v/>
      </c>
      <c r="I1667" s="150" t="str">
        <f t="shared" si="554"/>
        <v>TRATCPP</v>
      </c>
      <c r="J1667" s="150">
        <f t="shared" si="554"/>
        <v>0</v>
      </c>
      <c r="K1667" s="196"/>
      <c r="L1667" s="197"/>
      <c r="M1667" s="191">
        <f t="shared" ref="M1667:O1682" si="555">M1428</f>
        <v>0</v>
      </c>
      <c r="N1667" s="150">
        <f t="shared" si="555"/>
        <v>0</v>
      </c>
      <c r="O1667" s="193">
        <f t="shared" si="555"/>
        <v>0</v>
      </c>
      <c r="P1667" s="162">
        <f t="shared" ref="P1667:AA1672" si="556">IFERROR(SUMIF($B$1351:$B$1378,$C1667&amp;$I1667,P$1351:P$1378)/SUMIF($D$1351:$D$1378,$I1667,P$1351:P$1378)*P1428,0)</f>
        <v>0</v>
      </c>
      <c r="Q1667" s="162">
        <f t="shared" si="556"/>
        <v>0</v>
      </c>
      <c r="R1667" s="162">
        <f t="shared" si="556"/>
        <v>0</v>
      </c>
      <c r="S1667" s="162">
        <f t="shared" si="556"/>
        <v>0</v>
      </c>
      <c r="T1667" s="162">
        <f t="shared" si="556"/>
        <v>0</v>
      </c>
      <c r="U1667" s="162">
        <f t="shared" si="556"/>
        <v>0</v>
      </c>
      <c r="V1667" s="162">
        <f t="shared" si="556"/>
        <v>0</v>
      </c>
      <c r="W1667" s="162">
        <f t="shared" si="556"/>
        <v>0</v>
      </c>
      <c r="X1667" s="162">
        <f t="shared" si="556"/>
        <v>0</v>
      </c>
      <c r="Y1667" s="162">
        <f t="shared" si="556"/>
        <v>0</v>
      </c>
      <c r="Z1667" s="162">
        <f t="shared" si="556"/>
        <v>0</v>
      </c>
      <c r="AA1667" s="162">
        <f t="shared" si="556"/>
        <v>0</v>
      </c>
      <c r="AB1667" s="163">
        <f t="shared" ref="AB1667:AB1711" si="557">SUM(P1667:AA1667)</f>
        <v>0</v>
      </c>
      <c r="AC1667" s="198"/>
      <c r="AE1667" s="194" t="str">
        <f>IF(J1667=0,"",VLOOKUP(J1667,#REF!,2,0)&amp;" - "&amp;J1667&amp;" ("&amp;F1667&amp;" - "&amp;G1667&amp;")")</f>
        <v/>
      </c>
      <c r="AF1667" s="161">
        <f t="shared" ref="AF1667:AQ1682" si="558">IFERROR(SUMIF($B$1351:$B$1378,$C1667&amp;$I1667,P$1351:P$1378)/SUMIF($D$1351:$D$1378,$I1667,P$1351:P$1378)*AF1428,0)</f>
        <v>0</v>
      </c>
      <c r="AG1667" s="162">
        <f t="shared" si="558"/>
        <v>0</v>
      </c>
      <c r="AH1667" s="162">
        <f t="shared" si="558"/>
        <v>0</v>
      </c>
      <c r="AI1667" s="162">
        <f t="shared" si="558"/>
        <v>0</v>
      </c>
      <c r="AJ1667" s="162">
        <f t="shared" si="558"/>
        <v>0</v>
      </c>
      <c r="AK1667" s="162">
        <f t="shared" si="558"/>
        <v>0</v>
      </c>
      <c r="AL1667" s="162">
        <f t="shared" si="558"/>
        <v>0</v>
      </c>
      <c r="AM1667" s="162">
        <f t="shared" si="558"/>
        <v>0</v>
      </c>
      <c r="AN1667" s="162">
        <f t="shared" si="558"/>
        <v>0</v>
      </c>
      <c r="AO1667" s="162">
        <f t="shared" si="558"/>
        <v>0</v>
      </c>
      <c r="AP1667" s="162">
        <f t="shared" si="558"/>
        <v>0</v>
      </c>
      <c r="AQ1667" s="162">
        <f t="shared" si="558"/>
        <v>0</v>
      </c>
      <c r="AR1667" s="163">
        <f t="shared" ref="AR1667:AR1711" si="559">SUM(AF1667:AQ1667)</f>
        <v>0</v>
      </c>
      <c r="AT1667" s="207">
        <f>IFERROR(VLOOKUP(J1667,#REF!,10,0),0)</f>
        <v>0</v>
      </c>
    </row>
    <row r="1668" spans="1:46" hidden="1" outlineLevel="1" x14ac:dyDescent="0.25">
      <c r="A1668" s="14" t="str">
        <f t="shared" si="552"/>
        <v>PROP_OPER__2</v>
      </c>
      <c r="B1668" s="15" t="str">
        <f t="shared" si="553"/>
        <v>PROP_OPER__1020_0</v>
      </c>
      <c r="C1668" s="83"/>
      <c r="D1668" s="15">
        <v>1</v>
      </c>
      <c r="E1668" s="15">
        <v>2</v>
      </c>
      <c r="F1668" s="190">
        <f t="shared" si="554"/>
        <v>1020</v>
      </c>
      <c r="G1668" s="149" t="str">
        <f t="shared" si="554"/>
        <v/>
      </c>
      <c r="H1668" s="150" t="str">
        <f t="shared" si="554"/>
        <v/>
      </c>
      <c r="I1668" s="150" t="str">
        <f t="shared" si="554"/>
        <v>TRATCPP</v>
      </c>
      <c r="J1668" s="150">
        <f t="shared" si="554"/>
        <v>0</v>
      </c>
      <c r="K1668" s="196"/>
      <c r="L1668" s="197"/>
      <c r="M1668" s="191">
        <f t="shared" si="555"/>
        <v>0</v>
      </c>
      <c r="N1668" s="150">
        <f t="shared" si="555"/>
        <v>0</v>
      </c>
      <c r="O1668" s="193">
        <f t="shared" si="555"/>
        <v>0</v>
      </c>
      <c r="P1668" s="162">
        <f t="shared" si="556"/>
        <v>0</v>
      </c>
      <c r="Q1668" s="162">
        <f t="shared" si="556"/>
        <v>0</v>
      </c>
      <c r="R1668" s="162">
        <f t="shared" si="556"/>
        <v>0</v>
      </c>
      <c r="S1668" s="162">
        <f t="shared" si="556"/>
        <v>0</v>
      </c>
      <c r="T1668" s="162">
        <f t="shared" si="556"/>
        <v>0</v>
      </c>
      <c r="U1668" s="162">
        <f t="shared" si="556"/>
        <v>0</v>
      </c>
      <c r="V1668" s="162">
        <f t="shared" si="556"/>
        <v>0</v>
      </c>
      <c r="W1668" s="162">
        <f t="shared" si="556"/>
        <v>0</v>
      </c>
      <c r="X1668" s="162">
        <f t="shared" si="556"/>
        <v>0</v>
      </c>
      <c r="Y1668" s="162">
        <f t="shared" si="556"/>
        <v>0</v>
      </c>
      <c r="Z1668" s="162">
        <f t="shared" si="556"/>
        <v>0</v>
      </c>
      <c r="AA1668" s="162">
        <f t="shared" si="556"/>
        <v>0</v>
      </c>
      <c r="AB1668" s="163">
        <f t="shared" si="557"/>
        <v>0</v>
      </c>
      <c r="AC1668" s="198"/>
      <c r="AE1668" s="194" t="str">
        <f>IF(J1668=0,"",VLOOKUP(J1668,#REF!,2,0)&amp;" - "&amp;J1668&amp;" ("&amp;F1668&amp;" - "&amp;G1668&amp;")")</f>
        <v/>
      </c>
      <c r="AF1668" s="161">
        <f t="shared" si="558"/>
        <v>0</v>
      </c>
      <c r="AG1668" s="162">
        <f t="shared" si="558"/>
        <v>0</v>
      </c>
      <c r="AH1668" s="162">
        <f t="shared" si="558"/>
        <v>0</v>
      </c>
      <c r="AI1668" s="162">
        <f t="shared" si="558"/>
        <v>0</v>
      </c>
      <c r="AJ1668" s="162">
        <f t="shared" si="558"/>
        <v>0</v>
      </c>
      <c r="AK1668" s="162">
        <f t="shared" si="558"/>
        <v>0</v>
      </c>
      <c r="AL1668" s="162">
        <f t="shared" si="558"/>
        <v>0</v>
      </c>
      <c r="AM1668" s="162">
        <f t="shared" si="558"/>
        <v>0</v>
      </c>
      <c r="AN1668" s="162">
        <f t="shared" si="558"/>
        <v>0</v>
      </c>
      <c r="AO1668" s="162">
        <f t="shared" si="558"/>
        <v>0</v>
      </c>
      <c r="AP1668" s="162">
        <f t="shared" si="558"/>
        <v>0</v>
      </c>
      <c r="AQ1668" s="162">
        <f t="shared" si="558"/>
        <v>0</v>
      </c>
      <c r="AR1668" s="163">
        <f t="shared" si="559"/>
        <v>0</v>
      </c>
      <c r="AT1668" s="208">
        <f>IFERROR(VLOOKUP(J1668,#REF!,10,0),0)</f>
        <v>0</v>
      </c>
    </row>
    <row r="1669" spans="1:46" hidden="1" outlineLevel="1" x14ac:dyDescent="0.25">
      <c r="A1669" s="14" t="str">
        <f t="shared" si="552"/>
        <v>PROP_OPER__3</v>
      </c>
      <c r="B1669" s="15" t="str">
        <f t="shared" si="553"/>
        <v>PROP_OPER__1078_0</v>
      </c>
      <c r="C1669" s="83"/>
      <c r="D1669" s="15">
        <v>1</v>
      </c>
      <c r="E1669" s="15">
        <v>3</v>
      </c>
      <c r="F1669" s="190">
        <f t="shared" si="554"/>
        <v>1078</v>
      </c>
      <c r="G1669" s="149" t="str">
        <f t="shared" si="554"/>
        <v/>
      </c>
      <c r="H1669" s="150" t="str">
        <f t="shared" si="554"/>
        <v/>
      </c>
      <c r="I1669" s="150" t="str">
        <f t="shared" si="554"/>
        <v>TRATCPP</v>
      </c>
      <c r="J1669" s="150">
        <f t="shared" si="554"/>
        <v>0</v>
      </c>
      <c r="K1669" s="196"/>
      <c r="L1669" s="197"/>
      <c r="M1669" s="191">
        <f t="shared" si="555"/>
        <v>0</v>
      </c>
      <c r="N1669" s="150">
        <f t="shared" si="555"/>
        <v>0</v>
      </c>
      <c r="O1669" s="193">
        <f t="shared" si="555"/>
        <v>0</v>
      </c>
      <c r="P1669" s="162">
        <f t="shared" si="556"/>
        <v>0</v>
      </c>
      <c r="Q1669" s="162">
        <f t="shared" si="556"/>
        <v>0</v>
      </c>
      <c r="R1669" s="162">
        <f t="shared" si="556"/>
        <v>0</v>
      </c>
      <c r="S1669" s="162">
        <f t="shared" si="556"/>
        <v>0</v>
      </c>
      <c r="T1669" s="162">
        <f t="shared" si="556"/>
        <v>0</v>
      </c>
      <c r="U1669" s="162">
        <f t="shared" si="556"/>
        <v>0</v>
      </c>
      <c r="V1669" s="162">
        <f t="shared" si="556"/>
        <v>0</v>
      </c>
      <c r="W1669" s="162">
        <f t="shared" si="556"/>
        <v>0</v>
      </c>
      <c r="X1669" s="162">
        <f t="shared" si="556"/>
        <v>0</v>
      </c>
      <c r="Y1669" s="162">
        <f t="shared" si="556"/>
        <v>0</v>
      </c>
      <c r="Z1669" s="162">
        <f t="shared" si="556"/>
        <v>0</v>
      </c>
      <c r="AA1669" s="162">
        <f t="shared" si="556"/>
        <v>0</v>
      </c>
      <c r="AB1669" s="163">
        <f t="shared" si="557"/>
        <v>0</v>
      </c>
      <c r="AC1669" s="198"/>
      <c r="AE1669" s="194" t="str">
        <f>IF(J1669=0,"",VLOOKUP(J1669,#REF!,2,0)&amp;" - "&amp;J1669&amp;" ("&amp;F1669&amp;" - "&amp;G1669&amp;")")</f>
        <v/>
      </c>
      <c r="AF1669" s="161">
        <f t="shared" si="558"/>
        <v>0</v>
      </c>
      <c r="AG1669" s="162">
        <f t="shared" si="558"/>
        <v>0</v>
      </c>
      <c r="AH1669" s="162">
        <f t="shared" si="558"/>
        <v>0</v>
      </c>
      <c r="AI1669" s="162">
        <f t="shared" si="558"/>
        <v>0</v>
      </c>
      <c r="AJ1669" s="162">
        <f t="shared" si="558"/>
        <v>0</v>
      </c>
      <c r="AK1669" s="162">
        <f t="shared" si="558"/>
        <v>0</v>
      </c>
      <c r="AL1669" s="162">
        <f t="shared" si="558"/>
        <v>0</v>
      </c>
      <c r="AM1669" s="162">
        <f t="shared" si="558"/>
        <v>0</v>
      </c>
      <c r="AN1669" s="162">
        <f t="shared" si="558"/>
        <v>0</v>
      </c>
      <c r="AO1669" s="162">
        <f t="shared" si="558"/>
        <v>0</v>
      </c>
      <c r="AP1669" s="162">
        <f t="shared" si="558"/>
        <v>0</v>
      </c>
      <c r="AQ1669" s="162">
        <f t="shared" si="558"/>
        <v>0</v>
      </c>
      <c r="AR1669" s="163">
        <f t="shared" si="559"/>
        <v>0</v>
      </c>
      <c r="AT1669" s="208">
        <f>IFERROR(VLOOKUP(J1669,#REF!,10,0),0)</f>
        <v>0</v>
      </c>
    </row>
    <row r="1670" spans="1:46" hidden="1" outlineLevel="1" x14ac:dyDescent="0.25">
      <c r="A1670" s="14" t="str">
        <f t="shared" si="552"/>
        <v>PROP_OPER__4</v>
      </c>
      <c r="B1670" s="15" t="str">
        <f t="shared" si="553"/>
        <v>PROP_OPER__1091_0</v>
      </c>
      <c r="C1670" s="83"/>
      <c r="D1670" s="15">
        <v>1</v>
      </c>
      <c r="E1670" s="15">
        <v>4</v>
      </c>
      <c r="F1670" s="190">
        <f t="shared" si="554"/>
        <v>1091</v>
      </c>
      <c r="G1670" s="149" t="str">
        <f t="shared" si="554"/>
        <v/>
      </c>
      <c r="H1670" s="150" t="str">
        <f t="shared" si="554"/>
        <v/>
      </c>
      <c r="I1670" s="150" t="str">
        <f t="shared" si="554"/>
        <v>TRATCPP</v>
      </c>
      <c r="J1670" s="150">
        <f t="shared" si="554"/>
        <v>0</v>
      </c>
      <c r="K1670" s="196"/>
      <c r="L1670" s="197"/>
      <c r="M1670" s="191">
        <f t="shared" si="555"/>
        <v>0</v>
      </c>
      <c r="N1670" s="150">
        <f t="shared" si="555"/>
        <v>0</v>
      </c>
      <c r="O1670" s="193">
        <f t="shared" si="555"/>
        <v>0</v>
      </c>
      <c r="P1670" s="162">
        <f t="shared" si="556"/>
        <v>0</v>
      </c>
      <c r="Q1670" s="162">
        <f t="shared" si="556"/>
        <v>0</v>
      </c>
      <c r="R1670" s="162">
        <f t="shared" si="556"/>
        <v>0</v>
      </c>
      <c r="S1670" s="162">
        <f t="shared" si="556"/>
        <v>0</v>
      </c>
      <c r="T1670" s="162">
        <f t="shared" si="556"/>
        <v>0</v>
      </c>
      <c r="U1670" s="162">
        <f t="shared" si="556"/>
        <v>0</v>
      </c>
      <c r="V1670" s="162">
        <f t="shared" si="556"/>
        <v>0</v>
      </c>
      <c r="W1670" s="162">
        <f t="shared" si="556"/>
        <v>0</v>
      </c>
      <c r="X1670" s="162">
        <f t="shared" si="556"/>
        <v>0</v>
      </c>
      <c r="Y1670" s="162">
        <f t="shared" si="556"/>
        <v>0</v>
      </c>
      <c r="Z1670" s="162">
        <f t="shared" si="556"/>
        <v>0</v>
      </c>
      <c r="AA1670" s="162">
        <f t="shared" si="556"/>
        <v>0</v>
      </c>
      <c r="AB1670" s="163">
        <f t="shared" si="557"/>
        <v>0</v>
      </c>
      <c r="AC1670" s="159"/>
      <c r="AE1670" s="194" t="str">
        <f>IF(J1670=0,"",VLOOKUP(J1670,#REF!,2,0)&amp;" - "&amp;J1670&amp;" ("&amp;F1670&amp;" - "&amp;G1670&amp;")")</f>
        <v/>
      </c>
      <c r="AF1670" s="161">
        <f t="shared" si="558"/>
        <v>0</v>
      </c>
      <c r="AG1670" s="162">
        <f t="shared" si="558"/>
        <v>0</v>
      </c>
      <c r="AH1670" s="162">
        <f t="shared" si="558"/>
        <v>0</v>
      </c>
      <c r="AI1670" s="162">
        <f t="shared" si="558"/>
        <v>0</v>
      </c>
      <c r="AJ1670" s="162">
        <f t="shared" si="558"/>
        <v>0</v>
      </c>
      <c r="AK1670" s="162">
        <f t="shared" si="558"/>
        <v>0</v>
      </c>
      <c r="AL1670" s="162">
        <f t="shared" si="558"/>
        <v>0</v>
      </c>
      <c r="AM1670" s="162">
        <f t="shared" si="558"/>
        <v>0</v>
      </c>
      <c r="AN1670" s="162">
        <f t="shared" si="558"/>
        <v>0</v>
      </c>
      <c r="AO1670" s="162">
        <f t="shared" si="558"/>
        <v>0</v>
      </c>
      <c r="AP1670" s="162">
        <f t="shared" si="558"/>
        <v>0</v>
      </c>
      <c r="AQ1670" s="162">
        <f t="shared" si="558"/>
        <v>0</v>
      </c>
      <c r="AR1670" s="163">
        <f t="shared" si="559"/>
        <v>0</v>
      </c>
      <c r="AT1670" s="208">
        <f>IFERROR(VLOOKUP(J1670,#REF!,10,0),0)</f>
        <v>0</v>
      </c>
    </row>
    <row r="1671" spans="1:46" hidden="1" outlineLevel="1" x14ac:dyDescent="0.25">
      <c r="A1671" s="14" t="str">
        <f t="shared" si="552"/>
        <v>PROP_OPER__5</v>
      </c>
      <c r="B1671" s="15" t="str">
        <f t="shared" si="553"/>
        <v>PROP_OPER__1093_0</v>
      </c>
      <c r="C1671" s="83"/>
      <c r="D1671" s="15">
        <v>1</v>
      </c>
      <c r="E1671" s="15">
        <v>5</v>
      </c>
      <c r="F1671" s="190">
        <f t="shared" si="554"/>
        <v>1093</v>
      </c>
      <c r="G1671" s="149" t="str">
        <f t="shared" si="554"/>
        <v/>
      </c>
      <c r="H1671" s="150" t="str">
        <f t="shared" si="554"/>
        <v/>
      </c>
      <c r="I1671" s="150" t="str">
        <f t="shared" si="554"/>
        <v>TRATCPP</v>
      </c>
      <c r="J1671" s="150">
        <f t="shared" si="554"/>
        <v>0</v>
      </c>
      <c r="K1671" s="196"/>
      <c r="L1671" s="197"/>
      <c r="M1671" s="191">
        <f t="shared" si="555"/>
        <v>0</v>
      </c>
      <c r="N1671" s="150">
        <f t="shared" si="555"/>
        <v>0</v>
      </c>
      <c r="O1671" s="193">
        <f t="shared" si="555"/>
        <v>0</v>
      </c>
      <c r="P1671" s="162">
        <f t="shared" si="556"/>
        <v>0</v>
      </c>
      <c r="Q1671" s="162">
        <f t="shared" si="556"/>
        <v>0</v>
      </c>
      <c r="R1671" s="162">
        <f t="shared" si="556"/>
        <v>0</v>
      </c>
      <c r="S1671" s="162">
        <f t="shared" si="556"/>
        <v>0</v>
      </c>
      <c r="T1671" s="162">
        <f t="shared" si="556"/>
        <v>0</v>
      </c>
      <c r="U1671" s="162">
        <f t="shared" si="556"/>
        <v>0</v>
      </c>
      <c r="V1671" s="162">
        <f t="shared" si="556"/>
        <v>0</v>
      </c>
      <c r="W1671" s="162">
        <f t="shared" si="556"/>
        <v>0</v>
      </c>
      <c r="X1671" s="162">
        <f t="shared" si="556"/>
        <v>0</v>
      </c>
      <c r="Y1671" s="162">
        <f t="shared" si="556"/>
        <v>0</v>
      </c>
      <c r="Z1671" s="162">
        <f t="shared" si="556"/>
        <v>0</v>
      </c>
      <c r="AA1671" s="162">
        <f t="shared" si="556"/>
        <v>0</v>
      </c>
      <c r="AB1671" s="163">
        <f t="shared" si="557"/>
        <v>0</v>
      </c>
      <c r="AC1671" s="159"/>
      <c r="AE1671" s="194" t="str">
        <f>IF(J1671=0,"",VLOOKUP(J1671,#REF!,2,0)&amp;" - "&amp;J1671&amp;" ("&amp;F1671&amp;" - "&amp;G1671&amp;")")</f>
        <v/>
      </c>
      <c r="AF1671" s="161">
        <f t="shared" si="558"/>
        <v>0</v>
      </c>
      <c r="AG1671" s="162">
        <f t="shared" si="558"/>
        <v>0</v>
      </c>
      <c r="AH1671" s="162">
        <f t="shared" si="558"/>
        <v>0</v>
      </c>
      <c r="AI1671" s="162">
        <f t="shared" si="558"/>
        <v>0</v>
      </c>
      <c r="AJ1671" s="162">
        <f t="shared" si="558"/>
        <v>0</v>
      </c>
      <c r="AK1671" s="162">
        <f t="shared" si="558"/>
        <v>0</v>
      </c>
      <c r="AL1671" s="162">
        <f t="shared" si="558"/>
        <v>0</v>
      </c>
      <c r="AM1671" s="162">
        <f t="shared" si="558"/>
        <v>0</v>
      </c>
      <c r="AN1671" s="162">
        <f t="shared" si="558"/>
        <v>0</v>
      </c>
      <c r="AO1671" s="162">
        <f t="shared" si="558"/>
        <v>0</v>
      </c>
      <c r="AP1671" s="162">
        <f t="shared" si="558"/>
        <v>0</v>
      </c>
      <c r="AQ1671" s="162">
        <f t="shared" si="558"/>
        <v>0</v>
      </c>
      <c r="AR1671" s="163">
        <f t="shared" si="559"/>
        <v>0</v>
      </c>
      <c r="AT1671" s="208">
        <f>IFERROR(VLOOKUP(J1671,#REF!,10,0),0)</f>
        <v>0</v>
      </c>
    </row>
    <row r="1672" spans="1:46" hidden="1" outlineLevel="1" x14ac:dyDescent="0.25">
      <c r="A1672" s="14" t="str">
        <f t="shared" si="552"/>
        <v>PROP_OPER__6</v>
      </c>
      <c r="B1672" s="15" t="str">
        <f t="shared" si="553"/>
        <v>PROP_OPER__1032_0</v>
      </c>
      <c r="C1672" s="83"/>
      <c r="D1672" s="15">
        <v>1</v>
      </c>
      <c r="E1672" s="15">
        <v>6</v>
      </c>
      <c r="F1672" s="190">
        <f t="shared" si="554"/>
        <v>1032</v>
      </c>
      <c r="G1672" s="149" t="str">
        <f t="shared" si="554"/>
        <v/>
      </c>
      <c r="H1672" s="150" t="str">
        <f t="shared" si="554"/>
        <v/>
      </c>
      <c r="I1672" s="150" t="str">
        <f t="shared" si="554"/>
        <v>TRATCPP</v>
      </c>
      <c r="J1672" s="150">
        <f t="shared" si="554"/>
        <v>0</v>
      </c>
      <c r="K1672" s="196"/>
      <c r="L1672" s="197"/>
      <c r="M1672" s="191">
        <f t="shared" si="555"/>
        <v>0</v>
      </c>
      <c r="N1672" s="150">
        <f t="shared" si="555"/>
        <v>0</v>
      </c>
      <c r="O1672" s="193">
        <f t="shared" si="555"/>
        <v>0</v>
      </c>
      <c r="P1672" s="162">
        <f t="shared" si="556"/>
        <v>0</v>
      </c>
      <c r="Q1672" s="162">
        <f t="shared" si="556"/>
        <v>0</v>
      </c>
      <c r="R1672" s="162">
        <f t="shared" si="556"/>
        <v>0</v>
      </c>
      <c r="S1672" s="162">
        <f t="shared" si="556"/>
        <v>0</v>
      </c>
      <c r="T1672" s="162">
        <f t="shared" si="556"/>
        <v>0</v>
      </c>
      <c r="U1672" s="162">
        <f t="shared" si="556"/>
        <v>0</v>
      </c>
      <c r="V1672" s="162">
        <f t="shared" si="556"/>
        <v>0</v>
      </c>
      <c r="W1672" s="162">
        <f t="shared" si="556"/>
        <v>0</v>
      </c>
      <c r="X1672" s="162">
        <f t="shared" si="556"/>
        <v>0</v>
      </c>
      <c r="Y1672" s="162">
        <f t="shared" si="556"/>
        <v>0</v>
      </c>
      <c r="Z1672" s="162">
        <f t="shared" si="556"/>
        <v>0</v>
      </c>
      <c r="AA1672" s="162">
        <f t="shared" si="556"/>
        <v>0</v>
      </c>
      <c r="AB1672" s="163">
        <f t="shared" si="557"/>
        <v>0</v>
      </c>
      <c r="AC1672" s="159"/>
      <c r="AE1672" s="194" t="str">
        <f>IF(J1672=0,"",VLOOKUP(J1672,#REF!,2,0)&amp;" - "&amp;J1672&amp;" ("&amp;F1672&amp;" - "&amp;G1672&amp;")")</f>
        <v/>
      </c>
      <c r="AF1672" s="161">
        <f t="shared" si="558"/>
        <v>0</v>
      </c>
      <c r="AG1672" s="162">
        <f t="shared" si="558"/>
        <v>0</v>
      </c>
      <c r="AH1672" s="162">
        <f t="shared" si="558"/>
        <v>0</v>
      </c>
      <c r="AI1672" s="162">
        <f t="shared" si="558"/>
        <v>0</v>
      </c>
      <c r="AJ1672" s="162">
        <f t="shared" si="558"/>
        <v>0</v>
      </c>
      <c r="AK1672" s="162">
        <f t="shared" si="558"/>
        <v>0</v>
      </c>
      <c r="AL1672" s="162">
        <f t="shared" si="558"/>
        <v>0</v>
      </c>
      <c r="AM1672" s="162">
        <f t="shared" si="558"/>
        <v>0</v>
      </c>
      <c r="AN1672" s="162">
        <f t="shared" si="558"/>
        <v>0</v>
      </c>
      <c r="AO1672" s="162">
        <f t="shared" si="558"/>
        <v>0</v>
      </c>
      <c r="AP1672" s="162">
        <f t="shared" si="558"/>
        <v>0</v>
      </c>
      <c r="AQ1672" s="162">
        <f t="shared" si="558"/>
        <v>0</v>
      </c>
      <c r="AR1672" s="163">
        <f t="shared" si="559"/>
        <v>0</v>
      </c>
      <c r="AT1672" s="208">
        <f>IFERROR(VLOOKUP(J1672,#REF!,10,0),0)</f>
        <v>0</v>
      </c>
    </row>
    <row r="1673" spans="1:46" hidden="1" outlineLevel="1" x14ac:dyDescent="0.25">
      <c r="A1673" s="14" t="str">
        <f t="shared" si="552"/>
        <v>PROP_OPER__7</v>
      </c>
      <c r="B1673" s="15" t="e">
        <f t="shared" si="553"/>
        <v>#REF!</v>
      </c>
      <c r="C1673" s="83"/>
      <c r="D1673" s="15">
        <v>1</v>
      </c>
      <c r="E1673" s="15">
        <v>7</v>
      </c>
      <c r="F1673" s="190" t="e">
        <f>#REF!</f>
        <v>#REF!</v>
      </c>
      <c r="G1673" s="149" t="e">
        <f>#REF!</f>
        <v>#REF!</v>
      </c>
      <c r="H1673" s="150" t="e">
        <f>#REF!</f>
        <v>#REF!</v>
      </c>
      <c r="I1673" s="150" t="e">
        <f>#REF!</f>
        <v>#REF!</v>
      </c>
      <c r="J1673" s="150" t="e">
        <f>#REF!</f>
        <v>#REF!</v>
      </c>
      <c r="K1673" s="196"/>
      <c r="L1673" s="197"/>
      <c r="M1673" s="191" t="e">
        <f>#REF!</f>
        <v>#REF!</v>
      </c>
      <c r="N1673" s="150" t="e">
        <f>#REF!</f>
        <v>#REF!</v>
      </c>
      <c r="O1673" s="193" t="e">
        <f>#REF!</f>
        <v>#REF!</v>
      </c>
      <c r="P1673" s="162">
        <f>IFERROR(SUMIF($B$1351:$B$1378,$C1673&amp;$I1673,P$1351:P$1378)/SUMIF($D$1351:$D$1378,$I1673,P$1351:P$1378)*#REF!,0)</f>
        <v>0</v>
      </c>
      <c r="Q1673" s="162">
        <f>IFERROR(SUMIF($B$1351:$B$1378,$C1673&amp;$I1673,Q$1351:Q$1378)/SUMIF($D$1351:$D$1378,$I1673,Q$1351:Q$1378)*#REF!,0)</f>
        <v>0</v>
      </c>
      <c r="R1673" s="162">
        <f>IFERROR(SUMIF($B$1351:$B$1378,$C1673&amp;$I1673,R$1351:R$1378)/SUMIF($D$1351:$D$1378,$I1673,R$1351:R$1378)*#REF!,0)</f>
        <v>0</v>
      </c>
      <c r="S1673" s="162">
        <f>IFERROR(SUMIF($B$1351:$B$1378,$C1673&amp;$I1673,S$1351:S$1378)/SUMIF($D$1351:$D$1378,$I1673,S$1351:S$1378)*#REF!,0)</f>
        <v>0</v>
      </c>
      <c r="T1673" s="162">
        <f>IFERROR(SUMIF($B$1351:$B$1378,$C1673&amp;$I1673,T$1351:T$1378)/SUMIF($D$1351:$D$1378,$I1673,T$1351:T$1378)*#REF!,0)</f>
        <v>0</v>
      </c>
      <c r="U1673" s="162">
        <f>IFERROR(SUMIF($B$1351:$B$1378,$C1673&amp;$I1673,U$1351:U$1378)/SUMIF($D$1351:$D$1378,$I1673,U$1351:U$1378)*#REF!,0)</f>
        <v>0</v>
      </c>
      <c r="V1673" s="162">
        <f>IFERROR(SUMIF($B$1351:$B$1378,$C1673&amp;$I1673,V$1351:V$1378)/SUMIF($D$1351:$D$1378,$I1673,V$1351:V$1378)*#REF!,0)</f>
        <v>0</v>
      </c>
      <c r="W1673" s="162">
        <f>IFERROR(SUMIF($B$1351:$B$1378,$C1673&amp;$I1673,W$1351:W$1378)/SUMIF($D$1351:$D$1378,$I1673,W$1351:W$1378)*#REF!,0)</f>
        <v>0</v>
      </c>
      <c r="X1673" s="162">
        <f>IFERROR(SUMIF($B$1351:$B$1378,$C1673&amp;$I1673,X$1351:X$1378)/SUMIF($D$1351:$D$1378,$I1673,X$1351:X$1378)*#REF!,0)</f>
        <v>0</v>
      </c>
      <c r="Y1673" s="162">
        <f>IFERROR(SUMIF($B$1351:$B$1378,$C1673&amp;$I1673,Y$1351:Y$1378)/SUMIF($D$1351:$D$1378,$I1673,Y$1351:Y$1378)*#REF!,0)</f>
        <v>0</v>
      </c>
      <c r="Z1673" s="162">
        <f>IFERROR(SUMIF($B$1351:$B$1378,$C1673&amp;$I1673,Z$1351:Z$1378)/SUMIF($D$1351:$D$1378,$I1673,Z$1351:Z$1378)*#REF!,0)</f>
        <v>0</v>
      </c>
      <c r="AA1673" s="162">
        <f>IFERROR(SUMIF($B$1351:$B$1378,$C1673&amp;$I1673,AA$1351:AA$1378)/SUMIF($D$1351:$D$1378,$I1673,AA$1351:AA$1378)*#REF!,0)</f>
        <v>0</v>
      </c>
      <c r="AB1673" s="163">
        <f t="shared" si="557"/>
        <v>0</v>
      </c>
      <c r="AC1673" s="159"/>
      <c r="AE1673" s="194" t="e">
        <f>IF(J1673=0,"",VLOOKUP(J1673,#REF!,2,0)&amp;" - "&amp;J1673&amp;" ("&amp;F1673&amp;" - "&amp;G1673&amp;")")</f>
        <v>#REF!</v>
      </c>
      <c r="AF1673" s="161">
        <f t="shared" si="558"/>
        <v>0</v>
      </c>
      <c r="AG1673" s="162">
        <f t="shared" si="558"/>
        <v>0</v>
      </c>
      <c r="AH1673" s="162">
        <f t="shared" si="558"/>
        <v>0</v>
      </c>
      <c r="AI1673" s="162">
        <f t="shared" si="558"/>
        <v>0</v>
      </c>
      <c r="AJ1673" s="162">
        <f t="shared" si="558"/>
        <v>0</v>
      </c>
      <c r="AK1673" s="162">
        <f t="shared" si="558"/>
        <v>0</v>
      </c>
      <c r="AL1673" s="162">
        <f t="shared" si="558"/>
        <v>0</v>
      </c>
      <c r="AM1673" s="162">
        <f t="shared" si="558"/>
        <v>0</v>
      </c>
      <c r="AN1673" s="162">
        <f t="shared" si="558"/>
        <v>0</v>
      </c>
      <c r="AO1673" s="162">
        <f t="shared" si="558"/>
        <v>0</v>
      </c>
      <c r="AP1673" s="162">
        <f t="shared" si="558"/>
        <v>0</v>
      </c>
      <c r="AQ1673" s="162">
        <f t="shared" si="558"/>
        <v>0</v>
      </c>
      <c r="AR1673" s="163">
        <f t="shared" si="559"/>
        <v>0</v>
      </c>
      <c r="AT1673" s="208">
        <f>IFERROR(VLOOKUP(J1673,#REF!,10,0),0)</f>
        <v>0</v>
      </c>
    </row>
    <row r="1674" spans="1:46" hidden="1" outlineLevel="1" x14ac:dyDescent="0.25">
      <c r="A1674" s="14" t="str">
        <f t="shared" si="552"/>
        <v>PROP_OPER__8</v>
      </c>
      <c r="B1674" s="15" t="str">
        <f t="shared" si="553"/>
        <v>PROP_OPER__0_0</v>
      </c>
      <c r="C1674" s="83"/>
      <c r="D1674" s="15">
        <v>1</v>
      </c>
      <c r="E1674" s="15">
        <v>8</v>
      </c>
      <c r="F1674" s="190">
        <f t="shared" si="554"/>
        <v>0</v>
      </c>
      <c r="G1674" s="149" t="str">
        <f t="shared" si="554"/>
        <v/>
      </c>
      <c r="H1674" s="150" t="str">
        <f t="shared" si="554"/>
        <v/>
      </c>
      <c r="I1674" s="150">
        <f t="shared" si="554"/>
        <v>0</v>
      </c>
      <c r="J1674" s="150">
        <f t="shared" si="554"/>
        <v>0</v>
      </c>
      <c r="K1674" s="196"/>
      <c r="L1674" s="197"/>
      <c r="M1674" s="191">
        <f t="shared" si="555"/>
        <v>0</v>
      </c>
      <c r="N1674" s="150">
        <f t="shared" si="555"/>
        <v>0</v>
      </c>
      <c r="O1674" s="193">
        <f t="shared" si="555"/>
        <v>0</v>
      </c>
      <c r="P1674" s="162">
        <f t="shared" ref="P1674:AA1689" si="560">IFERROR(SUMIF($B$1351:$B$1378,$C1674&amp;$I1674,P$1351:P$1378)/SUMIF($D$1351:$D$1378,$I1674,P$1351:P$1378)*P1435,0)</f>
        <v>0</v>
      </c>
      <c r="Q1674" s="162">
        <f>IFERROR(SUMIF($B$1351:$B$1378,$C1674&amp;$I1674,Q$1351:Q$1378)/SUMIF($D$1351:$D$1378,$I1674,Q$1351:Q$1378)*Q1435,0)</f>
        <v>0</v>
      </c>
      <c r="R1674" s="162">
        <f t="shared" si="560"/>
        <v>0</v>
      </c>
      <c r="S1674" s="162">
        <f t="shared" si="560"/>
        <v>0</v>
      </c>
      <c r="T1674" s="162">
        <f t="shared" si="560"/>
        <v>0</v>
      </c>
      <c r="U1674" s="162">
        <f t="shared" si="560"/>
        <v>0</v>
      </c>
      <c r="V1674" s="162">
        <f t="shared" si="560"/>
        <v>0</v>
      </c>
      <c r="W1674" s="162">
        <f t="shared" si="560"/>
        <v>0</v>
      </c>
      <c r="X1674" s="162">
        <f t="shared" si="560"/>
        <v>0</v>
      </c>
      <c r="Y1674" s="162">
        <f t="shared" si="560"/>
        <v>0</v>
      </c>
      <c r="Z1674" s="162">
        <f t="shared" si="560"/>
        <v>0</v>
      </c>
      <c r="AA1674" s="162">
        <f t="shared" si="560"/>
        <v>0</v>
      </c>
      <c r="AB1674" s="163">
        <f t="shared" si="557"/>
        <v>0</v>
      </c>
      <c r="AC1674" s="159"/>
      <c r="AE1674" s="194" t="str">
        <f>IF(J1674=0,"",VLOOKUP(J1674,#REF!,2,0)&amp;" - "&amp;J1674&amp;" ("&amp;F1674&amp;" - "&amp;G1674&amp;")")</f>
        <v/>
      </c>
      <c r="AF1674" s="161">
        <f t="shared" si="558"/>
        <v>0</v>
      </c>
      <c r="AG1674" s="162">
        <f t="shared" si="558"/>
        <v>0</v>
      </c>
      <c r="AH1674" s="162">
        <f t="shared" si="558"/>
        <v>0</v>
      </c>
      <c r="AI1674" s="162">
        <f t="shared" si="558"/>
        <v>0</v>
      </c>
      <c r="AJ1674" s="162">
        <f t="shared" si="558"/>
        <v>0</v>
      </c>
      <c r="AK1674" s="162">
        <f t="shared" si="558"/>
        <v>0</v>
      </c>
      <c r="AL1674" s="162">
        <f t="shared" si="558"/>
        <v>0</v>
      </c>
      <c r="AM1674" s="162">
        <f t="shared" si="558"/>
        <v>0</v>
      </c>
      <c r="AN1674" s="162">
        <f t="shared" si="558"/>
        <v>0</v>
      </c>
      <c r="AO1674" s="162">
        <f t="shared" si="558"/>
        <v>0</v>
      </c>
      <c r="AP1674" s="162">
        <f t="shared" si="558"/>
        <v>0</v>
      </c>
      <c r="AQ1674" s="162">
        <f t="shared" si="558"/>
        <v>0</v>
      </c>
      <c r="AR1674" s="163">
        <f t="shared" si="559"/>
        <v>0</v>
      </c>
      <c r="AT1674" s="208">
        <f>IFERROR(VLOOKUP(J1674,#REF!,10,0),0)</f>
        <v>0</v>
      </c>
    </row>
    <row r="1675" spans="1:46" hidden="1" outlineLevel="1" x14ac:dyDescent="0.25">
      <c r="A1675" s="14" t="str">
        <f t="shared" si="552"/>
        <v>PROP_OPER__9</v>
      </c>
      <c r="B1675" s="15" t="str">
        <f t="shared" si="553"/>
        <v>PROP_OPER__0_0</v>
      </c>
      <c r="C1675" s="83"/>
      <c r="D1675" s="15">
        <v>1</v>
      </c>
      <c r="E1675" s="15">
        <v>9</v>
      </c>
      <c r="F1675" s="190">
        <f t="shared" si="554"/>
        <v>0</v>
      </c>
      <c r="G1675" s="149" t="str">
        <f t="shared" si="554"/>
        <v/>
      </c>
      <c r="H1675" s="150" t="str">
        <f t="shared" si="554"/>
        <v/>
      </c>
      <c r="I1675" s="150">
        <f t="shared" si="554"/>
        <v>0</v>
      </c>
      <c r="J1675" s="150">
        <f t="shared" si="554"/>
        <v>0</v>
      </c>
      <c r="K1675" s="196"/>
      <c r="L1675" s="197"/>
      <c r="M1675" s="191">
        <f t="shared" si="555"/>
        <v>0</v>
      </c>
      <c r="N1675" s="150">
        <f t="shared" si="555"/>
        <v>0</v>
      </c>
      <c r="O1675" s="193">
        <f t="shared" si="555"/>
        <v>0</v>
      </c>
      <c r="P1675" s="162">
        <f t="shared" si="560"/>
        <v>0</v>
      </c>
      <c r="Q1675" s="162">
        <f t="shared" si="560"/>
        <v>0</v>
      </c>
      <c r="R1675" s="162">
        <f t="shared" si="560"/>
        <v>0</v>
      </c>
      <c r="S1675" s="162">
        <f t="shared" si="560"/>
        <v>0</v>
      </c>
      <c r="T1675" s="162">
        <f t="shared" si="560"/>
        <v>0</v>
      </c>
      <c r="U1675" s="162">
        <f t="shared" si="560"/>
        <v>0</v>
      </c>
      <c r="V1675" s="162">
        <f t="shared" si="560"/>
        <v>0</v>
      </c>
      <c r="W1675" s="162">
        <f t="shared" si="560"/>
        <v>0</v>
      </c>
      <c r="X1675" s="162">
        <f t="shared" si="560"/>
        <v>0</v>
      </c>
      <c r="Y1675" s="162">
        <f t="shared" si="560"/>
        <v>0</v>
      </c>
      <c r="Z1675" s="162">
        <f t="shared" si="560"/>
        <v>0</v>
      </c>
      <c r="AA1675" s="162">
        <f t="shared" si="560"/>
        <v>0</v>
      </c>
      <c r="AB1675" s="163">
        <f t="shared" si="557"/>
        <v>0</v>
      </c>
      <c r="AC1675" s="159"/>
      <c r="AE1675" s="194" t="str">
        <f>IF(J1675=0,"",VLOOKUP(J1675,#REF!,2,0)&amp;" - "&amp;J1675&amp;" ("&amp;F1675&amp;" - "&amp;G1675&amp;")")</f>
        <v/>
      </c>
      <c r="AF1675" s="161">
        <f t="shared" si="558"/>
        <v>0</v>
      </c>
      <c r="AG1675" s="162">
        <f t="shared" si="558"/>
        <v>0</v>
      </c>
      <c r="AH1675" s="162">
        <f t="shared" si="558"/>
        <v>0</v>
      </c>
      <c r="AI1675" s="162">
        <f t="shared" si="558"/>
        <v>0</v>
      </c>
      <c r="AJ1675" s="162">
        <f t="shared" si="558"/>
        <v>0</v>
      </c>
      <c r="AK1675" s="162">
        <f t="shared" si="558"/>
        <v>0</v>
      </c>
      <c r="AL1675" s="162">
        <f t="shared" si="558"/>
        <v>0</v>
      </c>
      <c r="AM1675" s="162">
        <f t="shared" si="558"/>
        <v>0</v>
      </c>
      <c r="AN1675" s="162">
        <f t="shared" si="558"/>
        <v>0</v>
      </c>
      <c r="AO1675" s="162">
        <f t="shared" si="558"/>
        <v>0</v>
      </c>
      <c r="AP1675" s="162">
        <f t="shared" si="558"/>
        <v>0</v>
      </c>
      <c r="AQ1675" s="162">
        <f t="shared" si="558"/>
        <v>0</v>
      </c>
      <c r="AR1675" s="163">
        <f t="shared" si="559"/>
        <v>0</v>
      </c>
      <c r="AT1675" s="208">
        <f>IFERROR(VLOOKUP(J1675,#REF!,10,0),0)</f>
        <v>0</v>
      </c>
    </row>
    <row r="1676" spans="1:46" hidden="1" outlineLevel="1" x14ac:dyDescent="0.25">
      <c r="A1676" s="14" t="str">
        <f t="shared" si="552"/>
        <v>PROP_OPER__10</v>
      </c>
      <c r="B1676" s="15" t="str">
        <f t="shared" si="553"/>
        <v>PROP_OPER__0_0</v>
      </c>
      <c r="C1676" s="83"/>
      <c r="D1676" s="15">
        <v>1</v>
      </c>
      <c r="E1676" s="15">
        <v>10</v>
      </c>
      <c r="F1676" s="190">
        <f t="shared" si="554"/>
        <v>0</v>
      </c>
      <c r="G1676" s="149" t="str">
        <f t="shared" si="554"/>
        <v/>
      </c>
      <c r="H1676" s="150" t="str">
        <f t="shared" si="554"/>
        <v/>
      </c>
      <c r="I1676" s="150">
        <f t="shared" si="554"/>
        <v>0</v>
      </c>
      <c r="J1676" s="150">
        <f t="shared" si="554"/>
        <v>0</v>
      </c>
      <c r="K1676" s="196"/>
      <c r="L1676" s="197"/>
      <c r="M1676" s="191">
        <f t="shared" si="555"/>
        <v>0</v>
      </c>
      <c r="N1676" s="150">
        <f t="shared" si="555"/>
        <v>0</v>
      </c>
      <c r="O1676" s="193">
        <f t="shared" si="555"/>
        <v>0</v>
      </c>
      <c r="P1676" s="162">
        <f t="shared" si="560"/>
        <v>0</v>
      </c>
      <c r="Q1676" s="162">
        <f t="shared" si="560"/>
        <v>0</v>
      </c>
      <c r="R1676" s="162">
        <f t="shared" si="560"/>
        <v>0</v>
      </c>
      <c r="S1676" s="162">
        <f t="shared" si="560"/>
        <v>0</v>
      </c>
      <c r="T1676" s="162">
        <f t="shared" si="560"/>
        <v>0</v>
      </c>
      <c r="U1676" s="162">
        <f t="shared" si="560"/>
        <v>0</v>
      </c>
      <c r="V1676" s="162">
        <f t="shared" si="560"/>
        <v>0</v>
      </c>
      <c r="W1676" s="162">
        <f t="shared" si="560"/>
        <v>0</v>
      </c>
      <c r="X1676" s="162">
        <f t="shared" si="560"/>
        <v>0</v>
      </c>
      <c r="Y1676" s="162">
        <f t="shared" si="560"/>
        <v>0</v>
      </c>
      <c r="Z1676" s="162">
        <f t="shared" si="560"/>
        <v>0</v>
      </c>
      <c r="AA1676" s="162">
        <f t="shared" si="560"/>
        <v>0</v>
      </c>
      <c r="AB1676" s="163">
        <f t="shared" si="557"/>
        <v>0</v>
      </c>
      <c r="AC1676" s="159"/>
      <c r="AE1676" s="194" t="str">
        <f>IF(J1676=0,"",VLOOKUP(J1676,#REF!,2,0)&amp;" - "&amp;J1676&amp;" ("&amp;F1676&amp;" - "&amp;G1676&amp;")")</f>
        <v/>
      </c>
      <c r="AF1676" s="161">
        <f t="shared" si="558"/>
        <v>0</v>
      </c>
      <c r="AG1676" s="162">
        <f t="shared" si="558"/>
        <v>0</v>
      </c>
      <c r="AH1676" s="162">
        <f t="shared" si="558"/>
        <v>0</v>
      </c>
      <c r="AI1676" s="162">
        <f t="shared" si="558"/>
        <v>0</v>
      </c>
      <c r="AJ1676" s="162">
        <f t="shared" si="558"/>
        <v>0</v>
      </c>
      <c r="AK1676" s="162">
        <f t="shared" si="558"/>
        <v>0</v>
      </c>
      <c r="AL1676" s="162">
        <f t="shared" si="558"/>
        <v>0</v>
      </c>
      <c r="AM1676" s="162">
        <f t="shared" si="558"/>
        <v>0</v>
      </c>
      <c r="AN1676" s="162">
        <f t="shared" si="558"/>
        <v>0</v>
      </c>
      <c r="AO1676" s="162">
        <f t="shared" si="558"/>
        <v>0</v>
      </c>
      <c r="AP1676" s="162">
        <f t="shared" si="558"/>
        <v>0</v>
      </c>
      <c r="AQ1676" s="162">
        <f t="shared" si="558"/>
        <v>0</v>
      </c>
      <c r="AR1676" s="163">
        <f t="shared" si="559"/>
        <v>0</v>
      </c>
      <c r="AT1676" s="208">
        <f>IFERROR(VLOOKUP(J1676,#REF!,10,0),0)</f>
        <v>0</v>
      </c>
    </row>
    <row r="1677" spans="1:46" hidden="1" outlineLevel="1" x14ac:dyDescent="0.25">
      <c r="A1677" s="14" t="str">
        <f t="shared" si="552"/>
        <v>PROP_OPER__11</v>
      </c>
      <c r="B1677" s="15" t="str">
        <f t="shared" si="553"/>
        <v>PROP_OPER__0_0</v>
      </c>
      <c r="C1677" s="83"/>
      <c r="D1677" s="15">
        <v>1</v>
      </c>
      <c r="E1677" s="15">
        <v>11</v>
      </c>
      <c r="F1677" s="190">
        <f t="shared" si="554"/>
        <v>0</v>
      </c>
      <c r="G1677" s="149" t="str">
        <f t="shared" si="554"/>
        <v/>
      </c>
      <c r="H1677" s="150" t="str">
        <f t="shared" si="554"/>
        <v/>
      </c>
      <c r="I1677" s="150">
        <f t="shared" si="554"/>
        <v>0</v>
      </c>
      <c r="J1677" s="150">
        <f t="shared" si="554"/>
        <v>0</v>
      </c>
      <c r="K1677" s="196"/>
      <c r="L1677" s="197"/>
      <c r="M1677" s="191">
        <f t="shared" si="555"/>
        <v>0</v>
      </c>
      <c r="N1677" s="150">
        <f t="shared" si="555"/>
        <v>0</v>
      </c>
      <c r="O1677" s="193">
        <f t="shared" si="555"/>
        <v>0</v>
      </c>
      <c r="P1677" s="162">
        <f t="shared" si="560"/>
        <v>0</v>
      </c>
      <c r="Q1677" s="162">
        <f t="shared" si="560"/>
        <v>0</v>
      </c>
      <c r="R1677" s="162">
        <f t="shared" si="560"/>
        <v>0</v>
      </c>
      <c r="S1677" s="162">
        <f t="shared" si="560"/>
        <v>0</v>
      </c>
      <c r="T1677" s="162">
        <f t="shared" si="560"/>
        <v>0</v>
      </c>
      <c r="U1677" s="162">
        <f t="shared" si="560"/>
        <v>0</v>
      </c>
      <c r="V1677" s="162">
        <f t="shared" si="560"/>
        <v>0</v>
      </c>
      <c r="W1677" s="162">
        <f t="shared" si="560"/>
        <v>0</v>
      </c>
      <c r="X1677" s="162">
        <f t="shared" si="560"/>
        <v>0</v>
      </c>
      <c r="Y1677" s="162">
        <f t="shared" si="560"/>
        <v>0</v>
      </c>
      <c r="Z1677" s="162">
        <f t="shared" si="560"/>
        <v>0</v>
      </c>
      <c r="AA1677" s="162">
        <f t="shared" si="560"/>
        <v>0</v>
      </c>
      <c r="AB1677" s="163">
        <f t="shared" si="557"/>
        <v>0</v>
      </c>
      <c r="AC1677" s="198"/>
      <c r="AE1677" s="194" t="str">
        <f>IF(J1677=0,"",VLOOKUP(J1677,#REF!,2,0)&amp;" - "&amp;J1677&amp;" ("&amp;F1677&amp;" - "&amp;G1677&amp;")")</f>
        <v/>
      </c>
      <c r="AF1677" s="161">
        <f t="shared" si="558"/>
        <v>0</v>
      </c>
      <c r="AG1677" s="162">
        <f t="shared" si="558"/>
        <v>0</v>
      </c>
      <c r="AH1677" s="162">
        <f t="shared" si="558"/>
        <v>0</v>
      </c>
      <c r="AI1677" s="162">
        <f t="shared" si="558"/>
        <v>0</v>
      </c>
      <c r="AJ1677" s="162">
        <f t="shared" si="558"/>
        <v>0</v>
      </c>
      <c r="AK1677" s="162">
        <f t="shared" si="558"/>
        <v>0</v>
      </c>
      <c r="AL1677" s="162">
        <f t="shared" si="558"/>
        <v>0</v>
      </c>
      <c r="AM1677" s="162">
        <f t="shared" si="558"/>
        <v>0</v>
      </c>
      <c r="AN1677" s="162">
        <f t="shared" si="558"/>
        <v>0</v>
      </c>
      <c r="AO1677" s="162">
        <f t="shared" si="558"/>
        <v>0</v>
      </c>
      <c r="AP1677" s="162">
        <f t="shared" si="558"/>
        <v>0</v>
      </c>
      <c r="AQ1677" s="162">
        <f t="shared" si="558"/>
        <v>0</v>
      </c>
      <c r="AR1677" s="163">
        <f t="shared" si="559"/>
        <v>0</v>
      </c>
      <c r="AT1677" s="208">
        <f>IFERROR(VLOOKUP(J1677,#REF!,10,0),0)</f>
        <v>0</v>
      </c>
    </row>
    <row r="1678" spans="1:46" hidden="1" outlineLevel="1" x14ac:dyDescent="0.25">
      <c r="A1678" s="14" t="str">
        <f t="shared" si="552"/>
        <v>PROP_OPER__12</v>
      </c>
      <c r="B1678" s="15" t="str">
        <f t="shared" si="553"/>
        <v>PROP_OPER__0_0</v>
      </c>
      <c r="C1678" s="83"/>
      <c r="D1678" s="15">
        <v>1</v>
      </c>
      <c r="E1678" s="15">
        <v>12</v>
      </c>
      <c r="F1678" s="190">
        <f t="shared" si="554"/>
        <v>0</v>
      </c>
      <c r="G1678" s="149" t="str">
        <f t="shared" si="554"/>
        <v/>
      </c>
      <c r="H1678" s="150" t="str">
        <f t="shared" si="554"/>
        <v/>
      </c>
      <c r="I1678" s="150">
        <f t="shared" si="554"/>
        <v>0</v>
      </c>
      <c r="J1678" s="150">
        <f t="shared" si="554"/>
        <v>0</v>
      </c>
      <c r="K1678" s="196"/>
      <c r="L1678" s="197"/>
      <c r="M1678" s="191">
        <f t="shared" si="555"/>
        <v>0</v>
      </c>
      <c r="N1678" s="150">
        <f t="shared" si="555"/>
        <v>0</v>
      </c>
      <c r="O1678" s="193">
        <f t="shared" si="555"/>
        <v>0</v>
      </c>
      <c r="P1678" s="162">
        <f t="shared" si="560"/>
        <v>0</v>
      </c>
      <c r="Q1678" s="162">
        <f t="shared" si="560"/>
        <v>0</v>
      </c>
      <c r="R1678" s="162">
        <f t="shared" si="560"/>
        <v>0</v>
      </c>
      <c r="S1678" s="162">
        <f t="shared" si="560"/>
        <v>0</v>
      </c>
      <c r="T1678" s="162">
        <f t="shared" si="560"/>
        <v>0</v>
      </c>
      <c r="U1678" s="162">
        <f t="shared" si="560"/>
        <v>0</v>
      </c>
      <c r="V1678" s="162">
        <f t="shared" si="560"/>
        <v>0</v>
      </c>
      <c r="W1678" s="162">
        <f t="shared" si="560"/>
        <v>0</v>
      </c>
      <c r="X1678" s="162">
        <f t="shared" si="560"/>
        <v>0</v>
      </c>
      <c r="Y1678" s="162">
        <f t="shared" si="560"/>
        <v>0</v>
      </c>
      <c r="Z1678" s="162">
        <f t="shared" si="560"/>
        <v>0</v>
      </c>
      <c r="AA1678" s="162">
        <f t="shared" si="560"/>
        <v>0</v>
      </c>
      <c r="AB1678" s="163">
        <f t="shared" si="557"/>
        <v>0</v>
      </c>
      <c r="AC1678" s="198"/>
      <c r="AE1678" s="194" t="str">
        <f>IF(J1678=0,"",VLOOKUP(J1678,#REF!,2,0)&amp;" - "&amp;J1678&amp;" ("&amp;F1678&amp;" - "&amp;G1678&amp;")")</f>
        <v/>
      </c>
      <c r="AF1678" s="161">
        <f t="shared" si="558"/>
        <v>0</v>
      </c>
      <c r="AG1678" s="162">
        <f t="shared" si="558"/>
        <v>0</v>
      </c>
      <c r="AH1678" s="162">
        <f t="shared" si="558"/>
        <v>0</v>
      </c>
      <c r="AI1678" s="162">
        <f t="shared" si="558"/>
        <v>0</v>
      </c>
      <c r="AJ1678" s="162">
        <f t="shared" si="558"/>
        <v>0</v>
      </c>
      <c r="AK1678" s="162">
        <f t="shared" si="558"/>
        <v>0</v>
      </c>
      <c r="AL1678" s="162">
        <f t="shared" si="558"/>
        <v>0</v>
      </c>
      <c r="AM1678" s="162">
        <f t="shared" si="558"/>
        <v>0</v>
      </c>
      <c r="AN1678" s="162">
        <f t="shared" si="558"/>
        <v>0</v>
      </c>
      <c r="AO1678" s="162">
        <f t="shared" si="558"/>
        <v>0</v>
      </c>
      <c r="AP1678" s="162">
        <f t="shared" si="558"/>
        <v>0</v>
      </c>
      <c r="AQ1678" s="162">
        <f t="shared" si="558"/>
        <v>0</v>
      </c>
      <c r="AR1678" s="163">
        <f t="shared" si="559"/>
        <v>0</v>
      </c>
      <c r="AT1678" s="208">
        <f>IFERROR(VLOOKUP(J1678,#REF!,10,0),0)</f>
        <v>0</v>
      </c>
    </row>
    <row r="1679" spans="1:46" hidden="1" outlineLevel="1" x14ac:dyDescent="0.25">
      <c r="A1679" s="14" t="str">
        <f t="shared" si="552"/>
        <v>PROP_OPER__13</v>
      </c>
      <c r="B1679" s="15" t="str">
        <f t="shared" si="553"/>
        <v>PROP_OPER__0_0</v>
      </c>
      <c r="C1679" s="83"/>
      <c r="D1679" s="15">
        <v>1</v>
      </c>
      <c r="E1679" s="15">
        <v>13</v>
      </c>
      <c r="F1679" s="190">
        <f t="shared" si="554"/>
        <v>0</v>
      </c>
      <c r="G1679" s="149" t="str">
        <f t="shared" si="554"/>
        <v/>
      </c>
      <c r="H1679" s="150" t="str">
        <f t="shared" si="554"/>
        <v/>
      </c>
      <c r="I1679" s="150">
        <f t="shared" si="554"/>
        <v>0</v>
      </c>
      <c r="J1679" s="150">
        <f t="shared" si="554"/>
        <v>0</v>
      </c>
      <c r="K1679" s="196"/>
      <c r="L1679" s="197"/>
      <c r="M1679" s="191">
        <f t="shared" si="555"/>
        <v>0</v>
      </c>
      <c r="N1679" s="150">
        <f t="shared" si="555"/>
        <v>0</v>
      </c>
      <c r="O1679" s="193">
        <f t="shared" si="555"/>
        <v>0</v>
      </c>
      <c r="P1679" s="162">
        <f t="shared" si="560"/>
        <v>0</v>
      </c>
      <c r="Q1679" s="162">
        <f t="shared" si="560"/>
        <v>0</v>
      </c>
      <c r="R1679" s="162">
        <f t="shared" si="560"/>
        <v>0</v>
      </c>
      <c r="S1679" s="162">
        <f t="shared" si="560"/>
        <v>0</v>
      </c>
      <c r="T1679" s="162">
        <f t="shared" si="560"/>
        <v>0</v>
      </c>
      <c r="U1679" s="162">
        <f t="shared" si="560"/>
        <v>0</v>
      </c>
      <c r="V1679" s="162">
        <f t="shared" si="560"/>
        <v>0</v>
      </c>
      <c r="W1679" s="162">
        <f t="shared" si="560"/>
        <v>0</v>
      </c>
      <c r="X1679" s="162">
        <f t="shared" si="560"/>
        <v>0</v>
      </c>
      <c r="Y1679" s="162">
        <f t="shared" si="560"/>
        <v>0</v>
      </c>
      <c r="Z1679" s="162">
        <f t="shared" si="560"/>
        <v>0</v>
      </c>
      <c r="AA1679" s="162">
        <f t="shared" si="560"/>
        <v>0</v>
      </c>
      <c r="AB1679" s="163">
        <f t="shared" si="557"/>
        <v>0</v>
      </c>
      <c r="AC1679" s="198"/>
      <c r="AE1679" s="194" t="str">
        <f>IF(J1679=0,"",VLOOKUP(J1679,#REF!,2,0)&amp;" - "&amp;J1679&amp;" ("&amp;F1679&amp;" - "&amp;G1679&amp;")")</f>
        <v/>
      </c>
      <c r="AF1679" s="161">
        <f t="shared" si="558"/>
        <v>0</v>
      </c>
      <c r="AG1679" s="162">
        <f t="shared" si="558"/>
        <v>0</v>
      </c>
      <c r="AH1679" s="162">
        <f t="shared" si="558"/>
        <v>0</v>
      </c>
      <c r="AI1679" s="162">
        <f t="shared" si="558"/>
        <v>0</v>
      </c>
      <c r="AJ1679" s="162">
        <f t="shared" si="558"/>
        <v>0</v>
      </c>
      <c r="AK1679" s="162">
        <f t="shared" si="558"/>
        <v>0</v>
      </c>
      <c r="AL1679" s="162">
        <f t="shared" si="558"/>
        <v>0</v>
      </c>
      <c r="AM1679" s="162">
        <f t="shared" si="558"/>
        <v>0</v>
      </c>
      <c r="AN1679" s="162">
        <f t="shared" si="558"/>
        <v>0</v>
      </c>
      <c r="AO1679" s="162">
        <f t="shared" si="558"/>
        <v>0</v>
      </c>
      <c r="AP1679" s="162">
        <f t="shared" si="558"/>
        <v>0</v>
      </c>
      <c r="AQ1679" s="162">
        <f t="shared" si="558"/>
        <v>0</v>
      </c>
      <c r="AR1679" s="163">
        <f t="shared" si="559"/>
        <v>0</v>
      </c>
      <c r="AT1679" s="208">
        <f>IFERROR(VLOOKUP(J1679,#REF!,10,0),0)</f>
        <v>0</v>
      </c>
    </row>
    <row r="1680" spans="1:46" hidden="1" outlineLevel="1" x14ac:dyDescent="0.25">
      <c r="A1680" s="14" t="str">
        <f t="shared" si="552"/>
        <v>PROP_OPER__14</v>
      </c>
      <c r="B1680" s="15" t="str">
        <f t="shared" si="553"/>
        <v>PROP_OPER__0_0</v>
      </c>
      <c r="C1680" s="83"/>
      <c r="D1680" s="15">
        <v>1</v>
      </c>
      <c r="E1680" s="15">
        <v>14</v>
      </c>
      <c r="F1680" s="190">
        <f t="shared" si="554"/>
        <v>0</v>
      </c>
      <c r="G1680" s="149" t="str">
        <f t="shared" si="554"/>
        <v/>
      </c>
      <c r="H1680" s="150" t="str">
        <f t="shared" si="554"/>
        <v/>
      </c>
      <c r="I1680" s="150">
        <f t="shared" si="554"/>
        <v>0</v>
      </c>
      <c r="J1680" s="150">
        <f t="shared" si="554"/>
        <v>0</v>
      </c>
      <c r="K1680" s="196"/>
      <c r="L1680" s="197"/>
      <c r="M1680" s="191">
        <f t="shared" si="555"/>
        <v>0</v>
      </c>
      <c r="N1680" s="150">
        <f t="shared" si="555"/>
        <v>0</v>
      </c>
      <c r="O1680" s="193">
        <f t="shared" si="555"/>
        <v>0</v>
      </c>
      <c r="P1680" s="162">
        <f t="shared" si="560"/>
        <v>0</v>
      </c>
      <c r="Q1680" s="162">
        <f t="shared" si="560"/>
        <v>0</v>
      </c>
      <c r="R1680" s="162">
        <f t="shared" si="560"/>
        <v>0</v>
      </c>
      <c r="S1680" s="162">
        <f t="shared" si="560"/>
        <v>0</v>
      </c>
      <c r="T1680" s="162">
        <f t="shared" si="560"/>
        <v>0</v>
      </c>
      <c r="U1680" s="162">
        <f t="shared" si="560"/>
        <v>0</v>
      </c>
      <c r="V1680" s="162">
        <f t="shared" si="560"/>
        <v>0</v>
      </c>
      <c r="W1680" s="162">
        <f t="shared" si="560"/>
        <v>0</v>
      </c>
      <c r="X1680" s="162">
        <f t="shared" si="560"/>
        <v>0</v>
      </c>
      <c r="Y1680" s="162">
        <f t="shared" si="560"/>
        <v>0</v>
      </c>
      <c r="Z1680" s="162">
        <f t="shared" si="560"/>
        <v>0</v>
      </c>
      <c r="AA1680" s="162">
        <f t="shared" si="560"/>
        <v>0</v>
      </c>
      <c r="AB1680" s="163">
        <f t="shared" si="557"/>
        <v>0</v>
      </c>
      <c r="AC1680" s="198"/>
      <c r="AE1680" s="194" t="str">
        <f>IF(J1680=0,"",VLOOKUP(J1680,#REF!,2,0)&amp;" - "&amp;J1680&amp;" ("&amp;F1680&amp;" - "&amp;G1680&amp;")")</f>
        <v/>
      </c>
      <c r="AF1680" s="161">
        <f t="shared" si="558"/>
        <v>0</v>
      </c>
      <c r="AG1680" s="162">
        <f t="shared" si="558"/>
        <v>0</v>
      </c>
      <c r="AH1680" s="162">
        <f t="shared" si="558"/>
        <v>0</v>
      </c>
      <c r="AI1680" s="162">
        <f t="shared" si="558"/>
        <v>0</v>
      </c>
      <c r="AJ1680" s="162">
        <f t="shared" si="558"/>
        <v>0</v>
      </c>
      <c r="AK1680" s="162">
        <f t="shared" si="558"/>
        <v>0</v>
      </c>
      <c r="AL1680" s="162">
        <f t="shared" si="558"/>
        <v>0</v>
      </c>
      <c r="AM1680" s="162">
        <f t="shared" si="558"/>
        <v>0</v>
      </c>
      <c r="AN1680" s="162">
        <f t="shared" si="558"/>
        <v>0</v>
      </c>
      <c r="AO1680" s="162">
        <f t="shared" si="558"/>
        <v>0</v>
      </c>
      <c r="AP1680" s="162">
        <f t="shared" si="558"/>
        <v>0</v>
      </c>
      <c r="AQ1680" s="162">
        <f t="shared" si="558"/>
        <v>0</v>
      </c>
      <c r="AR1680" s="163">
        <f t="shared" si="559"/>
        <v>0</v>
      </c>
      <c r="AT1680" s="208">
        <f>IFERROR(VLOOKUP(J1680,#REF!,10,0),0)</f>
        <v>0</v>
      </c>
    </row>
    <row r="1681" spans="1:46" hidden="1" outlineLevel="1" x14ac:dyDescent="0.25">
      <c r="A1681" s="14" t="str">
        <f t="shared" si="552"/>
        <v>PROP_OPER__15</v>
      </c>
      <c r="B1681" s="15" t="str">
        <f t="shared" si="553"/>
        <v>PROP_OPER__0_0</v>
      </c>
      <c r="C1681" s="83"/>
      <c r="D1681" s="15">
        <v>1</v>
      </c>
      <c r="E1681" s="15">
        <v>15</v>
      </c>
      <c r="F1681" s="190">
        <f t="shared" si="554"/>
        <v>0</v>
      </c>
      <c r="G1681" s="149" t="str">
        <f t="shared" si="554"/>
        <v/>
      </c>
      <c r="H1681" s="150" t="str">
        <f t="shared" si="554"/>
        <v/>
      </c>
      <c r="I1681" s="150">
        <f t="shared" si="554"/>
        <v>0</v>
      </c>
      <c r="J1681" s="150">
        <f t="shared" si="554"/>
        <v>0</v>
      </c>
      <c r="K1681" s="196"/>
      <c r="L1681" s="197"/>
      <c r="M1681" s="191">
        <f t="shared" si="555"/>
        <v>0</v>
      </c>
      <c r="N1681" s="150">
        <f t="shared" si="555"/>
        <v>0</v>
      </c>
      <c r="O1681" s="193">
        <f t="shared" si="555"/>
        <v>0</v>
      </c>
      <c r="P1681" s="162">
        <f t="shared" si="560"/>
        <v>0</v>
      </c>
      <c r="Q1681" s="162">
        <f t="shared" si="560"/>
        <v>0</v>
      </c>
      <c r="R1681" s="162">
        <f t="shared" si="560"/>
        <v>0</v>
      </c>
      <c r="S1681" s="162">
        <f t="shared" si="560"/>
        <v>0</v>
      </c>
      <c r="T1681" s="162">
        <f t="shared" si="560"/>
        <v>0</v>
      </c>
      <c r="U1681" s="162">
        <f t="shared" si="560"/>
        <v>0</v>
      </c>
      <c r="V1681" s="162">
        <f t="shared" si="560"/>
        <v>0</v>
      </c>
      <c r="W1681" s="162">
        <f t="shared" si="560"/>
        <v>0</v>
      </c>
      <c r="X1681" s="162">
        <f t="shared" si="560"/>
        <v>0</v>
      </c>
      <c r="Y1681" s="162">
        <f t="shared" si="560"/>
        <v>0</v>
      </c>
      <c r="Z1681" s="162">
        <f t="shared" si="560"/>
        <v>0</v>
      </c>
      <c r="AA1681" s="162">
        <f t="shared" si="560"/>
        <v>0</v>
      </c>
      <c r="AB1681" s="163">
        <f t="shared" si="557"/>
        <v>0</v>
      </c>
      <c r="AC1681" s="198"/>
      <c r="AE1681" s="194" t="str">
        <f>IF(J1681=0,"",VLOOKUP(J1681,#REF!,2,0)&amp;" - "&amp;J1681&amp;" ("&amp;F1681&amp;" - "&amp;G1681&amp;")")</f>
        <v/>
      </c>
      <c r="AF1681" s="161">
        <f t="shared" si="558"/>
        <v>0</v>
      </c>
      <c r="AG1681" s="162">
        <f t="shared" si="558"/>
        <v>0</v>
      </c>
      <c r="AH1681" s="162">
        <f t="shared" si="558"/>
        <v>0</v>
      </c>
      <c r="AI1681" s="162">
        <f t="shared" si="558"/>
        <v>0</v>
      </c>
      <c r="AJ1681" s="162">
        <f t="shared" si="558"/>
        <v>0</v>
      </c>
      <c r="AK1681" s="162">
        <f t="shared" si="558"/>
        <v>0</v>
      </c>
      <c r="AL1681" s="162">
        <f t="shared" si="558"/>
        <v>0</v>
      </c>
      <c r="AM1681" s="162">
        <f t="shared" si="558"/>
        <v>0</v>
      </c>
      <c r="AN1681" s="162">
        <f t="shared" si="558"/>
        <v>0</v>
      </c>
      <c r="AO1681" s="162">
        <f t="shared" si="558"/>
        <v>0</v>
      </c>
      <c r="AP1681" s="162">
        <f t="shared" si="558"/>
        <v>0</v>
      </c>
      <c r="AQ1681" s="162">
        <f t="shared" si="558"/>
        <v>0</v>
      </c>
      <c r="AR1681" s="163">
        <f t="shared" si="559"/>
        <v>0</v>
      </c>
      <c r="AT1681" s="208">
        <f>IFERROR(VLOOKUP(J1681,#REF!,10,0),0)</f>
        <v>0</v>
      </c>
    </row>
    <row r="1682" spans="1:46" hidden="1" outlineLevel="1" x14ac:dyDescent="0.25">
      <c r="A1682" s="14" t="str">
        <f t="shared" si="552"/>
        <v>PROP_OPER__16</v>
      </c>
      <c r="B1682" s="15" t="str">
        <f t="shared" si="553"/>
        <v>PROP_OPER__0_0</v>
      </c>
      <c r="C1682" s="83"/>
      <c r="D1682" s="15">
        <v>1</v>
      </c>
      <c r="E1682" s="15">
        <v>16</v>
      </c>
      <c r="F1682" s="190">
        <f t="shared" si="554"/>
        <v>0</v>
      </c>
      <c r="G1682" s="149" t="str">
        <f t="shared" si="554"/>
        <v/>
      </c>
      <c r="H1682" s="150" t="str">
        <f t="shared" si="554"/>
        <v/>
      </c>
      <c r="I1682" s="150">
        <f t="shared" si="554"/>
        <v>0</v>
      </c>
      <c r="J1682" s="150">
        <f t="shared" si="554"/>
        <v>0</v>
      </c>
      <c r="K1682" s="196"/>
      <c r="L1682" s="197"/>
      <c r="M1682" s="191">
        <f t="shared" si="555"/>
        <v>0</v>
      </c>
      <c r="N1682" s="150">
        <f t="shared" si="555"/>
        <v>0</v>
      </c>
      <c r="O1682" s="193">
        <f t="shared" si="555"/>
        <v>0</v>
      </c>
      <c r="P1682" s="162">
        <f t="shared" si="560"/>
        <v>0</v>
      </c>
      <c r="Q1682" s="162">
        <f t="shared" si="560"/>
        <v>0</v>
      </c>
      <c r="R1682" s="162">
        <f t="shared" si="560"/>
        <v>0</v>
      </c>
      <c r="S1682" s="162">
        <f t="shared" si="560"/>
        <v>0</v>
      </c>
      <c r="T1682" s="162">
        <f t="shared" si="560"/>
        <v>0</v>
      </c>
      <c r="U1682" s="162">
        <f t="shared" si="560"/>
        <v>0</v>
      </c>
      <c r="V1682" s="162">
        <f t="shared" si="560"/>
        <v>0</v>
      </c>
      <c r="W1682" s="162">
        <f t="shared" si="560"/>
        <v>0</v>
      </c>
      <c r="X1682" s="162">
        <f t="shared" si="560"/>
        <v>0</v>
      </c>
      <c r="Y1682" s="162">
        <f t="shared" si="560"/>
        <v>0</v>
      </c>
      <c r="Z1682" s="162">
        <f t="shared" si="560"/>
        <v>0</v>
      </c>
      <c r="AA1682" s="162">
        <f t="shared" si="560"/>
        <v>0</v>
      </c>
      <c r="AB1682" s="163">
        <f t="shared" si="557"/>
        <v>0</v>
      </c>
      <c r="AC1682" s="198"/>
      <c r="AE1682" s="194" t="str">
        <f>IF(J1682=0,"",VLOOKUP(J1682,#REF!,2,0)&amp;" - "&amp;J1682&amp;" ("&amp;F1682&amp;" - "&amp;G1682&amp;")")</f>
        <v/>
      </c>
      <c r="AF1682" s="161">
        <f t="shared" si="558"/>
        <v>0</v>
      </c>
      <c r="AG1682" s="162">
        <f t="shared" si="558"/>
        <v>0</v>
      </c>
      <c r="AH1682" s="162">
        <f t="shared" si="558"/>
        <v>0</v>
      </c>
      <c r="AI1682" s="162">
        <f t="shared" si="558"/>
        <v>0</v>
      </c>
      <c r="AJ1682" s="162">
        <f t="shared" si="558"/>
        <v>0</v>
      </c>
      <c r="AK1682" s="162">
        <f t="shared" si="558"/>
        <v>0</v>
      </c>
      <c r="AL1682" s="162">
        <f t="shared" si="558"/>
        <v>0</v>
      </c>
      <c r="AM1682" s="162">
        <f t="shared" si="558"/>
        <v>0</v>
      </c>
      <c r="AN1682" s="162">
        <f t="shared" si="558"/>
        <v>0</v>
      </c>
      <c r="AO1682" s="162">
        <f t="shared" si="558"/>
        <v>0</v>
      </c>
      <c r="AP1682" s="162">
        <f t="shared" si="558"/>
        <v>0</v>
      </c>
      <c r="AQ1682" s="162">
        <f t="shared" si="558"/>
        <v>0</v>
      </c>
      <c r="AR1682" s="163">
        <f t="shared" si="559"/>
        <v>0</v>
      </c>
      <c r="AT1682" s="208">
        <f>IFERROR(VLOOKUP(J1682,#REF!,10,0),0)</f>
        <v>0</v>
      </c>
    </row>
    <row r="1683" spans="1:46" hidden="1" outlineLevel="1" x14ac:dyDescent="0.25">
      <c r="A1683" s="14" t="str">
        <f t="shared" si="552"/>
        <v>PROP_OPER__17</v>
      </c>
      <c r="B1683" s="15" t="str">
        <f t="shared" si="553"/>
        <v>PROP_OPER__0_0</v>
      </c>
      <c r="C1683" s="83"/>
      <c r="D1683" s="15">
        <v>1</v>
      </c>
      <c r="E1683" s="15">
        <v>17</v>
      </c>
      <c r="F1683" s="190">
        <f t="shared" ref="F1683:J1698" si="561">F1444</f>
        <v>0</v>
      </c>
      <c r="G1683" s="149" t="str">
        <f t="shared" si="561"/>
        <v/>
      </c>
      <c r="H1683" s="150" t="str">
        <f t="shared" si="561"/>
        <v/>
      </c>
      <c r="I1683" s="150">
        <f t="shared" si="561"/>
        <v>0</v>
      </c>
      <c r="J1683" s="150">
        <f t="shared" si="561"/>
        <v>0</v>
      </c>
      <c r="K1683" s="196"/>
      <c r="L1683" s="197"/>
      <c r="M1683" s="191">
        <f t="shared" ref="M1683:O1698" si="562">M1444</f>
        <v>0</v>
      </c>
      <c r="N1683" s="150">
        <f t="shared" si="562"/>
        <v>0</v>
      </c>
      <c r="O1683" s="193">
        <f t="shared" si="562"/>
        <v>0</v>
      </c>
      <c r="P1683" s="162">
        <f t="shared" si="560"/>
        <v>0</v>
      </c>
      <c r="Q1683" s="162">
        <f t="shared" si="560"/>
        <v>0</v>
      </c>
      <c r="R1683" s="162">
        <f t="shared" si="560"/>
        <v>0</v>
      </c>
      <c r="S1683" s="162">
        <f t="shared" si="560"/>
        <v>0</v>
      </c>
      <c r="T1683" s="162">
        <f t="shared" si="560"/>
        <v>0</v>
      </c>
      <c r="U1683" s="162">
        <f t="shared" si="560"/>
        <v>0</v>
      </c>
      <c r="V1683" s="162">
        <f t="shared" si="560"/>
        <v>0</v>
      </c>
      <c r="W1683" s="162">
        <f t="shared" si="560"/>
        <v>0</v>
      </c>
      <c r="X1683" s="162">
        <f t="shared" si="560"/>
        <v>0</v>
      </c>
      <c r="Y1683" s="162">
        <f t="shared" si="560"/>
        <v>0</v>
      </c>
      <c r="Z1683" s="162">
        <f t="shared" si="560"/>
        <v>0</v>
      </c>
      <c r="AA1683" s="162">
        <f t="shared" si="560"/>
        <v>0</v>
      </c>
      <c r="AB1683" s="163">
        <f t="shared" si="557"/>
        <v>0</v>
      </c>
      <c r="AC1683" s="198"/>
      <c r="AE1683" s="194" t="str">
        <f>IF(J1683=0,"",VLOOKUP(J1683,#REF!,2,0)&amp;" - "&amp;J1683&amp;" ("&amp;F1683&amp;" - "&amp;G1683&amp;")")</f>
        <v/>
      </c>
      <c r="AF1683" s="161">
        <f t="shared" ref="AF1683:AQ1698" si="563">IFERROR(SUMIF($B$1351:$B$1378,$C1683&amp;$I1683,P$1351:P$1378)/SUMIF($D$1351:$D$1378,$I1683,P$1351:P$1378)*AF1444,0)</f>
        <v>0</v>
      </c>
      <c r="AG1683" s="162">
        <f t="shared" si="563"/>
        <v>0</v>
      </c>
      <c r="AH1683" s="162">
        <f t="shared" si="563"/>
        <v>0</v>
      </c>
      <c r="AI1683" s="162">
        <f t="shared" si="563"/>
        <v>0</v>
      </c>
      <c r="AJ1683" s="162">
        <f t="shared" si="563"/>
        <v>0</v>
      </c>
      <c r="AK1683" s="162">
        <f t="shared" si="563"/>
        <v>0</v>
      </c>
      <c r="AL1683" s="162">
        <f t="shared" si="563"/>
        <v>0</v>
      </c>
      <c r="AM1683" s="162">
        <f t="shared" si="563"/>
        <v>0</v>
      </c>
      <c r="AN1683" s="162">
        <f t="shared" si="563"/>
        <v>0</v>
      </c>
      <c r="AO1683" s="162">
        <f t="shared" si="563"/>
        <v>0</v>
      </c>
      <c r="AP1683" s="162">
        <f t="shared" si="563"/>
        <v>0</v>
      </c>
      <c r="AQ1683" s="162">
        <f t="shared" si="563"/>
        <v>0</v>
      </c>
      <c r="AR1683" s="163">
        <f t="shared" si="559"/>
        <v>0</v>
      </c>
      <c r="AT1683" s="208">
        <f>IFERROR(VLOOKUP(J1683,#REF!,10,0),0)</f>
        <v>0</v>
      </c>
    </row>
    <row r="1684" spans="1:46" hidden="1" outlineLevel="1" x14ac:dyDescent="0.25">
      <c r="A1684" s="14" t="str">
        <f t="shared" si="552"/>
        <v>PROP_OPER__18</v>
      </c>
      <c r="B1684" s="15" t="str">
        <f t="shared" si="553"/>
        <v>PROP_OPER__0_0</v>
      </c>
      <c r="C1684" s="83"/>
      <c r="D1684" s="15">
        <v>1</v>
      </c>
      <c r="E1684" s="15">
        <v>18</v>
      </c>
      <c r="F1684" s="190">
        <f t="shared" si="561"/>
        <v>0</v>
      </c>
      <c r="G1684" s="149" t="str">
        <f t="shared" si="561"/>
        <v/>
      </c>
      <c r="H1684" s="150" t="str">
        <f t="shared" si="561"/>
        <v/>
      </c>
      <c r="I1684" s="150">
        <f t="shared" si="561"/>
        <v>0</v>
      </c>
      <c r="J1684" s="150">
        <f t="shared" si="561"/>
        <v>0</v>
      </c>
      <c r="K1684" s="196"/>
      <c r="L1684" s="197"/>
      <c r="M1684" s="191">
        <f t="shared" si="562"/>
        <v>0</v>
      </c>
      <c r="N1684" s="150">
        <f t="shared" si="562"/>
        <v>0</v>
      </c>
      <c r="O1684" s="193">
        <f t="shared" si="562"/>
        <v>0</v>
      </c>
      <c r="P1684" s="162">
        <f t="shared" si="560"/>
        <v>0</v>
      </c>
      <c r="Q1684" s="162">
        <f t="shared" si="560"/>
        <v>0</v>
      </c>
      <c r="R1684" s="162">
        <f t="shared" si="560"/>
        <v>0</v>
      </c>
      <c r="S1684" s="162">
        <f t="shared" si="560"/>
        <v>0</v>
      </c>
      <c r="T1684" s="162">
        <f t="shared" si="560"/>
        <v>0</v>
      </c>
      <c r="U1684" s="162">
        <f t="shared" si="560"/>
        <v>0</v>
      </c>
      <c r="V1684" s="162">
        <f t="shared" si="560"/>
        <v>0</v>
      </c>
      <c r="W1684" s="162">
        <f t="shared" si="560"/>
        <v>0</v>
      </c>
      <c r="X1684" s="162">
        <f t="shared" si="560"/>
        <v>0</v>
      </c>
      <c r="Y1684" s="162">
        <f t="shared" si="560"/>
        <v>0</v>
      </c>
      <c r="Z1684" s="162">
        <f t="shared" si="560"/>
        <v>0</v>
      </c>
      <c r="AA1684" s="162">
        <f t="shared" si="560"/>
        <v>0</v>
      </c>
      <c r="AB1684" s="163">
        <f t="shared" si="557"/>
        <v>0</v>
      </c>
      <c r="AC1684" s="198"/>
      <c r="AE1684" s="194" t="str">
        <f>IF(J1684=0,"",VLOOKUP(J1684,#REF!,2,0)&amp;" - "&amp;J1684&amp;" ("&amp;F1684&amp;" - "&amp;G1684&amp;")")</f>
        <v/>
      </c>
      <c r="AF1684" s="161">
        <f t="shared" si="563"/>
        <v>0</v>
      </c>
      <c r="AG1684" s="162">
        <f t="shared" si="563"/>
        <v>0</v>
      </c>
      <c r="AH1684" s="162">
        <f t="shared" si="563"/>
        <v>0</v>
      </c>
      <c r="AI1684" s="162">
        <f t="shared" si="563"/>
        <v>0</v>
      </c>
      <c r="AJ1684" s="162">
        <f t="shared" si="563"/>
        <v>0</v>
      </c>
      <c r="AK1684" s="162">
        <f t="shared" si="563"/>
        <v>0</v>
      </c>
      <c r="AL1684" s="162">
        <f t="shared" si="563"/>
        <v>0</v>
      </c>
      <c r="AM1684" s="162">
        <f t="shared" si="563"/>
        <v>0</v>
      </c>
      <c r="AN1684" s="162">
        <f t="shared" si="563"/>
        <v>0</v>
      </c>
      <c r="AO1684" s="162">
        <f t="shared" si="563"/>
        <v>0</v>
      </c>
      <c r="AP1684" s="162">
        <f t="shared" si="563"/>
        <v>0</v>
      </c>
      <c r="AQ1684" s="162">
        <f t="shared" si="563"/>
        <v>0</v>
      </c>
      <c r="AR1684" s="163">
        <f t="shared" si="559"/>
        <v>0</v>
      </c>
      <c r="AT1684" s="208">
        <f>IFERROR(VLOOKUP(J1684,#REF!,10,0),0)</f>
        <v>0</v>
      </c>
    </row>
    <row r="1685" spans="1:46" hidden="1" outlineLevel="1" x14ac:dyDescent="0.25">
      <c r="A1685" s="14" t="str">
        <f t="shared" si="552"/>
        <v>PROP_OPER__19</v>
      </c>
      <c r="B1685" s="15" t="str">
        <f t="shared" si="553"/>
        <v>PROP_OPER__0_0</v>
      </c>
      <c r="C1685" s="83"/>
      <c r="D1685" s="15">
        <v>1</v>
      </c>
      <c r="E1685" s="15">
        <v>19</v>
      </c>
      <c r="F1685" s="190">
        <f t="shared" si="561"/>
        <v>0</v>
      </c>
      <c r="G1685" s="149" t="str">
        <f t="shared" si="561"/>
        <v/>
      </c>
      <c r="H1685" s="150" t="str">
        <f t="shared" si="561"/>
        <v/>
      </c>
      <c r="I1685" s="150">
        <f t="shared" si="561"/>
        <v>0</v>
      </c>
      <c r="J1685" s="150">
        <f t="shared" si="561"/>
        <v>0</v>
      </c>
      <c r="K1685" s="196"/>
      <c r="L1685" s="197"/>
      <c r="M1685" s="191">
        <f t="shared" si="562"/>
        <v>0</v>
      </c>
      <c r="N1685" s="150">
        <f t="shared" si="562"/>
        <v>0</v>
      </c>
      <c r="O1685" s="193">
        <f t="shared" si="562"/>
        <v>0</v>
      </c>
      <c r="P1685" s="162">
        <f t="shared" si="560"/>
        <v>0</v>
      </c>
      <c r="Q1685" s="162">
        <f t="shared" si="560"/>
        <v>0</v>
      </c>
      <c r="R1685" s="162">
        <f t="shared" si="560"/>
        <v>0</v>
      </c>
      <c r="S1685" s="162">
        <f t="shared" si="560"/>
        <v>0</v>
      </c>
      <c r="T1685" s="162">
        <f t="shared" si="560"/>
        <v>0</v>
      </c>
      <c r="U1685" s="162">
        <f t="shared" si="560"/>
        <v>0</v>
      </c>
      <c r="V1685" s="162">
        <f t="shared" si="560"/>
        <v>0</v>
      </c>
      <c r="W1685" s="162">
        <f t="shared" si="560"/>
        <v>0</v>
      </c>
      <c r="X1685" s="162">
        <f t="shared" si="560"/>
        <v>0</v>
      </c>
      <c r="Y1685" s="162">
        <f t="shared" si="560"/>
        <v>0</v>
      </c>
      <c r="Z1685" s="162">
        <f t="shared" si="560"/>
        <v>0</v>
      </c>
      <c r="AA1685" s="162">
        <f t="shared" si="560"/>
        <v>0</v>
      </c>
      <c r="AB1685" s="163">
        <f t="shared" si="557"/>
        <v>0</v>
      </c>
      <c r="AC1685" s="198"/>
      <c r="AE1685" s="194" t="str">
        <f>IF(J1685=0,"",VLOOKUP(J1685,#REF!,2,0)&amp;" - "&amp;J1685&amp;" ("&amp;F1685&amp;" - "&amp;G1685&amp;")")</f>
        <v/>
      </c>
      <c r="AF1685" s="161">
        <f t="shared" si="563"/>
        <v>0</v>
      </c>
      <c r="AG1685" s="162">
        <f t="shared" si="563"/>
        <v>0</v>
      </c>
      <c r="AH1685" s="162">
        <f t="shared" si="563"/>
        <v>0</v>
      </c>
      <c r="AI1685" s="162">
        <f t="shared" si="563"/>
        <v>0</v>
      </c>
      <c r="AJ1685" s="162">
        <f t="shared" si="563"/>
        <v>0</v>
      </c>
      <c r="AK1685" s="162">
        <f t="shared" si="563"/>
        <v>0</v>
      </c>
      <c r="AL1685" s="162">
        <f t="shared" si="563"/>
        <v>0</v>
      </c>
      <c r="AM1685" s="162">
        <f t="shared" si="563"/>
        <v>0</v>
      </c>
      <c r="AN1685" s="162">
        <f t="shared" si="563"/>
        <v>0</v>
      </c>
      <c r="AO1685" s="162">
        <f t="shared" si="563"/>
        <v>0</v>
      </c>
      <c r="AP1685" s="162">
        <f t="shared" si="563"/>
        <v>0</v>
      </c>
      <c r="AQ1685" s="162">
        <f t="shared" si="563"/>
        <v>0</v>
      </c>
      <c r="AR1685" s="163">
        <f t="shared" si="559"/>
        <v>0</v>
      </c>
      <c r="AT1685" s="208">
        <f>IFERROR(VLOOKUP(J1685,#REF!,10,0),0)</f>
        <v>0</v>
      </c>
    </row>
    <row r="1686" spans="1:46" hidden="1" outlineLevel="1" x14ac:dyDescent="0.25">
      <c r="A1686" s="14" t="str">
        <f t="shared" si="552"/>
        <v>PROP_OPER__20</v>
      </c>
      <c r="B1686" s="15" t="str">
        <f t="shared" si="553"/>
        <v>PROP_OPER__0_0</v>
      </c>
      <c r="C1686" s="83"/>
      <c r="D1686" s="15">
        <v>1</v>
      </c>
      <c r="E1686" s="15">
        <v>20</v>
      </c>
      <c r="F1686" s="190">
        <f t="shared" si="561"/>
        <v>0</v>
      </c>
      <c r="G1686" s="149" t="str">
        <f t="shared" si="561"/>
        <v/>
      </c>
      <c r="H1686" s="150" t="str">
        <f t="shared" si="561"/>
        <v/>
      </c>
      <c r="I1686" s="150">
        <f t="shared" si="561"/>
        <v>0</v>
      </c>
      <c r="J1686" s="150">
        <f t="shared" si="561"/>
        <v>0</v>
      </c>
      <c r="K1686" s="196"/>
      <c r="L1686" s="197"/>
      <c r="M1686" s="191">
        <f t="shared" si="562"/>
        <v>0</v>
      </c>
      <c r="N1686" s="150">
        <f t="shared" si="562"/>
        <v>0</v>
      </c>
      <c r="O1686" s="193">
        <f t="shared" si="562"/>
        <v>0</v>
      </c>
      <c r="P1686" s="162">
        <f t="shared" si="560"/>
        <v>0</v>
      </c>
      <c r="Q1686" s="162">
        <f t="shared" si="560"/>
        <v>0</v>
      </c>
      <c r="R1686" s="162">
        <f t="shared" si="560"/>
        <v>0</v>
      </c>
      <c r="S1686" s="162">
        <f t="shared" si="560"/>
        <v>0</v>
      </c>
      <c r="T1686" s="162">
        <f t="shared" si="560"/>
        <v>0</v>
      </c>
      <c r="U1686" s="162">
        <f t="shared" si="560"/>
        <v>0</v>
      </c>
      <c r="V1686" s="162">
        <f t="shared" si="560"/>
        <v>0</v>
      </c>
      <c r="W1686" s="162">
        <f t="shared" si="560"/>
        <v>0</v>
      </c>
      <c r="X1686" s="162">
        <f t="shared" si="560"/>
        <v>0</v>
      </c>
      <c r="Y1686" s="162">
        <f t="shared" si="560"/>
        <v>0</v>
      </c>
      <c r="Z1686" s="162">
        <f t="shared" si="560"/>
        <v>0</v>
      </c>
      <c r="AA1686" s="162">
        <f t="shared" si="560"/>
        <v>0</v>
      </c>
      <c r="AB1686" s="163">
        <f t="shared" si="557"/>
        <v>0</v>
      </c>
      <c r="AC1686" s="198"/>
      <c r="AE1686" s="194" t="str">
        <f>IF(J1686=0,"",VLOOKUP(J1686,#REF!,2,0)&amp;" - "&amp;J1686&amp;" ("&amp;F1686&amp;" - "&amp;G1686&amp;")")</f>
        <v/>
      </c>
      <c r="AF1686" s="161">
        <f t="shared" si="563"/>
        <v>0</v>
      </c>
      <c r="AG1686" s="162">
        <f t="shared" si="563"/>
        <v>0</v>
      </c>
      <c r="AH1686" s="162">
        <f t="shared" si="563"/>
        <v>0</v>
      </c>
      <c r="AI1686" s="162">
        <f t="shared" si="563"/>
        <v>0</v>
      </c>
      <c r="AJ1686" s="162">
        <f t="shared" si="563"/>
        <v>0</v>
      </c>
      <c r="AK1686" s="162">
        <f t="shared" si="563"/>
        <v>0</v>
      </c>
      <c r="AL1686" s="162">
        <f t="shared" si="563"/>
        <v>0</v>
      </c>
      <c r="AM1686" s="162">
        <f t="shared" si="563"/>
        <v>0</v>
      </c>
      <c r="AN1686" s="162">
        <f t="shared" si="563"/>
        <v>0</v>
      </c>
      <c r="AO1686" s="162">
        <f t="shared" si="563"/>
        <v>0</v>
      </c>
      <c r="AP1686" s="162">
        <f t="shared" si="563"/>
        <v>0</v>
      </c>
      <c r="AQ1686" s="162">
        <f t="shared" si="563"/>
        <v>0</v>
      </c>
      <c r="AR1686" s="163">
        <f t="shared" si="559"/>
        <v>0</v>
      </c>
      <c r="AT1686" s="208">
        <f>IFERROR(VLOOKUP(J1686,#REF!,10,0),0)</f>
        <v>0</v>
      </c>
    </row>
    <row r="1687" spans="1:46" hidden="1" outlineLevel="1" x14ac:dyDescent="0.25">
      <c r="A1687" s="14" t="str">
        <f t="shared" si="552"/>
        <v>PROP_OPER__21</v>
      </c>
      <c r="B1687" s="15" t="str">
        <f t="shared" si="553"/>
        <v>PROP_OPER__0_0</v>
      </c>
      <c r="C1687" s="83"/>
      <c r="D1687" s="15">
        <v>1</v>
      </c>
      <c r="E1687" s="15">
        <v>21</v>
      </c>
      <c r="F1687" s="190">
        <f t="shared" si="561"/>
        <v>0</v>
      </c>
      <c r="G1687" s="149" t="str">
        <f t="shared" si="561"/>
        <v/>
      </c>
      <c r="H1687" s="150" t="str">
        <f t="shared" si="561"/>
        <v/>
      </c>
      <c r="I1687" s="150">
        <f t="shared" si="561"/>
        <v>0</v>
      </c>
      <c r="J1687" s="150">
        <f t="shared" si="561"/>
        <v>0</v>
      </c>
      <c r="K1687" s="196"/>
      <c r="L1687" s="197"/>
      <c r="M1687" s="191">
        <f t="shared" si="562"/>
        <v>0</v>
      </c>
      <c r="N1687" s="150">
        <f t="shared" si="562"/>
        <v>0</v>
      </c>
      <c r="O1687" s="193">
        <f t="shared" si="562"/>
        <v>0</v>
      </c>
      <c r="P1687" s="162">
        <f t="shared" si="560"/>
        <v>0</v>
      </c>
      <c r="Q1687" s="162">
        <f t="shared" si="560"/>
        <v>0</v>
      </c>
      <c r="R1687" s="162">
        <f t="shared" si="560"/>
        <v>0</v>
      </c>
      <c r="S1687" s="162">
        <f t="shared" si="560"/>
        <v>0</v>
      </c>
      <c r="T1687" s="162">
        <f t="shared" si="560"/>
        <v>0</v>
      </c>
      <c r="U1687" s="162">
        <f t="shared" si="560"/>
        <v>0</v>
      </c>
      <c r="V1687" s="162">
        <f t="shared" si="560"/>
        <v>0</v>
      </c>
      <c r="W1687" s="162">
        <f t="shared" si="560"/>
        <v>0</v>
      </c>
      <c r="X1687" s="162">
        <f t="shared" si="560"/>
        <v>0</v>
      </c>
      <c r="Y1687" s="162">
        <f t="shared" si="560"/>
        <v>0</v>
      </c>
      <c r="Z1687" s="162">
        <f t="shared" si="560"/>
        <v>0</v>
      </c>
      <c r="AA1687" s="162">
        <f t="shared" si="560"/>
        <v>0</v>
      </c>
      <c r="AB1687" s="163">
        <f t="shared" si="557"/>
        <v>0</v>
      </c>
      <c r="AC1687" s="198"/>
      <c r="AE1687" s="194" t="str">
        <f>IF(J1687=0,"",VLOOKUP(J1687,#REF!,2,0)&amp;" - "&amp;J1687&amp;" ("&amp;F1687&amp;" - "&amp;G1687&amp;")")</f>
        <v/>
      </c>
      <c r="AF1687" s="161">
        <f t="shared" si="563"/>
        <v>0</v>
      </c>
      <c r="AG1687" s="162">
        <f t="shared" si="563"/>
        <v>0</v>
      </c>
      <c r="AH1687" s="162">
        <f t="shared" si="563"/>
        <v>0</v>
      </c>
      <c r="AI1687" s="162">
        <f t="shared" si="563"/>
        <v>0</v>
      </c>
      <c r="AJ1687" s="162">
        <f t="shared" si="563"/>
        <v>0</v>
      </c>
      <c r="AK1687" s="162">
        <f t="shared" si="563"/>
        <v>0</v>
      </c>
      <c r="AL1687" s="162">
        <f t="shared" si="563"/>
        <v>0</v>
      </c>
      <c r="AM1687" s="162">
        <f t="shared" si="563"/>
        <v>0</v>
      </c>
      <c r="AN1687" s="162">
        <f t="shared" si="563"/>
        <v>0</v>
      </c>
      <c r="AO1687" s="162">
        <f t="shared" si="563"/>
        <v>0</v>
      </c>
      <c r="AP1687" s="162">
        <f t="shared" si="563"/>
        <v>0</v>
      </c>
      <c r="AQ1687" s="162">
        <f t="shared" si="563"/>
        <v>0</v>
      </c>
      <c r="AR1687" s="163">
        <f t="shared" si="559"/>
        <v>0</v>
      </c>
      <c r="AT1687" s="208">
        <f>IFERROR(VLOOKUP(J1687,#REF!,10,0),0)</f>
        <v>0</v>
      </c>
    </row>
    <row r="1688" spans="1:46" hidden="1" outlineLevel="1" x14ac:dyDescent="0.25">
      <c r="A1688" s="14" t="str">
        <f t="shared" si="552"/>
        <v>PROP_OPER__22</v>
      </c>
      <c r="B1688" s="15" t="str">
        <f t="shared" si="553"/>
        <v>PROP_OPER__0_0</v>
      </c>
      <c r="C1688" s="83"/>
      <c r="D1688" s="15">
        <v>1</v>
      </c>
      <c r="E1688" s="15">
        <v>22</v>
      </c>
      <c r="F1688" s="190">
        <f t="shared" si="561"/>
        <v>0</v>
      </c>
      <c r="G1688" s="149" t="str">
        <f t="shared" si="561"/>
        <v/>
      </c>
      <c r="H1688" s="150" t="str">
        <f t="shared" si="561"/>
        <v/>
      </c>
      <c r="I1688" s="150">
        <f t="shared" si="561"/>
        <v>0</v>
      </c>
      <c r="J1688" s="150">
        <f t="shared" si="561"/>
        <v>0</v>
      </c>
      <c r="K1688" s="196"/>
      <c r="L1688" s="197"/>
      <c r="M1688" s="191">
        <f t="shared" si="562"/>
        <v>0</v>
      </c>
      <c r="N1688" s="150">
        <f t="shared" si="562"/>
        <v>0</v>
      </c>
      <c r="O1688" s="193">
        <f t="shared" si="562"/>
        <v>0</v>
      </c>
      <c r="P1688" s="162">
        <f t="shared" si="560"/>
        <v>0</v>
      </c>
      <c r="Q1688" s="162">
        <f t="shared" si="560"/>
        <v>0</v>
      </c>
      <c r="R1688" s="162">
        <f t="shared" si="560"/>
        <v>0</v>
      </c>
      <c r="S1688" s="162">
        <f t="shared" si="560"/>
        <v>0</v>
      </c>
      <c r="T1688" s="162">
        <f t="shared" si="560"/>
        <v>0</v>
      </c>
      <c r="U1688" s="162">
        <f t="shared" si="560"/>
        <v>0</v>
      </c>
      <c r="V1688" s="162">
        <f t="shared" si="560"/>
        <v>0</v>
      </c>
      <c r="W1688" s="162">
        <f t="shared" si="560"/>
        <v>0</v>
      </c>
      <c r="X1688" s="162">
        <f t="shared" si="560"/>
        <v>0</v>
      </c>
      <c r="Y1688" s="162">
        <f t="shared" si="560"/>
        <v>0</v>
      </c>
      <c r="Z1688" s="162">
        <f t="shared" si="560"/>
        <v>0</v>
      </c>
      <c r="AA1688" s="162">
        <f t="shared" si="560"/>
        <v>0</v>
      </c>
      <c r="AB1688" s="163">
        <f t="shared" si="557"/>
        <v>0</v>
      </c>
      <c r="AC1688" s="198"/>
      <c r="AE1688" s="194" t="str">
        <f>IF(J1688=0,"",VLOOKUP(J1688,#REF!,2,0)&amp;" - "&amp;J1688&amp;" ("&amp;F1688&amp;" - "&amp;G1688&amp;")")</f>
        <v/>
      </c>
      <c r="AF1688" s="161">
        <f t="shared" si="563"/>
        <v>0</v>
      </c>
      <c r="AG1688" s="162">
        <f t="shared" si="563"/>
        <v>0</v>
      </c>
      <c r="AH1688" s="162">
        <f t="shared" si="563"/>
        <v>0</v>
      </c>
      <c r="AI1688" s="162">
        <f t="shared" si="563"/>
        <v>0</v>
      </c>
      <c r="AJ1688" s="162">
        <f t="shared" si="563"/>
        <v>0</v>
      </c>
      <c r="AK1688" s="162">
        <f t="shared" si="563"/>
        <v>0</v>
      </c>
      <c r="AL1688" s="162">
        <f t="shared" si="563"/>
        <v>0</v>
      </c>
      <c r="AM1688" s="162">
        <f t="shared" si="563"/>
        <v>0</v>
      </c>
      <c r="AN1688" s="162">
        <f t="shared" si="563"/>
        <v>0</v>
      </c>
      <c r="AO1688" s="162">
        <f t="shared" si="563"/>
        <v>0</v>
      </c>
      <c r="AP1688" s="162">
        <f t="shared" si="563"/>
        <v>0</v>
      </c>
      <c r="AQ1688" s="162">
        <f t="shared" si="563"/>
        <v>0</v>
      </c>
      <c r="AR1688" s="163">
        <f t="shared" si="559"/>
        <v>0</v>
      </c>
      <c r="AT1688" s="208">
        <f>IFERROR(VLOOKUP(J1688,#REF!,10,0),0)</f>
        <v>0</v>
      </c>
    </row>
    <row r="1689" spans="1:46" hidden="1" outlineLevel="1" x14ac:dyDescent="0.25">
      <c r="A1689" s="14" t="str">
        <f t="shared" si="552"/>
        <v>PROP_OPER__23</v>
      </c>
      <c r="B1689" s="15" t="str">
        <f t="shared" si="553"/>
        <v>PROP_OPER__0_0</v>
      </c>
      <c r="C1689" s="83"/>
      <c r="D1689" s="15">
        <v>1</v>
      </c>
      <c r="E1689" s="15">
        <v>23</v>
      </c>
      <c r="F1689" s="190">
        <f t="shared" si="561"/>
        <v>0</v>
      </c>
      <c r="G1689" s="149" t="str">
        <f t="shared" si="561"/>
        <v/>
      </c>
      <c r="H1689" s="150" t="str">
        <f t="shared" si="561"/>
        <v/>
      </c>
      <c r="I1689" s="150">
        <f t="shared" si="561"/>
        <v>0</v>
      </c>
      <c r="J1689" s="150">
        <f t="shared" si="561"/>
        <v>0</v>
      </c>
      <c r="K1689" s="196"/>
      <c r="L1689" s="197"/>
      <c r="M1689" s="191">
        <f t="shared" si="562"/>
        <v>0</v>
      </c>
      <c r="N1689" s="150">
        <f t="shared" si="562"/>
        <v>0</v>
      </c>
      <c r="O1689" s="193">
        <f t="shared" si="562"/>
        <v>0</v>
      </c>
      <c r="P1689" s="162">
        <f t="shared" si="560"/>
        <v>0</v>
      </c>
      <c r="Q1689" s="162">
        <f t="shared" si="560"/>
        <v>0</v>
      </c>
      <c r="R1689" s="162">
        <f t="shared" si="560"/>
        <v>0</v>
      </c>
      <c r="S1689" s="162">
        <f t="shared" si="560"/>
        <v>0</v>
      </c>
      <c r="T1689" s="162">
        <f t="shared" si="560"/>
        <v>0</v>
      </c>
      <c r="U1689" s="162">
        <f t="shared" si="560"/>
        <v>0</v>
      </c>
      <c r="V1689" s="162">
        <f t="shared" si="560"/>
        <v>0</v>
      </c>
      <c r="W1689" s="162">
        <f t="shared" si="560"/>
        <v>0</v>
      </c>
      <c r="X1689" s="162">
        <f t="shared" si="560"/>
        <v>0</v>
      </c>
      <c r="Y1689" s="162">
        <f t="shared" si="560"/>
        <v>0</v>
      </c>
      <c r="Z1689" s="162">
        <f t="shared" si="560"/>
        <v>0</v>
      </c>
      <c r="AA1689" s="162">
        <f t="shared" si="560"/>
        <v>0</v>
      </c>
      <c r="AB1689" s="163">
        <f t="shared" si="557"/>
        <v>0</v>
      </c>
      <c r="AC1689" s="198"/>
      <c r="AE1689" s="194" t="str">
        <f>IF(J1689=0,"",VLOOKUP(J1689,#REF!,2,0)&amp;" - "&amp;J1689&amp;" ("&amp;F1689&amp;" - "&amp;G1689&amp;")")</f>
        <v/>
      </c>
      <c r="AF1689" s="161">
        <f t="shared" si="563"/>
        <v>0</v>
      </c>
      <c r="AG1689" s="162">
        <f t="shared" si="563"/>
        <v>0</v>
      </c>
      <c r="AH1689" s="162">
        <f t="shared" si="563"/>
        <v>0</v>
      </c>
      <c r="AI1689" s="162">
        <f t="shared" si="563"/>
        <v>0</v>
      </c>
      <c r="AJ1689" s="162">
        <f t="shared" si="563"/>
        <v>0</v>
      </c>
      <c r="AK1689" s="162">
        <f t="shared" si="563"/>
        <v>0</v>
      </c>
      <c r="AL1689" s="162">
        <f t="shared" si="563"/>
        <v>0</v>
      </c>
      <c r="AM1689" s="162">
        <f t="shared" si="563"/>
        <v>0</v>
      </c>
      <c r="AN1689" s="162">
        <f t="shared" si="563"/>
        <v>0</v>
      </c>
      <c r="AO1689" s="162">
        <f t="shared" si="563"/>
        <v>0</v>
      </c>
      <c r="AP1689" s="162">
        <f t="shared" si="563"/>
        <v>0</v>
      </c>
      <c r="AQ1689" s="162">
        <f t="shared" si="563"/>
        <v>0</v>
      </c>
      <c r="AR1689" s="163">
        <f t="shared" si="559"/>
        <v>0</v>
      </c>
      <c r="AT1689" s="208">
        <f>IFERROR(VLOOKUP(J1689,#REF!,10,0),0)</f>
        <v>0</v>
      </c>
    </row>
    <row r="1690" spans="1:46" hidden="1" outlineLevel="1" x14ac:dyDescent="0.25">
      <c r="A1690" s="14" t="str">
        <f t="shared" si="552"/>
        <v>PROP_OPER__24</v>
      </c>
      <c r="B1690" s="15" t="str">
        <f t="shared" si="553"/>
        <v>PROP_OPER__0_0</v>
      </c>
      <c r="C1690" s="83"/>
      <c r="D1690" s="15">
        <v>1</v>
      </c>
      <c r="E1690" s="15">
        <v>24</v>
      </c>
      <c r="F1690" s="190">
        <f t="shared" si="561"/>
        <v>0</v>
      </c>
      <c r="G1690" s="149" t="str">
        <f t="shared" si="561"/>
        <v/>
      </c>
      <c r="H1690" s="150" t="str">
        <f t="shared" si="561"/>
        <v/>
      </c>
      <c r="I1690" s="150">
        <f t="shared" si="561"/>
        <v>0</v>
      </c>
      <c r="J1690" s="150">
        <f t="shared" si="561"/>
        <v>0</v>
      </c>
      <c r="K1690" s="196"/>
      <c r="L1690" s="197"/>
      <c r="M1690" s="191">
        <f t="shared" si="562"/>
        <v>0</v>
      </c>
      <c r="N1690" s="150">
        <f t="shared" si="562"/>
        <v>0</v>
      </c>
      <c r="O1690" s="193">
        <f t="shared" si="562"/>
        <v>0</v>
      </c>
      <c r="P1690" s="162">
        <f t="shared" ref="P1690:AA1705" si="564">IFERROR(SUMIF($B$1351:$B$1378,$C1690&amp;$I1690,P$1351:P$1378)/SUMIF($D$1351:$D$1378,$I1690,P$1351:P$1378)*P1451,0)</f>
        <v>0</v>
      </c>
      <c r="Q1690" s="162">
        <f t="shared" si="564"/>
        <v>0</v>
      </c>
      <c r="R1690" s="162">
        <f t="shared" si="564"/>
        <v>0</v>
      </c>
      <c r="S1690" s="162">
        <f t="shared" si="564"/>
        <v>0</v>
      </c>
      <c r="T1690" s="162">
        <f t="shared" si="564"/>
        <v>0</v>
      </c>
      <c r="U1690" s="162">
        <f t="shared" si="564"/>
        <v>0</v>
      </c>
      <c r="V1690" s="162">
        <f t="shared" si="564"/>
        <v>0</v>
      </c>
      <c r="W1690" s="162">
        <f t="shared" si="564"/>
        <v>0</v>
      </c>
      <c r="X1690" s="162">
        <f t="shared" si="564"/>
        <v>0</v>
      </c>
      <c r="Y1690" s="162">
        <f t="shared" si="564"/>
        <v>0</v>
      </c>
      <c r="Z1690" s="162">
        <f t="shared" si="564"/>
        <v>0</v>
      </c>
      <c r="AA1690" s="162">
        <f t="shared" si="564"/>
        <v>0</v>
      </c>
      <c r="AB1690" s="163">
        <f t="shared" si="557"/>
        <v>0</v>
      </c>
      <c r="AC1690" s="198"/>
      <c r="AE1690" s="194" t="str">
        <f>IF(J1690=0,"",VLOOKUP(J1690,#REF!,2,0)&amp;" - "&amp;J1690&amp;" ("&amp;F1690&amp;" - "&amp;G1690&amp;")")</f>
        <v/>
      </c>
      <c r="AF1690" s="161">
        <f t="shared" si="563"/>
        <v>0</v>
      </c>
      <c r="AG1690" s="162">
        <f t="shared" si="563"/>
        <v>0</v>
      </c>
      <c r="AH1690" s="162">
        <f t="shared" si="563"/>
        <v>0</v>
      </c>
      <c r="AI1690" s="162">
        <f t="shared" si="563"/>
        <v>0</v>
      </c>
      <c r="AJ1690" s="162">
        <f t="shared" si="563"/>
        <v>0</v>
      </c>
      <c r="AK1690" s="162">
        <f t="shared" si="563"/>
        <v>0</v>
      </c>
      <c r="AL1690" s="162">
        <f t="shared" si="563"/>
        <v>0</v>
      </c>
      <c r="AM1690" s="162">
        <f t="shared" si="563"/>
        <v>0</v>
      </c>
      <c r="AN1690" s="162">
        <f t="shared" si="563"/>
        <v>0</v>
      </c>
      <c r="AO1690" s="162">
        <f t="shared" si="563"/>
        <v>0</v>
      </c>
      <c r="AP1690" s="162">
        <f t="shared" si="563"/>
        <v>0</v>
      </c>
      <c r="AQ1690" s="162">
        <f t="shared" si="563"/>
        <v>0</v>
      </c>
      <c r="AR1690" s="163">
        <f t="shared" si="559"/>
        <v>0</v>
      </c>
      <c r="AT1690" s="208">
        <f>IFERROR(VLOOKUP(J1690,#REF!,10,0),0)</f>
        <v>0</v>
      </c>
    </row>
    <row r="1691" spans="1:46" hidden="1" outlineLevel="1" x14ac:dyDescent="0.25">
      <c r="A1691" s="14" t="str">
        <f t="shared" si="552"/>
        <v>PROP_OPER__25</v>
      </c>
      <c r="B1691" s="15" t="str">
        <f t="shared" si="553"/>
        <v>PROP_OPER__0_0</v>
      </c>
      <c r="C1691" s="83"/>
      <c r="D1691" s="15">
        <v>1</v>
      </c>
      <c r="E1691" s="15">
        <v>25</v>
      </c>
      <c r="F1691" s="190">
        <f t="shared" si="561"/>
        <v>0</v>
      </c>
      <c r="G1691" s="149" t="str">
        <f t="shared" si="561"/>
        <v/>
      </c>
      <c r="H1691" s="150" t="str">
        <f t="shared" si="561"/>
        <v/>
      </c>
      <c r="I1691" s="150">
        <f t="shared" si="561"/>
        <v>0</v>
      </c>
      <c r="J1691" s="150">
        <f t="shared" si="561"/>
        <v>0</v>
      </c>
      <c r="K1691" s="196"/>
      <c r="L1691" s="197"/>
      <c r="M1691" s="191">
        <f t="shared" si="562"/>
        <v>0</v>
      </c>
      <c r="N1691" s="150">
        <f t="shared" si="562"/>
        <v>0</v>
      </c>
      <c r="O1691" s="193">
        <f t="shared" si="562"/>
        <v>0</v>
      </c>
      <c r="P1691" s="162">
        <f t="shared" si="564"/>
        <v>0</v>
      </c>
      <c r="Q1691" s="162">
        <f t="shared" si="564"/>
        <v>0</v>
      </c>
      <c r="R1691" s="162">
        <f t="shared" si="564"/>
        <v>0</v>
      </c>
      <c r="S1691" s="162">
        <f t="shared" si="564"/>
        <v>0</v>
      </c>
      <c r="T1691" s="162">
        <f t="shared" si="564"/>
        <v>0</v>
      </c>
      <c r="U1691" s="162">
        <f t="shared" si="564"/>
        <v>0</v>
      </c>
      <c r="V1691" s="162">
        <f t="shared" si="564"/>
        <v>0</v>
      </c>
      <c r="W1691" s="162">
        <f t="shared" si="564"/>
        <v>0</v>
      </c>
      <c r="X1691" s="162">
        <f t="shared" si="564"/>
        <v>0</v>
      </c>
      <c r="Y1691" s="162">
        <f t="shared" si="564"/>
        <v>0</v>
      </c>
      <c r="Z1691" s="162">
        <f t="shared" si="564"/>
        <v>0</v>
      </c>
      <c r="AA1691" s="162">
        <f t="shared" si="564"/>
        <v>0</v>
      </c>
      <c r="AB1691" s="163">
        <f t="shared" si="557"/>
        <v>0</v>
      </c>
      <c r="AC1691" s="198"/>
      <c r="AE1691" s="194" t="str">
        <f>IF(J1691=0,"",VLOOKUP(J1691,#REF!,2,0)&amp;" - "&amp;J1691&amp;" ("&amp;F1691&amp;" - "&amp;G1691&amp;")")</f>
        <v/>
      </c>
      <c r="AF1691" s="161">
        <f t="shared" si="563"/>
        <v>0</v>
      </c>
      <c r="AG1691" s="162">
        <f t="shared" si="563"/>
        <v>0</v>
      </c>
      <c r="AH1691" s="162">
        <f t="shared" si="563"/>
        <v>0</v>
      </c>
      <c r="AI1691" s="162">
        <f t="shared" si="563"/>
        <v>0</v>
      </c>
      <c r="AJ1691" s="162">
        <f t="shared" si="563"/>
        <v>0</v>
      </c>
      <c r="AK1691" s="162">
        <f t="shared" si="563"/>
        <v>0</v>
      </c>
      <c r="AL1691" s="162">
        <f t="shared" si="563"/>
        <v>0</v>
      </c>
      <c r="AM1691" s="162">
        <f t="shared" si="563"/>
        <v>0</v>
      </c>
      <c r="AN1691" s="162">
        <f t="shared" si="563"/>
        <v>0</v>
      </c>
      <c r="AO1691" s="162">
        <f t="shared" si="563"/>
        <v>0</v>
      </c>
      <c r="AP1691" s="162">
        <f t="shared" si="563"/>
        <v>0</v>
      </c>
      <c r="AQ1691" s="162">
        <f t="shared" si="563"/>
        <v>0</v>
      </c>
      <c r="AR1691" s="163">
        <f t="shared" si="559"/>
        <v>0</v>
      </c>
      <c r="AT1691" s="208">
        <f>IFERROR(VLOOKUP(J1691,#REF!,10,0),0)</f>
        <v>0</v>
      </c>
    </row>
    <row r="1692" spans="1:46" hidden="1" outlineLevel="1" x14ac:dyDescent="0.25">
      <c r="A1692" s="14" t="str">
        <f t="shared" si="552"/>
        <v>PROP_OPER__26</v>
      </c>
      <c r="B1692" s="15" t="str">
        <f t="shared" si="553"/>
        <v>PROP_OPER__0_0</v>
      </c>
      <c r="C1692" s="83"/>
      <c r="D1692" s="15">
        <v>1</v>
      </c>
      <c r="E1692" s="15">
        <v>26</v>
      </c>
      <c r="F1692" s="190">
        <f t="shared" si="561"/>
        <v>0</v>
      </c>
      <c r="G1692" s="149" t="str">
        <f t="shared" si="561"/>
        <v/>
      </c>
      <c r="H1692" s="150" t="str">
        <f t="shared" si="561"/>
        <v/>
      </c>
      <c r="I1692" s="150">
        <f t="shared" si="561"/>
        <v>0</v>
      </c>
      <c r="J1692" s="150">
        <f t="shared" si="561"/>
        <v>0</v>
      </c>
      <c r="K1692" s="196"/>
      <c r="L1692" s="197"/>
      <c r="M1692" s="191">
        <f t="shared" si="562"/>
        <v>0</v>
      </c>
      <c r="N1692" s="150">
        <f t="shared" si="562"/>
        <v>0</v>
      </c>
      <c r="O1692" s="193">
        <f t="shared" si="562"/>
        <v>0</v>
      </c>
      <c r="P1692" s="162">
        <f t="shared" si="564"/>
        <v>0</v>
      </c>
      <c r="Q1692" s="162">
        <f t="shared" si="564"/>
        <v>0</v>
      </c>
      <c r="R1692" s="162">
        <f t="shared" si="564"/>
        <v>0</v>
      </c>
      <c r="S1692" s="162">
        <f t="shared" si="564"/>
        <v>0</v>
      </c>
      <c r="T1692" s="162">
        <f t="shared" si="564"/>
        <v>0</v>
      </c>
      <c r="U1692" s="162">
        <f t="shared" si="564"/>
        <v>0</v>
      </c>
      <c r="V1692" s="162">
        <f t="shared" si="564"/>
        <v>0</v>
      </c>
      <c r="W1692" s="162">
        <f t="shared" si="564"/>
        <v>0</v>
      </c>
      <c r="X1692" s="162">
        <f t="shared" si="564"/>
        <v>0</v>
      </c>
      <c r="Y1692" s="162">
        <f t="shared" si="564"/>
        <v>0</v>
      </c>
      <c r="Z1692" s="162">
        <f t="shared" si="564"/>
        <v>0</v>
      </c>
      <c r="AA1692" s="162">
        <f t="shared" si="564"/>
        <v>0</v>
      </c>
      <c r="AB1692" s="163">
        <f t="shared" si="557"/>
        <v>0</v>
      </c>
      <c r="AC1692" s="198"/>
      <c r="AE1692" s="194" t="str">
        <f>IF(J1692=0,"",VLOOKUP(J1692,#REF!,2,0)&amp;" - "&amp;J1692&amp;" ("&amp;F1692&amp;" - "&amp;G1692&amp;")")</f>
        <v/>
      </c>
      <c r="AF1692" s="161">
        <f t="shared" si="563"/>
        <v>0</v>
      </c>
      <c r="AG1692" s="162">
        <f t="shared" si="563"/>
        <v>0</v>
      </c>
      <c r="AH1692" s="162">
        <f t="shared" si="563"/>
        <v>0</v>
      </c>
      <c r="AI1692" s="162">
        <f t="shared" si="563"/>
        <v>0</v>
      </c>
      <c r="AJ1692" s="162">
        <f t="shared" si="563"/>
        <v>0</v>
      </c>
      <c r="AK1692" s="162">
        <f t="shared" si="563"/>
        <v>0</v>
      </c>
      <c r="AL1692" s="162">
        <f t="shared" si="563"/>
        <v>0</v>
      </c>
      <c r="AM1692" s="162">
        <f t="shared" si="563"/>
        <v>0</v>
      </c>
      <c r="AN1692" s="162">
        <f t="shared" si="563"/>
        <v>0</v>
      </c>
      <c r="AO1692" s="162">
        <f t="shared" si="563"/>
        <v>0</v>
      </c>
      <c r="AP1692" s="162">
        <f t="shared" si="563"/>
        <v>0</v>
      </c>
      <c r="AQ1692" s="162">
        <f t="shared" si="563"/>
        <v>0</v>
      </c>
      <c r="AR1692" s="163">
        <f t="shared" si="559"/>
        <v>0</v>
      </c>
      <c r="AT1692" s="208">
        <f>IFERROR(VLOOKUP(J1692,#REF!,10,0),0)</f>
        <v>0</v>
      </c>
    </row>
    <row r="1693" spans="1:46" hidden="1" outlineLevel="1" x14ac:dyDescent="0.25">
      <c r="A1693" s="14" t="str">
        <f t="shared" si="552"/>
        <v>PROP_OPER__27</v>
      </c>
      <c r="B1693" s="15" t="str">
        <f t="shared" si="553"/>
        <v>PROP_OPER__0_0</v>
      </c>
      <c r="C1693" s="83"/>
      <c r="D1693" s="15">
        <v>1</v>
      </c>
      <c r="E1693" s="15">
        <v>27</v>
      </c>
      <c r="F1693" s="190">
        <f t="shared" si="561"/>
        <v>0</v>
      </c>
      <c r="G1693" s="149" t="str">
        <f t="shared" si="561"/>
        <v/>
      </c>
      <c r="H1693" s="150" t="str">
        <f t="shared" si="561"/>
        <v/>
      </c>
      <c r="I1693" s="150">
        <f t="shared" si="561"/>
        <v>0</v>
      </c>
      <c r="J1693" s="150">
        <f t="shared" si="561"/>
        <v>0</v>
      </c>
      <c r="K1693" s="196"/>
      <c r="L1693" s="197"/>
      <c r="M1693" s="191">
        <f t="shared" si="562"/>
        <v>0</v>
      </c>
      <c r="N1693" s="150">
        <f t="shared" si="562"/>
        <v>0</v>
      </c>
      <c r="O1693" s="193">
        <f t="shared" si="562"/>
        <v>0</v>
      </c>
      <c r="P1693" s="162">
        <f t="shared" si="564"/>
        <v>0</v>
      </c>
      <c r="Q1693" s="162">
        <f t="shared" si="564"/>
        <v>0</v>
      </c>
      <c r="R1693" s="162">
        <f t="shared" si="564"/>
        <v>0</v>
      </c>
      <c r="S1693" s="162">
        <f t="shared" si="564"/>
        <v>0</v>
      </c>
      <c r="T1693" s="162">
        <f t="shared" si="564"/>
        <v>0</v>
      </c>
      <c r="U1693" s="162">
        <f t="shared" si="564"/>
        <v>0</v>
      </c>
      <c r="V1693" s="162">
        <f t="shared" si="564"/>
        <v>0</v>
      </c>
      <c r="W1693" s="162">
        <f t="shared" si="564"/>
        <v>0</v>
      </c>
      <c r="X1693" s="162">
        <f t="shared" si="564"/>
        <v>0</v>
      </c>
      <c r="Y1693" s="162">
        <f t="shared" si="564"/>
        <v>0</v>
      </c>
      <c r="Z1693" s="162">
        <f t="shared" si="564"/>
        <v>0</v>
      </c>
      <c r="AA1693" s="162">
        <f t="shared" si="564"/>
        <v>0</v>
      </c>
      <c r="AB1693" s="163">
        <f t="shared" si="557"/>
        <v>0</v>
      </c>
      <c r="AC1693" s="198"/>
      <c r="AE1693" s="194" t="str">
        <f>IF(J1693=0,"",VLOOKUP(J1693,#REF!,2,0)&amp;" - "&amp;J1693&amp;" ("&amp;F1693&amp;" - "&amp;G1693&amp;")")</f>
        <v/>
      </c>
      <c r="AF1693" s="161">
        <f t="shared" si="563"/>
        <v>0</v>
      </c>
      <c r="AG1693" s="162">
        <f t="shared" si="563"/>
        <v>0</v>
      </c>
      <c r="AH1693" s="162">
        <f t="shared" si="563"/>
        <v>0</v>
      </c>
      <c r="AI1693" s="162">
        <f t="shared" si="563"/>
        <v>0</v>
      </c>
      <c r="AJ1693" s="162">
        <f t="shared" si="563"/>
        <v>0</v>
      </c>
      <c r="AK1693" s="162">
        <f t="shared" si="563"/>
        <v>0</v>
      </c>
      <c r="AL1693" s="162">
        <f t="shared" si="563"/>
        <v>0</v>
      </c>
      <c r="AM1693" s="162">
        <f t="shared" si="563"/>
        <v>0</v>
      </c>
      <c r="AN1693" s="162">
        <f t="shared" si="563"/>
        <v>0</v>
      </c>
      <c r="AO1693" s="162">
        <f t="shared" si="563"/>
        <v>0</v>
      </c>
      <c r="AP1693" s="162">
        <f t="shared" si="563"/>
        <v>0</v>
      </c>
      <c r="AQ1693" s="162">
        <f t="shared" si="563"/>
        <v>0</v>
      </c>
      <c r="AR1693" s="163">
        <f t="shared" si="559"/>
        <v>0</v>
      </c>
      <c r="AT1693" s="208">
        <f>IFERROR(VLOOKUP(J1693,#REF!,10,0),0)</f>
        <v>0</v>
      </c>
    </row>
    <row r="1694" spans="1:46" hidden="1" outlineLevel="1" x14ac:dyDescent="0.25">
      <c r="A1694" s="14" t="str">
        <f t="shared" si="552"/>
        <v>PROP_OPER__28</v>
      </c>
      <c r="B1694" s="15" t="str">
        <f t="shared" si="553"/>
        <v>PROP_OPER__0_0</v>
      </c>
      <c r="C1694" s="83"/>
      <c r="D1694" s="15">
        <v>1</v>
      </c>
      <c r="E1694" s="15">
        <v>28</v>
      </c>
      <c r="F1694" s="190">
        <f t="shared" si="561"/>
        <v>0</v>
      </c>
      <c r="G1694" s="149" t="str">
        <f t="shared" si="561"/>
        <v/>
      </c>
      <c r="H1694" s="150" t="str">
        <f t="shared" si="561"/>
        <v/>
      </c>
      <c r="I1694" s="150">
        <f t="shared" si="561"/>
        <v>0</v>
      </c>
      <c r="J1694" s="150">
        <f t="shared" si="561"/>
        <v>0</v>
      </c>
      <c r="K1694" s="196"/>
      <c r="L1694" s="197"/>
      <c r="M1694" s="191">
        <f t="shared" si="562"/>
        <v>0</v>
      </c>
      <c r="N1694" s="150">
        <f t="shared" si="562"/>
        <v>0</v>
      </c>
      <c r="O1694" s="193">
        <f t="shared" si="562"/>
        <v>0</v>
      </c>
      <c r="P1694" s="162">
        <f t="shared" si="564"/>
        <v>0</v>
      </c>
      <c r="Q1694" s="162">
        <f t="shared" si="564"/>
        <v>0</v>
      </c>
      <c r="R1694" s="162">
        <f t="shared" si="564"/>
        <v>0</v>
      </c>
      <c r="S1694" s="162">
        <f t="shared" si="564"/>
        <v>0</v>
      </c>
      <c r="T1694" s="162">
        <f t="shared" si="564"/>
        <v>0</v>
      </c>
      <c r="U1694" s="162">
        <f t="shared" si="564"/>
        <v>0</v>
      </c>
      <c r="V1694" s="162">
        <f t="shared" si="564"/>
        <v>0</v>
      </c>
      <c r="W1694" s="162">
        <f t="shared" si="564"/>
        <v>0</v>
      </c>
      <c r="X1694" s="162">
        <f t="shared" si="564"/>
        <v>0</v>
      </c>
      <c r="Y1694" s="162">
        <f t="shared" si="564"/>
        <v>0</v>
      </c>
      <c r="Z1694" s="162">
        <f t="shared" si="564"/>
        <v>0</v>
      </c>
      <c r="AA1694" s="162">
        <f t="shared" si="564"/>
        <v>0</v>
      </c>
      <c r="AB1694" s="163">
        <f t="shared" si="557"/>
        <v>0</v>
      </c>
      <c r="AC1694" s="198"/>
      <c r="AE1694" s="194" t="str">
        <f>IF(J1694=0,"",VLOOKUP(J1694,#REF!,2,0)&amp;" - "&amp;J1694&amp;" ("&amp;F1694&amp;" - "&amp;G1694&amp;")")</f>
        <v/>
      </c>
      <c r="AF1694" s="161">
        <f t="shared" si="563"/>
        <v>0</v>
      </c>
      <c r="AG1694" s="162">
        <f t="shared" si="563"/>
        <v>0</v>
      </c>
      <c r="AH1694" s="162">
        <f t="shared" si="563"/>
        <v>0</v>
      </c>
      <c r="AI1694" s="162">
        <f t="shared" si="563"/>
        <v>0</v>
      </c>
      <c r="AJ1694" s="162">
        <f t="shared" si="563"/>
        <v>0</v>
      </c>
      <c r="AK1694" s="162">
        <f t="shared" si="563"/>
        <v>0</v>
      </c>
      <c r="AL1694" s="162">
        <f t="shared" si="563"/>
        <v>0</v>
      </c>
      <c r="AM1694" s="162">
        <f t="shared" si="563"/>
        <v>0</v>
      </c>
      <c r="AN1694" s="162">
        <f t="shared" si="563"/>
        <v>0</v>
      </c>
      <c r="AO1694" s="162">
        <f t="shared" si="563"/>
        <v>0</v>
      </c>
      <c r="AP1694" s="162">
        <f t="shared" si="563"/>
        <v>0</v>
      </c>
      <c r="AQ1694" s="162">
        <f t="shared" si="563"/>
        <v>0</v>
      </c>
      <c r="AR1694" s="163">
        <f t="shared" si="559"/>
        <v>0</v>
      </c>
      <c r="AT1694" s="208">
        <f>IFERROR(VLOOKUP(J1694,#REF!,10,0),0)</f>
        <v>0</v>
      </c>
    </row>
    <row r="1695" spans="1:46" hidden="1" outlineLevel="1" x14ac:dyDescent="0.25">
      <c r="A1695" s="14" t="str">
        <f t="shared" si="552"/>
        <v>PROP_OPER__29</v>
      </c>
      <c r="B1695" s="15" t="str">
        <f t="shared" si="553"/>
        <v>PROP_OPER__0_0</v>
      </c>
      <c r="C1695" s="83"/>
      <c r="D1695" s="15">
        <v>1</v>
      </c>
      <c r="E1695" s="15">
        <v>29</v>
      </c>
      <c r="F1695" s="190">
        <f t="shared" si="561"/>
        <v>0</v>
      </c>
      <c r="G1695" s="149" t="str">
        <f t="shared" si="561"/>
        <v/>
      </c>
      <c r="H1695" s="150" t="str">
        <f t="shared" si="561"/>
        <v/>
      </c>
      <c r="I1695" s="150">
        <f t="shared" si="561"/>
        <v>0</v>
      </c>
      <c r="J1695" s="150">
        <f t="shared" si="561"/>
        <v>0</v>
      </c>
      <c r="K1695" s="196"/>
      <c r="L1695" s="197"/>
      <c r="M1695" s="191">
        <f t="shared" si="562"/>
        <v>0</v>
      </c>
      <c r="N1695" s="150">
        <f t="shared" si="562"/>
        <v>0</v>
      </c>
      <c r="O1695" s="193">
        <f t="shared" si="562"/>
        <v>0</v>
      </c>
      <c r="P1695" s="162">
        <f t="shared" si="564"/>
        <v>0</v>
      </c>
      <c r="Q1695" s="162">
        <f t="shared" si="564"/>
        <v>0</v>
      </c>
      <c r="R1695" s="162">
        <f t="shared" si="564"/>
        <v>0</v>
      </c>
      <c r="S1695" s="162">
        <f t="shared" si="564"/>
        <v>0</v>
      </c>
      <c r="T1695" s="162">
        <f t="shared" si="564"/>
        <v>0</v>
      </c>
      <c r="U1695" s="162">
        <f t="shared" si="564"/>
        <v>0</v>
      </c>
      <c r="V1695" s="162">
        <f t="shared" si="564"/>
        <v>0</v>
      </c>
      <c r="W1695" s="162">
        <f t="shared" si="564"/>
        <v>0</v>
      </c>
      <c r="X1695" s="162">
        <f t="shared" si="564"/>
        <v>0</v>
      </c>
      <c r="Y1695" s="162">
        <f t="shared" si="564"/>
        <v>0</v>
      </c>
      <c r="Z1695" s="162">
        <f t="shared" si="564"/>
        <v>0</v>
      </c>
      <c r="AA1695" s="162">
        <f t="shared" si="564"/>
        <v>0</v>
      </c>
      <c r="AB1695" s="163">
        <f t="shared" si="557"/>
        <v>0</v>
      </c>
      <c r="AC1695" s="198"/>
      <c r="AE1695" s="194" t="str">
        <f>IF(J1695=0,"",VLOOKUP(J1695,#REF!,2,0)&amp;" - "&amp;J1695&amp;" ("&amp;F1695&amp;" - "&amp;G1695&amp;")")</f>
        <v/>
      </c>
      <c r="AF1695" s="161">
        <f t="shared" si="563"/>
        <v>0</v>
      </c>
      <c r="AG1695" s="162">
        <f t="shared" si="563"/>
        <v>0</v>
      </c>
      <c r="AH1695" s="162">
        <f t="shared" si="563"/>
        <v>0</v>
      </c>
      <c r="AI1695" s="162">
        <f t="shared" si="563"/>
        <v>0</v>
      </c>
      <c r="AJ1695" s="162">
        <f t="shared" si="563"/>
        <v>0</v>
      </c>
      <c r="AK1695" s="162">
        <f t="shared" si="563"/>
        <v>0</v>
      </c>
      <c r="AL1695" s="162">
        <f t="shared" si="563"/>
        <v>0</v>
      </c>
      <c r="AM1695" s="162">
        <f t="shared" si="563"/>
        <v>0</v>
      </c>
      <c r="AN1695" s="162">
        <f t="shared" si="563"/>
        <v>0</v>
      </c>
      <c r="AO1695" s="162">
        <f t="shared" si="563"/>
        <v>0</v>
      </c>
      <c r="AP1695" s="162">
        <f t="shared" si="563"/>
        <v>0</v>
      </c>
      <c r="AQ1695" s="162">
        <f t="shared" si="563"/>
        <v>0</v>
      </c>
      <c r="AR1695" s="163">
        <f t="shared" si="559"/>
        <v>0</v>
      </c>
      <c r="AT1695" s="208">
        <f>IFERROR(VLOOKUP(J1695,#REF!,10,0),0)</f>
        <v>0</v>
      </c>
    </row>
    <row r="1696" spans="1:46" hidden="1" outlineLevel="1" x14ac:dyDescent="0.25">
      <c r="A1696" s="14" t="str">
        <f t="shared" si="552"/>
        <v>PROP_OPER__30</v>
      </c>
      <c r="B1696" s="15" t="str">
        <f t="shared" si="553"/>
        <v>PROP_OPER__0_0</v>
      </c>
      <c r="C1696" s="83"/>
      <c r="D1696" s="15">
        <v>1</v>
      </c>
      <c r="E1696" s="15">
        <v>30</v>
      </c>
      <c r="F1696" s="190">
        <f t="shared" si="561"/>
        <v>0</v>
      </c>
      <c r="G1696" s="149" t="str">
        <f t="shared" si="561"/>
        <v/>
      </c>
      <c r="H1696" s="150" t="str">
        <f t="shared" si="561"/>
        <v/>
      </c>
      <c r="I1696" s="150">
        <f t="shared" si="561"/>
        <v>0</v>
      </c>
      <c r="J1696" s="150">
        <f t="shared" si="561"/>
        <v>0</v>
      </c>
      <c r="K1696" s="196"/>
      <c r="L1696" s="197"/>
      <c r="M1696" s="191">
        <f t="shared" si="562"/>
        <v>0</v>
      </c>
      <c r="N1696" s="150">
        <f t="shared" si="562"/>
        <v>0</v>
      </c>
      <c r="O1696" s="193">
        <f t="shared" si="562"/>
        <v>0</v>
      </c>
      <c r="P1696" s="162">
        <f t="shared" si="564"/>
        <v>0</v>
      </c>
      <c r="Q1696" s="162">
        <f t="shared" si="564"/>
        <v>0</v>
      </c>
      <c r="R1696" s="162">
        <f t="shared" si="564"/>
        <v>0</v>
      </c>
      <c r="S1696" s="162">
        <f t="shared" si="564"/>
        <v>0</v>
      </c>
      <c r="T1696" s="162">
        <f t="shared" si="564"/>
        <v>0</v>
      </c>
      <c r="U1696" s="162">
        <f t="shared" si="564"/>
        <v>0</v>
      </c>
      <c r="V1696" s="162">
        <f t="shared" si="564"/>
        <v>0</v>
      </c>
      <c r="W1696" s="162">
        <f t="shared" si="564"/>
        <v>0</v>
      </c>
      <c r="X1696" s="162">
        <f t="shared" si="564"/>
        <v>0</v>
      </c>
      <c r="Y1696" s="162">
        <f t="shared" si="564"/>
        <v>0</v>
      </c>
      <c r="Z1696" s="162">
        <f t="shared" si="564"/>
        <v>0</v>
      </c>
      <c r="AA1696" s="162">
        <f t="shared" si="564"/>
        <v>0</v>
      </c>
      <c r="AB1696" s="163">
        <f t="shared" si="557"/>
        <v>0</v>
      </c>
      <c r="AC1696" s="198"/>
      <c r="AE1696" s="194" t="str">
        <f>IF(J1696=0,"",VLOOKUP(J1696,#REF!,2,0)&amp;" - "&amp;J1696&amp;" ("&amp;F1696&amp;" - "&amp;G1696&amp;")")</f>
        <v/>
      </c>
      <c r="AF1696" s="161">
        <f t="shared" si="563"/>
        <v>0</v>
      </c>
      <c r="AG1696" s="162">
        <f t="shared" si="563"/>
        <v>0</v>
      </c>
      <c r="AH1696" s="162">
        <f t="shared" si="563"/>
        <v>0</v>
      </c>
      <c r="AI1696" s="162">
        <f t="shared" si="563"/>
        <v>0</v>
      </c>
      <c r="AJ1696" s="162">
        <f t="shared" si="563"/>
        <v>0</v>
      </c>
      <c r="AK1696" s="162">
        <f t="shared" si="563"/>
        <v>0</v>
      </c>
      <c r="AL1696" s="162">
        <f t="shared" si="563"/>
        <v>0</v>
      </c>
      <c r="AM1696" s="162">
        <f t="shared" si="563"/>
        <v>0</v>
      </c>
      <c r="AN1696" s="162">
        <f t="shared" si="563"/>
        <v>0</v>
      </c>
      <c r="AO1696" s="162">
        <f t="shared" si="563"/>
        <v>0</v>
      </c>
      <c r="AP1696" s="162">
        <f t="shared" si="563"/>
        <v>0</v>
      </c>
      <c r="AQ1696" s="162">
        <f t="shared" si="563"/>
        <v>0</v>
      </c>
      <c r="AR1696" s="163">
        <f t="shared" si="559"/>
        <v>0</v>
      </c>
      <c r="AT1696" s="208">
        <f>IFERROR(VLOOKUP(J1696,#REF!,10,0),0)</f>
        <v>0</v>
      </c>
    </row>
    <row r="1697" spans="1:46" hidden="1" outlineLevel="1" x14ac:dyDescent="0.25">
      <c r="A1697" s="14" t="str">
        <f t="shared" si="552"/>
        <v>PROP_OPER__31</v>
      </c>
      <c r="B1697" s="15" t="str">
        <f t="shared" si="553"/>
        <v>PROP_OPER__0_0</v>
      </c>
      <c r="C1697" s="83"/>
      <c r="D1697" s="15">
        <v>1</v>
      </c>
      <c r="E1697" s="15">
        <v>31</v>
      </c>
      <c r="F1697" s="190">
        <f t="shared" si="561"/>
        <v>0</v>
      </c>
      <c r="G1697" s="149" t="str">
        <f t="shared" si="561"/>
        <v/>
      </c>
      <c r="H1697" s="150" t="str">
        <f t="shared" si="561"/>
        <v/>
      </c>
      <c r="I1697" s="150">
        <f t="shared" si="561"/>
        <v>0</v>
      </c>
      <c r="J1697" s="150">
        <f t="shared" si="561"/>
        <v>0</v>
      </c>
      <c r="K1697" s="196"/>
      <c r="L1697" s="197"/>
      <c r="M1697" s="191">
        <f t="shared" si="562"/>
        <v>0</v>
      </c>
      <c r="N1697" s="150">
        <f t="shared" si="562"/>
        <v>0</v>
      </c>
      <c r="O1697" s="193">
        <f t="shared" si="562"/>
        <v>0</v>
      </c>
      <c r="P1697" s="162">
        <f t="shared" si="564"/>
        <v>0</v>
      </c>
      <c r="Q1697" s="162">
        <f t="shared" si="564"/>
        <v>0</v>
      </c>
      <c r="R1697" s="162">
        <f t="shared" si="564"/>
        <v>0</v>
      </c>
      <c r="S1697" s="162">
        <f t="shared" si="564"/>
        <v>0</v>
      </c>
      <c r="T1697" s="162">
        <f t="shared" si="564"/>
        <v>0</v>
      </c>
      <c r="U1697" s="162">
        <f t="shared" si="564"/>
        <v>0</v>
      </c>
      <c r="V1697" s="162">
        <f t="shared" si="564"/>
        <v>0</v>
      </c>
      <c r="W1697" s="162">
        <f t="shared" si="564"/>
        <v>0</v>
      </c>
      <c r="X1697" s="162">
        <f t="shared" si="564"/>
        <v>0</v>
      </c>
      <c r="Y1697" s="162">
        <f t="shared" si="564"/>
        <v>0</v>
      </c>
      <c r="Z1697" s="162">
        <f t="shared" si="564"/>
        <v>0</v>
      </c>
      <c r="AA1697" s="162">
        <f t="shared" si="564"/>
        <v>0</v>
      </c>
      <c r="AB1697" s="163">
        <f t="shared" si="557"/>
        <v>0</v>
      </c>
      <c r="AC1697" s="198"/>
      <c r="AE1697" s="194" t="str">
        <f>IF(J1697=0,"",VLOOKUP(J1697,#REF!,2,0)&amp;" - "&amp;J1697&amp;" ("&amp;F1697&amp;" - "&amp;G1697&amp;")")</f>
        <v/>
      </c>
      <c r="AF1697" s="161">
        <f t="shared" si="563"/>
        <v>0</v>
      </c>
      <c r="AG1697" s="162">
        <f t="shared" si="563"/>
        <v>0</v>
      </c>
      <c r="AH1697" s="162">
        <f t="shared" si="563"/>
        <v>0</v>
      </c>
      <c r="AI1697" s="162">
        <f t="shared" si="563"/>
        <v>0</v>
      </c>
      <c r="AJ1697" s="162">
        <f t="shared" si="563"/>
        <v>0</v>
      </c>
      <c r="AK1697" s="162">
        <f t="shared" si="563"/>
        <v>0</v>
      </c>
      <c r="AL1697" s="162">
        <f t="shared" si="563"/>
        <v>0</v>
      </c>
      <c r="AM1697" s="162">
        <f t="shared" si="563"/>
        <v>0</v>
      </c>
      <c r="AN1697" s="162">
        <f t="shared" si="563"/>
        <v>0</v>
      </c>
      <c r="AO1697" s="162">
        <f t="shared" si="563"/>
        <v>0</v>
      </c>
      <c r="AP1697" s="162">
        <f t="shared" si="563"/>
        <v>0</v>
      </c>
      <c r="AQ1697" s="162">
        <f t="shared" si="563"/>
        <v>0</v>
      </c>
      <c r="AR1697" s="163">
        <f t="shared" si="559"/>
        <v>0</v>
      </c>
      <c r="AT1697" s="208">
        <f>IFERROR(VLOOKUP(J1697,#REF!,10,0),0)</f>
        <v>0</v>
      </c>
    </row>
    <row r="1698" spans="1:46" hidden="1" outlineLevel="1" x14ac:dyDescent="0.25">
      <c r="A1698" s="14" t="str">
        <f t="shared" si="552"/>
        <v>PROP_OPER__32</v>
      </c>
      <c r="B1698" s="15" t="str">
        <f t="shared" si="553"/>
        <v>PROP_OPER__0_0</v>
      </c>
      <c r="C1698" s="83"/>
      <c r="D1698" s="15">
        <v>1</v>
      </c>
      <c r="E1698" s="15">
        <v>32</v>
      </c>
      <c r="F1698" s="190">
        <f t="shared" si="561"/>
        <v>0</v>
      </c>
      <c r="G1698" s="149" t="str">
        <f t="shared" si="561"/>
        <v/>
      </c>
      <c r="H1698" s="150" t="str">
        <f t="shared" si="561"/>
        <v/>
      </c>
      <c r="I1698" s="150">
        <f t="shared" si="561"/>
        <v>0</v>
      </c>
      <c r="J1698" s="150">
        <f t="shared" si="561"/>
        <v>0</v>
      </c>
      <c r="K1698" s="196"/>
      <c r="L1698" s="197"/>
      <c r="M1698" s="191">
        <f t="shared" si="562"/>
        <v>0</v>
      </c>
      <c r="N1698" s="150">
        <f t="shared" si="562"/>
        <v>0</v>
      </c>
      <c r="O1698" s="193">
        <f t="shared" si="562"/>
        <v>0</v>
      </c>
      <c r="P1698" s="162">
        <f t="shared" si="564"/>
        <v>0</v>
      </c>
      <c r="Q1698" s="162">
        <f t="shared" si="564"/>
        <v>0</v>
      </c>
      <c r="R1698" s="162">
        <f t="shared" si="564"/>
        <v>0</v>
      </c>
      <c r="S1698" s="162">
        <f t="shared" si="564"/>
        <v>0</v>
      </c>
      <c r="T1698" s="162">
        <f t="shared" si="564"/>
        <v>0</v>
      </c>
      <c r="U1698" s="162">
        <f t="shared" si="564"/>
        <v>0</v>
      </c>
      <c r="V1698" s="162">
        <f t="shared" si="564"/>
        <v>0</v>
      </c>
      <c r="W1698" s="162">
        <f t="shared" si="564"/>
        <v>0</v>
      </c>
      <c r="X1698" s="162">
        <f t="shared" si="564"/>
        <v>0</v>
      </c>
      <c r="Y1698" s="162">
        <f t="shared" si="564"/>
        <v>0</v>
      </c>
      <c r="Z1698" s="162">
        <f t="shared" si="564"/>
        <v>0</v>
      </c>
      <c r="AA1698" s="162">
        <f t="shared" si="564"/>
        <v>0</v>
      </c>
      <c r="AB1698" s="163">
        <f t="shared" si="557"/>
        <v>0</v>
      </c>
      <c r="AC1698" s="198"/>
      <c r="AE1698" s="194" t="str">
        <f>IF(J1698=0,"",VLOOKUP(J1698,#REF!,2,0)&amp;" - "&amp;J1698&amp;" ("&amp;F1698&amp;" - "&amp;G1698&amp;")")</f>
        <v/>
      </c>
      <c r="AF1698" s="161">
        <f t="shared" si="563"/>
        <v>0</v>
      </c>
      <c r="AG1698" s="162">
        <f t="shared" si="563"/>
        <v>0</v>
      </c>
      <c r="AH1698" s="162">
        <f t="shared" si="563"/>
        <v>0</v>
      </c>
      <c r="AI1698" s="162">
        <f t="shared" si="563"/>
        <v>0</v>
      </c>
      <c r="AJ1698" s="162">
        <f t="shared" si="563"/>
        <v>0</v>
      </c>
      <c r="AK1698" s="162">
        <f t="shared" si="563"/>
        <v>0</v>
      </c>
      <c r="AL1698" s="162">
        <f t="shared" si="563"/>
        <v>0</v>
      </c>
      <c r="AM1698" s="162">
        <f t="shared" si="563"/>
        <v>0</v>
      </c>
      <c r="AN1698" s="162">
        <f t="shared" si="563"/>
        <v>0</v>
      </c>
      <c r="AO1698" s="162">
        <f t="shared" si="563"/>
        <v>0</v>
      </c>
      <c r="AP1698" s="162">
        <f t="shared" si="563"/>
        <v>0</v>
      </c>
      <c r="AQ1698" s="162">
        <f t="shared" si="563"/>
        <v>0</v>
      </c>
      <c r="AR1698" s="163">
        <f t="shared" si="559"/>
        <v>0</v>
      </c>
      <c r="AT1698" s="208">
        <f>IFERROR(VLOOKUP(J1698,#REF!,10,0),0)</f>
        <v>0</v>
      </c>
    </row>
    <row r="1699" spans="1:46" hidden="1" outlineLevel="1" x14ac:dyDescent="0.25">
      <c r="A1699" s="14" t="str">
        <f t="shared" si="552"/>
        <v>PROP_OPER__33</v>
      </c>
      <c r="B1699" s="15" t="str">
        <f t="shared" si="553"/>
        <v>PROP_OPER__0_0</v>
      </c>
      <c r="C1699" s="83"/>
      <c r="D1699" s="15">
        <v>1</v>
      </c>
      <c r="E1699" s="15">
        <v>33</v>
      </c>
      <c r="F1699" s="190">
        <f t="shared" ref="F1699:J1711" si="565">F1460</f>
        <v>0</v>
      </c>
      <c r="G1699" s="149" t="str">
        <f t="shared" si="565"/>
        <v/>
      </c>
      <c r="H1699" s="150" t="str">
        <f t="shared" si="565"/>
        <v/>
      </c>
      <c r="I1699" s="150">
        <f t="shared" si="565"/>
        <v>0</v>
      </c>
      <c r="J1699" s="150">
        <f t="shared" si="565"/>
        <v>0</v>
      </c>
      <c r="K1699" s="196"/>
      <c r="L1699" s="197"/>
      <c r="M1699" s="191">
        <f t="shared" ref="M1699:O1711" si="566">M1460</f>
        <v>0</v>
      </c>
      <c r="N1699" s="150">
        <f t="shared" si="566"/>
        <v>0</v>
      </c>
      <c r="O1699" s="193">
        <f t="shared" si="566"/>
        <v>0</v>
      </c>
      <c r="P1699" s="162">
        <f t="shared" si="564"/>
        <v>0</v>
      </c>
      <c r="Q1699" s="162">
        <f t="shared" si="564"/>
        <v>0</v>
      </c>
      <c r="R1699" s="162">
        <f t="shared" si="564"/>
        <v>0</v>
      </c>
      <c r="S1699" s="162">
        <f t="shared" si="564"/>
        <v>0</v>
      </c>
      <c r="T1699" s="162">
        <f t="shared" si="564"/>
        <v>0</v>
      </c>
      <c r="U1699" s="162">
        <f t="shared" si="564"/>
        <v>0</v>
      </c>
      <c r="V1699" s="162">
        <f t="shared" si="564"/>
        <v>0</v>
      </c>
      <c r="W1699" s="162">
        <f t="shared" si="564"/>
        <v>0</v>
      </c>
      <c r="X1699" s="162">
        <f t="shared" si="564"/>
        <v>0</v>
      </c>
      <c r="Y1699" s="162">
        <f t="shared" si="564"/>
        <v>0</v>
      </c>
      <c r="Z1699" s="162">
        <f t="shared" si="564"/>
        <v>0</v>
      </c>
      <c r="AA1699" s="162">
        <f t="shared" si="564"/>
        <v>0</v>
      </c>
      <c r="AB1699" s="163">
        <f t="shared" si="557"/>
        <v>0</v>
      </c>
      <c r="AC1699" s="198"/>
      <c r="AE1699" s="194" t="str">
        <f>IF(J1699=0,"",VLOOKUP(J1699,#REF!,2,0)&amp;" - "&amp;J1699&amp;" ("&amp;F1699&amp;" - "&amp;G1699&amp;")")</f>
        <v/>
      </c>
      <c r="AF1699" s="161">
        <f t="shared" ref="AF1699:AQ1711" si="567">IFERROR(SUMIF($B$1351:$B$1378,$C1699&amp;$I1699,P$1351:P$1378)/SUMIF($D$1351:$D$1378,$I1699,P$1351:P$1378)*AF1460,0)</f>
        <v>0</v>
      </c>
      <c r="AG1699" s="162">
        <f t="shared" si="567"/>
        <v>0</v>
      </c>
      <c r="AH1699" s="162">
        <f t="shared" si="567"/>
        <v>0</v>
      </c>
      <c r="AI1699" s="162">
        <f t="shared" si="567"/>
        <v>0</v>
      </c>
      <c r="AJ1699" s="162">
        <f t="shared" si="567"/>
        <v>0</v>
      </c>
      <c r="AK1699" s="162">
        <f t="shared" si="567"/>
        <v>0</v>
      </c>
      <c r="AL1699" s="162">
        <f t="shared" si="567"/>
        <v>0</v>
      </c>
      <c r="AM1699" s="162">
        <f t="shared" si="567"/>
        <v>0</v>
      </c>
      <c r="AN1699" s="162">
        <f t="shared" si="567"/>
        <v>0</v>
      </c>
      <c r="AO1699" s="162">
        <f t="shared" si="567"/>
        <v>0</v>
      </c>
      <c r="AP1699" s="162">
        <f t="shared" si="567"/>
        <v>0</v>
      </c>
      <c r="AQ1699" s="162">
        <f t="shared" si="567"/>
        <v>0</v>
      </c>
      <c r="AR1699" s="163">
        <f t="shared" si="559"/>
        <v>0</v>
      </c>
      <c r="AT1699" s="208">
        <f>IFERROR(VLOOKUP(J1699,#REF!,10,0),0)</f>
        <v>0</v>
      </c>
    </row>
    <row r="1700" spans="1:46" hidden="1" outlineLevel="1" x14ac:dyDescent="0.25">
      <c r="A1700" s="14" t="str">
        <f t="shared" si="552"/>
        <v>PROP_OPER__34</v>
      </c>
      <c r="B1700" s="15" t="str">
        <f t="shared" si="553"/>
        <v>PROP_OPER__0_0</v>
      </c>
      <c r="C1700" s="83"/>
      <c r="D1700" s="15">
        <v>1</v>
      </c>
      <c r="E1700" s="15">
        <v>34</v>
      </c>
      <c r="F1700" s="190">
        <f t="shared" si="565"/>
        <v>0</v>
      </c>
      <c r="G1700" s="149" t="str">
        <f t="shared" si="565"/>
        <v/>
      </c>
      <c r="H1700" s="150" t="str">
        <f t="shared" si="565"/>
        <v/>
      </c>
      <c r="I1700" s="150">
        <f t="shared" si="565"/>
        <v>0</v>
      </c>
      <c r="J1700" s="150">
        <f t="shared" si="565"/>
        <v>0</v>
      </c>
      <c r="K1700" s="196"/>
      <c r="L1700" s="197"/>
      <c r="M1700" s="191">
        <f t="shared" si="566"/>
        <v>0</v>
      </c>
      <c r="N1700" s="150">
        <f t="shared" si="566"/>
        <v>0</v>
      </c>
      <c r="O1700" s="193">
        <f t="shared" si="566"/>
        <v>0</v>
      </c>
      <c r="P1700" s="162">
        <f t="shared" si="564"/>
        <v>0</v>
      </c>
      <c r="Q1700" s="162">
        <f t="shared" si="564"/>
        <v>0</v>
      </c>
      <c r="R1700" s="162">
        <f t="shared" si="564"/>
        <v>0</v>
      </c>
      <c r="S1700" s="162">
        <f t="shared" si="564"/>
        <v>0</v>
      </c>
      <c r="T1700" s="162">
        <f t="shared" si="564"/>
        <v>0</v>
      </c>
      <c r="U1700" s="162">
        <f t="shared" si="564"/>
        <v>0</v>
      </c>
      <c r="V1700" s="162">
        <f t="shared" si="564"/>
        <v>0</v>
      </c>
      <c r="W1700" s="162">
        <f t="shared" si="564"/>
        <v>0</v>
      </c>
      <c r="X1700" s="162">
        <f t="shared" si="564"/>
        <v>0</v>
      </c>
      <c r="Y1700" s="162">
        <f t="shared" si="564"/>
        <v>0</v>
      </c>
      <c r="Z1700" s="162">
        <f t="shared" si="564"/>
        <v>0</v>
      </c>
      <c r="AA1700" s="162">
        <f t="shared" si="564"/>
        <v>0</v>
      </c>
      <c r="AB1700" s="163">
        <f t="shared" si="557"/>
        <v>0</v>
      </c>
      <c r="AC1700" s="198"/>
      <c r="AE1700" s="194" t="str">
        <f>IF(J1700=0,"",VLOOKUP(J1700,#REF!,2,0)&amp;" - "&amp;J1700&amp;" ("&amp;F1700&amp;" - "&amp;G1700&amp;")")</f>
        <v/>
      </c>
      <c r="AF1700" s="161">
        <f t="shared" si="567"/>
        <v>0</v>
      </c>
      <c r="AG1700" s="162">
        <f t="shared" si="567"/>
        <v>0</v>
      </c>
      <c r="AH1700" s="162">
        <f t="shared" si="567"/>
        <v>0</v>
      </c>
      <c r="AI1700" s="162">
        <f t="shared" si="567"/>
        <v>0</v>
      </c>
      <c r="AJ1700" s="162">
        <f t="shared" si="567"/>
        <v>0</v>
      </c>
      <c r="AK1700" s="162">
        <f t="shared" si="567"/>
        <v>0</v>
      </c>
      <c r="AL1700" s="162">
        <f t="shared" si="567"/>
        <v>0</v>
      </c>
      <c r="AM1700" s="162">
        <f t="shared" si="567"/>
        <v>0</v>
      </c>
      <c r="AN1700" s="162">
        <f t="shared" si="567"/>
        <v>0</v>
      </c>
      <c r="AO1700" s="162">
        <f t="shared" si="567"/>
        <v>0</v>
      </c>
      <c r="AP1700" s="162">
        <f t="shared" si="567"/>
        <v>0</v>
      </c>
      <c r="AQ1700" s="162">
        <f t="shared" si="567"/>
        <v>0</v>
      </c>
      <c r="AR1700" s="163">
        <f t="shared" si="559"/>
        <v>0</v>
      </c>
      <c r="AT1700" s="208">
        <f>IFERROR(VLOOKUP(J1700,#REF!,10,0),0)</f>
        <v>0</v>
      </c>
    </row>
    <row r="1701" spans="1:46" hidden="1" outlineLevel="1" x14ac:dyDescent="0.25">
      <c r="A1701" s="14" t="str">
        <f t="shared" si="552"/>
        <v>PROP_OPER__35</v>
      </c>
      <c r="B1701" s="15" t="str">
        <f t="shared" si="553"/>
        <v>PROP_OPER__0_0</v>
      </c>
      <c r="C1701" s="83"/>
      <c r="D1701" s="15">
        <v>1</v>
      </c>
      <c r="E1701" s="15">
        <v>35</v>
      </c>
      <c r="F1701" s="190">
        <f t="shared" si="565"/>
        <v>0</v>
      </c>
      <c r="G1701" s="149" t="str">
        <f t="shared" si="565"/>
        <v/>
      </c>
      <c r="H1701" s="150" t="str">
        <f t="shared" si="565"/>
        <v/>
      </c>
      <c r="I1701" s="150">
        <f t="shared" si="565"/>
        <v>0</v>
      </c>
      <c r="J1701" s="150">
        <f t="shared" si="565"/>
        <v>0</v>
      </c>
      <c r="K1701" s="196"/>
      <c r="L1701" s="197"/>
      <c r="M1701" s="191">
        <f t="shared" si="566"/>
        <v>0</v>
      </c>
      <c r="N1701" s="150">
        <f t="shared" si="566"/>
        <v>0</v>
      </c>
      <c r="O1701" s="193">
        <f t="shared" si="566"/>
        <v>0</v>
      </c>
      <c r="P1701" s="162">
        <f t="shared" si="564"/>
        <v>0</v>
      </c>
      <c r="Q1701" s="162">
        <f t="shared" si="564"/>
        <v>0</v>
      </c>
      <c r="R1701" s="162">
        <f t="shared" si="564"/>
        <v>0</v>
      </c>
      <c r="S1701" s="162">
        <f t="shared" si="564"/>
        <v>0</v>
      </c>
      <c r="T1701" s="162">
        <f t="shared" si="564"/>
        <v>0</v>
      </c>
      <c r="U1701" s="162">
        <f t="shared" si="564"/>
        <v>0</v>
      </c>
      <c r="V1701" s="162">
        <f t="shared" si="564"/>
        <v>0</v>
      </c>
      <c r="W1701" s="162">
        <f t="shared" si="564"/>
        <v>0</v>
      </c>
      <c r="X1701" s="162">
        <f t="shared" si="564"/>
        <v>0</v>
      </c>
      <c r="Y1701" s="162">
        <f t="shared" si="564"/>
        <v>0</v>
      </c>
      <c r="Z1701" s="162">
        <f t="shared" si="564"/>
        <v>0</v>
      </c>
      <c r="AA1701" s="162">
        <f t="shared" si="564"/>
        <v>0</v>
      </c>
      <c r="AB1701" s="163">
        <f t="shared" si="557"/>
        <v>0</v>
      </c>
      <c r="AC1701" s="198"/>
      <c r="AE1701" s="194" t="str">
        <f>IF(J1701=0,"",VLOOKUP(J1701,#REF!,2,0)&amp;" - "&amp;J1701&amp;" ("&amp;F1701&amp;" - "&amp;G1701&amp;")")</f>
        <v/>
      </c>
      <c r="AF1701" s="161">
        <f t="shared" si="567"/>
        <v>0</v>
      </c>
      <c r="AG1701" s="162">
        <f t="shared" si="567"/>
        <v>0</v>
      </c>
      <c r="AH1701" s="162">
        <f t="shared" si="567"/>
        <v>0</v>
      </c>
      <c r="AI1701" s="162">
        <f t="shared" si="567"/>
        <v>0</v>
      </c>
      <c r="AJ1701" s="162">
        <f t="shared" si="567"/>
        <v>0</v>
      </c>
      <c r="AK1701" s="162">
        <f t="shared" si="567"/>
        <v>0</v>
      </c>
      <c r="AL1701" s="162">
        <f t="shared" si="567"/>
        <v>0</v>
      </c>
      <c r="AM1701" s="162">
        <f t="shared" si="567"/>
        <v>0</v>
      </c>
      <c r="AN1701" s="162">
        <f t="shared" si="567"/>
        <v>0</v>
      </c>
      <c r="AO1701" s="162">
        <f t="shared" si="567"/>
        <v>0</v>
      </c>
      <c r="AP1701" s="162">
        <f t="shared" si="567"/>
        <v>0</v>
      </c>
      <c r="AQ1701" s="162">
        <f t="shared" si="567"/>
        <v>0</v>
      </c>
      <c r="AR1701" s="163">
        <f t="shared" si="559"/>
        <v>0</v>
      </c>
      <c r="AT1701" s="208">
        <f>IFERROR(VLOOKUP(J1701,#REF!,10,0),0)</f>
        <v>0</v>
      </c>
    </row>
    <row r="1702" spans="1:46" hidden="1" outlineLevel="1" x14ac:dyDescent="0.25">
      <c r="A1702" s="14" t="str">
        <f t="shared" si="552"/>
        <v>PROP_OPER__36</v>
      </c>
      <c r="B1702" s="15" t="str">
        <f t="shared" si="553"/>
        <v>PROP_OPER__0_0</v>
      </c>
      <c r="C1702" s="83"/>
      <c r="D1702" s="15">
        <v>1</v>
      </c>
      <c r="E1702" s="15">
        <v>36</v>
      </c>
      <c r="F1702" s="190">
        <f t="shared" si="565"/>
        <v>0</v>
      </c>
      <c r="G1702" s="149" t="str">
        <f t="shared" si="565"/>
        <v/>
      </c>
      <c r="H1702" s="150" t="str">
        <f t="shared" si="565"/>
        <v/>
      </c>
      <c r="I1702" s="150">
        <f t="shared" si="565"/>
        <v>0</v>
      </c>
      <c r="J1702" s="150">
        <f t="shared" si="565"/>
        <v>0</v>
      </c>
      <c r="K1702" s="196"/>
      <c r="L1702" s="197"/>
      <c r="M1702" s="191">
        <f t="shared" si="566"/>
        <v>0</v>
      </c>
      <c r="N1702" s="150">
        <f t="shared" si="566"/>
        <v>0</v>
      </c>
      <c r="O1702" s="193">
        <f t="shared" si="566"/>
        <v>0</v>
      </c>
      <c r="P1702" s="162">
        <f t="shared" si="564"/>
        <v>0</v>
      </c>
      <c r="Q1702" s="162">
        <f t="shared" si="564"/>
        <v>0</v>
      </c>
      <c r="R1702" s="162">
        <f t="shared" si="564"/>
        <v>0</v>
      </c>
      <c r="S1702" s="162">
        <f t="shared" si="564"/>
        <v>0</v>
      </c>
      <c r="T1702" s="162">
        <f t="shared" si="564"/>
        <v>0</v>
      </c>
      <c r="U1702" s="162">
        <f t="shared" si="564"/>
        <v>0</v>
      </c>
      <c r="V1702" s="162">
        <f t="shared" si="564"/>
        <v>0</v>
      </c>
      <c r="W1702" s="162">
        <f t="shared" si="564"/>
        <v>0</v>
      </c>
      <c r="X1702" s="162">
        <f t="shared" si="564"/>
        <v>0</v>
      </c>
      <c r="Y1702" s="162">
        <f t="shared" si="564"/>
        <v>0</v>
      </c>
      <c r="Z1702" s="162">
        <f t="shared" si="564"/>
        <v>0</v>
      </c>
      <c r="AA1702" s="162">
        <f t="shared" si="564"/>
        <v>0</v>
      </c>
      <c r="AB1702" s="163">
        <f t="shared" si="557"/>
        <v>0</v>
      </c>
      <c r="AC1702" s="198"/>
      <c r="AE1702" s="194" t="str">
        <f>IF(J1702=0,"",VLOOKUP(J1702,#REF!,2,0)&amp;" - "&amp;J1702&amp;" ("&amp;F1702&amp;" - "&amp;G1702&amp;")")</f>
        <v/>
      </c>
      <c r="AF1702" s="161">
        <f t="shared" si="567"/>
        <v>0</v>
      </c>
      <c r="AG1702" s="162">
        <f t="shared" si="567"/>
        <v>0</v>
      </c>
      <c r="AH1702" s="162">
        <f t="shared" si="567"/>
        <v>0</v>
      </c>
      <c r="AI1702" s="162">
        <f t="shared" si="567"/>
        <v>0</v>
      </c>
      <c r="AJ1702" s="162">
        <f t="shared" si="567"/>
        <v>0</v>
      </c>
      <c r="AK1702" s="162">
        <f t="shared" si="567"/>
        <v>0</v>
      </c>
      <c r="AL1702" s="162">
        <f t="shared" si="567"/>
        <v>0</v>
      </c>
      <c r="AM1702" s="162">
        <f t="shared" si="567"/>
        <v>0</v>
      </c>
      <c r="AN1702" s="162">
        <f t="shared" si="567"/>
        <v>0</v>
      </c>
      <c r="AO1702" s="162">
        <f t="shared" si="567"/>
        <v>0</v>
      </c>
      <c r="AP1702" s="162">
        <f t="shared" si="567"/>
        <v>0</v>
      </c>
      <c r="AQ1702" s="162">
        <f t="shared" si="567"/>
        <v>0</v>
      </c>
      <c r="AR1702" s="163">
        <f t="shared" si="559"/>
        <v>0</v>
      </c>
      <c r="AT1702" s="208">
        <f>IFERROR(VLOOKUP(J1702,#REF!,10,0),0)</f>
        <v>0</v>
      </c>
    </row>
    <row r="1703" spans="1:46" hidden="1" outlineLevel="1" x14ac:dyDescent="0.25">
      <c r="A1703" s="14" t="str">
        <f t="shared" si="552"/>
        <v>PROP_OPER__37</v>
      </c>
      <c r="B1703" s="15" t="str">
        <f t="shared" si="553"/>
        <v>PROP_OPER__0_0</v>
      </c>
      <c r="C1703" s="83"/>
      <c r="D1703" s="15">
        <v>1</v>
      </c>
      <c r="E1703" s="15">
        <v>37</v>
      </c>
      <c r="F1703" s="190">
        <f t="shared" si="565"/>
        <v>0</v>
      </c>
      <c r="G1703" s="149" t="str">
        <f t="shared" si="565"/>
        <v/>
      </c>
      <c r="H1703" s="150" t="str">
        <f t="shared" si="565"/>
        <v/>
      </c>
      <c r="I1703" s="150">
        <f t="shared" si="565"/>
        <v>0</v>
      </c>
      <c r="J1703" s="150">
        <f t="shared" si="565"/>
        <v>0</v>
      </c>
      <c r="K1703" s="196"/>
      <c r="L1703" s="197"/>
      <c r="M1703" s="191">
        <f t="shared" si="566"/>
        <v>0</v>
      </c>
      <c r="N1703" s="150">
        <f t="shared" si="566"/>
        <v>0</v>
      </c>
      <c r="O1703" s="193">
        <f t="shared" si="566"/>
        <v>0</v>
      </c>
      <c r="P1703" s="162">
        <f t="shared" si="564"/>
        <v>0</v>
      </c>
      <c r="Q1703" s="162">
        <f t="shared" si="564"/>
        <v>0</v>
      </c>
      <c r="R1703" s="162">
        <f t="shared" si="564"/>
        <v>0</v>
      </c>
      <c r="S1703" s="162">
        <f t="shared" si="564"/>
        <v>0</v>
      </c>
      <c r="T1703" s="162">
        <f t="shared" si="564"/>
        <v>0</v>
      </c>
      <c r="U1703" s="162">
        <f t="shared" si="564"/>
        <v>0</v>
      </c>
      <c r="V1703" s="162">
        <f t="shared" si="564"/>
        <v>0</v>
      </c>
      <c r="W1703" s="162">
        <f t="shared" si="564"/>
        <v>0</v>
      </c>
      <c r="X1703" s="162">
        <f t="shared" si="564"/>
        <v>0</v>
      </c>
      <c r="Y1703" s="162">
        <f t="shared" si="564"/>
        <v>0</v>
      </c>
      <c r="Z1703" s="162">
        <f t="shared" si="564"/>
        <v>0</v>
      </c>
      <c r="AA1703" s="162">
        <f t="shared" si="564"/>
        <v>0</v>
      </c>
      <c r="AB1703" s="163">
        <f t="shared" si="557"/>
        <v>0</v>
      </c>
      <c r="AC1703" s="198"/>
      <c r="AE1703" s="194" t="str">
        <f>IF(J1703=0,"",VLOOKUP(J1703,#REF!,2,0)&amp;" - "&amp;J1703&amp;" ("&amp;F1703&amp;" - "&amp;G1703&amp;")")</f>
        <v/>
      </c>
      <c r="AF1703" s="161">
        <f t="shared" si="567"/>
        <v>0</v>
      </c>
      <c r="AG1703" s="162">
        <f t="shared" si="567"/>
        <v>0</v>
      </c>
      <c r="AH1703" s="162">
        <f t="shared" si="567"/>
        <v>0</v>
      </c>
      <c r="AI1703" s="162">
        <f t="shared" si="567"/>
        <v>0</v>
      </c>
      <c r="AJ1703" s="162">
        <f t="shared" si="567"/>
        <v>0</v>
      </c>
      <c r="AK1703" s="162">
        <f t="shared" si="567"/>
        <v>0</v>
      </c>
      <c r="AL1703" s="162">
        <f t="shared" si="567"/>
        <v>0</v>
      </c>
      <c r="AM1703" s="162">
        <f t="shared" si="567"/>
        <v>0</v>
      </c>
      <c r="AN1703" s="162">
        <f t="shared" si="567"/>
        <v>0</v>
      </c>
      <c r="AO1703" s="162">
        <f t="shared" si="567"/>
        <v>0</v>
      </c>
      <c r="AP1703" s="162">
        <f t="shared" si="567"/>
        <v>0</v>
      </c>
      <c r="AQ1703" s="162">
        <f t="shared" si="567"/>
        <v>0</v>
      </c>
      <c r="AR1703" s="163">
        <f t="shared" si="559"/>
        <v>0</v>
      </c>
      <c r="AT1703" s="208">
        <f>IFERROR(VLOOKUP(J1703,#REF!,10,0),0)</f>
        <v>0</v>
      </c>
    </row>
    <row r="1704" spans="1:46" hidden="1" outlineLevel="1" x14ac:dyDescent="0.25">
      <c r="A1704" s="14" t="str">
        <f t="shared" si="552"/>
        <v>PROP_OPER__38</v>
      </c>
      <c r="B1704" s="15" t="str">
        <f t="shared" si="553"/>
        <v>PROP_OPER__0_0</v>
      </c>
      <c r="C1704" s="83"/>
      <c r="D1704" s="15">
        <v>1</v>
      </c>
      <c r="E1704" s="15">
        <v>38</v>
      </c>
      <c r="F1704" s="190">
        <f t="shared" si="565"/>
        <v>0</v>
      </c>
      <c r="G1704" s="149" t="str">
        <f t="shared" si="565"/>
        <v/>
      </c>
      <c r="H1704" s="150" t="str">
        <f t="shared" si="565"/>
        <v/>
      </c>
      <c r="I1704" s="150">
        <f t="shared" si="565"/>
        <v>0</v>
      </c>
      <c r="J1704" s="150">
        <f t="shared" si="565"/>
        <v>0</v>
      </c>
      <c r="K1704" s="196"/>
      <c r="L1704" s="197"/>
      <c r="M1704" s="191">
        <f t="shared" si="566"/>
        <v>0</v>
      </c>
      <c r="N1704" s="150">
        <f t="shared" si="566"/>
        <v>0</v>
      </c>
      <c r="O1704" s="193">
        <f t="shared" si="566"/>
        <v>0</v>
      </c>
      <c r="P1704" s="162">
        <f t="shared" si="564"/>
        <v>0</v>
      </c>
      <c r="Q1704" s="162">
        <f t="shared" si="564"/>
        <v>0</v>
      </c>
      <c r="R1704" s="162">
        <f t="shared" si="564"/>
        <v>0</v>
      </c>
      <c r="S1704" s="162">
        <f t="shared" si="564"/>
        <v>0</v>
      </c>
      <c r="T1704" s="162">
        <f t="shared" si="564"/>
        <v>0</v>
      </c>
      <c r="U1704" s="162">
        <f t="shared" si="564"/>
        <v>0</v>
      </c>
      <c r="V1704" s="162">
        <f t="shared" si="564"/>
        <v>0</v>
      </c>
      <c r="W1704" s="162">
        <f t="shared" si="564"/>
        <v>0</v>
      </c>
      <c r="X1704" s="162">
        <f t="shared" si="564"/>
        <v>0</v>
      </c>
      <c r="Y1704" s="162">
        <f t="shared" si="564"/>
        <v>0</v>
      </c>
      <c r="Z1704" s="162">
        <f t="shared" si="564"/>
        <v>0</v>
      </c>
      <c r="AA1704" s="162">
        <f t="shared" si="564"/>
        <v>0</v>
      </c>
      <c r="AB1704" s="163">
        <f t="shared" si="557"/>
        <v>0</v>
      </c>
      <c r="AC1704" s="198"/>
      <c r="AE1704" s="194" t="str">
        <f>IF(J1704=0,"",VLOOKUP(J1704,#REF!,2,0)&amp;" - "&amp;J1704&amp;" ("&amp;F1704&amp;" - "&amp;G1704&amp;")")</f>
        <v/>
      </c>
      <c r="AF1704" s="161">
        <f t="shared" si="567"/>
        <v>0</v>
      </c>
      <c r="AG1704" s="162">
        <f t="shared" si="567"/>
        <v>0</v>
      </c>
      <c r="AH1704" s="162">
        <f t="shared" si="567"/>
        <v>0</v>
      </c>
      <c r="AI1704" s="162">
        <f t="shared" si="567"/>
        <v>0</v>
      </c>
      <c r="AJ1704" s="162">
        <f t="shared" si="567"/>
        <v>0</v>
      </c>
      <c r="AK1704" s="162">
        <f t="shared" si="567"/>
        <v>0</v>
      </c>
      <c r="AL1704" s="162">
        <f t="shared" si="567"/>
        <v>0</v>
      </c>
      <c r="AM1704" s="162">
        <f t="shared" si="567"/>
        <v>0</v>
      </c>
      <c r="AN1704" s="162">
        <f t="shared" si="567"/>
        <v>0</v>
      </c>
      <c r="AO1704" s="162">
        <f t="shared" si="567"/>
        <v>0</v>
      </c>
      <c r="AP1704" s="162">
        <f t="shared" si="567"/>
        <v>0</v>
      </c>
      <c r="AQ1704" s="162">
        <f t="shared" si="567"/>
        <v>0</v>
      </c>
      <c r="AR1704" s="163">
        <f t="shared" si="559"/>
        <v>0</v>
      </c>
      <c r="AT1704" s="208">
        <f>IFERROR(VLOOKUP(J1704,#REF!,10,0),0)</f>
        <v>0</v>
      </c>
    </row>
    <row r="1705" spans="1:46" hidden="1" outlineLevel="1" x14ac:dyDescent="0.25">
      <c r="A1705" s="14" t="str">
        <f t="shared" si="552"/>
        <v>PROP_OPER__39</v>
      </c>
      <c r="B1705" s="15" t="str">
        <f t="shared" si="553"/>
        <v>PROP_OPER__0_0</v>
      </c>
      <c r="C1705" s="83"/>
      <c r="D1705" s="15">
        <v>1</v>
      </c>
      <c r="E1705" s="15">
        <v>39</v>
      </c>
      <c r="F1705" s="190">
        <f t="shared" si="565"/>
        <v>0</v>
      </c>
      <c r="G1705" s="149" t="str">
        <f t="shared" si="565"/>
        <v/>
      </c>
      <c r="H1705" s="150" t="str">
        <f t="shared" si="565"/>
        <v/>
      </c>
      <c r="I1705" s="150">
        <f t="shared" si="565"/>
        <v>0</v>
      </c>
      <c r="J1705" s="150">
        <f t="shared" si="565"/>
        <v>0</v>
      </c>
      <c r="K1705" s="196"/>
      <c r="L1705" s="197"/>
      <c r="M1705" s="191">
        <f t="shared" si="566"/>
        <v>0</v>
      </c>
      <c r="N1705" s="150">
        <f t="shared" si="566"/>
        <v>0</v>
      </c>
      <c r="O1705" s="193">
        <f t="shared" si="566"/>
        <v>0</v>
      </c>
      <c r="P1705" s="162">
        <f t="shared" si="564"/>
        <v>0</v>
      </c>
      <c r="Q1705" s="162">
        <f t="shared" si="564"/>
        <v>0</v>
      </c>
      <c r="R1705" s="162">
        <f t="shared" si="564"/>
        <v>0</v>
      </c>
      <c r="S1705" s="162">
        <f t="shared" si="564"/>
        <v>0</v>
      </c>
      <c r="T1705" s="162">
        <f t="shared" si="564"/>
        <v>0</v>
      </c>
      <c r="U1705" s="162">
        <f t="shared" si="564"/>
        <v>0</v>
      </c>
      <c r="V1705" s="162">
        <f t="shared" si="564"/>
        <v>0</v>
      </c>
      <c r="W1705" s="162">
        <f t="shared" si="564"/>
        <v>0</v>
      </c>
      <c r="X1705" s="162">
        <f t="shared" si="564"/>
        <v>0</v>
      </c>
      <c r="Y1705" s="162">
        <f t="shared" si="564"/>
        <v>0</v>
      </c>
      <c r="Z1705" s="162">
        <f t="shared" si="564"/>
        <v>0</v>
      </c>
      <c r="AA1705" s="162">
        <f t="shared" si="564"/>
        <v>0</v>
      </c>
      <c r="AB1705" s="163">
        <f t="shared" si="557"/>
        <v>0</v>
      </c>
      <c r="AC1705" s="198"/>
      <c r="AE1705" s="194" t="str">
        <f>IF(J1705=0,"",VLOOKUP(J1705,#REF!,2,0)&amp;" - "&amp;J1705&amp;" ("&amp;F1705&amp;" - "&amp;G1705&amp;")")</f>
        <v/>
      </c>
      <c r="AF1705" s="161">
        <f t="shared" si="567"/>
        <v>0</v>
      </c>
      <c r="AG1705" s="162">
        <f t="shared" si="567"/>
        <v>0</v>
      </c>
      <c r="AH1705" s="162">
        <f t="shared" si="567"/>
        <v>0</v>
      </c>
      <c r="AI1705" s="162">
        <f t="shared" si="567"/>
        <v>0</v>
      </c>
      <c r="AJ1705" s="162">
        <f t="shared" si="567"/>
        <v>0</v>
      </c>
      <c r="AK1705" s="162">
        <f t="shared" si="567"/>
        <v>0</v>
      </c>
      <c r="AL1705" s="162">
        <f t="shared" si="567"/>
        <v>0</v>
      </c>
      <c r="AM1705" s="162">
        <f t="shared" si="567"/>
        <v>0</v>
      </c>
      <c r="AN1705" s="162">
        <f t="shared" si="567"/>
        <v>0</v>
      </c>
      <c r="AO1705" s="162">
        <f t="shared" si="567"/>
        <v>0</v>
      </c>
      <c r="AP1705" s="162">
        <f t="shared" si="567"/>
        <v>0</v>
      </c>
      <c r="AQ1705" s="162">
        <f t="shared" si="567"/>
        <v>0</v>
      </c>
      <c r="AR1705" s="163">
        <f t="shared" si="559"/>
        <v>0</v>
      </c>
      <c r="AT1705" s="208">
        <f>IFERROR(VLOOKUP(J1705,#REF!,10,0),0)</f>
        <v>0</v>
      </c>
    </row>
    <row r="1706" spans="1:46" hidden="1" outlineLevel="1" x14ac:dyDescent="0.25">
      <c r="A1706" s="14" t="str">
        <f t="shared" si="552"/>
        <v>PROP_OPER__40</v>
      </c>
      <c r="B1706" s="15" t="str">
        <f t="shared" si="553"/>
        <v>PROP_OPER__0_0</v>
      </c>
      <c r="C1706" s="83"/>
      <c r="D1706" s="15">
        <v>1</v>
      </c>
      <c r="E1706" s="15">
        <v>40</v>
      </c>
      <c r="F1706" s="190">
        <f t="shared" si="565"/>
        <v>0</v>
      </c>
      <c r="G1706" s="149" t="str">
        <f t="shared" si="565"/>
        <v/>
      </c>
      <c r="H1706" s="150" t="str">
        <f t="shared" si="565"/>
        <v/>
      </c>
      <c r="I1706" s="150">
        <f t="shared" si="565"/>
        <v>0</v>
      </c>
      <c r="J1706" s="150">
        <f t="shared" si="565"/>
        <v>0</v>
      </c>
      <c r="K1706" s="196"/>
      <c r="L1706" s="197"/>
      <c r="M1706" s="191">
        <f t="shared" si="566"/>
        <v>0</v>
      </c>
      <c r="N1706" s="150">
        <f t="shared" si="566"/>
        <v>0</v>
      </c>
      <c r="O1706" s="193">
        <f t="shared" si="566"/>
        <v>0</v>
      </c>
      <c r="P1706" s="162">
        <f t="shared" ref="P1706:AA1711" si="568">IFERROR(SUMIF($B$1351:$B$1378,$C1706&amp;$I1706,P$1351:P$1378)/SUMIF($D$1351:$D$1378,$I1706,P$1351:P$1378)*P1467,0)</f>
        <v>0</v>
      </c>
      <c r="Q1706" s="162">
        <f t="shared" si="568"/>
        <v>0</v>
      </c>
      <c r="R1706" s="162">
        <f t="shared" si="568"/>
        <v>0</v>
      </c>
      <c r="S1706" s="162">
        <f t="shared" si="568"/>
        <v>0</v>
      </c>
      <c r="T1706" s="162">
        <f t="shared" si="568"/>
        <v>0</v>
      </c>
      <c r="U1706" s="162">
        <f t="shared" si="568"/>
        <v>0</v>
      </c>
      <c r="V1706" s="162">
        <f t="shared" si="568"/>
        <v>0</v>
      </c>
      <c r="W1706" s="162">
        <f t="shared" si="568"/>
        <v>0</v>
      </c>
      <c r="X1706" s="162">
        <f t="shared" si="568"/>
        <v>0</v>
      </c>
      <c r="Y1706" s="162">
        <f t="shared" si="568"/>
        <v>0</v>
      </c>
      <c r="Z1706" s="162">
        <f t="shared" si="568"/>
        <v>0</v>
      </c>
      <c r="AA1706" s="162">
        <f t="shared" si="568"/>
        <v>0</v>
      </c>
      <c r="AB1706" s="163">
        <f t="shared" si="557"/>
        <v>0</v>
      </c>
      <c r="AC1706" s="198"/>
      <c r="AE1706" s="194" t="str">
        <f>IF(J1706=0,"",VLOOKUP(J1706,#REF!,2,0)&amp;" - "&amp;J1706&amp;" ("&amp;F1706&amp;" - "&amp;G1706&amp;")")</f>
        <v/>
      </c>
      <c r="AF1706" s="161">
        <f t="shared" si="567"/>
        <v>0</v>
      </c>
      <c r="AG1706" s="162">
        <f t="shared" si="567"/>
        <v>0</v>
      </c>
      <c r="AH1706" s="162">
        <f t="shared" si="567"/>
        <v>0</v>
      </c>
      <c r="AI1706" s="162">
        <f t="shared" si="567"/>
        <v>0</v>
      </c>
      <c r="AJ1706" s="162">
        <f t="shared" si="567"/>
        <v>0</v>
      </c>
      <c r="AK1706" s="162">
        <f t="shared" si="567"/>
        <v>0</v>
      </c>
      <c r="AL1706" s="162">
        <f t="shared" si="567"/>
        <v>0</v>
      </c>
      <c r="AM1706" s="162">
        <f t="shared" si="567"/>
        <v>0</v>
      </c>
      <c r="AN1706" s="162">
        <f t="shared" si="567"/>
        <v>0</v>
      </c>
      <c r="AO1706" s="162">
        <f t="shared" si="567"/>
        <v>0</v>
      </c>
      <c r="AP1706" s="162">
        <f t="shared" si="567"/>
        <v>0</v>
      </c>
      <c r="AQ1706" s="162">
        <f t="shared" si="567"/>
        <v>0</v>
      </c>
      <c r="AR1706" s="163">
        <f t="shared" si="559"/>
        <v>0</v>
      </c>
      <c r="AT1706" s="208">
        <f>IFERROR(VLOOKUP(J1706,#REF!,10,0),0)</f>
        <v>0</v>
      </c>
    </row>
    <row r="1707" spans="1:46" hidden="1" outlineLevel="1" x14ac:dyDescent="0.25">
      <c r="A1707" s="14" t="str">
        <f t="shared" si="552"/>
        <v>PROP_OPER__41</v>
      </c>
      <c r="B1707" s="15" t="str">
        <f t="shared" si="553"/>
        <v>PROP_OPER__0_0</v>
      </c>
      <c r="C1707" s="83"/>
      <c r="D1707" s="15">
        <v>1</v>
      </c>
      <c r="E1707" s="15">
        <v>41</v>
      </c>
      <c r="F1707" s="190">
        <f t="shared" si="565"/>
        <v>0</v>
      </c>
      <c r="G1707" s="149" t="str">
        <f t="shared" si="565"/>
        <v/>
      </c>
      <c r="H1707" s="150" t="str">
        <f t="shared" si="565"/>
        <v/>
      </c>
      <c r="I1707" s="150">
        <f t="shared" si="565"/>
        <v>0</v>
      </c>
      <c r="J1707" s="150">
        <f t="shared" si="565"/>
        <v>0</v>
      </c>
      <c r="K1707" s="196"/>
      <c r="L1707" s="197"/>
      <c r="M1707" s="191">
        <f t="shared" si="566"/>
        <v>0</v>
      </c>
      <c r="N1707" s="150">
        <f t="shared" si="566"/>
        <v>0</v>
      </c>
      <c r="O1707" s="193">
        <f t="shared" si="566"/>
        <v>0</v>
      </c>
      <c r="P1707" s="162">
        <f t="shared" si="568"/>
        <v>0</v>
      </c>
      <c r="Q1707" s="162">
        <f t="shared" si="568"/>
        <v>0</v>
      </c>
      <c r="R1707" s="162">
        <f t="shared" si="568"/>
        <v>0</v>
      </c>
      <c r="S1707" s="162">
        <f t="shared" si="568"/>
        <v>0</v>
      </c>
      <c r="T1707" s="162">
        <f t="shared" si="568"/>
        <v>0</v>
      </c>
      <c r="U1707" s="162">
        <f t="shared" si="568"/>
        <v>0</v>
      </c>
      <c r="V1707" s="162">
        <f t="shared" si="568"/>
        <v>0</v>
      </c>
      <c r="W1707" s="162">
        <f t="shared" si="568"/>
        <v>0</v>
      </c>
      <c r="X1707" s="162">
        <f t="shared" si="568"/>
        <v>0</v>
      </c>
      <c r="Y1707" s="162">
        <f t="shared" si="568"/>
        <v>0</v>
      </c>
      <c r="Z1707" s="162">
        <f t="shared" si="568"/>
        <v>0</v>
      </c>
      <c r="AA1707" s="162">
        <f t="shared" si="568"/>
        <v>0</v>
      </c>
      <c r="AB1707" s="163">
        <f t="shared" si="557"/>
        <v>0</v>
      </c>
      <c r="AC1707" s="198"/>
      <c r="AE1707" s="194" t="str">
        <f>IF(J1707=0,"",VLOOKUP(J1707,#REF!,2,0)&amp;" - "&amp;J1707&amp;" ("&amp;F1707&amp;" - "&amp;G1707&amp;")")</f>
        <v/>
      </c>
      <c r="AF1707" s="161">
        <f t="shared" si="567"/>
        <v>0</v>
      </c>
      <c r="AG1707" s="162">
        <f t="shared" si="567"/>
        <v>0</v>
      </c>
      <c r="AH1707" s="162">
        <f t="shared" si="567"/>
        <v>0</v>
      </c>
      <c r="AI1707" s="162">
        <f t="shared" si="567"/>
        <v>0</v>
      </c>
      <c r="AJ1707" s="162">
        <f t="shared" si="567"/>
        <v>0</v>
      </c>
      <c r="AK1707" s="162">
        <f t="shared" si="567"/>
        <v>0</v>
      </c>
      <c r="AL1707" s="162">
        <f t="shared" si="567"/>
        <v>0</v>
      </c>
      <c r="AM1707" s="162">
        <f t="shared" si="567"/>
        <v>0</v>
      </c>
      <c r="AN1707" s="162">
        <f t="shared" si="567"/>
        <v>0</v>
      </c>
      <c r="AO1707" s="162">
        <f t="shared" si="567"/>
        <v>0</v>
      </c>
      <c r="AP1707" s="162">
        <f t="shared" si="567"/>
        <v>0</v>
      </c>
      <c r="AQ1707" s="162">
        <f t="shared" si="567"/>
        <v>0</v>
      </c>
      <c r="AR1707" s="163">
        <f t="shared" si="559"/>
        <v>0</v>
      </c>
      <c r="AT1707" s="208">
        <f>IFERROR(VLOOKUP(J1707,#REF!,10,0),0)</f>
        <v>0</v>
      </c>
    </row>
    <row r="1708" spans="1:46" hidden="1" outlineLevel="1" x14ac:dyDescent="0.25">
      <c r="A1708" s="14" t="str">
        <f t="shared" si="552"/>
        <v>PROP_OPER__42</v>
      </c>
      <c r="B1708" s="15" t="str">
        <f t="shared" si="553"/>
        <v>PROP_OPER__0_0</v>
      </c>
      <c r="C1708" s="83"/>
      <c r="D1708" s="15">
        <v>1</v>
      </c>
      <c r="E1708" s="15">
        <v>42</v>
      </c>
      <c r="F1708" s="190">
        <f t="shared" si="565"/>
        <v>0</v>
      </c>
      <c r="G1708" s="149" t="str">
        <f t="shared" si="565"/>
        <v/>
      </c>
      <c r="H1708" s="150" t="str">
        <f t="shared" si="565"/>
        <v/>
      </c>
      <c r="I1708" s="150">
        <f t="shared" si="565"/>
        <v>0</v>
      </c>
      <c r="J1708" s="150">
        <f t="shared" si="565"/>
        <v>0</v>
      </c>
      <c r="K1708" s="196"/>
      <c r="L1708" s="197"/>
      <c r="M1708" s="191">
        <f t="shared" si="566"/>
        <v>0</v>
      </c>
      <c r="N1708" s="150">
        <f t="shared" si="566"/>
        <v>0</v>
      </c>
      <c r="O1708" s="193">
        <f t="shared" si="566"/>
        <v>0</v>
      </c>
      <c r="P1708" s="162">
        <f t="shared" si="568"/>
        <v>0</v>
      </c>
      <c r="Q1708" s="162">
        <f t="shared" si="568"/>
        <v>0</v>
      </c>
      <c r="R1708" s="162">
        <f t="shared" si="568"/>
        <v>0</v>
      </c>
      <c r="S1708" s="162">
        <f t="shared" si="568"/>
        <v>0</v>
      </c>
      <c r="T1708" s="162">
        <f t="shared" si="568"/>
        <v>0</v>
      </c>
      <c r="U1708" s="162">
        <f t="shared" si="568"/>
        <v>0</v>
      </c>
      <c r="V1708" s="162">
        <f t="shared" si="568"/>
        <v>0</v>
      </c>
      <c r="W1708" s="162">
        <f t="shared" si="568"/>
        <v>0</v>
      </c>
      <c r="X1708" s="162">
        <f t="shared" si="568"/>
        <v>0</v>
      </c>
      <c r="Y1708" s="162">
        <f t="shared" si="568"/>
        <v>0</v>
      </c>
      <c r="Z1708" s="162">
        <f t="shared" si="568"/>
        <v>0</v>
      </c>
      <c r="AA1708" s="162">
        <f t="shared" si="568"/>
        <v>0</v>
      </c>
      <c r="AB1708" s="163">
        <f t="shared" si="557"/>
        <v>0</v>
      </c>
      <c r="AC1708" s="198"/>
      <c r="AE1708" s="194" t="str">
        <f>IF(J1708=0,"",VLOOKUP(J1708,#REF!,2,0)&amp;" - "&amp;J1708&amp;" ("&amp;F1708&amp;" - "&amp;G1708&amp;")")</f>
        <v/>
      </c>
      <c r="AF1708" s="161">
        <f t="shared" si="567"/>
        <v>0</v>
      </c>
      <c r="AG1708" s="162">
        <f t="shared" si="567"/>
        <v>0</v>
      </c>
      <c r="AH1708" s="162">
        <f t="shared" si="567"/>
        <v>0</v>
      </c>
      <c r="AI1708" s="162">
        <f t="shared" si="567"/>
        <v>0</v>
      </c>
      <c r="AJ1708" s="162">
        <f t="shared" si="567"/>
        <v>0</v>
      </c>
      <c r="AK1708" s="162">
        <f t="shared" si="567"/>
        <v>0</v>
      </c>
      <c r="AL1708" s="162">
        <f t="shared" si="567"/>
        <v>0</v>
      </c>
      <c r="AM1708" s="162">
        <f t="shared" si="567"/>
        <v>0</v>
      </c>
      <c r="AN1708" s="162">
        <f t="shared" si="567"/>
        <v>0</v>
      </c>
      <c r="AO1708" s="162">
        <f t="shared" si="567"/>
        <v>0</v>
      </c>
      <c r="AP1708" s="162">
        <f t="shared" si="567"/>
        <v>0</v>
      </c>
      <c r="AQ1708" s="162">
        <f t="shared" si="567"/>
        <v>0</v>
      </c>
      <c r="AR1708" s="163">
        <f t="shared" si="559"/>
        <v>0</v>
      </c>
      <c r="AT1708" s="208">
        <f>IFERROR(VLOOKUP(J1708,#REF!,10,0),0)</f>
        <v>0</v>
      </c>
    </row>
    <row r="1709" spans="1:46" hidden="1" outlineLevel="1" x14ac:dyDescent="0.25">
      <c r="A1709" s="14" t="str">
        <f t="shared" si="552"/>
        <v>PROP_OPER__43</v>
      </c>
      <c r="B1709" s="15" t="str">
        <f t="shared" si="553"/>
        <v>PROP_OPER__0_0</v>
      </c>
      <c r="C1709" s="83"/>
      <c r="D1709" s="15">
        <v>1</v>
      </c>
      <c r="E1709" s="15">
        <v>43</v>
      </c>
      <c r="F1709" s="190">
        <f t="shared" si="565"/>
        <v>0</v>
      </c>
      <c r="G1709" s="149" t="str">
        <f t="shared" si="565"/>
        <v/>
      </c>
      <c r="H1709" s="150" t="str">
        <f t="shared" si="565"/>
        <v/>
      </c>
      <c r="I1709" s="150">
        <f t="shared" si="565"/>
        <v>0</v>
      </c>
      <c r="J1709" s="150">
        <f t="shared" si="565"/>
        <v>0</v>
      </c>
      <c r="K1709" s="196"/>
      <c r="L1709" s="197"/>
      <c r="M1709" s="191">
        <f t="shared" si="566"/>
        <v>0</v>
      </c>
      <c r="N1709" s="150">
        <f t="shared" si="566"/>
        <v>0</v>
      </c>
      <c r="O1709" s="193">
        <f t="shared" si="566"/>
        <v>0</v>
      </c>
      <c r="P1709" s="162">
        <f t="shared" si="568"/>
        <v>0</v>
      </c>
      <c r="Q1709" s="162">
        <f t="shared" si="568"/>
        <v>0</v>
      </c>
      <c r="R1709" s="162">
        <f t="shared" si="568"/>
        <v>0</v>
      </c>
      <c r="S1709" s="162">
        <f t="shared" si="568"/>
        <v>0</v>
      </c>
      <c r="T1709" s="162">
        <f t="shared" si="568"/>
        <v>0</v>
      </c>
      <c r="U1709" s="162">
        <f t="shared" si="568"/>
        <v>0</v>
      </c>
      <c r="V1709" s="162">
        <f t="shared" si="568"/>
        <v>0</v>
      </c>
      <c r="W1709" s="162">
        <f t="shared" si="568"/>
        <v>0</v>
      </c>
      <c r="X1709" s="162">
        <f t="shared" si="568"/>
        <v>0</v>
      </c>
      <c r="Y1709" s="162">
        <f t="shared" si="568"/>
        <v>0</v>
      </c>
      <c r="Z1709" s="162">
        <f t="shared" si="568"/>
        <v>0</v>
      </c>
      <c r="AA1709" s="162">
        <f t="shared" si="568"/>
        <v>0</v>
      </c>
      <c r="AB1709" s="163">
        <f t="shared" si="557"/>
        <v>0</v>
      </c>
      <c r="AC1709" s="198"/>
      <c r="AE1709" s="194" t="str">
        <f>IF(J1709=0,"",VLOOKUP(J1709,#REF!,2,0)&amp;" - "&amp;J1709&amp;" ("&amp;F1709&amp;" - "&amp;G1709&amp;")")</f>
        <v/>
      </c>
      <c r="AF1709" s="161">
        <f t="shared" si="567"/>
        <v>0</v>
      </c>
      <c r="AG1709" s="162">
        <f t="shared" si="567"/>
        <v>0</v>
      </c>
      <c r="AH1709" s="162">
        <f t="shared" si="567"/>
        <v>0</v>
      </c>
      <c r="AI1709" s="162">
        <f t="shared" si="567"/>
        <v>0</v>
      </c>
      <c r="AJ1709" s="162">
        <f t="shared" si="567"/>
        <v>0</v>
      </c>
      <c r="AK1709" s="162">
        <f t="shared" si="567"/>
        <v>0</v>
      </c>
      <c r="AL1709" s="162">
        <f t="shared" si="567"/>
        <v>0</v>
      </c>
      <c r="AM1709" s="162">
        <f t="shared" si="567"/>
        <v>0</v>
      </c>
      <c r="AN1709" s="162">
        <f t="shared" si="567"/>
        <v>0</v>
      </c>
      <c r="AO1709" s="162">
        <f t="shared" si="567"/>
        <v>0</v>
      </c>
      <c r="AP1709" s="162">
        <f t="shared" si="567"/>
        <v>0</v>
      </c>
      <c r="AQ1709" s="162">
        <f t="shared" si="567"/>
        <v>0</v>
      </c>
      <c r="AR1709" s="163">
        <f t="shared" si="559"/>
        <v>0</v>
      </c>
      <c r="AT1709" s="208">
        <f>IFERROR(VLOOKUP(J1709,#REF!,10,0),0)</f>
        <v>0</v>
      </c>
    </row>
    <row r="1710" spans="1:46" hidden="1" outlineLevel="1" x14ac:dyDescent="0.25">
      <c r="A1710" s="14" t="str">
        <f t="shared" si="552"/>
        <v>PROP_OPER__44</v>
      </c>
      <c r="B1710" s="15" t="str">
        <f t="shared" si="553"/>
        <v>PROP_OPER__0_0</v>
      </c>
      <c r="C1710" s="83"/>
      <c r="D1710" s="15">
        <v>1</v>
      </c>
      <c r="E1710" s="15">
        <v>44</v>
      </c>
      <c r="F1710" s="190">
        <f t="shared" si="565"/>
        <v>0</v>
      </c>
      <c r="G1710" s="149" t="str">
        <f t="shared" si="565"/>
        <v/>
      </c>
      <c r="H1710" s="150" t="str">
        <f t="shared" si="565"/>
        <v/>
      </c>
      <c r="I1710" s="150">
        <f t="shared" si="565"/>
        <v>0</v>
      </c>
      <c r="J1710" s="150">
        <f t="shared" si="565"/>
        <v>0</v>
      </c>
      <c r="K1710" s="196"/>
      <c r="L1710" s="197"/>
      <c r="M1710" s="191">
        <f t="shared" si="566"/>
        <v>0</v>
      </c>
      <c r="N1710" s="150">
        <f t="shared" si="566"/>
        <v>0</v>
      </c>
      <c r="O1710" s="193">
        <f t="shared" si="566"/>
        <v>0</v>
      </c>
      <c r="P1710" s="162">
        <f t="shared" si="568"/>
        <v>0</v>
      </c>
      <c r="Q1710" s="162">
        <f t="shared" si="568"/>
        <v>0</v>
      </c>
      <c r="R1710" s="162">
        <f t="shared" si="568"/>
        <v>0</v>
      </c>
      <c r="S1710" s="162">
        <f t="shared" si="568"/>
        <v>0</v>
      </c>
      <c r="T1710" s="162">
        <f t="shared" si="568"/>
        <v>0</v>
      </c>
      <c r="U1710" s="162">
        <f t="shared" si="568"/>
        <v>0</v>
      </c>
      <c r="V1710" s="162">
        <f t="shared" si="568"/>
        <v>0</v>
      </c>
      <c r="W1710" s="162">
        <f t="shared" si="568"/>
        <v>0</v>
      </c>
      <c r="X1710" s="162">
        <f t="shared" si="568"/>
        <v>0</v>
      </c>
      <c r="Y1710" s="162">
        <f t="shared" si="568"/>
        <v>0</v>
      </c>
      <c r="Z1710" s="162">
        <f t="shared" si="568"/>
        <v>0</v>
      </c>
      <c r="AA1710" s="162">
        <f t="shared" si="568"/>
        <v>0</v>
      </c>
      <c r="AB1710" s="163">
        <f t="shared" si="557"/>
        <v>0</v>
      </c>
      <c r="AC1710" s="198"/>
      <c r="AE1710" s="194" t="str">
        <f>IF(J1710=0,"",VLOOKUP(J1710,#REF!,2,0)&amp;" - "&amp;J1710&amp;" ("&amp;F1710&amp;" - "&amp;G1710&amp;")")</f>
        <v/>
      </c>
      <c r="AF1710" s="161">
        <f t="shared" si="567"/>
        <v>0</v>
      </c>
      <c r="AG1710" s="162">
        <f t="shared" si="567"/>
        <v>0</v>
      </c>
      <c r="AH1710" s="162">
        <f t="shared" si="567"/>
        <v>0</v>
      </c>
      <c r="AI1710" s="162">
        <f t="shared" si="567"/>
        <v>0</v>
      </c>
      <c r="AJ1710" s="162">
        <f t="shared" si="567"/>
        <v>0</v>
      </c>
      <c r="AK1710" s="162">
        <f t="shared" si="567"/>
        <v>0</v>
      </c>
      <c r="AL1710" s="162">
        <f t="shared" si="567"/>
        <v>0</v>
      </c>
      <c r="AM1710" s="162">
        <f t="shared" si="567"/>
        <v>0</v>
      </c>
      <c r="AN1710" s="162">
        <f t="shared" si="567"/>
        <v>0</v>
      </c>
      <c r="AO1710" s="162">
        <f t="shared" si="567"/>
        <v>0</v>
      </c>
      <c r="AP1710" s="162">
        <f t="shared" si="567"/>
        <v>0</v>
      </c>
      <c r="AQ1710" s="162">
        <f t="shared" si="567"/>
        <v>0</v>
      </c>
      <c r="AR1710" s="163">
        <f t="shared" si="559"/>
        <v>0</v>
      </c>
      <c r="AT1710" s="208">
        <f>IFERROR(VLOOKUP(J1710,#REF!,10,0),0)</f>
        <v>0</v>
      </c>
    </row>
    <row r="1711" spans="1:46" hidden="1" outlineLevel="1" x14ac:dyDescent="0.25">
      <c r="A1711" s="14" t="str">
        <f t="shared" si="552"/>
        <v>PROP_OPER__45</v>
      </c>
      <c r="B1711" s="15" t="str">
        <f t="shared" si="553"/>
        <v>PROP_OPER__0_0</v>
      </c>
      <c r="C1711" s="83"/>
      <c r="D1711" s="15">
        <v>1</v>
      </c>
      <c r="E1711" s="15">
        <v>45</v>
      </c>
      <c r="F1711" s="209">
        <f t="shared" si="565"/>
        <v>0</v>
      </c>
      <c r="G1711" s="183" t="str">
        <f t="shared" si="565"/>
        <v/>
      </c>
      <c r="H1711" s="184" t="str">
        <f t="shared" si="565"/>
        <v/>
      </c>
      <c r="I1711" s="184">
        <f t="shared" si="565"/>
        <v>0</v>
      </c>
      <c r="J1711" s="184">
        <f t="shared" si="565"/>
        <v>0</v>
      </c>
      <c r="K1711" s="210"/>
      <c r="L1711" s="211"/>
      <c r="M1711" s="212">
        <f t="shared" si="566"/>
        <v>0</v>
      </c>
      <c r="N1711" s="184">
        <f t="shared" si="566"/>
        <v>0</v>
      </c>
      <c r="O1711" s="213">
        <f t="shared" si="566"/>
        <v>0</v>
      </c>
      <c r="P1711" s="175">
        <f t="shared" si="568"/>
        <v>0</v>
      </c>
      <c r="Q1711" s="175">
        <f t="shared" si="568"/>
        <v>0</v>
      </c>
      <c r="R1711" s="175">
        <f t="shared" si="568"/>
        <v>0</v>
      </c>
      <c r="S1711" s="175">
        <f t="shared" si="568"/>
        <v>0</v>
      </c>
      <c r="T1711" s="175">
        <f t="shared" si="568"/>
        <v>0</v>
      </c>
      <c r="U1711" s="175">
        <f t="shared" si="568"/>
        <v>0</v>
      </c>
      <c r="V1711" s="175">
        <f t="shared" si="568"/>
        <v>0</v>
      </c>
      <c r="W1711" s="175">
        <f t="shared" si="568"/>
        <v>0</v>
      </c>
      <c r="X1711" s="175">
        <f t="shared" si="568"/>
        <v>0</v>
      </c>
      <c r="Y1711" s="175">
        <f t="shared" si="568"/>
        <v>0</v>
      </c>
      <c r="Z1711" s="175">
        <f t="shared" si="568"/>
        <v>0</v>
      </c>
      <c r="AA1711" s="175">
        <f t="shared" si="568"/>
        <v>0</v>
      </c>
      <c r="AB1711" s="176">
        <f t="shared" si="557"/>
        <v>0</v>
      </c>
      <c r="AC1711" s="172"/>
      <c r="AE1711" s="195" t="str">
        <f>IF(J1711=0,"",VLOOKUP(J1711,#REF!,2,0)&amp;" - "&amp;J1711&amp;" ("&amp;F1711&amp;" - "&amp;G1711&amp;")")</f>
        <v/>
      </c>
      <c r="AF1711" s="174">
        <f t="shared" si="567"/>
        <v>0</v>
      </c>
      <c r="AG1711" s="175">
        <f t="shared" si="567"/>
        <v>0</v>
      </c>
      <c r="AH1711" s="175">
        <f t="shared" si="567"/>
        <v>0</v>
      </c>
      <c r="AI1711" s="175">
        <f t="shared" si="567"/>
        <v>0</v>
      </c>
      <c r="AJ1711" s="175">
        <f t="shared" si="567"/>
        <v>0</v>
      </c>
      <c r="AK1711" s="175">
        <f t="shared" si="567"/>
        <v>0</v>
      </c>
      <c r="AL1711" s="175">
        <f t="shared" si="567"/>
        <v>0</v>
      </c>
      <c r="AM1711" s="175">
        <f t="shared" si="567"/>
        <v>0</v>
      </c>
      <c r="AN1711" s="175">
        <f t="shared" si="567"/>
        <v>0</v>
      </c>
      <c r="AO1711" s="175">
        <f t="shared" si="567"/>
        <v>0</v>
      </c>
      <c r="AP1711" s="175">
        <f t="shared" si="567"/>
        <v>0</v>
      </c>
      <c r="AQ1711" s="175">
        <f t="shared" si="567"/>
        <v>0</v>
      </c>
      <c r="AR1711" s="176">
        <f t="shared" si="559"/>
        <v>0</v>
      </c>
      <c r="AT1711" s="208">
        <f>IFERROR(VLOOKUP(J1711,#REF!,10,0),0)</f>
        <v>0</v>
      </c>
    </row>
    <row r="1712" spans="1:46" hidden="1" outlineLevel="1" x14ac:dyDescent="0.25">
      <c r="A1712" s="14" t="str">
        <f t="shared" si="552"/>
        <v>PROP_OPER__</v>
      </c>
      <c r="F1712" s="137" t="s">
        <v>302</v>
      </c>
      <c r="G1712" s="138"/>
      <c r="H1712" s="139" t="s">
        <v>217</v>
      </c>
      <c r="I1712" s="139"/>
      <c r="J1712" s="139" t="s">
        <v>229</v>
      </c>
      <c r="K1712" s="140"/>
      <c r="L1712" s="141"/>
      <c r="M1712" s="142" t="s">
        <v>220</v>
      </c>
      <c r="N1712" s="139" t="s">
        <v>221</v>
      </c>
      <c r="O1712" s="143" t="s">
        <v>222</v>
      </c>
      <c r="P1712" s="35">
        <f t="shared" ref="P1712:AA1712" si="569">P$9</f>
        <v>46113</v>
      </c>
      <c r="Q1712" s="35">
        <f t="shared" si="569"/>
        <v>46143</v>
      </c>
      <c r="R1712" s="35">
        <f t="shared" si="569"/>
        <v>46174</v>
      </c>
      <c r="S1712" s="35">
        <f t="shared" si="569"/>
        <v>46204</v>
      </c>
      <c r="T1712" s="35">
        <f t="shared" si="569"/>
        <v>46235</v>
      </c>
      <c r="U1712" s="35">
        <f t="shared" si="569"/>
        <v>46266</v>
      </c>
      <c r="V1712" s="35">
        <f t="shared" si="569"/>
        <v>46296</v>
      </c>
      <c r="W1712" s="35">
        <f t="shared" si="569"/>
        <v>46327</v>
      </c>
      <c r="X1712" s="35">
        <f t="shared" si="569"/>
        <v>46357</v>
      </c>
      <c r="Y1712" s="35">
        <f t="shared" si="569"/>
        <v>46388</v>
      </c>
      <c r="Z1712" s="35">
        <f t="shared" si="569"/>
        <v>46419</v>
      </c>
      <c r="AA1712" s="35">
        <f t="shared" si="569"/>
        <v>46447</v>
      </c>
      <c r="AB1712" s="81" t="s">
        <v>223</v>
      </c>
      <c r="AC1712" s="82" t="s">
        <v>192</v>
      </c>
      <c r="AE1712" s="189" t="str">
        <f>"Qtde Recursos em: "&amp;F1712</f>
        <v>Qtde Recursos em: TRATOS CANA PLANTA - RENOVAÇÃO</v>
      </c>
      <c r="AF1712" s="147">
        <f>P1712</f>
        <v>46113</v>
      </c>
      <c r="AG1712" s="35">
        <f t="shared" ref="AG1712:AQ1712" si="570">Q1712</f>
        <v>46143</v>
      </c>
      <c r="AH1712" s="35">
        <f t="shared" si="570"/>
        <v>46174</v>
      </c>
      <c r="AI1712" s="35">
        <f t="shared" si="570"/>
        <v>46204</v>
      </c>
      <c r="AJ1712" s="35">
        <f t="shared" si="570"/>
        <v>46235</v>
      </c>
      <c r="AK1712" s="35">
        <f t="shared" si="570"/>
        <v>46266</v>
      </c>
      <c r="AL1712" s="35">
        <f t="shared" si="570"/>
        <v>46296</v>
      </c>
      <c r="AM1712" s="35">
        <f t="shared" si="570"/>
        <v>46327</v>
      </c>
      <c r="AN1712" s="35">
        <f t="shared" si="570"/>
        <v>46357</v>
      </c>
      <c r="AO1712" s="35">
        <f t="shared" si="570"/>
        <v>46388</v>
      </c>
      <c r="AP1712" s="35">
        <f t="shared" si="570"/>
        <v>46419</v>
      </c>
      <c r="AQ1712" s="35">
        <f t="shared" si="570"/>
        <v>46447</v>
      </c>
      <c r="AR1712" s="81" t="s">
        <v>223</v>
      </c>
      <c r="AT1712" s="189" t="s">
        <v>258</v>
      </c>
    </row>
    <row r="1713" spans="1:46" hidden="1" outlineLevel="1" x14ac:dyDescent="0.25">
      <c r="A1713" s="14" t="str">
        <f t="shared" si="552"/>
        <v>PROP_OPER__1</v>
      </c>
      <c r="B1713" s="15" t="str">
        <f t="shared" ref="B1713:B1757" si="571">"PROP_OPER_"&amp;C1713&amp;"_"&amp;F1713&amp;"_"&amp;J1713</f>
        <v>PROP_OPER__1031_0</v>
      </c>
      <c r="C1713" s="83"/>
      <c r="D1713" s="15">
        <v>1</v>
      </c>
      <c r="E1713" s="15">
        <v>1</v>
      </c>
      <c r="F1713" s="190">
        <f t="shared" ref="F1713:J1728" si="572">F1667</f>
        <v>1031</v>
      </c>
      <c r="G1713" s="149" t="str">
        <f t="shared" si="572"/>
        <v/>
      </c>
      <c r="H1713" s="150" t="str">
        <f t="shared" si="572"/>
        <v/>
      </c>
      <c r="I1713" s="150" t="str">
        <f t="shared" si="572"/>
        <v>TRATCPP</v>
      </c>
      <c r="J1713" s="150">
        <f t="shared" si="572"/>
        <v>0</v>
      </c>
      <c r="K1713" s="196"/>
      <c r="L1713" s="197"/>
      <c r="M1713" s="191">
        <f t="shared" ref="M1713:O1728" si="573">M1667</f>
        <v>0</v>
      </c>
      <c r="N1713" s="150">
        <f t="shared" si="573"/>
        <v>0</v>
      </c>
      <c r="O1713" s="193">
        <f t="shared" si="573"/>
        <v>0</v>
      </c>
      <c r="P1713" s="162">
        <f t="shared" ref="P1713:AA1718" si="574">IFERROR(SUMIF($B$1351:$B$1378,$C1713&amp;$I1713,P$1351:P$1378)/SUMIF($D$1351:$D$1378,$I1713,P$1351:P$1378)*P1428,0)</f>
        <v>0</v>
      </c>
      <c r="Q1713" s="162">
        <f t="shared" si="574"/>
        <v>0</v>
      </c>
      <c r="R1713" s="162">
        <f t="shared" si="574"/>
        <v>0</v>
      </c>
      <c r="S1713" s="162">
        <f t="shared" si="574"/>
        <v>0</v>
      </c>
      <c r="T1713" s="162">
        <f t="shared" si="574"/>
        <v>0</v>
      </c>
      <c r="U1713" s="162">
        <f t="shared" si="574"/>
        <v>0</v>
      </c>
      <c r="V1713" s="162">
        <f t="shared" si="574"/>
        <v>0</v>
      </c>
      <c r="W1713" s="162">
        <f t="shared" si="574"/>
        <v>0</v>
      </c>
      <c r="X1713" s="162">
        <f t="shared" si="574"/>
        <v>0</v>
      </c>
      <c r="Y1713" s="162">
        <f t="shared" si="574"/>
        <v>0</v>
      </c>
      <c r="Z1713" s="162">
        <f t="shared" si="574"/>
        <v>0</v>
      </c>
      <c r="AA1713" s="162">
        <f t="shared" si="574"/>
        <v>0</v>
      </c>
      <c r="AB1713" s="163">
        <f t="shared" ref="AB1713:AB1757" si="575">SUM(P1713:AA1713)</f>
        <v>0</v>
      </c>
      <c r="AC1713" s="198"/>
      <c r="AE1713" s="194" t="str">
        <f>AE1667</f>
        <v/>
      </c>
      <c r="AF1713" s="161">
        <f t="shared" ref="AF1713:AQ1728" si="576">IFERROR(SUMIF($B$1351:$B$1378,$C1713&amp;$I1713,P$1351:P$1378)/SUMIF($D$1351:$D$1378,$I1713,P$1351:P$1378)*AF1428,0)</f>
        <v>0</v>
      </c>
      <c r="AG1713" s="162">
        <f t="shared" si="576"/>
        <v>0</v>
      </c>
      <c r="AH1713" s="162">
        <f t="shared" si="576"/>
        <v>0</v>
      </c>
      <c r="AI1713" s="162">
        <f t="shared" si="576"/>
        <v>0</v>
      </c>
      <c r="AJ1713" s="162">
        <f t="shared" si="576"/>
        <v>0</v>
      </c>
      <c r="AK1713" s="162">
        <f t="shared" si="576"/>
        <v>0</v>
      </c>
      <c r="AL1713" s="162">
        <f t="shared" si="576"/>
        <v>0</v>
      </c>
      <c r="AM1713" s="162">
        <f t="shared" si="576"/>
        <v>0</v>
      </c>
      <c r="AN1713" s="162">
        <f t="shared" si="576"/>
        <v>0</v>
      </c>
      <c r="AO1713" s="162">
        <f t="shared" si="576"/>
        <v>0</v>
      </c>
      <c r="AP1713" s="162">
        <f t="shared" si="576"/>
        <v>0</v>
      </c>
      <c r="AQ1713" s="162">
        <f t="shared" si="576"/>
        <v>0</v>
      </c>
      <c r="AR1713" s="163">
        <f t="shared" ref="AR1713:AR1757" si="577">SUM(AF1713:AQ1713)</f>
        <v>0</v>
      </c>
      <c r="AT1713" s="207">
        <f>IFERROR(VLOOKUP(J1713,#REF!,10,0),0)</f>
        <v>0</v>
      </c>
    </row>
    <row r="1714" spans="1:46" hidden="1" outlineLevel="1" x14ac:dyDescent="0.25">
      <c r="A1714" s="14" t="str">
        <f t="shared" si="552"/>
        <v>PROP_OPER__2</v>
      </c>
      <c r="B1714" s="15" t="str">
        <f t="shared" si="571"/>
        <v>PROP_OPER__1020_0</v>
      </c>
      <c r="C1714" s="83"/>
      <c r="D1714" s="15">
        <v>1</v>
      </c>
      <c r="E1714" s="15">
        <v>2</v>
      </c>
      <c r="F1714" s="190">
        <f t="shared" si="572"/>
        <v>1020</v>
      </c>
      <c r="G1714" s="149" t="str">
        <f t="shared" si="572"/>
        <v/>
      </c>
      <c r="H1714" s="150" t="str">
        <f t="shared" si="572"/>
        <v/>
      </c>
      <c r="I1714" s="150" t="str">
        <f t="shared" si="572"/>
        <v>TRATCPP</v>
      </c>
      <c r="J1714" s="150">
        <f t="shared" si="572"/>
        <v>0</v>
      </c>
      <c r="K1714" s="196"/>
      <c r="L1714" s="197"/>
      <c r="M1714" s="191">
        <f t="shared" si="573"/>
        <v>0</v>
      </c>
      <c r="N1714" s="150">
        <f t="shared" si="573"/>
        <v>0</v>
      </c>
      <c r="O1714" s="193">
        <f t="shared" si="573"/>
        <v>0</v>
      </c>
      <c r="P1714" s="162">
        <f t="shared" si="574"/>
        <v>0</v>
      </c>
      <c r="Q1714" s="162">
        <f t="shared" si="574"/>
        <v>0</v>
      </c>
      <c r="R1714" s="162">
        <f t="shared" si="574"/>
        <v>0</v>
      </c>
      <c r="S1714" s="162">
        <f t="shared" si="574"/>
        <v>0</v>
      </c>
      <c r="T1714" s="162">
        <f t="shared" si="574"/>
        <v>0</v>
      </c>
      <c r="U1714" s="162">
        <f t="shared" si="574"/>
        <v>0</v>
      </c>
      <c r="V1714" s="162">
        <f t="shared" si="574"/>
        <v>0</v>
      </c>
      <c r="W1714" s="162">
        <f t="shared" si="574"/>
        <v>0</v>
      </c>
      <c r="X1714" s="162">
        <f t="shared" si="574"/>
        <v>0</v>
      </c>
      <c r="Y1714" s="162">
        <f t="shared" si="574"/>
        <v>0</v>
      </c>
      <c r="Z1714" s="162">
        <f t="shared" si="574"/>
        <v>0</v>
      </c>
      <c r="AA1714" s="162">
        <f t="shared" si="574"/>
        <v>0</v>
      </c>
      <c r="AB1714" s="163">
        <f t="shared" si="575"/>
        <v>0</v>
      </c>
      <c r="AC1714" s="198"/>
      <c r="AE1714" s="194" t="str">
        <f t="shared" ref="AE1714:AE1757" si="578">AE1668</f>
        <v/>
      </c>
      <c r="AF1714" s="161">
        <f t="shared" si="576"/>
        <v>0</v>
      </c>
      <c r="AG1714" s="162">
        <f t="shared" si="576"/>
        <v>0</v>
      </c>
      <c r="AH1714" s="162">
        <f t="shared" si="576"/>
        <v>0</v>
      </c>
      <c r="AI1714" s="162">
        <f t="shared" si="576"/>
        <v>0</v>
      </c>
      <c r="AJ1714" s="162">
        <f t="shared" si="576"/>
        <v>0</v>
      </c>
      <c r="AK1714" s="162">
        <f t="shared" si="576"/>
        <v>0</v>
      </c>
      <c r="AL1714" s="162">
        <f t="shared" si="576"/>
        <v>0</v>
      </c>
      <c r="AM1714" s="162">
        <f t="shared" si="576"/>
        <v>0</v>
      </c>
      <c r="AN1714" s="162">
        <f t="shared" si="576"/>
        <v>0</v>
      </c>
      <c r="AO1714" s="162">
        <f t="shared" si="576"/>
        <v>0</v>
      </c>
      <c r="AP1714" s="162">
        <f t="shared" si="576"/>
        <v>0</v>
      </c>
      <c r="AQ1714" s="162">
        <f t="shared" si="576"/>
        <v>0</v>
      </c>
      <c r="AR1714" s="163">
        <f t="shared" si="577"/>
        <v>0</v>
      </c>
      <c r="AT1714" s="208">
        <f>IFERROR(VLOOKUP(J1714,#REF!,10,0),0)</f>
        <v>0</v>
      </c>
    </row>
    <row r="1715" spans="1:46" hidden="1" outlineLevel="1" x14ac:dyDescent="0.25">
      <c r="A1715" s="14" t="str">
        <f t="shared" si="552"/>
        <v>PROP_OPER__3</v>
      </c>
      <c r="B1715" s="15" t="str">
        <f t="shared" si="571"/>
        <v>PROP_OPER__1078_0</v>
      </c>
      <c r="C1715" s="83"/>
      <c r="D1715" s="15">
        <v>1</v>
      </c>
      <c r="E1715" s="15">
        <v>3</v>
      </c>
      <c r="F1715" s="190">
        <f t="shared" si="572"/>
        <v>1078</v>
      </c>
      <c r="G1715" s="149" t="str">
        <f t="shared" si="572"/>
        <v/>
      </c>
      <c r="H1715" s="150" t="str">
        <f t="shared" si="572"/>
        <v/>
      </c>
      <c r="I1715" s="150" t="str">
        <f t="shared" si="572"/>
        <v>TRATCPP</v>
      </c>
      <c r="J1715" s="150">
        <f t="shared" si="572"/>
        <v>0</v>
      </c>
      <c r="K1715" s="196"/>
      <c r="L1715" s="197"/>
      <c r="M1715" s="191">
        <f t="shared" si="573"/>
        <v>0</v>
      </c>
      <c r="N1715" s="150">
        <f t="shared" si="573"/>
        <v>0</v>
      </c>
      <c r="O1715" s="193">
        <f t="shared" si="573"/>
        <v>0</v>
      </c>
      <c r="P1715" s="162">
        <f t="shared" si="574"/>
        <v>0</v>
      </c>
      <c r="Q1715" s="162">
        <f t="shared" si="574"/>
        <v>0</v>
      </c>
      <c r="R1715" s="162">
        <f t="shared" si="574"/>
        <v>0</v>
      </c>
      <c r="S1715" s="162">
        <f t="shared" si="574"/>
        <v>0</v>
      </c>
      <c r="T1715" s="162">
        <f t="shared" si="574"/>
        <v>0</v>
      </c>
      <c r="U1715" s="162">
        <f t="shared" si="574"/>
        <v>0</v>
      </c>
      <c r="V1715" s="162">
        <f t="shared" si="574"/>
        <v>0</v>
      </c>
      <c r="W1715" s="162">
        <f t="shared" si="574"/>
        <v>0</v>
      </c>
      <c r="X1715" s="162">
        <f t="shared" si="574"/>
        <v>0</v>
      </c>
      <c r="Y1715" s="162">
        <f t="shared" si="574"/>
        <v>0</v>
      </c>
      <c r="Z1715" s="162">
        <f t="shared" si="574"/>
        <v>0</v>
      </c>
      <c r="AA1715" s="162">
        <f t="shared" si="574"/>
        <v>0</v>
      </c>
      <c r="AB1715" s="163">
        <f t="shared" si="575"/>
        <v>0</v>
      </c>
      <c r="AC1715" s="198"/>
      <c r="AE1715" s="194" t="str">
        <f t="shared" si="578"/>
        <v/>
      </c>
      <c r="AF1715" s="161">
        <f t="shared" si="576"/>
        <v>0</v>
      </c>
      <c r="AG1715" s="162">
        <f t="shared" si="576"/>
        <v>0</v>
      </c>
      <c r="AH1715" s="162">
        <f t="shared" si="576"/>
        <v>0</v>
      </c>
      <c r="AI1715" s="162">
        <f t="shared" si="576"/>
        <v>0</v>
      </c>
      <c r="AJ1715" s="162">
        <f t="shared" si="576"/>
        <v>0</v>
      </c>
      <c r="AK1715" s="162">
        <f t="shared" si="576"/>
        <v>0</v>
      </c>
      <c r="AL1715" s="162">
        <f t="shared" si="576"/>
        <v>0</v>
      </c>
      <c r="AM1715" s="162">
        <f t="shared" si="576"/>
        <v>0</v>
      </c>
      <c r="AN1715" s="162">
        <f t="shared" si="576"/>
        <v>0</v>
      </c>
      <c r="AO1715" s="162">
        <f t="shared" si="576"/>
        <v>0</v>
      </c>
      <c r="AP1715" s="162">
        <f t="shared" si="576"/>
        <v>0</v>
      </c>
      <c r="AQ1715" s="162">
        <f t="shared" si="576"/>
        <v>0</v>
      </c>
      <c r="AR1715" s="163">
        <f t="shared" si="577"/>
        <v>0</v>
      </c>
      <c r="AT1715" s="208">
        <f>IFERROR(VLOOKUP(J1715,#REF!,10,0),0)</f>
        <v>0</v>
      </c>
    </row>
    <row r="1716" spans="1:46" hidden="1" outlineLevel="1" x14ac:dyDescent="0.25">
      <c r="A1716" s="14" t="str">
        <f t="shared" si="552"/>
        <v>PROP_OPER__4</v>
      </c>
      <c r="B1716" s="15" t="str">
        <f t="shared" si="571"/>
        <v>PROP_OPER__1091_0</v>
      </c>
      <c r="C1716" s="83"/>
      <c r="D1716" s="15">
        <v>1</v>
      </c>
      <c r="E1716" s="15">
        <v>4</v>
      </c>
      <c r="F1716" s="190">
        <f t="shared" si="572"/>
        <v>1091</v>
      </c>
      <c r="G1716" s="149" t="str">
        <f t="shared" si="572"/>
        <v/>
      </c>
      <c r="H1716" s="150" t="str">
        <f t="shared" si="572"/>
        <v/>
      </c>
      <c r="I1716" s="150" t="str">
        <f t="shared" si="572"/>
        <v>TRATCPP</v>
      </c>
      <c r="J1716" s="150">
        <f t="shared" si="572"/>
        <v>0</v>
      </c>
      <c r="K1716" s="196"/>
      <c r="L1716" s="197"/>
      <c r="M1716" s="191">
        <f t="shared" si="573"/>
        <v>0</v>
      </c>
      <c r="N1716" s="150">
        <f t="shared" si="573"/>
        <v>0</v>
      </c>
      <c r="O1716" s="193">
        <f t="shared" si="573"/>
        <v>0</v>
      </c>
      <c r="P1716" s="162">
        <f t="shared" si="574"/>
        <v>0</v>
      </c>
      <c r="Q1716" s="162">
        <f t="shared" si="574"/>
        <v>0</v>
      </c>
      <c r="R1716" s="162">
        <f t="shared" si="574"/>
        <v>0</v>
      </c>
      <c r="S1716" s="162">
        <f t="shared" si="574"/>
        <v>0</v>
      </c>
      <c r="T1716" s="162">
        <f t="shared" si="574"/>
        <v>0</v>
      </c>
      <c r="U1716" s="162">
        <f t="shared" si="574"/>
        <v>0</v>
      </c>
      <c r="V1716" s="162">
        <f t="shared" si="574"/>
        <v>0</v>
      </c>
      <c r="W1716" s="162">
        <f t="shared" si="574"/>
        <v>0</v>
      </c>
      <c r="X1716" s="162">
        <f t="shared" si="574"/>
        <v>0</v>
      </c>
      <c r="Y1716" s="162">
        <f t="shared" si="574"/>
        <v>0</v>
      </c>
      <c r="Z1716" s="162">
        <f t="shared" si="574"/>
        <v>0</v>
      </c>
      <c r="AA1716" s="162">
        <f t="shared" si="574"/>
        <v>0</v>
      </c>
      <c r="AB1716" s="163">
        <f t="shared" si="575"/>
        <v>0</v>
      </c>
      <c r="AC1716" s="159"/>
      <c r="AE1716" s="194" t="str">
        <f t="shared" si="578"/>
        <v/>
      </c>
      <c r="AF1716" s="161">
        <f t="shared" si="576"/>
        <v>0</v>
      </c>
      <c r="AG1716" s="162">
        <f t="shared" si="576"/>
        <v>0</v>
      </c>
      <c r="AH1716" s="162">
        <f t="shared" si="576"/>
        <v>0</v>
      </c>
      <c r="AI1716" s="162">
        <f t="shared" si="576"/>
        <v>0</v>
      </c>
      <c r="AJ1716" s="162">
        <f t="shared" si="576"/>
        <v>0</v>
      </c>
      <c r="AK1716" s="162">
        <f t="shared" si="576"/>
        <v>0</v>
      </c>
      <c r="AL1716" s="162">
        <f t="shared" si="576"/>
        <v>0</v>
      </c>
      <c r="AM1716" s="162">
        <f t="shared" si="576"/>
        <v>0</v>
      </c>
      <c r="AN1716" s="162">
        <f t="shared" si="576"/>
        <v>0</v>
      </c>
      <c r="AO1716" s="162">
        <f t="shared" si="576"/>
        <v>0</v>
      </c>
      <c r="AP1716" s="162">
        <f t="shared" si="576"/>
        <v>0</v>
      </c>
      <c r="AQ1716" s="162">
        <f t="shared" si="576"/>
        <v>0</v>
      </c>
      <c r="AR1716" s="163">
        <f t="shared" si="577"/>
        <v>0</v>
      </c>
      <c r="AT1716" s="208">
        <f>IFERROR(VLOOKUP(J1716,#REF!,10,0),0)</f>
        <v>0</v>
      </c>
    </row>
    <row r="1717" spans="1:46" hidden="1" outlineLevel="1" x14ac:dyDescent="0.25">
      <c r="A1717" s="14" t="str">
        <f t="shared" si="552"/>
        <v>PROP_OPER__5</v>
      </c>
      <c r="B1717" s="15" t="str">
        <f t="shared" si="571"/>
        <v>PROP_OPER__1093_0</v>
      </c>
      <c r="C1717" s="83"/>
      <c r="D1717" s="15">
        <v>1</v>
      </c>
      <c r="E1717" s="15">
        <v>5</v>
      </c>
      <c r="F1717" s="190">
        <f t="shared" si="572"/>
        <v>1093</v>
      </c>
      <c r="G1717" s="149" t="str">
        <f t="shared" si="572"/>
        <v/>
      </c>
      <c r="H1717" s="150" t="str">
        <f t="shared" si="572"/>
        <v/>
      </c>
      <c r="I1717" s="150" t="str">
        <f t="shared" si="572"/>
        <v>TRATCPP</v>
      </c>
      <c r="J1717" s="150">
        <f t="shared" si="572"/>
        <v>0</v>
      </c>
      <c r="K1717" s="196"/>
      <c r="L1717" s="197"/>
      <c r="M1717" s="191">
        <f t="shared" si="573"/>
        <v>0</v>
      </c>
      <c r="N1717" s="150">
        <f t="shared" si="573"/>
        <v>0</v>
      </c>
      <c r="O1717" s="193">
        <f t="shared" si="573"/>
        <v>0</v>
      </c>
      <c r="P1717" s="162">
        <f t="shared" si="574"/>
        <v>0</v>
      </c>
      <c r="Q1717" s="162">
        <f t="shared" si="574"/>
        <v>0</v>
      </c>
      <c r="R1717" s="162">
        <f t="shared" si="574"/>
        <v>0</v>
      </c>
      <c r="S1717" s="162">
        <f t="shared" si="574"/>
        <v>0</v>
      </c>
      <c r="T1717" s="162">
        <f t="shared" si="574"/>
        <v>0</v>
      </c>
      <c r="U1717" s="162">
        <f t="shared" si="574"/>
        <v>0</v>
      </c>
      <c r="V1717" s="162">
        <f t="shared" si="574"/>
        <v>0</v>
      </c>
      <c r="W1717" s="162">
        <f t="shared" si="574"/>
        <v>0</v>
      </c>
      <c r="X1717" s="162">
        <f t="shared" si="574"/>
        <v>0</v>
      </c>
      <c r="Y1717" s="162">
        <f t="shared" si="574"/>
        <v>0</v>
      </c>
      <c r="Z1717" s="162">
        <f t="shared" si="574"/>
        <v>0</v>
      </c>
      <c r="AA1717" s="162">
        <f t="shared" si="574"/>
        <v>0</v>
      </c>
      <c r="AB1717" s="163">
        <f t="shared" si="575"/>
        <v>0</v>
      </c>
      <c r="AC1717" s="159"/>
      <c r="AE1717" s="194" t="str">
        <f t="shared" si="578"/>
        <v/>
      </c>
      <c r="AF1717" s="161">
        <f t="shared" si="576"/>
        <v>0</v>
      </c>
      <c r="AG1717" s="162">
        <f t="shared" si="576"/>
        <v>0</v>
      </c>
      <c r="AH1717" s="162">
        <f t="shared" si="576"/>
        <v>0</v>
      </c>
      <c r="AI1717" s="162">
        <f t="shared" si="576"/>
        <v>0</v>
      </c>
      <c r="AJ1717" s="162">
        <f t="shared" si="576"/>
        <v>0</v>
      </c>
      <c r="AK1717" s="162">
        <f t="shared" si="576"/>
        <v>0</v>
      </c>
      <c r="AL1717" s="162">
        <f t="shared" si="576"/>
        <v>0</v>
      </c>
      <c r="AM1717" s="162">
        <f t="shared" si="576"/>
        <v>0</v>
      </c>
      <c r="AN1717" s="162">
        <f t="shared" si="576"/>
        <v>0</v>
      </c>
      <c r="AO1717" s="162">
        <f t="shared" si="576"/>
        <v>0</v>
      </c>
      <c r="AP1717" s="162">
        <f t="shared" si="576"/>
        <v>0</v>
      </c>
      <c r="AQ1717" s="162">
        <f t="shared" si="576"/>
        <v>0</v>
      </c>
      <c r="AR1717" s="163">
        <f t="shared" si="577"/>
        <v>0</v>
      </c>
      <c r="AT1717" s="208">
        <f>IFERROR(VLOOKUP(J1717,#REF!,10,0),0)</f>
        <v>0</v>
      </c>
    </row>
    <row r="1718" spans="1:46" hidden="1" outlineLevel="1" x14ac:dyDescent="0.25">
      <c r="A1718" s="14" t="str">
        <f t="shared" si="552"/>
        <v>PROP_OPER__6</v>
      </c>
      <c r="B1718" s="15" t="str">
        <f t="shared" si="571"/>
        <v>PROP_OPER__1032_0</v>
      </c>
      <c r="C1718" s="83"/>
      <c r="D1718" s="15">
        <v>1</v>
      </c>
      <c r="E1718" s="15">
        <v>6</v>
      </c>
      <c r="F1718" s="190">
        <f t="shared" si="572"/>
        <v>1032</v>
      </c>
      <c r="G1718" s="149" t="str">
        <f t="shared" si="572"/>
        <v/>
      </c>
      <c r="H1718" s="150" t="str">
        <f t="shared" si="572"/>
        <v/>
      </c>
      <c r="I1718" s="150" t="str">
        <f t="shared" si="572"/>
        <v>TRATCPP</v>
      </c>
      <c r="J1718" s="150">
        <f t="shared" si="572"/>
        <v>0</v>
      </c>
      <c r="K1718" s="196"/>
      <c r="L1718" s="197"/>
      <c r="M1718" s="191">
        <f t="shared" si="573"/>
        <v>0</v>
      </c>
      <c r="N1718" s="150">
        <f t="shared" si="573"/>
        <v>0</v>
      </c>
      <c r="O1718" s="193">
        <f t="shared" si="573"/>
        <v>0</v>
      </c>
      <c r="P1718" s="162">
        <f t="shared" si="574"/>
        <v>0</v>
      </c>
      <c r="Q1718" s="162">
        <f t="shared" si="574"/>
        <v>0</v>
      </c>
      <c r="R1718" s="162">
        <f t="shared" si="574"/>
        <v>0</v>
      </c>
      <c r="S1718" s="162">
        <f t="shared" si="574"/>
        <v>0</v>
      </c>
      <c r="T1718" s="162">
        <f t="shared" si="574"/>
        <v>0</v>
      </c>
      <c r="U1718" s="162">
        <f t="shared" si="574"/>
        <v>0</v>
      </c>
      <c r="V1718" s="162">
        <f t="shared" si="574"/>
        <v>0</v>
      </c>
      <c r="W1718" s="162">
        <f t="shared" si="574"/>
        <v>0</v>
      </c>
      <c r="X1718" s="162">
        <f t="shared" si="574"/>
        <v>0</v>
      </c>
      <c r="Y1718" s="162">
        <f t="shared" si="574"/>
        <v>0</v>
      </c>
      <c r="Z1718" s="162">
        <f t="shared" si="574"/>
        <v>0</v>
      </c>
      <c r="AA1718" s="162">
        <f t="shared" si="574"/>
        <v>0</v>
      </c>
      <c r="AB1718" s="163">
        <f t="shared" si="575"/>
        <v>0</v>
      </c>
      <c r="AC1718" s="159"/>
      <c r="AE1718" s="194" t="str">
        <f t="shared" si="578"/>
        <v/>
      </c>
      <c r="AF1718" s="161">
        <f t="shared" si="576"/>
        <v>0</v>
      </c>
      <c r="AG1718" s="162">
        <f t="shared" si="576"/>
        <v>0</v>
      </c>
      <c r="AH1718" s="162">
        <f t="shared" si="576"/>
        <v>0</v>
      </c>
      <c r="AI1718" s="162">
        <f t="shared" si="576"/>
        <v>0</v>
      </c>
      <c r="AJ1718" s="162">
        <f t="shared" si="576"/>
        <v>0</v>
      </c>
      <c r="AK1718" s="162">
        <f t="shared" si="576"/>
        <v>0</v>
      </c>
      <c r="AL1718" s="162">
        <f t="shared" si="576"/>
        <v>0</v>
      </c>
      <c r="AM1718" s="162">
        <f t="shared" si="576"/>
        <v>0</v>
      </c>
      <c r="AN1718" s="162">
        <f t="shared" si="576"/>
        <v>0</v>
      </c>
      <c r="AO1718" s="162">
        <f t="shared" si="576"/>
        <v>0</v>
      </c>
      <c r="AP1718" s="162">
        <f t="shared" si="576"/>
        <v>0</v>
      </c>
      <c r="AQ1718" s="162">
        <f t="shared" si="576"/>
        <v>0</v>
      </c>
      <c r="AR1718" s="163">
        <f t="shared" si="577"/>
        <v>0</v>
      </c>
      <c r="AT1718" s="208">
        <f>IFERROR(VLOOKUP(J1718,#REF!,10,0),0)</f>
        <v>0</v>
      </c>
    </row>
    <row r="1719" spans="1:46" hidden="1" outlineLevel="1" x14ac:dyDescent="0.25">
      <c r="A1719" s="14" t="str">
        <f t="shared" si="552"/>
        <v>PROP_OPER__7</v>
      </c>
      <c r="B1719" s="15" t="e">
        <f t="shared" si="571"/>
        <v>#REF!</v>
      </c>
      <c r="C1719" s="83"/>
      <c r="D1719" s="15">
        <v>1</v>
      </c>
      <c r="E1719" s="15">
        <v>7</v>
      </c>
      <c r="F1719" s="190" t="e">
        <f t="shared" si="572"/>
        <v>#REF!</v>
      </c>
      <c r="G1719" s="149" t="e">
        <f t="shared" si="572"/>
        <v>#REF!</v>
      </c>
      <c r="H1719" s="150" t="e">
        <f t="shared" si="572"/>
        <v>#REF!</v>
      </c>
      <c r="I1719" s="150" t="e">
        <f t="shared" si="572"/>
        <v>#REF!</v>
      </c>
      <c r="J1719" s="150" t="e">
        <f t="shared" si="572"/>
        <v>#REF!</v>
      </c>
      <c r="K1719" s="196"/>
      <c r="L1719" s="197"/>
      <c r="M1719" s="191" t="e">
        <f t="shared" si="573"/>
        <v>#REF!</v>
      </c>
      <c r="N1719" s="150" t="e">
        <f t="shared" si="573"/>
        <v>#REF!</v>
      </c>
      <c r="O1719" s="193" t="e">
        <f t="shared" si="573"/>
        <v>#REF!</v>
      </c>
      <c r="P1719" s="162">
        <f>IFERROR(SUMIF($B$1351:$B$1378,$C1719&amp;$I1719,P$1351:P$1378)/SUMIF($D$1351:$D$1378,$I1719,P$1351:P$1378)*#REF!,0)</f>
        <v>0</v>
      </c>
      <c r="Q1719" s="162">
        <f>IFERROR(SUMIF($B$1351:$B$1378,$C1719&amp;$I1719,Q$1351:Q$1378)/SUMIF($D$1351:$D$1378,$I1719,Q$1351:Q$1378)*#REF!,0)</f>
        <v>0</v>
      </c>
      <c r="R1719" s="162">
        <f>IFERROR(SUMIF($B$1351:$B$1378,$C1719&amp;$I1719,R$1351:R$1378)/SUMIF($D$1351:$D$1378,$I1719,R$1351:R$1378)*#REF!,0)</f>
        <v>0</v>
      </c>
      <c r="S1719" s="162">
        <f>IFERROR(SUMIF($B$1351:$B$1378,$C1719&amp;$I1719,S$1351:S$1378)/SUMIF($D$1351:$D$1378,$I1719,S$1351:S$1378)*#REF!,0)</f>
        <v>0</v>
      </c>
      <c r="T1719" s="162">
        <f>IFERROR(SUMIF($B$1351:$B$1378,$C1719&amp;$I1719,T$1351:T$1378)/SUMIF($D$1351:$D$1378,$I1719,T$1351:T$1378)*#REF!,0)</f>
        <v>0</v>
      </c>
      <c r="U1719" s="162">
        <f>IFERROR(SUMIF($B$1351:$B$1378,$C1719&amp;$I1719,U$1351:U$1378)/SUMIF($D$1351:$D$1378,$I1719,U$1351:U$1378)*#REF!,0)</f>
        <v>0</v>
      </c>
      <c r="V1719" s="162">
        <f>IFERROR(SUMIF($B$1351:$B$1378,$C1719&amp;$I1719,V$1351:V$1378)/SUMIF($D$1351:$D$1378,$I1719,V$1351:V$1378)*#REF!,0)</f>
        <v>0</v>
      </c>
      <c r="W1719" s="162">
        <f>IFERROR(SUMIF($B$1351:$B$1378,$C1719&amp;$I1719,W$1351:W$1378)/SUMIF($D$1351:$D$1378,$I1719,W$1351:W$1378)*#REF!,0)</f>
        <v>0</v>
      </c>
      <c r="X1719" s="162">
        <f>IFERROR(SUMIF($B$1351:$B$1378,$C1719&amp;$I1719,X$1351:X$1378)/SUMIF($D$1351:$D$1378,$I1719,X$1351:X$1378)*#REF!,0)</f>
        <v>0</v>
      </c>
      <c r="Y1719" s="162">
        <f>IFERROR(SUMIF($B$1351:$B$1378,$C1719&amp;$I1719,Y$1351:Y$1378)/SUMIF($D$1351:$D$1378,$I1719,Y$1351:Y$1378)*#REF!,0)</f>
        <v>0</v>
      </c>
      <c r="Z1719" s="162">
        <f>IFERROR(SUMIF($B$1351:$B$1378,$C1719&amp;$I1719,Z$1351:Z$1378)/SUMIF($D$1351:$D$1378,$I1719,Z$1351:Z$1378)*#REF!,0)</f>
        <v>0</v>
      </c>
      <c r="AA1719" s="162">
        <f>IFERROR(SUMIF($B$1351:$B$1378,$C1719&amp;$I1719,AA$1351:AA$1378)/SUMIF($D$1351:$D$1378,$I1719,AA$1351:AA$1378)*#REF!,0)</f>
        <v>0</v>
      </c>
      <c r="AB1719" s="163">
        <f t="shared" si="575"/>
        <v>0</v>
      </c>
      <c r="AC1719" s="159"/>
      <c r="AE1719" s="194" t="e">
        <f t="shared" si="578"/>
        <v>#REF!</v>
      </c>
      <c r="AF1719" s="161">
        <f t="shared" si="576"/>
        <v>0</v>
      </c>
      <c r="AG1719" s="162">
        <f t="shared" si="576"/>
        <v>0</v>
      </c>
      <c r="AH1719" s="162">
        <f t="shared" si="576"/>
        <v>0</v>
      </c>
      <c r="AI1719" s="162">
        <f t="shared" si="576"/>
        <v>0</v>
      </c>
      <c r="AJ1719" s="162">
        <f t="shared" si="576"/>
        <v>0</v>
      </c>
      <c r="AK1719" s="162">
        <f t="shared" si="576"/>
        <v>0</v>
      </c>
      <c r="AL1719" s="162">
        <f t="shared" si="576"/>
        <v>0</v>
      </c>
      <c r="AM1719" s="162">
        <f t="shared" si="576"/>
        <v>0</v>
      </c>
      <c r="AN1719" s="162">
        <f t="shared" si="576"/>
        <v>0</v>
      </c>
      <c r="AO1719" s="162">
        <f t="shared" si="576"/>
        <v>0</v>
      </c>
      <c r="AP1719" s="162">
        <f t="shared" si="576"/>
        <v>0</v>
      </c>
      <c r="AQ1719" s="162">
        <f t="shared" si="576"/>
        <v>0</v>
      </c>
      <c r="AR1719" s="163">
        <f t="shared" si="577"/>
        <v>0</v>
      </c>
      <c r="AT1719" s="208">
        <f>IFERROR(VLOOKUP(J1719,#REF!,10,0),0)</f>
        <v>0</v>
      </c>
    </row>
    <row r="1720" spans="1:46" hidden="1" outlineLevel="1" x14ac:dyDescent="0.25">
      <c r="A1720" s="14" t="str">
        <f t="shared" si="552"/>
        <v>PROP_OPER__8</v>
      </c>
      <c r="B1720" s="15" t="str">
        <f t="shared" si="571"/>
        <v>PROP_OPER__0_0</v>
      </c>
      <c r="C1720" s="83"/>
      <c r="D1720" s="15">
        <v>1</v>
      </c>
      <c r="E1720" s="15">
        <v>8</v>
      </c>
      <c r="F1720" s="190">
        <f t="shared" si="572"/>
        <v>0</v>
      </c>
      <c r="G1720" s="149" t="str">
        <f t="shared" si="572"/>
        <v/>
      </c>
      <c r="H1720" s="150" t="str">
        <f t="shared" si="572"/>
        <v/>
      </c>
      <c r="I1720" s="150">
        <f t="shared" si="572"/>
        <v>0</v>
      </c>
      <c r="J1720" s="150">
        <f t="shared" si="572"/>
        <v>0</v>
      </c>
      <c r="K1720" s="196"/>
      <c r="L1720" s="197"/>
      <c r="M1720" s="191">
        <f t="shared" si="573"/>
        <v>0</v>
      </c>
      <c r="N1720" s="150">
        <f t="shared" si="573"/>
        <v>0</v>
      </c>
      <c r="O1720" s="193">
        <f t="shared" si="573"/>
        <v>0</v>
      </c>
      <c r="P1720" s="162">
        <f t="shared" ref="P1720:AA1735" si="579">IFERROR(SUMIF($B$1351:$B$1378,$C1720&amp;$I1720,P$1351:P$1378)/SUMIF($D$1351:$D$1378,$I1720,P$1351:P$1378)*P1435,0)</f>
        <v>0</v>
      </c>
      <c r="Q1720" s="162">
        <f>IFERROR(SUMIF($B$1351:$B$1378,$C1720&amp;$I1720,Q$1351:Q$1378)/SUMIF($D$1351:$D$1378,$I1720,Q$1351:Q$1378)*Q1435,0)</f>
        <v>0</v>
      </c>
      <c r="R1720" s="162">
        <f t="shared" si="579"/>
        <v>0</v>
      </c>
      <c r="S1720" s="162">
        <f t="shared" si="579"/>
        <v>0</v>
      </c>
      <c r="T1720" s="162">
        <f t="shared" si="579"/>
        <v>0</v>
      </c>
      <c r="U1720" s="162">
        <f t="shared" si="579"/>
        <v>0</v>
      </c>
      <c r="V1720" s="162">
        <f t="shared" si="579"/>
        <v>0</v>
      </c>
      <c r="W1720" s="162">
        <f t="shared" si="579"/>
        <v>0</v>
      </c>
      <c r="X1720" s="162">
        <f t="shared" si="579"/>
        <v>0</v>
      </c>
      <c r="Y1720" s="162">
        <f t="shared" si="579"/>
        <v>0</v>
      </c>
      <c r="Z1720" s="162">
        <f t="shared" si="579"/>
        <v>0</v>
      </c>
      <c r="AA1720" s="162">
        <f t="shared" si="579"/>
        <v>0</v>
      </c>
      <c r="AB1720" s="163">
        <f t="shared" si="575"/>
        <v>0</v>
      </c>
      <c r="AC1720" s="159"/>
      <c r="AE1720" s="194" t="str">
        <f t="shared" si="578"/>
        <v/>
      </c>
      <c r="AF1720" s="161">
        <f t="shared" si="576"/>
        <v>0</v>
      </c>
      <c r="AG1720" s="162">
        <f t="shared" si="576"/>
        <v>0</v>
      </c>
      <c r="AH1720" s="162">
        <f t="shared" si="576"/>
        <v>0</v>
      </c>
      <c r="AI1720" s="162">
        <f t="shared" si="576"/>
        <v>0</v>
      </c>
      <c r="AJ1720" s="162">
        <f t="shared" si="576"/>
        <v>0</v>
      </c>
      <c r="AK1720" s="162">
        <f t="shared" si="576"/>
        <v>0</v>
      </c>
      <c r="AL1720" s="162">
        <f t="shared" si="576"/>
        <v>0</v>
      </c>
      <c r="AM1720" s="162">
        <f t="shared" si="576"/>
        <v>0</v>
      </c>
      <c r="AN1720" s="162">
        <f t="shared" si="576"/>
        <v>0</v>
      </c>
      <c r="AO1720" s="162">
        <f t="shared" si="576"/>
        <v>0</v>
      </c>
      <c r="AP1720" s="162">
        <f t="shared" si="576"/>
        <v>0</v>
      </c>
      <c r="AQ1720" s="162">
        <f t="shared" si="576"/>
        <v>0</v>
      </c>
      <c r="AR1720" s="163">
        <f t="shared" si="577"/>
        <v>0</v>
      </c>
      <c r="AT1720" s="208">
        <f>IFERROR(VLOOKUP(J1720,#REF!,10,0),0)</f>
        <v>0</v>
      </c>
    </row>
    <row r="1721" spans="1:46" hidden="1" outlineLevel="1" x14ac:dyDescent="0.25">
      <c r="A1721" s="14" t="str">
        <f t="shared" si="552"/>
        <v>PROP_OPER__9</v>
      </c>
      <c r="B1721" s="15" t="str">
        <f t="shared" si="571"/>
        <v>PROP_OPER__0_0</v>
      </c>
      <c r="C1721" s="83"/>
      <c r="D1721" s="15">
        <v>1</v>
      </c>
      <c r="E1721" s="15">
        <v>9</v>
      </c>
      <c r="F1721" s="190">
        <f t="shared" si="572"/>
        <v>0</v>
      </c>
      <c r="G1721" s="149" t="str">
        <f t="shared" si="572"/>
        <v/>
      </c>
      <c r="H1721" s="150" t="str">
        <f t="shared" si="572"/>
        <v/>
      </c>
      <c r="I1721" s="150">
        <f t="shared" si="572"/>
        <v>0</v>
      </c>
      <c r="J1721" s="150">
        <f t="shared" si="572"/>
        <v>0</v>
      </c>
      <c r="K1721" s="196"/>
      <c r="L1721" s="197"/>
      <c r="M1721" s="191">
        <f t="shared" si="573"/>
        <v>0</v>
      </c>
      <c r="N1721" s="150">
        <f t="shared" si="573"/>
        <v>0</v>
      </c>
      <c r="O1721" s="193">
        <f t="shared" si="573"/>
        <v>0</v>
      </c>
      <c r="P1721" s="162">
        <f t="shared" si="579"/>
        <v>0</v>
      </c>
      <c r="Q1721" s="162">
        <f t="shared" si="579"/>
        <v>0</v>
      </c>
      <c r="R1721" s="162">
        <f t="shared" si="579"/>
        <v>0</v>
      </c>
      <c r="S1721" s="162">
        <f t="shared" si="579"/>
        <v>0</v>
      </c>
      <c r="T1721" s="162">
        <f t="shared" si="579"/>
        <v>0</v>
      </c>
      <c r="U1721" s="162">
        <f t="shared" si="579"/>
        <v>0</v>
      </c>
      <c r="V1721" s="162">
        <f t="shared" si="579"/>
        <v>0</v>
      </c>
      <c r="W1721" s="162">
        <f t="shared" si="579"/>
        <v>0</v>
      </c>
      <c r="X1721" s="162">
        <f t="shared" si="579"/>
        <v>0</v>
      </c>
      <c r="Y1721" s="162">
        <f t="shared" si="579"/>
        <v>0</v>
      </c>
      <c r="Z1721" s="162">
        <f t="shared" si="579"/>
        <v>0</v>
      </c>
      <c r="AA1721" s="162">
        <f t="shared" si="579"/>
        <v>0</v>
      </c>
      <c r="AB1721" s="163">
        <f t="shared" si="575"/>
        <v>0</v>
      </c>
      <c r="AC1721" s="159"/>
      <c r="AE1721" s="194" t="str">
        <f t="shared" si="578"/>
        <v/>
      </c>
      <c r="AF1721" s="161">
        <f t="shared" si="576"/>
        <v>0</v>
      </c>
      <c r="AG1721" s="162">
        <f t="shared" si="576"/>
        <v>0</v>
      </c>
      <c r="AH1721" s="162">
        <f t="shared" si="576"/>
        <v>0</v>
      </c>
      <c r="AI1721" s="162">
        <f t="shared" si="576"/>
        <v>0</v>
      </c>
      <c r="AJ1721" s="162">
        <f t="shared" si="576"/>
        <v>0</v>
      </c>
      <c r="AK1721" s="162">
        <f t="shared" si="576"/>
        <v>0</v>
      </c>
      <c r="AL1721" s="162">
        <f t="shared" si="576"/>
        <v>0</v>
      </c>
      <c r="AM1721" s="162">
        <f t="shared" si="576"/>
        <v>0</v>
      </c>
      <c r="AN1721" s="162">
        <f t="shared" si="576"/>
        <v>0</v>
      </c>
      <c r="AO1721" s="162">
        <f t="shared" si="576"/>
        <v>0</v>
      </c>
      <c r="AP1721" s="162">
        <f t="shared" si="576"/>
        <v>0</v>
      </c>
      <c r="AQ1721" s="162">
        <f t="shared" si="576"/>
        <v>0</v>
      </c>
      <c r="AR1721" s="163">
        <f t="shared" si="577"/>
        <v>0</v>
      </c>
      <c r="AT1721" s="208">
        <f>IFERROR(VLOOKUP(J1721,#REF!,10,0),0)</f>
        <v>0</v>
      </c>
    </row>
    <row r="1722" spans="1:46" hidden="1" outlineLevel="1" x14ac:dyDescent="0.25">
      <c r="A1722" s="14" t="str">
        <f t="shared" si="552"/>
        <v>PROP_OPER__10</v>
      </c>
      <c r="B1722" s="15" t="str">
        <f t="shared" si="571"/>
        <v>PROP_OPER__0_0</v>
      </c>
      <c r="C1722" s="83"/>
      <c r="D1722" s="15">
        <v>1</v>
      </c>
      <c r="E1722" s="15">
        <v>10</v>
      </c>
      <c r="F1722" s="190">
        <f t="shared" si="572"/>
        <v>0</v>
      </c>
      <c r="G1722" s="149" t="str">
        <f t="shared" si="572"/>
        <v/>
      </c>
      <c r="H1722" s="150" t="str">
        <f t="shared" si="572"/>
        <v/>
      </c>
      <c r="I1722" s="150">
        <f t="shared" si="572"/>
        <v>0</v>
      </c>
      <c r="J1722" s="150">
        <f t="shared" si="572"/>
        <v>0</v>
      </c>
      <c r="K1722" s="196"/>
      <c r="L1722" s="197"/>
      <c r="M1722" s="191">
        <f t="shared" si="573"/>
        <v>0</v>
      </c>
      <c r="N1722" s="150">
        <f t="shared" si="573"/>
        <v>0</v>
      </c>
      <c r="O1722" s="193">
        <f t="shared" si="573"/>
        <v>0</v>
      </c>
      <c r="P1722" s="162">
        <f t="shared" si="579"/>
        <v>0</v>
      </c>
      <c r="Q1722" s="162">
        <f t="shared" si="579"/>
        <v>0</v>
      </c>
      <c r="R1722" s="162">
        <f t="shared" si="579"/>
        <v>0</v>
      </c>
      <c r="S1722" s="162">
        <f t="shared" si="579"/>
        <v>0</v>
      </c>
      <c r="T1722" s="162">
        <f t="shared" si="579"/>
        <v>0</v>
      </c>
      <c r="U1722" s="162">
        <f t="shared" si="579"/>
        <v>0</v>
      </c>
      <c r="V1722" s="162">
        <f t="shared" si="579"/>
        <v>0</v>
      </c>
      <c r="W1722" s="162">
        <f t="shared" si="579"/>
        <v>0</v>
      </c>
      <c r="X1722" s="162">
        <f t="shared" si="579"/>
        <v>0</v>
      </c>
      <c r="Y1722" s="162">
        <f t="shared" si="579"/>
        <v>0</v>
      </c>
      <c r="Z1722" s="162">
        <f t="shared" si="579"/>
        <v>0</v>
      </c>
      <c r="AA1722" s="162">
        <f t="shared" si="579"/>
        <v>0</v>
      </c>
      <c r="AB1722" s="163">
        <f t="shared" si="575"/>
        <v>0</v>
      </c>
      <c r="AC1722" s="159"/>
      <c r="AE1722" s="194" t="str">
        <f t="shared" si="578"/>
        <v/>
      </c>
      <c r="AF1722" s="161">
        <f t="shared" si="576"/>
        <v>0</v>
      </c>
      <c r="AG1722" s="162">
        <f t="shared" si="576"/>
        <v>0</v>
      </c>
      <c r="AH1722" s="162">
        <f t="shared" si="576"/>
        <v>0</v>
      </c>
      <c r="AI1722" s="162">
        <f t="shared" si="576"/>
        <v>0</v>
      </c>
      <c r="AJ1722" s="162">
        <f t="shared" si="576"/>
        <v>0</v>
      </c>
      <c r="AK1722" s="162">
        <f t="shared" si="576"/>
        <v>0</v>
      </c>
      <c r="AL1722" s="162">
        <f t="shared" si="576"/>
        <v>0</v>
      </c>
      <c r="AM1722" s="162">
        <f t="shared" si="576"/>
        <v>0</v>
      </c>
      <c r="AN1722" s="162">
        <f t="shared" si="576"/>
        <v>0</v>
      </c>
      <c r="AO1722" s="162">
        <f t="shared" si="576"/>
        <v>0</v>
      </c>
      <c r="AP1722" s="162">
        <f t="shared" si="576"/>
        <v>0</v>
      </c>
      <c r="AQ1722" s="162">
        <f t="shared" si="576"/>
        <v>0</v>
      </c>
      <c r="AR1722" s="163">
        <f t="shared" si="577"/>
        <v>0</v>
      </c>
      <c r="AT1722" s="208">
        <f>IFERROR(VLOOKUP(J1722,#REF!,10,0),0)</f>
        <v>0</v>
      </c>
    </row>
    <row r="1723" spans="1:46" hidden="1" outlineLevel="1" x14ac:dyDescent="0.25">
      <c r="A1723" s="14" t="str">
        <f t="shared" si="552"/>
        <v>PROP_OPER__11</v>
      </c>
      <c r="B1723" s="15" t="str">
        <f t="shared" si="571"/>
        <v>PROP_OPER__0_0</v>
      </c>
      <c r="C1723" s="83"/>
      <c r="D1723" s="15">
        <v>1</v>
      </c>
      <c r="E1723" s="15">
        <v>11</v>
      </c>
      <c r="F1723" s="190">
        <f t="shared" si="572"/>
        <v>0</v>
      </c>
      <c r="G1723" s="149" t="str">
        <f t="shared" si="572"/>
        <v/>
      </c>
      <c r="H1723" s="150" t="str">
        <f t="shared" si="572"/>
        <v/>
      </c>
      <c r="I1723" s="150">
        <f t="shared" si="572"/>
        <v>0</v>
      </c>
      <c r="J1723" s="150">
        <f t="shared" si="572"/>
        <v>0</v>
      </c>
      <c r="K1723" s="196"/>
      <c r="L1723" s="197"/>
      <c r="M1723" s="191">
        <f t="shared" si="573"/>
        <v>0</v>
      </c>
      <c r="N1723" s="150">
        <f t="shared" si="573"/>
        <v>0</v>
      </c>
      <c r="O1723" s="193">
        <f t="shared" si="573"/>
        <v>0</v>
      </c>
      <c r="P1723" s="162">
        <f t="shared" si="579"/>
        <v>0</v>
      </c>
      <c r="Q1723" s="162">
        <f t="shared" si="579"/>
        <v>0</v>
      </c>
      <c r="R1723" s="162">
        <f t="shared" si="579"/>
        <v>0</v>
      </c>
      <c r="S1723" s="162">
        <f t="shared" si="579"/>
        <v>0</v>
      </c>
      <c r="T1723" s="162">
        <f t="shared" si="579"/>
        <v>0</v>
      </c>
      <c r="U1723" s="162">
        <f t="shared" si="579"/>
        <v>0</v>
      </c>
      <c r="V1723" s="162">
        <f t="shared" si="579"/>
        <v>0</v>
      </c>
      <c r="W1723" s="162">
        <f t="shared" si="579"/>
        <v>0</v>
      </c>
      <c r="X1723" s="162">
        <f t="shared" si="579"/>
        <v>0</v>
      </c>
      <c r="Y1723" s="162">
        <f t="shared" si="579"/>
        <v>0</v>
      </c>
      <c r="Z1723" s="162">
        <f t="shared" si="579"/>
        <v>0</v>
      </c>
      <c r="AA1723" s="162">
        <f t="shared" si="579"/>
        <v>0</v>
      </c>
      <c r="AB1723" s="163">
        <f t="shared" si="575"/>
        <v>0</v>
      </c>
      <c r="AC1723" s="198"/>
      <c r="AE1723" s="194" t="str">
        <f t="shared" si="578"/>
        <v/>
      </c>
      <c r="AF1723" s="161">
        <f t="shared" si="576"/>
        <v>0</v>
      </c>
      <c r="AG1723" s="162">
        <f t="shared" si="576"/>
        <v>0</v>
      </c>
      <c r="AH1723" s="162">
        <f t="shared" si="576"/>
        <v>0</v>
      </c>
      <c r="AI1723" s="162">
        <f t="shared" si="576"/>
        <v>0</v>
      </c>
      <c r="AJ1723" s="162">
        <f t="shared" si="576"/>
        <v>0</v>
      </c>
      <c r="AK1723" s="162">
        <f t="shared" si="576"/>
        <v>0</v>
      </c>
      <c r="AL1723" s="162">
        <f t="shared" si="576"/>
        <v>0</v>
      </c>
      <c r="AM1723" s="162">
        <f t="shared" si="576"/>
        <v>0</v>
      </c>
      <c r="AN1723" s="162">
        <f t="shared" si="576"/>
        <v>0</v>
      </c>
      <c r="AO1723" s="162">
        <f t="shared" si="576"/>
        <v>0</v>
      </c>
      <c r="AP1723" s="162">
        <f t="shared" si="576"/>
        <v>0</v>
      </c>
      <c r="AQ1723" s="162">
        <f t="shared" si="576"/>
        <v>0</v>
      </c>
      <c r="AR1723" s="163">
        <f t="shared" si="577"/>
        <v>0</v>
      </c>
      <c r="AT1723" s="208">
        <f>IFERROR(VLOOKUP(J1723,#REF!,10,0),0)</f>
        <v>0</v>
      </c>
    </row>
    <row r="1724" spans="1:46" hidden="1" outlineLevel="1" x14ac:dyDescent="0.25">
      <c r="A1724" s="14" t="str">
        <f t="shared" si="552"/>
        <v>PROP_OPER__12</v>
      </c>
      <c r="B1724" s="15" t="str">
        <f t="shared" si="571"/>
        <v>PROP_OPER__0_0</v>
      </c>
      <c r="C1724" s="83"/>
      <c r="D1724" s="15">
        <v>1</v>
      </c>
      <c r="E1724" s="15">
        <v>12</v>
      </c>
      <c r="F1724" s="190">
        <f t="shared" si="572"/>
        <v>0</v>
      </c>
      <c r="G1724" s="149" t="str">
        <f t="shared" si="572"/>
        <v/>
      </c>
      <c r="H1724" s="150" t="str">
        <f t="shared" si="572"/>
        <v/>
      </c>
      <c r="I1724" s="150">
        <f t="shared" si="572"/>
        <v>0</v>
      </c>
      <c r="J1724" s="150">
        <f t="shared" si="572"/>
        <v>0</v>
      </c>
      <c r="K1724" s="196"/>
      <c r="L1724" s="197"/>
      <c r="M1724" s="191">
        <f t="shared" si="573"/>
        <v>0</v>
      </c>
      <c r="N1724" s="150">
        <f t="shared" si="573"/>
        <v>0</v>
      </c>
      <c r="O1724" s="193">
        <f t="shared" si="573"/>
        <v>0</v>
      </c>
      <c r="P1724" s="162">
        <f t="shared" si="579"/>
        <v>0</v>
      </c>
      <c r="Q1724" s="162">
        <f t="shared" si="579"/>
        <v>0</v>
      </c>
      <c r="R1724" s="162">
        <f t="shared" si="579"/>
        <v>0</v>
      </c>
      <c r="S1724" s="162">
        <f t="shared" si="579"/>
        <v>0</v>
      </c>
      <c r="T1724" s="162">
        <f t="shared" si="579"/>
        <v>0</v>
      </c>
      <c r="U1724" s="162">
        <f t="shared" si="579"/>
        <v>0</v>
      </c>
      <c r="V1724" s="162">
        <f t="shared" si="579"/>
        <v>0</v>
      </c>
      <c r="W1724" s="162">
        <f t="shared" si="579"/>
        <v>0</v>
      </c>
      <c r="X1724" s="162">
        <f t="shared" si="579"/>
        <v>0</v>
      </c>
      <c r="Y1724" s="162">
        <f t="shared" si="579"/>
        <v>0</v>
      </c>
      <c r="Z1724" s="162">
        <f t="shared" si="579"/>
        <v>0</v>
      </c>
      <c r="AA1724" s="162">
        <f t="shared" si="579"/>
        <v>0</v>
      </c>
      <c r="AB1724" s="163">
        <f t="shared" si="575"/>
        <v>0</v>
      </c>
      <c r="AC1724" s="198"/>
      <c r="AE1724" s="194" t="str">
        <f t="shared" si="578"/>
        <v/>
      </c>
      <c r="AF1724" s="161">
        <f t="shared" si="576"/>
        <v>0</v>
      </c>
      <c r="AG1724" s="162">
        <f t="shared" si="576"/>
        <v>0</v>
      </c>
      <c r="AH1724" s="162">
        <f t="shared" si="576"/>
        <v>0</v>
      </c>
      <c r="AI1724" s="162">
        <f t="shared" si="576"/>
        <v>0</v>
      </c>
      <c r="AJ1724" s="162">
        <f t="shared" si="576"/>
        <v>0</v>
      </c>
      <c r="AK1724" s="162">
        <f t="shared" si="576"/>
        <v>0</v>
      </c>
      <c r="AL1724" s="162">
        <f t="shared" si="576"/>
        <v>0</v>
      </c>
      <c r="AM1724" s="162">
        <f t="shared" si="576"/>
        <v>0</v>
      </c>
      <c r="AN1724" s="162">
        <f t="shared" si="576"/>
        <v>0</v>
      </c>
      <c r="AO1724" s="162">
        <f t="shared" si="576"/>
        <v>0</v>
      </c>
      <c r="AP1724" s="162">
        <f t="shared" si="576"/>
        <v>0</v>
      </c>
      <c r="AQ1724" s="162">
        <f t="shared" si="576"/>
        <v>0</v>
      </c>
      <c r="AR1724" s="163">
        <f t="shared" si="577"/>
        <v>0</v>
      </c>
      <c r="AT1724" s="208">
        <f>IFERROR(VLOOKUP(J1724,#REF!,10,0),0)</f>
        <v>0</v>
      </c>
    </row>
    <row r="1725" spans="1:46" hidden="1" outlineLevel="1" x14ac:dyDescent="0.25">
      <c r="A1725" s="14" t="str">
        <f t="shared" si="552"/>
        <v>PROP_OPER__13</v>
      </c>
      <c r="B1725" s="15" t="str">
        <f t="shared" si="571"/>
        <v>PROP_OPER__0_0</v>
      </c>
      <c r="C1725" s="83"/>
      <c r="D1725" s="15">
        <v>1</v>
      </c>
      <c r="E1725" s="15">
        <v>13</v>
      </c>
      <c r="F1725" s="190">
        <f t="shared" si="572"/>
        <v>0</v>
      </c>
      <c r="G1725" s="149" t="str">
        <f t="shared" si="572"/>
        <v/>
      </c>
      <c r="H1725" s="150" t="str">
        <f t="shared" si="572"/>
        <v/>
      </c>
      <c r="I1725" s="150">
        <f t="shared" si="572"/>
        <v>0</v>
      </c>
      <c r="J1725" s="150">
        <f t="shared" si="572"/>
        <v>0</v>
      </c>
      <c r="K1725" s="196"/>
      <c r="L1725" s="197"/>
      <c r="M1725" s="191">
        <f t="shared" si="573"/>
        <v>0</v>
      </c>
      <c r="N1725" s="150">
        <f t="shared" si="573"/>
        <v>0</v>
      </c>
      <c r="O1725" s="193">
        <f t="shared" si="573"/>
        <v>0</v>
      </c>
      <c r="P1725" s="162">
        <f t="shared" si="579"/>
        <v>0</v>
      </c>
      <c r="Q1725" s="162">
        <f t="shared" si="579"/>
        <v>0</v>
      </c>
      <c r="R1725" s="162">
        <f t="shared" si="579"/>
        <v>0</v>
      </c>
      <c r="S1725" s="162">
        <f t="shared" si="579"/>
        <v>0</v>
      </c>
      <c r="T1725" s="162">
        <f t="shared" si="579"/>
        <v>0</v>
      </c>
      <c r="U1725" s="162">
        <f t="shared" si="579"/>
        <v>0</v>
      </c>
      <c r="V1725" s="162">
        <f t="shared" si="579"/>
        <v>0</v>
      </c>
      <c r="W1725" s="162">
        <f t="shared" si="579"/>
        <v>0</v>
      </c>
      <c r="X1725" s="162">
        <f t="shared" si="579"/>
        <v>0</v>
      </c>
      <c r="Y1725" s="162">
        <f t="shared" si="579"/>
        <v>0</v>
      </c>
      <c r="Z1725" s="162">
        <f t="shared" si="579"/>
        <v>0</v>
      </c>
      <c r="AA1725" s="162">
        <f t="shared" si="579"/>
        <v>0</v>
      </c>
      <c r="AB1725" s="163">
        <f t="shared" si="575"/>
        <v>0</v>
      </c>
      <c r="AC1725" s="198"/>
      <c r="AE1725" s="194" t="str">
        <f t="shared" si="578"/>
        <v/>
      </c>
      <c r="AF1725" s="161">
        <f t="shared" si="576"/>
        <v>0</v>
      </c>
      <c r="AG1725" s="162">
        <f t="shared" si="576"/>
        <v>0</v>
      </c>
      <c r="AH1725" s="162">
        <f t="shared" si="576"/>
        <v>0</v>
      </c>
      <c r="AI1725" s="162">
        <f t="shared" si="576"/>
        <v>0</v>
      </c>
      <c r="AJ1725" s="162">
        <f t="shared" si="576"/>
        <v>0</v>
      </c>
      <c r="AK1725" s="162">
        <f t="shared" si="576"/>
        <v>0</v>
      </c>
      <c r="AL1725" s="162">
        <f t="shared" si="576"/>
        <v>0</v>
      </c>
      <c r="AM1725" s="162">
        <f t="shared" si="576"/>
        <v>0</v>
      </c>
      <c r="AN1725" s="162">
        <f t="shared" si="576"/>
        <v>0</v>
      </c>
      <c r="AO1725" s="162">
        <f t="shared" si="576"/>
        <v>0</v>
      </c>
      <c r="AP1725" s="162">
        <f t="shared" si="576"/>
        <v>0</v>
      </c>
      <c r="AQ1725" s="162">
        <f t="shared" si="576"/>
        <v>0</v>
      </c>
      <c r="AR1725" s="163">
        <f t="shared" si="577"/>
        <v>0</v>
      </c>
      <c r="AT1725" s="208">
        <f>IFERROR(VLOOKUP(J1725,#REF!,10,0),0)</f>
        <v>0</v>
      </c>
    </row>
    <row r="1726" spans="1:46" hidden="1" outlineLevel="1" x14ac:dyDescent="0.25">
      <c r="A1726" s="14" t="str">
        <f t="shared" si="552"/>
        <v>PROP_OPER__14</v>
      </c>
      <c r="B1726" s="15" t="str">
        <f t="shared" si="571"/>
        <v>PROP_OPER__0_0</v>
      </c>
      <c r="C1726" s="83"/>
      <c r="D1726" s="15">
        <v>1</v>
      </c>
      <c r="E1726" s="15">
        <v>14</v>
      </c>
      <c r="F1726" s="190">
        <f t="shared" si="572"/>
        <v>0</v>
      </c>
      <c r="G1726" s="149" t="str">
        <f t="shared" si="572"/>
        <v/>
      </c>
      <c r="H1726" s="150" t="str">
        <f t="shared" si="572"/>
        <v/>
      </c>
      <c r="I1726" s="150">
        <f t="shared" si="572"/>
        <v>0</v>
      </c>
      <c r="J1726" s="150">
        <f t="shared" si="572"/>
        <v>0</v>
      </c>
      <c r="K1726" s="196"/>
      <c r="L1726" s="197"/>
      <c r="M1726" s="191">
        <f t="shared" si="573"/>
        <v>0</v>
      </c>
      <c r="N1726" s="150">
        <f t="shared" si="573"/>
        <v>0</v>
      </c>
      <c r="O1726" s="193">
        <f t="shared" si="573"/>
        <v>0</v>
      </c>
      <c r="P1726" s="162">
        <f t="shared" si="579"/>
        <v>0</v>
      </c>
      <c r="Q1726" s="162">
        <f t="shared" si="579"/>
        <v>0</v>
      </c>
      <c r="R1726" s="162">
        <f t="shared" si="579"/>
        <v>0</v>
      </c>
      <c r="S1726" s="162">
        <f t="shared" si="579"/>
        <v>0</v>
      </c>
      <c r="T1726" s="162">
        <f t="shared" si="579"/>
        <v>0</v>
      </c>
      <c r="U1726" s="162">
        <f t="shared" si="579"/>
        <v>0</v>
      </c>
      <c r="V1726" s="162">
        <f t="shared" si="579"/>
        <v>0</v>
      </c>
      <c r="W1726" s="162">
        <f t="shared" si="579"/>
        <v>0</v>
      </c>
      <c r="X1726" s="162">
        <f t="shared" si="579"/>
        <v>0</v>
      </c>
      <c r="Y1726" s="162">
        <f t="shared" si="579"/>
        <v>0</v>
      </c>
      <c r="Z1726" s="162">
        <f t="shared" si="579"/>
        <v>0</v>
      </c>
      <c r="AA1726" s="162">
        <f t="shared" si="579"/>
        <v>0</v>
      </c>
      <c r="AB1726" s="163">
        <f t="shared" si="575"/>
        <v>0</v>
      </c>
      <c r="AC1726" s="198"/>
      <c r="AE1726" s="194" t="str">
        <f t="shared" si="578"/>
        <v/>
      </c>
      <c r="AF1726" s="161">
        <f t="shared" si="576"/>
        <v>0</v>
      </c>
      <c r="AG1726" s="162">
        <f t="shared" si="576"/>
        <v>0</v>
      </c>
      <c r="AH1726" s="162">
        <f t="shared" si="576"/>
        <v>0</v>
      </c>
      <c r="AI1726" s="162">
        <f t="shared" si="576"/>
        <v>0</v>
      </c>
      <c r="AJ1726" s="162">
        <f t="shared" si="576"/>
        <v>0</v>
      </c>
      <c r="AK1726" s="162">
        <f t="shared" si="576"/>
        <v>0</v>
      </c>
      <c r="AL1726" s="162">
        <f t="shared" si="576"/>
        <v>0</v>
      </c>
      <c r="AM1726" s="162">
        <f t="shared" si="576"/>
        <v>0</v>
      </c>
      <c r="AN1726" s="162">
        <f t="shared" si="576"/>
        <v>0</v>
      </c>
      <c r="AO1726" s="162">
        <f t="shared" si="576"/>
        <v>0</v>
      </c>
      <c r="AP1726" s="162">
        <f t="shared" si="576"/>
        <v>0</v>
      </c>
      <c r="AQ1726" s="162">
        <f t="shared" si="576"/>
        <v>0</v>
      </c>
      <c r="AR1726" s="163">
        <f t="shared" si="577"/>
        <v>0</v>
      </c>
      <c r="AT1726" s="208">
        <f>IFERROR(VLOOKUP(J1726,#REF!,10,0),0)</f>
        <v>0</v>
      </c>
    </row>
    <row r="1727" spans="1:46" hidden="1" outlineLevel="1" x14ac:dyDescent="0.25">
      <c r="A1727" s="14" t="str">
        <f t="shared" si="552"/>
        <v>PROP_OPER__15</v>
      </c>
      <c r="B1727" s="15" t="str">
        <f t="shared" si="571"/>
        <v>PROP_OPER__0_0</v>
      </c>
      <c r="C1727" s="83"/>
      <c r="D1727" s="15">
        <v>1</v>
      </c>
      <c r="E1727" s="15">
        <v>15</v>
      </c>
      <c r="F1727" s="190">
        <f t="shared" si="572"/>
        <v>0</v>
      </c>
      <c r="G1727" s="149" t="str">
        <f t="shared" si="572"/>
        <v/>
      </c>
      <c r="H1727" s="150" t="str">
        <f t="shared" si="572"/>
        <v/>
      </c>
      <c r="I1727" s="150">
        <f t="shared" si="572"/>
        <v>0</v>
      </c>
      <c r="J1727" s="150">
        <f t="shared" si="572"/>
        <v>0</v>
      </c>
      <c r="K1727" s="196"/>
      <c r="L1727" s="197"/>
      <c r="M1727" s="191">
        <f t="shared" si="573"/>
        <v>0</v>
      </c>
      <c r="N1727" s="150">
        <f t="shared" si="573"/>
        <v>0</v>
      </c>
      <c r="O1727" s="193">
        <f t="shared" si="573"/>
        <v>0</v>
      </c>
      <c r="P1727" s="162">
        <f t="shared" si="579"/>
        <v>0</v>
      </c>
      <c r="Q1727" s="162">
        <f t="shared" si="579"/>
        <v>0</v>
      </c>
      <c r="R1727" s="162">
        <f t="shared" si="579"/>
        <v>0</v>
      </c>
      <c r="S1727" s="162">
        <f t="shared" si="579"/>
        <v>0</v>
      </c>
      <c r="T1727" s="162">
        <f t="shared" si="579"/>
        <v>0</v>
      </c>
      <c r="U1727" s="162">
        <f t="shared" si="579"/>
        <v>0</v>
      </c>
      <c r="V1727" s="162">
        <f t="shared" si="579"/>
        <v>0</v>
      </c>
      <c r="W1727" s="162">
        <f t="shared" si="579"/>
        <v>0</v>
      </c>
      <c r="X1727" s="162">
        <f t="shared" si="579"/>
        <v>0</v>
      </c>
      <c r="Y1727" s="162">
        <f t="shared" si="579"/>
        <v>0</v>
      </c>
      <c r="Z1727" s="162">
        <f t="shared" si="579"/>
        <v>0</v>
      </c>
      <c r="AA1727" s="162">
        <f t="shared" si="579"/>
        <v>0</v>
      </c>
      <c r="AB1727" s="163">
        <f t="shared" si="575"/>
        <v>0</v>
      </c>
      <c r="AC1727" s="198"/>
      <c r="AE1727" s="194" t="str">
        <f t="shared" si="578"/>
        <v/>
      </c>
      <c r="AF1727" s="161">
        <f t="shared" si="576"/>
        <v>0</v>
      </c>
      <c r="AG1727" s="162">
        <f t="shared" si="576"/>
        <v>0</v>
      </c>
      <c r="AH1727" s="162">
        <f t="shared" si="576"/>
        <v>0</v>
      </c>
      <c r="AI1727" s="162">
        <f t="shared" si="576"/>
        <v>0</v>
      </c>
      <c r="AJ1727" s="162">
        <f t="shared" si="576"/>
        <v>0</v>
      </c>
      <c r="AK1727" s="162">
        <f t="shared" si="576"/>
        <v>0</v>
      </c>
      <c r="AL1727" s="162">
        <f t="shared" si="576"/>
        <v>0</v>
      </c>
      <c r="AM1727" s="162">
        <f t="shared" si="576"/>
        <v>0</v>
      </c>
      <c r="AN1727" s="162">
        <f t="shared" si="576"/>
        <v>0</v>
      </c>
      <c r="AO1727" s="162">
        <f t="shared" si="576"/>
        <v>0</v>
      </c>
      <c r="AP1727" s="162">
        <f t="shared" si="576"/>
        <v>0</v>
      </c>
      <c r="AQ1727" s="162">
        <f t="shared" si="576"/>
        <v>0</v>
      </c>
      <c r="AR1727" s="163">
        <f t="shared" si="577"/>
        <v>0</v>
      </c>
      <c r="AT1727" s="208">
        <f>IFERROR(VLOOKUP(J1727,#REF!,10,0),0)</f>
        <v>0</v>
      </c>
    </row>
    <row r="1728" spans="1:46" hidden="1" outlineLevel="1" x14ac:dyDescent="0.25">
      <c r="A1728" s="14" t="str">
        <f t="shared" si="552"/>
        <v>PROP_OPER__16</v>
      </c>
      <c r="B1728" s="15" t="str">
        <f t="shared" si="571"/>
        <v>PROP_OPER__0_0</v>
      </c>
      <c r="C1728" s="83"/>
      <c r="D1728" s="15">
        <v>1</v>
      </c>
      <c r="E1728" s="15">
        <v>16</v>
      </c>
      <c r="F1728" s="190">
        <f t="shared" si="572"/>
        <v>0</v>
      </c>
      <c r="G1728" s="149" t="str">
        <f t="shared" si="572"/>
        <v/>
      </c>
      <c r="H1728" s="150" t="str">
        <f t="shared" si="572"/>
        <v/>
      </c>
      <c r="I1728" s="150">
        <f t="shared" si="572"/>
        <v>0</v>
      </c>
      <c r="J1728" s="150">
        <f t="shared" si="572"/>
        <v>0</v>
      </c>
      <c r="K1728" s="196"/>
      <c r="L1728" s="197"/>
      <c r="M1728" s="191">
        <f t="shared" si="573"/>
        <v>0</v>
      </c>
      <c r="N1728" s="150">
        <f t="shared" si="573"/>
        <v>0</v>
      </c>
      <c r="O1728" s="193">
        <f t="shared" si="573"/>
        <v>0</v>
      </c>
      <c r="P1728" s="162">
        <f t="shared" si="579"/>
        <v>0</v>
      </c>
      <c r="Q1728" s="162">
        <f t="shared" si="579"/>
        <v>0</v>
      </c>
      <c r="R1728" s="162">
        <f t="shared" si="579"/>
        <v>0</v>
      </c>
      <c r="S1728" s="162">
        <f t="shared" si="579"/>
        <v>0</v>
      </c>
      <c r="T1728" s="162">
        <f t="shared" si="579"/>
        <v>0</v>
      </c>
      <c r="U1728" s="162">
        <f t="shared" si="579"/>
        <v>0</v>
      </c>
      <c r="V1728" s="162">
        <f t="shared" si="579"/>
        <v>0</v>
      </c>
      <c r="W1728" s="162">
        <f t="shared" si="579"/>
        <v>0</v>
      </c>
      <c r="X1728" s="162">
        <f t="shared" si="579"/>
        <v>0</v>
      </c>
      <c r="Y1728" s="162">
        <f t="shared" si="579"/>
        <v>0</v>
      </c>
      <c r="Z1728" s="162">
        <f t="shared" si="579"/>
        <v>0</v>
      </c>
      <c r="AA1728" s="162">
        <f t="shared" si="579"/>
        <v>0</v>
      </c>
      <c r="AB1728" s="163">
        <f t="shared" si="575"/>
        <v>0</v>
      </c>
      <c r="AC1728" s="198"/>
      <c r="AE1728" s="194" t="str">
        <f t="shared" si="578"/>
        <v/>
      </c>
      <c r="AF1728" s="161">
        <f t="shared" si="576"/>
        <v>0</v>
      </c>
      <c r="AG1728" s="162">
        <f t="shared" si="576"/>
        <v>0</v>
      </c>
      <c r="AH1728" s="162">
        <f t="shared" si="576"/>
        <v>0</v>
      </c>
      <c r="AI1728" s="162">
        <f t="shared" si="576"/>
        <v>0</v>
      </c>
      <c r="AJ1728" s="162">
        <f t="shared" si="576"/>
        <v>0</v>
      </c>
      <c r="AK1728" s="162">
        <f t="shared" si="576"/>
        <v>0</v>
      </c>
      <c r="AL1728" s="162">
        <f t="shared" si="576"/>
        <v>0</v>
      </c>
      <c r="AM1728" s="162">
        <f t="shared" si="576"/>
        <v>0</v>
      </c>
      <c r="AN1728" s="162">
        <f t="shared" si="576"/>
        <v>0</v>
      </c>
      <c r="AO1728" s="162">
        <f t="shared" si="576"/>
        <v>0</v>
      </c>
      <c r="AP1728" s="162">
        <f t="shared" si="576"/>
        <v>0</v>
      </c>
      <c r="AQ1728" s="162">
        <f t="shared" si="576"/>
        <v>0</v>
      </c>
      <c r="AR1728" s="163">
        <f t="shared" si="577"/>
        <v>0</v>
      </c>
      <c r="AT1728" s="208">
        <f>IFERROR(VLOOKUP(J1728,#REF!,10,0),0)</f>
        <v>0</v>
      </c>
    </row>
    <row r="1729" spans="1:46" hidden="1" outlineLevel="1" x14ac:dyDescent="0.25">
      <c r="A1729" s="14" t="str">
        <f t="shared" si="552"/>
        <v>PROP_OPER__17</v>
      </c>
      <c r="B1729" s="15" t="str">
        <f t="shared" si="571"/>
        <v>PROP_OPER__0_0</v>
      </c>
      <c r="C1729" s="83"/>
      <c r="D1729" s="15">
        <v>1</v>
      </c>
      <c r="E1729" s="15">
        <v>17</v>
      </c>
      <c r="F1729" s="190">
        <f t="shared" ref="F1729:J1744" si="580">F1683</f>
        <v>0</v>
      </c>
      <c r="G1729" s="149" t="str">
        <f t="shared" si="580"/>
        <v/>
      </c>
      <c r="H1729" s="150" t="str">
        <f t="shared" si="580"/>
        <v/>
      </c>
      <c r="I1729" s="150">
        <f t="shared" si="580"/>
        <v>0</v>
      </c>
      <c r="J1729" s="150">
        <f t="shared" si="580"/>
        <v>0</v>
      </c>
      <c r="K1729" s="196"/>
      <c r="L1729" s="197"/>
      <c r="M1729" s="191">
        <f t="shared" ref="M1729:O1744" si="581">M1683</f>
        <v>0</v>
      </c>
      <c r="N1729" s="150">
        <f t="shared" si="581"/>
        <v>0</v>
      </c>
      <c r="O1729" s="193">
        <f t="shared" si="581"/>
        <v>0</v>
      </c>
      <c r="P1729" s="162">
        <f t="shared" si="579"/>
        <v>0</v>
      </c>
      <c r="Q1729" s="162">
        <f t="shared" si="579"/>
        <v>0</v>
      </c>
      <c r="R1729" s="162">
        <f t="shared" si="579"/>
        <v>0</v>
      </c>
      <c r="S1729" s="162">
        <f t="shared" si="579"/>
        <v>0</v>
      </c>
      <c r="T1729" s="162">
        <f t="shared" si="579"/>
        <v>0</v>
      </c>
      <c r="U1729" s="162">
        <f t="shared" si="579"/>
        <v>0</v>
      </c>
      <c r="V1729" s="162">
        <f t="shared" si="579"/>
        <v>0</v>
      </c>
      <c r="W1729" s="162">
        <f t="shared" si="579"/>
        <v>0</v>
      </c>
      <c r="X1729" s="162">
        <f t="shared" si="579"/>
        <v>0</v>
      </c>
      <c r="Y1729" s="162">
        <f t="shared" si="579"/>
        <v>0</v>
      </c>
      <c r="Z1729" s="162">
        <f t="shared" si="579"/>
        <v>0</v>
      </c>
      <c r="AA1729" s="162">
        <f t="shared" si="579"/>
        <v>0</v>
      </c>
      <c r="AB1729" s="163">
        <f t="shared" si="575"/>
        <v>0</v>
      </c>
      <c r="AC1729" s="198"/>
      <c r="AE1729" s="194" t="str">
        <f t="shared" si="578"/>
        <v/>
      </c>
      <c r="AF1729" s="161">
        <f t="shared" ref="AF1729:AQ1744" si="582">IFERROR(SUMIF($B$1351:$B$1378,$C1729&amp;$I1729,P$1351:P$1378)/SUMIF($D$1351:$D$1378,$I1729,P$1351:P$1378)*AF1444,0)</f>
        <v>0</v>
      </c>
      <c r="AG1729" s="162">
        <f t="shared" si="582"/>
        <v>0</v>
      </c>
      <c r="AH1729" s="162">
        <f t="shared" si="582"/>
        <v>0</v>
      </c>
      <c r="AI1729" s="162">
        <f t="shared" si="582"/>
        <v>0</v>
      </c>
      <c r="AJ1729" s="162">
        <f t="shared" si="582"/>
        <v>0</v>
      </c>
      <c r="AK1729" s="162">
        <f t="shared" si="582"/>
        <v>0</v>
      </c>
      <c r="AL1729" s="162">
        <f t="shared" si="582"/>
        <v>0</v>
      </c>
      <c r="AM1729" s="162">
        <f t="shared" si="582"/>
        <v>0</v>
      </c>
      <c r="AN1729" s="162">
        <f t="shared" si="582"/>
        <v>0</v>
      </c>
      <c r="AO1729" s="162">
        <f t="shared" si="582"/>
        <v>0</v>
      </c>
      <c r="AP1729" s="162">
        <f t="shared" si="582"/>
        <v>0</v>
      </c>
      <c r="AQ1729" s="162">
        <f t="shared" si="582"/>
        <v>0</v>
      </c>
      <c r="AR1729" s="163">
        <f t="shared" si="577"/>
        <v>0</v>
      </c>
      <c r="AT1729" s="208">
        <f>IFERROR(VLOOKUP(J1729,#REF!,10,0),0)</f>
        <v>0</v>
      </c>
    </row>
    <row r="1730" spans="1:46" hidden="1" outlineLevel="1" x14ac:dyDescent="0.25">
      <c r="A1730" s="14" t="str">
        <f t="shared" si="552"/>
        <v>PROP_OPER__18</v>
      </c>
      <c r="B1730" s="15" t="str">
        <f t="shared" si="571"/>
        <v>PROP_OPER__0_0</v>
      </c>
      <c r="C1730" s="83"/>
      <c r="D1730" s="15">
        <v>1</v>
      </c>
      <c r="E1730" s="15">
        <v>18</v>
      </c>
      <c r="F1730" s="190">
        <f t="shared" si="580"/>
        <v>0</v>
      </c>
      <c r="G1730" s="149" t="str">
        <f t="shared" si="580"/>
        <v/>
      </c>
      <c r="H1730" s="150" t="str">
        <f t="shared" si="580"/>
        <v/>
      </c>
      <c r="I1730" s="150">
        <f t="shared" si="580"/>
        <v>0</v>
      </c>
      <c r="J1730" s="150">
        <f t="shared" si="580"/>
        <v>0</v>
      </c>
      <c r="K1730" s="196"/>
      <c r="L1730" s="197"/>
      <c r="M1730" s="191">
        <f t="shared" si="581"/>
        <v>0</v>
      </c>
      <c r="N1730" s="150">
        <f t="shared" si="581"/>
        <v>0</v>
      </c>
      <c r="O1730" s="193">
        <f t="shared" si="581"/>
        <v>0</v>
      </c>
      <c r="P1730" s="162">
        <f t="shared" si="579"/>
        <v>0</v>
      </c>
      <c r="Q1730" s="162">
        <f t="shared" si="579"/>
        <v>0</v>
      </c>
      <c r="R1730" s="162">
        <f t="shared" si="579"/>
        <v>0</v>
      </c>
      <c r="S1730" s="162">
        <f t="shared" si="579"/>
        <v>0</v>
      </c>
      <c r="T1730" s="162">
        <f t="shared" si="579"/>
        <v>0</v>
      </c>
      <c r="U1730" s="162">
        <f t="shared" si="579"/>
        <v>0</v>
      </c>
      <c r="V1730" s="162">
        <f t="shared" si="579"/>
        <v>0</v>
      </c>
      <c r="W1730" s="162">
        <f t="shared" si="579"/>
        <v>0</v>
      </c>
      <c r="X1730" s="162">
        <f t="shared" si="579"/>
        <v>0</v>
      </c>
      <c r="Y1730" s="162">
        <f t="shared" si="579"/>
        <v>0</v>
      </c>
      <c r="Z1730" s="162">
        <f t="shared" si="579"/>
        <v>0</v>
      </c>
      <c r="AA1730" s="162">
        <f t="shared" si="579"/>
        <v>0</v>
      </c>
      <c r="AB1730" s="163">
        <f t="shared" si="575"/>
        <v>0</v>
      </c>
      <c r="AC1730" s="198"/>
      <c r="AE1730" s="194" t="str">
        <f t="shared" si="578"/>
        <v/>
      </c>
      <c r="AF1730" s="161">
        <f t="shared" si="582"/>
        <v>0</v>
      </c>
      <c r="AG1730" s="162">
        <f t="shared" si="582"/>
        <v>0</v>
      </c>
      <c r="AH1730" s="162">
        <f t="shared" si="582"/>
        <v>0</v>
      </c>
      <c r="AI1730" s="162">
        <f t="shared" si="582"/>
        <v>0</v>
      </c>
      <c r="AJ1730" s="162">
        <f t="shared" si="582"/>
        <v>0</v>
      </c>
      <c r="AK1730" s="162">
        <f t="shared" si="582"/>
        <v>0</v>
      </c>
      <c r="AL1730" s="162">
        <f t="shared" si="582"/>
        <v>0</v>
      </c>
      <c r="AM1730" s="162">
        <f t="shared" si="582"/>
        <v>0</v>
      </c>
      <c r="AN1730" s="162">
        <f t="shared" si="582"/>
        <v>0</v>
      </c>
      <c r="AO1730" s="162">
        <f t="shared" si="582"/>
        <v>0</v>
      </c>
      <c r="AP1730" s="162">
        <f t="shared" si="582"/>
        <v>0</v>
      </c>
      <c r="AQ1730" s="162">
        <f t="shared" si="582"/>
        <v>0</v>
      </c>
      <c r="AR1730" s="163">
        <f t="shared" si="577"/>
        <v>0</v>
      </c>
      <c r="AT1730" s="208">
        <f>IFERROR(VLOOKUP(J1730,#REF!,10,0),0)</f>
        <v>0</v>
      </c>
    </row>
    <row r="1731" spans="1:46" hidden="1" outlineLevel="1" x14ac:dyDescent="0.25">
      <c r="A1731" s="14" t="str">
        <f t="shared" ref="A1731:A1794" si="583">"PROP_OPER_"&amp;C1731&amp;"_"&amp;E1731</f>
        <v>PROP_OPER__19</v>
      </c>
      <c r="B1731" s="15" t="str">
        <f t="shared" si="571"/>
        <v>PROP_OPER__0_0</v>
      </c>
      <c r="C1731" s="83"/>
      <c r="D1731" s="15">
        <v>1</v>
      </c>
      <c r="E1731" s="15">
        <v>19</v>
      </c>
      <c r="F1731" s="190">
        <f t="shared" si="580"/>
        <v>0</v>
      </c>
      <c r="G1731" s="149" t="str">
        <f t="shared" si="580"/>
        <v/>
      </c>
      <c r="H1731" s="150" t="str">
        <f t="shared" si="580"/>
        <v/>
      </c>
      <c r="I1731" s="150">
        <f t="shared" si="580"/>
        <v>0</v>
      </c>
      <c r="J1731" s="150">
        <f t="shared" si="580"/>
        <v>0</v>
      </c>
      <c r="K1731" s="196"/>
      <c r="L1731" s="197"/>
      <c r="M1731" s="191">
        <f t="shared" si="581"/>
        <v>0</v>
      </c>
      <c r="N1731" s="150">
        <f t="shared" si="581"/>
        <v>0</v>
      </c>
      <c r="O1731" s="193">
        <f t="shared" si="581"/>
        <v>0</v>
      </c>
      <c r="P1731" s="162">
        <f t="shared" si="579"/>
        <v>0</v>
      </c>
      <c r="Q1731" s="162">
        <f t="shared" si="579"/>
        <v>0</v>
      </c>
      <c r="R1731" s="162">
        <f t="shared" si="579"/>
        <v>0</v>
      </c>
      <c r="S1731" s="162">
        <f t="shared" si="579"/>
        <v>0</v>
      </c>
      <c r="T1731" s="162">
        <f t="shared" si="579"/>
        <v>0</v>
      </c>
      <c r="U1731" s="162">
        <f t="shared" si="579"/>
        <v>0</v>
      </c>
      <c r="V1731" s="162">
        <f t="shared" si="579"/>
        <v>0</v>
      </c>
      <c r="W1731" s="162">
        <f t="shared" si="579"/>
        <v>0</v>
      </c>
      <c r="X1731" s="162">
        <f t="shared" si="579"/>
        <v>0</v>
      </c>
      <c r="Y1731" s="162">
        <f t="shared" si="579"/>
        <v>0</v>
      </c>
      <c r="Z1731" s="162">
        <f t="shared" si="579"/>
        <v>0</v>
      </c>
      <c r="AA1731" s="162">
        <f t="shared" si="579"/>
        <v>0</v>
      </c>
      <c r="AB1731" s="163">
        <f t="shared" si="575"/>
        <v>0</v>
      </c>
      <c r="AC1731" s="198"/>
      <c r="AE1731" s="194" t="str">
        <f t="shared" si="578"/>
        <v/>
      </c>
      <c r="AF1731" s="161">
        <f t="shared" si="582"/>
        <v>0</v>
      </c>
      <c r="AG1731" s="162">
        <f t="shared" si="582"/>
        <v>0</v>
      </c>
      <c r="AH1731" s="162">
        <f t="shared" si="582"/>
        <v>0</v>
      </c>
      <c r="AI1731" s="162">
        <f t="shared" si="582"/>
        <v>0</v>
      </c>
      <c r="AJ1731" s="162">
        <f t="shared" si="582"/>
        <v>0</v>
      </c>
      <c r="AK1731" s="162">
        <f t="shared" si="582"/>
        <v>0</v>
      </c>
      <c r="AL1731" s="162">
        <f t="shared" si="582"/>
        <v>0</v>
      </c>
      <c r="AM1731" s="162">
        <f t="shared" si="582"/>
        <v>0</v>
      </c>
      <c r="AN1731" s="162">
        <f t="shared" si="582"/>
        <v>0</v>
      </c>
      <c r="AO1731" s="162">
        <f t="shared" si="582"/>
        <v>0</v>
      </c>
      <c r="AP1731" s="162">
        <f t="shared" si="582"/>
        <v>0</v>
      </c>
      <c r="AQ1731" s="162">
        <f t="shared" si="582"/>
        <v>0</v>
      </c>
      <c r="AR1731" s="163">
        <f t="shared" si="577"/>
        <v>0</v>
      </c>
      <c r="AT1731" s="208">
        <f>IFERROR(VLOOKUP(J1731,#REF!,10,0),0)</f>
        <v>0</v>
      </c>
    </row>
    <row r="1732" spans="1:46" hidden="1" outlineLevel="1" x14ac:dyDescent="0.25">
      <c r="A1732" s="14" t="str">
        <f t="shared" si="583"/>
        <v>PROP_OPER__20</v>
      </c>
      <c r="B1732" s="15" t="str">
        <f t="shared" si="571"/>
        <v>PROP_OPER__0_0</v>
      </c>
      <c r="C1732" s="83"/>
      <c r="D1732" s="15">
        <v>1</v>
      </c>
      <c r="E1732" s="15">
        <v>20</v>
      </c>
      <c r="F1732" s="190">
        <f t="shared" si="580"/>
        <v>0</v>
      </c>
      <c r="G1732" s="149" t="str">
        <f t="shared" si="580"/>
        <v/>
      </c>
      <c r="H1732" s="150" t="str">
        <f t="shared" si="580"/>
        <v/>
      </c>
      <c r="I1732" s="150">
        <f t="shared" si="580"/>
        <v>0</v>
      </c>
      <c r="J1732" s="150">
        <f t="shared" si="580"/>
        <v>0</v>
      </c>
      <c r="K1732" s="196"/>
      <c r="L1732" s="197"/>
      <c r="M1732" s="191">
        <f t="shared" si="581"/>
        <v>0</v>
      </c>
      <c r="N1732" s="150">
        <f t="shared" si="581"/>
        <v>0</v>
      </c>
      <c r="O1732" s="193">
        <f t="shared" si="581"/>
        <v>0</v>
      </c>
      <c r="P1732" s="162">
        <f t="shared" si="579"/>
        <v>0</v>
      </c>
      <c r="Q1732" s="162">
        <f t="shared" si="579"/>
        <v>0</v>
      </c>
      <c r="R1732" s="162">
        <f t="shared" si="579"/>
        <v>0</v>
      </c>
      <c r="S1732" s="162">
        <f t="shared" si="579"/>
        <v>0</v>
      </c>
      <c r="T1732" s="162">
        <f t="shared" si="579"/>
        <v>0</v>
      </c>
      <c r="U1732" s="162">
        <f t="shared" si="579"/>
        <v>0</v>
      </c>
      <c r="V1732" s="162">
        <f t="shared" si="579"/>
        <v>0</v>
      </c>
      <c r="W1732" s="162">
        <f t="shared" si="579"/>
        <v>0</v>
      </c>
      <c r="X1732" s="162">
        <f t="shared" si="579"/>
        <v>0</v>
      </c>
      <c r="Y1732" s="162">
        <f t="shared" si="579"/>
        <v>0</v>
      </c>
      <c r="Z1732" s="162">
        <f t="shared" si="579"/>
        <v>0</v>
      </c>
      <c r="AA1732" s="162">
        <f t="shared" si="579"/>
        <v>0</v>
      </c>
      <c r="AB1732" s="163">
        <f t="shared" si="575"/>
        <v>0</v>
      </c>
      <c r="AC1732" s="198"/>
      <c r="AE1732" s="194" t="str">
        <f t="shared" si="578"/>
        <v/>
      </c>
      <c r="AF1732" s="161">
        <f t="shared" si="582"/>
        <v>0</v>
      </c>
      <c r="AG1732" s="162">
        <f t="shared" si="582"/>
        <v>0</v>
      </c>
      <c r="AH1732" s="162">
        <f t="shared" si="582"/>
        <v>0</v>
      </c>
      <c r="AI1732" s="162">
        <f t="shared" si="582"/>
        <v>0</v>
      </c>
      <c r="AJ1732" s="162">
        <f t="shared" si="582"/>
        <v>0</v>
      </c>
      <c r="AK1732" s="162">
        <f t="shared" si="582"/>
        <v>0</v>
      </c>
      <c r="AL1732" s="162">
        <f t="shared" si="582"/>
        <v>0</v>
      </c>
      <c r="AM1732" s="162">
        <f t="shared" si="582"/>
        <v>0</v>
      </c>
      <c r="AN1732" s="162">
        <f t="shared" si="582"/>
        <v>0</v>
      </c>
      <c r="AO1732" s="162">
        <f t="shared" si="582"/>
        <v>0</v>
      </c>
      <c r="AP1732" s="162">
        <f t="shared" si="582"/>
        <v>0</v>
      </c>
      <c r="AQ1732" s="162">
        <f t="shared" si="582"/>
        <v>0</v>
      </c>
      <c r="AR1732" s="163">
        <f t="shared" si="577"/>
        <v>0</v>
      </c>
      <c r="AT1732" s="208">
        <f>IFERROR(VLOOKUP(J1732,#REF!,10,0),0)</f>
        <v>0</v>
      </c>
    </row>
    <row r="1733" spans="1:46" hidden="1" outlineLevel="1" x14ac:dyDescent="0.25">
      <c r="A1733" s="14" t="str">
        <f t="shared" si="583"/>
        <v>PROP_OPER__21</v>
      </c>
      <c r="B1733" s="15" t="str">
        <f t="shared" si="571"/>
        <v>PROP_OPER__0_0</v>
      </c>
      <c r="C1733" s="83"/>
      <c r="D1733" s="15">
        <v>1</v>
      </c>
      <c r="E1733" s="15">
        <v>21</v>
      </c>
      <c r="F1733" s="190">
        <f t="shared" si="580"/>
        <v>0</v>
      </c>
      <c r="G1733" s="149" t="str">
        <f t="shared" si="580"/>
        <v/>
      </c>
      <c r="H1733" s="150" t="str">
        <f t="shared" si="580"/>
        <v/>
      </c>
      <c r="I1733" s="150">
        <f t="shared" si="580"/>
        <v>0</v>
      </c>
      <c r="J1733" s="150">
        <f t="shared" si="580"/>
        <v>0</v>
      </c>
      <c r="K1733" s="196"/>
      <c r="L1733" s="197"/>
      <c r="M1733" s="191">
        <f t="shared" si="581"/>
        <v>0</v>
      </c>
      <c r="N1733" s="150">
        <f t="shared" si="581"/>
        <v>0</v>
      </c>
      <c r="O1733" s="193">
        <f t="shared" si="581"/>
        <v>0</v>
      </c>
      <c r="P1733" s="162">
        <f t="shared" si="579"/>
        <v>0</v>
      </c>
      <c r="Q1733" s="162">
        <f t="shared" si="579"/>
        <v>0</v>
      </c>
      <c r="R1733" s="162">
        <f t="shared" si="579"/>
        <v>0</v>
      </c>
      <c r="S1733" s="162">
        <f t="shared" si="579"/>
        <v>0</v>
      </c>
      <c r="T1733" s="162">
        <f t="shared" si="579"/>
        <v>0</v>
      </c>
      <c r="U1733" s="162">
        <f t="shared" si="579"/>
        <v>0</v>
      </c>
      <c r="V1733" s="162">
        <f t="shared" si="579"/>
        <v>0</v>
      </c>
      <c r="W1733" s="162">
        <f t="shared" si="579"/>
        <v>0</v>
      </c>
      <c r="X1733" s="162">
        <f t="shared" si="579"/>
        <v>0</v>
      </c>
      <c r="Y1733" s="162">
        <f t="shared" si="579"/>
        <v>0</v>
      </c>
      <c r="Z1733" s="162">
        <f t="shared" si="579"/>
        <v>0</v>
      </c>
      <c r="AA1733" s="162">
        <f t="shared" si="579"/>
        <v>0</v>
      </c>
      <c r="AB1733" s="163">
        <f t="shared" si="575"/>
        <v>0</v>
      </c>
      <c r="AC1733" s="198"/>
      <c r="AE1733" s="194" t="str">
        <f t="shared" si="578"/>
        <v/>
      </c>
      <c r="AF1733" s="161">
        <f t="shared" si="582"/>
        <v>0</v>
      </c>
      <c r="AG1733" s="162">
        <f t="shared" si="582"/>
        <v>0</v>
      </c>
      <c r="AH1733" s="162">
        <f t="shared" si="582"/>
        <v>0</v>
      </c>
      <c r="AI1733" s="162">
        <f t="shared" si="582"/>
        <v>0</v>
      </c>
      <c r="AJ1733" s="162">
        <f t="shared" si="582"/>
        <v>0</v>
      </c>
      <c r="AK1733" s="162">
        <f t="shared" si="582"/>
        <v>0</v>
      </c>
      <c r="AL1733" s="162">
        <f t="shared" si="582"/>
        <v>0</v>
      </c>
      <c r="AM1733" s="162">
        <f t="shared" si="582"/>
        <v>0</v>
      </c>
      <c r="AN1733" s="162">
        <f t="shared" si="582"/>
        <v>0</v>
      </c>
      <c r="AO1733" s="162">
        <f t="shared" si="582"/>
        <v>0</v>
      </c>
      <c r="AP1733" s="162">
        <f t="shared" si="582"/>
        <v>0</v>
      </c>
      <c r="AQ1733" s="162">
        <f t="shared" si="582"/>
        <v>0</v>
      </c>
      <c r="AR1733" s="163">
        <f t="shared" si="577"/>
        <v>0</v>
      </c>
      <c r="AT1733" s="208">
        <f>IFERROR(VLOOKUP(J1733,#REF!,10,0),0)</f>
        <v>0</v>
      </c>
    </row>
    <row r="1734" spans="1:46" hidden="1" outlineLevel="1" x14ac:dyDescent="0.25">
      <c r="A1734" s="14" t="str">
        <f t="shared" si="583"/>
        <v>PROP_OPER__22</v>
      </c>
      <c r="B1734" s="15" t="str">
        <f t="shared" si="571"/>
        <v>PROP_OPER__0_0</v>
      </c>
      <c r="C1734" s="83"/>
      <c r="D1734" s="15">
        <v>1</v>
      </c>
      <c r="E1734" s="15">
        <v>22</v>
      </c>
      <c r="F1734" s="190">
        <f t="shared" si="580"/>
        <v>0</v>
      </c>
      <c r="G1734" s="149" t="str">
        <f t="shared" si="580"/>
        <v/>
      </c>
      <c r="H1734" s="150" t="str">
        <f t="shared" si="580"/>
        <v/>
      </c>
      <c r="I1734" s="150">
        <f t="shared" si="580"/>
        <v>0</v>
      </c>
      <c r="J1734" s="150">
        <f t="shared" si="580"/>
        <v>0</v>
      </c>
      <c r="K1734" s="196"/>
      <c r="L1734" s="197"/>
      <c r="M1734" s="191">
        <f t="shared" si="581"/>
        <v>0</v>
      </c>
      <c r="N1734" s="150">
        <f t="shared" si="581"/>
        <v>0</v>
      </c>
      <c r="O1734" s="193">
        <f t="shared" si="581"/>
        <v>0</v>
      </c>
      <c r="P1734" s="162">
        <f t="shared" si="579"/>
        <v>0</v>
      </c>
      <c r="Q1734" s="162">
        <f t="shared" si="579"/>
        <v>0</v>
      </c>
      <c r="R1734" s="162">
        <f t="shared" si="579"/>
        <v>0</v>
      </c>
      <c r="S1734" s="162">
        <f t="shared" si="579"/>
        <v>0</v>
      </c>
      <c r="T1734" s="162">
        <f t="shared" si="579"/>
        <v>0</v>
      </c>
      <c r="U1734" s="162">
        <f t="shared" si="579"/>
        <v>0</v>
      </c>
      <c r="V1734" s="162">
        <f t="shared" si="579"/>
        <v>0</v>
      </c>
      <c r="W1734" s="162">
        <f t="shared" si="579"/>
        <v>0</v>
      </c>
      <c r="X1734" s="162">
        <f t="shared" si="579"/>
        <v>0</v>
      </c>
      <c r="Y1734" s="162">
        <f t="shared" si="579"/>
        <v>0</v>
      </c>
      <c r="Z1734" s="162">
        <f t="shared" si="579"/>
        <v>0</v>
      </c>
      <c r="AA1734" s="162">
        <f t="shared" si="579"/>
        <v>0</v>
      </c>
      <c r="AB1734" s="163">
        <f t="shared" si="575"/>
        <v>0</v>
      </c>
      <c r="AC1734" s="198"/>
      <c r="AE1734" s="194" t="str">
        <f t="shared" si="578"/>
        <v/>
      </c>
      <c r="AF1734" s="161">
        <f t="shared" si="582"/>
        <v>0</v>
      </c>
      <c r="AG1734" s="162">
        <f t="shared" si="582"/>
        <v>0</v>
      </c>
      <c r="AH1734" s="162">
        <f t="shared" si="582"/>
        <v>0</v>
      </c>
      <c r="AI1734" s="162">
        <f t="shared" si="582"/>
        <v>0</v>
      </c>
      <c r="AJ1734" s="162">
        <f t="shared" si="582"/>
        <v>0</v>
      </c>
      <c r="AK1734" s="162">
        <f t="shared" si="582"/>
        <v>0</v>
      </c>
      <c r="AL1734" s="162">
        <f t="shared" si="582"/>
        <v>0</v>
      </c>
      <c r="AM1734" s="162">
        <f t="shared" si="582"/>
        <v>0</v>
      </c>
      <c r="AN1734" s="162">
        <f t="shared" si="582"/>
        <v>0</v>
      </c>
      <c r="AO1734" s="162">
        <f t="shared" si="582"/>
        <v>0</v>
      </c>
      <c r="AP1734" s="162">
        <f t="shared" si="582"/>
        <v>0</v>
      </c>
      <c r="AQ1734" s="162">
        <f t="shared" si="582"/>
        <v>0</v>
      </c>
      <c r="AR1734" s="163">
        <f t="shared" si="577"/>
        <v>0</v>
      </c>
      <c r="AT1734" s="208">
        <f>IFERROR(VLOOKUP(J1734,#REF!,10,0),0)</f>
        <v>0</v>
      </c>
    </row>
    <row r="1735" spans="1:46" hidden="1" outlineLevel="1" x14ac:dyDescent="0.25">
      <c r="A1735" s="14" t="str">
        <f t="shared" si="583"/>
        <v>PROP_OPER__23</v>
      </c>
      <c r="B1735" s="15" t="str">
        <f t="shared" si="571"/>
        <v>PROP_OPER__0_0</v>
      </c>
      <c r="C1735" s="83"/>
      <c r="D1735" s="15">
        <v>1</v>
      </c>
      <c r="E1735" s="15">
        <v>23</v>
      </c>
      <c r="F1735" s="190">
        <f t="shared" si="580"/>
        <v>0</v>
      </c>
      <c r="G1735" s="149" t="str">
        <f t="shared" si="580"/>
        <v/>
      </c>
      <c r="H1735" s="150" t="str">
        <f t="shared" si="580"/>
        <v/>
      </c>
      <c r="I1735" s="150">
        <f t="shared" si="580"/>
        <v>0</v>
      </c>
      <c r="J1735" s="150">
        <f t="shared" si="580"/>
        <v>0</v>
      </c>
      <c r="K1735" s="196"/>
      <c r="L1735" s="197"/>
      <c r="M1735" s="191">
        <f t="shared" si="581"/>
        <v>0</v>
      </c>
      <c r="N1735" s="150">
        <f t="shared" si="581"/>
        <v>0</v>
      </c>
      <c r="O1735" s="193">
        <f t="shared" si="581"/>
        <v>0</v>
      </c>
      <c r="P1735" s="162">
        <f t="shared" si="579"/>
        <v>0</v>
      </c>
      <c r="Q1735" s="162">
        <f t="shared" si="579"/>
        <v>0</v>
      </c>
      <c r="R1735" s="162">
        <f t="shared" si="579"/>
        <v>0</v>
      </c>
      <c r="S1735" s="162">
        <f t="shared" si="579"/>
        <v>0</v>
      </c>
      <c r="T1735" s="162">
        <f t="shared" si="579"/>
        <v>0</v>
      </c>
      <c r="U1735" s="162">
        <f t="shared" si="579"/>
        <v>0</v>
      </c>
      <c r="V1735" s="162">
        <f t="shared" si="579"/>
        <v>0</v>
      </c>
      <c r="W1735" s="162">
        <f t="shared" si="579"/>
        <v>0</v>
      </c>
      <c r="X1735" s="162">
        <f t="shared" si="579"/>
        <v>0</v>
      </c>
      <c r="Y1735" s="162">
        <f t="shared" si="579"/>
        <v>0</v>
      </c>
      <c r="Z1735" s="162">
        <f t="shared" si="579"/>
        <v>0</v>
      </c>
      <c r="AA1735" s="162">
        <f t="shared" si="579"/>
        <v>0</v>
      </c>
      <c r="AB1735" s="163">
        <f t="shared" si="575"/>
        <v>0</v>
      </c>
      <c r="AC1735" s="198"/>
      <c r="AE1735" s="194" t="str">
        <f t="shared" si="578"/>
        <v/>
      </c>
      <c r="AF1735" s="161">
        <f t="shared" si="582"/>
        <v>0</v>
      </c>
      <c r="AG1735" s="162">
        <f t="shared" si="582"/>
        <v>0</v>
      </c>
      <c r="AH1735" s="162">
        <f t="shared" si="582"/>
        <v>0</v>
      </c>
      <c r="AI1735" s="162">
        <f t="shared" si="582"/>
        <v>0</v>
      </c>
      <c r="AJ1735" s="162">
        <f t="shared" si="582"/>
        <v>0</v>
      </c>
      <c r="AK1735" s="162">
        <f t="shared" si="582"/>
        <v>0</v>
      </c>
      <c r="AL1735" s="162">
        <f t="shared" si="582"/>
        <v>0</v>
      </c>
      <c r="AM1735" s="162">
        <f t="shared" si="582"/>
        <v>0</v>
      </c>
      <c r="AN1735" s="162">
        <f t="shared" si="582"/>
        <v>0</v>
      </c>
      <c r="AO1735" s="162">
        <f t="shared" si="582"/>
        <v>0</v>
      </c>
      <c r="AP1735" s="162">
        <f t="shared" si="582"/>
        <v>0</v>
      </c>
      <c r="AQ1735" s="162">
        <f t="shared" si="582"/>
        <v>0</v>
      </c>
      <c r="AR1735" s="163">
        <f t="shared" si="577"/>
        <v>0</v>
      </c>
      <c r="AT1735" s="208">
        <f>IFERROR(VLOOKUP(J1735,#REF!,10,0),0)</f>
        <v>0</v>
      </c>
    </row>
    <row r="1736" spans="1:46" hidden="1" outlineLevel="1" x14ac:dyDescent="0.25">
      <c r="A1736" s="14" t="str">
        <f t="shared" si="583"/>
        <v>PROP_OPER__24</v>
      </c>
      <c r="B1736" s="15" t="str">
        <f t="shared" si="571"/>
        <v>PROP_OPER__0_0</v>
      </c>
      <c r="C1736" s="83"/>
      <c r="D1736" s="15">
        <v>1</v>
      </c>
      <c r="E1736" s="15">
        <v>24</v>
      </c>
      <c r="F1736" s="190">
        <f t="shared" si="580"/>
        <v>0</v>
      </c>
      <c r="G1736" s="149" t="str">
        <f t="shared" si="580"/>
        <v/>
      </c>
      <c r="H1736" s="150" t="str">
        <f t="shared" si="580"/>
        <v/>
      </c>
      <c r="I1736" s="150">
        <f t="shared" si="580"/>
        <v>0</v>
      </c>
      <c r="J1736" s="150">
        <f t="shared" si="580"/>
        <v>0</v>
      </c>
      <c r="K1736" s="196"/>
      <c r="L1736" s="197"/>
      <c r="M1736" s="191">
        <f t="shared" si="581"/>
        <v>0</v>
      </c>
      <c r="N1736" s="150">
        <f t="shared" si="581"/>
        <v>0</v>
      </c>
      <c r="O1736" s="193">
        <f t="shared" si="581"/>
        <v>0</v>
      </c>
      <c r="P1736" s="162">
        <f t="shared" ref="P1736:AA1751" si="584">IFERROR(SUMIF($B$1351:$B$1378,$C1736&amp;$I1736,P$1351:P$1378)/SUMIF($D$1351:$D$1378,$I1736,P$1351:P$1378)*P1451,0)</f>
        <v>0</v>
      </c>
      <c r="Q1736" s="162">
        <f t="shared" si="584"/>
        <v>0</v>
      </c>
      <c r="R1736" s="162">
        <f t="shared" si="584"/>
        <v>0</v>
      </c>
      <c r="S1736" s="162">
        <f t="shared" si="584"/>
        <v>0</v>
      </c>
      <c r="T1736" s="162">
        <f t="shared" si="584"/>
        <v>0</v>
      </c>
      <c r="U1736" s="162">
        <f t="shared" si="584"/>
        <v>0</v>
      </c>
      <c r="V1736" s="162">
        <f t="shared" si="584"/>
        <v>0</v>
      </c>
      <c r="W1736" s="162">
        <f t="shared" si="584"/>
        <v>0</v>
      </c>
      <c r="X1736" s="162">
        <f t="shared" si="584"/>
        <v>0</v>
      </c>
      <c r="Y1736" s="162">
        <f t="shared" si="584"/>
        <v>0</v>
      </c>
      <c r="Z1736" s="162">
        <f t="shared" si="584"/>
        <v>0</v>
      </c>
      <c r="AA1736" s="162">
        <f t="shared" si="584"/>
        <v>0</v>
      </c>
      <c r="AB1736" s="163">
        <f t="shared" si="575"/>
        <v>0</v>
      </c>
      <c r="AC1736" s="198"/>
      <c r="AE1736" s="194" t="str">
        <f t="shared" si="578"/>
        <v/>
      </c>
      <c r="AF1736" s="161">
        <f t="shared" si="582"/>
        <v>0</v>
      </c>
      <c r="AG1736" s="162">
        <f t="shared" si="582"/>
        <v>0</v>
      </c>
      <c r="AH1736" s="162">
        <f t="shared" si="582"/>
        <v>0</v>
      </c>
      <c r="AI1736" s="162">
        <f t="shared" si="582"/>
        <v>0</v>
      </c>
      <c r="AJ1736" s="162">
        <f t="shared" si="582"/>
        <v>0</v>
      </c>
      <c r="AK1736" s="162">
        <f t="shared" si="582"/>
        <v>0</v>
      </c>
      <c r="AL1736" s="162">
        <f t="shared" si="582"/>
        <v>0</v>
      </c>
      <c r="AM1736" s="162">
        <f t="shared" si="582"/>
        <v>0</v>
      </c>
      <c r="AN1736" s="162">
        <f t="shared" si="582"/>
        <v>0</v>
      </c>
      <c r="AO1736" s="162">
        <f t="shared" si="582"/>
        <v>0</v>
      </c>
      <c r="AP1736" s="162">
        <f t="shared" si="582"/>
        <v>0</v>
      </c>
      <c r="AQ1736" s="162">
        <f t="shared" si="582"/>
        <v>0</v>
      </c>
      <c r="AR1736" s="163">
        <f t="shared" si="577"/>
        <v>0</v>
      </c>
      <c r="AT1736" s="208">
        <f>IFERROR(VLOOKUP(J1736,#REF!,10,0),0)</f>
        <v>0</v>
      </c>
    </row>
    <row r="1737" spans="1:46" hidden="1" outlineLevel="1" x14ac:dyDescent="0.25">
      <c r="A1737" s="14" t="str">
        <f t="shared" si="583"/>
        <v>PROP_OPER__25</v>
      </c>
      <c r="B1737" s="15" t="str">
        <f t="shared" si="571"/>
        <v>PROP_OPER__0_0</v>
      </c>
      <c r="C1737" s="83"/>
      <c r="D1737" s="15">
        <v>1</v>
      </c>
      <c r="E1737" s="15">
        <v>25</v>
      </c>
      <c r="F1737" s="190">
        <f t="shared" si="580"/>
        <v>0</v>
      </c>
      <c r="G1737" s="149" t="str">
        <f t="shared" si="580"/>
        <v/>
      </c>
      <c r="H1737" s="150" t="str">
        <f t="shared" si="580"/>
        <v/>
      </c>
      <c r="I1737" s="150">
        <f t="shared" si="580"/>
        <v>0</v>
      </c>
      <c r="J1737" s="150">
        <f t="shared" si="580"/>
        <v>0</v>
      </c>
      <c r="K1737" s="196"/>
      <c r="L1737" s="197"/>
      <c r="M1737" s="191">
        <f t="shared" si="581"/>
        <v>0</v>
      </c>
      <c r="N1737" s="150">
        <f t="shared" si="581"/>
        <v>0</v>
      </c>
      <c r="O1737" s="193">
        <f t="shared" si="581"/>
        <v>0</v>
      </c>
      <c r="P1737" s="162">
        <f t="shared" si="584"/>
        <v>0</v>
      </c>
      <c r="Q1737" s="162">
        <f t="shared" si="584"/>
        <v>0</v>
      </c>
      <c r="R1737" s="162">
        <f t="shared" si="584"/>
        <v>0</v>
      </c>
      <c r="S1737" s="162">
        <f t="shared" si="584"/>
        <v>0</v>
      </c>
      <c r="T1737" s="162">
        <f t="shared" si="584"/>
        <v>0</v>
      </c>
      <c r="U1737" s="162">
        <f t="shared" si="584"/>
        <v>0</v>
      </c>
      <c r="V1737" s="162">
        <f t="shared" si="584"/>
        <v>0</v>
      </c>
      <c r="W1737" s="162">
        <f t="shared" si="584"/>
        <v>0</v>
      </c>
      <c r="X1737" s="162">
        <f t="shared" si="584"/>
        <v>0</v>
      </c>
      <c r="Y1737" s="162">
        <f t="shared" si="584"/>
        <v>0</v>
      </c>
      <c r="Z1737" s="162">
        <f t="shared" si="584"/>
        <v>0</v>
      </c>
      <c r="AA1737" s="162">
        <f t="shared" si="584"/>
        <v>0</v>
      </c>
      <c r="AB1737" s="163">
        <f t="shared" si="575"/>
        <v>0</v>
      </c>
      <c r="AC1737" s="198"/>
      <c r="AE1737" s="194" t="str">
        <f t="shared" si="578"/>
        <v/>
      </c>
      <c r="AF1737" s="161">
        <f t="shared" si="582"/>
        <v>0</v>
      </c>
      <c r="AG1737" s="162">
        <f t="shared" si="582"/>
        <v>0</v>
      </c>
      <c r="AH1737" s="162">
        <f t="shared" si="582"/>
        <v>0</v>
      </c>
      <c r="AI1737" s="162">
        <f t="shared" si="582"/>
        <v>0</v>
      </c>
      <c r="AJ1737" s="162">
        <f t="shared" si="582"/>
        <v>0</v>
      </c>
      <c r="AK1737" s="162">
        <f t="shared" si="582"/>
        <v>0</v>
      </c>
      <c r="AL1737" s="162">
        <f t="shared" si="582"/>
        <v>0</v>
      </c>
      <c r="AM1737" s="162">
        <f t="shared" si="582"/>
        <v>0</v>
      </c>
      <c r="AN1737" s="162">
        <f t="shared" si="582"/>
        <v>0</v>
      </c>
      <c r="AO1737" s="162">
        <f t="shared" si="582"/>
        <v>0</v>
      </c>
      <c r="AP1737" s="162">
        <f t="shared" si="582"/>
        <v>0</v>
      </c>
      <c r="AQ1737" s="162">
        <f t="shared" si="582"/>
        <v>0</v>
      </c>
      <c r="AR1737" s="163">
        <f t="shared" si="577"/>
        <v>0</v>
      </c>
      <c r="AT1737" s="208">
        <f>IFERROR(VLOOKUP(J1737,#REF!,10,0),0)</f>
        <v>0</v>
      </c>
    </row>
    <row r="1738" spans="1:46" hidden="1" outlineLevel="1" x14ac:dyDescent="0.25">
      <c r="A1738" s="14" t="str">
        <f t="shared" si="583"/>
        <v>PROP_OPER__26</v>
      </c>
      <c r="B1738" s="15" t="str">
        <f t="shared" si="571"/>
        <v>PROP_OPER__0_0</v>
      </c>
      <c r="C1738" s="83"/>
      <c r="D1738" s="15">
        <v>1</v>
      </c>
      <c r="E1738" s="15">
        <v>26</v>
      </c>
      <c r="F1738" s="190">
        <f t="shared" si="580"/>
        <v>0</v>
      </c>
      <c r="G1738" s="149" t="str">
        <f t="shared" si="580"/>
        <v/>
      </c>
      <c r="H1738" s="150" t="str">
        <f t="shared" si="580"/>
        <v/>
      </c>
      <c r="I1738" s="150">
        <f t="shared" si="580"/>
        <v>0</v>
      </c>
      <c r="J1738" s="150">
        <f t="shared" si="580"/>
        <v>0</v>
      </c>
      <c r="K1738" s="196"/>
      <c r="L1738" s="197"/>
      <c r="M1738" s="191">
        <f t="shared" si="581"/>
        <v>0</v>
      </c>
      <c r="N1738" s="150">
        <f t="shared" si="581"/>
        <v>0</v>
      </c>
      <c r="O1738" s="193">
        <f t="shared" si="581"/>
        <v>0</v>
      </c>
      <c r="P1738" s="162">
        <f t="shared" si="584"/>
        <v>0</v>
      </c>
      <c r="Q1738" s="162">
        <f t="shared" si="584"/>
        <v>0</v>
      </c>
      <c r="R1738" s="162">
        <f t="shared" si="584"/>
        <v>0</v>
      </c>
      <c r="S1738" s="162">
        <f t="shared" si="584"/>
        <v>0</v>
      </c>
      <c r="T1738" s="162">
        <f t="shared" si="584"/>
        <v>0</v>
      </c>
      <c r="U1738" s="162">
        <f t="shared" si="584"/>
        <v>0</v>
      </c>
      <c r="V1738" s="162">
        <f t="shared" si="584"/>
        <v>0</v>
      </c>
      <c r="W1738" s="162">
        <f t="shared" si="584"/>
        <v>0</v>
      </c>
      <c r="X1738" s="162">
        <f t="shared" si="584"/>
        <v>0</v>
      </c>
      <c r="Y1738" s="162">
        <f t="shared" si="584"/>
        <v>0</v>
      </c>
      <c r="Z1738" s="162">
        <f t="shared" si="584"/>
        <v>0</v>
      </c>
      <c r="AA1738" s="162">
        <f t="shared" si="584"/>
        <v>0</v>
      </c>
      <c r="AB1738" s="163">
        <f t="shared" si="575"/>
        <v>0</v>
      </c>
      <c r="AC1738" s="198"/>
      <c r="AE1738" s="194" t="str">
        <f t="shared" si="578"/>
        <v/>
      </c>
      <c r="AF1738" s="161">
        <f t="shared" si="582"/>
        <v>0</v>
      </c>
      <c r="AG1738" s="162">
        <f t="shared" si="582"/>
        <v>0</v>
      </c>
      <c r="AH1738" s="162">
        <f t="shared" si="582"/>
        <v>0</v>
      </c>
      <c r="AI1738" s="162">
        <f t="shared" si="582"/>
        <v>0</v>
      </c>
      <c r="AJ1738" s="162">
        <f t="shared" si="582"/>
        <v>0</v>
      </c>
      <c r="AK1738" s="162">
        <f t="shared" si="582"/>
        <v>0</v>
      </c>
      <c r="AL1738" s="162">
        <f t="shared" si="582"/>
        <v>0</v>
      </c>
      <c r="AM1738" s="162">
        <f t="shared" si="582"/>
        <v>0</v>
      </c>
      <c r="AN1738" s="162">
        <f t="shared" si="582"/>
        <v>0</v>
      </c>
      <c r="AO1738" s="162">
        <f t="shared" si="582"/>
        <v>0</v>
      </c>
      <c r="AP1738" s="162">
        <f t="shared" si="582"/>
        <v>0</v>
      </c>
      <c r="AQ1738" s="162">
        <f t="shared" si="582"/>
        <v>0</v>
      </c>
      <c r="AR1738" s="163">
        <f t="shared" si="577"/>
        <v>0</v>
      </c>
      <c r="AT1738" s="208">
        <f>IFERROR(VLOOKUP(J1738,#REF!,10,0),0)</f>
        <v>0</v>
      </c>
    </row>
    <row r="1739" spans="1:46" hidden="1" outlineLevel="1" x14ac:dyDescent="0.25">
      <c r="A1739" s="14" t="str">
        <f t="shared" si="583"/>
        <v>PROP_OPER__27</v>
      </c>
      <c r="B1739" s="15" t="str">
        <f t="shared" si="571"/>
        <v>PROP_OPER__0_0</v>
      </c>
      <c r="C1739" s="83"/>
      <c r="D1739" s="15">
        <v>1</v>
      </c>
      <c r="E1739" s="15">
        <v>27</v>
      </c>
      <c r="F1739" s="190">
        <f t="shared" si="580"/>
        <v>0</v>
      </c>
      <c r="G1739" s="149" t="str">
        <f t="shared" si="580"/>
        <v/>
      </c>
      <c r="H1739" s="150" t="str">
        <f t="shared" si="580"/>
        <v/>
      </c>
      <c r="I1739" s="150">
        <f t="shared" si="580"/>
        <v>0</v>
      </c>
      <c r="J1739" s="150">
        <f t="shared" si="580"/>
        <v>0</v>
      </c>
      <c r="K1739" s="196"/>
      <c r="L1739" s="197"/>
      <c r="M1739" s="191">
        <f t="shared" si="581"/>
        <v>0</v>
      </c>
      <c r="N1739" s="150">
        <f t="shared" si="581"/>
        <v>0</v>
      </c>
      <c r="O1739" s="193">
        <f t="shared" si="581"/>
        <v>0</v>
      </c>
      <c r="P1739" s="162">
        <f t="shared" si="584"/>
        <v>0</v>
      </c>
      <c r="Q1739" s="162">
        <f t="shared" si="584"/>
        <v>0</v>
      </c>
      <c r="R1739" s="162">
        <f t="shared" si="584"/>
        <v>0</v>
      </c>
      <c r="S1739" s="162">
        <f t="shared" si="584"/>
        <v>0</v>
      </c>
      <c r="T1739" s="162">
        <f t="shared" si="584"/>
        <v>0</v>
      </c>
      <c r="U1739" s="162">
        <f t="shared" si="584"/>
        <v>0</v>
      </c>
      <c r="V1739" s="162">
        <f t="shared" si="584"/>
        <v>0</v>
      </c>
      <c r="W1739" s="162">
        <f t="shared" si="584"/>
        <v>0</v>
      </c>
      <c r="X1739" s="162">
        <f t="shared" si="584"/>
        <v>0</v>
      </c>
      <c r="Y1739" s="162">
        <f t="shared" si="584"/>
        <v>0</v>
      </c>
      <c r="Z1739" s="162">
        <f t="shared" si="584"/>
        <v>0</v>
      </c>
      <c r="AA1739" s="162">
        <f t="shared" si="584"/>
        <v>0</v>
      </c>
      <c r="AB1739" s="163">
        <f t="shared" si="575"/>
        <v>0</v>
      </c>
      <c r="AC1739" s="198"/>
      <c r="AE1739" s="194" t="str">
        <f t="shared" si="578"/>
        <v/>
      </c>
      <c r="AF1739" s="161">
        <f t="shared" si="582"/>
        <v>0</v>
      </c>
      <c r="AG1739" s="162">
        <f t="shared" si="582"/>
        <v>0</v>
      </c>
      <c r="AH1739" s="162">
        <f t="shared" si="582"/>
        <v>0</v>
      </c>
      <c r="AI1739" s="162">
        <f t="shared" si="582"/>
        <v>0</v>
      </c>
      <c r="AJ1739" s="162">
        <f t="shared" si="582"/>
        <v>0</v>
      </c>
      <c r="AK1739" s="162">
        <f t="shared" si="582"/>
        <v>0</v>
      </c>
      <c r="AL1739" s="162">
        <f t="shared" si="582"/>
        <v>0</v>
      </c>
      <c r="AM1739" s="162">
        <f t="shared" si="582"/>
        <v>0</v>
      </c>
      <c r="AN1739" s="162">
        <f t="shared" si="582"/>
        <v>0</v>
      </c>
      <c r="AO1739" s="162">
        <f t="shared" si="582"/>
        <v>0</v>
      </c>
      <c r="AP1739" s="162">
        <f t="shared" si="582"/>
        <v>0</v>
      </c>
      <c r="AQ1739" s="162">
        <f t="shared" si="582"/>
        <v>0</v>
      </c>
      <c r="AR1739" s="163">
        <f t="shared" si="577"/>
        <v>0</v>
      </c>
      <c r="AT1739" s="208">
        <f>IFERROR(VLOOKUP(J1739,#REF!,10,0),0)</f>
        <v>0</v>
      </c>
    </row>
    <row r="1740" spans="1:46" hidden="1" outlineLevel="1" x14ac:dyDescent="0.25">
      <c r="A1740" s="14" t="str">
        <f t="shared" si="583"/>
        <v>PROP_OPER__28</v>
      </c>
      <c r="B1740" s="15" t="str">
        <f t="shared" si="571"/>
        <v>PROP_OPER__0_0</v>
      </c>
      <c r="C1740" s="83"/>
      <c r="D1740" s="15">
        <v>1</v>
      </c>
      <c r="E1740" s="15">
        <v>28</v>
      </c>
      <c r="F1740" s="190">
        <f t="shared" si="580"/>
        <v>0</v>
      </c>
      <c r="G1740" s="149" t="str">
        <f t="shared" si="580"/>
        <v/>
      </c>
      <c r="H1740" s="150" t="str">
        <f t="shared" si="580"/>
        <v/>
      </c>
      <c r="I1740" s="150">
        <f t="shared" si="580"/>
        <v>0</v>
      </c>
      <c r="J1740" s="150">
        <f t="shared" si="580"/>
        <v>0</v>
      </c>
      <c r="K1740" s="196"/>
      <c r="L1740" s="197"/>
      <c r="M1740" s="191">
        <f t="shared" si="581"/>
        <v>0</v>
      </c>
      <c r="N1740" s="150">
        <f t="shared" si="581"/>
        <v>0</v>
      </c>
      <c r="O1740" s="193">
        <f t="shared" si="581"/>
        <v>0</v>
      </c>
      <c r="P1740" s="162">
        <f t="shared" si="584"/>
        <v>0</v>
      </c>
      <c r="Q1740" s="162">
        <f t="shared" si="584"/>
        <v>0</v>
      </c>
      <c r="R1740" s="162">
        <f t="shared" si="584"/>
        <v>0</v>
      </c>
      <c r="S1740" s="162">
        <f t="shared" si="584"/>
        <v>0</v>
      </c>
      <c r="T1740" s="162">
        <f t="shared" si="584"/>
        <v>0</v>
      </c>
      <c r="U1740" s="162">
        <f t="shared" si="584"/>
        <v>0</v>
      </c>
      <c r="V1740" s="162">
        <f t="shared" si="584"/>
        <v>0</v>
      </c>
      <c r="W1740" s="162">
        <f t="shared" si="584"/>
        <v>0</v>
      </c>
      <c r="X1740" s="162">
        <f t="shared" si="584"/>
        <v>0</v>
      </c>
      <c r="Y1740" s="162">
        <f t="shared" si="584"/>
        <v>0</v>
      </c>
      <c r="Z1740" s="162">
        <f t="shared" si="584"/>
        <v>0</v>
      </c>
      <c r="AA1740" s="162">
        <f t="shared" si="584"/>
        <v>0</v>
      </c>
      <c r="AB1740" s="163">
        <f t="shared" si="575"/>
        <v>0</v>
      </c>
      <c r="AC1740" s="198"/>
      <c r="AE1740" s="194" t="str">
        <f t="shared" si="578"/>
        <v/>
      </c>
      <c r="AF1740" s="161">
        <f t="shared" si="582"/>
        <v>0</v>
      </c>
      <c r="AG1740" s="162">
        <f t="shared" si="582"/>
        <v>0</v>
      </c>
      <c r="AH1740" s="162">
        <f t="shared" si="582"/>
        <v>0</v>
      </c>
      <c r="AI1740" s="162">
        <f t="shared" si="582"/>
        <v>0</v>
      </c>
      <c r="AJ1740" s="162">
        <f t="shared" si="582"/>
        <v>0</v>
      </c>
      <c r="AK1740" s="162">
        <f t="shared" si="582"/>
        <v>0</v>
      </c>
      <c r="AL1740" s="162">
        <f t="shared" si="582"/>
        <v>0</v>
      </c>
      <c r="AM1740" s="162">
        <f t="shared" si="582"/>
        <v>0</v>
      </c>
      <c r="AN1740" s="162">
        <f t="shared" si="582"/>
        <v>0</v>
      </c>
      <c r="AO1740" s="162">
        <f t="shared" si="582"/>
        <v>0</v>
      </c>
      <c r="AP1740" s="162">
        <f t="shared" si="582"/>
        <v>0</v>
      </c>
      <c r="AQ1740" s="162">
        <f t="shared" si="582"/>
        <v>0</v>
      </c>
      <c r="AR1740" s="163">
        <f t="shared" si="577"/>
        <v>0</v>
      </c>
      <c r="AT1740" s="208">
        <f>IFERROR(VLOOKUP(J1740,#REF!,10,0),0)</f>
        <v>0</v>
      </c>
    </row>
    <row r="1741" spans="1:46" hidden="1" outlineLevel="1" x14ac:dyDescent="0.25">
      <c r="A1741" s="14" t="str">
        <f t="shared" si="583"/>
        <v>PROP_OPER__29</v>
      </c>
      <c r="B1741" s="15" t="str">
        <f t="shared" si="571"/>
        <v>PROP_OPER__0_0</v>
      </c>
      <c r="C1741" s="83"/>
      <c r="D1741" s="15">
        <v>1</v>
      </c>
      <c r="E1741" s="15">
        <v>29</v>
      </c>
      <c r="F1741" s="190">
        <f t="shared" si="580"/>
        <v>0</v>
      </c>
      <c r="G1741" s="149" t="str">
        <f t="shared" si="580"/>
        <v/>
      </c>
      <c r="H1741" s="150" t="str">
        <f t="shared" si="580"/>
        <v/>
      </c>
      <c r="I1741" s="150">
        <f t="shared" si="580"/>
        <v>0</v>
      </c>
      <c r="J1741" s="150">
        <f t="shared" si="580"/>
        <v>0</v>
      </c>
      <c r="K1741" s="196"/>
      <c r="L1741" s="197"/>
      <c r="M1741" s="191">
        <f t="shared" si="581"/>
        <v>0</v>
      </c>
      <c r="N1741" s="150">
        <f t="shared" si="581"/>
        <v>0</v>
      </c>
      <c r="O1741" s="193">
        <f t="shared" si="581"/>
        <v>0</v>
      </c>
      <c r="P1741" s="162">
        <f t="shared" si="584"/>
        <v>0</v>
      </c>
      <c r="Q1741" s="162">
        <f t="shared" si="584"/>
        <v>0</v>
      </c>
      <c r="R1741" s="162">
        <f t="shared" si="584"/>
        <v>0</v>
      </c>
      <c r="S1741" s="162">
        <f t="shared" si="584"/>
        <v>0</v>
      </c>
      <c r="T1741" s="162">
        <f t="shared" si="584"/>
        <v>0</v>
      </c>
      <c r="U1741" s="162">
        <f t="shared" si="584"/>
        <v>0</v>
      </c>
      <c r="V1741" s="162">
        <f t="shared" si="584"/>
        <v>0</v>
      </c>
      <c r="W1741" s="162">
        <f t="shared" si="584"/>
        <v>0</v>
      </c>
      <c r="X1741" s="162">
        <f t="shared" si="584"/>
        <v>0</v>
      </c>
      <c r="Y1741" s="162">
        <f t="shared" si="584"/>
        <v>0</v>
      </c>
      <c r="Z1741" s="162">
        <f t="shared" si="584"/>
        <v>0</v>
      </c>
      <c r="AA1741" s="162">
        <f t="shared" si="584"/>
        <v>0</v>
      </c>
      <c r="AB1741" s="163">
        <f t="shared" si="575"/>
        <v>0</v>
      </c>
      <c r="AC1741" s="198"/>
      <c r="AE1741" s="194" t="str">
        <f t="shared" si="578"/>
        <v/>
      </c>
      <c r="AF1741" s="161">
        <f t="shared" si="582"/>
        <v>0</v>
      </c>
      <c r="AG1741" s="162">
        <f t="shared" si="582"/>
        <v>0</v>
      </c>
      <c r="AH1741" s="162">
        <f t="shared" si="582"/>
        <v>0</v>
      </c>
      <c r="AI1741" s="162">
        <f t="shared" si="582"/>
        <v>0</v>
      </c>
      <c r="AJ1741" s="162">
        <f t="shared" si="582"/>
        <v>0</v>
      </c>
      <c r="AK1741" s="162">
        <f t="shared" si="582"/>
        <v>0</v>
      </c>
      <c r="AL1741" s="162">
        <f t="shared" si="582"/>
        <v>0</v>
      </c>
      <c r="AM1741" s="162">
        <f t="shared" si="582"/>
        <v>0</v>
      </c>
      <c r="AN1741" s="162">
        <f t="shared" si="582"/>
        <v>0</v>
      </c>
      <c r="AO1741" s="162">
        <f t="shared" si="582"/>
        <v>0</v>
      </c>
      <c r="AP1741" s="162">
        <f t="shared" si="582"/>
        <v>0</v>
      </c>
      <c r="AQ1741" s="162">
        <f t="shared" si="582"/>
        <v>0</v>
      </c>
      <c r="AR1741" s="163">
        <f t="shared" si="577"/>
        <v>0</v>
      </c>
      <c r="AT1741" s="208">
        <f>IFERROR(VLOOKUP(J1741,#REF!,10,0),0)</f>
        <v>0</v>
      </c>
    </row>
    <row r="1742" spans="1:46" hidden="1" outlineLevel="1" x14ac:dyDescent="0.25">
      <c r="A1742" s="14" t="str">
        <f t="shared" si="583"/>
        <v>PROP_OPER__30</v>
      </c>
      <c r="B1742" s="15" t="str">
        <f t="shared" si="571"/>
        <v>PROP_OPER__0_0</v>
      </c>
      <c r="C1742" s="83"/>
      <c r="D1742" s="15">
        <v>1</v>
      </c>
      <c r="E1742" s="15">
        <v>30</v>
      </c>
      <c r="F1742" s="190">
        <f t="shared" si="580"/>
        <v>0</v>
      </c>
      <c r="G1742" s="149" t="str">
        <f t="shared" si="580"/>
        <v/>
      </c>
      <c r="H1742" s="150" t="str">
        <f t="shared" si="580"/>
        <v/>
      </c>
      <c r="I1742" s="150">
        <f t="shared" si="580"/>
        <v>0</v>
      </c>
      <c r="J1742" s="150">
        <f t="shared" si="580"/>
        <v>0</v>
      </c>
      <c r="K1742" s="196"/>
      <c r="L1742" s="197"/>
      <c r="M1742" s="191">
        <f t="shared" si="581"/>
        <v>0</v>
      </c>
      <c r="N1742" s="150">
        <f t="shared" si="581"/>
        <v>0</v>
      </c>
      <c r="O1742" s="193">
        <f t="shared" si="581"/>
        <v>0</v>
      </c>
      <c r="P1742" s="162">
        <f t="shared" si="584"/>
        <v>0</v>
      </c>
      <c r="Q1742" s="162">
        <f t="shared" si="584"/>
        <v>0</v>
      </c>
      <c r="R1742" s="162">
        <f t="shared" si="584"/>
        <v>0</v>
      </c>
      <c r="S1742" s="162">
        <f t="shared" si="584"/>
        <v>0</v>
      </c>
      <c r="T1742" s="162">
        <f t="shared" si="584"/>
        <v>0</v>
      </c>
      <c r="U1742" s="162">
        <f t="shared" si="584"/>
        <v>0</v>
      </c>
      <c r="V1742" s="162">
        <f t="shared" si="584"/>
        <v>0</v>
      </c>
      <c r="W1742" s="162">
        <f t="shared" si="584"/>
        <v>0</v>
      </c>
      <c r="X1742" s="162">
        <f t="shared" si="584"/>
        <v>0</v>
      </c>
      <c r="Y1742" s="162">
        <f t="shared" si="584"/>
        <v>0</v>
      </c>
      <c r="Z1742" s="162">
        <f t="shared" si="584"/>
        <v>0</v>
      </c>
      <c r="AA1742" s="162">
        <f t="shared" si="584"/>
        <v>0</v>
      </c>
      <c r="AB1742" s="163">
        <f t="shared" si="575"/>
        <v>0</v>
      </c>
      <c r="AC1742" s="198"/>
      <c r="AE1742" s="194" t="str">
        <f t="shared" si="578"/>
        <v/>
      </c>
      <c r="AF1742" s="161">
        <f t="shared" si="582"/>
        <v>0</v>
      </c>
      <c r="AG1742" s="162">
        <f t="shared" si="582"/>
        <v>0</v>
      </c>
      <c r="AH1742" s="162">
        <f t="shared" si="582"/>
        <v>0</v>
      </c>
      <c r="AI1742" s="162">
        <f t="shared" si="582"/>
        <v>0</v>
      </c>
      <c r="AJ1742" s="162">
        <f t="shared" si="582"/>
        <v>0</v>
      </c>
      <c r="AK1742" s="162">
        <f t="shared" si="582"/>
        <v>0</v>
      </c>
      <c r="AL1742" s="162">
        <f t="shared" si="582"/>
        <v>0</v>
      </c>
      <c r="AM1742" s="162">
        <f t="shared" si="582"/>
        <v>0</v>
      </c>
      <c r="AN1742" s="162">
        <f t="shared" si="582"/>
        <v>0</v>
      </c>
      <c r="AO1742" s="162">
        <f t="shared" si="582"/>
        <v>0</v>
      </c>
      <c r="AP1742" s="162">
        <f t="shared" si="582"/>
        <v>0</v>
      </c>
      <c r="AQ1742" s="162">
        <f t="shared" si="582"/>
        <v>0</v>
      </c>
      <c r="AR1742" s="163">
        <f t="shared" si="577"/>
        <v>0</v>
      </c>
      <c r="AT1742" s="208">
        <f>IFERROR(VLOOKUP(J1742,#REF!,10,0),0)</f>
        <v>0</v>
      </c>
    </row>
    <row r="1743" spans="1:46" hidden="1" outlineLevel="1" x14ac:dyDescent="0.25">
      <c r="A1743" s="14" t="str">
        <f t="shared" si="583"/>
        <v>PROP_OPER__31</v>
      </c>
      <c r="B1743" s="15" t="str">
        <f t="shared" si="571"/>
        <v>PROP_OPER__0_0</v>
      </c>
      <c r="C1743" s="83"/>
      <c r="D1743" s="15">
        <v>1</v>
      </c>
      <c r="E1743" s="15">
        <v>31</v>
      </c>
      <c r="F1743" s="190">
        <f t="shared" si="580"/>
        <v>0</v>
      </c>
      <c r="G1743" s="149" t="str">
        <f t="shared" si="580"/>
        <v/>
      </c>
      <c r="H1743" s="150" t="str">
        <f t="shared" si="580"/>
        <v/>
      </c>
      <c r="I1743" s="150">
        <f t="shared" si="580"/>
        <v>0</v>
      </c>
      <c r="J1743" s="150">
        <f t="shared" si="580"/>
        <v>0</v>
      </c>
      <c r="K1743" s="196"/>
      <c r="L1743" s="197"/>
      <c r="M1743" s="191">
        <f t="shared" si="581"/>
        <v>0</v>
      </c>
      <c r="N1743" s="150">
        <f t="shared" si="581"/>
        <v>0</v>
      </c>
      <c r="O1743" s="193">
        <f t="shared" si="581"/>
        <v>0</v>
      </c>
      <c r="P1743" s="162">
        <f t="shared" si="584"/>
        <v>0</v>
      </c>
      <c r="Q1743" s="162">
        <f t="shared" si="584"/>
        <v>0</v>
      </c>
      <c r="R1743" s="162">
        <f t="shared" si="584"/>
        <v>0</v>
      </c>
      <c r="S1743" s="162">
        <f t="shared" si="584"/>
        <v>0</v>
      </c>
      <c r="T1743" s="162">
        <f t="shared" si="584"/>
        <v>0</v>
      </c>
      <c r="U1743" s="162">
        <f t="shared" si="584"/>
        <v>0</v>
      </c>
      <c r="V1743" s="162">
        <f t="shared" si="584"/>
        <v>0</v>
      </c>
      <c r="W1743" s="162">
        <f t="shared" si="584"/>
        <v>0</v>
      </c>
      <c r="X1743" s="162">
        <f t="shared" si="584"/>
        <v>0</v>
      </c>
      <c r="Y1743" s="162">
        <f t="shared" si="584"/>
        <v>0</v>
      </c>
      <c r="Z1743" s="162">
        <f t="shared" si="584"/>
        <v>0</v>
      </c>
      <c r="AA1743" s="162">
        <f t="shared" si="584"/>
        <v>0</v>
      </c>
      <c r="AB1743" s="163">
        <f t="shared" si="575"/>
        <v>0</v>
      </c>
      <c r="AC1743" s="198"/>
      <c r="AE1743" s="194" t="str">
        <f t="shared" si="578"/>
        <v/>
      </c>
      <c r="AF1743" s="161">
        <f t="shared" si="582"/>
        <v>0</v>
      </c>
      <c r="AG1743" s="162">
        <f t="shared" si="582"/>
        <v>0</v>
      </c>
      <c r="AH1743" s="162">
        <f t="shared" si="582"/>
        <v>0</v>
      </c>
      <c r="AI1743" s="162">
        <f t="shared" si="582"/>
        <v>0</v>
      </c>
      <c r="AJ1743" s="162">
        <f t="shared" si="582"/>
        <v>0</v>
      </c>
      <c r="AK1743" s="162">
        <f t="shared" si="582"/>
        <v>0</v>
      </c>
      <c r="AL1743" s="162">
        <f t="shared" si="582"/>
        <v>0</v>
      </c>
      <c r="AM1743" s="162">
        <f t="shared" si="582"/>
        <v>0</v>
      </c>
      <c r="AN1743" s="162">
        <f t="shared" si="582"/>
        <v>0</v>
      </c>
      <c r="AO1743" s="162">
        <f t="shared" si="582"/>
        <v>0</v>
      </c>
      <c r="AP1743" s="162">
        <f t="shared" si="582"/>
        <v>0</v>
      </c>
      <c r="AQ1743" s="162">
        <f t="shared" si="582"/>
        <v>0</v>
      </c>
      <c r="AR1743" s="163">
        <f t="shared" si="577"/>
        <v>0</v>
      </c>
      <c r="AT1743" s="208">
        <f>IFERROR(VLOOKUP(J1743,#REF!,10,0),0)</f>
        <v>0</v>
      </c>
    </row>
    <row r="1744" spans="1:46" hidden="1" outlineLevel="1" x14ac:dyDescent="0.25">
      <c r="A1744" s="14" t="str">
        <f t="shared" si="583"/>
        <v>PROP_OPER__32</v>
      </c>
      <c r="B1744" s="15" t="str">
        <f t="shared" si="571"/>
        <v>PROP_OPER__0_0</v>
      </c>
      <c r="C1744" s="83"/>
      <c r="D1744" s="15">
        <v>1</v>
      </c>
      <c r="E1744" s="15">
        <v>32</v>
      </c>
      <c r="F1744" s="190">
        <f t="shared" si="580"/>
        <v>0</v>
      </c>
      <c r="G1744" s="149" t="str">
        <f t="shared" si="580"/>
        <v/>
      </c>
      <c r="H1744" s="150" t="str">
        <f t="shared" si="580"/>
        <v/>
      </c>
      <c r="I1744" s="150">
        <f t="shared" si="580"/>
        <v>0</v>
      </c>
      <c r="J1744" s="150">
        <f t="shared" si="580"/>
        <v>0</v>
      </c>
      <c r="K1744" s="196"/>
      <c r="L1744" s="197"/>
      <c r="M1744" s="191">
        <f t="shared" si="581"/>
        <v>0</v>
      </c>
      <c r="N1744" s="150">
        <f t="shared" si="581"/>
        <v>0</v>
      </c>
      <c r="O1744" s="193">
        <f t="shared" si="581"/>
        <v>0</v>
      </c>
      <c r="P1744" s="162">
        <f t="shared" si="584"/>
        <v>0</v>
      </c>
      <c r="Q1744" s="162">
        <f t="shared" si="584"/>
        <v>0</v>
      </c>
      <c r="R1744" s="162">
        <f t="shared" si="584"/>
        <v>0</v>
      </c>
      <c r="S1744" s="162">
        <f t="shared" si="584"/>
        <v>0</v>
      </c>
      <c r="T1744" s="162">
        <f t="shared" si="584"/>
        <v>0</v>
      </c>
      <c r="U1744" s="162">
        <f t="shared" si="584"/>
        <v>0</v>
      </c>
      <c r="V1744" s="162">
        <f t="shared" si="584"/>
        <v>0</v>
      </c>
      <c r="W1744" s="162">
        <f t="shared" si="584"/>
        <v>0</v>
      </c>
      <c r="X1744" s="162">
        <f t="shared" si="584"/>
        <v>0</v>
      </c>
      <c r="Y1744" s="162">
        <f t="shared" si="584"/>
        <v>0</v>
      </c>
      <c r="Z1744" s="162">
        <f t="shared" si="584"/>
        <v>0</v>
      </c>
      <c r="AA1744" s="162">
        <f t="shared" si="584"/>
        <v>0</v>
      </c>
      <c r="AB1744" s="163">
        <f t="shared" si="575"/>
        <v>0</v>
      </c>
      <c r="AC1744" s="198"/>
      <c r="AE1744" s="194" t="str">
        <f t="shared" si="578"/>
        <v/>
      </c>
      <c r="AF1744" s="161">
        <f t="shared" si="582"/>
        <v>0</v>
      </c>
      <c r="AG1744" s="162">
        <f t="shared" si="582"/>
        <v>0</v>
      </c>
      <c r="AH1744" s="162">
        <f t="shared" si="582"/>
        <v>0</v>
      </c>
      <c r="AI1744" s="162">
        <f t="shared" si="582"/>
        <v>0</v>
      </c>
      <c r="AJ1744" s="162">
        <f t="shared" si="582"/>
        <v>0</v>
      </c>
      <c r="AK1744" s="162">
        <f t="shared" si="582"/>
        <v>0</v>
      </c>
      <c r="AL1744" s="162">
        <f t="shared" si="582"/>
        <v>0</v>
      </c>
      <c r="AM1744" s="162">
        <f t="shared" si="582"/>
        <v>0</v>
      </c>
      <c r="AN1744" s="162">
        <f t="shared" si="582"/>
        <v>0</v>
      </c>
      <c r="AO1744" s="162">
        <f t="shared" si="582"/>
        <v>0</v>
      </c>
      <c r="AP1744" s="162">
        <f t="shared" si="582"/>
        <v>0</v>
      </c>
      <c r="AQ1744" s="162">
        <f t="shared" si="582"/>
        <v>0</v>
      </c>
      <c r="AR1744" s="163">
        <f t="shared" si="577"/>
        <v>0</v>
      </c>
      <c r="AT1744" s="208">
        <f>IFERROR(VLOOKUP(J1744,#REF!,10,0),0)</f>
        <v>0</v>
      </c>
    </row>
    <row r="1745" spans="1:46" hidden="1" outlineLevel="1" x14ac:dyDescent="0.25">
      <c r="A1745" s="14" t="str">
        <f t="shared" si="583"/>
        <v>PROP_OPER__33</v>
      </c>
      <c r="B1745" s="15" t="str">
        <f t="shared" si="571"/>
        <v>PROP_OPER__0_0</v>
      </c>
      <c r="C1745" s="83"/>
      <c r="D1745" s="15">
        <v>1</v>
      </c>
      <c r="E1745" s="15">
        <v>33</v>
      </c>
      <c r="F1745" s="190">
        <f t="shared" ref="F1745:J1757" si="585">F1699</f>
        <v>0</v>
      </c>
      <c r="G1745" s="149" t="str">
        <f t="shared" si="585"/>
        <v/>
      </c>
      <c r="H1745" s="150" t="str">
        <f t="shared" si="585"/>
        <v/>
      </c>
      <c r="I1745" s="150">
        <f t="shared" si="585"/>
        <v>0</v>
      </c>
      <c r="J1745" s="150">
        <f t="shared" si="585"/>
        <v>0</v>
      </c>
      <c r="K1745" s="196"/>
      <c r="L1745" s="197"/>
      <c r="M1745" s="191">
        <f t="shared" ref="M1745:O1757" si="586">M1699</f>
        <v>0</v>
      </c>
      <c r="N1745" s="150">
        <f t="shared" si="586"/>
        <v>0</v>
      </c>
      <c r="O1745" s="193">
        <f t="shared" si="586"/>
        <v>0</v>
      </c>
      <c r="P1745" s="162">
        <f t="shared" si="584"/>
        <v>0</v>
      </c>
      <c r="Q1745" s="162">
        <f t="shared" si="584"/>
        <v>0</v>
      </c>
      <c r="R1745" s="162">
        <f t="shared" si="584"/>
        <v>0</v>
      </c>
      <c r="S1745" s="162">
        <f t="shared" si="584"/>
        <v>0</v>
      </c>
      <c r="T1745" s="162">
        <f t="shared" si="584"/>
        <v>0</v>
      </c>
      <c r="U1745" s="162">
        <f t="shared" si="584"/>
        <v>0</v>
      </c>
      <c r="V1745" s="162">
        <f t="shared" si="584"/>
        <v>0</v>
      </c>
      <c r="W1745" s="162">
        <f t="shared" si="584"/>
        <v>0</v>
      </c>
      <c r="X1745" s="162">
        <f t="shared" si="584"/>
        <v>0</v>
      </c>
      <c r="Y1745" s="162">
        <f t="shared" si="584"/>
        <v>0</v>
      </c>
      <c r="Z1745" s="162">
        <f t="shared" si="584"/>
        <v>0</v>
      </c>
      <c r="AA1745" s="162">
        <f t="shared" si="584"/>
        <v>0</v>
      </c>
      <c r="AB1745" s="163">
        <f t="shared" si="575"/>
        <v>0</v>
      </c>
      <c r="AC1745" s="198"/>
      <c r="AE1745" s="194" t="str">
        <f t="shared" si="578"/>
        <v/>
      </c>
      <c r="AF1745" s="161">
        <f t="shared" ref="AF1745:AQ1757" si="587">IFERROR(SUMIF($B$1351:$B$1378,$C1745&amp;$I1745,P$1351:P$1378)/SUMIF($D$1351:$D$1378,$I1745,P$1351:P$1378)*AF1460,0)</f>
        <v>0</v>
      </c>
      <c r="AG1745" s="162">
        <f t="shared" si="587"/>
        <v>0</v>
      </c>
      <c r="AH1745" s="162">
        <f t="shared" si="587"/>
        <v>0</v>
      </c>
      <c r="AI1745" s="162">
        <f t="shared" si="587"/>
        <v>0</v>
      </c>
      <c r="AJ1745" s="162">
        <f t="shared" si="587"/>
        <v>0</v>
      </c>
      <c r="AK1745" s="162">
        <f t="shared" si="587"/>
        <v>0</v>
      </c>
      <c r="AL1745" s="162">
        <f t="shared" si="587"/>
        <v>0</v>
      </c>
      <c r="AM1745" s="162">
        <f t="shared" si="587"/>
        <v>0</v>
      </c>
      <c r="AN1745" s="162">
        <f t="shared" si="587"/>
        <v>0</v>
      </c>
      <c r="AO1745" s="162">
        <f t="shared" si="587"/>
        <v>0</v>
      </c>
      <c r="AP1745" s="162">
        <f t="shared" si="587"/>
        <v>0</v>
      </c>
      <c r="AQ1745" s="162">
        <f t="shared" si="587"/>
        <v>0</v>
      </c>
      <c r="AR1745" s="163">
        <f t="shared" si="577"/>
        <v>0</v>
      </c>
      <c r="AT1745" s="208">
        <f>IFERROR(VLOOKUP(J1745,#REF!,10,0),0)</f>
        <v>0</v>
      </c>
    </row>
    <row r="1746" spans="1:46" hidden="1" outlineLevel="1" x14ac:dyDescent="0.25">
      <c r="A1746" s="14" t="str">
        <f t="shared" si="583"/>
        <v>PROP_OPER__34</v>
      </c>
      <c r="B1746" s="15" t="str">
        <f t="shared" si="571"/>
        <v>PROP_OPER__0_0</v>
      </c>
      <c r="C1746" s="83"/>
      <c r="D1746" s="15">
        <v>1</v>
      </c>
      <c r="E1746" s="15">
        <v>34</v>
      </c>
      <c r="F1746" s="190">
        <f t="shared" si="585"/>
        <v>0</v>
      </c>
      <c r="G1746" s="149" t="str">
        <f t="shared" si="585"/>
        <v/>
      </c>
      <c r="H1746" s="150" t="str">
        <f t="shared" si="585"/>
        <v/>
      </c>
      <c r="I1746" s="150">
        <f t="shared" si="585"/>
        <v>0</v>
      </c>
      <c r="J1746" s="150">
        <f t="shared" si="585"/>
        <v>0</v>
      </c>
      <c r="K1746" s="196"/>
      <c r="L1746" s="197"/>
      <c r="M1746" s="191">
        <f t="shared" si="586"/>
        <v>0</v>
      </c>
      <c r="N1746" s="150">
        <f t="shared" si="586"/>
        <v>0</v>
      </c>
      <c r="O1746" s="193">
        <f t="shared" si="586"/>
        <v>0</v>
      </c>
      <c r="P1746" s="162">
        <f t="shared" si="584"/>
        <v>0</v>
      </c>
      <c r="Q1746" s="162">
        <f t="shared" si="584"/>
        <v>0</v>
      </c>
      <c r="R1746" s="162">
        <f t="shared" si="584"/>
        <v>0</v>
      </c>
      <c r="S1746" s="162">
        <f t="shared" si="584"/>
        <v>0</v>
      </c>
      <c r="T1746" s="162">
        <f t="shared" si="584"/>
        <v>0</v>
      </c>
      <c r="U1746" s="162">
        <f t="shared" si="584"/>
        <v>0</v>
      </c>
      <c r="V1746" s="162">
        <f t="shared" si="584"/>
        <v>0</v>
      </c>
      <c r="W1746" s="162">
        <f t="shared" si="584"/>
        <v>0</v>
      </c>
      <c r="X1746" s="162">
        <f t="shared" si="584"/>
        <v>0</v>
      </c>
      <c r="Y1746" s="162">
        <f t="shared" si="584"/>
        <v>0</v>
      </c>
      <c r="Z1746" s="162">
        <f t="shared" si="584"/>
        <v>0</v>
      </c>
      <c r="AA1746" s="162">
        <f t="shared" si="584"/>
        <v>0</v>
      </c>
      <c r="AB1746" s="163">
        <f t="shared" si="575"/>
        <v>0</v>
      </c>
      <c r="AC1746" s="198"/>
      <c r="AE1746" s="194" t="str">
        <f t="shared" si="578"/>
        <v/>
      </c>
      <c r="AF1746" s="161">
        <f t="shared" si="587"/>
        <v>0</v>
      </c>
      <c r="AG1746" s="162">
        <f t="shared" si="587"/>
        <v>0</v>
      </c>
      <c r="AH1746" s="162">
        <f t="shared" si="587"/>
        <v>0</v>
      </c>
      <c r="AI1746" s="162">
        <f t="shared" si="587"/>
        <v>0</v>
      </c>
      <c r="AJ1746" s="162">
        <f t="shared" si="587"/>
        <v>0</v>
      </c>
      <c r="AK1746" s="162">
        <f t="shared" si="587"/>
        <v>0</v>
      </c>
      <c r="AL1746" s="162">
        <f t="shared" si="587"/>
        <v>0</v>
      </c>
      <c r="AM1746" s="162">
        <f t="shared" si="587"/>
        <v>0</v>
      </c>
      <c r="AN1746" s="162">
        <f t="shared" si="587"/>
        <v>0</v>
      </c>
      <c r="AO1746" s="162">
        <f t="shared" si="587"/>
        <v>0</v>
      </c>
      <c r="AP1746" s="162">
        <f t="shared" si="587"/>
        <v>0</v>
      </c>
      <c r="AQ1746" s="162">
        <f t="shared" si="587"/>
        <v>0</v>
      </c>
      <c r="AR1746" s="163">
        <f t="shared" si="577"/>
        <v>0</v>
      </c>
      <c r="AT1746" s="208">
        <f>IFERROR(VLOOKUP(J1746,#REF!,10,0),0)</f>
        <v>0</v>
      </c>
    </row>
    <row r="1747" spans="1:46" hidden="1" outlineLevel="1" x14ac:dyDescent="0.25">
      <c r="A1747" s="14" t="str">
        <f t="shared" si="583"/>
        <v>PROP_OPER__35</v>
      </c>
      <c r="B1747" s="15" t="str">
        <f t="shared" si="571"/>
        <v>PROP_OPER__0_0</v>
      </c>
      <c r="C1747" s="83"/>
      <c r="D1747" s="15">
        <v>1</v>
      </c>
      <c r="E1747" s="15">
        <v>35</v>
      </c>
      <c r="F1747" s="190">
        <f t="shared" si="585"/>
        <v>0</v>
      </c>
      <c r="G1747" s="149" t="str">
        <f t="shared" si="585"/>
        <v/>
      </c>
      <c r="H1747" s="150" t="str">
        <f t="shared" si="585"/>
        <v/>
      </c>
      <c r="I1747" s="150">
        <f t="shared" si="585"/>
        <v>0</v>
      </c>
      <c r="J1747" s="150">
        <f t="shared" si="585"/>
        <v>0</v>
      </c>
      <c r="K1747" s="196"/>
      <c r="L1747" s="197"/>
      <c r="M1747" s="191">
        <f t="shared" si="586"/>
        <v>0</v>
      </c>
      <c r="N1747" s="150">
        <f t="shared" si="586"/>
        <v>0</v>
      </c>
      <c r="O1747" s="193">
        <f t="shared" si="586"/>
        <v>0</v>
      </c>
      <c r="P1747" s="162">
        <f t="shared" si="584"/>
        <v>0</v>
      </c>
      <c r="Q1747" s="162">
        <f t="shared" si="584"/>
        <v>0</v>
      </c>
      <c r="R1747" s="162">
        <f t="shared" si="584"/>
        <v>0</v>
      </c>
      <c r="S1747" s="162">
        <f t="shared" si="584"/>
        <v>0</v>
      </c>
      <c r="T1747" s="162">
        <f t="shared" si="584"/>
        <v>0</v>
      </c>
      <c r="U1747" s="162">
        <f t="shared" si="584"/>
        <v>0</v>
      </c>
      <c r="V1747" s="162">
        <f t="shared" si="584"/>
        <v>0</v>
      </c>
      <c r="W1747" s="162">
        <f t="shared" si="584"/>
        <v>0</v>
      </c>
      <c r="X1747" s="162">
        <f t="shared" si="584"/>
        <v>0</v>
      </c>
      <c r="Y1747" s="162">
        <f t="shared" si="584"/>
        <v>0</v>
      </c>
      <c r="Z1747" s="162">
        <f t="shared" si="584"/>
        <v>0</v>
      </c>
      <c r="AA1747" s="162">
        <f t="shared" si="584"/>
        <v>0</v>
      </c>
      <c r="AB1747" s="163">
        <f t="shared" si="575"/>
        <v>0</v>
      </c>
      <c r="AC1747" s="198"/>
      <c r="AE1747" s="194" t="str">
        <f t="shared" si="578"/>
        <v/>
      </c>
      <c r="AF1747" s="161">
        <f t="shared" si="587"/>
        <v>0</v>
      </c>
      <c r="AG1747" s="162">
        <f t="shared" si="587"/>
        <v>0</v>
      </c>
      <c r="AH1747" s="162">
        <f t="shared" si="587"/>
        <v>0</v>
      </c>
      <c r="AI1747" s="162">
        <f t="shared" si="587"/>
        <v>0</v>
      </c>
      <c r="AJ1747" s="162">
        <f t="shared" si="587"/>
        <v>0</v>
      </c>
      <c r="AK1747" s="162">
        <f t="shared" si="587"/>
        <v>0</v>
      </c>
      <c r="AL1747" s="162">
        <f t="shared" si="587"/>
        <v>0</v>
      </c>
      <c r="AM1747" s="162">
        <f t="shared" si="587"/>
        <v>0</v>
      </c>
      <c r="AN1747" s="162">
        <f t="shared" si="587"/>
        <v>0</v>
      </c>
      <c r="AO1747" s="162">
        <f t="shared" si="587"/>
        <v>0</v>
      </c>
      <c r="AP1747" s="162">
        <f t="shared" si="587"/>
        <v>0</v>
      </c>
      <c r="AQ1747" s="162">
        <f t="shared" si="587"/>
        <v>0</v>
      </c>
      <c r="AR1747" s="163">
        <f t="shared" si="577"/>
        <v>0</v>
      </c>
      <c r="AT1747" s="208">
        <f>IFERROR(VLOOKUP(J1747,#REF!,10,0),0)</f>
        <v>0</v>
      </c>
    </row>
    <row r="1748" spans="1:46" hidden="1" outlineLevel="1" x14ac:dyDescent="0.25">
      <c r="A1748" s="14" t="str">
        <f t="shared" si="583"/>
        <v>PROP_OPER__36</v>
      </c>
      <c r="B1748" s="15" t="str">
        <f t="shared" si="571"/>
        <v>PROP_OPER__0_0</v>
      </c>
      <c r="C1748" s="83"/>
      <c r="D1748" s="15">
        <v>1</v>
      </c>
      <c r="E1748" s="15">
        <v>36</v>
      </c>
      <c r="F1748" s="190">
        <f t="shared" si="585"/>
        <v>0</v>
      </c>
      <c r="G1748" s="149" t="str">
        <f t="shared" si="585"/>
        <v/>
      </c>
      <c r="H1748" s="150" t="str">
        <f t="shared" si="585"/>
        <v/>
      </c>
      <c r="I1748" s="150">
        <f t="shared" si="585"/>
        <v>0</v>
      </c>
      <c r="J1748" s="150">
        <f t="shared" si="585"/>
        <v>0</v>
      </c>
      <c r="K1748" s="196"/>
      <c r="L1748" s="197"/>
      <c r="M1748" s="191">
        <f t="shared" si="586"/>
        <v>0</v>
      </c>
      <c r="N1748" s="150">
        <f t="shared" si="586"/>
        <v>0</v>
      </c>
      <c r="O1748" s="193">
        <f t="shared" si="586"/>
        <v>0</v>
      </c>
      <c r="P1748" s="162">
        <f t="shared" si="584"/>
        <v>0</v>
      </c>
      <c r="Q1748" s="162">
        <f t="shared" si="584"/>
        <v>0</v>
      </c>
      <c r="R1748" s="162">
        <f t="shared" si="584"/>
        <v>0</v>
      </c>
      <c r="S1748" s="162">
        <f t="shared" si="584"/>
        <v>0</v>
      </c>
      <c r="T1748" s="162">
        <f t="shared" si="584"/>
        <v>0</v>
      </c>
      <c r="U1748" s="162">
        <f t="shared" si="584"/>
        <v>0</v>
      </c>
      <c r="V1748" s="162">
        <f t="shared" si="584"/>
        <v>0</v>
      </c>
      <c r="W1748" s="162">
        <f t="shared" si="584"/>
        <v>0</v>
      </c>
      <c r="X1748" s="162">
        <f t="shared" si="584"/>
        <v>0</v>
      </c>
      <c r="Y1748" s="162">
        <f t="shared" si="584"/>
        <v>0</v>
      </c>
      <c r="Z1748" s="162">
        <f t="shared" si="584"/>
        <v>0</v>
      </c>
      <c r="AA1748" s="162">
        <f t="shared" si="584"/>
        <v>0</v>
      </c>
      <c r="AB1748" s="163">
        <f t="shared" si="575"/>
        <v>0</v>
      </c>
      <c r="AC1748" s="198"/>
      <c r="AE1748" s="194" t="str">
        <f t="shared" si="578"/>
        <v/>
      </c>
      <c r="AF1748" s="161">
        <f t="shared" si="587"/>
        <v>0</v>
      </c>
      <c r="AG1748" s="162">
        <f t="shared" si="587"/>
        <v>0</v>
      </c>
      <c r="AH1748" s="162">
        <f t="shared" si="587"/>
        <v>0</v>
      </c>
      <c r="AI1748" s="162">
        <f t="shared" si="587"/>
        <v>0</v>
      </c>
      <c r="AJ1748" s="162">
        <f t="shared" si="587"/>
        <v>0</v>
      </c>
      <c r="AK1748" s="162">
        <f t="shared" si="587"/>
        <v>0</v>
      </c>
      <c r="AL1748" s="162">
        <f t="shared" si="587"/>
        <v>0</v>
      </c>
      <c r="AM1748" s="162">
        <f t="shared" si="587"/>
        <v>0</v>
      </c>
      <c r="AN1748" s="162">
        <f t="shared" si="587"/>
        <v>0</v>
      </c>
      <c r="AO1748" s="162">
        <f t="shared" si="587"/>
        <v>0</v>
      </c>
      <c r="AP1748" s="162">
        <f t="shared" si="587"/>
        <v>0</v>
      </c>
      <c r="AQ1748" s="162">
        <f t="shared" si="587"/>
        <v>0</v>
      </c>
      <c r="AR1748" s="163">
        <f t="shared" si="577"/>
        <v>0</v>
      </c>
      <c r="AT1748" s="208">
        <f>IFERROR(VLOOKUP(J1748,#REF!,10,0),0)</f>
        <v>0</v>
      </c>
    </row>
    <row r="1749" spans="1:46" hidden="1" outlineLevel="1" x14ac:dyDescent="0.25">
      <c r="A1749" s="14" t="str">
        <f t="shared" si="583"/>
        <v>PROP_OPER__37</v>
      </c>
      <c r="B1749" s="15" t="str">
        <f t="shared" si="571"/>
        <v>PROP_OPER__0_0</v>
      </c>
      <c r="C1749" s="83"/>
      <c r="D1749" s="15">
        <v>1</v>
      </c>
      <c r="E1749" s="15">
        <v>37</v>
      </c>
      <c r="F1749" s="190">
        <f t="shared" si="585"/>
        <v>0</v>
      </c>
      <c r="G1749" s="149" t="str">
        <f t="shared" si="585"/>
        <v/>
      </c>
      <c r="H1749" s="150" t="str">
        <f t="shared" si="585"/>
        <v/>
      </c>
      <c r="I1749" s="150">
        <f t="shared" si="585"/>
        <v>0</v>
      </c>
      <c r="J1749" s="150">
        <f t="shared" si="585"/>
        <v>0</v>
      </c>
      <c r="K1749" s="196"/>
      <c r="L1749" s="197"/>
      <c r="M1749" s="191">
        <f t="shared" si="586"/>
        <v>0</v>
      </c>
      <c r="N1749" s="150">
        <f t="shared" si="586"/>
        <v>0</v>
      </c>
      <c r="O1749" s="193">
        <f t="shared" si="586"/>
        <v>0</v>
      </c>
      <c r="P1749" s="162">
        <f t="shared" si="584"/>
        <v>0</v>
      </c>
      <c r="Q1749" s="162">
        <f t="shared" si="584"/>
        <v>0</v>
      </c>
      <c r="R1749" s="162">
        <f t="shared" si="584"/>
        <v>0</v>
      </c>
      <c r="S1749" s="162">
        <f t="shared" si="584"/>
        <v>0</v>
      </c>
      <c r="T1749" s="162">
        <f t="shared" si="584"/>
        <v>0</v>
      </c>
      <c r="U1749" s="162">
        <f t="shared" si="584"/>
        <v>0</v>
      </c>
      <c r="V1749" s="162">
        <f t="shared" si="584"/>
        <v>0</v>
      </c>
      <c r="W1749" s="162">
        <f t="shared" si="584"/>
        <v>0</v>
      </c>
      <c r="X1749" s="162">
        <f t="shared" si="584"/>
        <v>0</v>
      </c>
      <c r="Y1749" s="162">
        <f t="shared" si="584"/>
        <v>0</v>
      </c>
      <c r="Z1749" s="162">
        <f t="shared" si="584"/>
        <v>0</v>
      </c>
      <c r="AA1749" s="162">
        <f t="shared" si="584"/>
        <v>0</v>
      </c>
      <c r="AB1749" s="163">
        <f t="shared" si="575"/>
        <v>0</v>
      </c>
      <c r="AC1749" s="198"/>
      <c r="AE1749" s="194" t="str">
        <f t="shared" si="578"/>
        <v/>
      </c>
      <c r="AF1749" s="161">
        <f t="shared" si="587"/>
        <v>0</v>
      </c>
      <c r="AG1749" s="162">
        <f t="shared" si="587"/>
        <v>0</v>
      </c>
      <c r="AH1749" s="162">
        <f t="shared" si="587"/>
        <v>0</v>
      </c>
      <c r="AI1749" s="162">
        <f t="shared" si="587"/>
        <v>0</v>
      </c>
      <c r="AJ1749" s="162">
        <f t="shared" si="587"/>
        <v>0</v>
      </c>
      <c r="AK1749" s="162">
        <f t="shared" si="587"/>
        <v>0</v>
      </c>
      <c r="AL1749" s="162">
        <f t="shared" si="587"/>
        <v>0</v>
      </c>
      <c r="AM1749" s="162">
        <f t="shared" si="587"/>
        <v>0</v>
      </c>
      <c r="AN1749" s="162">
        <f t="shared" si="587"/>
        <v>0</v>
      </c>
      <c r="AO1749" s="162">
        <f t="shared" si="587"/>
        <v>0</v>
      </c>
      <c r="AP1749" s="162">
        <f t="shared" si="587"/>
        <v>0</v>
      </c>
      <c r="AQ1749" s="162">
        <f t="shared" si="587"/>
        <v>0</v>
      </c>
      <c r="AR1749" s="163">
        <f t="shared" si="577"/>
        <v>0</v>
      </c>
      <c r="AT1749" s="208">
        <f>IFERROR(VLOOKUP(J1749,#REF!,10,0),0)</f>
        <v>0</v>
      </c>
    </row>
    <row r="1750" spans="1:46" hidden="1" outlineLevel="1" x14ac:dyDescent="0.25">
      <c r="A1750" s="14" t="str">
        <f t="shared" si="583"/>
        <v>PROP_OPER__38</v>
      </c>
      <c r="B1750" s="15" t="str">
        <f t="shared" si="571"/>
        <v>PROP_OPER__0_0</v>
      </c>
      <c r="C1750" s="83"/>
      <c r="D1750" s="15">
        <v>1</v>
      </c>
      <c r="E1750" s="15">
        <v>38</v>
      </c>
      <c r="F1750" s="190">
        <f t="shared" si="585"/>
        <v>0</v>
      </c>
      <c r="G1750" s="149" t="str">
        <f t="shared" si="585"/>
        <v/>
      </c>
      <c r="H1750" s="150" t="str">
        <f t="shared" si="585"/>
        <v/>
      </c>
      <c r="I1750" s="150">
        <f t="shared" si="585"/>
        <v>0</v>
      </c>
      <c r="J1750" s="150">
        <f t="shared" si="585"/>
        <v>0</v>
      </c>
      <c r="K1750" s="196"/>
      <c r="L1750" s="197"/>
      <c r="M1750" s="191">
        <f t="shared" si="586"/>
        <v>0</v>
      </c>
      <c r="N1750" s="150">
        <f t="shared" si="586"/>
        <v>0</v>
      </c>
      <c r="O1750" s="193">
        <f t="shared" si="586"/>
        <v>0</v>
      </c>
      <c r="P1750" s="162">
        <f t="shared" si="584"/>
        <v>0</v>
      </c>
      <c r="Q1750" s="162">
        <f t="shared" si="584"/>
        <v>0</v>
      </c>
      <c r="R1750" s="162">
        <f t="shared" si="584"/>
        <v>0</v>
      </c>
      <c r="S1750" s="162">
        <f t="shared" si="584"/>
        <v>0</v>
      </c>
      <c r="T1750" s="162">
        <f t="shared" si="584"/>
        <v>0</v>
      </c>
      <c r="U1750" s="162">
        <f t="shared" si="584"/>
        <v>0</v>
      </c>
      <c r="V1750" s="162">
        <f t="shared" si="584"/>
        <v>0</v>
      </c>
      <c r="W1750" s="162">
        <f t="shared" si="584"/>
        <v>0</v>
      </c>
      <c r="X1750" s="162">
        <f t="shared" si="584"/>
        <v>0</v>
      </c>
      <c r="Y1750" s="162">
        <f t="shared" si="584"/>
        <v>0</v>
      </c>
      <c r="Z1750" s="162">
        <f t="shared" si="584"/>
        <v>0</v>
      </c>
      <c r="AA1750" s="162">
        <f t="shared" si="584"/>
        <v>0</v>
      </c>
      <c r="AB1750" s="163">
        <f t="shared" si="575"/>
        <v>0</v>
      </c>
      <c r="AC1750" s="198"/>
      <c r="AE1750" s="194" t="str">
        <f t="shared" si="578"/>
        <v/>
      </c>
      <c r="AF1750" s="161">
        <f t="shared" si="587"/>
        <v>0</v>
      </c>
      <c r="AG1750" s="162">
        <f t="shared" si="587"/>
        <v>0</v>
      </c>
      <c r="AH1750" s="162">
        <f t="shared" si="587"/>
        <v>0</v>
      </c>
      <c r="AI1750" s="162">
        <f t="shared" si="587"/>
        <v>0</v>
      </c>
      <c r="AJ1750" s="162">
        <f t="shared" si="587"/>
        <v>0</v>
      </c>
      <c r="AK1750" s="162">
        <f t="shared" si="587"/>
        <v>0</v>
      </c>
      <c r="AL1750" s="162">
        <f t="shared" si="587"/>
        <v>0</v>
      </c>
      <c r="AM1750" s="162">
        <f t="shared" si="587"/>
        <v>0</v>
      </c>
      <c r="AN1750" s="162">
        <f t="shared" si="587"/>
        <v>0</v>
      </c>
      <c r="AO1750" s="162">
        <f t="shared" si="587"/>
        <v>0</v>
      </c>
      <c r="AP1750" s="162">
        <f t="shared" si="587"/>
        <v>0</v>
      </c>
      <c r="AQ1750" s="162">
        <f t="shared" si="587"/>
        <v>0</v>
      </c>
      <c r="AR1750" s="163">
        <f t="shared" si="577"/>
        <v>0</v>
      </c>
      <c r="AT1750" s="208">
        <f>IFERROR(VLOOKUP(J1750,#REF!,10,0),0)</f>
        <v>0</v>
      </c>
    </row>
    <row r="1751" spans="1:46" hidden="1" outlineLevel="1" x14ac:dyDescent="0.25">
      <c r="A1751" s="14" t="str">
        <f t="shared" si="583"/>
        <v>PROP_OPER__39</v>
      </c>
      <c r="B1751" s="15" t="str">
        <f t="shared" si="571"/>
        <v>PROP_OPER__0_0</v>
      </c>
      <c r="C1751" s="83"/>
      <c r="D1751" s="15">
        <v>1</v>
      </c>
      <c r="E1751" s="15">
        <v>39</v>
      </c>
      <c r="F1751" s="190">
        <f t="shared" si="585"/>
        <v>0</v>
      </c>
      <c r="G1751" s="149" t="str">
        <f t="shared" si="585"/>
        <v/>
      </c>
      <c r="H1751" s="150" t="str">
        <f t="shared" si="585"/>
        <v/>
      </c>
      <c r="I1751" s="150">
        <f t="shared" si="585"/>
        <v>0</v>
      </c>
      <c r="J1751" s="150">
        <f t="shared" si="585"/>
        <v>0</v>
      </c>
      <c r="K1751" s="196"/>
      <c r="L1751" s="197"/>
      <c r="M1751" s="191">
        <f t="shared" si="586"/>
        <v>0</v>
      </c>
      <c r="N1751" s="150">
        <f t="shared" si="586"/>
        <v>0</v>
      </c>
      <c r="O1751" s="193">
        <f t="shared" si="586"/>
        <v>0</v>
      </c>
      <c r="P1751" s="162">
        <f t="shared" si="584"/>
        <v>0</v>
      </c>
      <c r="Q1751" s="162">
        <f t="shared" si="584"/>
        <v>0</v>
      </c>
      <c r="R1751" s="162">
        <f t="shared" si="584"/>
        <v>0</v>
      </c>
      <c r="S1751" s="162">
        <f t="shared" si="584"/>
        <v>0</v>
      </c>
      <c r="T1751" s="162">
        <f t="shared" si="584"/>
        <v>0</v>
      </c>
      <c r="U1751" s="162">
        <f t="shared" si="584"/>
        <v>0</v>
      </c>
      <c r="V1751" s="162">
        <f t="shared" si="584"/>
        <v>0</v>
      </c>
      <c r="W1751" s="162">
        <f t="shared" si="584"/>
        <v>0</v>
      </c>
      <c r="X1751" s="162">
        <f t="shared" si="584"/>
        <v>0</v>
      </c>
      <c r="Y1751" s="162">
        <f t="shared" si="584"/>
        <v>0</v>
      </c>
      <c r="Z1751" s="162">
        <f t="shared" si="584"/>
        <v>0</v>
      </c>
      <c r="AA1751" s="162">
        <f t="shared" si="584"/>
        <v>0</v>
      </c>
      <c r="AB1751" s="163">
        <f t="shared" si="575"/>
        <v>0</v>
      </c>
      <c r="AC1751" s="198"/>
      <c r="AE1751" s="194" t="str">
        <f t="shared" si="578"/>
        <v/>
      </c>
      <c r="AF1751" s="161">
        <f t="shared" si="587"/>
        <v>0</v>
      </c>
      <c r="AG1751" s="162">
        <f t="shared" si="587"/>
        <v>0</v>
      </c>
      <c r="AH1751" s="162">
        <f t="shared" si="587"/>
        <v>0</v>
      </c>
      <c r="AI1751" s="162">
        <f t="shared" si="587"/>
        <v>0</v>
      </c>
      <c r="AJ1751" s="162">
        <f t="shared" si="587"/>
        <v>0</v>
      </c>
      <c r="AK1751" s="162">
        <f t="shared" si="587"/>
        <v>0</v>
      </c>
      <c r="AL1751" s="162">
        <f t="shared" si="587"/>
        <v>0</v>
      </c>
      <c r="AM1751" s="162">
        <f t="shared" si="587"/>
        <v>0</v>
      </c>
      <c r="AN1751" s="162">
        <f t="shared" si="587"/>
        <v>0</v>
      </c>
      <c r="AO1751" s="162">
        <f t="shared" si="587"/>
        <v>0</v>
      </c>
      <c r="AP1751" s="162">
        <f t="shared" si="587"/>
        <v>0</v>
      </c>
      <c r="AQ1751" s="162">
        <f t="shared" si="587"/>
        <v>0</v>
      </c>
      <c r="AR1751" s="163">
        <f t="shared" si="577"/>
        <v>0</v>
      </c>
      <c r="AT1751" s="208">
        <f>IFERROR(VLOOKUP(J1751,#REF!,10,0),0)</f>
        <v>0</v>
      </c>
    </row>
    <row r="1752" spans="1:46" hidden="1" outlineLevel="1" x14ac:dyDescent="0.25">
      <c r="A1752" s="14" t="str">
        <f t="shared" si="583"/>
        <v>PROP_OPER__40</v>
      </c>
      <c r="B1752" s="15" t="str">
        <f t="shared" si="571"/>
        <v>PROP_OPER__0_0</v>
      </c>
      <c r="C1752" s="83"/>
      <c r="D1752" s="15">
        <v>1</v>
      </c>
      <c r="E1752" s="15">
        <v>40</v>
      </c>
      <c r="F1752" s="190">
        <f t="shared" si="585"/>
        <v>0</v>
      </c>
      <c r="G1752" s="149" t="str">
        <f t="shared" si="585"/>
        <v/>
      </c>
      <c r="H1752" s="150" t="str">
        <f t="shared" si="585"/>
        <v/>
      </c>
      <c r="I1752" s="150">
        <f t="shared" si="585"/>
        <v>0</v>
      </c>
      <c r="J1752" s="150">
        <f t="shared" si="585"/>
        <v>0</v>
      </c>
      <c r="K1752" s="196"/>
      <c r="L1752" s="197"/>
      <c r="M1752" s="191">
        <f t="shared" si="586"/>
        <v>0</v>
      </c>
      <c r="N1752" s="150">
        <f t="shared" si="586"/>
        <v>0</v>
      </c>
      <c r="O1752" s="193">
        <f t="shared" si="586"/>
        <v>0</v>
      </c>
      <c r="P1752" s="162">
        <f t="shared" ref="P1752:AA1757" si="588">IFERROR(SUMIF($B$1351:$B$1378,$C1752&amp;$I1752,P$1351:P$1378)/SUMIF($D$1351:$D$1378,$I1752,P$1351:P$1378)*P1467,0)</f>
        <v>0</v>
      </c>
      <c r="Q1752" s="162">
        <f t="shared" si="588"/>
        <v>0</v>
      </c>
      <c r="R1752" s="162">
        <f t="shared" si="588"/>
        <v>0</v>
      </c>
      <c r="S1752" s="162">
        <f t="shared" si="588"/>
        <v>0</v>
      </c>
      <c r="T1752" s="162">
        <f t="shared" si="588"/>
        <v>0</v>
      </c>
      <c r="U1752" s="162">
        <f t="shared" si="588"/>
        <v>0</v>
      </c>
      <c r="V1752" s="162">
        <f t="shared" si="588"/>
        <v>0</v>
      </c>
      <c r="W1752" s="162">
        <f t="shared" si="588"/>
        <v>0</v>
      </c>
      <c r="X1752" s="162">
        <f t="shared" si="588"/>
        <v>0</v>
      </c>
      <c r="Y1752" s="162">
        <f t="shared" si="588"/>
        <v>0</v>
      </c>
      <c r="Z1752" s="162">
        <f t="shared" si="588"/>
        <v>0</v>
      </c>
      <c r="AA1752" s="162">
        <f t="shared" si="588"/>
        <v>0</v>
      </c>
      <c r="AB1752" s="163">
        <f t="shared" si="575"/>
        <v>0</v>
      </c>
      <c r="AC1752" s="198"/>
      <c r="AE1752" s="194" t="str">
        <f t="shared" si="578"/>
        <v/>
      </c>
      <c r="AF1752" s="161">
        <f t="shared" si="587"/>
        <v>0</v>
      </c>
      <c r="AG1752" s="162">
        <f t="shared" si="587"/>
        <v>0</v>
      </c>
      <c r="AH1752" s="162">
        <f t="shared" si="587"/>
        <v>0</v>
      </c>
      <c r="AI1752" s="162">
        <f t="shared" si="587"/>
        <v>0</v>
      </c>
      <c r="AJ1752" s="162">
        <f t="shared" si="587"/>
        <v>0</v>
      </c>
      <c r="AK1752" s="162">
        <f t="shared" si="587"/>
        <v>0</v>
      </c>
      <c r="AL1752" s="162">
        <f t="shared" si="587"/>
        <v>0</v>
      </c>
      <c r="AM1752" s="162">
        <f t="shared" si="587"/>
        <v>0</v>
      </c>
      <c r="AN1752" s="162">
        <f t="shared" si="587"/>
        <v>0</v>
      </c>
      <c r="AO1752" s="162">
        <f t="shared" si="587"/>
        <v>0</v>
      </c>
      <c r="AP1752" s="162">
        <f t="shared" si="587"/>
        <v>0</v>
      </c>
      <c r="AQ1752" s="162">
        <f t="shared" si="587"/>
        <v>0</v>
      </c>
      <c r="AR1752" s="163">
        <f t="shared" si="577"/>
        <v>0</v>
      </c>
      <c r="AT1752" s="208">
        <f>IFERROR(VLOOKUP(J1752,#REF!,10,0),0)</f>
        <v>0</v>
      </c>
    </row>
    <row r="1753" spans="1:46" hidden="1" outlineLevel="1" x14ac:dyDescent="0.25">
      <c r="A1753" s="14" t="str">
        <f t="shared" si="583"/>
        <v>PROP_OPER__41</v>
      </c>
      <c r="B1753" s="15" t="str">
        <f t="shared" si="571"/>
        <v>PROP_OPER__0_0</v>
      </c>
      <c r="C1753" s="83"/>
      <c r="D1753" s="15">
        <v>1</v>
      </c>
      <c r="E1753" s="15">
        <v>41</v>
      </c>
      <c r="F1753" s="190">
        <f t="shared" si="585"/>
        <v>0</v>
      </c>
      <c r="G1753" s="149" t="str">
        <f t="shared" si="585"/>
        <v/>
      </c>
      <c r="H1753" s="150" t="str">
        <f t="shared" si="585"/>
        <v/>
      </c>
      <c r="I1753" s="150">
        <f t="shared" si="585"/>
        <v>0</v>
      </c>
      <c r="J1753" s="150">
        <f t="shared" si="585"/>
        <v>0</v>
      </c>
      <c r="K1753" s="196"/>
      <c r="L1753" s="197"/>
      <c r="M1753" s="191">
        <f t="shared" si="586"/>
        <v>0</v>
      </c>
      <c r="N1753" s="150">
        <f t="shared" si="586"/>
        <v>0</v>
      </c>
      <c r="O1753" s="193">
        <f t="shared" si="586"/>
        <v>0</v>
      </c>
      <c r="P1753" s="162">
        <f t="shared" si="588"/>
        <v>0</v>
      </c>
      <c r="Q1753" s="162">
        <f t="shared" si="588"/>
        <v>0</v>
      </c>
      <c r="R1753" s="162">
        <f t="shared" si="588"/>
        <v>0</v>
      </c>
      <c r="S1753" s="162">
        <f t="shared" si="588"/>
        <v>0</v>
      </c>
      <c r="T1753" s="162">
        <f t="shared" si="588"/>
        <v>0</v>
      </c>
      <c r="U1753" s="162">
        <f t="shared" si="588"/>
        <v>0</v>
      </c>
      <c r="V1753" s="162">
        <f t="shared" si="588"/>
        <v>0</v>
      </c>
      <c r="W1753" s="162">
        <f t="shared" si="588"/>
        <v>0</v>
      </c>
      <c r="X1753" s="162">
        <f t="shared" si="588"/>
        <v>0</v>
      </c>
      <c r="Y1753" s="162">
        <f t="shared" si="588"/>
        <v>0</v>
      </c>
      <c r="Z1753" s="162">
        <f t="shared" si="588"/>
        <v>0</v>
      </c>
      <c r="AA1753" s="162">
        <f t="shared" si="588"/>
        <v>0</v>
      </c>
      <c r="AB1753" s="163">
        <f t="shared" si="575"/>
        <v>0</v>
      </c>
      <c r="AC1753" s="198"/>
      <c r="AE1753" s="194" t="str">
        <f t="shared" si="578"/>
        <v/>
      </c>
      <c r="AF1753" s="161">
        <f t="shared" si="587"/>
        <v>0</v>
      </c>
      <c r="AG1753" s="162">
        <f t="shared" si="587"/>
        <v>0</v>
      </c>
      <c r="AH1753" s="162">
        <f t="shared" si="587"/>
        <v>0</v>
      </c>
      <c r="AI1753" s="162">
        <f t="shared" si="587"/>
        <v>0</v>
      </c>
      <c r="AJ1753" s="162">
        <f t="shared" si="587"/>
        <v>0</v>
      </c>
      <c r="AK1753" s="162">
        <f t="shared" si="587"/>
        <v>0</v>
      </c>
      <c r="AL1753" s="162">
        <f t="shared" si="587"/>
        <v>0</v>
      </c>
      <c r="AM1753" s="162">
        <f t="shared" si="587"/>
        <v>0</v>
      </c>
      <c r="AN1753" s="162">
        <f t="shared" si="587"/>
        <v>0</v>
      </c>
      <c r="AO1753" s="162">
        <f t="shared" si="587"/>
        <v>0</v>
      </c>
      <c r="AP1753" s="162">
        <f t="shared" si="587"/>
        <v>0</v>
      </c>
      <c r="AQ1753" s="162">
        <f t="shared" si="587"/>
        <v>0</v>
      </c>
      <c r="AR1753" s="163">
        <f t="shared" si="577"/>
        <v>0</v>
      </c>
      <c r="AT1753" s="208">
        <f>IFERROR(VLOOKUP(J1753,#REF!,10,0),0)</f>
        <v>0</v>
      </c>
    </row>
    <row r="1754" spans="1:46" hidden="1" outlineLevel="1" x14ac:dyDescent="0.25">
      <c r="A1754" s="14" t="str">
        <f t="shared" si="583"/>
        <v>PROP_OPER__42</v>
      </c>
      <c r="B1754" s="15" t="str">
        <f t="shared" si="571"/>
        <v>PROP_OPER__0_0</v>
      </c>
      <c r="C1754" s="83"/>
      <c r="D1754" s="15">
        <v>1</v>
      </c>
      <c r="E1754" s="15">
        <v>42</v>
      </c>
      <c r="F1754" s="190">
        <f t="shared" si="585"/>
        <v>0</v>
      </c>
      <c r="G1754" s="149" t="str">
        <f t="shared" si="585"/>
        <v/>
      </c>
      <c r="H1754" s="150" t="str">
        <f t="shared" si="585"/>
        <v/>
      </c>
      <c r="I1754" s="150">
        <f t="shared" si="585"/>
        <v>0</v>
      </c>
      <c r="J1754" s="150">
        <f t="shared" si="585"/>
        <v>0</v>
      </c>
      <c r="K1754" s="196"/>
      <c r="L1754" s="197"/>
      <c r="M1754" s="191">
        <f t="shared" si="586"/>
        <v>0</v>
      </c>
      <c r="N1754" s="150">
        <f t="shared" si="586"/>
        <v>0</v>
      </c>
      <c r="O1754" s="193">
        <f t="shared" si="586"/>
        <v>0</v>
      </c>
      <c r="P1754" s="162">
        <f t="shared" si="588"/>
        <v>0</v>
      </c>
      <c r="Q1754" s="162">
        <f t="shared" si="588"/>
        <v>0</v>
      </c>
      <c r="R1754" s="162">
        <f t="shared" si="588"/>
        <v>0</v>
      </c>
      <c r="S1754" s="162">
        <f t="shared" si="588"/>
        <v>0</v>
      </c>
      <c r="T1754" s="162">
        <f t="shared" si="588"/>
        <v>0</v>
      </c>
      <c r="U1754" s="162">
        <f t="shared" si="588"/>
        <v>0</v>
      </c>
      <c r="V1754" s="162">
        <f t="shared" si="588"/>
        <v>0</v>
      </c>
      <c r="W1754" s="162">
        <f t="shared" si="588"/>
        <v>0</v>
      </c>
      <c r="X1754" s="162">
        <f t="shared" si="588"/>
        <v>0</v>
      </c>
      <c r="Y1754" s="162">
        <f t="shared" si="588"/>
        <v>0</v>
      </c>
      <c r="Z1754" s="162">
        <f t="shared" si="588"/>
        <v>0</v>
      </c>
      <c r="AA1754" s="162">
        <f t="shared" si="588"/>
        <v>0</v>
      </c>
      <c r="AB1754" s="163">
        <f t="shared" si="575"/>
        <v>0</v>
      </c>
      <c r="AC1754" s="198"/>
      <c r="AE1754" s="194" t="str">
        <f t="shared" si="578"/>
        <v/>
      </c>
      <c r="AF1754" s="161">
        <f t="shared" si="587"/>
        <v>0</v>
      </c>
      <c r="AG1754" s="162">
        <f t="shared" si="587"/>
        <v>0</v>
      </c>
      <c r="AH1754" s="162">
        <f t="shared" si="587"/>
        <v>0</v>
      </c>
      <c r="AI1754" s="162">
        <f t="shared" si="587"/>
        <v>0</v>
      </c>
      <c r="AJ1754" s="162">
        <f t="shared" si="587"/>
        <v>0</v>
      </c>
      <c r="AK1754" s="162">
        <f t="shared" si="587"/>
        <v>0</v>
      </c>
      <c r="AL1754" s="162">
        <f t="shared" si="587"/>
        <v>0</v>
      </c>
      <c r="AM1754" s="162">
        <f t="shared" si="587"/>
        <v>0</v>
      </c>
      <c r="AN1754" s="162">
        <f t="shared" si="587"/>
        <v>0</v>
      </c>
      <c r="AO1754" s="162">
        <f t="shared" si="587"/>
        <v>0</v>
      </c>
      <c r="AP1754" s="162">
        <f t="shared" si="587"/>
        <v>0</v>
      </c>
      <c r="AQ1754" s="162">
        <f t="shared" si="587"/>
        <v>0</v>
      </c>
      <c r="AR1754" s="163">
        <f t="shared" si="577"/>
        <v>0</v>
      </c>
      <c r="AT1754" s="208">
        <f>IFERROR(VLOOKUP(J1754,#REF!,10,0),0)</f>
        <v>0</v>
      </c>
    </row>
    <row r="1755" spans="1:46" hidden="1" outlineLevel="1" x14ac:dyDescent="0.25">
      <c r="A1755" s="14" t="str">
        <f t="shared" si="583"/>
        <v>PROP_OPER__43</v>
      </c>
      <c r="B1755" s="15" t="str">
        <f t="shared" si="571"/>
        <v>PROP_OPER__0_0</v>
      </c>
      <c r="C1755" s="83"/>
      <c r="D1755" s="15">
        <v>1</v>
      </c>
      <c r="E1755" s="15">
        <v>43</v>
      </c>
      <c r="F1755" s="190">
        <f t="shared" si="585"/>
        <v>0</v>
      </c>
      <c r="G1755" s="149" t="str">
        <f t="shared" si="585"/>
        <v/>
      </c>
      <c r="H1755" s="150" t="str">
        <f t="shared" si="585"/>
        <v/>
      </c>
      <c r="I1755" s="150">
        <f t="shared" si="585"/>
        <v>0</v>
      </c>
      <c r="J1755" s="150">
        <f t="shared" si="585"/>
        <v>0</v>
      </c>
      <c r="K1755" s="196"/>
      <c r="L1755" s="197"/>
      <c r="M1755" s="191">
        <f t="shared" si="586"/>
        <v>0</v>
      </c>
      <c r="N1755" s="150">
        <f t="shared" si="586"/>
        <v>0</v>
      </c>
      <c r="O1755" s="193">
        <f t="shared" si="586"/>
        <v>0</v>
      </c>
      <c r="P1755" s="162">
        <f t="shared" si="588"/>
        <v>0</v>
      </c>
      <c r="Q1755" s="162">
        <f t="shared" si="588"/>
        <v>0</v>
      </c>
      <c r="R1755" s="162">
        <f t="shared" si="588"/>
        <v>0</v>
      </c>
      <c r="S1755" s="162">
        <f t="shared" si="588"/>
        <v>0</v>
      </c>
      <c r="T1755" s="162">
        <f t="shared" si="588"/>
        <v>0</v>
      </c>
      <c r="U1755" s="162">
        <f t="shared" si="588"/>
        <v>0</v>
      </c>
      <c r="V1755" s="162">
        <f t="shared" si="588"/>
        <v>0</v>
      </c>
      <c r="W1755" s="162">
        <f t="shared" si="588"/>
        <v>0</v>
      </c>
      <c r="X1755" s="162">
        <f t="shared" si="588"/>
        <v>0</v>
      </c>
      <c r="Y1755" s="162">
        <f t="shared" si="588"/>
        <v>0</v>
      </c>
      <c r="Z1755" s="162">
        <f t="shared" si="588"/>
        <v>0</v>
      </c>
      <c r="AA1755" s="162">
        <f t="shared" si="588"/>
        <v>0</v>
      </c>
      <c r="AB1755" s="163">
        <f t="shared" si="575"/>
        <v>0</v>
      </c>
      <c r="AC1755" s="198"/>
      <c r="AE1755" s="194" t="str">
        <f t="shared" si="578"/>
        <v/>
      </c>
      <c r="AF1755" s="161">
        <f t="shared" si="587"/>
        <v>0</v>
      </c>
      <c r="AG1755" s="162">
        <f t="shared" si="587"/>
        <v>0</v>
      </c>
      <c r="AH1755" s="162">
        <f t="shared" si="587"/>
        <v>0</v>
      </c>
      <c r="AI1755" s="162">
        <f t="shared" si="587"/>
        <v>0</v>
      </c>
      <c r="AJ1755" s="162">
        <f t="shared" si="587"/>
        <v>0</v>
      </c>
      <c r="AK1755" s="162">
        <f t="shared" si="587"/>
        <v>0</v>
      </c>
      <c r="AL1755" s="162">
        <f t="shared" si="587"/>
        <v>0</v>
      </c>
      <c r="AM1755" s="162">
        <f t="shared" si="587"/>
        <v>0</v>
      </c>
      <c r="AN1755" s="162">
        <f t="shared" si="587"/>
        <v>0</v>
      </c>
      <c r="AO1755" s="162">
        <f t="shared" si="587"/>
        <v>0</v>
      </c>
      <c r="AP1755" s="162">
        <f t="shared" si="587"/>
        <v>0</v>
      </c>
      <c r="AQ1755" s="162">
        <f t="shared" si="587"/>
        <v>0</v>
      </c>
      <c r="AR1755" s="163">
        <f t="shared" si="577"/>
        <v>0</v>
      </c>
      <c r="AT1755" s="208">
        <f>IFERROR(VLOOKUP(J1755,#REF!,10,0),0)</f>
        <v>0</v>
      </c>
    </row>
    <row r="1756" spans="1:46" hidden="1" outlineLevel="1" x14ac:dyDescent="0.25">
      <c r="A1756" s="14" t="str">
        <f t="shared" si="583"/>
        <v>PROP_OPER__44</v>
      </c>
      <c r="B1756" s="15" t="str">
        <f t="shared" si="571"/>
        <v>PROP_OPER__0_0</v>
      </c>
      <c r="C1756" s="83"/>
      <c r="D1756" s="15">
        <v>1</v>
      </c>
      <c r="E1756" s="15">
        <v>44</v>
      </c>
      <c r="F1756" s="190">
        <f t="shared" si="585"/>
        <v>0</v>
      </c>
      <c r="G1756" s="149" t="str">
        <f t="shared" si="585"/>
        <v/>
      </c>
      <c r="H1756" s="150" t="str">
        <f t="shared" si="585"/>
        <v/>
      </c>
      <c r="I1756" s="150">
        <f t="shared" si="585"/>
        <v>0</v>
      </c>
      <c r="J1756" s="150">
        <f t="shared" si="585"/>
        <v>0</v>
      </c>
      <c r="K1756" s="196"/>
      <c r="L1756" s="197"/>
      <c r="M1756" s="191">
        <f t="shared" si="586"/>
        <v>0</v>
      </c>
      <c r="N1756" s="150">
        <f t="shared" si="586"/>
        <v>0</v>
      </c>
      <c r="O1756" s="193">
        <f t="shared" si="586"/>
        <v>0</v>
      </c>
      <c r="P1756" s="162">
        <f t="shared" si="588"/>
        <v>0</v>
      </c>
      <c r="Q1756" s="162">
        <f t="shared" si="588"/>
        <v>0</v>
      </c>
      <c r="R1756" s="162">
        <f t="shared" si="588"/>
        <v>0</v>
      </c>
      <c r="S1756" s="162">
        <f t="shared" si="588"/>
        <v>0</v>
      </c>
      <c r="T1756" s="162">
        <f t="shared" si="588"/>
        <v>0</v>
      </c>
      <c r="U1756" s="162">
        <f t="shared" si="588"/>
        <v>0</v>
      </c>
      <c r="V1756" s="162">
        <f t="shared" si="588"/>
        <v>0</v>
      </c>
      <c r="W1756" s="162">
        <f t="shared" si="588"/>
        <v>0</v>
      </c>
      <c r="X1756" s="162">
        <f t="shared" si="588"/>
        <v>0</v>
      </c>
      <c r="Y1756" s="162">
        <f t="shared" si="588"/>
        <v>0</v>
      </c>
      <c r="Z1756" s="162">
        <f t="shared" si="588"/>
        <v>0</v>
      </c>
      <c r="AA1756" s="162">
        <f t="shared" si="588"/>
        <v>0</v>
      </c>
      <c r="AB1756" s="163">
        <f t="shared" si="575"/>
        <v>0</v>
      </c>
      <c r="AC1756" s="198"/>
      <c r="AE1756" s="194" t="str">
        <f t="shared" si="578"/>
        <v/>
      </c>
      <c r="AF1756" s="161">
        <f t="shared" si="587"/>
        <v>0</v>
      </c>
      <c r="AG1756" s="162">
        <f t="shared" si="587"/>
        <v>0</v>
      </c>
      <c r="AH1756" s="162">
        <f t="shared" si="587"/>
        <v>0</v>
      </c>
      <c r="AI1756" s="162">
        <f t="shared" si="587"/>
        <v>0</v>
      </c>
      <c r="AJ1756" s="162">
        <f t="shared" si="587"/>
        <v>0</v>
      </c>
      <c r="AK1756" s="162">
        <f t="shared" si="587"/>
        <v>0</v>
      </c>
      <c r="AL1756" s="162">
        <f t="shared" si="587"/>
        <v>0</v>
      </c>
      <c r="AM1756" s="162">
        <f t="shared" si="587"/>
        <v>0</v>
      </c>
      <c r="AN1756" s="162">
        <f t="shared" si="587"/>
        <v>0</v>
      </c>
      <c r="AO1756" s="162">
        <f t="shared" si="587"/>
        <v>0</v>
      </c>
      <c r="AP1756" s="162">
        <f t="shared" si="587"/>
        <v>0</v>
      </c>
      <c r="AQ1756" s="162">
        <f t="shared" si="587"/>
        <v>0</v>
      </c>
      <c r="AR1756" s="163">
        <f t="shared" si="577"/>
        <v>0</v>
      </c>
      <c r="AT1756" s="208">
        <f>IFERROR(VLOOKUP(J1756,#REF!,10,0),0)</f>
        <v>0</v>
      </c>
    </row>
    <row r="1757" spans="1:46" hidden="1" outlineLevel="1" x14ac:dyDescent="0.25">
      <c r="A1757" s="14" t="str">
        <f t="shared" si="583"/>
        <v>PROP_OPER__45</v>
      </c>
      <c r="B1757" s="15" t="str">
        <f t="shared" si="571"/>
        <v>PROP_OPER__0_0</v>
      </c>
      <c r="C1757" s="83"/>
      <c r="D1757" s="15">
        <v>1</v>
      </c>
      <c r="E1757" s="15">
        <v>45</v>
      </c>
      <c r="F1757" s="209">
        <f t="shared" si="585"/>
        <v>0</v>
      </c>
      <c r="G1757" s="183" t="str">
        <f t="shared" si="585"/>
        <v/>
      </c>
      <c r="H1757" s="184" t="str">
        <f t="shared" si="585"/>
        <v/>
      </c>
      <c r="I1757" s="184">
        <f t="shared" si="585"/>
        <v>0</v>
      </c>
      <c r="J1757" s="184">
        <f t="shared" si="585"/>
        <v>0</v>
      </c>
      <c r="K1757" s="210"/>
      <c r="L1757" s="211"/>
      <c r="M1757" s="212">
        <f t="shared" si="586"/>
        <v>0</v>
      </c>
      <c r="N1757" s="184">
        <f t="shared" si="586"/>
        <v>0</v>
      </c>
      <c r="O1757" s="213">
        <f t="shared" si="586"/>
        <v>0</v>
      </c>
      <c r="P1757" s="175">
        <f t="shared" si="588"/>
        <v>0</v>
      </c>
      <c r="Q1757" s="175">
        <f t="shared" si="588"/>
        <v>0</v>
      </c>
      <c r="R1757" s="175">
        <f t="shared" si="588"/>
        <v>0</v>
      </c>
      <c r="S1757" s="175">
        <f t="shared" si="588"/>
        <v>0</v>
      </c>
      <c r="T1757" s="175">
        <f t="shared" si="588"/>
        <v>0</v>
      </c>
      <c r="U1757" s="175">
        <f t="shared" si="588"/>
        <v>0</v>
      </c>
      <c r="V1757" s="175">
        <f t="shared" si="588"/>
        <v>0</v>
      </c>
      <c r="W1757" s="175">
        <f t="shared" si="588"/>
        <v>0</v>
      </c>
      <c r="X1757" s="175">
        <f t="shared" si="588"/>
        <v>0</v>
      </c>
      <c r="Y1757" s="175">
        <f t="shared" si="588"/>
        <v>0</v>
      </c>
      <c r="Z1757" s="175">
        <f t="shared" si="588"/>
        <v>0</v>
      </c>
      <c r="AA1757" s="175">
        <f t="shared" si="588"/>
        <v>0</v>
      </c>
      <c r="AB1757" s="176">
        <f t="shared" si="575"/>
        <v>0</v>
      </c>
      <c r="AC1757" s="172"/>
      <c r="AE1757" s="195" t="str">
        <f t="shared" si="578"/>
        <v/>
      </c>
      <c r="AF1757" s="174">
        <f t="shared" si="587"/>
        <v>0</v>
      </c>
      <c r="AG1757" s="175">
        <f t="shared" si="587"/>
        <v>0</v>
      </c>
      <c r="AH1757" s="175">
        <f t="shared" si="587"/>
        <v>0</v>
      </c>
      <c r="AI1757" s="175">
        <f t="shared" si="587"/>
        <v>0</v>
      </c>
      <c r="AJ1757" s="175">
        <f t="shared" si="587"/>
        <v>0</v>
      </c>
      <c r="AK1757" s="175">
        <f t="shared" si="587"/>
        <v>0</v>
      </c>
      <c r="AL1757" s="175">
        <f t="shared" si="587"/>
        <v>0</v>
      </c>
      <c r="AM1757" s="175">
        <f t="shared" si="587"/>
        <v>0</v>
      </c>
      <c r="AN1757" s="175">
        <f t="shared" si="587"/>
        <v>0</v>
      </c>
      <c r="AO1757" s="175">
        <f t="shared" si="587"/>
        <v>0</v>
      </c>
      <c r="AP1757" s="175">
        <f t="shared" si="587"/>
        <v>0</v>
      </c>
      <c r="AQ1757" s="175">
        <f t="shared" si="587"/>
        <v>0</v>
      </c>
      <c r="AR1757" s="176">
        <f t="shared" si="577"/>
        <v>0</v>
      </c>
      <c r="AT1757" s="208">
        <f>IFERROR(VLOOKUP(J1757,#REF!,10,0),0)</f>
        <v>0</v>
      </c>
    </row>
    <row r="1758" spans="1:46" hidden="1" outlineLevel="1" x14ac:dyDescent="0.25">
      <c r="A1758" s="14" t="str">
        <f t="shared" si="583"/>
        <v>PROP_OPER__</v>
      </c>
      <c r="F1758" s="137" t="s">
        <v>303</v>
      </c>
      <c r="G1758" s="138"/>
      <c r="H1758" s="139" t="s">
        <v>217</v>
      </c>
      <c r="I1758" s="139"/>
      <c r="J1758" s="139" t="s">
        <v>229</v>
      </c>
      <c r="K1758" s="140"/>
      <c r="L1758" s="141"/>
      <c r="M1758" s="142" t="s">
        <v>220</v>
      </c>
      <c r="N1758" s="139" t="s">
        <v>221</v>
      </c>
      <c r="O1758" s="143" t="s">
        <v>222</v>
      </c>
      <c r="P1758" s="35">
        <f t="shared" ref="P1758:AA1758" si="589">P$9</f>
        <v>46113</v>
      </c>
      <c r="Q1758" s="35">
        <f t="shared" si="589"/>
        <v>46143</v>
      </c>
      <c r="R1758" s="35">
        <f t="shared" si="589"/>
        <v>46174</v>
      </c>
      <c r="S1758" s="35">
        <f t="shared" si="589"/>
        <v>46204</v>
      </c>
      <c r="T1758" s="35">
        <f t="shared" si="589"/>
        <v>46235</v>
      </c>
      <c r="U1758" s="35">
        <f t="shared" si="589"/>
        <v>46266</v>
      </c>
      <c r="V1758" s="35">
        <f t="shared" si="589"/>
        <v>46296</v>
      </c>
      <c r="W1758" s="35">
        <f t="shared" si="589"/>
        <v>46327</v>
      </c>
      <c r="X1758" s="35">
        <f t="shared" si="589"/>
        <v>46357</v>
      </c>
      <c r="Y1758" s="35">
        <f t="shared" si="589"/>
        <v>46388</v>
      </c>
      <c r="Z1758" s="35">
        <f t="shared" si="589"/>
        <v>46419</v>
      </c>
      <c r="AA1758" s="35">
        <f t="shared" si="589"/>
        <v>46447</v>
      </c>
      <c r="AB1758" s="81" t="s">
        <v>223</v>
      </c>
      <c r="AC1758" s="82" t="s">
        <v>192</v>
      </c>
      <c r="AE1758" s="189" t="str">
        <f>"Qtde Recursos em: "&amp;F1758</f>
        <v>Qtde Recursos em: TRATOS CANA PLANTA - FORNECEDOR</v>
      </c>
      <c r="AF1758" s="147">
        <f>P1758</f>
        <v>46113</v>
      </c>
      <c r="AG1758" s="35">
        <f t="shared" ref="AG1758:AQ1758" si="590">Q1758</f>
        <v>46143</v>
      </c>
      <c r="AH1758" s="35">
        <f t="shared" si="590"/>
        <v>46174</v>
      </c>
      <c r="AI1758" s="35">
        <f t="shared" si="590"/>
        <v>46204</v>
      </c>
      <c r="AJ1758" s="35">
        <f t="shared" si="590"/>
        <v>46235</v>
      </c>
      <c r="AK1758" s="35">
        <f t="shared" si="590"/>
        <v>46266</v>
      </c>
      <c r="AL1758" s="35">
        <f t="shared" si="590"/>
        <v>46296</v>
      </c>
      <c r="AM1758" s="35">
        <f t="shared" si="590"/>
        <v>46327</v>
      </c>
      <c r="AN1758" s="35">
        <f t="shared" si="590"/>
        <v>46357</v>
      </c>
      <c r="AO1758" s="35">
        <f t="shared" si="590"/>
        <v>46388</v>
      </c>
      <c r="AP1758" s="35">
        <f t="shared" si="590"/>
        <v>46419</v>
      </c>
      <c r="AQ1758" s="35">
        <f t="shared" si="590"/>
        <v>46447</v>
      </c>
      <c r="AR1758" s="81" t="s">
        <v>223</v>
      </c>
      <c r="AT1758" s="189" t="s">
        <v>258</v>
      </c>
    </row>
    <row r="1759" spans="1:46" hidden="1" outlineLevel="1" x14ac:dyDescent="0.25">
      <c r="A1759" s="14" t="str">
        <f t="shared" si="583"/>
        <v>PROP_OPER__1</v>
      </c>
      <c r="B1759" s="15" t="str">
        <f t="shared" ref="B1759:B1803" si="591">"PROP_OPER_"&amp;C1759&amp;"_"&amp;F1759&amp;"_"&amp;J1759</f>
        <v>PROP_OPER__1031_0</v>
      </c>
      <c r="C1759" s="83"/>
      <c r="D1759" s="15">
        <v>1</v>
      </c>
      <c r="E1759" s="15">
        <v>1</v>
      </c>
      <c r="F1759" s="190">
        <f t="shared" ref="F1759:J1774" si="592">F1713</f>
        <v>1031</v>
      </c>
      <c r="G1759" s="149" t="str">
        <f t="shared" si="592"/>
        <v/>
      </c>
      <c r="H1759" s="150" t="str">
        <f t="shared" si="592"/>
        <v/>
      </c>
      <c r="I1759" s="150" t="str">
        <f t="shared" si="592"/>
        <v>TRATCPP</v>
      </c>
      <c r="J1759" s="150">
        <f t="shared" si="592"/>
        <v>0</v>
      </c>
      <c r="K1759" s="196"/>
      <c r="L1759" s="197"/>
      <c r="M1759" s="191">
        <f t="shared" ref="M1759:O1774" si="593">M1713</f>
        <v>0</v>
      </c>
      <c r="N1759" s="150">
        <f t="shared" si="593"/>
        <v>0</v>
      </c>
      <c r="O1759" s="193">
        <f t="shared" si="593"/>
        <v>0</v>
      </c>
      <c r="P1759" s="162">
        <f t="shared" ref="P1759:AA1764" si="594">IFERROR(SUMIF($B$1351:$B$1378,$C1759&amp;$I1759,P$1351:P$1378)/SUMIF($D$1351:$D$1378,$I1759,P$1351:P$1378)*P1428,0)</f>
        <v>0</v>
      </c>
      <c r="Q1759" s="162">
        <f t="shared" si="594"/>
        <v>0</v>
      </c>
      <c r="R1759" s="162">
        <f t="shared" si="594"/>
        <v>0</v>
      </c>
      <c r="S1759" s="162">
        <f t="shared" si="594"/>
        <v>0</v>
      </c>
      <c r="T1759" s="162">
        <f t="shared" si="594"/>
        <v>0</v>
      </c>
      <c r="U1759" s="162">
        <f t="shared" si="594"/>
        <v>0</v>
      </c>
      <c r="V1759" s="162">
        <f t="shared" si="594"/>
        <v>0</v>
      </c>
      <c r="W1759" s="162">
        <f t="shared" si="594"/>
        <v>0</v>
      </c>
      <c r="X1759" s="162">
        <f t="shared" si="594"/>
        <v>0</v>
      </c>
      <c r="Y1759" s="162">
        <f t="shared" si="594"/>
        <v>0</v>
      </c>
      <c r="Z1759" s="162">
        <f t="shared" si="594"/>
        <v>0</v>
      </c>
      <c r="AA1759" s="162">
        <f t="shared" si="594"/>
        <v>0</v>
      </c>
      <c r="AB1759" s="163">
        <f t="shared" ref="AB1759:AB1803" si="595">SUM(P1759:AA1759)</f>
        <v>0</v>
      </c>
      <c r="AC1759" s="198"/>
      <c r="AE1759" s="194" t="str">
        <f>AE1713</f>
        <v/>
      </c>
      <c r="AF1759" s="161">
        <f t="shared" ref="AF1759:AQ1774" si="596">IFERROR(SUMIF($B$1351:$B$1378,$C1759&amp;$I1759,P$1351:P$1378)/SUMIF($D$1351:$D$1378,$I1759,P$1351:P$1378)*AF1428,0)</f>
        <v>0</v>
      </c>
      <c r="AG1759" s="162">
        <f t="shared" si="596"/>
        <v>0</v>
      </c>
      <c r="AH1759" s="162">
        <f t="shared" si="596"/>
        <v>0</v>
      </c>
      <c r="AI1759" s="162">
        <f t="shared" si="596"/>
        <v>0</v>
      </c>
      <c r="AJ1759" s="162">
        <f t="shared" si="596"/>
        <v>0</v>
      </c>
      <c r="AK1759" s="162">
        <f t="shared" si="596"/>
        <v>0</v>
      </c>
      <c r="AL1759" s="162">
        <f t="shared" si="596"/>
        <v>0</v>
      </c>
      <c r="AM1759" s="162">
        <f t="shared" si="596"/>
        <v>0</v>
      </c>
      <c r="AN1759" s="162">
        <f t="shared" si="596"/>
        <v>0</v>
      </c>
      <c r="AO1759" s="162">
        <f t="shared" si="596"/>
        <v>0</v>
      </c>
      <c r="AP1759" s="162">
        <f t="shared" si="596"/>
        <v>0</v>
      </c>
      <c r="AQ1759" s="162">
        <f t="shared" si="596"/>
        <v>0</v>
      </c>
      <c r="AR1759" s="163">
        <f t="shared" ref="AR1759:AR1803" si="597">SUM(AF1759:AQ1759)</f>
        <v>0</v>
      </c>
      <c r="AT1759" s="242">
        <f>IFERROR(VLOOKUP(J1759,#REF!,10,0),0)</f>
        <v>0</v>
      </c>
    </row>
    <row r="1760" spans="1:46" hidden="1" outlineLevel="1" x14ac:dyDescent="0.25">
      <c r="A1760" s="14" t="str">
        <f t="shared" si="583"/>
        <v>PROP_OPER__2</v>
      </c>
      <c r="B1760" s="15" t="str">
        <f t="shared" si="591"/>
        <v>PROP_OPER__1020_0</v>
      </c>
      <c r="C1760" s="83"/>
      <c r="D1760" s="15">
        <v>1</v>
      </c>
      <c r="E1760" s="15">
        <v>2</v>
      </c>
      <c r="F1760" s="190">
        <f t="shared" si="592"/>
        <v>1020</v>
      </c>
      <c r="G1760" s="149" t="str">
        <f t="shared" si="592"/>
        <v/>
      </c>
      <c r="H1760" s="150" t="str">
        <f t="shared" si="592"/>
        <v/>
      </c>
      <c r="I1760" s="150" t="str">
        <f t="shared" si="592"/>
        <v>TRATCPP</v>
      </c>
      <c r="J1760" s="150">
        <f t="shared" si="592"/>
        <v>0</v>
      </c>
      <c r="K1760" s="196"/>
      <c r="L1760" s="197"/>
      <c r="M1760" s="191">
        <f t="shared" si="593"/>
        <v>0</v>
      </c>
      <c r="N1760" s="150">
        <f t="shared" si="593"/>
        <v>0</v>
      </c>
      <c r="O1760" s="193">
        <f t="shared" si="593"/>
        <v>0</v>
      </c>
      <c r="P1760" s="162">
        <f t="shared" si="594"/>
        <v>0</v>
      </c>
      <c r="Q1760" s="162">
        <f t="shared" si="594"/>
        <v>0</v>
      </c>
      <c r="R1760" s="162">
        <f t="shared" si="594"/>
        <v>0</v>
      </c>
      <c r="S1760" s="162">
        <f t="shared" si="594"/>
        <v>0</v>
      </c>
      <c r="T1760" s="162">
        <f t="shared" si="594"/>
        <v>0</v>
      </c>
      <c r="U1760" s="162">
        <f t="shared" si="594"/>
        <v>0</v>
      </c>
      <c r="V1760" s="162">
        <f t="shared" si="594"/>
        <v>0</v>
      </c>
      <c r="W1760" s="162">
        <f t="shared" si="594"/>
        <v>0</v>
      </c>
      <c r="X1760" s="162">
        <f t="shared" si="594"/>
        <v>0</v>
      </c>
      <c r="Y1760" s="162">
        <f t="shared" si="594"/>
        <v>0</v>
      </c>
      <c r="Z1760" s="162">
        <f t="shared" si="594"/>
        <v>0</v>
      </c>
      <c r="AA1760" s="162">
        <f t="shared" si="594"/>
        <v>0</v>
      </c>
      <c r="AB1760" s="163">
        <f t="shared" si="595"/>
        <v>0</v>
      </c>
      <c r="AC1760" s="198"/>
      <c r="AE1760" s="194" t="str">
        <f t="shared" ref="AE1760:AE1803" si="598">AE1714</f>
        <v/>
      </c>
      <c r="AF1760" s="161">
        <f t="shared" si="596"/>
        <v>0</v>
      </c>
      <c r="AG1760" s="162">
        <f t="shared" si="596"/>
        <v>0</v>
      </c>
      <c r="AH1760" s="162">
        <f t="shared" si="596"/>
        <v>0</v>
      </c>
      <c r="AI1760" s="162">
        <f t="shared" si="596"/>
        <v>0</v>
      </c>
      <c r="AJ1760" s="162">
        <f t="shared" si="596"/>
        <v>0</v>
      </c>
      <c r="AK1760" s="162">
        <f t="shared" si="596"/>
        <v>0</v>
      </c>
      <c r="AL1760" s="162">
        <f t="shared" si="596"/>
        <v>0</v>
      </c>
      <c r="AM1760" s="162">
        <f t="shared" si="596"/>
        <v>0</v>
      </c>
      <c r="AN1760" s="162">
        <f t="shared" si="596"/>
        <v>0</v>
      </c>
      <c r="AO1760" s="162">
        <f t="shared" si="596"/>
        <v>0</v>
      </c>
      <c r="AP1760" s="162">
        <f t="shared" si="596"/>
        <v>0</v>
      </c>
      <c r="AQ1760" s="162">
        <f t="shared" si="596"/>
        <v>0</v>
      </c>
      <c r="AR1760" s="163">
        <f t="shared" si="597"/>
        <v>0</v>
      </c>
      <c r="AT1760" s="208">
        <f>IFERROR(VLOOKUP(J1760,#REF!,10,0),0)</f>
        <v>0</v>
      </c>
    </row>
    <row r="1761" spans="1:46" hidden="1" outlineLevel="1" x14ac:dyDescent="0.25">
      <c r="A1761" s="14" t="str">
        <f t="shared" si="583"/>
        <v>PROP_OPER__3</v>
      </c>
      <c r="B1761" s="15" t="str">
        <f t="shared" si="591"/>
        <v>PROP_OPER__1078_0</v>
      </c>
      <c r="C1761" s="83"/>
      <c r="D1761" s="15">
        <v>1</v>
      </c>
      <c r="E1761" s="15">
        <v>3</v>
      </c>
      <c r="F1761" s="190">
        <f t="shared" si="592"/>
        <v>1078</v>
      </c>
      <c r="G1761" s="149" t="str">
        <f t="shared" si="592"/>
        <v/>
      </c>
      <c r="H1761" s="150" t="str">
        <f t="shared" si="592"/>
        <v/>
      </c>
      <c r="I1761" s="150" t="str">
        <f t="shared" si="592"/>
        <v>TRATCPP</v>
      </c>
      <c r="J1761" s="150">
        <f t="shared" si="592"/>
        <v>0</v>
      </c>
      <c r="K1761" s="196"/>
      <c r="L1761" s="197"/>
      <c r="M1761" s="191">
        <f t="shared" si="593"/>
        <v>0</v>
      </c>
      <c r="N1761" s="150">
        <f t="shared" si="593"/>
        <v>0</v>
      </c>
      <c r="O1761" s="193">
        <f t="shared" si="593"/>
        <v>0</v>
      </c>
      <c r="P1761" s="162">
        <f t="shared" si="594"/>
        <v>0</v>
      </c>
      <c r="Q1761" s="162">
        <f t="shared" si="594"/>
        <v>0</v>
      </c>
      <c r="R1761" s="162">
        <f t="shared" si="594"/>
        <v>0</v>
      </c>
      <c r="S1761" s="162">
        <f t="shared" si="594"/>
        <v>0</v>
      </c>
      <c r="T1761" s="162">
        <f t="shared" si="594"/>
        <v>0</v>
      </c>
      <c r="U1761" s="162">
        <f t="shared" si="594"/>
        <v>0</v>
      </c>
      <c r="V1761" s="162">
        <f t="shared" si="594"/>
        <v>0</v>
      </c>
      <c r="W1761" s="162">
        <f t="shared" si="594"/>
        <v>0</v>
      </c>
      <c r="X1761" s="162">
        <f t="shared" si="594"/>
        <v>0</v>
      </c>
      <c r="Y1761" s="162">
        <f t="shared" si="594"/>
        <v>0</v>
      </c>
      <c r="Z1761" s="162">
        <f t="shared" si="594"/>
        <v>0</v>
      </c>
      <c r="AA1761" s="162">
        <f t="shared" si="594"/>
        <v>0</v>
      </c>
      <c r="AB1761" s="163">
        <f t="shared" si="595"/>
        <v>0</v>
      </c>
      <c r="AC1761" s="198"/>
      <c r="AE1761" s="194" t="str">
        <f t="shared" si="598"/>
        <v/>
      </c>
      <c r="AF1761" s="161">
        <f t="shared" si="596"/>
        <v>0</v>
      </c>
      <c r="AG1761" s="162">
        <f t="shared" si="596"/>
        <v>0</v>
      </c>
      <c r="AH1761" s="162">
        <f t="shared" si="596"/>
        <v>0</v>
      </c>
      <c r="AI1761" s="162">
        <f t="shared" si="596"/>
        <v>0</v>
      </c>
      <c r="AJ1761" s="162">
        <f t="shared" si="596"/>
        <v>0</v>
      </c>
      <c r="AK1761" s="162">
        <f t="shared" si="596"/>
        <v>0</v>
      </c>
      <c r="AL1761" s="162">
        <f t="shared" si="596"/>
        <v>0</v>
      </c>
      <c r="AM1761" s="162">
        <f t="shared" si="596"/>
        <v>0</v>
      </c>
      <c r="AN1761" s="162">
        <f t="shared" si="596"/>
        <v>0</v>
      </c>
      <c r="AO1761" s="162">
        <f t="shared" si="596"/>
        <v>0</v>
      </c>
      <c r="AP1761" s="162">
        <f t="shared" si="596"/>
        <v>0</v>
      </c>
      <c r="AQ1761" s="162">
        <f t="shared" si="596"/>
        <v>0</v>
      </c>
      <c r="AR1761" s="163">
        <f t="shared" si="597"/>
        <v>0</v>
      </c>
      <c r="AT1761" s="208">
        <f>IFERROR(VLOOKUP(J1761,#REF!,10,0),0)</f>
        <v>0</v>
      </c>
    </row>
    <row r="1762" spans="1:46" hidden="1" outlineLevel="1" x14ac:dyDescent="0.25">
      <c r="A1762" s="14" t="str">
        <f t="shared" si="583"/>
        <v>PROP_OPER__4</v>
      </c>
      <c r="B1762" s="15" t="str">
        <f t="shared" si="591"/>
        <v>PROP_OPER__1091_0</v>
      </c>
      <c r="C1762" s="83"/>
      <c r="D1762" s="15">
        <v>1</v>
      </c>
      <c r="E1762" s="15">
        <v>4</v>
      </c>
      <c r="F1762" s="190">
        <f t="shared" si="592"/>
        <v>1091</v>
      </c>
      <c r="G1762" s="149" t="str">
        <f t="shared" si="592"/>
        <v/>
      </c>
      <c r="H1762" s="150" t="str">
        <f t="shared" si="592"/>
        <v/>
      </c>
      <c r="I1762" s="150" t="str">
        <f t="shared" si="592"/>
        <v>TRATCPP</v>
      </c>
      <c r="J1762" s="150">
        <f t="shared" si="592"/>
        <v>0</v>
      </c>
      <c r="K1762" s="196"/>
      <c r="L1762" s="197"/>
      <c r="M1762" s="191">
        <f t="shared" si="593"/>
        <v>0</v>
      </c>
      <c r="N1762" s="150">
        <f t="shared" si="593"/>
        <v>0</v>
      </c>
      <c r="O1762" s="193">
        <f t="shared" si="593"/>
        <v>0</v>
      </c>
      <c r="P1762" s="162">
        <f t="shared" si="594"/>
        <v>0</v>
      </c>
      <c r="Q1762" s="162">
        <f t="shared" si="594"/>
        <v>0</v>
      </c>
      <c r="R1762" s="162">
        <f t="shared" si="594"/>
        <v>0</v>
      </c>
      <c r="S1762" s="162">
        <f t="shared" si="594"/>
        <v>0</v>
      </c>
      <c r="T1762" s="162">
        <f t="shared" si="594"/>
        <v>0</v>
      </c>
      <c r="U1762" s="162">
        <f t="shared" si="594"/>
        <v>0</v>
      </c>
      <c r="V1762" s="162">
        <f t="shared" si="594"/>
        <v>0</v>
      </c>
      <c r="W1762" s="162">
        <f t="shared" si="594"/>
        <v>0</v>
      </c>
      <c r="X1762" s="162">
        <f t="shared" si="594"/>
        <v>0</v>
      </c>
      <c r="Y1762" s="162">
        <f t="shared" si="594"/>
        <v>0</v>
      </c>
      <c r="Z1762" s="162">
        <f t="shared" si="594"/>
        <v>0</v>
      </c>
      <c r="AA1762" s="162">
        <f t="shared" si="594"/>
        <v>0</v>
      </c>
      <c r="AB1762" s="163">
        <f t="shared" si="595"/>
        <v>0</v>
      </c>
      <c r="AC1762" s="159"/>
      <c r="AE1762" s="194" t="str">
        <f t="shared" si="598"/>
        <v/>
      </c>
      <c r="AF1762" s="161">
        <f t="shared" si="596"/>
        <v>0</v>
      </c>
      <c r="AG1762" s="162">
        <f t="shared" si="596"/>
        <v>0</v>
      </c>
      <c r="AH1762" s="162">
        <f t="shared" si="596"/>
        <v>0</v>
      </c>
      <c r="AI1762" s="162">
        <f t="shared" si="596"/>
        <v>0</v>
      </c>
      <c r="AJ1762" s="162">
        <f t="shared" si="596"/>
        <v>0</v>
      </c>
      <c r="AK1762" s="162">
        <f t="shared" si="596"/>
        <v>0</v>
      </c>
      <c r="AL1762" s="162">
        <f t="shared" si="596"/>
        <v>0</v>
      </c>
      <c r="AM1762" s="162">
        <f t="shared" si="596"/>
        <v>0</v>
      </c>
      <c r="AN1762" s="162">
        <f t="shared" si="596"/>
        <v>0</v>
      </c>
      <c r="AO1762" s="162">
        <f t="shared" si="596"/>
        <v>0</v>
      </c>
      <c r="AP1762" s="162">
        <f t="shared" si="596"/>
        <v>0</v>
      </c>
      <c r="AQ1762" s="162">
        <f t="shared" si="596"/>
        <v>0</v>
      </c>
      <c r="AR1762" s="163">
        <f t="shared" si="597"/>
        <v>0</v>
      </c>
      <c r="AT1762" s="208">
        <f>IFERROR(VLOOKUP(J1762,#REF!,10,0),0)</f>
        <v>0</v>
      </c>
    </row>
    <row r="1763" spans="1:46" hidden="1" outlineLevel="1" x14ac:dyDescent="0.25">
      <c r="A1763" s="14" t="str">
        <f t="shared" si="583"/>
        <v>PROP_OPER__5</v>
      </c>
      <c r="B1763" s="15" t="str">
        <f t="shared" si="591"/>
        <v>PROP_OPER__1093_0</v>
      </c>
      <c r="C1763" s="83"/>
      <c r="D1763" s="15">
        <v>1</v>
      </c>
      <c r="E1763" s="15">
        <v>5</v>
      </c>
      <c r="F1763" s="190">
        <f t="shared" si="592"/>
        <v>1093</v>
      </c>
      <c r="G1763" s="149" t="str">
        <f t="shared" si="592"/>
        <v/>
      </c>
      <c r="H1763" s="150" t="str">
        <f t="shared" si="592"/>
        <v/>
      </c>
      <c r="I1763" s="150" t="str">
        <f t="shared" si="592"/>
        <v>TRATCPP</v>
      </c>
      <c r="J1763" s="150">
        <f t="shared" si="592"/>
        <v>0</v>
      </c>
      <c r="K1763" s="196"/>
      <c r="L1763" s="197"/>
      <c r="M1763" s="191">
        <f t="shared" si="593"/>
        <v>0</v>
      </c>
      <c r="N1763" s="150">
        <f t="shared" si="593"/>
        <v>0</v>
      </c>
      <c r="O1763" s="193">
        <f t="shared" si="593"/>
        <v>0</v>
      </c>
      <c r="P1763" s="162">
        <f t="shared" si="594"/>
        <v>0</v>
      </c>
      <c r="Q1763" s="162">
        <f t="shared" si="594"/>
        <v>0</v>
      </c>
      <c r="R1763" s="162">
        <f t="shared" si="594"/>
        <v>0</v>
      </c>
      <c r="S1763" s="162">
        <f t="shared" si="594"/>
        <v>0</v>
      </c>
      <c r="T1763" s="162">
        <f t="shared" si="594"/>
        <v>0</v>
      </c>
      <c r="U1763" s="162">
        <f t="shared" si="594"/>
        <v>0</v>
      </c>
      <c r="V1763" s="162">
        <f t="shared" si="594"/>
        <v>0</v>
      </c>
      <c r="W1763" s="162">
        <f t="shared" si="594"/>
        <v>0</v>
      </c>
      <c r="X1763" s="162">
        <f t="shared" si="594"/>
        <v>0</v>
      </c>
      <c r="Y1763" s="162">
        <f t="shared" si="594"/>
        <v>0</v>
      </c>
      <c r="Z1763" s="162">
        <f t="shared" si="594"/>
        <v>0</v>
      </c>
      <c r="AA1763" s="162">
        <f t="shared" si="594"/>
        <v>0</v>
      </c>
      <c r="AB1763" s="163">
        <f t="shared" si="595"/>
        <v>0</v>
      </c>
      <c r="AC1763" s="159"/>
      <c r="AE1763" s="194" t="str">
        <f t="shared" si="598"/>
        <v/>
      </c>
      <c r="AF1763" s="161">
        <f t="shared" si="596"/>
        <v>0</v>
      </c>
      <c r="AG1763" s="162">
        <f t="shared" si="596"/>
        <v>0</v>
      </c>
      <c r="AH1763" s="162">
        <f t="shared" si="596"/>
        <v>0</v>
      </c>
      <c r="AI1763" s="162">
        <f t="shared" si="596"/>
        <v>0</v>
      </c>
      <c r="AJ1763" s="162">
        <f t="shared" si="596"/>
        <v>0</v>
      </c>
      <c r="AK1763" s="162">
        <f t="shared" si="596"/>
        <v>0</v>
      </c>
      <c r="AL1763" s="162">
        <f t="shared" si="596"/>
        <v>0</v>
      </c>
      <c r="AM1763" s="162">
        <f t="shared" si="596"/>
        <v>0</v>
      </c>
      <c r="AN1763" s="162">
        <f t="shared" si="596"/>
        <v>0</v>
      </c>
      <c r="AO1763" s="162">
        <f t="shared" si="596"/>
        <v>0</v>
      </c>
      <c r="AP1763" s="162">
        <f t="shared" si="596"/>
        <v>0</v>
      </c>
      <c r="AQ1763" s="162">
        <f t="shared" si="596"/>
        <v>0</v>
      </c>
      <c r="AR1763" s="163">
        <f t="shared" si="597"/>
        <v>0</v>
      </c>
      <c r="AT1763" s="208">
        <f>IFERROR(VLOOKUP(J1763,#REF!,10,0),0)</f>
        <v>0</v>
      </c>
    </row>
    <row r="1764" spans="1:46" hidden="1" outlineLevel="1" x14ac:dyDescent="0.25">
      <c r="A1764" s="14" t="str">
        <f t="shared" si="583"/>
        <v>PROP_OPER__6</v>
      </c>
      <c r="B1764" s="15" t="str">
        <f t="shared" si="591"/>
        <v>PROP_OPER__1032_0</v>
      </c>
      <c r="C1764" s="83"/>
      <c r="D1764" s="15">
        <v>1</v>
      </c>
      <c r="E1764" s="15">
        <v>6</v>
      </c>
      <c r="F1764" s="190">
        <f t="shared" si="592"/>
        <v>1032</v>
      </c>
      <c r="G1764" s="149" t="str">
        <f t="shared" si="592"/>
        <v/>
      </c>
      <c r="H1764" s="150" t="str">
        <f t="shared" si="592"/>
        <v/>
      </c>
      <c r="I1764" s="150" t="str">
        <f t="shared" si="592"/>
        <v>TRATCPP</v>
      </c>
      <c r="J1764" s="150">
        <f t="shared" si="592"/>
        <v>0</v>
      </c>
      <c r="K1764" s="196"/>
      <c r="L1764" s="197"/>
      <c r="M1764" s="191">
        <f t="shared" si="593"/>
        <v>0</v>
      </c>
      <c r="N1764" s="150">
        <f t="shared" si="593"/>
        <v>0</v>
      </c>
      <c r="O1764" s="193">
        <f t="shared" si="593"/>
        <v>0</v>
      </c>
      <c r="P1764" s="162">
        <f t="shared" si="594"/>
        <v>0</v>
      </c>
      <c r="Q1764" s="162">
        <f t="shared" si="594"/>
        <v>0</v>
      </c>
      <c r="R1764" s="162">
        <f t="shared" si="594"/>
        <v>0</v>
      </c>
      <c r="S1764" s="162">
        <f t="shared" si="594"/>
        <v>0</v>
      </c>
      <c r="T1764" s="162">
        <f t="shared" si="594"/>
        <v>0</v>
      </c>
      <c r="U1764" s="162">
        <f t="shared" si="594"/>
        <v>0</v>
      </c>
      <c r="V1764" s="162">
        <f t="shared" si="594"/>
        <v>0</v>
      </c>
      <c r="W1764" s="162">
        <f t="shared" si="594"/>
        <v>0</v>
      </c>
      <c r="X1764" s="162">
        <f t="shared" si="594"/>
        <v>0</v>
      </c>
      <c r="Y1764" s="162">
        <f t="shared" si="594"/>
        <v>0</v>
      </c>
      <c r="Z1764" s="162">
        <f t="shared" si="594"/>
        <v>0</v>
      </c>
      <c r="AA1764" s="162">
        <f t="shared" si="594"/>
        <v>0</v>
      </c>
      <c r="AB1764" s="163">
        <f t="shared" si="595"/>
        <v>0</v>
      </c>
      <c r="AC1764" s="159"/>
      <c r="AE1764" s="194" t="str">
        <f t="shared" si="598"/>
        <v/>
      </c>
      <c r="AF1764" s="161">
        <f t="shared" si="596"/>
        <v>0</v>
      </c>
      <c r="AG1764" s="162">
        <f t="shared" si="596"/>
        <v>0</v>
      </c>
      <c r="AH1764" s="162">
        <f t="shared" si="596"/>
        <v>0</v>
      </c>
      <c r="AI1764" s="162">
        <f t="shared" si="596"/>
        <v>0</v>
      </c>
      <c r="AJ1764" s="162">
        <f t="shared" si="596"/>
        <v>0</v>
      </c>
      <c r="AK1764" s="162">
        <f t="shared" si="596"/>
        <v>0</v>
      </c>
      <c r="AL1764" s="162">
        <f t="shared" si="596"/>
        <v>0</v>
      </c>
      <c r="AM1764" s="162">
        <f t="shared" si="596"/>
        <v>0</v>
      </c>
      <c r="AN1764" s="162">
        <f t="shared" si="596"/>
        <v>0</v>
      </c>
      <c r="AO1764" s="162">
        <f t="shared" si="596"/>
        <v>0</v>
      </c>
      <c r="AP1764" s="162">
        <f t="shared" si="596"/>
        <v>0</v>
      </c>
      <c r="AQ1764" s="162">
        <f t="shared" si="596"/>
        <v>0</v>
      </c>
      <c r="AR1764" s="163">
        <f t="shared" si="597"/>
        <v>0</v>
      </c>
      <c r="AT1764" s="208">
        <f>IFERROR(VLOOKUP(J1764,#REF!,10,0),0)</f>
        <v>0</v>
      </c>
    </row>
    <row r="1765" spans="1:46" hidden="1" outlineLevel="1" x14ac:dyDescent="0.25">
      <c r="A1765" s="14" t="str">
        <f t="shared" si="583"/>
        <v>PROP_OPER__7</v>
      </c>
      <c r="B1765" s="15" t="e">
        <f t="shared" si="591"/>
        <v>#REF!</v>
      </c>
      <c r="C1765" s="83"/>
      <c r="D1765" s="15">
        <v>1</v>
      </c>
      <c r="E1765" s="15">
        <v>7</v>
      </c>
      <c r="F1765" s="190" t="e">
        <f t="shared" si="592"/>
        <v>#REF!</v>
      </c>
      <c r="G1765" s="149" t="e">
        <f t="shared" si="592"/>
        <v>#REF!</v>
      </c>
      <c r="H1765" s="150" t="e">
        <f t="shared" si="592"/>
        <v>#REF!</v>
      </c>
      <c r="I1765" s="150" t="e">
        <f t="shared" si="592"/>
        <v>#REF!</v>
      </c>
      <c r="J1765" s="150" t="e">
        <f t="shared" si="592"/>
        <v>#REF!</v>
      </c>
      <c r="K1765" s="196"/>
      <c r="L1765" s="197"/>
      <c r="M1765" s="191" t="e">
        <f t="shared" si="593"/>
        <v>#REF!</v>
      </c>
      <c r="N1765" s="150" t="e">
        <f t="shared" si="593"/>
        <v>#REF!</v>
      </c>
      <c r="O1765" s="193" t="e">
        <f t="shared" si="593"/>
        <v>#REF!</v>
      </c>
      <c r="P1765" s="162">
        <f>IFERROR(SUMIF($B$1351:$B$1378,$C1765&amp;$I1765,P$1351:P$1378)/SUMIF($D$1351:$D$1378,$I1765,P$1351:P$1378)*#REF!,0)</f>
        <v>0</v>
      </c>
      <c r="Q1765" s="162">
        <f>IFERROR(SUMIF($B$1351:$B$1378,$C1765&amp;$I1765,Q$1351:Q$1378)/SUMIF($D$1351:$D$1378,$I1765,Q$1351:Q$1378)*#REF!,0)</f>
        <v>0</v>
      </c>
      <c r="R1765" s="162">
        <f>IFERROR(SUMIF($B$1351:$B$1378,$C1765&amp;$I1765,R$1351:R$1378)/SUMIF($D$1351:$D$1378,$I1765,R$1351:R$1378)*#REF!,0)</f>
        <v>0</v>
      </c>
      <c r="S1765" s="162">
        <f>IFERROR(SUMIF($B$1351:$B$1378,$C1765&amp;$I1765,S$1351:S$1378)/SUMIF($D$1351:$D$1378,$I1765,S$1351:S$1378)*#REF!,0)</f>
        <v>0</v>
      </c>
      <c r="T1765" s="162">
        <f>IFERROR(SUMIF($B$1351:$B$1378,$C1765&amp;$I1765,T$1351:T$1378)/SUMIF($D$1351:$D$1378,$I1765,T$1351:T$1378)*#REF!,0)</f>
        <v>0</v>
      </c>
      <c r="U1765" s="162">
        <f>IFERROR(SUMIF($B$1351:$B$1378,$C1765&amp;$I1765,U$1351:U$1378)/SUMIF($D$1351:$D$1378,$I1765,U$1351:U$1378)*#REF!,0)</f>
        <v>0</v>
      </c>
      <c r="V1765" s="162">
        <f>IFERROR(SUMIF($B$1351:$B$1378,$C1765&amp;$I1765,V$1351:V$1378)/SUMIF($D$1351:$D$1378,$I1765,V$1351:V$1378)*#REF!,0)</f>
        <v>0</v>
      </c>
      <c r="W1765" s="162">
        <f>IFERROR(SUMIF($B$1351:$B$1378,$C1765&amp;$I1765,W$1351:W$1378)/SUMIF($D$1351:$D$1378,$I1765,W$1351:W$1378)*#REF!,0)</f>
        <v>0</v>
      </c>
      <c r="X1765" s="162">
        <f>IFERROR(SUMIF($B$1351:$B$1378,$C1765&amp;$I1765,X$1351:X$1378)/SUMIF($D$1351:$D$1378,$I1765,X$1351:X$1378)*#REF!,0)</f>
        <v>0</v>
      </c>
      <c r="Y1765" s="162">
        <f>IFERROR(SUMIF($B$1351:$B$1378,$C1765&amp;$I1765,Y$1351:Y$1378)/SUMIF($D$1351:$D$1378,$I1765,Y$1351:Y$1378)*#REF!,0)</f>
        <v>0</v>
      </c>
      <c r="Z1765" s="162">
        <f>IFERROR(SUMIF($B$1351:$B$1378,$C1765&amp;$I1765,Z$1351:Z$1378)/SUMIF($D$1351:$D$1378,$I1765,Z$1351:Z$1378)*#REF!,0)</f>
        <v>0</v>
      </c>
      <c r="AA1765" s="162">
        <f>IFERROR(SUMIF($B$1351:$B$1378,$C1765&amp;$I1765,AA$1351:AA$1378)/SUMIF($D$1351:$D$1378,$I1765,AA$1351:AA$1378)*#REF!,0)</f>
        <v>0</v>
      </c>
      <c r="AB1765" s="163">
        <f t="shared" si="595"/>
        <v>0</v>
      </c>
      <c r="AC1765" s="159"/>
      <c r="AE1765" s="194" t="e">
        <f t="shared" si="598"/>
        <v>#REF!</v>
      </c>
      <c r="AF1765" s="161">
        <f t="shared" si="596"/>
        <v>0</v>
      </c>
      <c r="AG1765" s="162">
        <f t="shared" si="596"/>
        <v>0</v>
      </c>
      <c r="AH1765" s="162">
        <f t="shared" si="596"/>
        <v>0</v>
      </c>
      <c r="AI1765" s="162">
        <f t="shared" si="596"/>
        <v>0</v>
      </c>
      <c r="AJ1765" s="162">
        <f t="shared" si="596"/>
        <v>0</v>
      </c>
      <c r="AK1765" s="162">
        <f t="shared" si="596"/>
        <v>0</v>
      </c>
      <c r="AL1765" s="162">
        <f t="shared" si="596"/>
        <v>0</v>
      </c>
      <c r="AM1765" s="162">
        <f t="shared" si="596"/>
        <v>0</v>
      </c>
      <c r="AN1765" s="162">
        <f t="shared" si="596"/>
        <v>0</v>
      </c>
      <c r="AO1765" s="162">
        <f t="shared" si="596"/>
        <v>0</v>
      </c>
      <c r="AP1765" s="162">
        <f t="shared" si="596"/>
        <v>0</v>
      </c>
      <c r="AQ1765" s="162">
        <f t="shared" si="596"/>
        <v>0</v>
      </c>
      <c r="AR1765" s="163">
        <f t="shared" si="597"/>
        <v>0</v>
      </c>
      <c r="AT1765" s="208">
        <f>IFERROR(VLOOKUP(J1765,#REF!,10,0),0)</f>
        <v>0</v>
      </c>
    </row>
    <row r="1766" spans="1:46" hidden="1" outlineLevel="1" x14ac:dyDescent="0.25">
      <c r="A1766" s="14" t="str">
        <f t="shared" si="583"/>
        <v>PROP_OPER__8</v>
      </c>
      <c r="B1766" s="15" t="str">
        <f t="shared" si="591"/>
        <v>PROP_OPER__0_0</v>
      </c>
      <c r="C1766" s="83"/>
      <c r="D1766" s="15">
        <v>1</v>
      </c>
      <c r="E1766" s="15">
        <v>8</v>
      </c>
      <c r="F1766" s="190">
        <f t="shared" si="592"/>
        <v>0</v>
      </c>
      <c r="G1766" s="149" t="str">
        <f t="shared" si="592"/>
        <v/>
      </c>
      <c r="H1766" s="150" t="str">
        <f t="shared" si="592"/>
        <v/>
      </c>
      <c r="I1766" s="150">
        <f t="shared" si="592"/>
        <v>0</v>
      </c>
      <c r="J1766" s="150">
        <f t="shared" si="592"/>
        <v>0</v>
      </c>
      <c r="K1766" s="196"/>
      <c r="L1766" s="197"/>
      <c r="M1766" s="191">
        <f t="shared" si="593"/>
        <v>0</v>
      </c>
      <c r="N1766" s="150">
        <f t="shared" si="593"/>
        <v>0</v>
      </c>
      <c r="O1766" s="193">
        <f t="shared" si="593"/>
        <v>0</v>
      </c>
      <c r="P1766" s="162">
        <f t="shared" ref="P1766:AA1781" si="599">IFERROR(SUMIF($B$1351:$B$1378,$C1766&amp;$I1766,P$1351:P$1378)/SUMIF($D$1351:$D$1378,$I1766,P$1351:P$1378)*P1435,0)</f>
        <v>0</v>
      </c>
      <c r="Q1766" s="162">
        <f>IFERROR(SUMIF($B$1351:$B$1378,$C1766&amp;$I1766,Q$1351:Q$1378)/SUMIF($D$1351:$D$1378,$I1766,Q$1351:Q$1378)*Q1435,0)</f>
        <v>0</v>
      </c>
      <c r="R1766" s="162">
        <f t="shared" si="599"/>
        <v>0</v>
      </c>
      <c r="S1766" s="162">
        <f t="shared" si="599"/>
        <v>0</v>
      </c>
      <c r="T1766" s="162">
        <f t="shared" si="599"/>
        <v>0</v>
      </c>
      <c r="U1766" s="162">
        <f t="shared" si="599"/>
        <v>0</v>
      </c>
      <c r="V1766" s="162">
        <f t="shared" si="599"/>
        <v>0</v>
      </c>
      <c r="W1766" s="162">
        <f t="shared" si="599"/>
        <v>0</v>
      </c>
      <c r="X1766" s="162">
        <f t="shared" si="599"/>
        <v>0</v>
      </c>
      <c r="Y1766" s="162">
        <f t="shared" si="599"/>
        <v>0</v>
      </c>
      <c r="Z1766" s="162">
        <f t="shared" si="599"/>
        <v>0</v>
      </c>
      <c r="AA1766" s="162">
        <f t="shared" si="599"/>
        <v>0</v>
      </c>
      <c r="AB1766" s="163">
        <f t="shared" si="595"/>
        <v>0</v>
      </c>
      <c r="AC1766" s="159"/>
      <c r="AE1766" s="194" t="str">
        <f t="shared" si="598"/>
        <v/>
      </c>
      <c r="AF1766" s="161">
        <f t="shared" si="596"/>
        <v>0</v>
      </c>
      <c r="AG1766" s="162">
        <f t="shared" si="596"/>
        <v>0</v>
      </c>
      <c r="AH1766" s="162">
        <f t="shared" si="596"/>
        <v>0</v>
      </c>
      <c r="AI1766" s="162">
        <f t="shared" si="596"/>
        <v>0</v>
      </c>
      <c r="AJ1766" s="162">
        <f t="shared" si="596"/>
        <v>0</v>
      </c>
      <c r="AK1766" s="162">
        <f t="shared" si="596"/>
        <v>0</v>
      </c>
      <c r="AL1766" s="162">
        <f t="shared" si="596"/>
        <v>0</v>
      </c>
      <c r="AM1766" s="162">
        <f t="shared" si="596"/>
        <v>0</v>
      </c>
      <c r="AN1766" s="162">
        <f t="shared" si="596"/>
        <v>0</v>
      </c>
      <c r="AO1766" s="162">
        <f t="shared" si="596"/>
        <v>0</v>
      </c>
      <c r="AP1766" s="162">
        <f t="shared" si="596"/>
        <v>0</v>
      </c>
      <c r="AQ1766" s="162">
        <f t="shared" si="596"/>
        <v>0</v>
      </c>
      <c r="AR1766" s="163">
        <f t="shared" si="597"/>
        <v>0</v>
      </c>
      <c r="AT1766" s="208">
        <f>IFERROR(VLOOKUP(J1766,#REF!,10,0),0)</f>
        <v>0</v>
      </c>
    </row>
    <row r="1767" spans="1:46" hidden="1" outlineLevel="1" x14ac:dyDescent="0.25">
      <c r="A1767" s="14" t="str">
        <f t="shared" si="583"/>
        <v>PROP_OPER__9</v>
      </c>
      <c r="B1767" s="15" t="str">
        <f t="shared" si="591"/>
        <v>PROP_OPER__0_0</v>
      </c>
      <c r="C1767" s="83"/>
      <c r="D1767" s="15">
        <v>1</v>
      </c>
      <c r="E1767" s="15">
        <v>9</v>
      </c>
      <c r="F1767" s="190">
        <f t="shared" si="592"/>
        <v>0</v>
      </c>
      <c r="G1767" s="149" t="str">
        <f t="shared" si="592"/>
        <v/>
      </c>
      <c r="H1767" s="150" t="str">
        <f t="shared" si="592"/>
        <v/>
      </c>
      <c r="I1767" s="150">
        <f t="shared" si="592"/>
        <v>0</v>
      </c>
      <c r="J1767" s="150">
        <f t="shared" si="592"/>
        <v>0</v>
      </c>
      <c r="K1767" s="196"/>
      <c r="L1767" s="197"/>
      <c r="M1767" s="191">
        <f t="shared" si="593"/>
        <v>0</v>
      </c>
      <c r="N1767" s="150">
        <f t="shared" si="593"/>
        <v>0</v>
      </c>
      <c r="O1767" s="193">
        <f t="shared" si="593"/>
        <v>0</v>
      </c>
      <c r="P1767" s="162">
        <f t="shared" si="599"/>
        <v>0</v>
      </c>
      <c r="Q1767" s="162">
        <f t="shared" si="599"/>
        <v>0</v>
      </c>
      <c r="R1767" s="162">
        <f t="shared" si="599"/>
        <v>0</v>
      </c>
      <c r="S1767" s="162">
        <f t="shared" si="599"/>
        <v>0</v>
      </c>
      <c r="T1767" s="162">
        <f t="shared" si="599"/>
        <v>0</v>
      </c>
      <c r="U1767" s="162">
        <f t="shared" si="599"/>
        <v>0</v>
      </c>
      <c r="V1767" s="162">
        <f t="shared" si="599"/>
        <v>0</v>
      </c>
      <c r="W1767" s="162">
        <f t="shared" si="599"/>
        <v>0</v>
      </c>
      <c r="X1767" s="162">
        <f t="shared" si="599"/>
        <v>0</v>
      </c>
      <c r="Y1767" s="162">
        <f t="shared" si="599"/>
        <v>0</v>
      </c>
      <c r="Z1767" s="162">
        <f t="shared" si="599"/>
        <v>0</v>
      </c>
      <c r="AA1767" s="162">
        <f t="shared" si="599"/>
        <v>0</v>
      </c>
      <c r="AB1767" s="163">
        <f t="shared" si="595"/>
        <v>0</v>
      </c>
      <c r="AC1767" s="159"/>
      <c r="AE1767" s="194" t="str">
        <f t="shared" si="598"/>
        <v/>
      </c>
      <c r="AF1767" s="161">
        <f t="shared" si="596"/>
        <v>0</v>
      </c>
      <c r="AG1767" s="162">
        <f t="shared" si="596"/>
        <v>0</v>
      </c>
      <c r="AH1767" s="162">
        <f t="shared" si="596"/>
        <v>0</v>
      </c>
      <c r="AI1767" s="162">
        <f t="shared" si="596"/>
        <v>0</v>
      </c>
      <c r="AJ1767" s="162">
        <f t="shared" si="596"/>
        <v>0</v>
      </c>
      <c r="AK1767" s="162">
        <f t="shared" si="596"/>
        <v>0</v>
      </c>
      <c r="AL1767" s="162">
        <f t="shared" si="596"/>
        <v>0</v>
      </c>
      <c r="AM1767" s="162">
        <f t="shared" si="596"/>
        <v>0</v>
      </c>
      <c r="AN1767" s="162">
        <f t="shared" si="596"/>
        <v>0</v>
      </c>
      <c r="AO1767" s="162">
        <f t="shared" si="596"/>
        <v>0</v>
      </c>
      <c r="AP1767" s="162">
        <f t="shared" si="596"/>
        <v>0</v>
      </c>
      <c r="AQ1767" s="162">
        <f t="shared" si="596"/>
        <v>0</v>
      </c>
      <c r="AR1767" s="163">
        <f t="shared" si="597"/>
        <v>0</v>
      </c>
      <c r="AT1767" s="208">
        <f>IFERROR(VLOOKUP(J1767,#REF!,10,0),0)</f>
        <v>0</v>
      </c>
    </row>
    <row r="1768" spans="1:46" hidden="1" outlineLevel="1" x14ac:dyDescent="0.25">
      <c r="A1768" s="14" t="str">
        <f t="shared" si="583"/>
        <v>PROP_OPER__10</v>
      </c>
      <c r="B1768" s="15" t="str">
        <f t="shared" si="591"/>
        <v>PROP_OPER__0_0</v>
      </c>
      <c r="C1768" s="83"/>
      <c r="D1768" s="15">
        <v>1</v>
      </c>
      <c r="E1768" s="15">
        <v>10</v>
      </c>
      <c r="F1768" s="190">
        <f t="shared" si="592"/>
        <v>0</v>
      </c>
      <c r="G1768" s="149" t="str">
        <f t="shared" si="592"/>
        <v/>
      </c>
      <c r="H1768" s="150" t="str">
        <f t="shared" si="592"/>
        <v/>
      </c>
      <c r="I1768" s="150">
        <f t="shared" si="592"/>
        <v>0</v>
      </c>
      <c r="J1768" s="150">
        <f t="shared" si="592"/>
        <v>0</v>
      </c>
      <c r="K1768" s="196"/>
      <c r="L1768" s="197"/>
      <c r="M1768" s="191">
        <f t="shared" si="593"/>
        <v>0</v>
      </c>
      <c r="N1768" s="150">
        <f t="shared" si="593"/>
        <v>0</v>
      </c>
      <c r="O1768" s="193">
        <f t="shared" si="593"/>
        <v>0</v>
      </c>
      <c r="P1768" s="162">
        <f t="shared" si="599"/>
        <v>0</v>
      </c>
      <c r="Q1768" s="162">
        <f t="shared" si="599"/>
        <v>0</v>
      </c>
      <c r="R1768" s="162">
        <f t="shared" si="599"/>
        <v>0</v>
      </c>
      <c r="S1768" s="162">
        <f t="shared" si="599"/>
        <v>0</v>
      </c>
      <c r="T1768" s="162">
        <f t="shared" si="599"/>
        <v>0</v>
      </c>
      <c r="U1768" s="162">
        <f t="shared" si="599"/>
        <v>0</v>
      </c>
      <c r="V1768" s="162">
        <f t="shared" si="599"/>
        <v>0</v>
      </c>
      <c r="W1768" s="162">
        <f t="shared" si="599"/>
        <v>0</v>
      </c>
      <c r="X1768" s="162">
        <f t="shared" si="599"/>
        <v>0</v>
      </c>
      <c r="Y1768" s="162">
        <f t="shared" si="599"/>
        <v>0</v>
      </c>
      <c r="Z1768" s="162">
        <f t="shared" si="599"/>
        <v>0</v>
      </c>
      <c r="AA1768" s="162">
        <f t="shared" si="599"/>
        <v>0</v>
      </c>
      <c r="AB1768" s="163">
        <f t="shared" si="595"/>
        <v>0</v>
      </c>
      <c r="AC1768" s="159"/>
      <c r="AE1768" s="194" t="str">
        <f t="shared" si="598"/>
        <v/>
      </c>
      <c r="AF1768" s="161">
        <f t="shared" si="596"/>
        <v>0</v>
      </c>
      <c r="AG1768" s="162">
        <f t="shared" si="596"/>
        <v>0</v>
      </c>
      <c r="AH1768" s="162">
        <f t="shared" si="596"/>
        <v>0</v>
      </c>
      <c r="AI1768" s="162">
        <f t="shared" si="596"/>
        <v>0</v>
      </c>
      <c r="AJ1768" s="162">
        <f t="shared" si="596"/>
        <v>0</v>
      </c>
      <c r="AK1768" s="162">
        <f t="shared" si="596"/>
        <v>0</v>
      </c>
      <c r="AL1768" s="162">
        <f t="shared" si="596"/>
        <v>0</v>
      </c>
      <c r="AM1768" s="162">
        <f t="shared" si="596"/>
        <v>0</v>
      </c>
      <c r="AN1768" s="162">
        <f t="shared" si="596"/>
        <v>0</v>
      </c>
      <c r="AO1768" s="162">
        <f t="shared" si="596"/>
        <v>0</v>
      </c>
      <c r="AP1768" s="162">
        <f t="shared" si="596"/>
        <v>0</v>
      </c>
      <c r="AQ1768" s="162">
        <f t="shared" si="596"/>
        <v>0</v>
      </c>
      <c r="AR1768" s="163">
        <f t="shared" si="597"/>
        <v>0</v>
      </c>
      <c r="AT1768" s="208">
        <f>IFERROR(VLOOKUP(J1768,#REF!,10,0),0)</f>
        <v>0</v>
      </c>
    </row>
    <row r="1769" spans="1:46" hidden="1" outlineLevel="1" x14ac:dyDescent="0.25">
      <c r="A1769" s="14" t="str">
        <f t="shared" si="583"/>
        <v>PROP_OPER__11</v>
      </c>
      <c r="B1769" s="15" t="str">
        <f t="shared" si="591"/>
        <v>PROP_OPER__0_0</v>
      </c>
      <c r="C1769" s="83"/>
      <c r="D1769" s="15">
        <v>1</v>
      </c>
      <c r="E1769" s="15">
        <v>11</v>
      </c>
      <c r="F1769" s="190">
        <f t="shared" si="592"/>
        <v>0</v>
      </c>
      <c r="G1769" s="149" t="str">
        <f t="shared" si="592"/>
        <v/>
      </c>
      <c r="H1769" s="150" t="str">
        <f t="shared" si="592"/>
        <v/>
      </c>
      <c r="I1769" s="150">
        <f t="shared" si="592"/>
        <v>0</v>
      </c>
      <c r="J1769" s="150">
        <f t="shared" si="592"/>
        <v>0</v>
      </c>
      <c r="K1769" s="196"/>
      <c r="L1769" s="197"/>
      <c r="M1769" s="191">
        <f t="shared" si="593"/>
        <v>0</v>
      </c>
      <c r="N1769" s="150">
        <f t="shared" si="593"/>
        <v>0</v>
      </c>
      <c r="O1769" s="193">
        <f t="shared" si="593"/>
        <v>0</v>
      </c>
      <c r="P1769" s="162">
        <f t="shared" si="599"/>
        <v>0</v>
      </c>
      <c r="Q1769" s="162">
        <f t="shared" si="599"/>
        <v>0</v>
      </c>
      <c r="R1769" s="162">
        <f t="shared" si="599"/>
        <v>0</v>
      </c>
      <c r="S1769" s="162">
        <f t="shared" si="599"/>
        <v>0</v>
      </c>
      <c r="T1769" s="162">
        <f t="shared" si="599"/>
        <v>0</v>
      </c>
      <c r="U1769" s="162">
        <f t="shared" si="599"/>
        <v>0</v>
      </c>
      <c r="V1769" s="162">
        <f t="shared" si="599"/>
        <v>0</v>
      </c>
      <c r="W1769" s="162">
        <f t="shared" si="599"/>
        <v>0</v>
      </c>
      <c r="X1769" s="162">
        <f t="shared" si="599"/>
        <v>0</v>
      </c>
      <c r="Y1769" s="162">
        <f t="shared" si="599"/>
        <v>0</v>
      </c>
      <c r="Z1769" s="162">
        <f t="shared" si="599"/>
        <v>0</v>
      </c>
      <c r="AA1769" s="162">
        <f t="shared" si="599"/>
        <v>0</v>
      </c>
      <c r="AB1769" s="163">
        <f t="shared" si="595"/>
        <v>0</v>
      </c>
      <c r="AC1769" s="198"/>
      <c r="AE1769" s="194" t="str">
        <f t="shared" si="598"/>
        <v/>
      </c>
      <c r="AF1769" s="161">
        <f t="shared" si="596"/>
        <v>0</v>
      </c>
      <c r="AG1769" s="162">
        <f t="shared" si="596"/>
        <v>0</v>
      </c>
      <c r="AH1769" s="162">
        <f t="shared" si="596"/>
        <v>0</v>
      </c>
      <c r="AI1769" s="162">
        <f t="shared" si="596"/>
        <v>0</v>
      </c>
      <c r="AJ1769" s="162">
        <f t="shared" si="596"/>
        <v>0</v>
      </c>
      <c r="AK1769" s="162">
        <f t="shared" si="596"/>
        <v>0</v>
      </c>
      <c r="AL1769" s="162">
        <f t="shared" si="596"/>
        <v>0</v>
      </c>
      <c r="AM1769" s="162">
        <f t="shared" si="596"/>
        <v>0</v>
      </c>
      <c r="AN1769" s="162">
        <f t="shared" si="596"/>
        <v>0</v>
      </c>
      <c r="AO1769" s="162">
        <f t="shared" si="596"/>
        <v>0</v>
      </c>
      <c r="AP1769" s="162">
        <f t="shared" si="596"/>
        <v>0</v>
      </c>
      <c r="AQ1769" s="162">
        <f t="shared" si="596"/>
        <v>0</v>
      </c>
      <c r="AR1769" s="163">
        <f t="shared" si="597"/>
        <v>0</v>
      </c>
      <c r="AT1769" s="208">
        <f>IFERROR(VLOOKUP(J1769,#REF!,10,0),0)</f>
        <v>0</v>
      </c>
    </row>
    <row r="1770" spans="1:46" hidden="1" outlineLevel="1" x14ac:dyDescent="0.25">
      <c r="A1770" s="14" t="str">
        <f t="shared" si="583"/>
        <v>PROP_OPER__12</v>
      </c>
      <c r="B1770" s="15" t="str">
        <f t="shared" si="591"/>
        <v>PROP_OPER__0_0</v>
      </c>
      <c r="C1770" s="83"/>
      <c r="D1770" s="15">
        <v>1</v>
      </c>
      <c r="E1770" s="15">
        <v>12</v>
      </c>
      <c r="F1770" s="190">
        <f t="shared" si="592"/>
        <v>0</v>
      </c>
      <c r="G1770" s="149" t="str">
        <f t="shared" si="592"/>
        <v/>
      </c>
      <c r="H1770" s="150" t="str">
        <f t="shared" si="592"/>
        <v/>
      </c>
      <c r="I1770" s="150">
        <f t="shared" si="592"/>
        <v>0</v>
      </c>
      <c r="J1770" s="150">
        <f t="shared" si="592"/>
        <v>0</v>
      </c>
      <c r="K1770" s="196"/>
      <c r="L1770" s="197"/>
      <c r="M1770" s="191">
        <f t="shared" si="593"/>
        <v>0</v>
      </c>
      <c r="N1770" s="150">
        <f t="shared" si="593"/>
        <v>0</v>
      </c>
      <c r="O1770" s="193">
        <f t="shared" si="593"/>
        <v>0</v>
      </c>
      <c r="P1770" s="162">
        <f t="shared" si="599"/>
        <v>0</v>
      </c>
      <c r="Q1770" s="162">
        <f t="shared" si="599"/>
        <v>0</v>
      </c>
      <c r="R1770" s="162">
        <f t="shared" si="599"/>
        <v>0</v>
      </c>
      <c r="S1770" s="162">
        <f t="shared" si="599"/>
        <v>0</v>
      </c>
      <c r="T1770" s="162">
        <f t="shared" si="599"/>
        <v>0</v>
      </c>
      <c r="U1770" s="162">
        <f t="shared" si="599"/>
        <v>0</v>
      </c>
      <c r="V1770" s="162">
        <f t="shared" si="599"/>
        <v>0</v>
      </c>
      <c r="W1770" s="162">
        <f t="shared" si="599"/>
        <v>0</v>
      </c>
      <c r="X1770" s="162">
        <f t="shared" si="599"/>
        <v>0</v>
      </c>
      <c r="Y1770" s="162">
        <f t="shared" si="599"/>
        <v>0</v>
      </c>
      <c r="Z1770" s="162">
        <f t="shared" si="599"/>
        <v>0</v>
      </c>
      <c r="AA1770" s="162">
        <f t="shared" si="599"/>
        <v>0</v>
      </c>
      <c r="AB1770" s="163">
        <f t="shared" si="595"/>
        <v>0</v>
      </c>
      <c r="AC1770" s="198"/>
      <c r="AE1770" s="194" t="str">
        <f t="shared" si="598"/>
        <v/>
      </c>
      <c r="AF1770" s="161">
        <f t="shared" si="596"/>
        <v>0</v>
      </c>
      <c r="AG1770" s="162">
        <f t="shared" si="596"/>
        <v>0</v>
      </c>
      <c r="AH1770" s="162">
        <f t="shared" si="596"/>
        <v>0</v>
      </c>
      <c r="AI1770" s="162">
        <f t="shared" si="596"/>
        <v>0</v>
      </c>
      <c r="AJ1770" s="162">
        <f t="shared" si="596"/>
        <v>0</v>
      </c>
      <c r="AK1770" s="162">
        <f t="shared" si="596"/>
        <v>0</v>
      </c>
      <c r="AL1770" s="162">
        <f t="shared" si="596"/>
        <v>0</v>
      </c>
      <c r="AM1770" s="162">
        <f t="shared" si="596"/>
        <v>0</v>
      </c>
      <c r="AN1770" s="162">
        <f t="shared" si="596"/>
        <v>0</v>
      </c>
      <c r="AO1770" s="162">
        <f t="shared" si="596"/>
        <v>0</v>
      </c>
      <c r="AP1770" s="162">
        <f t="shared" si="596"/>
        <v>0</v>
      </c>
      <c r="AQ1770" s="162">
        <f t="shared" si="596"/>
        <v>0</v>
      </c>
      <c r="AR1770" s="163">
        <f t="shared" si="597"/>
        <v>0</v>
      </c>
      <c r="AT1770" s="208">
        <f>IFERROR(VLOOKUP(J1770,#REF!,10,0),0)</f>
        <v>0</v>
      </c>
    </row>
    <row r="1771" spans="1:46" hidden="1" outlineLevel="1" x14ac:dyDescent="0.25">
      <c r="A1771" s="14" t="str">
        <f t="shared" si="583"/>
        <v>PROP_OPER__13</v>
      </c>
      <c r="B1771" s="15" t="str">
        <f t="shared" si="591"/>
        <v>PROP_OPER__0_0</v>
      </c>
      <c r="C1771" s="83"/>
      <c r="D1771" s="15">
        <v>1</v>
      </c>
      <c r="E1771" s="15">
        <v>13</v>
      </c>
      <c r="F1771" s="190">
        <f t="shared" si="592"/>
        <v>0</v>
      </c>
      <c r="G1771" s="149" t="str">
        <f t="shared" si="592"/>
        <v/>
      </c>
      <c r="H1771" s="150" t="str">
        <f t="shared" si="592"/>
        <v/>
      </c>
      <c r="I1771" s="150">
        <f t="shared" si="592"/>
        <v>0</v>
      </c>
      <c r="J1771" s="150">
        <f t="shared" si="592"/>
        <v>0</v>
      </c>
      <c r="K1771" s="196"/>
      <c r="L1771" s="197"/>
      <c r="M1771" s="191">
        <f t="shared" si="593"/>
        <v>0</v>
      </c>
      <c r="N1771" s="150">
        <f t="shared" si="593"/>
        <v>0</v>
      </c>
      <c r="O1771" s="193">
        <f t="shared" si="593"/>
        <v>0</v>
      </c>
      <c r="P1771" s="162">
        <f t="shared" si="599"/>
        <v>0</v>
      </c>
      <c r="Q1771" s="162">
        <f t="shared" si="599"/>
        <v>0</v>
      </c>
      <c r="R1771" s="162">
        <f t="shared" si="599"/>
        <v>0</v>
      </c>
      <c r="S1771" s="162">
        <f t="shared" si="599"/>
        <v>0</v>
      </c>
      <c r="T1771" s="162">
        <f t="shared" si="599"/>
        <v>0</v>
      </c>
      <c r="U1771" s="162">
        <f t="shared" si="599"/>
        <v>0</v>
      </c>
      <c r="V1771" s="162">
        <f t="shared" si="599"/>
        <v>0</v>
      </c>
      <c r="W1771" s="162">
        <f t="shared" si="599"/>
        <v>0</v>
      </c>
      <c r="X1771" s="162">
        <f t="shared" si="599"/>
        <v>0</v>
      </c>
      <c r="Y1771" s="162">
        <f t="shared" si="599"/>
        <v>0</v>
      </c>
      <c r="Z1771" s="162">
        <f t="shared" si="599"/>
        <v>0</v>
      </c>
      <c r="AA1771" s="162">
        <f t="shared" si="599"/>
        <v>0</v>
      </c>
      <c r="AB1771" s="163">
        <f t="shared" si="595"/>
        <v>0</v>
      </c>
      <c r="AC1771" s="198"/>
      <c r="AE1771" s="194" t="str">
        <f t="shared" si="598"/>
        <v/>
      </c>
      <c r="AF1771" s="161">
        <f t="shared" si="596"/>
        <v>0</v>
      </c>
      <c r="AG1771" s="162">
        <f t="shared" si="596"/>
        <v>0</v>
      </c>
      <c r="AH1771" s="162">
        <f t="shared" si="596"/>
        <v>0</v>
      </c>
      <c r="AI1771" s="162">
        <f t="shared" si="596"/>
        <v>0</v>
      </c>
      <c r="AJ1771" s="162">
        <f t="shared" si="596"/>
        <v>0</v>
      </c>
      <c r="AK1771" s="162">
        <f t="shared" si="596"/>
        <v>0</v>
      </c>
      <c r="AL1771" s="162">
        <f t="shared" si="596"/>
        <v>0</v>
      </c>
      <c r="AM1771" s="162">
        <f t="shared" si="596"/>
        <v>0</v>
      </c>
      <c r="AN1771" s="162">
        <f t="shared" si="596"/>
        <v>0</v>
      </c>
      <c r="AO1771" s="162">
        <f t="shared" si="596"/>
        <v>0</v>
      </c>
      <c r="AP1771" s="162">
        <f t="shared" si="596"/>
        <v>0</v>
      </c>
      <c r="AQ1771" s="162">
        <f t="shared" si="596"/>
        <v>0</v>
      </c>
      <c r="AR1771" s="163">
        <f t="shared" si="597"/>
        <v>0</v>
      </c>
      <c r="AT1771" s="208">
        <f>IFERROR(VLOOKUP(J1771,#REF!,10,0),0)</f>
        <v>0</v>
      </c>
    </row>
    <row r="1772" spans="1:46" hidden="1" outlineLevel="1" x14ac:dyDescent="0.25">
      <c r="A1772" s="14" t="str">
        <f t="shared" si="583"/>
        <v>PROP_OPER__14</v>
      </c>
      <c r="B1772" s="15" t="str">
        <f t="shared" si="591"/>
        <v>PROP_OPER__0_0</v>
      </c>
      <c r="C1772" s="83"/>
      <c r="D1772" s="15">
        <v>1</v>
      </c>
      <c r="E1772" s="15">
        <v>14</v>
      </c>
      <c r="F1772" s="190">
        <f t="shared" si="592"/>
        <v>0</v>
      </c>
      <c r="G1772" s="149" t="str">
        <f t="shared" si="592"/>
        <v/>
      </c>
      <c r="H1772" s="150" t="str">
        <f t="shared" si="592"/>
        <v/>
      </c>
      <c r="I1772" s="150">
        <f t="shared" si="592"/>
        <v>0</v>
      </c>
      <c r="J1772" s="150">
        <f t="shared" si="592"/>
        <v>0</v>
      </c>
      <c r="K1772" s="196"/>
      <c r="L1772" s="197"/>
      <c r="M1772" s="191">
        <f t="shared" si="593"/>
        <v>0</v>
      </c>
      <c r="N1772" s="150">
        <f t="shared" si="593"/>
        <v>0</v>
      </c>
      <c r="O1772" s="193">
        <f t="shared" si="593"/>
        <v>0</v>
      </c>
      <c r="P1772" s="162">
        <f t="shared" si="599"/>
        <v>0</v>
      </c>
      <c r="Q1772" s="162">
        <f t="shared" si="599"/>
        <v>0</v>
      </c>
      <c r="R1772" s="162">
        <f t="shared" si="599"/>
        <v>0</v>
      </c>
      <c r="S1772" s="162">
        <f t="shared" si="599"/>
        <v>0</v>
      </c>
      <c r="T1772" s="162">
        <f t="shared" si="599"/>
        <v>0</v>
      </c>
      <c r="U1772" s="162">
        <f t="shared" si="599"/>
        <v>0</v>
      </c>
      <c r="V1772" s="162">
        <f t="shared" si="599"/>
        <v>0</v>
      </c>
      <c r="W1772" s="162">
        <f t="shared" si="599"/>
        <v>0</v>
      </c>
      <c r="X1772" s="162">
        <f t="shared" si="599"/>
        <v>0</v>
      </c>
      <c r="Y1772" s="162">
        <f t="shared" si="599"/>
        <v>0</v>
      </c>
      <c r="Z1772" s="162">
        <f t="shared" si="599"/>
        <v>0</v>
      </c>
      <c r="AA1772" s="162">
        <f t="shared" si="599"/>
        <v>0</v>
      </c>
      <c r="AB1772" s="163">
        <f t="shared" si="595"/>
        <v>0</v>
      </c>
      <c r="AC1772" s="198"/>
      <c r="AE1772" s="194" t="str">
        <f t="shared" si="598"/>
        <v/>
      </c>
      <c r="AF1772" s="161">
        <f t="shared" si="596"/>
        <v>0</v>
      </c>
      <c r="AG1772" s="162">
        <f t="shared" si="596"/>
        <v>0</v>
      </c>
      <c r="AH1772" s="162">
        <f t="shared" si="596"/>
        <v>0</v>
      </c>
      <c r="AI1772" s="162">
        <f t="shared" si="596"/>
        <v>0</v>
      </c>
      <c r="AJ1772" s="162">
        <f t="shared" si="596"/>
        <v>0</v>
      </c>
      <c r="AK1772" s="162">
        <f t="shared" si="596"/>
        <v>0</v>
      </c>
      <c r="AL1772" s="162">
        <f t="shared" si="596"/>
        <v>0</v>
      </c>
      <c r="AM1772" s="162">
        <f t="shared" si="596"/>
        <v>0</v>
      </c>
      <c r="AN1772" s="162">
        <f t="shared" si="596"/>
        <v>0</v>
      </c>
      <c r="AO1772" s="162">
        <f t="shared" si="596"/>
        <v>0</v>
      </c>
      <c r="AP1772" s="162">
        <f t="shared" si="596"/>
        <v>0</v>
      </c>
      <c r="AQ1772" s="162">
        <f t="shared" si="596"/>
        <v>0</v>
      </c>
      <c r="AR1772" s="163">
        <f t="shared" si="597"/>
        <v>0</v>
      </c>
      <c r="AT1772" s="208">
        <f>IFERROR(VLOOKUP(J1772,#REF!,10,0),0)</f>
        <v>0</v>
      </c>
    </row>
    <row r="1773" spans="1:46" hidden="1" outlineLevel="1" x14ac:dyDescent="0.25">
      <c r="A1773" s="14" t="str">
        <f t="shared" si="583"/>
        <v>PROP_OPER__15</v>
      </c>
      <c r="B1773" s="15" t="str">
        <f t="shared" si="591"/>
        <v>PROP_OPER__0_0</v>
      </c>
      <c r="C1773" s="83"/>
      <c r="D1773" s="15">
        <v>1</v>
      </c>
      <c r="E1773" s="15">
        <v>15</v>
      </c>
      <c r="F1773" s="190">
        <f t="shared" si="592"/>
        <v>0</v>
      </c>
      <c r="G1773" s="149" t="str">
        <f t="shared" si="592"/>
        <v/>
      </c>
      <c r="H1773" s="150" t="str">
        <f t="shared" si="592"/>
        <v/>
      </c>
      <c r="I1773" s="150">
        <f t="shared" si="592"/>
        <v>0</v>
      </c>
      <c r="J1773" s="150">
        <f t="shared" si="592"/>
        <v>0</v>
      </c>
      <c r="K1773" s="196"/>
      <c r="L1773" s="197"/>
      <c r="M1773" s="191">
        <f t="shared" si="593"/>
        <v>0</v>
      </c>
      <c r="N1773" s="150">
        <f t="shared" si="593"/>
        <v>0</v>
      </c>
      <c r="O1773" s="193">
        <f t="shared" si="593"/>
        <v>0</v>
      </c>
      <c r="P1773" s="162">
        <f t="shared" si="599"/>
        <v>0</v>
      </c>
      <c r="Q1773" s="162">
        <f t="shared" si="599"/>
        <v>0</v>
      </c>
      <c r="R1773" s="162">
        <f t="shared" si="599"/>
        <v>0</v>
      </c>
      <c r="S1773" s="162">
        <f t="shared" si="599"/>
        <v>0</v>
      </c>
      <c r="T1773" s="162">
        <f t="shared" si="599"/>
        <v>0</v>
      </c>
      <c r="U1773" s="162">
        <f t="shared" si="599"/>
        <v>0</v>
      </c>
      <c r="V1773" s="162">
        <f t="shared" si="599"/>
        <v>0</v>
      </c>
      <c r="W1773" s="162">
        <f t="shared" si="599"/>
        <v>0</v>
      </c>
      <c r="X1773" s="162">
        <f t="shared" si="599"/>
        <v>0</v>
      </c>
      <c r="Y1773" s="162">
        <f t="shared" si="599"/>
        <v>0</v>
      </c>
      <c r="Z1773" s="162">
        <f t="shared" si="599"/>
        <v>0</v>
      </c>
      <c r="AA1773" s="162">
        <f t="shared" si="599"/>
        <v>0</v>
      </c>
      <c r="AB1773" s="163">
        <f t="shared" si="595"/>
        <v>0</v>
      </c>
      <c r="AC1773" s="198"/>
      <c r="AE1773" s="194" t="str">
        <f t="shared" si="598"/>
        <v/>
      </c>
      <c r="AF1773" s="161">
        <f t="shared" si="596"/>
        <v>0</v>
      </c>
      <c r="AG1773" s="162">
        <f t="shared" si="596"/>
        <v>0</v>
      </c>
      <c r="AH1773" s="162">
        <f t="shared" si="596"/>
        <v>0</v>
      </c>
      <c r="AI1773" s="162">
        <f t="shared" si="596"/>
        <v>0</v>
      </c>
      <c r="AJ1773" s="162">
        <f t="shared" si="596"/>
        <v>0</v>
      </c>
      <c r="AK1773" s="162">
        <f t="shared" si="596"/>
        <v>0</v>
      </c>
      <c r="AL1773" s="162">
        <f t="shared" si="596"/>
        <v>0</v>
      </c>
      <c r="AM1773" s="162">
        <f t="shared" si="596"/>
        <v>0</v>
      </c>
      <c r="AN1773" s="162">
        <f t="shared" si="596"/>
        <v>0</v>
      </c>
      <c r="AO1773" s="162">
        <f t="shared" si="596"/>
        <v>0</v>
      </c>
      <c r="AP1773" s="162">
        <f t="shared" si="596"/>
        <v>0</v>
      </c>
      <c r="AQ1773" s="162">
        <f t="shared" si="596"/>
        <v>0</v>
      </c>
      <c r="AR1773" s="163">
        <f t="shared" si="597"/>
        <v>0</v>
      </c>
      <c r="AT1773" s="208">
        <f>IFERROR(VLOOKUP(J1773,#REF!,10,0),0)</f>
        <v>0</v>
      </c>
    </row>
    <row r="1774" spans="1:46" hidden="1" outlineLevel="1" x14ac:dyDescent="0.25">
      <c r="A1774" s="14" t="str">
        <f t="shared" si="583"/>
        <v>PROP_OPER__16</v>
      </c>
      <c r="B1774" s="15" t="str">
        <f t="shared" si="591"/>
        <v>PROP_OPER__0_0</v>
      </c>
      <c r="C1774" s="83"/>
      <c r="D1774" s="15">
        <v>1</v>
      </c>
      <c r="E1774" s="15">
        <v>16</v>
      </c>
      <c r="F1774" s="190">
        <f t="shared" si="592"/>
        <v>0</v>
      </c>
      <c r="G1774" s="149" t="str">
        <f t="shared" si="592"/>
        <v/>
      </c>
      <c r="H1774" s="150" t="str">
        <f t="shared" si="592"/>
        <v/>
      </c>
      <c r="I1774" s="150">
        <f t="shared" si="592"/>
        <v>0</v>
      </c>
      <c r="J1774" s="150">
        <f t="shared" si="592"/>
        <v>0</v>
      </c>
      <c r="K1774" s="196"/>
      <c r="L1774" s="197"/>
      <c r="M1774" s="191">
        <f t="shared" si="593"/>
        <v>0</v>
      </c>
      <c r="N1774" s="150">
        <f t="shared" si="593"/>
        <v>0</v>
      </c>
      <c r="O1774" s="193">
        <f t="shared" si="593"/>
        <v>0</v>
      </c>
      <c r="P1774" s="162">
        <f t="shared" si="599"/>
        <v>0</v>
      </c>
      <c r="Q1774" s="162">
        <f t="shared" si="599"/>
        <v>0</v>
      </c>
      <c r="R1774" s="162">
        <f t="shared" si="599"/>
        <v>0</v>
      </c>
      <c r="S1774" s="162">
        <f t="shared" si="599"/>
        <v>0</v>
      </c>
      <c r="T1774" s="162">
        <f t="shared" si="599"/>
        <v>0</v>
      </c>
      <c r="U1774" s="162">
        <f t="shared" si="599"/>
        <v>0</v>
      </c>
      <c r="V1774" s="162">
        <f t="shared" si="599"/>
        <v>0</v>
      </c>
      <c r="W1774" s="162">
        <f t="shared" si="599"/>
        <v>0</v>
      </c>
      <c r="X1774" s="162">
        <f t="shared" si="599"/>
        <v>0</v>
      </c>
      <c r="Y1774" s="162">
        <f t="shared" si="599"/>
        <v>0</v>
      </c>
      <c r="Z1774" s="162">
        <f t="shared" si="599"/>
        <v>0</v>
      </c>
      <c r="AA1774" s="162">
        <f t="shared" si="599"/>
        <v>0</v>
      </c>
      <c r="AB1774" s="163">
        <f t="shared" si="595"/>
        <v>0</v>
      </c>
      <c r="AC1774" s="198"/>
      <c r="AE1774" s="194" t="str">
        <f t="shared" si="598"/>
        <v/>
      </c>
      <c r="AF1774" s="161">
        <f t="shared" si="596"/>
        <v>0</v>
      </c>
      <c r="AG1774" s="162">
        <f t="shared" si="596"/>
        <v>0</v>
      </c>
      <c r="AH1774" s="162">
        <f t="shared" si="596"/>
        <v>0</v>
      </c>
      <c r="AI1774" s="162">
        <f t="shared" si="596"/>
        <v>0</v>
      </c>
      <c r="AJ1774" s="162">
        <f t="shared" si="596"/>
        <v>0</v>
      </c>
      <c r="AK1774" s="162">
        <f t="shared" si="596"/>
        <v>0</v>
      </c>
      <c r="AL1774" s="162">
        <f t="shared" si="596"/>
        <v>0</v>
      </c>
      <c r="AM1774" s="162">
        <f t="shared" si="596"/>
        <v>0</v>
      </c>
      <c r="AN1774" s="162">
        <f t="shared" si="596"/>
        <v>0</v>
      </c>
      <c r="AO1774" s="162">
        <f t="shared" si="596"/>
        <v>0</v>
      </c>
      <c r="AP1774" s="162">
        <f t="shared" si="596"/>
        <v>0</v>
      </c>
      <c r="AQ1774" s="162">
        <f t="shared" si="596"/>
        <v>0</v>
      </c>
      <c r="AR1774" s="163">
        <f t="shared" si="597"/>
        <v>0</v>
      </c>
      <c r="AT1774" s="208">
        <f>IFERROR(VLOOKUP(J1774,#REF!,10,0),0)</f>
        <v>0</v>
      </c>
    </row>
    <row r="1775" spans="1:46" hidden="1" outlineLevel="1" x14ac:dyDescent="0.25">
      <c r="A1775" s="14" t="str">
        <f t="shared" si="583"/>
        <v>PROP_OPER__17</v>
      </c>
      <c r="B1775" s="15" t="str">
        <f t="shared" si="591"/>
        <v>PROP_OPER__0_0</v>
      </c>
      <c r="C1775" s="83"/>
      <c r="D1775" s="15">
        <v>1</v>
      </c>
      <c r="E1775" s="15">
        <v>17</v>
      </c>
      <c r="F1775" s="190">
        <f t="shared" ref="F1775:J1790" si="600">F1729</f>
        <v>0</v>
      </c>
      <c r="G1775" s="149" t="str">
        <f t="shared" si="600"/>
        <v/>
      </c>
      <c r="H1775" s="150" t="str">
        <f t="shared" si="600"/>
        <v/>
      </c>
      <c r="I1775" s="150">
        <f t="shared" si="600"/>
        <v>0</v>
      </c>
      <c r="J1775" s="150">
        <f t="shared" si="600"/>
        <v>0</v>
      </c>
      <c r="K1775" s="196"/>
      <c r="L1775" s="197"/>
      <c r="M1775" s="191">
        <f t="shared" ref="M1775:O1790" si="601">M1729</f>
        <v>0</v>
      </c>
      <c r="N1775" s="150">
        <f t="shared" si="601"/>
        <v>0</v>
      </c>
      <c r="O1775" s="193">
        <f t="shared" si="601"/>
        <v>0</v>
      </c>
      <c r="P1775" s="162">
        <f t="shared" si="599"/>
        <v>0</v>
      </c>
      <c r="Q1775" s="162">
        <f t="shared" si="599"/>
        <v>0</v>
      </c>
      <c r="R1775" s="162">
        <f t="shared" si="599"/>
        <v>0</v>
      </c>
      <c r="S1775" s="162">
        <f t="shared" si="599"/>
        <v>0</v>
      </c>
      <c r="T1775" s="162">
        <f t="shared" si="599"/>
        <v>0</v>
      </c>
      <c r="U1775" s="162">
        <f t="shared" si="599"/>
        <v>0</v>
      </c>
      <c r="V1775" s="162">
        <f t="shared" si="599"/>
        <v>0</v>
      </c>
      <c r="W1775" s="162">
        <f t="shared" si="599"/>
        <v>0</v>
      </c>
      <c r="X1775" s="162">
        <f t="shared" si="599"/>
        <v>0</v>
      </c>
      <c r="Y1775" s="162">
        <f t="shared" si="599"/>
        <v>0</v>
      </c>
      <c r="Z1775" s="162">
        <f t="shared" si="599"/>
        <v>0</v>
      </c>
      <c r="AA1775" s="162">
        <f t="shared" si="599"/>
        <v>0</v>
      </c>
      <c r="AB1775" s="163">
        <f t="shared" si="595"/>
        <v>0</v>
      </c>
      <c r="AC1775" s="198"/>
      <c r="AE1775" s="194" t="str">
        <f t="shared" si="598"/>
        <v/>
      </c>
      <c r="AF1775" s="161">
        <f t="shared" ref="AF1775:AQ1790" si="602">IFERROR(SUMIF($B$1351:$B$1378,$C1775&amp;$I1775,P$1351:P$1378)/SUMIF($D$1351:$D$1378,$I1775,P$1351:P$1378)*AF1444,0)</f>
        <v>0</v>
      </c>
      <c r="AG1775" s="162">
        <f t="shared" si="602"/>
        <v>0</v>
      </c>
      <c r="AH1775" s="162">
        <f t="shared" si="602"/>
        <v>0</v>
      </c>
      <c r="AI1775" s="162">
        <f t="shared" si="602"/>
        <v>0</v>
      </c>
      <c r="AJ1775" s="162">
        <f t="shared" si="602"/>
        <v>0</v>
      </c>
      <c r="AK1775" s="162">
        <f t="shared" si="602"/>
        <v>0</v>
      </c>
      <c r="AL1775" s="162">
        <f t="shared" si="602"/>
        <v>0</v>
      </c>
      <c r="AM1775" s="162">
        <f t="shared" si="602"/>
        <v>0</v>
      </c>
      <c r="AN1775" s="162">
        <f t="shared" si="602"/>
        <v>0</v>
      </c>
      <c r="AO1775" s="162">
        <f t="shared" si="602"/>
        <v>0</v>
      </c>
      <c r="AP1775" s="162">
        <f t="shared" si="602"/>
        <v>0</v>
      </c>
      <c r="AQ1775" s="162">
        <f t="shared" si="602"/>
        <v>0</v>
      </c>
      <c r="AR1775" s="163">
        <f t="shared" si="597"/>
        <v>0</v>
      </c>
      <c r="AT1775" s="208">
        <f>IFERROR(VLOOKUP(J1775,#REF!,10,0),0)</f>
        <v>0</v>
      </c>
    </row>
    <row r="1776" spans="1:46" hidden="1" outlineLevel="1" x14ac:dyDescent="0.25">
      <c r="A1776" s="14" t="str">
        <f t="shared" si="583"/>
        <v>PROP_OPER__18</v>
      </c>
      <c r="B1776" s="15" t="str">
        <f t="shared" si="591"/>
        <v>PROP_OPER__0_0</v>
      </c>
      <c r="C1776" s="83"/>
      <c r="D1776" s="15">
        <v>1</v>
      </c>
      <c r="E1776" s="15">
        <v>18</v>
      </c>
      <c r="F1776" s="190">
        <f t="shared" si="600"/>
        <v>0</v>
      </c>
      <c r="G1776" s="149" t="str">
        <f t="shared" si="600"/>
        <v/>
      </c>
      <c r="H1776" s="150" t="str">
        <f t="shared" si="600"/>
        <v/>
      </c>
      <c r="I1776" s="150">
        <f t="shared" si="600"/>
        <v>0</v>
      </c>
      <c r="J1776" s="150">
        <f t="shared" si="600"/>
        <v>0</v>
      </c>
      <c r="K1776" s="196"/>
      <c r="L1776" s="197"/>
      <c r="M1776" s="191">
        <f t="shared" si="601"/>
        <v>0</v>
      </c>
      <c r="N1776" s="150">
        <f t="shared" si="601"/>
        <v>0</v>
      </c>
      <c r="O1776" s="193">
        <f t="shared" si="601"/>
        <v>0</v>
      </c>
      <c r="P1776" s="162">
        <f t="shared" si="599"/>
        <v>0</v>
      </c>
      <c r="Q1776" s="162">
        <f t="shared" si="599"/>
        <v>0</v>
      </c>
      <c r="R1776" s="162">
        <f t="shared" si="599"/>
        <v>0</v>
      </c>
      <c r="S1776" s="162">
        <f t="shared" si="599"/>
        <v>0</v>
      </c>
      <c r="T1776" s="162">
        <f t="shared" si="599"/>
        <v>0</v>
      </c>
      <c r="U1776" s="162">
        <f t="shared" si="599"/>
        <v>0</v>
      </c>
      <c r="V1776" s="162">
        <f t="shared" si="599"/>
        <v>0</v>
      </c>
      <c r="W1776" s="162">
        <f t="shared" si="599"/>
        <v>0</v>
      </c>
      <c r="X1776" s="162">
        <f t="shared" si="599"/>
        <v>0</v>
      </c>
      <c r="Y1776" s="162">
        <f t="shared" si="599"/>
        <v>0</v>
      </c>
      <c r="Z1776" s="162">
        <f t="shared" si="599"/>
        <v>0</v>
      </c>
      <c r="AA1776" s="162">
        <f t="shared" si="599"/>
        <v>0</v>
      </c>
      <c r="AB1776" s="163">
        <f t="shared" si="595"/>
        <v>0</v>
      </c>
      <c r="AC1776" s="198"/>
      <c r="AE1776" s="194" t="str">
        <f t="shared" si="598"/>
        <v/>
      </c>
      <c r="AF1776" s="161">
        <f t="shared" si="602"/>
        <v>0</v>
      </c>
      <c r="AG1776" s="162">
        <f t="shared" si="602"/>
        <v>0</v>
      </c>
      <c r="AH1776" s="162">
        <f t="shared" si="602"/>
        <v>0</v>
      </c>
      <c r="AI1776" s="162">
        <f t="shared" si="602"/>
        <v>0</v>
      </c>
      <c r="AJ1776" s="162">
        <f t="shared" si="602"/>
        <v>0</v>
      </c>
      <c r="AK1776" s="162">
        <f t="shared" si="602"/>
        <v>0</v>
      </c>
      <c r="AL1776" s="162">
        <f t="shared" si="602"/>
        <v>0</v>
      </c>
      <c r="AM1776" s="162">
        <f t="shared" si="602"/>
        <v>0</v>
      </c>
      <c r="AN1776" s="162">
        <f t="shared" si="602"/>
        <v>0</v>
      </c>
      <c r="AO1776" s="162">
        <f t="shared" si="602"/>
        <v>0</v>
      </c>
      <c r="AP1776" s="162">
        <f t="shared" si="602"/>
        <v>0</v>
      </c>
      <c r="AQ1776" s="162">
        <f t="shared" si="602"/>
        <v>0</v>
      </c>
      <c r="AR1776" s="163">
        <f t="shared" si="597"/>
        <v>0</v>
      </c>
      <c r="AT1776" s="208">
        <f>IFERROR(VLOOKUP(J1776,#REF!,10,0),0)</f>
        <v>0</v>
      </c>
    </row>
    <row r="1777" spans="1:46" hidden="1" outlineLevel="1" x14ac:dyDescent="0.25">
      <c r="A1777" s="14" t="str">
        <f t="shared" si="583"/>
        <v>PROP_OPER__19</v>
      </c>
      <c r="B1777" s="15" t="str">
        <f t="shared" si="591"/>
        <v>PROP_OPER__0_0</v>
      </c>
      <c r="C1777" s="83"/>
      <c r="D1777" s="15">
        <v>1</v>
      </c>
      <c r="E1777" s="15">
        <v>19</v>
      </c>
      <c r="F1777" s="190">
        <f t="shared" si="600"/>
        <v>0</v>
      </c>
      <c r="G1777" s="149" t="str">
        <f t="shared" si="600"/>
        <v/>
      </c>
      <c r="H1777" s="150" t="str">
        <f t="shared" si="600"/>
        <v/>
      </c>
      <c r="I1777" s="150">
        <f t="shared" si="600"/>
        <v>0</v>
      </c>
      <c r="J1777" s="150">
        <f t="shared" si="600"/>
        <v>0</v>
      </c>
      <c r="K1777" s="196"/>
      <c r="L1777" s="197"/>
      <c r="M1777" s="191">
        <f t="shared" si="601"/>
        <v>0</v>
      </c>
      <c r="N1777" s="150">
        <f t="shared" si="601"/>
        <v>0</v>
      </c>
      <c r="O1777" s="193">
        <f t="shared" si="601"/>
        <v>0</v>
      </c>
      <c r="P1777" s="162">
        <f t="shared" si="599"/>
        <v>0</v>
      </c>
      <c r="Q1777" s="162">
        <f t="shared" si="599"/>
        <v>0</v>
      </c>
      <c r="R1777" s="162">
        <f t="shared" si="599"/>
        <v>0</v>
      </c>
      <c r="S1777" s="162">
        <f t="shared" si="599"/>
        <v>0</v>
      </c>
      <c r="T1777" s="162">
        <f t="shared" si="599"/>
        <v>0</v>
      </c>
      <c r="U1777" s="162">
        <f t="shared" si="599"/>
        <v>0</v>
      </c>
      <c r="V1777" s="162">
        <f t="shared" si="599"/>
        <v>0</v>
      </c>
      <c r="W1777" s="162">
        <f t="shared" si="599"/>
        <v>0</v>
      </c>
      <c r="X1777" s="162">
        <f t="shared" si="599"/>
        <v>0</v>
      </c>
      <c r="Y1777" s="162">
        <f t="shared" si="599"/>
        <v>0</v>
      </c>
      <c r="Z1777" s="162">
        <f t="shared" si="599"/>
        <v>0</v>
      </c>
      <c r="AA1777" s="162">
        <f t="shared" si="599"/>
        <v>0</v>
      </c>
      <c r="AB1777" s="163">
        <f t="shared" si="595"/>
        <v>0</v>
      </c>
      <c r="AC1777" s="198"/>
      <c r="AE1777" s="194" t="str">
        <f t="shared" si="598"/>
        <v/>
      </c>
      <c r="AF1777" s="161">
        <f t="shared" si="602"/>
        <v>0</v>
      </c>
      <c r="AG1777" s="162">
        <f t="shared" si="602"/>
        <v>0</v>
      </c>
      <c r="AH1777" s="162">
        <f t="shared" si="602"/>
        <v>0</v>
      </c>
      <c r="AI1777" s="162">
        <f t="shared" si="602"/>
        <v>0</v>
      </c>
      <c r="AJ1777" s="162">
        <f t="shared" si="602"/>
        <v>0</v>
      </c>
      <c r="AK1777" s="162">
        <f t="shared" si="602"/>
        <v>0</v>
      </c>
      <c r="AL1777" s="162">
        <f t="shared" si="602"/>
        <v>0</v>
      </c>
      <c r="AM1777" s="162">
        <f t="shared" si="602"/>
        <v>0</v>
      </c>
      <c r="AN1777" s="162">
        <f t="shared" si="602"/>
        <v>0</v>
      </c>
      <c r="AO1777" s="162">
        <f t="shared" si="602"/>
        <v>0</v>
      </c>
      <c r="AP1777" s="162">
        <f t="shared" si="602"/>
        <v>0</v>
      </c>
      <c r="AQ1777" s="162">
        <f t="shared" si="602"/>
        <v>0</v>
      </c>
      <c r="AR1777" s="163">
        <f t="shared" si="597"/>
        <v>0</v>
      </c>
      <c r="AT1777" s="208">
        <f>IFERROR(VLOOKUP(J1777,#REF!,10,0),0)</f>
        <v>0</v>
      </c>
    </row>
    <row r="1778" spans="1:46" hidden="1" outlineLevel="1" x14ac:dyDescent="0.25">
      <c r="A1778" s="14" t="str">
        <f t="shared" si="583"/>
        <v>PROP_OPER__20</v>
      </c>
      <c r="B1778" s="15" t="str">
        <f t="shared" si="591"/>
        <v>PROP_OPER__0_0</v>
      </c>
      <c r="C1778" s="83"/>
      <c r="D1778" s="15">
        <v>1</v>
      </c>
      <c r="E1778" s="15">
        <v>20</v>
      </c>
      <c r="F1778" s="190">
        <f t="shared" si="600"/>
        <v>0</v>
      </c>
      <c r="G1778" s="149" t="str">
        <f t="shared" si="600"/>
        <v/>
      </c>
      <c r="H1778" s="150" t="str">
        <f t="shared" si="600"/>
        <v/>
      </c>
      <c r="I1778" s="150">
        <f t="shared" si="600"/>
        <v>0</v>
      </c>
      <c r="J1778" s="150">
        <f t="shared" si="600"/>
        <v>0</v>
      </c>
      <c r="K1778" s="196"/>
      <c r="L1778" s="197"/>
      <c r="M1778" s="191">
        <f t="shared" si="601"/>
        <v>0</v>
      </c>
      <c r="N1778" s="150">
        <f t="shared" si="601"/>
        <v>0</v>
      </c>
      <c r="O1778" s="193">
        <f t="shared" si="601"/>
        <v>0</v>
      </c>
      <c r="P1778" s="162">
        <f t="shared" si="599"/>
        <v>0</v>
      </c>
      <c r="Q1778" s="162">
        <f t="shared" si="599"/>
        <v>0</v>
      </c>
      <c r="R1778" s="162">
        <f t="shared" si="599"/>
        <v>0</v>
      </c>
      <c r="S1778" s="162">
        <f t="shared" si="599"/>
        <v>0</v>
      </c>
      <c r="T1778" s="162">
        <f t="shared" si="599"/>
        <v>0</v>
      </c>
      <c r="U1778" s="162">
        <f t="shared" si="599"/>
        <v>0</v>
      </c>
      <c r="V1778" s="162">
        <f t="shared" si="599"/>
        <v>0</v>
      </c>
      <c r="W1778" s="162">
        <f t="shared" si="599"/>
        <v>0</v>
      </c>
      <c r="X1778" s="162">
        <f t="shared" si="599"/>
        <v>0</v>
      </c>
      <c r="Y1778" s="162">
        <f t="shared" si="599"/>
        <v>0</v>
      </c>
      <c r="Z1778" s="162">
        <f t="shared" si="599"/>
        <v>0</v>
      </c>
      <c r="AA1778" s="162">
        <f t="shared" si="599"/>
        <v>0</v>
      </c>
      <c r="AB1778" s="163">
        <f t="shared" si="595"/>
        <v>0</v>
      </c>
      <c r="AC1778" s="198"/>
      <c r="AE1778" s="194" t="str">
        <f t="shared" si="598"/>
        <v/>
      </c>
      <c r="AF1778" s="161">
        <f t="shared" si="602"/>
        <v>0</v>
      </c>
      <c r="AG1778" s="162">
        <f t="shared" si="602"/>
        <v>0</v>
      </c>
      <c r="AH1778" s="162">
        <f t="shared" si="602"/>
        <v>0</v>
      </c>
      <c r="AI1778" s="162">
        <f t="shared" si="602"/>
        <v>0</v>
      </c>
      <c r="AJ1778" s="162">
        <f t="shared" si="602"/>
        <v>0</v>
      </c>
      <c r="AK1778" s="162">
        <f t="shared" si="602"/>
        <v>0</v>
      </c>
      <c r="AL1778" s="162">
        <f t="shared" si="602"/>
        <v>0</v>
      </c>
      <c r="AM1778" s="162">
        <f t="shared" si="602"/>
        <v>0</v>
      </c>
      <c r="AN1778" s="162">
        <f t="shared" si="602"/>
        <v>0</v>
      </c>
      <c r="AO1778" s="162">
        <f t="shared" si="602"/>
        <v>0</v>
      </c>
      <c r="AP1778" s="162">
        <f t="shared" si="602"/>
        <v>0</v>
      </c>
      <c r="AQ1778" s="162">
        <f t="shared" si="602"/>
        <v>0</v>
      </c>
      <c r="AR1778" s="163">
        <f t="shared" si="597"/>
        <v>0</v>
      </c>
      <c r="AT1778" s="208">
        <f>IFERROR(VLOOKUP(J1778,#REF!,10,0),0)</f>
        <v>0</v>
      </c>
    </row>
    <row r="1779" spans="1:46" hidden="1" outlineLevel="1" x14ac:dyDescent="0.25">
      <c r="A1779" s="14" t="str">
        <f t="shared" si="583"/>
        <v>PROP_OPER__21</v>
      </c>
      <c r="B1779" s="15" t="str">
        <f t="shared" si="591"/>
        <v>PROP_OPER__0_0</v>
      </c>
      <c r="C1779" s="83"/>
      <c r="D1779" s="15">
        <v>1</v>
      </c>
      <c r="E1779" s="15">
        <v>21</v>
      </c>
      <c r="F1779" s="190">
        <f t="shared" si="600"/>
        <v>0</v>
      </c>
      <c r="G1779" s="149" t="str">
        <f t="shared" si="600"/>
        <v/>
      </c>
      <c r="H1779" s="150" t="str">
        <f t="shared" si="600"/>
        <v/>
      </c>
      <c r="I1779" s="150">
        <f t="shared" si="600"/>
        <v>0</v>
      </c>
      <c r="J1779" s="150">
        <f t="shared" si="600"/>
        <v>0</v>
      </c>
      <c r="K1779" s="196"/>
      <c r="L1779" s="197"/>
      <c r="M1779" s="191">
        <f t="shared" si="601"/>
        <v>0</v>
      </c>
      <c r="N1779" s="150">
        <f t="shared" si="601"/>
        <v>0</v>
      </c>
      <c r="O1779" s="193">
        <f t="shared" si="601"/>
        <v>0</v>
      </c>
      <c r="P1779" s="162">
        <f t="shared" si="599"/>
        <v>0</v>
      </c>
      <c r="Q1779" s="162">
        <f t="shared" si="599"/>
        <v>0</v>
      </c>
      <c r="R1779" s="162">
        <f t="shared" si="599"/>
        <v>0</v>
      </c>
      <c r="S1779" s="162">
        <f t="shared" si="599"/>
        <v>0</v>
      </c>
      <c r="T1779" s="162">
        <f t="shared" si="599"/>
        <v>0</v>
      </c>
      <c r="U1779" s="162">
        <f t="shared" si="599"/>
        <v>0</v>
      </c>
      <c r="V1779" s="162">
        <f t="shared" si="599"/>
        <v>0</v>
      </c>
      <c r="W1779" s="162">
        <f t="shared" si="599"/>
        <v>0</v>
      </c>
      <c r="X1779" s="162">
        <f t="shared" si="599"/>
        <v>0</v>
      </c>
      <c r="Y1779" s="162">
        <f t="shared" si="599"/>
        <v>0</v>
      </c>
      <c r="Z1779" s="162">
        <f t="shared" si="599"/>
        <v>0</v>
      </c>
      <c r="AA1779" s="162">
        <f t="shared" si="599"/>
        <v>0</v>
      </c>
      <c r="AB1779" s="163">
        <f t="shared" si="595"/>
        <v>0</v>
      </c>
      <c r="AC1779" s="198"/>
      <c r="AE1779" s="194" t="str">
        <f t="shared" si="598"/>
        <v/>
      </c>
      <c r="AF1779" s="161">
        <f t="shared" si="602"/>
        <v>0</v>
      </c>
      <c r="AG1779" s="162">
        <f t="shared" si="602"/>
        <v>0</v>
      </c>
      <c r="AH1779" s="162">
        <f t="shared" si="602"/>
        <v>0</v>
      </c>
      <c r="AI1779" s="162">
        <f t="shared" si="602"/>
        <v>0</v>
      </c>
      <c r="AJ1779" s="162">
        <f t="shared" si="602"/>
        <v>0</v>
      </c>
      <c r="AK1779" s="162">
        <f t="shared" si="602"/>
        <v>0</v>
      </c>
      <c r="AL1779" s="162">
        <f t="shared" si="602"/>
        <v>0</v>
      </c>
      <c r="AM1779" s="162">
        <f t="shared" si="602"/>
        <v>0</v>
      </c>
      <c r="AN1779" s="162">
        <f t="shared" si="602"/>
        <v>0</v>
      </c>
      <c r="AO1779" s="162">
        <f t="shared" si="602"/>
        <v>0</v>
      </c>
      <c r="AP1779" s="162">
        <f t="shared" si="602"/>
        <v>0</v>
      </c>
      <c r="AQ1779" s="162">
        <f t="shared" si="602"/>
        <v>0</v>
      </c>
      <c r="AR1779" s="163">
        <f t="shared" si="597"/>
        <v>0</v>
      </c>
      <c r="AT1779" s="208">
        <f>IFERROR(VLOOKUP(J1779,#REF!,10,0),0)</f>
        <v>0</v>
      </c>
    </row>
    <row r="1780" spans="1:46" hidden="1" outlineLevel="1" x14ac:dyDescent="0.25">
      <c r="A1780" s="14" t="str">
        <f t="shared" si="583"/>
        <v>PROP_OPER__22</v>
      </c>
      <c r="B1780" s="15" t="str">
        <f t="shared" si="591"/>
        <v>PROP_OPER__0_0</v>
      </c>
      <c r="C1780" s="83"/>
      <c r="D1780" s="15">
        <v>1</v>
      </c>
      <c r="E1780" s="15">
        <v>22</v>
      </c>
      <c r="F1780" s="190">
        <f t="shared" si="600"/>
        <v>0</v>
      </c>
      <c r="G1780" s="149" t="str">
        <f t="shared" si="600"/>
        <v/>
      </c>
      <c r="H1780" s="150" t="str">
        <f t="shared" si="600"/>
        <v/>
      </c>
      <c r="I1780" s="150">
        <f t="shared" si="600"/>
        <v>0</v>
      </c>
      <c r="J1780" s="150">
        <f t="shared" si="600"/>
        <v>0</v>
      </c>
      <c r="K1780" s="196"/>
      <c r="L1780" s="197"/>
      <c r="M1780" s="191">
        <f t="shared" si="601"/>
        <v>0</v>
      </c>
      <c r="N1780" s="150">
        <f t="shared" si="601"/>
        <v>0</v>
      </c>
      <c r="O1780" s="193">
        <f t="shared" si="601"/>
        <v>0</v>
      </c>
      <c r="P1780" s="162">
        <f t="shared" si="599"/>
        <v>0</v>
      </c>
      <c r="Q1780" s="162">
        <f t="shared" si="599"/>
        <v>0</v>
      </c>
      <c r="R1780" s="162">
        <f t="shared" si="599"/>
        <v>0</v>
      </c>
      <c r="S1780" s="162">
        <f t="shared" si="599"/>
        <v>0</v>
      </c>
      <c r="T1780" s="162">
        <f t="shared" si="599"/>
        <v>0</v>
      </c>
      <c r="U1780" s="162">
        <f t="shared" si="599"/>
        <v>0</v>
      </c>
      <c r="V1780" s="162">
        <f t="shared" si="599"/>
        <v>0</v>
      </c>
      <c r="W1780" s="162">
        <f t="shared" si="599"/>
        <v>0</v>
      </c>
      <c r="X1780" s="162">
        <f t="shared" si="599"/>
        <v>0</v>
      </c>
      <c r="Y1780" s="162">
        <f t="shared" si="599"/>
        <v>0</v>
      </c>
      <c r="Z1780" s="162">
        <f t="shared" si="599"/>
        <v>0</v>
      </c>
      <c r="AA1780" s="162">
        <f t="shared" si="599"/>
        <v>0</v>
      </c>
      <c r="AB1780" s="163">
        <f t="shared" si="595"/>
        <v>0</v>
      </c>
      <c r="AC1780" s="198"/>
      <c r="AE1780" s="194" t="str">
        <f t="shared" si="598"/>
        <v/>
      </c>
      <c r="AF1780" s="161">
        <f t="shared" si="602"/>
        <v>0</v>
      </c>
      <c r="AG1780" s="162">
        <f t="shared" si="602"/>
        <v>0</v>
      </c>
      <c r="AH1780" s="162">
        <f t="shared" si="602"/>
        <v>0</v>
      </c>
      <c r="AI1780" s="162">
        <f t="shared" si="602"/>
        <v>0</v>
      </c>
      <c r="AJ1780" s="162">
        <f t="shared" si="602"/>
        <v>0</v>
      </c>
      <c r="AK1780" s="162">
        <f t="shared" si="602"/>
        <v>0</v>
      </c>
      <c r="AL1780" s="162">
        <f t="shared" si="602"/>
        <v>0</v>
      </c>
      <c r="AM1780" s="162">
        <f t="shared" si="602"/>
        <v>0</v>
      </c>
      <c r="AN1780" s="162">
        <f t="shared" si="602"/>
        <v>0</v>
      </c>
      <c r="AO1780" s="162">
        <f t="shared" si="602"/>
        <v>0</v>
      </c>
      <c r="AP1780" s="162">
        <f t="shared" si="602"/>
        <v>0</v>
      </c>
      <c r="AQ1780" s="162">
        <f t="shared" si="602"/>
        <v>0</v>
      </c>
      <c r="AR1780" s="163">
        <f t="shared" si="597"/>
        <v>0</v>
      </c>
      <c r="AT1780" s="208">
        <f>IFERROR(VLOOKUP(J1780,#REF!,10,0),0)</f>
        <v>0</v>
      </c>
    </row>
    <row r="1781" spans="1:46" hidden="1" outlineLevel="1" x14ac:dyDescent="0.25">
      <c r="A1781" s="14" t="str">
        <f t="shared" si="583"/>
        <v>PROP_OPER__23</v>
      </c>
      <c r="B1781" s="15" t="str">
        <f t="shared" si="591"/>
        <v>PROP_OPER__0_0</v>
      </c>
      <c r="C1781" s="83"/>
      <c r="D1781" s="15">
        <v>1</v>
      </c>
      <c r="E1781" s="15">
        <v>23</v>
      </c>
      <c r="F1781" s="190">
        <f t="shared" si="600"/>
        <v>0</v>
      </c>
      <c r="G1781" s="149" t="str">
        <f t="shared" si="600"/>
        <v/>
      </c>
      <c r="H1781" s="150" t="str">
        <f t="shared" si="600"/>
        <v/>
      </c>
      <c r="I1781" s="150">
        <f t="shared" si="600"/>
        <v>0</v>
      </c>
      <c r="J1781" s="150">
        <f t="shared" si="600"/>
        <v>0</v>
      </c>
      <c r="K1781" s="196"/>
      <c r="L1781" s="197"/>
      <c r="M1781" s="191">
        <f t="shared" si="601"/>
        <v>0</v>
      </c>
      <c r="N1781" s="150">
        <f t="shared" si="601"/>
        <v>0</v>
      </c>
      <c r="O1781" s="193">
        <f t="shared" si="601"/>
        <v>0</v>
      </c>
      <c r="P1781" s="162">
        <f t="shared" si="599"/>
        <v>0</v>
      </c>
      <c r="Q1781" s="162">
        <f t="shared" si="599"/>
        <v>0</v>
      </c>
      <c r="R1781" s="162">
        <f t="shared" si="599"/>
        <v>0</v>
      </c>
      <c r="S1781" s="162">
        <f t="shared" si="599"/>
        <v>0</v>
      </c>
      <c r="T1781" s="162">
        <f t="shared" si="599"/>
        <v>0</v>
      </c>
      <c r="U1781" s="162">
        <f t="shared" si="599"/>
        <v>0</v>
      </c>
      <c r="V1781" s="162">
        <f t="shared" si="599"/>
        <v>0</v>
      </c>
      <c r="W1781" s="162">
        <f t="shared" si="599"/>
        <v>0</v>
      </c>
      <c r="X1781" s="162">
        <f t="shared" si="599"/>
        <v>0</v>
      </c>
      <c r="Y1781" s="162">
        <f t="shared" si="599"/>
        <v>0</v>
      </c>
      <c r="Z1781" s="162">
        <f t="shared" si="599"/>
        <v>0</v>
      </c>
      <c r="AA1781" s="162">
        <f t="shared" si="599"/>
        <v>0</v>
      </c>
      <c r="AB1781" s="163">
        <f t="shared" si="595"/>
        <v>0</v>
      </c>
      <c r="AC1781" s="198"/>
      <c r="AE1781" s="194" t="str">
        <f t="shared" si="598"/>
        <v/>
      </c>
      <c r="AF1781" s="161">
        <f t="shared" si="602"/>
        <v>0</v>
      </c>
      <c r="AG1781" s="162">
        <f t="shared" si="602"/>
        <v>0</v>
      </c>
      <c r="AH1781" s="162">
        <f t="shared" si="602"/>
        <v>0</v>
      </c>
      <c r="AI1781" s="162">
        <f t="shared" si="602"/>
        <v>0</v>
      </c>
      <c r="AJ1781" s="162">
        <f t="shared" si="602"/>
        <v>0</v>
      </c>
      <c r="AK1781" s="162">
        <f t="shared" si="602"/>
        <v>0</v>
      </c>
      <c r="AL1781" s="162">
        <f t="shared" si="602"/>
        <v>0</v>
      </c>
      <c r="AM1781" s="162">
        <f t="shared" si="602"/>
        <v>0</v>
      </c>
      <c r="AN1781" s="162">
        <f t="shared" si="602"/>
        <v>0</v>
      </c>
      <c r="AO1781" s="162">
        <f t="shared" si="602"/>
        <v>0</v>
      </c>
      <c r="AP1781" s="162">
        <f t="shared" si="602"/>
        <v>0</v>
      </c>
      <c r="AQ1781" s="162">
        <f t="shared" si="602"/>
        <v>0</v>
      </c>
      <c r="AR1781" s="163">
        <f t="shared" si="597"/>
        <v>0</v>
      </c>
      <c r="AT1781" s="208">
        <f>IFERROR(VLOOKUP(J1781,#REF!,10,0),0)</f>
        <v>0</v>
      </c>
    </row>
    <row r="1782" spans="1:46" hidden="1" outlineLevel="1" x14ac:dyDescent="0.25">
      <c r="A1782" s="14" t="str">
        <f t="shared" si="583"/>
        <v>PROP_OPER__24</v>
      </c>
      <c r="B1782" s="15" t="str">
        <f t="shared" si="591"/>
        <v>PROP_OPER__0_0</v>
      </c>
      <c r="C1782" s="83"/>
      <c r="D1782" s="15">
        <v>1</v>
      </c>
      <c r="E1782" s="15">
        <v>24</v>
      </c>
      <c r="F1782" s="190">
        <f t="shared" si="600"/>
        <v>0</v>
      </c>
      <c r="G1782" s="149" t="str">
        <f t="shared" si="600"/>
        <v/>
      </c>
      <c r="H1782" s="150" t="str">
        <f t="shared" si="600"/>
        <v/>
      </c>
      <c r="I1782" s="150">
        <f t="shared" si="600"/>
        <v>0</v>
      </c>
      <c r="J1782" s="150">
        <f t="shared" si="600"/>
        <v>0</v>
      </c>
      <c r="K1782" s="196"/>
      <c r="L1782" s="197"/>
      <c r="M1782" s="191">
        <f t="shared" si="601"/>
        <v>0</v>
      </c>
      <c r="N1782" s="150">
        <f t="shared" si="601"/>
        <v>0</v>
      </c>
      <c r="O1782" s="193">
        <f t="shared" si="601"/>
        <v>0</v>
      </c>
      <c r="P1782" s="162">
        <f t="shared" ref="P1782:AA1797" si="603">IFERROR(SUMIF($B$1351:$B$1378,$C1782&amp;$I1782,P$1351:P$1378)/SUMIF($D$1351:$D$1378,$I1782,P$1351:P$1378)*P1451,0)</f>
        <v>0</v>
      </c>
      <c r="Q1782" s="162">
        <f t="shared" si="603"/>
        <v>0</v>
      </c>
      <c r="R1782" s="162">
        <f t="shared" si="603"/>
        <v>0</v>
      </c>
      <c r="S1782" s="162">
        <f t="shared" si="603"/>
        <v>0</v>
      </c>
      <c r="T1782" s="162">
        <f t="shared" si="603"/>
        <v>0</v>
      </c>
      <c r="U1782" s="162">
        <f t="shared" si="603"/>
        <v>0</v>
      </c>
      <c r="V1782" s="162">
        <f t="shared" si="603"/>
        <v>0</v>
      </c>
      <c r="W1782" s="162">
        <f t="shared" si="603"/>
        <v>0</v>
      </c>
      <c r="X1782" s="162">
        <f t="shared" si="603"/>
        <v>0</v>
      </c>
      <c r="Y1782" s="162">
        <f t="shared" si="603"/>
        <v>0</v>
      </c>
      <c r="Z1782" s="162">
        <f t="shared" si="603"/>
        <v>0</v>
      </c>
      <c r="AA1782" s="162">
        <f t="shared" si="603"/>
        <v>0</v>
      </c>
      <c r="AB1782" s="163">
        <f t="shared" si="595"/>
        <v>0</v>
      </c>
      <c r="AC1782" s="198"/>
      <c r="AE1782" s="194" t="str">
        <f t="shared" si="598"/>
        <v/>
      </c>
      <c r="AF1782" s="161">
        <f t="shared" si="602"/>
        <v>0</v>
      </c>
      <c r="AG1782" s="162">
        <f t="shared" si="602"/>
        <v>0</v>
      </c>
      <c r="AH1782" s="162">
        <f t="shared" si="602"/>
        <v>0</v>
      </c>
      <c r="AI1782" s="162">
        <f t="shared" si="602"/>
        <v>0</v>
      </c>
      <c r="AJ1782" s="162">
        <f t="shared" si="602"/>
        <v>0</v>
      </c>
      <c r="AK1782" s="162">
        <f t="shared" si="602"/>
        <v>0</v>
      </c>
      <c r="AL1782" s="162">
        <f t="shared" si="602"/>
        <v>0</v>
      </c>
      <c r="AM1782" s="162">
        <f t="shared" si="602"/>
        <v>0</v>
      </c>
      <c r="AN1782" s="162">
        <f t="shared" si="602"/>
        <v>0</v>
      </c>
      <c r="AO1782" s="162">
        <f t="shared" si="602"/>
        <v>0</v>
      </c>
      <c r="AP1782" s="162">
        <f t="shared" si="602"/>
        <v>0</v>
      </c>
      <c r="AQ1782" s="162">
        <f t="shared" si="602"/>
        <v>0</v>
      </c>
      <c r="AR1782" s="163">
        <f t="shared" si="597"/>
        <v>0</v>
      </c>
      <c r="AT1782" s="208">
        <f>IFERROR(VLOOKUP(J1782,#REF!,10,0),0)</f>
        <v>0</v>
      </c>
    </row>
    <row r="1783" spans="1:46" hidden="1" outlineLevel="1" x14ac:dyDescent="0.25">
      <c r="A1783" s="14" t="str">
        <f t="shared" si="583"/>
        <v>PROP_OPER__25</v>
      </c>
      <c r="B1783" s="15" t="str">
        <f t="shared" si="591"/>
        <v>PROP_OPER__0_0</v>
      </c>
      <c r="C1783" s="83"/>
      <c r="D1783" s="15">
        <v>1</v>
      </c>
      <c r="E1783" s="15">
        <v>25</v>
      </c>
      <c r="F1783" s="190">
        <f t="shared" si="600"/>
        <v>0</v>
      </c>
      <c r="G1783" s="149" t="str">
        <f t="shared" si="600"/>
        <v/>
      </c>
      <c r="H1783" s="150" t="str">
        <f t="shared" si="600"/>
        <v/>
      </c>
      <c r="I1783" s="150">
        <f t="shared" si="600"/>
        <v>0</v>
      </c>
      <c r="J1783" s="150">
        <f t="shared" si="600"/>
        <v>0</v>
      </c>
      <c r="K1783" s="196"/>
      <c r="L1783" s="197"/>
      <c r="M1783" s="191">
        <f t="shared" si="601"/>
        <v>0</v>
      </c>
      <c r="N1783" s="150">
        <f t="shared" si="601"/>
        <v>0</v>
      </c>
      <c r="O1783" s="193">
        <f t="shared" si="601"/>
        <v>0</v>
      </c>
      <c r="P1783" s="162">
        <f t="shared" si="603"/>
        <v>0</v>
      </c>
      <c r="Q1783" s="162">
        <f t="shared" si="603"/>
        <v>0</v>
      </c>
      <c r="R1783" s="162">
        <f t="shared" si="603"/>
        <v>0</v>
      </c>
      <c r="S1783" s="162">
        <f t="shared" si="603"/>
        <v>0</v>
      </c>
      <c r="T1783" s="162">
        <f t="shared" si="603"/>
        <v>0</v>
      </c>
      <c r="U1783" s="162">
        <f t="shared" si="603"/>
        <v>0</v>
      </c>
      <c r="V1783" s="162">
        <f t="shared" si="603"/>
        <v>0</v>
      </c>
      <c r="W1783" s="162">
        <f t="shared" si="603"/>
        <v>0</v>
      </c>
      <c r="X1783" s="162">
        <f t="shared" si="603"/>
        <v>0</v>
      </c>
      <c r="Y1783" s="162">
        <f t="shared" si="603"/>
        <v>0</v>
      </c>
      <c r="Z1783" s="162">
        <f t="shared" si="603"/>
        <v>0</v>
      </c>
      <c r="AA1783" s="162">
        <f t="shared" si="603"/>
        <v>0</v>
      </c>
      <c r="AB1783" s="163">
        <f t="shared" si="595"/>
        <v>0</v>
      </c>
      <c r="AC1783" s="198"/>
      <c r="AE1783" s="194" t="str">
        <f t="shared" si="598"/>
        <v/>
      </c>
      <c r="AF1783" s="161">
        <f t="shared" si="602"/>
        <v>0</v>
      </c>
      <c r="AG1783" s="162">
        <f t="shared" si="602"/>
        <v>0</v>
      </c>
      <c r="AH1783" s="162">
        <f t="shared" si="602"/>
        <v>0</v>
      </c>
      <c r="AI1783" s="162">
        <f t="shared" si="602"/>
        <v>0</v>
      </c>
      <c r="AJ1783" s="162">
        <f t="shared" si="602"/>
        <v>0</v>
      </c>
      <c r="AK1783" s="162">
        <f t="shared" si="602"/>
        <v>0</v>
      </c>
      <c r="AL1783" s="162">
        <f t="shared" si="602"/>
        <v>0</v>
      </c>
      <c r="AM1783" s="162">
        <f t="shared" si="602"/>
        <v>0</v>
      </c>
      <c r="AN1783" s="162">
        <f t="shared" si="602"/>
        <v>0</v>
      </c>
      <c r="AO1783" s="162">
        <f t="shared" si="602"/>
        <v>0</v>
      </c>
      <c r="AP1783" s="162">
        <f t="shared" si="602"/>
        <v>0</v>
      </c>
      <c r="AQ1783" s="162">
        <f t="shared" si="602"/>
        <v>0</v>
      </c>
      <c r="AR1783" s="163">
        <f t="shared" si="597"/>
        <v>0</v>
      </c>
      <c r="AT1783" s="208">
        <f>IFERROR(VLOOKUP(J1783,#REF!,10,0),0)</f>
        <v>0</v>
      </c>
    </row>
    <row r="1784" spans="1:46" hidden="1" outlineLevel="1" x14ac:dyDescent="0.25">
      <c r="A1784" s="14" t="str">
        <f t="shared" si="583"/>
        <v>PROP_OPER__26</v>
      </c>
      <c r="B1784" s="15" t="str">
        <f t="shared" si="591"/>
        <v>PROP_OPER__0_0</v>
      </c>
      <c r="C1784" s="83"/>
      <c r="D1784" s="15">
        <v>1</v>
      </c>
      <c r="E1784" s="15">
        <v>26</v>
      </c>
      <c r="F1784" s="190">
        <f t="shared" si="600"/>
        <v>0</v>
      </c>
      <c r="G1784" s="149" t="str">
        <f t="shared" si="600"/>
        <v/>
      </c>
      <c r="H1784" s="150" t="str">
        <f t="shared" si="600"/>
        <v/>
      </c>
      <c r="I1784" s="150">
        <f t="shared" si="600"/>
        <v>0</v>
      </c>
      <c r="J1784" s="150">
        <f t="shared" si="600"/>
        <v>0</v>
      </c>
      <c r="K1784" s="196"/>
      <c r="L1784" s="197"/>
      <c r="M1784" s="191">
        <f t="shared" si="601"/>
        <v>0</v>
      </c>
      <c r="N1784" s="150">
        <f t="shared" si="601"/>
        <v>0</v>
      </c>
      <c r="O1784" s="193">
        <f t="shared" si="601"/>
        <v>0</v>
      </c>
      <c r="P1784" s="162">
        <f t="shared" si="603"/>
        <v>0</v>
      </c>
      <c r="Q1784" s="162">
        <f t="shared" si="603"/>
        <v>0</v>
      </c>
      <c r="R1784" s="162">
        <f t="shared" si="603"/>
        <v>0</v>
      </c>
      <c r="S1784" s="162">
        <f t="shared" si="603"/>
        <v>0</v>
      </c>
      <c r="T1784" s="162">
        <f t="shared" si="603"/>
        <v>0</v>
      </c>
      <c r="U1784" s="162">
        <f t="shared" si="603"/>
        <v>0</v>
      </c>
      <c r="V1784" s="162">
        <f t="shared" si="603"/>
        <v>0</v>
      </c>
      <c r="W1784" s="162">
        <f t="shared" si="603"/>
        <v>0</v>
      </c>
      <c r="X1784" s="162">
        <f t="shared" si="603"/>
        <v>0</v>
      </c>
      <c r="Y1784" s="162">
        <f t="shared" si="603"/>
        <v>0</v>
      </c>
      <c r="Z1784" s="162">
        <f t="shared" si="603"/>
        <v>0</v>
      </c>
      <c r="AA1784" s="162">
        <f t="shared" si="603"/>
        <v>0</v>
      </c>
      <c r="AB1784" s="163">
        <f t="shared" si="595"/>
        <v>0</v>
      </c>
      <c r="AC1784" s="198"/>
      <c r="AE1784" s="194" t="str">
        <f t="shared" si="598"/>
        <v/>
      </c>
      <c r="AF1784" s="161">
        <f t="shared" si="602"/>
        <v>0</v>
      </c>
      <c r="AG1784" s="162">
        <f t="shared" si="602"/>
        <v>0</v>
      </c>
      <c r="AH1784" s="162">
        <f t="shared" si="602"/>
        <v>0</v>
      </c>
      <c r="AI1784" s="162">
        <f t="shared" si="602"/>
        <v>0</v>
      </c>
      <c r="AJ1784" s="162">
        <f t="shared" si="602"/>
        <v>0</v>
      </c>
      <c r="AK1784" s="162">
        <f t="shared" si="602"/>
        <v>0</v>
      </c>
      <c r="AL1784" s="162">
        <f t="shared" si="602"/>
        <v>0</v>
      </c>
      <c r="AM1784" s="162">
        <f t="shared" si="602"/>
        <v>0</v>
      </c>
      <c r="AN1784" s="162">
        <f t="shared" si="602"/>
        <v>0</v>
      </c>
      <c r="AO1784" s="162">
        <f t="shared" si="602"/>
        <v>0</v>
      </c>
      <c r="AP1784" s="162">
        <f t="shared" si="602"/>
        <v>0</v>
      </c>
      <c r="AQ1784" s="162">
        <f t="shared" si="602"/>
        <v>0</v>
      </c>
      <c r="AR1784" s="163">
        <f t="shared" si="597"/>
        <v>0</v>
      </c>
      <c r="AT1784" s="208">
        <f>IFERROR(VLOOKUP(J1784,#REF!,10,0),0)</f>
        <v>0</v>
      </c>
    </row>
    <row r="1785" spans="1:46" hidden="1" outlineLevel="1" x14ac:dyDescent="0.25">
      <c r="A1785" s="14" t="str">
        <f t="shared" si="583"/>
        <v>PROP_OPER__27</v>
      </c>
      <c r="B1785" s="15" t="str">
        <f t="shared" si="591"/>
        <v>PROP_OPER__0_0</v>
      </c>
      <c r="C1785" s="83"/>
      <c r="D1785" s="15">
        <v>1</v>
      </c>
      <c r="E1785" s="15">
        <v>27</v>
      </c>
      <c r="F1785" s="190">
        <f t="shared" si="600"/>
        <v>0</v>
      </c>
      <c r="G1785" s="149" t="str">
        <f t="shared" si="600"/>
        <v/>
      </c>
      <c r="H1785" s="150" t="str">
        <f t="shared" si="600"/>
        <v/>
      </c>
      <c r="I1785" s="150">
        <f t="shared" si="600"/>
        <v>0</v>
      </c>
      <c r="J1785" s="150">
        <f t="shared" si="600"/>
        <v>0</v>
      </c>
      <c r="K1785" s="196"/>
      <c r="L1785" s="197"/>
      <c r="M1785" s="191">
        <f t="shared" si="601"/>
        <v>0</v>
      </c>
      <c r="N1785" s="150">
        <f t="shared" si="601"/>
        <v>0</v>
      </c>
      <c r="O1785" s="193">
        <f t="shared" si="601"/>
        <v>0</v>
      </c>
      <c r="P1785" s="162">
        <f t="shared" si="603"/>
        <v>0</v>
      </c>
      <c r="Q1785" s="162">
        <f t="shared" si="603"/>
        <v>0</v>
      </c>
      <c r="R1785" s="162">
        <f t="shared" si="603"/>
        <v>0</v>
      </c>
      <c r="S1785" s="162">
        <f t="shared" si="603"/>
        <v>0</v>
      </c>
      <c r="T1785" s="162">
        <f t="shared" si="603"/>
        <v>0</v>
      </c>
      <c r="U1785" s="162">
        <f t="shared" si="603"/>
        <v>0</v>
      </c>
      <c r="V1785" s="162">
        <f t="shared" si="603"/>
        <v>0</v>
      </c>
      <c r="W1785" s="162">
        <f t="shared" si="603"/>
        <v>0</v>
      </c>
      <c r="X1785" s="162">
        <f t="shared" si="603"/>
        <v>0</v>
      </c>
      <c r="Y1785" s="162">
        <f t="shared" si="603"/>
        <v>0</v>
      </c>
      <c r="Z1785" s="162">
        <f t="shared" si="603"/>
        <v>0</v>
      </c>
      <c r="AA1785" s="162">
        <f t="shared" si="603"/>
        <v>0</v>
      </c>
      <c r="AB1785" s="163">
        <f t="shared" si="595"/>
        <v>0</v>
      </c>
      <c r="AC1785" s="198"/>
      <c r="AE1785" s="194" t="str">
        <f t="shared" si="598"/>
        <v/>
      </c>
      <c r="AF1785" s="161">
        <f t="shared" si="602"/>
        <v>0</v>
      </c>
      <c r="AG1785" s="162">
        <f t="shared" si="602"/>
        <v>0</v>
      </c>
      <c r="AH1785" s="162">
        <f t="shared" si="602"/>
        <v>0</v>
      </c>
      <c r="AI1785" s="162">
        <f t="shared" si="602"/>
        <v>0</v>
      </c>
      <c r="AJ1785" s="162">
        <f t="shared" si="602"/>
        <v>0</v>
      </c>
      <c r="AK1785" s="162">
        <f t="shared" si="602"/>
        <v>0</v>
      </c>
      <c r="AL1785" s="162">
        <f t="shared" si="602"/>
        <v>0</v>
      </c>
      <c r="AM1785" s="162">
        <f t="shared" si="602"/>
        <v>0</v>
      </c>
      <c r="AN1785" s="162">
        <f t="shared" si="602"/>
        <v>0</v>
      </c>
      <c r="AO1785" s="162">
        <f t="shared" si="602"/>
        <v>0</v>
      </c>
      <c r="AP1785" s="162">
        <f t="shared" si="602"/>
        <v>0</v>
      </c>
      <c r="AQ1785" s="162">
        <f t="shared" si="602"/>
        <v>0</v>
      </c>
      <c r="AR1785" s="163">
        <f t="shared" si="597"/>
        <v>0</v>
      </c>
      <c r="AT1785" s="208">
        <f>IFERROR(VLOOKUP(J1785,#REF!,10,0),0)</f>
        <v>0</v>
      </c>
    </row>
    <row r="1786" spans="1:46" hidden="1" outlineLevel="1" x14ac:dyDescent="0.25">
      <c r="A1786" s="14" t="str">
        <f t="shared" si="583"/>
        <v>PROP_OPER__28</v>
      </c>
      <c r="B1786" s="15" t="str">
        <f t="shared" si="591"/>
        <v>PROP_OPER__0_0</v>
      </c>
      <c r="C1786" s="83"/>
      <c r="D1786" s="15">
        <v>1</v>
      </c>
      <c r="E1786" s="15">
        <v>28</v>
      </c>
      <c r="F1786" s="190">
        <f t="shared" si="600"/>
        <v>0</v>
      </c>
      <c r="G1786" s="149" t="str">
        <f t="shared" si="600"/>
        <v/>
      </c>
      <c r="H1786" s="150" t="str">
        <f t="shared" si="600"/>
        <v/>
      </c>
      <c r="I1786" s="150">
        <f t="shared" si="600"/>
        <v>0</v>
      </c>
      <c r="J1786" s="150">
        <f t="shared" si="600"/>
        <v>0</v>
      </c>
      <c r="K1786" s="196"/>
      <c r="L1786" s="197"/>
      <c r="M1786" s="191">
        <f t="shared" si="601"/>
        <v>0</v>
      </c>
      <c r="N1786" s="150">
        <f t="shared" si="601"/>
        <v>0</v>
      </c>
      <c r="O1786" s="193">
        <f t="shared" si="601"/>
        <v>0</v>
      </c>
      <c r="P1786" s="162">
        <f t="shared" si="603"/>
        <v>0</v>
      </c>
      <c r="Q1786" s="162">
        <f t="shared" si="603"/>
        <v>0</v>
      </c>
      <c r="R1786" s="162">
        <f t="shared" si="603"/>
        <v>0</v>
      </c>
      <c r="S1786" s="162">
        <f t="shared" si="603"/>
        <v>0</v>
      </c>
      <c r="T1786" s="162">
        <f t="shared" si="603"/>
        <v>0</v>
      </c>
      <c r="U1786" s="162">
        <f t="shared" si="603"/>
        <v>0</v>
      </c>
      <c r="V1786" s="162">
        <f t="shared" si="603"/>
        <v>0</v>
      </c>
      <c r="W1786" s="162">
        <f t="shared" si="603"/>
        <v>0</v>
      </c>
      <c r="X1786" s="162">
        <f t="shared" si="603"/>
        <v>0</v>
      </c>
      <c r="Y1786" s="162">
        <f t="shared" si="603"/>
        <v>0</v>
      </c>
      <c r="Z1786" s="162">
        <f t="shared" si="603"/>
        <v>0</v>
      </c>
      <c r="AA1786" s="162">
        <f t="shared" si="603"/>
        <v>0</v>
      </c>
      <c r="AB1786" s="163">
        <f t="shared" si="595"/>
        <v>0</v>
      </c>
      <c r="AC1786" s="198"/>
      <c r="AE1786" s="194" t="str">
        <f t="shared" si="598"/>
        <v/>
      </c>
      <c r="AF1786" s="161">
        <f t="shared" si="602"/>
        <v>0</v>
      </c>
      <c r="AG1786" s="162">
        <f t="shared" si="602"/>
        <v>0</v>
      </c>
      <c r="AH1786" s="162">
        <f t="shared" si="602"/>
        <v>0</v>
      </c>
      <c r="AI1786" s="162">
        <f t="shared" si="602"/>
        <v>0</v>
      </c>
      <c r="AJ1786" s="162">
        <f t="shared" si="602"/>
        <v>0</v>
      </c>
      <c r="AK1786" s="162">
        <f t="shared" si="602"/>
        <v>0</v>
      </c>
      <c r="AL1786" s="162">
        <f t="shared" si="602"/>
        <v>0</v>
      </c>
      <c r="AM1786" s="162">
        <f t="shared" si="602"/>
        <v>0</v>
      </c>
      <c r="AN1786" s="162">
        <f t="shared" si="602"/>
        <v>0</v>
      </c>
      <c r="AO1786" s="162">
        <f t="shared" si="602"/>
        <v>0</v>
      </c>
      <c r="AP1786" s="162">
        <f t="shared" si="602"/>
        <v>0</v>
      </c>
      <c r="AQ1786" s="162">
        <f t="shared" si="602"/>
        <v>0</v>
      </c>
      <c r="AR1786" s="163">
        <f t="shared" si="597"/>
        <v>0</v>
      </c>
      <c r="AT1786" s="208">
        <f>IFERROR(VLOOKUP(J1786,#REF!,10,0),0)</f>
        <v>0</v>
      </c>
    </row>
    <row r="1787" spans="1:46" hidden="1" outlineLevel="1" x14ac:dyDescent="0.25">
      <c r="A1787" s="14" t="str">
        <f t="shared" si="583"/>
        <v>PROP_OPER__29</v>
      </c>
      <c r="B1787" s="15" t="str">
        <f t="shared" si="591"/>
        <v>PROP_OPER__0_0</v>
      </c>
      <c r="C1787" s="83"/>
      <c r="D1787" s="15">
        <v>1</v>
      </c>
      <c r="E1787" s="15">
        <v>29</v>
      </c>
      <c r="F1787" s="190">
        <f t="shared" si="600"/>
        <v>0</v>
      </c>
      <c r="G1787" s="149" t="str">
        <f t="shared" si="600"/>
        <v/>
      </c>
      <c r="H1787" s="150" t="str">
        <f t="shared" si="600"/>
        <v/>
      </c>
      <c r="I1787" s="150">
        <f t="shared" si="600"/>
        <v>0</v>
      </c>
      <c r="J1787" s="150">
        <f t="shared" si="600"/>
        <v>0</v>
      </c>
      <c r="K1787" s="196"/>
      <c r="L1787" s="197"/>
      <c r="M1787" s="191">
        <f t="shared" si="601"/>
        <v>0</v>
      </c>
      <c r="N1787" s="150">
        <f t="shared" si="601"/>
        <v>0</v>
      </c>
      <c r="O1787" s="193">
        <f t="shared" si="601"/>
        <v>0</v>
      </c>
      <c r="P1787" s="162">
        <f t="shared" si="603"/>
        <v>0</v>
      </c>
      <c r="Q1787" s="162">
        <f t="shared" si="603"/>
        <v>0</v>
      </c>
      <c r="R1787" s="162">
        <f t="shared" si="603"/>
        <v>0</v>
      </c>
      <c r="S1787" s="162">
        <f t="shared" si="603"/>
        <v>0</v>
      </c>
      <c r="T1787" s="162">
        <f t="shared" si="603"/>
        <v>0</v>
      </c>
      <c r="U1787" s="162">
        <f t="shared" si="603"/>
        <v>0</v>
      </c>
      <c r="V1787" s="162">
        <f t="shared" si="603"/>
        <v>0</v>
      </c>
      <c r="W1787" s="162">
        <f t="shared" si="603"/>
        <v>0</v>
      </c>
      <c r="X1787" s="162">
        <f t="shared" si="603"/>
        <v>0</v>
      </c>
      <c r="Y1787" s="162">
        <f t="shared" si="603"/>
        <v>0</v>
      </c>
      <c r="Z1787" s="162">
        <f t="shared" si="603"/>
        <v>0</v>
      </c>
      <c r="AA1787" s="162">
        <f t="shared" si="603"/>
        <v>0</v>
      </c>
      <c r="AB1787" s="163">
        <f t="shared" si="595"/>
        <v>0</v>
      </c>
      <c r="AC1787" s="198"/>
      <c r="AE1787" s="194" t="str">
        <f t="shared" si="598"/>
        <v/>
      </c>
      <c r="AF1787" s="161">
        <f t="shared" si="602"/>
        <v>0</v>
      </c>
      <c r="AG1787" s="162">
        <f t="shared" si="602"/>
        <v>0</v>
      </c>
      <c r="AH1787" s="162">
        <f t="shared" si="602"/>
        <v>0</v>
      </c>
      <c r="AI1787" s="162">
        <f t="shared" si="602"/>
        <v>0</v>
      </c>
      <c r="AJ1787" s="162">
        <f t="shared" si="602"/>
        <v>0</v>
      </c>
      <c r="AK1787" s="162">
        <f t="shared" si="602"/>
        <v>0</v>
      </c>
      <c r="AL1787" s="162">
        <f t="shared" si="602"/>
        <v>0</v>
      </c>
      <c r="AM1787" s="162">
        <f t="shared" si="602"/>
        <v>0</v>
      </c>
      <c r="AN1787" s="162">
        <f t="shared" si="602"/>
        <v>0</v>
      </c>
      <c r="AO1787" s="162">
        <f t="shared" si="602"/>
        <v>0</v>
      </c>
      <c r="AP1787" s="162">
        <f t="shared" si="602"/>
        <v>0</v>
      </c>
      <c r="AQ1787" s="162">
        <f t="shared" si="602"/>
        <v>0</v>
      </c>
      <c r="AR1787" s="163">
        <f t="shared" si="597"/>
        <v>0</v>
      </c>
      <c r="AT1787" s="208">
        <f>IFERROR(VLOOKUP(J1787,#REF!,10,0),0)</f>
        <v>0</v>
      </c>
    </row>
    <row r="1788" spans="1:46" hidden="1" outlineLevel="1" x14ac:dyDescent="0.25">
      <c r="A1788" s="14" t="str">
        <f t="shared" si="583"/>
        <v>PROP_OPER__30</v>
      </c>
      <c r="B1788" s="15" t="str">
        <f t="shared" si="591"/>
        <v>PROP_OPER__0_0</v>
      </c>
      <c r="C1788" s="83"/>
      <c r="D1788" s="15">
        <v>1</v>
      </c>
      <c r="E1788" s="15">
        <v>30</v>
      </c>
      <c r="F1788" s="190">
        <f t="shared" si="600"/>
        <v>0</v>
      </c>
      <c r="G1788" s="149" t="str">
        <f t="shared" si="600"/>
        <v/>
      </c>
      <c r="H1788" s="150" t="str">
        <f t="shared" si="600"/>
        <v/>
      </c>
      <c r="I1788" s="150">
        <f t="shared" si="600"/>
        <v>0</v>
      </c>
      <c r="J1788" s="150">
        <f t="shared" si="600"/>
        <v>0</v>
      </c>
      <c r="K1788" s="196"/>
      <c r="L1788" s="197"/>
      <c r="M1788" s="191">
        <f t="shared" si="601"/>
        <v>0</v>
      </c>
      <c r="N1788" s="150">
        <f t="shared" si="601"/>
        <v>0</v>
      </c>
      <c r="O1788" s="193">
        <f t="shared" si="601"/>
        <v>0</v>
      </c>
      <c r="P1788" s="162">
        <f t="shared" si="603"/>
        <v>0</v>
      </c>
      <c r="Q1788" s="162">
        <f t="shared" si="603"/>
        <v>0</v>
      </c>
      <c r="R1788" s="162">
        <f t="shared" si="603"/>
        <v>0</v>
      </c>
      <c r="S1788" s="162">
        <f t="shared" si="603"/>
        <v>0</v>
      </c>
      <c r="T1788" s="162">
        <f t="shared" si="603"/>
        <v>0</v>
      </c>
      <c r="U1788" s="162">
        <f t="shared" si="603"/>
        <v>0</v>
      </c>
      <c r="V1788" s="162">
        <f t="shared" si="603"/>
        <v>0</v>
      </c>
      <c r="W1788" s="162">
        <f t="shared" si="603"/>
        <v>0</v>
      </c>
      <c r="X1788" s="162">
        <f t="shared" si="603"/>
        <v>0</v>
      </c>
      <c r="Y1788" s="162">
        <f t="shared" si="603"/>
        <v>0</v>
      </c>
      <c r="Z1788" s="162">
        <f t="shared" si="603"/>
        <v>0</v>
      </c>
      <c r="AA1788" s="162">
        <f t="shared" si="603"/>
        <v>0</v>
      </c>
      <c r="AB1788" s="163">
        <f t="shared" si="595"/>
        <v>0</v>
      </c>
      <c r="AC1788" s="198"/>
      <c r="AE1788" s="194" t="str">
        <f t="shared" si="598"/>
        <v/>
      </c>
      <c r="AF1788" s="161">
        <f t="shared" si="602"/>
        <v>0</v>
      </c>
      <c r="AG1788" s="162">
        <f t="shared" si="602"/>
        <v>0</v>
      </c>
      <c r="AH1788" s="162">
        <f t="shared" si="602"/>
        <v>0</v>
      </c>
      <c r="AI1788" s="162">
        <f t="shared" si="602"/>
        <v>0</v>
      </c>
      <c r="AJ1788" s="162">
        <f t="shared" si="602"/>
        <v>0</v>
      </c>
      <c r="AK1788" s="162">
        <f t="shared" si="602"/>
        <v>0</v>
      </c>
      <c r="AL1788" s="162">
        <f t="shared" si="602"/>
        <v>0</v>
      </c>
      <c r="AM1788" s="162">
        <f t="shared" si="602"/>
        <v>0</v>
      </c>
      <c r="AN1788" s="162">
        <f t="shared" si="602"/>
        <v>0</v>
      </c>
      <c r="AO1788" s="162">
        <f t="shared" si="602"/>
        <v>0</v>
      </c>
      <c r="AP1788" s="162">
        <f t="shared" si="602"/>
        <v>0</v>
      </c>
      <c r="AQ1788" s="162">
        <f t="shared" si="602"/>
        <v>0</v>
      </c>
      <c r="AR1788" s="163">
        <f t="shared" si="597"/>
        <v>0</v>
      </c>
      <c r="AT1788" s="208">
        <f>IFERROR(VLOOKUP(J1788,#REF!,10,0),0)</f>
        <v>0</v>
      </c>
    </row>
    <row r="1789" spans="1:46" hidden="1" outlineLevel="1" x14ac:dyDescent="0.25">
      <c r="A1789" s="14" t="str">
        <f t="shared" si="583"/>
        <v>PROP_OPER__31</v>
      </c>
      <c r="B1789" s="15" t="str">
        <f t="shared" si="591"/>
        <v>PROP_OPER__0_0</v>
      </c>
      <c r="C1789" s="83"/>
      <c r="D1789" s="15">
        <v>1</v>
      </c>
      <c r="E1789" s="15">
        <v>31</v>
      </c>
      <c r="F1789" s="190">
        <f t="shared" si="600"/>
        <v>0</v>
      </c>
      <c r="G1789" s="149" t="str">
        <f t="shared" si="600"/>
        <v/>
      </c>
      <c r="H1789" s="150" t="str">
        <f t="shared" si="600"/>
        <v/>
      </c>
      <c r="I1789" s="150">
        <f t="shared" si="600"/>
        <v>0</v>
      </c>
      <c r="J1789" s="150">
        <f t="shared" si="600"/>
        <v>0</v>
      </c>
      <c r="K1789" s="196"/>
      <c r="L1789" s="197"/>
      <c r="M1789" s="191">
        <f t="shared" si="601"/>
        <v>0</v>
      </c>
      <c r="N1789" s="150">
        <f t="shared" si="601"/>
        <v>0</v>
      </c>
      <c r="O1789" s="193">
        <f t="shared" si="601"/>
        <v>0</v>
      </c>
      <c r="P1789" s="162">
        <f t="shared" si="603"/>
        <v>0</v>
      </c>
      <c r="Q1789" s="162">
        <f t="shared" si="603"/>
        <v>0</v>
      </c>
      <c r="R1789" s="162">
        <f t="shared" si="603"/>
        <v>0</v>
      </c>
      <c r="S1789" s="162">
        <f t="shared" si="603"/>
        <v>0</v>
      </c>
      <c r="T1789" s="162">
        <f t="shared" si="603"/>
        <v>0</v>
      </c>
      <c r="U1789" s="162">
        <f t="shared" si="603"/>
        <v>0</v>
      </c>
      <c r="V1789" s="162">
        <f t="shared" si="603"/>
        <v>0</v>
      </c>
      <c r="W1789" s="162">
        <f t="shared" si="603"/>
        <v>0</v>
      </c>
      <c r="X1789" s="162">
        <f t="shared" si="603"/>
        <v>0</v>
      </c>
      <c r="Y1789" s="162">
        <f t="shared" si="603"/>
        <v>0</v>
      </c>
      <c r="Z1789" s="162">
        <f t="shared" si="603"/>
        <v>0</v>
      </c>
      <c r="AA1789" s="162">
        <f t="shared" si="603"/>
        <v>0</v>
      </c>
      <c r="AB1789" s="163">
        <f t="shared" si="595"/>
        <v>0</v>
      </c>
      <c r="AC1789" s="198"/>
      <c r="AE1789" s="194" t="str">
        <f t="shared" si="598"/>
        <v/>
      </c>
      <c r="AF1789" s="161">
        <f t="shared" si="602"/>
        <v>0</v>
      </c>
      <c r="AG1789" s="162">
        <f t="shared" si="602"/>
        <v>0</v>
      </c>
      <c r="AH1789" s="162">
        <f t="shared" si="602"/>
        <v>0</v>
      </c>
      <c r="AI1789" s="162">
        <f t="shared" si="602"/>
        <v>0</v>
      </c>
      <c r="AJ1789" s="162">
        <f t="shared" si="602"/>
        <v>0</v>
      </c>
      <c r="AK1789" s="162">
        <f t="shared" si="602"/>
        <v>0</v>
      </c>
      <c r="AL1789" s="162">
        <f t="shared" si="602"/>
        <v>0</v>
      </c>
      <c r="AM1789" s="162">
        <f t="shared" si="602"/>
        <v>0</v>
      </c>
      <c r="AN1789" s="162">
        <f t="shared" si="602"/>
        <v>0</v>
      </c>
      <c r="AO1789" s="162">
        <f t="shared" si="602"/>
        <v>0</v>
      </c>
      <c r="AP1789" s="162">
        <f t="shared" si="602"/>
        <v>0</v>
      </c>
      <c r="AQ1789" s="162">
        <f t="shared" si="602"/>
        <v>0</v>
      </c>
      <c r="AR1789" s="163">
        <f t="shared" si="597"/>
        <v>0</v>
      </c>
      <c r="AT1789" s="208">
        <f>IFERROR(VLOOKUP(J1789,#REF!,10,0),0)</f>
        <v>0</v>
      </c>
    </row>
    <row r="1790" spans="1:46" hidden="1" outlineLevel="1" x14ac:dyDescent="0.25">
      <c r="A1790" s="14" t="str">
        <f t="shared" si="583"/>
        <v>PROP_OPER__32</v>
      </c>
      <c r="B1790" s="15" t="str">
        <f t="shared" si="591"/>
        <v>PROP_OPER__0_0</v>
      </c>
      <c r="C1790" s="83"/>
      <c r="D1790" s="15">
        <v>1</v>
      </c>
      <c r="E1790" s="15">
        <v>32</v>
      </c>
      <c r="F1790" s="190">
        <f t="shared" si="600"/>
        <v>0</v>
      </c>
      <c r="G1790" s="149" t="str">
        <f t="shared" si="600"/>
        <v/>
      </c>
      <c r="H1790" s="150" t="str">
        <f t="shared" si="600"/>
        <v/>
      </c>
      <c r="I1790" s="150">
        <f t="shared" si="600"/>
        <v>0</v>
      </c>
      <c r="J1790" s="150">
        <f t="shared" si="600"/>
        <v>0</v>
      </c>
      <c r="K1790" s="196"/>
      <c r="L1790" s="197"/>
      <c r="M1790" s="191">
        <f t="shared" si="601"/>
        <v>0</v>
      </c>
      <c r="N1790" s="150">
        <f t="shared" si="601"/>
        <v>0</v>
      </c>
      <c r="O1790" s="193">
        <f t="shared" si="601"/>
        <v>0</v>
      </c>
      <c r="P1790" s="162">
        <f t="shared" si="603"/>
        <v>0</v>
      </c>
      <c r="Q1790" s="162">
        <f t="shared" si="603"/>
        <v>0</v>
      </c>
      <c r="R1790" s="162">
        <f t="shared" si="603"/>
        <v>0</v>
      </c>
      <c r="S1790" s="162">
        <f t="shared" si="603"/>
        <v>0</v>
      </c>
      <c r="T1790" s="162">
        <f t="shared" si="603"/>
        <v>0</v>
      </c>
      <c r="U1790" s="162">
        <f t="shared" si="603"/>
        <v>0</v>
      </c>
      <c r="V1790" s="162">
        <f t="shared" si="603"/>
        <v>0</v>
      </c>
      <c r="W1790" s="162">
        <f t="shared" si="603"/>
        <v>0</v>
      </c>
      <c r="X1790" s="162">
        <f t="shared" si="603"/>
        <v>0</v>
      </c>
      <c r="Y1790" s="162">
        <f t="shared" si="603"/>
        <v>0</v>
      </c>
      <c r="Z1790" s="162">
        <f t="shared" si="603"/>
        <v>0</v>
      </c>
      <c r="AA1790" s="162">
        <f t="shared" si="603"/>
        <v>0</v>
      </c>
      <c r="AB1790" s="163">
        <f t="shared" si="595"/>
        <v>0</v>
      </c>
      <c r="AC1790" s="198"/>
      <c r="AE1790" s="194" t="str">
        <f t="shared" si="598"/>
        <v/>
      </c>
      <c r="AF1790" s="161">
        <f t="shared" si="602"/>
        <v>0</v>
      </c>
      <c r="AG1790" s="162">
        <f t="shared" si="602"/>
        <v>0</v>
      </c>
      <c r="AH1790" s="162">
        <f t="shared" si="602"/>
        <v>0</v>
      </c>
      <c r="AI1790" s="162">
        <f t="shared" si="602"/>
        <v>0</v>
      </c>
      <c r="AJ1790" s="162">
        <f t="shared" si="602"/>
        <v>0</v>
      </c>
      <c r="AK1790" s="162">
        <f t="shared" si="602"/>
        <v>0</v>
      </c>
      <c r="AL1790" s="162">
        <f t="shared" si="602"/>
        <v>0</v>
      </c>
      <c r="AM1790" s="162">
        <f t="shared" si="602"/>
        <v>0</v>
      </c>
      <c r="AN1790" s="162">
        <f t="shared" si="602"/>
        <v>0</v>
      </c>
      <c r="AO1790" s="162">
        <f t="shared" si="602"/>
        <v>0</v>
      </c>
      <c r="AP1790" s="162">
        <f t="shared" si="602"/>
        <v>0</v>
      </c>
      <c r="AQ1790" s="162">
        <f t="shared" si="602"/>
        <v>0</v>
      </c>
      <c r="AR1790" s="163">
        <f t="shared" si="597"/>
        <v>0</v>
      </c>
      <c r="AT1790" s="208">
        <f>IFERROR(VLOOKUP(J1790,#REF!,10,0),0)</f>
        <v>0</v>
      </c>
    </row>
    <row r="1791" spans="1:46" hidden="1" outlineLevel="1" x14ac:dyDescent="0.25">
      <c r="A1791" s="14" t="str">
        <f t="shared" si="583"/>
        <v>PROP_OPER__33</v>
      </c>
      <c r="B1791" s="15" t="str">
        <f t="shared" si="591"/>
        <v>PROP_OPER__0_0</v>
      </c>
      <c r="C1791" s="83"/>
      <c r="D1791" s="15">
        <v>1</v>
      </c>
      <c r="E1791" s="15">
        <v>33</v>
      </c>
      <c r="F1791" s="190">
        <f t="shared" ref="F1791:J1803" si="604">F1745</f>
        <v>0</v>
      </c>
      <c r="G1791" s="149" t="str">
        <f t="shared" si="604"/>
        <v/>
      </c>
      <c r="H1791" s="150" t="str">
        <f t="shared" si="604"/>
        <v/>
      </c>
      <c r="I1791" s="150">
        <f t="shared" si="604"/>
        <v>0</v>
      </c>
      <c r="J1791" s="150">
        <f t="shared" si="604"/>
        <v>0</v>
      </c>
      <c r="K1791" s="196"/>
      <c r="L1791" s="197"/>
      <c r="M1791" s="191">
        <f t="shared" ref="M1791:O1803" si="605">M1745</f>
        <v>0</v>
      </c>
      <c r="N1791" s="150">
        <f t="shared" si="605"/>
        <v>0</v>
      </c>
      <c r="O1791" s="193">
        <f t="shared" si="605"/>
        <v>0</v>
      </c>
      <c r="P1791" s="162">
        <f t="shared" si="603"/>
        <v>0</v>
      </c>
      <c r="Q1791" s="162">
        <f t="shared" si="603"/>
        <v>0</v>
      </c>
      <c r="R1791" s="162">
        <f t="shared" si="603"/>
        <v>0</v>
      </c>
      <c r="S1791" s="162">
        <f t="shared" si="603"/>
        <v>0</v>
      </c>
      <c r="T1791" s="162">
        <f t="shared" si="603"/>
        <v>0</v>
      </c>
      <c r="U1791" s="162">
        <f t="shared" si="603"/>
        <v>0</v>
      </c>
      <c r="V1791" s="162">
        <f t="shared" si="603"/>
        <v>0</v>
      </c>
      <c r="W1791" s="162">
        <f t="shared" si="603"/>
        <v>0</v>
      </c>
      <c r="X1791" s="162">
        <f t="shared" si="603"/>
        <v>0</v>
      </c>
      <c r="Y1791" s="162">
        <f t="shared" si="603"/>
        <v>0</v>
      </c>
      <c r="Z1791" s="162">
        <f t="shared" si="603"/>
        <v>0</v>
      </c>
      <c r="AA1791" s="162">
        <f t="shared" si="603"/>
        <v>0</v>
      </c>
      <c r="AB1791" s="163">
        <f t="shared" si="595"/>
        <v>0</v>
      </c>
      <c r="AC1791" s="198"/>
      <c r="AE1791" s="194" t="str">
        <f t="shared" si="598"/>
        <v/>
      </c>
      <c r="AF1791" s="161">
        <f t="shared" ref="AF1791:AQ1803" si="606">IFERROR(SUMIF($B$1351:$B$1378,$C1791&amp;$I1791,P$1351:P$1378)/SUMIF($D$1351:$D$1378,$I1791,P$1351:P$1378)*AF1460,0)</f>
        <v>0</v>
      </c>
      <c r="AG1791" s="162">
        <f t="shared" si="606"/>
        <v>0</v>
      </c>
      <c r="AH1791" s="162">
        <f t="shared" si="606"/>
        <v>0</v>
      </c>
      <c r="AI1791" s="162">
        <f t="shared" si="606"/>
        <v>0</v>
      </c>
      <c r="AJ1791" s="162">
        <f t="shared" si="606"/>
        <v>0</v>
      </c>
      <c r="AK1791" s="162">
        <f t="shared" si="606"/>
        <v>0</v>
      </c>
      <c r="AL1791" s="162">
        <f t="shared" si="606"/>
        <v>0</v>
      </c>
      <c r="AM1791" s="162">
        <f t="shared" si="606"/>
        <v>0</v>
      </c>
      <c r="AN1791" s="162">
        <f t="shared" si="606"/>
        <v>0</v>
      </c>
      <c r="AO1791" s="162">
        <f t="shared" si="606"/>
        <v>0</v>
      </c>
      <c r="AP1791" s="162">
        <f t="shared" si="606"/>
        <v>0</v>
      </c>
      <c r="AQ1791" s="162">
        <f t="shared" si="606"/>
        <v>0</v>
      </c>
      <c r="AR1791" s="163">
        <f t="shared" si="597"/>
        <v>0</v>
      </c>
      <c r="AT1791" s="208">
        <f>IFERROR(VLOOKUP(J1791,#REF!,10,0),0)</f>
        <v>0</v>
      </c>
    </row>
    <row r="1792" spans="1:46" hidden="1" outlineLevel="1" x14ac:dyDescent="0.25">
      <c r="A1792" s="14" t="str">
        <f t="shared" si="583"/>
        <v>PROP_OPER__34</v>
      </c>
      <c r="B1792" s="15" t="str">
        <f t="shared" si="591"/>
        <v>PROP_OPER__0_0</v>
      </c>
      <c r="C1792" s="83"/>
      <c r="D1792" s="15">
        <v>1</v>
      </c>
      <c r="E1792" s="15">
        <v>34</v>
      </c>
      <c r="F1792" s="190">
        <f t="shared" si="604"/>
        <v>0</v>
      </c>
      <c r="G1792" s="149" t="str">
        <f t="shared" si="604"/>
        <v/>
      </c>
      <c r="H1792" s="150" t="str">
        <f t="shared" si="604"/>
        <v/>
      </c>
      <c r="I1792" s="150">
        <f t="shared" si="604"/>
        <v>0</v>
      </c>
      <c r="J1792" s="150">
        <f t="shared" si="604"/>
        <v>0</v>
      </c>
      <c r="K1792" s="196"/>
      <c r="L1792" s="197"/>
      <c r="M1792" s="191">
        <f t="shared" si="605"/>
        <v>0</v>
      </c>
      <c r="N1792" s="150">
        <f t="shared" si="605"/>
        <v>0</v>
      </c>
      <c r="O1792" s="193">
        <f t="shared" si="605"/>
        <v>0</v>
      </c>
      <c r="P1792" s="162">
        <f t="shared" si="603"/>
        <v>0</v>
      </c>
      <c r="Q1792" s="162">
        <f t="shared" si="603"/>
        <v>0</v>
      </c>
      <c r="R1792" s="162">
        <f t="shared" si="603"/>
        <v>0</v>
      </c>
      <c r="S1792" s="162">
        <f t="shared" si="603"/>
        <v>0</v>
      </c>
      <c r="T1792" s="162">
        <f t="shared" si="603"/>
        <v>0</v>
      </c>
      <c r="U1792" s="162">
        <f t="shared" si="603"/>
        <v>0</v>
      </c>
      <c r="V1792" s="162">
        <f t="shared" si="603"/>
        <v>0</v>
      </c>
      <c r="W1792" s="162">
        <f t="shared" si="603"/>
        <v>0</v>
      </c>
      <c r="X1792" s="162">
        <f t="shared" si="603"/>
        <v>0</v>
      </c>
      <c r="Y1792" s="162">
        <f t="shared" si="603"/>
        <v>0</v>
      </c>
      <c r="Z1792" s="162">
        <f t="shared" si="603"/>
        <v>0</v>
      </c>
      <c r="AA1792" s="162">
        <f t="shared" si="603"/>
        <v>0</v>
      </c>
      <c r="AB1792" s="163">
        <f t="shared" si="595"/>
        <v>0</v>
      </c>
      <c r="AC1792" s="198"/>
      <c r="AE1792" s="194" t="str">
        <f t="shared" si="598"/>
        <v/>
      </c>
      <c r="AF1792" s="161">
        <f t="shared" si="606"/>
        <v>0</v>
      </c>
      <c r="AG1792" s="162">
        <f t="shared" si="606"/>
        <v>0</v>
      </c>
      <c r="AH1792" s="162">
        <f t="shared" si="606"/>
        <v>0</v>
      </c>
      <c r="AI1792" s="162">
        <f t="shared" si="606"/>
        <v>0</v>
      </c>
      <c r="AJ1792" s="162">
        <f t="shared" si="606"/>
        <v>0</v>
      </c>
      <c r="AK1792" s="162">
        <f t="shared" si="606"/>
        <v>0</v>
      </c>
      <c r="AL1792" s="162">
        <f t="shared" si="606"/>
        <v>0</v>
      </c>
      <c r="AM1792" s="162">
        <f t="shared" si="606"/>
        <v>0</v>
      </c>
      <c r="AN1792" s="162">
        <f t="shared" si="606"/>
        <v>0</v>
      </c>
      <c r="AO1792" s="162">
        <f t="shared" si="606"/>
        <v>0</v>
      </c>
      <c r="AP1792" s="162">
        <f t="shared" si="606"/>
        <v>0</v>
      </c>
      <c r="AQ1792" s="162">
        <f t="shared" si="606"/>
        <v>0</v>
      </c>
      <c r="AR1792" s="163">
        <f t="shared" si="597"/>
        <v>0</v>
      </c>
      <c r="AT1792" s="208">
        <f>IFERROR(VLOOKUP(J1792,#REF!,10,0),0)</f>
        <v>0</v>
      </c>
    </row>
    <row r="1793" spans="1:46" hidden="1" outlineLevel="1" x14ac:dyDescent="0.25">
      <c r="A1793" s="14" t="str">
        <f t="shared" si="583"/>
        <v>PROP_OPER__35</v>
      </c>
      <c r="B1793" s="15" t="str">
        <f t="shared" si="591"/>
        <v>PROP_OPER__0_0</v>
      </c>
      <c r="C1793" s="83"/>
      <c r="D1793" s="15">
        <v>1</v>
      </c>
      <c r="E1793" s="15">
        <v>35</v>
      </c>
      <c r="F1793" s="190">
        <f t="shared" si="604"/>
        <v>0</v>
      </c>
      <c r="G1793" s="149" t="str">
        <f t="shared" si="604"/>
        <v/>
      </c>
      <c r="H1793" s="150" t="str">
        <f t="shared" si="604"/>
        <v/>
      </c>
      <c r="I1793" s="150">
        <f t="shared" si="604"/>
        <v>0</v>
      </c>
      <c r="J1793" s="150">
        <f t="shared" si="604"/>
        <v>0</v>
      </c>
      <c r="K1793" s="196"/>
      <c r="L1793" s="197"/>
      <c r="M1793" s="191">
        <f t="shared" si="605"/>
        <v>0</v>
      </c>
      <c r="N1793" s="150">
        <f t="shared" si="605"/>
        <v>0</v>
      </c>
      <c r="O1793" s="193">
        <f t="shared" si="605"/>
        <v>0</v>
      </c>
      <c r="P1793" s="162">
        <f t="shared" si="603"/>
        <v>0</v>
      </c>
      <c r="Q1793" s="162">
        <f t="shared" si="603"/>
        <v>0</v>
      </c>
      <c r="R1793" s="162">
        <f t="shared" si="603"/>
        <v>0</v>
      </c>
      <c r="S1793" s="162">
        <f t="shared" si="603"/>
        <v>0</v>
      </c>
      <c r="T1793" s="162">
        <f t="shared" si="603"/>
        <v>0</v>
      </c>
      <c r="U1793" s="162">
        <f t="shared" si="603"/>
        <v>0</v>
      </c>
      <c r="V1793" s="162">
        <f t="shared" si="603"/>
        <v>0</v>
      </c>
      <c r="W1793" s="162">
        <f t="shared" si="603"/>
        <v>0</v>
      </c>
      <c r="X1793" s="162">
        <f t="shared" si="603"/>
        <v>0</v>
      </c>
      <c r="Y1793" s="162">
        <f t="shared" si="603"/>
        <v>0</v>
      </c>
      <c r="Z1793" s="162">
        <f t="shared" si="603"/>
        <v>0</v>
      </c>
      <c r="AA1793" s="162">
        <f t="shared" si="603"/>
        <v>0</v>
      </c>
      <c r="AB1793" s="163">
        <f t="shared" si="595"/>
        <v>0</v>
      </c>
      <c r="AC1793" s="198"/>
      <c r="AE1793" s="194" t="str">
        <f t="shared" si="598"/>
        <v/>
      </c>
      <c r="AF1793" s="161">
        <f t="shared" si="606"/>
        <v>0</v>
      </c>
      <c r="AG1793" s="162">
        <f t="shared" si="606"/>
        <v>0</v>
      </c>
      <c r="AH1793" s="162">
        <f t="shared" si="606"/>
        <v>0</v>
      </c>
      <c r="AI1793" s="162">
        <f t="shared" si="606"/>
        <v>0</v>
      </c>
      <c r="AJ1793" s="162">
        <f t="shared" si="606"/>
        <v>0</v>
      </c>
      <c r="AK1793" s="162">
        <f t="shared" si="606"/>
        <v>0</v>
      </c>
      <c r="AL1793" s="162">
        <f t="shared" si="606"/>
        <v>0</v>
      </c>
      <c r="AM1793" s="162">
        <f t="shared" si="606"/>
        <v>0</v>
      </c>
      <c r="AN1793" s="162">
        <f t="shared" si="606"/>
        <v>0</v>
      </c>
      <c r="AO1793" s="162">
        <f t="shared" si="606"/>
        <v>0</v>
      </c>
      <c r="AP1793" s="162">
        <f t="shared" si="606"/>
        <v>0</v>
      </c>
      <c r="AQ1793" s="162">
        <f t="shared" si="606"/>
        <v>0</v>
      </c>
      <c r="AR1793" s="163">
        <f t="shared" si="597"/>
        <v>0</v>
      </c>
      <c r="AT1793" s="208">
        <f>IFERROR(VLOOKUP(J1793,#REF!,10,0),0)</f>
        <v>0</v>
      </c>
    </row>
    <row r="1794" spans="1:46" hidden="1" outlineLevel="1" x14ac:dyDescent="0.25">
      <c r="A1794" s="14" t="str">
        <f t="shared" si="583"/>
        <v>PROP_OPER__36</v>
      </c>
      <c r="B1794" s="15" t="str">
        <f t="shared" si="591"/>
        <v>PROP_OPER__0_0</v>
      </c>
      <c r="C1794" s="83"/>
      <c r="D1794" s="15">
        <v>1</v>
      </c>
      <c r="E1794" s="15">
        <v>36</v>
      </c>
      <c r="F1794" s="190">
        <f t="shared" si="604"/>
        <v>0</v>
      </c>
      <c r="G1794" s="149" t="str">
        <f t="shared" si="604"/>
        <v/>
      </c>
      <c r="H1794" s="150" t="str">
        <f t="shared" si="604"/>
        <v/>
      </c>
      <c r="I1794" s="150">
        <f t="shared" si="604"/>
        <v>0</v>
      </c>
      <c r="J1794" s="150">
        <f t="shared" si="604"/>
        <v>0</v>
      </c>
      <c r="K1794" s="196"/>
      <c r="L1794" s="197"/>
      <c r="M1794" s="191">
        <f t="shared" si="605"/>
        <v>0</v>
      </c>
      <c r="N1794" s="150">
        <f t="shared" si="605"/>
        <v>0</v>
      </c>
      <c r="O1794" s="193">
        <f t="shared" si="605"/>
        <v>0</v>
      </c>
      <c r="P1794" s="162">
        <f t="shared" si="603"/>
        <v>0</v>
      </c>
      <c r="Q1794" s="162">
        <f t="shared" si="603"/>
        <v>0</v>
      </c>
      <c r="R1794" s="162">
        <f t="shared" si="603"/>
        <v>0</v>
      </c>
      <c r="S1794" s="162">
        <f t="shared" si="603"/>
        <v>0</v>
      </c>
      <c r="T1794" s="162">
        <f t="shared" si="603"/>
        <v>0</v>
      </c>
      <c r="U1794" s="162">
        <f t="shared" si="603"/>
        <v>0</v>
      </c>
      <c r="V1794" s="162">
        <f t="shared" si="603"/>
        <v>0</v>
      </c>
      <c r="W1794" s="162">
        <f t="shared" si="603"/>
        <v>0</v>
      </c>
      <c r="X1794" s="162">
        <f t="shared" si="603"/>
        <v>0</v>
      </c>
      <c r="Y1794" s="162">
        <f t="shared" si="603"/>
        <v>0</v>
      </c>
      <c r="Z1794" s="162">
        <f t="shared" si="603"/>
        <v>0</v>
      </c>
      <c r="AA1794" s="162">
        <f t="shared" si="603"/>
        <v>0</v>
      </c>
      <c r="AB1794" s="163">
        <f t="shared" si="595"/>
        <v>0</v>
      </c>
      <c r="AC1794" s="198"/>
      <c r="AE1794" s="194" t="str">
        <f t="shared" si="598"/>
        <v/>
      </c>
      <c r="AF1794" s="161">
        <f t="shared" si="606"/>
        <v>0</v>
      </c>
      <c r="AG1794" s="162">
        <f t="shared" si="606"/>
        <v>0</v>
      </c>
      <c r="AH1794" s="162">
        <f t="shared" si="606"/>
        <v>0</v>
      </c>
      <c r="AI1794" s="162">
        <f t="shared" si="606"/>
        <v>0</v>
      </c>
      <c r="AJ1794" s="162">
        <f t="shared" si="606"/>
        <v>0</v>
      </c>
      <c r="AK1794" s="162">
        <f t="shared" si="606"/>
        <v>0</v>
      </c>
      <c r="AL1794" s="162">
        <f t="shared" si="606"/>
        <v>0</v>
      </c>
      <c r="AM1794" s="162">
        <f t="shared" si="606"/>
        <v>0</v>
      </c>
      <c r="AN1794" s="162">
        <f t="shared" si="606"/>
        <v>0</v>
      </c>
      <c r="AO1794" s="162">
        <f t="shared" si="606"/>
        <v>0</v>
      </c>
      <c r="AP1794" s="162">
        <f t="shared" si="606"/>
        <v>0</v>
      </c>
      <c r="AQ1794" s="162">
        <f t="shared" si="606"/>
        <v>0</v>
      </c>
      <c r="AR1794" s="163">
        <f t="shared" si="597"/>
        <v>0</v>
      </c>
      <c r="AT1794" s="208">
        <f>IFERROR(VLOOKUP(J1794,#REF!,10,0),0)</f>
        <v>0</v>
      </c>
    </row>
    <row r="1795" spans="1:46" hidden="1" outlineLevel="1" x14ac:dyDescent="0.25">
      <c r="A1795" s="14" t="str">
        <f t="shared" ref="A1795:A1803" si="607">"PROP_OPER_"&amp;C1795&amp;"_"&amp;E1795</f>
        <v>PROP_OPER__37</v>
      </c>
      <c r="B1795" s="15" t="str">
        <f t="shared" si="591"/>
        <v>PROP_OPER__0_0</v>
      </c>
      <c r="C1795" s="83"/>
      <c r="D1795" s="15">
        <v>1</v>
      </c>
      <c r="E1795" s="15">
        <v>37</v>
      </c>
      <c r="F1795" s="190">
        <f t="shared" si="604"/>
        <v>0</v>
      </c>
      <c r="G1795" s="149" t="str">
        <f t="shared" si="604"/>
        <v/>
      </c>
      <c r="H1795" s="150" t="str">
        <f t="shared" si="604"/>
        <v/>
      </c>
      <c r="I1795" s="150">
        <f t="shared" si="604"/>
        <v>0</v>
      </c>
      <c r="J1795" s="150">
        <f t="shared" si="604"/>
        <v>0</v>
      </c>
      <c r="K1795" s="196"/>
      <c r="L1795" s="197"/>
      <c r="M1795" s="191">
        <f t="shared" si="605"/>
        <v>0</v>
      </c>
      <c r="N1795" s="150">
        <f t="shared" si="605"/>
        <v>0</v>
      </c>
      <c r="O1795" s="193">
        <f t="shared" si="605"/>
        <v>0</v>
      </c>
      <c r="P1795" s="162">
        <f t="shared" si="603"/>
        <v>0</v>
      </c>
      <c r="Q1795" s="162">
        <f t="shared" si="603"/>
        <v>0</v>
      </c>
      <c r="R1795" s="162">
        <f t="shared" si="603"/>
        <v>0</v>
      </c>
      <c r="S1795" s="162">
        <f t="shared" si="603"/>
        <v>0</v>
      </c>
      <c r="T1795" s="162">
        <f t="shared" si="603"/>
        <v>0</v>
      </c>
      <c r="U1795" s="162">
        <f t="shared" si="603"/>
        <v>0</v>
      </c>
      <c r="V1795" s="162">
        <f t="shared" si="603"/>
        <v>0</v>
      </c>
      <c r="W1795" s="162">
        <f t="shared" si="603"/>
        <v>0</v>
      </c>
      <c r="X1795" s="162">
        <f t="shared" si="603"/>
        <v>0</v>
      </c>
      <c r="Y1795" s="162">
        <f t="shared" si="603"/>
        <v>0</v>
      </c>
      <c r="Z1795" s="162">
        <f t="shared" si="603"/>
        <v>0</v>
      </c>
      <c r="AA1795" s="162">
        <f t="shared" si="603"/>
        <v>0</v>
      </c>
      <c r="AB1795" s="163">
        <f t="shared" si="595"/>
        <v>0</v>
      </c>
      <c r="AC1795" s="198"/>
      <c r="AE1795" s="194" t="str">
        <f t="shared" si="598"/>
        <v/>
      </c>
      <c r="AF1795" s="161">
        <f t="shared" si="606"/>
        <v>0</v>
      </c>
      <c r="AG1795" s="162">
        <f t="shared" si="606"/>
        <v>0</v>
      </c>
      <c r="AH1795" s="162">
        <f t="shared" si="606"/>
        <v>0</v>
      </c>
      <c r="AI1795" s="162">
        <f t="shared" si="606"/>
        <v>0</v>
      </c>
      <c r="AJ1795" s="162">
        <f t="shared" si="606"/>
        <v>0</v>
      </c>
      <c r="AK1795" s="162">
        <f t="shared" si="606"/>
        <v>0</v>
      </c>
      <c r="AL1795" s="162">
        <f t="shared" si="606"/>
        <v>0</v>
      </c>
      <c r="AM1795" s="162">
        <f t="shared" si="606"/>
        <v>0</v>
      </c>
      <c r="AN1795" s="162">
        <f t="shared" si="606"/>
        <v>0</v>
      </c>
      <c r="AO1795" s="162">
        <f t="shared" si="606"/>
        <v>0</v>
      </c>
      <c r="AP1795" s="162">
        <f t="shared" si="606"/>
        <v>0</v>
      </c>
      <c r="AQ1795" s="162">
        <f t="shared" si="606"/>
        <v>0</v>
      </c>
      <c r="AR1795" s="163">
        <f t="shared" si="597"/>
        <v>0</v>
      </c>
      <c r="AT1795" s="208">
        <f>IFERROR(VLOOKUP(J1795,#REF!,10,0),0)</f>
        <v>0</v>
      </c>
    </row>
    <row r="1796" spans="1:46" hidden="1" outlineLevel="1" x14ac:dyDescent="0.25">
      <c r="A1796" s="14" t="str">
        <f t="shared" si="607"/>
        <v>PROP_OPER__38</v>
      </c>
      <c r="B1796" s="15" t="str">
        <f t="shared" si="591"/>
        <v>PROP_OPER__0_0</v>
      </c>
      <c r="C1796" s="83"/>
      <c r="D1796" s="15">
        <v>1</v>
      </c>
      <c r="E1796" s="15">
        <v>38</v>
      </c>
      <c r="F1796" s="190">
        <f t="shared" si="604"/>
        <v>0</v>
      </c>
      <c r="G1796" s="149" t="str">
        <f t="shared" si="604"/>
        <v/>
      </c>
      <c r="H1796" s="150" t="str">
        <f t="shared" si="604"/>
        <v/>
      </c>
      <c r="I1796" s="150">
        <f t="shared" si="604"/>
        <v>0</v>
      </c>
      <c r="J1796" s="150">
        <f t="shared" si="604"/>
        <v>0</v>
      </c>
      <c r="K1796" s="196"/>
      <c r="L1796" s="197"/>
      <c r="M1796" s="191">
        <f t="shared" si="605"/>
        <v>0</v>
      </c>
      <c r="N1796" s="150">
        <f t="shared" si="605"/>
        <v>0</v>
      </c>
      <c r="O1796" s="193">
        <f t="shared" si="605"/>
        <v>0</v>
      </c>
      <c r="P1796" s="162">
        <f t="shared" si="603"/>
        <v>0</v>
      </c>
      <c r="Q1796" s="162">
        <f t="shared" si="603"/>
        <v>0</v>
      </c>
      <c r="R1796" s="162">
        <f t="shared" si="603"/>
        <v>0</v>
      </c>
      <c r="S1796" s="162">
        <f t="shared" si="603"/>
        <v>0</v>
      </c>
      <c r="T1796" s="162">
        <f t="shared" si="603"/>
        <v>0</v>
      </c>
      <c r="U1796" s="162">
        <f t="shared" si="603"/>
        <v>0</v>
      </c>
      <c r="V1796" s="162">
        <f t="shared" si="603"/>
        <v>0</v>
      </c>
      <c r="W1796" s="162">
        <f t="shared" si="603"/>
        <v>0</v>
      </c>
      <c r="X1796" s="162">
        <f t="shared" si="603"/>
        <v>0</v>
      </c>
      <c r="Y1796" s="162">
        <f t="shared" si="603"/>
        <v>0</v>
      </c>
      <c r="Z1796" s="162">
        <f t="shared" si="603"/>
        <v>0</v>
      </c>
      <c r="AA1796" s="162">
        <f t="shared" si="603"/>
        <v>0</v>
      </c>
      <c r="AB1796" s="163">
        <f t="shared" si="595"/>
        <v>0</v>
      </c>
      <c r="AC1796" s="198"/>
      <c r="AE1796" s="194" t="str">
        <f t="shared" si="598"/>
        <v/>
      </c>
      <c r="AF1796" s="161">
        <f t="shared" si="606"/>
        <v>0</v>
      </c>
      <c r="AG1796" s="162">
        <f t="shared" si="606"/>
        <v>0</v>
      </c>
      <c r="AH1796" s="162">
        <f t="shared" si="606"/>
        <v>0</v>
      </c>
      <c r="AI1796" s="162">
        <f t="shared" si="606"/>
        <v>0</v>
      </c>
      <c r="AJ1796" s="162">
        <f t="shared" si="606"/>
        <v>0</v>
      </c>
      <c r="AK1796" s="162">
        <f t="shared" si="606"/>
        <v>0</v>
      </c>
      <c r="AL1796" s="162">
        <f t="shared" si="606"/>
        <v>0</v>
      </c>
      <c r="AM1796" s="162">
        <f t="shared" si="606"/>
        <v>0</v>
      </c>
      <c r="AN1796" s="162">
        <f t="shared" si="606"/>
        <v>0</v>
      </c>
      <c r="AO1796" s="162">
        <f t="shared" si="606"/>
        <v>0</v>
      </c>
      <c r="AP1796" s="162">
        <f t="shared" si="606"/>
        <v>0</v>
      </c>
      <c r="AQ1796" s="162">
        <f t="shared" si="606"/>
        <v>0</v>
      </c>
      <c r="AR1796" s="163">
        <f t="shared" si="597"/>
        <v>0</v>
      </c>
      <c r="AT1796" s="208">
        <f>IFERROR(VLOOKUP(J1796,#REF!,10,0),0)</f>
        <v>0</v>
      </c>
    </row>
    <row r="1797" spans="1:46" hidden="1" outlineLevel="1" x14ac:dyDescent="0.25">
      <c r="A1797" s="14" t="str">
        <f t="shared" si="607"/>
        <v>PROP_OPER__39</v>
      </c>
      <c r="B1797" s="15" t="str">
        <f t="shared" si="591"/>
        <v>PROP_OPER__0_0</v>
      </c>
      <c r="C1797" s="83"/>
      <c r="D1797" s="15">
        <v>1</v>
      </c>
      <c r="E1797" s="15">
        <v>39</v>
      </c>
      <c r="F1797" s="190">
        <f t="shared" si="604"/>
        <v>0</v>
      </c>
      <c r="G1797" s="149" t="str">
        <f t="shared" si="604"/>
        <v/>
      </c>
      <c r="H1797" s="150" t="str">
        <f t="shared" si="604"/>
        <v/>
      </c>
      <c r="I1797" s="150">
        <f t="shared" si="604"/>
        <v>0</v>
      </c>
      <c r="J1797" s="150">
        <f t="shared" si="604"/>
        <v>0</v>
      </c>
      <c r="K1797" s="196"/>
      <c r="L1797" s="197"/>
      <c r="M1797" s="191">
        <f t="shared" si="605"/>
        <v>0</v>
      </c>
      <c r="N1797" s="150">
        <f t="shared" si="605"/>
        <v>0</v>
      </c>
      <c r="O1797" s="193">
        <f t="shared" si="605"/>
        <v>0</v>
      </c>
      <c r="P1797" s="162">
        <f t="shared" si="603"/>
        <v>0</v>
      </c>
      <c r="Q1797" s="162">
        <f t="shared" si="603"/>
        <v>0</v>
      </c>
      <c r="R1797" s="162">
        <f t="shared" si="603"/>
        <v>0</v>
      </c>
      <c r="S1797" s="162">
        <f t="shared" si="603"/>
        <v>0</v>
      </c>
      <c r="T1797" s="162">
        <f t="shared" si="603"/>
        <v>0</v>
      </c>
      <c r="U1797" s="162">
        <f t="shared" si="603"/>
        <v>0</v>
      </c>
      <c r="V1797" s="162">
        <f t="shared" si="603"/>
        <v>0</v>
      </c>
      <c r="W1797" s="162">
        <f t="shared" si="603"/>
        <v>0</v>
      </c>
      <c r="X1797" s="162">
        <f t="shared" si="603"/>
        <v>0</v>
      </c>
      <c r="Y1797" s="162">
        <f t="shared" si="603"/>
        <v>0</v>
      </c>
      <c r="Z1797" s="162">
        <f t="shared" si="603"/>
        <v>0</v>
      </c>
      <c r="AA1797" s="162">
        <f t="shared" si="603"/>
        <v>0</v>
      </c>
      <c r="AB1797" s="163">
        <f t="shared" si="595"/>
        <v>0</v>
      </c>
      <c r="AC1797" s="198"/>
      <c r="AE1797" s="194" t="str">
        <f t="shared" si="598"/>
        <v/>
      </c>
      <c r="AF1797" s="161">
        <f t="shared" si="606"/>
        <v>0</v>
      </c>
      <c r="AG1797" s="162">
        <f t="shared" si="606"/>
        <v>0</v>
      </c>
      <c r="AH1797" s="162">
        <f t="shared" si="606"/>
        <v>0</v>
      </c>
      <c r="AI1797" s="162">
        <f t="shared" si="606"/>
        <v>0</v>
      </c>
      <c r="AJ1797" s="162">
        <f t="shared" si="606"/>
        <v>0</v>
      </c>
      <c r="AK1797" s="162">
        <f t="shared" si="606"/>
        <v>0</v>
      </c>
      <c r="AL1797" s="162">
        <f t="shared" si="606"/>
        <v>0</v>
      </c>
      <c r="AM1797" s="162">
        <f t="shared" si="606"/>
        <v>0</v>
      </c>
      <c r="AN1797" s="162">
        <f t="shared" si="606"/>
        <v>0</v>
      </c>
      <c r="AO1797" s="162">
        <f t="shared" si="606"/>
        <v>0</v>
      </c>
      <c r="AP1797" s="162">
        <f t="shared" si="606"/>
        <v>0</v>
      </c>
      <c r="AQ1797" s="162">
        <f t="shared" si="606"/>
        <v>0</v>
      </c>
      <c r="AR1797" s="163">
        <f t="shared" si="597"/>
        <v>0</v>
      </c>
      <c r="AT1797" s="208">
        <f>IFERROR(VLOOKUP(J1797,#REF!,10,0),0)</f>
        <v>0</v>
      </c>
    </row>
    <row r="1798" spans="1:46" hidden="1" outlineLevel="1" x14ac:dyDescent="0.25">
      <c r="A1798" s="14" t="str">
        <f t="shared" si="607"/>
        <v>PROP_OPER__40</v>
      </c>
      <c r="B1798" s="15" t="str">
        <f t="shared" si="591"/>
        <v>PROP_OPER__0_0</v>
      </c>
      <c r="C1798" s="83"/>
      <c r="D1798" s="15">
        <v>1</v>
      </c>
      <c r="E1798" s="15">
        <v>40</v>
      </c>
      <c r="F1798" s="190">
        <f t="shared" si="604"/>
        <v>0</v>
      </c>
      <c r="G1798" s="149" t="str">
        <f t="shared" si="604"/>
        <v/>
      </c>
      <c r="H1798" s="150" t="str">
        <f t="shared" si="604"/>
        <v/>
      </c>
      <c r="I1798" s="150">
        <f t="shared" si="604"/>
        <v>0</v>
      </c>
      <c r="J1798" s="150">
        <f t="shared" si="604"/>
        <v>0</v>
      </c>
      <c r="K1798" s="196"/>
      <c r="L1798" s="197"/>
      <c r="M1798" s="191">
        <f t="shared" si="605"/>
        <v>0</v>
      </c>
      <c r="N1798" s="150">
        <f t="shared" si="605"/>
        <v>0</v>
      </c>
      <c r="O1798" s="193">
        <f t="shared" si="605"/>
        <v>0</v>
      </c>
      <c r="P1798" s="162">
        <f t="shared" ref="P1798:AA1803" si="608">IFERROR(SUMIF($B$1351:$B$1378,$C1798&amp;$I1798,P$1351:P$1378)/SUMIF($D$1351:$D$1378,$I1798,P$1351:P$1378)*P1467,0)</f>
        <v>0</v>
      </c>
      <c r="Q1798" s="162">
        <f t="shared" si="608"/>
        <v>0</v>
      </c>
      <c r="R1798" s="162">
        <f t="shared" si="608"/>
        <v>0</v>
      </c>
      <c r="S1798" s="162">
        <f t="shared" si="608"/>
        <v>0</v>
      </c>
      <c r="T1798" s="162">
        <f t="shared" si="608"/>
        <v>0</v>
      </c>
      <c r="U1798" s="162">
        <f t="shared" si="608"/>
        <v>0</v>
      </c>
      <c r="V1798" s="162">
        <f t="shared" si="608"/>
        <v>0</v>
      </c>
      <c r="W1798" s="162">
        <f t="shared" si="608"/>
        <v>0</v>
      </c>
      <c r="X1798" s="162">
        <f t="shared" si="608"/>
        <v>0</v>
      </c>
      <c r="Y1798" s="162">
        <f t="shared" si="608"/>
        <v>0</v>
      </c>
      <c r="Z1798" s="162">
        <f t="shared" si="608"/>
        <v>0</v>
      </c>
      <c r="AA1798" s="162">
        <f t="shared" si="608"/>
        <v>0</v>
      </c>
      <c r="AB1798" s="163">
        <f t="shared" si="595"/>
        <v>0</v>
      </c>
      <c r="AC1798" s="198"/>
      <c r="AE1798" s="194" t="str">
        <f t="shared" si="598"/>
        <v/>
      </c>
      <c r="AF1798" s="161">
        <f t="shared" si="606"/>
        <v>0</v>
      </c>
      <c r="AG1798" s="162">
        <f t="shared" si="606"/>
        <v>0</v>
      </c>
      <c r="AH1798" s="162">
        <f t="shared" si="606"/>
        <v>0</v>
      </c>
      <c r="AI1798" s="162">
        <f t="shared" si="606"/>
        <v>0</v>
      </c>
      <c r="AJ1798" s="162">
        <f t="shared" si="606"/>
        <v>0</v>
      </c>
      <c r="AK1798" s="162">
        <f t="shared" si="606"/>
        <v>0</v>
      </c>
      <c r="AL1798" s="162">
        <f t="shared" si="606"/>
        <v>0</v>
      </c>
      <c r="AM1798" s="162">
        <f t="shared" si="606"/>
        <v>0</v>
      </c>
      <c r="AN1798" s="162">
        <f t="shared" si="606"/>
        <v>0</v>
      </c>
      <c r="AO1798" s="162">
        <f t="shared" si="606"/>
        <v>0</v>
      </c>
      <c r="AP1798" s="162">
        <f t="shared" si="606"/>
        <v>0</v>
      </c>
      <c r="AQ1798" s="162">
        <f t="shared" si="606"/>
        <v>0</v>
      </c>
      <c r="AR1798" s="163">
        <f t="shared" si="597"/>
        <v>0</v>
      </c>
      <c r="AT1798" s="208">
        <f>IFERROR(VLOOKUP(J1798,#REF!,10,0),0)</f>
        <v>0</v>
      </c>
    </row>
    <row r="1799" spans="1:46" hidden="1" outlineLevel="1" x14ac:dyDescent="0.25">
      <c r="A1799" s="14" t="str">
        <f t="shared" si="607"/>
        <v>PROP_OPER__41</v>
      </c>
      <c r="B1799" s="15" t="str">
        <f t="shared" si="591"/>
        <v>PROP_OPER__0_0</v>
      </c>
      <c r="C1799" s="83"/>
      <c r="D1799" s="15">
        <v>1</v>
      </c>
      <c r="E1799" s="15">
        <v>41</v>
      </c>
      <c r="F1799" s="190">
        <f t="shared" si="604"/>
        <v>0</v>
      </c>
      <c r="G1799" s="149" t="str">
        <f t="shared" si="604"/>
        <v/>
      </c>
      <c r="H1799" s="150" t="str">
        <f t="shared" si="604"/>
        <v/>
      </c>
      <c r="I1799" s="150">
        <f t="shared" si="604"/>
        <v>0</v>
      </c>
      <c r="J1799" s="150">
        <f t="shared" si="604"/>
        <v>0</v>
      </c>
      <c r="K1799" s="196"/>
      <c r="L1799" s="197"/>
      <c r="M1799" s="191">
        <f t="shared" si="605"/>
        <v>0</v>
      </c>
      <c r="N1799" s="150">
        <f t="shared" si="605"/>
        <v>0</v>
      </c>
      <c r="O1799" s="193">
        <f t="shared" si="605"/>
        <v>0</v>
      </c>
      <c r="P1799" s="162">
        <f t="shared" si="608"/>
        <v>0</v>
      </c>
      <c r="Q1799" s="162">
        <f t="shared" si="608"/>
        <v>0</v>
      </c>
      <c r="R1799" s="162">
        <f t="shared" si="608"/>
        <v>0</v>
      </c>
      <c r="S1799" s="162">
        <f t="shared" si="608"/>
        <v>0</v>
      </c>
      <c r="T1799" s="162">
        <f t="shared" si="608"/>
        <v>0</v>
      </c>
      <c r="U1799" s="162">
        <f t="shared" si="608"/>
        <v>0</v>
      </c>
      <c r="V1799" s="162">
        <f t="shared" si="608"/>
        <v>0</v>
      </c>
      <c r="W1799" s="162">
        <f t="shared" si="608"/>
        <v>0</v>
      </c>
      <c r="X1799" s="162">
        <f t="shared" si="608"/>
        <v>0</v>
      </c>
      <c r="Y1799" s="162">
        <f t="shared" si="608"/>
        <v>0</v>
      </c>
      <c r="Z1799" s="162">
        <f t="shared" si="608"/>
        <v>0</v>
      </c>
      <c r="AA1799" s="162">
        <f t="shared" si="608"/>
        <v>0</v>
      </c>
      <c r="AB1799" s="163">
        <f t="shared" si="595"/>
        <v>0</v>
      </c>
      <c r="AC1799" s="198"/>
      <c r="AE1799" s="194" t="str">
        <f t="shared" si="598"/>
        <v/>
      </c>
      <c r="AF1799" s="161">
        <f t="shared" si="606"/>
        <v>0</v>
      </c>
      <c r="AG1799" s="162">
        <f t="shared" si="606"/>
        <v>0</v>
      </c>
      <c r="AH1799" s="162">
        <f t="shared" si="606"/>
        <v>0</v>
      </c>
      <c r="AI1799" s="162">
        <f t="shared" si="606"/>
        <v>0</v>
      </c>
      <c r="AJ1799" s="162">
        <f t="shared" si="606"/>
        <v>0</v>
      </c>
      <c r="AK1799" s="162">
        <f t="shared" si="606"/>
        <v>0</v>
      </c>
      <c r="AL1799" s="162">
        <f t="shared" si="606"/>
        <v>0</v>
      </c>
      <c r="AM1799" s="162">
        <f t="shared" si="606"/>
        <v>0</v>
      </c>
      <c r="AN1799" s="162">
        <f t="shared" si="606"/>
        <v>0</v>
      </c>
      <c r="AO1799" s="162">
        <f t="shared" si="606"/>
        <v>0</v>
      </c>
      <c r="AP1799" s="162">
        <f t="shared" si="606"/>
        <v>0</v>
      </c>
      <c r="AQ1799" s="162">
        <f t="shared" si="606"/>
        <v>0</v>
      </c>
      <c r="AR1799" s="163">
        <f t="shared" si="597"/>
        <v>0</v>
      </c>
      <c r="AT1799" s="208">
        <f>IFERROR(VLOOKUP(J1799,#REF!,10,0),0)</f>
        <v>0</v>
      </c>
    </row>
    <row r="1800" spans="1:46" hidden="1" outlineLevel="1" x14ac:dyDescent="0.25">
      <c r="A1800" s="14" t="str">
        <f t="shared" si="607"/>
        <v>PROP_OPER__42</v>
      </c>
      <c r="B1800" s="15" t="str">
        <f t="shared" si="591"/>
        <v>PROP_OPER__0_0</v>
      </c>
      <c r="C1800" s="83"/>
      <c r="D1800" s="15">
        <v>1</v>
      </c>
      <c r="E1800" s="15">
        <v>42</v>
      </c>
      <c r="F1800" s="190">
        <f t="shared" si="604"/>
        <v>0</v>
      </c>
      <c r="G1800" s="149" t="str">
        <f t="shared" si="604"/>
        <v/>
      </c>
      <c r="H1800" s="150" t="str">
        <f t="shared" si="604"/>
        <v/>
      </c>
      <c r="I1800" s="150">
        <f t="shared" si="604"/>
        <v>0</v>
      </c>
      <c r="J1800" s="150">
        <f t="shared" si="604"/>
        <v>0</v>
      </c>
      <c r="K1800" s="196"/>
      <c r="L1800" s="197"/>
      <c r="M1800" s="191">
        <f t="shared" si="605"/>
        <v>0</v>
      </c>
      <c r="N1800" s="150">
        <f t="shared" si="605"/>
        <v>0</v>
      </c>
      <c r="O1800" s="193">
        <f t="shared" si="605"/>
        <v>0</v>
      </c>
      <c r="P1800" s="162">
        <f t="shared" si="608"/>
        <v>0</v>
      </c>
      <c r="Q1800" s="162">
        <f t="shared" si="608"/>
        <v>0</v>
      </c>
      <c r="R1800" s="162">
        <f t="shared" si="608"/>
        <v>0</v>
      </c>
      <c r="S1800" s="162">
        <f t="shared" si="608"/>
        <v>0</v>
      </c>
      <c r="T1800" s="162">
        <f t="shared" si="608"/>
        <v>0</v>
      </c>
      <c r="U1800" s="162">
        <f t="shared" si="608"/>
        <v>0</v>
      </c>
      <c r="V1800" s="162">
        <f t="shared" si="608"/>
        <v>0</v>
      </c>
      <c r="W1800" s="162">
        <f t="shared" si="608"/>
        <v>0</v>
      </c>
      <c r="X1800" s="162">
        <f t="shared" si="608"/>
        <v>0</v>
      </c>
      <c r="Y1800" s="162">
        <f t="shared" si="608"/>
        <v>0</v>
      </c>
      <c r="Z1800" s="162">
        <f t="shared" si="608"/>
        <v>0</v>
      </c>
      <c r="AA1800" s="162">
        <f t="shared" si="608"/>
        <v>0</v>
      </c>
      <c r="AB1800" s="163">
        <f t="shared" si="595"/>
        <v>0</v>
      </c>
      <c r="AC1800" s="198"/>
      <c r="AE1800" s="194" t="str">
        <f t="shared" si="598"/>
        <v/>
      </c>
      <c r="AF1800" s="161">
        <f t="shared" si="606"/>
        <v>0</v>
      </c>
      <c r="AG1800" s="162">
        <f t="shared" si="606"/>
        <v>0</v>
      </c>
      <c r="AH1800" s="162">
        <f t="shared" si="606"/>
        <v>0</v>
      </c>
      <c r="AI1800" s="162">
        <f t="shared" si="606"/>
        <v>0</v>
      </c>
      <c r="AJ1800" s="162">
        <f t="shared" si="606"/>
        <v>0</v>
      </c>
      <c r="AK1800" s="162">
        <f t="shared" si="606"/>
        <v>0</v>
      </c>
      <c r="AL1800" s="162">
        <f t="shared" si="606"/>
        <v>0</v>
      </c>
      <c r="AM1800" s="162">
        <f t="shared" si="606"/>
        <v>0</v>
      </c>
      <c r="AN1800" s="162">
        <f t="shared" si="606"/>
        <v>0</v>
      </c>
      <c r="AO1800" s="162">
        <f t="shared" si="606"/>
        <v>0</v>
      </c>
      <c r="AP1800" s="162">
        <f t="shared" si="606"/>
        <v>0</v>
      </c>
      <c r="AQ1800" s="162">
        <f t="shared" si="606"/>
        <v>0</v>
      </c>
      <c r="AR1800" s="163">
        <f t="shared" si="597"/>
        <v>0</v>
      </c>
      <c r="AT1800" s="208">
        <f>IFERROR(VLOOKUP(J1800,#REF!,10,0),0)</f>
        <v>0</v>
      </c>
    </row>
    <row r="1801" spans="1:46" hidden="1" outlineLevel="1" x14ac:dyDescent="0.25">
      <c r="A1801" s="14" t="str">
        <f t="shared" si="607"/>
        <v>PROP_OPER__43</v>
      </c>
      <c r="B1801" s="15" t="str">
        <f t="shared" si="591"/>
        <v>PROP_OPER__0_0</v>
      </c>
      <c r="C1801" s="83"/>
      <c r="D1801" s="15">
        <v>1</v>
      </c>
      <c r="E1801" s="15">
        <v>43</v>
      </c>
      <c r="F1801" s="190">
        <f t="shared" si="604"/>
        <v>0</v>
      </c>
      <c r="G1801" s="149" t="str">
        <f t="shared" si="604"/>
        <v/>
      </c>
      <c r="H1801" s="150" t="str">
        <f t="shared" si="604"/>
        <v/>
      </c>
      <c r="I1801" s="150">
        <f t="shared" si="604"/>
        <v>0</v>
      </c>
      <c r="J1801" s="150">
        <f t="shared" si="604"/>
        <v>0</v>
      </c>
      <c r="K1801" s="196"/>
      <c r="L1801" s="197"/>
      <c r="M1801" s="191">
        <f t="shared" si="605"/>
        <v>0</v>
      </c>
      <c r="N1801" s="150">
        <f t="shared" si="605"/>
        <v>0</v>
      </c>
      <c r="O1801" s="193">
        <f t="shared" si="605"/>
        <v>0</v>
      </c>
      <c r="P1801" s="162">
        <f t="shared" si="608"/>
        <v>0</v>
      </c>
      <c r="Q1801" s="162">
        <f t="shared" si="608"/>
        <v>0</v>
      </c>
      <c r="R1801" s="162">
        <f t="shared" si="608"/>
        <v>0</v>
      </c>
      <c r="S1801" s="162">
        <f t="shared" si="608"/>
        <v>0</v>
      </c>
      <c r="T1801" s="162">
        <f t="shared" si="608"/>
        <v>0</v>
      </c>
      <c r="U1801" s="162">
        <f t="shared" si="608"/>
        <v>0</v>
      </c>
      <c r="V1801" s="162">
        <f t="shared" si="608"/>
        <v>0</v>
      </c>
      <c r="W1801" s="162">
        <f t="shared" si="608"/>
        <v>0</v>
      </c>
      <c r="X1801" s="162">
        <f t="shared" si="608"/>
        <v>0</v>
      </c>
      <c r="Y1801" s="162">
        <f t="shared" si="608"/>
        <v>0</v>
      </c>
      <c r="Z1801" s="162">
        <f t="shared" si="608"/>
        <v>0</v>
      </c>
      <c r="AA1801" s="162">
        <f t="shared" si="608"/>
        <v>0</v>
      </c>
      <c r="AB1801" s="163">
        <f t="shared" si="595"/>
        <v>0</v>
      </c>
      <c r="AC1801" s="198"/>
      <c r="AE1801" s="194" t="str">
        <f t="shared" si="598"/>
        <v/>
      </c>
      <c r="AF1801" s="161">
        <f t="shared" si="606"/>
        <v>0</v>
      </c>
      <c r="AG1801" s="162">
        <f t="shared" si="606"/>
        <v>0</v>
      </c>
      <c r="AH1801" s="162">
        <f t="shared" si="606"/>
        <v>0</v>
      </c>
      <c r="AI1801" s="162">
        <f t="shared" si="606"/>
        <v>0</v>
      </c>
      <c r="AJ1801" s="162">
        <f t="shared" si="606"/>
        <v>0</v>
      </c>
      <c r="AK1801" s="162">
        <f t="shared" si="606"/>
        <v>0</v>
      </c>
      <c r="AL1801" s="162">
        <f t="shared" si="606"/>
        <v>0</v>
      </c>
      <c r="AM1801" s="162">
        <f t="shared" si="606"/>
        <v>0</v>
      </c>
      <c r="AN1801" s="162">
        <f t="shared" si="606"/>
        <v>0</v>
      </c>
      <c r="AO1801" s="162">
        <f t="shared" si="606"/>
        <v>0</v>
      </c>
      <c r="AP1801" s="162">
        <f t="shared" si="606"/>
        <v>0</v>
      </c>
      <c r="AQ1801" s="162">
        <f t="shared" si="606"/>
        <v>0</v>
      </c>
      <c r="AR1801" s="163">
        <f t="shared" si="597"/>
        <v>0</v>
      </c>
      <c r="AT1801" s="208">
        <f>IFERROR(VLOOKUP(J1801,#REF!,10,0),0)</f>
        <v>0</v>
      </c>
    </row>
    <row r="1802" spans="1:46" hidden="1" outlineLevel="1" x14ac:dyDescent="0.25">
      <c r="A1802" s="14" t="str">
        <f t="shared" si="607"/>
        <v>PROP_OPER__44</v>
      </c>
      <c r="B1802" s="15" t="str">
        <f t="shared" si="591"/>
        <v>PROP_OPER__0_0</v>
      </c>
      <c r="C1802" s="83"/>
      <c r="D1802" s="15">
        <v>1</v>
      </c>
      <c r="E1802" s="15">
        <v>44</v>
      </c>
      <c r="F1802" s="190">
        <f t="shared" si="604"/>
        <v>0</v>
      </c>
      <c r="G1802" s="149" t="str">
        <f t="shared" si="604"/>
        <v/>
      </c>
      <c r="H1802" s="150" t="str">
        <f t="shared" si="604"/>
        <v/>
      </c>
      <c r="I1802" s="150">
        <f t="shared" si="604"/>
        <v>0</v>
      </c>
      <c r="J1802" s="150">
        <f t="shared" si="604"/>
        <v>0</v>
      </c>
      <c r="K1802" s="196"/>
      <c r="L1802" s="197"/>
      <c r="M1802" s="191">
        <f t="shared" si="605"/>
        <v>0</v>
      </c>
      <c r="N1802" s="150">
        <f t="shared" si="605"/>
        <v>0</v>
      </c>
      <c r="O1802" s="193">
        <f t="shared" si="605"/>
        <v>0</v>
      </c>
      <c r="P1802" s="162">
        <f t="shared" si="608"/>
        <v>0</v>
      </c>
      <c r="Q1802" s="162">
        <f t="shared" si="608"/>
        <v>0</v>
      </c>
      <c r="R1802" s="162">
        <f t="shared" si="608"/>
        <v>0</v>
      </c>
      <c r="S1802" s="162">
        <f t="shared" si="608"/>
        <v>0</v>
      </c>
      <c r="T1802" s="162">
        <f t="shared" si="608"/>
        <v>0</v>
      </c>
      <c r="U1802" s="162">
        <f t="shared" si="608"/>
        <v>0</v>
      </c>
      <c r="V1802" s="162">
        <f t="shared" si="608"/>
        <v>0</v>
      </c>
      <c r="W1802" s="162">
        <f t="shared" si="608"/>
        <v>0</v>
      </c>
      <c r="X1802" s="162">
        <f t="shared" si="608"/>
        <v>0</v>
      </c>
      <c r="Y1802" s="162">
        <f t="shared" si="608"/>
        <v>0</v>
      </c>
      <c r="Z1802" s="162">
        <f t="shared" si="608"/>
        <v>0</v>
      </c>
      <c r="AA1802" s="162">
        <f t="shared" si="608"/>
        <v>0</v>
      </c>
      <c r="AB1802" s="163">
        <f t="shared" si="595"/>
        <v>0</v>
      </c>
      <c r="AC1802" s="198"/>
      <c r="AE1802" s="194" t="str">
        <f t="shared" si="598"/>
        <v/>
      </c>
      <c r="AF1802" s="161">
        <f t="shared" si="606"/>
        <v>0</v>
      </c>
      <c r="AG1802" s="162">
        <f t="shared" si="606"/>
        <v>0</v>
      </c>
      <c r="AH1802" s="162">
        <f t="shared" si="606"/>
        <v>0</v>
      </c>
      <c r="AI1802" s="162">
        <f t="shared" si="606"/>
        <v>0</v>
      </c>
      <c r="AJ1802" s="162">
        <f t="shared" si="606"/>
        <v>0</v>
      </c>
      <c r="AK1802" s="162">
        <f t="shared" si="606"/>
        <v>0</v>
      </c>
      <c r="AL1802" s="162">
        <f t="shared" si="606"/>
        <v>0</v>
      </c>
      <c r="AM1802" s="162">
        <f t="shared" si="606"/>
        <v>0</v>
      </c>
      <c r="AN1802" s="162">
        <f t="shared" si="606"/>
        <v>0</v>
      </c>
      <c r="AO1802" s="162">
        <f t="shared" si="606"/>
        <v>0</v>
      </c>
      <c r="AP1802" s="162">
        <f t="shared" si="606"/>
        <v>0</v>
      </c>
      <c r="AQ1802" s="162">
        <f t="shared" si="606"/>
        <v>0</v>
      </c>
      <c r="AR1802" s="163">
        <f t="shared" si="597"/>
        <v>0</v>
      </c>
      <c r="AT1802" s="208">
        <f>IFERROR(VLOOKUP(J1802,#REF!,10,0),0)</f>
        <v>0</v>
      </c>
    </row>
    <row r="1803" spans="1:46" hidden="1" outlineLevel="1" x14ac:dyDescent="0.25">
      <c r="A1803" s="14" t="str">
        <f t="shared" si="607"/>
        <v>PROP_OPER__45</v>
      </c>
      <c r="B1803" s="15" t="str">
        <f t="shared" si="591"/>
        <v>PROP_OPER__0_0</v>
      </c>
      <c r="C1803" s="83"/>
      <c r="D1803" s="15">
        <v>1</v>
      </c>
      <c r="E1803" s="15">
        <v>45</v>
      </c>
      <c r="F1803" s="209">
        <f t="shared" si="604"/>
        <v>0</v>
      </c>
      <c r="G1803" s="183" t="str">
        <f t="shared" si="604"/>
        <v/>
      </c>
      <c r="H1803" s="184" t="str">
        <f t="shared" si="604"/>
        <v/>
      </c>
      <c r="I1803" s="184">
        <f t="shared" si="604"/>
        <v>0</v>
      </c>
      <c r="J1803" s="184">
        <f t="shared" si="604"/>
        <v>0</v>
      </c>
      <c r="K1803" s="210"/>
      <c r="L1803" s="211"/>
      <c r="M1803" s="212">
        <f t="shared" si="605"/>
        <v>0</v>
      </c>
      <c r="N1803" s="184">
        <f t="shared" si="605"/>
        <v>0</v>
      </c>
      <c r="O1803" s="213">
        <f t="shared" si="605"/>
        <v>0</v>
      </c>
      <c r="P1803" s="175">
        <f t="shared" si="608"/>
        <v>0</v>
      </c>
      <c r="Q1803" s="175">
        <f t="shared" si="608"/>
        <v>0</v>
      </c>
      <c r="R1803" s="175">
        <f t="shared" si="608"/>
        <v>0</v>
      </c>
      <c r="S1803" s="175">
        <f t="shared" si="608"/>
        <v>0</v>
      </c>
      <c r="T1803" s="175">
        <f t="shared" si="608"/>
        <v>0</v>
      </c>
      <c r="U1803" s="175">
        <f t="shared" si="608"/>
        <v>0</v>
      </c>
      <c r="V1803" s="175">
        <f t="shared" si="608"/>
        <v>0</v>
      </c>
      <c r="W1803" s="175">
        <f t="shared" si="608"/>
        <v>0</v>
      </c>
      <c r="X1803" s="175">
        <f t="shared" si="608"/>
        <v>0</v>
      </c>
      <c r="Y1803" s="175">
        <f t="shared" si="608"/>
        <v>0</v>
      </c>
      <c r="Z1803" s="175">
        <f t="shared" si="608"/>
        <v>0</v>
      </c>
      <c r="AA1803" s="175">
        <f t="shared" si="608"/>
        <v>0</v>
      </c>
      <c r="AB1803" s="176">
        <f t="shared" si="595"/>
        <v>0</v>
      </c>
      <c r="AC1803" s="172"/>
      <c r="AE1803" s="195" t="str">
        <f t="shared" si="598"/>
        <v/>
      </c>
      <c r="AF1803" s="174">
        <f t="shared" si="606"/>
        <v>0</v>
      </c>
      <c r="AG1803" s="175">
        <f t="shared" si="606"/>
        <v>0</v>
      </c>
      <c r="AH1803" s="175">
        <f t="shared" si="606"/>
        <v>0</v>
      </c>
      <c r="AI1803" s="175">
        <f t="shared" si="606"/>
        <v>0</v>
      </c>
      <c r="AJ1803" s="175">
        <f t="shared" si="606"/>
        <v>0</v>
      </c>
      <c r="AK1803" s="175">
        <f t="shared" si="606"/>
        <v>0</v>
      </c>
      <c r="AL1803" s="175">
        <f t="shared" si="606"/>
        <v>0</v>
      </c>
      <c r="AM1803" s="175">
        <f t="shared" si="606"/>
        <v>0</v>
      </c>
      <c r="AN1803" s="175">
        <f t="shared" si="606"/>
        <v>0</v>
      </c>
      <c r="AO1803" s="175">
        <f t="shared" si="606"/>
        <v>0</v>
      </c>
      <c r="AP1803" s="175">
        <f t="shared" si="606"/>
        <v>0</v>
      </c>
      <c r="AQ1803" s="175">
        <f t="shared" si="606"/>
        <v>0</v>
      </c>
      <c r="AR1803" s="176">
        <f t="shared" si="597"/>
        <v>0</v>
      </c>
      <c r="AT1803" s="214">
        <f>IFERROR(VLOOKUP(J1803,#REF!,10,0),0)</f>
        <v>0</v>
      </c>
    </row>
    <row r="1804" spans="1:46" collapsed="1" x14ac:dyDescent="0.25"/>
    <row r="1806" spans="1:46" x14ac:dyDescent="0.25">
      <c r="F1806" s="20" t="s">
        <v>305</v>
      </c>
      <c r="G1806" s="21"/>
      <c r="H1806" s="22"/>
      <c r="I1806" s="22"/>
      <c r="J1806" s="22"/>
      <c r="K1806" s="22"/>
      <c r="L1806" s="22"/>
      <c r="M1806" s="23"/>
      <c r="N1806" s="22"/>
      <c r="O1806" s="22"/>
      <c r="P1806" s="23"/>
      <c r="Q1806" s="23"/>
      <c r="R1806" s="23"/>
      <c r="S1806" s="23"/>
      <c r="T1806" s="23"/>
      <c r="U1806" s="23"/>
      <c r="V1806" s="24"/>
      <c r="W1806" s="23"/>
      <c r="X1806" s="23"/>
      <c r="Y1806" s="23"/>
      <c r="Z1806" s="23"/>
      <c r="AA1806" s="23"/>
      <c r="AB1806" s="23"/>
      <c r="AC1806" s="25"/>
    </row>
    <row r="1808" spans="1:46" x14ac:dyDescent="0.25">
      <c r="F1808" s="26" t="s">
        <v>306</v>
      </c>
      <c r="G1808" s="27"/>
    </row>
    <row r="1810" spans="1:29" x14ac:dyDescent="0.25">
      <c r="A1810" s="28"/>
      <c r="B1810" s="28"/>
      <c r="C1810" s="28"/>
      <c r="D1810" s="28"/>
      <c r="E1810" s="28"/>
      <c r="F1810" s="29" t="s">
        <v>190</v>
      </c>
      <c r="G1810" s="30"/>
      <c r="H1810" s="31" t="s">
        <v>191</v>
      </c>
      <c r="I1810" s="32"/>
      <c r="J1810" s="33"/>
      <c r="K1810" s="33"/>
      <c r="L1810" s="33"/>
      <c r="M1810" s="34"/>
      <c r="N1810" s="33"/>
      <c r="O1810" s="30"/>
      <c r="P1810" s="35">
        <f t="shared" ref="P1810:AA1810" si="609">P$9</f>
        <v>46113</v>
      </c>
      <c r="Q1810" s="35">
        <f t="shared" si="609"/>
        <v>46143</v>
      </c>
      <c r="R1810" s="35">
        <f t="shared" si="609"/>
        <v>46174</v>
      </c>
      <c r="S1810" s="35">
        <f t="shared" si="609"/>
        <v>46204</v>
      </c>
      <c r="T1810" s="35">
        <f t="shared" si="609"/>
        <v>46235</v>
      </c>
      <c r="U1810" s="35">
        <f t="shared" si="609"/>
        <v>46266</v>
      </c>
      <c r="V1810" s="35">
        <f t="shared" si="609"/>
        <v>46296</v>
      </c>
      <c r="W1810" s="35">
        <f t="shared" si="609"/>
        <v>46327</v>
      </c>
      <c r="X1810" s="35">
        <f t="shared" si="609"/>
        <v>46357</v>
      </c>
      <c r="Y1810" s="35">
        <f t="shared" si="609"/>
        <v>46388</v>
      </c>
      <c r="Z1810" s="35">
        <f t="shared" si="609"/>
        <v>46419</v>
      </c>
      <c r="AA1810" s="35">
        <f t="shared" si="609"/>
        <v>46447</v>
      </c>
      <c r="AB1810" s="36" t="s">
        <v>85</v>
      </c>
      <c r="AC1810" s="37" t="s">
        <v>192</v>
      </c>
    </row>
    <row r="1811" spans="1:29" x14ac:dyDescent="0.25">
      <c r="A1811" s="28"/>
      <c r="B1811" s="28"/>
      <c r="C1811" s="28"/>
      <c r="D1811" s="28"/>
      <c r="E1811" s="38"/>
      <c r="F1811" s="39" t="s">
        <v>193</v>
      </c>
      <c r="G1811" s="40"/>
      <c r="H1811" s="41" t="s">
        <v>194</v>
      </c>
      <c r="I1811" s="42"/>
      <c r="J1811" s="43"/>
      <c r="K1811" s="43"/>
      <c r="L1811" s="43"/>
      <c r="M1811" s="44"/>
      <c r="N1811" s="43"/>
      <c r="O1811" s="40"/>
      <c r="P1811" s="45">
        <v>30</v>
      </c>
      <c r="Q1811" s="45">
        <v>31</v>
      </c>
      <c r="R1811" s="45">
        <v>30</v>
      </c>
      <c r="S1811" s="45">
        <v>31</v>
      </c>
      <c r="T1811" s="45">
        <v>31</v>
      </c>
      <c r="U1811" s="45">
        <v>30</v>
      </c>
      <c r="V1811" s="45">
        <v>31</v>
      </c>
      <c r="W1811" s="45">
        <v>30</v>
      </c>
      <c r="X1811" s="45">
        <v>31</v>
      </c>
      <c r="Y1811" s="45">
        <v>31</v>
      </c>
      <c r="Z1811" s="45">
        <v>28</v>
      </c>
      <c r="AA1811" s="45">
        <v>31</v>
      </c>
      <c r="AB1811" s="46">
        <f>SUM(P1811:AA1811)</f>
        <v>365</v>
      </c>
      <c r="AC1811" s="47"/>
    </row>
    <row r="1812" spans="1:29" x14ac:dyDescent="0.25">
      <c r="A1812" s="28"/>
      <c r="B1812" s="28"/>
      <c r="C1812" s="28"/>
      <c r="D1812" s="28"/>
      <c r="E1812" s="38"/>
      <c r="F1812" s="39" t="s">
        <v>195</v>
      </c>
      <c r="G1812" s="40"/>
      <c r="H1812" s="41" t="s">
        <v>194</v>
      </c>
      <c r="I1812" s="42"/>
      <c r="J1812" s="43"/>
      <c r="K1812" s="43"/>
      <c r="L1812" s="43"/>
      <c r="M1812" s="44"/>
      <c r="N1812" s="43"/>
      <c r="O1812" s="40"/>
      <c r="P1812" s="48">
        <f t="shared" ref="P1812:AA1812" si="610">P1346</f>
        <v>16</v>
      </c>
      <c r="Q1812" s="48">
        <f t="shared" si="610"/>
        <v>28</v>
      </c>
      <c r="R1812" s="48">
        <f t="shared" si="610"/>
        <v>28</v>
      </c>
      <c r="S1812" s="48">
        <f t="shared" si="610"/>
        <v>30</v>
      </c>
      <c r="T1812" s="48">
        <f t="shared" si="610"/>
        <v>29</v>
      </c>
      <c r="U1812" s="48">
        <f t="shared" si="610"/>
        <v>27</v>
      </c>
      <c r="V1812" s="48">
        <f t="shared" si="610"/>
        <v>14</v>
      </c>
      <c r="W1812" s="48">
        <f t="shared" si="610"/>
        <v>0</v>
      </c>
      <c r="X1812" s="48">
        <f t="shared" si="610"/>
        <v>0</v>
      </c>
      <c r="Y1812" s="48">
        <f t="shared" si="610"/>
        <v>0</v>
      </c>
      <c r="Z1812" s="48">
        <f t="shared" si="610"/>
        <v>0</v>
      </c>
      <c r="AA1812" s="48">
        <f t="shared" si="610"/>
        <v>0</v>
      </c>
      <c r="AB1812" s="46">
        <f>SUM(P1812:AA1812)</f>
        <v>172</v>
      </c>
      <c r="AC1812" s="47"/>
    </row>
    <row r="1813" spans="1:29" x14ac:dyDescent="0.25">
      <c r="A1813" s="28"/>
      <c r="B1813" s="28"/>
      <c r="C1813" s="28"/>
      <c r="D1813" s="28"/>
      <c r="E1813" s="38"/>
      <c r="F1813" s="49" t="s">
        <v>196</v>
      </c>
      <c r="G1813" s="50"/>
      <c r="H1813" s="51" t="s">
        <v>41</v>
      </c>
      <c r="I1813" s="52"/>
      <c r="J1813" s="53"/>
      <c r="K1813" s="53"/>
      <c r="L1813" s="53"/>
      <c r="M1813" s="54"/>
      <c r="N1813" s="53"/>
      <c r="O1813" s="55"/>
      <c r="P1813" s="56">
        <f t="shared" ref="P1813:AB1813" si="611">IFERROR(P1812/P1811,0)</f>
        <v>0.53333333333333333</v>
      </c>
      <c r="Q1813" s="56">
        <f t="shared" si="611"/>
        <v>0.90322580645161288</v>
      </c>
      <c r="R1813" s="56">
        <f t="shared" si="611"/>
        <v>0.93333333333333335</v>
      </c>
      <c r="S1813" s="56">
        <f t="shared" si="611"/>
        <v>0.967741935483871</v>
      </c>
      <c r="T1813" s="56">
        <f t="shared" si="611"/>
        <v>0.93548387096774188</v>
      </c>
      <c r="U1813" s="56">
        <f t="shared" si="611"/>
        <v>0.9</v>
      </c>
      <c r="V1813" s="56">
        <f t="shared" si="611"/>
        <v>0.45161290322580644</v>
      </c>
      <c r="W1813" s="56">
        <f t="shared" si="611"/>
        <v>0</v>
      </c>
      <c r="X1813" s="56">
        <f t="shared" si="611"/>
        <v>0</v>
      </c>
      <c r="Y1813" s="56">
        <f t="shared" si="611"/>
        <v>0</v>
      </c>
      <c r="Z1813" s="56">
        <f t="shared" si="611"/>
        <v>0</v>
      </c>
      <c r="AA1813" s="56">
        <f t="shared" si="611"/>
        <v>0</v>
      </c>
      <c r="AB1813" s="57">
        <f t="shared" si="611"/>
        <v>0.47123287671232877</v>
      </c>
      <c r="AC1813" s="58"/>
    </row>
    <row r="1814" spans="1:29" x14ac:dyDescent="0.25">
      <c r="A1814" s="28"/>
      <c r="B1814" s="28"/>
      <c r="C1814" s="28"/>
      <c r="D1814" s="28"/>
      <c r="E1814" s="38"/>
      <c r="F1814" s="59"/>
      <c r="G1814" s="60"/>
      <c r="H1814" s="60"/>
      <c r="I1814" s="60"/>
      <c r="J1814" s="60"/>
      <c r="K1814" s="60"/>
      <c r="L1814" s="60"/>
      <c r="M1814" s="61"/>
      <c r="N1814" s="60"/>
      <c r="O1814" s="60"/>
      <c r="P1814" s="61"/>
      <c r="Q1814" s="61"/>
      <c r="R1814" s="61"/>
      <c r="S1814" s="61"/>
      <c r="T1814" s="61"/>
      <c r="U1814" s="61"/>
      <c r="V1814" s="61"/>
      <c r="W1814" s="61"/>
      <c r="X1814" s="61"/>
      <c r="Y1814" s="61"/>
      <c r="Z1814" s="61"/>
      <c r="AA1814" s="61"/>
      <c r="AB1814" s="62"/>
      <c r="AC1814" s="63"/>
    </row>
    <row r="1815" spans="1:29" x14ac:dyDescent="0.25">
      <c r="F1815" s="26" t="s">
        <v>307</v>
      </c>
      <c r="G1815" s="27"/>
      <c r="H1815" s="27"/>
      <c r="I1815" s="27"/>
      <c r="J1815" s="64"/>
      <c r="K1815" s="64"/>
      <c r="L1815" s="64"/>
      <c r="M1815" s="65"/>
      <c r="N1815" s="64"/>
      <c r="O1815" s="64"/>
      <c r="P1815" s="65"/>
      <c r="Q1815" s="65"/>
      <c r="R1815" s="65"/>
      <c r="S1815" s="65"/>
      <c r="T1815" s="65"/>
      <c r="U1815" s="65"/>
      <c r="V1815" s="65"/>
      <c r="W1815" s="66"/>
      <c r="X1815" s="66"/>
      <c r="Y1815" s="66"/>
      <c r="Z1815" s="66"/>
      <c r="AA1815" s="66"/>
      <c r="AB1815" s="66"/>
      <c r="AC1815" s="67"/>
    </row>
    <row r="1816" spans="1:29" x14ac:dyDescent="0.25">
      <c r="A1816" s="68"/>
      <c r="B1816" s="68"/>
      <c r="C1816" s="68"/>
      <c r="D1816" s="68"/>
      <c r="E1816" s="68"/>
      <c r="F1816" s="69"/>
      <c r="G1816" s="70"/>
      <c r="H1816" s="70"/>
      <c r="I1816" s="70"/>
      <c r="J1816" s="71"/>
      <c r="K1816" s="71"/>
      <c r="L1816" s="71"/>
      <c r="M1816" s="72"/>
      <c r="N1816" s="71"/>
      <c r="O1816" s="71"/>
      <c r="P1816" s="72"/>
      <c r="Q1816" s="72"/>
      <c r="R1816" s="72"/>
      <c r="S1816" s="72"/>
      <c r="T1816" s="72"/>
      <c r="U1816" s="72"/>
      <c r="V1816" s="72"/>
      <c r="W1816" s="73"/>
      <c r="X1816" s="73"/>
      <c r="Y1816" s="73"/>
      <c r="Z1816" s="73"/>
      <c r="AA1816" s="73"/>
      <c r="AB1816" s="73"/>
      <c r="AC1816" s="70"/>
    </row>
    <row r="1817" spans="1:29" x14ac:dyDescent="0.25">
      <c r="A1817" s="74"/>
      <c r="B1817" s="74"/>
      <c r="C1817" s="74"/>
      <c r="D1817" s="74"/>
      <c r="E1817" s="74"/>
      <c r="F1817" s="75" t="s">
        <v>198</v>
      </c>
      <c r="G1817" s="76"/>
      <c r="H1817" s="77" t="s">
        <v>271</v>
      </c>
      <c r="I1817" s="78"/>
      <c r="J1817" s="79"/>
      <c r="K1817" s="79"/>
      <c r="L1817" s="79"/>
      <c r="M1817" s="80"/>
      <c r="N1817" s="79"/>
      <c r="O1817" s="79"/>
      <c r="P1817" s="35">
        <f t="shared" ref="P1817:AA1817" si="612">P$9</f>
        <v>46113</v>
      </c>
      <c r="Q1817" s="35">
        <f t="shared" si="612"/>
        <v>46143</v>
      </c>
      <c r="R1817" s="35">
        <f t="shared" si="612"/>
        <v>46174</v>
      </c>
      <c r="S1817" s="35">
        <f t="shared" si="612"/>
        <v>46204</v>
      </c>
      <c r="T1817" s="35">
        <f t="shared" si="612"/>
        <v>46235</v>
      </c>
      <c r="U1817" s="35">
        <f t="shared" si="612"/>
        <v>46266</v>
      </c>
      <c r="V1817" s="35">
        <f t="shared" si="612"/>
        <v>46296</v>
      </c>
      <c r="W1817" s="35">
        <f t="shared" si="612"/>
        <v>46327</v>
      </c>
      <c r="X1817" s="35">
        <f t="shared" si="612"/>
        <v>46357</v>
      </c>
      <c r="Y1817" s="35">
        <f t="shared" si="612"/>
        <v>46388</v>
      </c>
      <c r="Z1817" s="35">
        <f t="shared" si="612"/>
        <v>46419</v>
      </c>
      <c r="AA1817" s="35">
        <f t="shared" si="612"/>
        <v>46447</v>
      </c>
      <c r="AB1817" s="81" t="s">
        <v>85</v>
      </c>
      <c r="AC1817" s="82" t="s">
        <v>192</v>
      </c>
    </row>
    <row r="1818" spans="1:29" x14ac:dyDescent="0.25">
      <c r="A1818" s="83"/>
      <c r="B1818" s="83"/>
      <c r="C1818" s="83"/>
      <c r="D1818" s="83"/>
      <c r="E1818" s="83"/>
      <c r="F1818" s="84" t="s">
        <v>308</v>
      </c>
      <c r="G1818" s="85"/>
      <c r="H1818" s="86" t="s">
        <v>201</v>
      </c>
      <c r="I1818" s="87"/>
      <c r="J1818" s="88"/>
      <c r="K1818" s="88"/>
      <c r="L1818" s="88"/>
      <c r="M1818" s="89"/>
      <c r="N1818" s="88"/>
      <c r="O1818" s="88"/>
      <c r="P1818" s="90">
        <v>2215.87</v>
      </c>
      <c r="Q1818" s="90">
        <v>3852.83</v>
      </c>
      <c r="R1818" s="90">
        <v>1584.68</v>
      </c>
      <c r="S1818" s="90">
        <v>0</v>
      </c>
      <c r="T1818" s="90">
        <v>1496.14</v>
      </c>
      <c r="U1818" s="90">
        <v>1659.82</v>
      </c>
      <c r="V1818" s="90">
        <v>1868.64</v>
      </c>
      <c r="W1818" s="90">
        <v>1005.77</v>
      </c>
      <c r="X1818" s="90">
        <v>0</v>
      </c>
      <c r="Y1818" s="90">
        <v>0</v>
      </c>
      <c r="Z1818" s="90">
        <v>100</v>
      </c>
      <c r="AA1818" s="90">
        <v>100</v>
      </c>
      <c r="AB1818" s="91">
        <f>SUM(P1818:AA1818)</f>
        <v>13883.75</v>
      </c>
      <c r="AC1818" s="92"/>
    </row>
    <row r="1819" spans="1:29" x14ac:dyDescent="0.25">
      <c r="A1819" s="83"/>
      <c r="B1819" s="83"/>
      <c r="C1819" s="83"/>
      <c r="D1819" s="83"/>
      <c r="E1819" s="83"/>
      <c r="F1819" s="95" t="s">
        <v>309</v>
      </c>
      <c r="G1819" s="85"/>
      <c r="H1819" s="86" t="s">
        <v>201</v>
      </c>
      <c r="I1819" s="87"/>
      <c r="J1819" s="88"/>
      <c r="K1819" s="88"/>
      <c r="L1819" s="88"/>
      <c r="M1819" s="89"/>
      <c r="N1819" s="88"/>
      <c r="O1819" s="88"/>
      <c r="P1819" s="90">
        <v>0</v>
      </c>
      <c r="Q1819" s="90">
        <v>0</v>
      </c>
      <c r="R1819" s="90">
        <v>70</v>
      </c>
      <c r="S1819" s="90">
        <v>0</v>
      </c>
      <c r="T1819" s="90">
        <v>70</v>
      </c>
      <c r="U1819" s="90">
        <v>70</v>
      </c>
      <c r="V1819" s="90">
        <v>70</v>
      </c>
      <c r="W1819" s="90">
        <v>0</v>
      </c>
      <c r="X1819" s="90">
        <v>0</v>
      </c>
      <c r="Y1819" s="90">
        <v>0</v>
      </c>
      <c r="Z1819" s="90">
        <v>0</v>
      </c>
      <c r="AA1819" s="90">
        <v>0</v>
      </c>
      <c r="AB1819" s="93">
        <f>SUM(P1819:AA1819)</f>
        <v>280</v>
      </c>
      <c r="AC1819" s="243"/>
    </row>
    <row r="1820" spans="1:29" x14ac:dyDescent="0.25">
      <c r="A1820" s="83"/>
      <c r="B1820" s="83"/>
      <c r="C1820" s="83"/>
      <c r="D1820" s="83"/>
      <c r="E1820" s="83"/>
      <c r="F1820" s="95" t="s">
        <v>310</v>
      </c>
      <c r="G1820" s="85"/>
      <c r="H1820" s="86" t="s">
        <v>201</v>
      </c>
      <c r="I1820" s="87"/>
      <c r="J1820" s="88"/>
      <c r="K1820" s="88"/>
      <c r="L1820" s="88"/>
      <c r="M1820" s="89"/>
      <c r="N1820" s="88"/>
      <c r="O1820" s="88"/>
      <c r="P1820" s="90">
        <v>0</v>
      </c>
      <c r="Q1820" s="90">
        <v>0</v>
      </c>
      <c r="R1820" s="90">
        <v>0</v>
      </c>
      <c r="S1820" s="90">
        <v>0</v>
      </c>
      <c r="T1820" s="90">
        <v>0</v>
      </c>
      <c r="U1820" s="90">
        <v>0</v>
      </c>
      <c r="V1820" s="90">
        <v>0</v>
      </c>
      <c r="W1820" s="90">
        <v>0</v>
      </c>
      <c r="X1820" s="90">
        <v>0</v>
      </c>
      <c r="Y1820" s="90">
        <v>0</v>
      </c>
      <c r="Z1820" s="90">
        <v>0</v>
      </c>
      <c r="AA1820" s="90">
        <v>0</v>
      </c>
      <c r="AB1820" s="93">
        <f>SUM(P1820:AA1820)</f>
        <v>0</v>
      </c>
      <c r="AC1820" s="243"/>
    </row>
    <row r="1821" spans="1:29" x14ac:dyDescent="0.25">
      <c r="A1821" s="83"/>
      <c r="B1821" s="83"/>
      <c r="C1821" s="83"/>
      <c r="D1821" s="83"/>
      <c r="E1821" s="83"/>
      <c r="F1821" s="96" t="s">
        <v>85</v>
      </c>
      <c r="G1821" s="97"/>
      <c r="H1821" s="98" t="s">
        <v>201</v>
      </c>
      <c r="I1821" s="99"/>
      <c r="J1821" s="100"/>
      <c r="K1821" s="100"/>
      <c r="L1821" s="100"/>
      <c r="M1821" s="101"/>
      <c r="N1821" s="100"/>
      <c r="O1821" s="100"/>
      <c r="P1821" s="102">
        <f t="shared" ref="P1821:AA1821" si="613">SUM(P1818:P1820)</f>
        <v>2215.87</v>
      </c>
      <c r="Q1821" s="102">
        <f t="shared" si="613"/>
        <v>3852.83</v>
      </c>
      <c r="R1821" s="102">
        <f t="shared" si="613"/>
        <v>1654.68</v>
      </c>
      <c r="S1821" s="102">
        <f t="shared" si="613"/>
        <v>0</v>
      </c>
      <c r="T1821" s="102">
        <f t="shared" si="613"/>
        <v>1566.14</v>
      </c>
      <c r="U1821" s="102">
        <f t="shared" si="613"/>
        <v>1729.82</v>
      </c>
      <c r="V1821" s="102">
        <f>SUM(V1818:V1820)</f>
        <v>1938.64</v>
      </c>
      <c r="W1821" s="102">
        <f t="shared" si="613"/>
        <v>1005.77</v>
      </c>
      <c r="X1821" s="102">
        <f t="shared" si="613"/>
        <v>0</v>
      </c>
      <c r="Y1821" s="102">
        <f t="shared" si="613"/>
        <v>0</v>
      </c>
      <c r="Z1821" s="102">
        <f t="shared" si="613"/>
        <v>100</v>
      </c>
      <c r="AA1821" s="102">
        <f t="shared" si="613"/>
        <v>100</v>
      </c>
      <c r="AB1821" s="103">
        <f>SUM(AB1818:AB1820)</f>
        <v>14163.75</v>
      </c>
      <c r="AC1821" s="244"/>
    </row>
    <row r="1822" spans="1:29" x14ac:dyDescent="0.25">
      <c r="A1822" s="83"/>
      <c r="B1822" s="83"/>
      <c r="C1822" s="83"/>
      <c r="D1822" s="83"/>
      <c r="E1822" s="83"/>
      <c r="F1822" s="105"/>
      <c r="G1822" s="106"/>
      <c r="H1822" s="106"/>
      <c r="I1822" s="106"/>
      <c r="J1822" s="106"/>
      <c r="K1822" s="106"/>
      <c r="L1822" s="106"/>
      <c r="M1822" s="107"/>
      <c r="N1822" s="106"/>
      <c r="O1822" s="106"/>
      <c r="P1822" s="107"/>
      <c r="Q1822" s="107"/>
      <c r="R1822" s="107"/>
      <c r="S1822" s="107"/>
      <c r="T1822" s="107"/>
      <c r="U1822" s="107"/>
      <c r="V1822" s="245"/>
      <c r="W1822" s="107"/>
      <c r="X1822" s="107"/>
      <c r="Y1822" s="107"/>
      <c r="Z1822" s="107"/>
      <c r="AA1822" s="107"/>
      <c r="AB1822" s="108"/>
      <c r="AC1822" s="109"/>
    </row>
    <row r="1823" spans="1:29" x14ac:dyDescent="0.25">
      <c r="A1823" s="83"/>
      <c r="B1823" s="83"/>
      <c r="C1823" s="83"/>
      <c r="D1823" s="83"/>
      <c r="E1823" s="83"/>
      <c r="F1823" s="69" t="s">
        <v>205</v>
      </c>
      <c r="G1823" s="106"/>
      <c r="H1823" s="106"/>
      <c r="I1823" s="106"/>
      <c r="J1823" s="106"/>
      <c r="K1823" s="106"/>
      <c r="L1823" s="106"/>
      <c r="M1823" s="110"/>
      <c r="N1823" s="106"/>
      <c r="O1823" s="106"/>
      <c r="P1823" s="245"/>
      <c r="Q1823" s="245"/>
      <c r="R1823" s="245"/>
      <c r="S1823" s="245"/>
      <c r="T1823" s="245"/>
      <c r="U1823" s="245"/>
      <c r="V1823" s="245"/>
      <c r="W1823" s="245"/>
      <c r="X1823" s="245"/>
      <c r="Y1823" s="245"/>
      <c r="Z1823" s="110"/>
      <c r="AA1823" s="110"/>
      <c r="AB1823" s="109"/>
      <c r="AC1823" s="109"/>
    </row>
    <row r="1824" spans="1:29" x14ac:dyDescent="0.25">
      <c r="A1824" s="74"/>
      <c r="B1824" s="74" t="s">
        <v>206</v>
      </c>
      <c r="C1824" s="74" t="s">
        <v>207</v>
      </c>
      <c r="D1824" s="74" t="s">
        <v>208</v>
      </c>
      <c r="E1824" s="74"/>
      <c r="F1824" s="75" t="s">
        <v>209</v>
      </c>
      <c r="G1824" s="76"/>
      <c r="H1824" s="77" t="s">
        <v>271</v>
      </c>
      <c r="I1824" s="78"/>
      <c r="J1824" s="79"/>
      <c r="K1824" s="79"/>
      <c r="L1824" s="79"/>
      <c r="M1824" s="80"/>
      <c r="N1824" s="79"/>
      <c r="O1824" s="111"/>
      <c r="P1824" s="35">
        <f t="shared" ref="P1824:AA1824" si="614">P$9</f>
        <v>46113</v>
      </c>
      <c r="Q1824" s="35">
        <f t="shared" si="614"/>
        <v>46143</v>
      </c>
      <c r="R1824" s="35">
        <f t="shared" si="614"/>
        <v>46174</v>
      </c>
      <c r="S1824" s="35">
        <f t="shared" si="614"/>
        <v>46204</v>
      </c>
      <c r="T1824" s="35">
        <f t="shared" si="614"/>
        <v>46235</v>
      </c>
      <c r="U1824" s="35">
        <f t="shared" si="614"/>
        <v>46266</v>
      </c>
      <c r="V1824" s="35">
        <f t="shared" si="614"/>
        <v>46296</v>
      </c>
      <c r="W1824" s="35">
        <f t="shared" si="614"/>
        <v>46327</v>
      </c>
      <c r="X1824" s="35">
        <f t="shared" si="614"/>
        <v>46357</v>
      </c>
      <c r="Y1824" s="35">
        <f t="shared" si="614"/>
        <v>46388</v>
      </c>
      <c r="Z1824" s="35">
        <f t="shared" si="614"/>
        <v>46419</v>
      </c>
      <c r="AA1824" s="35">
        <f t="shared" si="614"/>
        <v>46447</v>
      </c>
      <c r="AB1824" s="112" t="s">
        <v>85</v>
      </c>
      <c r="AC1824" s="113" t="s">
        <v>192</v>
      </c>
    </row>
    <row r="1825" spans="1:44" x14ac:dyDescent="0.25">
      <c r="A1825" s="83"/>
      <c r="B1825" s="83" t="str">
        <f>C1825&amp;D1825</f>
        <v/>
      </c>
      <c r="C1825" s="83"/>
      <c r="D1825" s="83"/>
      <c r="E1825" s="83"/>
      <c r="F1825" s="114" t="s">
        <v>308</v>
      </c>
      <c r="G1825" s="115"/>
      <c r="H1825" s="116" t="s">
        <v>41</v>
      </c>
      <c r="I1825" s="117"/>
      <c r="J1825" s="118"/>
      <c r="K1825" s="118"/>
      <c r="L1825" s="118"/>
      <c r="M1825" s="119"/>
      <c r="N1825" s="118"/>
      <c r="O1825" s="120"/>
      <c r="P1825" s="121">
        <v>1</v>
      </c>
      <c r="Q1825" s="121">
        <v>1</v>
      </c>
      <c r="R1825" s="121">
        <v>1</v>
      </c>
      <c r="S1825" s="121">
        <v>1</v>
      </c>
      <c r="T1825" s="121">
        <v>1</v>
      </c>
      <c r="U1825" s="121">
        <v>1</v>
      </c>
      <c r="V1825" s="121">
        <v>1</v>
      </c>
      <c r="W1825" s="121">
        <v>1</v>
      </c>
      <c r="X1825" s="121">
        <v>1</v>
      </c>
      <c r="Y1825" s="121">
        <v>1</v>
      </c>
      <c r="Z1825" s="121">
        <v>1</v>
      </c>
      <c r="AA1825" s="121">
        <v>1</v>
      </c>
      <c r="AB1825" s="122">
        <v>1</v>
      </c>
      <c r="AC1825" s="123"/>
    </row>
    <row r="1826" spans="1:44" x14ac:dyDescent="0.25">
      <c r="A1826" s="83"/>
      <c r="B1826" s="83" t="str">
        <f>C1826&amp;D1826</f>
        <v/>
      </c>
      <c r="C1826" s="83"/>
      <c r="D1826" s="83"/>
      <c r="E1826" s="83"/>
      <c r="F1826" s="135" t="s">
        <v>309</v>
      </c>
      <c r="G1826" s="115"/>
      <c r="H1826" s="116" t="s">
        <v>41</v>
      </c>
      <c r="I1826" s="117"/>
      <c r="J1826" s="118"/>
      <c r="K1826" s="118"/>
      <c r="L1826" s="118"/>
      <c r="M1826" s="119"/>
      <c r="N1826" s="118"/>
      <c r="O1826" s="120"/>
      <c r="P1826" s="121">
        <v>1</v>
      </c>
      <c r="Q1826" s="121">
        <v>1</v>
      </c>
      <c r="R1826" s="121">
        <v>1</v>
      </c>
      <c r="S1826" s="121">
        <v>1</v>
      </c>
      <c r="T1826" s="121">
        <v>1</v>
      </c>
      <c r="U1826" s="121">
        <v>1</v>
      </c>
      <c r="V1826" s="121">
        <v>1</v>
      </c>
      <c r="W1826" s="121">
        <v>1</v>
      </c>
      <c r="X1826" s="121">
        <v>1</v>
      </c>
      <c r="Y1826" s="121">
        <v>1</v>
      </c>
      <c r="Z1826" s="121">
        <v>1</v>
      </c>
      <c r="AA1826" s="121">
        <v>1</v>
      </c>
      <c r="AB1826" s="122">
        <v>1</v>
      </c>
      <c r="AC1826" s="123"/>
    </row>
    <row r="1827" spans="1:44" x14ac:dyDescent="0.25">
      <c r="A1827" s="83"/>
      <c r="B1827" s="83" t="str">
        <f>C1827&amp;D1827</f>
        <v/>
      </c>
      <c r="C1827" s="83"/>
      <c r="D1827" s="83"/>
      <c r="E1827" s="83"/>
      <c r="F1827" s="135" t="s">
        <v>310</v>
      </c>
      <c r="G1827" s="115"/>
      <c r="H1827" s="116" t="s">
        <v>41</v>
      </c>
      <c r="I1827" s="117"/>
      <c r="J1827" s="118"/>
      <c r="K1827" s="118"/>
      <c r="L1827" s="118"/>
      <c r="M1827" s="119"/>
      <c r="N1827" s="118"/>
      <c r="O1827" s="120"/>
      <c r="P1827" s="121">
        <v>1</v>
      </c>
      <c r="Q1827" s="121">
        <v>1</v>
      </c>
      <c r="R1827" s="121">
        <v>1</v>
      </c>
      <c r="S1827" s="121">
        <v>1</v>
      </c>
      <c r="T1827" s="121">
        <v>1</v>
      </c>
      <c r="U1827" s="121">
        <v>1</v>
      </c>
      <c r="V1827" s="121">
        <v>1</v>
      </c>
      <c r="W1827" s="121">
        <v>1</v>
      </c>
      <c r="X1827" s="121">
        <v>1</v>
      </c>
      <c r="Y1827" s="121">
        <v>1</v>
      </c>
      <c r="Z1827" s="121">
        <v>1</v>
      </c>
      <c r="AA1827" s="121">
        <v>1</v>
      </c>
      <c r="AB1827" s="122">
        <v>1</v>
      </c>
      <c r="AC1827" s="123"/>
    </row>
    <row r="1828" spans="1:44" x14ac:dyDescent="0.25">
      <c r="A1828" s="83"/>
      <c r="B1828" s="83"/>
      <c r="C1828" s="83"/>
      <c r="D1828" s="83"/>
      <c r="E1828" s="83"/>
      <c r="F1828" s="124" t="s">
        <v>85</v>
      </c>
      <c r="G1828" s="125"/>
      <c r="H1828" s="126" t="s">
        <v>41</v>
      </c>
      <c r="I1828" s="127"/>
      <c r="J1828" s="128"/>
      <c r="K1828" s="128"/>
      <c r="L1828" s="128"/>
      <c r="M1828" s="129"/>
      <c r="N1828" s="128"/>
      <c r="O1828" s="130"/>
      <c r="P1828" s="131">
        <v>1</v>
      </c>
      <c r="Q1828" s="131">
        <v>1</v>
      </c>
      <c r="R1828" s="131">
        <v>1</v>
      </c>
      <c r="S1828" s="131">
        <v>1</v>
      </c>
      <c r="T1828" s="131">
        <v>1</v>
      </c>
      <c r="U1828" s="131">
        <v>1</v>
      </c>
      <c r="V1828" s="131">
        <v>1</v>
      </c>
      <c r="W1828" s="131">
        <v>1</v>
      </c>
      <c r="X1828" s="131">
        <v>1</v>
      </c>
      <c r="Y1828" s="131">
        <v>1</v>
      </c>
      <c r="Z1828" s="131">
        <v>1</v>
      </c>
      <c r="AA1828" s="131">
        <v>1</v>
      </c>
      <c r="AB1828" s="132">
        <v>1</v>
      </c>
      <c r="AC1828" s="133"/>
    </row>
    <row r="1829" spans="1:44" x14ac:dyDescent="0.25">
      <c r="A1829" s="68"/>
      <c r="B1829" s="68"/>
      <c r="C1829" s="68"/>
      <c r="D1829" s="68"/>
      <c r="E1829" s="68"/>
      <c r="F1829" s="134"/>
      <c r="G1829" s="106"/>
      <c r="H1829" s="106"/>
      <c r="I1829" s="106"/>
      <c r="J1829" s="106"/>
      <c r="K1829" s="106"/>
      <c r="L1829" s="106"/>
      <c r="M1829" s="110"/>
      <c r="N1829" s="106"/>
      <c r="O1829" s="106"/>
      <c r="P1829" s="110"/>
      <c r="Q1829" s="110"/>
      <c r="R1829" s="110"/>
      <c r="S1829" s="110"/>
      <c r="T1829" s="110"/>
      <c r="U1829" s="110"/>
      <c r="V1829" s="110"/>
      <c r="W1829" s="110"/>
      <c r="X1829" s="110"/>
      <c r="Y1829" s="110"/>
      <c r="Z1829" s="110"/>
      <c r="AA1829" s="110"/>
      <c r="AB1829" s="110"/>
      <c r="AC1829" s="106"/>
    </row>
    <row r="1830" spans="1:44" x14ac:dyDescent="0.25">
      <c r="A1830" s="83"/>
      <c r="B1830" s="83"/>
      <c r="C1830" s="83"/>
      <c r="D1830" s="83"/>
      <c r="E1830" s="83"/>
      <c r="F1830" s="69" t="s">
        <v>213</v>
      </c>
      <c r="G1830" s="106"/>
      <c r="H1830" s="106"/>
      <c r="I1830" s="106"/>
      <c r="J1830" s="106"/>
      <c r="K1830" s="106"/>
      <c r="L1830" s="106"/>
      <c r="M1830" s="110"/>
      <c r="N1830" s="106"/>
      <c r="O1830" s="106"/>
      <c r="P1830" s="110"/>
      <c r="Q1830" s="110"/>
      <c r="R1830" s="110"/>
      <c r="S1830" s="110"/>
      <c r="T1830" s="110"/>
      <c r="U1830" s="110"/>
      <c r="V1830" s="110"/>
      <c r="W1830" s="110"/>
      <c r="X1830" s="110"/>
      <c r="Y1830" s="110"/>
      <c r="Z1830" s="110"/>
      <c r="AA1830" s="110"/>
      <c r="AB1830" s="109"/>
      <c r="AC1830" s="109"/>
    </row>
    <row r="1831" spans="1:44" x14ac:dyDescent="0.25">
      <c r="A1831" s="74"/>
      <c r="B1831" s="74" t="s">
        <v>206</v>
      </c>
      <c r="C1831" s="74" t="s">
        <v>207</v>
      </c>
      <c r="D1831" s="74" t="s">
        <v>208</v>
      </c>
      <c r="E1831" s="74"/>
      <c r="F1831" s="75" t="s">
        <v>209</v>
      </c>
      <c r="G1831" s="76"/>
      <c r="H1831" s="77" t="s">
        <v>271</v>
      </c>
      <c r="I1831" s="78"/>
      <c r="J1831" s="79"/>
      <c r="K1831" s="79"/>
      <c r="L1831" s="79"/>
      <c r="M1831" s="80"/>
      <c r="N1831" s="79"/>
      <c r="O1831" s="111"/>
      <c r="P1831" s="35">
        <f t="shared" ref="P1831:AA1831" si="615">P$9</f>
        <v>46113</v>
      </c>
      <c r="Q1831" s="35">
        <f t="shared" si="615"/>
        <v>46143</v>
      </c>
      <c r="R1831" s="35">
        <f t="shared" si="615"/>
        <v>46174</v>
      </c>
      <c r="S1831" s="35">
        <f t="shared" si="615"/>
        <v>46204</v>
      </c>
      <c r="T1831" s="35">
        <f t="shared" si="615"/>
        <v>46235</v>
      </c>
      <c r="U1831" s="35">
        <f t="shared" si="615"/>
        <v>46266</v>
      </c>
      <c r="V1831" s="35">
        <f t="shared" si="615"/>
        <v>46296</v>
      </c>
      <c r="W1831" s="35">
        <f t="shared" si="615"/>
        <v>46327</v>
      </c>
      <c r="X1831" s="35">
        <f t="shared" si="615"/>
        <v>46357</v>
      </c>
      <c r="Y1831" s="35">
        <f t="shared" si="615"/>
        <v>46388</v>
      </c>
      <c r="Z1831" s="35">
        <f t="shared" si="615"/>
        <v>46419</v>
      </c>
      <c r="AA1831" s="35">
        <f t="shared" si="615"/>
        <v>46447</v>
      </c>
      <c r="AB1831" s="112" t="s">
        <v>85</v>
      </c>
      <c r="AC1831" s="113" t="s">
        <v>192</v>
      </c>
    </row>
    <row r="1832" spans="1:44" x14ac:dyDescent="0.25">
      <c r="A1832" s="83"/>
      <c r="B1832" s="83" t="str">
        <f>C1832&amp;D1832</f>
        <v/>
      </c>
      <c r="C1832" s="83"/>
      <c r="D1832" s="83"/>
      <c r="E1832" s="83"/>
      <c r="F1832" s="114" t="s">
        <v>308</v>
      </c>
      <c r="G1832" s="115"/>
      <c r="H1832" s="116" t="s">
        <v>41</v>
      </c>
      <c r="I1832" s="117"/>
      <c r="J1832" s="118"/>
      <c r="K1832" s="118"/>
      <c r="L1832" s="118"/>
      <c r="M1832" s="119"/>
      <c r="N1832" s="118"/>
      <c r="O1832" s="120"/>
      <c r="P1832" s="121">
        <f t="shared" ref="P1832:AA1834" si="616">IFERROR(IF(P$1821=0,$AB1832,P1818/P$1821),0)</f>
        <v>1</v>
      </c>
      <c r="Q1832" s="121">
        <f t="shared" si="616"/>
        <v>1</v>
      </c>
      <c r="R1832" s="121">
        <f t="shared" si="616"/>
        <v>0.95769574781830924</v>
      </c>
      <c r="S1832" s="121">
        <f t="shared" si="616"/>
        <v>0.98023122407554497</v>
      </c>
      <c r="T1832" s="121">
        <f t="shared" si="616"/>
        <v>0.95530412351386207</v>
      </c>
      <c r="U1832" s="121">
        <f t="shared" si="616"/>
        <v>0.95953336185267835</v>
      </c>
      <c r="V1832" s="121">
        <f t="shared" si="616"/>
        <v>0.96389221309784179</v>
      </c>
      <c r="W1832" s="121">
        <f t="shared" si="616"/>
        <v>1</v>
      </c>
      <c r="X1832" s="121">
        <f t="shared" si="616"/>
        <v>0.98023122407554497</v>
      </c>
      <c r="Y1832" s="121">
        <f t="shared" si="616"/>
        <v>0.98023122407554497</v>
      </c>
      <c r="Z1832" s="121">
        <f t="shared" si="616"/>
        <v>1</v>
      </c>
      <c r="AA1832" s="121">
        <f t="shared" si="616"/>
        <v>1</v>
      </c>
      <c r="AB1832" s="122">
        <f>IFERROR(AB1818/AB$1821,0)</f>
        <v>0.98023122407554497</v>
      </c>
      <c r="AC1832" s="123"/>
    </row>
    <row r="1833" spans="1:44" x14ac:dyDescent="0.25">
      <c r="A1833" s="83"/>
      <c r="B1833" s="83" t="str">
        <f>C1833&amp;D1833</f>
        <v/>
      </c>
      <c r="C1833" s="83"/>
      <c r="D1833" s="83"/>
      <c r="E1833" s="83"/>
      <c r="F1833" s="135" t="s">
        <v>309</v>
      </c>
      <c r="G1833" s="115"/>
      <c r="H1833" s="116" t="s">
        <v>41</v>
      </c>
      <c r="I1833" s="117"/>
      <c r="J1833" s="118"/>
      <c r="K1833" s="118"/>
      <c r="L1833" s="118"/>
      <c r="M1833" s="119"/>
      <c r="N1833" s="118"/>
      <c r="O1833" s="120"/>
      <c r="P1833" s="121">
        <f t="shared" si="616"/>
        <v>0</v>
      </c>
      <c r="Q1833" s="121">
        <f t="shared" si="616"/>
        <v>0</v>
      </c>
      <c r="R1833" s="121">
        <f t="shared" si="616"/>
        <v>4.2304252181690719E-2</v>
      </c>
      <c r="S1833" s="121">
        <f t="shared" si="616"/>
        <v>1.9768775924455036E-2</v>
      </c>
      <c r="T1833" s="121">
        <f t="shared" si="616"/>
        <v>4.4695876486137889E-2</v>
      </c>
      <c r="U1833" s="121">
        <f t="shared" si="616"/>
        <v>4.0466638147321689E-2</v>
      </c>
      <c r="V1833" s="121">
        <f t="shared" si="616"/>
        <v>3.6107786902158212E-2</v>
      </c>
      <c r="W1833" s="121">
        <f t="shared" si="616"/>
        <v>0</v>
      </c>
      <c r="X1833" s="121">
        <f t="shared" si="616"/>
        <v>1.9768775924455036E-2</v>
      </c>
      <c r="Y1833" s="121">
        <f t="shared" si="616"/>
        <v>1.9768775924455036E-2</v>
      </c>
      <c r="Z1833" s="121">
        <f t="shared" si="616"/>
        <v>0</v>
      </c>
      <c r="AA1833" s="121">
        <f t="shared" si="616"/>
        <v>0</v>
      </c>
      <c r="AB1833" s="122">
        <f>IFERROR(AB1819/AB$1821,0)</f>
        <v>1.9768775924455036E-2</v>
      </c>
      <c r="AC1833" s="123"/>
    </row>
    <row r="1834" spans="1:44" x14ac:dyDescent="0.25">
      <c r="A1834" s="83"/>
      <c r="B1834" s="83" t="str">
        <f>C1834&amp;D1834</f>
        <v/>
      </c>
      <c r="C1834" s="83"/>
      <c r="D1834" s="83"/>
      <c r="E1834" s="83"/>
      <c r="F1834" s="135" t="s">
        <v>310</v>
      </c>
      <c r="G1834" s="115"/>
      <c r="H1834" s="116" t="s">
        <v>41</v>
      </c>
      <c r="I1834" s="117"/>
      <c r="J1834" s="118"/>
      <c r="K1834" s="118"/>
      <c r="L1834" s="118"/>
      <c r="M1834" s="119"/>
      <c r="N1834" s="118"/>
      <c r="O1834" s="120"/>
      <c r="P1834" s="121">
        <f t="shared" si="616"/>
        <v>0</v>
      </c>
      <c r="Q1834" s="121">
        <f t="shared" si="616"/>
        <v>0</v>
      </c>
      <c r="R1834" s="121">
        <f t="shared" si="616"/>
        <v>0</v>
      </c>
      <c r="S1834" s="121">
        <f t="shared" si="616"/>
        <v>0</v>
      </c>
      <c r="T1834" s="121">
        <f t="shared" si="616"/>
        <v>0</v>
      </c>
      <c r="U1834" s="121">
        <f t="shared" si="616"/>
        <v>0</v>
      </c>
      <c r="V1834" s="121">
        <f t="shared" si="616"/>
        <v>0</v>
      </c>
      <c r="W1834" s="121">
        <f t="shared" si="616"/>
        <v>0</v>
      </c>
      <c r="X1834" s="121">
        <f t="shared" si="616"/>
        <v>0</v>
      </c>
      <c r="Y1834" s="121">
        <f t="shared" si="616"/>
        <v>0</v>
      </c>
      <c r="Z1834" s="121">
        <f t="shared" si="616"/>
        <v>0</v>
      </c>
      <c r="AA1834" s="121">
        <f t="shared" si="616"/>
        <v>0</v>
      </c>
      <c r="AB1834" s="122">
        <f>IFERROR(AB1820/AB$1821,0)</f>
        <v>0</v>
      </c>
      <c r="AC1834" s="123"/>
    </row>
    <row r="1835" spans="1:44" x14ac:dyDescent="0.25">
      <c r="A1835" s="83"/>
      <c r="B1835" s="83"/>
      <c r="C1835" s="83"/>
      <c r="D1835" s="83"/>
      <c r="E1835" s="83"/>
      <c r="F1835" s="124" t="s">
        <v>85</v>
      </c>
      <c r="G1835" s="125"/>
      <c r="H1835" s="126" t="s">
        <v>41</v>
      </c>
      <c r="I1835" s="127"/>
      <c r="J1835" s="128"/>
      <c r="K1835" s="128"/>
      <c r="L1835" s="128"/>
      <c r="M1835" s="129"/>
      <c r="N1835" s="128"/>
      <c r="O1835" s="130"/>
      <c r="P1835" s="131">
        <f t="shared" ref="P1835:AB1835" si="617">SUM(P1832:P1834)</f>
        <v>1</v>
      </c>
      <c r="Q1835" s="131">
        <f t="shared" si="617"/>
        <v>1</v>
      </c>
      <c r="R1835" s="131">
        <f t="shared" si="617"/>
        <v>1</v>
      </c>
      <c r="S1835" s="131">
        <f t="shared" si="617"/>
        <v>1</v>
      </c>
      <c r="T1835" s="131">
        <f t="shared" si="617"/>
        <v>1</v>
      </c>
      <c r="U1835" s="131">
        <f t="shared" si="617"/>
        <v>1</v>
      </c>
      <c r="V1835" s="131">
        <f t="shared" si="617"/>
        <v>1</v>
      </c>
      <c r="W1835" s="131">
        <f t="shared" si="617"/>
        <v>1</v>
      </c>
      <c r="X1835" s="131">
        <f t="shared" si="617"/>
        <v>1</v>
      </c>
      <c r="Y1835" s="131">
        <f t="shared" si="617"/>
        <v>1</v>
      </c>
      <c r="Z1835" s="131">
        <f t="shared" si="617"/>
        <v>1</v>
      </c>
      <c r="AA1835" s="131">
        <f t="shared" si="617"/>
        <v>1</v>
      </c>
      <c r="AB1835" s="132">
        <f t="shared" si="617"/>
        <v>1</v>
      </c>
      <c r="AC1835" s="133"/>
    </row>
    <row r="1836" spans="1:44" x14ac:dyDescent="0.25">
      <c r="A1836" s="68"/>
      <c r="B1836" s="68"/>
      <c r="C1836" s="68"/>
      <c r="D1836" s="68"/>
      <c r="E1836" s="68"/>
      <c r="F1836" s="134"/>
      <c r="G1836" s="106"/>
      <c r="H1836" s="106"/>
      <c r="I1836" s="106"/>
      <c r="J1836" s="106"/>
      <c r="K1836" s="106"/>
      <c r="L1836" s="106"/>
      <c r="M1836" s="110"/>
      <c r="N1836" s="106"/>
      <c r="O1836" s="106"/>
      <c r="P1836" s="110"/>
      <c r="Q1836" s="110"/>
      <c r="R1836" s="110"/>
      <c r="S1836" s="110"/>
      <c r="T1836" s="110"/>
      <c r="U1836" s="110"/>
      <c r="V1836" s="110"/>
      <c r="W1836" s="110"/>
      <c r="X1836" s="110"/>
      <c r="Y1836" s="110"/>
      <c r="Z1836" s="110"/>
      <c r="AA1836" s="110"/>
      <c r="AB1836" s="110"/>
      <c r="AC1836" s="106"/>
    </row>
    <row r="1837" spans="1:44" x14ac:dyDescent="0.25">
      <c r="F1837" s="136" t="s">
        <v>311</v>
      </c>
      <c r="G1837" s="70"/>
      <c r="H1837" s="106"/>
      <c r="I1837" s="106"/>
      <c r="J1837" s="106"/>
      <c r="K1837" s="106"/>
      <c r="L1837" s="106"/>
      <c r="M1837" s="107"/>
      <c r="N1837" s="106"/>
    </row>
    <row r="1838" spans="1:44" x14ac:dyDescent="0.25">
      <c r="F1838" s="134"/>
      <c r="G1838" s="70"/>
      <c r="U1838" s="18">
        <f>1000/4400</f>
        <v>0.22727272727272727</v>
      </c>
    </row>
    <row r="1839" spans="1:44" x14ac:dyDescent="0.25">
      <c r="F1839" s="68" t="s">
        <v>215</v>
      </c>
      <c r="G1839" s="68"/>
    </row>
    <row r="1840" spans="1:44" x14ac:dyDescent="0.25">
      <c r="F1840" s="137" t="s">
        <v>216</v>
      </c>
      <c r="G1840" s="138"/>
      <c r="H1840" s="139" t="s">
        <v>217</v>
      </c>
      <c r="I1840" s="139" t="s">
        <v>218</v>
      </c>
      <c r="J1840" s="139" t="s">
        <v>219</v>
      </c>
      <c r="K1840" s="140"/>
      <c r="L1840" s="141"/>
      <c r="M1840" s="142" t="s">
        <v>220</v>
      </c>
      <c r="N1840" s="139" t="s">
        <v>221</v>
      </c>
      <c r="O1840" s="143" t="s">
        <v>222</v>
      </c>
      <c r="P1840" s="35">
        <f t="shared" ref="P1840:AA1840" si="618">P$9</f>
        <v>46113</v>
      </c>
      <c r="Q1840" s="35">
        <f t="shared" si="618"/>
        <v>46143</v>
      </c>
      <c r="R1840" s="35">
        <f t="shared" si="618"/>
        <v>46174</v>
      </c>
      <c r="S1840" s="35">
        <f t="shared" si="618"/>
        <v>46204</v>
      </c>
      <c r="T1840" s="35">
        <f t="shared" si="618"/>
        <v>46235</v>
      </c>
      <c r="U1840" s="35">
        <f t="shared" si="618"/>
        <v>46266</v>
      </c>
      <c r="V1840" s="35">
        <f t="shared" si="618"/>
        <v>46296</v>
      </c>
      <c r="W1840" s="35">
        <f t="shared" si="618"/>
        <v>46327</v>
      </c>
      <c r="X1840" s="35">
        <f t="shared" si="618"/>
        <v>46357</v>
      </c>
      <c r="Y1840" s="35">
        <f t="shared" si="618"/>
        <v>46388</v>
      </c>
      <c r="Z1840" s="35">
        <f t="shared" si="618"/>
        <v>46419</v>
      </c>
      <c r="AA1840" s="35">
        <f t="shared" si="618"/>
        <v>46447</v>
      </c>
      <c r="AB1840" s="144" t="s">
        <v>223</v>
      </c>
      <c r="AC1840" s="145" t="s">
        <v>192</v>
      </c>
      <c r="AE1840" s="146" t="s">
        <v>224</v>
      </c>
      <c r="AF1840" s="147">
        <f>P1840</f>
        <v>46113</v>
      </c>
      <c r="AG1840" s="35">
        <f t="shared" ref="AG1840:AQ1840" si="619">Q1840</f>
        <v>46143</v>
      </c>
      <c r="AH1840" s="35">
        <f t="shared" si="619"/>
        <v>46174</v>
      </c>
      <c r="AI1840" s="35">
        <f t="shared" si="619"/>
        <v>46204</v>
      </c>
      <c r="AJ1840" s="35">
        <f t="shared" si="619"/>
        <v>46235</v>
      </c>
      <c r="AK1840" s="35">
        <f t="shared" si="619"/>
        <v>46266</v>
      </c>
      <c r="AL1840" s="35">
        <f t="shared" si="619"/>
        <v>46296</v>
      </c>
      <c r="AM1840" s="35">
        <f t="shared" si="619"/>
        <v>46327</v>
      </c>
      <c r="AN1840" s="35">
        <f t="shared" si="619"/>
        <v>46357</v>
      </c>
      <c r="AO1840" s="35">
        <f t="shared" si="619"/>
        <v>46388</v>
      </c>
      <c r="AP1840" s="35">
        <f t="shared" si="619"/>
        <v>46419</v>
      </c>
      <c r="AQ1840" s="35">
        <f t="shared" si="619"/>
        <v>46447</v>
      </c>
      <c r="AR1840" s="144" t="s">
        <v>225</v>
      </c>
    </row>
    <row r="1841" spans="1:44" x14ac:dyDescent="0.25">
      <c r="A1841" s="14"/>
      <c r="B1841" s="15" t="s">
        <v>226</v>
      </c>
      <c r="C1841" s="83" t="str">
        <f>I1841</f>
        <v>TRATCSP</v>
      </c>
      <c r="E1841" s="14"/>
      <c r="F1841" s="148">
        <v>1071</v>
      </c>
      <c r="G1841" s="149" t="str">
        <f>IFERROR(VLOOKUP(F1841,#REF!,2,0),"")</f>
        <v/>
      </c>
      <c r="H1841" s="150" t="str">
        <f>IFERROR(VLOOKUP(F1841,#REF!,3,0),"")</f>
        <v/>
      </c>
      <c r="I1841" s="151" t="s">
        <v>312</v>
      </c>
      <c r="J1841" s="151">
        <v>1</v>
      </c>
      <c r="K1841" s="152"/>
      <c r="L1841" s="153"/>
      <c r="M1841" s="154"/>
      <c r="N1841" s="180"/>
      <c r="O1841" s="155"/>
      <c r="P1841" s="156">
        <v>400</v>
      </c>
      <c r="Q1841" s="156">
        <v>350</v>
      </c>
      <c r="R1841" s="156">
        <v>200</v>
      </c>
      <c r="S1841" s="156">
        <v>458.11</v>
      </c>
      <c r="T1841" s="156">
        <v>300</v>
      </c>
      <c r="U1841" s="156">
        <v>400</v>
      </c>
      <c r="V1841" s="156">
        <v>650</v>
      </c>
      <c r="W1841" s="156">
        <v>705</v>
      </c>
      <c r="X1841" s="156">
        <v>0</v>
      </c>
      <c r="Y1841" s="156">
        <v>0</v>
      </c>
      <c r="Z1841" s="156">
        <v>0</v>
      </c>
      <c r="AA1841" s="156">
        <v>0</v>
      </c>
      <c r="AB1841" s="158">
        <f>SUM(P1841:AA1841)</f>
        <v>3463.11</v>
      </c>
      <c r="AC1841" s="159"/>
      <c r="AE1841" s="160" t="str">
        <f>IF(F1841="","",F1841&amp;" - "&amp;G1841&amp;" - "&amp;H1841&amp;" - "&amp;J1841&amp;" - (R$/"&amp;H1841&amp;")")</f>
        <v>1071 -  -  - 1 - (R$/)</v>
      </c>
      <c r="AF1841" s="161">
        <f>IFERROR(VLOOKUP($F1841&amp;"-"&amp;$J1841,#REF!,#REF!+6,0),0)</f>
        <v>0</v>
      </c>
      <c r="AG1841" s="162">
        <f>IFERROR(VLOOKUP($F1841&amp;"-"&amp;$J1841,#REF!,#REF!+6,0),0)</f>
        <v>0</v>
      </c>
      <c r="AH1841" s="162">
        <f>IFERROR(VLOOKUP($F1841&amp;"-"&amp;$J1841,#REF!,#REF!+6,0),0)</f>
        <v>0</v>
      </c>
      <c r="AI1841" s="162">
        <f>IFERROR(VLOOKUP($F1841&amp;"-"&amp;$J1841,#REF!,#REF!+6,0),0)</f>
        <v>0</v>
      </c>
      <c r="AJ1841" s="162">
        <f>IFERROR(VLOOKUP($F1841&amp;"-"&amp;$J1841,#REF!,#REF!+6,0),0)</f>
        <v>0</v>
      </c>
      <c r="AK1841" s="162">
        <f>IFERROR(VLOOKUP($F1841&amp;"-"&amp;$J1841,#REF!,#REF!+6,0),0)</f>
        <v>0</v>
      </c>
      <c r="AL1841" s="162">
        <f>IFERROR(VLOOKUP($F1841&amp;"-"&amp;$J1841,#REF!,#REF!+6,0),0)</f>
        <v>0</v>
      </c>
      <c r="AM1841" s="162">
        <f>IFERROR(VLOOKUP($F1841&amp;"-"&amp;$J1841,#REF!,#REF!+6,0),0)</f>
        <v>0</v>
      </c>
      <c r="AN1841" s="162">
        <f>IFERROR(VLOOKUP($F1841&amp;"-"&amp;$J1841,#REF!,#REF!+6,0),0)</f>
        <v>0</v>
      </c>
      <c r="AO1841" s="162">
        <f>IFERROR(VLOOKUP($F1841&amp;"-"&amp;$J1841,#REF!,#REF!+6,0),0)</f>
        <v>0</v>
      </c>
      <c r="AP1841" s="162">
        <f>IFERROR(VLOOKUP($F1841&amp;"-"&amp;$J1841,#REF!,#REF!+6,0),0)</f>
        <v>0</v>
      </c>
      <c r="AQ1841" s="162">
        <f>IFERROR(VLOOKUP($F1841&amp;"-"&amp;$J1841,#REF!,#REF!+6,0),0)</f>
        <v>0</v>
      </c>
      <c r="AR1841" s="163">
        <f>IFERROR(AVERAGE(AF1841:AQ1841),0)</f>
        <v>0</v>
      </c>
    </row>
    <row r="1842" spans="1:44" x14ac:dyDescent="0.25">
      <c r="A1842" s="14"/>
      <c r="B1842" s="15" t="s">
        <v>226</v>
      </c>
      <c r="C1842" s="83" t="str">
        <f t="shared" ref="C1842:C1905" si="620">I1842</f>
        <v>TRATCSP</v>
      </c>
      <c r="E1842" s="14"/>
      <c r="F1842" s="148">
        <v>1022</v>
      </c>
      <c r="G1842" s="149" t="str">
        <f>IFERROR(VLOOKUP(F1842,#REF!,2,0),"")</f>
        <v/>
      </c>
      <c r="H1842" s="150" t="str">
        <f>IFERROR(VLOOKUP(F1842,#REF!,3,0),"")</f>
        <v/>
      </c>
      <c r="I1842" s="151" t="s">
        <v>312</v>
      </c>
      <c r="J1842" s="151">
        <v>1</v>
      </c>
      <c r="K1842" s="152"/>
      <c r="L1842" s="153"/>
      <c r="M1842" s="154"/>
      <c r="N1842" s="180"/>
      <c r="O1842" s="155"/>
      <c r="P1842" s="156">
        <v>0</v>
      </c>
      <c r="Q1842" s="156">
        <v>0</v>
      </c>
      <c r="R1842" s="156">
        <v>0</v>
      </c>
      <c r="S1842" s="156">
        <v>0</v>
      </c>
      <c r="T1842" s="156">
        <v>0</v>
      </c>
      <c r="U1842" s="156">
        <v>0</v>
      </c>
      <c r="V1842" s="156">
        <v>0</v>
      </c>
      <c r="W1842" s="156">
        <v>0</v>
      </c>
      <c r="X1842" s="156">
        <v>0</v>
      </c>
      <c r="Y1842" s="156">
        <v>0</v>
      </c>
      <c r="Z1842" s="156">
        <v>0</v>
      </c>
      <c r="AA1842" s="156">
        <v>0</v>
      </c>
      <c r="AB1842" s="158">
        <f>SUM(P1842:AA1842)</f>
        <v>0</v>
      </c>
      <c r="AC1842" s="159"/>
      <c r="AE1842" s="160" t="str">
        <f t="shared" ref="AE1842:AE1885" si="621">IF(F1842="","",F1842&amp;" - "&amp;G1842&amp;" - "&amp;H1842&amp;" - "&amp;J1842&amp;" - (R$/"&amp;H1842&amp;")")</f>
        <v>1022 -  -  - 1 - (R$/)</v>
      </c>
      <c r="AF1842" s="161">
        <f>IFERROR(VLOOKUP($F1842&amp;"-"&amp;$J1842,#REF!,#REF!+6,0),0)</f>
        <v>0</v>
      </c>
      <c r="AG1842" s="162">
        <f>IFERROR(VLOOKUP($F1842&amp;"-"&amp;$J1842,#REF!,#REF!+6,0),0)</f>
        <v>0</v>
      </c>
      <c r="AH1842" s="162">
        <f>IFERROR(VLOOKUP($F1842&amp;"-"&amp;$J1842,#REF!,#REF!+6,0),0)</f>
        <v>0</v>
      </c>
      <c r="AI1842" s="162">
        <f>IFERROR(VLOOKUP($F1842&amp;"-"&amp;$J1842,#REF!,#REF!+6,0),0)</f>
        <v>0</v>
      </c>
      <c r="AJ1842" s="162">
        <f>IFERROR(VLOOKUP($F1842&amp;"-"&amp;$J1842,#REF!,#REF!+6,0),0)</f>
        <v>0</v>
      </c>
      <c r="AK1842" s="162">
        <f>IFERROR(VLOOKUP($F1842&amp;"-"&amp;$J1842,#REF!,#REF!+6,0),0)</f>
        <v>0</v>
      </c>
      <c r="AL1842" s="162">
        <f>IFERROR(VLOOKUP($F1842&amp;"-"&amp;$J1842,#REF!,#REF!+6,0),0)</f>
        <v>0</v>
      </c>
      <c r="AM1842" s="162">
        <f>IFERROR(VLOOKUP($F1842&amp;"-"&amp;$J1842,#REF!,#REF!+6,0),0)</f>
        <v>0</v>
      </c>
      <c r="AN1842" s="162">
        <f>IFERROR(VLOOKUP($F1842&amp;"-"&amp;$J1842,#REF!,#REF!+6,0),0)</f>
        <v>0</v>
      </c>
      <c r="AO1842" s="162">
        <f>IFERROR(VLOOKUP($F1842&amp;"-"&amp;$J1842,#REF!,#REF!+6,0),0)</f>
        <v>0</v>
      </c>
      <c r="AP1842" s="162">
        <f>IFERROR(VLOOKUP($F1842&amp;"-"&amp;$J1842,#REF!,#REF!+6,0),0)</f>
        <v>0</v>
      </c>
      <c r="AQ1842" s="162">
        <f>IFERROR(VLOOKUP($F1842&amp;"-"&amp;$J1842,#REF!,#REF!+6,0),0)</f>
        <v>0</v>
      </c>
      <c r="AR1842" s="163">
        <f t="shared" ref="AR1842:AR1885" si="622">IFERROR(AVERAGE(AF1842:AQ1842),0)</f>
        <v>0</v>
      </c>
    </row>
    <row r="1843" spans="1:44" x14ac:dyDescent="0.25">
      <c r="A1843" s="14"/>
      <c r="B1843" s="15" t="s">
        <v>226</v>
      </c>
      <c r="C1843" s="83" t="str">
        <f t="shared" si="620"/>
        <v>TRATCSP</v>
      </c>
      <c r="E1843" s="14"/>
      <c r="F1843" s="148">
        <v>1031</v>
      </c>
      <c r="G1843" s="149" t="str">
        <f>IFERROR(VLOOKUP(F1843,#REF!,2,0),"")</f>
        <v/>
      </c>
      <c r="H1843" s="150" t="str">
        <f>IFERROR(VLOOKUP(F1843,#REF!,3,0),"")</f>
        <v/>
      </c>
      <c r="I1843" s="151" t="s">
        <v>312</v>
      </c>
      <c r="J1843" s="151">
        <v>1</v>
      </c>
      <c r="K1843" s="241"/>
      <c r="L1843" s="153"/>
      <c r="M1843" s="154"/>
      <c r="N1843" s="180"/>
      <c r="O1843" s="155"/>
      <c r="P1843" s="156">
        <v>0</v>
      </c>
      <c r="Q1843" s="156">
        <v>0</v>
      </c>
      <c r="R1843" s="156">
        <v>0</v>
      </c>
      <c r="S1843" s="156">
        <v>0</v>
      </c>
      <c r="T1843" s="156">
        <v>0</v>
      </c>
      <c r="U1843" s="156">
        <v>0</v>
      </c>
      <c r="V1843" s="156">
        <v>0</v>
      </c>
      <c r="W1843" s="156">
        <v>0</v>
      </c>
      <c r="X1843" s="156">
        <v>0</v>
      </c>
      <c r="Y1843" s="156">
        <v>0</v>
      </c>
      <c r="Z1843" s="156">
        <v>0</v>
      </c>
      <c r="AA1843" s="156">
        <v>0</v>
      </c>
      <c r="AB1843" s="158">
        <f t="shared" ref="AB1843:AB1885" si="623">SUM(P1843:AA1843)</f>
        <v>0</v>
      </c>
      <c r="AC1843" s="159"/>
      <c r="AE1843" s="160" t="str">
        <f t="shared" si="621"/>
        <v>1031 -  -  - 1 - (R$/)</v>
      </c>
      <c r="AF1843" s="161">
        <f>IFERROR(VLOOKUP($F1843&amp;"-"&amp;$J1843,#REF!,#REF!+6,0),0)</f>
        <v>0</v>
      </c>
      <c r="AG1843" s="162">
        <f>IFERROR(VLOOKUP($F1843&amp;"-"&amp;$J1843,#REF!,#REF!+6,0),0)</f>
        <v>0</v>
      </c>
      <c r="AH1843" s="162">
        <f>IFERROR(VLOOKUP($F1843&amp;"-"&amp;$J1843,#REF!,#REF!+6,0),0)</f>
        <v>0</v>
      </c>
      <c r="AI1843" s="162">
        <f>IFERROR(VLOOKUP($F1843&amp;"-"&amp;$J1843,#REF!,#REF!+6,0),0)</f>
        <v>0</v>
      </c>
      <c r="AJ1843" s="162">
        <f>IFERROR(VLOOKUP($F1843&amp;"-"&amp;$J1843,#REF!,#REF!+6,0),0)</f>
        <v>0</v>
      </c>
      <c r="AK1843" s="162">
        <f>IFERROR(VLOOKUP($F1843&amp;"-"&amp;$J1843,#REF!,#REF!+6,0),0)</f>
        <v>0</v>
      </c>
      <c r="AL1843" s="162">
        <f>IFERROR(VLOOKUP($F1843&amp;"-"&amp;$J1843,#REF!,#REF!+6,0),0)</f>
        <v>0</v>
      </c>
      <c r="AM1843" s="162">
        <f>IFERROR(VLOOKUP($F1843&amp;"-"&amp;$J1843,#REF!,#REF!+6,0),0)</f>
        <v>0</v>
      </c>
      <c r="AN1843" s="162">
        <f>IFERROR(VLOOKUP($F1843&amp;"-"&amp;$J1843,#REF!,#REF!+6,0),0)</f>
        <v>0</v>
      </c>
      <c r="AO1843" s="162">
        <f>IFERROR(VLOOKUP($F1843&amp;"-"&amp;$J1843,#REF!,#REF!+6,0),0)</f>
        <v>0</v>
      </c>
      <c r="AP1843" s="162">
        <f>IFERROR(VLOOKUP($F1843&amp;"-"&amp;$J1843,#REF!,#REF!+6,0),0)</f>
        <v>0</v>
      </c>
      <c r="AQ1843" s="162">
        <f>IFERROR(VLOOKUP($F1843&amp;"-"&amp;$J1843,#REF!,#REF!+6,0),0)</f>
        <v>0</v>
      </c>
      <c r="AR1843" s="163">
        <f t="shared" si="622"/>
        <v>0</v>
      </c>
    </row>
    <row r="1844" spans="1:44" x14ac:dyDescent="0.25">
      <c r="A1844" s="14"/>
      <c r="B1844" s="15" t="s">
        <v>226</v>
      </c>
      <c r="C1844" s="83" t="str">
        <f t="shared" si="620"/>
        <v>TRATCSP</v>
      </c>
      <c r="E1844" s="14"/>
      <c r="F1844" s="148">
        <v>1073</v>
      </c>
      <c r="G1844" s="149" t="str">
        <f>IFERROR(VLOOKUP(F1844,#REF!,2,0),"")</f>
        <v/>
      </c>
      <c r="H1844" s="150" t="str">
        <f>IFERROR(VLOOKUP(F1844,#REF!,3,0),"")</f>
        <v/>
      </c>
      <c r="I1844" s="151" t="s">
        <v>312</v>
      </c>
      <c r="J1844" s="151">
        <v>1</v>
      </c>
      <c r="K1844" s="241"/>
      <c r="L1844" s="153"/>
      <c r="M1844" s="154"/>
      <c r="N1844" s="180"/>
      <c r="O1844" s="155"/>
      <c r="P1844" s="156">
        <v>0</v>
      </c>
      <c r="Q1844" s="156">
        <v>0</v>
      </c>
      <c r="R1844" s="156">
        <v>0</v>
      </c>
      <c r="S1844" s="156">
        <v>0</v>
      </c>
      <c r="T1844" s="156">
        <v>0</v>
      </c>
      <c r="U1844" s="156">
        <v>0</v>
      </c>
      <c r="V1844" s="156">
        <v>0</v>
      </c>
      <c r="W1844" s="156">
        <v>0</v>
      </c>
      <c r="X1844" s="156">
        <v>0</v>
      </c>
      <c r="Y1844" s="156">
        <v>0</v>
      </c>
      <c r="Z1844" s="156">
        <v>0</v>
      </c>
      <c r="AA1844" s="156">
        <v>0</v>
      </c>
      <c r="AB1844" s="158">
        <f t="shared" si="623"/>
        <v>0</v>
      </c>
      <c r="AC1844" s="159"/>
      <c r="AE1844" s="160" t="str">
        <f t="shared" si="621"/>
        <v>1073 -  -  - 1 - (R$/)</v>
      </c>
      <c r="AF1844" s="161">
        <f>IFERROR(VLOOKUP($F1844&amp;"-"&amp;$J1844,#REF!,#REF!+6,0),0)</f>
        <v>0</v>
      </c>
      <c r="AG1844" s="162">
        <f>IFERROR(VLOOKUP($F1844&amp;"-"&amp;$J1844,#REF!,#REF!+6,0),0)</f>
        <v>0</v>
      </c>
      <c r="AH1844" s="162">
        <f>IFERROR(VLOOKUP($F1844&amp;"-"&amp;$J1844,#REF!,#REF!+6,0),0)</f>
        <v>0</v>
      </c>
      <c r="AI1844" s="162">
        <f>IFERROR(VLOOKUP($F1844&amp;"-"&amp;$J1844,#REF!,#REF!+6,0),0)</f>
        <v>0</v>
      </c>
      <c r="AJ1844" s="162">
        <f>IFERROR(VLOOKUP($F1844&amp;"-"&amp;$J1844,#REF!,#REF!+6,0),0)</f>
        <v>0</v>
      </c>
      <c r="AK1844" s="162">
        <f>IFERROR(VLOOKUP($F1844&amp;"-"&amp;$J1844,#REF!,#REF!+6,0),0)</f>
        <v>0</v>
      </c>
      <c r="AL1844" s="162">
        <f>IFERROR(VLOOKUP($F1844&amp;"-"&amp;$J1844,#REF!,#REF!+6,0),0)</f>
        <v>0</v>
      </c>
      <c r="AM1844" s="162">
        <f>IFERROR(VLOOKUP($F1844&amp;"-"&amp;$J1844,#REF!,#REF!+6,0),0)</f>
        <v>0</v>
      </c>
      <c r="AN1844" s="162">
        <f>IFERROR(VLOOKUP($F1844&amp;"-"&amp;$J1844,#REF!,#REF!+6,0),0)</f>
        <v>0</v>
      </c>
      <c r="AO1844" s="162">
        <f>IFERROR(VLOOKUP($F1844&amp;"-"&amp;$J1844,#REF!,#REF!+6,0),0)</f>
        <v>0</v>
      </c>
      <c r="AP1844" s="162">
        <f>IFERROR(VLOOKUP($F1844&amp;"-"&amp;$J1844,#REF!,#REF!+6,0),0)</f>
        <v>0</v>
      </c>
      <c r="AQ1844" s="162">
        <f>IFERROR(VLOOKUP($F1844&amp;"-"&amp;$J1844,#REF!,#REF!+6,0),0)</f>
        <v>0</v>
      </c>
      <c r="AR1844" s="163">
        <f t="shared" si="622"/>
        <v>0</v>
      </c>
    </row>
    <row r="1845" spans="1:44" x14ac:dyDescent="0.25">
      <c r="A1845" s="14"/>
      <c r="B1845" s="15" t="s">
        <v>226</v>
      </c>
      <c r="C1845" s="83" t="str">
        <f t="shared" si="620"/>
        <v>TRATCSP</v>
      </c>
      <c r="E1845" s="14"/>
      <c r="F1845" s="148">
        <v>910</v>
      </c>
      <c r="G1845" s="149" t="str">
        <f>IFERROR(VLOOKUP(F1845,#REF!,2,0),"")</f>
        <v/>
      </c>
      <c r="H1845" s="150" t="str">
        <f>IFERROR(VLOOKUP(F1845,#REF!,3,0),"")</f>
        <v/>
      </c>
      <c r="I1845" s="151" t="s">
        <v>312</v>
      </c>
      <c r="J1845" s="151">
        <v>1</v>
      </c>
      <c r="K1845" s="241"/>
      <c r="L1845" s="153"/>
      <c r="M1845" s="154"/>
      <c r="N1845" s="180"/>
      <c r="O1845" s="155"/>
      <c r="P1845" s="156">
        <v>0</v>
      </c>
      <c r="Q1845" s="156">
        <v>0</v>
      </c>
      <c r="R1845" s="156">
        <v>0</v>
      </c>
      <c r="S1845" s="156">
        <v>0</v>
      </c>
      <c r="T1845" s="156">
        <v>0</v>
      </c>
      <c r="U1845" s="156">
        <v>0</v>
      </c>
      <c r="V1845" s="156">
        <v>0</v>
      </c>
      <c r="W1845" s="156">
        <v>0</v>
      </c>
      <c r="X1845" s="156">
        <v>1500</v>
      </c>
      <c r="Y1845" s="156">
        <v>1500</v>
      </c>
      <c r="Z1845" s="156">
        <v>0</v>
      </c>
      <c r="AA1845" s="156">
        <v>0</v>
      </c>
      <c r="AB1845" s="158">
        <f>SUM(P1845:AA1845)</f>
        <v>3000</v>
      </c>
      <c r="AC1845" s="159"/>
      <c r="AE1845" s="160" t="str">
        <f t="shared" si="621"/>
        <v>910 -  -  - 1 - (R$/)</v>
      </c>
      <c r="AF1845" s="161">
        <f>IFERROR(VLOOKUP($F1845&amp;"-"&amp;$J1845,#REF!,#REF!+6,0),0)</f>
        <v>0</v>
      </c>
      <c r="AG1845" s="162">
        <f>IFERROR(VLOOKUP($F1845&amp;"-"&amp;$J1845,#REF!,#REF!+6,0),0)</f>
        <v>0</v>
      </c>
      <c r="AH1845" s="162">
        <f>IFERROR(VLOOKUP($F1845&amp;"-"&amp;$J1845,#REF!,#REF!+6,0),0)</f>
        <v>0</v>
      </c>
      <c r="AI1845" s="162">
        <f>IFERROR(VLOOKUP($F1845&amp;"-"&amp;$J1845,#REF!,#REF!+6,0),0)</f>
        <v>0</v>
      </c>
      <c r="AJ1845" s="162">
        <f>IFERROR(VLOOKUP($F1845&amp;"-"&amp;$J1845,#REF!,#REF!+6,0),0)</f>
        <v>0</v>
      </c>
      <c r="AK1845" s="162">
        <f>IFERROR(VLOOKUP($F1845&amp;"-"&amp;$J1845,#REF!,#REF!+6,0),0)</f>
        <v>0</v>
      </c>
      <c r="AL1845" s="162">
        <f>IFERROR(VLOOKUP($F1845&amp;"-"&amp;$J1845,#REF!,#REF!+6,0),0)</f>
        <v>0</v>
      </c>
      <c r="AM1845" s="162">
        <f>IFERROR(VLOOKUP($F1845&amp;"-"&amp;$J1845,#REF!,#REF!+6,0),0)</f>
        <v>0</v>
      </c>
      <c r="AN1845" s="162">
        <f>IFERROR(VLOOKUP($F1845&amp;"-"&amp;$J1845,#REF!,#REF!+6,0),0)</f>
        <v>0</v>
      </c>
      <c r="AO1845" s="162">
        <f>IFERROR(VLOOKUP($F1845&amp;"-"&amp;$J1845,#REF!,#REF!+6,0),0)</f>
        <v>0</v>
      </c>
      <c r="AP1845" s="162">
        <f>IFERROR(VLOOKUP($F1845&amp;"-"&amp;$J1845,#REF!,#REF!+6,0),0)</f>
        <v>0</v>
      </c>
      <c r="AQ1845" s="162">
        <f>IFERROR(VLOOKUP($F1845&amp;"-"&amp;$J1845,#REF!,#REF!+6,0),0)</f>
        <v>0</v>
      </c>
      <c r="AR1845" s="163">
        <f t="shared" si="622"/>
        <v>0</v>
      </c>
    </row>
    <row r="1846" spans="1:44" x14ac:dyDescent="0.25">
      <c r="A1846" s="14"/>
      <c r="B1846" s="15" t="s">
        <v>226</v>
      </c>
      <c r="C1846" s="83" t="str">
        <f t="shared" si="620"/>
        <v>TRATCSP</v>
      </c>
      <c r="E1846" s="14"/>
      <c r="F1846" s="148">
        <v>911</v>
      </c>
      <c r="G1846" s="149" t="str">
        <f>IFERROR(VLOOKUP(F1846,#REF!,2,0),"")</f>
        <v/>
      </c>
      <c r="H1846" s="150" t="str">
        <f>IFERROR(VLOOKUP(F1846,#REF!,3,0),"")</f>
        <v/>
      </c>
      <c r="I1846" s="151" t="s">
        <v>312</v>
      </c>
      <c r="J1846" s="151">
        <v>1</v>
      </c>
      <c r="K1846" s="241"/>
      <c r="L1846" s="153"/>
      <c r="M1846" s="154"/>
      <c r="N1846" s="180"/>
      <c r="O1846" s="155"/>
      <c r="P1846" s="156">
        <v>200</v>
      </c>
      <c r="Q1846" s="156">
        <v>200</v>
      </c>
      <c r="R1846" s="156">
        <f t="shared" ref="R1846:X1846" si="624">R1818*0.08</f>
        <v>126.77440000000001</v>
      </c>
      <c r="S1846" s="156">
        <f t="shared" si="624"/>
        <v>0</v>
      </c>
      <c r="T1846" s="156">
        <f t="shared" si="624"/>
        <v>119.69120000000001</v>
      </c>
      <c r="U1846" s="156">
        <v>120</v>
      </c>
      <c r="V1846" s="156">
        <f t="shared" si="624"/>
        <v>149.49120000000002</v>
      </c>
      <c r="W1846" s="156">
        <f t="shared" si="624"/>
        <v>80.461600000000004</v>
      </c>
      <c r="X1846" s="156">
        <f t="shared" si="624"/>
        <v>0</v>
      </c>
      <c r="Y1846" s="156">
        <v>120</v>
      </c>
      <c r="Z1846" s="156">
        <v>120</v>
      </c>
      <c r="AA1846" s="156">
        <v>120</v>
      </c>
      <c r="AB1846" s="158">
        <f>SUM(P1846:AA1846)</f>
        <v>1356.4184</v>
      </c>
      <c r="AC1846" s="159"/>
      <c r="AE1846" s="160" t="str">
        <f t="shared" si="621"/>
        <v>911 -  -  - 1 - (R$/)</v>
      </c>
      <c r="AF1846" s="161">
        <f>IFERROR(VLOOKUP($F1846&amp;"-"&amp;$J1846,#REF!,#REF!+6,0),0)</f>
        <v>0</v>
      </c>
      <c r="AG1846" s="162">
        <f>IFERROR(VLOOKUP($F1846&amp;"-"&amp;$J1846,#REF!,#REF!+6,0),0)</f>
        <v>0</v>
      </c>
      <c r="AH1846" s="162">
        <f>IFERROR(VLOOKUP($F1846&amp;"-"&amp;$J1846,#REF!,#REF!+6,0),0)</f>
        <v>0</v>
      </c>
      <c r="AI1846" s="162">
        <f>IFERROR(VLOOKUP($F1846&amp;"-"&amp;$J1846,#REF!,#REF!+6,0),0)</f>
        <v>0</v>
      </c>
      <c r="AJ1846" s="162">
        <f>IFERROR(VLOOKUP($F1846&amp;"-"&amp;$J1846,#REF!,#REF!+6,0),0)</f>
        <v>0</v>
      </c>
      <c r="AK1846" s="162">
        <f>IFERROR(VLOOKUP($F1846&amp;"-"&amp;$J1846,#REF!,#REF!+6,0),0)</f>
        <v>0</v>
      </c>
      <c r="AL1846" s="162">
        <f>IFERROR(VLOOKUP($F1846&amp;"-"&amp;$J1846,#REF!,#REF!+6,0),0)</f>
        <v>0</v>
      </c>
      <c r="AM1846" s="162">
        <f>IFERROR(VLOOKUP($F1846&amp;"-"&amp;$J1846,#REF!,#REF!+6,0),0)</f>
        <v>0</v>
      </c>
      <c r="AN1846" s="162">
        <f>IFERROR(VLOOKUP($F1846&amp;"-"&amp;$J1846,#REF!,#REF!+6,0),0)</f>
        <v>0</v>
      </c>
      <c r="AO1846" s="162">
        <f>IFERROR(VLOOKUP($F1846&amp;"-"&amp;$J1846,#REF!,#REF!+6,0),0)</f>
        <v>0</v>
      </c>
      <c r="AP1846" s="162">
        <f>IFERROR(VLOOKUP($F1846&amp;"-"&amp;$J1846,#REF!,#REF!+6,0),0)</f>
        <v>0</v>
      </c>
      <c r="AQ1846" s="162">
        <f>IFERROR(VLOOKUP($F1846&amp;"-"&amp;$J1846,#REF!,#REF!+6,0),0)</f>
        <v>0</v>
      </c>
      <c r="AR1846" s="163">
        <f t="shared" si="622"/>
        <v>0</v>
      </c>
    </row>
    <row r="1847" spans="1:44" x14ac:dyDescent="0.25">
      <c r="A1847" s="14"/>
      <c r="B1847" s="15" t="s">
        <v>226</v>
      </c>
      <c r="C1847" s="83" t="str">
        <f t="shared" si="620"/>
        <v>TRATCSP</v>
      </c>
      <c r="E1847" s="14"/>
      <c r="F1847" s="148">
        <v>912</v>
      </c>
      <c r="G1847" s="149" t="str">
        <f>IFERROR(VLOOKUP(F1847,#REF!,2,0),"")</f>
        <v/>
      </c>
      <c r="H1847" s="150" t="str">
        <f>IFERROR(VLOOKUP(F1847,#REF!,3,0),"")</f>
        <v/>
      </c>
      <c r="I1847" s="151" t="s">
        <v>312</v>
      </c>
      <c r="J1847" s="151">
        <v>1</v>
      </c>
      <c r="K1847" s="241"/>
      <c r="L1847" s="153"/>
      <c r="M1847" s="154"/>
      <c r="N1847" s="180"/>
      <c r="O1847" s="155"/>
      <c r="P1847" s="156">
        <v>2500</v>
      </c>
      <c r="Q1847" s="156">
        <v>2000</v>
      </c>
      <c r="R1847" s="156">
        <v>0</v>
      </c>
      <c r="S1847" s="156">
        <v>0</v>
      </c>
      <c r="T1847" s="156">
        <v>0</v>
      </c>
      <c r="U1847" s="156">
        <v>0</v>
      </c>
      <c r="V1847" s="156">
        <v>0</v>
      </c>
      <c r="W1847" s="156">
        <v>0</v>
      </c>
      <c r="X1847" s="156">
        <v>0</v>
      </c>
      <c r="Y1847" s="156">
        <v>0</v>
      </c>
      <c r="Z1847" s="156">
        <v>0</v>
      </c>
      <c r="AA1847" s="156">
        <v>2800</v>
      </c>
      <c r="AB1847" s="158">
        <f t="shared" si="623"/>
        <v>7300</v>
      </c>
      <c r="AC1847" s="159"/>
      <c r="AE1847" s="160" t="str">
        <f t="shared" si="621"/>
        <v>912 -  -  - 1 - (R$/)</v>
      </c>
      <c r="AF1847" s="161">
        <f>IFERROR(VLOOKUP($F1847&amp;"-"&amp;$J1847,#REF!,#REF!+6,0),0)</f>
        <v>0</v>
      </c>
      <c r="AG1847" s="162">
        <f>IFERROR(VLOOKUP($F1847&amp;"-"&amp;$J1847,#REF!,#REF!+6,0),0)</f>
        <v>0</v>
      </c>
      <c r="AH1847" s="162">
        <f>IFERROR(VLOOKUP($F1847&amp;"-"&amp;$J1847,#REF!,#REF!+6,0),0)</f>
        <v>0</v>
      </c>
      <c r="AI1847" s="162">
        <f>IFERROR(VLOOKUP($F1847&amp;"-"&amp;$J1847,#REF!,#REF!+6,0),0)</f>
        <v>0</v>
      </c>
      <c r="AJ1847" s="162">
        <f>IFERROR(VLOOKUP($F1847&amp;"-"&amp;$J1847,#REF!,#REF!+6,0),0)</f>
        <v>0</v>
      </c>
      <c r="AK1847" s="162">
        <f>IFERROR(VLOOKUP($F1847&amp;"-"&amp;$J1847,#REF!,#REF!+6,0),0)</f>
        <v>0</v>
      </c>
      <c r="AL1847" s="162">
        <f>IFERROR(VLOOKUP($F1847&amp;"-"&amp;$J1847,#REF!,#REF!+6,0),0)</f>
        <v>0</v>
      </c>
      <c r="AM1847" s="162">
        <f>IFERROR(VLOOKUP($F1847&amp;"-"&amp;$J1847,#REF!,#REF!+6,0),0)</f>
        <v>0</v>
      </c>
      <c r="AN1847" s="162">
        <f>IFERROR(VLOOKUP($F1847&amp;"-"&amp;$J1847,#REF!,#REF!+6,0),0)</f>
        <v>0</v>
      </c>
      <c r="AO1847" s="162">
        <f>IFERROR(VLOOKUP($F1847&amp;"-"&amp;$J1847,#REF!,#REF!+6,0),0)</f>
        <v>0</v>
      </c>
      <c r="AP1847" s="162">
        <f>IFERROR(VLOOKUP($F1847&amp;"-"&amp;$J1847,#REF!,#REF!+6,0),0)</f>
        <v>0</v>
      </c>
      <c r="AQ1847" s="162">
        <f>IFERROR(VLOOKUP($F1847&amp;"-"&amp;$J1847,#REF!,#REF!+6,0),0)</f>
        <v>0</v>
      </c>
      <c r="AR1847" s="163">
        <f t="shared" si="622"/>
        <v>0</v>
      </c>
    </row>
    <row r="1848" spans="1:44" x14ac:dyDescent="0.25">
      <c r="A1848" s="14"/>
      <c r="B1848" s="15" t="s">
        <v>226</v>
      </c>
      <c r="C1848" s="83">
        <f t="shared" si="620"/>
        <v>0</v>
      </c>
      <c r="E1848" s="14"/>
      <c r="F1848" s="148"/>
      <c r="G1848" s="149" t="str">
        <f>IFERROR(VLOOKUP(F1848,#REF!,2,0),"")</f>
        <v/>
      </c>
      <c r="H1848" s="150" t="str">
        <f>IFERROR(VLOOKUP(F1848,#REF!,3,0),"")</f>
        <v/>
      </c>
      <c r="I1848" s="151"/>
      <c r="J1848" s="151"/>
      <c r="K1848" s="241"/>
      <c r="L1848" s="153"/>
      <c r="M1848" s="154"/>
      <c r="N1848" s="180"/>
      <c r="O1848" s="155"/>
      <c r="P1848" s="156"/>
      <c r="Q1848" s="156"/>
      <c r="R1848" s="156"/>
      <c r="S1848" s="156"/>
      <c r="T1848" s="156"/>
      <c r="U1848" s="156"/>
      <c r="V1848" s="156"/>
      <c r="W1848" s="156"/>
      <c r="X1848" s="156"/>
      <c r="Y1848" s="156"/>
      <c r="Z1848" s="156"/>
      <c r="AA1848" s="156"/>
      <c r="AB1848" s="158">
        <f t="shared" si="623"/>
        <v>0</v>
      </c>
      <c r="AC1848" s="159"/>
      <c r="AE1848" s="160" t="str">
        <f t="shared" si="621"/>
        <v/>
      </c>
      <c r="AF1848" s="161">
        <f>IFERROR(VLOOKUP($F1848&amp;"-"&amp;$J1848,#REF!,#REF!+6,0),0)</f>
        <v>0</v>
      </c>
      <c r="AG1848" s="162">
        <f>IFERROR(VLOOKUP($F1848&amp;"-"&amp;$J1848,#REF!,#REF!+6,0),0)</f>
        <v>0</v>
      </c>
      <c r="AH1848" s="162">
        <f>IFERROR(VLOOKUP($F1848&amp;"-"&amp;$J1848,#REF!,#REF!+6,0),0)</f>
        <v>0</v>
      </c>
      <c r="AI1848" s="162">
        <f>IFERROR(VLOOKUP($F1848&amp;"-"&amp;$J1848,#REF!,#REF!+6,0),0)</f>
        <v>0</v>
      </c>
      <c r="AJ1848" s="162">
        <f>IFERROR(VLOOKUP($F1848&amp;"-"&amp;$J1848,#REF!,#REF!+6,0),0)</f>
        <v>0</v>
      </c>
      <c r="AK1848" s="162">
        <f>IFERROR(VLOOKUP($F1848&amp;"-"&amp;$J1848,#REF!,#REF!+6,0),0)</f>
        <v>0</v>
      </c>
      <c r="AL1848" s="162">
        <f>IFERROR(VLOOKUP($F1848&amp;"-"&amp;$J1848,#REF!,#REF!+6,0),0)</f>
        <v>0</v>
      </c>
      <c r="AM1848" s="162">
        <f>IFERROR(VLOOKUP($F1848&amp;"-"&amp;$J1848,#REF!,#REF!+6,0),0)</f>
        <v>0</v>
      </c>
      <c r="AN1848" s="162">
        <f>IFERROR(VLOOKUP($F1848&amp;"-"&amp;$J1848,#REF!,#REF!+6,0),0)</f>
        <v>0</v>
      </c>
      <c r="AO1848" s="162">
        <f>IFERROR(VLOOKUP($F1848&amp;"-"&amp;$J1848,#REF!,#REF!+6,0),0)</f>
        <v>0</v>
      </c>
      <c r="AP1848" s="162">
        <f>IFERROR(VLOOKUP($F1848&amp;"-"&amp;$J1848,#REF!,#REF!+6,0),0)</f>
        <v>0</v>
      </c>
      <c r="AQ1848" s="162">
        <f>IFERROR(VLOOKUP($F1848&amp;"-"&amp;$J1848,#REF!,#REF!+6,0),0)</f>
        <v>0</v>
      </c>
      <c r="AR1848" s="163">
        <f t="shared" si="622"/>
        <v>0</v>
      </c>
    </row>
    <row r="1849" spans="1:44" x14ac:dyDescent="0.25">
      <c r="A1849" s="14"/>
      <c r="B1849" s="15" t="s">
        <v>226</v>
      </c>
      <c r="C1849" s="83">
        <f t="shared" si="620"/>
        <v>0</v>
      </c>
      <c r="E1849" s="14"/>
      <c r="F1849" s="148"/>
      <c r="G1849" s="149" t="str">
        <f>IFERROR(VLOOKUP(F1849,#REF!,2,0),"")</f>
        <v/>
      </c>
      <c r="H1849" s="150" t="str">
        <f>IFERROR(VLOOKUP(F1849,#REF!,3,0),"")</f>
        <v/>
      </c>
      <c r="I1849" s="151"/>
      <c r="J1849" s="151"/>
      <c r="K1849" s="152"/>
      <c r="L1849" s="153"/>
      <c r="M1849" s="154"/>
      <c r="N1849" s="180"/>
      <c r="O1849" s="155"/>
      <c r="P1849" s="156"/>
      <c r="Q1849" s="156"/>
      <c r="R1849" s="156"/>
      <c r="S1849" s="156"/>
      <c r="T1849" s="156"/>
      <c r="U1849" s="156"/>
      <c r="V1849" s="156"/>
      <c r="W1849" s="156"/>
      <c r="X1849" s="156"/>
      <c r="Y1849" s="156"/>
      <c r="Z1849" s="156"/>
      <c r="AA1849" s="156"/>
      <c r="AB1849" s="158">
        <f t="shared" si="623"/>
        <v>0</v>
      </c>
      <c r="AC1849" s="159"/>
      <c r="AE1849" s="160" t="str">
        <f t="shared" si="621"/>
        <v/>
      </c>
      <c r="AF1849" s="161">
        <f>IFERROR(VLOOKUP($F1849&amp;"-"&amp;$J1849,#REF!,#REF!+6,0),0)</f>
        <v>0</v>
      </c>
      <c r="AG1849" s="162">
        <f>IFERROR(VLOOKUP($F1849&amp;"-"&amp;$J1849,#REF!,#REF!+6,0),0)</f>
        <v>0</v>
      </c>
      <c r="AH1849" s="162">
        <f>IFERROR(VLOOKUP($F1849&amp;"-"&amp;$J1849,#REF!,#REF!+6,0),0)</f>
        <v>0</v>
      </c>
      <c r="AI1849" s="162">
        <f>IFERROR(VLOOKUP($F1849&amp;"-"&amp;$J1849,#REF!,#REF!+6,0),0)</f>
        <v>0</v>
      </c>
      <c r="AJ1849" s="162">
        <f>IFERROR(VLOOKUP($F1849&amp;"-"&amp;$J1849,#REF!,#REF!+6,0),0)</f>
        <v>0</v>
      </c>
      <c r="AK1849" s="162">
        <f>IFERROR(VLOOKUP($F1849&amp;"-"&amp;$J1849,#REF!,#REF!+6,0),0)</f>
        <v>0</v>
      </c>
      <c r="AL1849" s="162">
        <f>IFERROR(VLOOKUP($F1849&amp;"-"&amp;$J1849,#REF!,#REF!+6,0),0)</f>
        <v>0</v>
      </c>
      <c r="AM1849" s="162">
        <f>IFERROR(VLOOKUP($F1849&amp;"-"&amp;$J1849,#REF!,#REF!+6,0),0)</f>
        <v>0</v>
      </c>
      <c r="AN1849" s="162">
        <f>IFERROR(VLOOKUP($F1849&amp;"-"&amp;$J1849,#REF!,#REF!+6,0),0)</f>
        <v>0</v>
      </c>
      <c r="AO1849" s="162">
        <f>IFERROR(VLOOKUP($F1849&amp;"-"&amp;$J1849,#REF!,#REF!+6,0),0)</f>
        <v>0</v>
      </c>
      <c r="AP1849" s="162">
        <f>IFERROR(VLOOKUP($F1849&amp;"-"&amp;$J1849,#REF!,#REF!+6,0),0)</f>
        <v>0</v>
      </c>
      <c r="AQ1849" s="162">
        <f>IFERROR(VLOOKUP($F1849&amp;"-"&amp;$J1849,#REF!,#REF!+6,0),0)</f>
        <v>0</v>
      </c>
      <c r="AR1849" s="163">
        <f t="shared" si="622"/>
        <v>0</v>
      </c>
    </row>
    <row r="1850" spans="1:44" x14ac:dyDescent="0.25">
      <c r="A1850" s="14"/>
      <c r="B1850" s="15" t="s">
        <v>226</v>
      </c>
      <c r="C1850" s="83">
        <f t="shared" si="620"/>
        <v>0</v>
      </c>
      <c r="E1850" s="14"/>
      <c r="F1850" s="148"/>
      <c r="G1850" s="149" t="str">
        <f>IFERROR(VLOOKUP(F1850,#REF!,2,0),"")</f>
        <v/>
      </c>
      <c r="H1850" s="150" t="str">
        <f>IFERROR(VLOOKUP(F1850,#REF!,3,0),"")</f>
        <v/>
      </c>
      <c r="I1850" s="151"/>
      <c r="J1850" s="151"/>
      <c r="K1850" s="152"/>
      <c r="L1850" s="153"/>
      <c r="M1850" s="154"/>
      <c r="N1850" s="180"/>
      <c r="O1850" s="155"/>
      <c r="P1850" s="156"/>
      <c r="Q1850" s="156"/>
      <c r="R1850" s="156"/>
      <c r="S1850" s="156"/>
      <c r="T1850" s="156"/>
      <c r="U1850" s="156"/>
      <c r="V1850" s="156"/>
      <c r="W1850" s="156"/>
      <c r="X1850" s="156"/>
      <c r="Y1850" s="156"/>
      <c r="Z1850" s="156"/>
      <c r="AA1850" s="156"/>
      <c r="AB1850" s="158">
        <f t="shared" si="623"/>
        <v>0</v>
      </c>
      <c r="AC1850" s="159"/>
      <c r="AE1850" s="160" t="str">
        <f t="shared" si="621"/>
        <v/>
      </c>
      <c r="AF1850" s="161">
        <f>IFERROR(VLOOKUP($F1850&amp;"-"&amp;$J1850,#REF!,#REF!+6,0),0)</f>
        <v>0</v>
      </c>
      <c r="AG1850" s="162">
        <f>IFERROR(VLOOKUP($F1850&amp;"-"&amp;$J1850,#REF!,#REF!+6,0),0)</f>
        <v>0</v>
      </c>
      <c r="AH1850" s="162">
        <f>IFERROR(VLOOKUP($F1850&amp;"-"&amp;$J1850,#REF!,#REF!+6,0),0)</f>
        <v>0</v>
      </c>
      <c r="AI1850" s="162">
        <f>IFERROR(VLOOKUP($F1850&amp;"-"&amp;$J1850,#REF!,#REF!+6,0),0)</f>
        <v>0</v>
      </c>
      <c r="AJ1850" s="162">
        <f>IFERROR(VLOOKUP($F1850&amp;"-"&amp;$J1850,#REF!,#REF!+6,0),0)</f>
        <v>0</v>
      </c>
      <c r="AK1850" s="162">
        <f>IFERROR(VLOOKUP($F1850&amp;"-"&amp;$J1850,#REF!,#REF!+6,0),0)</f>
        <v>0</v>
      </c>
      <c r="AL1850" s="162">
        <f>IFERROR(VLOOKUP($F1850&amp;"-"&amp;$J1850,#REF!,#REF!+6,0),0)</f>
        <v>0</v>
      </c>
      <c r="AM1850" s="162">
        <f>IFERROR(VLOOKUP($F1850&amp;"-"&amp;$J1850,#REF!,#REF!+6,0),0)</f>
        <v>0</v>
      </c>
      <c r="AN1850" s="162">
        <f>IFERROR(VLOOKUP($F1850&amp;"-"&amp;$J1850,#REF!,#REF!+6,0),0)</f>
        <v>0</v>
      </c>
      <c r="AO1850" s="162">
        <f>IFERROR(VLOOKUP($F1850&amp;"-"&amp;$J1850,#REF!,#REF!+6,0),0)</f>
        <v>0</v>
      </c>
      <c r="AP1850" s="162">
        <f>IFERROR(VLOOKUP($F1850&amp;"-"&amp;$J1850,#REF!,#REF!+6,0),0)</f>
        <v>0</v>
      </c>
      <c r="AQ1850" s="162">
        <f>IFERROR(VLOOKUP($F1850&amp;"-"&amp;$J1850,#REF!,#REF!+6,0),0)</f>
        <v>0</v>
      </c>
      <c r="AR1850" s="163">
        <f t="shared" si="622"/>
        <v>0</v>
      </c>
    </row>
    <row r="1851" spans="1:44" x14ac:dyDescent="0.25">
      <c r="A1851" s="14"/>
      <c r="B1851" s="15" t="s">
        <v>226</v>
      </c>
      <c r="C1851" s="83">
        <f t="shared" si="620"/>
        <v>0</v>
      </c>
      <c r="E1851" s="14"/>
      <c r="F1851" s="148"/>
      <c r="G1851" s="149" t="str">
        <f>IFERROR(VLOOKUP(F1851,#REF!,2,0),"")</f>
        <v/>
      </c>
      <c r="H1851" s="150" t="str">
        <f>IFERROR(VLOOKUP(F1851,#REF!,3,0),"")</f>
        <v/>
      </c>
      <c r="I1851" s="151"/>
      <c r="J1851" s="151"/>
      <c r="K1851" s="241"/>
      <c r="L1851" s="153"/>
      <c r="M1851" s="154"/>
      <c r="N1851" s="180"/>
      <c r="O1851" s="155"/>
      <c r="P1851" s="156"/>
      <c r="Q1851" s="156"/>
      <c r="R1851" s="156"/>
      <c r="S1851" s="156"/>
      <c r="T1851" s="156"/>
      <c r="U1851" s="156"/>
      <c r="V1851" s="156"/>
      <c r="W1851" s="156"/>
      <c r="X1851" s="156"/>
      <c r="Y1851" s="156"/>
      <c r="Z1851" s="156"/>
      <c r="AA1851" s="156"/>
      <c r="AB1851" s="158">
        <f t="shared" si="623"/>
        <v>0</v>
      </c>
      <c r="AC1851" s="159"/>
      <c r="AE1851" s="160" t="str">
        <f t="shared" si="621"/>
        <v/>
      </c>
      <c r="AF1851" s="161">
        <f>IFERROR(VLOOKUP($F1851&amp;"-"&amp;$J1851,#REF!,#REF!+6,0),0)</f>
        <v>0</v>
      </c>
      <c r="AG1851" s="162">
        <f>IFERROR(VLOOKUP($F1851&amp;"-"&amp;$J1851,#REF!,#REF!+6,0),0)</f>
        <v>0</v>
      </c>
      <c r="AH1851" s="162">
        <f>IFERROR(VLOOKUP($F1851&amp;"-"&amp;$J1851,#REF!,#REF!+6,0),0)</f>
        <v>0</v>
      </c>
      <c r="AI1851" s="162">
        <f>IFERROR(VLOOKUP($F1851&amp;"-"&amp;$J1851,#REF!,#REF!+6,0),0)</f>
        <v>0</v>
      </c>
      <c r="AJ1851" s="162">
        <f>IFERROR(VLOOKUP($F1851&amp;"-"&amp;$J1851,#REF!,#REF!+6,0),0)</f>
        <v>0</v>
      </c>
      <c r="AK1851" s="162">
        <f>IFERROR(VLOOKUP($F1851&amp;"-"&amp;$J1851,#REF!,#REF!+6,0),0)</f>
        <v>0</v>
      </c>
      <c r="AL1851" s="162">
        <f>IFERROR(VLOOKUP($F1851&amp;"-"&amp;$J1851,#REF!,#REF!+6,0),0)</f>
        <v>0</v>
      </c>
      <c r="AM1851" s="162">
        <f>IFERROR(VLOOKUP($F1851&amp;"-"&amp;$J1851,#REF!,#REF!+6,0),0)</f>
        <v>0</v>
      </c>
      <c r="AN1851" s="162">
        <f>IFERROR(VLOOKUP($F1851&amp;"-"&amp;$J1851,#REF!,#REF!+6,0),0)</f>
        <v>0</v>
      </c>
      <c r="AO1851" s="162">
        <f>IFERROR(VLOOKUP($F1851&amp;"-"&amp;$J1851,#REF!,#REF!+6,0),0)</f>
        <v>0</v>
      </c>
      <c r="AP1851" s="162">
        <f>IFERROR(VLOOKUP($F1851&amp;"-"&amp;$J1851,#REF!,#REF!+6,0),0)</f>
        <v>0</v>
      </c>
      <c r="AQ1851" s="162">
        <f>IFERROR(VLOOKUP($F1851&amp;"-"&amp;$J1851,#REF!,#REF!+6,0),0)</f>
        <v>0</v>
      </c>
      <c r="AR1851" s="163">
        <f t="shared" si="622"/>
        <v>0</v>
      </c>
    </row>
    <row r="1852" spans="1:44" x14ac:dyDescent="0.25">
      <c r="A1852" s="14"/>
      <c r="B1852" s="15" t="s">
        <v>226</v>
      </c>
      <c r="C1852" s="83">
        <f t="shared" si="620"/>
        <v>0</v>
      </c>
      <c r="E1852" s="14"/>
      <c r="F1852" s="148"/>
      <c r="G1852" s="149" t="str">
        <f>IFERROR(VLOOKUP(F1852,#REF!,2,0),"")</f>
        <v/>
      </c>
      <c r="H1852" s="150" t="str">
        <f>IFERROR(VLOOKUP(F1852,#REF!,3,0),"")</f>
        <v/>
      </c>
      <c r="I1852" s="151"/>
      <c r="J1852" s="151"/>
      <c r="K1852" s="152"/>
      <c r="L1852" s="153"/>
      <c r="M1852" s="154"/>
      <c r="N1852" s="180"/>
      <c r="O1852" s="155"/>
      <c r="P1852" s="156"/>
      <c r="Q1852" s="156"/>
      <c r="R1852" s="156"/>
      <c r="S1852" s="156"/>
      <c r="T1852" s="156"/>
      <c r="U1852" s="156"/>
      <c r="V1852" s="156"/>
      <c r="W1852" s="156"/>
      <c r="X1852" s="235"/>
      <c r="Y1852" s="156"/>
      <c r="Z1852" s="156"/>
      <c r="AA1852" s="156"/>
      <c r="AB1852" s="158">
        <f>SUM(P1852:AA1852)</f>
        <v>0</v>
      </c>
      <c r="AC1852" s="159"/>
      <c r="AE1852" s="160" t="str">
        <f t="shared" si="621"/>
        <v/>
      </c>
      <c r="AF1852" s="161">
        <f>IFERROR(VLOOKUP($F1852&amp;"-"&amp;$J1852,#REF!,#REF!+6,0),0)</f>
        <v>0</v>
      </c>
      <c r="AG1852" s="162">
        <f>IFERROR(VLOOKUP($F1852&amp;"-"&amp;$J1852,#REF!,#REF!+6,0),0)</f>
        <v>0</v>
      </c>
      <c r="AH1852" s="162">
        <f>IFERROR(VLOOKUP($F1852&amp;"-"&amp;$J1852,#REF!,#REF!+6,0),0)</f>
        <v>0</v>
      </c>
      <c r="AI1852" s="162">
        <f>IFERROR(VLOOKUP($F1852&amp;"-"&amp;$J1852,#REF!,#REF!+6,0),0)</f>
        <v>0</v>
      </c>
      <c r="AJ1852" s="162">
        <f>IFERROR(VLOOKUP($F1852&amp;"-"&amp;$J1852,#REF!,#REF!+6,0),0)</f>
        <v>0</v>
      </c>
      <c r="AK1852" s="162">
        <f>IFERROR(VLOOKUP($F1852&amp;"-"&amp;$J1852,#REF!,#REF!+6,0),0)</f>
        <v>0</v>
      </c>
      <c r="AL1852" s="162">
        <f>IFERROR(VLOOKUP($F1852&amp;"-"&amp;$J1852,#REF!,#REF!+6,0),0)</f>
        <v>0</v>
      </c>
      <c r="AM1852" s="162">
        <f>IFERROR(VLOOKUP($F1852&amp;"-"&amp;$J1852,#REF!,#REF!+6,0),0)</f>
        <v>0</v>
      </c>
      <c r="AN1852" s="162">
        <f>IFERROR(VLOOKUP($F1852&amp;"-"&amp;$J1852,#REF!,#REF!+6,0),0)</f>
        <v>0</v>
      </c>
      <c r="AO1852" s="162">
        <f>IFERROR(VLOOKUP($F1852&amp;"-"&amp;$J1852,#REF!,#REF!+6,0),0)</f>
        <v>0</v>
      </c>
      <c r="AP1852" s="162">
        <f>IFERROR(VLOOKUP($F1852&amp;"-"&amp;$J1852,#REF!,#REF!+6,0),0)</f>
        <v>0</v>
      </c>
      <c r="AQ1852" s="162">
        <f>IFERROR(VLOOKUP($F1852&amp;"-"&amp;$J1852,#REF!,#REF!+6,0),0)</f>
        <v>0</v>
      </c>
      <c r="AR1852" s="163">
        <f t="shared" si="622"/>
        <v>0</v>
      </c>
    </row>
    <row r="1853" spans="1:44" x14ac:dyDescent="0.25">
      <c r="A1853" s="14"/>
      <c r="B1853" s="15" t="s">
        <v>226</v>
      </c>
      <c r="C1853" s="83">
        <f t="shared" si="620"/>
        <v>0</v>
      </c>
      <c r="E1853" s="14"/>
      <c r="F1853" s="148"/>
      <c r="G1853" s="149" t="str">
        <f>IFERROR(VLOOKUP(F1853,#REF!,2,0),"")</f>
        <v/>
      </c>
      <c r="H1853" s="150" t="str">
        <f>IFERROR(VLOOKUP(F1853,#REF!,3,0),"")</f>
        <v/>
      </c>
      <c r="I1853" s="151"/>
      <c r="J1853" s="151"/>
      <c r="K1853" s="152"/>
      <c r="L1853" s="153"/>
      <c r="M1853" s="154"/>
      <c r="N1853" s="180"/>
      <c r="O1853" s="155"/>
      <c r="P1853" s="156"/>
      <c r="Q1853" s="156"/>
      <c r="R1853" s="156"/>
      <c r="S1853" s="156"/>
      <c r="T1853" s="156"/>
      <c r="U1853" s="156"/>
      <c r="V1853" s="156"/>
      <c r="W1853" s="156"/>
      <c r="X1853" s="156"/>
      <c r="Y1853" s="156"/>
      <c r="Z1853" s="156"/>
      <c r="AA1853" s="156"/>
      <c r="AB1853" s="158">
        <f t="shared" si="623"/>
        <v>0</v>
      </c>
      <c r="AC1853" s="159"/>
      <c r="AE1853" s="160" t="str">
        <f t="shared" si="621"/>
        <v/>
      </c>
      <c r="AF1853" s="161">
        <f>IFERROR(VLOOKUP($F1853&amp;"-"&amp;$J1853,#REF!,#REF!+6,0),0)</f>
        <v>0</v>
      </c>
      <c r="AG1853" s="162">
        <f>IFERROR(VLOOKUP($F1853&amp;"-"&amp;$J1853,#REF!,#REF!+6,0),0)</f>
        <v>0</v>
      </c>
      <c r="AH1853" s="162">
        <f>IFERROR(VLOOKUP($F1853&amp;"-"&amp;$J1853,#REF!,#REF!+6,0),0)</f>
        <v>0</v>
      </c>
      <c r="AI1853" s="162">
        <f>IFERROR(VLOOKUP($F1853&amp;"-"&amp;$J1853,#REF!,#REF!+6,0),0)</f>
        <v>0</v>
      </c>
      <c r="AJ1853" s="162">
        <f>IFERROR(VLOOKUP($F1853&amp;"-"&amp;$J1853,#REF!,#REF!+6,0),0)</f>
        <v>0</v>
      </c>
      <c r="AK1853" s="162">
        <f>IFERROR(VLOOKUP($F1853&amp;"-"&amp;$J1853,#REF!,#REF!+6,0),0)</f>
        <v>0</v>
      </c>
      <c r="AL1853" s="162">
        <f>IFERROR(VLOOKUP($F1853&amp;"-"&amp;$J1853,#REF!,#REF!+6,0),0)</f>
        <v>0</v>
      </c>
      <c r="AM1853" s="162">
        <f>IFERROR(VLOOKUP($F1853&amp;"-"&amp;$J1853,#REF!,#REF!+6,0),0)</f>
        <v>0</v>
      </c>
      <c r="AN1853" s="162">
        <f>IFERROR(VLOOKUP($F1853&amp;"-"&amp;$J1853,#REF!,#REF!+6,0),0)</f>
        <v>0</v>
      </c>
      <c r="AO1853" s="162">
        <f>IFERROR(VLOOKUP($F1853&amp;"-"&amp;$J1853,#REF!,#REF!+6,0),0)</f>
        <v>0</v>
      </c>
      <c r="AP1853" s="162">
        <f>IFERROR(VLOOKUP($F1853&amp;"-"&amp;$J1853,#REF!,#REF!+6,0),0)</f>
        <v>0</v>
      </c>
      <c r="AQ1853" s="162">
        <f>IFERROR(VLOOKUP($F1853&amp;"-"&amp;$J1853,#REF!,#REF!+6,0),0)</f>
        <v>0</v>
      </c>
      <c r="AR1853" s="163">
        <f t="shared" si="622"/>
        <v>0</v>
      </c>
    </row>
    <row r="1854" spans="1:44" x14ac:dyDescent="0.25">
      <c r="A1854" s="14"/>
      <c r="B1854" s="15" t="s">
        <v>226</v>
      </c>
      <c r="C1854" s="83">
        <f t="shared" si="620"/>
        <v>0</v>
      </c>
      <c r="E1854" s="14"/>
      <c r="F1854" s="148"/>
      <c r="G1854" s="149" t="str">
        <f>IFERROR(VLOOKUP(F1854,#REF!,2,0),"")</f>
        <v/>
      </c>
      <c r="H1854" s="150" t="str">
        <f>IFERROR(VLOOKUP(F1854,#REF!,3,0),"")</f>
        <v/>
      </c>
      <c r="I1854" s="151"/>
      <c r="J1854" s="151"/>
      <c r="K1854" s="152"/>
      <c r="L1854" s="153"/>
      <c r="M1854" s="154"/>
      <c r="N1854" s="180"/>
      <c r="O1854" s="155"/>
      <c r="P1854" s="156"/>
      <c r="Q1854" s="156"/>
      <c r="R1854" s="156"/>
      <c r="S1854" s="156"/>
      <c r="T1854" s="156"/>
      <c r="U1854" s="156"/>
      <c r="V1854" s="156"/>
      <c r="W1854" s="156"/>
      <c r="X1854" s="156"/>
      <c r="Y1854" s="156"/>
      <c r="Z1854" s="156"/>
      <c r="AA1854" s="156"/>
      <c r="AB1854" s="158">
        <f t="shared" si="623"/>
        <v>0</v>
      </c>
      <c r="AC1854" s="159"/>
      <c r="AE1854" s="160" t="str">
        <f t="shared" si="621"/>
        <v/>
      </c>
      <c r="AF1854" s="161">
        <f>IFERROR(VLOOKUP($F1854&amp;"-"&amp;$J1854,#REF!,#REF!+6,0),0)</f>
        <v>0</v>
      </c>
      <c r="AG1854" s="162">
        <f>IFERROR(VLOOKUP($F1854&amp;"-"&amp;$J1854,#REF!,#REF!+6,0),0)</f>
        <v>0</v>
      </c>
      <c r="AH1854" s="162">
        <f>IFERROR(VLOOKUP($F1854&amp;"-"&amp;$J1854,#REF!,#REF!+6,0),0)</f>
        <v>0</v>
      </c>
      <c r="AI1854" s="162">
        <f>IFERROR(VLOOKUP($F1854&amp;"-"&amp;$J1854,#REF!,#REF!+6,0),0)</f>
        <v>0</v>
      </c>
      <c r="AJ1854" s="162">
        <f>IFERROR(VLOOKUP($F1854&amp;"-"&amp;$J1854,#REF!,#REF!+6,0),0)</f>
        <v>0</v>
      </c>
      <c r="AK1854" s="162">
        <f>IFERROR(VLOOKUP($F1854&amp;"-"&amp;$J1854,#REF!,#REF!+6,0),0)</f>
        <v>0</v>
      </c>
      <c r="AL1854" s="162">
        <f>IFERROR(VLOOKUP($F1854&amp;"-"&amp;$J1854,#REF!,#REF!+6,0),0)</f>
        <v>0</v>
      </c>
      <c r="AM1854" s="162">
        <f>IFERROR(VLOOKUP($F1854&amp;"-"&amp;$J1854,#REF!,#REF!+6,0),0)</f>
        <v>0</v>
      </c>
      <c r="AN1854" s="162">
        <f>IFERROR(VLOOKUP($F1854&amp;"-"&amp;$J1854,#REF!,#REF!+6,0),0)</f>
        <v>0</v>
      </c>
      <c r="AO1854" s="162">
        <f>IFERROR(VLOOKUP($F1854&amp;"-"&amp;$J1854,#REF!,#REF!+6,0),0)</f>
        <v>0</v>
      </c>
      <c r="AP1854" s="162">
        <f>IFERROR(VLOOKUP($F1854&amp;"-"&amp;$J1854,#REF!,#REF!+6,0),0)</f>
        <v>0</v>
      </c>
      <c r="AQ1854" s="162">
        <f>IFERROR(VLOOKUP($F1854&amp;"-"&amp;$J1854,#REF!,#REF!+6,0),0)</f>
        <v>0</v>
      </c>
      <c r="AR1854" s="163">
        <f t="shared" si="622"/>
        <v>0</v>
      </c>
    </row>
    <row r="1855" spans="1:44" x14ac:dyDescent="0.25">
      <c r="A1855" s="14"/>
      <c r="B1855" s="15" t="s">
        <v>226</v>
      </c>
      <c r="C1855" s="83">
        <f t="shared" si="620"/>
        <v>0</v>
      </c>
      <c r="E1855" s="14"/>
      <c r="F1855" s="148"/>
      <c r="G1855" s="149" t="str">
        <f>IFERROR(VLOOKUP(F1855,#REF!,2,0),"")</f>
        <v/>
      </c>
      <c r="H1855" s="150" t="str">
        <f>IFERROR(VLOOKUP(F1855,#REF!,3,0),"")</f>
        <v/>
      </c>
      <c r="I1855" s="151"/>
      <c r="J1855" s="151"/>
      <c r="K1855" s="152"/>
      <c r="L1855" s="153"/>
      <c r="M1855" s="154"/>
      <c r="N1855" s="180"/>
      <c r="O1855" s="155"/>
      <c r="P1855" s="156"/>
      <c r="Q1855" s="156"/>
      <c r="R1855" s="156"/>
      <c r="S1855" s="156"/>
      <c r="T1855" s="156"/>
      <c r="U1855" s="156"/>
      <c r="V1855" s="156"/>
      <c r="W1855" s="156"/>
      <c r="X1855" s="156"/>
      <c r="Y1855" s="156"/>
      <c r="Z1855" s="156"/>
      <c r="AA1855" s="156"/>
      <c r="AB1855" s="158">
        <f t="shared" si="623"/>
        <v>0</v>
      </c>
      <c r="AC1855" s="159"/>
      <c r="AE1855" s="160" t="str">
        <f t="shared" si="621"/>
        <v/>
      </c>
      <c r="AF1855" s="161">
        <f>IFERROR(VLOOKUP($F1855&amp;"-"&amp;$J1855,#REF!,#REF!+6,0),0)</f>
        <v>0</v>
      </c>
      <c r="AG1855" s="162">
        <f>IFERROR(VLOOKUP($F1855&amp;"-"&amp;$J1855,#REF!,#REF!+6,0),0)</f>
        <v>0</v>
      </c>
      <c r="AH1855" s="162">
        <f>IFERROR(VLOOKUP($F1855&amp;"-"&amp;$J1855,#REF!,#REF!+6,0),0)</f>
        <v>0</v>
      </c>
      <c r="AI1855" s="162">
        <f>IFERROR(VLOOKUP($F1855&amp;"-"&amp;$J1855,#REF!,#REF!+6,0),0)</f>
        <v>0</v>
      </c>
      <c r="AJ1855" s="162">
        <f>IFERROR(VLOOKUP($F1855&amp;"-"&amp;$J1855,#REF!,#REF!+6,0),0)</f>
        <v>0</v>
      </c>
      <c r="AK1855" s="162">
        <f>IFERROR(VLOOKUP($F1855&amp;"-"&amp;$J1855,#REF!,#REF!+6,0),0)</f>
        <v>0</v>
      </c>
      <c r="AL1855" s="162">
        <f>IFERROR(VLOOKUP($F1855&amp;"-"&amp;$J1855,#REF!,#REF!+6,0),0)</f>
        <v>0</v>
      </c>
      <c r="AM1855" s="162">
        <f>IFERROR(VLOOKUP($F1855&amp;"-"&amp;$J1855,#REF!,#REF!+6,0),0)</f>
        <v>0</v>
      </c>
      <c r="AN1855" s="162">
        <f>IFERROR(VLOOKUP($F1855&amp;"-"&amp;$J1855,#REF!,#REF!+6,0),0)</f>
        <v>0</v>
      </c>
      <c r="AO1855" s="162">
        <f>IFERROR(VLOOKUP($F1855&amp;"-"&amp;$J1855,#REF!,#REF!+6,0),0)</f>
        <v>0</v>
      </c>
      <c r="AP1855" s="162">
        <f>IFERROR(VLOOKUP($F1855&amp;"-"&amp;$J1855,#REF!,#REF!+6,0),0)</f>
        <v>0</v>
      </c>
      <c r="AQ1855" s="162">
        <f>IFERROR(VLOOKUP($F1855&amp;"-"&amp;$J1855,#REF!,#REF!+6,0),0)</f>
        <v>0</v>
      </c>
      <c r="AR1855" s="163">
        <f t="shared" si="622"/>
        <v>0</v>
      </c>
    </row>
    <row r="1856" spans="1:44" x14ac:dyDescent="0.25">
      <c r="A1856" s="14"/>
      <c r="B1856" s="15" t="s">
        <v>226</v>
      </c>
      <c r="C1856" s="83">
        <f t="shared" si="620"/>
        <v>0</v>
      </c>
      <c r="E1856" s="14"/>
      <c r="F1856" s="148"/>
      <c r="G1856" s="149" t="str">
        <f>IFERROR(VLOOKUP(F1856,#REF!,2,0),"")</f>
        <v/>
      </c>
      <c r="H1856" s="150" t="str">
        <f>IFERROR(VLOOKUP(F1856,#REF!,3,0),"")</f>
        <v/>
      </c>
      <c r="I1856" s="151"/>
      <c r="J1856" s="151"/>
      <c r="K1856" s="152"/>
      <c r="L1856" s="153"/>
      <c r="M1856" s="154"/>
      <c r="N1856" s="180"/>
      <c r="O1856" s="155"/>
      <c r="P1856" s="156"/>
      <c r="Q1856" s="156"/>
      <c r="R1856" s="156"/>
      <c r="S1856" s="156"/>
      <c r="T1856" s="156"/>
      <c r="U1856" s="156"/>
      <c r="V1856" s="156"/>
      <c r="W1856" s="156"/>
      <c r="X1856" s="156"/>
      <c r="Y1856" s="156"/>
      <c r="Z1856" s="156"/>
      <c r="AA1856" s="156"/>
      <c r="AB1856" s="158">
        <f t="shared" si="623"/>
        <v>0</v>
      </c>
      <c r="AC1856" s="159"/>
      <c r="AE1856" s="160" t="str">
        <f t="shared" si="621"/>
        <v/>
      </c>
      <c r="AF1856" s="161">
        <f>IFERROR(VLOOKUP($F1856&amp;"-"&amp;$J1856,#REF!,#REF!+6,0),0)</f>
        <v>0</v>
      </c>
      <c r="AG1856" s="162">
        <f>IFERROR(VLOOKUP($F1856&amp;"-"&amp;$J1856,#REF!,#REF!+6,0),0)</f>
        <v>0</v>
      </c>
      <c r="AH1856" s="162">
        <f>IFERROR(VLOOKUP($F1856&amp;"-"&amp;$J1856,#REF!,#REF!+6,0),0)</f>
        <v>0</v>
      </c>
      <c r="AI1856" s="162">
        <f>IFERROR(VLOOKUP($F1856&amp;"-"&amp;$J1856,#REF!,#REF!+6,0),0)</f>
        <v>0</v>
      </c>
      <c r="AJ1856" s="162">
        <f>IFERROR(VLOOKUP($F1856&amp;"-"&amp;$J1856,#REF!,#REF!+6,0),0)</f>
        <v>0</v>
      </c>
      <c r="AK1856" s="162">
        <f>IFERROR(VLOOKUP($F1856&amp;"-"&amp;$J1856,#REF!,#REF!+6,0),0)</f>
        <v>0</v>
      </c>
      <c r="AL1856" s="162">
        <f>IFERROR(VLOOKUP($F1856&amp;"-"&amp;$J1856,#REF!,#REF!+6,0),0)</f>
        <v>0</v>
      </c>
      <c r="AM1856" s="162">
        <f>IFERROR(VLOOKUP($F1856&amp;"-"&amp;$J1856,#REF!,#REF!+6,0),0)</f>
        <v>0</v>
      </c>
      <c r="AN1856" s="162">
        <f>IFERROR(VLOOKUP($F1856&amp;"-"&amp;$J1856,#REF!,#REF!+6,0),0)</f>
        <v>0</v>
      </c>
      <c r="AO1856" s="162">
        <f>IFERROR(VLOOKUP($F1856&amp;"-"&amp;$J1856,#REF!,#REF!+6,0),0)</f>
        <v>0</v>
      </c>
      <c r="AP1856" s="162">
        <f>IFERROR(VLOOKUP($F1856&amp;"-"&amp;$J1856,#REF!,#REF!+6,0),0)</f>
        <v>0</v>
      </c>
      <c r="AQ1856" s="162">
        <f>IFERROR(VLOOKUP($F1856&amp;"-"&amp;$J1856,#REF!,#REF!+6,0),0)</f>
        <v>0</v>
      </c>
      <c r="AR1856" s="163">
        <f t="shared" si="622"/>
        <v>0</v>
      </c>
    </row>
    <row r="1857" spans="1:44" x14ac:dyDescent="0.25">
      <c r="A1857" s="14"/>
      <c r="B1857" s="15" t="s">
        <v>226</v>
      </c>
      <c r="C1857" s="83">
        <f t="shared" si="620"/>
        <v>0</v>
      </c>
      <c r="E1857" s="14"/>
      <c r="F1857" s="148"/>
      <c r="G1857" s="149" t="str">
        <f>IFERROR(VLOOKUP(F1857,#REF!,2,0),"")</f>
        <v/>
      </c>
      <c r="H1857" s="150" t="str">
        <f>IFERROR(VLOOKUP(F1857,#REF!,3,0),"")</f>
        <v/>
      </c>
      <c r="I1857" s="151"/>
      <c r="J1857" s="151"/>
      <c r="K1857" s="152"/>
      <c r="L1857" s="153"/>
      <c r="M1857" s="154"/>
      <c r="N1857" s="180"/>
      <c r="O1857" s="155"/>
      <c r="P1857" s="156"/>
      <c r="Q1857" s="156"/>
      <c r="R1857" s="156"/>
      <c r="S1857" s="156"/>
      <c r="T1857" s="156"/>
      <c r="U1857" s="156"/>
      <c r="V1857" s="156"/>
      <c r="W1857" s="156"/>
      <c r="X1857" s="156"/>
      <c r="Y1857" s="156"/>
      <c r="Z1857" s="156"/>
      <c r="AA1857" s="156"/>
      <c r="AB1857" s="158">
        <f t="shared" si="623"/>
        <v>0</v>
      </c>
      <c r="AC1857" s="159"/>
      <c r="AE1857" s="160" t="str">
        <f t="shared" si="621"/>
        <v/>
      </c>
      <c r="AF1857" s="161">
        <f>IFERROR(VLOOKUP($F1857&amp;"-"&amp;$J1857,#REF!,#REF!+6,0),0)</f>
        <v>0</v>
      </c>
      <c r="AG1857" s="162">
        <f>IFERROR(VLOOKUP($F1857&amp;"-"&amp;$J1857,#REF!,#REF!+6,0),0)</f>
        <v>0</v>
      </c>
      <c r="AH1857" s="162">
        <f>IFERROR(VLOOKUP($F1857&amp;"-"&amp;$J1857,#REF!,#REF!+6,0),0)</f>
        <v>0</v>
      </c>
      <c r="AI1857" s="162">
        <f>IFERROR(VLOOKUP($F1857&amp;"-"&amp;$J1857,#REF!,#REF!+6,0),0)</f>
        <v>0</v>
      </c>
      <c r="AJ1857" s="162">
        <f>IFERROR(VLOOKUP($F1857&amp;"-"&amp;$J1857,#REF!,#REF!+6,0),0)</f>
        <v>0</v>
      </c>
      <c r="AK1857" s="162">
        <f>IFERROR(VLOOKUP($F1857&amp;"-"&amp;$J1857,#REF!,#REF!+6,0),0)</f>
        <v>0</v>
      </c>
      <c r="AL1857" s="162">
        <f>IFERROR(VLOOKUP($F1857&amp;"-"&amp;$J1857,#REF!,#REF!+6,0),0)</f>
        <v>0</v>
      </c>
      <c r="AM1857" s="162">
        <f>IFERROR(VLOOKUP($F1857&amp;"-"&amp;$J1857,#REF!,#REF!+6,0),0)</f>
        <v>0</v>
      </c>
      <c r="AN1857" s="162">
        <f>IFERROR(VLOOKUP($F1857&amp;"-"&amp;$J1857,#REF!,#REF!+6,0),0)</f>
        <v>0</v>
      </c>
      <c r="AO1857" s="162">
        <f>IFERROR(VLOOKUP($F1857&amp;"-"&amp;$J1857,#REF!,#REF!+6,0),0)</f>
        <v>0</v>
      </c>
      <c r="AP1857" s="162">
        <f>IFERROR(VLOOKUP($F1857&amp;"-"&amp;$J1857,#REF!,#REF!+6,0),0)</f>
        <v>0</v>
      </c>
      <c r="AQ1857" s="162">
        <f>IFERROR(VLOOKUP($F1857&amp;"-"&amp;$J1857,#REF!,#REF!+6,0),0)</f>
        <v>0</v>
      </c>
      <c r="AR1857" s="163">
        <f t="shared" si="622"/>
        <v>0</v>
      </c>
    </row>
    <row r="1858" spans="1:44" x14ac:dyDescent="0.25">
      <c r="A1858" s="14"/>
      <c r="B1858" s="15" t="s">
        <v>226</v>
      </c>
      <c r="C1858" s="83">
        <f t="shared" si="620"/>
        <v>0</v>
      </c>
      <c r="E1858" s="14"/>
      <c r="F1858" s="148"/>
      <c r="G1858" s="149" t="str">
        <f>IFERROR(VLOOKUP(F1858,#REF!,2,0),"")</f>
        <v/>
      </c>
      <c r="H1858" s="150" t="str">
        <f>IFERROR(VLOOKUP(F1858,#REF!,3,0),"")</f>
        <v/>
      </c>
      <c r="I1858" s="151"/>
      <c r="J1858" s="151"/>
      <c r="K1858" s="152"/>
      <c r="L1858" s="153"/>
      <c r="M1858" s="154"/>
      <c r="N1858" s="180"/>
      <c r="O1858" s="155"/>
      <c r="P1858" s="156"/>
      <c r="Q1858" s="156"/>
      <c r="R1858" s="156"/>
      <c r="S1858" s="156"/>
      <c r="T1858" s="156"/>
      <c r="U1858" s="156"/>
      <c r="V1858" s="156"/>
      <c r="W1858" s="156"/>
      <c r="X1858" s="156"/>
      <c r="Y1858" s="156"/>
      <c r="Z1858" s="156"/>
      <c r="AA1858" s="156"/>
      <c r="AB1858" s="158">
        <f t="shared" si="623"/>
        <v>0</v>
      </c>
      <c r="AC1858" s="159"/>
      <c r="AE1858" s="160" t="str">
        <f t="shared" si="621"/>
        <v/>
      </c>
      <c r="AF1858" s="161">
        <f>IFERROR(VLOOKUP($F1858&amp;"-"&amp;$J1858,#REF!,#REF!+6,0),0)</f>
        <v>0</v>
      </c>
      <c r="AG1858" s="162">
        <f>IFERROR(VLOOKUP($F1858&amp;"-"&amp;$J1858,#REF!,#REF!+6,0),0)</f>
        <v>0</v>
      </c>
      <c r="AH1858" s="162">
        <f>IFERROR(VLOOKUP($F1858&amp;"-"&amp;$J1858,#REF!,#REF!+6,0),0)</f>
        <v>0</v>
      </c>
      <c r="AI1858" s="162">
        <f>IFERROR(VLOOKUP($F1858&amp;"-"&amp;$J1858,#REF!,#REF!+6,0),0)</f>
        <v>0</v>
      </c>
      <c r="AJ1858" s="162">
        <f>IFERROR(VLOOKUP($F1858&amp;"-"&amp;$J1858,#REF!,#REF!+6,0),0)</f>
        <v>0</v>
      </c>
      <c r="AK1858" s="162">
        <f>IFERROR(VLOOKUP($F1858&amp;"-"&amp;$J1858,#REF!,#REF!+6,0),0)</f>
        <v>0</v>
      </c>
      <c r="AL1858" s="162">
        <f>IFERROR(VLOOKUP($F1858&amp;"-"&amp;$J1858,#REF!,#REF!+6,0),0)</f>
        <v>0</v>
      </c>
      <c r="AM1858" s="162">
        <f>IFERROR(VLOOKUP($F1858&amp;"-"&amp;$J1858,#REF!,#REF!+6,0),0)</f>
        <v>0</v>
      </c>
      <c r="AN1858" s="162">
        <f>IFERROR(VLOOKUP($F1858&amp;"-"&amp;$J1858,#REF!,#REF!+6,0),0)</f>
        <v>0</v>
      </c>
      <c r="AO1858" s="162">
        <f>IFERROR(VLOOKUP($F1858&amp;"-"&amp;$J1858,#REF!,#REF!+6,0),0)</f>
        <v>0</v>
      </c>
      <c r="AP1858" s="162">
        <f>IFERROR(VLOOKUP($F1858&amp;"-"&amp;$J1858,#REF!,#REF!+6,0),0)</f>
        <v>0</v>
      </c>
      <c r="AQ1858" s="162">
        <f>IFERROR(VLOOKUP($F1858&amp;"-"&amp;$J1858,#REF!,#REF!+6,0),0)</f>
        <v>0</v>
      </c>
      <c r="AR1858" s="163">
        <f t="shared" si="622"/>
        <v>0</v>
      </c>
    </row>
    <row r="1859" spans="1:44" x14ac:dyDescent="0.25">
      <c r="B1859" s="15" t="s">
        <v>226</v>
      </c>
      <c r="C1859" s="83">
        <f t="shared" si="620"/>
        <v>0</v>
      </c>
      <c r="F1859" s="148"/>
      <c r="G1859" s="149" t="str">
        <f>IFERROR(VLOOKUP(F1859,#REF!,2,0),"")</f>
        <v/>
      </c>
      <c r="H1859" s="150" t="str">
        <f>IFERROR(VLOOKUP(F1859,#REF!,3,0),"")</f>
        <v/>
      </c>
      <c r="I1859" s="151"/>
      <c r="J1859" s="151"/>
      <c r="K1859" s="152"/>
      <c r="L1859" s="153"/>
      <c r="M1859" s="154"/>
      <c r="N1859" s="151"/>
      <c r="O1859" s="246"/>
      <c r="P1859" s="156"/>
      <c r="Q1859" s="156"/>
      <c r="R1859" s="156"/>
      <c r="S1859" s="156"/>
      <c r="T1859" s="156"/>
      <c r="U1859" s="156"/>
      <c r="V1859" s="156"/>
      <c r="W1859" s="156"/>
      <c r="X1859" s="156"/>
      <c r="Y1859" s="156"/>
      <c r="Z1859" s="156"/>
      <c r="AA1859" s="156"/>
      <c r="AB1859" s="158">
        <f t="shared" si="623"/>
        <v>0</v>
      </c>
      <c r="AC1859" s="198"/>
      <c r="AE1859" s="160" t="str">
        <f t="shared" si="621"/>
        <v/>
      </c>
      <c r="AF1859" s="161">
        <f>IFERROR(VLOOKUP($F1859&amp;"-"&amp;$J1859,#REF!,#REF!+6,0),0)</f>
        <v>0</v>
      </c>
      <c r="AG1859" s="162">
        <f>IFERROR(VLOOKUP($F1859&amp;"-"&amp;$J1859,#REF!,#REF!+6,0),0)</f>
        <v>0</v>
      </c>
      <c r="AH1859" s="162">
        <f>IFERROR(VLOOKUP($F1859&amp;"-"&amp;$J1859,#REF!,#REF!+6,0),0)</f>
        <v>0</v>
      </c>
      <c r="AI1859" s="162">
        <f>IFERROR(VLOOKUP($F1859&amp;"-"&amp;$J1859,#REF!,#REF!+6,0),0)</f>
        <v>0</v>
      </c>
      <c r="AJ1859" s="162">
        <f>IFERROR(VLOOKUP($F1859&amp;"-"&amp;$J1859,#REF!,#REF!+6,0),0)</f>
        <v>0</v>
      </c>
      <c r="AK1859" s="162">
        <f>IFERROR(VLOOKUP($F1859&amp;"-"&amp;$J1859,#REF!,#REF!+6,0),0)</f>
        <v>0</v>
      </c>
      <c r="AL1859" s="162">
        <f>IFERROR(VLOOKUP($F1859&amp;"-"&amp;$J1859,#REF!,#REF!+6,0),0)</f>
        <v>0</v>
      </c>
      <c r="AM1859" s="162">
        <f>IFERROR(VLOOKUP($F1859&amp;"-"&amp;$J1859,#REF!,#REF!+6,0),0)</f>
        <v>0</v>
      </c>
      <c r="AN1859" s="162">
        <f>IFERROR(VLOOKUP($F1859&amp;"-"&amp;$J1859,#REF!,#REF!+6,0),0)</f>
        <v>0</v>
      </c>
      <c r="AO1859" s="162">
        <f>IFERROR(VLOOKUP($F1859&amp;"-"&amp;$J1859,#REF!,#REF!+6,0),0)</f>
        <v>0</v>
      </c>
      <c r="AP1859" s="162">
        <f>IFERROR(VLOOKUP($F1859&amp;"-"&amp;$J1859,#REF!,#REF!+6,0),0)</f>
        <v>0</v>
      </c>
      <c r="AQ1859" s="162">
        <f>IFERROR(VLOOKUP($F1859&amp;"-"&amp;$J1859,#REF!,#REF!+6,0),0)</f>
        <v>0</v>
      </c>
      <c r="AR1859" s="163">
        <f t="shared" si="622"/>
        <v>0</v>
      </c>
    </row>
    <row r="1860" spans="1:44" x14ac:dyDescent="0.25">
      <c r="B1860" s="15" t="s">
        <v>226</v>
      </c>
      <c r="C1860" s="83">
        <f t="shared" si="620"/>
        <v>0</v>
      </c>
      <c r="F1860" s="148"/>
      <c r="G1860" s="149" t="str">
        <f>IFERROR(VLOOKUP(F1860,#REF!,2,0),"")</f>
        <v/>
      </c>
      <c r="H1860" s="150" t="str">
        <f>IFERROR(VLOOKUP(F1860,#REF!,3,0),"")</f>
        <v/>
      </c>
      <c r="I1860" s="151"/>
      <c r="J1860" s="151"/>
      <c r="K1860" s="152"/>
      <c r="L1860" s="153"/>
      <c r="M1860" s="154"/>
      <c r="N1860" s="151"/>
      <c r="O1860" s="246"/>
      <c r="P1860" s="156"/>
      <c r="Q1860" s="156"/>
      <c r="R1860" s="156"/>
      <c r="S1860" s="156"/>
      <c r="T1860" s="156"/>
      <c r="U1860" s="156"/>
      <c r="V1860" s="156"/>
      <c r="W1860" s="156"/>
      <c r="X1860" s="235"/>
      <c r="Y1860" s="156"/>
      <c r="Z1860" s="235"/>
      <c r="AA1860" s="156"/>
      <c r="AB1860" s="158">
        <f t="shared" si="623"/>
        <v>0</v>
      </c>
      <c r="AC1860" s="198"/>
      <c r="AE1860" s="160" t="str">
        <f t="shared" si="621"/>
        <v/>
      </c>
      <c r="AF1860" s="161">
        <f>IFERROR(VLOOKUP($F1860&amp;"-"&amp;$J1860,#REF!,#REF!+6,0),0)</f>
        <v>0</v>
      </c>
      <c r="AG1860" s="162">
        <f>IFERROR(VLOOKUP($F1860&amp;"-"&amp;$J1860,#REF!,#REF!+6,0),0)</f>
        <v>0</v>
      </c>
      <c r="AH1860" s="162">
        <f>IFERROR(VLOOKUP($F1860&amp;"-"&amp;$J1860,#REF!,#REF!+6,0),0)</f>
        <v>0</v>
      </c>
      <c r="AI1860" s="162">
        <f>IFERROR(VLOOKUP($F1860&amp;"-"&amp;$J1860,#REF!,#REF!+6,0),0)</f>
        <v>0</v>
      </c>
      <c r="AJ1860" s="162">
        <f>IFERROR(VLOOKUP($F1860&amp;"-"&amp;$J1860,#REF!,#REF!+6,0),0)</f>
        <v>0</v>
      </c>
      <c r="AK1860" s="162">
        <f>IFERROR(VLOOKUP($F1860&amp;"-"&amp;$J1860,#REF!,#REF!+6,0),0)</f>
        <v>0</v>
      </c>
      <c r="AL1860" s="162">
        <f>IFERROR(VLOOKUP($F1860&amp;"-"&amp;$J1860,#REF!,#REF!+6,0),0)</f>
        <v>0</v>
      </c>
      <c r="AM1860" s="162">
        <f>IFERROR(VLOOKUP($F1860&amp;"-"&amp;$J1860,#REF!,#REF!+6,0),0)</f>
        <v>0</v>
      </c>
      <c r="AN1860" s="162">
        <f>IFERROR(VLOOKUP($F1860&amp;"-"&amp;$J1860,#REF!,#REF!+6,0),0)</f>
        <v>0</v>
      </c>
      <c r="AO1860" s="162">
        <f>IFERROR(VLOOKUP($F1860&amp;"-"&amp;$J1860,#REF!,#REF!+6,0),0)</f>
        <v>0</v>
      </c>
      <c r="AP1860" s="162">
        <f>IFERROR(VLOOKUP($F1860&amp;"-"&amp;$J1860,#REF!,#REF!+6,0),0)</f>
        <v>0</v>
      </c>
      <c r="AQ1860" s="162">
        <f>IFERROR(VLOOKUP($F1860&amp;"-"&amp;$J1860,#REF!,#REF!+6,0),0)</f>
        <v>0</v>
      </c>
      <c r="AR1860" s="163">
        <f t="shared" si="622"/>
        <v>0</v>
      </c>
    </row>
    <row r="1861" spans="1:44" x14ac:dyDescent="0.25">
      <c r="B1861" s="15" t="s">
        <v>226</v>
      </c>
      <c r="C1861" s="83">
        <f t="shared" si="620"/>
        <v>0</v>
      </c>
      <c r="F1861" s="148"/>
      <c r="G1861" s="149" t="str">
        <f>IFERROR(VLOOKUP(F1861,#REF!,2,0),"")</f>
        <v/>
      </c>
      <c r="H1861" s="150" t="str">
        <f>IFERROR(VLOOKUP(F1861,#REF!,3,0),"")</f>
        <v/>
      </c>
      <c r="I1861" s="151"/>
      <c r="J1861" s="151"/>
      <c r="K1861" s="152"/>
      <c r="L1861" s="153"/>
      <c r="M1861" s="154"/>
      <c r="N1861" s="151"/>
      <c r="O1861" s="246"/>
      <c r="P1861" s="156"/>
      <c r="Q1861" s="156"/>
      <c r="R1861" s="156"/>
      <c r="S1861" s="156"/>
      <c r="T1861" s="156"/>
      <c r="U1861" s="156"/>
      <c r="V1861" s="156"/>
      <c r="W1861" s="156"/>
      <c r="X1861" s="235"/>
      <c r="Y1861" s="156"/>
      <c r="Z1861" s="235"/>
      <c r="AA1861" s="156"/>
      <c r="AB1861" s="158">
        <f t="shared" si="623"/>
        <v>0</v>
      </c>
      <c r="AC1861" s="198"/>
      <c r="AE1861" s="160" t="str">
        <f t="shared" si="621"/>
        <v/>
      </c>
      <c r="AF1861" s="161">
        <f>IFERROR(VLOOKUP($F1861&amp;"-"&amp;$J1861,#REF!,#REF!+6,0),0)</f>
        <v>0</v>
      </c>
      <c r="AG1861" s="162">
        <f>IFERROR(VLOOKUP($F1861&amp;"-"&amp;$J1861,#REF!,#REF!+6,0),0)</f>
        <v>0</v>
      </c>
      <c r="AH1861" s="162">
        <f>IFERROR(VLOOKUP($F1861&amp;"-"&amp;$J1861,#REF!,#REF!+6,0),0)</f>
        <v>0</v>
      </c>
      <c r="AI1861" s="162">
        <f>IFERROR(VLOOKUP($F1861&amp;"-"&amp;$J1861,#REF!,#REF!+6,0),0)</f>
        <v>0</v>
      </c>
      <c r="AJ1861" s="162">
        <f>IFERROR(VLOOKUP($F1861&amp;"-"&amp;$J1861,#REF!,#REF!+6,0),0)</f>
        <v>0</v>
      </c>
      <c r="AK1861" s="162">
        <f>IFERROR(VLOOKUP($F1861&amp;"-"&amp;$J1861,#REF!,#REF!+6,0),0)</f>
        <v>0</v>
      </c>
      <c r="AL1861" s="162">
        <f>IFERROR(VLOOKUP($F1861&amp;"-"&amp;$J1861,#REF!,#REF!+6,0),0)</f>
        <v>0</v>
      </c>
      <c r="AM1861" s="162">
        <f>IFERROR(VLOOKUP($F1861&amp;"-"&amp;$J1861,#REF!,#REF!+6,0),0)</f>
        <v>0</v>
      </c>
      <c r="AN1861" s="162">
        <f>IFERROR(VLOOKUP($F1861&amp;"-"&amp;$J1861,#REF!,#REF!+6,0),0)</f>
        <v>0</v>
      </c>
      <c r="AO1861" s="162">
        <f>IFERROR(VLOOKUP($F1861&amp;"-"&amp;$J1861,#REF!,#REF!+6,0),0)</f>
        <v>0</v>
      </c>
      <c r="AP1861" s="162">
        <f>IFERROR(VLOOKUP($F1861&amp;"-"&amp;$J1861,#REF!,#REF!+6,0),0)</f>
        <v>0</v>
      </c>
      <c r="AQ1861" s="162">
        <f>IFERROR(VLOOKUP($F1861&amp;"-"&amp;$J1861,#REF!,#REF!+6,0),0)</f>
        <v>0</v>
      </c>
      <c r="AR1861" s="163">
        <f t="shared" si="622"/>
        <v>0</v>
      </c>
    </row>
    <row r="1862" spans="1:44" x14ac:dyDescent="0.25">
      <c r="B1862" s="15" t="s">
        <v>226</v>
      </c>
      <c r="C1862" s="83">
        <f t="shared" si="620"/>
        <v>0</v>
      </c>
      <c r="F1862" s="148"/>
      <c r="G1862" s="149" t="str">
        <f>IFERROR(VLOOKUP(F1862,#REF!,2,0),"")</f>
        <v/>
      </c>
      <c r="H1862" s="150" t="str">
        <f>IFERROR(VLOOKUP(F1862,#REF!,3,0),"")</f>
        <v/>
      </c>
      <c r="I1862" s="151"/>
      <c r="J1862" s="151"/>
      <c r="K1862" s="152"/>
      <c r="L1862" s="153"/>
      <c r="M1862" s="154"/>
      <c r="N1862" s="151"/>
      <c r="O1862" s="246"/>
      <c r="P1862" s="156"/>
      <c r="Q1862" s="156"/>
      <c r="R1862" s="156"/>
      <c r="S1862" s="156"/>
      <c r="T1862" s="156"/>
      <c r="U1862" s="156"/>
      <c r="V1862" s="156"/>
      <c r="W1862" s="156"/>
      <c r="X1862" s="235"/>
      <c r="Y1862" s="156"/>
      <c r="Z1862" s="235"/>
      <c r="AA1862" s="156"/>
      <c r="AB1862" s="158">
        <f t="shared" si="623"/>
        <v>0</v>
      </c>
      <c r="AC1862" s="198"/>
      <c r="AE1862" s="160" t="str">
        <f t="shared" si="621"/>
        <v/>
      </c>
      <c r="AF1862" s="161">
        <f>IFERROR(VLOOKUP($F1862&amp;"-"&amp;$J1862,#REF!,#REF!+6,0),0)</f>
        <v>0</v>
      </c>
      <c r="AG1862" s="162">
        <f>IFERROR(VLOOKUP($F1862&amp;"-"&amp;$J1862,#REF!,#REF!+6,0),0)</f>
        <v>0</v>
      </c>
      <c r="AH1862" s="162">
        <f>IFERROR(VLOOKUP($F1862&amp;"-"&amp;$J1862,#REF!,#REF!+6,0),0)</f>
        <v>0</v>
      </c>
      <c r="AI1862" s="162">
        <f>IFERROR(VLOOKUP($F1862&amp;"-"&amp;$J1862,#REF!,#REF!+6,0),0)</f>
        <v>0</v>
      </c>
      <c r="AJ1862" s="162">
        <f>IFERROR(VLOOKUP($F1862&amp;"-"&amp;$J1862,#REF!,#REF!+6,0),0)</f>
        <v>0</v>
      </c>
      <c r="AK1862" s="162">
        <f>IFERROR(VLOOKUP($F1862&amp;"-"&amp;$J1862,#REF!,#REF!+6,0),0)</f>
        <v>0</v>
      </c>
      <c r="AL1862" s="162">
        <f>IFERROR(VLOOKUP($F1862&amp;"-"&amp;$J1862,#REF!,#REF!+6,0),0)</f>
        <v>0</v>
      </c>
      <c r="AM1862" s="162">
        <f>IFERROR(VLOOKUP($F1862&amp;"-"&amp;$J1862,#REF!,#REF!+6,0),0)</f>
        <v>0</v>
      </c>
      <c r="AN1862" s="162">
        <f>IFERROR(VLOOKUP($F1862&amp;"-"&amp;$J1862,#REF!,#REF!+6,0),0)</f>
        <v>0</v>
      </c>
      <c r="AO1862" s="162">
        <f>IFERROR(VLOOKUP($F1862&amp;"-"&amp;$J1862,#REF!,#REF!+6,0),0)</f>
        <v>0</v>
      </c>
      <c r="AP1862" s="162">
        <f>IFERROR(VLOOKUP($F1862&amp;"-"&amp;$J1862,#REF!,#REF!+6,0),0)</f>
        <v>0</v>
      </c>
      <c r="AQ1862" s="162">
        <f>IFERROR(VLOOKUP($F1862&amp;"-"&amp;$J1862,#REF!,#REF!+6,0),0)</f>
        <v>0</v>
      </c>
      <c r="AR1862" s="163">
        <f t="shared" si="622"/>
        <v>0</v>
      </c>
    </row>
    <row r="1863" spans="1:44" x14ac:dyDescent="0.25">
      <c r="B1863" s="15" t="s">
        <v>226</v>
      </c>
      <c r="C1863" s="83">
        <f t="shared" si="620"/>
        <v>0</v>
      </c>
      <c r="F1863" s="148"/>
      <c r="G1863" s="149" t="str">
        <f>IFERROR(VLOOKUP(F1863,#REF!,2,0),"")</f>
        <v/>
      </c>
      <c r="H1863" s="150" t="str">
        <f>IFERROR(VLOOKUP(F1863,#REF!,3,0),"")</f>
        <v/>
      </c>
      <c r="I1863" s="151"/>
      <c r="J1863" s="151"/>
      <c r="K1863" s="152"/>
      <c r="L1863" s="153"/>
      <c r="M1863" s="154"/>
      <c r="N1863" s="151"/>
      <c r="O1863" s="155"/>
      <c r="P1863" s="156"/>
      <c r="Q1863" s="156"/>
      <c r="R1863" s="156"/>
      <c r="S1863" s="156"/>
      <c r="T1863" s="156"/>
      <c r="U1863" s="156"/>
      <c r="V1863" s="156"/>
      <c r="W1863" s="156"/>
      <c r="X1863" s="156"/>
      <c r="Y1863" s="156"/>
      <c r="Z1863" s="156"/>
      <c r="AA1863" s="156"/>
      <c r="AB1863" s="158">
        <f t="shared" si="623"/>
        <v>0</v>
      </c>
      <c r="AC1863" s="198"/>
      <c r="AE1863" s="160" t="str">
        <f t="shared" si="621"/>
        <v/>
      </c>
      <c r="AF1863" s="161">
        <f>IFERROR(VLOOKUP($F1863&amp;"-"&amp;$J1863,#REF!,#REF!+6,0),0)</f>
        <v>0</v>
      </c>
      <c r="AG1863" s="162">
        <f>IFERROR(VLOOKUP($F1863&amp;"-"&amp;$J1863,#REF!,#REF!+6,0),0)</f>
        <v>0</v>
      </c>
      <c r="AH1863" s="162">
        <f>IFERROR(VLOOKUP($F1863&amp;"-"&amp;$J1863,#REF!,#REF!+6,0),0)</f>
        <v>0</v>
      </c>
      <c r="AI1863" s="162">
        <f>IFERROR(VLOOKUP($F1863&amp;"-"&amp;$J1863,#REF!,#REF!+6,0),0)</f>
        <v>0</v>
      </c>
      <c r="AJ1863" s="162">
        <f>IFERROR(VLOOKUP($F1863&amp;"-"&amp;$J1863,#REF!,#REF!+6,0),0)</f>
        <v>0</v>
      </c>
      <c r="AK1863" s="162">
        <f>IFERROR(VLOOKUP($F1863&amp;"-"&amp;$J1863,#REF!,#REF!+6,0),0)</f>
        <v>0</v>
      </c>
      <c r="AL1863" s="162">
        <f>IFERROR(VLOOKUP($F1863&amp;"-"&amp;$J1863,#REF!,#REF!+6,0),0)</f>
        <v>0</v>
      </c>
      <c r="AM1863" s="162">
        <f>IFERROR(VLOOKUP($F1863&amp;"-"&amp;$J1863,#REF!,#REF!+6,0),0)</f>
        <v>0</v>
      </c>
      <c r="AN1863" s="162">
        <f>IFERROR(VLOOKUP($F1863&amp;"-"&amp;$J1863,#REF!,#REF!+6,0),0)</f>
        <v>0</v>
      </c>
      <c r="AO1863" s="162">
        <f>IFERROR(VLOOKUP($F1863&amp;"-"&amp;$J1863,#REF!,#REF!+6,0),0)</f>
        <v>0</v>
      </c>
      <c r="AP1863" s="162">
        <f>IFERROR(VLOOKUP($F1863&amp;"-"&amp;$J1863,#REF!,#REF!+6,0),0)</f>
        <v>0</v>
      </c>
      <c r="AQ1863" s="162">
        <f>IFERROR(VLOOKUP($F1863&amp;"-"&amp;$J1863,#REF!,#REF!+6,0),0)</f>
        <v>0</v>
      </c>
      <c r="AR1863" s="163">
        <f t="shared" si="622"/>
        <v>0</v>
      </c>
    </row>
    <row r="1864" spans="1:44" x14ac:dyDescent="0.25">
      <c r="B1864" s="15" t="s">
        <v>226</v>
      </c>
      <c r="C1864" s="83">
        <f t="shared" si="620"/>
        <v>0</v>
      </c>
      <c r="F1864" s="148"/>
      <c r="G1864" s="149" t="str">
        <f>IFERROR(VLOOKUP(F1864,#REF!,2,0),"")</f>
        <v/>
      </c>
      <c r="H1864" s="150" t="str">
        <f>IFERROR(VLOOKUP(F1864,#REF!,3,0),"")</f>
        <v/>
      </c>
      <c r="I1864" s="151"/>
      <c r="J1864" s="151"/>
      <c r="K1864" s="152"/>
      <c r="L1864" s="153"/>
      <c r="M1864" s="154"/>
      <c r="N1864" s="151"/>
      <c r="O1864" s="155"/>
      <c r="P1864" s="156"/>
      <c r="Q1864" s="156"/>
      <c r="R1864" s="156"/>
      <c r="S1864" s="156"/>
      <c r="T1864" s="156"/>
      <c r="U1864" s="156"/>
      <c r="V1864" s="156"/>
      <c r="W1864" s="156"/>
      <c r="X1864" s="156"/>
      <c r="Y1864" s="156"/>
      <c r="Z1864" s="156"/>
      <c r="AA1864" s="156"/>
      <c r="AB1864" s="158">
        <f t="shared" si="623"/>
        <v>0</v>
      </c>
      <c r="AC1864" s="198"/>
      <c r="AE1864" s="160" t="str">
        <f t="shared" si="621"/>
        <v/>
      </c>
      <c r="AF1864" s="161">
        <f>IFERROR(VLOOKUP($F1864&amp;"-"&amp;$J1864,#REF!,#REF!+6,0),0)</f>
        <v>0</v>
      </c>
      <c r="AG1864" s="162">
        <f>IFERROR(VLOOKUP($F1864&amp;"-"&amp;$J1864,#REF!,#REF!+6,0),0)</f>
        <v>0</v>
      </c>
      <c r="AH1864" s="162">
        <f>IFERROR(VLOOKUP($F1864&amp;"-"&amp;$J1864,#REF!,#REF!+6,0),0)</f>
        <v>0</v>
      </c>
      <c r="AI1864" s="162">
        <f>IFERROR(VLOOKUP($F1864&amp;"-"&amp;$J1864,#REF!,#REF!+6,0),0)</f>
        <v>0</v>
      </c>
      <c r="AJ1864" s="162">
        <f>IFERROR(VLOOKUP($F1864&amp;"-"&amp;$J1864,#REF!,#REF!+6,0),0)</f>
        <v>0</v>
      </c>
      <c r="AK1864" s="162">
        <f>IFERROR(VLOOKUP($F1864&amp;"-"&amp;$J1864,#REF!,#REF!+6,0),0)</f>
        <v>0</v>
      </c>
      <c r="AL1864" s="162">
        <f>IFERROR(VLOOKUP($F1864&amp;"-"&amp;$J1864,#REF!,#REF!+6,0),0)</f>
        <v>0</v>
      </c>
      <c r="AM1864" s="162">
        <f>IFERROR(VLOOKUP($F1864&amp;"-"&amp;$J1864,#REF!,#REF!+6,0),0)</f>
        <v>0</v>
      </c>
      <c r="AN1864" s="162">
        <f>IFERROR(VLOOKUP($F1864&amp;"-"&amp;$J1864,#REF!,#REF!+6,0),0)</f>
        <v>0</v>
      </c>
      <c r="AO1864" s="162">
        <f>IFERROR(VLOOKUP($F1864&amp;"-"&amp;$J1864,#REF!,#REF!+6,0),0)</f>
        <v>0</v>
      </c>
      <c r="AP1864" s="162">
        <f>IFERROR(VLOOKUP($F1864&amp;"-"&amp;$J1864,#REF!,#REF!+6,0),0)</f>
        <v>0</v>
      </c>
      <c r="AQ1864" s="162">
        <f>IFERROR(VLOOKUP($F1864&amp;"-"&amp;$J1864,#REF!,#REF!+6,0),0)</f>
        <v>0</v>
      </c>
      <c r="AR1864" s="163">
        <f t="shared" si="622"/>
        <v>0</v>
      </c>
    </row>
    <row r="1865" spans="1:44" x14ac:dyDescent="0.25">
      <c r="B1865" s="15" t="s">
        <v>226</v>
      </c>
      <c r="C1865" s="83">
        <f t="shared" si="620"/>
        <v>0</v>
      </c>
      <c r="F1865" s="148"/>
      <c r="G1865" s="149" t="str">
        <f>IFERROR(VLOOKUP(F1865,#REF!,2,0),"")</f>
        <v/>
      </c>
      <c r="H1865" s="150" t="str">
        <f>IFERROR(VLOOKUP(F1865,#REF!,3,0),"")</f>
        <v/>
      </c>
      <c r="I1865" s="151"/>
      <c r="J1865" s="151"/>
      <c r="K1865" s="152"/>
      <c r="L1865" s="153"/>
      <c r="M1865" s="154"/>
      <c r="N1865" s="151"/>
      <c r="O1865" s="155"/>
      <c r="P1865" s="156"/>
      <c r="Q1865" s="156"/>
      <c r="R1865" s="156"/>
      <c r="S1865" s="156"/>
      <c r="T1865" s="156"/>
      <c r="U1865" s="156"/>
      <c r="V1865" s="156"/>
      <c r="W1865" s="156"/>
      <c r="X1865" s="156"/>
      <c r="Y1865" s="156"/>
      <c r="Z1865" s="156"/>
      <c r="AA1865" s="156"/>
      <c r="AB1865" s="158">
        <f t="shared" si="623"/>
        <v>0</v>
      </c>
      <c r="AC1865" s="198"/>
      <c r="AE1865" s="160" t="str">
        <f t="shared" si="621"/>
        <v/>
      </c>
      <c r="AF1865" s="161">
        <f>IFERROR(VLOOKUP($F1865&amp;"-"&amp;$J1865,#REF!,#REF!+6,0),0)</f>
        <v>0</v>
      </c>
      <c r="AG1865" s="162">
        <f>IFERROR(VLOOKUP($F1865&amp;"-"&amp;$J1865,#REF!,#REF!+6,0),0)</f>
        <v>0</v>
      </c>
      <c r="AH1865" s="162">
        <f>IFERROR(VLOOKUP($F1865&amp;"-"&amp;$J1865,#REF!,#REF!+6,0),0)</f>
        <v>0</v>
      </c>
      <c r="AI1865" s="162">
        <f>IFERROR(VLOOKUP($F1865&amp;"-"&amp;$J1865,#REF!,#REF!+6,0),0)</f>
        <v>0</v>
      </c>
      <c r="AJ1865" s="162">
        <f>IFERROR(VLOOKUP($F1865&amp;"-"&amp;$J1865,#REF!,#REF!+6,0),0)</f>
        <v>0</v>
      </c>
      <c r="AK1865" s="162">
        <f>IFERROR(VLOOKUP($F1865&amp;"-"&amp;$J1865,#REF!,#REF!+6,0),0)</f>
        <v>0</v>
      </c>
      <c r="AL1865" s="162">
        <f>IFERROR(VLOOKUP($F1865&amp;"-"&amp;$J1865,#REF!,#REF!+6,0),0)</f>
        <v>0</v>
      </c>
      <c r="AM1865" s="162">
        <f>IFERROR(VLOOKUP($F1865&amp;"-"&amp;$J1865,#REF!,#REF!+6,0),0)</f>
        <v>0</v>
      </c>
      <c r="AN1865" s="162">
        <f>IFERROR(VLOOKUP($F1865&amp;"-"&amp;$J1865,#REF!,#REF!+6,0),0)</f>
        <v>0</v>
      </c>
      <c r="AO1865" s="162">
        <f>IFERROR(VLOOKUP($F1865&amp;"-"&amp;$J1865,#REF!,#REF!+6,0),0)</f>
        <v>0</v>
      </c>
      <c r="AP1865" s="162">
        <f>IFERROR(VLOOKUP($F1865&amp;"-"&amp;$J1865,#REF!,#REF!+6,0),0)</f>
        <v>0</v>
      </c>
      <c r="AQ1865" s="162">
        <f>IFERROR(VLOOKUP($F1865&amp;"-"&amp;$J1865,#REF!,#REF!+6,0),0)</f>
        <v>0</v>
      </c>
      <c r="AR1865" s="163">
        <f t="shared" si="622"/>
        <v>0</v>
      </c>
    </row>
    <row r="1866" spans="1:44" x14ac:dyDescent="0.25">
      <c r="B1866" s="15" t="s">
        <v>226</v>
      </c>
      <c r="C1866" s="83">
        <f t="shared" si="620"/>
        <v>0</v>
      </c>
      <c r="F1866" s="148"/>
      <c r="G1866" s="149" t="str">
        <f>IFERROR(VLOOKUP(F1866,#REF!,2,0),"")</f>
        <v/>
      </c>
      <c r="H1866" s="150" t="str">
        <f>IFERROR(VLOOKUP(F1866,#REF!,3,0),"")</f>
        <v/>
      </c>
      <c r="I1866" s="151"/>
      <c r="J1866" s="151"/>
      <c r="K1866" s="152"/>
      <c r="L1866" s="153"/>
      <c r="M1866" s="154"/>
      <c r="N1866" s="151"/>
      <c r="O1866" s="155"/>
      <c r="P1866" s="156"/>
      <c r="Q1866" s="156"/>
      <c r="R1866" s="156"/>
      <c r="S1866" s="156"/>
      <c r="T1866" s="156"/>
      <c r="U1866" s="156"/>
      <c r="V1866" s="156"/>
      <c r="W1866" s="156"/>
      <c r="X1866" s="156"/>
      <c r="Y1866" s="156"/>
      <c r="Z1866" s="156"/>
      <c r="AA1866" s="156"/>
      <c r="AB1866" s="158">
        <f t="shared" si="623"/>
        <v>0</v>
      </c>
      <c r="AC1866" s="198"/>
      <c r="AE1866" s="160" t="str">
        <f t="shared" si="621"/>
        <v/>
      </c>
      <c r="AF1866" s="161">
        <f>IFERROR(VLOOKUP($F1866&amp;"-"&amp;$J1866,#REF!,#REF!+6,0),0)</f>
        <v>0</v>
      </c>
      <c r="AG1866" s="162">
        <f>IFERROR(VLOOKUP($F1866&amp;"-"&amp;$J1866,#REF!,#REF!+6,0),0)</f>
        <v>0</v>
      </c>
      <c r="AH1866" s="162">
        <f>IFERROR(VLOOKUP($F1866&amp;"-"&amp;$J1866,#REF!,#REF!+6,0),0)</f>
        <v>0</v>
      </c>
      <c r="AI1866" s="162">
        <f>IFERROR(VLOOKUP($F1866&amp;"-"&amp;$J1866,#REF!,#REF!+6,0),0)</f>
        <v>0</v>
      </c>
      <c r="AJ1866" s="162">
        <f>IFERROR(VLOOKUP($F1866&amp;"-"&amp;$J1866,#REF!,#REF!+6,0),0)</f>
        <v>0</v>
      </c>
      <c r="AK1866" s="162">
        <f>IFERROR(VLOOKUP($F1866&amp;"-"&amp;$J1866,#REF!,#REF!+6,0),0)</f>
        <v>0</v>
      </c>
      <c r="AL1866" s="162">
        <f>IFERROR(VLOOKUP($F1866&amp;"-"&amp;$J1866,#REF!,#REF!+6,0),0)</f>
        <v>0</v>
      </c>
      <c r="AM1866" s="162">
        <f>IFERROR(VLOOKUP($F1866&amp;"-"&amp;$J1866,#REF!,#REF!+6,0),0)</f>
        <v>0</v>
      </c>
      <c r="AN1866" s="162">
        <f>IFERROR(VLOOKUP($F1866&amp;"-"&amp;$J1866,#REF!,#REF!+6,0),0)</f>
        <v>0</v>
      </c>
      <c r="AO1866" s="162">
        <f>IFERROR(VLOOKUP($F1866&amp;"-"&amp;$J1866,#REF!,#REF!+6,0),0)</f>
        <v>0</v>
      </c>
      <c r="AP1866" s="162">
        <f>IFERROR(VLOOKUP($F1866&amp;"-"&amp;$J1866,#REF!,#REF!+6,0),0)</f>
        <v>0</v>
      </c>
      <c r="AQ1866" s="162">
        <f>IFERROR(VLOOKUP($F1866&amp;"-"&amp;$J1866,#REF!,#REF!+6,0),0)</f>
        <v>0</v>
      </c>
      <c r="AR1866" s="163">
        <f t="shared" si="622"/>
        <v>0</v>
      </c>
    </row>
    <row r="1867" spans="1:44" x14ac:dyDescent="0.25">
      <c r="B1867" s="15" t="s">
        <v>226</v>
      </c>
      <c r="C1867" s="83">
        <f t="shared" si="620"/>
        <v>0</v>
      </c>
      <c r="F1867" s="148"/>
      <c r="G1867" s="149" t="str">
        <f>IFERROR(VLOOKUP(F1867,#REF!,2,0),"")</f>
        <v/>
      </c>
      <c r="H1867" s="150" t="str">
        <f>IFERROR(VLOOKUP(F1867,#REF!,3,0),"")</f>
        <v/>
      </c>
      <c r="I1867" s="151"/>
      <c r="J1867" s="151"/>
      <c r="K1867" s="152"/>
      <c r="L1867" s="153"/>
      <c r="M1867" s="154"/>
      <c r="N1867" s="151"/>
      <c r="O1867" s="155"/>
      <c r="P1867" s="156"/>
      <c r="Q1867" s="156"/>
      <c r="R1867" s="156"/>
      <c r="S1867" s="156"/>
      <c r="T1867" s="156"/>
      <c r="U1867" s="156"/>
      <c r="V1867" s="156"/>
      <c r="W1867" s="156"/>
      <c r="X1867" s="156"/>
      <c r="Y1867" s="156"/>
      <c r="Z1867" s="156"/>
      <c r="AA1867" s="156"/>
      <c r="AB1867" s="158">
        <f t="shared" si="623"/>
        <v>0</v>
      </c>
      <c r="AC1867" s="198"/>
      <c r="AE1867" s="160" t="str">
        <f t="shared" si="621"/>
        <v/>
      </c>
      <c r="AF1867" s="161">
        <f>IFERROR(VLOOKUP($F1867&amp;"-"&amp;$J1867,#REF!,#REF!+6,0),0)</f>
        <v>0</v>
      </c>
      <c r="AG1867" s="162">
        <f>IFERROR(VLOOKUP($F1867&amp;"-"&amp;$J1867,#REF!,#REF!+6,0),0)</f>
        <v>0</v>
      </c>
      <c r="AH1867" s="162">
        <f>IFERROR(VLOOKUP($F1867&amp;"-"&amp;$J1867,#REF!,#REF!+6,0),0)</f>
        <v>0</v>
      </c>
      <c r="AI1867" s="162">
        <f>IFERROR(VLOOKUP($F1867&amp;"-"&amp;$J1867,#REF!,#REF!+6,0),0)</f>
        <v>0</v>
      </c>
      <c r="AJ1867" s="162">
        <f>IFERROR(VLOOKUP($F1867&amp;"-"&amp;$J1867,#REF!,#REF!+6,0),0)</f>
        <v>0</v>
      </c>
      <c r="AK1867" s="162">
        <f>IFERROR(VLOOKUP($F1867&amp;"-"&amp;$J1867,#REF!,#REF!+6,0),0)</f>
        <v>0</v>
      </c>
      <c r="AL1867" s="162">
        <f>IFERROR(VLOOKUP($F1867&amp;"-"&amp;$J1867,#REF!,#REF!+6,0),0)</f>
        <v>0</v>
      </c>
      <c r="AM1867" s="162">
        <f>IFERROR(VLOOKUP($F1867&amp;"-"&amp;$J1867,#REF!,#REF!+6,0),0)</f>
        <v>0</v>
      </c>
      <c r="AN1867" s="162">
        <f>IFERROR(VLOOKUP($F1867&amp;"-"&amp;$J1867,#REF!,#REF!+6,0),0)</f>
        <v>0</v>
      </c>
      <c r="AO1867" s="162">
        <f>IFERROR(VLOOKUP($F1867&amp;"-"&amp;$J1867,#REF!,#REF!+6,0),0)</f>
        <v>0</v>
      </c>
      <c r="AP1867" s="162">
        <f>IFERROR(VLOOKUP($F1867&amp;"-"&amp;$J1867,#REF!,#REF!+6,0),0)</f>
        <v>0</v>
      </c>
      <c r="AQ1867" s="162">
        <f>IFERROR(VLOOKUP($F1867&amp;"-"&amp;$J1867,#REF!,#REF!+6,0),0)</f>
        <v>0</v>
      </c>
      <c r="AR1867" s="163">
        <f t="shared" si="622"/>
        <v>0</v>
      </c>
    </row>
    <row r="1868" spans="1:44" x14ac:dyDescent="0.25">
      <c r="B1868" s="15" t="s">
        <v>226</v>
      </c>
      <c r="C1868" s="83">
        <f t="shared" si="620"/>
        <v>0</v>
      </c>
      <c r="F1868" s="148"/>
      <c r="G1868" s="149" t="str">
        <f>IFERROR(VLOOKUP(F1868,#REF!,2,0),"")</f>
        <v/>
      </c>
      <c r="H1868" s="150" t="str">
        <f>IFERROR(VLOOKUP(F1868,#REF!,3,0),"")</f>
        <v/>
      </c>
      <c r="I1868" s="151"/>
      <c r="J1868" s="151"/>
      <c r="K1868" s="152"/>
      <c r="L1868" s="153"/>
      <c r="M1868" s="154"/>
      <c r="N1868" s="151"/>
      <c r="O1868" s="155"/>
      <c r="P1868" s="156"/>
      <c r="Q1868" s="156"/>
      <c r="R1868" s="156"/>
      <c r="S1868" s="156"/>
      <c r="T1868" s="156"/>
      <c r="U1868" s="156"/>
      <c r="V1868" s="156"/>
      <c r="W1868" s="156"/>
      <c r="X1868" s="156"/>
      <c r="Y1868" s="156"/>
      <c r="Z1868" s="156"/>
      <c r="AA1868" s="156"/>
      <c r="AB1868" s="158">
        <f t="shared" si="623"/>
        <v>0</v>
      </c>
      <c r="AC1868" s="198"/>
      <c r="AE1868" s="160" t="str">
        <f t="shared" si="621"/>
        <v/>
      </c>
      <c r="AF1868" s="161">
        <f>IFERROR(VLOOKUP($F1868&amp;"-"&amp;$J1868,#REF!,#REF!+6,0),0)</f>
        <v>0</v>
      </c>
      <c r="AG1868" s="162">
        <f>IFERROR(VLOOKUP($F1868&amp;"-"&amp;$J1868,#REF!,#REF!+6,0),0)</f>
        <v>0</v>
      </c>
      <c r="AH1868" s="162">
        <f>IFERROR(VLOOKUP($F1868&amp;"-"&amp;$J1868,#REF!,#REF!+6,0),0)</f>
        <v>0</v>
      </c>
      <c r="AI1868" s="162">
        <f>IFERROR(VLOOKUP($F1868&amp;"-"&amp;$J1868,#REF!,#REF!+6,0),0)</f>
        <v>0</v>
      </c>
      <c r="AJ1868" s="162">
        <f>IFERROR(VLOOKUP($F1868&amp;"-"&amp;$J1868,#REF!,#REF!+6,0),0)</f>
        <v>0</v>
      </c>
      <c r="AK1868" s="162">
        <f>IFERROR(VLOOKUP($F1868&amp;"-"&amp;$J1868,#REF!,#REF!+6,0),0)</f>
        <v>0</v>
      </c>
      <c r="AL1868" s="162">
        <f>IFERROR(VLOOKUP($F1868&amp;"-"&amp;$J1868,#REF!,#REF!+6,0),0)</f>
        <v>0</v>
      </c>
      <c r="AM1868" s="162">
        <f>IFERROR(VLOOKUP($F1868&amp;"-"&amp;$J1868,#REF!,#REF!+6,0),0)</f>
        <v>0</v>
      </c>
      <c r="AN1868" s="162">
        <f>IFERROR(VLOOKUP($F1868&amp;"-"&amp;$J1868,#REF!,#REF!+6,0),0)</f>
        <v>0</v>
      </c>
      <c r="AO1868" s="162">
        <f>IFERROR(VLOOKUP($F1868&amp;"-"&amp;$J1868,#REF!,#REF!+6,0),0)</f>
        <v>0</v>
      </c>
      <c r="AP1868" s="162">
        <f>IFERROR(VLOOKUP($F1868&amp;"-"&amp;$J1868,#REF!,#REF!+6,0),0)</f>
        <v>0</v>
      </c>
      <c r="AQ1868" s="162">
        <f>IFERROR(VLOOKUP($F1868&amp;"-"&amp;$J1868,#REF!,#REF!+6,0),0)</f>
        <v>0</v>
      </c>
      <c r="AR1868" s="163">
        <f t="shared" si="622"/>
        <v>0</v>
      </c>
    </row>
    <row r="1869" spans="1:44" x14ac:dyDescent="0.25">
      <c r="B1869" s="15" t="s">
        <v>226</v>
      </c>
      <c r="C1869" s="83">
        <f t="shared" si="620"/>
        <v>0</v>
      </c>
      <c r="F1869" s="148"/>
      <c r="G1869" s="149" t="str">
        <f>IFERROR(VLOOKUP(F1869,#REF!,2,0),"")</f>
        <v/>
      </c>
      <c r="H1869" s="150" t="str">
        <f>IFERROR(VLOOKUP(F1869,#REF!,3,0),"")</f>
        <v/>
      </c>
      <c r="I1869" s="151"/>
      <c r="J1869" s="151"/>
      <c r="K1869" s="152"/>
      <c r="L1869" s="153"/>
      <c r="M1869" s="154"/>
      <c r="N1869" s="151"/>
      <c r="O1869" s="155"/>
      <c r="P1869" s="156"/>
      <c r="Q1869" s="156"/>
      <c r="R1869" s="156"/>
      <c r="S1869" s="156"/>
      <c r="T1869" s="156"/>
      <c r="U1869" s="156"/>
      <c r="V1869" s="156"/>
      <c r="W1869" s="156"/>
      <c r="X1869" s="156"/>
      <c r="Y1869" s="156"/>
      <c r="Z1869" s="156"/>
      <c r="AA1869" s="156"/>
      <c r="AB1869" s="158">
        <f t="shared" si="623"/>
        <v>0</v>
      </c>
      <c r="AC1869" s="198"/>
      <c r="AE1869" s="160" t="str">
        <f t="shared" si="621"/>
        <v/>
      </c>
      <c r="AF1869" s="161">
        <f>IFERROR(VLOOKUP($F1869&amp;"-"&amp;$J1869,#REF!,#REF!+6,0),0)</f>
        <v>0</v>
      </c>
      <c r="AG1869" s="162">
        <f>IFERROR(VLOOKUP($F1869&amp;"-"&amp;$J1869,#REF!,#REF!+6,0),0)</f>
        <v>0</v>
      </c>
      <c r="AH1869" s="162">
        <f>IFERROR(VLOOKUP($F1869&amp;"-"&amp;$J1869,#REF!,#REF!+6,0),0)</f>
        <v>0</v>
      </c>
      <c r="AI1869" s="162">
        <f>IFERROR(VLOOKUP($F1869&amp;"-"&amp;$J1869,#REF!,#REF!+6,0),0)</f>
        <v>0</v>
      </c>
      <c r="AJ1869" s="162">
        <f>IFERROR(VLOOKUP($F1869&amp;"-"&amp;$J1869,#REF!,#REF!+6,0),0)</f>
        <v>0</v>
      </c>
      <c r="AK1869" s="162">
        <f>IFERROR(VLOOKUP($F1869&amp;"-"&amp;$J1869,#REF!,#REF!+6,0),0)</f>
        <v>0</v>
      </c>
      <c r="AL1869" s="162">
        <f>IFERROR(VLOOKUP($F1869&amp;"-"&amp;$J1869,#REF!,#REF!+6,0),0)</f>
        <v>0</v>
      </c>
      <c r="AM1869" s="162">
        <f>IFERROR(VLOOKUP($F1869&amp;"-"&amp;$J1869,#REF!,#REF!+6,0),0)</f>
        <v>0</v>
      </c>
      <c r="AN1869" s="162">
        <f>IFERROR(VLOOKUP($F1869&amp;"-"&amp;$J1869,#REF!,#REF!+6,0),0)</f>
        <v>0</v>
      </c>
      <c r="AO1869" s="162">
        <f>IFERROR(VLOOKUP($F1869&amp;"-"&amp;$J1869,#REF!,#REF!+6,0),0)</f>
        <v>0</v>
      </c>
      <c r="AP1869" s="162">
        <f>IFERROR(VLOOKUP($F1869&amp;"-"&amp;$J1869,#REF!,#REF!+6,0),0)</f>
        <v>0</v>
      </c>
      <c r="AQ1869" s="162">
        <f>IFERROR(VLOOKUP($F1869&amp;"-"&amp;$J1869,#REF!,#REF!+6,0),0)</f>
        <v>0</v>
      </c>
      <c r="AR1869" s="163">
        <f t="shared" si="622"/>
        <v>0</v>
      </c>
    </row>
    <row r="1870" spans="1:44" x14ac:dyDescent="0.25">
      <c r="B1870" s="15" t="s">
        <v>226</v>
      </c>
      <c r="C1870" s="83">
        <f t="shared" si="620"/>
        <v>0</v>
      </c>
      <c r="F1870" s="148"/>
      <c r="G1870" s="149" t="str">
        <f>IFERROR(VLOOKUP(F1870,#REF!,2,0),"")</f>
        <v/>
      </c>
      <c r="H1870" s="150" t="str">
        <f>IFERROR(VLOOKUP(F1870,#REF!,3,0),"")</f>
        <v/>
      </c>
      <c r="I1870" s="151"/>
      <c r="J1870" s="151"/>
      <c r="K1870" s="152"/>
      <c r="L1870" s="153"/>
      <c r="M1870" s="154"/>
      <c r="N1870" s="151"/>
      <c r="O1870" s="155"/>
      <c r="P1870" s="156"/>
      <c r="Q1870" s="156"/>
      <c r="R1870" s="156"/>
      <c r="S1870" s="156"/>
      <c r="T1870" s="156"/>
      <c r="U1870" s="156"/>
      <c r="V1870" s="156"/>
      <c r="W1870" s="156"/>
      <c r="X1870" s="156"/>
      <c r="Y1870" s="156"/>
      <c r="Z1870" s="156"/>
      <c r="AA1870" s="156"/>
      <c r="AB1870" s="158">
        <f t="shared" si="623"/>
        <v>0</v>
      </c>
      <c r="AC1870" s="198"/>
      <c r="AE1870" s="160" t="str">
        <f t="shared" si="621"/>
        <v/>
      </c>
      <c r="AF1870" s="161">
        <f>IFERROR(VLOOKUP($F1870&amp;"-"&amp;$J1870,#REF!,#REF!+6,0),0)</f>
        <v>0</v>
      </c>
      <c r="AG1870" s="162">
        <f>IFERROR(VLOOKUP($F1870&amp;"-"&amp;$J1870,#REF!,#REF!+6,0),0)</f>
        <v>0</v>
      </c>
      <c r="AH1870" s="162">
        <f>IFERROR(VLOOKUP($F1870&amp;"-"&amp;$J1870,#REF!,#REF!+6,0),0)</f>
        <v>0</v>
      </c>
      <c r="AI1870" s="162">
        <f>IFERROR(VLOOKUP($F1870&amp;"-"&amp;$J1870,#REF!,#REF!+6,0),0)</f>
        <v>0</v>
      </c>
      <c r="AJ1870" s="162">
        <f>IFERROR(VLOOKUP($F1870&amp;"-"&amp;$J1870,#REF!,#REF!+6,0),0)</f>
        <v>0</v>
      </c>
      <c r="AK1870" s="162">
        <f>IFERROR(VLOOKUP($F1870&amp;"-"&amp;$J1870,#REF!,#REF!+6,0),0)</f>
        <v>0</v>
      </c>
      <c r="AL1870" s="162">
        <f>IFERROR(VLOOKUP($F1870&amp;"-"&amp;$J1870,#REF!,#REF!+6,0),0)</f>
        <v>0</v>
      </c>
      <c r="AM1870" s="162">
        <f>IFERROR(VLOOKUP($F1870&amp;"-"&amp;$J1870,#REF!,#REF!+6,0),0)</f>
        <v>0</v>
      </c>
      <c r="AN1870" s="162">
        <f>IFERROR(VLOOKUP($F1870&amp;"-"&amp;$J1870,#REF!,#REF!+6,0),0)</f>
        <v>0</v>
      </c>
      <c r="AO1870" s="162">
        <f>IFERROR(VLOOKUP($F1870&amp;"-"&amp;$J1870,#REF!,#REF!+6,0),0)</f>
        <v>0</v>
      </c>
      <c r="AP1870" s="162">
        <f>IFERROR(VLOOKUP($F1870&amp;"-"&amp;$J1870,#REF!,#REF!+6,0),0)</f>
        <v>0</v>
      </c>
      <c r="AQ1870" s="162">
        <f>IFERROR(VLOOKUP($F1870&amp;"-"&amp;$J1870,#REF!,#REF!+6,0),0)</f>
        <v>0</v>
      </c>
      <c r="AR1870" s="163">
        <f t="shared" si="622"/>
        <v>0</v>
      </c>
    </row>
    <row r="1871" spans="1:44" x14ac:dyDescent="0.25">
      <c r="B1871" s="15" t="s">
        <v>226</v>
      </c>
      <c r="C1871" s="83">
        <f t="shared" si="620"/>
        <v>0</v>
      </c>
      <c r="F1871" s="148"/>
      <c r="G1871" s="149" t="str">
        <f>IFERROR(VLOOKUP(F1871,#REF!,2,0),"")</f>
        <v/>
      </c>
      <c r="H1871" s="150" t="str">
        <f>IFERROR(VLOOKUP(F1871,#REF!,3,0),"")</f>
        <v/>
      </c>
      <c r="I1871" s="151"/>
      <c r="J1871" s="151"/>
      <c r="K1871" s="152"/>
      <c r="L1871" s="153"/>
      <c r="M1871" s="154"/>
      <c r="N1871" s="151"/>
      <c r="O1871" s="155"/>
      <c r="P1871" s="156"/>
      <c r="Q1871" s="156"/>
      <c r="R1871" s="156"/>
      <c r="S1871" s="156"/>
      <c r="T1871" s="156"/>
      <c r="U1871" s="156"/>
      <c r="V1871" s="156"/>
      <c r="W1871" s="156"/>
      <c r="X1871" s="156"/>
      <c r="Y1871" s="156"/>
      <c r="Z1871" s="156"/>
      <c r="AA1871" s="156"/>
      <c r="AB1871" s="158">
        <f t="shared" si="623"/>
        <v>0</v>
      </c>
      <c r="AC1871" s="198"/>
      <c r="AE1871" s="160" t="str">
        <f t="shared" si="621"/>
        <v/>
      </c>
      <c r="AF1871" s="161">
        <f>IFERROR(VLOOKUP($F1871&amp;"-"&amp;$J1871,#REF!,#REF!+6,0),0)</f>
        <v>0</v>
      </c>
      <c r="AG1871" s="162">
        <f>IFERROR(VLOOKUP($F1871&amp;"-"&amp;$J1871,#REF!,#REF!+6,0),0)</f>
        <v>0</v>
      </c>
      <c r="AH1871" s="162">
        <f>IFERROR(VLOOKUP($F1871&amp;"-"&amp;$J1871,#REF!,#REF!+6,0),0)</f>
        <v>0</v>
      </c>
      <c r="AI1871" s="162">
        <f>IFERROR(VLOOKUP($F1871&amp;"-"&amp;$J1871,#REF!,#REF!+6,0),0)</f>
        <v>0</v>
      </c>
      <c r="AJ1871" s="162">
        <f>IFERROR(VLOOKUP($F1871&amp;"-"&amp;$J1871,#REF!,#REF!+6,0),0)</f>
        <v>0</v>
      </c>
      <c r="AK1871" s="162">
        <f>IFERROR(VLOOKUP($F1871&amp;"-"&amp;$J1871,#REF!,#REF!+6,0),0)</f>
        <v>0</v>
      </c>
      <c r="AL1871" s="162">
        <f>IFERROR(VLOOKUP($F1871&amp;"-"&amp;$J1871,#REF!,#REF!+6,0),0)</f>
        <v>0</v>
      </c>
      <c r="AM1871" s="162">
        <f>IFERROR(VLOOKUP($F1871&amp;"-"&amp;$J1871,#REF!,#REF!+6,0),0)</f>
        <v>0</v>
      </c>
      <c r="AN1871" s="162">
        <f>IFERROR(VLOOKUP($F1871&amp;"-"&amp;$J1871,#REF!,#REF!+6,0),0)</f>
        <v>0</v>
      </c>
      <c r="AO1871" s="162">
        <f>IFERROR(VLOOKUP($F1871&amp;"-"&amp;$J1871,#REF!,#REF!+6,0),0)</f>
        <v>0</v>
      </c>
      <c r="AP1871" s="162">
        <f>IFERROR(VLOOKUP($F1871&amp;"-"&amp;$J1871,#REF!,#REF!+6,0),0)</f>
        <v>0</v>
      </c>
      <c r="AQ1871" s="162">
        <f>IFERROR(VLOOKUP($F1871&amp;"-"&amp;$J1871,#REF!,#REF!+6,0),0)</f>
        <v>0</v>
      </c>
      <c r="AR1871" s="163">
        <f t="shared" si="622"/>
        <v>0</v>
      </c>
    </row>
    <row r="1872" spans="1:44" x14ac:dyDescent="0.25">
      <c r="B1872" s="15" t="s">
        <v>226</v>
      </c>
      <c r="C1872" s="83">
        <f t="shared" si="620"/>
        <v>0</v>
      </c>
      <c r="F1872" s="148"/>
      <c r="G1872" s="149" t="str">
        <f>IFERROR(VLOOKUP(F1872,#REF!,2,0),"")</f>
        <v/>
      </c>
      <c r="H1872" s="150" t="str">
        <f>IFERROR(VLOOKUP(F1872,#REF!,3,0),"")</f>
        <v/>
      </c>
      <c r="I1872" s="151"/>
      <c r="J1872" s="151"/>
      <c r="K1872" s="152"/>
      <c r="L1872" s="153"/>
      <c r="M1872" s="154"/>
      <c r="N1872" s="151"/>
      <c r="O1872" s="155"/>
      <c r="P1872" s="156"/>
      <c r="Q1872" s="156"/>
      <c r="R1872" s="156"/>
      <c r="S1872" s="156"/>
      <c r="T1872" s="156"/>
      <c r="U1872" s="156"/>
      <c r="V1872" s="156"/>
      <c r="W1872" s="156"/>
      <c r="X1872" s="156"/>
      <c r="Y1872" s="156"/>
      <c r="Z1872" s="156"/>
      <c r="AA1872" s="156"/>
      <c r="AB1872" s="158">
        <f t="shared" si="623"/>
        <v>0</v>
      </c>
      <c r="AC1872" s="198"/>
      <c r="AE1872" s="160" t="str">
        <f t="shared" si="621"/>
        <v/>
      </c>
      <c r="AF1872" s="161">
        <f>IFERROR(VLOOKUP($F1872&amp;"-"&amp;$J1872,#REF!,#REF!+6,0),0)</f>
        <v>0</v>
      </c>
      <c r="AG1872" s="162">
        <f>IFERROR(VLOOKUP($F1872&amp;"-"&amp;$J1872,#REF!,#REF!+6,0),0)</f>
        <v>0</v>
      </c>
      <c r="AH1872" s="162">
        <f>IFERROR(VLOOKUP($F1872&amp;"-"&amp;$J1872,#REF!,#REF!+6,0),0)</f>
        <v>0</v>
      </c>
      <c r="AI1872" s="162">
        <f>IFERROR(VLOOKUP($F1872&amp;"-"&amp;$J1872,#REF!,#REF!+6,0),0)</f>
        <v>0</v>
      </c>
      <c r="AJ1872" s="162">
        <f>IFERROR(VLOOKUP($F1872&amp;"-"&amp;$J1872,#REF!,#REF!+6,0),0)</f>
        <v>0</v>
      </c>
      <c r="AK1872" s="162">
        <f>IFERROR(VLOOKUP($F1872&amp;"-"&amp;$J1872,#REF!,#REF!+6,0),0)</f>
        <v>0</v>
      </c>
      <c r="AL1872" s="162">
        <f>IFERROR(VLOOKUP($F1872&amp;"-"&amp;$J1872,#REF!,#REF!+6,0),0)</f>
        <v>0</v>
      </c>
      <c r="AM1872" s="162">
        <f>IFERROR(VLOOKUP($F1872&amp;"-"&amp;$J1872,#REF!,#REF!+6,0),0)</f>
        <v>0</v>
      </c>
      <c r="AN1872" s="162">
        <f>IFERROR(VLOOKUP($F1872&amp;"-"&amp;$J1872,#REF!,#REF!+6,0),0)</f>
        <v>0</v>
      </c>
      <c r="AO1872" s="162">
        <f>IFERROR(VLOOKUP($F1872&amp;"-"&amp;$J1872,#REF!,#REF!+6,0),0)</f>
        <v>0</v>
      </c>
      <c r="AP1872" s="162">
        <f>IFERROR(VLOOKUP($F1872&amp;"-"&amp;$J1872,#REF!,#REF!+6,0),0)</f>
        <v>0</v>
      </c>
      <c r="AQ1872" s="162">
        <f>IFERROR(VLOOKUP($F1872&amp;"-"&amp;$J1872,#REF!,#REF!+6,0),0)</f>
        <v>0</v>
      </c>
      <c r="AR1872" s="163">
        <f t="shared" si="622"/>
        <v>0</v>
      </c>
    </row>
    <row r="1873" spans="1:59" x14ac:dyDescent="0.25">
      <c r="B1873" s="15" t="s">
        <v>226</v>
      </c>
      <c r="C1873" s="83">
        <f t="shared" si="620"/>
        <v>0</v>
      </c>
      <c r="F1873" s="148"/>
      <c r="G1873" s="149" t="str">
        <f>IFERROR(VLOOKUP(F1873,#REF!,2,0),"")</f>
        <v/>
      </c>
      <c r="H1873" s="150" t="str">
        <f>IFERROR(VLOOKUP(F1873,#REF!,3,0),"")</f>
        <v/>
      </c>
      <c r="I1873" s="151"/>
      <c r="J1873" s="151"/>
      <c r="K1873" s="152"/>
      <c r="L1873" s="153"/>
      <c r="M1873" s="154"/>
      <c r="N1873" s="151"/>
      <c r="O1873" s="155"/>
      <c r="P1873" s="156"/>
      <c r="Q1873" s="156"/>
      <c r="R1873" s="156"/>
      <c r="S1873" s="156"/>
      <c r="T1873" s="156"/>
      <c r="U1873" s="156"/>
      <c r="V1873" s="156"/>
      <c r="W1873" s="156"/>
      <c r="X1873" s="156"/>
      <c r="Y1873" s="156"/>
      <c r="Z1873" s="156"/>
      <c r="AA1873" s="156"/>
      <c r="AB1873" s="158">
        <f t="shared" si="623"/>
        <v>0</v>
      </c>
      <c r="AC1873" s="198"/>
      <c r="AE1873" s="160" t="str">
        <f t="shared" si="621"/>
        <v/>
      </c>
      <c r="AF1873" s="161">
        <f>IFERROR(VLOOKUP($F1873&amp;"-"&amp;$J1873,#REF!,#REF!+6,0),0)</f>
        <v>0</v>
      </c>
      <c r="AG1873" s="162">
        <f>IFERROR(VLOOKUP($F1873&amp;"-"&amp;$J1873,#REF!,#REF!+6,0),0)</f>
        <v>0</v>
      </c>
      <c r="AH1873" s="162">
        <f>IFERROR(VLOOKUP($F1873&amp;"-"&amp;$J1873,#REF!,#REF!+6,0),0)</f>
        <v>0</v>
      </c>
      <c r="AI1873" s="162">
        <f>IFERROR(VLOOKUP($F1873&amp;"-"&amp;$J1873,#REF!,#REF!+6,0),0)</f>
        <v>0</v>
      </c>
      <c r="AJ1873" s="162">
        <f>IFERROR(VLOOKUP($F1873&amp;"-"&amp;$J1873,#REF!,#REF!+6,0),0)</f>
        <v>0</v>
      </c>
      <c r="AK1873" s="162">
        <f>IFERROR(VLOOKUP($F1873&amp;"-"&amp;$J1873,#REF!,#REF!+6,0),0)</f>
        <v>0</v>
      </c>
      <c r="AL1873" s="162">
        <f>IFERROR(VLOOKUP($F1873&amp;"-"&amp;$J1873,#REF!,#REF!+6,0),0)</f>
        <v>0</v>
      </c>
      <c r="AM1873" s="162">
        <f>IFERROR(VLOOKUP($F1873&amp;"-"&amp;$J1873,#REF!,#REF!+6,0),0)</f>
        <v>0</v>
      </c>
      <c r="AN1873" s="162">
        <f>IFERROR(VLOOKUP($F1873&amp;"-"&amp;$J1873,#REF!,#REF!+6,0),0)</f>
        <v>0</v>
      </c>
      <c r="AO1873" s="162">
        <f>IFERROR(VLOOKUP($F1873&amp;"-"&amp;$J1873,#REF!,#REF!+6,0),0)</f>
        <v>0</v>
      </c>
      <c r="AP1873" s="162">
        <f>IFERROR(VLOOKUP($F1873&amp;"-"&amp;$J1873,#REF!,#REF!+6,0),0)</f>
        <v>0</v>
      </c>
      <c r="AQ1873" s="162">
        <f>IFERROR(VLOOKUP($F1873&amp;"-"&amp;$J1873,#REF!,#REF!+6,0),0)</f>
        <v>0</v>
      </c>
      <c r="AR1873" s="163">
        <f t="shared" si="622"/>
        <v>0</v>
      </c>
    </row>
    <row r="1874" spans="1:59" x14ac:dyDescent="0.25">
      <c r="B1874" s="15" t="s">
        <v>226</v>
      </c>
      <c r="C1874" s="83">
        <f t="shared" si="620"/>
        <v>0</v>
      </c>
      <c r="F1874" s="148"/>
      <c r="G1874" s="149" t="str">
        <f>IFERROR(VLOOKUP(F1874,#REF!,2,0),"")</f>
        <v/>
      </c>
      <c r="H1874" s="150" t="str">
        <f>IFERROR(VLOOKUP(F1874,#REF!,3,0),"")</f>
        <v/>
      </c>
      <c r="I1874" s="151"/>
      <c r="J1874" s="151"/>
      <c r="K1874" s="152"/>
      <c r="L1874" s="153"/>
      <c r="M1874" s="154"/>
      <c r="N1874" s="151"/>
      <c r="O1874" s="155"/>
      <c r="P1874" s="156"/>
      <c r="Q1874" s="156"/>
      <c r="R1874" s="156"/>
      <c r="S1874" s="156"/>
      <c r="T1874" s="156"/>
      <c r="U1874" s="156"/>
      <c r="V1874" s="156"/>
      <c r="W1874" s="156"/>
      <c r="X1874" s="156"/>
      <c r="Y1874" s="156"/>
      <c r="Z1874" s="156"/>
      <c r="AA1874" s="156"/>
      <c r="AB1874" s="158">
        <f t="shared" si="623"/>
        <v>0</v>
      </c>
      <c r="AC1874" s="198"/>
      <c r="AE1874" s="160" t="str">
        <f t="shared" si="621"/>
        <v/>
      </c>
      <c r="AF1874" s="161">
        <f>IFERROR(VLOOKUP($F1874&amp;"-"&amp;$J1874,#REF!,#REF!+6,0),0)</f>
        <v>0</v>
      </c>
      <c r="AG1874" s="162">
        <f>IFERROR(VLOOKUP($F1874&amp;"-"&amp;$J1874,#REF!,#REF!+6,0),0)</f>
        <v>0</v>
      </c>
      <c r="AH1874" s="162">
        <f>IFERROR(VLOOKUP($F1874&amp;"-"&amp;$J1874,#REF!,#REF!+6,0),0)</f>
        <v>0</v>
      </c>
      <c r="AI1874" s="162">
        <f>IFERROR(VLOOKUP($F1874&amp;"-"&amp;$J1874,#REF!,#REF!+6,0),0)</f>
        <v>0</v>
      </c>
      <c r="AJ1874" s="162">
        <f>IFERROR(VLOOKUP($F1874&amp;"-"&amp;$J1874,#REF!,#REF!+6,0),0)</f>
        <v>0</v>
      </c>
      <c r="AK1874" s="162">
        <f>IFERROR(VLOOKUP($F1874&amp;"-"&amp;$J1874,#REF!,#REF!+6,0),0)</f>
        <v>0</v>
      </c>
      <c r="AL1874" s="162">
        <f>IFERROR(VLOOKUP($F1874&amp;"-"&amp;$J1874,#REF!,#REF!+6,0),0)</f>
        <v>0</v>
      </c>
      <c r="AM1874" s="162">
        <f>IFERROR(VLOOKUP($F1874&amp;"-"&amp;$J1874,#REF!,#REF!+6,0),0)</f>
        <v>0</v>
      </c>
      <c r="AN1874" s="162">
        <f>IFERROR(VLOOKUP($F1874&amp;"-"&amp;$J1874,#REF!,#REF!+6,0),0)</f>
        <v>0</v>
      </c>
      <c r="AO1874" s="162">
        <f>IFERROR(VLOOKUP($F1874&amp;"-"&amp;$J1874,#REF!,#REF!+6,0),0)</f>
        <v>0</v>
      </c>
      <c r="AP1874" s="162">
        <f>IFERROR(VLOOKUP($F1874&amp;"-"&amp;$J1874,#REF!,#REF!+6,0),0)</f>
        <v>0</v>
      </c>
      <c r="AQ1874" s="162">
        <f>IFERROR(VLOOKUP($F1874&amp;"-"&amp;$J1874,#REF!,#REF!+6,0),0)</f>
        <v>0</v>
      </c>
      <c r="AR1874" s="163">
        <f t="shared" si="622"/>
        <v>0</v>
      </c>
    </row>
    <row r="1875" spans="1:59" x14ac:dyDescent="0.25">
      <c r="B1875" s="15" t="s">
        <v>226</v>
      </c>
      <c r="C1875" s="83">
        <f t="shared" si="620"/>
        <v>0</v>
      </c>
      <c r="F1875" s="148"/>
      <c r="G1875" s="149" t="str">
        <f>IFERROR(VLOOKUP(F1875,#REF!,2,0),"")</f>
        <v/>
      </c>
      <c r="H1875" s="150" t="str">
        <f>IFERROR(VLOOKUP(F1875,#REF!,3,0),"")</f>
        <v/>
      </c>
      <c r="I1875" s="151"/>
      <c r="J1875" s="151"/>
      <c r="K1875" s="152"/>
      <c r="L1875" s="153"/>
      <c r="M1875" s="154"/>
      <c r="N1875" s="151"/>
      <c r="O1875" s="155"/>
      <c r="P1875" s="156"/>
      <c r="Q1875" s="156"/>
      <c r="R1875" s="156"/>
      <c r="S1875" s="156"/>
      <c r="T1875" s="156"/>
      <c r="U1875" s="156"/>
      <c r="V1875" s="156"/>
      <c r="W1875" s="156"/>
      <c r="X1875" s="156"/>
      <c r="Y1875" s="156"/>
      <c r="Z1875" s="156"/>
      <c r="AA1875" s="156"/>
      <c r="AB1875" s="158">
        <f t="shared" si="623"/>
        <v>0</v>
      </c>
      <c r="AC1875" s="198"/>
      <c r="AE1875" s="160" t="str">
        <f t="shared" si="621"/>
        <v/>
      </c>
      <c r="AF1875" s="161">
        <f>IFERROR(VLOOKUP($F1875&amp;"-"&amp;$J1875,#REF!,#REF!+6,0),0)</f>
        <v>0</v>
      </c>
      <c r="AG1875" s="162">
        <f>IFERROR(VLOOKUP($F1875&amp;"-"&amp;$J1875,#REF!,#REF!+6,0),0)</f>
        <v>0</v>
      </c>
      <c r="AH1875" s="162">
        <f>IFERROR(VLOOKUP($F1875&amp;"-"&amp;$J1875,#REF!,#REF!+6,0),0)</f>
        <v>0</v>
      </c>
      <c r="AI1875" s="162">
        <f>IFERROR(VLOOKUP($F1875&amp;"-"&amp;$J1875,#REF!,#REF!+6,0),0)</f>
        <v>0</v>
      </c>
      <c r="AJ1875" s="162">
        <f>IFERROR(VLOOKUP($F1875&amp;"-"&amp;$J1875,#REF!,#REF!+6,0),0)</f>
        <v>0</v>
      </c>
      <c r="AK1875" s="162">
        <f>IFERROR(VLOOKUP($F1875&amp;"-"&amp;$J1875,#REF!,#REF!+6,0),0)</f>
        <v>0</v>
      </c>
      <c r="AL1875" s="162">
        <f>IFERROR(VLOOKUP($F1875&amp;"-"&amp;$J1875,#REF!,#REF!+6,0),0)</f>
        <v>0</v>
      </c>
      <c r="AM1875" s="162">
        <f>IFERROR(VLOOKUP($F1875&amp;"-"&amp;$J1875,#REF!,#REF!+6,0),0)</f>
        <v>0</v>
      </c>
      <c r="AN1875" s="162">
        <f>IFERROR(VLOOKUP($F1875&amp;"-"&amp;$J1875,#REF!,#REF!+6,0),0)</f>
        <v>0</v>
      </c>
      <c r="AO1875" s="162">
        <f>IFERROR(VLOOKUP($F1875&amp;"-"&amp;$J1875,#REF!,#REF!+6,0),0)</f>
        <v>0</v>
      </c>
      <c r="AP1875" s="162">
        <f>IFERROR(VLOOKUP($F1875&amp;"-"&amp;$J1875,#REF!,#REF!+6,0),0)</f>
        <v>0</v>
      </c>
      <c r="AQ1875" s="162">
        <f>IFERROR(VLOOKUP($F1875&amp;"-"&amp;$J1875,#REF!,#REF!+6,0),0)</f>
        <v>0</v>
      </c>
      <c r="AR1875" s="163">
        <f t="shared" si="622"/>
        <v>0</v>
      </c>
    </row>
    <row r="1876" spans="1:59" x14ac:dyDescent="0.25">
      <c r="B1876" s="15" t="s">
        <v>226</v>
      </c>
      <c r="C1876" s="83">
        <f t="shared" si="620"/>
        <v>0</v>
      </c>
      <c r="F1876" s="148"/>
      <c r="G1876" s="149" t="str">
        <f>IFERROR(VLOOKUP(F1876,#REF!,2,0),"")</f>
        <v/>
      </c>
      <c r="H1876" s="150" t="str">
        <f>IFERROR(VLOOKUP(F1876,#REF!,3,0),"")</f>
        <v/>
      </c>
      <c r="I1876" s="151"/>
      <c r="J1876" s="151"/>
      <c r="K1876" s="152"/>
      <c r="L1876" s="153"/>
      <c r="M1876" s="154"/>
      <c r="N1876" s="151"/>
      <c r="O1876" s="155"/>
      <c r="P1876" s="156"/>
      <c r="Q1876" s="156"/>
      <c r="R1876" s="156"/>
      <c r="S1876" s="156"/>
      <c r="T1876" s="156"/>
      <c r="U1876" s="156"/>
      <c r="V1876" s="156"/>
      <c r="W1876" s="156"/>
      <c r="X1876" s="156"/>
      <c r="Y1876" s="156"/>
      <c r="Z1876" s="156"/>
      <c r="AA1876" s="156"/>
      <c r="AB1876" s="158">
        <f t="shared" si="623"/>
        <v>0</v>
      </c>
      <c r="AC1876" s="198"/>
      <c r="AE1876" s="160" t="str">
        <f t="shared" si="621"/>
        <v/>
      </c>
      <c r="AF1876" s="161">
        <f>IFERROR(VLOOKUP($F1876&amp;"-"&amp;$J1876,#REF!,#REF!+6,0),0)</f>
        <v>0</v>
      </c>
      <c r="AG1876" s="162">
        <f>IFERROR(VLOOKUP($F1876&amp;"-"&amp;$J1876,#REF!,#REF!+6,0),0)</f>
        <v>0</v>
      </c>
      <c r="AH1876" s="162">
        <f>IFERROR(VLOOKUP($F1876&amp;"-"&amp;$J1876,#REF!,#REF!+6,0),0)</f>
        <v>0</v>
      </c>
      <c r="AI1876" s="162">
        <f>IFERROR(VLOOKUP($F1876&amp;"-"&amp;$J1876,#REF!,#REF!+6,0),0)</f>
        <v>0</v>
      </c>
      <c r="AJ1876" s="162">
        <f>IFERROR(VLOOKUP($F1876&amp;"-"&amp;$J1876,#REF!,#REF!+6,0),0)</f>
        <v>0</v>
      </c>
      <c r="AK1876" s="162">
        <f>IFERROR(VLOOKUP($F1876&amp;"-"&amp;$J1876,#REF!,#REF!+6,0),0)</f>
        <v>0</v>
      </c>
      <c r="AL1876" s="162">
        <f>IFERROR(VLOOKUP($F1876&amp;"-"&amp;$J1876,#REF!,#REF!+6,0),0)</f>
        <v>0</v>
      </c>
      <c r="AM1876" s="162">
        <f>IFERROR(VLOOKUP($F1876&amp;"-"&amp;$J1876,#REF!,#REF!+6,0),0)</f>
        <v>0</v>
      </c>
      <c r="AN1876" s="162">
        <f>IFERROR(VLOOKUP($F1876&amp;"-"&amp;$J1876,#REF!,#REF!+6,0),0)</f>
        <v>0</v>
      </c>
      <c r="AO1876" s="162">
        <f>IFERROR(VLOOKUP($F1876&amp;"-"&amp;$J1876,#REF!,#REF!+6,0),0)</f>
        <v>0</v>
      </c>
      <c r="AP1876" s="162">
        <f>IFERROR(VLOOKUP($F1876&amp;"-"&amp;$J1876,#REF!,#REF!+6,0),0)</f>
        <v>0</v>
      </c>
      <c r="AQ1876" s="162">
        <f>IFERROR(VLOOKUP($F1876&amp;"-"&amp;$J1876,#REF!,#REF!+6,0),0)</f>
        <v>0</v>
      </c>
      <c r="AR1876" s="163">
        <f t="shared" si="622"/>
        <v>0</v>
      </c>
    </row>
    <row r="1877" spans="1:59" x14ac:dyDescent="0.25">
      <c r="B1877" s="15" t="s">
        <v>226</v>
      </c>
      <c r="C1877" s="83">
        <f t="shared" si="620"/>
        <v>0</v>
      </c>
      <c r="F1877" s="148"/>
      <c r="G1877" s="149" t="str">
        <f>IFERROR(VLOOKUP(F1877,#REF!,2,0),"")</f>
        <v/>
      </c>
      <c r="H1877" s="150" t="str">
        <f>IFERROR(VLOOKUP(F1877,#REF!,3,0),"")</f>
        <v/>
      </c>
      <c r="I1877" s="151"/>
      <c r="J1877" s="151"/>
      <c r="K1877" s="152"/>
      <c r="L1877" s="153"/>
      <c r="M1877" s="154"/>
      <c r="N1877" s="151"/>
      <c r="O1877" s="155"/>
      <c r="P1877" s="156"/>
      <c r="Q1877" s="156"/>
      <c r="R1877" s="156"/>
      <c r="S1877" s="156"/>
      <c r="T1877" s="156"/>
      <c r="U1877" s="156"/>
      <c r="V1877" s="156"/>
      <c r="W1877" s="156"/>
      <c r="X1877" s="156"/>
      <c r="Y1877" s="156"/>
      <c r="Z1877" s="156"/>
      <c r="AA1877" s="156"/>
      <c r="AB1877" s="158">
        <f t="shared" si="623"/>
        <v>0</v>
      </c>
      <c r="AC1877" s="198"/>
      <c r="AE1877" s="160" t="str">
        <f t="shared" si="621"/>
        <v/>
      </c>
      <c r="AF1877" s="161">
        <f>IFERROR(VLOOKUP($F1877&amp;"-"&amp;$J1877,#REF!,#REF!+6,0),0)</f>
        <v>0</v>
      </c>
      <c r="AG1877" s="162">
        <f>IFERROR(VLOOKUP($F1877&amp;"-"&amp;$J1877,#REF!,#REF!+6,0),0)</f>
        <v>0</v>
      </c>
      <c r="AH1877" s="162">
        <f>IFERROR(VLOOKUP($F1877&amp;"-"&amp;$J1877,#REF!,#REF!+6,0),0)</f>
        <v>0</v>
      </c>
      <c r="AI1877" s="162">
        <f>IFERROR(VLOOKUP($F1877&amp;"-"&amp;$J1877,#REF!,#REF!+6,0),0)</f>
        <v>0</v>
      </c>
      <c r="AJ1877" s="162">
        <f>IFERROR(VLOOKUP($F1877&amp;"-"&amp;$J1877,#REF!,#REF!+6,0),0)</f>
        <v>0</v>
      </c>
      <c r="AK1877" s="162">
        <f>IFERROR(VLOOKUP($F1877&amp;"-"&amp;$J1877,#REF!,#REF!+6,0),0)</f>
        <v>0</v>
      </c>
      <c r="AL1877" s="162">
        <f>IFERROR(VLOOKUP($F1877&amp;"-"&amp;$J1877,#REF!,#REF!+6,0),0)</f>
        <v>0</v>
      </c>
      <c r="AM1877" s="162">
        <f>IFERROR(VLOOKUP($F1877&amp;"-"&amp;$J1877,#REF!,#REF!+6,0),0)</f>
        <v>0</v>
      </c>
      <c r="AN1877" s="162">
        <f>IFERROR(VLOOKUP($F1877&amp;"-"&amp;$J1877,#REF!,#REF!+6,0),0)</f>
        <v>0</v>
      </c>
      <c r="AO1877" s="162">
        <f>IFERROR(VLOOKUP($F1877&amp;"-"&amp;$J1877,#REF!,#REF!+6,0),0)</f>
        <v>0</v>
      </c>
      <c r="AP1877" s="162">
        <f>IFERROR(VLOOKUP($F1877&amp;"-"&amp;$J1877,#REF!,#REF!+6,0),0)</f>
        <v>0</v>
      </c>
      <c r="AQ1877" s="162">
        <f>IFERROR(VLOOKUP($F1877&amp;"-"&amp;$J1877,#REF!,#REF!+6,0),0)</f>
        <v>0</v>
      </c>
      <c r="AR1877" s="163">
        <f t="shared" si="622"/>
        <v>0</v>
      </c>
    </row>
    <row r="1878" spans="1:59" x14ac:dyDescent="0.25">
      <c r="B1878" s="15" t="s">
        <v>226</v>
      </c>
      <c r="C1878" s="83">
        <f t="shared" si="620"/>
        <v>0</v>
      </c>
      <c r="F1878" s="148"/>
      <c r="G1878" s="149" t="str">
        <f>IFERROR(VLOOKUP(F1878,#REF!,2,0),"")</f>
        <v/>
      </c>
      <c r="H1878" s="150" t="str">
        <f>IFERROR(VLOOKUP(F1878,#REF!,3,0),"")</f>
        <v/>
      </c>
      <c r="I1878" s="151"/>
      <c r="J1878" s="151"/>
      <c r="K1878" s="152"/>
      <c r="L1878" s="153"/>
      <c r="M1878" s="154"/>
      <c r="N1878" s="151"/>
      <c r="O1878" s="155"/>
      <c r="P1878" s="156"/>
      <c r="Q1878" s="156"/>
      <c r="R1878" s="156"/>
      <c r="S1878" s="156"/>
      <c r="T1878" s="156"/>
      <c r="U1878" s="156"/>
      <c r="V1878" s="156"/>
      <c r="W1878" s="156"/>
      <c r="X1878" s="156"/>
      <c r="Y1878" s="156"/>
      <c r="Z1878" s="156"/>
      <c r="AA1878" s="156"/>
      <c r="AB1878" s="158">
        <f t="shared" si="623"/>
        <v>0</v>
      </c>
      <c r="AC1878" s="198"/>
      <c r="AE1878" s="160" t="str">
        <f t="shared" si="621"/>
        <v/>
      </c>
      <c r="AF1878" s="161">
        <f>IFERROR(VLOOKUP($F1878&amp;"-"&amp;$J1878,#REF!,#REF!+6,0),0)</f>
        <v>0</v>
      </c>
      <c r="AG1878" s="162">
        <f>IFERROR(VLOOKUP($F1878&amp;"-"&amp;$J1878,#REF!,#REF!+6,0),0)</f>
        <v>0</v>
      </c>
      <c r="AH1878" s="162">
        <f>IFERROR(VLOOKUP($F1878&amp;"-"&amp;$J1878,#REF!,#REF!+6,0),0)</f>
        <v>0</v>
      </c>
      <c r="AI1878" s="162">
        <f>IFERROR(VLOOKUP($F1878&amp;"-"&amp;$J1878,#REF!,#REF!+6,0),0)</f>
        <v>0</v>
      </c>
      <c r="AJ1878" s="162">
        <f>IFERROR(VLOOKUP($F1878&amp;"-"&amp;$J1878,#REF!,#REF!+6,0),0)</f>
        <v>0</v>
      </c>
      <c r="AK1878" s="162">
        <f>IFERROR(VLOOKUP($F1878&amp;"-"&amp;$J1878,#REF!,#REF!+6,0),0)</f>
        <v>0</v>
      </c>
      <c r="AL1878" s="162">
        <f>IFERROR(VLOOKUP($F1878&amp;"-"&amp;$J1878,#REF!,#REF!+6,0),0)</f>
        <v>0</v>
      </c>
      <c r="AM1878" s="162">
        <f>IFERROR(VLOOKUP($F1878&amp;"-"&amp;$J1878,#REF!,#REF!+6,0),0)</f>
        <v>0</v>
      </c>
      <c r="AN1878" s="162">
        <f>IFERROR(VLOOKUP($F1878&amp;"-"&amp;$J1878,#REF!,#REF!+6,0),0)</f>
        <v>0</v>
      </c>
      <c r="AO1878" s="162">
        <f>IFERROR(VLOOKUP($F1878&amp;"-"&amp;$J1878,#REF!,#REF!+6,0),0)</f>
        <v>0</v>
      </c>
      <c r="AP1878" s="162">
        <f>IFERROR(VLOOKUP($F1878&amp;"-"&amp;$J1878,#REF!,#REF!+6,0),0)</f>
        <v>0</v>
      </c>
      <c r="AQ1878" s="162">
        <f>IFERROR(VLOOKUP($F1878&amp;"-"&amp;$J1878,#REF!,#REF!+6,0),0)</f>
        <v>0</v>
      </c>
      <c r="AR1878" s="163">
        <f t="shared" si="622"/>
        <v>0</v>
      </c>
    </row>
    <row r="1879" spans="1:59" x14ac:dyDescent="0.25">
      <c r="B1879" s="15" t="s">
        <v>226</v>
      </c>
      <c r="C1879" s="83">
        <f t="shared" si="620"/>
        <v>0</v>
      </c>
      <c r="F1879" s="148"/>
      <c r="G1879" s="149" t="str">
        <f>IFERROR(VLOOKUP(F1879,#REF!,2,0),"")</f>
        <v/>
      </c>
      <c r="H1879" s="150" t="str">
        <f>IFERROR(VLOOKUP(F1879,#REF!,3,0),"")</f>
        <v/>
      </c>
      <c r="I1879" s="151"/>
      <c r="J1879" s="151"/>
      <c r="K1879" s="152"/>
      <c r="L1879" s="153"/>
      <c r="M1879" s="154"/>
      <c r="N1879" s="151"/>
      <c r="O1879" s="155"/>
      <c r="P1879" s="156"/>
      <c r="Q1879" s="156"/>
      <c r="R1879" s="156"/>
      <c r="S1879" s="156"/>
      <c r="T1879" s="156"/>
      <c r="U1879" s="156"/>
      <c r="V1879" s="156"/>
      <c r="W1879" s="156"/>
      <c r="X1879" s="156"/>
      <c r="Y1879" s="156"/>
      <c r="Z1879" s="156"/>
      <c r="AA1879" s="156"/>
      <c r="AB1879" s="158">
        <f t="shared" si="623"/>
        <v>0</v>
      </c>
      <c r="AC1879" s="198"/>
      <c r="AE1879" s="160" t="str">
        <f t="shared" si="621"/>
        <v/>
      </c>
      <c r="AF1879" s="161">
        <f>IFERROR(VLOOKUP($F1879&amp;"-"&amp;$J1879,#REF!,#REF!+6,0),0)</f>
        <v>0</v>
      </c>
      <c r="AG1879" s="162">
        <f>IFERROR(VLOOKUP($F1879&amp;"-"&amp;$J1879,#REF!,#REF!+6,0),0)</f>
        <v>0</v>
      </c>
      <c r="AH1879" s="162">
        <f>IFERROR(VLOOKUP($F1879&amp;"-"&amp;$J1879,#REF!,#REF!+6,0),0)</f>
        <v>0</v>
      </c>
      <c r="AI1879" s="162">
        <f>IFERROR(VLOOKUP($F1879&amp;"-"&amp;$J1879,#REF!,#REF!+6,0),0)</f>
        <v>0</v>
      </c>
      <c r="AJ1879" s="162">
        <f>IFERROR(VLOOKUP($F1879&amp;"-"&amp;$J1879,#REF!,#REF!+6,0),0)</f>
        <v>0</v>
      </c>
      <c r="AK1879" s="162">
        <f>IFERROR(VLOOKUP($F1879&amp;"-"&amp;$J1879,#REF!,#REF!+6,0),0)</f>
        <v>0</v>
      </c>
      <c r="AL1879" s="162">
        <f>IFERROR(VLOOKUP($F1879&amp;"-"&amp;$J1879,#REF!,#REF!+6,0),0)</f>
        <v>0</v>
      </c>
      <c r="AM1879" s="162">
        <f>IFERROR(VLOOKUP($F1879&amp;"-"&amp;$J1879,#REF!,#REF!+6,0),0)</f>
        <v>0</v>
      </c>
      <c r="AN1879" s="162">
        <f>IFERROR(VLOOKUP($F1879&amp;"-"&amp;$J1879,#REF!,#REF!+6,0),0)</f>
        <v>0</v>
      </c>
      <c r="AO1879" s="162">
        <f>IFERROR(VLOOKUP($F1879&amp;"-"&amp;$J1879,#REF!,#REF!+6,0),0)</f>
        <v>0</v>
      </c>
      <c r="AP1879" s="162">
        <f>IFERROR(VLOOKUP($F1879&amp;"-"&amp;$J1879,#REF!,#REF!+6,0),0)</f>
        <v>0</v>
      </c>
      <c r="AQ1879" s="162">
        <f>IFERROR(VLOOKUP($F1879&amp;"-"&amp;$J1879,#REF!,#REF!+6,0),0)</f>
        <v>0</v>
      </c>
      <c r="AR1879" s="163">
        <f t="shared" si="622"/>
        <v>0</v>
      </c>
    </row>
    <row r="1880" spans="1:59" x14ac:dyDescent="0.25">
      <c r="B1880" s="15" t="s">
        <v>226</v>
      </c>
      <c r="C1880" s="83">
        <f t="shared" si="620"/>
        <v>0</v>
      </c>
      <c r="F1880" s="148"/>
      <c r="G1880" s="149" t="str">
        <f>IFERROR(VLOOKUP(F1880,#REF!,2,0),"")</f>
        <v/>
      </c>
      <c r="H1880" s="150" t="str">
        <f>IFERROR(VLOOKUP(F1880,#REF!,3,0),"")</f>
        <v/>
      </c>
      <c r="I1880" s="151"/>
      <c r="J1880" s="151"/>
      <c r="K1880" s="152"/>
      <c r="L1880" s="153"/>
      <c r="M1880" s="154"/>
      <c r="N1880" s="151"/>
      <c r="O1880" s="155"/>
      <c r="P1880" s="156"/>
      <c r="Q1880" s="156"/>
      <c r="R1880" s="156"/>
      <c r="S1880" s="156"/>
      <c r="T1880" s="156"/>
      <c r="U1880" s="156"/>
      <c r="V1880" s="156"/>
      <c r="W1880" s="156"/>
      <c r="X1880" s="156"/>
      <c r="Y1880" s="156"/>
      <c r="Z1880" s="156"/>
      <c r="AA1880" s="156"/>
      <c r="AB1880" s="158">
        <f t="shared" si="623"/>
        <v>0</v>
      </c>
      <c r="AC1880" s="198"/>
      <c r="AE1880" s="160" t="str">
        <f t="shared" si="621"/>
        <v/>
      </c>
      <c r="AF1880" s="161">
        <f>IFERROR(VLOOKUP($F1880&amp;"-"&amp;$J1880,#REF!,#REF!+6,0),0)</f>
        <v>0</v>
      </c>
      <c r="AG1880" s="162">
        <f>IFERROR(VLOOKUP($F1880&amp;"-"&amp;$J1880,#REF!,#REF!+6,0),0)</f>
        <v>0</v>
      </c>
      <c r="AH1880" s="162">
        <f>IFERROR(VLOOKUP($F1880&amp;"-"&amp;$J1880,#REF!,#REF!+6,0),0)</f>
        <v>0</v>
      </c>
      <c r="AI1880" s="162">
        <f>IFERROR(VLOOKUP($F1880&amp;"-"&amp;$J1880,#REF!,#REF!+6,0),0)</f>
        <v>0</v>
      </c>
      <c r="AJ1880" s="162">
        <f>IFERROR(VLOOKUP($F1880&amp;"-"&amp;$J1880,#REF!,#REF!+6,0),0)</f>
        <v>0</v>
      </c>
      <c r="AK1880" s="162">
        <f>IFERROR(VLOOKUP($F1880&amp;"-"&amp;$J1880,#REF!,#REF!+6,0),0)</f>
        <v>0</v>
      </c>
      <c r="AL1880" s="162">
        <f>IFERROR(VLOOKUP($F1880&amp;"-"&amp;$J1880,#REF!,#REF!+6,0),0)</f>
        <v>0</v>
      </c>
      <c r="AM1880" s="162">
        <f>IFERROR(VLOOKUP($F1880&amp;"-"&amp;$J1880,#REF!,#REF!+6,0),0)</f>
        <v>0</v>
      </c>
      <c r="AN1880" s="162">
        <f>IFERROR(VLOOKUP($F1880&amp;"-"&amp;$J1880,#REF!,#REF!+6,0),0)</f>
        <v>0</v>
      </c>
      <c r="AO1880" s="162">
        <f>IFERROR(VLOOKUP($F1880&amp;"-"&amp;$J1880,#REF!,#REF!+6,0),0)</f>
        <v>0</v>
      </c>
      <c r="AP1880" s="162">
        <f>IFERROR(VLOOKUP($F1880&amp;"-"&amp;$J1880,#REF!,#REF!+6,0),0)</f>
        <v>0</v>
      </c>
      <c r="AQ1880" s="162">
        <f>IFERROR(VLOOKUP($F1880&amp;"-"&amp;$J1880,#REF!,#REF!+6,0),0)</f>
        <v>0</v>
      </c>
      <c r="AR1880" s="163">
        <f t="shared" si="622"/>
        <v>0</v>
      </c>
    </row>
    <row r="1881" spans="1:59" x14ac:dyDescent="0.25">
      <c r="B1881" s="15" t="s">
        <v>226</v>
      </c>
      <c r="C1881" s="83">
        <f t="shared" si="620"/>
        <v>0</v>
      </c>
      <c r="F1881" s="148"/>
      <c r="G1881" s="149" t="str">
        <f>IFERROR(VLOOKUP(F1881,#REF!,2,0),"")</f>
        <v/>
      </c>
      <c r="H1881" s="150" t="str">
        <f>IFERROR(VLOOKUP(F1881,#REF!,3,0),"")</f>
        <v/>
      </c>
      <c r="I1881" s="151"/>
      <c r="J1881" s="151"/>
      <c r="K1881" s="152"/>
      <c r="L1881" s="153"/>
      <c r="M1881" s="154"/>
      <c r="N1881" s="151"/>
      <c r="O1881" s="155"/>
      <c r="P1881" s="156"/>
      <c r="Q1881" s="156"/>
      <c r="R1881" s="156"/>
      <c r="S1881" s="156"/>
      <c r="T1881" s="156"/>
      <c r="U1881" s="156"/>
      <c r="V1881" s="156"/>
      <c r="W1881" s="156"/>
      <c r="X1881" s="156"/>
      <c r="Y1881" s="156"/>
      <c r="Z1881" s="156"/>
      <c r="AA1881" s="156"/>
      <c r="AB1881" s="158">
        <f t="shared" si="623"/>
        <v>0</v>
      </c>
      <c r="AC1881" s="198"/>
      <c r="AE1881" s="160" t="str">
        <f t="shared" si="621"/>
        <v/>
      </c>
      <c r="AF1881" s="161">
        <f>IFERROR(VLOOKUP($F1881&amp;"-"&amp;$J1881,#REF!,#REF!+6,0),0)</f>
        <v>0</v>
      </c>
      <c r="AG1881" s="162">
        <f>IFERROR(VLOOKUP($F1881&amp;"-"&amp;$J1881,#REF!,#REF!+6,0),0)</f>
        <v>0</v>
      </c>
      <c r="AH1881" s="162">
        <f>IFERROR(VLOOKUP($F1881&amp;"-"&amp;$J1881,#REF!,#REF!+6,0),0)</f>
        <v>0</v>
      </c>
      <c r="AI1881" s="162">
        <f>IFERROR(VLOOKUP($F1881&amp;"-"&amp;$J1881,#REF!,#REF!+6,0),0)</f>
        <v>0</v>
      </c>
      <c r="AJ1881" s="162">
        <f>IFERROR(VLOOKUP($F1881&amp;"-"&amp;$J1881,#REF!,#REF!+6,0),0)</f>
        <v>0</v>
      </c>
      <c r="AK1881" s="162">
        <f>IFERROR(VLOOKUP($F1881&amp;"-"&amp;$J1881,#REF!,#REF!+6,0),0)</f>
        <v>0</v>
      </c>
      <c r="AL1881" s="162">
        <f>IFERROR(VLOOKUP($F1881&amp;"-"&amp;$J1881,#REF!,#REF!+6,0),0)</f>
        <v>0</v>
      </c>
      <c r="AM1881" s="162">
        <f>IFERROR(VLOOKUP($F1881&amp;"-"&amp;$J1881,#REF!,#REF!+6,0),0)</f>
        <v>0</v>
      </c>
      <c r="AN1881" s="162">
        <f>IFERROR(VLOOKUP($F1881&amp;"-"&amp;$J1881,#REF!,#REF!+6,0),0)</f>
        <v>0</v>
      </c>
      <c r="AO1881" s="162">
        <f>IFERROR(VLOOKUP($F1881&amp;"-"&amp;$J1881,#REF!,#REF!+6,0),0)</f>
        <v>0</v>
      </c>
      <c r="AP1881" s="162">
        <f>IFERROR(VLOOKUP($F1881&amp;"-"&amp;$J1881,#REF!,#REF!+6,0),0)</f>
        <v>0</v>
      </c>
      <c r="AQ1881" s="162">
        <f>IFERROR(VLOOKUP($F1881&amp;"-"&amp;$J1881,#REF!,#REF!+6,0),0)</f>
        <v>0</v>
      </c>
      <c r="AR1881" s="163">
        <f t="shared" si="622"/>
        <v>0</v>
      </c>
    </row>
    <row r="1882" spans="1:59" x14ac:dyDescent="0.25">
      <c r="B1882" s="15" t="s">
        <v>226</v>
      </c>
      <c r="C1882" s="83">
        <f t="shared" si="620"/>
        <v>0</v>
      </c>
      <c r="F1882" s="148"/>
      <c r="G1882" s="149" t="str">
        <f>IFERROR(VLOOKUP(F1882,#REF!,2,0),"")</f>
        <v/>
      </c>
      <c r="H1882" s="150" t="str">
        <f>IFERROR(VLOOKUP(F1882,#REF!,3,0),"")</f>
        <v/>
      </c>
      <c r="I1882" s="151"/>
      <c r="J1882" s="151"/>
      <c r="K1882" s="152"/>
      <c r="L1882" s="153"/>
      <c r="M1882" s="154"/>
      <c r="N1882" s="151"/>
      <c r="O1882" s="155"/>
      <c r="P1882" s="156"/>
      <c r="Q1882" s="156"/>
      <c r="R1882" s="156"/>
      <c r="S1882" s="156"/>
      <c r="T1882" s="156"/>
      <c r="U1882" s="156"/>
      <c r="V1882" s="156"/>
      <c r="W1882" s="156"/>
      <c r="X1882" s="156"/>
      <c r="Y1882" s="156"/>
      <c r="Z1882" s="156"/>
      <c r="AA1882" s="156"/>
      <c r="AB1882" s="158">
        <f t="shared" si="623"/>
        <v>0</v>
      </c>
      <c r="AC1882" s="198"/>
      <c r="AE1882" s="160" t="str">
        <f t="shared" si="621"/>
        <v/>
      </c>
      <c r="AF1882" s="161">
        <f>IFERROR(VLOOKUP($F1882&amp;"-"&amp;$J1882,#REF!,#REF!+6,0),0)</f>
        <v>0</v>
      </c>
      <c r="AG1882" s="162">
        <f>IFERROR(VLOOKUP($F1882&amp;"-"&amp;$J1882,#REF!,#REF!+6,0),0)</f>
        <v>0</v>
      </c>
      <c r="AH1882" s="162">
        <f>IFERROR(VLOOKUP($F1882&amp;"-"&amp;$J1882,#REF!,#REF!+6,0),0)</f>
        <v>0</v>
      </c>
      <c r="AI1882" s="162">
        <f>IFERROR(VLOOKUP($F1882&amp;"-"&amp;$J1882,#REF!,#REF!+6,0),0)</f>
        <v>0</v>
      </c>
      <c r="AJ1882" s="162">
        <f>IFERROR(VLOOKUP($F1882&amp;"-"&amp;$J1882,#REF!,#REF!+6,0),0)</f>
        <v>0</v>
      </c>
      <c r="AK1882" s="162">
        <f>IFERROR(VLOOKUP($F1882&amp;"-"&amp;$J1882,#REF!,#REF!+6,0),0)</f>
        <v>0</v>
      </c>
      <c r="AL1882" s="162">
        <f>IFERROR(VLOOKUP($F1882&amp;"-"&amp;$J1882,#REF!,#REF!+6,0),0)</f>
        <v>0</v>
      </c>
      <c r="AM1882" s="162">
        <f>IFERROR(VLOOKUP($F1882&amp;"-"&amp;$J1882,#REF!,#REF!+6,0),0)</f>
        <v>0</v>
      </c>
      <c r="AN1882" s="162">
        <f>IFERROR(VLOOKUP($F1882&amp;"-"&amp;$J1882,#REF!,#REF!+6,0),0)</f>
        <v>0</v>
      </c>
      <c r="AO1882" s="162">
        <f>IFERROR(VLOOKUP($F1882&amp;"-"&amp;$J1882,#REF!,#REF!+6,0),0)</f>
        <v>0</v>
      </c>
      <c r="AP1882" s="162">
        <f>IFERROR(VLOOKUP($F1882&amp;"-"&amp;$J1882,#REF!,#REF!+6,0),0)</f>
        <v>0</v>
      </c>
      <c r="AQ1882" s="162">
        <f>IFERROR(VLOOKUP($F1882&amp;"-"&amp;$J1882,#REF!,#REF!+6,0),0)</f>
        <v>0</v>
      </c>
      <c r="AR1882" s="163">
        <f t="shared" si="622"/>
        <v>0</v>
      </c>
    </row>
    <row r="1883" spans="1:59" x14ac:dyDescent="0.25">
      <c r="B1883" s="15" t="s">
        <v>226</v>
      </c>
      <c r="C1883" s="83">
        <f t="shared" si="620"/>
        <v>0</v>
      </c>
      <c r="F1883" s="148"/>
      <c r="G1883" s="149" t="str">
        <f>IFERROR(VLOOKUP(F1883,#REF!,2,0),"")</f>
        <v/>
      </c>
      <c r="H1883" s="150" t="str">
        <f>IFERROR(VLOOKUP(F1883,#REF!,3,0),"")</f>
        <v/>
      </c>
      <c r="I1883" s="151"/>
      <c r="J1883" s="151"/>
      <c r="K1883" s="152"/>
      <c r="L1883" s="153"/>
      <c r="M1883" s="154"/>
      <c r="N1883" s="151"/>
      <c r="O1883" s="155"/>
      <c r="P1883" s="156"/>
      <c r="Q1883" s="156"/>
      <c r="R1883" s="156"/>
      <c r="S1883" s="156"/>
      <c r="T1883" s="156"/>
      <c r="U1883" s="156"/>
      <c r="V1883" s="156"/>
      <c r="W1883" s="156"/>
      <c r="X1883" s="156"/>
      <c r="Y1883" s="156"/>
      <c r="Z1883" s="156"/>
      <c r="AA1883" s="156"/>
      <c r="AB1883" s="158">
        <f t="shared" si="623"/>
        <v>0</v>
      </c>
      <c r="AC1883" s="198"/>
      <c r="AE1883" s="160" t="str">
        <f t="shared" si="621"/>
        <v/>
      </c>
      <c r="AF1883" s="161">
        <f>IFERROR(VLOOKUP($F1883&amp;"-"&amp;$J1883,#REF!,#REF!+6,0),0)</f>
        <v>0</v>
      </c>
      <c r="AG1883" s="162">
        <f>IFERROR(VLOOKUP($F1883&amp;"-"&amp;$J1883,#REF!,#REF!+6,0),0)</f>
        <v>0</v>
      </c>
      <c r="AH1883" s="162">
        <f>IFERROR(VLOOKUP($F1883&amp;"-"&amp;$J1883,#REF!,#REF!+6,0),0)</f>
        <v>0</v>
      </c>
      <c r="AI1883" s="162">
        <f>IFERROR(VLOOKUP($F1883&amp;"-"&amp;$J1883,#REF!,#REF!+6,0),0)</f>
        <v>0</v>
      </c>
      <c r="AJ1883" s="162">
        <f>IFERROR(VLOOKUP($F1883&amp;"-"&amp;$J1883,#REF!,#REF!+6,0),0)</f>
        <v>0</v>
      </c>
      <c r="AK1883" s="162">
        <f>IFERROR(VLOOKUP($F1883&amp;"-"&amp;$J1883,#REF!,#REF!+6,0),0)</f>
        <v>0</v>
      </c>
      <c r="AL1883" s="162">
        <f>IFERROR(VLOOKUP($F1883&amp;"-"&amp;$J1883,#REF!,#REF!+6,0),0)</f>
        <v>0</v>
      </c>
      <c r="AM1883" s="162">
        <f>IFERROR(VLOOKUP($F1883&amp;"-"&amp;$J1883,#REF!,#REF!+6,0),0)</f>
        <v>0</v>
      </c>
      <c r="AN1883" s="162">
        <f>IFERROR(VLOOKUP($F1883&amp;"-"&amp;$J1883,#REF!,#REF!+6,0),0)</f>
        <v>0</v>
      </c>
      <c r="AO1883" s="162">
        <f>IFERROR(VLOOKUP($F1883&amp;"-"&amp;$J1883,#REF!,#REF!+6,0),0)</f>
        <v>0</v>
      </c>
      <c r="AP1883" s="162">
        <f>IFERROR(VLOOKUP($F1883&amp;"-"&amp;$J1883,#REF!,#REF!+6,0),0)</f>
        <v>0</v>
      </c>
      <c r="AQ1883" s="162">
        <f>IFERROR(VLOOKUP($F1883&amp;"-"&amp;$J1883,#REF!,#REF!+6,0),0)</f>
        <v>0</v>
      </c>
      <c r="AR1883" s="163">
        <f t="shared" si="622"/>
        <v>0</v>
      </c>
    </row>
    <row r="1884" spans="1:59" x14ac:dyDescent="0.25">
      <c r="B1884" s="15" t="s">
        <v>226</v>
      </c>
      <c r="C1884" s="83">
        <f t="shared" si="620"/>
        <v>0</v>
      </c>
      <c r="F1884" s="148"/>
      <c r="G1884" s="149" t="str">
        <f>IFERROR(VLOOKUP(F1884,#REF!,2,0),"")</f>
        <v/>
      </c>
      <c r="H1884" s="150" t="str">
        <f>IFERROR(VLOOKUP(F1884,#REF!,3,0),"")</f>
        <v/>
      </c>
      <c r="I1884" s="151"/>
      <c r="J1884" s="151"/>
      <c r="K1884" s="152"/>
      <c r="L1884" s="153"/>
      <c r="M1884" s="154"/>
      <c r="N1884" s="151"/>
      <c r="O1884" s="155"/>
      <c r="P1884" s="156"/>
      <c r="Q1884" s="156"/>
      <c r="R1884" s="156"/>
      <c r="S1884" s="156"/>
      <c r="T1884" s="156"/>
      <c r="U1884" s="156"/>
      <c r="V1884" s="156"/>
      <c r="W1884" s="156"/>
      <c r="X1884" s="156"/>
      <c r="Y1884" s="156"/>
      <c r="Z1884" s="156"/>
      <c r="AA1884" s="156"/>
      <c r="AB1884" s="158">
        <f t="shared" si="623"/>
        <v>0</v>
      </c>
      <c r="AC1884" s="198"/>
      <c r="AE1884" s="160" t="str">
        <f t="shared" si="621"/>
        <v/>
      </c>
      <c r="AF1884" s="161">
        <f>IFERROR(VLOOKUP($F1884&amp;"-"&amp;$J1884,#REF!,#REF!+6,0),0)</f>
        <v>0</v>
      </c>
      <c r="AG1884" s="162">
        <f>IFERROR(VLOOKUP($F1884&amp;"-"&amp;$J1884,#REF!,#REF!+6,0),0)</f>
        <v>0</v>
      </c>
      <c r="AH1884" s="162">
        <f>IFERROR(VLOOKUP($F1884&amp;"-"&amp;$J1884,#REF!,#REF!+6,0),0)</f>
        <v>0</v>
      </c>
      <c r="AI1884" s="162">
        <f>IFERROR(VLOOKUP($F1884&amp;"-"&amp;$J1884,#REF!,#REF!+6,0),0)</f>
        <v>0</v>
      </c>
      <c r="AJ1884" s="162">
        <f>IFERROR(VLOOKUP($F1884&amp;"-"&amp;$J1884,#REF!,#REF!+6,0),0)</f>
        <v>0</v>
      </c>
      <c r="AK1884" s="162">
        <f>IFERROR(VLOOKUP($F1884&amp;"-"&amp;$J1884,#REF!,#REF!+6,0),0)</f>
        <v>0</v>
      </c>
      <c r="AL1884" s="162">
        <f>IFERROR(VLOOKUP($F1884&amp;"-"&amp;$J1884,#REF!,#REF!+6,0),0)</f>
        <v>0</v>
      </c>
      <c r="AM1884" s="162">
        <f>IFERROR(VLOOKUP($F1884&amp;"-"&amp;$J1884,#REF!,#REF!+6,0),0)</f>
        <v>0</v>
      </c>
      <c r="AN1884" s="162">
        <f>IFERROR(VLOOKUP($F1884&amp;"-"&amp;$J1884,#REF!,#REF!+6,0),0)</f>
        <v>0</v>
      </c>
      <c r="AO1884" s="162">
        <f>IFERROR(VLOOKUP($F1884&amp;"-"&amp;$J1884,#REF!,#REF!+6,0),0)</f>
        <v>0</v>
      </c>
      <c r="AP1884" s="162">
        <f>IFERROR(VLOOKUP($F1884&amp;"-"&amp;$J1884,#REF!,#REF!+6,0),0)</f>
        <v>0</v>
      </c>
      <c r="AQ1884" s="162">
        <f>IFERROR(VLOOKUP($F1884&amp;"-"&amp;$J1884,#REF!,#REF!+6,0),0)</f>
        <v>0</v>
      </c>
      <c r="AR1884" s="163">
        <f t="shared" si="622"/>
        <v>0</v>
      </c>
    </row>
    <row r="1885" spans="1:59" x14ac:dyDescent="0.25">
      <c r="B1885" s="15" t="s">
        <v>226</v>
      </c>
      <c r="C1885" s="83">
        <f t="shared" si="620"/>
        <v>0</v>
      </c>
      <c r="F1885" s="164"/>
      <c r="G1885" s="149" t="str">
        <f>IFERROR(VLOOKUP(F1885,#REF!,2,0),"")</f>
        <v/>
      </c>
      <c r="H1885" s="184" t="str">
        <f>IFERROR(VLOOKUP(F1885,#REF!,3,0),"")</f>
        <v/>
      </c>
      <c r="I1885" s="165"/>
      <c r="J1885" s="165"/>
      <c r="K1885" s="166"/>
      <c r="L1885" s="167"/>
      <c r="M1885" s="168"/>
      <c r="N1885" s="165"/>
      <c r="O1885" s="169"/>
      <c r="P1885" s="170"/>
      <c r="Q1885" s="170"/>
      <c r="R1885" s="170"/>
      <c r="S1885" s="170"/>
      <c r="T1885" s="170"/>
      <c r="U1885" s="170"/>
      <c r="V1885" s="170"/>
      <c r="W1885" s="170"/>
      <c r="X1885" s="170"/>
      <c r="Y1885" s="170"/>
      <c r="Z1885" s="170"/>
      <c r="AA1885" s="170"/>
      <c r="AB1885" s="171">
        <f t="shared" si="623"/>
        <v>0</v>
      </c>
      <c r="AC1885" s="172"/>
      <c r="AE1885" s="173" t="str">
        <f t="shared" si="621"/>
        <v/>
      </c>
      <c r="AF1885" s="174">
        <f>IFERROR(VLOOKUP($F1885&amp;"-"&amp;$J1885,#REF!,#REF!+6,0),0)</f>
        <v>0</v>
      </c>
      <c r="AG1885" s="175">
        <f>IFERROR(VLOOKUP($F1885&amp;"-"&amp;$J1885,#REF!,#REF!+6,0),0)</f>
        <v>0</v>
      </c>
      <c r="AH1885" s="175">
        <f>IFERROR(VLOOKUP($F1885&amp;"-"&amp;$J1885,#REF!,#REF!+6,0),0)</f>
        <v>0</v>
      </c>
      <c r="AI1885" s="175">
        <f>IFERROR(VLOOKUP($F1885&amp;"-"&amp;$J1885,#REF!,#REF!+6,0),0)</f>
        <v>0</v>
      </c>
      <c r="AJ1885" s="175">
        <f>IFERROR(VLOOKUP($F1885&amp;"-"&amp;$J1885,#REF!,#REF!+6,0),0)</f>
        <v>0</v>
      </c>
      <c r="AK1885" s="175">
        <f>IFERROR(VLOOKUP($F1885&amp;"-"&amp;$J1885,#REF!,#REF!+6,0),0)</f>
        <v>0</v>
      </c>
      <c r="AL1885" s="175">
        <f>IFERROR(VLOOKUP($F1885&amp;"-"&amp;$J1885,#REF!,#REF!+6,0),0)</f>
        <v>0</v>
      </c>
      <c r="AM1885" s="175">
        <f>IFERROR(VLOOKUP($F1885&amp;"-"&amp;$J1885,#REF!,#REF!+6,0),0)</f>
        <v>0</v>
      </c>
      <c r="AN1885" s="175">
        <f>IFERROR(VLOOKUP($F1885&amp;"-"&amp;$J1885,#REF!,#REF!+6,0),0)</f>
        <v>0</v>
      </c>
      <c r="AO1885" s="175">
        <f>IFERROR(VLOOKUP($F1885&amp;"-"&amp;$J1885,#REF!,#REF!+6,0),0)</f>
        <v>0</v>
      </c>
      <c r="AP1885" s="175">
        <f>IFERROR(VLOOKUP($F1885&amp;"-"&amp;$J1885,#REF!,#REF!+6,0),0)</f>
        <v>0</v>
      </c>
      <c r="AQ1885" s="175">
        <f>IFERROR(VLOOKUP($F1885&amp;"-"&amp;$J1885,#REF!,#REF!+6,0),0)</f>
        <v>0</v>
      </c>
      <c r="AR1885" s="176">
        <f t="shared" si="622"/>
        <v>0</v>
      </c>
    </row>
    <row r="1886" spans="1:59" ht="38.25" x14ac:dyDescent="0.25">
      <c r="C1886" s="83"/>
      <c r="F1886" s="137" t="s">
        <v>228</v>
      </c>
      <c r="G1886" s="138"/>
      <c r="H1886" s="139" t="s">
        <v>217</v>
      </c>
      <c r="I1886" s="139" t="s">
        <v>218</v>
      </c>
      <c r="J1886" s="139" t="s">
        <v>229</v>
      </c>
      <c r="K1886" s="139" t="s">
        <v>230</v>
      </c>
      <c r="L1886" s="143" t="s">
        <v>231</v>
      </c>
      <c r="M1886" s="142" t="s">
        <v>232</v>
      </c>
      <c r="N1886" s="142" t="s">
        <v>233</v>
      </c>
      <c r="O1886" s="143" t="s">
        <v>222</v>
      </c>
      <c r="P1886" s="35">
        <f t="shared" ref="P1886:AA1886" si="625">P$9</f>
        <v>46113</v>
      </c>
      <c r="Q1886" s="35">
        <f t="shared" si="625"/>
        <v>46143</v>
      </c>
      <c r="R1886" s="35">
        <f t="shared" si="625"/>
        <v>46174</v>
      </c>
      <c r="S1886" s="35">
        <f t="shared" si="625"/>
        <v>46204</v>
      </c>
      <c r="T1886" s="35">
        <f t="shared" si="625"/>
        <v>46235</v>
      </c>
      <c r="U1886" s="35">
        <f t="shared" si="625"/>
        <v>46266</v>
      </c>
      <c r="V1886" s="35">
        <f t="shared" si="625"/>
        <v>46296</v>
      </c>
      <c r="W1886" s="35">
        <f t="shared" si="625"/>
        <v>46327</v>
      </c>
      <c r="X1886" s="35">
        <f t="shared" si="625"/>
        <v>46357</v>
      </c>
      <c r="Y1886" s="35">
        <f t="shared" si="625"/>
        <v>46388</v>
      </c>
      <c r="Z1886" s="35">
        <f t="shared" si="625"/>
        <v>46419</v>
      </c>
      <c r="AA1886" s="35">
        <f t="shared" si="625"/>
        <v>46447</v>
      </c>
      <c r="AB1886" s="177" t="s">
        <v>223</v>
      </c>
      <c r="AC1886" s="82" t="s">
        <v>192</v>
      </c>
      <c r="AE1886" s="146" t="s">
        <v>222</v>
      </c>
      <c r="AF1886" s="147">
        <f t="shared" ref="AF1886:AQ1886" si="626">P1886</f>
        <v>46113</v>
      </c>
      <c r="AG1886" s="35">
        <f t="shared" si="626"/>
        <v>46143</v>
      </c>
      <c r="AH1886" s="35">
        <f t="shared" si="626"/>
        <v>46174</v>
      </c>
      <c r="AI1886" s="35">
        <f t="shared" si="626"/>
        <v>46204</v>
      </c>
      <c r="AJ1886" s="35">
        <f t="shared" si="626"/>
        <v>46235</v>
      </c>
      <c r="AK1886" s="35">
        <f t="shared" si="626"/>
        <v>46266</v>
      </c>
      <c r="AL1886" s="35">
        <f t="shared" si="626"/>
        <v>46296</v>
      </c>
      <c r="AM1886" s="35">
        <f t="shared" si="626"/>
        <v>46327</v>
      </c>
      <c r="AN1886" s="35">
        <f t="shared" si="626"/>
        <v>46357</v>
      </c>
      <c r="AO1886" s="35">
        <f t="shared" si="626"/>
        <v>46388</v>
      </c>
      <c r="AP1886" s="35">
        <f t="shared" si="626"/>
        <v>46419</v>
      </c>
      <c r="AQ1886" s="35">
        <f t="shared" si="626"/>
        <v>46447</v>
      </c>
      <c r="AR1886" s="81" t="s">
        <v>223</v>
      </c>
      <c r="AT1886" s="178" t="s">
        <v>231</v>
      </c>
      <c r="AU1886" s="35">
        <f>AF1886</f>
        <v>46113</v>
      </c>
      <c r="AV1886" s="35">
        <f t="shared" ref="AV1886:BF1886" si="627">AG1886</f>
        <v>46143</v>
      </c>
      <c r="AW1886" s="35">
        <f t="shared" si="627"/>
        <v>46174</v>
      </c>
      <c r="AX1886" s="35">
        <f t="shared" si="627"/>
        <v>46204</v>
      </c>
      <c r="AY1886" s="35">
        <f t="shared" si="627"/>
        <v>46235</v>
      </c>
      <c r="AZ1886" s="35">
        <f t="shared" si="627"/>
        <v>46266</v>
      </c>
      <c r="BA1886" s="35">
        <f t="shared" si="627"/>
        <v>46296</v>
      </c>
      <c r="BB1886" s="35">
        <f t="shared" si="627"/>
        <v>46327</v>
      </c>
      <c r="BC1886" s="35">
        <f t="shared" si="627"/>
        <v>46357</v>
      </c>
      <c r="BD1886" s="35">
        <f t="shared" si="627"/>
        <v>46388</v>
      </c>
      <c r="BE1886" s="35">
        <f t="shared" si="627"/>
        <v>46419</v>
      </c>
      <c r="BF1886" s="35">
        <f t="shared" si="627"/>
        <v>46447</v>
      </c>
      <c r="BG1886" s="179" t="s">
        <v>225</v>
      </c>
    </row>
    <row r="1887" spans="1:59" x14ac:dyDescent="0.25">
      <c r="A1887" s="14"/>
      <c r="B1887" s="15" t="str">
        <f t="shared" ref="B1887:B1931" si="628">"IND_OPER_"&amp;F1887&amp;"_"&amp;J1887</f>
        <v>IND_OPER_1071_</v>
      </c>
      <c r="C1887" s="83" t="str">
        <f t="shared" si="620"/>
        <v>TRATCSP</v>
      </c>
      <c r="D1887" s="15" t="str">
        <f>IFERROR("QTD_REC_"&amp;VLOOKUP($J1887,#REF!,7,0),"")</f>
        <v/>
      </c>
      <c r="E1887" s="14"/>
      <c r="F1887" s="148">
        <v>1071</v>
      </c>
      <c r="G1887" s="149" t="str">
        <f>IFERROR(VLOOKUP(F1887,#REF!,2,0),"")</f>
        <v/>
      </c>
      <c r="H1887" s="150" t="str">
        <f>IFERROR(VLOOKUP(F1887,#REF!,3,0),"")</f>
        <v/>
      </c>
      <c r="I1887" s="151" t="s">
        <v>312</v>
      </c>
      <c r="J1887" s="151"/>
      <c r="K1887" s="150" t="str">
        <f>IFERROR(VLOOKUP($J1887,#REF!,2,0),"")</f>
        <v/>
      </c>
      <c r="L1887" s="150" t="str">
        <f t="shared" ref="L1887:L1931" si="629">IF(K1887="","",IF(H1887=K1887,K1887,H1887&amp;"/"&amp;K1887))</f>
        <v/>
      </c>
      <c r="M1887" s="154"/>
      <c r="N1887" s="180"/>
      <c r="O1887" s="155"/>
      <c r="P1887" s="156">
        <v>400</v>
      </c>
      <c r="Q1887" s="156">
        <v>400</v>
      </c>
      <c r="R1887" s="156">
        <v>400</v>
      </c>
      <c r="S1887" s="156">
        <v>300</v>
      </c>
      <c r="T1887" s="156">
        <v>300</v>
      </c>
      <c r="U1887" s="156">
        <v>200</v>
      </c>
      <c r="V1887" s="156">
        <v>300</v>
      </c>
      <c r="W1887" s="156">
        <v>400</v>
      </c>
      <c r="X1887" s="156">
        <v>0</v>
      </c>
      <c r="Y1887" s="156">
        <v>0</v>
      </c>
      <c r="Z1887" s="156">
        <v>100</v>
      </c>
      <c r="AA1887" s="156">
        <v>100</v>
      </c>
      <c r="AB1887" s="158">
        <f t="shared" ref="AB1887:AB1931" si="630">SUM(P1887:AA1887)</f>
        <v>2900</v>
      </c>
      <c r="AC1887" s="159"/>
      <c r="AE1887" s="160" t="str">
        <f>IF(J1887="","",J1887&amp;" - "&amp;K1887&amp;" ("&amp;F1887&amp;" - "&amp;G1887&amp;")")</f>
        <v/>
      </c>
      <c r="AF1887" s="161">
        <f t="shared" ref="AF1887:AQ1908" si="631">IFERROR(P1887/AU1887,0)</f>
        <v>0</v>
      </c>
      <c r="AG1887" s="162">
        <f t="shared" si="631"/>
        <v>0</v>
      </c>
      <c r="AH1887" s="162">
        <f t="shared" si="631"/>
        <v>0</v>
      </c>
      <c r="AI1887" s="162">
        <f t="shared" si="631"/>
        <v>0</v>
      </c>
      <c r="AJ1887" s="162">
        <f t="shared" si="631"/>
        <v>0</v>
      </c>
      <c r="AK1887" s="162">
        <f t="shared" si="631"/>
        <v>0</v>
      </c>
      <c r="AL1887" s="162">
        <f t="shared" si="631"/>
        <v>0</v>
      </c>
      <c r="AM1887" s="162">
        <f t="shared" si="631"/>
        <v>0</v>
      </c>
      <c r="AN1887" s="162">
        <f t="shared" si="631"/>
        <v>0</v>
      </c>
      <c r="AO1887" s="162">
        <f t="shared" si="631"/>
        <v>0</v>
      </c>
      <c r="AP1887" s="162">
        <f t="shared" si="631"/>
        <v>0</v>
      </c>
      <c r="AQ1887" s="162">
        <f t="shared" si="631"/>
        <v>0</v>
      </c>
      <c r="AR1887" s="163">
        <f>SUM(AF1887:AQ1887)</f>
        <v>0</v>
      </c>
      <c r="AT1887" s="181" t="str">
        <f>L1887</f>
        <v/>
      </c>
      <c r="AU1887" s="156">
        <f>M1887</f>
        <v>0</v>
      </c>
      <c r="AV1887" s="156">
        <f>AU1887</f>
        <v>0</v>
      </c>
      <c r="AW1887" s="156">
        <f t="shared" ref="AW1887:BF1912" si="632">AV1887</f>
        <v>0</v>
      </c>
      <c r="AX1887" s="156">
        <f t="shared" si="632"/>
        <v>0</v>
      </c>
      <c r="AY1887" s="156">
        <f t="shared" si="632"/>
        <v>0</v>
      </c>
      <c r="AZ1887" s="156">
        <f t="shared" si="632"/>
        <v>0</v>
      </c>
      <c r="BA1887" s="156">
        <f t="shared" si="632"/>
        <v>0</v>
      </c>
      <c r="BB1887" s="156">
        <f t="shared" si="632"/>
        <v>0</v>
      </c>
      <c r="BC1887" s="156">
        <f t="shared" si="632"/>
        <v>0</v>
      </c>
      <c r="BD1887" s="156">
        <f t="shared" si="632"/>
        <v>0</v>
      </c>
      <c r="BE1887" s="156">
        <f t="shared" si="632"/>
        <v>0</v>
      </c>
      <c r="BF1887" s="156">
        <f t="shared" si="632"/>
        <v>0</v>
      </c>
      <c r="BG1887" s="158">
        <f>IFERROR(SUM(AU1887:BF1887)/COUNTIF(AU1887:BF1887,"&gt;0"),0)</f>
        <v>0</v>
      </c>
    </row>
    <row r="1888" spans="1:59" x14ac:dyDescent="0.25">
      <c r="A1888" s="14"/>
      <c r="B1888" s="15" t="str">
        <f t="shared" si="628"/>
        <v>IND_OPER_1036_</v>
      </c>
      <c r="C1888" s="83" t="str">
        <f t="shared" si="620"/>
        <v>TRATCSP</v>
      </c>
      <c r="D1888" s="15" t="str">
        <f>IFERROR("QTD_REC_"&amp;VLOOKUP($J1888,#REF!,7,0),"")</f>
        <v/>
      </c>
      <c r="E1888" s="14"/>
      <c r="F1888" s="148">
        <v>1036</v>
      </c>
      <c r="G1888" s="149" t="str">
        <f>IFERROR(VLOOKUP(F1888,#REF!,2,0),"")</f>
        <v/>
      </c>
      <c r="H1888" s="150" t="str">
        <f>IFERROR(VLOOKUP(F1888,#REF!,3,0),"")</f>
        <v/>
      </c>
      <c r="I1888" s="151" t="s">
        <v>312</v>
      </c>
      <c r="J1888" s="151"/>
      <c r="K1888" s="150" t="str">
        <f>IFERROR(VLOOKUP($J1888,#REF!,2,0),"")</f>
        <v/>
      </c>
      <c r="L1888" s="150" t="str">
        <f t="shared" si="629"/>
        <v/>
      </c>
      <c r="M1888" s="154"/>
      <c r="N1888" s="180"/>
      <c r="O1888" s="155"/>
      <c r="P1888" s="156">
        <v>173.13000000000005</v>
      </c>
      <c r="Q1888" s="156">
        <v>131.76000000000002</v>
      </c>
      <c r="R1888" s="156">
        <v>79.449999999999989</v>
      </c>
      <c r="S1888" s="156">
        <v>110.57</v>
      </c>
      <c r="T1888" s="156">
        <v>0</v>
      </c>
      <c r="U1888" s="156">
        <v>197.05</v>
      </c>
      <c r="V1888" s="156">
        <v>82.050000000000011</v>
      </c>
      <c r="W1888" s="156">
        <v>326.92999999999995</v>
      </c>
      <c r="X1888" s="156">
        <v>0</v>
      </c>
      <c r="Y1888" s="156">
        <v>0</v>
      </c>
      <c r="Z1888" s="156">
        <v>0</v>
      </c>
      <c r="AA1888" s="156">
        <v>0</v>
      </c>
      <c r="AB1888" s="158">
        <f>SUM(P1888:AA1888)</f>
        <v>1100.94</v>
      </c>
      <c r="AC1888" s="159"/>
      <c r="AE1888" s="160" t="str">
        <f t="shared" ref="AE1888:AE1931" si="633">IF(J1888="","",J1888&amp;" - "&amp;K1888&amp;" ("&amp;F1888&amp;" - "&amp;G1888&amp;")")</f>
        <v/>
      </c>
      <c r="AF1888" s="161">
        <f t="shared" si="631"/>
        <v>0</v>
      </c>
      <c r="AG1888" s="162">
        <f t="shared" si="631"/>
        <v>0</v>
      </c>
      <c r="AH1888" s="162">
        <f t="shared" si="631"/>
        <v>0</v>
      </c>
      <c r="AI1888" s="162">
        <f t="shared" si="631"/>
        <v>0</v>
      </c>
      <c r="AJ1888" s="162">
        <f t="shared" si="631"/>
        <v>0</v>
      </c>
      <c r="AK1888" s="162">
        <f t="shared" si="631"/>
        <v>0</v>
      </c>
      <c r="AL1888" s="162">
        <f t="shared" si="631"/>
        <v>0</v>
      </c>
      <c r="AM1888" s="162">
        <f t="shared" si="631"/>
        <v>0</v>
      </c>
      <c r="AN1888" s="162">
        <f t="shared" si="631"/>
        <v>0</v>
      </c>
      <c r="AO1888" s="162">
        <f t="shared" si="631"/>
        <v>0</v>
      </c>
      <c r="AP1888" s="162">
        <f t="shared" si="631"/>
        <v>0</v>
      </c>
      <c r="AQ1888" s="162">
        <f t="shared" si="631"/>
        <v>0</v>
      </c>
      <c r="AR1888" s="163">
        <f t="shared" ref="AR1888:AR1931" si="634">SUM(AF1888:AQ1888)</f>
        <v>0</v>
      </c>
      <c r="AT1888" s="181" t="str">
        <f t="shared" ref="AT1888:AU1931" si="635">L1888</f>
        <v/>
      </c>
      <c r="AU1888" s="156">
        <f t="shared" si="635"/>
        <v>0</v>
      </c>
      <c r="AV1888" s="156">
        <f t="shared" ref="AV1888:BA1931" si="636">AU1888</f>
        <v>0</v>
      </c>
      <c r="AW1888" s="156">
        <f t="shared" si="632"/>
        <v>0</v>
      </c>
      <c r="AX1888" s="156">
        <f t="shared" si="632"/>
        <v>0</v>
      </c>
      <c r="AY1888" s="156">
        <f t="shared" si="632"/>
        <v>0</v>
      </c>
      <c r="AZ1888" s="156">
        <f t="shared" si="632"/>
        <v>0</v>
      </c>
      <c r="BA1888" s="156">
        <f t="shared" si="632"/>
        <v>0</v>
      </c>
      <c r="BB1888" s="156">
        <f t="shared" si="632"/>
        <v>0</v>
      </c>
      <c r="BC1888" s="156">
        <f t="shared" si="632"/>
        <v>0</v>
      </c>
      <c r="BD1888" s="156">
        <f t="shared" si="632"/>
        <v>0</v>
      </c>
      <c r="BE1888" s="156">
        <f t="shared" si="632"/>
        <v>0</v>
      </c>
      <c r="BF1888" s="156">
        <f t="shared" si="632"/>
        <v>0</v>
      </c>
      <c r="BG1888" s="158">
        <f t="shared" ref="BG1888:BG1931" si="637">IFERROR(SUM(AU1888:BF1888)/COUNTIF(AU1888:BF1888,"&gt;0"),0)</f>
        <v>0</v>
      </c>
    </row>
    <row r="1889" spans="1:59" x14ac:dyDescent="0.25">
      <c r="A1889" s="14"/>
      <c r="B1889" s="15" t="str">
        <f t="shared" si="628"/>
        <v>IND_OPER_1068_</v>
      </c>
      <c r="C1889" s="83" t="str">
        <f t="shared" si="620"/>
        <v>TRATCSP</v>
      </c>
      <c r="D1889" s="15" t="str">
        <f>IFERROR("QTD_REC_"&amp;VLOOKUP($J1889,#REF!,7,0),"")</f>
        <v/>
      </c>
      <c r="E1889" s="14"/>
      <c r="F1889" s="148">
        <v>1068</v>
      </c>
      <c r="G1889" s="149" t="str">
        <f>IFERROR(VLOOKUP(F1889,#REF!,2,0),"")</f>
        <v/>
      </c>
      <c r="H1889" s="150" t="str">
        <f>IFERROR(VLOOKUP(F1889,#REF!,3,0),"")</f>
        <v/>
      </c>
      <c r="I1889" s="151" t="s">
        <v>312</v>
      </c>
      <c r="J1889" s="151"/>
      <c r="K1889" s="150" t="str">
        <f>IFERROR(VLOOKUP($J1889,#REF!,2,0),"")</f>
        <v/>
      </c>
      <c r="L1889" s="150" t="str">
        <f t="shared" si="629"/>
        <v/>
      </c>
      <c r="M1889" s="154"/>
      <c r="N1889" s="180"/>
      <c r="O1889" s="155"/>
      <c r="P1889" s="156">
        <f>P1888*1.35</f>
        <v>233.7255000000001</v>
      </c>
      <c r="Q1889" s="156">
        <f t="shared" ref="Q1889:W1889" si="638">Q1888*1.35</f>
        <v>177.87600000000003</v>
      </c>
      <c r="R1889" s="156">
        <f t="shared" si="638"/>
        <v>107.25749999999999</v>
      </c>
      <c r="S1889" s="156">
        <f t="shared" si="638"/>
        <v>149.26949999999999</v>
      </c>
      <c r="T1889" s="156">
        <f t="shared" si="638"/>
        <v>0</v>
      </c>
      <c r="U1889" s="156">
        <f t="shared" si="638"/>
        <v>266.01750000000004</v>
      </c>
      <c r="V1889" s="156">
        <f t="shared" si="638"/>
        <v>110.76750000000003</v>
      </c>
      <c r="W1889" s="156">
        <f t="shared" si="638"/>
        <v>441.35549999999995</v>
      </c>
      <c r="X1889" s="156">
        <v>0</v>
      </c>
      <c r="Y1889" s="156">
        <v>0</v>
      </c>
      <c r="Z1889" s="156">
        <v>0</v>
      </c>
      <c r="AA1889" s="156">
        <v>0</v>
      </c>
      <c r="AB1889" s="158">
        <f t="shared" si="630"/>
        <v>1486.269</v>
      </c>
      <c r="AC1889" s="159"/>
      <c r="AE1889" s="160" t="str">
        <f t="shared" si="633"/>
        <v/>
      </c>
      <c r="AF1889" s="161">
        <f t="shared" si="631"/>
        <v>0</v>
      </c>
      <c r="AG1889" s="162">
        <f t="shared" si="631"/>
        <v>0</v>
      </c>
      <c r="AH1889" s="162">
        <f t="shared" si="631"/>
        <v>0</v>
      </c>
      <c r="AI1889" s="162">
        <f t="shared" si="631"/>
        <v>0</v>
      </c>
      <c r="AJ1889" s="162">
        <f t="shared" si="631"/>
        <v>0</v>
      </c>
      <c r="AK1889" s="162">
        <f t="shared" si="631"/>
        <v>0</v>
      </c>
      <c r="AL1889" s="162">
        <f t="shared" si="631"/>
        <v>0</v>
      </c>
      <c r="AM1889" s="162">
        <f t="shared" si="631"/>
        <v>0</v>
      </c>
      <c r="AN1889" s="162">
        <f t="shared" si="631"/>
        <v>0</v>
      </c>
      <c r="AO1889" s="162">
        <f t="shared" si="631"/>
        <v>0</v>
      </c>
      <c r="AP1889" s="162">
        <f t="shared" si="631"/>
        <v>0</v>
      </c>
      <c r="AQ1889" s="162">
        <f t="shared" si="631"/>
        <v>0</v>
      </c>
      <c r="AR1889" s="163">
        <f t="shared" si="634"/>
        <v>0</v>
      </c>
      <c r="AT1889" s="181" t="str">
        <f t="shared" si="635"/>
        <v/>
      </c>
      <c r="AU1889" s="156">
        <f t="shared" si="635"/>
        <v>0</v>
      </c>
      <c r="AV1889" s="156">
        <f t="shared" si="636"/>
        <v>0</v>
      </c>
      <c r="AW1889" s="156">
        <f t="shared" si="632"/>
        <v>0</v>
      </c>
      <c r="AX1889" s="156">
        <f t="shared" si="632"/>
        <v>0</v>
      </c>
      <c r="AY1889" s="156">
        <f t="shared" si="632"/>
        <v>0</v>
      </c>
      <c r="AZ1889" s="156">
        <f t="shared" si="632"/>
        <v>0</v>
      </c>
      <c r="BA1889" s="156">
        <f t="shared" si="632"/>
        <v>0</v>
      </c>
      <c r="BB1889" s="156">
        <f t="shared" si="632"/>
        <v>0</v>
      </c>
      <c r="BC1889" s="156">
        <f t="shared" si="632"/>
        <v>0</v>
      </c>
      <c r="BD1889" s="156">
        <f t="shared" si="632"/>
        <v>0</v>
      </c>
      <c r="BE1889" s="156">
        <f t="shared" si="632"/>
        <v>0</v>
      </c>
      <c r="BF1889" s="156">
        <f t="shared" si="632"/>
        <v>0</v>
      </c>
      <c r="BG1889" s="158">
        <f t="shared" si="637"/>
        <v>0</v>
      </c>
    </row>
    <row r="1890" spans="1:59" x14ac:dyDescent="0.25">
      <c r="A1890" s="14"/>
      <c r="B1890" s="15" t="str">
        <f t="shared" si="628"/>
        <v>IND_OPER_1092_</v>
      </c>
      <c r="C1890" s="83" t="str">
        <f t="shared" si="620"/>
        <v>TRATCSP</v>
      </c>
      <c r="D1890" s="15" t="str">
        <f>IFERROR("QTD_REC_"&amp;VLOOKUP($J1890,#REF!,7,0),"")</f>
        <v/>
      </c>
      <c r="E1890" s="14"/>
      <c r="F1890" s="148">
        <v>1092</v>
      </c>
      <c r="G1890" s="149" t="str">
        <f>IFERROR(VLOOKUP(F1890,#REF!,2,0),"")</f>
        <v/>
      </c>
      <c r="H1890" s="150" t="str">
        <f>IFERROR(VLOOKUP(F1890,#REF!,3,0),"")</f>
        <v/>
      </c>
      <c r="I1890" s="151" t="s">
        <v>312</v>
      </c>
      <c r="J1890" s="151"/>
      <c r="K1890" s="150" t="str">
        <f>IFERROR(VLOOKUP($J1890,#REF!,2,0),"")</f>
        <v/>
      </c>
      <c r="L1890" s="150" t="str">
        <f t="shared" si="629"/>
        <v/>
      </c>
      <c r="M1890" s="154"/>
      <c r="N1890" s="180"/>
      <c r="O1890" s="155"/>
      <c r="P1890" s="156">
        <f>P1821*0.72</f>
        <v>1595.4263999999998</v>
      </c>
      <c r="Q1890" s="156">
        <v>2374.04</v>
      </c>
      <c r="R1890" s="156">
        <f t="shared" ref="R1890:Y1890" si="639">R1821*0.72</f>
        <v>1191.3696</v>
      </c>
      <c r="S1890" s="156">
        <v>400</v>
      </c>
      <c r="T1890" s="156">
        <f t="shared" si="639"/>
        <v>1127.6207999999999</v>
      </c>
      <c r="U1890" s="156">
        <f t="shared" si="639"/>
        <v>1245.4703999999999</v>
      </c>
      <c r="V1890" s="156">
        <f t="shared" si="639"/>
        <v>1395.8208</v>
      </c>
      <c r="W1890" s="156">
        <v>682.25</v>
      </c>
      <c r="X1890" s="156">
        <f t="shared" si="639"/>
        <v>0</v>
      </c>
      <c r="Y1890" s="156">
        <f t="shared" si="639"/>
        <v>0</v>
      </c>
      <c r="Z1890" s="156">
        <v>0</v>
      </c>
      <c r="AA1890" s="156">
        <v>0</v>
      </c>
      <c r="AB1890" s="158">
        <f>SUM(P1890:AA1890)</f>
        <v>10011.998</v>
      </c>
      <c r="AC1890" s="159"/>
      <c r="AE1890" s="160" t="str">
        <f t="shared" si="633"/>
        <v/>
      </c>
      <c r="AF1890" s="161">
        <f t="shared" si="631"/>
        <v>0</v>
      </c>
      <c r="AG1890" s="162">
        <f t="shared" si="631"/>
        <v>0</v>
      </c>
      <c r="AH1890" s="162">
        <f t="shared" si="631"/>
        <v>0</v>
      </c>
      <c r="AI1890" s="162">
        <f t="shared" si="631"/>
        <v>0</v>
      </c>
      <c r="AJ1890" s="162">
        <f t="shared" si="631"/>
        <v>0</v>
      </c>
      <c r="AK1890" s="162">
        <f t="shared" si="631"/>
        <v>0</v>
      </c>
      <c r="AL1890" s="162">
        <f t="shared" si="631"/>
        <v>0</v>
      </c>
      <c r="AM1890" s="162">
        <f t="shared" si="631"/>
        <v>0</v>
      </c>
      <c r="AN1890" s="162">
        <f t="shared" si="631"/>
        <v>0</v>
      </c>
      <c r="AO1890" s="162">
        <f t="shared" si="631"/>
        <v>0</v>
      </c>
      <c r="AP1890" s="162">
        <f t="shared" si="631"/>
        <v>0</v>
      </c>
      <c r="AQ1890" s="162">
        <f t="shared" si="631"/>
        <v>0</v>
      </c>
      <c r="AR1890" s="163">
        <f t="shared" si="634"/>
        <v>0</v>
      </c>
      <c r="AT1890" s="181" t="str">
        <f t="shared" si="635"/>
        <v/>
      </c>
      <c r="AU1890" s="156">
        <f t="shared" si="635"/>
        <v>0</v>
      </c>
      <c r="AV1890" s="156">
        <f t="shared" si="636"/>
        <v>0</v>
      </c>
      <c r="AW1890" s="156">
        <f t="shared" si="632"/>
        <v>0</v>
      </c>
      <c r="AX1890" s="156">
        <f t="shared" si="632"/>
        <v>0</v>
      </c>
      <c r="AY1890" s="156">
        <f t="shared" si="632"/>
        <v>0</v>
      </c>
      <c r="AZ1890" s="156">
        <f t="shared" si="632"/>
        <v>0</v>
      </c>
      <c r="BA1890" s="156">
        <f t="shared" si="632"/>
        <v>0</v>
      </c>
      <c r="BB1890" s="156">
        <f t="shared" si="632"/>
        <v>0</v>
      </c>
      <c r="BC1890" s="156">
        <f t="shared" si="632"/>
        <v>0</v>
      </c>
      <c r="BD1890" s="156">
        <f t="shared" si="632"/>
        <v>0</v>
      </c>
      <c r="BE1890" s="156">
        <f t="shared" si="632"/>
        <v>0</v>
      </c>
      <c r="BF1890" s="156">
        <f t="shared" si="632"/>
        <v>0</v>
      </c>
      <c r="BG1890" s="158">
        <f t="shared" si="637"/>
        <v>0</v>
      </c>
    </row>
    <row r="1891" spans="1:59" x14ac:dyDescent="0.25">
      <c r="A1891" s="14"/>
      <c r="B1891" s="15" t="str">
        <f t="shared" si="628"/>
        <v>IND_OPER_1094_</v>
      </c>
      <c r="C1891" s="83" t="str">
        <f t="shared" si="620"/>
        <v>TRATCSFS</v>
      </c>
      <c r="D1891" s="15" t="str">
        <f>IFERROR("QTD_REC_"&amp;VLOOKUP($J1891,#REF!,7,0),"")</f>
        <v/>
      </c>
      <c r="E1891" s="14"/>
      <c r="F1891" s="148">
        <v>1094</v>
      </c>
      <c r="G1891" s="149" t="str">
        <f>IFERROR(VLOOKUP(F1891,#REF!,2,0),"")</f>
        <v/>
      </c>
      <c r="H1891" s="150" t="str">
        <f>IFERROR(VLOOKUP(F1891,#REF!,3,0),"")</f>
        <v/>
      </c>
      <c r="I1891" s="151" t="s">
        <v>313</v>
      </c>
      <c r="J1891" s="151"/>
      <c r="K1891" s="150" t="str">
        <f>IFERROR(VLOOKUP($J1891,#REF!,2,0),"")</f>
        <v/>
      </c>
      <c r="L1891" s="150" t="str">
        <f t="shared" si="629"/>
        <v/>
      </c>
      <c r="M1891" s="154"/>
      <c r="N1891" s="180"/>
      <c r="O1891" s="155"/>
      <c r="P1891" s="156">
        <v>0</v>
      </c>
      <c r="Q1891" s="156">
        <v>0</v>
      </c>
      <c r="R1891" s="156">
        <v>0</v>
      </c>
      <c r="S1891" s="156">
        <v>0</v>
      </c>
      <c r="T1891" s="156">
        <v>0</v>
      </c>
      <c r="U1891" s="156">
        <v>0</v>
      </c>
      <c r="V1891" s="156">
        <v>0</v>
      </c>
      <c r="W1891" s="156">
        <v>0</v>
      </c>
      <c r="X1891" s="156">
        <v>0</v>
      </c>
      <c r="Y1891" s="156">
        <v>0</v>
      </c>
      <c r="Z1891" s="156">
        <v>0</v>
      </c>
      <c r="AA1891" s="156">
        <v>0</v>
      </c>
      <c r="AB1891" s="158">
        <f t="shared" si="630"/>
        <v>0</v>
      </c>
      <c r="AC1891" s="159"/>
      <c r="AE1891" s="160" t="str">
        <f t="shared" si="633"/>
        <v/>
      </c>
      <c r="AF1891" s="161">
        <f t="shared" si="631"/>
        <v>0</v>
      </c>
      <c r="AG1891" s="162">
        <f t="shared" si="631"/>
        <v>0</v>
      </c>
      <c r="AH1891" s="162">
        <f t="shared" si="631"/>
        <v>0</v>
      </c>
      <c r="AI1891" s="162">
        <f t="shared" si="631"/>
        <v>0</v>
      </c>
      <c r="AJ1891" s="162">
        <f t="shared" si="631"/>
        <v>0</v>
      </c>
      <c r="AK1891" s="162">
        <f t="shared" si="631"/>
        <v>0</v>
      </c>
      <c r="AL1891" s="162">
        <f t="shared" si="631"/>
        <v>0</v>
      </c>
      <c r="AM1891" s="162">
        <f t="shared" si="631"/>
        <v>0</v>
      </c>
      <c r="AN1891" s="162">
        <f t="shared" si="631"/>
        <v>0</v>
      </c>
      <c r="AO1891" s="162">
        <f t="shared" si="631"/>
        <v>0</v>
      </c>
      <c r="AP1891" s="162">
        <f t="shared" si="631"/>
        <v>0</v>
      </c>
      <c r="AQ1891" s="162">
        <f t="shared" si="631"/>
        <v>0</v>
      </c>
      <c r="AR1891" s="163">
        <f t="shared" si="634"/>
        <v>0</v>
      </c>
      <c r="AT1891" s="181" t="str">
        <f t="shared" si="635"/>
        <v/>
      </c>
      <c r="AU1891" s="156">
        <f t="shared" si="635"/>
        <v>0</v>
      </c>
      <c r="AV1891" s="156">
        <f t="shared" si="636"/>
        <v>0</v>
      </c>
      <c r="AW1891" s="156">
        <f t="shared" si="632"/>
        <v>0</v>
      </c>
      <c r="AX1891" s="156">
        <f t="shared" si="632"/>
        <v>0</v>
      </c>
      <c r="AY1891" s="156">
        <f t="shared" si="632"/>
        <v>0</v>
      </c>
      <c r="AZ1891" s="156">
        <f t="shared" si="632"/>
        <v>0</v>
      </c>
      <c r="BA1891" s="156">
        <f t="shared" si="632"/>
        <v>0</v>
      </c>
      <c r="BB1891" s="156">
        <f t="shared" si="632"/>
        <v>0</v>
      </c>
      <c r="BC1891" s="156">
        <f t="shared" si="632"/>
        <v>0</v>
      </c>
      <c r="BD1891" s="156">
        <f t="shared" si="632"/>
        <v>0</v>
      </c>
      <c r="BE1891" s="156">
        <f t="shared" si="632"/>
        <v>0</v>
      </c>
      <c r="BF1891" s="156">
        <f t="shared" si="632"/>
        <v>0</v>
      </c>
      <c r="BG1891" s="158">
        <f t="shared" si="637"/>
        <v>0</v>
      </c>
    </row>
    <row r="1892" spans="1:59" x14ac:dyDescent="0.25">
      <c r="A1892" s="14"/>
      <c r="B1892" s="15" t="str">
        <f t="shared" si="628"/>
        <v>IND_OPER_1073_</v>
      </c>
      <c r="C1892" s="83" t="str">
        <f t="shared" si="620"/>
        <v>TRATCSP</v>
      </c>
      <c r="D1892" s="15" t="str">
        <f>IFERROR("QTD_REC_"&amp;VLOOKUP($J1892,#REF!,7,0),"")</f>
        <v/>
      </c>
      <c r="E1892" s="14"/>
      <c r="F1892" s="148">
        <v>1073</v>
      </c>
      <c r="G1892" s="149" t="str">
        <f>IFERROR(VLOOKUP(F1892,#REF!,2,0),"")</f>
        <v/>
      </c>
      <c r="H1892" s="150" t="str">
        <f>IFERROR(VLOOKUP(F1892,#REF!,3,0),"")</f>
        <v/>
      </c>
      <c r="I1892" s="151" t="s">
        <v>312</v>
      </c>
      <c r="J1892" s="151"/>
      <c r="K1892" s="150" t="str">
        <f>IFERROR(VLOOKUP($J1892,#REF!,2,0),"")</f>
        <v/>
      </c>
      <c r="L1892" s="150" t="str">
        <f t="shared" si="629"/>
        <v/>
      </c>
      <c r="M1892" s="154"/>
      <c r="N1892" s="180"/>
      <c r="O1892" s="155"/>
      <c r="P1892" s="156">
        <v>1500</v>
      </c>
      <c r="Q1892" s="156">
        <v>1800</v>
      </c>
      <c r="R1892" s="156">
        <v>1800</v>
      </c>
      <c r="S1892" s="156">
        <v>1932.63</v>
      </c>
      <c r="T1892" s="156">
        <f t="shared" ref="T1892:AA1892" si="640">T1818-T1844</f>
        <v>1496.14</v>
      </c>
      <c r="U1892" s="156">
        <f t="shared" si="640"/>
        <v>1659.82</v>
      </c>
      <c r="V1892" s="156">
        <f t="shared" si="640"/>
        <v>1868.64</v>
      </c>
      <c r="W1892" s="156">
        <f t="shared" si="640"/>
        <v>1005.77</v>
      </c>
      <c r="X1892" s="156">
        <f t="shared" si="640"/>
        <v>0</v>
      </c>
      <c r="Y1892" s="156">
        <f t="shared" si="640"/>
        <v>0</v>
      </c>
      <c r="Z1892" s="156">
        <f t="shared" si="640"/>
        <v>100</v>
      </c>
      <c r="AA1892" s="156">
        <f t="shared" si="640"/>
        <v>100</v>
      </c>
      <c r="AB1892" s="158">
        <f>SUM(P1892:AA1892)</f>
        <v>13263</v>
      </c>
      <c r="AC1892" s="159"/>
      <c r="AE1892" s="160" t="str">
        <f t="shared" si="633"/>
        <v/>
      </c>
      <c r="AF1892" s="161">
        <f t="shared" si="631"/>
        <v>0</v>
      </c>
      <c r="AG1892" s="162">
        <f t="shared" si="631"/>
        <v>0</v>
      </c>
      <c r="AH1892" s="162">
        <f t="shared" si="631"/>
        <v>0</v>
      </c>
      <c r="AI1892" s="162">
        <f t="shared" si="631"/>
        <v>0</v>
      </c>
      <c r="AJ1892" s="162">
        <f t="shared" si="631"/>
        <v>0</v>
      </c>
      <c r="AK1892" s="162">
        <f t="shared" si="631"/>
        <v>0</v>
      </c>
      <c r="AL1892" s="162">
        <f t="shared" si="631"/>
        <v>0</v>
      </c>
      <c r="AM1892" s="162">
        <f t="shared" si="631"/>
        <v>0</v>
      </c>
      <c r="AN1892" s="162">
        <f t="shared" si="631"/>
        <v>0</v>
      </c>
      <c r="AO1892" s="162">
        <f t="shared" si="631"/>
        <v>0</v>
      </c>
      <c r="AP1892" s="162">
        <f t="shared" si="631"/>
        <v>0</v>
      </c>
      <c r="AQ1892" s="162">
        <f t="shared" si="631"/>
        <v>0</v>
      </c>
      <c r="AR1892" s="163">
        <f t="shared" si="634"/>
        <v>0</v>
      </c>
      <c r="AT1892" s="181" t="str">
        <f t="shared" si="635"/>
        <v/>
      </c>
      <c r="AU1892" s="156">
        <f t="shared" si="635"/>
        <v>0</v>
      </c>
      <c r="AV1892" s="156">
        <f t="shared" si="636"/>
        <v>0</v>
      </c>
      <c r="AW1892" s="156">
        <f t="shared" si="632"/>
        <v>0</v>
      </c>
      <c r="AX1892" s="156">
        <f t="shared" si="632"/>
        <v>0</v>
      </c>
      <c r="AY1892" s="156">
        <f t="shared" si="632"/>
        <v>0</v>
      </c>
      <c r="AZ1892" s="156">
        <f t="shared" si="632"/>
        <v>0</v>
      </c>
      <c r="BA1892" s="156">
        <f t="shared" si="632"/>
        <v>0</v>
      </c>
      <c r="BB1892" s="156">
        <f t="shared" si="632"/>
        <v>0</v>
      </c>
      <c r="BC1892" s="156">
        <f t="shared" si="632"/>
        <v>0</v>
      </c>
      <c r="BD1892" s="156">
        <f t="shared" si="632"/>
        <v>0</v>
      </c>
      <c r="BE1892" s="156">
        <f t="shared" si="632"/>
        <v>0</v>
      </c>
      <c r="BF1892" s="156">
        <f t="shared" si="632"/>
        <v>0</v>
      </c>
      <c r="BG1892" s="158">
        <f t="shared" si="637"/>
        <v>0</v>
      </c>
    </row>
    <row r="1893" spans="1:59" x14ac:dyDescent="0.25">
      <c r="A1893" s="14"/>
      <c r="B1893" s="15" t="str">
        <f t="shared" si="628"/>
        <v>IND_OPER_1022_</v>
      </c>
      <c r="C1893" s="83" t="str">
        <f t="shared" si="620"/>
        <v>TRATCSP</v>
      </c>
      <c r="D1893" s="15" t="str">
        <f>IFERROR("QTD_REC_"&amp;VLOOKUP($J1893,#REF!,7,0),"")</f>
        <v/>
      </c>
      <c r="E1893" s="14"/>
      <c r="F1893" s="148">
        <v>1022</v>
      </c>
      <c r="G1893" s="149" t="str">
        <f>IFERROR(VLOOKUP(F1893,#REF!,2,0),"")</f>
        <v/>
      </c>
      <c r="H1893" s="150" t="str">
        <f>IFERROR(VLOOKUP(F1893,#REF!,3,0),"")</f>
        <v/>
      </c>
      <c r="I1893" s="151" t="s">
        <v>312</v>
      </c>
      <c r="J1893" s="151"/>
      <c r="K1893" s="150" t="str">
        <f>IFERROR(VLOOKUP($J1893,#REF!,2,0),"")</f>
        <v/>
      </c>
      <c r="L1893" s="150" t="str">
        <f t="shared" si="629"/>
        <v/>
      </c>
      <c r="M1893" s="154"/>
      <c r="N1893" s="180"/>
      <c r="O1893" s="155"/>
      <c r="P1893" s="156">
        <v>57.050000000000004</v>
      </c>
      <c r="Q1893" s="156">
        <v>70.150000000000006</v>
      </c>
      <c r="R1893" s="156">
        <v>0</v>
      </c>
      <c r="S1893" s="156">
        <v>103.64</v>
      </c>
      <c r="T1893" s="156">
        <v>57</v>
      </c>
      <c r="U1893" s="156">
        <v>16.439999999999998</v>
      </c>
      <c r="V1893" s="156">
        <v>0.19999999999999998</v>
      </c>
      <c r="W1893" s="156">
        <v>368.65000000000003</v>
      </c>
      <c r="X1893" s="156">
        <f t="shared" ref="X1893:AA1893" si="641">X1821-X1842-X1888-X1889-X1890</f>
        <v>0</v>
      </c>
      <c r="Y1893" s="156">
        <f t="shared" si="641"/>
        <v>0</v>
      </c>
      <c r="Z1893" s="156">
        <f t="shared" si="641"/>
        <v>100</v>
      </c>
      <c r="AA1893" s="156">
        <f t="shared" si="641"/>
        <v>100</v>
      </c>
      <c r="AB1893" s="158">
        <f>SUM(P1893:AA1893)</f>
        <v>873.13000000000011</v>
      </c>
      <c r="AC1893" s="159"/>
      <c r="AE1893" s="160" t="str">
        <f t="shared" si="633"/>
        <v/>
      </c>
      <c r="AF1893" s="161">
        <f t="shared" si="631"/>
        <v>0</v>
      </c>
      <c r="AG1893" s="162">
        <f t="shared" si="631"/>
        <v>0</v>
      </c>
      <c r="AH1893" s="162">
        <f t="shared" si="631"/>
        <v>0</v>
      </c>
      <c r="AI1893" s="162">
        <f t="shared" si="631"/>
        <v>0</v>
      </c>
      <c r="AJ1893" s="162">
        <f t="shared" si="631"/>
        <v>0</v>
      </c>
      <c r="AK1893" s="162">
        <f t="shared" si="631"/>
        <v>0</v>
      </c>
      <c r="AL1893" s="162">
        <f t="shared" si="631"/>
        <v>0</v>
      </c>
      <c r="AM1893" s="162">
        <f t="shared" si="631"/>
        <v>0</v>
      </c>
      <c r="AN1893" s="162">
        <f t="shared" si="631"/>
        <v>0</v>
      </c>
      <c r="AO1893" s="162">
        <f t="shared" si="631"/>
        <v>0</v>
      </c>
      <c r="AP1893" s="162">
        <f t="shared" si="631"/>
        <v>0</v>
      </c>
      <c r="AQ1893" s="162">
        <f t="shared" si="631"/>
        <v>0</v>
      </c>
      <c r="AR1893" s="163">
        <f t="shared" si="634"/>
        <v>0</v>
      </c>
      <c r="AT1893" s="181" t="str">
        <f t="shared" si="635"/>
        <v/>
      </c>
      <c r="AU1893" s="156">
        <f t="shared" si="635"/>
        <v>0</v>
      </c>
      <c r="AV1893" s="156">
        <f t="shared" si="636"/>
        <v>0</v>
      </c>
      <c r="AW1893" s="156">
        <f t="shared" si="632"/>
        <v>0</v>
      </c>
      <c r="AX1893" s="156">
        <f t="shared" si="632"/>
        <v>0</v>
      </c>
      <c r="AY1893" s="156">
        <f t="shared" si="632"/>
        <v>0</v>
      </c>
      <c r="AZ1893" s="156">
        <f t="shared" si="632"/>
        <v>0</v>
      </c>
      <c r="BA1893" s="156">
        <f t="shared" si="632"/>
        <v>0</v>
      </c>
      <c r="BB1893" s="156">
        <f t="shared" si="632"/>
        <v>0</v>
      </c>
      <c r="BC1893" s="156">
        <f t="shared" si="632"/>
        <v>0</v>
      </c>
      <c r="BD1893" s="156">
        <f t="shared" si="632"/>
        <v>0</v>
      </c>
      <c r="BE1893" s="156">
        <f t="shared" si="632"/>
        <v>0</v>
      </c>
      <c r="BF1893" s="156">
        <f t="shared" si="632"/>
        <v>0</v>
      </c>
      <c r="BG1893" s="158">
        <f t="shared" si="637"/>
        <v>0</v>
      </c>
    </row>
    <row r="1894" spans="1:59" x14ac:dyDescent="0.25">
      <c r="A1894" s="14"/>
      <c r="B1894" s="15" t="str">
        <f t="shared" si="628"/>
        <v>IND_OPER_1031_</v>
      </c>
      <c r="C1894" s="83" t="str">
        <f t="shared" si="620"/>
        <v>TRATCSP</v>
      </c>
      <c r="D1894" s="15" t="str">
        <f>IFERROR("QTD_REC_"&amp;VLOOKUP($J1894,#REF!,7,0),"")</f>
        <v/>
      </c>
      <c r="E1894" s="14"/>
      <c r="F1894" s="148">
        <v>1031</v>
      </c>
      <c r="G1894" s="149" t="str">
        <f>IFERROR(VLOOKUP(F1894,#REF!,2,0),"")</f>
        <v/>
      </c>
      <c r="H1894" s="150" t="str">
        <f>IFERROR(VLOOKUP(F1894,#REF!,3,0),"")</f>
        <v/>
      </c>
      <c r="I1894" s="151" t="s">
        <v>312</v>
      </c>
      <c r="J1894" s="151"/>
      <c r="K1894" s="150" t="str">
        <f>IFERROR(VLOOKUP($J1894,#REF!,2,0),"")</f>
        <v/>
      </c>
      <c r="L1894" s="150" t="str">
        <f t="shared" si="629"/>
        <v/>
      </c>
      <c r="M1894" s="154"/>
      <c r="N1894" s="180"/>
      <c r="O1894" s="155"/>
      <c r="P1894" s="156">
        <f>P1818*0.6</f>
        <v>1329.5219999999999</v>
      </c>
      <c r="Q1894" s="156">
        <v>2090.75</v>
      </c>
      <c r="R1894" s="156">
        <v>2335.4899999999998</v>
      </c>
      <c r="S1894" s="156">
        <f>1500-23.33</f>
        <v>1476.67</v>
      </c>
      <c r="T1894" s="156">
        <f>T1818*1</f>
        <v>1496.14</v>
      </c>
      <c r="U1894" s="156">
        <f>U1818*1</f>
        <v>1659.82</v>
      </c>
      <c r="V1894" s="156">
        <v>1868.84</v>
      </c>
      <c r="W1894" s="156">
        <f t="shared" ref="W1894:AA1894" si="642">W1818*1</f>
        <v>1005.77</v>
      </c>
      <c r="X1894" s="156">
        <f t="shared" si="642"/>
        <v>0</v>
      </c>
      <c r="Y1894" s="156">
        <f t="shared" si="642"/>
        <v>0</v>
      </c>
      <c r="Z1894" s="156">
        <f t="shared" si="642"/>
        <v>100</v>
      </c>
      <c r="AA1894" s="156">
        <f t="shared" si="642"/>
        <v>100</v>
      </c>
      <c r="AB1894" s="158">
        <f t="shared" si="630"/>
        <v>13463.002</v>
      </c>
      <c r="AC1894" s="159"/>
      <c r="AE1894" s="160" t="str">
        <f t="shared" si="633"/>
        <v/>
      </c>
      <c r="AF1894" s="161">
        <f t="shared" si="631"/>
        <v>0</v>
      </c>
      <c r="AG1894" s="162">
        <f t="shared" si="631"/>
        <v>0</v>
      </c>
      <c r="AH1894" s="162">
        <f t="shared" si="631"/>
        <v>0</v>
      </c>
      <c r="AI1894" s="162">
        <f t="shared" si="631"/>
        <v>0</v>
      </c>
      <c r="AJ1894" s="162">
        <f t="shared" si="631"/>
        <v>0</v>
      </c>
      <c r="AK1894" s="162">
        <f t="shared" si="631"/>
        <v>0</v>
      </c>
      <c r="AL1894" s="162">
        <f t="shared" si="631"/>
        <v>0</v>
      </c>
      <c r="AM1894" s="162">
        <f t="shared" si="631"/>
        <v>0</v>
      </c>
      <c r="AN1894" s="162">
        <f t="shared" si="631"/>
        <v>0</v>
      </c>
      <c r="AO1894" s="162">
        <f t="shared" si="631"/>
        <v>0</v>
      </c>
      <c r="AP1894" s="162">
        <f t="shared" si="631"/>
        <v>0</v>
      </c>
      <c r="AQ1894" s="162">
        <f t="shared" si="631"/>
        <v>0</v>
      </c>
      <c r="AR1894" s="163">
        <f t="shared" si="634"/>
        <v>0</v>
      </c>
      <c r="AT1894" s="181" t="str">
        <f t="shared" si="635"/>
        <v/>
      </c>
      <c r="AU1894" s="156">
        <f t="shared" si="635"/>
        <v>0</v>
      </c>
      <c r="AV1894" s="156">
        <f t="shared" si="636"/>
        <v>0</v>
      </c>
      <c r="AW1894" s="156">
        <f t="shared" si="632"/>
        <v>0</v>
      </c>
      <c r="AX1894" s="156">
        <f t="shared" si="632"/>
        <v>0</v>
      </c>
      <c r="AY1894" s="156">
        <f t="shared" si="632"/>
        <v>0</v>
      </c>
      <c r="AZ1894" s="156">
        <f t="shared" si="632"/>
        <v>0</v>
      </c>
      <c r="BA1894" s="156">
        <f t="shared" si="632"/>
        <v>0</v>
      </c>
      <c r="BB1894" s="156">
        <f t="shared" si="632"/>
        <v>0</v>
      </c>
      <c r="BC1894" s="156">
        <f t="shared" si="632"/>
        <v>0</v>
      </c>
      <c r="BD1894" s="156">
        <f t="shared" si="632"/>
        <v>0</v>
      </c>
      <c r="BE1894" s="156">
        <f t="shared" si="632"/>
        <v>0</v>
      </c>
      <c r="BF1894" s="156">
        <f t="shared" si="632"/>
        <v>0</v>
      </c>
      <c r="BG1894" s="158">
        <f t="shared" si="637"/>
        <v>0</v>
      </c>
    </row>
    <row r="1895" spans="1:59" x14ac:dyDescent="0.25">
      <c r="A1895" s="14"/>
      <c r="B1895" s="15" t="str">
        <f t="shared" si="628"/>
        <v>IND_OPER_1078_</v>
      </c>
      <c r="C1895" s="83" t="str">
        <f t="shared" si="620"/>
        <v>TRATCSP</v>
      </c>
      <c r="D1895" s="15" t="str">
        <f>IFERROR("QTD_REC_"&amp;VLOOKUP($J1895,#REF!,7,0),"")</f>
        <v/>
      </c>
      <c r="E1895" s="14"/>
      <c r="F1895" s="148">
        <v>1078</v>
      </c>
      <c r="G1895" s="149" t="str">
        <f>IFERROR(VLOOKUP(F1895,#REF!,2,0),"")</f>
        <v/>
      </c>
      <c r="H1895" s="150" t="str">
        <f>IFERROR(VLOOKUP(F1895,#REF!,3,0),"")</f>
        <v/>
      </c>
      <c r="I1895" s="151" t="s">
        <v>312</v>
      </c>
      <c r="J1895" s="151"/>
      <c r="K1895" s="150" t="str">
        <f>IFERROR(VLOOKUP($J1895,#REF!,2,0),"")</f>
        <v/>
      </c>
      <c r="L1895" s="150" t="str">
        <f t="shared" si="629"/>
        <v/>
      </c>
      <c r="M1895" s="154"/>
      <c r="N1895" s="180"/>
      <c r="O1895" s="155"/>
      <c r="P1895" s="156">
        <v>0</v>
      </c>
      <c r="Q1895" s="156">
        <v>0</v>
      </c>
      <c r="R1895" s="156">
        <f t="shared" ref="R1895:U1895" si="643">R1818*0.35</f>
        <v>554.63800000000003</v>
      </c>
      <c r="S1895" s="156">
        <f t="shared" si="643"/>
        <v>0</v>
      </c>
      <c r="T1895" s="156">
        <f t="shared" si="643"/>
        <v>523.649</v>
      </c>
      <c r="U1895" s="156">
        <f t="shared" si="643"/>
        <v>580.9369999999999</v>
      </c>
      <c r="V1895" s="156">
        <v>600</v>
      </c>
      <c r="W1895" s="156">
        <v>310</v>
      </c>
      <c r="X1895" s="156">
        <v>250</v>
      </c>
      <c r="Y1895" s="156">
        <v>250</v>
      </c>
      <c r="Z1895" s="156">
        <v>250</v>
      </c>
      <c r="AA1895" s="156">
        <v>250</v>
      </c>
      <c r="AB1895" s="158">
        <f>SUM(P1895:AA1895)</f>
        <v>3569.2240000000002</v>
      </c>
      <c r="AC1895" s="159"/>
      <c r="AE1895" s="160" t="str">
        <f t="shared" si="633"/>
        <v/>
      </c>
      <c r="AF1895" s="161">
        <f t="shared" si="631"/>
        <v>0</v>
      </c>
      <c r="AG1895" s="162">
        <f t="shared" si="631"/>
        <v>0</v>
      </c>
      <c r="AH1895" s="162">
        <f t="shared" si="631"/>
        <v>0</v>
      </c>
      <c r="AI1895" s="162">
        <f t="shared" si="631"/>
        <v>0</v>
      </c>
      <c r="AJ1895" s="162">
        <f t="shared" si="631"/>
        <v>0</v>
      </c>
      <c r="AK1895" s="162">
        <f t="shared" si="631"/>
        <v>0</v>
      </c>
      <c r="AL1895" s="162">
        <f t="shared" si="631"/>
        <v>0</v>
      </c>
      <c r="AM1895" s="162">
        <f t="shared" si="631"/>
        <v>0</v>
      </c>
      <c r="AN1895" s="162">
        <f t="shared" si="631"/>
        <v>0</v>
      </c>
      <c r="AO1895" s="162">
        <f t="shared" si="631"/>
        <v>0</v>
      </c>
      <c r="AP1895" s="162">
        <f t="shared" si="631"/>
        <v>0</v>
      </c>
      <c r="AQ1895" s="162">
        <f t="shared" si="631"/>
        <v>0</v>
      </c>
      <c r="AR1895" s="163">
        <f t="shared" si="634"/>
        <v>0</v>
      </c>
      <c r="AT1895" s="181" t="str">
        <f t="shared" si="635"/>
        <v/>
      </c>
      <c r="AU1895" s="156">
        <f t="shared" si="635"/>
        <v>0</v>
      </c>
      <c r="AV1895" s="156">
        <f t="shared" si="636"/>
        <v>0</v>
      </c>
      <c r="AW1895" s="156">
        <f t="shared" si="632"/>
        <v>0</v>
      </c>
      <c r="AX1895" s="156">
        <f t="shared" si="632"/>
        <v>0</v>
      </c>
      <c r="AY1895" s="156">
        <f t="shared" si="632"/>
        <v>0</v>
      </c>
      <c r="AZ1895" s="156">
        <f t="shared" si="632"/>
        <v>0</v>
      </c>
      <c r="BA1895" s="156">
        <f t="shared" si="632"/>
        <v>0</v>
      </c>
      <c r="BB1895" s="156">
        <f t="shared" si="632"/>
        <v>0</v>
      </c>
      <c r="BC1895" s="156">
        <f t="shared" si="632"/>
        <v>0</v>
      </c>
      <c r="BD1895" s="156">
        <f t="shared" si="632"/>
        <v>0</v>
      </c>
      <c r="BE1895" s="156">
        <f t="shared" si="632"/>
        <v>0</v>
      </c>
      <c r="BF1895" s="156">
        <f t="shared" si="632"/>
        <v>0</v>
      </c>
      <c r="BG1895" s="158">
        <f t="shared" si="637"/>
        <v>0</v>
      </c>
    </row>
    <row r="1896" spans="1:59" x14ac:dyDescent="0.25">
      <c r="A1896" s="14"/>
      <c r="B1896" s="15" t="str">
        <f t="shared" si="628"/>
        <v>IND_OPER_1090_</v>
      </c>
      <c r="C1896" s="83" t="str">
        <f t="shared" si="620"/>
        <v>TRATCSP</v>
      </c>
      <c r="D1896" s="15" t="str">
        <f>IFERROR("QTD_REC_"&amp;VLOOKUP($J1896,#REF!,7,0),"")</f>
        <v/>
      </c>
      <c r="E1896" s="14"/>
      <c r="F1896" s="148">
        <v>1090</v>
      </c>
      <c r="G1896" s="149" t="str">
        <f>IFERROR(VLOOKUP(F1896,#REF!,2,0),"")</f>
        <v/>
      </c>
      <c r="H1896" s="150" t="str">
        <f>IFERROR(VLOOKUP(F1896,#REF!,3,0),"")</f>
        <v/>
      </c>
      <c r="I1896" s="151" t="s">
        <v>312</v>
      </c>
      <c r="J1896" s="151"/>
      <c r="K1896" s="150" t="str">
        <f>IFERROR(VLOOKUP($J1896,#REF!,2,0),"")</f>
        <v/>
      </c>
      <c r="L1896" s="150" t="str">
        <f t="shared" si="629"/>
        <v/>
      </c>
      <c r="M1896" s="154"/>
      <c r="N1896" s="180"/>
      <c r="O1896" s="155"/>
      <c r="P1896" s="156">
        <v>105</v>
      </c>
      <c r="Q1896" s="156">
        <v>98</v>
      </c>
      <c r="R1896" s="156">
        <v>63</v>
      </c>
      <c r="S1896" s="156">
        <v>100</v>
      </c>
      <c r="T1896" s="156">
        <v>100</v>
      </c>
      <c r="U1896" s="156">
        <v>84</v>
      </c>
      <c r="V1896" s="156">
        <v>196</v>
      </c>
      <c r="W1896" s="156">
        <v>0</v>
      </c>
      <c r="X1896" s="156">
        <v>100</v>
      </c>
      <c r="Y1896" s="156">
        <v>100</v>
      </c>
      <c r="Z1896" s="156">
        <v>100</v>
      </c>
      <c r="AA1896" s="156">
        <v>100</v>
      </c>
      <c r="AB1896" s="158">
        <f>SUM(P1896:AA1896)</f>
        <v>1146</v>
      </c>
      <c r="AC1896" s="159" t="s">
        <v>314</v>
      </c>
      <c r="AE1896" s="160" t="str">
        <f t="shared" si="633"/>
        <v/>
      </c>
      <c r="AF1896" s="161">
        <f t="shared" si="631"/>
        <v>0</v>
      </c>
      <c r="AG1896" s="162">
        <f t="shared" si="631"/>
        <v>0</v>
      </c>
      <c r="AH1896" s="162">
        <f t="shared" si="631"/>
        <v>0</v>
      </c>
      <c r="AI1896" s="162">
        <f t="shared" si="631"/>
        <v>0</v>
      </c>
      <c r="AJ1896" s="162">
        <f t="shared" si="631"/>
        <v>0</v>
      </c>
      <c r="AK1896" s="162">
        <f t="shared" si="631"/>
        <v>0</v>
      </c>
      <c r="AL1896" s="162">
        <f t="shared" si="631"/>
        <v>0</v>
      </c>
      <c r="AM1896" s="162">
        <f t="shared" si="631"/>
        <v>0</v>
      </c>
      <c r="AN1896" s="162">
        <f t="shared" si="631"/>
        <v>0</v>
      </c>
      <c r="AO1896" s="162">
        <f t="shared" si="631"/>
        <v>0</v>
      </c>
      <c r="AP1896" s="162">
        <f t="shared" si="631"/>
        <v>0</v>
      </c>
      <c r="AQ1896" s="162">
        <f t="shared" si="631"/>
        <v>0</v>
      </c>
      <c r="AR1896" s="163">
        <f t="shared" si="634"/>
        <v>0</v>
      </c>
      <c r="AT1896" s="181" t="str">
        <f t="shared" si="635"/>
        <v/>
      </c>
      <c r="AU1896" s="156">
        <f t="shared" si="635"/>
        <v>0</v>
      </c>
      <c r="AV1896" s="156">
        <f t="shared" si="636"/>
        <v>0</v>
      </c>
      <c r="AW1896" s="156">
        <f t="shared" si="632"/>
        <v>0</v>
      </c>
      <c r="AX1896" s="156">
        <f t="shared" si="632"/>
        <v>0</v>
      </c>
      <c r="AY1896" s="156">
        <f t="shared" si="632"/>
        <v>0</v>
      </c>
      <c r="AZ1896" s="156">
        <f t="shared" si="632"/>
        <v>0</v>
      </c>
      <c r="BA1896" s="156">
        <f t="shared" si="632"/>
        <v>0</v>
      </c>
      <c r="BB1896" s="156">
        <f t="shared" si="632"/>
        <v>0</v>
      </c>
      <c r="BC1896" s="156">
        <f t="shared" si="632"/>
        <v>0</v>
      </c>
      <c r="BD1896" s="156">
        <f t="shared" si="632"/>
        <v>0</v>
      </c>
      <c r="BE1896" s="156">
        <f t="shared" si="632"/>
        <v>0</v>
      </c>
      <c r="BF1896" s="156">
        <f t="shared" si="632"/>
        <v>0</v>
      </c>
      <c r="BG1896" s="158">
        <f t="shared" si="637"/>
        <v>0</v>
      </c>
    </row>
    <row r="1897" spans="1:59" x14ac:dyDescent="0.25">
      <c r="A1897" s="14"/>
      <c r="B1897" s="15" t="str">
        <f t="shared" si="628"/>
        <v>IND_OPER_1091_</v>
      </c>
      <c r="C1897" s="83" t="str">
        <f t="shared" si="620"/>
        <v>TRATCSP</v>
      </c>
      <c r="D1897" s="15" t="str">
        <f>IFERROR("QTD_REC_"&amp;VLOOKUP($J1897,#REF!,7,0),"")</f>
        <v/>
      </c>
      <c r="E1897" s="14"/>
      <c r="F1897" s="148">
        <v>1091</v>
      </c>
      <c r="G1897" s="149" t="str">
        <f>IFERROR(VLOOKUP(F1897,#REF!,2,0),"")</f>
        <v/>
      </c>
      <c r="H1897" s="150" t="str">
        <f>IFERROR(VLOOKUP(F1897,#REF!,3,0),"")</f>
        <v/>
      </c>
      <c r="I1897" s="151" t="s">
        <v>312</v>
      </c>
      <c r="J1897" s="151"/>
      <c r="K1897" s="150" t="str">
        <f>IFERROR(VLOOKUP($J1897,#REF!,2,0),"")</f>
        <v/>
      </c>
      <c r="L1897" s="150" t="str">
        <f t="shared" si="629"/>
        <v/>
      </c>
      <c r="M1897" s="154"/>
      <c r="N1897" s="180"/>
      <c r="O1897" s="155"/>
      <c r="P1897" s="156">
        <f>P1818*0.08</f>
        <v>177.2696</v>
      </c>
      <c r="Q1897" s="156">
        <f t="shared" ref="Q1897:V1897" si="644">Q1818*0.08</f>
        <v>308.22640000000001</v>
      </c>
      <c r="R1897" s="156">
        <f t="shared" si="644"/>
        <v>126.77440000000001</v>
      </c>
      <c r="S1897" s="156">
        <f t="shared" si="644"/>
        <v>0</v>
      </c>
      <c r="T1897" s="156">
        <f t="shared" si="644"/>
        <v>119.69120000000001</v>
      </c>
      <c r="U1897" s="156">
        <f t="shared" si="644"/>
        <v>132.78559999999999</v>
      </c>
      <c r="V1897" s="156">
        <f t="shared" si="644"/>
        <v>149.49120000000002</v>
      </c>
      <c r="W1897" s="156">
        <v>40</v>
      </c>
      <c r="X1897" s="156">
        <v>40</v>
      </c>
      <c r="Y1897" s="156">
        <v>40</v>
      </c>
      <c r="Z1897" s="156">
        <v>40</v>
      </c>
      <c r="AA1897" s="156">
        <v>40</v>
      </c>
      <c r="AB1897" s="158">
        <f t="shared" si="630"/>
        <v>1214.2384000000002</v>
      </c>
      <c r="AC1897" s="159"/>
      <c r="AE1897" s="160" t="str">
        <f t="shared" si="633"/>
        <v/>
      </c>
      <c r="AF1897" s="161">
        <f t="shared" si="631"/>
        <v>0</v>
      </c>
      <c r="AG1897" s="162">
        <f t="shared" si="631"/>
        <v>0</v>
      </c>
      <c r="AH1897" s="162">
        <f t="shared" si="631"/>
        <v>0</v>
      </c>
      <c r="AI1897" s="162">
        <f t="shared" si="631"/>
        <v>0</v>
      </c>
      <c r="AJ1897" s="162">
        <f t="shared" si="631"/>
        <v>0</v>
      </c>
      <c r="AK1897" s="162">
        <f t="shared" si="631"/>
        <v>0</v>
      </c>
      <c r="AL1897" s="162">
        <f t="shared" si="631"/>
        <v>0</v>
      </c>
      <c r="AM1897" s="162">
        <f t="shared" si="631"/>
        <v>0</v>
      </c>
      <c r="AN1897" s="162">
        <f t="shared" si="631"/>
        <v>0</v>
      </c>
      <c r="AO1897" s="162">
        <f t="shared" si="631"/>
        <v>0</v>
      </c>
      <c r="AP1897" s="162">
        <f t="shared" si="631"/>
        <v>0</v>
      </c>
      <c r="AQ1897" s="162">
        <f t="shared" si="631"/>
        <v>0</v>
      </c>
      <c r="AR1897" s="163">
        <f t="shared" si="634"/>
        <v>0</v>
      </c>
      <c r="AT1897" s="181" t="str">
        <f t="shared" si="635"/>
        <v/>
      </c>
      <c r="AU1897" s="156">
        <f t="shared" si="635"/>
        <v>0</v>
      </c>
      <c r="AV1897" s="156">
        <f t="shared" si="636"/>
        <v>0</v>
      </c>
      <c r="AW1897" s="156">
        <f t="shared" si="632"/>
        <v>0</v>
      </c>
      <c r="AX1897" s="156">
        <f t="shared" si="632"/>
        <v>0</v>
      </c>
      <c r="AY1897" s="156">
        <f t="shared" si="632"/>
        <v>0</v>
      </c>
      <c r="AZ1897" s="156">
        <f t="shared" si="632"/>
        <v>0</v>
      </c>
      <c r="BA1897" s="156">
        <f t="shared" si="632"/>
        <v>0</v>
      </c>
      <c r="BB1897" s="156">
        <f t="shared" si="632"/>
        <v>0</v>
      </c>
      <c r="BC1897" s="156">
        <f t="shared" si="632"/>
        <v>0</v>
      </c>
      <c r="BD1897" s="156">
        <f t="shared" si="632"/>
        <v>0</v>
      </c>
      <c r="BE1897" s="156">
        <f t="shared" si="632"/>
        <v>0</v>
      </c>
      <c r="BF1897" s="156">
        <f t="shared" si="632"/>
        <v>0</v>
      </c>
      <c r="BG1897" s="158">
        <f t="shared" si="637"/>
        <v>0</v>
      </c>
    </row>
    <row r="1898" spans="1:59" x14ac:dyDescent="0.25">
      <c r="A1898" s="14"/>
      <c r="B1898" s="15" t="str">
        <f t="shared" si="628"/>
        <v>IND_OPER_1093_</v>
      </c>
      <c r="C1898" s="83" t="str">
        <f t="shared" si="620"/>
        <v>TRATCSP</v>
      </c>
      <c r="D1898" s="15" t="str">
        <f>IFERROR("QTD_REC_"&amp;VLOOKUP($J1898,#REF!,7,0),"")</f>
        <v/>
      </c>
      <c r="E1898" s="14"/>
      <c r="F1898" s="148">
        <v>1093</v>
      </c>
      <c r="G1898" s="149" t="str">
        <f>IFERROR(VLOOKUP(F1898,#REF!,2,0),"")</f>
        <v/>
      </c>
      <c r="H1898" s="150" t="str">
        <f>IFERROR(VLOOKUP(F1898,#REF!,3,0),"")</f>
        <v/>
      </c>
      <c r="I1898" s="151" t="s">
        <v>312</v>
      </c>
      <c r="J1898" s="151"/>
      <c r="K1898" s="150" t="str">
        <f>IFERROR(VLOOKUP($J1898,#REF!,2,0),"")</f>
        <v/>
      </c>
      <c r="L1898" s="150" t="str">
        <f t="shared" si="629"/>
        <v/>
      </c>
      <c r="M1898" s="154"/>
      <c r="N1898" s="180"/>
      <c r="O1898" s="155"/>
      <c r="P1898" s="156">
        <f>P1818*0.08</f>
        <v>177.2696</v>
      </c>
      <c r="Q1898" s="156">
        <f t="shared" ref="Q1898:V1898" si="645">Q1818*0.08</f>
        <v>308.22640000000001</v>
      </c>
      <c r="R1898" s="156">
        <f t="shared" si="645"/>
        <v>126.77440000000001</v>
      </c>
      <c r="S1898" s="156">
        <f t="shared" si="645"/>
        <v>0</v>
      </c>
      <c r="T1898" s="156">
        <f t="shared" si="645"/>
        <v>119.69120000000001</v>
      </c>
      <c r="U1898" s="156">
        <f t="shared" si="645"/>
        <v>132.78559999999999</v>
      </c>
      <c r="V1898" s="156">
        <f t="shared" si="645"/>
        <v>149.49120000000002</v>
      </c>
      <c r="W1898" s="156">
        <v>40</v>
      </c>
      <c r="X1898" s="156">
        <v>40</v>
      </c>
      <c r="Y1898" s="156">
        <v>40</v>
      </c>
      <c r="Z1898" s="156">
        <v>40</v>
      </c>
      <c r="AA1898" s="156">
        <v>40</v>
      </c>
      <c r="AB1898" s="158">
        <f t="shared" si="630"/>
        <v>1214.2384000000002</v>
      </c>
      <c r="AC1898" s="159"/>
      <c r="AE1898" s="160" t="str">
        <f t="shared" si="633"/>
        <v/>
      </c>
      <c r="AF1898" s="161">
        <f t="shared" si="631"/>
        <v>0</v>
      </c>
      <c r="AG1898" s="162">
        <f t="shared" si="631"/>
        <v>0</v>
      </c>
      <c r="AH1898" s="162">
        <f t="shared" si="631"/>
        <v>0</v>
      </c>
      <c r="AI1898" s="162">
        <f t="shared" si="631"/>
        <v>0</v>
      </c>
      <c r="AJ1898" s="162">
        <f t="shared" si="631"/>
        <v>0</v>
      </c>
      <c r="AK1898" s="162">
        <f t="shared" si="631"/>
        <v>0</v>
      </c>
      <c r="AL1898" s="162">
        <f t="shared" si="631"/>
        <v>0</v>
      </c>
      <c r="AM1898" s="162">
        <f t="shared" si="631"/>
        <v>0</v>
      </c>
      <c r="AN1898" s="162">
        <f t="shared" si="631"/>
        <v>0</v>
      </c>
      <c r="AO1898" s="162">
        <f t="shared" si="631"/>
        <v>0</v>
      </c>
      <c r="AP1898" s="162">
        <f t="shared" si="631"/>
        <v>0</v>
      </c>
      <c r="AQ1898" s="162">
        <f t="shared" si="631"/>
        <v>0</v>
      </c>
      <c r="AR1898" s="163">
        <f t="shared" si="634"/>
        <v>0</v>
      </c>
      <c r="AT1898" s="181" t="str">
        <f t="shared" si="635"/>
        <v/>
      </c>
      <c r="AU1898" s="156">
        <f t="shared" si="635"/>
        <v>0</v>
      </c>
      <c r="AV1898" s="156">
        <f t="shared" si="636"/>
        <v>0</v>
      </c>
      <c r="AW1898" s="156">
        <f t="shared" si="632"/>
        <v>0</v>
      </c>
      <c r="AX1898" s="156">
        <f t="shared" si="632"/>
        <v>0</v>
      </c>
      <c r="AY1898" s="156">
        <f t="shared" si="632"/>
        <v>0</v>
      </c>
      <c r="AZ1898" s="156">
        <f t="shared" si="632"/>
        <v>0</v>
      </c>
      <c r="BA1898" s="156">
        <f t="shared" si="632"/>
        <v>0</v>
      </c>
      <c r="BB1898" s="156">
        <f t="shared" si="632"/>
        <v>0</v>
      </c>
      <c r="BC1898" s="156">
        <f t="shared" si="632"/>
        <v>0</v>
      </c>
      <c r="BD1898" s="156">
        <f t="shared" si="632"/>
        <v>0</v>
      </c>
      <c r="BE1898" s="156">
        <f t="shared" si="632"/>
        <v>0</v>
      </c>
      <c r="BF1898" s="156">
        <f t="shared" si="632"/>
        <v>0</v>
      </c>
      <c r="BG1898" s="158">
        <f t="shared" si="637"/>
        <v>0</v>
      </c>
    </row>
    <row r="1899" spans="1:59" x14ac:dyDescent="0.25">
      <c r="A1899" s="14"/>
      <c r="B1899" s="15" t="str">
        <f t="shared" si="628"/>
        <v>IND_OPER_903_</v>
      </c>
      <c r="C1899" s="83" t="str">
        <f t="shared" si="620"/>
        <v>TRATCSFS</v>
      </c>
      <c r="D1899" s="15" t="str">
        <f>IFERROR("QTD_REC_"&amp;VLOOKUP($J1899,#REF!,7,0),"")</f>
        <v/>
      </c>
      <c r="E1899" s="14"/>
      <c r="F1899" s="148">
        <v>903</v>
      </c>
      <c r="G1899" s="149" t="str">
        <f>IFERROR(VLOOKUP(F1899,#REF!,2,0),"")</f>
        <v/>
      </c>
      <c r="H1899" s="150" t="str">
        <f>IFERROR(VLOOKUP(F1899,#REF!,3,0),"")</f>
        <v/>
      </c>
      <c r="I1899" s="151" t="s">
        <v>313</v>
      </c>
      <c r="J1899" s="151"/>
      <c r="K1899" s="150" t="str">
        <f>IFERROR(VLOOKUP($J1899,#REF!,2,0),"")</f>
        <v/>
      </c>
      <c r="L1899" s="150" t="str">
        <f t="shared" si="629"/>
        <v/>
      </c>
      <c r="M1899" s="154"/>
      <c r="N1899" s="182"/>
      <c r="O1899" s="155"/>
      <c r="P1899" s="156">
        <v>0</v>
      </c>
      <c r="Q1899" s="156">
        <v>0</v>
      </c>
      <c r="R1899" s="156">
        <v>0</v>
      </c>
      <c r="S1899" s="156">
        <v>0</v>
      </c>
      <c r="T1899" s="156">
        <v>0</v>
      </c>
      <c r="U1899" s="156">
        <v>0</v>
      </c>
      <c r="V1899" s="156">
        <v>0</v>
      </c>
      <c r="W1899" s="156">
        <v>0</v>
      </c>
      <c r="X1899" s="156">
        <v>0</v>
      </c>
      <c r="Y1899" s="156">
        <v>0</v>
      </c>
      <c r="Z1899" s="156">
        <v>0</v>
      </c>
      <c r="AA1899" s="156">
        <v>0</v>
      </c>
      <c r="AB1899" s="158">
        <f t="shared" ref="AB1899:AB1907" si="646">SUM(P1899:AA1899)</f>
        <v>0</v>
      </c>
      <c r="AC1899" s="159"/>
      <c r="AE1899" s="160" t="str">
        <f t="shared" si="633"/>
        <v/>
      </c>
      <c r="AF1899" s="161">
        <f t="shared" si="631"/>
        <v>0</v>
      </c>
      <c r="AG1899" s="162">
        <f t="shared" si="631"/>
        <v>0</v>
      </c>
      <c r="AH1899" s="162">
        <f t="shared" si="631"/>
        <v>0</v>
      </c>
      <c r="AI1899" s="162">
        <f t="shared" si="631"/>
        <v>0</v>
      </c>
      <c r="AJ1899" s="162">
        <f t="shared" si="631"/>
        <v>0</v>
      </c>
      <c r="AK1899" s="162">
        <f t="shared" si="631"/>
        <v>0</v>
      </c>
      <c r="AL1899" s="162">
        <f t="shared" si="631"/>
        <v>0</v>
      </c>
      <c r="AM1899" s="162">
        <f t="shared" si="631"/>
        <v>0</v>
      </c>
      <c r="AN1899" s="162">
        <f t="shared" si="631"/>
        <v>0</v>
      </c>
      <c r="AO1899" s="162">
        <f t="shared" si="631"/>
        <v>0</v>
      </c>
      <c r="AP1899" s="162">
        <f t="shared" si="631"/>
        <v>0</v>
      </c>
      <c r="AQ1899" s="162">
        <f t="shared" si="631"/>
        <v>0</v>
      </c>
      <c r="AR1899" s="163">
        <f t="shared" ref="AR1899:AR1907" si="647">SUM(AF1899:AQ1899)</f>
        <v>0</v>
      </c>
      <c r="AT1899" s="181" t="str">
        <f t="shared" si="635"/>
        <v/>
      </c>
      <c r="AU1899" s="156">
        <f t="shared" si="635"/>
        <v>0</v>
      </c>
      <c r="AV1899" s="156">
        <f t="shared" si="636"/>
        <v>0</v>
      </c>
      <c r="AW1899" s="156">
        <f t="shared" si="632"/>
        <v>0</v>
      </c>
      <c r="AX1899" s="156">
        <f t="shared" si="632"/>
        <v>0</v>
      </c>
      <c r="AY1899" s="156">
        <f t="shared" si="632"/>
        <v>0</v>
      </c>
      <c r="AZ1899" s="156">
        <f t="shared" si="632"/>
        <v>0</v>
      </c>
      <c r="BA1899" s="156">
        <f t="shared" si="632"/>
        <v>0</v>
      </c>
      <c r="BB1899" s="156">
        <f t="shared" si="632"/>
        <v>0</v>
      </c>
      <c r="BC1899" s="156">
        <f t="shared" si="632"/>
        <v>0</v>
      </c>
      <c r="BD1899" s="156">
        <f t="shared" si="632"/>
        <v>0</v>
      </c>
      <c r="BE1899" s="156">
        <f t="shared" si="632"/>
        <v>0</v>
      </c>
      <c r="BF1899" s="156">
        <f t="shared" si="632"/>
        <v>0</v>
      </c>
      <c r="BG1899" s="158">
        <f t="shared" ref="BG1899:BG1907" si="648">IFERROR(SUM(AU1899:BF1899)/COUNTIF(AU1899:BF1899,"&gt;0"),0)</f>
        <v>0</v>
      </c>
    </row>
    <row r="1900" spans="1:59" x14ac:dyDescent="0.25">
      <c r="A1900" s="14"/>
      <c r="B1900" s="15" t="str">
        <f t="shared" si="628"/>
        <v>IND_OPER_1022_</v>
      </c>
      <c r="C1900" s="83" t="str">
        <f t="shared" si="620"/>
        <v>TRATCSF</v>
      </c>
      <c r="D1900" s="15" t="str">
        <f>IFERROR("QTD_REC_"&amp;VLOOKUP($J1900,#REF!,7,0),"")</f>
        <v/>
      </c>
      <c r="E1900" s="14"/>
      <c r="F1900" s="148">
        <v>1022</v>
      </c>
      <c r="G1900" s="149" t="str">
        <f>IFERROR(VLOOKUP(F1900,#REF!,2,0),"")</f>
        <v/>
      </c>
      <c r="H1900" s="150" t="str">
        <f>IFERROR(VLOOKUP(F1900,#REF!,3,0),"")</f>
        <v/>
      </c>
      <c r="I1900" s="151" t="s">
        <v>315</v>
      </c>
      <c r="J1900" s="151"/>
      <c r="K1900" s="150" t="str">
        <f>IFERROR(VLOOKUP($J1900,#REF!,2,0),"")</f>
        <v/>
      </c>
      <c r="L1900" s="150" t="str">
        <f t="shared" si="629"/>
        <v/>
      </c>
      <c r="M1900" s="154"/>
      <c r="N1900" s="182"/>
      <c r="O1900" s="155"/>
      <c r="P1900" s="156">
        <v>0</v>
      </c>
      <c r="Q1900" s="156">
        <v>0</v>
      </c>
      <c r="R1900" s="156">
        <v>100</v>
      </c>
      <c r="S1900" s="156">
        <v>0</v>
      </c>
      <c r="T1900" s="156">
        <v>100</v>
      </c>
      <c r="U1900" s="156">
        <v>100</v>
      </c>
      <c r="V1900" s="156">
        <v>100</v>
      </c>
      <c r="W1900" s="156">
        <v>0</v>
      </c>
      <c r="X1900" s="156">
        <v>0</v>
      </c>
      <c r="Y1900" s="156">
        <v>0</v>
      </c>
      <c r="Z1900" s="156">
        <v>0</v>
      </c>
      <c r="AA1900" s="156">
        <v>0</v>
      </c>
      <c r="AB1900" s="158">
        <f t="shared" si="646"/>
        <v>400</v>
      </c>
      <c r="AC1900" s="159"/>
      <c r="AE1900" s="160" t="str">
        <f t="shared" si="633"/>
        <v/>
      </c>
      <c r="AF1900" s="161">
        <f t="shared" si="631"/>
        <v>0</v>
      </c>
      <c r="AG1900" s="162">
        <f t="shared" si="631"/>
        <v>0</v>
      </c>
      <c r="AH1900" s="162">
        <f t="shared" si="631"/>
        <v>0</v>
      </c>
      <c r="AI1900" s="162">
        <f t="shared" si="631"/>
        <v>0</v>
      </c>
      <c r="AJ1900" s="162">
        <f t="shared" si="631"/>
        <v>0</v>
      </c>
      <c r="AK1900" s="162">
        <f t="shared" si="631"/>
        <v>0</v>
      </c>
      <c r="AL1900" s="162">
        <f t="shared" si="631"/>
        <v>0</v>
      </c>
      <c r="AM1900" s="162">
        <f t="shared" si="631"/>
        <v>0</v>
      </c>
      <c r="AN1900" s="162">
        <f t="shared" si="631"/>
        <v>0</v>
      </c>
      <c r="AO1900" s="162">
        <f t="shared" si="631"/>
        <v>0</v>
      </c>
      <c r="AP1900" s="162">
        <f t="shared" si="631"/>
        <v>0</v>
      </c>
      <c r="AQ1900" s="162">
        <f t="shared" si="631"/>
        <v>0</v>
      </c>
      <c r="AR1900" s="163">
        <f t="shared" si="647"/>
        <v>0</v>
      </c>
      <c r="AT1900" s="181" t="str">
        <f t="shared" si="635"/>
        <v/>
      </c>
      <c r="AU1900" s="156">
        <f t="shared" si="635"/>
        <v>0</v>
      </c>
      <c r="AV1900" s="156">
        <f t="shared" si="636"/>
        <v>0</v>
      </c>
      <c r="AW1900" s="156">
        <f t="shared" si="632"/>
        <v>0</v>
      </c>
      <c r="AX1900" s="156">
        <f t="shared" si="632"/>
        <v>0</v>
      </c>
      <c r="AY1900" s="156">
        <f t="shared" si="632"/>
        <v>0</v>
      </c>
      <c r="AZ1900" s="156">
        <f t="shared" si="632"/>
        <v>0</v>
      </c>
      <c r="BA1900" s="156">
        <f t="shared" si="632"/>
        <v>0</v>
      </c>
      <c r="BB1900" s="156">
        <f t="shared" si="632"/>
        <v>0</v>
      </c>
      <c r="BC1900" s="156">
        <f t="shared" si="632"/>
        <v>0</v>
      </c>
      <c r="BD1900" s="156">
        <f t="shared" si="632"/>
        <v>0</v>
      </c>
      <c r="BE1900" s="156">
        <f t="shared" si="632"/>
        <v>0</v>
      </c>
      <c r="BF1900" s="156">
        <f t="shared" si="632"/>
        <v>0</v>
      </c>
      <c r="BG1900" s="158">
        <f t="shared" si="648"/>
        <v>0</v>
      </c>
    </row>
    <row r="1901" spans="1:59" x14ac:dyDescent="0.25">
      <c r="A1901" s="14"/>
      <c r="B1901" s="15" t="str">
        <f t="shared" si="628"/>
        <v>IND_OPER_1031_</v>
      </c>
      <c r="C1901" s="83" t="str">
        <f t="shared" si="620"/>
        <v>TRATCSF</v>
      </c>
      <c r="D1901" s="15" t="str">
        <f>IFERROR("QTD_REC_"&amp;VLOOKUP($J1901,#REF!,7,0),"")</f>
        <v/>
      </c>
      <c r="E1901" s="14"/>
      <c r="F1901" s="148">
        <v>1031</v>
      </c>
      <c r="G1901" s="149" t="str">
        <f>IFERROR(VLOOKUP(F1901,#REF!,2,0),"")</f>
        <v/>
      </c>
      <c r="H1901" s="150" t="str">
        <f>IFERROR(VLOOKUP(F1901,#REF!,3,0),"")</f>
        <v/>
      </c>
      <c r="I1901" s="151" t="s">
        <v>315</v>
      </c>
      <c r="J1901" s="151"/>
      <c r="K1901" s="150" t="str">
        <f>IFERROR(VLOOKUP($J1901,#REF!,2,0),"")</f>
        <v/>
      </c>
      <c r="L1901" s="150" t="str">
        <f t="shared" si="629"/>
        <v/>
      </c>
      <c r="M1901" s="154"/>
      <c r="N1901" s="182"/>
      <c r="O1901" s="155"/>
      <c r="P1901" s="156">
        <v>0</v>
      </c>
      <c r="Q1901" s="156">
        <v>0</v>
      </c>
      <c r="R1901" s="156">
        <v>100</v>
      </c>
      <c r="S1901" s="156">
        <v>0</v>
      </c>
      <c r="T1901" s="156">
        <v>100</v>
      </c>
      <c r="U1901" s="156">
        <v>100</v>
      </c>
      <c r="V1901" s="156">
        <v>100</v>
      </c>
      <c r="W1901" s="156">
        <v>0</v>
      </c>
      <c r="X1901" s="156">
        <v>0</v>
      </c>
      <c r="Y1901" s="156">
        <v>0</v>
      </c>
      <c r="Z1901" s="156">
        <v>0</v>
      </c>
      <c r="AA1901" s="156">
        <v>0</v>
      </c>
      <c r="AB1901" s="158">
        <f t="shared" si="646"/>
        <v>400</v>
      </c>
      <c r="AC1901" s="159"/>
      <c r="AE1901" s="160" t="str">
        <f t="shared" si="633"/>
        <v/>
      </c>
      <c r="AF1901" s="161">
        <f t="shared" si="631"/>
        <v>0</v>
      </c>
      <c r="AG1901" s="162">
        <f t="shared" si="631"/>
        <v>0</v>
      </c>
      <c r="AH1901" s="162">
        <f t="shared" si="631"/>
        <v>0</v>
      </c>
      <c r="AI1901" s="162">
        <f t="shared" si="631"/>
        <v>0</v>
      </c>
      <c r="AJ1901" s="162">
        <f t="shared" si="631"/>
        <v>0</v>
      </c>
      <c r="AK1901" s="162">
        <f t="shared" si="631"/>
        <v>0</v>
      </c>
      <c r="AL1901" s="162">
        <f t="shared" si="631"/>
        <v>0</v>
      </c>
      <c r="AM1901" s="162">
        <f t="shared" si="631"/>
        <v>0</v>
      </c>
      <c r="AN1901" s="162">
        <f t="shared" si="631"/>
        <v>0</v>
      </c>
      <c r="AO1901" s="162">
        <f t="shared" si="631"/>
        <v>0</v>
      </c>
      <c r="AP1901" s="162">
        <f t="shared" si="631"/>
        <v>0</v>
      </c>
      <c r="AQ1901" s="162">
        <f t="shared" si="631"/>
        <v>0</v>
      </c>
      <c r="AR1901" s="163">
        <f t="shared" si="647"/>
        <v>0</v>
      </c>
      <c r="AT1901" s="181" t="str">
        <f t="shared" si="635"/>
        <v/>
      </c>
      <c r="AU1901" s="156">
        <f t="shared" si="635"/>
        <v>0</v>
      </c>
      <c r="AV1901" s="156">
        <f t="shared" si="636"/>
        <v>0</v>
      </c>
      <c r="AW1901" s="156">
        <f t="shared" si="632"/>
        <v>0</v>
      </c>
      <c r="AX1901" s="156">
        <f t="shared" si="632"/>
        <v>0</v>
      </c>
      <c r="AY1901" s="156">
        <f t="shared" si="632"/>
        <v>0</v>
      </c>
      <c r="AZ1901" s="156">
        <f t="shared" si="632"/>
        <v>0</v>
      </c>
      <c r="BA1901" s="156">
        <f t="shared" si="632"/>
        <v>0</v>
      </c>
      <c r="BB1901" s="156">
        <f t="shared" si="632"/>
        <v>0</v>
      </c>
      <c r="BC1901" s="156">
        <f t="shared" si="632"/>
        <v>0</v>
      </c>
      <c r="BD1901" s="156">
        <f t="shared" si="632"/>
        <v>0</v>
      </c>
      <c r="BE1901" s="156">
        <f t="shared" si="632"/>
        <v>0</v>
      </c>
      <c r="BF1901" s="156">
        <f t="shared" si="632"/>
        <v>0</v>
      </c>
      <c r="BG1901" s="158">
        <f t="shared" si="648"/>
        <v>0</v>
      </c>
    </row>
    <row r="1902" spans="1:59" x14ac:dyDescent="0.25">
      <c r="A1902" s="14"/>
      <c r="B1902" s="15" t="str">
        <f t="shared" si="628"/>
        <v>IND_OPER_1033_</v>
      </c>
      <c r="C1902" s="83" t="str">
        <f t="shared" si="620"/>
        <v>TRATCSP</v>
      </c>
      <c r="D1902" s="15" t="str">
        <f>IFERROR("QTD_REC_"&amp;VLOOKUP($J1902,#REF!,7,0),"")</f>
        <v/>
      </c>
      <c r="E1902" s="14"/>
      <c r="F1902" s="148">
        <v>1033</v>
      </c>
      <c r="G1902" s="149" t="str">
        <f>IFERROR(VLOOKUP(F1902,#REF!,2,0),"")</f>
        <v/>
      </c>
      <c r="H1902" s="150" t="str">
        <f>IFERROR(VLOOKUP(F1902,#REF!,3,0),"")</f>
        <v/>
      </c>
      <c r="I1902" s="151" t="s">
        <v>312</v>
      </c>
      <c r="J1902" s="151"/>
      <c r="K1902" s="150" t="str">
        <f>IFERROR(VLOOKUP($J1902,#REF!,2,0),"")</f>
        <v/>
      </c>
      <c r="L1902" s="150" t="str">
        <f t="shared" si="629"/>
        <v/>
      </c>
      <c r="M1902" s="154"/>
      <c r="N1902" s="182"/>
      <c r="O1902" s="155"/>
      <c r="P1902" s="156">
        <v>322.16000000000003</v>
      </c>
      <c r="Q1902" s="156">
        <v>543.24</v>
      </c>
      <c r="R1902" s="156">
        <v>291.06</v>
      </c>
      <c r="S1902" s="156">
        <v>120.53</v>
      </c>
      <c r="T1902" s="156">
        <v>106.19</v>
      </c>
      <c r="U1902" s="156">
        <v>262.37</v>
      </c>
      <c r="V1902" s="156">
        <v>593.80999999999995</v>
      </c>
      <c r="W1902" s="156">
        <v>337.88</v>
      </c>
      <c r="X1902" s="156">
        <f t="shared" ref="X1902:AA1902" si="649">SUM(X1888:X1889)</f>
        <v>0</v>
      </c>
      <c r="Y1902" s="156">
        <f t="shared" si="649"/>
        <v>0</v>
      </c>
      <c r="Z1902" s="156">
        <f t="shared" si="649"/>
        <v>0</v>
      </c>
      <c r="AA1902" s="156">
        <f t="shared" si="649"/>
        <v>0</v>
      </c>
      <c r="AB1902" s="158">
        <f t="shared" si="646"/>
        <v>2577.2400000000002</v>
      </c>
      <c r="AC1902" s="159"/>
      <c r="AE1902" s="160" t="str">
        <f t="shared" si="633"/>
        <v/>
      </c>
      <c r="AF1902" s="161">
        <f t="shared" si="631"/>
        <v>0</v>
      </c>
      <c r="AG1902" s="162">
        <f t="shared" si="631"/>
        <v>0</v>
      </c>
      <c r="AH1902" s="162">
        <f t="shared" si="631"/>
        <v>0</v>
      </c>
      <c r="AI1902" s="162">
        <f t="shared" si="631"/>
        <v>0</v>
      </c>
      <c r="AJ1902" s="162">
        <f t="shared" si="631"/>
        <v>0</v>
      </c>
      <c r="AK1902" s="162">
        <f t="shared" si="631"/>
        <v>0</v>
      </c>
      <c r="AL1902" s="162">
        <f t="shared" si="631"/>
        <v>0</v>
      </c>
      <c r="AM1902" s="162">
        <f t="shared" si="631"/>
        <v>0</v>
      </c>
      <c r="AN1902" s="162">
        <f t="shared" si="631"/>
        <v>0</v>
      </c>
      <c r="AO1902" s="162">
        <f t="shared" si="631"/>
        <v>0</v>
      </c>
      <c r="AP1902" s="162">
        <f t="shared" si="631"/>
        <v>0</v>
      </c>
      <c r="AQ1902" s="162">
        <f t="shared" si="631"/>
        <v>0</v>
      </c>
      <c r="AR1902" s="163">
        <f t="shared" si="647"/>
        <v>0</v>
      </c>
      <c r="AT1902" s="181" t="str">
        <f t="shared" si="635"/>
        <v/>
      </c>
      <c r="AU1902" s="156">
        <f t="shared" si="635"/>
        <v>0</v>
      </c>
      <c r="AV1902" s="156">
        <f t="shared" si="636"/>
        <v>0</v>
      </c>
      <c r="AW1902" s="156">
        <f t="shared" si="632"/>
        <v>0</v>
      </c>
      <c r="AX1902" s="156">
        <f t="shared" si="632"/>
        <v>0</v>
      </c>
      <c r="AY1902" s="156">
        <f t="shared" si="632"/>
        <v>0</v>
      </c>
      <c r="AZ1902" s="156">
        <f t="shared" si="632"/>
        <v>0</v>
      </c>
      <c r="BA1902" s="156">
        <f t="shared" si="632"/>
        <v>0</v>
      </c>
      <c r="BB1902" s="156">
        <f t="shared" si="632"/>
        <v>0</v>
      </c>
      <c r="BC1902" s="156">
        <f t="shared" si="632"/>
        <v>0</v>
      </c>
      <c r="BD1902" s="156">
        <f t="shared" si="632"/>
        <v>0</v>
      </c>
      <c r="BE1902" s="156">
        <f t="shared" si="632"/>
        <v>0</v>
      </c>
      <c r="BF1902" s="156">
        <f t="shared" si="632"/>
        <v>0</v>
      </c>
      <c r="BG1902" s="158">
        <f t="shared" si="648"/>
        <v>0</v>
      </c>
    </row>
    <row r="1903" spans="1:59" x14ac:dyDescent="0.25">
      <c r="A1903" s="14"/>
      <c r="B1903" s="15" t="str">
        <f t="shared" si="628"/>
        <v>IND_OPER_1032_</v>
      </c>
      <c r="C1903" s="83" t="str">
        <f t="shared" si="620"/>
        <v>TRATCSP</v>
      </c>
      <c r="D1903" s="15" t="str">
        <f>IFERROR("QTD_REC_"&amp;VLOOKUP($J1903,#REF!,7,0),"")</f>
        <v/>
      </c>
      <c r="E1903" s="14"/>
      <c r="F1903" s="148">
        <v>1032</v>
      </c>
      <c r="G1903" s="149" t="str">
        <f>IFERROR(VLOOKUP(F1903,#REF!,2,0),"")</f>
        <v/>
      </c>
      <c r="H1903" s="150" t="str">
        <f>IFERROR(VLOOKUP(F1903,#REF!,3,0),"")</f>
        <v/>
      </c>
      <c r="I1903" s="151" t="s">
        <v>312</v>
      </c>
      <c r="J1903" s="151"/>
      <c r="K1903" s="150" t="str">
        <f>IFERROR(VLOOKUP($J1903,#REF!,2,0),"")</f>
        <v/>
      </c>
      <c r="L1903" s="150" t="str">
        <f t="shared" si="629"/>
        <v/>
      </c>
      <c r="M1903" s="154"/>
      <c r="N1903" s="182"/>
      <c r="O1903" s="155"/>
      <c r="P1903" s="156">
        <v>149.03000000000003</v>
      </c>
      <c r="Q1903" s="156">
        <v>411.47999999999996</v>
      </c>
      <c r="R1903" s="156">
        <v>211.60999999999993</v>
      </c>
      <c r="S1903" s="156">
        <v>9.9599999999999991</v>
      </c>
      <c r="T1903" s="156">
        <v>106.18999999999998</v>
      </c>
      <c r="U1903" s="156">
        <v>65.319999999999993</v>
      </c>
      <c r="V1903" s="156">
        <v>511.7600000000001</v>
      </c>
      <c r="W1903" s="156">
        <v>10.95</v>
      </c>
      <c r="X1903" s="156">
        <v>0</v>
      </c>
      <c r="Y1903" s="156">
        <v>0</v>
      </c>
      <c r="Z1903" s="156">
        <v>0</v>
      </c>
      <c r="AA1903" s="156">
        <v>0</v>
      </c>
      <c r="AB1903" s="158">
        <f t="shared" si="646"/>
        <v>1476.3</v>
      </c>
      <c r="AC1903" s="159"/>
      <c r="AE1903" s="160" t="str">
        <f t="shared" si="633"/>
        <v/>
      </c>
      <c r="AF1903" s="161">
        <f t="shared" si="631"/>
        <v>0</v>
      </c>
      <c r="AG1903" s="162">
        <f t="shared" si="631"/>
        <v>0</v>
      </c>
      <c r="AH1903" s="162">
        <f t="shared" si="631"/>
        <v>0</v>
      </c>
      <c r="AI1903" s="162">
        <f t="shared" si="631"/>
        <v>0</v>
      </c>
      <c r="AJ1903" s="162">
        <f t="shared" si="631"/>
        <v>0</v>
      </c>
      <c r="AK1903" s="162">
        <f t="shared" si="631"/>
        <v>0</v>
      </c>
      <c r="AL1903" s="162">
        <f t="shared" si="631"/>
        <v>0</v>
      </c>
      <c r="AM1903" s="162">
        <f t="shared" si="631"/>
        <v>0</v>
      </c>
      <c r="AN1903" s="162">
        <f t="shared" si="631"/>
        <v>0</v>
      </c>
      <c r="AO1903" s="162">
        <f t="shared" si="631"/>
        <v>0</v>
      </c>
      <c r="AP1903" s="162">
        <f t="shared" si="631"/>
        <v>0</v>
      </c>
      <c r="AQ1903" s="162">
        <f t="shared" si="631"/>
        <v>0</v>
      </c>
      <c r="AR1903" s="163">
        <f t="shared" si="647"/>
        <v>0</v>
      </c>
      <c r="AT1903" s="181" t="str">
        <f t="shared" si="635"/>
        <v/>
      </c>
      <c r="AU1903" s="156">
        <f t="shared" si="635"/>
        <v>0</v>
      </c>
      <c r="AV1903" s="156">
        <f t="shared" si="636"/>
        <v>0</v>
      </c>
      <c r="AW1903" s="156">
        <f t="shared" si="632"/>
        <v>0</v>
      </c>
      <c r="AX1903" s="156">
        <f t="shared" si="632"/>
        <v>0</v>
      </c>
      <c r="AY1903" s="156">
        <f t="shared" si="632"/>
        <v>0</v>
      </c>
      <c r="AZ1903" s="156">
        <f t="shared" si="632"/>
        <v>0</v>
      </c>
      <c r="BA1903" s="156">
        <f t="shared" si="632"/>
        <v>0</v>
      </c>
      <c r="BB1903" s="156">
        <f t="shared" si="632"/>
        <v>0</v>
      </c>
      <c r="BC1903" s="156">
        <f t="shared" si="632"/>
        <v>0</v>
      </c>
      <c r="BD1903" s="156">
        <f t="shared" si="632"/>
        <v>0</v>
      </c>
      <c r="BE1903" s="156">
        <f t="shared" si="632"/>
        <v>0</v>
      </c>
      <c r="BF1903" s="156">
        <f t="shared" si="632"/>
        <v>0</v>
      </c>
      <c r="BG1903" s="158">
        <f t="shared" si="648"/>
        <v>0</v>
      </c>
    </row>
    <row r="1904" spans="1:59" x14ac:dyDescent="0.25">
      <c r="A1904" s="14"/>
      <c r="B1904" s="15" t="str">
        <f t="shared" si="628"/>
        <v>IND_OPER__</v>
      </c>
      <c r="C1904" s="83">
        <f t="shared" si="620"/>
        <v>0</v>
      </c>
      <c r="D1904" s="15" t="str">
        <f>IFERROR("QTD_REC_"&amp;VLOOKUP($J1904,#REF!,7,0),"")</f>
        <v/>
      </c>
      <c r="E1904" s="14"/>
      <c r="F1904" s="148"/>
      <c r="G1904" s="149" t="str">
        <f>IFERROR(VLOOKUP(F1904,#REF!,2,0),"")</f>
        <v/>
      </c>
      <c r="H1904" s="150" t="str">
        <f>IFERROR(VLOOKUP(F1904,#REF!,3,0),"")</f>
        <v/>
      </c>
      <c r="I1904" s="151"/>
      <c r="J1904" s="151"/>
      <c r="K1904" s="150" t="str">
        <f>IFERROR(VLOOKUP($J1904,#REF!,2,0),"")</f>
        <v/>
      </c>
      <c r="L1904" s="150" t="str">
        <f t="shared" si="629"/>
        <v/>
      </c>
      <c r="M1904" s="154"/>
      <c r="N1904" s="182"/>
      <c r="O1904" s="155"/>
      <c r="P1904" s="156"/>
      <c r="Q1904" s="156"/>
      <c r="R1904" s="156"/>
      <c r="S1904" s="156"/>
      <c r="T1904" s="156"/>
      <c r="U1904" s="156"/>
      <c r="V1904" s="156"/>
      <c r="W1904" s="156"/>
      <c r="X1904" s="156"/>
      <c r="Y1904" s="156"/>
      <c r="Z1904" s="156"/>
      <c r="AA1904" s="156"/>
      <c r="AB1904" s="158">
        <f t="shared" si="646"/>
        <v>0</v>
      </c>
      <c r="AC1904" s="159"/>
      <c r="AE1904" s="160" t="str">
        <f t="shared" si="633"/>
        <v/>
      </c>
      <c r="AF1904" s="161">
        <f t="shared" si="631"/>
        <v>0</v>
      </c>
      <c r="AG1904" s="162">
        <f t="shared" si="631"/>
        <v>0</v>
      </c>
      <c r="AH1904" s="162">
        <f t="shared" si="631"/>
        <v>0</v>
      </c>
      <c r="AI1904" s="162">
        <f t="shared" si="631"/>
        <v>0</v>
      </c>
      <c r="AJ1904" s="162">
        <f t="shared" si="631"/>
        <v>0</v>
      </c>
      <c r="AK1904" s="162">
        <f t="shared" si="631"/>
        <v>0</v>
      </c>
      <c r="AL1904" s="162">
        <f t="shared" si="631"/>
        <v>0</v>
      </c>
      <c r="AM1904" s="162">
        <f t="shared" si="631"/>
        <v>0</v>
      </c>
      <c r="AN1904" s="162">
        <f t="shared" si="631"/>
        <v>0</v>
      </c>
      <c r="AO1904" s="162">
        <f t="shared" si="631"/>
        <v>0</v>
      </c>
      <c r="AP1904" s="162">
        <f t="shared" si="631"/>
        <v>0</v>
      </c>
      <c r="AQ1904" s="162">
        <f t="shared" si="631"/>
        <v>0</v>
      </c>
      <c r="AR1904" s="163">
        <f t="shared" si="647"/>
        <v>0</v>
      </c>
      <c r="AT1904" s="181" t="str">
        <f t="shared" si="635"/>
        <v/>
      </c>
      <c r="AU1904" s="156">
        <f t="shared" si="635"/>
        <v>0</v>
      </c>
      <c r="AV1904" s="156">
        <f t="shared" si="636"/>
        <v>0</v>
      </c>
      <c r="AW1904" s="156">
        <f t="shared" si="632"/>
        <v>0</v>
      </c>
      <c r="AX1904" s="156">
        <f t="shared" si="632"/>
        <v>0</v>
      </c>
      <c r="AY1904" s="156">
        <f t="shared" si="632"/>
        <v>0</v>
      </c>
      <c r="AZ1904" s="156">
        <f t="shared" si="632"/>
        <v>0</v>
      </c>
      <c r="BA1904" s="156">
        <f t="shared" si="632"/>
        <v>0</v>
      </c>
      <c r="BB1904" s="156">
        <f t="shared" si="632"/>
        <v>0</v>
      </c>
      <c r="BC1904" s="156">
        <f t="shared" si="632"/>
        <v>0</v>
      </c>
      <c r="BD1904" s="156">
        <f t="shared" si="632"/>
        <v>0</v>
      </c>
      <c r="BE1904" s="156">
        <f t="shared" si="632"/>
        <v>0</v>
      </c>
      <c r="BF1904" s="156">
        <f t="shared" si="632"/>
        <v>0</v>
      </c>
      <c r="BG1904" s="158">
        <f t="shared" si="648"/>
        <v>0</v>
      </c>
    </row>
    <row r="1905" spans="1:59" x14ac:dyDescent="0.25">
      <c r="A1905" s="14"/>
      <c r="B1905" s="15" t="str">
        <f t="shared" si="628"/>
        <v>IND_OPER_1061_</v>
      </c>
      <c r="C1905" s="83" t="str">
        <f t="shared" si="620"/>
        <v>TRATCSP</v>
      </c>
      <c r="D1905" s="15" t="str">
        <f>IFERROR("QTD_REC_"&amp;VLOOKUP($J1905,#REF!,7,0),"")</f>
        <v/>
      </c>
      <c r="E1905" s="14"/>
      <c r="F1905" s="148">
        <v>1061</v>
      </c>
      <c r="G1905" s="149" t="str">
        <f>IFERROR(VLOOKUP(F1905,#REF!,2,0),"")</f>
        <v/>
      </c>
      <c r="H1905" s="150" t="str">
        <f>IFERROR(VLOOKUP(F1905,#REF!,3,0),"")</f>
        <v/>
      </c>
      <c r="I1905" s="151" t="s">
        <v>312</v>
      </c>
      <c r="J1905" s="151"/>
      <c r="K1905" s="150" t="str">
        <f>IFERROR(VLOOKUP($J1905,#REF!,2,0),"")</f>
        <v/>
      </c>
      <c r="L1905" s="150" t="str">
        <f t="shared" si="629"/>
        <v/>
      </c>
      <c r="M1905" s="154"/>
      <c r="N1905" s="182"/>
      <c r="O1905" s="155"/>
      <c r="P1905" s="156">
        <f>P1821*0.35</f>
        <v>775.55449999999996</v>
      </c>
      <c r="Q1905" s="156">
        <f t="shared" ref="Q1905:AA1905" si="650">Q1821*0.35</f>
        <v>1348.4904999999999</v>
      </c>
      <c r="R1905" s="156">
        <f t="shared" si="650"/>
        <v>579.13800000000003</v>
      </c>
      <c r="S1905" s="156">
        <f t="shared" si="650"/>
        <v>0</v>
      </c>
      <c r="T1905" s="156">
        <f t="shared" si="650"/>
        <v>548.149</v>
      </c>
      <c r="U1905" s="156">
        <f t="shared" si="650"/>
        <v>605.4369999999999</v>
      </c>
      <c r="V1905" s="156">
        <f t="shared" si="650"/>
        <v>678.524</v>
      </c>
      <c r="W1905" s="156">
        <f t="shared" si="650"/>
        <v>352.01949999999999</v>
      </c>
      <c r="X1905" s="156">
        <f t="shared" si="650"/>
        <v>0</v>
      </c>
      <c r="Y1905" s="156">
        <f t="shared" si="650"/>
        <v>0</v>
      </c>
      <c r="Z1905" s="156">
        <f t="shared" si="650"/>
        <v>35</v>
      </c>
      <c r="AA1905" s="156">
        <f t="shared" si="650"/>
        <v>35</v>
      </c>
      <c r="AB1905" s="158">
        <f t="shared" si="646"/>
        <v>4957.3125</v>
      </c>
      <c r="AC1905" s="159"/>
      <c r="AE1905" s="160" t="str">
        <f t="shared" si="633"/>
        <v/>
      </c>
      <c r="AF1905" s="161">
        <f t="shared" si="631"/>
        <v>0</v>
      </c>
      <c r="AG1905" s="162">
        <f t="shared" si="631"/>
        <v>0</v>
      </c>
      <c r="AH1905" s="162">
        <f t="shared" si="631"/>
        <v>0</v>
      </c>
      <c r="AI1905" s="162">
        <f t="shared" si="631"/>
        <v>0</v>
      </c>
      <c r="AJ1905" s="162">
        <f t="shared" si="631"/>
        <v>0</v>
      </c>
      <c r="AK1905" s="162">
        <f t="shared" si="631"/>
        <v>0</v>
      </c>
      <c r="AL1905" s="162">
        <f t="shared" si="631"/>
        <v>0</v>
      </c>
      <c r="AM1905" s="162">
        <f t="shared" si="631"/>
        <v>0</v>
      </c>
      <c r="AN1905" s="162">
        <f t="shared" si="631"/>
        <v>0</v>
      </c>
      <c r="AO1905" s="162">
        <f t="shared" si="631"/>
        <v>0</v>
      </c>
      <c r="AP1905" s="162">
        <f t="shared" si="631"/>
        <v>0</v>
      </c>
      <c r="AQ1905" s="162">
        <f t="shared" si="631"/>
        <v>0</v>
      </c>
      <c r="AR1905" s="163">
        <f t="shared" si="647"/>
        <v>0</v>
      </c>
      <c r="AT1905" s="181" t="str">
        <f t="shared" si="635"/>
        <v/>
      </c>
      <c r="AU1905" s="156">
        <f t="shared" si="635"/>
        <v>0</v>
      </c>
      <c r="AV1905" s="156">
        <f t="shared" si="636"/>
        <v>0</v>
      </c>
      <c r="AW1905" s="156">
        <f t="shared" si="632"/>
        <v>0</v>
      </c>
      <c r="AX1905" s="156">
        <f t="shared" si="632"/>
        <v>0</v>
      </c>
      <c r="AY1905" s="156">
        <f t="shared" si="632"/>
        <v>0</v>
      </c>
      <c r="AZ1905" s="156">
        <f t="shared" si="632"/>
        <v>0</v>
      </c>
      <c r="BA1905" s="156">
        <f t="shared" si="632"/>
        <v>0</v>
      </c>
      <c r="BB1905" s="156">
        <f t="shared" si="632"/>
        <v>0</v>
      </c>
      <c r="BC1905" s="156">
        <f t="shared" si="632"/>
        <v>0</v>
      </c>
      <c r="BD1905" s="156">
        <f t="shared" si="632"/>
        <v>0</v>
      </c>
      <c r="BE1905" s="156">
        <f t="shared" si="632"/>
        <v>0</v>
      </c>
      <c r="BF1905" s="156">
        <f t="shared" si="632"/>
        <v>0</v>
      </c>
      <c r="BG1905" s="158">
        <f t="shared" si="648"/>
        <v>0</v>
      </c>
    </row>
    <row r="1906" spans="1:59" x14ac:dyDescent="0.25">
      <c r="A1906" s="14"/>
      <c r="B1906" s="15" t="str">
        <f t="shared" si="628"/>
        <v>IND_OPER_1024_</v>
      </c>
      <c r="C1906" s="83" t="str">
        <f t="shared" ref="C1906:C1931" si="651">I1906</f>
        <v>TRATCSP</v>
      </c>
      <c r="D1906" s="15" t="str">
        <f>IFERROR("QTD_REC_"&amp;VLOOKUP($J1906,#REF!,7,0),"")</f>
        <v/>
      </c>
      <c r="E1906" s="14"/>
      <c r="F1906" s="148">
        <v>1024</v>
      </c>
      <c r="G1906" s="149" t="str">
        <f>IFERROR(VLOOKUP(F1906,#REF!,2,0),"")</f>
        <v/>
      </c>
      <c r="H1906" s="150" t="str">
        <f>IFERROR(VLOOKUP(F1906,#REF!,3,0),"")</f>
        <v/>
      </c>
      <c r="I1906" s="151" t="s">
        <v>312</v>
      </c>
      <c r="J1906" s="151"/>
      <c r="K1906" s="150" t="str">
        <f>IFERROR(VLOOKUP($J1906,#REF!,2,0),"")</f>
        <v/>
      </c>
      <c r="L1906" s="150" t="str">
        <f t="shared" si="629"/>
        <v/>
      </c>
      <c r="M1906" s="154"/>
      <c r="N1906" s="182"/>
      <c r="O1906" s="155"/>
      <c r="P1906" s="156">
        <f>P1821*0.1</f>
        <v>221.58699999999999</v>
      </c>
      <c r="Q1906" s="156">
        <f t="shared" ref="Q1906:AA1906" si="652">Q1821*0.1</f>
        <v>385.28300000000002</v>
      </c>
      <c r="R1906" s="156">
        <f t="shared" si="652"/>
        <v>165.46800000000002</v>
      </c>
      <c r="S1906" s="156">
        <f t="shared" si="652"/>
        <v>0</v>
      </c>
      <c r="T1906" s="156">
        <f t="shared" si="652"/>
        <v>156.61400000000003</v>
      </c>
      <c r="U1906" s="156">
        <f t="shared" si="652"/>
        <v>172.982</v>
      </c>
      <c r="V1906" s="156">
        <f t="shared" si="652"/>
        <v>193.86400000000003</v>
      </c>
      <c r="W1906" s="156">
        <f t="shared" si="652"/>
        <v>100.577</v>
      </c>
      <c r="X1906" s="156">
        <f t="shared" si="652"/>
        <v>0</v>
      </c>
      <c r="Y1906" s="156">
        <f t="shared" si="652"/>
        <v>0</v>
      </c>
      <c r="Z1906" s="156">
        <f t="shared" si="652"/>
        <v>10</v>
      </c>
      <c r="AA1906" s="156">
        <f t="shared" si="652"/>
        <v>10</v>
      </c>
      <c r="AB1906" s="158">
        <f t="shared" si="646"/>
        <v>1416.375</v>
      </c>
      <c r="AC1906" s="159"/>
      <c r="AE1906" s="160" t="str">
        <f t="shared" si="633"/>
        <v/>
      </c>
      <c r="AF1906" s="161">
        <f t="shared" si="631"/>
        <v>0</v>
      </c>
      <c r="AG1906" s="162">
        <f t="shared" si="631"/>
        <v>0</v>
      </c>
      <c r="AH1906" s="162">
        <f t="shared" si="631"/>
        <v>0</v>
      </c>
      <c r="AI1906" s="162">
        <f t="shared" si="631"/>
        <v>0</v>
      </c>
      <c r="AJ1906" s="162">
        <f t="shared" si="631"/>
        <v>0</v>
      </c>
      <c r="AK1906" s="162">
        <f t="shared" si="631"/>
        <v>0</v>
      </c>
      <c r="AL1906" s="162">
        <f t="shared" si="631"/>
        <v>0</v>
      </c>
      <c r="AM1906" s="162">
        <f t="shared" si="631"/>
        <v>0</v>
      </c>
      <c r="AN1906" s="162">
        <f t="shared" si="631"/>
        <v>0</v>
      </c>
      <c r="AO1906" s="162">
        <f t="shared" si="631"/>
        <v>0</v>
      </c>
      <c r="AP1906" s="162">
        <f t="shared" si="631"/>
        <v>0</v>
      </c>
      <c r="AQ1906" s="162">
        <f t="shared" si="631"/>
        <v>0</v>
      </c>
      <c r="AR1906" s="163">
        <f t="shared" si="647"/>
        <v>0</v>
      </c>
      <c r="AT1906" s="181" t="str">
        <f t="shared" si="635"/>
        <v/>
      </c>
      <c r="AU1906" s="156">
        <f t="shared" si="635"/>
        <v>0</v>
      </c>
      <c r="AV1906" s="156">
        <f t="shared" si="636"/>
        <v>0</v>
      </c>
      <c r="AW1906" s="156">
        <f t="shared" si="632"/>
        <v>0</v>
      </c>
      <c r="AX1906" s="156">
        <f t="shared" si="632"/>
        <v>0</v>
      </c>
      <c r="AY1906" s="156">
        <f t="shared" si="632"/>
        <v>0</v>
      </c>
      <c r="AZ1906" s="156">
        <f t="shared" si="632"/>
        <v>0</v>
      </c>
      <c r="BA1906" s="156">
        <f t="shared" si="632"/>
        <v>0</v>
      </c>
      <c r="BB1906" s="156">
        <f t="shared" si="632"/>
        <v>0</v>
      </c>
      <c r="BC1906" s="156">
        <f t="shared" si="632"/>
        <v>0</v>
      </c>
      <c r="BD1906" s="156">
        <f t="shared" si="632"/>
        <v>0</v>
      </c>
      <c r="BE1906" s="156">
        <f t="shared" si="632"/>
        <v>0</v>
      </c>
      <c r="BF1906" s="156">
        <f t="shared" si="632"/>
        <v>0</v>
      </c>
      <c r="BG1906" s="158">
        <f t="shared" si="648"/>
        <v>0</v>
      </c>
    </row>
    <row r="1907" spans="1:59" x14ac:dyDescent="0.25">
      <c r="A1907" s="14"/>
      <c r="B1907" s="15" t="str">
        <f t="shared" si="628"/>
        <v>IND_OPER__</v>
      </c>
      <c r="C1907" s="83">
        <f t="shared" si="651"/>
        <v>0</v>
      </c>
      <c r="D1907" s="15" t="str">
        <f>IFERROR("QTD_REC_"&amp;VLOOKUP($J1907,#REF!,7,0),"")</f>
        <v/>
      </c>
      <c r="E1907" s="14"/>
      <c r="F1907" s="148"/>
      <c r="G1907" s="149" t="str">
        <f>IFERROR(VLOOKUP(F1907,#REF!,2,0),"")</f>
        <v/>
      </c>
      <c r="H1907" s="150" t="str">
        <f>IFERROR(VLOOKUP(F1907,#REF!,3,0),"")</f>
        <v/>
      </c>
      <c r="I1907" s="151"/>
      <c r="J1907" s="151"/>
      <c r="K1907" s="150" t="str">
        <f>IFERROR(VLOOKUP($J1907,#REF!,2,0),"")</f>
        <v/>
      </c>
      <c r="L1907" s="150" t="str">
        <f t="shared" si="629"/>
        <v/>
      </c>
      <c r="M1907" s="154"/>
      <c r="N1907" s="182"/>
      <c r="O1907" s="155"/>
      <c r="P1907" s="156"/>
      <c r="Q1907" s="156"/>
      <c r="R1907" s="156"/>
      <c r="S1907" s="156"/>
      <c r="T1907" s="156"/>
      <c r="U1907" s="156"/>
      <c r="V1907" s="156"/>
      <c r="W1907" s="156"/>
      <c r="X1907" s="156"/>
      <c r="Y1907" s="156"/>
      <c r="Z1907" s="156"/>
      <c r="AA1907" s="156"/>
      <c r="AB1907" s="158">
        <f t="shared" si="646"/>
        <v>0</v>
      </c>
      <c r="AC1907" s="159"/>
      <c r="AE1907" s="160" t="str">
        <f t="shared" si="633"/>
        <v/>
      </c>
      <c r="AF1907" s="161">
        <f t="shared" si="631"/>
        <v>0</v>
      </c>
      <c r="AG1907" s="162">
        <f t="shared" si="631"/>
        <v>0</v>
      </c>
      <c r="AH1907" s="162">
        <f t="shared" si="631"/>
        <v>0</v>
      </c>
      <c r="AI1907" s="162">
        <f t="shared" si="631"/>
        <v>0</v>
      </c>
      <c r="AJ1907" s="162">
        <f t="shared" si="631"/>
        <v>0</v>
      </c>
      <c r="AK1907" s="162">
        <f t="shared" si="631"/>
        <v>0</v>
      </c>
      <c r="AL1907" s="162">
        <f t="shared" si="631"/>
        <v>0</v>
      </c>
      <c r="AM1907" s="162">
        <f t="shared" si="631"/>
        <v>0</v>
      </c>
      <c r="AN1907" s="162">
        <f t="shared" si="631"/>
        <v>0</v>
      </c>
      <c r="AO1907" s="162">
        <f t="shared" si="631"/>
        <v>0</v>
      </c>
      <c r="AP1907" s="162">
        <f t="shared" si="631"/>
        <v>0</v>
      </c>
      <c r="AQ1907" s="162">
        <f t="shared" si="631"/>
        <v>0</v>
      </c>
      <c r="AR1907" s="163">
        <f t="shared" si="647"/>
        <v>0</v>
      </c>
      <c r="AT1907" s="181" t="str">
        <f t="shared" si="635"/>
        <v/>
      </c>
      <c r="AU1907" s="156">
        <f t="shared" si="635"/>
        <v>0</v>
      </c>
      <c r="AV1907" s="156">
        <f t="shared" si="636"/>
        <v>0</v>
      </c>
      <c r="AW1907" s="156">
        <f t="shared" si="632"/>
        <v>0</v>
      </c>
      <c r="AX1907" s="156">
        <f t="shared" si="632"/>
        <v>0</v>
      </c>
      <c r="AY1907" s="156">
        <f t="shared" si="632"/>
        <v>0</v>
      </c>
      <c r="AZ1907" s="156">
        <f t="shared" si="632"/>
        <v>0</v>
      </c>
      <c r="BA1907" s="156">
        <f t="shared" si="632"/>
        <v>0</v>
      </c>
      <c r="BB1907" s="156">
        <f t="shared" si="632"/>
        <v>0</v>
      </c>
      <c r="BC1907" s="156">
        <f t="shared" si="632"/>
        <v>0</v>
      </c>
      <c r="BD1907" s="156">
        <f t="shared" si="632"/>
        <v>0</v>
      </c>
      <c r="BE1907" s="156">
        <f t="shared" si="632"/>
        <v>0</v>
      </c>
      <c r="BF1907" s="156">
        <f t="shared" si="632"/>
        <v>0</v>
      </c>
      <c r="BG1907" s="158">
        <f t="shared" si="648"/>
        <v>0</v>
      </c>
    </row>
    <row r="1908" spans="1:59" x14ac:dyDescent="0.25">
      <c r="A1908" s="14"/>
      <c r="B1908" s="15" t="str">
        <f t="shared" si="628"/>
        <v>IND_OPER__</v>
      </c>
      <c r="C1908" s="83">
        <f t="shared" si="651"/>
        <v>0</v>
      </c>
      <c r="D1908" s="15" t="str">
        <f>IFERROR("QTD_REC_"&amp;VLOOKUP($J1908,#REF!,7,0),"")</f>
        <v/>
      </c>
      <c r="E1908" s="14"/>
      <c r="F1908" s="148"/>
      <c r="G1908" s="149" t="str">
        <f>IFERROR(VLOOKUP(F1908,#REF!,2,0),"")</f>
        <v/>
      </c>
      <c r="H1908" s="150" t="str">
        <f>IFERROR(VLOOKUP(F1908,#REF!,3,0),"")</f>
        <v/>
      </c>
      <c r="I1908" s="151"/>
      <c r="J1908" s="151"/>
      <c r="K1908" s="150" t="str">
        <f>IFERROR(VLOOKUP($J1908,#REF!,2,0),"")</f>
        <v/>
      </c>
      <c r="L1908" s="150" t="str">
        <f t="shared" si="629"/>
        <v/>
      </c>
      <c r="M1908" s="154"/>
      <c r="N1908" s="180"/>
      <c r="O1908" s="155"/>
      <c r="P1908" s="156"/>
      <c r="Q1908" s="156"/>
      <c r="R1908" s="156"/>
      <c r="S1908" s="156"/>
      <c r="T1908" s="156"/>
      <c r="U1908" s="156"/>
      <c r="V1908" s="156"/>
      <c r="W1908" s="156"/>
      <c r="X1908" s="156"/>
      <c r="Y1908" s="156"/>
      <c r="Z1908" s="156"/>
      <c r="AA1908" s="156"/>
      <c r="AB1908" s="158">
        <f t="shared" si="630"/>
        <v>0</v>
      </c>
      <c r="AC1908" s="159"/>
      <c r="AE1908" s="160" t="str">
        <f t="shared" si="633"/>
        <v/>
      </c>
      <c r="AF1908" s="161">
        <f t="shared" si="631"/>
        <v>0</v>
      </c>
      <c r="AG1908" s="162">
        <f t="shared" si="631"/>
        <v>0</v>
      </c>
      <c r="AH1908" s="162">
        <f t="shared" si="631"/>
        <v>0</v>
      </c>
      <c r="AI1908" s="162">
        <f t="shared" ref="AI1908:AQ1931" si="653">IFERROR(S1908/AX1908,0)</f>
        <v>0</v>
      </c>
      <c r="AJ1908" s="162">
        <f t="shared" si="653"/>
        <v>0</v>
      </c>
      <c r="AK1908" s="162">
        <f t="shared" si="653"/>
        <v>0</v>
      </c>
      <c r="AL1908" s="162">
        <f t="shared" si="653"/>
        <v>0</v>
      </c>
      <c r="AM1908" s="162">
        <f t="shared" si="653"/>
        <v>0</v>
      </c>
      <c r="AN1908" s="162">
        <f t="shared" si="653"/>
        <v>0</v>
      </c>
      <c r="AO1908" s="162">
        <f t="shared" si="653"/>
        <v>0</v>
      </c>
      <c r="AP1908" s="162">
        <f t="shared" si="653"/>
        <v>0</v>
      </c>
      <c r="AQ1908" s="162">
        <f t="shared" si="653"/>
        <v>0</v>
      </c>
      <c r="AR1908" s="163">
        <f t="shared" si="634"/>
        <v>0</v>
      </c>
      <c r="AT1908" s="181" t="str">
        <f t="shared" si="635"/>
        <v/>
      </c>
      <c r="AU1908" s="156">
        <f t="shared" si="635"/>
        <v>0</v>
      </c>
      <c r="AV1908" s="156">
        <f t="shared" si="636"/>
        <v>0</v>
      </c>
      <c r="AW1908" s="156">
        <f t="shared" si="632"/>
        <v>0</v>
      </c>
      <c r="AX1908" s="156">
        <f t="shared" si="632"/>
        <v>0</v>
      </c>
      <c r="AY1908" s="156">
        <f t="shared" si="632"/>
        <v>0</v>
      </c>
      <c r="AZ1908" s="156">
        <f t="shared" si="632"/>
        <v>0</v>
      </c>
      <c r="BA1908" s="156">
        <f t="shared" si="632"/>
        <v>0</v>
      </c>
      <c r="BB1908" s="156">
        <f t="shared" si="632"/>
        <v>0</v>
      </c>
      <c r="BC1908" s="156">
        <f t="shared" si="632"/>
        <v>0</v>
      </c>
      <c r="BD1908" s="156">
        <f t="shared" si="632"/>
        <v>0</v>
      </c>
      <c r="BE1908" s="156">
        <f t="shared" si="632"/>
        <v>0</v>
      </c>
      <c r="BF1908" s="156">
        <f t="shared" si="632"/>
        <v>0</v>
      </c>
      <c r="BG1908" s="158">
        <f t="shared" si="637"/>
        <v>0</v>
      </c>
    </row>
    <row r="1909" spans="1:59" x14ac:dyDescent="0.25">
      <c r="A1909" s="14"/>
      <c r="B1909" s="15" t="str">
        <f t="shared" si="628"/>
        <v>IND_OPER__</v>
      </c>
      <c r="C1909" s="83">
        <f t="shared" si="651"/>
        <v>0</v>
      </c>
      <c r="D1909" s="15" t="str">
        <f>IFERROR("QTD_REC_"&amp;VLOOKUP($J1909,#REF!,7,0),"")</f>
        <v/>
      </c>
      <c r="E1909" s="14"/>
      <c r="F1909" s="148"/>
      <c r="G1909" s="149" t="str">
        <f>IFERROR(VLOOKUP(F1909,#REF!,2,0),"")</f>
        <v/>
      </c>
      <c r="H1909" s="150" t="str">
        <f>IFERROR(VLOOKUP(F1909,#REF!,3,0),"")</f>
        <v/>
      </c>
      <c r="I1909" s="151"/>
      <c r="J1909" s="151"/>
      <c r="K1909" s="150" t="str">
        <f>IFERROR(VLOOKUP($J1909,#REF!,2,0),"")</f>
        <v/>
      </c>
      <c r="L1909" s="150" t="str">
        <f t="shared" si="629"/>
        <v/>
      </c>
      <c r="M1909" s="154"/>
      <c r="N1909" s="180"/>
      <c r="O1909" s="155"/>
      <c r="P1909" s="156"/>
      <c r="Q1909" s="156"/>
      <c r="R1909" s="156"/>
      <c r="S1909" s="156"/>
      <c r="T1909" s="156"/>
      <c r="U1909" s="156"/>
      <c r="V1909" s="156"/>
      <c r="W1909" s="156"/>
      <c r="X1909" s="156"/>
      <c r="Y1909" s="156"/>
      <c r="Z1909" s="156"/>
      <c r="AA1909" s="156"/>
      <c r="AB1909" s="158">
        <f t="shared" si="630"/>
        <v>0</v>
      </c>
      <c r="AC1909" s="159"/>
      <c r="AE1909" s="160" t="str">
        <f t="shared" si="633"/>
        <v/>
      </c>
      <c r="AF1909" s="161">
        <f t="shared" ref="AF1909:AH1931" si="654">IFERROR(P1909/AU1909,0)</f>
        <v>0</v>
      </c>
      <c r="AG1909" s="162">
        <f t="shared" si="654"/>
        <v>0</v>
      </c>
      <c r="AH1909" s="162">
        <f t="shared" si="654"/>
        <v>0</v>
      </c>
      <c r="AI1909" s="162">
        <f t="shared" si="653"/>
        <v>0</v>
      </c>
      <c r="AJ1909" s="162">
        <f t="shared" si="653"/>
        <v>0</v>
      </c>
      <c r="AK1909" s="162">
        <f t="shared" si="653"/>
        <v>0</v>
      </c>
      <c r="AL1909" s="162">
        <f t="shared" si="653"/>
        <v>0</v>
      </c>
      <c r="AM1909" s="162">
        <f t="shared" si="653"/>
        <v>0</v>
      </c>
      <c r="AN1909" s="162">
        <f t="shared" si="653"/>
        <v>0</v>
      </c>
      <c r="AO1909" s="162">
        <f t="shared" si="653"/>
        <v>0</v>
      </c>
      <c r="AP1909" s="162">
        <f t="shared" si="653"/>
        <v>0</v>
      </c>
      <c r="AQ1909" s="162">
        <f t="shared" si="653"/>
        <v>0</v>
      </c>
      <c r="AR1909" s="163">
        <f t="shared" si="634"/>
        <v>0</v>
      </c>
      <c r="AT1909" s="181" t="str">
        <f t="shared" si="635"/>
        <v/>
      </c>
      <c r="AU1909" s="156">
        <f t="shared" si="635"/>
        <v>0</v>
      </c>
      <c r="AV1909" s="156">
        <f t="shared" si="636"/>
        <v>0</v>
      </c>
      <c r="AW1909" s="156">
        <f t="shared" si="632"/>
        <v>0</v>
      </c>
      <c r="AX1909" s="156">
        <f t="shared" si="632"/>
        <v>0</v>
      </c>
      <c r="AY1909" s="156">
        <f t="shared" si="632"/>
        <v>0</v>
      </c>
      <c r="AZ1909" s="156">
        <f t="shared" si="632"/>
        <v>0</v>
      </c>
      <c r="BA1909" s="156">
        <f t="shared" si="632"/>
        <v>0</v>
      </c>
      <c r="BB1909" s="156">
        <f t="shared" si="632"/>
        <v>0</v>
      </c>
      <c r="BC1909" s="156">
        <f t="shared" si="632"/>
        <v>0</v>
      </c>
      <c r="BD1909" s="156">
        <f t="shared" si="632"/>
        <v>0</v>
      </c>
      <c r="BE1909" s="156">
        <f t="shared" si="632"/>
        <v>0</v>
      </c>
      <c r="BF1909" s="156">
        <f t="shared" si="632"/>
        <v>0</v>
      </c>
      <c r="BG1909" s="158">
        <f t="shared" si="637"/>
        <v>0</v>
      </c>
    </row>
    <row r="1910" spans="1:59" x14ac:dyDescent="0.25">
      <c r="A1910" s="14"/>
      <c r="B1910" s="15" t="str">
        <f t="shared" si="628"/>
        <v>IND_OPER__</v>
      </c>
      <c r="C1910" s="83">
        <f t="shared" si="651"/>
        <v>0</v>
      </c>
      <c r="D1910" s="15" t="str">
        <f>IFERROR("QTD_REC_"&amp;VLOOKUP($J1910,#REF!,7,0),"")</f>
        <v/>
      </c>
      <c r="E1910" s="14"/>
      <c r="F1910" s="148"/>
      <c r="G1910" s="149" t="str">
        <f>IFERROR(VLOOKUP(F1910,#REF!,2,0),"")</f>
        <v/>
      </c>
      <c r="H1910" s="150" t="str">
        <f>IFERROR(VLOOKUP(F1910,#REF!,3,0),"")</f>
        <v/>
      </c>
      <c r="I1910" s="151"/>
      <c r="J1910" s="151"/>
      <c r="K1910" s="150" t="str">
        <f>IFERROR(VLOOKUP($J1910,#REF!,2,0),"")</f>
        <v/>
      </c>
      <c r="L1910" s="150" t="str">
        <f t="shared" si="629"/>
        <v/>
      </c>
      <c r="M1910" s="154"/>
      <c r="N1910" s="180"/>
      <c r="O1910" s="155"/>
      <c r="P1910" s="156"/>
      <c r="Q1910" s="156"/>
      <c r="R1910" s="156"/>
      <c r="S1910" s="156"/>
      <c r="T1910" s="156"/>
      <c r="U1910" s="156"/>
      <c r="V1910" s="156"/>
      <c r="W1910" s="156"/>
      <c r="X1910" s="156"/>
      <c r="Y1910" s="156"/>
      <c r="Z1910" s="156"/>
      <c r="AA1910" s="156"/>
      <c r="AB1910" s="158">
        <f t="shared" si="630"/>
        <v>0</v>
      </c>
      <c r="AC1910" s="159"/>
      <c r="AE1910" s="160" t="str">
        <f t="shared" si="633"/>
        <v/>
      </c>
      <c r="AF1910" s="161">
        <f t="shared" si="654"/>
        <v>0</v>
      </c>
      <c r="AG1910" s="162">
        <f t="shared" si="654"/>
        <v>0</v>
      </c>
      <c r="AH1910" s="162">
        <f t="shared" si="654"/>
        <v>0</v>
      </c>
      <c r="AI1910" s="162">
        <f t="shared" si="653"/>
        <v>0</v>
      </c>
      <c r="AJ1910" s="162">
        <f t="shared" si="653"/>
        <v>0</v>
      </c>
      <c r="AK1910" s="162">
        <f t="shared" si="653"/>
        <v>0</v>
      </c>
      <c r="AL1910" s="162">
        <f t="shared" si="653"/>
        <v>0</v>
      </c>
      <c r="AM1910" s="162">
        <f t="shared" si="653"/>
        <v>0</v>
      </c>
      <c r="AN1910" s="162">
        <f t="shared" si="653"/>
        <v>0</v>
      </c>
      <c r="AO1910" s="162">
        <f t="shared" si="653"/>
        <v>0</v>
      </c>
      <c r="AP1910" s="162">
        <f t="shared" si="653"/>
        <v>0</v>
      </c>
      <c r="AQ1910" s="162">
        <f t="shared" si="653"/>
        <v>0</v>
      </c>
      <c r="AR1910" s="163">
        <f t="shared" si="634"/>
        <v>0</v>
      </c>
      <c r="AT1910" s="181" t="str">
        <f t="shared" si="635"/>
        <v/>
      </c>
      <c r="AU1910" s="156">
        <f t="shared" si="635"/>
        <v>0</v>
      </c>
      <c r="AV1910" s="156">
        <f t="shared" si="636"/>
        <v>0</v>
      </c>
      <c r="AW1910" s="156">
        <f t="shared" si="632"/>
        <v>0</v>
      </c>
      <c r="AX1910" s="156">
        <f t="shared" si="632"/>
        <v>0</v>
      </c>
      <c r="AY1910" s="156">
        <f t="shared" si="632"/>
        <v>0</v>
      </c>
      <c r="AZ1910" s="156">
        <f t="shared" si="632"/>
        <v>0</v>
      </c>
      <c r="BA1910" s="156">
        <f t="shared" si="632"/>
        <v>0</v>
      </c>
      <c r="BB1910" s="156">
        <f t="shared" si="632"/>
        <v>0</v>
      </c>
      <c r="BC1910" s="156">
        <f t="shared" si="632"/>
        <v>0</v>
      </c>
      <c r="BD1910" s="156">
        <f t="shared" si="632"/>
        <v>0</v>
      </c>
      <c r="BE1910" s="156">
        <f t="shared" si="632"/>
        <v>0</v>
      </c>
      <c r="BF1910" s="156">
        <f t="shared" si="632"/>
        <v>0</v>
      </c>
      <c r="BG1910" s="158">
        <f t="shared" si="637"/>
        <v>0</v>
      </c>
    </row>
    <row r="1911" spans="1:59" x14ac:dyDescent="0.25">
      <c r="A1911" s="14"/>
      <c r="B1911" s="15" t="str">
        <f t="shared" si="628"/>
        <v>IND_OPER__</v>
      </c>
      <c r="C1911" s="83">
        <f t="shared" si="651"/>
        <v>0</v>
      </c>
      <c r="D1911" s="15" t="str">
        <f>IFERROR("QTD_REC_"&amp;VLOOKUP($J1911,#REF!,7,0),"")</f>
        <v/>
      </c>
      <c r="E1911" s="14"/>
      <c r="F1911" s="148"/>
      <c r="G1911" s="149" t="str">
        <f>IFERROR(VLOOKUP(F1911,#REF!,2,0),"")</f>
        <v/>
      </c>
      <c r="H1911" s="150" t="str">
        <f>IFERROR(VLOOKUP(F1911,#REF!,3,0),"")</f>
        <v/>
      </c>
      <c r="I1911" s="151"/>
      <c r="J1911" s="151"/>
      <c r="K1911" s="150" t="str">
        <f>IFERROR(VLOOKUP($J1911,#REF!,2,0),"")</f>
        <v/>
      </c>
      <c r="L1911" s="150" t="str">
        <f t="shared" si="629"/>
        <v/>
      </c>
      <c r="M1911" s="154"/>
      <c r="N1911" s="180"/>
      <c r="O1911" s="155"/>
      <c r="P1911" s="156"/>
      <c r="Q1911" s="156"/>
      <c r="R1911" s="156"/>
      <c r="S1911" s="156"/>
      <c r="T1911" s="156"/>
      <c r="U1911" s="156"/>
      <c r="V1911" s="156"/>
      <c r="W1911" s="156"/>
      <c r="X1911" s="156"/>
      <c r="Y1911" s="156"/>
      <c r="Z1911" s="156"/>
      <c r="AA1911" s="156"/>
      <c r="AB1911" s="158">
        <f t="shared" si="630"/>
        <v>0</v>
      </c>
      <c r="AC1911" s="159"/>
      <c r="AE1911" s="160" t="str">
        <f t="shared" si="633"/>
        <v/>
      </c>
      <c r="AF1911" s="161">
        <f t="shared" si="654"/>
        <v>0</v>
      </c>
      <c r="AG1911" s="162">
        <f t="shared" si="654"/>
        <v>0</v>
      </c>
      <c r="AH1911" s="162">
        <f t="shared" si="654"/>
        <v>0</v>
      </c>
      <c r="AI1911" s="162">
        <f t="shared" si="653"/>
        <v>0</v>
      </c>
      <c r="AJ1911" s="162">
        <f t="shared" si="653"/>
        <v>0</v>
      </c>
      <c r="AK1911" s="162">
        <f t="shared" si="653"/>
        <v>0</v>
      </c>
      <c r="AL1911" s="162">
        <f t="shared" si="653"/>
        <v>0</v>
      </c>
      <c r="AM1911" s="162">
        <f t="shared" si="653"/>
        <v>0</v>
      </c>
      <c r="AN1911" s="162">
        <f t="shared" si="653"/>
        <v>0</v>
      </c>
      <c r="AO1911" s="162">
        <f t="shared" si="653"/>
        <v>0</v>
      </c>
      <c r="AP1911" s="162">
        <f t="shared" si="653"/>
        <v>0</v>
      </c>
      <c r="AQ1911" s="162">
        <f t="shared" si="653"/>
        <v>0</v>
      </c>
      <c r="AR1911" s="163">
        <f t="shared" si="634"/>
        <v>0</v>
      </c>
      <c r="AT1911" s="181" t="str">
        <f t="shared" si="635"/>
        <v/>
      </c>
      <c r="AU1911" s="156">
        <f t="shared" si="635"/>
        <v>0</v>
      </c>
      <c r="AV1911" s="156">
        <f t="shared" si="636"/>
        <v>0</v>
      </c>
      <c r="AW1911" s="156">
        <f t="shared" si="632"/>
        <v>0</v>
      </c>
      <c r="AX1911" s="156">
        <f t="shared" si="632"/>
        <v>0</v>
      </c>
      <c r="AY1911" s="156">
        <f t="shared" si="632"/>
        <v>0</v>
      </c>
      <c r="AZ1911" s="156">
        <f t="shared" si="632"/>
        <v>0</v>
      </c>
      <c r="BA1911" s="156">
        <f t="shared" si="632"/>
        <v>0</v>
      </c>
      <c r="BB1911" s="156">
        <f t="shared" si="632"/>
        <v>0</v>
      </c>
      <c r="BC1911" s="156">
        <f t="shared" si="632"/>
        <v>0</v>
      </c>
      <c r="BD1911" s="156">
        <f t="shared" si="632"/>
        <v>0</v>
      </c>
      <c r="BE1911" s="156">
        <f t="shared" si="632"/>
        <v>0</v>
      </c>
      <c r="BF1911" s="156">
        <f t="shared" si="632"/>
        <v>0</v>
      </c>
      <c r="BG1911" s="158">
        <f t="shared" si="637"/>
        <v>0</v>
      </c>
    </row>
    <row r="1912" spans="1:59" x14ac:dyDescent="0.25">
      <c r="A1912" s="14"/>
      <c r="B1912" s="15" t="str">
        <f t="shared" si="628"/>
        <v>IND_OPER__</v>
      </c>
      <c r="C1912" s="83">
        <f t="shared" si="651"/>
        <v>0</v>
      </c>
      <c r="D1912" s="15" t="str">
        <f>IFERROR("QTD_REC_"&amp;VLOOKUP($J1912,#REF!,7,0),"")</f>
        <v/>
      </c>
      <c r="E1912" s="14"/>
      <c r="F1912" s="148"/>
      <c r="G1912" s="149" t="str">
        <f>IFERROR(VLOOKUP(F1912,#REF!,2,0),"")</f>
        <v/>
      </c>
      <c r="H1912" s="150" t="str">
        <f>IFERROR(VLOOKUP(F1912,#REF!,3,0),"")</f>
        <v/>
      </c>
      <c r="I1912" s="151"/>
      <c r="J1912" s="151"/>
      <c r="K1912" s="150" t="str">
        <f>IFERROR(VLOOKUP($J1912,#REF!,2,0),"")</f>
        <v/>
      </c>
      <c r="L1912" s="150" t="str">
        <f t="shared" si="629"/>
        <v/>
      </c>
      <c r="M1912" s="154"/>
      <c r="N1912" s="180"/>
      <c r="O1912" s="155"/>
      <c r="P1912" s="156"/>
      <c r="Q1912" s="156"/>
      <c r="R1912" s="156"/>
      <c r="S1912" s="156"/>
      <c r="T1912" s="156"/>
      <c r="U1912" s="156"/>
      <c r="V1912" s="156"/>
      <c r="W1912" s="156"/>
      <c r="X1912" s="156"/>
      <c r="Y1912" s="156"/>
      <c r="Z1912" s="156"/>
      <c r="AA1912" s="156"/>
      <c r="AB1912" s="158">
        <f t="shared" si="630"/>
        <v>0</v>
      </c>
      <c r="AC1912" s="159"/>
      <c r="AE1912" s="160" t="str">
        <f t="shared" si="633"/>
        <v/>
      </c>
      <c r="AF1912" s="161">
        <f t="shared" si="654"/>
        <v>0</v>
      </c>
      <c r="AG1912" s="162">
        <f t="shared" si="654"/>
        <v>0</v>
      </c>
      <c r="AH1912" s="162">
        <f t="shared" si="654"/>
        <v>0</v>
      </c>
      <c r="AI1912" s="162">
        <f t="shared" si="653"/>
        <v>0</v>
      </c>
      <c r="AJ1912" s="162">
        <f t="shared" si="653"/>
        <v>0</v>
      </c>
      <c r="AK1912" s="162">
        <f t="shared" si="653"/>
        <v>0</v>
      </c>
      <c r="AL1912" s="162">
        <f t="shared" si="653"/>
        <v>0</v>
      </c>
      <c r="AM1912" s="162">
        <f t="shared" si="653"/>
        <v>0</v>
      </c>
      <c r="AN1912" s="162">
        <f t="shared" si="653"/>
        <v>0</v>
      </c>
      <c r="AO1912" s="162">
        <f t="shared" si="653"/>
        <v>0</v>
      </c>
      <c r="AP1912" s="162">
        <f t="shared" si="653"/>
        <v>0</v>
      </c>
      <c r="AQ1912" s="162">
        <f t="shared" si="653"/>
        <v>0</v>
      </c>
      <c r="AR1912" s="163">
        <f t="shared" si="634"/>
        <v>0</v>
      </c>
      <c r="AT1912" s="181" t="str">
        <f t="shared" si="635"/>
        <v/>
      </c>
      <c r="AU1912" s="156">
        <f t="shared" si="635"/>
        <v>0</v>
      </c>
      <c r="AV1912" s="156">
        <f t="shared" si="636"/>
        <v>0</v>
      </c>
      <c r="AW1912" s="156">
        <f t="shared" si="632"/>
        <v>0</v>
      </c>
      <c r="AX1912" s="156">
        <f t="shared" si="632"/>
        <v>0</v>
      </c>
      <c r="AY1912" s="156">
        <f t="shared" si="632"/>
        <v>0</v>
      </c>
      <c r="AZ1912" s="156">
        <f t="shared" si="632"/>
        <v>0</v>
      </c>
      <c r="BA1912" s="156">
        <f t="shared" si="632"/>
        <v>0</v>
      </c>
      <c r="BB1912" s="156">
        <f t="shared" ref="BB1912:BF1931" si="655">BA1912</f>
        <v>0</v>
      </c>
      <c r="BC1912" s="156">
        <f t="shared" si="655"/>
        <v>0</v>
      </c>
      <c r="BD1912" s="156">
        <f t="shared" si="655"/>
        <v>0</v>
      </c>
      <c r="BE1912" s="156">
        <f t="shared" si="655"/>
        <v>0</v>
      </c>
      <c r="BF1912" s="156">
        <f t="shared" si="655"/>
        <v>0</v>
      </c>
      <c r="BG1912" s="158">
        <f t="shared" si="637"/>
        <v>0</v>
      </c>
    </row>
    <row r="1913" spans="1:59" x14ac:dyDescent="0.25">
      <c r="A1913" s="14"/>
      <c r="B1913" s="15" t="str">
        <f t="shared" si="628"/>
        <v>IND_OPER__</v>
      </c>
      <c r="C1913" s="83">
        <f t="shared" si="651"/>
        <v>0</v>
      </c>
      <c r="D1913" s="15" t="str">
        <f>IFERROR("QTD_REC_"&amp;VLOOKUP($J1913,#REF!,7,0),"")</f>
        <v/>
      </c>
      <c r="E1913" s="14"/>
      <c r="F1913" s="148"/>
      <c r="G1913" s="149" t="str">
        <f>IFERROR(VLOOKUP(F1913,#REF!,2,0),"")</f>
        <v/>
      </c>
      <c r="H1913" s="150" t="str">
        <f>IFERROR(VLOOKUP(F1913,#REF!,3,0),"")</f>
        <v/>
      </c>
      <c r="I1913" s="151"/>
      <c r="J1913" s="151"/>
      <c r="K1913" s="150" t="str">
        <f>IFERROR(VLOOKUP($J1913,#REF!,2,0),"")</f>
        <v/>
      </c>
      <c r="L1913" s="150" t="str">
        <f t="shared" si="629"/>
        <v/>
      </c>
      <c r="M1913" s="154"/>
      <c r="N1913" s="180"/>
      <c r="O1913" s="155"/>
      <c r="P1913" s="156"/>
      <c r="Q1913" s="156"/>
      <c r="R1913" s="156"/>
      <c r="S1913" s="156"/>
      <c r="T1913" s="156"/>
      <c r="U1913" s="156"/>
      <c r="V1913" s="156"/>
      <c r="W1913" s="156"/>
      <c r="X1913" s="156"/>
      <c r="Y1913" s="156"/>
      <c r="Z1913" s="156"/>
      <c r="AA1913" s="156"/>
      <c r="AB1913" s="158">
        <f t="shared" si="630"/>
        <v>0</v>
      </c>
      <c r="AC1913" s="159"/>
      <c r="AE1913" s="160" t="str">
        <f t="shared" si="633"/>
        <v/>
      </c>
      <c r="AF1913" s="161">
        <f t="shared" si="654"/>
        <v>0</v>
      </c>
      <c r="AG1913" s="162">
        <f t="shared" si="654"/>
        <v>0</v>
      </c>
      <c r="AH1913" s="162">
        <f t="shared" si="654"/>
        <v>0</v>
      </c>
      <c r="AI1913" s="162">
        <f t="shared" si="653"/>
        <v>0</v>
      </c>
      <c r="AJ1913" s="162">
        <f t="shared" si="653"/>
        <v>0</v>
      </c>
      <c r="AK1913" s="162">
        <f t="shared" si="653"/>
        <v>0</v>
      </c>
      <c r="AL1913" s="162">
        <f t="shared" si="653"/>
        <v>0</v>
      </c>
      <c r="AM1913" s="162">
        <f t="shared" si="653"/>
        <v>0</v>
      </c>
      <c r="AN1913" s="162">
        <f t="shared" si="653"/>
        <v>0</v>
      </c>
      <c r="AO1913" s="162">
        <f t="shared" si="653"/>
        <v>0</v>
      </c>
      <c r="AP1913" s="162">
        <f t="shared" si="653"/>
        <v>0</v>
      </c>
      <c r="AQ1913" s="162">
        <f t="shared" si="653"/>
        <v>0</v>
      </c>
      <c r="AR1913" s="163">
        <f t="shared" si="634"/>
        <v>0</v>
      </c>
      <c r="AT1913" s="181" t="str">
        <f t="shared" si="635"/>
        <v/>
      </c>
      <c r="AU1913" s="156">
        <f t="shared" si="635"/>
        <v>0</v>
      </c>
      <c r="AV1913" s="156">
        <f t="shared" si="636"/>
        <v>0</v>
      </c>
      <c r="AW1913" s="156">
        <f t="shared" si="636"/>
        <v>0</v>
      </c>
      <c r="AX1913" s="156">
        <f t="shared" si="636"/>
        <v>0</v>
      </c>
      <c r="AY1913" s="156">
        <f t="shared" si="636"/>
        <v>0</v>
      </c>
      <c r="AZ1913" s="156">
        <f t="shared" si="636"/>
        <v>0</v>
      </c>
      <c r="BA1913" s="156">
        <f t="shared" si="636"/>
        <v>0</v>
      </c>
      <c r="BB1913" s="156">
        <f t="shared" si="655"/>
        <v>0</v>
      </c>
      <c r="BC1913" s="156">
        <f t="shared" si="655"/>
        <v>0</v>
      </c>
      <c r="BD1913" s="156">
        <f t="shared" si="655"/>
        <v>0</v>
      </c>
      <c r="BE1913" s="156">
        <f t="shared" si="655"/>
        <v>0</v>
      </c>
      <c r="BF1913" s="156">
        <f t="shared" si="655"/>
        <v>0</v>
      </c>
      <c r="BG1913" s="158">
        <f t="shared" si="637"/>
        <v>0</v>
      </c>
    </row>
    <row r="1914" spans="1:59" x14ac:dyDescent="0.25">
      <c r="A1914" s="14"/>
      <c r="B1914" s="15" t="str">
        <f t="shared" si="628"/>
        <v>IND_OPER__</v>
      </c>
      <c r="C1914" s="83">
        <f t="shared" si="651"/>
        <v>0</v>
      </c>
      <c r="D1914" s="15" t="str">
        <f>IFERROR("QTD_REC_"&amp;VLOOKUP($J1914,#REF!,7,0),"")</f>
        <v/>
      </c>
      <c r="E1914" s="14"/>
      <c r="F1914" s="148"/>
      <c r="G1914" s="149" t="str">
        <f>IFERROR(VLOOKUP(F1914,#REF!,2,0),"")</f>
        <v/>
      </c>
      <c r="H1914" s="150" t="str">
        <f>IFERROR(VLOOKUP(F1914,#REF!,3,0),"")</f>
        <v/>
      </c>
      <c r="I1914" s="151"/>
      <c r="J1914" s="151"/>
      <c r="K1914" s="150" t="str">
        <f>IFERROR(VLOOKUP($J1914,#REF!,2,0),"")</f>
        <v/>
      </c>
      <c r="L1914" s="150" t="str">
        <f t="shared" si="629"/>
        <v/>
      </c>
      <c r="M1914" s="154"/>
      <c r="N1914" s="180"/>
      <c r="O1914" s="155"/>
      <c r="P1914" s="156"/>
      <c r="Q1914" s="156"/>
      <c r="R1914" s="156"/>
      <c r="S1914" s="156"/>
      <c r="T1914" s="156"/>
      <c r="U1914" s="156"/>
      <c r="V1914" s="156"/>
      <c r="W1914" s="156"/>
      <c r="X1914" s="156"/>
      <c r="Y1914" s="156"/>
      <c r="Z1914" s="156"/>
      <c r="AA1914" s="156"/>
      <c r="AB1914" s="158">
        <f t="shared" si="630"/>
        <v>0</v>
      </c>
      <c r="AC1914" s="159"/>
      <c r="AE1914" s="160" t="str">
        <f t="shared" si="633"/>
        <v/>
      </c>
      <c r="AF1914" s="161">
        <f t="shared" si="654"/>
        <v>0</v>
      </c>
      <c r="AG1914" s="162">
        <f t="shared" si="654"/>
        <v>0</v>
      </c>
      <c r="AH1914" s="162">
        <f t="shared" si="654"/>
        <v>0</v>
      </c>
      <c r="AI1914" s="162">
        <f t="shared" si="653"/>
        <v>0</v>
      </c>
      <c r="AJ1914" s="162">
        <f t="shared" si="653"/>
        <v>0</v>
      </c>
      <c r="AK1914" s="162">
        <f t="shared" si="653"/>
        <v>0</v>
      </c>
      <c r="AL1914" s="162">
        <f t="shared" si="653"/>
        <v>0</v>
      </c>
      <c r="AM1914" s="162">
        <f t="shared" si="653"/>
        <v>0</v>
      </c>
      <c r="AN1914" s="162">
        <f t="shared" si="653"/>
        <v>0</v>
      </c>
      <c r="AO1914" s="162">
        <f t="shared" si="653"/>
        <v>0</v>
      </c>
      <c r="AP1914" s="162">
        <f t="shared" si="653"/>
        <v>0</v>
      </c>
      <c r="AQ1914" s="162">
        <f t="shared" si="653"/>
        <v>0</v>
      </c>
      <c r="AR1914" s="163">
        <f t="shared" si="634"/>
        <v>0</v>
      </c>
      <c r="AT1914" s="181" t="str">
        <f t="shared" si="635"/>
        <v/>
      </c>
      <c r="AU1914" s="156">
        <f t="shared" si="635"/>
        <v>0</v>
      </c>
      <c r="AV1914" s="156">
        <f t="shared" si="636"/>
        <v>0</v>
      </c>
      <c r="AW1914" s="156">
        <f t="shared" si="636"/>
        <v>0</v>
      </c>
      <c r="AX1914" s="156">
        <f t="shared" si="636"/>
        <v>0</v>
      </c>
      <c r="AY1914" s="156">
        <f t="shared" si="636"/>
        <v>0</v>
      </c>
      <c r="AZ1914" s="156">
        <f t="shared" si="636"/>
        <v>0</v>
      </c>
      <c r="BA1914" s="156">
        <f t="shared" si="636"/>
        <v>0</v>
      </c>
      <c r="BB1914" s="156">
        <f t="shared" si="655"/>
        <v>0</v>
      </c>
      <c r="BC1914" s="156">
        <f t="shared" si="655"/>
        <v>0</v>
      </c>
      <c r="BD1914" s="156">
        <f t="shared" si="655"/>
        <v>0</v>
      </c>
      <c r="BE1914" s="156">
        <f t="shared" si="655"/>
        <v>0</v>
      </c>
      <c r="BF1914" s="156">
        <f t="shared" si="655"/>
        <v>0</v>
      </c>
      <c r="BG1914" s="158">
        <f t="shared" si="637"/>
        <v>0</v>
      </c>
    </row>
    <row r="1915" spans="1:59" x14ac:dyDescent="0.25">
      <c r="A1915" s="14"/>
      <c r="B1915" s="15" t="str">
        <f t="shared" si="628"/>
        <v>IND_OPER__</v>
      </c>
      <c r="C1915" s="83">
        <f t="shared" si="651"/>
        <v>0</v>
      </c>
      <c r="D1915" s="15" t="str">
        <f>IFERROR("QTD_REC_"&amp;VLOOKUP($J1915,#REF!,7,0),"")</f>
        <v/>
      </c>
      <c r="E1915" s="14"/>
      <c r="F1915" s="148"/>
      <c r="G1915" s="149" t="str">
        <f>IFERROR(VLOOKUP(F1915,#REF!,2,0),"")</f>
        <v/>
      </c>
      <c r="H1915" s="150" t="str">
        <f>IFERROR(VLOOKUP(F1915,#REF!,3,0),"")</f>
        <v/>
      </c>
      <c r="I1915" s="151"/>
      <c r="J1915" s="151"/>
      <c r="K1915" s="150" t="str">
        <f>IFERROR(VLOOKUP($J1915,#REF!,2,0),"")</f>
        <v/>
      </c>
      <c r="L1915" s="150" t="str">
        <f t="shared" si="629"/>
        <v/>
      </c>
      <c r="M1915" s="154"/>
      <c r="N1915" s="180"/>
      <c r="O1915" s="155"/>
      <c r="P1915" s="156"/>
      <c r="Q1915" s="156"/>
      <c r="R1915" s="156"/>
      <c r="S1915" s="156"/>
      <c r="T1915" s="156"/>
      <c r="U1915" s="156"/>
      <c r="V1915" s="156"/>
      <c r="W1915" s="156"/>
      <c r="X1915" s="156"/>
      <c r="Y1915" s="156"/>
      <c r="Z1915" s="156"/>
      <c r="AA1915" s="156"/>
      <c r="AB1915" s="158">
        <f t="shared" si="630"/>
        <v>0</v>
      </c>
      <c r="AC1915" s="159"/>
      <c r="AE1915" s="160" t="str">
        <f t="shared" si="633"/>
        <v/>
      </c>
      <c r="AF1915" s="161">
        <f t="shared" si="654"/>
        <v>0</v>
      </c>
      <c r="AG1915" s="162">
        <f t="shared" si="654"/>
        <v>0</v>
      </c>
      <c r="AH1915" s="162">
        <f t="shared" si="654"/>
        <v>0</v>
      </c>
      <c r="AI1915" s="162">
        <f t="shared" si="653"/>
        <v>0</v>
      </c>
      <c r="AJ1915" s="162">
        <f t="shared" si="653"/>
        <v>0</v>
      </c>
      <c r="AK1915" s="162">
        <f t="shared" si="653"/>
        <v>0</v>
      </c>
      <c r="AL1915" s="162">
        <f t="shared" si="653"/>
        <v>0</v>
      </c>
      <c r="AM1915" s="162">
        <f t="shared" si="653"/>
        <v>0</v>
      </c>
      <c r="AN1915" s="162">
        <f t="shared" si="653"/>
        <v>0</v>
      </c>
      <c r="AO1915" s="162">
        <f t="shared" si="653"/>
        <v>0</v>
      </c>
      <c r="AP1915" s="162">
        <f t="shared" si="653"/>
        <v>0</v>
      </c>
      <c r="AQ1915" s="162">
        <f t="shared" si="653"/>
        <v>0</v>
      </c>
      <c r="AR1915" s="163">
        <f t="shared" si="634"/>
        <v>0</v>
      </c>
      <c r="AT1915" s="181" t="str">
        <f t="shared" si="635"/>
        <v/>
      </c>
      <c r="AU1915" s="156">
        <f t="shared" si="635"/>
        <v>0</v>
      </c>
      <c r="AV1915" s="156">
        <f t="shared" si="636"/>
        <v>0</v>
      </c>
      <c r="AW1915" s="156">
        <f t="shared" si="636"/>
        <v>0</v>
      </c>
      <c r="AX1915" s="156">
        <f t="shared" si="636"/>
        <v>0</v>
      </c>
      <c r="AY1915" s="156">
        <f t="shared" si="636"/>
        <v>0</v>
      </c>
      <c r="AZ1915" s="156">
        <f t="shared" si="636"/>
        <v>0</v>
      </c>
      <c r="BA1915" s="156">
        <f t="shared" si="636"/>
        <v>0</v>
      </c>
      <c r="BB1915" s="156">
        <f t="shared" si="655"/>
        <v>0</v>
      </c>
      <c r="BC1915" s="156">
        <f t="shared" si="655"/>
        <v>0</v>
      </c>
      <c r="BD1915" s="156">
        <f t="shared" si="655"/>
        <v>0</v>
      </c>
      <c r="BE1915" s="156">
        <f t="shared" si="655"/>
        <v>0</v>
      </c>
      <c r="BF1915" s="156">
        <f t="shared" si="655"/>
        <v>0</v>
      </c>
      <c r="BG1915" s="158">
        <f t="shared" si="637"/>
        <v>0</v>
      </c>
    </row>
    <row r="1916" spans="1:59" x14ac:dyDescent="0.25">
      <c r="A1916" s="14"/>
      <c r="B1916" s="15" t="str">
        <f t="shared" si="628"/>
        <v>IND_OPER__</v>
      </c>
      <c r="C1916" s="83">
        <f t="shared" si="651"/>
        <v>0</v>
      </c>
      <c r="D1916" s="15" t="str">
        <f>IFERROR("QTD_REC_"&amp;VLOOKUP($J1916,#REF!,7,0),"")</f>
        <v/>
      </c>
      <c r="E1916" s="14"/>
      <c r="F1916" s="148"/>
      <c r="G1916" s="149" t="str">
        <f>IFERROR(VLOOKUP(F1916,#REF!,2,0),"")</f>
        <v/>
      </c>
      <c r="H1916" s="150" t="str">
        <f>IFERROR(VLOOKUP(F1916,#REF!,3,0),"")</f>
        <v/>
      </c>
      <c r="I1916" s="151"/>
      <c r="J1916" s="151"/>
      <c r="K1916" s="150" t="str">
        <f>IFERROR(VLOOKUP($J1916,#REF!,2,0),"")</f>
        <v/>
      </c>
      <c r="L1916" s="150" t="str">
        <f t="shared" si="629"/>
        <v/>
      </c>
      <c r="M1916" s="154"/>
      <c r="N1916" s="180"/>
      <c r="O1916" s="155"/>
      <c r="P1916" s="156"/>
      <c r="Q1916" s="156"/>
      <c r="R1916" s="156"/>
      <c r="S1916" s="156"/>
      <c r="T1916" s="156"/>
      <c r="U1916" s="156"/>
      <c r="V1916" s="156"/>
      <c r="W1916" s="156"/>
      <c r="X1916" s="156"/>
      <c r="Y1916" s="156"/>
      <c r="Z1916" s="156"/>
      <c r="AA1916" s="156"/>
      <c r="AB1916" s="158">
        <f t="shared" si="630"/>
        <v>0</v>
      </c>
      <c r="AC1916" s="159"/>
      <c r="AE1916" s="160" t="str">
        <f t="shared" si="633"/>
        <v/>
      </c>
      <c r="AF1916" s="161">
        <f t="shared" si="654"/>
        <v>0</v>
      </c>
      <c r="AG1916" s="162">
        <f t="shared" si="654"/>
        <v>0</v>
      </c>
      <c r="AH1916" s="162">
        <f t="shared" si="654"/>
        <v>0</v>
      </c>
      <c r="AI1916" s="162">
        <f t="shared" si="653"/>
        <v>0</v>
      </c>
      <c r="AJ1916" s="162">
        <f t="shared" si="653"/>
        <v>0</v>
      </c>
      <c r="AK1916" s="162">
        <f t="shared" si="653"/>
        <v>0</v>
      </c>
      <c r="AL1916" s="162">
        <f t="shared" si="653"/>
        <v>0</v>
      </c>
      <c r="AM1916" s="162">
        <f t="shared" si="653"/>
        <v>0</v>
      </c>
      <c r="AN1916" s="162">
        <f t="shared" si="653"/>
        <v>0</v>
      </c>
      <c r="AO1916" s="162">
        <f t="shared" si="653"/>
        <v>0</v>
      </c>
      <c r="AP1916" s="162">
        <f t="shared" si="653"/>
        <v>0</v>
      </c>
      <c r="AQ1916" s="162">
        <f t="shared" si="653"/>
        <v>0</v>
      </c>
      <c r="AR1916" s="163">
        <f t="shared" si="634"/>
        <v>0</v>
      </c>
      <c r="AT1916" s="181" t="str">
        <f t="shared" si="635"/>
        <v/>
      </c>
      <c r="AU1916" s="156">
        <f t="shared" si="635"/>
        <v>0</v>
      </c>
      <c r="AV1916" s="156">
        <f t="shared" si="636"/>
        <v>0</v>
      </c>
      <c r="AW1916" s="156">
        <f t="shared" si="636"/>
        <v>0</v>
      </c>
      <c r="AX1916" s="156">
        <f t="shared" si="636"/>
        <v>0</v>
      </c>
      <c r="AY1916" s="156">
        <f t="shared" si="636"/>
        <v>0</v>
      </c>
      <c r="AZ1916" s="156">
        <f t="shared" si="636"/>
        <v>0</v>
      </c>
      <c r="BA1916" s="156">
        <f t="shared" si="636"/>
        <v>0</v>
      </c>
      <c r="BB1916" s="156">
        <f t="shared" si="655"/>
        <v>0</v>
      </c>
      <c r="BC1916" s="156">
        <f t="shared" si="655"/>
        <v>0</v>
      </c>
      <c r="BD1916" s="156">
        <f t="shared" si="655"/>
        <v>0</v>
      </c>
      <c r="BE1916" s="156">
        <f t="shared" si="655"/>
        <v>0</v>
      </c>
      <c r="BF1916" s="156">
        <f t="shared" si="655"/>
        <v>0</v>
      </c>
      <c r="BG1916" s="158">
        <f t="shared" si="637"/>
        <v>0</v>
      </c>
    </row>
    <row r="1917" spans="1:59" x14ac:dyDescent="0.25">
      <c r="A1917" s="14"/>
      <c r="B1917" s="15" t="str">
        <f t="shared" si="628"/>
        <v>IND_OPER__</v>
      </c>
      <c r="C1917" s="83">
        <f t="shared" si="651"/>
        <v>0</v>
      </c>
      <c r="D1917" s="15" t="str">
        <f>IFERROR("QTD_REC_"&amp;VLOOKUP($J1917,#REF!,7,0),"")</f>
        <v/>
      </c>
      <c r="E1917" s="14"/>
      <c r="F1917" s="148"/>
      <c r="G1917" s="149" t="str">
        <f>IFERROR(VLOOKUP(F1917,#REF!,2,0),"")</f>
        <v/>
      </c>
      <c r="H1917" s="150" t="str">
        <f>IFERROR(VLOOKUP(F1917,#REF!,3,0),"")</f>
        <v/>
      </c>
      <c r="I1917" s="151"/>
      <c r="J1917" s="151"/>
      <c r="K1917" s="150" t="str">
        <f>IFERROR(VLOOKUP($J1917,#REF!,2,0),"")</f>
        <v/>
      </c>
      <c r="L1917" s="150" t="str">
        <f t="shared" si="629"/>
        <v/>
      </c>
      <c r="M1917" s="154"/>
      <c r="N1917" s="180"/>
      <c r="O1917" s="155"/>
      <c r="P1917" s="156"/>
      <c r="Q1917" s="156"/>
      <c r="R1917" s="156"/>
      <c r="S1917" s="156"/>
      <c r="T1917" s="156"/>
      <c r="U1917" s="156"/>
      <c r="V1917" s="156"/>
      <c r="W1917" s="156"/>
      <c r="X1917" s="156"/>
      <c r="Y1917" s="156"/>
      <c r="Z1917" s="156"/>
      <c r="AA1917" s="156"/>
      <c r="AB1917" s="158">
        <f t="shared" si="630"/>
        <v>0</v>
      </c>
      <c r="AC1917" s="159"/>
      <c r="AE1917" s="160" t="str">
        <f t="shared" si="633"/>
        <v/>
      </c>
      <c r="AF1917" s="161">
        <f t="shared" si="654"/>
        <v>0</v>
      </c>
      <c r="AG1917" s="162">
        <f t="shared" si="654"/>
        <v>0</v>
      </c>
      <c r="AH1917" s="162">
        <f t="shared" si="654"/>
        <v>0</v>
      </c>
      <c r="AI1917" s="162">
        <f t="shared" si="653"/>
        <v>0</v>
      </c>
      <c r="AJ1917" s="162">
        <f t="shared" si="653"/>
        <v>0</v>
      </c>
      <c r="AK1917" s="162">
        <f t="shared" si="653"/>
        <v>0</v>
      </c>
      <c r="AL1917" s="162">
        <f t="shared" si="653"/>
        <v>0</v>
      </c>
      <c r="AM1917" s="162">
        <f t="shared" si="653"/>
        <v>0</v>
      </c>
      <c r="AN1917" s="162">
        <f t="shared" si="653"/>
        <v>0</v>
      </c>
      <c r="AO1917" s="162">
        <f t="shared" si="653"/>
        <v>0</v>
      </c>
      <c r="AP1917" s="162">
        <f t="shared" si="653"/>
        <v>0</v>
      </c>
      <c r="AQ1917" s="162">
        <f t="shared" si="653"/>
        <v>0</v>
      </c>
      <c r="AR1917" s="163">
        <f t="shared" si="634"/>
        <v>0</v>
      </c>
      <c r="AT1917" s="181" t="str">
        <f t="shared" si="635"/>
        <v/>
      </c>
      <c r="AU1917" s="156">
        <f t="shared" si="635"/>
        <v>0</v>
      </c>
      <c r="AV1917" s="156">
        <f t="shared" si="636"/>
        <v>0</v>
      </c>
      <c r="AW1917" s="156">
        <f t="shared" si="636"/>
        <v>0</v>
      </c>
      <c r="AX1917" s="156">
        <f t="shared" si="636"/>
        <v>0</v>
      </c>
      <c r="AY1917" s="156">
        <f t="shared" si="636"/>
        <v>0</v>
      </c>
      <c r="AZ1917" s="156">
        <f t="shared" si="636"/>
        <v>0</v>
      </c>
      <c r="BA1917" s="156">
        <f t="shared" si="636"/>
        <v>0</v>
      </c>
      <c r="BB1917" s="156">
        <f t="shared" si="655"/>
        <v>0</v>
      </c>
      <c r="BC1917" s="156">
        <f t="shared" si="655"/>
        <v>0</v>
      </c>
      <c r="BD1917" s="156">
        <f t="shared" si="655"/>
        <v>0</v>
      </c>
      <c r="BE1917" s="156">
        <f t="shared" si="655"/>
        <v>0</v>
      </c>
      <c r="BF1917" s="156">
        <f t="shared" si="655"/>
        <v>0</v>
      </c>
      <c r="BG1917" s="158">
        <f t="shared" si="637"/>
        <v>0</v>
      </c>
    </row>
    <row r="1918" spans="1:59" x14ac:dyDescent="0.25">
      <c r="A1918" s="14"/>
      <c r="B1918" s="15" t="str">
        <f t="shared" si="628"/>
        <v>IND_OPER__</v>
      </c>
      <c r="C1918" s="83">
        <f t="shared" si="651"/>
        <v>0</v>
      </c>
      <c r="D1918" s="15" t="str">
        <f>IFERROR("QTD_REC_"&amp;VLOOKUP($J1918,#REF!,7,0),"")</f>
        <v/>
      </c>
      <c r="E1918" s="14"/>
      <c r="F1918" s="148"/>
      <c r="G1918" s="149" t="str">
        <f>IFERROR(VLOOKUP(F1918,#REF!,2,0),"")</f>
        <v/>
      </c>
      <c r="H1918" s="150" t="str">
        <f>IFERROR(VLOOKUP(F1918,#REF!,3,0),"")</f>
        <v/>
      </c>
      <c r="I1918" s="151"/>
      <c r="J1918" s="151"/>
      <c r="K1918" s="150" t="str">
        <f>IFERROR(VLOOKUP($J1918,#REF!,2,0),"")</f>
        <v/>
      </c>
      <c r="L1918" s="150" t="str">
        <f t="shared" si="629"/>
        <v/>
      </c>
      <c r="M1918" s="154"/>
      <c r="N1918" s="180"/>
      <c r="O1918" s="155"/>
      <c r="P1918" s="156"/>
      <c r="Q1918" s="156"/>
      <c r="R1918" s="156"/>
      <c r="S1918" s="156"/>
      <c r="T1918" s="156"/>
      <c r="U1918" s="156"/>
      <c r="V1918" s="156"/>
      <c r="W1918" s="156"/>
      <c r="X1918" s="156"/>
      <c r="Y1918" s="156"/>
      <c r="Z1918" s="156"/>
      <c r="AA1918" s="156"/>
      <c r="AB1918" s="158">
        <f t="shared" si="630"/>
        <v>0</v>
      </c>
      <c r="AC1918" s="159"/>
      <c r="AE1918" s="160" t="str">
        <f t="shared" si="633"/>
        <v/>
      </c>
      <c r="AF1918" s="161">
        <f t="shared" si="654"/>
        <v>0</v>
      </c>
      <c r="AG1918" s="162">
        <f t="shared" si="654"/>
        <v>0</v>
      </c>
      <c r="AH1918" s="162">
        <f t="shared" si="654"/>
        <v>0</v>
      </c>
      <c r="AI1918" s="162">
        <f t="shared" si="653"/>
        <v>0</v>
      </c>
      <c r="AJ1918" s="162">
        <f t="shared" si="653"/>
        <v>0</v>
      </c>
      <c r="AK1918" s="162">
        <f t="shared" si="653"/>
        <v>0</v>
      </c>
      <c r="AL1918" s="162">
        <f t="shared" si="653"/>
        <v>0</v>
      </c>
      <c r="AM1918" s="162">
        <f t="shared" si="653"/>
        <v>0</v>
      </c>
      <c r="AN1918" s="162">
        <f t="shared" si="653"/>
        <v>0</v>
      </c>
      <c r="AO1918" s="162">
        <f t="shared" si="653"/>
        <v>0</v>
      </c>
      <c r="AP1918" s="162">
        <f t="shared" si="653"/>
        <v>0</v>
      </c>
      <c r="AQ1918" s="162">
        <f t="shared" si="653"/>
        <v>0</v>
      </c>
      <c r="AR1918" s="163">
        <f t="shared" si="634"/>
        <v>0</v>
      </c>
      <c r="AT1918" s="181" t="str">
        <f t="shared" si="635"/>
        <v/>
      </c>
      <c r="AU1918" s="156">
        <f t="shared" si="635"/>
        <v>0</v>
      </c>
      <c r="AV1918" s="156">
        <f t="shared" si="636"/>
        <v>0</v>
      </c>
      <c r="AW1918" s="156">
        <f t="shared" si="636"/>
        <v>0</v>
      </c>
      <c r="AX1918" s="156">
        <f t="shared" si="636"/>
        <v>0</v>
      </c>
      <c r="AY1918" s="156">
        <f t="shared" si="636"/>
        <v>0</v>
      </c>
      <c r="AZ1918" s="156">
        <f t="shared" si="636"/>
        <v>0</v>
      </c>
      <c r="BA1918" s="156">
        <f t="shared" si="636"/>
        <v>0</v>
      </c>
      <c r="BB1918" s="156">
        <f t="shared" si="655"/>
        <v>0</v>
      </c>
      <c r="BC1918" s="156">
        <f t="shared" si="655"/>
        <v>0</v>
      </c>
      <c r="BD1918" s="156">
        <f t="shared" si="655"/>
        <v>0</v>
      </c>
      <c r="BE1918" s="156">
        <f t="shared" si="655"/>
        <v>0</v>
      </c>
      <c r="BF1918" s="156">
        <f t="shared" si="655"/>
        <v>0</v>
      </c>
      <c r="BG1918" s="158">
        <f t="shared" si="637"/>
        <v>0</v>
      </c>
    </row>
    <row r="1919" spans="1:59" x14ac:dyDescent="0.25">
      <c r="A1919" s="14"/>
      <c r="B1919" s="15" t="str">
        <f t="shared" si="628"/>
        <v>IND_OPER__</v>
      </c>
      <c r="C1919" s="83">
        <f t="shared" si="651"/>
        <v>0</v>
      </c>
      <c r="D1919" s="15" t="str">
        <f>IFERROR("QTD_REC_"&amp;VLOOKUP($J1919,#REF!,7,0),"")</f>
        <v/>
      </c>
      <c r="E1919" s="14"/>
      <c r="F1919" s="148"/>
      <c r="G1919" s="149" t="str">
        <f>IFERROR(VLOOKUP(F1919,#REF!,2,0),"")</f>
        <v/>
      </c>
      <c r="H1919" s="150" t="str">
        <f>IFERROR(VLOOKUP(F1919,#REF!,3,0),"")</f>
        <v/>
      </c>
      <c r="I1919" s="151"/>
      <c r="J1919" s="151"/>
      <c r="K1919" s="150" t="str">
        <f>IFERROR(VLOOKUP($J1919,#REF!,2,0),"")</f>
        <v/>
      </c>
      <c r="L1919" s="150" t="str">
        <f t="shared" si="629"/>
        <v/>
      </c>
      <c r="M1919" s="154"/>
      <c r="N1919" s="180"/>
      <c r="O1919" s="155"/>
      <c r="P1919" s="156"/>
      <c r="Q1919" s="156"/>
      <c r="R1919" s="156"/>
      <c r="S1919" s="156"/>
      <c r="T1919" s="156"/>
      <c r="U1919" s="156"/>
      <c r="V1919" s="156"/>
      <c r="W1919" s="156"/>
      <c r="X1919" s="156"/>
      <c r="Y1919" s="156"/>
      <c r="Z1919" s="156"/>
      <c r="AA1919" s="156"/>
      <c r="AB1919" s="158">
        <f t="shared" si="630"/>
        <v>0</v>
      </c>
      <c r="AC1919" s="159"/>
      <c r="AE1919" s="160" t="str">
        <f t="shared" si="633"/>
        <v/>
      </c>
      <c r="AF1919" s="161">
        <f t="shared" si="654"/>
        <v>0</v>
      </c>
      <c r="AG1919" s="162">
        <f t="shared" si="654"/>
        <v>0</v>
      </c>
      <c r="AH1919" s="162">
        <f t="shared" si="654"/>
        <v>0</v>
      </c>
      <c r="AI1919" s="162">
        <f t="shared" si="653"/>
        <v>0</v>
      </c>
      <c r="AJ1919" s="162">
        <f t="shared" si="653"/>
        <v>0</v>
      </c>
      <c r="AK1919" s="162">
        <f t="shared" si="653"/>
        <v>0</v>
      </c>
      <c r="AL1919" s="162">
        <f t="shared" si="653"/>
        <v>0</v>
      </c>
      <c r="AM1919" s="162">
        <f t="shared" si="653"/>
        <v>0</v>
      </c>
      <c r="AN1919" s="162">
        <f t="shared" si="653"/>
        <v>0</v>
      </c>
      <c r="AO1919" s="162">
        <f t="shared" si="653"/>
        <v>0</v>
      </c>
      <c r="AP1919" s="162">
        <f t="shared" si="653"/>
        <v>0</v>
      </c>
      <c r="AQ1919" s="162">
        <f t="shared" si="653"/>
        <v>0</v>
      </c>
      <c r="AR1919" s="163">
        <f t="shared" si="634"/>
        <v>0</v>
      </c>
      <c r="AT1919" s="181" t="str">
        <f t="shared" si="635"/>
        <v/>
      </c>
      <c r="AU1919" s="156">
        <f t="shared" si="635"/>
        <v>0</v>
      </c>
      <c r="AV1919" s="156">
        <f t="shared" si="636"/>
        <v>0</v>
      </c>
      <c r="AW1919" s="156">
        <f t="shared" si="636"/>
        <v>0</v>
      </c>
      <c r="AX1919" s="156">
        <f t="shared" si="636"/>
        <v>0</v>
      </c>
      <c r="AY1919" s="156">
        <f t="shared" si="636"/>
        <v>0</v>
      </c>
      <c r="AZ1919" s="156">
        <f t="shared" si="636"/>
        <v>0</v>
      </c>
      <c r="BA1919" s="156">
        <f t="shared" si="636"/>
        <v>0</v>
      </c>
      <c r="BB1919" s="156">
        <f t="shared" si="655"/>
        <v>0</v>
      </c>
      <c r="BC1919" s="156">
        <f t="shared" si="655"/>
        <v>0</v>
      </c>
      <c r="BD1919" s="156">
        <f t="shared" si="655"/>
        <v>0</v>
      </c>
      <c r="BE1919" s="156">
        <f t="shared" si="655"/>
        <v>0</v>
      </c>
      <c r="BF1919" s="156">
        <f t="shared" si="655"/>
        <v>0</v>
      </c>
      <c r="BG1919" s="158">
        <f t="shared" si="637"/>
        <v>0</v>
      </c>
    </row>
    <row r="1920" spans="1:59" x14ac:dyDescent="0.25">
      <c r="A1920" s="14"/>
      <c r="B1920" s="15" t="str">
        <f t="shared" si="628"/>
        <v>IND_OPER__</v>
      </c>
      <c r="C1920" s="83">
        <f t="shared" si="651"/>
        <v>0</v>
      </c>
      <c r="D1920" s="15" t="str">
        <f>IFERROR("QTD_REC_"&amp;VLOOKUP($J1920,#REF!,7,0),"")</f>
        <v/>
      </c>
      <c r="E1920" s="14"/>
      <c r="F1920" s="148"/>
      <c r="G1920" s="149" t="str">
        <f>IFERROR(VLOOKUP(F1920,#REF!,2,0),"")</f>
        <v/>
      </c>
      <c r="H1920" s="150" t="str">
        <f>IFERROR(VLOOKUP(F1920,#REF!,3,0),"")</f>
        <v/>
      </c>
      <c r="I1920" s="151"/>
      <c r="J1920" s="151"/>
      <c r="K1920" s="150" t="str">
        <f>IFERROR(VLOOKUP($J1920,#REF!,2,0),"")</f>
        <v/>
      </c>
      <c r="L1920" s="150" t="str">
        <f t="shared" si="629"/>
        <v/>
      </c>
      <c r="M1920" s="154"/>
      <c r="N1920" s="180"/>
      <c r="O1920" s="155"/>
      <c r="P1920" s="156"/>
      <c r="Q1920" s="156"/>
      <c r="R1920" s="156"/>
      <c r="S1920" s="156"/>
      <c r="T1920" s="156"/>
      <c r="U1920" s="156"/>
      <c r="V1920" s="156"/>
      <c r="W1920" s="156"/>
      <c r="X1920" s="156"/>
      <c r="Y1920" s="156"/>
      <c r="Z1920" s="156"/>
      <c r="AA1920" s="156"/>
      <c r="AB1920" s="158">
        <f t="shared" si="630"/>
        <v>0</v>
      </c>
      <c r="AC1920" s="159"/>
      <c r="AE1920" s="160" t="str">
        <f t="shared" si="633"/>
        <v/>
      </c>
      <c r="AF1920" s="161">
        <f t="shared" si="654"/>
        <v>0</v>
      </c>
      <c r="AG1920" s="162">
        <f t="shared" si="654"/>
        <v>0</v>
      </c>
      <c r="AH1920" s="162">
        <f t="shared" si="654"/>
        <v>0</v>
      </c>
      <c r="AI1920" s="162">
        <f t="shared" si="653"/>
        <v>0</v>
      </c>
      <c r="AJ1920" s="162">
        <f t="shared" si="653"/>
        <v>0</v>
      </c>
      <c r="AK1920" s="162">
        <f t="shared" si="653"/>
        <v>0</v>
      </c>
      <c r="AL1920" s="162">
        <f t="shared" si="653"/>
        <v>0</v>
      </c>
      <c r="AM1920" s="162">
        <f t="shared" si="653"/>
        <v>0</v>
      </c>
      <c r="AN1920" s="162">
        <f t="shared" si="653"/>
        <v>0</v>
      </c>
      <c r="AO1920" s="162">
        <f t="shared" si="653"/>
        <v>0</v>
      </c>
      <c r="AP1920" s="162">
        <f t="shared" si="653"/>
        <v>0</v>
      </c>
      <c r="AQ1920" s="162">
        <f t="shared" si="653"/>
        <v>0</v>
      </c>
      <c r="AR1920" s="163">
        <f t="shared" si="634"/>
        <v>0</v>
      </c>
      <c r="AT1920" s="181" t="str">
        <f t="shared" si="635"/>
        <v/>
      </c>
      <c r="AU1920" s="156">
        <f t="shared" si="635"/>
        <v>0</v>
      </c>
      <c r="AV1920" s="156">
        <f t="shared" si="636"/>
        <v>0</v>
      </c>
      <c r="AW1920" s="156">
        <f t="shared" si="636"/>
        <v>0</v>
      </c>
      <c r="AX1920" s="156">
        <f t="shared" si="636"/>
        <v>0</v>
      </c>
      <c r="AY1920" s="156">
        <f t="shared" si="636"/>
        <v>0</v>
      </c>
      <c r="AZ1920" s="156">
        <f t="shared" si="636"/>
        <v>0</v>
      </c>
      <c r="BA1920" s="156">
        <f t="shared" si="636"/>
        <v>0</v>
      </c>
      <c r="BB1920" s="156">
        <f t="shared" si="655"/>
        <v>0</v>
      </c>
      <c r="BC1920" s="156">
        <f t="shared" si="655"/>
        <v>0</v>
      </c>
      <c r="BD1920" s="156">
        <f t="shared" si="655"/>
        <v>0</v>
      </c>
      <c r="BE1920" s="156">
        <f t="shared" si="655"/>
        <v>0</v>
      </c>
      <c r="BF1920" s="156">
        <f t="shared" si="655"/>
        <v>0</v>
      </c>
      <c r="BG1920" s="158">
        <f t="shared" si="637"/>
        <v>0</v>
      </c>
    </row>
    <row r="1921" spans="1:59" x14ac:dyDescent="0.25">
      <c r="A1921" s="14"/>
      <c r="B1921" s="15" t="str">
        <f t="shared" si="628"/>
        <v>IND_OPER__</v>
      </c>
      <c r="C1921" s="83">
        <f t="shared" si="651"/>
        <v>0</v>
      </c>
      <c r="D1921" s="15" t="str">
        <f>IFERROR("QTD_REC_"&amp;VLOOKUP($J1921,#REF!,7,0),"")</f>
        <v/>
      </c>
      <c r="E1921" s="14"/>
      <c r="F1921" s="148"/>
      <c r="G1921" s="149" t="str">
        <f>IFERROR(VLOOKUP(F1921,#REF!,2,0),"")</f>
        <v/>
      </c>
      <c r="H1921" s="150" t="str">
        <f>IFERROR(VLOOKUP(F1921,#REF!,3,0),"")</f>
        <v/>
      </c>
      <c r="I1921" s="151"/>
      <c r="J1921" s="151"/>
      <c r="K1921" s="150" t="str">
        <f>IFERROR(VLOOKUP($J1921,#REF!,2,0),"")</f>
        <v/>
      </c>
      <c r="L1921" s="150" t="str">
        <f t="shared" si="629"/>
        <v/>
      </c>
      <c r="M1921" s="154"/>
      <c r="N1921" s="180"/>
      <c r="O1921" s="155"/>
      <c r="P1921" s="156"/>
      <c r="Q1921" s="156"/>
      <c r="R1921" s="156"/>
      <c r="S1921" s="156"/>
      <c r="T1921" s="156"/>
      <c r="U1921" s="156"/>
      <c r="V1921" s="156"/>
      <c r="W1921" s="156"/>
      <c r="X1921" s="156"/>
      <c r="Y1921" s="156"/>
      <c r="Z1921" s="156"/>
      <c r="AA1921" s="156"/>
      <c r="AB1921" s="158">
        <f t="shared" si="630"/>
        <v>0</v>
      </c>
      <c r="AC1921" s="159"/>
      <c r="AE1921" s="160" t="str">
        <f t="shared" si="633"/>
        <v/>
      </c>
      <c r="AF1921" s="161">
        <f t="shared" si="654"/>
        <v>0</v>
      </c>
      <c r="AG1921" s="162">
        <f t="shared" si="654"/>
        <v>0</v>
      </c>
      <c r="AH1921" s="162">
        <f t="shared" si="654"/>
        <v>0</v>
      </c>
      <c r="AI1921" s="162">
        <f t="shared" si="653"/>
        <v>0</v>
      </c>
      <c r="AJ1921" s="162">
        <f t="shared" si="653"/>
        <v>0</v>
      </c>
      <c r="AK1921" s="162">
        <f t="shared" si="653"/>
        <v>0</v>
      </c>
      <c r="AL1921" s="162">
        <f t="shared" si="653"/>
        <v>0</v>
      </c>
      <c r="AM1921" s="162">
        <f t="shared" si="653"/>
        <v>0</v>
      </c>
      <c r="AN1921" s="162">
        <f t="shared" si="653"/>
        <v>0</v>
      </c>
      <c r="AO1921" s="162">
        <f t="shared" si="653"/>
        <v>0</v>
      </c>
      <c r="AP1921" s="162">
        <f t="shared" si="653"/>
        <v>0</v>
      </c>
      <c r="AQ1921" s="162">
        <f t="shared" si="653"/>
        <v>0</v>
      </c>
      <c r="AR1921" s="163">
        <f t="shared" si="634"/>
        <v>0</v>
      </c>
      <c r="AT1921" s="181" t="str">
        <f t="shared" si="635"/>
        <v/>
      </c>
      <c r="AU1921" s="156">
        <f t="shared" si="635"/>
        <v>0</v>
      </c>
      <c r="AV1921" s="156">
        <f t="shared" si="636"/>
        <v>0</v>
      </c>
      <c r="AW1921" s="156">
        <f t="shared" si="636"/>
        <v>0</v>
      </c>
      <c r="AX1921" s="156">
        <f t="shared" si="636"/>
        <v>0</v>
      </c>
      <c r="AY1921" s="156">
        <f t="shared" si="636"/>
        <v>0</v>
      </c>
      <c r="AZ1921" s="156">
        <f t="shared" si="636"/>
        <v>0</v>
      </c>
      <c r="BA1921" s="156">
        <f t="shared" si="636"/>
        <v>0</v>
      </c>
      <c r="BB1921" s="156">
        <f t="shared" si="655"/>
        <v>0</v>
      </c>
      <c r="BC1921" s="156">
        <f t="shared" si="655"/>
        <v>0</v>
      </c>
      <c r="BD1921" s="156">
        <f t="shared" si="655"/>
        <v>0</v>
      </c>
      <c r="BE1921" s="156">
        <f t="shared" si="655"/>
        <v>0</v>
      </c>
      <c r="BF1921" s="156">
        <f t="shared" si="655"/>
        <v>0</v>
      </c>
      <c r="BG1921" s="158">
        <f t="shared" si="637"/>
        <v>0</v>
      </c>
    </row>
    <row r="1922" spans="1:59" x14ac:dyDescent="0.25">
      <c r="A1922" s="14"/>
      <c r="B1922" s="15" t="str">
        <f t="shared" si="628"/>
        <v>IND_OPER__</v>
      </c>
      <c r="C1922" s="83">
        <f t="shared" si="651"/>
        <v>0</v>
      </c>
      <c r="D1922" s="15" t="str">
        <f>IFERROR("QTD_REC_"&amp;VLOOKUP($J1922,#REF!,7,0),"")</f>
        <v/>
      </c>
      <c r="E1922" s="14"/>
      <c r="F1922" s="148"/>
      <c r="G1922" s="149" t="str">
        <f>IFERROR(VLOOKUP(F1922,#REF!,2,0),"")</f>
        <v/>
      </c>
      <c r="H1922" s="150" t="str">
        <f>IFERROR(VLOOKUP(F1922,#REF!,3,0),"")</f>
        <v/>
      </c>
      <c r="I1922" s="151"/>
      <c r="J1922" s="151"/>
      <c r="K1922" s="150" t="str">
        <f>IFERROR(VLOOKUP($J1922,#REF!,2,0),"")</f>
        <v/>
      </c>
      <c r="L1922" s="150" t="str">
        <f t="shared" si="629"/>
        <v/>
      </c>
      <c r="M1922" s="154"/>
      <c r="N1922" s="180"/>
      <c r="O1922" s="155"/>
      <c r="P1922" s="156"/>
      <c r="Q1922" s="156"/>
      <c r="R1922" s="156"/>
      <c r="S1922" s="156"/>
      <c r="T1922" s="156"/>
      <c r="U1922" s="156"/>
      <c r="V1922" s="156"/>
      <c r="W1922" s="156"/>
      <c r="X1922" s="156"/>
      <c r="Y1922" s="156"/>
      <c r="Z1922" s="156"/>
      <c r="AA1922" s="156"/>
      <c r="AB1922" s="158">
        <f t="shared" si="630"/>
        <v>0</v>
      </c>
      <c r="AC1922" s="159"/>
      <c r="AE1922" s="160" t="str">
        <f t="shared" si="633"/>
        <v/>
      </c>
      <c r="AF1922" s="161">
        <f t="shared" si="654"/>
        <v>0</v>
      </c>
      <c r="AG1922" s="162">
        <f t="shared" si="654"/>
        <v>0</v>
      </c>
      <c r="AH1922" s="162">
        <f t="shared" si="654"/>
        <v>0</v>
      </c>
      <c r="AI1922" s="162">
        <f t="shared" si="653"/>
        <v>0</v>
      </c>
      <c r="AJ1922" s="162">
        <f t="shared" si="653"/>
        <v>0</v>
      </c>
      <c r="AK1922" s="162">
        <f t="shared" si="653"/>
        <v>0</v>
      </c>
      <c r="AL1922" s="162">
        <f t="shared" si="653"/>
        <v>0</v>
      </c>
      <c r="AM1922" s="162">
        <f t="shared" si="653"/>
        <v>0</v>
      </c>
      <c r="AN1922" s="162">
        <f t="shared" si="653"/>
        <v>0</v>
      </c>
      <c r="AO1922" s="162">
        <f t="shared" si="653"/>
        <v>0</v>
      </c>
      <c r="AP1922" s="162">
        <f t="shared" si="653"/>
        <v>0</v>
      </c>
      <c r="AQ1922" s="162">
        <f t="shared" si="653"/>
        <v>0</v>
      </c>
      <c r="AR1922" s="163">
        <f t="shared" si="634"/>
        <v>0</v>
      </c>
      <c r="AT1922" s="181" t="str">
        <f t="shared" si="635"/>
        <v/>
      </c>
      <c r="AU1922" s="156">
        <f t="shared" si="635"/>
        <v>0</v>
      </c>
      <c r="AV1922" s="156">
        <f t="shared" si="636"/>
        <v>0</v>
      </c>
      <c r="AW1922" s="156">
        <f t="shared" si="636"/>
        <v>0</v>
      </c>
      <c r="AX1922" s="156">
        <f t="shared" si="636"/>
        <v>0</v>
      </c>
      <c r="AY1922" s="156">
        <f t="shared" si="636"/>
        <v>0</v>
      </c>
      <c r="AZ1922" s="156">
        <f t="shared" si="636"/>
        <v>0</v>
      </c>
      <c r="BA1922" s="156">
        <f t="shared" si="636"/>
        <v>0</v>
      </c>
      <c r="BB1922" s="156">
        <f t="shared" si="655"/>
        <v>0</v>
      </c>
      <c r="BC1922" s="156">
        <f t="shared" si="655"/>
        <v>0</v>
      </c>
      <c r="BD1922" s="156">
        <f t="shared" si="655"/>
        <v>0</v>
      </c>
      <c r="BE1922" s="156">
        <f t="shared" si="655"/>
        <v>0</v>
      </c>
      <c r="BF1922" s="156">
        <f t="shared" si="655"/>
        <v>0</v>
      </c>
      <c r="BG1922" s="158">
        <f t="shared" si="637"/>
        <v>0</v>
      </c>
    </row>
    <row r="1923" spans="1:59" x14ac:dyDescent="0.25">
      <c r="A1923" s="14"/>
      <c r="B1923" s="15" t="str">
        <f t="shared" si="628"/>
        <v>IND_OPER__</v>
      </c>
      <c r="C1923" s="83">
        <f t="shared" si="651"/>
        <v>0</v>
      </c>
      <c r="D1923" s="15" t="str">
        <f>IFERROR("QTD_REC_"&amp;VLOOKUP($J1923,#REF!,7,0),"")</f>
        <v/>
      </c>
      <c r="E1923" s="14"/>
      <c r="F1923" s="148"/>
      <c r="G1923" s="149" t="str">
        <f>IFERROR(VLOOKUP(F1923,#REF!,2,0),"")</f>
        <v/>
      </c>
      <c r="H1923" s="150" t="str">
        <f>IFERROR(VLOOKUP(F1923,#REF!,3,0),"")</f>
        <v/>
      </c>
      <c r="I1923" s="151"/>
      <c r="J1923" s="151"/>
      <c r="K1923" s="150" t="str">
        <f>IFERROR(VLOOKUP($J1923,#REF!,2,0),"")</f>
        <v/>
      </c>
      <c r="L1923" s="150" t="str">
        <f t="shared" si="629"/>
        <v/>
      </c>
      <c r="M1923" s="154"/>
      <c r="N1923" s="180"/>
      <c r="O1923" s="155"/>
      <c r="P1923" s="156"/>
      <c r="Q1923" s="156"/>
      <c r="R1923" s="156"/>
      <c r="S1923" s="156"/>
      <c r="T1923" s="156"/>
      <c r="U1923" s="156"/>
      <c r="V1923" s="156"/>
      <c r="W1923" s="156"/>
      <c r="X1923" s="156"/>
      <c r="Y1923" s="156"/>
      <c r="Z1923" s="156"/>
      <c r="AA1923" s="156"/>
      <c r="AB1923" s="158">
        <f t="shared" si="630"/>
        <v>0</v>
      </c>
      <c r="AC1923" s="159"/>
      <c r="AE1923" s="160" t="str">
        <f t="shared" si="633"/>
        <v/>
      </c>
      <c r="AF1923" s="161">
        <f t="shared" si="654"/>
        <v>0</v>
      </c>
      <c r="AG1923" s="162">
        <f t="shared" si="654"/>
        <v>0</v>
      </c>
      <c r="AH1923" s="162">
        <f t="shared" si="654"/>
        <v>0</v>
      </c>
      <c r="AI1923" s="162">
        <f t="shared" si="653"/>
        <v>0</v>
      </c>
      <c r="AJ1923" s="162">
        <f t="shared" si="653"/>
        <v>0</v>
      </c>
      <c r="AK1923" s="162">
        <f t="shared" si="653"/>
        <v>0</v>
      </c>
      <c r="AL1923" s="162">
        <f t="shared" si="653"/>
        <v>0</v>
      </c>
      <c r="AM1923" s="162">
        <f t="shared" si="653"/>
        <v>0</v>
      </c>
      <c r="AN1923" s="162">
        <f t="shared" si="653"/>
        <v>0</v>
      </c>
      <c r="AO1923" s="162">
        <f t="shared" si="653"/>
        <v>0</v>
      </c>
      <c r="AP1923" s="162">
        <f t="shared" si="653"/>
        <v>0</v>
      </c>
      <c r="AQ1923" s="162">
        <f t="shared" si="653"/>
        <v>0</v>
      </c>
      <c r="AR1923" s="163">
        <f t="shared" si="634"/>
        <v>0</v>
      </c>
      <c r="AT1923" s="181" t="str">
        <f t="shared" si="635"/>
        <v/>
      </c>
      <c r="AU1923" s="156">
        <f t="shared" si="635"/>
        <v>0</v>
      </c>
      <c r="AV1923" s="156">
        <f t="shared" si="636"/>
        <v>0</v>
      </c>
      <c r="AW1923" s="156">
        <f t="shared" si="636"/>
        <v>0</v>
      </c>
      <c r="AX1923" s="156">
        <f t="shared" si="636"/>
        <v>0</v>
      </c>
      <c r="AY1923" s="156">
        <f t="shared" si="636"/>
        <v>0</v>
      </c>
      <c r="AZ1923" s="156">
        <f t="shared" si="636"/>
        <v>0</v>
      </c>
      <c r="BA1923" s="156">
        <f t="shared" si="636"/>
        <v>0</v>
      </c>
      <c r="BB1923" s="156">
        <f t="shared" si="655"/>
        <v>0</v>
      </c>
      <c r="BC1923" s="156">
        <f t="shared" si="655"/>
        <v>0</v>
      </c>
      <c r="BD1923" s="156">
        <f t="shared" si="655"/>
        <v>0</v>
      </c>
      <c r="BE1923" s="156">
        <f t="shared" si="655"/>
        <v>0</v>
      </c>
      <c r="BF1923" s="156">
        <f t="shared" si="655"/>
        <v>0</v>
      </c>
      <c r="BG1923" s="158">
        <f t="shared" si="637"/>
        <v>0</v>
      </c>
    </row>
    <row r="1924" spans="1:59" x14ac:dyDescent="0.25">
      <c r="A1924" s="14"/>
      <c r="B1924" s="15" t="str">
        <f t="shared" si="628"/>
        <v>IND_OPER__</v>
      </c>
      <c r="C1924" s="83">
        <f t="shared" si="651"/>
        <v>0</v>
      </c>
      <c r="D1924" s="15" t="str">
        <f>IFERROR("QTD_REC_"&amp;VLOOKUP($J1924,#REF!,7,0),"")</f>
        <v/>
      </c>
      <c r="E1924" s="14"/>
      <c r="F1924" s="148"/>
      <c r="G1924" s="149" t="str">
        <f>IFERROR(VLOOKUP(F1924,#REF!,2,0),"")</f>
        <v/>
      </c>
      <c r="H1924" s="150" t="str">
        <f>IFERROR(VLOOKUP(F1924,#REF!,3,0),"")</f>
        <v/>
      </c>
      <c r="I1924" s="151"/>
      <c r="J1924" s="151"/>
      <c r="K1924" s="150" t="str">
        <f>IFERROR(VLOOKUP($J1924,#REF!,2,0),"")</f>
        <v/>
      </c>
      <c r="L1924" s="150" t="str">
        <f t="shared" si="629"/>
        <v/>
      </c>
      <c r="M1924" s="154"/>
      <c r="N1924" s="180"/>
      <c r="O1924" s="155"/>
      <c r="P1924" s="156"/>
      <c r="Q1924" s="156"/>
      <c r="R1924" s="156"/>
      <c r="S1924" s="156"/>
      <c r="T1924" s="156"/>
      <c r="U1924" s="156"/>
      <c r="V1924" s="156"/>
      <c r="W1924" s="156"/>
      <c r="X1924" s="156"/>
      <c r="Y1924" s="156"/>
      <c r="Z1924" s="156"/>
      <c r="AA1924" s="156"/>
      <c r="AB1924" s="158">
        <f t="shared" si="630"/>
        <v>0</v>
      </c>
      <c r="AC1924" s="159"/>
      <c r="AE1924" s="160" t="str">
        <f t="shared" si="633"/>
        <v/>
      </c>
      <c r="AF1924" s="161">
        <f t="shared" si="654"/>
        <v>0</v>
      </c>
      <c r="AG1924" s="162">
        <f t="shared" si="654"/>
        <v>0</v>
      </c>
      <c r="AH1924" s="162">
        <f t="shared" si="654"/>
        <v>0</v>
      </c>
      <c r="AI1924" s="162">
        <f t="shared" si="653"/>
        <v>0</v>
      </c>
      <c r="AJ1924" s="162">
        <f t="shared" si="653"/>
        <v>0</v>
      </c>
      <c r="AK1924" s="162">
        <f t="shared" si="653"/>
        <v>0</v>
      </c>
      <c r="AL1924" s="162">
        <f t="shared" si="653"/>
        <v>0</v>
      </c>
      <c r="AM1924" s="162">
        <f t="shared" si="653"/>
        <v>0</v>
      </c>
      <c r="AN1924" s="162">
        <f t="shared" si="653"/>
        <v>0</v>
      </c>
      <c r="AO1924" s="162">
        <f t="shared" si="653"/>
        <v>0</v>
      </c>
      <c r="AP1924" s="162">
        <f t="shared" si="653"/>
        <v>0</v>
      </c>
      <c r="AQ1924" s="162">
        <f t="shared" si="653"/>
        <v>0</v>
      </c>
      <c r="AR1924" s="163">
        <f t="shared" si="634"/>
        <v>0</v>
      </c>
      <c r="AT1924" s="181" t="str">
        <f t="shared" si="635"/>
        <v/>
      </c>
      <c r="AU1924" s="156">
        <f t="shared" si="635"/>
        <v>0</v>
      </c>
      <c r="AV1924" s="156">
        <f t="shared" si="636"/>
        <v>0</v>
      </c>
      <c r="AW1924" s="156">
        <f t="shared" si="636"/>
        <v>0</v>
      </c>
      <c r="AX1924" s="156">
        <f t="shared" si="636"/>
        <v>0</v>
      </c>
      <c r="AY1924" s="156">
        <f t="shared" si="636"/>
        <v>0</v>
      </c>
      <c r="AZ1924" s="156">
        <f t="shared" si="636"/>
        <v>0</v>
      </c>
      <c r="BA1924" s="156">
        <f t="shared" si="636"/>
        <v>0</v>
      </c>
      <c r="BB1924" s="156">
        <f t="shared" si="655"/>
        <v>0</v>
      </c>
      <c r="BC1924" s="156">
        <f t="shared" si="655"/>
        <v>0</v>
      </c>
      <c r="BD1924" s="156">
        <f t="shared" si="655"/>
        <v>0</v>
      </c>
      <c r="BE1924" s="156">
        <f t="shared" si="655"/>
        <v>0</v>
      </c>
      <c r="BF1924" s="156">
        <f t="shared" si="655"/>
        <v>0</v>
      </c>
      <c r="BG1924" s="158">
        <f t="shared" si="637"/>
        <v>0</v>
      </c>
    </row>
    <row r="1925" spans="1:59" x14ac:dyDescent="0.25">
      <c r="A1925" s="14"/>
      <c r="B1925" s="15" t="str">
        <f t="shared" si="628"/>
        <v>IND_OPER__</v>
      </c>
      <c r="C1925" s="83">
        <f t="shared" si="651"/>
        <v>0</v>
      </c>
      <c r="D1925" s="15" t="str">
        <f>IFERROR("QTD_REC_"&amp;VLOOKUP($J1925,#REF!,7,0),"")</f>
        <v/>
      </c>
      <c r="E1925" s="14"/>
      <c r="F1925" s="148"/>
      <c r="G1925" s="149" t="str">
        <f>IFERROR(VLOOKUP(F1925,#REF!,2,0),"")</f>
        <v/>
      </c>
      <c r="H1925" s="150" t="str">
        <f>IFERROR(VLOOKUP(F1925,#REF!,3,0),"")</f>
        <v/>
      </c>
      <c r="I1925" s="151"/>
      <c r="J1925" s="151"/>
      <c r="K1925" s="150" t="str">
        <f>IFERROR(VLOOKUP($J1925,#REF!,2,0),"")</f>
        <v/>
      </c>
      <c r="L1925" s="150" t="str">
        <f t="shared" si="629"/>
        <v/>
      </c>
      <c r="M1925" s="154"/>
      <c r="N1925" s="180"/>
      <c r="O1925" s="155"/>
      <c r="P1925" s="156"/>
      <c r="Q1925" s="156"/>
      <c r="R1925" s="156"/>
      <c r="S1925" s="156"/>
      <c r="T1925" s="156"/>
      <c r="U1925" s="156"/>
      <c r="V1925" s="156"/>
      <c r="W1925" s="156"/>
      <c r="X1925" s="156"/>
      <c r="Y1925" s="156"/>
      <c r="Z1925" s="156"/>
      <c r="AA1925" s="156"/>
      <c r="AB1925" s="158">
        <f t="shared" si="630"/>
        <v>0</v>
      </c>
      <c r="AC1925" s="159"/>
      <c r="AE1925" s="160" t="str">
        <f t="shared" si="633"/>
        <v/>
      </c>
      <c r="AF1925" s="161">
        <f t="shared" si="654"/>
        <v>0</v>
      </c>
      <c r="AG1925" s="162">
        <f t="shared" si="654"/>
        <v>0</v>
      </c>
      <c r="AH1925" s="162">
        <f t="shared" si="654"/>
        <v>0</v>
      </c>
      <c r="AI1925" s="162">
        <f t="shared" si="653"/>
        <v>0</v>
      </c>
      <c r="AJ1925" s="162">
        <f t="shared" si="653"/>
        <v>0</v>
      </c>
      <c r="AK1925" s="162">
        <f t="shared" si="653"/>
        <v>0</v>
      </c>
      <c r="AL1925" s="162">
        <f t="shared" si="653"/>
        <v>0</v>
      </c>
      <c r="AM1925" s="162">
        <f t="shared" si="653"/>
        <v>0</v>
      </c>
      <c r="AN1925" s="162">
        <f t="shared" si="653"/>
        <v>0</v>
      </c>
      <c r="AO1925" s="162">
        <f t="shared" si="653"/>
        <v>0</v>
      </c>
      <c r="AP1925" s="162">
        <f t="shared" si="653"/>
        <v>0</v>
      </c>
      <c r="AQ1925" s="162">
        <f t="shared" si="653"/>
        <v>0</v>
      </c>
      <c r="AR1925" s="163">
        <f t="shared" si="634"/>
        <v>0</v>
      </c>
      <c r="AT1925" s="181" t="str">
        <f t="shared" si="635"/>
        <v/>
      </c>
      <c r="AU1925" s="156">
        <f t="shared" si="635"/>
        <v>0</v>
      </c>
      <c r="AV1925" s="156">
        <f t="shared" si="636"/>
        <v>0</v>
      </c>
      <c r="AW1925" s="156">
        <f t="shared" si="636"/>
        <v>0</v>
      </c>
      <c r="AX1925" s="156">
        <f t="shared" si="636"/>
        <v>0</v>
      </c>
      <c r="AY1925" s="156">
        <f t="shared" si="636"/>
        <v>0</v>
      </c>
      <c r="AZ1925" s="156">
        <f t="shared" si="636"/>
        <v>0</v>
      </c>
      <c r="BA1925" s="156">
        <f t="shared" si="636"/>
        <v>0</v>
      </c>
      <c r="BB1925" s="156">
        <f t="shared" si="655"/>
        <v>0</v>
      </c>
      <c r="BC1925" s="156">
        <f t="shared" si="655"/>
        <v>0</v>
      </c>
      <c r="BD1925" s="156">
        <f t="shared" si="655"/>
        <v>0</v>
      </c>
      <c r="BE1925" s="156">
        <f t="shared" si="655"/>
        <v>0</v>
      </c>
      <c r="BF1925" s="156">
        <f t="shared" si="655"/>
        <v>0</v>
      </c>
      <c r="BG1925" s="158">
        <f t="shared" si="637"/>
        <v>0</v>
      </c>
    </row>
    <row r="1926" spans="1:59" x14ac:dyDescent="0.25">
      <c r="A1926" s="14"/>
      <c r="B1926" s="15" t="str">
        <f t="shared" si="628"/>
        <v>IND_OPER__</v>
      </c>
      <c r="C1926" s="83">
        <f t="shared" si="651"/>
        <v>0</v>
      </c>
      <c r="D1926" s="15" t="str">
        <f>IFERROR("QTD_REC_"&amp;VLOOKUP($J1926,#REF!,7,0),"")</f>
        <v/>
      </c>
      <c r="E1926" s="14"/>
      <c r="F1926" s="148"/>
      <c r="G1926" s="149" t="str">
        <f>IFERROR(VLOOKUP(F1926,#REF!,2,0),"")</f>
        <v/>
      </c>
      <c r="H1926" s="150" t="str">
        <f>IFERROR(VLOOKUP(F1926,#REF!,3,0),"")</f>
        <v/>
      </c>
      <c r="I1926" s="151"/>
      <c r="J1926" s="151"/>
      <c r="K1926" s="150" t="str">
        <f>IFERROR(VLOOKUP($J1926,#REF!,2,0),"")</f>
        <v/>
      </c>
      <c r="L1926" s="150" t="str">
        <f t="shared" si="629"/>
        <v/>
      </c>
      <c r="M1926" s="154"/>
      <c r="N1926" s="180"/>
      <c r="O1926" s="155"/>
      <c r="P1926" s="156"/>
      <c r="Q1926" s="156"/>
      <c r="R1926" s="156"/>
      <c r="S1926" s="156"/>
      <c r="T1926" s="156"/>
      <c r="U1926" s="156"/>
      <c r="V1926" s="156"/>
      <c r="W1926" s="156"/>
      <c r="X1926" s="156"/>
      <c r="Y1926" s="156"/>
      <c r="Z1926" s="156"/>
      <c r="AA1926" s="156"/>
      <c r="AB1926" s="158">
        <f t="shared" si="630"/>
        <v>0</v>
      </c>
      <c r="AC1926" s="159"/>
      <c r="AE1926" s="160" t="str">
        <f t="shared" si="633"/>
        <v/>
      </c>
      <c r="AF1926" s="161">
        <f t="shared" si="654"/>
        <v>0</v>
      </c>
      <c r="AG1926" s="162">
        <f t="shared" si="654"/>
        <v>0</v>
      </c>
      <c r="AH1926" s="162">
        <f t="shared" si="654"/>
        <v>0</v>
      </c>
      <c r="AI1926" s="162">
        <f t="shared" si="653"/>
        <v>0</v>
      </c>
      <c r="AJ1926" s="162">
        <f t="shared" si="653"/>
        <v>0</v>
      </c>
      <c r="AK1926" s="162">
        <f t="shared" si="653"/>
        <v>0</v>
      </c>
      <c r="AL1926" s="162">
        <f t="shared" si="653"/>
        <v>0</v>
      </c>
      <c r="AM1926" s="162">
        <f t="shared" si="653"/>
        <v>0</v>
      </c>
      <c r="AN1926" s="162">
        <f t="shared" si="653"/>
        <v>0</v>
      </c>
      <c r="AO1926" s="162">
        <f t="shared" si="653"/>
        <v>0</v>
      </c>
      <c r="AP1926" s="162">
        <f t="shared" si="653"/>
        <v>0</v>
      </c>
      <c r="AQ1926" s="162">
        <f t="shared" si="653"/>
        <v>0</v>
      </c>
      <c r="AR1926" s="163">
        <f t="shared" si="634"/>
        <v>0</v>
      </c>
      <c r="AT1926" s="181" t="str">
        <f t="shared" si="635"/>
        <v/>
      </c>
      <c r="AU1926" s="156">
        <f t="shared" si="635"/>
        <v>0</v>
      </c>
      <c r="AV1926" s="156">
        <f t="shared" si="636"/>
        <v>0</v>
      </c>
      <c r="AW1926" s="156">
        <f t="shared" si="636"/>
        <v>0</v>
      </c>
      <c r="AX1926" s="156">
        <f t="shared" si="636"/>
        <v>0</v>
      </c>
      <c r="AY1926" s="156">
        <f t="shared" si="636"/>
        <v>0</v>
      </c>
      <c r="AZ1926" s="156">
        <f t="shared" si="636"/>
        <v>0</v>
      </c>
      <c r="BA1926" s="156">
        <f t="shared" si="636"/>
        <v>0</v>
      </c>
      <c r="BB1926" s="156">
        <f t="shared" si="655"/>
        <v>0</v>
      </c>
      <c r="BC1926" s="156">
        <f t="shared" si="655"/>
        <v>0</v>
      </c>
      <c r="BD1926" s="156">
        <f t="shared" si="655"/>
        <v>0</v>
      </c>
      <c r="BE1926" s="156">
        <f t="shared" si="655"/>
        <v>0</v>
      </c>
      <c r="BF1926" s="156">
        <f t="shared" si="655"/>
        <v>0</v>
      </c>
      <c r="BG1926" s="158">
        <f t="shared" si="637"/>
        <v>0</v>
      </c>
    </row>
    <row r="1927" spans="1:59" x14ac:dyDescent="0.25">
      <c r="A1927" s="14"/>
      <c r="B1927" s="15" t="str">
        <f t="shared" si="628"/>
        <v>IND_OPER__</v>
      </c>
      <c r="C1927" s="83">
        <f t="shared" si="651"/>
        <v>0</v>
      </c>
      <c r="D1927" s="15" t="str">
        <f>IFERROR("QTD_REC_"&amp;VLOOKUP($J1927,#REF!,7,0),"")</f>
        <v/>
      </c>
      <c r="E1927" s="14"/>
      <c r="F1927" s="148"/>
      <c r="G1927" s="149" t="str">
        <f>IFERROR(VLOOKUP(F1927,#REF!,2,0),"")</f>
        <v/>
      </c>
      <c r="H1927" s="150" t="str">
        <f>IFERROR(VLOOKUP(F1927,#REF!,3,0),"")</f>
        <v/>
      </c>
      <c r="I1927" s="151"/>
      <c r="J1927" s="151"/>
      <c r="K1927" s="150" t="str">
        <f>IFERROR(VLOOKUP($J1927,#REF!,2,0),"")</f>
        <v/>
      </c>
      <c r="L1927" s="150" t="str">
        <f t="shared" si="629"/>
        <v/>
      </c>
      <c r="M1927" s="154"/>
      <c r="N1927" s="180"/>
      <c r="O1927" s="155"/>
      <c r="P1927" s="156"/>
      <c r="Q1927" s="156"/>
      <c r="R1927" s="156"/>
      <c r="S1927" s="156"/>
      <c r="T1927" s="156"/>
      <c r="U1927" s="156"/>
      <c r="V1927" s="156"/>
      <c r="W1927" s="156"/>
      <c r="X1927" s="156"/>
      <c r="Y1927" s="156"/>
      <c r="Z1927" s="156"/>
      <c r="AA1927" s="156"/>
      <c r="AB1927" s="158">
        <f t="shared" si="630"/>
        <v>0</v>
      </c>
      <c r="AC1927" s="159"/>
      <c r="AE1927" s="160" t="str">
        <f t="shared" si="633"/>
        <v/>
      </c>
      <c r="AF1927" s="161">
        <f t="shared" si="654"/>
        <v>0</v>
      </c>
      <c r="AG1927" s="162">
        <f t="shared" si="654"/>
        <v>0</v>
      </c>
      <c r="AH1927" s="162">
        <f t="shared" si="654"/>
        <v>0</v>
      </c>
      <c r="AI1927" s="162">
        <f t="shared" si="653"/>
        <v>0</v>
      </c>
      <c r="AJ1927" s="162">
        <f t="shared" si="653"/>
        <v>0</v>
      </c>
      <c r="AK1927" s="162">
        <f t="shared" si="653"/>
        <v>0</v>
      </c>
      <c r="AL1927" s="162">
        <f t="shared" si="653"/>
        <v>0</v>
      </c>
      <c r="AM1927" s="162">
        <f t="shared" si="653"/>
        <v>0</v>
      </c>
      <c r="AN1927" s="162">
        <f t="shared" si="653"/>
        <v>0</v>
      </c>
      <c r="AO1927" s="162">
        <f t="shared" si="653"/>
        <v>0</v>
      </c>
      <c r="AP1927" s="162">
        <f t="shared" si="653"/>
        <v>0</v>
      </c>
      <c r="AQ1927" s="162">
        <f t="shared" si="653"/>
        <v>0</v>
      </c>
      <c r="AR1927" s="163">
        <f t="shared" si="634"/>
        <v>0</v>
      </c>
      <c r="AT1927" s="181" t="str">
        <f t="shared" si="635"/>
        <v/>
      </c>
      <c r="AU1927" s="156">
        <f t="shared" si="635"/>
        <v>0</v>
      </c>
      <c r="AV1927" s="156">
        <f t="shared" si="636"/>
        <v>0</v>
      </c>
      <c r="AW1927" s="156">
        <f t="shared" si="636"/>
        <v>0</v>
      </c>
      <c r="AX1927" s="156">
        <f t="shared" si="636"/>
        <v>0</v>
      </c>
      <c r="AY1927" s="156">
        <f t="shared" si="636"/>
        <v>0</v>
      </c>
      <c r="AZ1927" s="156">
        <f t="shared" si="636"/>
        <v>0</v>
      </c>
      <c r="BA1927" s="156">
        <f t="shared" si="636"/>
        <v>0</v>
      </c>
      <c r="BB1927" s="156">
        <f t="shared" si="655"/>
        <v>0</v>
      </c>
      <c r="BC1927" s="156">
        <f t="shared" si="655"/>
        <v>0</v>
      </c>
      <c r="BD1927" s="156">
        <f t="shared" si="655"/>
        <v>0</v>
      </c>
      <c r="BE1927" s="156">
        <f t="shared" si="655"/>
        <v>0</v>
      </c>
      <c r="BF1927" s="156">
        <f t="shared" si="655"/>
        <v>0</v>
      </c>
      <c r="BG1927" s="158">
        <f t="shared" si="637"/>
        <v>0</v>
      </c>
    </row>
    <row r="1928" spans="1:59" x14ac:dyDescent="0.25">
      <c r="A1928" s="14"/>
      <c r="B1928" s="15" t="str">
        <f t="shared" si="628"/>
        <v>IND_OPER__</v>
      </c>
      <c r="C1928" s="83">
        <f t="shared" si="651"/>
        <v>0</v>
      </c>
      <c r="D1928" s="15" t="str">
        <f>IFERROR("QTD_REC_"&amp;VLOOKUP($J1928,#REF!,7,0),"")</f>
        <v/>
      </c>
      <c r="E1928" s="14"/>
      <c r="F1928" s="148"/>
      <c r="G1928" s="149" t="str">
        <f>IFERROR(VLOOKUP(F1928,#REF!,2,0),"")</f>
        <v/>
      </c>
      <c r="H1928" s="150" t="str">
        <f>IFERROR(VLOOKUP(F1928,#REF!,3,0),"")</f>
        <v/>
      </c>
      <c r="I1928" s="151"/>
      <c r="J1928" s="151"/>
      <c r="K1928" s="150" t="str">
        <f>IFERROR(VLOOKUP($J1928,#REF!,2,0),"")</f>
        <v/>
      </c>
      <c r="L1928" s="150" t="str">
        <f t="shared" si="629"/>
        <v/>
      </c>
      <c r="M1928" s="154"/>
      <c r="N1928" s="180"/>
      <c r="O1928" s="155"/>
      <c r="P1928" s="156"/>
      <c r="Q1928" s="156"/>
      <c r="R1928" s="156"/>
      <c r="S1928" s="156"/>
      <c r="T1928" s="156"/>
      <c r="U1928" s="156"/>
      <c r="V1928" s="156"/>
      <c r="W1928" s="156"/>
      <c r="X1928" s="156"/>
      <c r="Y1928" s="156"/>
      <c r="Z1928" s="156"/>
      <c r="AA1928" s="156"/>
      <c r="AB1928" s="158">
        <f t="shared" si="630"/>
        <v>0</v>
      </c>
      <c r="AC1928" s="159"/>
      <c r="AE1928" s="160" t="str">
        <f t="shared" si="633"/>
        <v/>
      </c>
      <c r="AF1928" s="161">
        <f t="shared" si="654"/>
        <v>0</v>
      </c>
      <c r="AG1928" s="162">
        <f t="shared" si="654"/>
        <v>0</v>
      </c>
      <c r="AH1928" s="162">
        <f t="shared" si="654"/>
        <v>0</v>
      </c>
      <c r="AI1928" s="162">
        <f t="shared" si="653"/>
        <v>0</v>
      </c>
      <c r="AJ1928" s="162">
        <f t="shared" si="653"/>
        <v>0</v>
      </c>
      <c r="AK1928" s="162">
        <f t="shared" si="653"/>
        <v>0</v>
      </c>
      <c r="AL1928" s="162">
        <f t="shared" si="653"/>
        <v>0</v>
      </c>
      <c r="AM1928" s="162">
        <f t="shared" si="653"/>
        <v>0</v>
      </c>
      <c r="AN1928" s="162">
        <f t="shared" si="653"/>
        <v>0</v>
      </c>
      <c r="AO1928" s="162">
        <f t="shared" si="653"/>
        <v>0</v>
      </c>
      <c r="AP1928" s="162">
        <f t="shared" si="653"/>
        <v>0</v>
      </c>
      <c r="AQ1928" s="162">
        <f t="shared" si="653"/>
        <v>0</v>
      </c>
      <c r="AR1928" s="163">
        <f t="shared" si="634"/>
        <v>0</v>
      </c>
      <c r="AT1928" s="181" t="str">
        <f t="shared" si="635"/>
        <v/>
      </c>
      <c r="AU1928" s="156">
        <f t="shared" si="635"/>
        <v>0</v>
      </c>
      <c r="AV1928" s="156">
        <f t="shared" si="636"/>
        <v>0</v>
      </c>
      <c r="AW1928" s="156">
        <f t="shared" si="636"/>
        <v>0</v>
      </c>
      <c r="AX1928" s="156">
        <f t="shared" si="636"/>
        <v>0</v>
      </c>
      <c r="AY1928" s="156">
        <f t="shared" si="636"/>
        <v>0</v>
      </c>
      <c r="AZ1928" s="156">
        <f t="shared" si="636"/>
        <v>0</v>
      </c>
      <c r="BA1928" s="156">
        <f t="shared" si="636"/>
        <v>0</v>
      </c>
      <c r="BB1928" s="156">
        <f t="shared" si="655"/>
        <v>0</v>
      </c>
      <c r="BC1928" s="156">
        <f t="shared" si="655"/>
        <v>0</v>
      </c>
      <c r="BD1928" s="156">
        <f t="shared" si="655"/>
        <v>0</v>
      </c>
      <c r="BE1928" s="156">
        <f t="shared" si="655"/>
        <v>0</v>
      </c>
      <c r="BF1928" s="156">
        <f t="shared" si="655"/>
        <v>0</v>
      </c>
      <c r="BG1928" s="158">
        <f t="shared" si="637"/>
        <v>0</v>
      </c>
    </row>
    <row r="1929" spans="1:59" x14ac:dyDescent="0.25">
      <c r="A1929" s="14"/>
      <c r="B1929" s="15" t="str">
        <f t="shared" si="628"/>
        <v>IND_OPER__</v>
      </c>
      <c r="C1929" s="83">
        <f t="shared" si="651"/>
        <v>0</v>
      </c>
      <c r="D1929" s="15" t="str">
        <f>IFERROR("QTD_REC_"&amp;VLOOKUP($J1929,#REF!,7,0),"")</f>
        <v/>
      </c>
      <c r="E1929" s="14"/>
      <c r="F1929" s="148"/>
      <c r="G1929" s="149" t="str">
        <f>IFERROR(VLOOKUP(F1929,#REF!,2,0),"")</f>
        <v/>
      </c>
      <c r="H1929" s="150" t="str">
        <f>IFERROR(VLOOKUP(F1929,#REF!,3,0),"")</f>
        <v/>
      </c>
      <c r="I1929" s="151"/>
      <c r="J1929" s="151"/>
      <c r="K1929" s="150" t="str">
        <f>IFERROR(VLOOKUP($J1929,#REF!,2,0),"")</f>
        <v/>
      </c>
      <c r="L1929" s="150" t="str">
        <f t="shared" si="629"/>
        <v/>
      </c>
      <c r="M1929" s="154"/>
      <c r="N1929" s="180"/>
      <c r="O1929" s="155"/>
      <c r="P1929" s="156"/>
      <c r="Q1929" s="156"/>
      <c r="R1929" s="156"/>
      <c r="S1929" s="156"/>
      <c r="T1929" s="156"/>
      <c r="U1929" s="156"/>
      <c r="V1929" s="156"/>
      <c r="W1929" s="156"/>
      <c r="X1929" s="156"/>
      <c r="Y1929" s="156"/>
      <c r="Z1929" s="156"/>
      <c r="AA1929" s="156"/>
      <c r="AB1929" s="158">
        <f t="shared" si="630"/>
        <v>0</v>
      </c>
      <c r="AC1929" s="159"/>
      <c r="AE1929" s="160" t="str">
        <f t="shared" si="633"/>
        <v/>
      </c>
      <c r="AF1929" s="161">
        <f t="shared" si="654"/>
        <v>0</v>
      </c>
      <c r="AG1929" s="162">
        <f t="shared" si="654"/>
        <v>0</v>
      </c>
      <c r="AH1929" s="162">
        <f t="shared" si="654"/>
        <v>0</v>
      </c>
      <c r="AI1929" s="162">
        <f t="shared" si="653"/>
        <v>0</v>
      </c>
      <c r="AJ1929" s="162">
        <f t="shared" si="653"/>
        <v>0</v>
      </c>
      <c r="AK1929" s="162">
        <f t="shared" si="653"/>
        <v>0</v>
      </c>
      <c r="AL1929" s="162">
        <f t="shared" si="653"/>
        <v>0</v>
      </c>
      <c r="AM1929" s="162">
        <f t="shared" si="653"/>
        <v>0</v>
      </c>
      <c r="AN1929" s="162">
        <f t="shared" si="653"/>
        <v>0</v>
      </c>
      <c r="AO1929" s="162">
        <f t="shared" si="653"/>
        <v>0</v>
      </c>
      <c r="AP1929" s="162">
        <f t="shared" si="653"/>
        <v>0</v>
      </c>
      <c r="AQ1929" s="162">
        <f t="shared" si="653"/>
        <v>0</v>
      </c>
      <c r="AR1929" s="163">
        <f t="shared" si="634"/>
        <v>0</v>
      </c>
      <c r="AT1929" s="181" t="str">
        <f t="shared" si="635"/>
        <v/>
      </c>
      <c r="AU1929" s="156">
        <f t="shared" si="635"/>
        <v>0</v>
      </c>
      <c r="AV1929" s="156">
        <f t="shared" si="636"/>
        <v>0</v>
      </c>
      <c r="AW1929" s="156">
        <f t="shared" si="636"/>
        <v>0</v>
      </c>
      <c r="AX1929" s="156">
        <f t="shared" si="636"/>
        <v>0</v>
      </c>
      <c r="AY1929" s="156">
        <f t="shared" si="636"/>
        <v>0</v>
      </c>
      <c r="AZ1929" s="156">
        <f t="shared" si="636"/>
        <v>0</v>
      </c>
      <c r="BA1929" s="156">
        <f t="shared" si="636"/>
        <v>0</v>
      </c>
      <c r="BB1929" s="156">
        <f t="shared" si="655"/>
        <v>0</v>
      </c>
      <c r="BC1929" s="156">
        <f t="shared" si="655"/>
        <v>0</v>
      </c>
      <c r="BD1929" s="156">
        <f t="shared" si="655"/>
        <v>0</v>
      </c>
      <c r="BE1929" s="156">
        <f t="shared" si="655"/>
        <v>0</v>
      </c>
      <c r="BF1929" s="156">
        <f t="shared" si="655"/>
        <v>0</v>
      </c>
      <c r="BG1929" s="158">
        <f t="shared" si="637"/>
        <v>0</v>
      </c>
    </row>
    <row r="1930" spans="1:59" x14ac:dyDescent="0.25">
      <c r="A1930" s="14"/>
      <c r="B1930" s="15" t="str">
        <f t="shared" si="628"/>
        <v>IND_OPER__</v>
      </c>
      <c r="C1930" s="83">
        <f t="shared" si="651"/>
        <v>0</v>
      </c>
      <c r="D1930" s="15" t="str">
        <f>IFERROR("QTD_REC_"&amp;VLOOKUP($J1930,#REF!,7,0),"")</f>
        <v/>
      </c>
      <c r="E1930" s="14"/>
      <c r="F1930" s="148"/>
      <c r="G1930" s="149" t="str">
        <f>IFERROR(VLOOKUP(F1930,#REF!,2,0),"")</f>
        <v/>
      </c>
      <c r="H1930" s="150" t="str">
        <f>IFERROR(VLOOKUP(F1930,#REF!,3,0),"")</f>
        <v/>
      </c>
      <c r="I1930" s="151"/>
      <c r="J1930" s="151"/>
      <c r="K1930" s="150" t="str">
        <f>IFERROR(VLOOKUP($J1930,#REF!,2,0),"")</f>
        <v/>
      </c>
      <c r="L1930" s="150" t="str">
        <f t="shared" si="629"/>
        <v/>
      </c>
      <c r="M1930" s="154"/>
      <c r="N1930" s="180"/>
      <c r="O1930" s="155"/>
      <c r="P1930" s="156"/>
      <c r="Q1930" s="156"/>
      <c r="R1930" s="156"/>
      <c r="S1930" s="156"/>
      <c r="T1930" s="156"/>
      <c r="U1930" s="156"/>
      <c r="V1930" s="156"/>
      <c r="W1930" s="156"/>
      <c r="X1930" s="156"/>
      <c r="Y1930" s="156"/>
      <c r="Z1930" s="156"/>
      <c r="AA1930" s="156"/>
      <c r="AB1930" s="158">
        <f t="shared" si="630"/>
        <v>0</v>
      </c>
      <c r="AC1930" s="159"/>
      <c r="AE1930" s="160" t="str">
        <f t="shared" si="633"/>
        <v/>
      </c>
      <c r="AF1930" s="161">
        <f t="shared" si="654"/>
        <v>0</v>
      </c>
      <c r="AG1930" s="162">
        <f t="shared" si="654"/>
        <v>0</v>
      </c>
      <c r="AH1930" s="162">
        <f t="shared" si="654"/>
        <v>0</v>
      </c>
      <c r="AI1930" s="162">
        <f t="shared" si="653"/>
        <v>0</v>
      </c>
      <c r="AJ1930" s="162">
        <f t="shared" si="653"/>
        <v>0</v>
      </c>
      <c r="AK1930" s="162">
        <f t="shared" si="653"/>
        <v>0</v>
      </c>
      <c r="AL1930" s="162">
        <f t="shared" si="653"/>
        <v>0</v>
      </c>
      <c r="AM1930" s="162">
        <f t="shared" si="653"/>
        <v>0</v>
      </c>
      <c r="AN1930" s="162">
        <f t="shared" si="653"/>
        <v>0</v>
      </c>
      <c r="AO1930" s="162">
        <f t="shared" si="653"/>
        <v>0</v>
      </c>
      <c r="AP1930" s="162">
        <f t="shared" si="653"/>
        <v>0</v>
      </c>
      <c r="AQ1930" s="162">
        <f t="shared" si="653"/>
        <v>0</v>
      </c>
      <c r="AR1930" s="163">
        <f t="shared" si="634"/>
        <v>0</v>
      </c>
      <c r="AT1930" s="181" t="str">
        <f t="shared" si="635"/>
        <v/>
      </c>
      <c r="AU1930" s="156">
        <f t="shared" si="635"/>
        <v>0</v>
      </c>
      <c r="AV1930" s="156">
        <f t="shared" si="636"/>
        <v>0</v>
      </c>
      <c r="AW1930" s="156">
        <f t="shared" si="636"/>
        <v>0</v>
      </c>
      <c r="AX1930" s="156">
        <f t="shared" si="636"/>
        <v>0</v>
      </c>
      <c r="AY1930" s="156">
        <f t="shared" si="636"/>
        <v>0</v>
      </c>
      <c r="AZ1930" s="156">
        <f t="shared" si="636"/>
        <v>0</v>
      </c>
      <c r="BA1930" s="156">
        <f t="shared" si="636"/>
        <v>0</v>
      </c>
      <c r="BB1930" s="156">
        <f t="shared" si="655"/>
        <v>0</v>
      </c>
      <c r="BC1930" s="156">
        <f t="shared" si="655"/>
        <v>0</v>
      </c>
      <c r="BD1930" s="156">
        <f t="shared" si="655"/>
        <v>0</v>
      </c>
      <c r="BE1930" s="156">
        <f t="shared" si="655"/>
        <v>0</v>
      </c>
      <c r="BF1930" s="156">
        <f t="shared" si="655"/>
        <v>0</v>
      </c>
      <c r="BG1930" s="158">
        <f t="shared" si="637"/>
        <v>0</v>
      </c>
    </row>
    <row r="1931" spans="1:59" x14ac:dyDescent="0.25">
      <c r="A1931" s="14"/>
      <c r="B1931" s="15" t="str">
        <f t="shared" si="628"/>
        <v>IND_OPER__</v>
      </c>
      <c r="C1931" s="83">
        <f t="shared" si="651"/>
        <v>0</v>
      </c>
      <c r="D1931" s="15" t="str">
        <f>IFERROR("QTD_REC_"&amp;VLOOKUP($J1931,#REF!,7,0),"")</f>
        <v/>
      </c>
      <c r="F1931" s="164"/>
      <c r="G1931" s="183" t="str">
        <f>IFERROR(VLOOKUP(F1931,#REF!,2,0),"")</f>
        <v/>
      </c>
      <c r="H1931" s="184" t="str">
        <f>IFERROR(VLOOKUP(F1931,#REF!,3,0),"")</f>
        <v/>
      </c>
      <c r="I1931" s="165"/>
      <c r="J1931" s="165"/>
      <c r="K1931" s="184" t="str">
        <f>IFERROR(VLOOKUP($J1931,#REF!,2,0),"")</f>
        <v/>
      </c>
      <c r="L1931" s="184" t="str">
        <f t="shared" si="629"/>
        <v/>
      </c>
      <c r="M1931" s="168"/>
      <c r="N1931" s="185"/>
      <c r="O1931" s="169"/>
      <c r="P1931" s="170"/>
      <c r="Q1931" s="170"/>
      <c r="R1931" s="170"/>
      <c r="S1931" s="170"/>
      <c r="T1931" s="170"/>
      <c r="U1931" s="170"/>
      <c r="V1931" s="170"/>
      <c r="W1931" s="170"/>
      <c r="X1931" s="170"/>
      <c r="Y1931" s="170"/>
      <c r="Z1931" s="170"/>
      <c r="AA1931" s="170"/>
      <c r="AB1931" s="171">
        <f t="shared" si="630"/>
        <v>0</v>
      </c>
      <c r="AC1931" s="186"/>
      <c r="AE1931" s="173" t="str">
        <f t="shared" si="633"/>
        <v/>
      </c>
      <c r="AF1931" s="174">
        <f t="shared" si="654"/>
        <v>0</v>
      </c>
      <c r="AG1931" s="175">
        <f t="shared" si="654"/>
        <v>0</v>
      </c>
      <c r="AH1931" s="175">
        <f t="shared" si="654"/>
        <v>0</v>
      </c>
      <c r="AI1931" s="175">
        <f t="shared" si="653"/>
        <v>0</v>
      </c>
      <c r="AJ1931" s="175">
        <f t="shared" si="653"/>
        <v>0</v>
      </c>
      <c r="AK1931" s="175">
        <f t="shared" si="653"/>
        <v>0</v>
      </c>
      <c r="AL1931" s="175">
        <f t="shared" si="653"/>
        <v>0</v>
      </c>
      <c r="AM1931" s="175">
        <f t="shared" si="653"/>
        <v>0</v>
      </c>
      <c r="AN1931" s="175">
        <f t="shared" si="653"/>
        <v>0</v>
      </c>
      <c r="AO1931" s="175">
        <f t="shared" si="653"/>
        <v>0</v>
      </c>
      <c r="AP1931" s="175">
        <f t="shared" si="653"/>
        <v>0</v>
      </c>
      <c r="AQ1931" s="175">
        <f t="shared" si="653"/>
        <v>0</v>
      </c>
      <c r="AR1931" s="176">
        <f t="shared" si="634"/>
        <v>0</v>
      </c>
      <c r="AT1931" s="187" t="str">
        <f t="shared" si="635"/>
        <v/>
      </c>
      <c r="AU1931" s="170">
        <f t="shared" si="635"/>
        <v>0</v>
      </c>
      <c r="AV1931" s="170">
        <f t="shared" si="636"/>
        <v>0</v>
      </c>
      <c r="AW1931" s="170">
        <f t="shared" si="636"/>
        <v>0</v>
      </c>
      <c r="AX1931" s="170">
        <f t="shared" si="636"/>
        <v>0</v>
      </c>
      <c r="AY1931" s="170">
        <f t="shared" si="636"/>
        <v>0</v>
      </c>
      <c r="AZ1931" s="170">
        <f t="shared" si="636"/>
        <v>0</v>
      </c>
      <c r="BA1931" s="170">
        <f t="shared" si="636"/>
        <v>0</v>
      </c>
      <c r="BB1931" s="170">
        <f t="shared" si="655"/>
        <v>0</v>
      </c>
      <c r="BC1931" s="170">
        <f t="shared" si="655"/>
        <v>0</v>
      </c>
      <c r="BD1931" s="170">
        <f t="shared" si="655"/>
        <v>0</v>
      </c>
      <c r="BE1931" s="170">
        <f t="shared" si="655"/>
        <v>0</v>
      </c>
      <c r="BF1931" s="170">
        <f t="shared" si="655"/>
        <v>0</v>
      </c>
      <c r="BG1931" s="171">
        <f t="shared" si="637"/>
        <v>0</v>
      </c>
    </row>
    <row r="1932" spans="1:59" x14ac:dyDescent="0.25">
      <c r="A1932" s="14"/>
      <c r="F1932" s="105"/>
      <c r="G1932" s="188"/>
      <c r="AE1932" s="15"/>
      <c r="AF1932" s="18"/>
      <c r="AG1932" s="18"/>
      <c r="AH1932" s="18"/>
      <c r="AI1932" s="18"/>
      <c r="AJ1932" s="18"/>
      <c r="AK1932" s="18"/>
      <c r="AL1932" s="19"/>
      <c r="AM1932" s="18"/>
      <c r="AN1932" s="18"/>
      <c r="AO1932" s="18"/>
      <c r="AP1932" s="18"/>
      <c r="AQ1932" s="18"/>
      <c r="AR1932" s="18"/>
    </row>
    <row r="1933" spans="1:59" ht="38.25" x14ac:dyDescent="0.25">
      <c r="A1933" s="14"/>
      <c r="F1933" s="137" t="s">
        <v>244</v>
      </c>
      <c r="G1933" s="138"/>
      <c r="H1933" s="139" t="s">
        <v>217</v>
      </c>
      <c r="I1933" s="139" t="s">
        <v>218</v>
      </c>
      <c r="J1933" s="139" t="s">
        <v>229</v>
      </c>
      <c r="K1933" s="139" t="s">
        <v>245</v>
      </c>
      <c r="L1933" s="143" t="s">
        <v>246</v>
      </c>
      <c r="M1933" s="142" t="s">
        <v>233</v>
      </c>
      <c r="N1933" s="142" t="s">
        <v>233</v>
      </c>
      <c r="O1933" s="143" t="s">
        <v>222</v>
      </c>
      <c r="P1933" s="35">
        <f t="shared" ref="P1933:AA1933" si="656">P$9</f>
        <v>46113</v>
      </c>
      <c r="Q1933" s="35">
        <f t="shared" si="656"/>
        <v>46143</v>
      </c>
      <c r="R1933" s="35">
        <f t="shared" si="656"/>
        <v>46174</v>
      </c>
      <c r="S1933" s="35">
        <f t="shared" si="656"/>
        <v>46204</v>
      </c>
      <c r="T1933" s="35">
        <f t="shared" si="656"/>
        <v>46235</v>
      </c>
      <c r="U1933" s="35">
        <f t="shared" si="656"/>
        <v>46266</v>
      </c>
      <c r="V1933" s="35">
        <f t="shared" si="656"/>
        <v>46296</v>
      </c>
      <c r="W1933" s="35">
        <f t="shared" si="656"/>
        <v>46327</v>
      </c>
      <c r="X1933" s="35">
        <f t="shared" si="656"/>
        <v>46357</v>
      </c>
      <c r="Y1933" s="35">
        <f t="shared" si="656"/>
        <v>46388</v>
      </c>
      <c r="Z1933" s="35">
        <f t="shared" si="656"/>
        <v>46419</v>
      </c>
      <c r="AA1933" s="35">
        <f t="shared" si="656"/>
        <v>46447</v>
      </c>
      <c r="AB1933" s="81" t="s">
        <v>225</v>
      </c>
      <c r="AC1933" s="82" t="s">
        <v>192</v>
      </c>
      <c r="AE1933" s="189" t="s">
        <v>247</v>
      </c>
      <c r="AF1933" s="35">
        <f t="shared" ref="AF1933:AQ1933" si="657">P1933</f>
        <v>46113</v>
      </c>
      <c r="AG1933" s="35">
        <f t="shared" si="657"/>
        <v>46143</v>
      </c>
      <c r="AH1933" s="35">
        <f t="shared" si="657"/>
        <v>46174</v>
      </c>
      <c r="AI1933" s="35">
        <f t="shared" si="657"/>
        <v>46204</v>
      </c>
      <c r="AJ1933" s="35">
        <f t="shared" si="657"/>
        <v>46235</v>
      </c>
      <c r="AK1933" s="35">
        <f t="shared" si="657"/>
        <v>46266</v>
      </c>
      <c r="AL1933" s="35">
        <f t="shared" si="657"/>
        <v>46296</v>
      </c>
      <c r="AM1933" s="35">
        <f t="shared" si="657"/>
        <v>46327</v>
      </c>
      <c r="AN1933" s="35">
        <f t="shared" si="657"/>
        <v>46357</v>
      </c>
      <c r="AO1933" s="35">
        <f t="shared" si="657"/>
        <v>46388</v>
      </c>
      <c r="AP1933" s="35">
        <f t="shared" si="657"/>
        <v>46419</v>
      </c>
      <c r="AQ1933" s="35">
        <f t="shared" si="657"/>
        <v>46447</v>
      </c>
      <c r="AR1933" s="81" t="s">
        <v>85</v>
      </c>
    </row>
    <row r="1934" spans="1:59" x14ac:dyDescent="0.25">
      <c r="A1934" s="14"/>
      <c r="B1934" s="15" t="str">
        <f t="shared" ref="B1934:B1978" si="658">"IND_COMB_"&amp;F1934&amp;"_"&amp;J1934</f>
        <v>IND_COMB_1071_0</v>
      </c>
      <c r="F1934" s="190">
        <f t="shared" ref="F1934:J1949" si="659">F1887</f>
        <v>1071</v>
      </c>
      <c r="G1934" s="149" t="str">
        <f t="shared" si="659"/>
        <v/>
      </c>
      <c r="H1934" s="150" t="str">
        <f t="shared" si="659"/>
        <v/>
      </c>
      <c r="I1934" s="150" t="str">
        <f t="shared" si="659"/>
        <v>TRATCSP</v>
      </c>
      <c r="J1934" s="150">
        <f t="shared" si="659"/>
        <v>0</v>
      </c>
      <c r="K1934" s="150" t="str">
        <f>IFERROR(VLOOKUP($J1934,#REF!,3,0),"")</f>
        <v/>
      </c>
      <c r="L1934" s="150" t="str">
        <f>IFERROR(VLOOKUP($J1934,#REF!,5,0),"")</f>
        <v/>
      </c>
      <c r="M1934" s="191">
        <f t="shared" ref="M1934:M1949" si="660">N1887</f>
        <v>0</v>
      </c>
      <c r="N1934" s="192">
        <f t="shared" ref="N1934:O1949" si="661">N1887</f>
        <v>0</v>
      </c>
      <c r="O1934" s="193">
        <f t="shared" si="661"/>
        <v>0</v>
      </c>
      <c r="P1934" s="162">
        <f t="shared" ref="P1934:AA1949" si="662">$M1934</f>
        <v>0</v>
      </c>
      <c r="Q1934" s="162">
        <f t="shared" si="662"/>
        <v>0</v>
      </c>
      <c r="R1934" s="162">
        <f t="shared" si="662"/>
        <v>0</v>
      </c>
      <c r="S1934" s="162">
        <f t="shared" si="662"/>
        <v>0</v>
      </c>
      <c r="T1934" s="162">
        <f t="shared" si="662"/>
        <v>0</v>
      </c>
      <c r="U1934" s="162">
        <f t="shared" si="662"/>
        <v>0</v>
      </c>
      <c r="V1934" s="162">
        <f t="shared" si="662"/>
        <v>0</v>
      </c>
      <c r="W1934" s="162">
        <f t="shared" si="662"/>
        <v>0</v>
      </c>
      <c r="X1934" s="162">
        <f t="shared" si="662"/>
        <v>0</v>
      </c>
      <c r="Y1934" s="162">
        <f t="shared" si="662"/>
        <v>0</v>
      </c>
      <c r="Z1934" s="162">
        <f t="shared" si="662"/>
        <v>0</v>
      </c>
      <c r="AA1934" s="162">
        <f t="shared" si="662"/>
        <v>0</v>
      </c>
      <c r="AB1934" s="163">
        <f t="shared" ref="AB1934:AB1949" si="663">AVERAGE(P1934:AA1934)</f>
        <v>0</v>
      </c>
      <c r="AC1934" s="159"/>
      <c r="AE1934" s="194" t="str">
        <f>IF(J1934="","",J1934&amp;" - "&amp;"LTS"&amp;" ("&amp;F1934&amp;" - "&amp;G1934&amp;")")</f>
        <v>0 - LTS (1071 - )</v>
      </c>
      <c r="AF1934" s="161">
        <f t="shared" ref="AF1934:AQ1949" si="664">IFERROR(IF($L1934="LTS/HS",P1934*AF1887,IF($L1934="KM/LTS",AF1887/P1934,0)),0)</f>
        <v>0</v>
      </c>
      <c r="AG1934" s="162">
        <f t="shared" si="664"/>
        <v>0</v>
      </c>
      <c r="AH1934" s="162">
        <f t="shared" si="664"/>
        <v>0</v>
      </c>
      <c r="AI1934" s="162">
        <f t="shared" si="664"/>
        <v>0</v>
      </c>
      <c r="AJ1934" s="162">
        <f t="shared" si="664"/>
        <v>0</v>
      </c>
      <c r="AK1934" s="162">
        <f t="shared" si="664"/>
        <v>0</v>
      </c>
      <c r="AL1934" s="162">
        <f t="shared" si="664"/>
        <v>0</v>
      </c>
      <c r="AM1934" s="162">
        <f t="shared" si="664"/>
        <v>0</v>
      </c>
      <c r="AN1934" s="162">
        <f t="shared" si="664"/>
        <v>0</v>
      </c>
      <c r="AO1934" s="162">
        <f t="shared" si="664"/>
        <v>0</v>
      </c>
      <c r="AP1934" s="162">
        <f t="shared" si="664"/>
        <v>0</v>
      </c>
      <c r="AQ1934" s="162">
        <f t="shared" si="664"/>
        <v>0</v>
      </c>
      <c r="AR1934" s="163">
        <f>SUM(AF1934:AQ1934)</f>
        <v>0</v>
      </c>
    </row>
    <row r="1935" spans="1:59" x14ac:dyDescent="0.25">
      <c r="A1935" s="14"/>
      <c r="B1935" s="15" t="str">
        <f t="shared" si="658"/>
        <v>IND_COMB_1036_0</v>
      </c>
      <c r="F1935" s="190">
        <f t="shared" si="659"/>
        <v>1036</v>
      </c>
      <c r="G1935" s="149" t="str">
        <f t="shared" si="659"/>
        <v/>
      </c>
      <c r="H1935" s="150" t="str">
        <f t="shared" si="659"/>
        <v/>
      </c>
      <c r="I1935" s="150" t="str">
        <f t="shared" si="659"/>
        <v>TRATCSP</v>
      </c>
      <c r="J1935" s="150">
        <f t="shared" si="659"/>
        <v>0</v>
      </c>
      <c r="K1935" s="150" t="str">
        <f>IFERROR(VLOOKUP($J1935,#REF!,3,0),"")</f>
        <v/>
      </c>
      <c r="L1935" s="150" t="str">
        <f>IFERROR(VLOOKUP($J1935,#REF!,5,0),"")</f>
        <v/>
      </c>
      <c r="M1935" s="191">
        <f t="shared" si="660"/>
        <v>0</v>
      </c>
      <c r="N1935" s="192">
        <f t="shared" si="661"/>
        <v>0</v>
      </c>
      <c r="O1935" s="193">
        <f t="shared" si="661"/>
        <v>0</v>
      </c>
      <c r="P1935" s="162">
        <f t="shared" si="662"/>
        <v>0</v>
      </c>
      <c r="Q1935" s="162">
        <f t="shared" si="662"/>
        <v>0</v>
      </c>
      <c r="R1935" s="162">
        <f t="shared" si="662"/>
        <v>0</v>
      </c>
      <c r="S1935" s="162">
        <f t="shared" si="662"/>
        <v>0</v>
      </c>
      <c r="T1935" s="162">
        <f t="shared" si="662"/>
        <v>0</v>
      </c>
      <c r="U1935" s="162">
        <f t="shared" si="662"/>
        <v>0</v>
      </c>
      <c r="V1935" s="162">
        <f t="shared" si="662"/>
        <v>0</v>
      </c>
      <c r="W1935" s="162">
        <f t="shared" si="662"/>
        <v>0</v>
      </c>
      <c r="X1935" s="162">
        <f t="shared" si="662"/>
        <v>0</v>
      </c>
      <c r="Y1935" s="162">
        <f t="shared" si="662"/>
        <v>0</v>
      </c>
      <c r="Z1935" s="162">
        <f t="shared" si="662"/>
        <v>0</v>
      </c>
      <c r="AA1935" s="162">
        <f t="shared" si="662"/>
        <v>0</v>
      </c>
      <c r="AB1935" s="163">
        <f t="shared" si="663"/>
        <v>0</v>
      </c>
      <c r="AC1935" s="159"/>
      <c r="AE1935" s="194" t="str">
        <f t="shared" ref="AE1935:AE1978" si="665">IF(J1935="","",J1935&amp;" - "&amp;"LTS"&amp;" ("&amp;F1935&amp;" - "&amp;G1935&amp;")")</f>
        <v>0 - LTS (1036 - )</v>
      </c>
      <c r="AF1935" s="161">
        <f t="shared" si="664"/>
        <v>0</v>
      </c>
      <c r="AG1935" s="162">
        <f t="shared" si="664"/>
        <v>0</v>
      </c>
      <c r="AH1935" s="162">
        <f t="shared" si="664"/>
        <v>0</v>
      </c>
      <c r="AI1935" s="162">
        <f t="shared" si="664"/>
        <v>0</v>
      </c>
      <c r="AJ1935" s="162">
        <f t="shared" si="664"/>
        <v>0</v>
      </c>
      <c r="AK1935" s="162">
        <f t="shared" si="664"/>
        <v>0</v>
      </c>
      <c r="AL1935" s="162">
        <f t="shared" si="664"/>
        <v>0</v>
      </c>
      <c r="AM1935" s="162">
        <f t="shared" si="664"/>
        <v>0</v>
      </c>
      <c r="AN1935" s="162">
        <f t="shared" si="664"/>
        <v>0</v>
      </c>
      <c r="AO1935" s="162">
        <f t="shared" si="664"/>
        <v>0</v>
      </c>
      <c r="AP1935" s="162">
        <f t="shared" si="664"/>
        <v>0</v>
      </c>
      <c r="AQ1935" s="162">
        <f t="shared" si="664"/>
        <v>0</v>
      </c>
      <c r="AR1935" s="163">
        <f t="shared" ref="AR1935:AR1978" si="666">SUM(AF1935:AQ1935)</f>
        <v>0</v>
      </c>
    </row>
    <row r="1936" spans="1:59" x14ac:dyDescent="0.25">
      <c r="A1936" s="14"/>
      <c r="B1936" s="15" t="str">
        <f t="shared" si="658"/>
        <v>IND_COMB_1068_0</v>
      </c>
      <c r="F1936" s="190">
        <f t="shared" si="659"/>
        <v>1068</v>
      </c>
      <c r="G1936" s="149" t="str">
        <f t="shared" si="659"/>
        <v/>
      </c>
      <c r="H1936" s="150" t="str">
        <f t="shared" si="659"/>
        <v/>
      </c>
      <c r="I1936" s="150" t="str">
        <f t="shared" si="659"/>
        <v>TRATCSP</v>
      </c>
      <c r="J1936" s="150">
        <f t="shared" si="659"/>
        <v>0</v>
      </c>
      <c r="K1936" s="150" t="str">
        <f>IFERROR(VLOOKUP($J1936,#REF!,3,0),"")</f>
        <v/>
      </c>
      <c r="L1936" s="150" t="str">
        <f>IFERROR(VLOOKUP($J1936,#REF!,5,0),"")</f>
        <v/>
      </c>
      <c r="M1936" s="191">
        <f t="shared" si="660"/>
        <v>0</v>
      </c>
      <c r="N1936" s="192">
        <f t="shared" si="661"/>
        <v>0</v>
      </c>
      <c r="O1936" s="193">
        <f t="shared" si="661"/>
        <v>0</v>
      </c>
      <c r="P1936" s="162">
        <f t="shared" si="662"/>
        <v>0</v>
      </c>
      <c r="Q1936" s="162">
        <f t="shared" si="662"/>
        <v>0</v>
      </c>
      <c r="R1936" s="162">
        <f t="shared" si="662"/>
        <v>0</v>
      </c>
      <c r="S1936" s="162">
        <f t="shared" si="662"/>
        <v>0</v>
      </c>
      <c r="T1936" s="162">
        <f t="shared" si="662"/>
        <v>0</v>
      </c>
      <c r="U1936" s="162">
        <f t="shared" si="662"/>
        <v>0</v>
      </c>
      <c r="V1936" s="162">
        <f t="shared" si="662"/>
        <v>0</v>
      </c>
      <c r="W1936" s="162">
        <f t="shared" si="662"/>
        <v>0</v>
      </c>
      <c r="X1936" s="162">
        <f t="shared" si="662"/>
        <v>0</v>
      </c>
      <c r="Y1936" s="162">
        <f t="shared" si="662"/>
        <v>0</v>
      </c>
      <c r="Z1936" s="162">
        <f t="shared" si="662"/>
        <v>0</v>
      </c>
      <c r="AA1936" s="162">
        <f t="shared" si="662"/>
        <v>0</v>
      </c>
      <c r="AB1936" s="163">
        <f t="shared" si="663"/>
        <v>0</v>
      </c>
      <c r="AC1936" s="159"/>
      <c r="AE1936" s="194" t="str">
        <f t="shared" si="665"/>
        <v>0 - LTS (1068 - )</v>
      </c>
      <c r="AF1936" s="161">
        <f t="shared" si="664"/>
        <v>0</v>
      </c>
      <c r="AG1936" s="162">
        <f t="shared" si="664"/>
        <v>0</v>
      </c>
      <c r="AH1936" s="162">
        <f t="shared" si="664"/>
        <v>0</v>
      </c>
      <c r="AI1936" s="162">
        <f t="shared" si="664"/>
        <v>0</v>
      </c>
      <c r="AJ1936" s="162">
        <f t="shared" si="664"/>
        <v>0</v>
      </c>
      <c r="AK1936" s="162">
        <f t="shared" si="664"/>
        <v>0</v>
      </c>
      <c r="AL1936" s="162">
        <f t="shared" si="664"/>
        <v>0</v>
      </c>
      <c r="AM1936" s="162">
        <f t="shared" si="664"/>
        <v>0</v>
      </c>
      <c r="AN1936" s="162">
        <f t="shared" si="664"/>
        <v>0</v>
      </c>
      <c r="AO1936" s="162">
        <f t="shared" si="664"/>
        <v>0</v>
      </c>
      <c r="AP1936" s="162">
        <f t="shared" si="664"/>
        <v>0</v>
      </c>
      <c r="AQ1936" s="162">
        <f t="shared" si="664"/>
        <v>0</v>
      </c>
      <c r="AR1936" s="163">
        <f t="shared" si="666"/>
        <v>0</v>
      </c>
    </row>
    <row r="1937" spans="1:44" x14ac:dyDescent="0.25">
      <c r="A1937" s="14"/>
      <c r="B1937" s="15" t="str">
        <f t="shared" si="658"/>
        <v>IND_COMB_1092_0</v>
      </c>
      <c r="F1937" s="190">
        <f t="shared" si="659"/>
        <v>1092</v>
      </c>
      <c r="G1937" s="149" t="str">
        <f t="shared" si="659"/>
        <v/>
      </c>
      <c r="H1937" s="150" t="str">
        <f t="shared" si="659"/>
        <v/>
      </c>
      <c r="I1937" s="150" t="str">
        <f t="shared" si="659"/>
        <v>TRATCSP</v>
      </c>
      <c r="J1937" s="150">
        <f t="shared" si="659"/>
        <v>0</v>
      </c>
      <c r="K1937" s="150" t="str">
        <f>IFERROR(VLOOKUP($J1937,#REF!,3,0),"")</f>
        <v/>
      </c>
      <c r="L1937" s="150" t="str">
        <f>IFERROR(VLOOKUP($J1937,#REF!,5,0),"")</f>
        <v/>
      </c>
      <c r="M1937" s="191">
        <f t="shared" si="660"/>
        <v>0</v>
      </c>
      <c r="N1937" s="192">
        <f t="shared" si="661"/>
        <v>0</v>
      </c>
      <c r="O1937" s="193">
        <f t="shared" si="661"/>
        <v>0</v>
      </c>
      <c r="P1937" s="162">
        <f t="shared" si="662"/>
        <v>0</v>
      </c>
      <c r="Q1937" s="162">
        <f t="shared" si="662"/>
        <v>0</v>
      </c>
      <c r="R1937" s="162">
        <f t="shared" si="662"/>
        <v>0</v>
      </c>
      <c r="S1937" s="162">
        <f t="shared" si="662"/>
        <v>0</v>
      </c>
      <c r="T1937" s="162">
        <f t="shared" si="662"/>
        <v>0</v>
      </c>
      <c r="U1937" s="162">
        <f t="shared" si="662"/>
        <v>0</v>
      </c>
      <c r="V1937" s="162">
        <f t="shared" si="662"/>
        <v>0</v>
      </c>
      <c r="W1937" s="162">
        <f t="shared" si="662"/>
        <v>0</v>
      </c>
      <c r="X1937" s="162">
        <f t="shared" si="662"/>
        <v>0</v>
      </c>
      <c r="Y1937" s="162">
        <f t="shared" si="662"/>
        <v>0</v>
      </c>
      <c r="Z1937" s="162">
        <f t="shared" si="662"/>
        <v>0</v>
      </c>
      <c r="AA1937" s="162">
        <f t="shared" si="662"/>
        <v>0</v>
      </c>
      <c r="AB1937" s="163">
        <f t="shared" si="663"/>
        <v>0</v>
      </c>
      <c r="AC1937" s="159"/>
      <c r="AE1937" s="194" t="str">
        <f t="shared" si="665"/>
        <v>0 - LTS (1092 - )</v>
      </c>
      <c r="AF1937" s="161">
        <f t="shared" si="664"/>
        <v>0</v>
      </c>
      <c r="AG1937" s="162">
        <f t="shared" si="664"/>
        <v>0</v>
      </c>
      <c r="AH1937" s="162">
        <f t="shared" si="664"/>
        <v>0</v>
      </c>
      <c r="AI1937" s="162">
        <f t="shared" si="664"/>
        <v>0</v>
      </c>
      <c r="AJ1937" s="162">
        <f t="shared" si="664"/>
        <v>0</v>
      </c>
      <c r="AK1937" s="162">
        <f t="shared" si="664"/>
        <v>0</v>
      </c>
      <c r="AL1937" s="162">
        <f t="shared" si="664"/>
        <v>0</v>
      </c>
      <c r="AM1937" s="162">
        <f t="shared" si="664"/>
        <v>0</v>
      </c>
      <c r="AN1937" s="162">
        <f t="shared" si="664"/>
        <v>0</v>
      </c>
      <c r="AO1937" s="162">
        <f t="shared" si="664"/>
        <v>0</v>
      </c>
      <c r="AP1937" s="162">
        <f t="shared" si="664"/>
        <v>0</v>
      </c>
      <c r="AQ1937" s="162">
        <f t="shared" si="664"/>
        <v>0</v>
      </c>
      <c r="AR1937" s="163">
        <f t="shared" si="666"/>
        <v>0</v>
      </c>
    </row>
    <row r="1938" spans="1:44" x14ac:dyDescent="0.25">
      <c r="A1938" s="14"/>
      <c r="B1938" s="15" t="str">
        <f t="shared" si="658"/>
        <v>IND_COMB_1094_0</v>
      </c>
      <c r="F1938" s="190">
        <f t="shared" si="659"/>
        <v>1094</v>
      </c>
      <c r="G1938" s="149" t="str">
        <f t="shared" si="659"/>
        <v/>
      </c>
      <c r="H1938" s="150" t="str">
        <f t="shared" si="659"/>
        <v/>
      </c>
      <c r="I1938" s="150" t="str">
        <f t="shared" si="659"/>
        <v>TRATCSFS</v>
      </c>
      <c r="J1938" s="150">
        <f t="shared" si="659"/>
        <v>0</v>
      </c>
      <c r="K1938" s="150" t="str">
        <f>IFERROR(VLOOKUP($J1938,#REF!,3,0),"")</f>
        <v/>
      </c>
      <c r="L1938" s="150" t="str">
        <f>IFERROR(VLOOKUP($J1938,#REF!,5,0),"")</f>
        <v/>
      </c>
      <c r="M1938" s="191">
        <f t="shared" si="660"/>
        <v>0</v>
      </c>
      <c r="N1938" s="192">
        <f t="shared" si="661"/>
        <v>0</v>
      </c>
      <c r="O1938" s="193">
        <f t="shared" si="661"/>
        <v>0</v>
      </c>
      <c r="P1938" s="162">
        <f t="shared" si="662"/>
        <v>0</v>
      </c>
      <c r="Q1938" s="162">
        <f t="shared" si="662"/>
        <v>0</v>
      </c>
      <c r="R1938" s="162">
        <f t="shared" si="662"/>
        <v>0</v>
      </c>
      <c r="S1938" s="162">
        <f t="shared" si="662"/>
        <v>0</v>
      </c>
      <c r="T1938" s="162">
        <f t="shared" si="662"/>
        <v>0</v>
      </c>
      <c r="U1938" s="162">
        <f t="shared" si="662"/>
        <v>0</v>
      </c>
      <c r="V1938" s="162">
        <f t="shared" si="662"/>
        <v>0</v>
      </c>
      <c r="W1938" s="162">
        <f t="shared" si="662"/>
        <v>0</v>
      </c>
      <c r="X1938" s="162">
        <f t="shared" si="662"/>
        <v>0</v>
      </c>
      <c r="Y1938" s="162">
        <f t="shared" si="662"/>
        <v>0</v>
      </c>
      <c r="Z1938" s="162">
        <f t="shared" si="662"/>
        <v>0</v>
      </c>
      <c r="AA1938" s="162">
        <f t="shared" si="662"/>
        <v>0</v>
      </c>
      <c r="AB1938" s="163">
        <f t="shared" si="663"/>
        <v>0</v>
      </c>
      <c r="AC1938" s="159"/>
      <c r="AE1938" s="194" t="str">
        <f t="shared" si="665"/>
        <v>0 - LTS (1094 - )</v>
      </c>
      <c r="AF1938" s="161">
        <f t="shared" si="664"/>
        <v>0</v>
      </c>
      <c r="AG1938" s="162">
        <f t="shared" si="664"/>
        <v>0</v>
      </c>
      <c r="AH1938" s="162">
        <f t="shared" si="664"/>
        <v>0</v>
      </c>
      <c r="AI1938" s="162">
        <f t="shared" si="664"/>
        <v>0</v>
      </c>
      <c r="AJ1938" s="162">
        <f t="shared" si="664"/>
        <v>0</v>
      </c>
      <c r="AK1938" s="162">
        <f t="shared" si="664"/>
        <v>0</v>
      </c>
      <c r="AL1938" s="162">
        <f t="shared" si="664"/>
        <v>0</v>
      </c>
      <c r="AM1938" s="162">
        <f t="shared" si="664"/>
        <v>0</v>
      </c>
      <c r="AN1938" s="162">
        <f t="shared" si="664"/>
        <v>0</v>
      </c>
      <c r="AO1938" s="162">
        <f t="shared" si="664"/>
        <v>0</v>
      </c>
      <c r="AP1938" s="162">
        <f t="shared" si="664"/>
        <v>0</v>
      </c>
      <c r="AQ1938" s="162">
        <f t="shared" si="664"/>
        <v>0</v>
      </c>
      <c r="AR1938" s="163">
        <f t="shared" si="666"/>
        <v>0</v>
      </c>
    </row>
    <row r="1939" spans="1:44" x14ac:dyDescent="0.25">
      <c r="A1939" s="14"/>
      <c r="B1939" s="15" t="str">
        <f t="shared" si="658"/>
        <v>IND_COMB_1073_0</v>
      </c>
      <c r="F1939" s="190">
        <f t="shared" si="659"/>
        <v>1073</v>
      </c>
      <c r="G1939" s="149" t="str">
        <f t="shared" si="659"/>
        <v/>
      </c>
      <c r="H1939" s="150" t="str">
        <f t="shared" si="659"/>
        <v/>
      </c>
      <c r="I1939" s="150" t="str">
        <f t="shared" si="659"/>
        <v>TRATCSP</v>
      </c>
      <c r="J1939" s="150">
        <f t="shared" si="659"/>
        <v>0</v>
      </c>
      <c r="K1939" s="150" t="str">
        <f>IFERROR(VLOOKUP($J1939,#REF!,3,0),"")</f>
        <v/>
      </c>
      <c r="L1939" s="150" t="str">
        <f>IFERROR(VLOOKUP($J1939,#REF!,5,0),"")</f>
        <v/>
      </c>
      <c r="M1939" s="191">
        <f t="shared" si="660"/>
        <v>0</v>
      </c>
      <c r="N1939" s="192">
        <f t="shared" si="661"/>
        <v>0</v>
      </c>
      <c r="O1939" s="193">
        <f t="shared" si="661"/>
        <v>0</v>
      </c>
      <c r="P1939" s="162">
        <f t="shared" si="662"/>
        <v>0</v>
      </c>
      <c r="Q1939" s="162">
        <f t="shared" si="662"/>
        <v>0</v>
      </c>
      <c r="R1939" s="162">
        <f t="shared" si="662"/>
        <v>0</v>
      </c>
      <c r="S1939" s="162">
        <f t="shared" si="662"/>
        <v>0</v>
      </c>
      <c r="T1939" s="162">
        <f t="shared" si="662"/>
        <v>0</v>
      </c>
      <c r="U1939" s="162">
        <f t="shared" si="662"/>
        <v>0</v>
      </c>
      <c r="V1939" s="162">
        <f t="shared" si="662"/>
        <v>0</v>
      </c>
      <c r="W1939" s="162">
        <f t="shared" si="662"/>
        <v>0</v>
      </c>
      <c r="X1939" s="162">
        <f t="shared" si="662"/>
        <v>0</v>
      </c>
      <c r="Y1939" s="162">
        <f t="shared" si="662"/>
        <v>0</v>
      </c>
      <c r="Z1939" s="162">
        <f t="shared" si="662"/>
        <v>0</v>
      </c>
      <c r="AA1939" s="162">
        <f t="shared" si="662"/>
        <v>0</v>
      </c>
      <c r="AB1939" s="163">
        <f t="shared" si="663"/>
        <v>0</v>
      </c>
      <c r="AC1939" s="159"/>
      <c r="AE1939" s="194" t="str">
        <f t="shared" si="665"/>
        <v>0 - LTS (1073 - )</v>
      </c>
      <c r="AF1939" s="161">
        <f t="shared" si="664"/>
        <v>0</v>
      </c>
      <c r="AG1939" s="162">
        <f t="shared" si="664"/>
        <v>0</v>
      </c>
      <c r="AH1939" s="162">
        <f t="shared" si="664"/>
        <v>0</v>
      </c>
      <c r="AI1939" s="162">
        <f t="shared" si="664"/>
        <v>0</v>
      </c>
      <c r="AJ1939" s="162">
        <f t="shared" si="664"/>
        <v>0</v>
      </c>
      <c r="AK1939" s="162">
        <f t="shared" si="664"/>
        <v>0</v>
      </c>
      <c r="AL1939" s="162">
        <f t="shared" si="664"/>
        <v>0</v>
      </c>
      <c r="AM1939" s="162">
        <f t="shared" si="664"/>
        <v>0</v>
      </c>
      <c r="AN1939" s="162">
        <f t="shared" si="664"/>
        <v>0</v>
      </c>
      <c r="AO1939" s="162">
        <f t="shared" si="664"/>
        <v>0</v>
      </c>
      <c r="AP1939" s="162">
        <f t="shared" si="664"/>
        <v>0</v>
      </c>
      <c r="AQ1939" s="162">
        <f t="shared" si="664"/>
        <v>0</v>
      </c>
      <c r="AR1939" s="163">
        <f t="shared" si="666"/>
        <v>0</v>
      </c>
    </row>
    <row r="1940" spans="1:44" x14ac:dyDescent="0.25">
      <c r="A1940" s="14"/>
      <c r="B1940" s="15" t="str">
        <f t="shared" si="658"/>
        <v>IND_COMB_1022_0</v>
      </c>
      <c r="F1940" s="190">
        <f t="shared" si="659"/>
        <v>1022</v>
      </c>
      <c r="G1940" s="149" t="str">
        <f t="shared" si="659"/>
        <v/>
      </c>
      <c r="H1940" s="150" t="str">
        <f t="shared" si="659"/>
        <v/>
      </c>
      <c r="I1940" s="150" t="str">
        <f t="shared" si="659"/>
        <v>TRATCSP</v>
      </c>
      <c r="J1940" s="150">
        <f t="shared" si="659"/>
        <v>0</v>
      </c>
      <c r="K1940" s="150" t="str">
        <f>IFERROR(VLOOKUP($J1940,#REF!,3,0),"")</f>
        <v/>
      </c>
      <c r="L1940" s="150" t="str">
        <f>IFERROR(VLOOKUP($J1940,#REF!,5,0),"")</f>
        <v/>
      </c>
      <c r="M1940" s="191">
        <f t="shared" si="660"/>
        <v>0</v>
      </c>
      <c r="N1940" s="192">
        <f t="shared" si="661"/>
        <v>0</v>
      </c>
      <c r="O1940" s="193">
        <f t="shared" si="661"/>
        <v>0</v>
      </c>
      <c r="P1940" s="162">
        <f t="shared" si="662"/>
        <v>0</v>
      </c>
      <c r="Q1940" s="162">
        <f t="shared" si="662"/>
        <v>0</v>
      </c>
      <c r="R1940" s="162">
        <f t="shared" si="662"/>
        <v>0</v>
      </c>
      <c r="S1940" s="162">
        <f t="shared" si="662"/>
        <v>0</v>
      </c>
      <c r="T1940" s="162">
        <f t="shared" si="662"/>
        <v>0</v>
      </c>
      <c r="U1940" s="162">
        <f t="shared" si="662"/>
        <v>0</v>
      </c>
      <c r="V1940" s="162">
        <f t="shared" si="662"/>
        <v>0</v>
      </c>
      <c r="W1940" s="162">
        <f t="shared" si="662"/>
        <v>0</v>
      </c>
      <c r="X1940" s="162">
        <f t="shared" si="662"/>
        <v>0</v>
      </c>
      <c r="Y1940" s="162">
        <f t="shared" si="662"/>
        <v>0</v>
      </c>
      <c r="Z1940" s="162">
        <f t="shared" si="662"/>
        <v>0</v>
      </c>
      <c r="AA1940" s="162">
        <f t="shared" si="662"/>
        <v>0</v>
      </c>
      <c r="AB1940" s="163">
        <f t="shared" si="663"/>
        <v>0</v>
      </c>
      <c r="AC1940" s="159"/>
      <c r="AE1940" s="194" t="str">
        <f t="shared" si="665"/>
        <v>0 - LTS (1022 - )</v>
      </c>
      <c r="AF1940" s="161">
        <f t="shared" si="664"/>
        <v>0</v>
      </c>
      <c r="AG1940" s="162">
        <f t="shared" si="664"/>
        <v>0</v>
      </c>
      <c r="AH1940" s="162">
        <f t="shared" si="664"/>
        <v>0</v>
      </c>
      <c r="AI1940" s="162">
        <f t="shared" si="664"/>
        <v>0</v>
      </c>
      <c r="AJ1940" s="162">
        <f t="shared" si="664"/>
        <v>0</v>
      </c>
      <c r="AK1940" s="162">
        <f t="shared" si="664"/>
        <v>0</v>
      </c>
      <c r="AL1940" s="162">
        <f t="shared" si="664"/>
        <v>0</v>
      </c>
      <c r="AM1940" s="162">
        <f t="shared" si="664"/>
        <v>0</v>
      </c>
      <c r="AN1940" s="162">
        <f t="shared" si="664"/>
        <v>0</v>
      </c>
      <c r="AO1940" s="162">
        <f t="shared" si="664"/>
        <v>0</v>
      </c>
      <c r="AP1940" s="162">
        <f t="shared" si="664"/>
        <v>0</v>
      </c>
      <c r="AQ1940" s="162">
        <f t="shared" si="664"/>
        <v>0</v>
      </c>
      <c r="AR1940" s="163">
        <f t="shared" si="666"/>
        <v>0</v>
      </c>
    </row>
    <row r="1941" spans="1:44" x14ac:dyDescent="0.25">
      <c r="A1941" s="14"/>
      <c r="B1941" s="15" t="str">
        <f t="shared" si="658"/>
        <v>IND_COMB_1031_0</v>
      </c>
      <c r="F1941" s="190">
        <f t="shared" si="659"/>
        <v>1031</v>
      </c>
      <c r="G1941" s="149" t="str">
        <f t="shared" si="659"/>
        <v/>
      </c>
      <c r="H1941" s="150" t="str">
        <f t="shared" si="659"/>
        <v/>
      </c>
      <c r="I1941" s="150" t="str">
        <f t="shared" si="659"/>
        <v>TRATCSP</v>
      </c>
      <c r="J1941" s="150">
        <f t="shared" si="659"/>
        <v>0</v>
      </c>
      <c r="K1941" s="150" t="str">
        <f>IFERROR(VLOOKUP($J1941,#REF!,3,0),"")</f>
        <v/>
      </c>
      <c r="L1941" s="150" t="str">
        <f>IFERROR(VLOOKUP($J1941,#REF!,5,0),"")</f>
        <v/>
      </c>
      <c r="M1941" s="191">
        <f t="shared" si="660"/>
        <v>0</v>
      </c>
      <c r="N1941" s="192">
        <f t="shared" si="661"/>
        <v>0</v>
      </c>
      <c r="O1941" s="193">
        <f t="shared" si="661"/>
        <v>0</v>
      </c>
      <c r="P1941" s="162">
        <f t="shared" si="662"/>
        <v>0</v>
      </c>
      <c r="Q1941" s="162">
        <f t="shared" si="662"/>
        <v>0</v>
      </c>
      <c r="R1941" s="162">
        <f t="shared" si="662"/>
        <v>0</v>
      </c>
      <c r="S1941" s="162">
        <f t="shared" si="662"/>
        <v>0</v>
      </c>
      <c r="T1941" s="162">
        <f t="shared" si="662"/>
        <v>0</v>
      </c>
      <c r="U1941" s="162">
        <f t="shared" si="662"/>
        <v>0</v>
      </c>
      <c r="V1941" s="162">
        <f t="shared" si="662"/>
        <v>0</v>
      </c>
      <c r="W1941" s="162">
        <f t="shared" si="662"/>
        <v>0</v>
      </c>
      <c r="X1941" s="162">
        <f t="shared" si="662"/>
        <v>0</v>
      </c>
      <c r="Y1941" s="162">
        <f t="shared" si="662"/>
        <v>0</v>
      </c>
      <c r="Z1941" s="162">
        <f t="shared" si="662"/>
        <v>0</v>
      </c>
      <c r="AA1941" s="162">
        <f t="shared" si="662"/>
        <v>0</v>
      </c>
      <c r="AB1941" s="163">
        <f t="shared" si="663"/>
        <v>0</v>
      </c>
      <c r="AC1941" s="159"/>
      <c r="AE1941" s="194" t="str">
        <f t="shared" si="665"/>
        <v>0 - LTS (1031 - )</v>
      </c>
      <c r="AF1941" s="161">
        <f t="shared" si="664"/>
        <v>0</v>
      </c>
      <c r="AG1941" s="162">
        <f t="shared" si="664"/>
        <v>0</v>
      </c>
      <c r="AH1941" s="162">
        <f t="shared" si="664"/>
        <v>0</v>
      </c>
      <c r="AI1941" s="162">
        <f t="shared" si="664"/>
        <v>0</v>
      </c>
      <c r="AJ1941" s="162">
        <f t="shared" si="664"/>
        <v>0</v>
      </c>
      <c r="AK1941" s="162">
        <f t="shared" si="664"/>
        <v>0</v>
      </c>
      <c r="AL1941" s="162">
        <f t="shared" si="664"/>
        <v>0</v>
      </c>
      <c r="AM1941" s="162">
        <f t="shared" si="664"/>
        <v>0</v>
      </c>
      <c r="AN1941" s="162">
        <f t="shared" si="664"/>
        <v>0</v>
      </c>
      <c r="AO1941" s="162">
        <f t="shared" si="664"/>
        <v>0</v>
      </c>
      <c r="AP1941" s="162">
        <f t="shared" si="664"/>
        <v>0</v>
      </c>
      <c r="AQ1941" s="162">
        <f t="shared" si="664"/>
        <v>0</v>
      </c>
      <c r="AR1941" s="163">
        <f t="shared" si="666"/>
        <v>0</v>
      </c>
    </row>
    <row r="1942" spans="1:44" x14ac:dyDescent="0.25">
      <c r="A1942" s="14"/>
      <c r="B1942" s="15" t="str">
        <f t="shared" si="658"/>
        <v>IND_COMB_1078_0</v>
      </c>
      <c r="F1942" s="190">
        <f t="shared" si="659"/>
        <v>1078</v>
      </c>
      <c r="G1942" s="149" t="str">
        <f t="shared" si="659"/>
        <v/>
      </c>
      <c r="H1942" s="150" t="str">
        <f t="shared" si="659"/>
        <v/>
      </c>
      <c r="I1942" s="150" t="str">
        <f t="shared" si="659"/>
        <v>TRATCSP</v>
      </c>
      <c r="J1942" s="150">
        <f t="shared" si="659"/>
        <v>0</v>
      </c>
      <c r="K1942" s="150" t="str">
        <f>IFERROR(VLOOKUP($J1942,#REF!,3,0),"")</f>
        <v/>
      </c>
      <c r="L1942" s="150" t="str">
        <f>IFERROR(VLOOKUP($J1942,#REF!,5,0),"")</f>
        <v/>
      </c>
      <c r="M1942" s="191">
        <f t="shared" si="660"/>
        <v>0</v>
      </c>
      <c r="N1942" s="192">
        <f t="shared" si="661"/>
        <v>0</v>
      </c>
      <c r="O1942" s="193">
        <f t="shared" si="661"/>
        <v>0</v>
      </c>
      <c r="P1942" s="162">
        <f t="shared" si="662"/>
        <v>0</v>
      </c>
      <c r="Q1942" s="162">
        <f t="shared" si="662"/>
        <v>0</v>
      </c>
      <c r="R1942" s="162">
        <f t="shared" si="662"/>
        <v>0</v>
      </c>
      <c r="S1942" s="162">
        <f t="shared" si="662"/>
        <v>0</v>
      </c>
      <c r="T1942" s="162">
        <f t="shared" si="662"/>
        <v>0</v>
      </c>
      <c r="U1942" s="162">
        <f t="shared" si="662"/>
        <v>0</v>
      </c>
      <c r="V1942" s="162">
        <f t="shared" si="662"/>
        <v>0</v>
      </c>
      <c r="W1942" s="162">
        <f t="shared" si="662"/>
        <v>0</v>
      </c>
      <c r="X1942" s="162">
        <f t="shared" si="662"/>
        <v>0</v>
      </c>
      <c r="Y1942" s="162">
        <f t="shared" si="662"/>
        <v>0</v>
      </c>
      <c r="Z1942" s="162">
        <f t="shared" si="662"/>
        <v>0</v>
      </c>
      <c r="AA1942" s="162">
        <f t="shared" si="662"/>
        <v>0</v>
      </c>
      <c r="AB1942" s="163">
        <f t="shared" si="663"/>
        <v>0</v>
      </c>
      <c r="AC1942" s="159"/>
      <c r="AE1942" s="194" t="str">
        <f t="shared" si="665"/>
        <v>0 - LTS (1078 - )</v>
      </c>
      <c r="AF1942" s="161">
        <f t="shared" si="664"/>
        <v>0</v>
      </c>
      <c r="AG1942" s="162">
        <f t="shared" si="664"/>
        <v>0</v>
      </c>
      <c r="AH1942" s="162">
        <f t="shared" si="664"/>
        <v>0</v>
      </c>
      <c r="AI1942" s="162">
        <f t="shared" si="664"/>
        <v>0</v>
      </c>
      <c r="AJ1942" s="162">
        <f t="shared" si="664"/>
        <v>0</v>
      </c>
      <c r="AK1942" s="162">
        <f t="shared" si="664"/>
        <v>0</v>
      </c>
      <c r="AL1942" s="162">
        <f t="shared" si="664"/>
        <v>0</v>
      </c>
      <c r="AM1942" s="162">
        <f t="shared" si="664"/>
        <v>0</v>
      </c>
      <c r="AN1942" s="162">
        <f t="shared" si="664"/>
        <v>0</v>
      </c>
      <c r="AO1942" s="162">
        <f t="shared" si="664"/>
        <v>0</v>
      </c>
      <c r="AP1942" s="162">
        <f t="shared" si="664"/>
        <v>0</v>
      </c>
      <c r="AQ1942" s="162">
        <f t="shared" si="664"/>
        <v>0</v>
      </c>
      <c r="AR1942" s="163">
        <f t="shared" si="666"/>
        <v>0</v>
      </c>
    </row>
    <row r="1943" spans="1:44" x14ac:dyDescent="0.25">
      <c r="A1943" s="14"/>
      <c r="B1943" s="15" t="str">
        <f t="shared" si="658"/>
        <v>IND_COMB_1090_0</v>
      </c>
      <c r="F1943" s="190">
        <f t="shared" si="659"/>
        <v>1090</v>
      </c>
      <c r="G1943" s="149" t="str">
        <f t="shared" si="659"/>
        <v/>
      </c>
      <c r="H1943" s="150" t="str">
        <f t="shared" si="659"/>
        <v/>
      </c>
      <c r="I1943" s="150" t="str">
        <f t="shared" si="659"/>
        <v>TRATCSP</v>
      </c>
      <c r="J1943" s="150">
        <f t="shared" si="659"/>
        <v>0</v>
      </c>
      <c r="K1943" s="150" t="str">
        <f>IFERROR(VLOOKUP($J1943,#REF!,3,0),"")</f>
        <v/>
      </c>
      <c r="L1943" s="150" t="str">
        <f>IFERROR(VLOOKUP($J1943,#REF!,5,0),"")</f>
        <v/>
      </c>
      <c r="M1943" s="191">
        <f t="shared" si="660"/>
        <v>0</v>
      </c>
      <c r="N1943" s="192">
        <f t="shared" si="661"/>
        <v>0</v>
      </c>
      <c r="O1943" s="193">
        <f t="shared" si="661"/>
        <v>0</v>
      </c>
      <c r="P1943" s="162">
        <f t="shared" si="662"/>
        <v>0</v>
      </c>
      <c r="Q1943" s="162">
        <f t="shared" si="662"/>
        <v>0</v>
      </c>
      <c r="R1943" s="162">
        <f t="shared" si="662"/>
        <v>0</v>
      </c>
      <c r="S1943" s="162">
        <f t="shared" si="662"/>
        <v>0</v>
      </c>
      <c r="T1943" s="162">
        <f t="shared" si="662"/>
        <v>0</v>
      </c>
      <c r="U1943" s="162">
        <f t="shared" si="662"/>
        <v>0</v>
      </c>
      <c r="V1943" s="162">
        <f t="shared" si="662"/>
        <v>0</v>
      </c>
      <c r="W1943" s="162">
        <f t="shared" si="662"/>
        <v>0</v>
      </c>
      <c r="X1943" s="162">
        <f t="shared" si="662"/>
        <v>0</v>
      </c>
      <c r="Y1943" s="162">
        <f t="shared" si="662"/>
        <v>0</v>
      </c>
      <c r="Z1943" s="162">
        <f t="shared" si="662"/>
        <v>0</v>
      </c>
      <c r="AA1943" s="162">
        <f t="shared" si="662"/>
        <v>0</v>
      </c>
      <c r="AB1943" s="163">
        <f t="shared" si="663"/>
        <v>0</v>
      </c>
      <c r="AC1943" s="159"/>
      <c r="AE1943" s="194" t="str">
        <f t="shared" si="665"/>
        <v>0 - LTS (1090 - )</v>
      </c>
      <c r="AF1943" s="161">
        <f t="shared" si="664"/>
        <v>0</v>
      </c>
      <c r="AG1943" s="162">
        <f t="shared" si="664"/>
        <v>0</v>
      </c>
      <c r="AH1943" s="162">
        <f t="shared" si="664"/>
        <v>0</v>
      </c>
      <c r="AI1943" s="162">
        <f t="shared" si="664"/>
        <v>0</v>
      </c>
      <c r="AJ1943" s="162">
        <f t="shared" si="664"/>
        <v>0</v>
      </c>
      <c r="AK1943" s="162">
        <f t="shared" si="664"/>
        <v>0</v>
      </c>
      <c r="AL1943" s="162">
        <f t="shared" si="664"/>
        <v>0</v>
      </c>
      <c r="AM1943" s="162">
        <f t="shared" si="664"/>
        <v>0</v>
      </c>
      <c r="AN1943" s="162">
        <f t="shared" si="664"/>
        <v>0</v>
      </c>
      <c r="AO1943" s="162">
        <f t="shared" si="664"/>
        <v>0</v>
      </c>
      <c r="AP1943" s="162">
        <f t="shared" si="664"/>
        <v>0</v>
      </c>
      <c r="AQ1943" s="162">
        <f t="shared" si="664"/>
        <v>0</v>
      </c>
      <c r="AR1943" s="163">
        <f t="shared" si="666"/>
        <v>0</v>
      </c>
    </row>
    <row r="1944" spans="1:44" x14ac:dyDescent="0.25">
      <c r="A1944" s="14"/>
      <c r="B1944" s="15" t="str">
        <f t="shared" si="658"/>
        <v>IND_COMB_1091_0</v>
      </c>
      <c r="F1944" s="190">
        <f t="shared" si="659"/>
        <v>1091</v>
      </c>
      <c r="G1944" s="149" t="str">
        <f t="shared" si="659"/>
        <v/>
      </c>
      <c r="H1944" s="150" t="str">
        <f t="shared" si="659"/>
        <v/>
      </c>
      <c r="I1944" s="150" t="str">
        <f t="shared" si="659"/>
        <v>TRATCSP</v>
      </c>
      <c r="J1944" s="150">
        <f t="shared" si="659"/>
        <v>0</v>
      </c>
      <c r="K1944" s="150" t="str">
        <f>IFERROR(VLOOKUP($J1944,#REF!,3,0),"")</f>
        <v/>
      </c>
      <c r="L1944" s="150" t="str">
        <f>IFERROR(VLOOKUP($J1944,#REF!,5,0),"")</f>
        <v/>
      </c>
      <c r="M1944" s="191">
        <f t="shared" si="660"/>
        <v>0</v>
      </c>
      <c r="N1944" s="192">
        <f t="shared" si="661"/>
        <v>0</v>
      </c>
      <c r="O1944" s="193">
        <f t="shared" si="661"/>
        <v>0</v>
      </c>
      <c r="P1944" s="162">
        <f t="shared" si="662"/>
        <v>0</v>
      </c>
      <c r="Q1944" s="162">
        <f t="shared" si="662"/>
        <v>0</v>
      </c>
      <c r="R1944" s="162">
        <f t="shared" si="662"/>
        <v>0</v>
      </c>
      <c r="S1944" s="162">
        <f t="shared" si="662"/>
        <v>0</v>
      </c>
      <c r="T1944" s="162">
        <f t="shared" si="662"/>
        <v>0</v>
      </c>
      <c r="U1944" s="162">
        <f t="shared" si="662"/>
        <v>0</v>
      </c>
      <c r="V1944" s="162">
        <f t="shared" si="662"/>
        <v>0</v>
      </c>
      <c r="W1944" s="162">
        <f t="shared" si="662"/>
        <v>0</v>
      </c>
      <c r="X1944" s="162">
        <f t="shared" si="662"/>
        <v>0</v>
      </c>
      <c r="Y1944" s="162">
        <f t="shared" si="662"/>
        <v>0</v>
      </c>
      <c r="Z1944" s="162">
        <f t="shared" si="662"/>
        <v>0</v>
      </c>
      <c r="AA1944" s="162">
        <f t="shared" si="662"/>
        <v>0</v>
      </c>
      <c r="AB1944" s="163">
        <f t="shared" si="663"/>
        <v>0</v>
      </c>
      <c r="AC1944" s="159"/>
      <c r="AE1944" s="194" t="str">
        <f t="shared" si="665"/>
        <v>0 - LTS (1091 - )</v>
      </c>
      <c r="AF1944" s="161">
        <f t="shared" si="664"/>
        <v>0</v>
      </c>
      <c r="AG1944" s="162">
        <f t="shared" si="664"/>
        <v>0</v>
      </c>
      <c r="AH1944" s="162">
        <f t="shared" si="664"/>
        <v>0</v>
      </c>
      <c r="AI1944" s="162">
        <f t="shared" si="664"/>
        <v>0</v>
      </c>
      <c r="AJ1944" s="162">
        <f t="shared" si="664"/>
        <v>0</v>
      </c>
      <c r="AK1944" s="162">
        <f t="shared" si="664"/>
        <v>0</v>
      </c>
      <c r="AL1944" s="162">
        <f t="shared" si="664"/>
        <v>0</v>
      </c>
      <c r="AM1944" s="162">
        <f t="shared" si="664"/>
        <v>0</v>
      </c>
      <c r="AN1944" s="162">
        <f t="shared" si="664"/>
        <v>0</v>
      </c>
      <c r="AO1944" s="162">
        <f t="shared" si="664"/>
        <v>0</v>
      </c>
      <c r="AP1944" s="162">
        <f t="shared" si="664"/>
        <v>0</v>
      </c>
      <c r="AQ1944" s="162">
        <f t="shared" si="664"/>
        <v>0</v>
      </c>
      <c r="AR1944" s="163">
        <f t="shared" si="666"/>
        <v>0</v>
      </c>
    </row>
    <row r="1945" spans="1:44" x14ac:dyDescent="0.25">
      <c r="A1945" s="14"/>
      <c r="B1945" s="15" t="str">
        <f t="shared" si="658"/>
        <v>IND_COMB_1093_0</v>
      </c>
      <c r="F1945" s="190">
        <f t="shared" si="659"/>
        <v>1093</v>
      </c>
      <c r="G1945" s="149" t="str">
        <f t="shared" si="659"/>
        <v/>
      </c>
      <c r="H1945" s="150" t="str">
        <f t="shared" si="659"/>
        <v/>
      </c>
      <c r="I1945" s="150" t="str">
        <f t="shared" si="659"/>
        <v>TRATCSP</v>
      </c>
      <c r="J1945" s="150">
        <f t="shared" si="659"/>
        <v>0</v>
      </c>
      <c r="K1945" s="150" t="str">
        <f>IFERROR(VLOOKUP($J1945,#REF!,3,0),"")</f>
        <v/>
      </c>
      <c r="L1945" s="150" t="str">
        <f>IFERROR(VLOOKUP($J1945,#REF!,5,0),"")</f>
        <v/>
      </c>
      <c r="M1945" s="191">
        <f t="shared" si="660"/>
        <v>0</v>
      </c>
      <c r="N1945" s="192">
        <f t="shared" si="661"/>
        <v>0</v>
      </c>
      <c r="O1945" s="193">
        <f t="shared" si="661"/>
        <v>0</v>
      </c>
      <c r="P1945" s="162">
        <f t="shared" si="662"/>
        <v>0</v>
      </c>
      <c r="Q1945" s="162">
        <f t="shared" si="662"/>
        <v>0</v>
      </c>
      <c r="R1945" s="162">
        <f t="shared" si="662"/>
        <v>0</v>
      </c>
      <c r="S1945" s="162">
        <f t="shared" si="662"/>
        <v>0</v>
      </c>
      <c r="T1945" s="162">
        <f t="shared" si="662"/>
        <v>0</v>
      </c>
      <c r="U1945" s="162">
        <f t="shared" si="662"/>
        <v>0</v>
      </c>
      <c r="V1945" s="162">
        <f t="shared" si="662"/>
        <v>0</v>
      </c>
      <c r="W1945" s="162">
        <f t="shared" si="662"/>
        <v>0</v>
      </c>
      <c r="X1945" s="162">
        <f t="shared" si="662"/>
        <v>0</v>
      </c>
      <c r="Y1945" s="162">
        <f t="shared" si="662"/>
        <v>0</v>
      </c>
      <c r="Z1945" s="162">
        <f t="shared" si="662"/>
        <v>0</v>
      </c>
      <c r="AA1945" s="162">
        <f t="shared" si="662"/>
        <v>0</v>
      </c>
      <c r="AB1945" s="163">
        <f t="shared" si="663"/>
        <v>0</v>
      </c>
      <c r="AC1945" s="159"/>
      <c r="AE1945" s="194" t="str">
        <f t="shared" si="665"/>
        <v>0 - LTS (1093 - )</v>
      </c>
      <c r="AF1945" s="161">
        <f t="shared" si="664"/>
        <v>0</v>
      </c>
      <c r="AG1945" s="162">
        <f t="shared" si="664"/>
        <v>0</v>
      </c>
      <c r="AH1945" s="162">
        <f t="shared" si="664"/>
        <v>0</v>
      </c>
      <c r="AI1945" s="162">
        <f t="shared" si="664"/>
        <v>0</v>
      </c>
      <c r="AJ1945" s="162">
        <f t="shared" si="664"/>
        <v>0</v>
      </c>
      <c r="AK1945" s="162">
        <f t="shared" si="664"/>
        <v>0</v>
      </c>
      <c r="AL1945" s="162">
        <f t="shared" si="664"/>
        <v>0</v>
      </c>
      <c r="AM1945" s="162">
        <f t="shared" si="664"/>
        <v>0</v>
      </c>
      <c r="AN1945" s="162">
        <f t="shared" si="664"/>
        <v>0</v>
      </c>
      <c r="AO1945" s="162">
        <f t="shared" si="664"/>
        <v>0</v>
      </c>
      <c r="AP1945" s="162">
        <f t="shared" si="664"/>
        <v>0</v>
      </c>
      <c r="AQ1945" s="162">
        <f t="shared" si="664"/>
        <v>0</v>
      </c>
      <c r="AR1945" s="163">
        <f t="shared" si="666"/>
        <v>0</v>
      </c>
    </row>
    <row r="1946" spans="1:44" x14ac:dyDescent="0.25">
      <c r="A1946" s="14"/>
      <c r="B1946" s="15" t="str">
        <f t="shared" si="658"/>
        <v>IND_COMB_903_0</v>
      </c>
      <c r="F1946" s="190">
        <f t="shared" si="659"/>
        <v>903</v>
      </c>
      <c r="G1946" s="149" t="str">
        <f t="shared" si="659"/>
        <v/>
      </c>
      <c r="H1946" s="150" t="str">
        <f t="shared" si="659"/>
        <v/>
      </c>
      <c r="I1946" s="150" t="str">
        <f t="shared" si="659"/>
        <v>TRATCSFS</v>
      </c>
      <c r="J1946" s="150">
        <f t="shared" si="659"/>
        <v>0</v>
      </c>
      <c r="K1946" s="150" t="str">
        <f>IFERROR(VLOOKUP($J1946,#REF!,3,0),"")</f>
        <v/>
      </c>
      <c r="L1946" s="150" t="str">
        <f>IFERROR(VLOOKUP($J1946,#REF!,5,0),"")</f>
        <v/>
      </c>
      <c r="M1946" s="191">
        <f t="shared" si="660"/>
        <v>0</v>
      </c>
      <c r="N1946" s="192">
        <f t="shared" si="661"/>
        <v>0</v>
      </c>
      <c r="O1946" s="193">
        <f t="shared" si="661"/>
        <v>0</v>
      </c>
      <c r="P1946" s="162">
        <f t="shared" si="662"/>
        <v>0</v>
      </c>
      <c r="Q1946" s="162">
        <f t="shared" si="662"/>
        <v>0</v>
      </c>
      <c r="R1946" s="162">
        <f t="shared" si="662"/>
        <v>0</v>
      </c>
      <c r="S1946" s="162">
        <f t="shared" si="662"/>
        <v>0</v>
      </c>
      <c r="T1946" s="162">
        <f t="shared" si="662"/>
        <v>0</v>
      </c>
      <c r="U1946" s="162">
        <f t="shared" si="662"/>
        <v>0</v>
      </c>
      <c r="V1946" s="162">
        <f t="shared" si="662"/>
        <v>0</v>
      </c>
      <c r="W1946" s="162">
        <f t="shared" si="662"/>
        <v>0</v>
      </c>
      <c r="X1946" s="162">
        <f t="shared" si="662"/>
        <v>0</v>
      </c>
      <c r="Y1946" s="162">
        <f t="shared" si="662"/>
        <v>0</v>
      </c>
      <c r="Z1946" s="162">
        <f t="shared" si="662"/>
        <v>0</v>
      </c>
      <c r="AA1946" s="162">
        <f t="shared" si="662"/>
        <v>0</v>
      </c>
      <c r="AB1946" s="163">
        <f t="shared" si="663"/>
        <v>0</v>
      </c>
      <c r="AC1946" s="159"/>
      <c r="AE1946" s="194" t="str">
        <f t="shared" si="665"/>
        <v>0 - LTS (903 - )</v>
      </c>
      <c r="AF1946" s="161">
        <f t="shared" si="664"/>
        <v>0</v>
      </c>
      <c r="AG1946" s="162">
        <f t="shared" si="664"/>
        <v>0</v>
      </c>
      <c r="AH1946" s="162">
        <f t="shared" si="664"/>
        <v>0</v>
      </c>
      <c r="AI1946" s="162">
        <f t="shared" si="664"/>
        <v>0</v>
      </c>
      <c r="AJ1946" s="162">
        <f t="shared" si="664"/>
        <v>0</v>
      </c>
      <c r="AK1946" s="162">
        <f t="shared" si="664"/>
        <v>0</v>
      </c>
      <c r="AL1946" s="162">
        <f t="shared" si="664"/>
        <v>0</v>
      </c>
      <c r="AM1946" s="162">
        <f t="shared" si="664"/>
        <v>0</v>
      </c>
      <c r="AN1946" s="162">
        <f t="shared" si="664"/>
        <v>0</v>
      </c>
      <c r="AO1946" s="162">
        <f t="shared" si="664"/>
        <v>0</v>
      </c>
      <c r="AP1946" s="162">
        <f t="shared" si="664"/>
        <v>0</v>
      </c>
      <c r="AQ1946" s="162">
        <f t="shared" si="664"/>
        <v>0</v>
      </c>
      <c r="AR1946" s="163">
        <f t="shared" si="666"/>
        <v>0</v>
      </c>
    </row>
    <row r="1947" spans="1:44" x14ac:dyDescent="0.25">
      <c r="A1947" s="14"/>
      <c r="B1947" s="15" t="str">
        <f t="shared" si="658"/>
        <v>IND_COMB_1022_0</v>
      </c>
      <c r="F1947" s="190">
        <f t="shared" si="659"/>
        <v>1022</v>
      </c>
      <c r="G1947" s="149" t="str">
        <f t="shared" si="659"/>
        <v/>
      </c>
      <c r="H1947" s="150" t="str">
        <f t="shared" si="659"/>
        <v/>
      </c>
      <c r="I1947" s="150" t="str">
        <f t="shared" si="659"/>
        <v>TRATCSF</v>
      </c>
      <c r="J1947" s="150">
        <f t="shared" si="659"/>
        <v>0</v>
      </c>
      <c r="K1947" s="150" t="str">
        <f>IFERROR(VLOOKUP($J1947,#REF!,3,0),"")</f>
        <v/>
      </c>
      <c r="L1947" s="150" t="str">
        <f>IFERROR(VLOOKUP($J1947,#REF!,5,0),"")</f>
        <v/>
      </c>
      <c r="M1947" s="191">
        <f t="shared" si="660"/>
        <v>0</v>
      </c>
      <c r="N1947" s="192">
        <f t="shared" si="661"/>
        <v>0</v>
      </c>
      <c r="O1947" s="193">
        <f t="shared" si="661"/>
        <v>0</v>
      </c>
      <c r="P1947" s="162">
        <f t="shared" si="662"/>
        <v>0</v>
      </c>
      <c r="Q1947" s="162">
        <f t="shared" si="662"/>
        <v>0</v>
      </c>
      <c r="R1947" s="162">
        <f t="shared" si="662"/>
        <v>0</v>
      </c>
      <c r="S1947" s="162">
        <f t="shared" si="662"/>
        <v>0</v>
      </c>
      <c r="T1947" s="162">
        <f t="shared" si="662"/>
        <v>0</v>
      </c>
      <c r="U1947" s="162">
        <f t="shared" si="662"/>
        <v>0</v>
      </c>
      <c r="V1947" s="162">
        <f t="shared" si="662"/>
        <v>0</v>
      </c>
      <c r="W1947" s="162">
        <f t="shared" si="662"/>
        <v>0</v>
      </c>
      <c r="X1947" s="162">
        <f t="shared" si="662"/>
        <v>0</v>
      </c>
      <c r="Y1947" s="162">
        <f t="shared" si="662"/>
        <v>0</v>
      </c>
      <c r="Z1947" s="162">
        <f t="shared" si="662"/>
        <v>0</v>
      </c>
      <c r="AA1947" s="162">
        <f t="shared" si="662"/>
        <v>0</v>
      </c>
      <c r="AB1947" s="163">
        <f t="shared" si="663"/>
        <v>0</v>
      </c>
      <c r="AC1947" s="159"/>
      <c r="AE1947" s="194" t="str">
        <f t="shared" si="665"/>
        <v>0 - LTS (1022 - )</v>
      </c>
      <c r="AF1947" s="161">
        <f t="shared" si="664"/>
        <v>0</v>
      </c>
      <c r="AG1947" s="162">
        <f t="shared" si="664"/>
        <v>0</v>
      </c>
      <c r="AH1947" s="162">
        <f t="shared" si="664"/>
        <v>0</v>
      </c>
      <c r="AI1947" s="162">
        <f t="shared" si="664"/>
        <v>0</v>
      </c>
      <c r="AJ1947" s="162">
        <f t="shared" si="664"/>
        <v>0</v>
      </c>
      <c r="AK1947" s="162">
        <f t="shared" si="664"/>
        <v>0</v>
      </c>
      <c r="AL1947" s="162">
        <f t="shared" si="664"/>
        <v>0</v>
      </c>
      <c r="AM1947" s="162">
        <f t="shared" si="664"/>
        <v>0</v>
      </c>
      <c r="AN1947" s="162">
        <f t="shared" si="664"/>
        <v>0</v>
      </c>
      <c r="AO1947" s="162">
        <f t="shared" si="664"/>
        <v>0</v>
      </c>
      <c r="AP1947" s="162">
        <f t="shared" si="664"/>
        <v>0</v>
      </c>
      <c r="AQ1947" s="162">
        <f t="shared" si="664"/>
        <v>0</v>
      </c>
      <c r="AR1947" s="163">
        <f t="shared" si="666"/>
        <v>0</v>
      </c>
    </row>
    <row r="1948" spans="1:44" x14ac:dyDescent="0.25">
      <c r="A1948" s="14"/>
      <c r="B1948" s="15" t="str">
        <f t="shared" si="658"/>
        <v>IND_COMB_1031_0</v>
      </c>
      <c r="F1948" s="190">
        <f t="shared" si="659"/>
        <v>1031</v>
      </c>
      <c r="G1948" s="149" t="str">
        <f t="shared" si="659"/>
        <v/>
      </c>
      <c r="H1948" s="150" t="str">
        <f t="shared" si="659"/>
        <v/>
      </c>
      <c r="I1948" s="150" t="str">
        <f t="shared" si="659"/>
        <v>TRATCSF</v>
      </c>
      <c r="J1948" s="150">
        <f t="shared" si="659"/>
        <v>0</v>
      </c>
      <c r="K1948" s="150" t="str">
        <f>IFERROR(VLOOKUP($J1948,#REF!,3,0),"")</f>
        <v/>
      </c>
      <c r="L1948" s="150" t="str">
        <f>IFERROR(VLOOKUP($J1948,#REF!,5,0),"")</f>
        <v/>
      </c>
      <c r="M1948" s="191">
        <f t="shared" si="660"/>
        <v>0</v>
      </c>
      <c r="N1948" s="192">
        <f t="shared" si="661"/>
        <v>0</v>
      </c>
      <c r="O1948" s="193">
        <f t="shared" si="661"/>
        <v>0</v>
      </c>
      <c r="P1948" s="162">
        <f t="shared" si="662"/>
        <v>0</v>
      </c>
      <c r="Q1948" s="162">
        <f t="shared" si="662"/>
        <v>0</v>
      </c>
      <c r="R1948" s="162">
        <f t="shared" si="662"/>
        <v>0</v>
      </c>
      <c r="S1948" s="162">
        <f t="shared" si="662"/>
        <v>0</v>
      </c>
      <c r="T1948" s="162">
        <f t="shared" si="662"/>
        <v>0</v>
      </c>
      <c r="U1948" s="162">
        <f t="shared" si="662"/>
        <v>0</v>
      </c>
      <c r="V1948" s="162">
        <f t="shared" si="662"/>
        <v>0</v>
      </c>
      <c r="W1948" s="162">
        <f t="shared" si="662"/>
        <v>0</v>
      </c>
      <c r="X1948" s="162">
        <f t="shared" si="662"/>
        <v>0</v>
      </c>
      <c r="Y1948" s="162">
        <f t="shared" si="662"/>
        <v>0</v>
      </c>
      <c r="Z1948" s="162">
        <f t="shared" si="662"/>
        <v>0</v>
      </c>
      <c r="AA1948" s="162">
        <f t="shared" si="662"/>
        <v>0</v>
      </c>
      <c r="AB1948" s="163">
        <f t="shared" si="663"/>
        <v>0</v>
      </c>
      <c r="AC1948" s="159"/>
      <c r="AE1948" s="194" t="str">
        <f t="shared" si="665"/>
        <v>0 - LTS (1031 - )</v>
      </c>
      <c r="AF1948" s="161">
        <f t="shared" si="664"/>
        <v>0</v>
      </c>
      <c r="AG1948" s="162">
        <f t="shared" si="664"/>
        <v>0</v>
      </c>
      <c r="AH1948" s="162">
        <f t="shared" si="664"/>
        <v>0</v>
      </c>
      <c r="AI1948" s="162">
        <f t="shared" si="664"/>
        <v>0</v>
      </c>
      <c r="AJ1948" s="162">
        <f t="shared" si="664"/>
        <v>0</v>
      </c>
      <c r="AK1948" s="162">
        <f t="shared" si="664"/>
        <v>0</v>
      </c>
      <c r="AL1948" s="162">
        <f t="shared" si="664"/>
        <v>0</v>
      </c>
      <c r="AM1948" s="162">
        <f t="shared" si="664"/>
        <v>0</v>
      </c>
      <c r="AN1948" s="162">
        <f t="shared" si="664"/>
        <v>0</v>
      </c>
      <c r="AO1948" s="162">
        <f t="shared" si="664"/>
        <v>0</v>
      </c>
      <c r="AP1948" s="162">
        <f t="shared" si="664"/>
        <v>0</v>
      </c>
      <c r="AQ1948" s="162">
        <f t="shared" si="664"/>
        <v>0</v>
      </c>
      <c r="AR1948" s="163">
        <f t="shared" si="666"/>
        <v>0</v>
      </c>
    </row>
    <row r="1949" spans="1:44" x14ac:dyDescent="0.25">
      <c r="A1949" s="14"/>
      <c r="B1949" s="15" t="str">
        <f t="shared" si="658"/>
        <v>IND_COMB_1033_0</v>
      </c>
      <c r="F1949" s="190">
        <f t="shared" si="659"/>
        <v>1033</v>
      </c>
      <c r="G1949" s="149" t="str">
        <f t="shared" si="659"/>
        <v/>
      </c>
      <c r="H1949" s="150" t="str">
        <f t="shared" si="659"/>
        <v/>
      </c>
      <c r="I1949" s="150" t="str">
        <f t="shared" si="659"/>
        <v>TRATCSP</v>
      </c>
      <c r="J1949" s="150">
        <f t="shared" si="659"/>
        <v>0</v>
      </c>
      <c r="K1949" s="150" t="str">
        <f>IFERROR(VLOOKUP($J1949,#REF!,3,0),"")</f>
        <v/>
      </c>
      <c r="L1949" s="150" t="str">
        <f>IFERROR(VLOOKUP($J1949,#REF!,5,0),"")</f>
        <v/>
      </c>
      <c r="M1949" s="191">
        <f t="shared" si="660"/>
        <v>0</v>
      </c>
      <c r="N1949" s="192">
        <f t="shared" si="661"/>
        <v>0</v>
      </c>
      <c r="O1949" s="193">
        <f t="shared" si="661"/>
        <v>0</v>
      </c>
      <c r="P1949" s="162">
        <f t="shared" si="662"/>
        <v>0</v>
      </c>
      <c r="Q1949" s="162">
        <f t="shared" si="662"/>
        <v>0</v>
      </c>
      <c r="R1949" s="162">
        <f t="shared" si="662"/>
        <v>0</v>
      </c>
      <c r="S1949" s="162">
        <f t="shared" si="662"/>
        <v>0</v>
      </c>
      <c r="T1949" s="162">
        <f t="shared" si="662"/>
        <v>0</v>
      </c>
      <c r="U1949" s="162">
        <f t="shared" si="662"/>
        <v>0</v>
      </c>
      <c r="V1949" s="162">
        <f t="shared" si="662"/>
        <v>0</v>
      </c>
      <c r="W1949" s="162">
        <f t="shared" si="662"/>
        <v>0</v>
      </c>
      <c r="X1949" s="162">
        <f t="shared" si="662"/>
        <v>0</v>
      </c>
      <c r="Y1949" s="162">
        <f t="shared" si="662"/>
        <v>0</v>
      </c>
      <c r="Z1949" s="162">
        <f t="shared" si="662"/>
        <v>0</v>
      </c>
      <c r="AA1949" s="162">
        <f t="shared" si="662"/>
        <v>0</v>
      </c>
      <c r="AB1949" s="163">
        <f t="shared" si="663"/>
        <v>0</v>
      </c>
      <c r="AC1949" s="159"/>
      <c r="AE1949" s="194" t="str">
        <f t="shared" si="665"/>
        <v>0 - LTS (1033 - )</v>
      </c>
      <c r="AF1949" s="161">
        <f t="shared" si="664"/>
        <v>0</v>
      </c>
      <c r="AG1949" s="162">
        <f t="shared" si="664"/>
        <v>0</v>
      </c>
      <c r="AH1949" s="162">
        <f t="shared" si="664"/>
        <v>0</v>
      </c>
      <c r="AI1949" s="162">
        <f t="shared" si="664"/>
        <v>0</v>
      </c>
      <c r="AJ1949" s="162">
        <f t="shared" si="664"/>
        <v>0</v>
      </c>
      <c r="AK1949" s="162">
        <f t="shared" si="664"/>
        <v>0</v>
      </c>
      <c r="AL1949" s="162">
        <f t="shared" si="664"/>
        <v>0</v>
      </c>
      <c r="AM1949" s="162">
        <f t="shared" si="664"/>
        <v>0</v>
      </c>
      <c r="AN1949" s="162">
        <f t="shared" si="664"/>
        <v>0</v>
      </c>
      <c r="AO1949" s="162">
        <f t="shared" si="664"/>
        <v>0</v>
      </c>
      <c r="AP1949" s="162">
        <f t="shared" si="664"/>
        <v>0</v>
      </c>
      <c r="AQ1949" s="162">
        <f t="shared" si="664"/>
        <v>0</v>
      </c>
      <c r="AR1949" s="163">
        <f t="shared" si="666"/>
        <v>0</v>
      </c>
    </row>
    <row r="1950" spans="1:44" x14ac:dyDescent="0.25">
      <c r="A1950" s="14"/>
      <c r="B1950" s="15" t="str">
        <f t="shared" si="658"/>
        <v>IND_COMB__</v>
      </c>
      <c r="F1950" s="190"/>
      <c r="G1950" s="149"/>
      <c r="H1950" s="150"/>
      <c r="I1950" s="150"/>
      <c r="J1950" s="150"/>
      <c r="K1950" s="150"/>
      <c r="L1950" s="150"/>
      <c r="M1950" s="191"/>
      <c r="N1950" s="192"/>
      <c r="O1950" s="193"/>
      <c r="P1950" s="162"/>
      <c r="Q1950" s="162"/>
      <c r="R1950" s="162"/>
      <c r="S1950" s="162"/>
      <c r="T1950" s="162"/>
      <c r="U1950" s="162"/>
      <c r="V1950" s="162"/>
      <c r="W1950" s="162"/>
      <c r="X1950" s="162"/>
      <c r="Y1950" s="162"/>
      <c r="Z1950" s="162"/>
      <c r="AA1950" s="162"/>
      <c r="AB1950" s="163"/>
      <c r="AC1950" s="159"/>
      <c r="AE1950" s="194" t="str">
        <f t="shared" si="665"/>
        <v/>
      </c>
      <c r="AF1950" s="161">
        <f t="shared" ref="AF1950:AQ1965" si="667">IFERROR(IF($L1950="LTS/HS",P1950*AF1903,IF($L1950="KM/LTS",AF1903/P1950,0)),0)</f>
        <v>0</v>
      </c>
      <c r="AG1950" s="162">
        <f t="shared" si="667"/>
        <v>0</v>
      </c>
      <c r="AH1950" s="162">
        <f t="shared" si="667"/>
        <v>0</v>
      </c>
      <c r="AI1950" s="162">
        <f t="shared" si="667"/>
        <v>0</v>
      </c>
      <c r="AJ1950" s="162">
        <f t="shared" si="667"/>
        <v>0</v>
      </c>
      <c r="AK1950" s="162">
        <f t="shared" si="667"/>
        <v>0</v>
      </c>
      <c r="AL1950" s="162">
        <f t="shared" si="667"/>
        <v>0</v>
      </c>
      <c r="AM1950" s="162">
        <f t="shared" si="667"/>
        <v>0</v>
      </c>
      <c r="AN1950" s="162">
        <f t="shared" si="667"/>
        <v>0</v>
      </c>
      <c r="AO1950" s="162">
        <f t="shared" si="667"/>
        <v>0</v>
      </c>
      <c r="AP1950" s="162">
        <f t="shared" si="667"/>
        <v>0</v>
      </c>
      <c r="AQ1950" s="162">
        <f t="shared" si="667"/>
        <v>0</v>
      </c>
      <c r="AR1950" s="163">
        <f t="shared" si="666"/>
        <v>0</v>
      </c>
    </row>
    <row r="1951" spans="1:44" x14ac:dyDescent="0.25">
      <c r="A1951" s="14"/>
      <c r="B1951" s="15" t="str">
        <f t="shared" si="658"/>
        <v>IND_COMB__</v>
      </c>
      <c r="F1951" s="190"/>
      <c r="G1951" s="149"/>
      <c r="H1951" s="150"/>
      <c r="I1951" s="150"/>
      <c r="J1951" s="150"/>
      <c r="K1951" s="150"/>
      <c r="L1951" s="150"/>
      <c r="M1951" s="191"/>
      <c r="N1951" s="192"/>
      <c r="O1951" s="193"/>
      <c r="P1951" s="162"/>
      <c r="Q1951" s="162"/>
      <c r="R1951" s="162"/>
      <c r="S1951" s="162"/>
      <c r="T1951" s="162"/>
      <c r="U1951" s="162"/>
      <c r="V1951" s="162"/>
      <c r="W1951" s="162"/>
      <c r="X1951" s="162"/>
      <c r="Y1951" s="162"/>
      <c r="Z1951" s="162"/>
      <c r="AA1951" s="162"/>
      <c r="AB1951" s="163"/>
      <c r="AC1951" s="159"/>
      <c r="AE1951" s="194" t="str">
        <f t="shared" si="665"/>
        <v/>
      </c>
      <c r="AF1951" s="161">
        <f t="shared" si="667"/>
        <v>0</v>
      </c>
      <c r="AG1951" s="162">
        <f t="shared" si="667"/>
        <v>0</v>
      </c>
      <c r="AH1951" s="162">
        <f t="shared" si="667"/>
        <v>0</v>
      </c>
      <c r="AI1951" s="162">
        <f t="shared" si="667"/>
        <v>0</v>
      </c>
      <c r="AJ1951" s="162">
        <f t="shared" si="667"/>
        <v>0</v>
      </c>
      <c r="AK1951" s="162">
        <f t="shared" si="667"/>
        <v>0</v>
      </c>
      <c r="AL1951" s="162">
        <f t="shared" si="667"/>
        <v>0</v>
      </c>
      <c r="AM1951" s="162">
        <f t="shared" si="667"/>
        <v>0</v>
      </c>
      <c r="AN1951" s="162">
        <f t="shared" si="667"/>
        <v>0</v>
      </c>
      <c r="AO1951" s="162">
        <f t="shared" si="667"/>
        <v>0</v>
      </c>
      <c r="AP1951" s="162">
        <f t="shared" si="667"/>
        <v>0</v>
      </c>
      <c r="AQ1951" s="162">
        <f t="shared" si="667"/>
        <v>0</v>
      </c>
      <c r="AR1951" s="163">
        <f t="shared" si="666"/>
        <v>0</v>
      </c>
    </row>
    <row r="1952" spans="1:44" x14ac:dyDescent="0.25">
      <c r="A1952" s="14"/>
      <c r="B1952" s="15" t="str">
        <f t="shared" si="658"/>
        <v>IND_COMB__</v>
      </c>
      <c r="F1952" s="190"/>
      <c r="G1952" s="149"/>
      <c r="H1952" s="150"/>
      <c r="I1952" s="150"/>
      <c r="J1952" s="150"/>
      <c r="K1952" s="150"/>
      <c r="L1952" s="150"/>
      <c r="M1952" s="191"/>
      <c r="N1952" s="192"/>
      <c r="O1952" s="193"/>
      <c r="P1952" s="162"/>
      <c r="Q1952" s="162"/>
      <c r="R1952" s="162"/>
      <c r="S1952" s="162"/>
      <c r="T1952" s="162"/>
      <c r="U1952" s="162"/>
      <c r="V1952" s="162"/>
      <c r="W1952" s="162"/>
      <c r="X1952" s="162"/>
      <c r="Y1952" s="162"/>
      <c r="Z1952" s="162"/>
      <c r="AA1952" s="162"/>
      <c r="AB1952" s="163"/>
      <c r="AC1952" s="159"/>
      <c r="AE1952" s="194" t="str">
        <f t="shared" si="665"/>
        <v/>
      </c>
      <c r="AF1952" s="161">
        <f t="shared" si="667"/>
        <v>0</v>
      </c>
      <c r="AG1952" s="162">
        <f t="shared" si="667"/>
        <v>0</v>
      </c>
      <c r="AH1952" s="162">
        <f t="shared" si="667"/>
        <v>0</v>
      </c>
      <c r="AI1952" s="162">
        <f t="shared" si="667"/>
        <v>0</v>
      </c>
      <c r="AJ1952" s="162">
        <f t="shared" si="667"/>
        <v>0</v>
      </c>
      <c r="AK1952" s="162">
        <f t="shared" si="667"/>
        <v>0</v>
      </c>
      <c r="AL1952" s="162">
        <f t="shared" si="667"/>
        <v>0</v>
      </c>
      <c r="AM1952" s="162">
        <f t="shared" si="667"/>
        <v>0</v>
      </c>
      <c r="AN1952" s="162">
        <f t="shared" si="667"/>
        <v>0</v>
      </c>
      <c r="AO1952" s="162">
        <f t="shared" si="667"/>
        <v>0</v>
      </c>
      <c r="AP1952" s="162">
        <f t="shared" si="667"/>
        <v>0</v>
      </c>
      <c r="AQ1952" s="162">
        <f t="shared" si="667"/>
        <v>0</v>
      </c>
      <c r="AR1952" s="163">
        <f t="shared" si="666"/>
        <v>0</v>
      </c>
    </row>
    <row r="1953" spans="1:44" x14ac:dyDescent="0.25">
      <c r="A1953" s="14"/>
      <c r="B1953" s="15" t="str">
        <f t="shared" si="658"/>
        <v>IND_COMB__</v>
      </c>
      <c r="F1953" s="190"/>
      <c r="G1953" s="149"/>
      <c r="H1953" s="150"/>
      <c r="I1953" s="150"/>
      <c r="J1953" s="150"/>
      <c r="K1953" s="150"/>
      <c r="L1953" s="150"/>
      <c r="M1953" s="191"/>
      <c r="N1953" s="192"/>
      <c r="O1953" s="193"/>
      <c r="P1953" s="162"/>
      <c r="Q1953" s="162"/>
      <c r="R1953" s="162"/>
      <c r="S1953" s="162"/>
      <c r="T1953" s="162"/>
      <c r="U1953" s="162"/>
      <c r="V1953" s="162"/>
      <c r="W1953" s="162"/>
      <c r="X1953" s="162"/>
      <c r="Y1953" s="162"/>
      <c r="Z1953" s="162"/>
      <c r="AA1953" s="162"/>
      <c r="AB1953" s="163"/>
      <c r="AC1953" s="159"/>
      <c r="AE1953" s="194" t="str">
        <f t="shared" si="665"/>
        <v/>
      </c>
      <c r="AF1953" s="161">
        <f t="shared" si="667"/>
        <v>0</v>
      </c>
      <c r="AG1953" s="162">
        <f t="shared" si="667"/>
        <v>0</v>
      </c>
      <c r="AH1953" s="162">
        <f t="shared" si="667"/>
        <v>0</v>
      </c>
      <c r="AI1953" s="162">
        <f t="shared" si="667"/>
        <v>0</v>
      </c>
      <c r="AJ1953" s="162">
        <f t="shared" si="667"/>
        <v>0</v>
      </c>
      <c r="AK1953" s="162">
        <f t="shared" si="667"/>
        <v>0</v>
      </c>
      <c r="AL1953" s="162">
        <f t="shared" si="667"/>
        <v>0</v>
      </c>
      <c r="AM1953" s="162">
        <f t="shared" si="667"/>
        <v>0</v>
      </c>
      <c r="AN1953" s="162">
        <f t="shared" si="667"/>
        <v>0</v>
      </c>
      <c r="AO1953" s="162">
        <f t="shared" si="667"/>
        <v>0</v>
      </c>
      <c r="AP1953" s="162">
        <f t="shared" si="667"/>
        <v>0</v>
      </c>
      <c r="AQ1953" s="162">
        <f t="shared" si="667"/>
        <v>0</v>
      </c>
      <c r="AR1953" s="163">
        <f t="shared" si="666"/>
        <v>0</v>
      </c>
    </row>
    <row r="1954" spans="1:44" x14ac:dyDescent="0.25">
      <c r="A1954" s="14"/>
      <c r="B1954" s="15" t="str">
        <f t="shared" si="658"/>
        <v>IND_COMB__</v>
      </c>
      <c r="F1954" s="190"/>
      <c r="G1954" s="149"/>
      <c r="H1954" s="150"/>
      <c r="I1954" s="150"/>
      <c r="J1954" s="150"/>
      <c r="K1954" s="150"/>
      <c r="L1954" s="150"/>
      <c r="M1954" s="191"/>
      <c r="N1954" s="192"/>
      <c r="O1954" s="193"/>
      <c r="P1954" s="162"/>
      <c r="Q1954" s="162"/>
      <c r="R1954" s="162"/>
      <c r="S1954" s="162"/>
      <c r="T1954" s="162"/>
      <c r="U1954" s="162"/>
      <c r="V1954" s="162"/>
      <c r="W1954" s="162"/>
      <c r="X1954" s="162"/>
      <c r="Y1954" s="162"/>
      <c r="Z1954" s="162"/>
      <c r="AA1954" s="162"/>
      <c r="AB1954" s="163"/>
      <c r="AC1954" s="159"/>
      <c r="AE1954" s="194" t="str">
        <f t="shared" si="665"/>
        <v/>
      </c>
      <c r="AF1954" s="161">
        <f t="shared" si="667"/>
        <v>0</v>
      </c>
      <c r="AG1954" s="162">
        <f t="shared" si="667"/>
        <v>0</v>
      </c>
      <c r="AH1954" s="162">
        <f t="shared" si="667"/>
        <v>0</v>
      </c>
      <c r="AI1954" s="162">
        <f t="shared" si="667"/>
        <v>0</v>
      </c>
      <c r="AJ1954" s="162">
        <f t="shared" si="667"/>
        <v>0</v>
      </c>
      <c r="AK1954" s="162">
        <f t="shared" si="667"/>
        <v>0</v>
      </c>
      <c r="AL1954" s="162">
        <f t="shared" si="667"/>
        <v>0</v>
      </c>
      <c r="AM1954" s="162">
        <f t="shared" si="667"/>
        <v>0</v>
      </c>
      <c r="AN1954" s="162">
        <f t="shared" si="667"/>
        <v>0</v>
      </c>
      <c r="AO1954" s="162">
        <f t="shared" si="667"/>
        <v>0</v>
      </c>
      <c r="AP1954" s="162">
        <f t="shared" si="667"/>
        <v>0</v>
      </c>
      <c r="AQ1954" s="162">
        <f t="shared" si="667"/>
        <v>0</v>
      </c>
      <c r="AR1954" s="163">
        <f t="shared" si="666"/>
        <v>0</v>
      </c>
    </row>
    <row r="1955" spans="1:44" x14ac:dyDescent="0.25">
      <c r="A1955" s="14"/>
      <c r="B1955" s="15" t="str">
        <f t="shared" si="658"/>
        <v>IND_COMB__</v>
      </c>
      <c r="F1955" s="190"/>
      <c r="G1955" s="149"/>
      <c r="H1955" s="150"/>
      <c r="I1955" s="150"/>
      <c r="J1955" s="150"/>
      <c r="K1955" s="150"/>
      <c r="L1955" s="150"/>
      <c r="M1955" s="191"/>
      <c r="N1955" s="192"/>
      <c r="O1955" s="193"/>
      <c r="P1955" s="162"/>
      <c r="Q1955" s="162"/>
      <c r="R1955" s="162"/>
      <c r="S1955" s="162"/>
      <c r="T1955" s="162"/>
      <c r="U1955" s="162"/>
      <c r="V1955" s="162"/>
      <c r="W1955" s="162"/>
      <c r="X1955" s="162"/>
      <c r="Y1955" s="162"/>
      <c r="Z1955" s="162"/>
      <c r="AA1955" s="162"/>
      <c r="AB1955" s="163"/>
      <c r="AC1955" s="159"/>
      <c r="AE1955" s="194" t="str">
        <f t="shared" si="665"/>
        <v/>
      </c>
      <c r="AF1955" s="161">
        <f t="shared" si="667"/>
        <v>0</v>
      </c>
      <c r="AG1955" s="162">
        <f t="shared" si="667"/>
        <v>0</v>
      </c>
      <c r="AH1955" s="162">
        <f t="shared" si="667"/>
        <v>0</v>
      </c>
      <c r="AI1955" s="162">
        <f t="shared" si="667"/>
        <v>0</v>
      </c>
      <c r="AJ1955" s="162">
        <f t="shared" si="667"/>
        <v>0</v>
      </c>
      <c r="AK1955" s="162">
        <f t="shared" si="667"/>
        <v>0</v>
      </c>
      <c r="AL1955" s="162">
        <f t="shared" si="667"/>
        <v>0</v>
      </c>
      <c r="AM1955" s="162">
        <f t="shared" si="667"/>
        <v>0</v>
      </c>
      <c r="AN1955" s="162">
        <f t="shared" si="667"/>
        <v>0</v>
      </c>
      <c r="AO1955" s="162">
        <f t="shared" si="667"/>
        <v>0</v>
      </c>
      <c r="AP1955" s="162">
        <f t="shared" si="667"/>
        <v>0</v>
      </c>
      <c r="AQ1955" s="162">
        <f t="shared" si="667"/>
        <v>0</v>
      </c>
      <c r="AR1955" s="163">
        <f t="shared" si="666"/>
        <v>0</v>
      </c>
    </row>
    <row r="1956" spans="1:44" x14ac:dyDescent="0.25">
      <c r="A1956" s="14"/>
      <c r="B1956" s="15" t="str">
        <f t="shared" si="658"/>
        <v>IND_COMB__</v>
      </c>
      <c r="F1956" s="190"/>
      <c r="G1956" s="149"/>
      <c r="H1956" s="150"/>
      <c r="I1956" s="150"/>
      <c r="J1956" s="150"/>
      <c r="K1956" s="150"/>
      <c r="L1956" s="150"/>
      <c r="M1956" s="191"/>
      <c r="N1956" s="192"/>
      <c r="O1956" s="193"/>
      <c r="P1956" s="162"/>
      <c r="Q1956" s="162"/>
      <c r="R1956" s="162"/>
      <c r="S1956" s="162"/>
      <c r="T1956" s="162"/>
      <c r="U1956" s="162"/>
      <c r="V1956" s="162"/>
      <c r="W1956" s="162"/>
      <c r="X1956" s="162"/>
      <c r="Y1956" s="162"/>
      <c r="Z1956" s="162"/>
      <c r="AA1956" s="162"/>
      <c r="AB1956" s="163"/>
      <c r="AC1956" s="159"/>
      <c r="AE1956" s="194" t="str">
        <f t="shared" si="665"/>
        <v/>
      </c>
      <c r="AF1956" s="161">
        <f t="shared" si="667"/>
        <v>0</v>
      </c>
      <c r="AG1956" s="162">
        <f t="shared" si="667"/>
        <v>0</v>
      </c>
      <c r="AH1956" s="162">
        <f t="shared" si="667"/>
        <v>0</v>
      </c>
      <c r="AI1956" s="162">
        <f t="shared" si="667"/>
        <v>0</v>
      </c>
      <c r="AJ1956" s="162">
        <f t="shared" si="667"/>
        <v>0</v>
      </c>
      <c r="AK1956" s="162">
        <f t="shared" si="667"/>
        <v>0</v>
      </c>
      <c r="AL1956" s="162">
        <f t="shared" si="667"/>
        <v>0</v>
      </c>
      <c r="AM1956" s="162">
        <f t="shared" si="667"/>
        <v>0</v>
      </c>
      <c r="AN1956" s="162">
        <f t="shared" si="667"/>
        <v>0</v>
      </c>
      <c r="AO1956" s="162">
        <f t="shared" si="667"/>
        <v>0</v>
      </c>
      <c r="AP1956" s="162">
        <f t="shared" si="667"/>
        <v>0</v>
      </c>
      <c r="AQ1956" s="162">
        <f t="shared" si="667"/>
        <v>0</v>
      </c>
      <c r="AR1956" s="163">
        <f t="shared" si="666"/>
        <v>0</v>
      </c>
    </row>
    <row r="1957" spans="1:44" x14ac:dyDescent="0.25">
      <c r="A1957" s="14"/>
      <c r="B1957" s="15" t="str">
        <f t="shared" si="658"/>
        <v>IND_COMB__</v>
      </c>
      <c r="F1957" s="190"/>
      <c r="G1957" s="149"/>
      <c r="H1957" s="150"/>
      <c r="I1957" s="150"/>
      <c r="J1957" s="150"/>
      <c r="K1957" s="150"/>
      <c r="L1957" s="150"/>
      <c r="M1957" s="191"/>
      <c r="N1957" s="192"/>
      <c r="O1957" s="193"/>
      <c r="P1957" s="162"/>
      <c r="Q1957" s="162"/>
      <c r="R1957" s="162"/>
      <c r="S1957" s="162"/>
      <c r="T1957" s="162"/>
      <c r="U1957" s="162"/>
      <c r="V1957" s="162"/>
      <c r="W1957" s="162"/>
      <c r="X1957" s="162"/>
      <c r="Y1957" s="162"/>
      <c r="Z1957" s="162"/>
      <c r="AA1957" s="162"/>
      <c r="AB1957" s="163"/>
      <c r="AC1957" s="159"/>
      <c r="AE1957" s="194" t="str">
        <f t="shared" si="665"/>
        <v/>
      </c>
      <c r="AF1957" s="161">
        <f t="shared" si="667"/>
        <v>0</v>
      </c>
      <c r="AG1957" s="162">
        <f t="shared" si="667"/>
        <v>0</v>
      </c>
      <c r="AH1957" s="162">
        <f t="shared" si="667"/>
        <v>0</v>
      </c>
      <c r="AI1957" s="162">
        <f t="shared" si="667"/>
        <v>0</v>
      </c>
      <c r="AJ1957" s="162">
        <f t="shared" si="667"/>
        <v>0</v>
      </c>
      <c r="AK1957" s="162">
        <f t="shared" si="667"/>
        <v>0</v>
      </c>
      <c r="AL1957" s="162">
        <f t="shared" si="667"/>
        <v>0</v>
      </c>
      <c r="AM1957" s="162">
        <f t="shared" si="667"/>
        <v>0</v>
      </c>
      <c r="AN1957" s="162">
        <f t="shared" si="667"/>
        <v>0</v>
      </c>
      <c r="AO1957" s="162">
        <f t="shared" si="667"/>
        <v>0</v>
      </c>
      <c r="AP1957" s="162">
        <f t="shared" si="667"/>
        <v>0</v>
      </c>
      <c r="AQ1957" s="162">
        <f t="shared" si="667"/>
        <v>0</v>
      </c>
      <c r="AR1957" s="163">
        <f t="shared" si="666"/>
        <v>0</v>
      </c>
    </row>
    <row r="1958" spans="1:44" x14ac:dyDescent="0.25">
      <c r="A1958" s="14"/>
      <c r="B1958" s="15" t="str">
        <f t="shared" si="658"/>
        <v>IND_COMB__</v>
      </c>
      <c r="F1958" s="190"/>
      <c r="G1958" s="149"/>
      <c r="H1958" s="150"/>
      <c r="I1958" s="150"/>
      <c r="J1958" s="150"/>
      <c r="K1958" s="150"/>
      <c r="L1958" s="150"/>
      <c r="M1958" s="191"/>
      <c r="N1958" s="192"/>
      <c r="O1958" s="193"/>
      <c r="P1958" s="162"/>
      <c r="Q1958" s="162"/>
      <c r="R1958" s="162"/>
      <c r="S1958" s="162"/>
      <c r="T1958" s="162"/>
      <c r="U1958" s="162"/>
      <c r="V1958" s="162"/>
      <c r="W1958" s="162"/>
      <c r="X1958" s="162"/>
      <c r="Y1958" s="162"/>
      <c r="Z1958" s="162"/>
      <c r="AA1958" s="162"/>
      <c r="AB1958" s="163"/>
      <c r="AC1958" s="159"/>
      <c r="AE1958" s="194" t="str">
        <f t="shared" si="665"/>
        <v/>
      </c>
      <c r="AF1958" s="161">
        <f t="shared" si="667"/>
        <v>0</v>
      </c>
      <c r="AG1958" s="162">
        <f t="shared" si="667"/>
        <v>0</v>
      </c>
      <c r="AH1958" s="162">
        <f t="shared" si="667"/>
        <v>0</v>
      </c>
      <c r="AI1958" s="162">
        <f t="shared" si="667"/>
        <v>0</v>
      </c>
      <c r="AJ1958" s="162">
        <f t="shared" si="667"/>
        <v>0</v>
      </c>
      <c r="AK1958" s="162">
        <f t="shared" si="667"/>
        <v>0</v>
      </c>
      <c r="AL1958" s="162">
        <f t="shared" si="667"/>
        <v>0</v>
      </c>
      <c r="AM1958" s="162">
        <f t="shared" si="667"/>
        <v>0</v>
      </c>
      <c r="AN1958" s="162">
        <f t="shared" si="667"/>
        <v>0</v>
      </c>
      <c r="AO1958" s="162">
        <f t="shared" si="667"/>
        <v>0</v>
      </c>
      <c r="AP1958" s="162">
        <f t="shared" si="667"/>
        <v>0</v>
      </c>
      <c r="AQ1958" s="162">
        <f t="shared" si="667"/>
        <v>0</v>
      </c>
      <c r="AR1958" s="163">
        <f t="shared" si="666"/>
        <v>0</v>
      </c>
    </row>
    <row r="1959" spans="1:44" x14ac:dyDescent="0.25">
      <c r="A1959" s="14"/>
      <c r="B1959" s="15" t="str">
        <f t="shared" si="658"/>
        <v>IND_COMB__</v>
      </c>
      <c r="F1959" s="190"/>
      <c r="G1959" s="149"/>
      <c r="H1959" s="150"/>
      <c r="I1959" s="150"/>
      <c r="J1959" s="150"/>
      <c r="K1959" s="150"/>
      <c r="L1959" s="150"/>
      <c r="M1959" s="191"/>
      <c r="N1959" s="192"/>
      <c r="O1959" s="193"/>
      <c r="P1959" s="162"/>
      <c r="Q1959" s="162"/>
      <c r="R1959" s="162"/>
      <c r="S1959" s="162"/>
      <c r="T1959" s="162"/>
      <c r="U1959" s="162"/>
      <c r="V1959" s="162"/>
      <c r="W1959" s="162"/>
      <c r="X1959" s="162"/>
      <c r="Y1959" s="162"/>
      <c r="Z1959" s="162"/>
      <c r="AA1959" s="162"/>
      <c r="AB1959" s="163"/>
      <c r="AC1959" s="159"/>
      <c r="AE1959" s="194" t="str">
        <f t="shared" si="665"/>
        <v/>
      </c>
      <c r="AF1959" s="161">
        <f t="shared" si="667"/>
        <v>0</v>
      </c>
      <c r="AG1959" s="162">
        <f t="shared" si="667"/>
        <v>0</v>
      </c>
      <c r="AH1959" s="162">
        <f t="shared" si="667"/>
        <v>0</v>
      </c>
      <c r="AI1959" s="162">
        <f t="shared" si="667"/>
        <v>0</v>
      </c>
      <c r="AJ1959" s="162">
        <f t="shared" si="667"/>
        <v>0</v>
      </c>
      <c r="AK1959" s="162">
        <f t="shared" si="667"/>
        <v>0</v>
      </c>
      <c r="AL1959" s="162">
        <f t="shared" si="667"/>
        <v>0</v>
      </c>
      <c r="AM1959" s="162">
        <f t="shared" si="667"/>
        <v>0</v>
      </c>
      <c r="AN1959" s="162">
        <f t="shared" si="667"/>
        <v>0</v>
      </c>
      <c r="AO1959" s="162">
        <f t="shared" si="667"/>
        <v>0</v>
      </c>
      <c r="AP1959" s="162">
        <f t="shared" si="667"/>
        <v>0</v>
      </c>
      <c r="AQ1959" s="162">
        <f t="shared" si="667"/>
        <v>0</v>
      </c>
      <c r="AR1959" s="163">
        <f t="shared" si="666"/>
        <v>0</v>
      </c>
    </row>
    <row r="1960" spans="1:44" x14ac:dyDescent="0.25">
      <c r="A1960" s="14"/>
      <c r="B1960" s="15" t="str">
        <f t="shared" si="658"/>
        <v>IND_COMB__</v>
      </c>
      <c r="F1960" s="190"/>
      <c r="G1960" s="149"/>
      <c r="H1960" s="150"/>
      <c r="I1960" s="150"/>
      <c r="J1960" s="150"/>
      <c r="K1960" s="150"/>
      <c r="L1960" s="150"/>
      <c r="M1960" s="191"/>
      <c r="N1960" s="192"/>
      <c r="O1960" s="193"/>
      <c r="P1960" s="162"/>
      <c r="Q1960" s="162"/>
      <c r="R1960" s="162"/>
      <c r="S1960" s="162"/>
      <c r="T1960" s="162"/>
      <c r="U1960" s="162"/>
      <c r="V1960" s="162"/>
      <c r="W1960" s="162"/>
      <c r="X1960" s="162"/>
      <c r="Y1960" s="162"/>
      <c r="Z1960" s="162"/>
      <c r="AA1960" s="162"/>
      <c r="AB1960" s="163"/>
      <c r="AC1960" s="159"/>
      <c r="AE1960" s="194" t="str">
        <f t="shared" si="665"/>
        <v/>
      </c>
      <c r="AF1960" s="161">
        <f t="shared" si="667"/>
        <v>0</v>
      </c>
      <c r="AG1960" s="162">
        <f t="shared" si="667"/>
        <v>0</v>
      </c>
      <c r="AH1960" s="162">
        <f t="shared" si="667"/>
        <v>0</v>
      </c>
      <c r="AI1960" s="162">
        <f t="shared" si="667"/>
        <v>0</v>
      </c>
      <c r="AJ1960" s="162">
        <f t="shared" si="667"/>
        <v>0</v>
      </c>
      <c r="AK1960" s="162">
        <f t="shared" si="667"/>
        <v>0</v>
      </c>
      <c r="AL1960" s="162">
        <f t="shared" si="667"/>
        <v>0</v>
      </c>
      <c r="AM1960" s="162">
        <f t="shared" si="667"/>
        <v>0</v>
      </c>
      <c r="AN1960" s="162">
        <f t="shared" si="667"/>
        <v>0</v>
      </c>
      <c r="AO1960" s="162">
        <f t="shared" si="667"/>
        <v>0</v>
      </c>
      <c r="AP1960" s="162">
        <f t="shared" si="667"/>
        <v>0</v>
      </c>
      <c r="AQ1960" s="162">
        <f t="shared" si="667"/>
        <v>0</v>
      </c>
      <c r="AR1960" s="163">
        <f t="shared" si="666"/>
        <v>0</v>
      </c>
    </row>
    <row r="1961" spans="1:44" x14ac:dyDescent="0.25">
      <c r="A1961" s="14"/>
      <c r="B1961" s="15" t="str">
        <f t="shared" si="658"/>
        <v>IND_COMB__</v>
      </c>
      <c r="F1961" s="190"/>
      <c r="G1961" s="149"/>
      <c r="H1961" s="150"/>
      <c r="I1961" s="150"/>
      <c r="J1961" s="150"/>
      <c r="K1961" s="150"/>
      <c r="L1961" s="150"/>
      <c r="M1961" s="191"/>
      <c r="N1961" s="192"/>
      <c r="O1961" s="193"/>
      <c r="P1961" s="162"/>
      <c r="Q1961" s="162"/>
      <c r="R1961" s="162"/>
      <c r="S1961" s="162"/>
      <c r="T1961" s="162"/>
      <c r="U1961" s="162"/>
      <c r="V1961" s="162"/>
      <c r="W1961" s="162"/>
      <c r="X1961" s="162"/>
      <c r="Y1961" s="162"/>
      <c r="Z1961" s="162"/>
      <c r="AA1961" s="162"/>
      <c r="AB1961" s="163"/>
      <c r="AC1961" s="159"/>
      <c r="AE1961" s="194" t="str">
        <f t="shared" si="665"/>
        <v/>
      </c>
      <c r="AF1961" s="161">
        <f t="shared" si="667"/>
        <v>0</v>
      </c>
      <c r="AG1961" s="162">
        <f t="shared" si="667"/>
        <v>0</v>
      </c>
      <c r="AH1961" s="162">
        <f t="shared" si="667"/>
        <v>0</v>
      </c>
      <c r="AI1961" s="162">
        <f t="shared" si="667"/>
        <v>0</v>
      </c>
      <c r="AJ1961" s="162">
        <f t="shared" si="667"/>
        <v>0</v>
      </c>
      <c r="AK1961" s="162">
        <f t="shared" si="667"/>
        <v>0</v>
      </c>
      <c r="AL1961" s="162">
        <f t="shared" si="667"/>
        <v>0</v>
      </c>
      <c r="AM1961" s="162">
        <f t="shared" si="667"/>
        <v>0</v>
      </c>
      <c r="AN1961" s="162">
        <f t="shared" si="667"/>
        <v>0</v>
      </c>
      <c r="AO1961" s="162">
        <f t="shared" si="667"/>
        <v>0</v>
      </c>
      <c r="AP1961" s="162">
        <f t="shared" si="667"/>
        <v>0</v>
      </c>
      <c r="AQ1961" s="162">
        <f t="shared" si="667"/>
        <v>0</v>
      </c>
      <c r="AR1961" s="163">
        <f t="shared" si="666"/>
        <v>0</v>
      </c>
    </row>
    <row r="1962" spans="1:44" x14ac:dyDescent="0.25">
      <c r="A1962" s="14"/>
      <c r="B1962" s="15" t="str">
        <f t="shared" si="658"/>
        <v>IND_COMB__</v>
      </c>
      <c r="F1962" s="190"/>
      <c r="G1962" s="149"/>
      <c r="H1962" s="150"/>
      <c r="I1962" s="150"/>
      <c r="J1962" s="150"/>
      <c r="K1962" s="150"/>
      <c r="L1962" s="150"/>
      <c r="M1962" s="191"/>
      <c r="N1962" s="192"/>
      <c r="O1962" s="193"/>
      <c r="P1962" s="162"/>
      <c r="Q1962" s="162"/>
      <c r="R1962" s="162"/>
      <c r="S1962" s="162"/>
      <c r="T1962" s="162"/>
      <c r="U1962" s="162"/>
      <c r="V1962" s="162"/>
      <c r="W1962" s="162"/>
      <c r="X1962" s="162"/>
      <c r="Y1962" s="162"/>
      <c r="Z1962" s="162"/>
      <c r="AA1962" s="162"/>
      <c r="AB1962" s="163"/>
      <c r="AC1962" s="159"/>
      <c r="AE1962" s="194" t="str">
        <f t="shared" si="665"/>
        <v/>
      </c>
      <c r="AF1962" s="161">
        <f t="shared" si="667"/>
        <v>0</v>
      </c>
      <c r="AG1962" s="162">
        <f t="shared" si="667"/>
        <v>0</v>
      </c>
      <c r="AH1962" s="162">
        <f t="shared" si="667"/>
        <v>0</v>
      </c>
      <c r="AI1962" s="162">
        <f t="shared" si="667"/>
        <v>0</v>
      </c>
      <c r="AJ1962" s="162">
        <f t="shared" si="667"/>
        <v>0</v>
      </c>
      <c r="AK1962" s="162">
        <f t="shared" si="667"/>
        <v>0</v>
      </c>
      <c r="AL1962" s="162">
        <f t="shared" si="667"/>
        <v>0</v>
      </c>
      <c r="AM1962" s="162">
        <f t="shared" si="667"/>
        <v>0</v>
      </c>
      <c r="AN1962" s="162">
        <f t="shared" si="667"/>
        <v>0</v>
      </c>
      <c r="AO1962" s="162">
        <f t="shared" si="667"/>
        <v>0</v>
      </c>
      <c r="AP1962" s="162">
        <f t="shared" si="667"/>
        <v>0</v>
      </c>
      <c r="AQ1962" s="162">
        <f t="shared" si="667"/>
        <v>0</v>
      </c>
      <c r="AR1962" s="163">
        <f t="shared" si="666"/>
        <v>0</v>
      </c>
    </row>
    <row r="1963" spans="1:44" x14ac:dyDescent="0.25">
      <c r="A1963" s="14"/>
      <c r="B1963" s="15" t="str">
        <f t="shared" si="658"/>
        <v>IND_COMB__</v>
      </c>
      <c r="F1963" s="190"/>
      <c r="G1963" s="149"/>
      <c r="H1963" s="150"/>
      <c r="I1963" s="150"/>
      <c r="J1963" s="150"/>
      <c r="K1963" s="150"/>
      <c r="L1963" s="150"/>
      <c r="M1963" s="191"/>
      <c r="N1963" s="192"/>
      <c r="O1963" s="193"/>
      <c r="P1963" s="162"/>
      <c r="Q1963" s="162"/>
      <c r="R1963" s="162"/>
      <c r="S1963" s="162"/>
      <c r="T1963" s="162"/>
      <c r="U1963" s="162"/>
      <c r="V1963" s="162"/>
      <c r="W1963" s="162"/>
      <c r="X1963" s="162"/>
      <c r="Y1963" s="162"/>
      <c r="Z1963" s="162"/>
      <c r="AA1963" s="162"/>
      <c r="AB1963" s="163"/>
      <c r="AC1963" s="159"/>
      <c r="AE1963" s="194" t="str">
        <f t="shared" si="665"/>
        <v/>
      </c>
      <c r="AF1963" s="161">
        <f t="shared" si="667"/>
        <v>0</v>
      </c>
      <c r="AG1963" s="162">
        <f t="shared" si="667"/>
        <v>0</v>
      </c>
      <c r="AH1963" s="162">
        <f t="shared" si="667"/>
        <v>0</v>
      </c>
      <c r="AI1963" s="162">
        <f t="shared" si="667"/>
        <v>0</v>
      </c>
      <c r="AJ1963" s="162">
        <f t="shared" si="667"/>
        <v>0</v>
      </c>
      <c r="AK1963" s="162">
        <f t="shared" si="667"/>
        <v>0</v>
      </c>
      <c r="AL1963" s="162">
        <f t="shared" si="667"/>
        <v>0</v>
      </c>
      <c r="AM1963" s="162">
        <f t="shared" si="667"/>
        <v>0</v>
      </c>
      <c r="AN1963" s="162">
        <f t="shared" si="667"/>
        <v>0</v>
      </c>
      <c r="AO1963" s="162">
        <f t="shared" si="667"/>
        <v>0</v>
      </c>
      <c r="AP1963" s="162">
        <f t="shared" si="667"/>
        <v>0</v>
      </c>
      <c r="AQ1963" s="162">
        <f t="shared" si="667"/>
        <v>0</v>
      </c>
      <c r="AR1963" s="163">
        <f t="shared" si="666"/>
        <v>0</v>
      </c>
    </row>
    <row r="1964" spans="1:44" x14ac:dyDescent="0.25">
      <c r="A1964" s="14"/>
      <c r="B1964" s="15" t="str">
        <f t="shared" si="658"/>
        <v>IND_COMB__</v>
      </c>
      <c r="F1964" s="190"/>
      <c r="G1964" s="149"/>
      <c r="H1964" s="150"/>
      <c r="I1964" s="150"/>
      <c r="J1964" s="150"/>
      <c r="K1964" s="150"/>
      <c r="L1964" s="150"/>
      <c r="M1964" s="191"/>
      <c r="N1964" s="192"/>
      <c r="O1964" s="193"/>
      <c r="P1964" s="162"/>
      <c r="Q1964" s="162"/>
      <c r="R1964" s="162"/>
      <c r="S1964" s="162"/>
      <c r="T1964" s="162"/>
      <c r="U1964" s="162"/>
      <c r="V1964" s="162"/>
      <c r="W1964" s="162"/>
      <c r="X1964" s="162"/>
      <c r="Y1964" s="162"/>
      <c r="Z1964" s="162"/>
      <c r="AA1964" s="162"/>
      <c r="AB1964" s="163"/>
      <c r="AC1964" s="159"/>
      <c r="AE1964" s="194" t="str">
        <f t="shared" si="665"/>
        <v/>
      </c>
      <c r="AF1964" s="161">
        <f t="shared" si="667"/>
        <v>0</v>
      </c>
      <c r="AG1964" s="162">
        <f t="shared" si="667"/>
        <v>0</v>
      </c>
      <c r="AH1964" s="162">
        <f t="shared" si="667"/>
        <v>0</v>
      </c>
      <c r="AI1964" s="162">
        <f t="shared" si="667"/>
        <v>0</v>
      </c>
      <c r="AJ1964" s="162">
        <f t="shared" si="667"/>
        <v>0</v>
      </c>
      <c r="AK1964" s="162">
        <f t="shared" si="667"/>
        <v>0</v>
      </c>
      <c r="AL1964" s="162">
        <f t="shared" si="667"/>
        <v>0</v>
      </c>
      <c r="AM1964" s="162">
        <f t="shared" si="667"/>
        <v>0</v>
      </c>
      <c r="AN1964" s="162">
        <f t="shared" si="667"/>
        <v>0</v>
      </c>
      <c r="AO1964" s="162">
        <f t="shared" si="667"/>
        <v>0</v>
      </c>
      <c r="AP1964" s="162">
        <f t="shared" si="667"/>
        <v>0</v>
      </c>
      <c r="AQ1964" s="162">
        <f t="shared" si="667"/>
        <v>0</v>
      </c>
      <c r="AR1964" s="163">
        <f t="shared" si="666"/>
        <v>0</v>
      </c>
    </row>
    <row r="1965" spans="1:44" x14ac:dyDescent="0.25">
      <c r="A1965" s="14"/>
      <c r="B1965" s="15" t="str">
        <f t="shared" si="658"/>
        <v>IND_COMB__</v>
      </c>
      <c r="F1965" s="190"/>
      <c r="G1965" s="149"/>
      <c r="H1965" s="150"/>
      <c r="I1965" s="150"/>
      <c r="J1965" s="150"/>
      <c r="K1965" s="150"/>
      <c r="L1965" s="150"/>
      <c r="M1965" s="191"/>
      <c r="N1965" s="192"/>
      <c r="O1965" s="193"/>
      <c r="P1965" s="162"/>
      <c r="Q1965" s="162"/>
      <c r="R1965" s="162"/>
      <c r="S1965" s="162"/>
      <c r="T1965" s="162"/>
      <c r="U1965" s="162"/>
      <c r="V1965" s="162"/>
      <c r="W1965" s="162"/>
      <c r="X1965" s="162"/>
      <c r="Y1965" s="162"/>
      <c r="Z1965" s="162"/>
      <c r="AA1965" s="162"/>
      <c r="AB1965" s="163"/>
      <c r="AC1965" s="159"/>
      <c r="AE1965" s="194" t="str">
        <f t="shared" si="665"/>
        <v/>
      </c>
      <c r="AF1965" s="161">
        <f t="shared" si="667"/>
        <v>0</v>
      </c>
      <c r="AG1965" s="162">
        <f t="shared" si="667"/>
        <v>0</v>
      </c>
      <c r="AH1965" s="162">
        <f t="shared" si="667"/>
        <v>0</v>
      </c>
      <c r="AI1965" s="162">
        <f t="shared" si="667"/>
        <v>0</v>
      </c>
      <c r="AJ1965" s="162">
        <f t="shared" si="667"/>
        <v>0</v>
      </c>
      <c r="AK1965" s="162">
        <f t="shared" si="667"/>
        <v>0</v>
      </c>
      <c r="AL1965" s="162">
        <f t="shared" si="667"/>
        <v>0</v>
      </c>
      <c r="AM1965" s="162">
        <f t="shared" si="667"/>
        <v>0</v>
      </c>
      <c r="AN1965" s="162">
        <f t="shared" si="667"/>
        <v>0</v>
      </c>
      <c r="AO1965" s="162">
        <f t="shared" si="667"/>
        <v>0</v>
      </c>
      <c r="AP1965" s="162">
        <f t="shared" si="667"/>
        <v>0</v>
      </c>
      <c r="AQ1965" s="162">
        <f t="shared" si="667"/>
        <v>0</v>
      </c>
      <c r="AR1965" s="163">
        <f t="shared" si="666"/>
        <v>0</v>
      </c>
    </row>
    <row r="1966" spans="1:44" x14ac:dyDescent="0.25">
      <c r="A1966" s="14"/>
      <c r="B1966" s="15" t="str">
        <f t="shared" si="658"/>
        <v>IND_COMB__</v>
      </c>
      <c r="F1966" s="190"/>
      <c r="G1966" s="149"/>
      <c r="H1966" s="150"/>
      <c r="I1966" s="150"/>
      <c r="J1966" s="150"/>
      <c r="K1966" s="150"/>
      <c r="L1966" s="150"/>
      <c r="M1966" s="191"/>
      <c r="N1966" s="192"/>
      <c r="O1966" s="193"/>
      <c r="P1966" s="162"/>
      <c r="Q1966" s="162"/>
      <c r="R1966" s="162"/>
      <c r="S1966" s="162"/>
      <c r="T1966" s="162"/>
      <c r="U1966" s="162"/>
      <c r="V1966" s="162"/>
      <c r="W1966" s="162"/>
      <c r="X1966" s="162"/>
      <c r="Y1966" s="162"/>
      <c r="Z1966" s="162"/>
      <c r="AA1966" s="162"/>
      <c r="AB1966" s="163"/>
      <c r="AC1966" s="159"/>
      <c r="AE1966" s="194" t="str">
        <f t="shared" si="665"/>
        <v/>
      </c>
      <c r="AF1966" s="161">
        <f t="shared" ref="AF1966:AQ1978" si="668">IFERROR(IF($L1966="LTS/HS",P1966*AF1919,IF($L1966="KM/LTS",AF1919/P1966,0)),0)</f>
        <v>0</v>
      </c>
      <c r="AG1966" s="162">
        <f t="shared" si="668"/>
        <v>0</v>
      </c>
      <c r="AH1966" s="162">
        <f t="shared" si="668"/>
        <v>0</v>
      </c>
      <c r="AI1966" s="162">
        <f t="shared" si="668"/>
        <v>0</v>
      </c>
      <c r="AJ1966" s="162">
        <f t="shared" si="668"/>
        <v>0</v>
      </c>
      <c r="AK1966" s="162">
        <f t="shared" si="668"/>
        <v>0</v>
      </c>
      <c r="AL1966" s="162">
        <f t="shared" si="668"/>
        <v>0</v>
      </c>
      <c r="AM1966" s="162">
        <f t="shared" si="668"/>
        <v>0</v>
      </c>
      <c r="AN1966" s="162">
        <f t="shared" si="668"/>
        <v>0</v>
      </c>
      <c r="AO1966" s="162">
        <f t="shared" si="668"/>
        <v>0</v>
      </c>
      <c r="AP1966" s="162">
        <f t="shared" si="668"/>
        <v>0</v>
      </c>
      <c r="AQ1966" s="162">
        <f t="shared" si="668"/>
        <v>0</v>
      </c>
      <c r="AR1966" s="163">
        <f t="shared" si="666"/>
        <v>0</v>
      </c>
    </row>
    <row r="1967" spans="1:44" x14ac:dyDescent="0.25">
      <c r="A1967" s="14"/>
      <c r="B1967" s="15" t="str">
        <f t="shared" si="658"/>
        <v>IND_COMB__</v>
      </c>
      <c r="F1967" s="190"/>
      <c r="G1967" s="149"/>
      <c r="H1967" s="150"/>
      <c r="I1967" s="150"/>
      <c r="J1967" s="150"/>
      <c r="K1967" s="150"/>
      <c r="L1967" s="150"/>
      <c r="M1967" s="191"/>
      <c r="N1967" s="192"/>
      <c r="O1967" s="193"/>
      <c r="P1967" s="162"/>
      <c r="Q1967" s="162"/>
      <c r="R1967" s="162"/>
      <c r="S1967" s="162"/>
      <c r="T1967" s="162"/>
      <c r="U1967" s="162"/>
      <c r="V1967" s="162"/>
      <c r="W1967" s="162"/>
      <c r="X1967" s="162"/>
      <c r="Y1967" s="162"/>
      <c r="Z1967" s="162"/>
      <c r="AA1967" s="162"/>
      <c r="AB1967" s="163"/>
      <c r="AC1967" s="159"/>
      <c r="AE1967" s="194" t="str">
        <f t="shared" si="665"/>
        <v/>
      </c>
      <c r="AF1967" s="161">
        <f t="shared" si="668"/>
        <v>0</v>
      </c>
      <c r="AG1967" s="162">
        <f t="shared" si="668"/>
        <v>0</v>
      </c>
      <c r="AH1967" s="162">
        <f t="shared" si="668"/>
        <v>0</v>
      </c>
      <c r="AI1967" s="162">
        <f t="shared" si="668"/>
        <v>0</v>
      </c>
      <c r="AJ1967" s="162">
        <f t="shared" si="668"/>
        <v>0</v>
      </c>
      <c r="AK1967" s="162">
        <f t="shared" si="668"/>
        <v>0</v>
      </c>
      <c r="AL1967" s="162">
        <f t="shared" si="668"/>
        <v>0</v>
      </c>
      <c r="AM1967" s="162">
        <f t="shared" si="668"/>
        <v>0</v>
      </c>
      <c r="AN1967" s="162">
        <f t="shared" si="668"/>
        <v>0</v>
      </c>
      <c r="AO1967" s="162">
        <f t="shared" si="668"/>
        <v>0</v>
      </c>
      <c r="AP1967" s="162">
        <f t="shared" si="668"/>
        <v>0</v>
      </c>
      <c r="AQ1967" s="162">
        <f t="shared" si="668"/>
        <v>0</v>
      </c>
      <c r="AR1967" s="163">
        <f t="shared" si="666"/>
        <v>0</v>
      </c>
    </row>
    <row r="1968" spans="1:44" x14ac:dyDescent="0.25">
      <c r="A1968" s="14"/>
      <c r="B1968" s="15" t="str">
        <f t="shared" si="658"/>
        <v>IND_COMB__</v>
      </c>
      <c r="F1968" s="190"/>
      <c r="G1968" s="149"/>
      <c r="H1968" s="150"/>
      <c r="I1968" s="150"/>
      <c r="J1968" s="150"/>
      <c r="K1968" s="150"/>
      <c r="L1968" s="150"/>
      <c r="M1968" s="191"/>
      <c r="N1968" s="192"/>
      <c r="O1968" s="193"/>
      <c r="P1968" s="162"/>
      <c r="Q1968" s="162"/>
      <c r="R1968" s="162"/>
      <c r="S1968" s="162"/>
      <c r="T1968" s="162"/>
      <c r="U1968" s="162"/>
      <c r="V1968" s="162"/>
      <c r="W1968" s="162"/>
      <c r="X1968" s="162"/>
      <c r="Y1968" s="162"/>
      <c r="Z1968" s="162"/>
      <c r="AA1968" s="162"/>
      <c r="AB1968" s="163"/>
      <c r="AC1968" s="159"/>
      <c r="AE1968" s="194" t="str">
        <f t="shared" si="665"/>
        <v/>
      </c>
      <c r="AF1968" s="161">
        <f t="shared" si="668"/>
        <v>0</v>
      </c>
      <c r="AG1968" s="162">
        <f t="shared" si="668"/>
        <v>0</v>
      </c>
      <c r="AH1968" s="162">
        <f t="shared" si="668"/>
        <v>0</v>
      </c>
      <c r="AI1968" s="162">
        <f t="shared" si="668"/>
        <v>0</v>
      </c>
      <c r="AJ1968" s="162">
        <f t="shared" si="668"/>
        <v>0</v>
      </c>
      <c r="AK1968" s="162">
        <f t="shared" si="668"/>
        <v>0</v>
      </c>
      <c r="AL1968" s="162">
        <f t="shared" si="668"/>
        <v>0</v>
      </c>
      <c r="AM1968" s="162">
        <f t="shared" si="668"/>
        <v>0</v>
      </c>
      <c r="AN1968" s="162">
        <f t="shared" si="668"/>
        <v>0</v>
      </c>
      <c r="AO1968" s="162">
        <f t="shared" si="668"/>
        <v>0</v>
      </c>
      <c r="AP1968" s="162">
        <f t="shared" si="668"/>
        <v>0</v>
      </c>
      <c r="AQ1968" s="162">
        <f t="shared" si="668"/>
        <v>0</v>
      </c>
      <c r="AR1968" s="163">
        <f t="shared" si="666"/>
        <v>0</v>
      </c>
    </row>
    <row r="1969" spans="1:44" x14ac:dyDescent="0.25">
      <c r="A1969" s="14"/>
      <c r="B1969" s="15" t="str">
        <f t="shared" si="658"/>
        <v>IND_COMB__</v>
      </c>
      <c r="F1969" s="190"/>
      <c r="G1969" s="149"/>
      <c r="H1969" s="150"/>
      <c r="I1969" s="150"/>
      <c r="J1969" s="150"/>
      <c r="K1969" s="150"/>
      <c r="L1969" s="150"/>
      <c r="M1969" s="191"/>
      <c r="N1969" s="192"/>
      <c r="O1969" s="193"/>
      <c r="P1969" s="162"/>
      <c r="Q1969" s="162"/>
      <c r="R1969" s="162"/>
      <c r="S1969" s="162"/>
      <c r="T1969" s="162"/>
      <c r="U1969" s="162"/>
      <c r="V1969" s="162"/>
      <c r="W1969" s="162"/>
      <c r="X1969" s="162"/>
      <c r="Y1969" s="162"/>
      <c r="Z1969" s="162"/>
      <c r="AA1969" s="162"/>
      <c r="AB1969" s="163"/>
      <c r="AC1969" s="159"/>
      <c r="AE1969" s="194" t="str">
        <f t="shared" si="665"/>
        <v/>
      </c>
      <c r="AF1969" s="161">
        <f t="shared" si="668"/>
        <v>0</v>
      </c>
      <c r="AG1969" s="162">
        <f t="shared" si="668"/>
        <v>0</v>
      </c>
      <c r="AH1969" s="162">
        <f t="shared" si="668"/>
        <v>0</v>
      </c>
      <c r="AI1969" s="162">
        <f t="shared" si="668"/>
        <v>0</v>
      </c>
      <c r="AJ1969" s="162">
        <f t="shared" si="668"/>
        <v>0</v>
      </c>
      <c r="AK1969" s="162">
        <f t="shared" si="668"/>
        <v>0</v>
      </c>
      <c r="AL1969" s="162">
        <f t="shared" si="668"/>
        <v>0</v>
      </c>
      <c r="AM1969" s="162">
        <f t="shared" si="668"/>
        <v>0</v>
      </c>
      <c r="AN1969" s="162">
        <f t="shared" si="668"/>
        <v>0</v>
      </c>
      <c r="AO1969" s="162">
        <f t="shared" si="668"/>
        <v>0</v>
      </c>
      <c r="AP1969" s="162">
        <f t="shared" si="668"/>
        <v>0</v>
      </c>
      <c r="AQ1969" s="162">
        <f t="shared" si="668"/>
        <v>0</v>
      </c>
      <c r="AR1969" s="163">
        <f t="shared" si="666"/>
        <v>0</v>
      </c>
    </row>
    <row r="1970" spans="1:44" x14ac:dyDescent="0.25">
      <c r="A1970" s="14"/>
      <c r="B1970" s="15" t="str">
        <f t="shared" si="658"/>
        <v>IND_COMB__</v>
      </c>
      <c r="F1970" s="190"/>
      <c r="G1970" s="149"/>
      <c r="H1970" s="150"/>
      <c r="I1970" s="150"/>
      <c r="J1970" s="150"/>
      <c r="K1970" s="150"/>
      <c r="L1970" s="150"/>
      <c r="M1970" s="191"/>
      <c r="N1970" s="192"/>
      <c r="O1970" s="193"/>
      <c r="P1970" s="162"/>
      <c r="Q1970" s="162"/>
      <c r="R1970" s="162"/>
      <c r="S1970" s="162"/>
      <c r="T1970" s="162"/>
      <c r="U1970" s="162"/>
      <c r="V1970" s="162"/>
      <c r="W1970" s="162"/>
      <c r="X1970" s="162"/>
      <c r="Y1970" s="162"/>
      <c r="Z1970" s="162"/>
      <c r="AA1970" s="162"/>
      <c r="AB1970" s="163"/>
      <c r="AC1970" s="159"/>
      <c r="AE1970" s="194" t="str">
        <f t="shared" si="665"/>
        <v/>
      </c>
      <c r="AF1970" s="161">
        <f t="shared" si="668"/>
        <v>0</v>
      </c>
      <c r="AG1970" s="162">
        <f t="shared" si="668"/>
        <v>0</v>
      </c>
      <c r="AH1970" s="162">
        <f t="shared" si="668"/>
        <v>0</v>
      </c>
      <c r="AI1970" s="162">
        <f t="shared" si="668"/>
        <v>0</v>
      </c>
      <c r="AJ1970" s="162">
        <f t="shared" si="668"/>
        <v>0</v>
      </c>
      <c r="AK1970" s="162">
        <f t="shared" si="668"/>
        <v>0</v>
      </c>
      <c r="AL1970" s="162">
        <f t="shared" si="668"/>
        <v>0</v>
      </c>
      <c r="AM1970" s="162">
        <f t="shared" si="668"/>
        <v>0</v>
      </c>
      <c r="AN1970" s="162">
        <f t="shared" si="668"/>
        <v>0</v>
      </c>
      <c r="AO1970" s="162">
        <f t="shared" si="668"/>
        <v>0</v>
      </c>
      <c r="AP1970" s="162">
        <f t="shared" si="668"/>
        <v>0</v>
      </c>
      <c r="AQ1970" s="162">
        <f t="shared" si="668"/>
        <v>0</v>
      </c>
      <c r="AR1970" s="163">
        <f t="shared" si="666"/>
        <v>0</v>
      </c>
    </row>
    <row r="1971" spans="1:44" x14ac:dyDescent="0.25">
      <c r="A1971" s="14"/>
      <c r="B1971" s="15" t="str">
        <f t="shared" si="658"/>
        <v>IND_COMB__</v>
      </c>
      <c r="F1971" s="190"/>
      <c r="G1971" s="149"/>
      <c r="H1971" s="150"/>
      <c r="I1971" s="150"/>
      <c r="J1971" s="150"/>
      <c r="K1971" s="150"/>
      <c r="L1971" s="150"/>
      <c r="M1971" s="191"/>
      <c r="N1971" s="192"/>
      <c r="O1971" s="193"/>
      <c r="P1971" s="162"/>
      <c r="Q1971" s="162"/>
      <c r="R1971" s="162"/>
      <c r="S1971" s="162"/>
      <c r="T1971" s="162"/>
      <c r="U1971" s="162"/>
      <c r="V1971" s="162"/>
      <c r="W1971" s="162"/>
      <c r="X1971" s="162"/>
      <c r="Y1971" s="162"/>
      <c r="Z1971" s="162"/>
      <c r="AA1971" s="162"/>
      <c r="AB1971" s="163"/>
      <c r="AC1971" s="159"/>
      <c r="AE1971" s="194" t="str">
        <f t="shared" si="665"/>
        <v/>
      </c>
      <c r="AF1971" s="161">
        <f t="shared" si="668"/>
        <v>0</v>
      </c>
      <c r="AG1971" s="162">
        <f t="shared" si="668"/>
        <v>0</v>
      </c>
      <c r="AH1971" s="162">
        <f t="shared" si="668"/>
        <v>0</v>
      </c>
      <c r="AI1971" s="162">
        <f t="shared" si="668"/>
        <v>0</v>
      </c>
      <c r="AJ1971" s="162">
        <f t="shared" si="668"/>
        <v>0</v>
      </c>
      <c r="AK1971" s="162">
        <f t="shared" si="668"/>
        <v>0</v>
      </c>
      <c r="AL1971" s="162">
        <f t="shared" si="668"/>
        <v>0</v>
      </c>
      <c r="AM1971" s="162">
        <f t="shared" si="668"/>
        <v>0</v>
      </c>
      <c r="AN1971" s="162">
        <f t="shared" si="668"/>
        <v>0</v>
      </c>
      <c r="AO1971" s="162">
        <f t="shared" si="668"/>
        <v>0</v>
      </c>
      <c r="AP1971" s="162">
        <f t="shared" si="668"/>
        <v>0</v>
      </c>
      <c r="AQ1971" s="162">
        <f t="shared" si="668"/>
        <v>0</v>
      </c>
      <c r="AR1971" s="163">
        <f t="shared" si="666"/>
        <v>0</v>
      </c>
    </row>
    <row r="1972" spans="1:44" x14ac:dyDescent="0.25">
      <c r="A1972" s="14"/>
      <c r="B1972" s="15" t="str">
        <f t="shared" si="658"/>
        <v>IND_COMB__</v>
      </c>
      <c r="F1972" s="190"/>
      <c r="G1972" s="149"/>
      <c r="H1972" s="150"/>
      <c r="I1972" s="150"/>
      <c r="J1972" s="150"/>
      <c r="K1972" s="150"/>
      <c r="L1972" s="150"/>
      <c r="M1972" s="191"/>
      <c r="N1972" s="192"/>
      <c r="O1972" s="193"/>
      <c r="P1972" s="162"/>
      <c r="Q1972" s="162"/>
      <c r="R1972" s="162"/>
      <c r="S1972" s="162"/>
      <c r="T1972" s="162"/>
      <c r="U1972" s="162"/>
      <c r="V1972" s="162"/>
      <c r="W1972" s="162"/>
      <c r="X1972" s="162"/>
      <c r="Y1972" s="162"/>
      <c r="Z1972" s="162"/>
      <c r="AA1972" s="162"/>
      <c r="AB1972" s="163"/>
      <c r="AC1972" s="159"/>
      <c r="AE1972" s="194" t="str">
        <f t="shared" si="665"/>
        <v/>
      </c>
      <c r="AF1972" s="161">
        <f t="shared" si="668"/>
        <v>0</v>
      </c>
      <c r="AG1972" s="162">
        <f t="shared" si="668"/>
        <v>0</v>
      </c>
      <c r="AH1972" s="162">
        <f t="shared" si="668"/>
        <v>0</v>
      </c>
      <c r="AI1972" s="162">
        <f t="shared" si="668"/>
        <v>0</v>
      </c>
      <c r="AJ1972" s="162">
        <f t="shared" si="668"/>
        <v>0</v>
      </c>
      <c r="AK1972" s="162">
        <f t="shared" si="668"/>
        <v>0</v>
      </c>
      <c r="AL1972" s="162">
        <f t="shared" si="668"/>
        <v>0</v>
      </c>
      <c r="AM1972" s="162">
        <f t="shared" si="668"/>
        <v>0</v>
      </c>
      <c r="AN1972" s="162">
        <f t="shared" si="668"/>
        <v>0</v>
      </c>
      <c r="AO1972" s="162">
        <f t="shared" si="668"/>
        <v>0</v>
      </c>
      <c r="AP1972" s="162">
        <f t="shared" si="668"/>
        <v>0</v>
      </c>
      <c r="AQ1972" s="162">
        <f t="shared" si="668"/>
        <v>0</v>
      </c>
      <c r="AR1972" s="163">
        <f t="shared" si="666"/>
        <v>0</v>
      </c>
    </row>
    <row r="1973" spans="1:44" x14ac:dyDescent="0.25">
      <c r="A1973" s="14"/>
      <c r="B1973" s="15" t="str">
        <f t="shared" si="658"/>
        <v>IND_COMB__</v>
      </c>
      <c r="F1973" s="190"/>
      <c r="G1973" s="149"/>
      <c r="H1973" s="150"/>
      <c r="I1973" s="150"/>
      <c r="J1973" s="150"/>
      <c r="K1973" s="150"/>
      <c r="L1973" s="150"/>
      <c r="M1973" s="191"/>
      <c r="N1973" s="192"/>
      <c r="O1973" s="193"/>
      <c r="P1973" s="162"/>
      <c r="Q1973" s="162"/>
      <c r="R1973" s="162"/>
      <c r="S1973" s="162"/>
      <c r="T1973" s="162"/>
      <c r="U1973" s="162"/>
      <c r="V1973" s="162"/>
      <c r="W1973" s="162"/>
      <c r="X1973" s="162"/>
      <c r="Y1973" s="162"/>
      <c r="Z1973" s="162"/>
      <c r="AA1973" s="162"/>
      <c r="AB1973" s="163"/>
      <c r="AC1973" s="159"/>
      <c r="AE1973" s="194" t="str">
        <f t="shared" si="665"/>
        <v/>
      </c>
      <c r="AF1973" s="161">
        <f t="shared" si="668"/>
        <v>0</v>
      </c>
      <c r="AG1973" s="162">
        <f t="shared" si="668"/>
        <v>0</v>
      </c>
      <c r="AH1973" s="162">
        <f t="shared" si="668"/>
        <v>0</v>
      </c>
      <c r="AI1973" s="162">
        <f t="shared" si="668"/>
        <v>0</v>
      </c>
      <c r="AJ1973" s="162">
        <f t="shared" si="668"/>
        <v>0</v>
      </c>
      <c r="AK1973" s="162">
        <f t="shared" si="668"/>
        <v>0</v>
      </c>
      <c r="AL1973" s="162">
        <f t="shared" si="668"/>
        <v>0</v>
      </c>
      <c r="AM1973" s="162">
        <f t="shared" si="668"/>
        <v>0</v>
      </c>
      <c r="AN1973" s="162">
        <f t="shared" si="668"/>
        <v>0</v>
      </c>
      <c r="AO1973" s="162">
        <f t="shared" si="668"/>
        <v>0</v>
      </c>
      <c r="AP1973" s="162">
        <f t="shared" si="668"/>
        <v>0</v>
      </c>
      <c r="AQ1973" s="162">
        <f t="shared" si="668"/>
        <v>0</v>
      </c>
      <c r="AR1973" s="163">
        <f t="shared" si="666"/>
        <v>0</v>
      </c>
    </row>
    <row r="1974" spans="1:44" x14ac:dyDescent="0.25">
      <c r="A1974" s="14"/>
      <c r="B1974" s="15" t="str">
        <f t="shared" si="658"/>
        <v>IND_COMB__</v>
      </c>
      <c r="F1974" s="190"/>
      <c r="G1974" s="149"/>
      <c r="H1974" s="150"/>
      <c r="I1974" s="150"/>
      <c r="J1974" s="150"/>
      <c r="K1974" s="150"/>
      <c r="L1974" s="150"/>
      <c r="M1974" s="191"/>
      <c r="N1974" s="192"/>
      <c r="O1974" s="193"/>
      <c r="P1974" s="162"/>
      <c r="Q1974" s="162"/>
      <c r="R1974" s="162"/>
      <c r="S1974" s="162"/>
      <c r="T1974" s="162"/>
      <c r="U1974" s="162"/>
      <c r="V1974" s="162"/>
      <c r="W1974" s="162"/>
      <c r="X1974" s="162"/>
      <c r="Y1974" s="162"/>
      <c r="Z1974" s="162"/>
      <c r="AA1974" s="162"/>
      <c r="AB1974" s="163"/>
      <c r="AC1974" s="159"/>
      <c r="AE1974" s="194" t="str">
        <f t="shared" si="665"/>
        <v/>
      </c>
      <c r="AF1974" s="161">
        <f t="shared" si="668"/>
        <v>0</v>
      </c>
      <c r="AG1974" s="162">
        <f t="shared" si="668"/>
        <v>0</v>
      </c>
      <c r="AH1974" s="162">
        <f t="shared" si="668"/>
        <v>0</v>
      </c>
      <c r="AI1974" s="162">
        <f t="shared" si="668"/>
        <v>0</v>
      </c>
      <c r="AJ1974" s="162">
        <f t="shared" si="668"/>
        <v>0</v>
      </c>
      <c r="AK1974" s="162">
        <f t="shared" si="668"/>
        <v>0</v>
      </c>
      <c r="AL1974" s="162">
        <f t="shared" si="668"/>
        <v>0</v>
      </c>
      <c r="AM1974" s="162">
        <f t="shared" si="668"/>
        <v>0</v>
      </c>
      <c r="AN1974" s="162">
        <f t="shared" si="668"/>
        <v>0</v>
      </c>
      <c r="AO1974" s="162">
        <f t="shared" si="668"/>
        <v>0</v>
      </c>
      <c r="AP1974" s="162">
        <f t="shared" si="668"/>
        <v>0</v>
      </c>
      <c r="AQ1974" s="162">
        <f t="shared" si="668"/>
        <v>0</v>
      </c>
      <c r="AR1974" s="163">
        <f t="shared" si="666"/>
        <v>0</v>
      </c>
    </row>
    <row r="1975" spans="1:44" x14ac:dyDescent="0.25">
      <c r="A1975" s="14"/>
      <c r="B1975" s="15" t="str">
        <f t="shared" si="658"/>
        <v>IND_COMB__</v>
      </c>
      <c r="F1975" s="190"/>
      <c r="G1975" s="149"/>
      <c r="H1975" s="150"/>
      <c r="I1975" s="150"/>
      <c r="J1975" s="150"/>
      <c r="K1975" s="150"/>
      <c r="L1975" s="150"/>
      <c r="M1975" s="191"/>
      <c r="N1975" s="192"/>
      <c r="O1975" s="193"/>
      <c r="P1975" s="162"/>
      <c r="Q1975" s="162"/>
      <c r="R1975" s="162"/>
      <c r="S1975" s="162"/>
      <c r="T1975" s="162"/>
      <c r="U1975" s="162"/>
      <c r="V1975" s="162"/>
      <c r="W1975" s="162"/>
      <c r="X1975" s="162"/>
      <c r="Y1975" s="162"/>
      <c r="Z1975" s="162"/>
      <c r="AA1975" s="162"/>
      <c r="AB1975" s="163"/>
      <c r="AC1975" s="159"/>
      <c r="AE1975" s="194" t="str">
        <f t="shared" si="665"/>
        <v/>
      </c>
      <c r="AF1975" s="161">
        <f t="shared" si="668"/>
        <v>0</v>
      </c>
      <c r="AG1975" s="162">
        <f t="shared" si="668"/>
        <v>0</v>
      </c>
      <c r="AH1975" s="162">
        <f t="shared" si="668"/>
        <v>0</v>
      </c>
      <c r="AI1975" s="162">
        <f t="shared" si="668"/>
        <v>0</v>
      </c>
      <c r="AJ1975" s="162">
        <f t="shared" si="668"/>
        <v>0</v>
      </c>
      <c r="AK1975" s="162">
        <f t="shared" si="668"/>
        <v>0</v>
      </c>
      <c r="AL1975" s="162">
        <f t="shared" si="668"/>
        <v>0</v>
      </c>
      <c r="AM1975" s="162">
        <f t="shared" si="668"/>
        <v>0</v>
      </c>
      <c r="AN1975" s="162">
        <f t="shared" si="668"/>
        <v>0</v>
      </c>
      <c r="AO1975" s="162">
        <f t="shared" si="668"/>
        <v>0</v>
      </c>
      <c r="AP1975" s="162">
        <f t="shared" si="668"/>
        <v>0</v>
      </c>
      <c r="AQ1975" s="162">
        <f t="shared" si="668"/>
        <v>0</v>
      </c>
      <c r="AR1975" s="163">
        <f t="shared" si="666"/>
        <v>0</v>
      </c>
    </row>
    <row r="1976" spans="1:44" x14ac:dyDescent="0.25">
      <c r="A1976" s="14"/>
      <c r="B1976" s="15" t="str">
        <f t="shared" si="658"/>
        <v>IND_COMB__</v>
      </c>
      <c r="F1976" s="190"/>
      <c r="G1976" s="149"/>
      <c r="H1976" s="150"/>
      <c r="I1976" s="150"/>
      <c r="J1976" s="150"/>
      <c r="K1976" s="150"/>
      <c r="L1976" s="150"/>
      <c r="M1976" s="191"/>
      <c r="N1976" s="192"/>
      <c r="O1976" s="193"/>
      <c r="P1976" s="162"/>
      <c r="Q1976" s="162"/>
      <c r="R1976" s="162"/>
      <c r="S1976" s="162"/>
      <c r="T1976" s="162"/>
      <c r="U1976" s="162"/>
      <c r="V1976" s="162"/>
      <c r="W1976" s="162"/>
      <c r="X1976" s="162"/>
      <c r="Y1976" s="162"/>
      <c r="Z1976" s="162"/>
      <c r="AA1976" s="162"/>
      <c r="AB1976" s="163"/>
      <c r="AC1976" s="159"/>
      <c r="AE1976" s="194" t="str">
        <f t="shared" si="665"/>
        <v/>
      </c>
      <c r="AF1976" s="161">
        <f t="shared" si="668"/>
        <v>0</v>
      </c>
      <c r="AG1976" s="162">
        <f t="shared" si="668"/>
        <v>0</v>
      </c>
      <c r="AH1976" s="162">
        <f t="shared" si="668"/>
        <v>0</v>
      </c>
      <c r="AI1976" s="162">
        <f t="shared" si="668"/>
        <v>0</v>
      </c>
      <c r="AJ1976" s="162">
        <f t="shared" si="668"/>
        <v>0</v>
      </c>
      <c r="AK1976" s="162">
        <f t="shared" si="668"/>
        <v>0</v>
      </c>
      <c r="AL1976" s="162">
        <f t="shared" si="668"/>
        <v>0</v>
      </c>
      <c r="AM1976" s="162">
        <f t="shared" si="668"/>
        <v>0</v>
      </c>
      <c r="AN1976" s="162">
        <f t="shared" si="668"/>
        <v>0</v>
      </c>
      <c r="AO1976" s="162">
        <f t="shared" si="668"/>
        <v>0</v>
      </c>
      <c r="AP1976" s="162">
        <f t="shared" si="668"/>
        <v>0</v>
      </c>
      <c r="AQ1976" s="162">
        <f t="shared" si="668"/>
        <v>0</v>
      </c>
      <c r="AR1976" s="163">
        <f t="shared" si="666"/>
        <v>0</v>
      </c>
    </row>
    <row r="1977" spans="1:44" x14ac:dyDescent="0.25">
      <c r="A1977" s="14"/>
      <c r="B1977" s="15" t="str">
        <f t="shared" si="658"/>
        <v>IND_COMB__</v>
      </c>
      <c r="F1977" s="190"/>
      <c r="G1977" s="149"/>
      <c r="H1977" s="150"/>
      <c r="I1977" s="150"/>
      <c r="J1977" s="150"/>
      <c r="K1977" s="150"/>
      <c r="L1977" s="150"/>
      <c r="M1977" s="191"/>
      <c r="N1977" s="192"/>
      <c r="O1977" s="193"/>
      <c r="P1977" s="162"/>
      <c r="Q1977" s="162"/>
      <c r="R1977" s="162"/>
      <c r="S1977" s="162"/>
      <c r="T1977" s="162"/>
      <c r="U1977" s="162"/>
      <c r="V1977" s="162"/>
      <c r="W1977" s="162"/>
      <c r="X1977" s="162"/>
      <c r="Y1977" s="162"/>
      <c r="Z1977" s="162"/>
      <c r="AA1977" s="162"/>
      <c r="AB1977" s="163"/>
      <c r="AC1977" s="159"/>
      <c r="AE1977" s="194" t="str">
        <f t="shared" si="665"/>
        <v/>
      </c>
      <c r="AF1977" s="161">
        <f t="shared" si="668"/>
        <v>0</v>
      </c>
      <c r="AG1977" s="162">
        <f t="shared" si="668"/>
        <v>0</v>
      </c>
      <c r="AH1977" s="162">
        <f t="shared" si="668"/>
        <v>0</v>
      </c>
      <c r="AI1977" s="162">
        <f t="shared" si="668"/>
        <v>0</v>
      </c>
      <c r="AJ1977" s="162">
        <f t="shared" si="668"/>
        <v>0</v>
      </c>
      <c r="AK1977" s="162">
        <f t="shared" si="668"/>
        <v>0</v>
      </c>
      <c r="AL1977" s="162">
        <f t="shared" si="668"/>
        <v>0</v>
      </c>
      <c r="AM1977" s="162">
        <f t="shared" si="668"/>
        <v>0</v>
      </c>
      <c r="AN1977" s="162">
        <f t="shared" si="668"/>
        <v>0</v>
      </c>
      <c r="AO1977" s="162">
        <f t="shared" si="668"/>
        <v>0</v>
      </c>
      <c r="AP1977" s="162">
        <f t="shared" si="668"/>
        <v>0</v>
      </c>
      <c r="AQ1977" s="162">
        <f t="shared" si="668"/>
        <v>0</v>
      </c>
      <c r="AR1977" s="163">
        <f t="shared" si="666"/>
        <v>0</v>
      </c>
    </row>
    <row r="1978" spans="1:44" x14ac:dyDescent="0.25">
      <c r="A1978" s="14"/>
      <c r="B1978" s="15" t="str">
        <f t="shared" si="658"/>
        <v>IND_COMB__</v>
      </c>
      <c r="F1978" s="209"/>
      <c r="G1978" s="183"/>
      <c r="H1978" s="184"/>
      <c r="I1978" s="184"/>
      <c r="J1978" s="184"/>
      <c r="K1978" s="184"/>
      <c r="L1978" s="184"/>
      <c r="M1978" s="212"/>
      <c r="N1978" s="239"/>
      <c r="O1978" s="213"/>
      <c r="P1978" s="175"/>
      <c r="Q1978" s="175"/>
      <c r="R1978" s="175"/>
      <c r="S1978" s="175"/>
      <c r="T1978" s="175"/>
      <c r="U1978" s="175"/>
      <c r="V1978" s="175"/>
      <c r="W1978" s="175"/>
      <c r="X1978" s="175"/>
      <c r="Y1978" s="175"/>
      <c r="Z1978" s="175"/>
      <c r="AA1978" s="175"/>
      <c r="AB1978" s="176"/>
      <c r="AC1978" s="186"/>
      <c r="AE1978" s="195" t="str">
        <f t="shared" si="665"/>
        <v/>
      </c>
      <c r="AF1978" s="174">
        <f t="shared" si="668"/>
        <v>0</v>
      </c>
      <c r="AG1978" s="175">
        <f t="shared" si="668"/>
        <v>0</v>
      </c>
      <c r="AH1978" s="175">
        <f t="shared" si="668"/>
        <v>0</v>
      </c>
      <c r="AI1978" s="175">
        <f t="shared" si="668"/>
        <v>0</v>
      </c>
      <c r="AJ1978" s="175">
        <f t="shared" si="668"/>
        <v>0</v>
      </c>
      <c r="AK1978" s="175">
        <f t="shared" si="668"/>
        <v>0</v>
      </c>
      <c r="AL1978" s="175">
        <f t="shared" si="668"/>
        <v>0</v>
      </c>
      <c r="AM1978" s="175">
        <f t="shared" si="668"/>
        <v>0</v>
      </c>
      <c r="AN1978" s="175">
        <f t="shared" si="668"/>
        <v>0</v>
      </c>
      <c r="AO1978" s="175">
        <f t="shared" si="668"/>
        <v>0</v>
      </c>
      <c r="AP1978" s="175">
        <f t="shared" si="668"/>
        <v>0</v>
      </c>
      <c r="AQ1978" s="175">
        <f t="shared" si="668"/>
        <v>0</v>
      </c>
      <c r="AR1978" s="176">
        <f t="shared" si="666"/>
        <v>0</v>
      </c>
    </row>
    <row r="1979" spans="1:44" x14ac:dyDescent="0.25">
      <c r="A1979" s="14"/>
    </row>
    <row r="1980" spans="1:44" hidden="1" outlineLevel="1" x14ac:dyDescent="0.25">
      <c r="A1980" s="14"/>
      <c r="F1980" s="136" t="s">
        <v>316</v>
      </c>
      <c r="G1980" s="70"/>
      <c r="H1980" s="106"/>
      <c r="I1980" s="106"/>
      <c r="J1980" s="106"/>
      <c r="K1980" s="106"/>
      <c r="L1980" s="106"/>
      <c r="M1980" s="107"/>
      <c r="N1980" s="106"/>
    </row>
    <row r="1981" spans="1:44" hidden="1" outlineLevel="1" x14ac:dyDescent="0.25">
      <c r="A1981" s="14"/>
      <c r="F1981" s="134"/>
      <c r="G1981" s="70"/>
    </row>
    <row r="1982" spans="1:44" hidden="1" outlineLevel="1" x14ac:dyDescent="0.25">
      <c r="A1982" s="14"/>
      <c r="B1982" s="15" t="s">
        <v>250</v>
      </c>
      <c r="C1982" s="15" t="s">
        <v>251</v>
      </c>
      <c r="D1982" s="15" t="s">
        <v>219</v>
      </c>
      <c r="F1982" s="137" t="s">
        <v>317</v>
      </c>
      <c r="G1982" s="138"/>
      <c r="H1982" s="139" t="s">
        <v>217</v>
      </c>
      <c r="I1982" s="139" t="s">
        <v>218</v>
      </c>
      <c r="J1982" s="139" t="s">
        <v>219</v>
      </c>
      <c r="K1982" s="140"/>
      <c r="L1982" s="141"/>
      <c r="M1982" s="142" t="s">
        <v>220</v>
      </c>
      <c r="N1982" s="139" t="s">
        <v>221</v>
      </c>
      <c r="O1982" s="143" t="s">
        <v>222</v>
      </c>
      <c r="P1982" s="35">
        <f t="shared" ref="P1982:AA1982" si="669">P$9</f>
        <v>46113</v>
      </c>
      <c r="Q1982" s="35">
        <f t="shared" si="669"/>
        <v>46143</v>
      </c>
      <c r="R1982" s="35">
        <f t="shared" si="669"/>
        <v>46174</v>
      </c>
      <c r="S1982" s="35">
        <f t="shared" si="669"/>
        <v>46204</v>
      </c>
      <c r="T1982" s="35">
        <f t="shared" si="669"/>
        <v>46235</v>
      </c>
      <c r="U1982" s="35">
        <f t="shared" si="669"/>
        <v>46266</v>
      </c>
      <c r="V1982" s="35">
        <f t="shared" si="669"/>
        <v>46296</v>
      </c>
      <c r="W1982" s="35">
        <f t="shared" si="669"/>
        <v>46327</v>
      </c>
      <c r="X1982" s="35">
        <f t="shared" si="669"/>
        <v>46357</v>
      </c>
      <c r="Y1982" s="35">
        <f t="shared" si="669"/>
        <v>46388</v>
      </c>
      <c r="Z1982" s="35">
        <f t="shared" si="669"/>
        <v>46419</v>
      </c>
      <c r="AA1982" s="35">
        <f t="shared" si="669"/>
        <v>46447</v>
      </c>
      <c r="AB1982" s="81" t="s">
        <v>223</v>
      </c>
      <c r="AC1982" s="82" t="s">
        <v>192</v>
      </c>
    </row>
    <row r="1983" spans="1:44" hidden="1" outlineLevel="1" x14ac:dyDescent="0.25">
      <c r="A1983" s="14" t="str">
        <f t="shared" ref="A1983:A2046" si="670">"TERC_OPER_"&amp;C1983&amp;"_"&amp;E1983</f>
        <v>TERC_OPER__1</v>
      </c>
      <c r="B1983" s="15" t="str">
        <f t="shared" ref="B1983:B2027" si="671">"TERC_OPER_"&amp;C1983&amp;"_"&amp;F1983&amp;"_"&amp;J1983</f>
        <v>TERC_OPER__1071_1</v>
      </c>
      <c r="C1983" s="83"/>
      <c r="D1983" s="15">
        <f t="shared" ref="D1983:D2027" si="672">J1983</f>
        <v>1</v>
      </c>
      <c r="E1983" s="15">
        <v>1</v>
      </c>
      <c r="F1983" s="190">
        <f t="shared" ref="F1983:J1998" si="673">F1841</f>
        <v>1071</v>
      </c>
      <c r="G1983" s="149" t="str">
        <f t="shared" si="673"/>
        <v/>
      </c>
      <c r="H1983" s="150" t="str">
        <f t="shared" si="673"/>
        <v/>
      </c>
      <c r="I1983" s="150" t="str">
        <f t="shared" si="673"/>
        <v>TRATCSP</v>
      </c>
      <c r="J1983" s="150">
        <f t="shared" si="673"/>
        <v>1</v>
      </c>
      <c r="K1983" s="196"/>
      <c r="L1983" s="197"/>
      <c r="M1983" s="191">
        <f t="shared" ref="M1983:O1998" si="674">M1841</f>
        <v>0</v>
      </c>
      <c r="N1983" s="150">
        <f t="shared" si="674"/>
        <v>0</v>
      </c>
      <c r="O1983" s="193">
        <f t="shared" si="674"/>
        <v>0</v>
      </c>
      <c r="P1983" s="162">
        <f t="shared" ref="P1983:AA1998" si="675">IFERROR(SUMIF($B$1817:$B$1835,$C1983&amp;$I1983,P$1817:P$1835)/SUMIF($D$1817:$D$1835,$I1983,P$1817:P$1835)*P1841,0)</f>
        <v>0</v>
      </c>
      <c r="Q1983" s="162">
        <f t="shared" si="675"/>
        <v>0</v>
      </c>
      <c r="R1983" s="162">
        <f t="shared" si="675"/>
        <v>0</v>
      </c>
      <c r="S1983" s="162">
        <f t="shared" si="675"/>
        <v>0</v>
      </c>
      <c r="T1983" s="162">
        <f t="shared" si="675"/>
        <v>0</v>
      </c>
      <c r="U1983" s="162">
        <f t="shared" si="675"/>
        <v>0</v>
      </c>
      <c r="V1983" s="162">
        <f t="shared" si="675"/>
        <v>0</v>
      </c>
      <c r="W1983" s="162">
        <f t="shared" si="675"/>
        <v>0</v>
      </c>
      <c r="X1983" s="162">
        <f t="shared" si="675"/>
        <v>0</v>
      </c>
      <c r="Y1983" s="162">
        <f t="shared" si="675"/>
        <v>0</v>
      </c>
      <c r="Z1983" s="162">
        <f t="shared" si="675"/>
        <v>0</v>
      </c>
      <c r="AA1983" s="162">
        <f t="shared" si="675"/>
        <v>0</v>
      </c>
      <c r="AB1983" s="163">
        <f t="shared" ref="AB1983:AB2027" si="676">SUM(P1983:AA1983)</f>
        <v>0</v>
      </c>
      <c r="AC1983" s="198"/>
    </row>
    <row r="1984" spans="1:44" hidden="1" outlineLevel="1" x14ac:dyDescent="0.25">
      <c r="A1984" s="14" t="str">
        <f t="shared" si="670"/>
        <v>TERC_OPER__2</v>
      </c>
      <c r="B1984" s="15" t="str">
        <f t="shared" si="671"/>
        <v>TERC_OPER__1022_1</v>
      </c>
      <c r="C1984" s="83"/>
      <c r="D1984" s="15">
        <f t="shared" si="672"/>
        <v>1</v>
      </c>
      <c r="E1984" s="15">
        <v>2</v>
      </c>
      <c r="F1984" s="190">
        <f t="shared" si="673"/>
        <v>1022</v>
      </c>
      <c r="G1984" s="149" t="str">
        <f t="shared" si="673"/>
        <v/>
      </c>
      <c r="H1984" s="150" t="str">
        <f t="shared" si="673"/>
        <v/>
      </c>
      <c r="I1984" s="150" t="str">
        <f t="shared" si="673"/>
        <v>TRATCSP</v>
      </c>
      <c r="J1984" s="150">
        <f t="shared" si="673"/>
        <v>1</v>
      </c>
      <c r="K1984" s="196"/>
      <c r="L1984" s="197"/>
      <c r="M1984" s="191">
        <f t="shared" si="674"/>
        <v>0</v>
      </c>
      <c r="N1984" s="150">
        <f t="shared" si="674"/>
        <v>0</v>
      </c>
      <c r="O1984" s="193">
        <f t="shared" si="674"/>
        <v>0</v>
      </c>
      <c r="P1984" s="162">
        <f t="shared" si="675"/>
        <v>0</v>
      </c>
      <c r="Q1984" s="162">
        <f t="shared" si="675"/>
        <v>0</v>
      </c>
      <c r="R1984" s="162">
        <f t="shared" si="675"/>
        <v>0</v>
      </c>
      <c r="S1984" s="162">
        <f t="shared" si="675"/>
        <v>0</v>
      </c>
      <c r="T1984" s="162">
        <f t="shared" si="675"/>
        <v>0</v>
      </c>
      <c r="U1984" s="162">
        <f t="shared" si="675"/>
        <v>0</v>
      </c>
      <c r="V1984" s="162">
        <f t="shared" si="675"/>
        <v>0</v>
      </c>
      <c r="W1984" s="162">
        <f t="shared" si="675"/>
        <v>0</v>
      </c>
      <c r="X1984" s="162">
        <f t="shared" si="675"/>
        <v>0</v>
      </c>
      <c r="Y1984" s="162">
        <f t="shared" si="675"/>
        <v>0</v>
      </c>
      <c r="Z1984" s="162">
        <f t="shared" si="675"/>
        <v>0</v>
      </c>
      <c r="AA1984" s="162">
        <f t="shared" si="675"/>
        <v>0</v>
      </c>
      <c r="AB1984" s="163">
        <f t="shared" si="676"/>
        <v>0</v>
      </c>
      <c r="AC1984" s="198"/>
    </row>
    <row r="1985" spans="1:29" hidden="1" outlineLevel="1" x14ac:dyDescent="0.25">
      <c r="A1985" s="14" t="str">
        <f t="shared" si="670"/>
        <v>TERC_OPER__3</v>
      </c>
      <c r="B1985" s="15" t="str">
        <f t="shared" si="671"/>
        <v>TERC_OPER__1031_1</v>
      </c>
      <c r="C1985" s="83"/>
      <c r="D1985" s="15">
        <f t="shared" si="672"/>
        <v>1</v>
      </c>
      <c r="E1985" s="15">
        <v>3</v>
      </c>
      <c r="F1985" s="190">
        <f t="shared" si="673"/>
        <v>1031</v>
      </c>
      <c r="G1985" s="149" t="str">
        <f t="shared" si="673"/>
        <v/>
      </c>
      <c r="H1985" s="150" t="str">
        <f t="shared" si="673"/>
        <v/>
      </c>
      <c r="I1985" s="150" t="str">
        <f t="shared" si="673"/>
        <v>TRATCSP</v>
      </c>
      <c r="J1985" s="150">
        <f t="shared" si="673"/>
        <v>1</v>
      </c>
      <c r="K1985" s="196"/>
      <c r="L1985" s="197"/>
      <c r="M1985" s="191">
        <f t="shared" si="674"/>
        <v>0</v>
      </c>
      <c r="N1985" s="150">
        <f t="shared" si="674"/>
        <v>0</v>
      </c>
      <c r="O1985" s="193">
        <f t="shared" si="674"/>
        <v>0</v>
      </c>
      <c r="P1985" s="162">
        <f t="shared" si="675"/>
        <v>0</v>
      </c>
      <c r="Q1985" s="162">
        <f t="shared" si="675"/>
        <v>0</v>
      </c>
      <c r="R1985" s="162">
        <f t="shared" si="675"/>
        <v>0</v>
      </c>
      <c r="S1985" s="162">
        <f t="shared" si="675"/>
        <v>0</v>
      </c>
      <c r="T1985" s="162">
        <f t="shared" si="675"/>
        <v>0</v>
      </c>
      <c r="U1985" s="162">
        <f t="shared" si="675"/>
        <v>0</v>
      </c>
      <c r="V1985" s="162">
        <f t="shared" si="675"/>
        <v>0</v>
      </c>
      <c r="W1985" s="162">
        <f t="shared" si="675"/>
        <v>0</v>
      </c>
      <c r="X1985" s="162">
        <f t="shared" si="675"/>
        <v>0</v>
      </c>
      <c r="Y1985" s="162">
        <f t="shared" si="675"/>
        <v>0</v>
      </c>
      <c r="Z1985" s="162">
        <f t="shared" si="675"/>
        <v>0</v>
      </c>
      <c r="AA1985" s="162">
        <f t="shared" si="675"/>
        <v>0</v>
      </c>
      <c r="AB1985" s="163">
        <f t="shared" si="676"/>
        <v>0</v>
      </c>
      <c r="AC1985" s="198"/>
    </row>
    <row r="1986" spans="1:29" hidden="1" outlineLevel="1" x14ac:dyDescent="0.25">
      <c r="A1986" s="14" t="str">
        <f t="shared" si="670"/>
        <v>TERC_OPER__4</v>
      </c>
      <c r="B1986" s="15" t="str">
        <f t="shared" si="671"/>
        <v>TERC_OPER__1073_1</v>
      </c>
      <c r="C1986" s="83"/>
      <c r="D1986" s="15">
        <f t="shared" si="672"/>
        <v>1</v>
      </c>
      <c r="E1986" s="15">
        <v>4</v>
      </c>
      <c r="F1986" s="190">
        <f t="shared" si="673"/>
        <v>1073</v>
      </c>
      <c r="G1986" s="149" t="str">
        <f t="shared" si="673"/>
        <v/>
      </c>
      <c r="H1986" s="150" t="str">
        <f t="shared" si="673"/>
        <v/>
      </c>
      <c r="I1986" s="150" t="str">
        <f t="shared" si="673"/>
        <v>TRATCSP</v>
      </c>
      <c r="J1986" s="150">
        <f t="shared" si="673"/>
        <v>1</v>
      </c>
      <c r="K1986" s="196"/>
      <c r="L1986" s="197"/>
      <c r="M1986" s="191">
        <f t="shared" si="674"/>
        <v>0</v>
      </c>
      <c r="N1986" s="150">
        <f t="shared" si="674"/>
        <v>0</v>
      </c>
      <c r="O1986" s="193">
        <f t="shared" si="674"/>
        <v>0</v>
      </c>
      <c r="P1986" s="162">
        <f t="shared" si="675"/>
        <v>0</v>
      </c>
      <c r="Q1986" s="162">
        <f t="shared" si="675"/>
        <v>0</v>
      </c>
      <c r="R1986" s="162">
        <f t="shared" si="675"/>
        <v>0</v>
      </c>
      <c r="S1986" s="162">
        <f t="shared" si="675"/>
        <v>0</v>
      </c>
      <c r="T1986" s="162">
        <f t="shared" si="675"/>
        <v>0</v>
      </c>
      <c r="U1986" s="162">
        <f t="shared" si="675"/>
        <v>0</v>
      </c>
      <c r="V1986" s="162">
        <f t="shared" si="675"/>
        <v>0</v>
      </c>
      <c r="W1986" s="162">
        <f t="shared" si="675"/>
        <v>0</v>
      </c>
      <c r="X1986" s="162">
        <f t="shared" si="675"/>
        <v>0</v>
      </c>
      <c r="Y1986" s="162">
        <f t="shared" si="675"/>
        <v>0</v>
      </c>
      <c r="Z1986" s="162">
        <f t="shared" si="675"/>
        <v>0</v>
      </c>
      <c r="AA1986" s="162">
        <f t="shared" si="675"/>
        <v>0</v>
      </c>
      <c r="AB1986" s="163">
        <f t="shared" si="676"/>
        <v>0</v>
      </c>
      <c r="AC1986" s="159"/>
    </row>
    <row r="1987" spans="1:29" hidden="1" outlineLevel="1" x14ac:dyDescent="0.25">
      <c r="A1987" s="14" t="str">
        <f t="shared" si="670"/>
        <v>TERC_OPER__5</v>
      </c>
      <c r="B1987" s="15" t="str">
        <f t="shared" si="671"/>
        <v>TERC_OPER__910_1</v>
      </c>
      <c r="C1987" s="83"/>
      <c r="D1987" s="15">
        <f t="shared" si="672"/>
        <v>1</v>
      </c>
      <c r="E1987" s="15">
        <v>5</v>
      </c>
      <c r="F1987" s="190">
        <f t="shared" si="673"/>
        <v>910</v>
      </c>
      <c r="G1987" s="149" t="str">
        <f t="shared" si="673"/>
        <v/>
      </c>
      <c r="H1987" s="150" t="str">
        <f t="shared" si="673"/>
        <v/>
      </c>
      <c r="I1987" s="150" t="str">
        <f t="shared" si="673"/>
        <v>TRATCSP</v>
      </c>
      <c r="J1987" s="150">
        <f t="shared" si="673"/>
        <v>1</v>
      </c>
      <c r="K1987" s="196"/>
      <c r="L1987" s="197"/>
      <c r="M1987" s="191">
        <f t="shared" si="674"/>
        <v>0</v>
      </c>
      <c r="N1987" s="150">
        <f t="shared" si="674"/>
        <v>0</v>
      </c>
      <c r="O1987" s="193">
        <f t="shared" si="674"/>
        <v>0</v>
      </c>
      <c r="P1987" s="162">
        <f t="shared" si="675"/>
        <v>0</v>
      </c>
      <c r="Q1987" s="162">
        <f t="shared" si="675"/>
        <v>0</v>
      </c>
      <c r="R1987" s="162">
        <f t="shared" si="675"/>
        <v>0</v>
      </c>
      <c r="S1987" s="162">
        <f t="shared" si="675"/>
        <v>0</v>
      </c>
      <c r="T1987" s="162">
        <f t="shared" si="675"/>
        <v>0</v>
      </c>
      <c r="U1987" s="162">
        <f t="shared" si="675"/>
        <v>0</v>
      </c>
      <c r="V1987" s="162">
        <f t="shared" si="675"/>
        <v>0</v>
      </c>
      <c r="W1987" s="162">
        <f t="shared" si="675"/>
        <v>0</v>
      </c>
      <c r="X1987" s="162">
        <f t="shared" si="675"/>
        <v>0</v>
      </c>
      <c r="Y1987" s="162">
        <f t="shared" si="675"/>
        <v>0</v>
      </c>
      <c r="Z1987" s="162">
        <f t="shared" si="675"/>
        <v>0</v>
      </c>
      <c r="AA1987" s="162">
        <f t="shared" si="675"/>
        <v>0</v>
      </c>
      <c r="AB1987" s="163">
        <f t="shared" si="676"/>
        <v>0</v>
      </c>
      <c r="AC1987" s="159"/>
    </row>
    <row r="1988" spans="1:29" hidden="1" outlineLevel="1" x14ac:dyDescent="0.25">
      <c r="A1988" s="14" t="str">
        <f t="shared" si="670"/>
        <v>TERC_OPER__6</v>
      </c>
      <c r="B1988" s="15" t="str">
        <f t="shared" si="671"/>
        <v>TERC_OPER__911_1</v>
      </c>
      <c r="C1988" s="83"/>
      <c r="D1988" s="15">
        <f t="shared" si="672"/>
        <v>1</v>
      </c>
      <c r="E1988" s="15">
        <v>6</v>
      </c>
      <c r="F1988" s="190">
        <f t="shared" si="673"/>
        <v>911</v>
      </c>
      <c r="G1988" s="149" t="str">
        <f t="shared" si="673"/>
        <v/>
      </c>
      <c r="H1988" s="150" t="str">
        <f t="shared" si="673"/>
        <v/>
      </c>
      <c r="I1988" s="150" t="str">
        <f t="shared" si="673"/>
        <v>TRATCSP</v>
      </c>
      <c r="J1988" s="150">
        <f t="shared" si="673"/>
        <v>1</v>
      </c>
      <c r="K1988" s="196"/>
      <c r="L1988" s="197"/>
      <c r="M1988" s="191">
        <f t="shared" si="674"/>
        <v>0</v>
      </c>
      <c r="N1988" s="150">
        <f t="shared" si="674"/>
        <v>0</v>
      </c>
      <c r="O1988" s="193">
        <f t="shared" si="674"/>
        <v>0</v>
      </c>
      <c r="P1988" s="162">
        <f t="shared" si="675"/>
        <v>0</v>
      </c>
      <c r="Q1988" s="162">
        <f t="shared" si="675"/>
        <v>0</v>
      </c>
      <c r="R1988" s="162">
        <f t="shared" si="675"/>
        <v>0</v>
      </c>
      <c r="S1988" s="162">
        <f t="shared" si="675"/>
        <v>0</v>
      </c>
      <c r="T1988" s="162">
        <f t="shared" si="675"/>
        <v>0</v>
      </c>
      <c r="U1988" s="162">
        <f t="shared" si="675"/>
        <v>0</v>
      </c>
      <c r="V1988" s="162">
        <f t="shared" si="675"/>
        <v>0</v>
      </c>
      <c r="W1988" s="162">
        <f t="shared" si="675"/>
        <v>0</v>
      </c>
      <c r="X1988" s="162">
        <f t="shared" si="675"/>
        <v>0</v>
      </c>
      <c r="Y1988" s="162">
        <f t="shared" si="675"/>
        <v>0</v>
      </c>
      <c r="Z1988" s="162">
        <f t="shared" si="675"/>
        <v>0</v>
      </c>
      <c r="AA1988" s="162">
        <f t="shared" si="675"/>
        <v>0</v>
      </c>
      <c r="AB1988" s="163">
        <f t="shared" si="676"/>
        <v>0</v>
      </c>
      <c r="AC1988" s="159"/>
    </row>
    <row r="1989" spans="1:29" hidden="1" outlineLevel="1" x14ac:dyDescent="0.25">
      <c r="A1989" s="14" t="str">
        <f t="shared" si="670"/>
        <v>TERC_OPER__7</v>
      </c>
      <c r="B1989" s="15" t="str">
        <f t="shared" si="671"/>
        <v>TERC_OPER__912_1</v>
      </c>
      <c r="C1989" s="83"/>
      <c r="D1989" s="15">
        <f t="shared" si="672"/>
        <v>1</v>
      </c>
      <c r="E1989" s="15">
        <v>7</v>
      </c>
      <c r="F1989" s="190">
        <f t="shared" si="673"/>
        <v>912</v>
      </c>
      <c r="G1989" s="149" t="str">
        <f t="shared" si="673"/>
        <v/>
      </c>
      <c r="H1989" s="150" t="str">
        <f t="shared" si="673"/>
        <v/>
      </c>
      <c r="I1989" s="150" t="str">
        <f t="shared" si="673"/>
        <v>TRATCSP</v>
      </c>
      <c r="J1989" s="150">
        <f t="shared" si="673"/>
        <v>1</v>
      </c>
      <c r="K1989" s="196"/>
      <c r="L1989" s="197"/>
      <c r="M1989" s="191">
        <f t="shared" si="674"/>
        <v>0</v>
      </c>
      <c r="N1989" s="150">
        <f t="shared" si="674"/>
        <v>0</v>
      </c>
      <c r="O1989" s="193">
        <f t="shared" si="674"/>
        <v>0</v>
      </c>
      <c r="P1989" s="162">
        <f t="shared" si="675"/>
        <v>0</v>
      </c>
      <c r="Q1989" s="162">
        <f t="shared" si="675"/>
        <v>0</v>
      </c>
      <c r="R1989" s="162">
        <f t="shared" si="675"/>
        <v>0</v>
      </c>
      <c r="S1989" s="162">
        <f t="shared" si="675"/>
        <v>0</v>
      </c>
      <c r="T1989" s="162">
        <f t="shared" si="675"/>
        <v>0</v>
      </c>
      <c r="U1989" s="162">
        <f t="shared" si="675"/>
        <v>0</v>
      </c>
      <c r="V1989" s="162">
        <f t="shared" si="675"/>
        <v>0</v>
      </c>
      <c r="W1989" s="162">
        <f t="shared" si="675"/>
        <v>0</v>
      </c>
      <c r="X1989" s="162">
        <f t="shared" si="675"/>
        <v>0</v>
      </c>
      <c r="Y1989" s="162">
        <f t="shared" si="675"/>
        <v>0</v>
      </c>
      <c r="Z1989" s="162">
        <f t="shared" si="675"/>
        <v>0</v>
      </c>
      <c r="AA1989" s="162">
        <f t="shared" si="675"/>
        <v>0</v>
      </c>
      <c r="AB1989" s="163">
        <f t="shared" si="676"/>
        <v>0</v>
      </c>
      <c r="AC1989" s="159"/>
    </row>
    <row r="1990" spans="1:29" hidden="1" outlineLevel="1" x14ac:dyDescent="0.25">
      <c r="A1990" s="14" t="str">
        <f t="shared" si="670"/>
        <v>TERC_OPER__8</v>
      </c>
      <c r="B1990" s="15" t="str">
        <f t="shared" si="671"/>
        <v>TERC_OPER__0_0</v>
      </c>
      <c r="C1990" s="83"/>
      <c r="D1990" s="15">
        <f t="shared" si="672"/>
        <v>0</v>
      </c>
      <c r="E1990" s="15">
        <v>8</v>
      </c>
      <c r="F1990" s="190">
        <f t="shared" si="673"/>
        <v>0</v>
      </c>
      <c r="G1990" s="149" t="str">
        <f t="shared" si="673"/>
        <v/>
      </c>
      <c r="H1990" s="150" t="str">
        <f t="shared" si="673"/>
        <v/>
      </c>
      <c r="I1990" s="150">
        <f t="shared" si="673"/>
        <v>0</v>
      </c>
      <c r="J1990" s="150">
        <f t="shared" si="673"/>
        <v>0</v>
      </c>
      <c r="K1990" s="196"/>
      <c r="L1990" s="197"/>
      <c r="M1990" s="191">
        <f t="shared" si="674"/>
        <v>0</v>
      </c>
      <c r="N1990" s="150">
        <f t="shared" si="674"/>
        <v>0</v>
      </c>
      <c r="O1990" s="193">
        <f t="shared" si="674"/>
        <v>0</v>
      </c>
      <c r="P1990" s="162">
        <f t="shared" si="675"/>
        <v>0</v>
      </c>
      <c r="Q1990" s="162">
        <f t="shared" si="675"/>
        <v>0</v>
      </c>
      <c r="R1990" s="162">
        <f t="shared" si="675"/>
        <v>0</v>
      </c>
      <c r="S1990" s="162">
        <f t="shared" si="675"/>
        <v>0</v>
      </c>
      <c r="T1990" s="162">
        <f t="shared" si="675"/>
        <v>0</v>
      </c>
      <c r="U1990" s="162">
        <f t="shared" si="675"/>
        <v>0</v>
      </c>
      <c r="V1990" s="162">
        <f t="shared" si="675"/>
        <v>0</v>
      </c>
      <c r="W1990" s="162">
        <f t="shared" si="675"/>
        <v>0</v>
      </c>
      <c r="X1990" s="162">
        <f t="shared" si="675"/>
        <v>0</v>
      </c>
      <c r="Y1990" s="162">
        <f t="shared" si="675"/>
        <v>0</v>
      </c>
      <c r="Z1990" s="162">
        <f t="shared" si="675"/>
        <v>0</v>
      </c>
      <c r="AA1990" s="162">
        <f t="shared" si="675"/>
        <v>0</v>
      </c>
      <c r="AB1990" s="163">
        <f t="shared" si="676"/>
        <v>0</v>
      </c>
      <c r="AC1990" s="159"/>
    </row>
    <row r="1991" spans="1:29" hidden="1" outlineLevel="1" x14ac:dyDescent="0.25">
      <c r="A1991" s="14" t="str">
        <f t="shared" si="670"/>
        <v>TERC_OPER__9</v>
      </c>
      <c r="B1991" s="15" t="str">
        <f t="shared" si="671"/>
        <v>TERC_OPER__0_0</v>
      </c>
      <c r="C1991" s="83"/>
      <c r="D1991" s="15">
        <f t="shared" si="672"/>
        <v>0</v>
      </c>
      <c r="E1991" s="15">
        <v>9</v>
      </c>
      <c r="F1991" s="190">
        <f t="shared" si="673"/>
        <v>0</v>
      </c>
      <c r="G1991" s="149" t="str">
        <f t="shared" si="673"/>
        <v/>
      </c>
      <c r="H1991" s="150" t="str">
        <f t="shared" si="673"/>
        <v/>
      </c>
      <c r="I1991" s="150">
        <f t="shared" si="673"/>
        <v>0</v>
      </c>
      <c r="J1991" s="150">
        <f t="shared" si="673"/>
        <v>0</v>
      </c>
      <c r="K1991" s="196"/>
      <c r="L1991" s="197"/>
      <c r="M1991" s="191">
        <f t="shared" si="674"/>
        <v>0</v>
      </c>
      <c r="N1991" s="150">
        <f t="shared" si="674"/>
        <v>0</v>
      </c>
      <c r="O1991" s="193">
        <f t="shared" si="674"/>
        <v>0</v>
      </c>
      <c r="P1991" s="162">
        <f t="shared" si="675"/>
        <v>0</v>
      </c>
      <c r="Q1991" s="162">
        <f t="shared" si="675"/>
        <v>0</v>
      </c>
      <c r="R1991" s="162">
        <f t="shared" si="675"/>
        <v>0</v>
      </c>
      <c r="S1991" s="162">
        <f t="shared" si="675"/>
        <v>0</v>
      </c>
      <c r="T1991" s="162">
        <f t="shared" si="675"/>
        <v>0</v>
      </c>
      <c r="U1991" s="162">
        <f t="shared" si="675"/>
        <v>0</v>
      </c>
      <c r="V1991" s="162">
        <f t="shared" si="675"/>
        <v>0</v>
      </c>
      <c r="W1991" s="162">
        <f t="shared" si="675"/>
        <v>0</v>
      </c>
      <c r="X1991" s="162">
        <f t="shared" si="675"/>
        <v>0</v>
      </c>
      <c r="Y1991" s="162">
        <f t="shared" si="675"/>
        <v>0</v>
      </c>
      <c r="Z1991" s="162">
        <f t="shared" si="675"/>
        <v>0</v>
      </c>
      <c r="AA1991" s="162">
        <f t="shared" si="675"/>
        <v>0</v>
      </c>
      <c r="AB1991" s="163">
        <f t="shared" si="676"/>
        <v>0</v>
      </c>
      <c r="AC1991" s="159"/>
    </row>
    <row r="1992" spans="1:29" hidden="1" outlineLevel="1" x14ac:dyDescent="0.25">
      <c r="A1992" s="14" t="str">
        <f t="shared" si="670"/>
        <v>TERC_OPER__10</v>
      </c>
      <c r="B1992" s="15" t="str">
        <f t="shared" si="671"/>
        <v>TERC_OPER__0_0</v>
      </c>
      <c r="C1992" s="83"/>
      <c r="D1992" s="15">
        <f t="shared" si="672"/>
        <v>0</v>
      </c>
      <c r="E1992" s="15">
        <v>10</v>
      </c>
      <c r="F1992" s="190">
        <f t="shared" si="673"/>
        <v>0</v>
      </c>
      <c r="G1992" s="149" t="str">
        <f t="shared" si="673"/>
        <v/>
      </c>
      <c r="H1992" s="150" t="str">
        <f t="shared" si="673"/>
        <v/>
      </c>
      <c r="I1992" s="150">
        <f t="shared" si="673"/>
        <v>0</v>
      </c>
      <c r="J1992" s="150">
        <f t="shared" si="673"/>
        <v>0</v>
      </c>
      <c r="K1992" s="196"/>
      <c r="L1992" s="197"/>
      <c r="M1992" s="191">
        <f t="shared" si="674"/>
        <v>0</v>
      </c>
      <c r="N1992" s="150">
        <f t="shared" si="674"/>
        <v>0</v>
      </c>
      <c r="O1992" s="193">
        <f t="shared" si="674"/>
        <v>0</v>
      </c>
      <c r="P1992" s="162">
        <f t="shared" si="675"/>
        <v>0</v>
      </c>
      <c r="Q1992" s="162">
        <f t="shared" si="675"/>
        <v>0</v>
      </c>
      <c r="R1992" s="162">
        <f t="shared" si="675"/>
        <v>0</v>
      </c>
      <c r="S1992" s="162">
        <f t="shared" si="675"/>
        <v>0</v>
      </c>
      <c r="T1992" s="162">
        <f t="shared" si="675"/>
        <v>0</v>
      </c>
      <c r="U1992" s="162">
        <f t="shared" si="675"/>
        <v>0</v>
      </c>
      <c r="V1992" s="162">
        <f t="shared" si="675"/>
        <v>0</v>
      </c>
      <c r="W1992" s="162">
        <f t="shared" si="675"/>
        <v>0</v>
      </c>
      <c r="X1992" s="162">
        <f t="shared" si="675"/>
        <v>0</v>
      </c>
      <c r="Y1992" s="162">
        <f t="shared" si="675"/>
        <v>0</v>
      </c>
      <c r="Z1992" s="162">
        <f t="shared" si="675"/>
        <v>0</v>
      </c>
      <c r="AA1992" s="162">
        <f t="shared" si="675"/>
        <v>0</v>
      </c>
      <c r="AB1992" s="163">
        <f t="shared" si="676"/>
        <v>0</v>
      </c>
      <c r="AC1992" s="159"/>
    </row>
    <row r="1993" spans="1:29" hidden="1" outlineLevel="1" x14ac:dyDescent="0.25">
      <c r="A1993" s="14" t="str">
        <f t="shared" si="670"/>
        <v>TERC_OPER__11</v>
      </c>
      <c r="B1993" s="15" t="str">
        <f t="shared" si="671"/>
        <v>TERC_OPER__0_0</v>
      </c>
      <c r="C1993" s="83"/>
      <c r="D1993" s="15">
        <f t="shared" si="672"/>
        <v>0</v>
      </c>
      <c r="E1993" s="15">
        <v>11</v>
      </c>
      <c r="F1993" s="190">
        <f t="shared" si="673"/>
        <v>0</v>
      </c>
      <c r="G1993" s="149" t="str">
        <f t="shared" si="673"/>
        <v/>
      </c>
      <c r="H1993" s="150" t="str">
        <f t="shared" si="673"/>
        <v/>
      </c>
      <c r="I1993" s="150">
        <f t="shared" si="673"/>
        <v>0</v>
      </c>
      <c r="J1993" s="150">
        <f t="shared" si="673"/>
        <v>0</v>
      </c>
      <c r="K1993" s="196"/>
      <c r="L1993" s="197"/>
      <c r="M1993" s="191">
        <f t="shared" si="674"/>
        <v>0</v>
      </c>
      <c r="N1993" s="150">
        <f t="shared" si="674"/>
        <v>0</v>
      </c>
      <c r="O1993" s="193">
        <f t="shared" si="674"/>
        <v>0</v>
      </c>
      <c r="P1993" s="162">
        <f t="shared" si="675"/>
        <v>0</v>
      </c>
      <c r="Q1993" s="162">
        <f t="shared" si="675"/>
        <v>0</v>
      </c>
      <c r="R1993" s="162">
        <f t="shared" si="675"/>
        <v>0</v>
      </c>
      <c r="S1993" s="162">
        <f t="shared" si="675"/>
        <v>0</v>
      </c>
      <c r="T1993" s="162">
        <f t="shared" si="675"/>
        <v>0</v>
      </c>
      <c r="U1993" s="162">
        <f t="shared" si="675"/>
        <v>0</v>
      </c>
      <c r="V1993" s="162">
        <f t="shared" si="675"/>
        <v>0</v>
      </c>
      <c r="W1993" s="162">
        <f t="shared" si="675"/>
        <v>0</v>
      </c>
      <c r="X1993" s="162">
        <f t="shared" si="675"/>
        <v>0</v>
      </c>
      <c r="Y1993" s="162">
        <f t="shared" si="675"/>
        <v>0</v>
      </c>
      <c r="Z1993" s="162">
        <f t="shared" si="675"/>
        <v>0</v>
      </c>
      <c r="AA1993" s="162">
        <f t="shared" si="675"/>
        <v>0</v>
      </c>
      <c r="AB1993" s="163">
        <f t="shared" si="676"/>
        <v>0</v>
      </c>
      <c r="AC1993" s="159"/>
    </row>
    <row r="1994" spans="1:29" hidden="1" outlineLevel="1" x14ac:dyDescent="0.25">
      <c r="A1994" s="14" t="str">
        <f t="shared" si="670"/>
        <v>TERC_OPER__12</v>
      </c>
      <c r="B1994" s="15" t="str">
        <f t="shared" si="671"/>
        <v>TERC_OPER__0_0</v>
      </c>
      <c r="C1994" s="83"/>
      <c r="D1994" s="15">
        <f t="shared" si="672"/>
        <v>0</v>
      </c>
      <c r="E1994" s="15">
        <v>12</v>
      </c>
      <c r="F1994" s="190">
        <f t="shared" si="673"/>
        <v>0</v>
      </c>
      <c r="G1994" s="149" t="str">
        <f t="shared" si="673"/>
        <v/>
      </c>
      <c r="H1994" s="150" t="str">
        <f t="shared" si="673"/>
        <v/>
      </c>
      <c r="I1994" s="150">
        <f t="shared" si="673"/>
        <v>0</v>
      </c>
      <c r="J1994" s="150">
        <f t="shared" si="673"/>
        <v>0</v>
      </c>
      <c r="K1994" s="196"/>
      <c r="L1994" s="197"/>
      <c r="M1994" s="191">
        <f t="shared" si="674"/>
        <v>0</v>
      </c>
      <c r="N1994" s="150">
        <f t="shared" si="674"/>
        <v>0</v>
      </c>
      <c r="O1994" s="193">
        <f t="shared" si="674"/>
        <v>0</v>
      </c>
      <c r="P1994" s="162">
        <f t="shared" si="675"/>
        <v>0</v>
      </c>
      <c r="Q1994" s="162">
        <f t="shared" si="675"/>
        <v>0</v>
      </c>
      <c r="R1994" s="162">
        <f t="shared" si="675"/>
        <v>0</v>
      </c>
      <c r="S1994" s="162">
        <f t="shared" si="675"/>
        <v>0</v>
      </c>
      <c r="T1994" s="162">
        <f t="shared" si="675"/>
        <v>0</v>
      </c>
      <c r="U1994" s="162">
        <f t="shared" si="675"/>
        <v>0</v>
      </c>
      <c r="V1994" s="162">
        <f t="shared" si="675"/>
        <v>0</v>
      </c>
      <c r="W1994" s="162">
        <f t="shared" si="675"/>
        <v>0</v>
      </c>
      <c r="X1994" s="162">
        <f t="shared" si="675"/>
        <v>0</v>
      </c>
      <c r="Y1994" s="162">
        <f t="shared" si="675"/>
        <v>0</v>
      </c>
      <c r="Z1994" s="162">
        <f t="shared" si="675"/>
        <v>0</v>
      </c>
      <c r="AA1994" s="162">
        <f t="shared" si="675"/>
        <v>0</v>
      </c>
      <c r="AB1994" s="163">
        <f t="shared" si="676"/>
        <v>0</v>
      </c>
      <c r="AC1994" s="159"/>
    </row>
    <row r="1995" spans="1:29" hidden="1" outlineLevel="1" x14ac:dyDescent="0.25">
      <c r="A1995" s="14" t="str">
        <f t="shared" si="670"/>
        <v>TERC_OPER__13</v>
      </c>
      <c r="B1995" s="15" t="str">
        <f t="shared" si="671"/>
        <v>TERC_OPER__0_0</v>
      </c>
      <c r="C1995" s="83"/>
      <c r="D1995" s="15">
        <f t="shared" si="672"/>
        <v>0</v>
      </c>
      <c r="E1995" s="15">
        <v>13</v>
      </c>
      <c r="F1995" s="190">
        <f t="shared" si="673"/>
        <v>0</v>
      </c>
      <c r="G1995" s="149" t="str">
        <f t="shared" si="673"/>
        <v/>
      </c>
      <c r="H1995" s="150" t="str">
        <f t="shared" si="673"/>
        <v/>
      </c>
      <c r="I1995" s="150">
        <f t="shared" si="673"/>
        <v>0</v>
      </c>
      <c r="J1995" s="150">
        <f t="shared" si="673"/>
        <v>0</v>
      </c>
      <c r="K1995" s="196"/>
      <c r="L1995" s="197"/>
      <c r="M1995" s="191">
        <f t="shared" si="674"/>
        <v>0</v>
      </c>
      <c r="N1995" s="150">
        <f t="shared" si="674"/>
        <v>0</v>
      </c>
      <c r="O1995" s="193">
        <f t="shared" si="674"/>
        <v>0</v>
      </c>
      <c r="P1995" s="162">
        <f t="shared" si="675"/>
        <v>0</v>
      </c>
      <c r="Q1995" s="162">
        <f t="shared" si="675"/>
        <v>0</v>
      </c>
      <c r="R1995" s="162">
        <f t="shared" si="675"/>
        <v>0</v>
      </c>
      <c r="S1995" s="162">
        <f t="shared" si="675"/>
        <v>0</v>
      </c>
      <c r="T1995" s="162">
        <f t="shared" si="675"/>
        <v>0</v>
      </c>
      <c r="U1995" s="162">
        <f t="shared" si="675"/>
        <v>0</v>
      </c>
      <c r="V1995" s="162">
        <f t="shared" si="675"/>
        <v>0</v>
      </c>
      <c r="W1995" s="162">
        <f t="shared" si="675"/>
        <v>0</v>
      </c>
      <c r="X1995" s="162">
        <f t="shared" si="675"/>
        <v>0</v>
      </c>
      <c r="Y1995" s="162">
        <f t="shared" si="675"/>
        <v>0</v>
      </c>
      <c r="Z1995" s="162">
        <f t="shared" si="675"/>
        <v>0</v>
      </c>
      <c r="AA1995" s="162">
        <f t="shared" si="675"/>
        <v>0</v>
      </c>
      <c r="AB1995" s="163">
        <f t="shared" si="676"/>
        <v>0</v>
      </c>
      <c r="AC1995" s="159"/>
    </row>
    <row r="1996" spans="1:29" hidden="1" outlineLevel="1" x14ac:dyDescent="0.25">
      <c r="A1996" s="14" t="str">
        <f t="shared" si="670"/>
        <v>TERC_OPER__14</v>
      </c>
      <c r="B1996" s="15" t="str">
        <f t="shared" si="671"/>
        <v>TERC_OPER__0_0</v>
      </c>
      <c r="C1996" s="83"/>
      <c r="D1996" s="15">
        <f t="shared" si="672"/>
        <v>0</v>
      </c>
      <c r="E1996" s="15">
        <v>14</v>
      </c>
      <c r="F1996" s="190">
        <f t="shared" si="673"/>
        <v>0</v>
      </c>
      <c r="G1996" s="149" t="str">
        <f t="shared" si="673"/>
        <v/>
      </c>
      <c r="H1996" s="150" t="str">
        <f t="shared" si="673"/>
        <v/>
      </c>
      <c r="I1996" s="150">
        <f t="shared" si="673"/>
        <v>0</v>
      </c>
      <c r="J1996" s="150">
        <f t="shared" si="673"/>
        <v>0</v>
      </c>
      <c r="K1996" s="196"/>
      <c r="L1996" s="197"/>
      <c r="M1996" s="191">
        <f t="shared" si="674"/>
        <v>0</v>
      </c>
      <c r="N1996" s="150">
        <f t="shared" si="674"/>
        <v>0</v>
      </c>
      <c r="O1996" s="193">
        <f t="shared" si="674"/>
        <v>0</v>
      </c>
      <c r="P1996" s="162">
        <f t="shared" si="675"/>
        <v>0</v>
      </c>
      <c r="Q1996" s="162">
        <f t="shared" si="675"/>
        <v>0</v>
      </c>
      <c r="R1996" s="162">
        <f t="shared" si="675"/>
        <v>0</v>
      </c>
      <c r="S1996" s="162">
        <f t="shared" si="675"/>
        <v>0</v>
      </c>
      <c r="T1996" s="162">
        <f t="shared" si="675"/>
        <v>0</v>
      </c>
      <c r="U1996" s="162">
        <f t="shared" si="675"/>
        <v>0</v>
      </c>
      <c r="V1996" s="162">
        <f t="shared" si="675"/>
        <v>0</v>
      </c>
      <c r="W1996" s="162">
        <f t="shared" si="675"/>
        <v>0</v>
      </c>
      <c r="X1996" s="162">
        <f t="shared" si="675"/>
        <v>0</v>
      </c>
      <c r="Y1996" s="162">
        <f t="shared" si="675"/>
        <v>0</v>
      </c>
      <c r="Z1996" s="162">
        <f t="shared" si="675"/>
        <v>0</v>
      </c>
      <c r="AA1996" s="162">
        <f t="shared" si="675"/>
        <v>0</v>
      </c>
      <c r="AB1996" s="163">
        <f t="shared" si="676"/>
        <v>0</v>
      </c>
      <c r="AC1996" s="159"/>
    </row>
    <row r="1997" spans="1:29" hidden="1" outlineLevel="1" x14ac:dyDescent="0.25">
      <c r="A1997" s="14" t="str">
        <f t="shared" si="670"/>
        <v>TERC_OPER__15</v>
      </c>
      <c r="B1997" s="15" t="str">
        <f t="shared" si="671"/>
        <v>TERC_OPER__0_0</v>
      </c>
      <c r="C1997" s="83"/>
      <c r="D1997" s="15">
        <f t="shared" si="672"/>
        <v>0</v>
      </c>
      <c r="E1997" s="15">
        <v>15</v>
      </c>
      <c r="F1997" s="190">
        <f t="shared" si="673"/>
        <v>0</v>
      </c>
      <c r="G1997" s="149" t="str">
        <f t="shared" si="673"/>
        <v/>
      </c>
      <c r="H1997" s="150" t="str">
        <f t="shared" si="673"/>
        <v/>
      </c>
      <c r="I1997" s="150">
        <f t="shared" si="673"/>
        <v>0</v>
      </c>
      <c r="J1997" s="150">
        <f t="shared" si="673"/>
        <v>0</v>
      </c>
      <c r="K1997" s="196"/>
      <c r="L1997" s="197"/>
      <c r="M1997" s="191">
        <f t="shared" si="674"/>
        <v>0</v>
      </c>
      <c r="N1997" s="150">
        <f t="shared" si="674"/>
        <v>0</v>
      </c>
      <c r="O1997" s="193">
        <f t="shared" si="674"/>
        <v>0</v>
      </c>
      <c r="P1997" s="162">
        <f t="shared" si="675"/>
        <v>0</v>
      </c>
      <c r="Q1997" s="162">
        <f t="shared" si="675"/>
        <v>0</v>
      </c>
      <c r="R1997" s="162">
        <f t="shared" si="675"/>
        <v>0</v>
      </c>
      <c r="S1997" s="162">
        <f t="shared" si="675"/>
        <v>0</v>
      </c>
      <c r="T1997" s="162">
        <f t="shared" si="675"/>
        <v>0</v>
      </c>
      <c r="U1997" s="162">
        <f t="shared" si="675"/>
        <v>0</v>
      </c>
      <c r="V1997" s="162">
        <f t="shared" si="675"/>
        <v>0</v>
      </c>
      <c r="W1997" s="162">
        <f t="shared" si="675"/>
        <v>0</v>
      </c>
      <c r="X1997" s="162">
        <f t="shared" si="675"/>
        <v>0</v>
      </c>
      <c r="Y1997" s="162">
        <f t="shared" si="675"/>
        <v>0</v>
      </c>
      <c r="Z1997" s="162">
        <f t="shared" si="675"/>
        <v>0</v>
      </c>
      <c r="AA1997" s="162">
        <f t="shared" si="675"/>
        <v>0</v>
      </c>
      <c r="AB1997" s="163">
        <f t="shared" si="676"/>
        <v>0</v>
      </c>
      <c r="AC1997" s="159"/>
    </row>
    <row r="1998" spans="1:29" hidden="1" outlineLevel="1" x14ac:dyDescent="0.25">
      <c r="A1998" s="14" t="str">
        <f t="shared" si="670"/>
        <v>TERC_OPER__16</v>
      </c>
      <c r="B1998" s="15" t="str">
        <f t="shared" si="671"/>
        <v>TERC_OPER__0_0</v>
      </c>
      <c r="C1998" s="83"/>
      <c r="D1998" s="15">
        <f t="shared" si="672"/>
        <v>0</v>
      </c>
      <c r="E1998" s="15">
        <v>16</v>
      </c>
      <c r="F1998" s="190">
        <f t="shared" si="673"/>
        <v>0</v>
      </c>
      <c r="G1998" s="149" t="str">
        <f t="shared" si="673"/>
        <v/>
      </c>
      <c r="H1998" s="150" t="str">
        <f t="shared" si="673"/>
        <v/>
      </c>
      <c r="I1998" s="150">
        <f t="shared" si="673"/>
        <v>0</v>
      </c>
      <c r="J1998" s="150">
        <f t="shared" si="673"/>
        <v>0</v>
      </c>
      <c r="K1998" s="196"/>
      <c r="L1998" s="197"/>
      <c r="M1998" s="191">
        <f t="shared" si="674"/>
        <v>0</v>
      </c>
      <c r="N1998" s="150">
        <f t="shared" si="674"/>
        <v>0</v>
      </c>
      <c r="O1998" s="193">
        <f t="shared" si="674"/>
        <v>0</v>
      </c>
      <c r="P1998" s="162">
        <f t="shared" si="675"/>
        <v>0</v>
      </c>
      <c r="Q1998" s="162">
        <f t="shared" si="675"/>
        <v>0</v>
      </c>
      <c r="R1998" s="162">
        <f t="shared" si="675"/>
        <v>0</v>
      </c>
      <c r="S1998" s="162">
        <f t="shared" si="675"/>
        <v>0</v>
      </c>
      <c r="T1998" s="162">
        <f t="shared" si="675"/>
        <v>0</v>
      </c>
      <c r="U1998" s="162">
        <f t="shared" si="675"/>
        <v>0</v>
      </c>
      <c r="V1998" s="162">
        <f t="shared" si="675"/>
        <v>0</v>
      </c>
      <c r="W1998" s="162">
        <f t="shared" si="675"/>
        <v>0</v>
      </c>
      <c r="X1998" s="162">
        <f t="shared" si="675"/>
        <v>0</v>
      </c>
      <c r="Y1998" s="162">
        <f t="shared" si="675"/>
        <v>0</v>
      </c>
      <c r="Z1998" s="162">
        <f t="shared" si="675"/>
        <v>0</v>
      </c>
      <c r="AA1998" s="162">
        <f t="shared" si="675"/>
        <v>0</v>
      </c>
      <c r="AB1998" s="163">
        <f t="shared" si="676"/>
        <v>0</v>
      </c>
      <c r="AC1998" s="159"/>
    </row>
    <row r="1999" spans="1:29" hidden="1" outlineLevel="1" x14ac:dyDescent="0.25">
      <c r="A1999" s="14" t="str">
        <f t="shared" si="670"/>
        <v>TERC_OPER__17</v>
      </c>
      <c r="B1999" s="15" t="str">
        <f t="shared" si="671"/>
        <v>TERC_OPER__0_0</v>
      </c>
      <c r="C1999" s="83"/>
      <c r="D1999" s="15">
        <f t="shared" si="672"/>
        <v>0</v>
      </c>
      <c r="E1999" s="15">
        <v>17</v>
      </c>
      <c r="F1999" s="190">
        <f t="shared" ref="F1999:J2014" si="677">F1857</f>
        <v>0</v>
      </c>
      <c r="G1999" s="149" t="str">
        <f t="shared" si="677"/>
        <v/>
      </c>
      <c r="H1999" s="150" t="str">
        <f t="shared" si="677"/>
        <v/>
      </c>
      <c r="I1999" s="150">
        <f t="shared" si="677"/>
        <v>0</v>
      </c>
      <c r="J1999" s="150">
        <f t="shared" si="677"/>
        <v>0</v>
      </c>
      <c r="K1999" s="196"/>
      <c r="L1999" s="197"/>
      <c r="M1999" s="191">
        <f t="shared" ref="M1999:O2014" si="678">M1857</f>
        <v>0</v>
      </c>
      <c r="N1999" s="150">
        <f t="shared" si="678"/>
        <v>0</v>
      </c>
      <c r="O1999" s="193">
        <f t="shared" si="678"/>
        <v>0</v>
      </c>
      <c r="P1999" s="162">
        <f t="shared" ref="P1999:AA2014" si="679">IFERROR(SUMIF($B$1817:$B$1835,$C1999&amp;$I1999,P$1817:P$1835)/SUMIF($D$1817:$D$1835,$I1999,P$1817:P$1835)*P1857,0)</f>
        <v>0</v>
      </c>
      <c r="Q1999" s="162">
        <f t="shared" si="679"/>
        <v>0</v>
      </c>
      <c r="R1999" s="162">
        <f t="shared" si="679"/>
        <v>0</v>
      </c>
      <c r="S1999" s="162">
        <f t="shared" si="679"/>
        <v>0</v>
      </c>
      <c r="T1999" s="162">
        <f t="shared" si="679"/>
        <v>0</v>
      </c>
      <c r="U1999" s="162">
        <f t="shared" si="679"/>
        <v>0</v>
      </c>
      <c r="V1999" s="162">
        <f t="shared" si="679"/>
        <v>0</v>
      </c>
      <c r="W1999" s="162">
        <f t="shared" si="679"/>
        <v>0</v>
      </c>
      <c r="X1999" s="162">
        <f t="shared" si="679"/>
        <v>0</v>
      </c>
      <c r="Y1999" s="162">
        <f t="shared" si="679"/>
        <v>0</v>
      </c>
      <c r="Z1999" s="162">
        <f t="shared" si="679"/>
        <v>0</v>
      </c>
      <c r="AA1999" s="162">
        <f t="shared" si="679"/>
        <v>0</v>
      </c>
      <c r="AB1999" s="163">
        <f t="shared" si="676"/>
        <v>0</v>
      </c>
      <c r="AC1999" s="159"/>
    </row>
    <row r="2000" spans="1:29" hidden="1" outlineLevel="1" x14ac:dyDescent="0.25">
      <c r="A2000" s="14" t="str">
        <f t="shared" si="670"/>
        <v>TERC_OPER__18</v>
      </c>
      <c r="B2000" s="15" t="str">
        <f t="shared" si="671"/>
        <v>TERC_OPER__0_0</v>
      </c>
      <c r="C2000" s="83"/>
      <c r="D2000" s="15">
        <f t="shared" si="672"/>
        <v>0</v>
      </c>
      <c r="E2000" s="15">
        <v>18</v>
      </c>
      <c r="F2000" s="190">
        <f t="shared" si="677"/>
        <v>0</v>
      </c>
      <c r="G2000" s="149" t="str">
        <f t="shared" si="677"/>
        <v/>
      </c>
      <c r="H2000" s="150" t="str">
        <f t="shared" si="677"/>
        <v/>
      </c>
      <c r="I2000" s="150">
        <f t="shared" si="677"/>
        <v>0</v>
      </c>
      <c r="J2000" s="150">
        <f t="shared" si="677"/>
        <v>0</v>
      </c>
      <c r="K2000" s="196"/>
      <c r="L2000" s="197"/>
      <c r="M2000" s="191">
        <f t="shared" si="678"/>
        <v>0</v>
      </c>
      <c r="N2000" s="150">
        <f t="shared" si="678"/>
        <v>0</v>
      </c>
      <c r="O2000" s="193">
        <f t="shared" si="678"/>
        <v>0</v>
      </c>
      <c r="P2000" s="162">
        <f t="shared" si="679"/>
        <v>0</v>
      </c>
      <c r="Q2000" s="162">
        <f t="shared" si="679"/>
        <v>0</v>
      </c>
      <c r="R2000" s="162">
        <f t="shared" si="679"/>
        <v>0</v>
      </c>
      <c r="S2000" s="162">
        <f t="shared" si="679"/>
        <v>0</v>
      </c>
      <c r="T2000" s="162">
        <f t="shared" si="679"/>
        <v>0</v>
      </c>
      <c r="U2000" s="162">
        <f t="shared" si="679"/>
        <v>0</v>
      </c>
      <c r="V2000" s="162">
        <f t="shared" si="679"/>
        <v>0</v>
      </c>
      <c r="W2000" s="162">
        <f t="shared" si="679"/>
        <v>0</v>
      </c>
      <c r="X2000" s="162">
        <f t="shared" si="679"/>
        <v>0</v>
      </c>
      <c r="Y2000" s="162">
        <f t="shared" si="679"/>
        <v>0</v>
      </c>
      <c r="Z2000" s="162">
        <f t="shared" si="679"/>
        <v>0</v>
      </c>
      <c r="AA2000" s="162">
        <f t="shared" si="679"/>
        <v>0</v>
      </c>
      <c r="AB2000" s="163">
        <f t="shared" si="676"/>
        <v>0</v>
      </c>
      <c r="AC2000" s="198"/>
    </row>
    <row r="2001" spans="1:29" hidden="1" outlineLevel="1" x14ac:dyDescent="0.25">
      <c r="A2001" s="14" t="str">
        <f t="shared" si="670"/>
        <v>TERC_OPER__19</v>
      </c>
      <c r="B2001" s="15" t="str">
        <f t="shared" si="671"/>
        <v>TERC_OPER__0_0</v>
      </c>
      <c r="C2001" s="83"/>
      <c r="D2001" s="15">
        <f t="shared" si="672"/>
        <v>0</v>
      </c>
      <c r="E2001" s="15">
        <v>19</v>
      </c>
      <c r="F2001" s="190">
        <f t="shared" si="677"/>
        <v>0</v>
      </c>
      <c r="G2001" s="149" t="str">
        <f t="shared" si="677"/>
        <v/>
      </c>
      <c r="H2001" s="150" t="str">
        <f t="shared" si="677"/>
        <v/>
      </c>
      <c r="I2001" s="150">
        <f t="shared" si="677"/>
        <v>0</v>
      </c>
      <c r="J2001" s="150">
        <f t="shared" si="677"/>
        <v>0</v>
      </c>
      <c r="K2001" s="196"/>
      <c r="L2001" s="197"/>
      <c r="M2001" s="191">
        <f t="shared" si="678"/>
        <v>0</v>
      </c>
      <c r="N2001" s="150">
        <f t="shared" si="678"/>
        <v>0</v>
      </c>
      <c r="O2001" s="193">
        <f t="shared" si="678"/>
        <v>0</v>
      </c>
      <c r="P2001" s="162">
        <f t="shared" si="679"/>
        <v>0</v>
      </c>
      <c r="Q2001" s="162">
        <f t="shared" si="679"/>
        <v>0</v>
      </c>
      <c r="R2001" s="162">
        <f t="shared" si="679"/>
        <v>0</v>
      </c>
      <c r="S2001" s="162">
        <f t="shared" si="679"/>
        <v>0</v>
      </c>
      <c r="T2001" s="162">
        <f t="shared" si="679"/>
        <v>0</v>
      </c>
      <c r="U2001" s="162">
        <f t="shared" si="679"/>
        <v>0</v>
      </c>
      <c r="V2001" s="162">
        <f t="shared" si="679"/>
        <v>0</v>
      </c>
      <c r="W2001" s="162">
        <f t="shared" si="679"/>
        <v>0</v>
      </c>
      <c r="X2001" s="162">
        <f t="shared" si="679"/>
        <v>0</v>
      </c>
      <c r="Y2001" s="162">
        <f t="shared" si="679"/>
        <v>0</v>
      </c>
      <c r="Z2001" s="162">
        <f t="shared" si="679"/>
        <v>0</v>
      </c>
      <c r="AA2001" s="162">
        <f t="shared" si="679"/>
        <v>0</v>
      </c>
      <c r="AB2001" s="163">
        <f t="shared" si="676"/>
        <v>0</v>
      </c>
      <c r="AC2001" s="198"/>
    </row>
    <row r="2002" spans="1:29" hidden="1" outlineLevel="1" x14ac:dyDescent="0.25">
      <c r="A2002" s="14" t="str">
        <f t="shared" si="670"/>
        <v>TERC_OPER__20</v>
      </c>
      <c r="B2002" s="15" t="str">
        <f t="shared" si="671"/>
        <v>TERC_OPER__0_0</v>
      </c>
      <c r="C2002" s="83"/>
      <c r="D2002" s="15">
        <f t="shared" si="672"/>
        <v>0</v>
      </c>
      <c r="E2002" s="15">
        <v>20</v>
      </c>
      <c r="F2002" s="190">
        <f t="shared" si="677"/>
        <v>0</v>
      </c>
      <c r="G2002" s="149" t="str">
        <f t="shared" si="677"/>
        <v/>
      </c>
      <c r="H2002" s="150" t="str">
        <f t="shared" si="677"/>
        <v/>
      </c>
      <c r="I2002" s="150">
        <f t="shared" si="677"/>
        <v>0</v>
      </c>
      <c r="J2002" s="150">
        <f t="shared" si="677"/>
        <v>0</v>
      </c>
      <c r="K2002" s="196"/>
      <c r="L2002" s="197"/>
      <c r="M2002" s="191">
        <f t="shared" si="678"/>
        <v>0</v>
      </c>
      <c r="N2002" s="150">
        <f t="shared" si="678"/>
        <v>0</v>
      </c>
      <c r="O2002" s="193">
        <f t="shared" si="678"/>
        <v>0</v>
      </c>
      <c r="P2002" s="162">
        <f t="shared" si="679"/>
        <v>0</v>
      </c>
      <c r="Q2002" s="162">
        <f t="shared" si="679"/>
        <v>0</v>
      </c>
      <c r="R2002" s="162">
        <f t="shared" si="679"/>
        <v>0</v>
      </c>
      <c r="S2002" s="162">
        <f t="shared" si="679"/>
        <v>0</v>
      </c>
      <c r="T2002" s="162">
        <f t="shared" si="679"/>
        <v>0</v>
      </c>
      <c r="U2002" s="162">
        <f t="shared" si="679"/>
        <v>0</v>
      </c>
      <c r="V2002" s="162">
        <f t="shared" si="679"/>
        <v>0</v>
      </c>
      <c r="W2002" s="162">
        <f t="shared" si="679"/>
        <v>0</v>
      </c>
      <c r="X2002" s="162">
        <f t="shared" si="679"/>
        <v>0</v>
      </c>
      <c r="Y2002" s="162">
        <f t="shared" si="679"/>
        <v>0</v>
      </c>
      <c r="Z2002" s="162">
        <f t="shared" si="679"/>
        <v>0</v>
      </c>
      <c r="AA2002" s="162">
        <f t="shared" si="679"/>
        <v>0</v>
      </c>
      <c r="AB2002" s="163">
        <f t="shared" si="676"/>
        <v>0</v>
      </c>
      <c r="AC2002" s="198"/>
    </row>
    <row r="2003" spans="1:29" hidden="1" outlineLevel="1" x14ac:dyDescent="0.25">
      <c r="A2003" s="14" t="str">
        <f t="shared" si="670"/>
        <v>TERC_OPER__21</v>
      </c>
      <c r="B2003" s="15" t="str">
        <f t="shared" si="671"/>
        <v>TERC_OPER__0_0</v>
      </c>
      <c r="C2003" s="83"/>
      <c r="D2003" s="15">
        <f t="shared" si="672"/>
        <v>0</v>
      </c>
      <c r="E2003" s="15">
        <v>21</v>
      </c>
      <c r="F2003" s="190">
        <f t="shared" si="677"/>
        <v>0</v>
      </c>
      <c r="G2003" s="149" t="str">
        <f t="shared" si="677"/>
        <v/>
      </c>
      <c r="H2003" s="150" t="str">
        <f t="shared" si="677"/>
        <v/>
      </c>
      <c r="I2003" s="150">
        <f t="shared" si="677"/>
        <v>0</v>
      </c>
      <c r="J2003" s="150">
        <f t="shared" si="677"/>
        <v>0</v>
      </c>
      <c r="K2003" s="196"/>
      <c r="L2003" s="197"/>
      <c r="M2003" s="191">
        <f t="shared" si="678"/>
        <v>0</v>
      </c>
      <c r="N2003" s="150">
        <f t="shared" si="678"/>
        <v>0</v>
      </c>
      <c r="O2003" s="193">
        <f t="shared" si="678"/>
        <v>0</v>
      </c>
      <c r="P2003" s="162">
        <f t="shared" si="679"/>
        <v>0</v>
      </c>
      <c r="Q2003" s="162">
        <f t="shared" si="679"/>
        <v>0</v>
      </c>
      <c r="R2003" s="162">
        <f t="shared" si="679"/>
        <v>0</v>
      </c>
      <c r="S2003" s="162">
        <f t="shared" si="679"/>
        <v>0</v>
      </c>
      <c r="T2003" s="162">
        <f t="shared" si="679"/>
        <v>0</v>
      </c>
      <c r="U2003" s="162">
        <f t="shared" si="679"/>
        <v>0</v>
      </c>
      <c r="V2003" s="162">
        <f t="shared" si="679"/>
        <v>0</v>
      </c>
      <c r="W2003" s="162">
        <f t="shared" si="679"/>
        <v>0</v>
      </c>
      <c r="X2003" s="162">
        <f t="shared" si="679"/>
        <v>0</v>
      </c>
      <c r="Y2003" s="162">
        <f t="shared" si="679"/>
        <v>0</v>
      </c>
      <c r="Z2003" s="162">
        <f t="shared" si="679"/>
        <v>0</v>
      </c>
      <c r="AA2003" s="162">
        <f t="shared" si="679"/>
        <v>0</v>
      </c>
      <c r="AB2003" s="163">
        <f t="shared" si="676"/>
        <v>0</v>
      </c>
      <c r="AC2003" s="198"/>
    </row>
    <row r="2004" spans="1:29" hidden="1" outlineLevel="1" x14ac:dyDescent="0.25">
      <c r="A2004" s="14" t="str">
        <f t="shared" si="670"/>
        <v>TERC_OPER__22</v>
      </c>
      <c r="B2004" s="15" t="str">
        <f t="shared" si="671"/>
        <v>TERC_OPER__0_0</v>
      </c>
      <c r="C2004" s="83"/>
      <c r="D2004" s="15">
        <f t="shared" si="672"/>
        <v>0</v>
      </c>
      <c r="E2004" s="15">
        <v>22</v>
      </c>
      <c r="F2004" s="190">
        <f t="shared" si="677"/>
        <v>0</v>
      </c>
      <c r="G2004" s="149" t="str">
        <f t="shared" si="677"/>
        <v/>
      </c>
      <c r="H2004" s="150" t="str">
        <f t="shared" si="677"/>
        <v/>
      </c>
      <c r="I2004" s="150">
        <f t="shared" si="677"/>
        <v>0</v>
      </c>
      <c r="J2004" s="150">
        <f t="shared" si="677"/>
        <v>0</v>
      </c>
      <c r="K2004" s="196"/>
      <c r="L2004" s="197"/>
      <c r="M2004" s="191">
        <f t="shared" si="678"/>
        <v>0</v>
      </c>
      <c r="N2004" s="150">
        <f t="shared" si="678"/>
        <v>0</v>
      </c>
      <c r="O2004" s="193">
        <f t="shared" si="678"/>
        <v>0</v>
      </c>
      <c r="P2004" s="162">
        <f t="shared" si="679"/>
        <v>0</v>
      </c>
      <c r="Q2004" s="162">
        <f t="shared" si="679"/>
        <v>0</v>
      </c>
      <c r="R2004" s="162">
        <f t="shared" si="679"/>
        <v>0</v>
      </c>
      <c r="S2004" s="162">
        <f t="shared" si="679"/>
        <v>0</v>
      </c>
      <c r="T2004" s="162">
        <f t="shared" si="679"/>
        <v>0</v>
      </c>
      <c r="U2004" s="162">
        <f t="shared" si="679"/>
        <v>0</v>
      </c>
      <c r="V2004" s="162">
        <f t="shared" si="679"/>
        <v>0</v>
      </c>
      <c r="W2004" s="162">
        <f t="shared" si="679"/>
        <v>0</v>
      </c>
      <c r="X2004" s="162">
        <f t="shared" si="679"/>
        <v>0</v>
      </c>
      <c r="Y2004" s="162">
        <f t="shared" si="679"/>
        <v>0</v>
      </c>
      <c r="Z2004" s="162">
        <f t="shared" si="679"/>
        <v>0</v>
      </c>
      <c r="AA2004" s="162">
        <f t="shared" si="679"/>
        <v>0</v>
      </c>
      <c r="AB2004" s="163">
        <f t="shared" si="676"/>
        <v>0</v>
      </c>
      <c r="AC2004" s="198"/>
    </row>
    <row r="2005" spans="1:29" hidden="1" outlineLevel="1" x14ac:dyDescent="0.25">
      <c r="A2005" s="14" t="str">
        <f t="shared" si="670"/>
        <v>TERC_OPER__23</v>
      </c>
      <c r="B2005" s="15" t="str">
        <f t="shared" si="671"/>
        <v>TERC_OPER__0_0</v>
      </c>
      <c r="C2005" s="83"/>
      <c r="D2005" s="15">
        <f t="shared" si="672"/>
        <v>0</v>
      </c>
      <c r="E2005" s="15">
        <v>23</v>
      </c>
      <c r="F2005" s="190">
        <f t="shared" si="677"/>
        <v>0</v>
      </c>
      <c r="G2005" s="149" t="str">
        <f t="shared" si="677"/>
        <v/>
      </c>
      <c r="H2005" s="150" t="str">
        <f t="shared" si="677"/>
        <v/>
      </c>
      <c r="I2005" s="150">
        <f t="shared" si="677"/>
        <v>0</v>
      </c>
      <c r="J2005" s="150">
        <f t="shared" si="677"/>
        <v>0</v>
      </c>
      <c r="K2005" s="196"/>
      <c r="L2005" s="197"/>
      <c r="M2005" s="191">
        <f t="shared" si="678"/>
        <v>0</v>
      </c>
      <c r="N2005" s="150">
        <f t="shared" si="678"/>
        <v>0</v>
      </c>
      <c r="O2005" s="193">
        <f t="shared" si="678"/>
        <v>0</v>
      </c>
      <c r="P2005" s="162">
        <f t="shared" si="679"/>
        <v>0</v>
      </c>
      <c r="Q2005" s="162">
        <f t="shared" si="679"/>
        <v>0</v>
      </c>
      <c r="R2005" s="162">
        <f t="shared" si="679"/>
        <v>0</v>
      </c>
      <c r="S2005" s="162">
        <f t="shared" si="679"/>
        <v>0</v>
      </c>
      <c r="T2005" s="162">
        <f t="shared" si="679"/>
        <v>0</v>
      </c>
      <c r="U2005" s="162">
        <f t="shared" si="679"/>
        <v>0</v>
      </c>
      <c r="V2005" s="162">
        <f t="shared" si="679"/>
        <v>0</v>
      </c>
      <c r="W2005" s="162">
        <f t="shared" si="679"/>
        <v>0</v>
      </c>
      <c r="X2005" s="162">
        <f t="shared" si="679"/>
        <v>0</v>
      </c>
      <c r="Y2005" s="162">
        <f t="shared" si="679"/>
        <v>0</v>
      </c>
      <c r="Z2005" s="162">
        <f t="shared" si="679"/>
        <v>0</v>
      </c>
      <c r="AA2005" s="162">
        <f t="shared" si="679"/>
        <v>0</v>
      </c>
      <c r="AB2005" s="163">
        <f t="shared" si="676"/>
        <v>0</v>
      </c>
      <c r="AC2005" s="198"/>
    </row>
    <row r="2006" spans="1:29" hidden="1" outlineLevel="1" x14ac:dyDescent="0.25">
      <c r="A2006" s="14" t="str">
        <f t="shared" si="670"/>
        <v>TERC_OPER__24</v>
      </c>
      <c r="B2006" s="15" t="str">
        <f t="shared" si="671"/>
        <v>TERC_OPER__0_0</v>
      </c>
      <c r="C2006" s="83"/>
      <c r="D2006" s="15">
        <f t="shared" si="672"/>
        <v>0</v>
      </c>
      <c r="E2006" s="15">
        <v>24</v>
      </c>
      <c r="F2006" s="190">
        <f t="shared" si="677"/>
        <v>0</v>
      </c>
      <c r="G2006" s="149" t="str">
        <f t="shared" si="677"/>
        <v/>
      </c>
      <c r="H2006" s="150" t="str">
        <f t="shared" si="677"/>
        <v/>
      </c>
      <c r="I2006" s="150">
        <f t="shared" si="677"/>
        <v>0</v>
      </c>
      <c r="J2006" s="150">
        <f t="shared" si="677"/>
        <v>0</v>
      </c>
      <c r="K2006" s="196"/>
      <c r="L2006" s="197"/>
      <c r="M2006" s="191">
        <f t="shared" si="678"/>
        <v>0</v>
      </c>
      <c r="N2006" s="150">
        <f t="shared" si="678"/>
        <v>0</v>
      </c>
      <c r="O2006" s="193">
        <f t="shared" si="678"/>
        <v>0</v>
      </c>
      <c r="P2006" s="162">
        <f t="shared" si="679"/>
        <v>0</v>
      </c>
      <c r="Q2006" s="162">
        <f t="shared" si="679"/>
        <v>0</v>
      </c>
      <c r="R2006" s="162">
        <f t="shared" si="679"/>
        <v>0</v>
      </c>
      <c r="S2006" s="162">
        <f t="shared" si="679"/>
        <v>0</v>
      </c>
      <c r="T2006" s="162">
        <f t="shared" si="679"/>
        <v>0</v>
      </c>
      <c r="U2006" s="162">
        <f t="shared" si="679"/>
        <v>0</v>
      </c>
      <c r="V2006" s="162">
        <f t="shared" si="679"/>
        <v>0</v>
      </c>
      <c r="W2006" s="162">
        <f t="shared" si="679"/>
        <v>0</v>
      </c>
      <c r="X2006" s="162">
        <f t="shared" si="679"/>
        <v>0</v>
      </c>
      <c r="Y2006" s="162">
        <f t="shared" si="679"/>
        <v>0</v>
      </c>
      <c r="Z2006" s="162">
        <f t="shared" si="679"/>
        <v>0</v>
      </c>
      <c r="AA2006" s="162">
        <f t="shared" si="679"/>
        <v>0</v>
      </c>
      <c r="AB2006" s="163">
        <f t="shared" si="676"/>
        <v>0</v>
      </c>
      <c r="AC2006" s="198"/>
    </row>
    <row r="2007" spans="1:29" hidden="1" outlineLevel="1" x14ac:dyDescent="0.25">
      <c r="A2007" s="14" t="str">
        <f t="shared" si="670"/>
        <v>TERC_OPER__25</v>
      </c>
      <c r="B2007" s="15" t="str">
        <f t="shared" si="671"/>
        <v>TERC_OPER__0_0</v>
      </c>
      <c r="C2007" s="83"/>
      <c r="D2007" s="15">
        <f t="shared" si="672"/>
        <v>0</v>
      </c>
      <c r="E2007" s="15">
        <v>25</v>
      </c>
      <c r="F2007" s="190">
        <f t="shared" si="677"/>
        <v>0</v>
      </c>
      <c r="G2007" s="149" t="str">
        <f t="shared" si="677"/>
        <v/>
      </c>
      <c r="H2007" s="150" t="str">
        <f t="shared" si="677"/>
        <v/>
      </c>
      <c r="I2007" s="150">
        <f t="shared" si="677"/>
        <v>0</v>
      </c>
      <c r="J2007" s="150">
        <f t="shared" si="677"/>
        <v>0</v>
      </c>
      <c r="K2007" s="196"/>
      <c r="L2007" s="197"/>
      <c r="M2007" s="191">
        <f t="shared" si="678"/>
        <v>0</v>
      </c>
      <c r="N2007" s="150">
        <f t="shared" si="678"/>
        <v>0</v>
      </c>
      <c r="O2007" s="193">
        <f t="shared" si="678"/>
        <v>0</v>
      </c>
      <c r="P2007" s="162">
        <f t="shared" si="679"/>
        <v>0</v>
      </c>
      <c r="Q2007" s="162">
        <f t="shared" si="679"/>
        <v>0</v>
      </c>
      <c r="R2007" s="162">
        <f t="shared" si="679"/>
        <v>0</v>
      </c>
      <c r="S2007" s="162">
        <f t="shared" si="679"/>
        <v>0</v>
      </c>
      <c r="T2007" s="162">
        <f t="shared" si="679"/>
        <v>0</v>
      </c>
      <c r="U2007" s="162">
        <f t="shared" si="679"/>
        <v>0</v>
      </c>
      <c r="V2007" s="162">
        <f t="shared" si="679"/>
        <v>0</v>
      </c>
      <c r="W2007" s="162">
        <f t="shared" si="679"/>
        <v>0</v>
      </c>
      <c r="X2007" s="162">
        <f t="shared" si="679"/>
        <v>0</v>
      </c>
      <c r="Y2007" s="162">
        <f t="shared" si="679"/>
        <v>0</v>
      </c>
      <c r="Z2007" s="162">
        <f t="shared" si="679"/>
        <v>0</v>
      </c>
      <c r="AA2007" s="162">
        <f t="shared" si="679"/>
        <v>0</v>
      </c>
      <c r="AB2007" s="163">
        <f t="shared" si="676"/>
        <v>0</v>
      </c>
      <c r="AC2007" s="198"/>
    </row>
    <row r="2008" spans="1:29" hidden="1" outlineLevel="1" x14ac:dyDescent="0.25">
      <c r="A2008" s="14" t="str">
        <f t="shared" si="670"/>
        <v>TERC_OPER__26</v>
      </c>
      <c r="B2008" s="15" t="str">
        <f t="shared" si="671"/>
        <v>TERC_OPER__0_0</v>
      </c>
      <c r="C2008" s="83"/>
      <c r="D2008" s="15">
        <f t="shared" si="672"/>
        <v>0</v>
      </c>
      <c r="E2008" s="15">
        <v>26</v>
      </c>
      <c r="F2008" s="190">
        <f t="shared" si="677"/>
        <v>0</v>
      </c>
      <c r="G2008" s="149" t="str">
        <f t="shared" si="677"/>
        <v/>
      </c>
      <c r="H2008" s="150" t="str">
        <f t="shared" si="677"/>
        <v/>
      </c>
      <c r="I2008" s="150">
        <f t="shared" si="677"/>
        <v>0</v>
      </c>
      <c r="J2008" s="150">
        <f t="shared" si="677"/>
        <v>0</v>
      </c>
      <c r="K2008" s="196"/>
      <c r="L2008" s="197"/>
      <c r="M2008" s="191">
        <f t="shared" si="678"/>
        <v>0</v>
      </c>
      <c r="N2008" s="150">
        <f t="shared" si="678"/>
        <v>0</v>
      </c>
      <c r="O2008" s="193">
        <f t="shared" si="678"/>
        <v>0</v>
      </c>
      <c r="P2008" s="162">
        <f t="shared" si="679"/>
        <v>0</v>
      </c>
      <c r="Q2008" s="162">
        <f t="shared" si="679"/>
        <v>0</v>
      </c>
      <c r="R2008" s="162">
        <f t="shared" si="679"/>
        <v>0</v>
      </c>
      <c r="S2008" s="162">
        <f t="shared" si="679"/>
        <v>0</v>
      </c>
      <c r="T2008" s="162">
        <f t="shared" si="679"/>
        <v>0</v>
      </c>
      <c r="U2008" s="162">
        <f t="shared" si="679"/>
        <v>0</v>
      </c>
      <c r="V2008" s="162">
        <f t="shared" si="679"/>
        <v>0</v>
      </c>
      <c r="W2008" s="162">
        <f t="shared" si="679"/>
        <v>0</v>
      </c>
      <c r="X2008" s="162">
        <f t="shared" si="679"/>
        <v>0</v>
      </c>
      <c r="Y2008" s="162">
        <f t="shared" si="679"/>
        <v>0</v>
      </c>
      <c r="Z2008" s="162">
        <f t="shared" si="679"/>
        <v>0</v>
      </c>
      <c r="AA2008" s="162">
        <f t="shared" si="679"/>
        <v>0</v>
      </c>
      <c r="AB2008" s="163">
        <f t="shared" si="676"/>
        <v>0</v>
      </c>
      <c r="AC2008" s="198"/>
    </row>
    <row r="2009" spans="1:29" hidden="1" outlineLevel="1" x14ac:dyDescent="0.25">
      <c r="A2009" s="14" t="str">
        <f t="shared" si="670"/>
        <v>TERC_OPER__27</v>
      </c>
      <c r="B2009" s="15" t="str">
        <f t="shared" si="671"/>
        <v>TERC_OPER__0_0</v>
      </c>
      <c r="C2009" s="83"/>
      <c r="D2009" s="15">
        <f t="shared" si="672"/>
        <v>0</v>
      </c>
      <c r="E2009" s="15">
        <v>27</v>
      </c>
      <c r="F2009" s="190">
        <f t="shared" si="677"/>
        <v>0</v>
      </c>
      <c r="G2009" s="149" t="str">
        <f t="shared" si="677"/>
        <v/>
      </c>
      <c r="H2009" s="150" t="str">
        <f t="shared" si="677"/>
        <v/>
      </c>
      <c r="I2009" s="150">
        <f t="shared" si="677"/>
        <v>0</v>
      </c>
      <c r="J2009" s="150">
        <f t="shared" si="677"/>
        <v>0</v>
      </c>
      <c r="K2009" s="196"/>
      <c r="L2009" s="197"/>
      <c r="M2009" s="191">
        <f t="shared" si="678"/>
        <v>0</v>
      </c>
      <c r="N2009" s="150">
        <f t="shared" si="678"/>
        <v>0</v>
      </c>
      <c r="O2009" s="193">
        <f t="shared" si="678"/>
        <v>0</v>
      </c>
      <c r="P2009" s="162">
        <f t="shared" si="679"/>
        <v>0</v>
      </c>
      <c r="Q2009" s="162">
        <f t="shared" si="679"/>
        <v>0</v>
      </c>
      <c r="R2009" s="162">
        <f t="shared" si="679"/>
        <v>0</v>
      </c>
      <c r="S2009" s="162">
        <f t="shared" si="679"/>
        <v>0</v>
      </c>
      <c r="T2009" s="162">
        <f t="shared" si="679"/>
        <v>0</v>
      </c>
      <c r="U2009" s="162">
        <f t="shared" si="679"/>
        <v>0</v>
      </c>
      <c r="V2009" s="162">
        <f t="shared" si="679"/>
        <v>0</v>
      </c>
      <c r="W2009" s="162">
        <f t="shared" si="679"/>
        <v>0</v>
      </c>
      <c r="X2009" s="162">
        <f t="shared" si="679"/>
        <v>0</v>
      </c>
      <c r="Y2009" s="162">
        <f t="shared" si="679"/>
        <v>0</v>
      </c>
      <c r="Z2009" s="162">
        <f t="shared" si="679"/>
        <v>0</v>
      </c>
      <c r="AA2009" s="162">
        <f t="shared" si="679"/>
        <v>0</v>
      </c>
      <c r="AB2009" s="163">
        <f t="shared" si="676"/>
        <v>0</v>
      </c>
      <c r="AC2009" s="198"/>
    </row>
    <row r="2010" spans="1:29" hidden="1" outlineLevel="1" x14ac:dyDescent="0.25">
      <c r="A2010" s="14" t="str">
        <f t="shared" si="670"/>
        <v>TERC_OPER__28</v>
      </c>
      <c r="B2010" s="15" t="str">
        <f t="shared" si="671"/>
        <v>TERC_OPER__0_0</v>
      </c>
      <c r="C2010" s="83"/>
      <c r="D2010" s="15">
        <f t="shared" si="672"/>
        <v>0</v>
      </c>
      <c r="E2010" s="15">
        <v>28</v>
      </c>
      <c r="F2010" s="190">
        <f t="shared" si="677"/>
        <v>0</v>
      </c>
      <c r="G2010" s="149" t="str">
        <f t="shared" si="677"/>
        <v/>
      </c>
      <c r="H2010" s="150" t="str">
        <f t="shared" si="677"/>
        <v/>
      </c>
      <c r="I2010" s="150">
        <f t="shared" si="677"/>
        <v>0</v>
      </c>
      <c r="J2010" s="150">
        <f t="shared" si="677"/>
        <v>0</v>
      </c>
      <c r="K2010" s="196"/>
      <c r="L2010" s="197"/>
      <c r="M2010" s="191">
        <f t="shared" si="678"/>
        <v>0</v>
      </c>
      <c r="N2010" s="150">
        <f t="shared" si="678"/>
        <v>0</v>
      </c>
      <c r="O2010" s="193">
        <f t="shared" si="678"/>
        <v>0</v>
      </c>
      <c r="P2010" s="162">
        <f t="shared" si="679"/>
        <v>0</v>
      </c>
      <c r="Q2010" s="162">
        <f t="shared" si="679"/>
        <v>0</v>
      </c>
      <c r="R2010" s="162">
        <f t="shared" si="679"/>
        <v>0</v>
      </c>
      <c r="S2010" s="162">
        <f t="shared" si="679"/>
        <v>0</v>
      </c>
      <c r="T2010" s="162">
        <f t="shared" si="679"/>
        <v>0</v>
      </c>
      <c r="U2010" s="162">
        <f t="shared" si="679"/>
        <v>0</v>
      </c>
      <c r="V2010" s="162">
        <f t="shared" si="679"/>
        <v>0</v>
      </c>
      <c r="W2010" s="162">
        <f t="shared" si="679"/>
        <v>0</v>
      </c>
      <c r="X2010" s="162">
        <f t="shared" si="679"/>
        <v>0</v>
      </c>
      <c r="Y2010" s="162">
        <f t="shared" si="679"/>
        <v>0</v>
      </c>
      <c r="Z2010" s="162">
        <f t="shared" si="679"/>
        <v>0</v>
      </c>
      <c r="AA2010" s="162">
        <f t="shared" si="679"/>
        <v>0</v>
      </c>
      <c r="AB2010" s="163">
        <f t="shared" si="676"/>
        <v>0</v>
      </c>
      <c r="AC2010" s="198"/>
    </row>
    <row r="2011" spans="1:29" hidden="1" outlineLevel="1" x14ac:dyDescent="0.25">
      <c r="A2011" s="14" t="str">
        <f t="shared" si="670"/>
        <v>TERC_OPER__29</v>
      </c>
      <c r="B2011" s="15" t="str">
        <f t="shared" si="671"/>
        <v>TERC_OPER__0_0</v>
      </c>
      <c r="C2011" s="83"/>
      <c r="D2011" s="15">
        <f t="shared" si="672"/>
        <v>0</v>
      </c>
      <c r="E2011" s="15">
        <v>29</v>
      </c>
      <c r="F2011" s="190">
        <f t="shared" si="677"/>
        <v>0</v>
      </c>
      <c r="G2011" s="149" t="str">
        <f t="shared" si="677"/>
        <v/>
      </c>
      <c r="H2011" s="150" t="str">
        <f t="shared" si="677"/>
        <v/>
      </c>
      <c r="I2011" s="150">
        <f t="shared" si="677"/>
        <v>0</v>
      </c>
      <c r="J2011" s="150">
        <f t="shared" si="677"/>
        <v>0</v>
      </c>
      <c r="K2011" s="196"/>
      <c r="L2011" s="197"/>
      <c r="M2011" s="191">
        <f t="shared" si="678"/>
        <v>0</v>
      </c>
      <c r="N2011" s="150">
        <f t="shared" si="678"/>
        <v>0</v>
      </c>
      <c r="O2011" s="193">
        <f t="shared" si="678"/>
        <v>0</v>
      </c>
      <c r="P2011" s="162">
        <f t="shared" si="679"/>
        <v>0</v>
      </c>
      <c r="Q2011" s="162">
        <f t="shared" si="679"/>
        <v>0</v>
      </c>
      <c r="R2011" s="162">
        <f t="shared" si="679"/>
        <v>0</v>
      </c>
      <c r="S2011" s="162">
        <f t="shared" si="679"/>
        <v>0</v>
      </c>
      <c r="T2011" s="162">
        <f t="shared" si="679"/>
        <v>0</v>
      </c>
      <c r="U2011" s="162">
        <f t="shared" si="679"/>
        <v>0</v>
      </c>
      <c r="V2011" s="162">
        <f t="shared" si="679"/>
        <v>0</v>
      </c>
      <c r="W2011" s="162">
        <f t="shared" si="679"/>
        <v>0</v>
      </c>
      <c r="X2011" s="162">
        <f t="shared" si="679"/>
        <v>0</v>
      </c>
      <c r="Y2011" s="162">
        <f t="shared" si="679"/>
        <v>0</v>
      </c>
      <c r="Z2011" s="162">
        <f t="shared" si="679"/>
        <v>0</v>
      </c>
      <c r="AA2011" s="162">
        <f t="shared" si="679"/>
        <v>0</v>
      </c>
      <c r="AB2011" s="163">
        <f t="shared" si="676"/>
        <v>0</v>
      </c>
      <c r="AC2011" s="198"/>
    </row>
    <row r="2012" spans="1:29" hidden="1" outlineLevel="1" x14ac:dyDescent="0.25">
      <c r="A2012" s="14" t="str">
        <f t="shared" si="670"/>
        <v>TERC_OPER__30</v>
      </c>
      <c r="B2012" s="15" t="str">
        <f t="shared" si="671"/>
        <v>TERC_OPER__0_0</v>
      </c>
      <c r="C2012" s="83"/>
      <c r="D2012" s="15">
        <f t="shared" si="672"/>
        <v>0</v>
      </c>
      <c r="E2012" s="15">
        <v>30</v>
      </c>
      <c r="F2012" s="190">
        <f t="shared" si="677"/>
        <v>0</v>
      </c>
      <c r="G2012" s="149" t="str">
        <f t="shared" si="677"/>
        <v/>
      </c>
      <c r="H2012" s="150" t="str">
        <f t="shared" si="677"/>
        <v/>
      </c>
      <c r="I2012" s="150">
        <f t="shared" si="677"/>
        <v>0</v>
      </c>
      <c r="J2012" s="150">
        <f t="shared" si="677"/>
        <v>0</v>
      </c>
      <c r="K2012" s="196"/>
      <c r="L2012" s="197"/>
      <c r="M2012" s="191">
        <f t="shared" si="678"/>
        <v>0</v>
      </c>
      <c r="N2012" s="150">
        <f t="shared" si="678"/>
        <v>0</v>
      </c>
      <c r="O2012" s="193">
        <f t="shared" si="678"/>
        <v>0</v>
      </c>
      <c r="P2012" s="162">
        <f t="shared" si="679"/>
        <v>0</v>
      </c>
      <c r="Q2012" s="162">
        <f t="shared" si="679"/>
        <v>0</v>
      </c>
      <c r="R2012" s="162">
        <f t="shared" si="679"/>
        <v>0</v>
      </c>
      <c r="S2012" s="162">
        <f t="shared" si="679"/>
        <v>0</v>
      </c>
      <c r="T2012" s="162">
        <f t="shared" si="679"/>
        <v>0</v>
      </c>
      <c r="U2012" s="162">
        <f t="shared" si="679"/>
        <v>0</v>
      </c>
      <c r="V2012" s="162">
        <f t="shared" si="679"/>
        <v>0</v>
      </c>
      <c r="W2012" s="162">
        <f t="shared" si="679"/>
        <v>0</v>
      </c>
      <c r="X2012" s="162">
        <f t="shared" si="679"/>
        <v>0</v>
      </c>
      <c r="Y2012" s="162">
        <f t="shared" si="679"/>
        <v>0</v>
      </c>
      <c r="Z2012" s="162">
        <f t="shared" si="679"/>
        <v>0</v>
      </c>
      <c r="AA2012" s="162">
        <f t="shared" si="679"/>
        <v>0</v>
      </c>
      <c r="AB2012" s="163">
        <f t="shared" si="676"/>
        <v>0</v>
      </c>
      <c r="AC2012" s="198"/>
    </row>
    <row r="2013" spans="1:29" hidden="1" outlineLevel="1" x14ac:dyDescent="0.25">
      <c r="A2013" s="14" t="str">
        <f t="shared" si="670"/>
        <v>TERC_OPER__31</v>
      </c>
      <c r="B2013" s="15" t="str">
        <f t="shared" si="671"/>
        <v>TERC_OPER__0_0</v>
      </c>
      <c r="C2013" s="83"/>
      <c r="D2013" s="15">
        <f t="shared" si="672"/>
        <v>0</v>
      </c>
      <c r="E2013" s="15">
        <v>31</v>
      </c>
      <c r="F2013" s="190">
        <f t="shared" si="677"/>
        <v>0</v>
      </c>
      <c r="G2013" s="149" t="str">
        <f t="shared" si="677"/>
        <v/>
      </c>
      <c r="H2013" s="150" t="str">
        <f t="shared" si="677"/>
        <v/>
      </c>
      <c r="I2013" s="150">
        <f t="shared" si="677"/>
        <v>0</v>
      </c>
      <c r="J2013" s="150">
        <f t="shared" si="677"/>
        <v>0</v>
      </c>
      <c r="K2013" s="196"/>
      <c r="L2013" s="197"/>
      <c r="M2013" s="191">
        <f t="shared" si="678"/>
        <v>0</v>
      </c>
      <c r="N2013" s="150">
        <f t="shared" si="678"/>
        <v>0</v>
      </c>
      <c r="O2013" s="193">
        <f t="shared" si="678"/>
        <v>0</v>
      </c>
      <c r="P2013" s="162">
        <f t="shared" si="679"/>
        <v>0</v>
      </c>
      <c r="Q2013" s="162">
        <f t="shared" si="679"/>
        <v>0</v>
      </c>
      <c r="R2013" s="162">
        <f t="shared" si="679"/>
        <v>0</v>
      </c>
      <c r="S2013" s="162">
        <f t="shared" si="679"/>
        <v>0</v>
      </c>
      <c r="T2013" s="162">
        <f t="shared" si="679"/>
        <v>0</v>
      </c>
      <c r="U2013" s="162">
        <f t="shared" si="679"/>
        <v>0</v>
      </c>
      <c r="V2013" s="162">
        <f t="shared" si="679"/>
        <v>0</v>
      </c>
      <c r="W2013" s="162">
        <f t="shared" si="679"/>
        <v>0</v>
      </c>
      <c r="X2013" s="162">
        <f t="shared" si="679"/>
        <v>0</v>
      </c>
      <c r="Y2013" s="162">
        <f t="shared" si="679"/>
        <v>0</v>
      </c>
      <c r="Z2013" s="162">
        <f t="shared" si="679"/>
        <v>0</v>
      </c>
      <c r="AA2013" s="162">
        <f t="shared" si="679"/>
        <v>0</v>
      </c>
      <c r="AB2013" s="163">
        <f t="shared" si="676"/>
        <v>0</v>
      </c>
      <c r="AC2013" s="198"/>
    </row>
    <row r="2014" spans="1:29" hidden="1" outlineLevel="1" x14ac:dyDescent="0.25">
      <c r="A2014" s="14" t="str">
        <f t="shared" si="670"/>
        <v>TERC_OPER__32</v>
      </c>
      <c r="B2014" s="15" t="str">
        <f t="shared" si="671"/>
        <v>TERC_OPER__0_0</v>
      </c>
      <c r="C2014" s="83"/>
      <c r="D2014" s="15">
        <f t="shared" si="672"/>
        <v>0</v>
      </c>
      <c r="E2014" s="15">
        <v>32</v>
      </c>
      <c r="F2014" s="190">
        <f t="shared" si="677"/>
        <v>0</v>
      </c>
      <c r="G2014" s="149" t="str">
        <f t="shared" si="677"/>
        <v/>
      </c>
      <c r="H2014" s="150" t="str">
        <f t="shared" si="677"/>
        <v/>
      </c>
      <c r="I2014" s="150">
        <f t="shared" si="677"/>
        <v>0</v>
      </c>
      <c r="J2014" s="150">
        <f t="shared" si="677"/>
        <v>0</v>
      </c>
      <c r="K2014" s="196"/>
      <c r="L2014" s="197"/>
      <c r="M2014" s="191">
        <f t="shared" si="678"/>
        <v>0</v>
      </c>
      <c r="N2014" s="150">
        <f t="shared" si="678"/>
        <v>0</v>
      </c>
      <c r="O2014" s="193">
        <f t="shared" si="678"/>
        <v>0</v>
      </c>
      <c r="P2014" s="162">
        <f t="shared" si="679"/>
        <v>0</v>
      </c>
      <c r="Q2014" s="162">
        <f t="shared" si="679"/>
        <v>0</v>
      </c>
      <c r="R2014" s="162">
        <f t="shared" si="679"/>
        <v>0</v>
      </c>
      <c r="S2014" s="162">
        <f t="shared" si="679"/>
        <v>0</v>
      </c>
      <c r="T2014" s="162">
        <f t="shared" si="679"/>
        <v>0</v>
      </c>
      <c r="U2014" s="162">
        <f t="shared" si="679"/>
        <v>0</v>
      </c>
      <c r="V2014" s="162">
        <f t="shared" si="679"/>
        <v>0</v>
      </c>
      <c r="W2014" s="162">
        <f t="shared" si="679"/>
        <v>0</v>
      </c>
      <c r="X2014" s="162">
        <f t="shared" si="679"/>
        <v>0</v>
      </c>
      <c r="Y2014" s="162">
        <f t="shared" si="679"/>
        <v>0</v>
      </c>
      <c r="Z2014" s="162">
        <f t="shared" si="679"/>
        <v>0</v>
      </c>
      <c r="AA2014" s="162">
        <f t="shared" si="679"/>
        <v>0</v>
      </c>
      <c r="AB2014" s="163">
        <f t="shared" si="676"/>
        <v>0</v>
      </c>
      <c r="AC2014" s="198"/>
    </row>
    <row r="2015" spans="1:29" hidden="1" outlineLevel="1" x14ac:dyDescent="0.25">
      <c r="A2015" s="14" t="str">
        <f t="shared" si="670"/>
        <v>TERC_OPER__33</v>
      </c>
      <c r="B2015" s="15" t="str">
        <f t="shared" si="671"/>
        <v>TERC_OPER__0_0</v>
      </c>
      <c r="C2015" s="83"/>
      <c r="D2015" s="15">
        <f t="shared" si="672"/>
        <v>0</v>
      </c>
      <c r="E2015" s="15">
        <v>33</v>
      </c>
      <c r="F2015" s="190">
        <f t="shared" ref="F2015:J2027" si="680">F1873</f>
        <v>0</v>
      </c>
      <c r="G2015" s="149" t="str">
        <f t="shared" si="680"/>
        <v/>
      </c>
      <c r="H2015" s="150" t="str">
        <f t="shared" si="680"/>
        <v/>
      </c>
      <c r="I2015" s="150">
        <f t="shared" si="680"/>
        <v>0</v>
      </c>
      <c r="J2015" s="150">
        <f t="shared" si="680"/>
        <v>0</v>
      </c>
      <c r="K2015" s="196"/>
      <c r="L2015" s="197"/>
      <c r="M2015" s="191">
        <f t="shared" ref="M2015:O2027" si="681">M1873</f>
        <v>0</v>
      </c>
      <c r="N2015" s="150">
        <f t="shared" si="681"/>
        <v>0</v>
      </c>
      <c r="O2015" s="193">
        <f t="shared" si="681"/>
        <v>0</v>
      </c>
      <c r="P2015" s="162">
        <f t="shared" ref="P2015:AA2027" si="682">IFERROR(SUMIF($B$1817:$B$1835,$C2015&amp;$I2015,P$1817:P$1835)/SUMIF($D$1817:$D$1835,$I2015,P$1817:P$1835)*P1873,0)</f>
        <v>0</v>
      </c>
      <c r="Q2015" s="162">
        <f t="shared" si="682"/>
        <v>0</v>
      </c>
      <c r="R2015" s="162">
        <f t="shared" si="682"/>
        <v>0</v>
      </c>
      <c r="S2015" s="162">
        <f t="shared" si="682"/>
        <v>0</v>
      </c>
      <c r="T2015" s="162">
        <f t="shared" si="682"/>
        <v>0</v>
      </c>
      <c r="U2015" s="162">
        <f t="shared" si="682"/>
        <v>0</v>
      </c>
      <c r="V2015" s="162">
        <f t="shared" si="682"/>
        <v>0</v>
      </c>
      <c r="W2015" s="162">
        <f t="shared" si="682"/>
        <v>0</v>
      </c>
      <c r="X2015" s="162">
        <f t="shared" si="682"/>
        <v>0</v>
      </c>
      <c r="Y2015" s="162">
        <f t="shared" si="682"/>
        <v>0</v>
      </c>
      <c r="Z2015" s="162">
        <f t="shared" si="682"/>
        <v>0</v>
      </c>
      <c r="AA2015" s="162">
        <f t="shared" si="682"/>
        <v>0</v>
      </c>
      <c r="AB2015" s="163">
        <f t="shared" si="676"/>
        <v>0</v>
      </c>
      <c r="AC2015" s="198"/>
    </row>
    <row r="2016" spans="1:29" hidden="1" outlineLevel="1" x14ac:dyDescent="0.25">
      <c r="A2016" s="14" t="str">
        <f t="shared" si="670"/>
        <v>TERC_OPER__34</v>
      </c>
      <c r="B2016" s="15" t="str">
        <f t="shared" si="671"/>
        <v>TERC_OPER__0_0</v>
      </c>
      <c r="C2016" s="83"/>
      <c r="D2016" s="15">
        <f t="shared" si="672"/>
        <v>0</v>
      </c>
      <c r="E2016" s="15">
        <v>34</v>
      </c>
      <c r="F2016" s="190">
        <f t="shared" si="680"/>
        <v>0</v>
      </c>
      <c r="G2016" s="149" t="str">
        <f t="shared" si="680"/>
        <v/>
      </c>
      <c r="H2016" s="150" t="str">
        <f t="shared" si="680"/>
        <v/>
      </c>
      <c r="I2016" s="150">
        <f t="shared" si="680"/>
        <v>0</v>
      </c>
      <c r="J2016" s="150">
        <f t="shared" si="680"/>
        <v>0</v>
      </c>
      <c r="K2016" s="196"/>
      <c r="L2016" s="197"/>
      <c r="M2016" s="191">
        <f t="shared" si="681"/>
        <v>0</v>
      </c>
      <c r="N2016" s="150">
        <f t="shared" si="681"/>
        <v>0</v>
      </c>
      <c r="O2016" s="193">
        <f t="shared" si="681"/>
        <v>0</v>
      </c>
      <c r="P2016" s="162">
        <f t="shared" si="682"/>
        <v>0</v>
      </c>
      <c r="Q2016" s="162">
        <f t="shared" si="682"/>
        <v>0</v>
      </c>
      <c r="R2016" s="162">
        <f t="shared" si="682"/>
        <v>0</v>
      </c>
      <c r="S2016" s="162">
        <f t="shared" si="682"/>
        <v>0</v>
      </c>
      <c r="T2016" s="162">
        <f t="shared" si="682"/>
        <v>0</v>
      </c>
      <c r="U2016" s="162">
        <f t="shared" si="682"/>
        <v>0</v>
      </c>
      <c r="V2016" s="162">
        <f t="shared" si="682"/>
        <v>0</v>
      </c>
      <c r="W2016" s="162">
        <f t="shared" si="682"/>
        <v>0</v>
      </c>
      <c r="X2016" s="162">
        <f t="shared" si="682"/>
        <v>0</v>
      </c>
      <c r="Y2016" s="162">
        <f t="shared" si="682"/>
        <v>0</v>
      </c>
      <c r="Z2016" s="162">
        <f t="shared" si="682"/>
        <v>0</v>
      </c>
      <c r="AA2016" s="162">
        <f t="shared" si="682"/>
        <v>0</v>
      </c>
      <c r="AB2016" s="163">
        <f t="shared" si="676"/>
        <v>0</v>
      </c>
      <c r="AC2016" s="198"/>
    </row>
    <row r="2017" spans="1:29" hidden="1" outlineLevel="1" x14ac:dyDescent="0.25">
      <c r="A2017" s="14" t="str">
        <f t="shared" si="670"/>
        <v>TERC_OPER__35</v>
      </c>
      <c r="B2017" s="15" t="str">
        <f t="shared" si="671"/>
        <v>TERC_OPER__0_0</v>
      </c>
      <c r="C2017" s="83"/>
      <c r="D2017" s="15">
        <f t="shared" si="672"/>
        <v>0</v>
      </c>
      <c r="E2017" s="15">
        <v>35</v>
      </c>
      <c r="F2017" s="190">
        <f t="shared" si="680"/>
        <v>0</v>
      </c>
      <c r="G2017" s="149" t="str">
        <f t="shared" si="680"/>
        <v/>
      </c>
      <c r="H2017" s="150" t="str">
        <f t="shared" si="680"/>
        <v/>
      </c>
      <c r="I2017" s="150">
        <f t="shared" si="680"/>
        <v>0</v>
      </c>
      <c r="J2017" s="150">
        <f t="shared" si="680"/>
        <v>0</v>
      </c>
      <c r="K2017" s="196"/>
      <c r="L2017" s="197"/>
      <c r="M2017" s="191">
        <f t="shared" si="681"/>
        <v>0</v>
      </c>
      <c r="N2017" s="150">
        <f t="shared" si="681"/>
        <v>0</v>
      </c>
      <c r="O2017" s="193">
        <f t="shared" si="681"/>
        <v>0</v>
      </c>
      <c r="P2017" s="162">
        <f t="shared" si="682"/>
        <v>0</v>
      </c>
      <c r="Q2017" s="162">
        <f t="shared" si="682"/>
        <v>0</v>
      </c>
      <c r="R2017" s="162">
        <f t="shared" si="682"/>
        <v>0</v>
      </c>
      <c r="S2017" s="162">
        <f t="shared" si="682"/>
        <v>0</v>
      </c>
      <c r="T2017" s="162">
        <f t="shared" si="682"/>
        <v>0</v>
      </c>
      <c r="U2017" s="162">
        <f t="shared" si="682"/>
        <v>0</v>
      </c>
      <c r="V2017" s="162">
        <f t="shared" si="682"/>
        <v>0</v>
      </c>
      <c r="W2017" s="162">
        <f t="shared" si="682"/>
        <v>0</v>
      </c>
      <c r="X2017" s="162">
        <f t="shared" si="682"/>
        <v>0</v>
      </c>
      <c r="Y2017" s="162">
        <f t="shared" si="682"/>
        <v>0</v>
      </c>
      <c r="Z2017" s="162">
        <f t="shared" si="682"/>
        <v>0</v>
      </c>
      <c r="AA2017" s="162">
        <f t="shared" si="682"/>
        <v>0</v>
      </c>
      <c r="AB2017" s="163">
        <f t="shared" si="676"/>
        <v>0</v>
      </c>
      <c r="AC2017" s="198"/>
    </row>
    <row r="2018" spans="1:29" hidden="1" outlineLevel="1" x14ac:dyDescent="0.25">
      <c r="A2018" s="14" t="str">
        <f t="shared" si="670"/>
        <v>TERC_OPER__36</v>
      </c>
      <c r="B2018" s="15" t="str">
        <f t="shared" si="671"/>
        <v>TERC_OPER__0_0</v>
      </c>
      <c r="C2018" s="83"/>
      <c r="D2018" s="15">
        <f t="shared" si="672"/>
        <v>0</v>
      </c>
      <c r="E2018" s="15">
        <v>36</v>
      </c>
      <c r="F2018" s="190">
        <f t="shared" si="680"/>
        <v>0</v>
      </c>
      <c r="G2018" s="149" t="str">
        <f t="shared" si="680"/>
        <v/>
      </c>
      <c r="H2018" s="150" t="str">
        <f t="shared" si="680"/>
        <v/>
      </c>
      <c r="I2018" s="150">
        <f t="shared" si="680"/>
        <v>0</v>
      </c>
      <c r="J2018" s="150">
        <f t="shared" si="680"/>
        <v>0</v>
      </c>
      <c r="K2018" s="196"/>
      <c r="L2018" s="197"/>
      <c r="M2018" s="191">
        <f t="shared" si="681"/>
        <v>0</v>
      </c>
      <c r="N2018" s="150">
        <f t="shared" si="681"/>
        <v>0</v>
      </c>
      <c r="O2018" s="193">
        <f t="shared" si="681"/>
        <v>0</v>
      </c>
      <c r="P2018" s="162">
        <f t="shared" si="682"/>
        <v>0</v>
      </c>
      <c r="Q2018" s="162">
        <f t="shared" si="682"/>
        <v>0</v>
      </c>
      <c r="R2018" s="162">
        <f t="shared" si="682"/>
        <v>0</v>
      </c>
      <c r="S2018" s="162">
        <f t="shared" si="682"/>
        <v>0</v>
      </c>
      <c r="T2018" s="162">
        <f t="shared" si="682"/>
        <v>0</v>
      </c>
      <c r="U2018" s="162">
        <f t="shared" si="682"/>
        <v>0</v>
      </c>
      <c r="V2018" s="162">
        <f t="shared" si="682"/>
        <v>0</v>
      </c>
      <c r="W2018" s="162">
        <f t="shared" si="682"/>
        <v>0</v>
      </c>
      <c r="X2018" s="162">
        <f t="shared" si="682"/>
        <v>0</v>
      </c>
      <c r="Y2018" s="162">
        <f t="shared" si="682"/>
        <v>0</v>
      </c>
      <c r="Z2018" s="162">
        <f t="shared" si="682"/>
        <v>0</v>
      </c>
      <c r="AA2018" s="162">
        <f t="shared" si="682"/>
        <v>0</v>
      </c>
      <c r="AB2018" s="163">
        <f t="shared" si="676"/>
        <v>0</v>
      </c>
      <c r="AC2018" s="198"/>
    </row>
    <row r="2019" spans="1:29" hidden="1" outlineLevel="1" x14ac:dyDescent="0.25">
      <c r="A2019" s="14" t="str">
        <f t="shared" si="670"/>
        <v>TERC_OPER__37</v>
      </c>
      <c r="B2019" s="15" t="str">
        <f t="shared" si="671"/>
        <v>TERC_OPER__0_0</v>
      </c>
      <c r="C2019" s="83"/>
      <c r="D2019" s="15">
        <f t="shared" si="672"/>
        <v>0</v>
      </c>
      <c r="E2019" s="15">
        <v>37</v>
      </c>
      <c r="F2019" s="190">
        <f t="shared" si="680"/>
        <v>0</v>
      </c>
      <c r="G2019" s="149" t="str">
        <f t="shared" si="680"/>
        <v/>
      </c>
      <c r="H2019" s="150" t="str">
        <f t="shared" si="680"/>
        <v/>
      </c>
      <c r="I2019" s="150">
        <f t="shared" si="680"/>
        <v>0</v>
      </c>
      <c r="J2019" s="150">
        <f t="shared" si="680"/>
        <v>0</v>
      </c>
      <c r="K2019" s="196"/>
      <c r="L2019" s="197"/>
      <c r="M2019" s="191">
        <f t="shared" si="681"/>
        <v>0</v>
      </c>
      <c r="N2019" s="150">
        <f t="shared" si="681"/>
        <v>0</v>
      </c>
      <c r="O2019" s="193">
        <f t="shared" si="681"/>
        <v>0</v>
      </c>
      <c r="P2019" s="162">
        <f t="shared" si="682"/>
        <v>0</v>
      </c>
      <c r="Q2019" s="162">
        <f t="shared" si="682"/>
        <v>0</v>
      </c>
      <c r="R2019" s="162">
        <f t="shared" si="682"/>
        <v>0</v>
      </c>
      <c r="S2019" s="162">
        <f t="shared" si="682"/>
        <v>0</v>
      </c>
      <c r="T2019" s="162">
        <f t="shared" si="682"/>
        <v>0</v>
      </c>
      <c r="U2019" s="162">
        <f t="shared" si="682"/>
        <v>0</v>
      </c>
      <c r="V2019" s="162">
        <f t="shared" si="682"/>
        <v>0</v>
      </c>
      <c r="W2019" s="162">
        <f t="shared" si="682"/>
        <v>0</v>
      </c>
      <c r="X2019" s="162">
        <f t="shared" si="682"/>
        <v>0</v>
      </c>
      <c r="Y2019" s="162">
        <f t="shared" si="682"/>
        <v>0</v>
      </c>
      <c r="Z2019" s="162">
        <f t="shared" si="682"/>
        <v>0</v>
      </c>
      <c r="AA2019" s="162">
        <f t="shared" si="682"/>
        <v>0</v>
      </c>
      <c r="AB2019" s="163">
        <f t="shared" si="676"/>
        <v>0</v>
      </c>
      <c r="AC2019" s="198"/>
    </row>
    <row r="2020" spans="1:29" hidden="1" outlineLevel="1" x14ac:dyDescent="0.25">
      <c r="A2020" s="14" t="str">
        <f t="shared" si="670"/>
        <v>TERC_OPER__38</v>
      </c>
      <c r="B2020" s="15" t="str">
        <f t="shared" si="671"/>
        <v>TERC_OPER__0_0</v>
      </c>
      <c r="C2020" s="83"/>
      <c r="D2020" s="15">
        <f t="shared" si="672"/>
        <v>0</v>
      </c>
      <c r="E2020" s="15">
        <v>38</v>
      </c>
      <c r="F2020" s="190">
        <f t="shared" si="680"/>
        <v>0</v>
      </c>
      <c r="G2020" s="149" t="str">
        <f t="shared" si="680"/>
        <v/>
      </c>
      <c r="H2020" s="150" t="str">
        <f t="shared" si="680"/>
        <v/>
      </c>
      <c r="I2020" s="150">
        <f t="shared" si="680"/>
        <v>0</v>
      </c>
      <c r="J2020" s="150">
        <f t="shared" si="680"/>
        <v>0</v>
      </c>
      <c r="K2020" s="196"/>
      <c r="L2020" s="197"/>
      <c r="M2020" s="191">
        <f t="shared" si="681"/>
        <v>0</v>
      </c>
      <c r="N2020" s="150">
        <f t="shared" si="681"/>
        <v>0</v>
      </c>
      <c r="O2020" s="193">
        <f t="shared" si="681"/>
        <v>0</v>
      </c>
      <c r="P2020" s="162">
        <f t="shared" si="682"/>
        <v>0</v>
      </c>
      <c r="Q2020" s="162">
        <f t="shared" si="682"/>
        <v>0</v>
      </c>
      <c r="R2020" s="162">
        <f t="shared" si="682"/>
        <v>0</v>
      </c>
      <c r="S2020" s="162">
        <f t="shared" si="682"/>
        <v>0</v>
      </c>
      <c r="T2020" s="162">
        <f t="shared" si="682"/>
        <v>0</v>
      </c>
      <c r="U2020" s="162">
        <f t="shared" si="682"/>
        <v>0</v>
      </c>
      <c r="V2020" s="162">
        <f t="shared" si="682"/>
        <v>0</v>
      </c>
      <c r="W2020" s="162">
        <f t="shared" si="682"/>
        <v>0</v>
      </c>
      <c r="X2020" s="162">
        <f t="shared" si="682"/>
        <v>0</v>
      </c>
      <c r="Y2020" s="162">
        <f t="shared" si="682"/>
        <v>0</v>
      </c>
      <c r="Z2020" s="162">
        <f t="shared" si="682"/>
        <v>0</v>
      </c>
      <c r="AA2020" s="162">
        <f t="shared" si="682"/>
        <v>0</v>
      </c>
      <c r="AB2020" s="163">
        <f t="shared" si="676"/>
        <v>0</v>
      </c>
      <c r="AC2020" s="198"/>
    </row>
    <row r="2021" spans="1:29" hidden="1" outlineLevel="1" x14ac:dyDescent="0.25">
      <c r="A2021" s="14" t="str">
        <f t="shared" si="670"/>
        <v>TERC_OPER__39</v>
      </c>
      <c r="B2021" s="15" t="str">
        <f t="shared" si="671"/>
        <v>TERC_OPER__0_0</v>
      </c>
      <c r="C2021" s="83"/>
      <c r="D2021" s="15">
        <f t="shared" si="672"/>
        <v>0</v>
      </c>
      <c r="E2021" s="15">
        <v>39</v>
      </c>
      <c r="F2021" s="190">
        <f t="shared" si="680"/>
        <v>0</v>
      </c>
      <c r="G2021" s="149" t="str">
        <f t="shared" si="680"/>
        <v/>
      </c>
      <c r="H2021" s="150" t="str">
        <f t="shared" si="680"/>
        <v/>
      </c>
      <c r="I2021" s="150">
        <f t="shared" si="680"/>
        <v>0</v>
      </c>
      <c r="J2021" s="150">
        <f t="shared" si="680"/>
        <v>0</v>
      </c>
      <c r="K2021" s="196"/>
      <c r="L2021" s="197"/>
      <c r="M2021" s="191">
        <f t="shared" si="681"/>
        <v>0</v>
      </c>
      <c r="N2021" s="150">
        <f t="shared" si="681"/>
        <v>0</v>
      </c>
      <c r="O2021" s="193">
        <f t="shared" si="681"/>
        <v>0</v>
      </c>
      <c r="P2021" s="162">
        <f t="shared" si="682"/>
        <v>0</v>
      </c>
      <c r="Q2021" s="162">
        <f t="shared" si="682"/>
        <v>0</v>
      </c>
      <c r="R2021" s="162">
        <f t="shared" si="682"/>
        <v>0</v>
      </c>
      <c r="S2021" s="162">
        <f t="shared" si="682"/>
        <v>0</v>
      </c>
      <c r="T2021" s="162">
        <f t="shared" si="682"/>
        <v>0</v>
      </c>
      <c r="U2021" s="162">
        <f t="shared" si="682"/>
        <v>0</v>
      </c>
      <c r="V2021" s="162">
        <f t="shared" si="682"/>
        <v>0</v>
      </c>
      <c r="W2021" s="162">
        <f t="shared" si="682"/>
        <v>0</v>
      </c>
      <c r="X2021" s="162">
        <f t="shared" si="682"/>
        <v>0</v>
      </c>
      <c r="Y2021" s="162">
        <f t="shared" si="682"/>
        <v>0</v>
      </c>
      <c r="Z2021" s="162">
        <f t="shared" si="682"/>
        <v>0</v>
      </c>
      <c r="AA2021" s="162">
        <f t="shared" si="682"/>
        <v>0</v>
      </c>
      <c r="AB2021" s="163">
        <f t="shared" si="676"/>
        <v>0</v>
      </c>
      <c r="AC2021" s="198"/>
    </row>
    <row r="2022" spans="1:29" hidden="1" outlineLevel="1" x14ac:dyDescent="0.25">
      <c r="A2022" s="14" t="str">
        <f t="shared" si="670"/>
        <v>TERC_OPER__40</v>
      </c>
      <c r="B2022" s="15" t="str">
        <f t="shared" si="671"/>
        <v>TERC_OPER__0_0</v>
      </c>
      <c r="C2022" s="83"/>
      <c r="D2022" s="15">
        <f t="shared" si="672"/>
        <v>0</v>
      </c>
      <c r="E2022" s="15">
        <v>40</v>
      </c>
      <c r="F2022" s="190">
        <f t="shared" si="680"/>
        <v>0</v>
      </c>
      <c r="G2022" s="149" t="str">
        <f t="shared" si="680"/>
        <v/>
      </c>
      <c r="H2022" s="150" t="str">
        <f t="shared" si="680"/>
        <v/>
      </c>
      <c r="I2022" s="150">
        <f t="shared" si="680"/>
        <v>0</v>
      </c>
      <c r="J2022" s="150">
        <f t="shared" si="680"/>
        <v>0</v>
      </c>
      <c r="K2022" s="196"/>
      <c r="L2022" s="197"/>
      <c r="M2022" s="191">
        <f t="shared" si="681"/>
        <v>0</v>
      </c>
      <c r="N2022" s="150">
        <f t="shared" si="681"/>
        <v>0</v>
      </c>
      <c r="O2022" s="193">
        <f t="shared" si="681"/>
        <v>0</v>
      </c>
      <c r="P2022" s="162">
        <f t="shared" si="682"/>
        <v>0</v>
      </c>
      <c r="Q2022" s="162">
        <f t="shared" si="682"/>
        <v>0</v>
      </c>
      <c r="R2022" s="162">
        <f t="shared" si="682"/>
        <v>0</v>
      </c>
      <c r="S2022" s="162">
        <f t="shared" si="682"/>
        <v>0</v>
      </c>
      <c r="T2022" s="162">
        <f t="shared" si="682"/>
        <v>0</v>
      </c>
      <c r="U2022" s="162">
        <f t="shared" si="682"/>
        <v>0</v>
      </c>
      <c r="V2022" s="162">
        <f t="shared" si="682"/>
        <v>0</v>
      </c>
      <c r="W2022" s="162">
        <f t="shared" si="682"/>
        <v>0</v>
      </c>
      <c r="X2022" s="162">
        <f t="shared" si="682"/>
        <v>0</v>
      </c>
      <c r="Y2022" s="162">
        <f t="shared" si="682"/>
        <v>0</v>
      </c>
      <c r="Z2022" s="162">
        <f t="shared" si="682"/>
        <v>0</v>
      </c>
      <c r="AA2022" s="162">
        <f t="shared" si="682"/>
        <v>0</v>
      </c>
      <c r="AB2022" s="163">
        <f t="shared" si="676"/>
        <v>0</v>
      </c>
      <c r="AC2022" s="198"/>
    </row>
    <row r="2023" spans="1:29" hidden="1" outlineLevel="1" x14ac:dyDescent="0.25">
      <c r="A2023" s="14" t="str">
        <f t="shared" si="670"/>
        <v>TERC_OPER__41</v>
      </c>
      <c r="B2023" s="15" t="str">
        <f t="shared" si="671"/>
        <v>TERC_OPER__0_0</v>
      </c>
      <c r="C2023" s="83"/>
      <c r="D2023" s="15">
        <f t="shared" si="672"/>
        <v>0</v>
      </c>
      <c r="E2023" s="15">
        <v>41</v>
      </c>
      <c r="F2023" s="190">
        <f t="shared" si="680"/>
        <v>0</v>
      </c>
      <c r="G2023" s="149" t="str">
        <f t="shared" si="680"/>
        <v/>
      </c>
      <c r="H2023" s="150" t="str">
        <f t="shared" si="680"/>
        <v/>
      </c>
      <c r="I2023" s="150">
        <f t="shared" si="680"/>
        <v>0</v>
      </c>
      <c r="J2023" s="150">
        <f t="shared" si="680"/>
        <v>0</v>
      </c>
      <c r="K2023" s="196"/>
      <c r="L2023" s="197"/>
      <c r="M2023" s="191">
        <f t="shared" si="681"/>
        <v>0</v>
      </c>
      <c r="N2023" s="150">
        <f t="shared" si="681"/>
        <v>0</v>
      </c>
      <c r="O2023" s="193">
        <f t="shared" si="681"/>
        <v>0</v>
      </c>
      <c r="P2023" s="162">
        <f t="shared" si="682"/>
        <v>0</v>
      </c>
      <c r="Q2023" s="162">
        <f t="shared" si="682"/>
        <v>0</v>
      </c>
      <c r="R2023" s="162">
        <f t="shared" si="682"/>
        <v>0</v>
      </c>
      <c r="S2023" s="162">
        <f t="shared" si="682"/>
        <v>0</v>
      </c>
      <c r="T2023" s="162">
        <f t="shared" si="682"/>
        <v>0</v>
      </c>
      <c r="U2023" s="162">
        <f t="shared" si="682"/>
        <v>0</v>
      </c>
      <c r="V2023" s="162">
        <f t="shared" si="682"/>
        <v>0</v>
      </c>
      <c r="W2023" s="162">
        <f t="shared" si="682"/>
        <v>0</v>
      </c>
      <c r="X2023" s="162">
        <f t="shared" si="682"/>
        <v>0</v>
      </c>
      <c r="Y2023" s="162">
        <f t="shared" si="682"/>
        <v>0</v>
      </c>
      <c r="Z2023" s="162">
        <f t="shared" si="682"/>
        <v>0</v>
      </c>
      <c r="AA2023" s="162">
        <f t="shared" si="682"/>
        <v>0</v>
      </c>
      <c r="AB2023" s="163">
        <f t="shared" si="676"/>
        <v>0</v>
      </c>
      <c r="AC2023" s="198"/>
    </row>
    <row r="2024" spans="1:29" hidden="1" outlineLevel="1" x14ac:dyDescent="0.25">
      <c r="A2024" s="14" t="str">
        <f t="shared" si="670"/>
        <v>TERC_OPER__42</v>
      </c>
      <c r="B2024" s="15" t="str">
        <f t="shared" si="671"/>
        <v>TERC_OPER__0_0</v>
      </c>
      <c r="C2024" s="83"/>
      <c r="D2024" s="15">
        <f t="shared" si="672"/>
        <v>0</v>
      </c>
      <c r="E2024" s="15">
        <v>42</v>
      </c>
      <c r="F2024" s="190">
        <f t="shared" si="680"/>
        <v>0</v>
      </c>
      <c r="G2024" s="149" t="str">
        <f t="shared" si="680"/>
        <v/>
      </c>
      <c r="H2024" s="150" t="str">
        <f t="shared" si="680"/>
        <v/>
      </c>
      <c r="I2024" s="150">
        <f t="shared" si="680"/>
        <v>0</v>
      </c>
      <c r="J2024" s="150">
        <f t="shared" si="680"/>
        <v>0</v>
      </c>
      <c r="K2024" s="196"/>
      <c r="L2024" s="197"/>
      <c r="M2024" s="191">
        <f t="shared" si="681"/>
        <v>0</v>
      </c>
      <c r="N2024" s="150">
        <f t="shared" si="681"/>
        <v>0</v>
      </c>
      <c r="O2024" s="193">
        <f t="shared" si="681"/>
        <v>0</v>
      </c>
      <c r="P2024" s="162">
        <f t="shared" si="682"/>
        <v>0</v>
      </c>
      <c r="Q2024" s="162">
        <f t="shared" si="682"/>
        <v>0</v>
      </c>
      <c r="R2024" s="162">
        <f t="shared" si="682"/>
        <v>0</v>
      </c>
      <c r="S2024" s="162">
        <f t="shared" si="682"/>
        <v>0</v>
      </c>
      <c r="T2024" s="162">
        <f t="shared" si="682"/>
        <v>0</v>
      </c>
      <c r="U2024" s="162">
        <f t="shared" si="682"/>
        <v>0</v>
      </c>
      <c r="V2024" s="162">
        <f t="shared" si="682"/>
        <v>0</v>
      </c>
      <c r="W2024" s="162">
        <f t="shared" si="682"/>
        <v>0</v>
      </c>
      <c r="X2024" s="162">
        <f t="shared" si="682"/>
        <v>0</v>
      </c>
      <c r="Y2024" s="162">
        <f t="shared" si="682"/>
        <v>0</v>
      </c>
      <c r="Z2024" s="162">
        <f t="shared" si="682"/>
        <v>0</v>
      </c>
      <c r="AA2024" s="162">
        <f t="shared" si="682"/>
        <v>0</v>
      </c>
      <c r="AB2024" s="163">
        <f t="shared" si="676"/>
        <v>0</v>
      </c>
      <c r="AC2024" s="198"/>
    </row>
    <row r="2025" spans="1:29" hidden="1" outlineLevel="1" x14ac:dyDescent="0.25">
      <c r="A2025" s="14" t="str">
        <f t="shared" si="670"/>
        <v>TERC_OPER__43</v>
      </c>
      <c r="B2025" s="15" t="str">
        <f t="shared" si="671"/>
        <v>TERC_OPER__0_0</v>
      </c>
      <c r="C2025" s="83"/>
      <c r="D2025" s="15">
        <f t="shared" si="672"/>
        <v>0</v>
      </c>
      <c r="E2025" s="15">
        <v>43</v>
      </c>
      <c r="F2025" s="190">
        <f t="shared" si="680"/>
        <v>0</v>
      </c>
      <c r="G2025" s="149" t="str">
        <f t="shared" si="680"/>
        <v/>
      </c>
      <c r="H2025" s="150" t="str">
        <f t="shared" si="680"/>
        <v/>
      </c>
      <c r="I2025" s="150">
        <f t="shared" si="680"/>
        <v>0</v>
      </c>
      <c r="J2025" s="150">
        <f t="shared" si="680"/>
        <v>0</v>
      </c>
      <c r="K2025" s="196"/>
      <c r="L2025" s="197"/>
      <c r="M2025" s="191">
        <f t="shared" si="681"/>
        <v>0</v>
      </c>
      <c r="N2025" s="150">
        <f t="shared" si="681"/>
        <v>0</v>
      </c>
      <c r="O2025" s="193">
        <f t="shared" si="681"/>
        <v>0</v>
      </c>
      <c r="P2025" s="162">
        <f t="shared" si="682"/>
        <v>0</v>
      </c>
      <c r="Q2025" s="162">
        <f t="shared" si="682"/>
        <v>0</v>
      </c>
      <c r="R2025" s="162">
        <f t="shared" si="682"/>
        <v>0</v>
      </c>
      <c r="S2025" s="162">
        <f t="shared" si="682"/>
        <v>0</v>
      </c>
      <c r="T2025" s="162">
        <f t="shared" si="682"/>
        <v>0</v>
      </c>
      <c r="U2025" s="162">
        <f t="shared" si="682"/>
        <v>0</v>
      </c>
      <c r="V2025" s="162">
        <f t="shared" si="682"/>
        <v>0</v>
      </c>
      <c r="W2025" s="162">
        <f t="shared" si="682"/>
        <v>0</v>
      </c>
      <c r="X2025" s="162">
        <f t="shared" si="682"/>
        <v>0</v>
      </c>
      <c r="Y2025" s="162">
        <f t="shared" si="682"/>
        <v>0</v>
      </c>
      <c r="Z2025" s="162">
        <f t="shared" si="682"/>
        <v>0</v>
      </c>
      <c r="AA2025" s="162">
        <f t="shared" si="682"/>
        <v>0</v>
      </c>
      <c r="AB2025" s="163">
        <f t="shared" si="676"/>
        <v>0</v>
      </c>
      <c r="AC2025" s="198"/>
    </row>
    <row r="2026" spans="1:29" hidden="1" outlineLevel="1" x14ac:dyDescent="0.25">
      <c r="A2026" s="14" t="str">
        <f t="shared" si="670"/>
        <v>TERC_OPER__44</v>
      </c>
      <c r="B2026" s="15" t="str">
        <f t="shared" si="671"/>
        <v>TERC_OPER__0_0</v>
      </c>
      <c r="C2026" s="83"/>
      <c r="D2026" s="15">
        <f t="shared" si="672"/>
        <v>0</v>
      </c>
      <c r="E2026" s="15">
        <v>44</v>
      </c>
      <c r="F2026" s="190">
        <f t="shared" si="680"/>
        <v>0</v>
      </c>
      <c r="G2026" s="149" t="str">
        <f t="shared" si="680"/>
        <v/>
      </c>
      <c r="H2026" s="150" t="str">
        <f t="shared" si="680"/>
        <v/>
      </c>
      <c r="I2026" s="150">
        <f t="shared" si="680"/>
        <v>0</v>
      </c>
      <c r="J2026" s="150">
        <f t="shared" si="680"/>
        <v>0</v>
      </c>
      <c r="K2026" s="196"/>
      <c r="L2026" s="197"/>
      <c r="M2026" s="191">
        <f t="shared" si="681"/>
        <v>0</v>
      </c>
      <c r="N2026" s="150">
        <f t="shared" si="681"/>
        <v>0</v>
      </c>
      <c r="O2026" s="193">
        <f t="shared" si="681"/>
        <v>0</v>
      </c>
      <c r="P2026" s="162">
        <f t="shared" si="682"/>
        <v>0</v>
      </c>
      <c r="Q2026" s="162">
        <f t="shared" si="682"/>
        <v>0</v>
      </c>
      <c r="R2026" s="162">
        <f t="shared" si="682"/>
        <v>0</v>
      </c>
      <c r="S2026" s="162">
        <f t="shared" si="682"/>
        <v>0</v>
      </c>
      <c r="T2026" s="162">
        <f t="shared" si="682"/>
        <v>0</v>
      </c>
      <c r="U2026" s="162">
        <f t="shared" si="682"/>
        <v>0</v>
      </c>
      <c r="V2026" s="162">
        <f t="shared" si="682"/>
        <v>0</v>
      </c>
      <c r="W2026" s="162">
        <f t="shared" si="682"/>
        <v>0</v>
      </c>
      <c r="X2026" s="162">
        <f t="shared" si="682"/>
        <v>0</v>
      </c>
      <c r="Y2026" s="162">
        <f t="shared" si="682"/>
        <v>0</v>
      </c>
      <c r="Z2026" s="162">
        <f t="shared" si="682"/>
        <v>0</v>
      </c>
      <c r="AA2026" s="162">
        <f t="shared" si="682"/>
        <v>0</v>
      </c>
      <c r="AB2026" s="163">
        <f t="shared" si="676"/>
        <v>0</v>
      </c>
      <c r="AC2026" s="198"/>
    </row>
    <row r="2027" spans="1:29" hidden="1" outlineLevel="1" x14ac:dyDescent="0.25">
      <c r="A2027" s="14" t="str">
        <f t="shared" si="670"/>
        <v>TERC_OPER__45</v>
      </c>
      <c r="B2027" s="15" t="str">
        <f t="shared" si="671"/>
        <v>TERC_OPER__0_0</v>
      </c>
      <c r="C2027" s="83"/>
      <c r="D2027" s="15">
        <f t="shared" si="672"/>
        <v>0</v>
      </c>
      <c r="E2027" s="15">
        <v>45</v>
      </c>
      <c r="F2027" s="209">
        <f t="shared" si="680"/>
        <v>0</v>
      </c>
      <c r="G2027" s="183" t="str">
        <f t="shared" si="680"/>
        <v/>
      </c>
      <c r="H2027" s="184" t="str">
        <f t="shared" si="680"/>
        <v/>
      </c>
      <c r="I2027" s="184">
        <f t="shared" si="680"/>
        <v>0</v>
      </c>
      <c r="J2027" s="184">
        <f t="shared" si="680"/>
        <v>0</v>
      </c>
      <c r="K2027" s="210"/>
      <c r="L2027" s="211"/>
      <c r="M2027" s="212">
        <f t="shared" si="681"/>
        <v>0</v>
      </c>
      <c r="N2027" s="184">
        <f t="shared" si="681"/>
        <v>0</v>
      </c>
      <c r="O2027" s="213">
        <f t="shared" si="681"/>
        <v>0</v>
      </c>
      <c r="P2027" s="175">
        <f t="shared" si="682"/>
        <v>0</v>
      </c>
      <c r="Q2027" s="175">
        <f t="shared" si="682"/>
        <v>0</v>
      </c>
      <c r="R2027" s="175">
        <f t="shared" si="682"/>
        <v>0</v>
      </c>
      <c r="S2027" s="175">
        <f t="shared" si="682"/>
        <v>0</v>
      </c>
      <c r="T2027" s="175">
        <f t="shared" si="682"/>
        <v>0</v>
      </c>
      <c r="U2027" s="175">
        <f t="shared" si="682"/>
        <v>0</v>
      </c>
      <c r="V2027" s="175">
        <f t="shared" si="682"/>
        <v>0</v>
      </c>
      <c r="W2027" s="175">
        <f t="shared" si="682"/>
        <v>0</v>
      </c>
      <c r="X2027" s="175">
        <f t="shared" si="682"/>
        <v>0</v>
      </c>
      <c r="Y2027" s="175">
        <f t="shared" si="682"/>
        <v>0</v>
      </c>
      <c r="Z2027" s="175">
        <f t="shared" si="682"/>
        <v>0</v>
      </c>
      <c r="AA2027" s="175">
        <f t="shared" si="682"/>
        <v>0</v>
      </c>
      <c r="AB2027" s="176">
        <f t="shared" si="676"/>
        <v>0</v>
      </c>
      <c r="AC2027" s="172"/>
    </row>
    <row r="2028" spans="1:29" hidden="1" outlineLevel="1" x14ac:dyDescent="0.25">
      <c r="A2028" s="14" t="str">
        <f t="shared" si="670"/>
        <v>TERC_OPER__</v>
      </c>
      <c r="F2028" s="137" t="s">
        <v>318</v>
      </c>
      <c r="G2028" s="138"/>
      <c r="H2028" s="139" t="s">
        <v>217</v>
      </c>
      <c r="I2028" s="139" t="s">
        <v>218</v>
      </c>
      <c r="J2028" s="139" t="s">
        <v>219</v>
      </c>
      <c r="K2028" s="140"/>
      <c r="L2028" s="141"/>
      <c r="M2028" s="142" t="s">
        <v>220</v>
      </c>
      <c r="N2028" s="139" t="s">
        <v>221</v>
      </c>
      <c r="O2028" s="143" t="s">
        <v>222</v>
      </c>
      <c r="P2028" s="35">
        <f t="shared" ref="P2028:AA2028" si="683">P$9</f>
        <v>46113</v>
      </c>
      <c r="Q2028" s="35">
        <f t="shared" si="683"/>
        <v>46143</v>
      </c>
      <c r="R2028" s="35">
        <f t="shared" si="683"/>
        <v>46174</v>
      </c>
      <c r="S2028" s="35">
        <f t="shared" si="683"/>
        <v>46204</v>
      </c>
      <c r="T2028" s="35">
        <f t="shared" si="683"/>
        <v>46235</v>
      </c>
      <c r="U2028" s="35">
        <f t="shared" si="683"/>
        <v>46266</v>
      </c>
      <c r="V2028" s="35">
        <f t="shared" si="683"/>
        <v>46296</v>
      </c>
      <c r="W2028" s="35">
        <f t="shared" si="683"/>
        <v>46327</v>
      </c>
      <c r="X2028" s="35">
        <f t="shared" si="683"/>
        <v>46357</v>
      </c>
      <c r="Y2028" s="35">
        <f t="shared" si="683"/>
        <v>46388</v>
      </c>
      <c r="Z2028" s="35">
        <f t="shared" si="683"/>
        <v>46419</v>
      </c>
      <c r="AA2028" s="35">
        <f t="shared" si="683"/>
        <v>46447</v>
      </c>
      <c r="AB2028" s="81" t="s">
        <v>223</v>
      </c>
      <c r="AC2028" s="82" t="s">
        <v>192</v>
      </c>
    </row>
    <row r="2029" spans="1:29" hidden="1" outlineLevel="1" x14ac:dyDescent="0.25">
      <c r="A2029" s="14" t="str">
        <f t="shared" si="670"/>
        <v>TERC_OPER__1</v>
      </c>
      <c r="B2029" s="15" t="str">
        <f t="shared" ref="B2029:B2073" si="684">"TERC_OPER_"&amp;C2029&amp;"_"&amp;F2029&amp;"_"&amp;J2029</f>
        <v>TERC_OPER__1071_1</v>
      </c>
      <c r="C2029" s="83"/>
      <c r="D2029" s="15">
        <f t="shared" ref="D2029:D2073" si="685">J2029</f>
        <v>1</v>
      </c>
      <c r="E2029" s="15">
        <v>1</v>
      </c>
      <c r="F2029" s="190">
        <f t="shared" ref="F2029:J2044" si="686">F1983</f>
        <v>1071</v>
      </c>
      <c r="G2029" s="149" t="str">
        <f t="shared" si="686"/>
        <v/>
      </c>
      <c r="H2029" s="150" t="str">
        <f t="shared" si="686"/>
        <v/>
      </c>
      <c r="I2029" s="150" t="str">
        <f t="shared" si="686"/>
        <v>TRATCSP</v>
      </c>
      <c r="J2029" s="150">
        <f t="shared" si="686"/>
        <v>1</v>
      </c>
      <c r="K2029" s="196"/>
      <c r="L2029" s="197"/>
      <c r="M2029" s="191">
        <f t="shared" ref="M2029:O2044" si="687">M1983</f>
        <v>0</v>
      </c>
      <c r="N2029" s="150">
        <f t="shared" si="687"/>
        <v>0</v>
      </c>
      <c r="O2029" s="193">
        <f t="shared" si="687"/>
        <v>0</v>
      </c>
      <c r="P2029" s="162">
        <f t="shared" ref="P2029:AA2044" si="688">IFERROR(SUMIF($B$1817:$B$1835,$C2029&amp;$I2029,P$1817:P$1835)/SUMIF($D$1817:$D$1835,$I2029,P$1817:P$1835)*P1841,0)</f>
        <v>0</v>
      </c>
      <c r="Q2029" s="162">
        <f t="shared" si="688"/>
        <v>0</v>
      </c>
      <c r="R2029" s="162">
        <f t="shared" si="688"/>
        <v>0</v>
      </c>
      <c r="S2029" s="162">
        <f t="shared" si="688"/>
        <v>0</v>
      </c>
      <c r="T2029" s="162">
        <f t="shared" si="688"/>
        <v>0</v>
      </c>
      <c r="U2029" s="162">
        <f t="shared" si="688"/>
        <v>0</v>
      </c>
      <c r="V2029" s="162">
        <f t="shared" si="688"/>
        <v>0</v>
      </c>
      <c r="W2029" s="162">
        <f t="shared" si="688"/>
        <v>0</v>
      </c>
      <c r="X2029" s="162">
        <f t="shared" si="688"/>
        <v>0</v>
      </c>
      <c r="Y2029" s="162">
        <f t="shared" si="688"/>
        <v>0</v>
      </c>
      <c r="Z2029" s="162">
        <f t="shared" si="688"/>
        <v>0</v>
      </c>
      <c r="AA2029" s="162">
        <f t="shared" si="688"/>
        <v>0</v>
      </c>
      <c r="AB2029" s="163">
        <f t="shared" ref="AB2029:AB2073" si="689">SUM(P2029:AA2029)</f>
        <v>0</v>
      </c>
      <c r="AC2029" s="198"/>
    </row>
    <row r="2030" spans="1:29" hidden="1" outlineLevel="1" x14ac:dyDescent="0.25">
      <c r="A2030" s="14" t="str">
        <f t="shared" si="670"/>
        <v>TERC_OPER__2</v>
      </c>
      <c r="B2030" s="15" t="str">
        <f t="shared" si="684"/>
        <v>TERC_OPER__1022_1</v>
      </c>
      <c r="C2030" s="83"/>
      <c r="D2030" s="15">
        <f t="shared" si="685"/>
        <v>1</v>
      </c>
      <c r="E2030" s="15">
        <v>2</v>
      </c>
      <c r="F2030" s="190">
        <f t="shared" si="686"/>
        <v>1022</v>
      </c>
      <c r="G2030" s="149" t="str">
        <f t="shared" si="686"/>
        <v/>
      </c>
      <c r="H2030" s="150" t="str">
        <f t="shared" si="686"/>
        <v/>
      </c>
      <c r="I2030" s="150" t="str">
        <f t="shared" si="686"/>
        <v>TRATCSP</v>
      </c>
      <c r="J2030" s="150">
        <f t="shared" si="686"/>
        <v>1</v>
      </c>
      <c r="K2030" s="196"/>
      <c r="L2030" s="197"/>
      <c r="M2030" s="191">
        <f t="shared" si="687"/>
        <v>0</v>
      </c>
      <c r="N2030" s="150">
        <f t="shared" si="687"/>
        <v>0</v>
      </c>
      <c r="O2030" s="193">
        <f t="shared" si="687"/>
        <v>0</v>
      </c>
      <c r="P2030" s="162">
        <f t="shared" si="688"/>
        <v>0</v>
      </c>
      <c r="Q2030" s="162">
        <f t="shared" si="688"/>
        <v>0</v>
      </c>
      <c r="R2030" s="162">
        <f t="shared" si="688"/>
        <v>0</v>
      </c>
      <c r="S2030" s="162">
        <f t="shared" si="688"/>
        <v>0</v>
      </c>
      <c r="T2030" s="162">
        <f t="shared" si="688"/>
        <v>0</v>
      </c>
      <c r="U2030" s="162">
        <f t="shared" si="688"/>
        <v>0</v>
      </c>
      <c r="V2030" s="162">
        <f t="shared" si="688"/>
        <v>0</v>
      </c>
      <c r="W2030" s="162">
        <f t="shared" si="688"/>
        <v>0</v>
      </c>
      <c r="X2030" s="162">
        <f t="shared" si="688"/>
        <v>0</v>
      </c>
      <c r="Y2030" s="162">
        <f t="shared" si="688"/>
        <v>0</v>
      </c>
      <c r="Z2030" s="162">
        <f t="shared" si="688"/>
        <v>0</v>
      </c>
      <c r="AA2030" s="162">
        <f t="shared" si="688"/>
        <v>0</v>
      </c>
      <c r="AB2030" s="163">
        <f t="shared" si="689"/>
        <v>0</v>
      </c>
      <c r="AC2030" s="198"/>
    </row>
    <row r="2031" spans="1:29" hidden="1" outlineLevel="1" x14ac:dyDescent="0.25">
      <c r="A2031" s="14" t="str">
        <f t="shared" si="670"/>
        <v>TERC_OPER__3</v>
      </c>
      <c r="B2031" s="15" t="str">
        <f t="shared" si="684"/>
        <v>TERC_OPER__1031_1</v>
      </c>
      <c r="C2031" s="83"/>
      <c r="D2031" s="15">
        <f t="shared" si="685"/>
        <v>1</v>
      </c>
      <c r="E2031" s="15">
        <v>3</v>
      </c>
      <c r="F2031" s="190">
        <f t="shared" si="686"/>
        <v>1031</v>
      </c>
      <c r="G2031" s="149" t="str">
        <f t="shared" si="686"/>
        <v/>
      </c>
      <c r="H2031" s="150" t="str">
        <f t="shared" si="686"/>
        <v/>
      </c>
      <c r="I2031" s="150" t="str">
        <f t="shared" si="686"/>
        <v>TRATCSP</v>
      </c>
      <c r="J2031" s="150">
        <f t="shared" si="686"/>
        <v>1</v>
      </c>
      <c r="K2031" s="196"/>
      <c r="L2031" s="197"/>
      <c r="M2031" s="191">
        <f t="shared" si="687"/>
        <v>0</v>
      </c>
      <c r="N2031" s="150">
        <f t="shared" si="687"/>
        <v>0</v>
      </c>
      <c r="O2031" s="193">
        <f t="shared" si="687"/>
        <v>0</v>
      </c>
      <c r="P2031" s="162">
        <f t="shared" si="688"/>
        <v>0</v>
      </c>
      <c r="Q2031" s="162">
        <f t="shared" si="688"/>
        <v>0</v>
      </c>
      <c r="R2031" s="162">
        <f t="shared" si="688"/>
        <v>0</v>
      </c>
      <c r="S2031" s="162">
        <f t="shared" si="688"/>
        <v>0</v>
      </c>
      <c r="T2031" s="162">
        <f t="shared" si="688"/>
        <v>0</v>
      </c>
      <c r="U2031" s="162">
        <f t="shared" si="688"/>
        <v>0</v>
      </c>
      <c r="V2031" s="162">
        <f t="shared" si="688"/>
        <v>0</v>
      </c>
      <c r="W2031" s="162">
        <f t="shared" si="688"/>
        <v>0</v>
      </c>
      <c r="X2031" s="162">
        <f t="shared" si="688"/>
        <v>0</v>
      </c>
      <c r="Y2031" s="162">
        <f t="shared" si="688"/>
        <v>0</v>
      </c>
      <c r="Z2031" s="162">
        <f t="shared" si="688"/>
        <v>0</v>
      </c>
      <c r="AA2031" s="162">
        <f t="shared" si="688"/>
        <v>0</v>
      </c>
      <c r="AB2031" s="163">
        <f t="shared" si="689"/>
        <v>0</v>
      </c>
      <c r="AC2031" s="198"/>
    </row>
    <row r="2032" spans="1:29" hidden="1" outlineLevel="1" x14ac:dyDescent="0.25">
      <c r="A2032" s="14" t="str">
        <f t="shared" si="670"/>
        <v>TERC_OPER__4</v>
      </c>
      <c r="B2032" s="15" t="str">
        <f t="shared" si="684"/>
        <v>TERC_OPER__1073_1</v>
      </c>
      <c r="C2032" s="83"/>
      <c r="D2032" s="15">
        <f t="shared" si="685"/>
        <v>1</v>
      </c>
      <c r="E2032" s="15">
        <v>4</v>
      </c>
      <c r="F2032" s="190">
        <f t="shared" si="686"/>
        <v>1073</v>
      </c>
      <c r="G2032" s="149" t="str">
        <f t="shared" si="686"/>
        <v/>
      </c>
      <c r="H2032" s="150" t="str">
        <f t="shared" si="686"/>
        <v/>
      </c>
      <c r="I2032" s="150" t="str">
        <f t="shared" si="686"/>
        <v>TRATCSP</v>
      </c>
      <c r="J2032" s="150">
        <f t="shared" si="686"/>
        <v>1</v>
      </c>
      <c r="K2032" s="196"/>
      <c r="L2032" s="197"/>
      <c r="M2032" s="191">
        <f t="shared" si="687"/>
        <v>0</v>
      </c>
      <c r="N2032" s="150">
        <f t="shared" si="687"/>
        <v>0</v>
      </c>
      <c r="O2032" s="193">
        <f t="shared" si="687"/>
        <v>0</v>
      </c>
      <c r="P2032" s="162">
        <f t="shared" si="688"/>
        <v>0</v>
      </c>
      <c r="Q2032" s="162">
        <f t="shared" si="688"/>
        <v>0</v>
      </c>
      <c r="R2032" s="162">
        <f t="shared" si="688"/>
        <v>0</v>
      </c>
      <c r="S2032" s="162">
        <f t="shared" si="688"/>
        <v>0</v>
      </c>
      <c r="T2032" s="162">
        <f t="shared" si="688"/>
        <v>0</v>
      </c>
      <c r="U2032" s="162">
        <f t="shared" si="688"/>
        <v>0</v>
      </c>
      <c r="V2032" s="162">
        <f t="shared" si="688"/>
        <v>0</v>
      </c>
      <c r="W2032" s="162">
        <f t="shared" si="688"/>
        <v>0</v>
      </c>
      <c r="X2032" s="162">
        <f t="shared" si="688"/>
        <v>0</v>
      </c>
      <c r="Y2032" s="162">
        <f t="shared" si="688"/>
        <v>0</v>
      </c>
      <c r="Z2032" s="162">
        <f t="shared" si="688"/>
        <v>0</v>
      </c>
      <c r="AA2032" s="162">
        <f t="shared" si="688"/>
        <v>0</v>
      </c>
      <c r="AB2032" s="163">
        <f t="shared" si="689"/>
        <v>0</v>
      </c>
      <c r="AC2032" s="159"/>
    </row>
    <row r="2033" spans="1:29" hidden="1" outlineLevel="1" x14ac:dyDescent="0.25">
      <c r="A2033" s="14" t="str">
        <f t="shared" si="670"/>
        <v>TERC_OPER__5</v>
      </c>
      <c r="B2033" s="15" t="str">
        <f t="shared" si="684"/>
        <v>TERC_OPER__910_1</v>
      </c>
      <c r="C2033" s="83"/>
      <c r="D2033" s="15">
        <f t="shared" si="685"/>
        <v>1</v>
      </c>
      <c r="E2033" s="15">
        <v>5</v>
      </c>
      <c r="F2033" s="190">
        <f t="shared" si="686"/>
        <v>910</v>
      </c>
      <c r="G2033" s="149" t="str">
        <f t="shared" si="686"/>
        <v/>
      </c>
      <c r="H2033" s="150" t="str">
        <f t="shared" si="686"/>
        <v/>
      </c>
      <c r="I2033" s="150" t="str">
        <f t="shared" si="686"/>
        <v>TRATCSP</v>
      </c>
      <c r="J2033" s="150">
        <f t="shared" si="686"/>
        <v>1</v>
      </c>
      <c r="K2033" s="196"/>
      <c r="L2033" s="197"/>
      <c r="M2033" s="191">
        <f t="shared" si="687"/>
        <v>0</v>
      </c>
      <c r="N2033" s="150">
        <f t="shared" si="687"/>
        <v>0</v>
      </c>
      <c r="O2033" s="193">
        <f t="shared" si="687"/>
        <v>0</v>
      </c>
      <c r="P2033" s="162">
        <f t="shared" si="688"/>
        <v>0</v>
      </c>
      <c r="Q2033" s="162">
        <f t="shared" si="688"/>
        <v>0</v>
      </c>
      <c r="R2033" s="162">
        <f t="shared" si="688"/>
        <v>0</v>
      </c>
      <c r="S2033" s="162">
        <f t="shared" si="688"/>
        <v>0</v>
      </c>
      <c r="T2033" s="162">
        <f t="shared" si="688"/>
        <v>0</v>
      </c>
      <c r="U2033" s="162">
        <f t="shared" si="688"/>
        <v>0</v>
      </c>
      <c r="V2033" s="162">
        <f t="shared" si="688"/>
        <v>0</v>
      </c>
      <c r="W2033" s="162">
        <f t="shared" si="688"/>
        <v>0</v>
      </c>
      <c r="X2033" s="162">
        <f t="shared" si="688"/>
        <v>0</v>
      </c>
      <c r="Y2033" s="162">
        <f t="shared" si="688"/>
        <v>0</v>
      </c>
      <c r="Z2033" s="162">
        <f t="shared" si="688"/>
        <v>0</v>
      </c>
      <c r="AA2033" s="162">
        <f t="shared" si="688"/>
        <v>0</v>
      </c>
      <c r="AB2033" s="163">
        <f t="shared" si="689"/>
        <v>0</v>
      </c>
      <c r="AC2033" s="159"/>
    </row>
    <row r="2034" spans="1:29" hidden="1" outlineLevel="1" x14ac:dyDescent="0.25">
      <c r="A2034" s="14" t="str">
        <f t="shared" si="670"/>
        <v>TERC_OPER__6</v>
      </c>
      <c r="B2034" s="15" t="str">
        <f t="shared" si="684"/>
        <v>TERC_OPER__911_1</v>
      </c>
      <c r="C2034" s="83"/>
      <c r="D2034" s="15">
        <f t="shared" si="685"/>
        <v>1</v>
      </c>
      <c r="E2034" s="15">
        <v>6</v>
      </c>
      <c r="F2034" s="190">
        <f t="shared" si="686"/>
        <v>911</v>
      </c>
      <c r="G2034" s="149" t="str">
        <f t="shared" si="686"/>
        <v/>
      </c>
      <c r="H2034" s="150" t="str">
        <f t="shared" si="686"/>
        <v/>
      </c>
      <c r="I2034" s="150" t="str">
        <f t="shared" si="686"/>
        <v>TRATCSP</v>
      </c>
      <c r="J2034" s="150">
        <f t="shared" si="686"/>
        <v>1</v>
      </c>
      <c r="K2034" s="196"/>
      <c r="L2034" s="197"/>
      <c r="M2034" s="191">
        <f t="shared" si="687"/>
        <v>0</v>
      </c>
      <c r="N2034" s="150">
        <f t="shared" si="687"/>
        <v>0</v>
      </c>
      <c r="O2034" s="193">
        <f t="shared" si="687"/>
        <v>0</v>
      </c>
      <c r="P2034" s="162">
        <f t="shared" si="688"/>
        <v>0</v>
      </c>
      <c r="Q2034" s="162">
        <f t="shared" si="688"/>
        <v>0</v>
      </c>
      <c r="R2034" s="162">
        <f t="shared" si="688"/>
        <v>0</v>
      </c>
      <c r="S2034" s="162">
        <f t="shared" si="688"/>
        <v>0</v>
      </c>
      <c r="T2034" s="162">
        <f t="shared" si="688"/>
        <v>0</v>
      </c>
      <c r="U2034" s="162">
        <f t="shared" si="688"/>
        <v>0</v>
      </c>
      <c r="V2034" s="162">
        <f t="shared" si="688"/>
        <v>0</v>
      </c>
      <c r="W2034" s="162">
        <f t="shared" si="688"/>
        <v>0</v>
      </c>
      <c r="X2034" s="162">
        <f t="shared" si="688"/>
        <v>0</v>
      </c>
      <c r="Y2034" s="162">
        <f t="shared" si="688"/>
        <v>0</v>
      </c>
      <c r="Z2034" s="162">
        <f t="shared" si="688"/>
        <v>0</v>
      </c>
      <c r="AA2034" s="162">
        <f t="shared" si="688"/>
        <v>0</v>
      </c>
      <c r="AB2034" s="163">
        <f t="shared" si="689"/>
        <v>0</v>
      </c>
      <c r="AC2034" s="159"/>
    </row>
    <row r="2035" spans="1:29" hidden="1" outlineLevel="1" x14ac:dyDescent="0.25">
      <c r="A2035" s="14" t="str">
        <f t="shared" si="670"/>
        <v>TERC_OPER__7</v>
      </c>
      <c r="B2035" s="15" t="str">
        <f t="shared" si="684"/>
        <v>TERC_OPER__912_1</v>
      </c>
      <c r="C2035" s="83"/>
      <c r="D2035" s="15">
        <f t="shared" si="685"/>
        <v>1</v>
      </c>
      <c r="E2035" s="15">
        <v>7</v>
      </c>
      <c r="F2035" s="190">
        <f t="shared" si="686"/>
        <v>912</v>
      </c>
      <c r="G2035" s="149" t="str">
        <f t="shared" si="686"/>
        <v/>
      </c>
      <c r="H2035" s="150" t="str">
        <f t="shared" si="686"/>
        <v/>
      </c>
      <c r="I2035" s="150" t="str">
        <f t="shared" si="686"/>
        <v>TRATCSP</v>
      </c>
      <c r="J2035" s="150">
        <f t="shared" si="686"/>
        <v>1</v>
      </c>
      <c r="K2035" s="196"/>
      <c r="L2035" s="197"/>
      <c r="M2035" s="191">
        <f t="shared" si="687"/>
        <v>0</v>
      </c>
      <c r="N2035" s="150">
        <f t="shared" si="687"/>
        <v>0</v>
      </c>
      <c r="O2035" s="193">
        <f t="shared" si="687"/>
        <v>0</v>
      </c>
      <c r="P2035" s="162">
        <f t="shared" si="688"/>
        <v>0</v>
      </c>
      <c r="Q2035" s="162">
        <f t="shared" si="688"/>
        <v>0</v>
      </c>
      <c r="R2035" s="162">
        <f t="shared" si="688"/>
        <v>0</v>
      </c>
      <c r="S2035" s="162">
        <f t="shared" si="688"/>
        <v>0</v>
      </c>
      <c r="T2035" s="162">
        <f t="shared" si="688"/>
        <v>0</v>
      </c>
      <c r="U2035" s="162">
        <f t="shared" si="688"/>
        <v>0</v>
      </c>
      <c r="V2035" s="162">
        <f t="shared" si="688"/>
        <v>0</v>
      </c>
      <c r="W2035" s="162">
        <f t="shared" si="688"/>
        <v>0</v>
      </c>
      <c r="X2035" s="162">
        <f t="shared" si="688"/>
        <v>0</v>
      </c>
      <c r="Y2035" s="162">
        <f t="shared" si="688"/>
        <v>0</v>
      </c>
      <c r="Z2035" s="162">
        <f t="shared" si="688"/>
        <v>0</v>
      </c>
      <c r="AA2035" s="162">
        <f t="shared" si="688"/>
        <v>0</v>
      </c>
      <c r="AB2035" s="163">
        <f t="shared" si="689"/>
        <v>0</v>
      </c>
      <c r="AC2035" s="159"/>
    </row>
    <row r="2036" spans="1:29" hidden="1" outlineLevel="1" x14ac:dyDescent="0.25">
      <c r="A2036" s="14" t="str">
        <f t="shared" si="670"/>
        <v>TERC_OPER__8</v>
      </c>
      <c r="B2036" s="15" t="str">
        <f t="shared" si="684"/>
        <v>TERC_OPER__0_0</v>
      </c>
      <c r="C2036" s="83"/>
      <c r="D2036" s="15">
        <f t="shared" si="685"/>
        <v>0</v>
      </c>
      <c r="E2036" s="15">
        <v>8</v>
      </c>
      <c r="F2036" s="190">
        <f t="shared" si="686"/>
        <v>0</v>
      </c>
      <c r="G2036" s="149" t="str">
        <f t="shared" si="686"/>
        <v/>
      </c>
      <c r="H2036" s="150" t="str">
        <f t="shared" si="686"/>
        <v/>
      </c>
      <c r="I2036" s="150">
        <f t="shared" si="686"/>
        <v>0</v>
      </c>
      <c r="J2036" s="150">
        <f t="shared" si="686"/>
        <v>0</v>
      </c>
      <c r="K2036" s="196"/>
      <c r="L2036" s="197"/>
      <c r="M2036" s="191">
        <f t="shared" si="687"/>
        <v>0</v>
      </c>
      <c r="N2036" s="150">
        <f t="shared" si="687"/>
        <v>0</v>
      </c>
      <c r="O2036" s="193">
        <f t="shared" si="687"/>
        <v>0</v>
      </c>
      <c r="P2036" s="162">
        <f t="shared" si="688"/>
        <v>0</v>
      </c>
      <c r="Q2036" s="162">
        <f t="shared" si="688"/>
        <v>0</v>
      </c>
      <c r="R2036" s="162">
        <f t="shared" si="688"/>
        <v>0</v>
      </c>
      <c r="S2036" s="162">
        <f t="shared" si="688"/>
        <v>0</v>
      </c>
      <c r="T2036" s="162">
        <f t="shared" si="688"/>
        <v>0</v>
      </c>
      <c r="U2036" s="162">
        <f t="shared" si="688"/>
        <v>0</v>
      </c>
      <c r="V2036" s="162">
        <f t="shared" si="688"/>
        <v>0</v>
      </c>
      <c r="W2036" s="162">
        <f t="shared" si="688"/>
        <v>0</v>
      </c>
      <c r="X2036" s="162">
        <f t="shared" si="688"/>
        <v>0</v>
      </c>
      <c r="Y2036" s="162">
        <f t="shared" si="688"/>
        <v>0</v>
      </c>
      <c r="Z2036" s="162">
        <f t="shared" si="688"/>
        <v>0</v>
      </c>
      <c r="AA2036" s="162">
        <f t="shared" si="688"/>
        <v>0</v>
      </c>
      <c r="AB2036" s="163">
        <f t="shared" si="689"/>
        <v>0</v>
      </c>
      <c r="AC2036" s="159"/>
    </row>
    <row r="2037" spans="1:29" hidden="1" outlineLevel="1" x14ac:dyDescent="0.25">
      <c r="A2037" s="14" t="str">
        <f t="shared" si="670"/>
        <v>TERC_OPER__9</v>
      </c>
      <c r="B2037" s="15" t="str">
        <f t="shared" si="684"/>
        <v>TERC_OPER__0_0</v>
      </c>
      <c r="C2037" s="83"/>
      <c r="D2037" s="15">
        <f t="shared" si="685"/>
        <v>0</v>
      </c>
      <c r="E2037" s="15">
        <v>9</v>
      </c>
      <c r="F2037" s="190">
        <f t="shared" si="686"/>
        <v>0</v>
      </c>
      <c r="G2037" s="149" t="str">
        <f t="shared" si="686"/>
        <v/>
      </c>
      <c r="H2037" s="150" t="str">
        <f t="shared" si="686"/>
        <v/>
      </c>
      <c r="I2037" s="150">
        <f t="shared" si="686"/>
        <v>0</v>
      </c>
      <c r="J2037" s="150">
        <f t="shared" si="686"/>
        <v>0</v>
      </c>
      <c r="K2037" s="196"/>
      <c r="L2037" s="197"/>
      <c r="M2037" s="191">
        <f t="shared" si="687"/>
        <v>0</v>
      </c>
      <c r="N2037" s="150">
        <f t="shared" si="687"/>
        <v>0</v>
      </c>
      <c r="O2037" s="193">
        <f t="shared" si="687"/>
        <v>0</v>
      </c>
      <c r="P2037" s="162">
        <f t="shared" si="688"/>
        <v>0</v>
      </c>
      <c r="Q2037" s="162">
        <f t="shared" si="688"/>
        <v>0</v>
      </c>
      <c r="R2037" s="162">
        <f t="shared" si="688"/>
        <v>0</v>
      </c>
      <c r="S2037" s="162">
        <f t="shared" si="688"/>
        <v>0</v>
      </c>
      <c r="T2037" s="162">
        <f t="shared" si="688"/>
        <v>0</v>
      </c>
      <c r="U2037" s="162">
        <f t="shared" si="688"/>
        <v>0</v>
      </c>
      <c r="V2037" s="162">
        <f t="shared" si="688"/>
        <v>0</v>
      </c>
      <c r="W2037" s="162">
        <f t="shared" si="688"/>
        <v>0</v>
      </c>
      <c r="X2037" s="162">
        <f t="shared" si="688"/>
        <v>0</v>
      </c>
      <c r="Y2037" s="162">
        <f t="shared" si="688"/>
        <v>0</v>
      </c>
      <c r="Z2037" s="162">
        <f t="shared" si="688"/>
        <v>0</v>
      </c>
      <c r="AA2037" s="162">
        <f t="shared" si="688"/>
        <v>0</v>
      </c>
      <c r="AB2037" s="163">
        <f t="shared" si="689"/>
        <v>0</v>
      </c>
      <c r="AC2037" s="159"/>
    </row>
    <row r="2038" spans="1:29" hidden="1" outlineLevel="1" x14ac:dyDescent="0.25">
      <c r="A2038" s="14" t="str">
        <f t="shared" si="670"/>
        <v>TERC_OPER__10</v>
      </c>
      <c r="B2038" s="15" t="str">
        <f t="shared" si="684"/>
        <v>TERC_OPER__0_0</v>
      </c>
      <c r="C2038" s="83"/>
      <c r="D2038" s="15">
        <f t="shared" si="685"/>
        <v>0</v>
      </c>
      <c r="E2038" s="15">
        <v>10</v>
      </c>
      <c r="F2038" s="190">
        <f t="shared" si="686"/>
        <v>0</v>
      </c>
      <c r="G2038" s="149" t="str">
        <f t="shared" si="686"/>
        <v/>
      </c>
      <c r="H2038" s="150" t="str">
        <f t="shared" si="686"/>
        <v/>
      </c>
      <c r="I2038" s="150">
        <f t="shared" si="686"/>
        <v>0</v>
      </c>
      <c r="J2038" s="150">
        <f t="shared" si="686"/>
        <v>0</v>
      </c>
      <c r="K2038" s="196"/>
      <c r="L2038" s="197"/>
      <c r="M2038" s="191">
        <f t="shared" si="687"/>
        <v>0</v>
      </c>
      <c r="N2038" s="150">
        <f t="shared" si="687"/>
        <v>0</v>
      </c>
      <c r="O2038" s="193">
        <f t="shared" si="687"/>
        <v>0</v>
      </c>
      <c r="P2038" s="162">
        <f t="shared" si="688"/>
        <v>0</v>
      </c>
      <c r="Q2038" s="162">
        <f t="shared" si="688"/>
        <v>0</v>
      </c>
      <c r="R2038" s="162">
        <f t="shared" si="688"/>
        <v>0</v>
      </c>
      <c r="S2038" s="162">
        <f t="shared" si="688"/>
        <v>0</v>
      </c>
      <c r="T2038" s="162">
        <f t="shared" si="688"/>
        <v>0</v>
      </c>
      <c r="U2038" s="162">
        <f t="shared" si="688"/>
        <v>0</v>
      </c>
      <c r="V2038" s="162">
        <f t="shared" si="688"/>
        <v>0</v>
      </c>
      <c r="W2038" s="162">
        <f t="shared" si="688"/>
        <v>0</v>
      </c>
      <c r="X2038" s="162">
        <f t="shared" si="688"/>
        <v>0</v>
      </c>
      <c r="Y2038" s="162">
        <f t="shared" si="688"/>
        <v>0</v>
      </c>
      <c r="Z2038" s="162">
        <f t="shared" si="688"/>
        <v>0</v>
      </c>
      <c r="AA2038" s="162">
        <f t="shared" si="688"/>
        <v>0</v>
      </c>
      <c r="AB2038" s="163">
        <f t="shared" si="689"/>
        <v>0</v>
      </c>
      <c r="AC2038" s="159"/>
    </row>
    <row r="2039" spans="1:29" hidden="1" outlineLevel="1" x14ac:dyDescent="0.25">
      <c r="A2039" s="14" t="str">
        <f t="shared" si="670"/>
        <v>TERC_OPER__11</v>
      </c>
      <c r="B2039" s="15" t="str">
        <f t="shared" si="684"/>
        <v>TERC_OPER__0_0</v>
      </c>
      <c r="C2039" s="83"/>
      <c r="D2039" s="15">
        <f t="shared" si="685"/>
        <v>0</v>
      </c>
      <c r="E2039" s="15">
        <v>11</v>
      </c>
      <c r="F2039" s="190">
        <f t="shared" si="686"/>
        <v>0</v>
      </c>
      <c r="G2039" s="149" t="str">
        <f t="shared" si="686"/>
        <v/>
      </c>
      <c r="H2039" s="150" t="str">
        <f t="shared" si="686"/>
        <v/>
      </c>
      <c r="I2039" s="150">
        <f t="shared" si="686"/>
        <v>0</v>
      </c>
      <c r="J2039" s="150">
        <f t="shared" si="686"/>
        <v>0</v>
      </c>
      <c r="K2039" s="196"/>
      <c r="L2039" s="197"/>
      <c r="M2039" s="191">
        <f t="shared" si="687"/>
        <v>0</v>
      </c>
      <c r="N2039" s="150">
        <f t="shared" si="687"/>
        <v>0</v>
      </c>
      <c r="O2039" s="193">
        <f t="shared" si="687"/>
        <v>0</v>
      </c>
      <c r="P2039" s="162">
        <f t="shared" si="688"/>
        <v>0</v>
      </c>
      <c r="Q2039" s="162">
        <f t="shared" si="688"/>
        <v>0</v>
      </c>
      <c r="R2039" s="162">
        <f t="shared" si="688"/>
        <v>0</v>
      </c>
      <c r="S2039" s="162">
        <f t="shared" si="688"/>
        <v>0</v>
      </c>
      <c r="T2039" s="162">
        <f t="shared" si="688"/>
        <v>0</v>
      </c>
      <c r="U2039" s="162">
        <f t="shared" si="688"/>
        <v>0</v>
      </c>
      <c r="V2039" s="162">
        <f t="shared" si="688"/>
        <v>0</v>
      </c>
      <c r="W2039" s="162">
        <f t="shared" si="688"/>
        <v>0</v>
      </c>
      <c r="X2039" s="162">
        <f t="shared" si="688"/>
        <v>0</v>
      </c>
      <c r="Y2039" s="162">
        <f t="shared" si="688"/>
        <v>0</v>
      </c>
      <c r="Z2039" s="162">
        <f t="shared" si="688"/>
        <v>0</v>
      </c>
      <c r="AA2039" s="162">
        <f t="shared" si="688"/>
        <v>0</v>
      </c>
      <c r="AB2039" s="163">
        <f t="shared" si="689"/>
        <v>0</v>
      </c>
      <c r="AC2039" s="198"/>
    </row>
    <row r="2040" spans="1:29" hidden="1" outlineLevel="1" x14ac:dyDescent="0.25">
      <c r="A2040" s="14" t="str">
        <f t="shared" si="670"/>
        <v>TERC_OPER__12</v>
      </c>
      <c r="B2040" s="15" t="str">
        <f t="shared" si="684"/>
        <v>TERC_OPER__0_0</v>
      </c>
      <c r="C2040" s="83"/>
      <c r="D2040" s="15">
        <f t="shared" si="685"/>
        <v>0</v>
      </c>
      <c r="E2040" s="15">
        <v>12</v>
      </c>
      <c r="F2040" s="190">
        <f t="shared" si="686"/>
        <v>0</v>
      </c>
      <c r="G2040" s="149" t="str">
        <f t="shared" si="686"/>
        <v/>
      </c>
      <c r="H2040" s="150" t="str">
        <f t="shared" si="686"/>
        <v/>
      </c>
      <c r="I2040" s="150">
        <f t="shared" si="686"/>
        <v>0</v>
      </c>
      <c r="J2040" s="150">
        <f t="shared" si="686"/>
        <v>0</v>
      </c>
      <c r="K2040" s="196"/>
      <c r="L2040" s="197"/>
      <c r="M2040" s="191">
        <f t="shared" si="687"/>
        <v>0</v>
      </c>
      <c r="N2040" s="150">
        <f t="shared" si="687"/>
        <v>0</v>
      </c>
      <c r="O2040" s="193">
        <f t="shared" si="687"/>
        <v>0</v>
      </c>
      <c r="P2040" s="162">
        <f t="shared" si="688"/>
        <v>0</v>
      </c>
      <c r="Q2040" s="162">
        <f t="shared" si="688"/>
        <v>0</v>
      </c>
      <c r="R2040" s="162">
        <f t="shared" si="688"/>
        <v>0</v>
      </c>
      <c r="S2040" s="162">
        <f t="shared" si="688"/>
        <v>0</v>
      </c>
      <c r="T2040" s="162">
        <f t="shared" si="688"/>
        <v>0</v>
      </c>
      <c r="U2040" s="162">
        <f t="shared" si="688"/>
        <v>0</v>
      </c>
      <c r="V2040" s="162">
        <f t="shared" si="688"/>
        <v>0</v>
      </c>
      <c r="W2040" s="162">
        <f t="shared" si="688"/>
        <v>0</v>
      </c>
      <c r="X2040" s="162">
        <f t="shared" si="688"/>
        <v>0</v>
      </c>
      <c r="Y2040" s="162">
        <f t="shared" si="688"/>
        <v>0</v>
      </c>
      <c r="Z2040" s="162">
        <f t="shared" si="688"/>
        <v>0</v>
      </c>
      <c r="AA2040" s="162">
        <f t="shared" si="688"/>
        <v>0</v>
      </c>
      <c r="AB2040" s="163">
        <f t="shared" si="689"/>
        <v>0</v>
      </c>
      <c r="AC2040" s="198"/>
    </row>
    <row r="2041" spans="1:29" hidden="1" outlineLevel="1" x14ac:dyDescent="0.25">
      <c r="A2041" s="14" t="str">
        <f t="shared" si="670"/>
        <v>TERC_OPER__13</v>
      </c>
      <c r="B2041" s="15" t="str">
        <f t="shared" si="684"/>
        <v>TERC_OPER__0_0</v>
      </c>
      <c r="C2041" s="83"/>
      <c r="D2041" s="15">
        <f t="shared" si="685"/>
        <v>0</v>
      </c>
      <c r="E2041" s="15">
        <v>13</v>
      </c>
      <c r="F2041" s="190">
        <f t="shared" si="686"/>
        <v>0</v>
      </c>
      <c r="G2041" s="149" t="str">
        <f t="shared" si="686"/>
        <v/>
      </c>
      <c r="H2041" s="150" t="str">
        <f t="shared" si="686"/>
        <v/>
      </c>
      <c r="I2041" s="150">
        <f t="shared" si="686"/>
        <v>0</v>
      </c>
      <c r="J2041" s="150">
        <f t="shared" si="686"/>
        <v>0</v>
      </c>
      <c r="K2041" s="196"/>
      <c r="L2041" s="197"/>
      <c r="M2041" s="191">
        <f t="shared" si="687"/>
        <v>0</v>
      </c>
      <c r="N2041" s="150">
        <f t="shared" si="687"/>
        <v>0</v>
      </c>
      <c r="O2041" s="193">
        <f t="shared" si="687"/>
        <v>0</v>
      </c>
      <c r="P2041" s="162">
        <f t="shared" si="688"/>
        <v>0</v>
      </c>
      <c r="Q2041" s="162">
        <f t="shared" si="688"/>
        <v>0</v>
      </c>
      <c r="R2041" s="162">
        <f t="shared" si="688"/>
        <v>0</v>
      </c>
      <c r="S2041" s="162">
        <f t="shared" si="688"/>
        <v>0</v>
      </c>
      <c r="T2041" s="162">
        <f t="shared" si="688"/>
        <v>0</v>
      </c>
      <c r="U2041" s="162">
        <f t="shared" si="688"/>
        <v>0</v>
      </c>
      <c r="V2041" s="162">
        <f t="shared" si="688"/>
        <v>0</v>
      </c>
      <c r="W2041" s="162">
        <f t="shared" si="688"/>
        <v>0</v>
      </c>
      <c r="X2041" s="162">
        <f t="shared" si="688"/>
        <v>0</v>
      </c>
      <c r="Y2041" s="162">
        <f t="shared" si="688"/>
        <v>0</v>
      </c>
      <c r="Z2041" s="162">
        <f t="shared" si="688"/>
        <v>0</v>
      </c>
      <c r="AA2041" s="162">
        <f t="shared" si="688"/>
        <v>0</v>
      </c>
      <c r="AB2041" s="163">
        <f t="shared" si="689"/>
        <v>0</v>
      </c>
      <c r="AC2041" s="198"/>
    </row>
    <row r="2042" spans="1:29" hidden="1" outlineLevel="1" x14ac:dyDescent="0.25">
      <c r="A2042" s="14" t="str">
        <f t="shared" si="670"/>
        <v>TERC_OPER__14</v>
      </c>
      <c r="B2042" s="15" t="str">
        <f t="shared" si="684"/>
        <v>TERC_OPER__0_0</v>
      </c>
      <c r="C2042" s="83"/>
      <c r="D2042" s="15">
        <f t="shared" si="685"/>
        <v>0</v>
      </c>
      <c r="E2042" s="15">
        <v>14</v>
      </c>
      <c r="F2042" s="190">
        <f t="shared" si="686"/>
        <v>0</v>
      </c>
      <c r="G2042" s="149" t="str">
        <f t="shared" si="686"/>
        <v/>
      </c>
      <c r="H2042" s="150" t="str">
        <f t="shared" si="686"/>
        <v/>
      </c>
      <c r="I2042" s="150">
        <f t="shared" si="686"/>
        <v>0</v>
      </c>
      <c r="J2042" s="150">
        <f t="shared" si="686"/>
        <v>0</v>
      </c>
      <c r="K2042" s="196"/>
      <c r="L2042" s="197"/>
      <c r="M2042" s="191">
        <f t="shared" si="687"/>
        <v>0</v>
      </c>
      <c r="N2042" s="150">
        <f t="shared" si="687"/>
        <v>0</v>
      </c>
      <c r="O2042" s="193">
        <f t="shared" si="687"/>
        <v>0</v>
      </c>
      <c r="P2042" s="162">
        <f t="shared" si="688"/>
        <v>0</v>
      </c>
      <c r="Q2042" s="162">
        <f t="shared" si="688"/>
        <v>0</v>
      </c>
      <c r="R2042" s="162">
        <f t="shared" si="688"/>
        <v>0</v>
      </c>
      <c r="S2042" s="162">
        <f t="shared" si="688"/>
        <v>0</v>
      </c>
      <c r="T2042" s="162">
        <f t="shared" si="688"/>
        <v>0</v>
      </c>
      <c r="U2042" s="162">
        <f t="shared" si="688"/>
        <v>0</v>
      </c>
      <c r="V2042" s="162">
        <f t="shared" si="688"/>
        <v>0</v>
      </c>
      <c r="W2042" s="162">
        <f t="shared" si="688"/>
        <v>0</v>
      </c>
      <c r="X2042" s="162">
        <f t="shared" si="688"/>
        <v>0</v>
      </c>
      <c r="Y2042" s="162">
        <f t="shared" si="688"/>
        <v>0</v>
      </c>
      <c r="Z2042" s="162">
        <f t="shared" si="688"/>
        <v>0</v>
      </c>
      <c r="AA2042" s="162">
        <f t="shared" si="688"/>
        <v>0</v>
      </c>
      <c r="AB2042" s="163">
        <f t="shared" si="689"/>
        <v>0</v>
      </c>
      <c r="AC2042" s="198"/>
    </row>
    <row r="2043" spans="1:29" hidden="1" outlineLevel="1" x14ac:dyDescent="0.25">
      <c r="A2043" s="14" t="str">
        <f t="shared" si="670"/>
        <v>TERC_OPER__15</v>
      </c>
      <c r="B2043" s="15" t="str">
        <f t="shared" si="684"/>
        <v>TERC_OPER__0_0</v>
      </c>
      <c r="C2043" s="83"/>
      <c r="D2043" s="15">
        <f t="shared" si="685"/>
        <v>0</v>
      </c>
      <c r="E2043" s="15">
        <v>15</v>
      </c>
      <c r="F2043" s="190">
        <f t="shared" si="686"/>
        <v>0</v>
      </c>
      <c r="G2043" s="149" t="str">
        <f t="shared" si="686"/>
        <v/>
      </c>
      <c r="H2043" s="150" t="str">
        <f t="shared" si="686"/>
        <v/>
      </c>
      <c r="I2043" s="150">
        <f t="shared" si="686"/>
        <v>0</v>
      </c>
      <c r="J2043" s="150">
        <f t="shared" si="686"/>
        <v>0</v>
      </c>
      <c r="K2043" s="196"/>
      <c r="L2043" s="197"/>
      <c r="M2043" s="191">
        <f t="shared" si="687"/>
        <v>0</v>
      </c>
      <c r="N2043" s="150">
        <f t="shared" si="687"/>
        <v>0</v>
      </c>
      <c r="O2043" s="193">
        <f t="shared" si="687"/>
        <v>0</v>
      </c>
      <c r="P2043" s="162">
        <f t="shared" si="688"/>
        <v>0</v>
      </c>
      <c r="Q2043" s="162">
        <f t="shared" si="688"/>
        <v>0</v>
      </c>
      <c r="R2043" s="162">
        <f t="shared" si="688"/>
        <v>0</v>
      </c>
      <c r="S2043" s="162">
        <f t="shared" si="688"/>
        <v>0</v>
      </c>
      <c r="T2043" s="162">
        <f t="shared" si="688"/>
        <v>0</v>
      </c>
      <c r="U2043" s="162">
        <f t="shared" si="688"/>
        <v>0</v>
      </c>
      <c r="V2043" s="162">
        <f t="shared" si="688"/>
        <v>0</v>
      </c>
      <c r="W2043" s="162">
        <f t="shared" si="688"/>
        <v>0</v>
      </c>
      <c r="X2043" s="162">
        <f t="shared" si="688"/>
        <v>0</v>
      </c>
      <c r="Y2043" s="162">
        <f t="shared" si="688"/>
        <v>0</v>
      </c>
      <c r="Z2043" s="162">
        <f t="shared" si="688"/>
        <v>0</v>
      </c>
      <c r="AA2043" s="162">
        <f t="shared" si="688"/>
        <v>0</v>
      </c>
      <c r="AB2043" s="163">
        <f t="shared" si="689"/>
        <v>0</v>
      </c>
      <c r="AC2043" s="198"/>
    </row>
    <row r="2044" spans="1:29" hidden="1" outlineLevel="1" x14ac:dyDescent="0.25">
      <c r="A2044" s="14" t="str">
        <f t="shared" si="670"/>
        <v>TERC_OPER__16</v>
      </c>
      <c r="B2044" s="15" t="str">
        <f t="shared" si="684"/>
        <v>TERC_OPER__0_0</v>
      </c>
      <c r="C2044" s="83"/>
      <c r="D2044" s="15">
        <f t="shared" si="685"/>
        <v>0</v>
      </c>
      <c r="E2044" s="15">
        <v>16</v>
      </c>
      <c r="F2044" s="190">
        <f t="shared" si="686"/>
        <v>0</v>
      </c>
      <c r="G2044" s="149" t="str">
        <f t="shared" si="686"/>
        <v/>
      </c>
      <c r="H2044" s="150" t="str">
        <f t="shared" si="686"/>
        <v/>
      </c>
      <c r="I2044" s="150">
        <f t="shared" si="686"/>
        <v>0</v>
      </c>
      <c r="J2044" s="150">
        <f t="shared" si="686"/>
        <v>0</v>
      </c>
      <c r="K2044" s="196"/>
      <c r="L2044" s="197"/>
      <c r="M2044" s="191">
        <f t="shared" si="687"/>
        <v>0</v>
      </c>
      <c r="N2044" s="150">
        <f t="shared" si="687"/>
        <v>0</v>
      </c>
      <c r="O2044" s="193">
        <f t="shared" si="687"/>
        <v>0</v>
      </c>
      <c r="P2044" s="162">
        <f t="shared" si="688"/>
        <v>0</v>
      </c>
      <c r="Q2044" s="162">
        <f t="shared" si="688"/>
        <v>0</v>
      </c>
      <c r="R2044" s="162">
        <f t="shared" si="688"/>
        <v>0</v>
      </c>
      <c r="S2044" s="162">
        <f t="shared" si="688"/>
        <v>0</v>
      </c>
      <c r="T2044" s="162">
        <f t="shared" si="688"/>
        <v>0</v>
      </c>
      <c r="U2044" s="162">
        <f t="shared" si="688"/>
        <v>0</v>
      </c>
      <c r="V2044" s="162">
        <f t="shared" si="688"/>
        <v>0</v>
      </c>
      <c r="W2044" s="162">
        <f t="shared" si="688"/>
        <v>0</v>
      </c>
      <c r="X2044" s="162">
        <f t="shared" si="688"/>
        <v>0</v>
      </c>
      <c r="Y2044" s="162">
        <f t="shared" si="688"/>
        <v>0</v>
      </c>
      <c r="Z2044" s="162">
        <f t="shared" si="688"/>
        <v>0</v>
      </c>
      <c r="AA2044" s="162">
        <f t="shared" si="688"/>
        <v>0</v>
      </c>
      <c r="AB2044" s="163">
        <f t="shared" si="689"/>
        <v>0</v>
      </c>
      <c r="AC2044" s="198"/>
    </row>
    <row r="2045" spans="1:29" hidden="1" outlineLevel="1" x14ac:dyDescent="0.25">
      <c r="A2045" s="14" t="str">
        <f t="shared" si="670"/>
        <v>TERC_OPER__17</v>
      </c>
      <c r="B2045" s="15" t="str">
        <f t="shared" si="684"/>
        <v>TERC_OPER__0_0</v>
      </c>
      <c r="C2045" s="83"/>
      <c r="D2045" s="15">
        <f t="shared" si="685"/>
        <v>0</v>
      </c>
      <c r="E2045" s="15">
        <v>17</v>
      </c>
      <c r="F2045" s="190">
        <f t="shared" ref="F2045:J2060" si="690">F1999</f>
        <v>0</v>
      </c>
      <c r="G2045" s="149" t="str">
        <f t="shared" si="690"/>
        <v/>
      </c>
      <c r="H2045" s="150" t="str">
        <f t="shared" si="690"/>
        <v/>
      </c>
      <c r="I2045" s="150">
        <f t="shared" si="690"/>
        <v>0</v>
      </c>
      <c r="J2045" s="150">
        <f t="shared" si="690"/>
        <v>0</v>
      </c>
      <c r="K2045" s="196"/>
      <c r="L2045" s="197"/>
      <c r="M2045" s="191">
        <f t="shared" ref="M2045:O2060" si="691">M1999</f>
        <v>0</v>
      </c>
      <c r="N2045" s="150">
        <f t="shared" si="691"/>
        <v>0</v>
      </c>
      <c r="O2045" s="193">
        <f t="shared" si="691"/>
        <v>0</v>
      </c>
      <c r="P2045" s="162">
        <f t="shared" ref="P2045:AA2060" si="692">IFERROR(SUMIF($B$1817:$B$1835,$C2045&amp;$I2045,P$1817:P$1835)/SUMIF($D$1817:$D$1835,$I2045,P$1817:P$1835)*P1857,0)</f>
        <v>0</v>
      </c>
      <c r="Q2045" s="162">
        <f t="shared" si="692"/>
        <v>0</v>
      </c>
      <c r="R2045" s="162">
        <f t="shared" si="692"/>
        <v>0</v>
      </c>
      <c r="S2045" s="162">
        <f t="shared" si="692"/>
        <v>0</v>
      </c>
      <c r="T2045" s="162">
        <f t="shared" si="692"/>
        <v>0</v>
      </c>
      <c r="U2045" s="162">
        <f t="shared" si="692"/>
        <v>0</v>
      </c>
      <c r="V2045" s="162">
        <f t="shared" si="692"/>
        <v>0</v>
      </c>
      <c r="W2045" s="162">
        <f t="shared" si="692"/>
        <v>0</v>
      </c>
      <c r="X2045" s="162">
        <f t="shared" si="692"/>
        <v>0</v>
      </c>
      <c r="Y2045" s="162">
        <f t="shared" si="692"/>
        <v>0</v>
      </c>
      <c r="Z2045" s="162">
        <f t="shared" si="692"/>
        <v>0</v>
      </c>
      <c r="AA2045" s="162">
        <f t="shared" si="692"/>
        <v>0</v>
      </c>
      <c r="AB2045" s="163">
        <f t="shared" si="689"/>
        <v>0</v>
      </c>
      <c r="AC2045" s="198"/>
    </row>
    <row r="2046" spans="1:29" hidden="1" outlineLevel="1" x14ac:dyDescent="0.25">
      <c r="A2046" s="14" t="str">
        <f t="shared" si="670"/>
        <v>TERC_OPER__18</v>
      </c>
      <c r="B2046" s="15" t="str">
        <f t="shared" si="684"/>
        <v>TERC_OPER__0_0</v>
      </c>
      <c r="C2046" s="83"/>
      <c r="D2046" s="15">
        <f t="shared" si="685"/>
        <v>0</v>
      </c>
      <c r="E2046" s="15">
        <v>18</v>
      </c>
      <c r="F2046" s="190">
        <f t="shared" si="690"/>
        <v>0</v>
      </c>
      <c r="G2046" s="149" t="str">
        <f t="shared" si="690"/>
        <v/>
      </c>
      <c r="H2046" s="150" t="str">
        <f t="shared" si="690"/>
        <v/>
      </c>
      <c r="I2046" s="150">
        <f t="shared" si="690"/>
        <v>0</v>
      </c>
      <c r="J2046" s="150">
        <f t="shared" si="690"/>
        <v>0</v>
      </c>
      <c r="K2046" s="196"/>
      <c r="L2046" s="197"/>
      <c r="M2046" s="191">
        <f t="shared" si="691"/>
        <v>0</v>
      </c>
      <c r="N2046" s="150">
        <f t="shared" si="691"/>
        <v>0</v>
      </c>
      <c r="O2046" s="193">
        <f t="shared" si="691"/>
        <v>0</v>
      </c>
      <c r="P2046" s="162">
        <f t="shared" si="692"/>
        <v>0</v>
      </c>
      <c r="Q2046" s="162">
        <f t="shared" si="692"/>
        <v>0</v>
      </c>
      <c r="R2046" s="162">
        <f t="shared" si="692"/>
        <v>0</v>
      </c>
      <c r="S2046" s="162">
        <f t="shared" si="692"/>
        <v>0</v>
      </c>
      <c r="T2046" s="162">
        <f t="shared" si="692"/>
        <v>0</v>
      </c>
      <c r="U2046" s="162">
        <f t="shared" si="692"/>
        <v>0</v>
      </c>
      <c r="V2046" s="162">
        <f t="shared" si="692"/>
        <v>0</v>
      </c>
      <c r="W2046" s="162">
        <f t="shared" si="692"/>
        <v>0</v>
      </c>
      <c r="X2046" s="162">
        <f t="shared" si="692"/>
        <v>0</v>
      </c>
      <c r="Y2046" s="162">
        <f t="shared" si="692"/>
        <v>0</v>
      </c>
      <c r="Z2046" s="162">
        <f t="shared" si="692"/>
        <v>0</v>
      </c>
      <c r="AA2046" s="162">
        <f t="shared" si="692"/>
        <v>0</v>
      </c>
      <c r="AB2046" s="163">
        <f t="shared" si="689"/>
        <v>0</v>
      </c>
      <c r="AC2046" s="198"/>
    </row>
    <row r="2047" spans="1:29" hidden="1" outlineLevel="1" x14ac:dyDescent="0.25">
      <c r="A2047" s="14" t="str">
        <f t="shared" ref="A2047:A2073" si="693">"TERC_OPER_"&amp;C2047&amp;"_"&amp;E2047</f>
        <v>TERC_OPER__19</v>
      </c>
      <c r="B2047" s="15" t="str">
        <f t="shared" si="684"/>
        <v>TERC_OPER__0_0</v>
      </c>
      <c r="C2047" s="83"/>
      <c r="D2047" s="15">
        <f t="shared" si="685"/>
        <v>0</v>
      </c>
      <c r="E2047" s="15">
        <v>19</v>
      </c>
      <c r="F2047" s="190">
        <f t="shared" si="690"/>
        <v>0</v>
      </c>
      <c r="G2047" s="149" t="str">
        <f t="shared" si="690"/>
        <v/>
      </c>
      <c r="H2047" s="150" t="str">
        <f t="shared" si="690"/>
        <v/>
      </c>
      <c r="I2047" s="150">
        <f t="shared" si="690"/>
        <v>0</v>
      </c>
      <c r="J2047" s="150">
        <f t="shared" si="690"/>
        <v>0</v>
      </c>
      <c r="K2047" s="196"/>
      <c r="L2047" s="197"/>
      <c r="M2047" s="191">
        <f t="shared" si="691"/>
        <v>0</v>
      </c>
      <c r="N2047" s="150">
        <f t="shared" si="691"/>
        <v>0</v>
      </c>
      <c r="O2047" s="193">
        <f t="shared" si="691"/>
        <v>0</v>
      </c>
      <c r="P2047" s="162">
        <f t="shared" si="692"/>
        <v>0</v>
      </c>
      <c r="Q2047" s="162">
        <f t="shared" si="692"/>
        <v>0</v>
      </c>
      <c r="R2047" s="162">
        <f t="shared" si="692"/>
        <v>0</v>
      </c>
      <c r="S2047" s="162">
        <f t="shared" si="692"/>
        <v>0</v>
      </c>
      <c r="T2047" s="162">
        <f t="shared" si="692"/>
        <v>0</v>
      </c>
      <c r="U2047" s="162">
        <f t="shared" si="692"/>
        <v>0</v>
      </c>
      <c r="V2047" s="162">
        <f t="shared" si="692"/>
        <v>0</v>
      </c>
      <c r="W2047" s="162">
        <f t="shared" si="692"/>
        <v>0</v>
      </c>
      <c r="X2047" s="162">
        <f t="shared" si="692"/>
        <v>0</v>
      </c>
      <c r="Y2047" s="162">
        <f t="shared" si="692"/>
        <v>0</v>
      </c>
      <c r="Z2047" s="162">
        <f t="shared" si="692"/>
        <v>0</v>
      </c>
      <c r="AA2047" s="162">
        <f t="shared" si="692"/>
        <v>0</v>
      </c>
      <c r="AB2047" s="163">
        <f t="shared" si="689"/>
        <v>0</v>
      </c>
      <c r="AC2047" s="198"/>
    </row>
    <row r="2048" spans="1:29" hidden="1" outlineLevel="1" x14ac:dyDescent="0.25">
      <c r="A2048" s="14" t="str">
        <f t="shared" si="693"/>
        <v>TERC_OPER__20</v>
      </c>
      <c r="B2048" s="15" t="str">
        <f t="shared" si="684"/>
        <v>TERC_OPER__0_0</v>
      </c>
      <c r="C2048" s="83"/>
      <c r="D2048" s="15">
        <f t="shared" si="685"/>
        <v>0</v>
      </c>
      <c r="E2048" s="15">
        <v>20</v>
      </c>
      <c r="F2048" s="190">
        <f t="shared" si="690"/>
        <v>0</v>
      </c>
      <c r="G2048" s="149" t="str">
        <f t="shared" si="690"/>
        <v/>
      </c>
      <c r="H2048" s="150" t="str">
        <f t="shared" si="690"/>
        <v/>
      </c>
      <c r="I2048" s="150">
        <f t="shared" si="690"/>
        <v>0</v>
      </c>
      <c r="J2048" s="150">
        <f t="shared" si="690"/>
        <v>0</v>
      </c>
      <c r="K2048" s="196"/>
      <c r="L2048" s="197"/>
      <c r="M2048" s="191">
        <f t="shared" si="691"/>
        <v>0</v>
      </c>
      <c r="N2048" s="150">
        <f t="shared" si="691"/>
        <v>0</v>
      </c>
      <c r="O2048" s="193">
        <f t="shared" si="691"/>
        <v>0</v>
      </c>
      <c r="P2048" s="162">
        <f t="shared" si="692"/>
        <v>0</v>
      </c>
      <c r="Q2048" s="162">
        <f t="shared" si="692"/>
        <v>0</v>
      </c>
      <c r="R2048" s="162">
        <f t="shared" si="692"/>
        <v>0</v>
      </c>
      <c r="S2048" s="162">
        <f t="shared" si="692"/>
        <v>0</v>
      </c>
      <c r="T2048" s="162">
        <f t="shared" si="692"/>
        <v>0</v>
      </c>
      <c r="U2048" s="162">
        <f t="shared" si="692"/>
        <v>0</v>
      </c>
      <c r="V2048" s="162">
        <f t="shared" si="692"/>
        <v>0</v>
      </c>
      <c r="W2048" s="162">
        <f t="shared" si="692"/>
        <v>0</v>
      </c>
      <c r="X2048" s="162">
        <f t="shared" si="692"/>
        <v>0</v>
      </c>
      <c r="Y2048" s="162">
        <f t="shared" si="692"/>
        <v>0</v>
      </c>
      <c r="Z2048" s="162">
        <f t="shared" si="692"/>
        <v>0</v>
      </c>
      <c r="AA2048" s="162">
        <f t="shared" si="692"/>
        <v>0</v>
      </c>
      <c r="AB2048" s="163">
        <f t="shared" si="689"/>
        <v>0</v>
      </c>
      <c r="AC2048" s="198"/>
    </row>
    <row r="2049" spans="1:29" hidden="1" outlineLevel="1" x14ac:dyDescent="0.25">
      <c r="A2049" s="14" t="str">
        <f t="shared" si="693"/>
        <v>TERC_OPER__21</v>
      </c>
      <c r="B2049" s="15" t="str">
        <f t="shared" si="684"/>
        <v>TERC_OPER__0_0</v>
      </c>
      <c r="C2049" s="83"/>
      <c r="D2049" s="15">
        <f t="shared" si="685"/>
        <v>0</v>
      </c>
      <c r="E2049" s="15">
        <v>21</v>
      </c>
      <c r="F2049" s="190">
        <f t="shared" si="690"/>
        <v>0</v>
      </c>
      <c r="G2049" s="149" t="str">
        <f t="shared" si="690"/>
        <v/>
      </c>
      <c r="H2049" s="150" t="str">
        <f t="shared" si="690"/>
        <v/>
      </c>
      <c r="I2049" s="150">
        <f t="shared" si="690"/>
        <v>0</v>
      </c>
      <c r="J2049" s="150">
        <f t="shared" si="690"/>
        <v>0</v>
      </c>
      <c r="K2049" s="196"/>
      <c r="L2049" s="197"/>
      <c r="M2049" s="191">
        <f t="shared" si="691"/>
        <v>0</v>
      </c>
      <c r="N2049" s="150">
        <f t="shared" si="691"/>
        <v>0</v>
      </c>
      <c r="O2049" s="193">
        <f t="shared" si="691"/>
        <v>0</v>
      </c>
      <c r="P2049" s="162">
        <f t="shared" si="692"/>
        <v>0</v>
      </c>
      <c r="Q2049" s="162">
        <f t="shared" si="692"/>
        <v>0</v>
      </c>
      <c r="R2049" s="162">
        <f t="shared" si="692"/>
        <v>0</v>
      </c>
      <c r="S2049" s="162">
        <f t="shared" si="692"/>
        <v>0</v>
      </c>
      <c r="T2049" s="162">
        <f t="shared" si="692"/>
        <v>0</v>
      </c>
      <c r="U2049" s="162">
        <f t="shared" si="692"/>
        <v>0</v>
      </c>
      <c r="V2049" s="162">
        <f t="shared" si="692"/>
        <v>0</v>
      </c>
      <c r="W2049" s="162">
        <f t="shared" si="692"/>
        <v>0</v>
      </c>
      <c r="X2049" s="162">
        <f t="shared" si="692"/>
        <v>0</v>
      </c>
      <c r="Y2049" s="162">
        <f t="shared" si="692"/>
        <v>0</v>
      </c>
      <c r="Z2049" s="162">
        <f t="shared" si="692"/>
        <v>0</v>
      </c>
      <c r="AA2049" s="162">
        <f t="shared" si="692"/>
        <v>0</v>
      </c>
      <c r="AB2049" s="163">
        <f t="shared" si="689"/>
        <v>0</v>
      </c>
      <c r="AC2049" s="198"/>
    </row>
    <row r="2050" spans="1:29" hidden="1" outlineLevel="1" x14ac:dyDescent="0.25">
      <c r="A2050" s="14" t="str">
        <f t="shared" si="693"/>
        <v>TERC_OPER__22</v>
      </c>
      <c r="B2050" s="15" t="str">
        <f t="shared" si="684"/>
        <v>TERC_OPER__0_0</v>
      </c>
      <c r="C2050" s="83"/>
      <c r="D2050" s="15">
        <f t="shared" si="685"/>
        <v>0</v>
      </c>
      <c r="E2050" s="15">
        <v>22</v>
      </c>
      <c r="F2050" s="190">
        <f t="shared" si="690"/>
        <v>0</v>
      </c>
      <c r="G2050" s="149" t="str">
        <f t="shared" si="690"/>
        <v/>
      </c>
      <c r="H2050" s="150" t="str">
        <f t="shared" si="690"/>
        <v/>
      </c>
      <c r="I2050" s="150">
        <f t="shared" si="690"/>
        <v>0</v>
      </c>
      <c r="J2050" s="150">
        <f t="shared" si="690"/>
        <v>0</v>
      </c>
      <c r="K2050" s="196"/>
      <c r="L2050" s="197"/>
      <c r="M2050" s="191">
        <f t="shared" si="691"/>
        <v>0</v>
      </c>
      <c r="N2050" s="150">
        <f t="shared" si="691"/>
        <v>0</v>
      </c>
      <c r="O2050" s="193">
        <f t="shared" si="691"/>
        <v>0</v>
      </c>
      <c r="P2050" s="162">
        <f t="shared" si="692"/>
        <v>0</v>
      </c>
      <c r="Q2050" s="162">
        <f t="shared" si="692"/>
        <v>0</v>
      </c>
      <c r="R2050" s="162">
        <f t="shared" si="692"/>
        <v>0</v>
      </c>
      <c r="S2050" s="162">
        <f t="shared" si="692"/>
        <v>0</v>
      </c>
      <c r="T2050" s="162">
        <f t="shared" si="692"/>
        <v>0</v>
      </c>
      <c r="U2050" s="162">
        <f t="shared" si="692"/>
        <v>0</v>
      </c>
      <c r="V2050" s="162">
        <f t="shared" si="692"/>
        <v>0</v>
      </c>
      <c r="W2050" s="162">
        <f t="shared" si="692"/>
        <v>0</v>
      </c>
      <c r="X2050" s="162">
        <f t="shared" si="692"/>
        <v>0</v>
      </c>
      <c r="Y2050" s="162">
        <f t="shared" si="692"/>
        <v>0</v>
      </c>
      <c r="Z2050" s="162">
        <f t="shared" si="692"/>
        <v>0</v>
      </c>
      <c r="AA2050" s="162">
        <f t="shared" si="692"/>
        <v>0</v>
      </c>
      <c r="AB2050" s="163">
        <f t="shared" si="689"/>
        <v>0</v>
      </c>
      <c r="AC2050" s="198"/>
    </row>
    <row r="2051" spans="1:29" hidden="1" outlineLevel="1" x14ac:dyDescent="0.25">
      <c r="A2051" s="14" t="str">
        <f t="shared" si="693"/>
        <v>TERC_OPER__23</v>
      </c>
      <c r="B2051" s="15" t="str">
        <f t="shared" si="684"/>
        <v>TERC_OPER__0_0</v>
      </c>
      <c r="C2051" s="83"/>
      <c r="D2051" s="15">
        <f t="shared" si="685"/>
        <v>0</v>
      </c>
      <c r="E2051" s="15">
        <v>23</v>
      </c>
      <c r="F2051" s="190">
        <f t="shared" si="690"/>
        <v>0</v>
      </c>
      <c r="G2051" s="149" t="str">
        <f t="shared" si="690"/>
        <v/>
      </c>
      <c r="H2051" s="150" t="str">
        <f t="shared" si="690"/>
        <v/>
      </c>
      <c r="I2051" s="150">
        <f t="shared" si="690"/>
        <v>0</v>
      </c>
      <c r="J2051" s="150">
        <f t="shared" si="690"/>
        <v>0</v>
      </c>
      <c r="K2051" s="196"/>
      <c r="L2051" s="197"/>
      <c r="M2051" s="191">
        <f t="shared" si="691"/>
        <v>0</v>
      </c>
      <c r="N2051" s="150">
        <f t="shared" si="691"/>
        <v>0</v>
      </c>
      <c r="O2051" s="193">
        <f t="shared" si="691"/>
        <v>0</v>
      </c>
      <c r="P2051" s="162">
        <f t="shared" si="692"/>
        <v>0</v>
      </c>
      <c r="Q2051" s="162">
        <f t="shared" si="692"/>
        <v>0</v>
      </c>
      <c r="R2051" s="162">
        <f t="shared" si="692"/>
        <v>0</v>
      </c>
      <c r="S2051" s="162">
        <f t="shared" si="692"/>
        <v>0</v>
      </c>
      <c r="T2051" s="162">
        <f t="shared" si="692"/>
        <v>0</v>
      </c>
      <c r="U2051" s="162">
        <f t="shared" si="692"/>
        <v>0</v>
      </c>
      <c r="V2051" s="162">
        <f t="shared" si="692"/>
        <v>0</v>
      </c>
      <c r="W2051" s="162">
        <f t="shared" si="692"/>
        <v>0</v>
      </c>
      <c r="X2051" s="162">
        <f t="shared" si="692"/>
        <v>0</v>
      </c>
      <c r="Y2051" s="162">
        <f t="shared" si="692"/>
        <v>0</v>
      </c>
      <c r="Z2051" s="162">
        <f t="shared" si="692"/>
        <v>0</v>
      </c>
      <c r="AA2051" s="162">
        <f t="shared" si="692"/>
        <v>0</v>
      </c>
      <c r="AB2051" s="163">
        <f t="shared" si="689"/>
        <v>0</v>
      </c>
      <c r="AC2051" s="198"/>
    </row>
    <row r="2052" spans="1:29" hidden="1" outlineLevel="1" x14ac:dyDescent="0.25">
      <c r="A2052" s="14" t="str">
        <f t="shared" si="693"/>
        <v>TERC_OPER__24</v>
      </c>
      <c r="B2052" s="15" t="str">
        <f t="shared" si="684"/>
        <v>TERC_OPER__0_0</v>
      </c>
      <c r="C2052" s="83"/>
      <c r="D2052" s="15">
        <f t="shared" si="685"/>
        <v>0</v>
      </c>
      <c r="E2052" s="15">
        <v>24</v>
      </c>
      <c r="F2052" s="190">
        <f t="shared" si="690"/>
        <v>0</v>
      </c>
      <c r="G2052" s="149" t="str">
        <f t="shared" si="690"/>
        <v/>
      </c>
      <c r="H2052" s="150" t="str">
        <f t="shared" si="690"/>
        <v/>
      </c>
      <c r="I2052" s="150">
        <f t="shared" si="690"/>
        <v>0</v>
      </c>
      <c r="J2052" s="150">
        <f t="shared" si="690"/>
        <v>0</v>
      </c>
      <c r="K2052" s="196"/>
      <c r="L2052" s="197"/>
      <c r="M2052" s="191">
        <f t="shared" si="691"/>
        <v>0</v>
      </c>
      <c r="N2052" s="150">
        <f t="shared" si="691"/>
        <v>0</v>
      </c>
      <c r="O2052" s="193">
        <f t="shared" si="691"/>
        <v>0</v>
      </c>
      <c r="P2052" s="162">
        <f t="shared" si="692"/>
        <v>0</v>
      </c>
      <c r="Q2052" s="162">
        <f t="shared" si="692"/>
        <v>0</v>
      </c>
      <c r="R2052" s="162">
        <f t="shared" si="692"/>
        <v>0</v>
      </c>
      <c r="S2052" s="162">
        <f t="shared" si="692"/>
        <v>0</v>
      </c>
      <c r="T2052" s="162">
        <f t="shared" si="692"/>
        <v>0</v>
      </c>
      <c r="U2052" s="162">
        <f t="shared" si="692"/>
        <v>0</v>
      </c>
      <c r="V2052" s="162">
        <f t="shared" si="692"/>
        <v>0</v>
      </c>
      <c r="W2052" s="162">
        <f t="shared" si="692"/>
        <v>0</v>
      </c>
      <c r="X2052" s="162">
        <f t="shared" si="692"/>
        <v>0</v>
      </c>
      <c r="Y2052" s="162">
        <f t="shared" si="692"/>
        <v>0</v>
      </c>
      <c r="Z2052" s="162">
        <f t="shared" si="692"/>
        <v>0</v>
      </c>
      <c r="AA2052" s="162">
        <f t="shared" si="692"/>
        <v>0</v>
      </c>
      <c r="AB2052" s="163">
        <f t="shared" si="689"/>
        <v>0</v>
      </c>
      <c r="AC2052" s="198"/>
    </row>
    <row r="2053" spans="1:29" hidden="1" outlineLevel="1" x14ac:dyDescent="0.25">
      <c r="A2053" s="14" t="str">
        <f t="shared" si="693"/>
        <v>TERC_OPER__25</v>
      </c>
      <c r="B2053" s="15" t="str">
        <f t="shared" si="684"/>
        <v>TERC_OPER__0_0</v>
      </c>
      <c r="C2053" s="83"/>
      <c r="D2053" s="15">
        <f t="shared" si="685"/>
        <v>0</v>
      </c>
      <c r="E2053" s="15">
        <v>25</v>
      </c>
      <c r="F2053" s="190">
        <f t="shared" si="690"/>
        <v>0</v>
      </c>
      <c r="G2053" s="149" t="str">
        <f t="shared" si="690"/>
        <v/>
      </c>
      <c r="H2053" s="150" t="str">
        <f t="shared" si="690"/>
        <v/>
      </c>
      <c r="I2053" s="150">
        <f t="shared" si="690"/>
        <v>0</v>
      </c>
      <c r="J2053" s="150">
        <f t="shared" si="690"/>
        <v>0</v>
      </c>
      <c r="K2053" s="196"/>
      <c r="L2053" s="197"/>
      <c r="M2053" s="191">
        <f t="shared" si="691"/>
        <v>0</v>
      </c>
      <c r="N2053" s="150">
        <f t="shared" si="691"/>
        <v>0</v>
      </c>
      <c r="O2053" s="193">
        <f t="shared" si="691"/>
        <v>0</v>
      </c>
      <c r="P2053" s="162">
        <f t="shared" si="692"/>
        <v>0</v>
      </c>
      <c r="Q2053" s="162">
        <f t="shared" si="692"/>
        <v>0</v>
      </c>
      <c r="R2053" s="162">
        <f t="shared" si="692"/>
        <v>0</v>
      </c>
      <c r="S2053" s="162">
        <f t="shared" si="692"/>
        <v>0</v>
      </c>
      <c r="T2053" s="162">
        <f t="shared" si="692"/>
        <v>0</v>
      </c>
      <c r="U2053" s="162">
        <f t="shared" si="692"/>
        <v>0</v>
      </c>
      <c r="V2053" s="162">
        <f t="shared" si="692"/>
        <v>0</v>
      </c>
      <c r="W2053" s="162">
        <f t="shared" si="692"/>
        <v>0</v>
      </c>
      <c r="X2053" s="162">
        <f t="shared" si="692"/>
        <v>0</v>
      </c>
      <c r="Y2053" s="162">
        <f t="shared" si="692"/>
        <v>0</v>
      </c>
      <c r="Z2053" s="162">
        <f t="shared" si="692"/>
        <v>0</v>
      </c>
      <c r="AA2053" s="162">
        <f t="shared" si="692"/>
        <v>0</v>
      </c>
      <c r="AB2053" s="163">
        <f t="shared" si="689"/>
        <v>0</v>
      </c>
      <c r="AC2053" s="198"/>
    </row>
    <row r="2054" spans="1:29" hidden="1" outlineLevel="1" x14ac:dyDescent="0.25">
      <c r="A2054" s="14" t="str">
        <f t="shared" si="693"/>
        <v>TERC_OPER__26</v>
      </c>
      <c r="B2054" s="15" t="str">
        <f t="shared" si="684"/>
        <v>TERC_OPER__0_0</v>
      </c>
      <c r="C2054" s="83"/>
      <c r="D2054" s="15">
        <f t="shared" si="685"/>
        <v>0</v>
      </c>
      <c r="E2054" s="15">
        <v>26</v>
      </c>
      <c r="F2054" s="190">
        <f t="shared" si="690"/>
        <v>0</v>
      </c>
      <c r="G2054" s="149" t="str">
        <f t="shared" si="690"/>
        <v/>
      </c>
      <c r="H2054" s="150" t="str">
        <f t="shared" si="690"/>
        <v/>
      </c>
      <c r="I2054" s="150">
        <f t="shared" si="690"/>
        <v>0</v>
      </c>
      <c r="J2054" s="150">
        <f t="shared" si="690"/>
        <v>0</v>
      </c>
      <c r="K2054" s="196"/>
      <c r="L2054" s="197"/>
      <c r="M2054" s="191">
        <f t="shared" si="691"/>
        <v>0</v>
      </c>
      <c r="N2054" s="150">
        <f t="shared" si="691"/>
        <v>0</v>
      </c>
      <c r="O2054" s="193">
        <f t="shared" si="691"/>
        <v>0</v>
      </c>
      <c r="P2054" s="162">
        <f t="shared" si="692"/>
        <v>0</v>
      </c>
      <c r="Q2054" s="162">
        <f t="shared" si="692"/>
        <v>0</v>
      </c>
      <c r="R2054" s="162">
        <f t="shared" si="692"/>
        <v>0</v>
      </c>
      <c r="S2054" s="162">
        <f t="shared" si="692"/>
        <v>0</v>
      </c>
      <c r="T2054" s="162">
        <f t="shared" si="692"/>
        <v>0</v>
      </c>
      <c r="U2054" s="162">
        <f t="shared" si="692"/>
        <v>0</v>
      </c>
      <c r="V2054" s="162">
        <f t="shared" si="692"/>
        <v>0</v>
      </c>
      <c r="W2054" s="162">
        <f t="shared" si="692"/>
        <v>0</v>
      </c>
      <c r="X2054" s="162">
        <f t="shared" si="692"/>
        <v>0</v>
      </c>
      <c r="Y2054" s="162">
        <f t="shared" si="692"/>
        <v>0</v>
      </c>
      <c r="Z2054" s="162">
        <f t="shared" si="692"/>
        <v>0</v>
      </c>
      <c r="AA2054" s="162">
        <f t="shared" si="692"/>
        <v>0</v>
      </c>
      <c r="AB2054" s="163">
        <f t="shared" si="689"/>
        <v>0</v>
      </c>
      <c r="AC2054" s="198"/>
    </row>
    <row r="2055" spans="1:29" hidden="1" outlineLevel="1" x14ac:dyDescent="0.25">
      <c r="A2055" s="14" t="str">
        <f t="shared" si="693"/>
        <v>TERC_OPER__27</v>
      </c>
      <c r="B2055" s="15" t="str">
        <f t="shared" si="684"/>
        <v>TERC_OPER__0_0</v>
      </c>
      <c r="C2055" s="83"/>
      <c r="D2055" s="15">
        <f t="shared" si="685"/>
        <v>0</v>
      </c>
      <c r="E2055" s="15">
        <v>27</v>
      </c>
      <c r="F2055" s="190">
        <f t="shared" si="690"/>
        <v>0</v>
      </c>
      <c r="G2055" s="149" t="str">
        <f t="shared" si="690"/>
        <v/>
      </c>
      <c r="H2055" s="150" t="str">
        <f t="shared" si="690"/>
        <v/>
      </c>
      <c r="I2055" s="150">
        <f t="shared" si="690"/>
        <v>0</v>
      </c>
      <c r="J2055" s="150">
        <f t="shared" si="690"/>
        <v>0</v>
      </c>
      <c r="K2055" s="196"/>
      <c r="L2055" s="197"/>
      <c r="M2055" s="191">
        <f t="shared" si="691"/>
        <v>0</v>
      </c>
      <c r="N2055" s="150">
        <f t="shared" si="691"/>
        <v>0</v>
      </c>
      <c r="O2055" s="193">
        <f t="shared" si="691"/>
        <v>0</v>
      </c>
      <c r="P2055" s="162">
        <f t="shared" si="692"/>
        <v>0</v>
      </c>
      <c r="Q2055" s="162">
        <f t="shared" si="692"/>
        <v>0</v>
      </c>
      <c r="R2055" s="162">
        <f t="shared" si="692"/>
        <v>0</v>
      </c>
      <c r="S2055" s="162">
        <f t="shared" si="692"/>
        <v>0</v>
      </c>
      <c r="T2055" s="162">
        <f t="shared" si="692"/>
        <v>0</v>
      </c>
      <c r="U2055" s="162">
        <f t="shared" si="692"/>
        <v>0</v>
      </c>
      <c r="V2055" s="162">
        <f t="shared" si="692"/>
        <v>0</v>
      </c>
      <c r="W2055" s="162">
        <f t="shared" si="692"/>
        <v>0</v>
      </c>
      <c r="X2055" s="162">
        <f t="shared" si="692"/>
        <v>0</v>
      </c>
      <c r="Y2055" s="162">
        <f t="shared" si="692"/>
        <v>0</v>
      </c>
      <c r="Z2055" s="162">
        <f t="shared" si="692"/>
        <v>0</v>
      </c>
      <c r="AA2055" s="162">
        <f t="shared" si="692"/>
        <v>0</v>
      </c>
      <c r="AB2055" s="163">
        <f t="shared" si="689"/>
        <v>0</v>
      </c>
      <c r="AC2055" s="198"/>
    </row>
    <row r="2056" spans="1:29" hidden="1" outlineLevel="1" x14ac:dyDescent="0.25">
      <c r="A2056" s="14" t="str">
        <f t="shared" si="693"/>
        <v>TERC_OPER__28</v>
      </c>
      <c r="B2056" s="15" t="str">
        <f t="shared" si="684"/>
        <v>TERC_OPER__0_0</v>
      </c>
      <c r="C2056" s="83"/>
      <c r="D2056" s="15">
        <f t="shared" si="685"/>
        <v>0</v>
      </c>
      <c r="E2056" s="15">
        <v>28</v>
      </c>
      <c r="F2056" s="190">
        <f t="shared" si="690"/>
        <v>0</v>
      </c>
      <c r="G2056" s="149" t="str">
        <f t="shared" si="690"/>
        <v/>
      </c>
      <c r="H2056" s="150" t="str">
        <f t="shared" si="690"/>
        <v/>
      </c>
      <c r="I2056" s="150">
        <f t="shared" si="690"/>
        <v>0</v>
      </c>
      <c r="J2056" s="150">
        <f t="shared" si="690"/>
        <v>0</v>
      </c>
      <c r="K2056" s="196"/>
      <c r="L2056" s="197"/>
      <c r="M2056" s="191">
        <f t="shared" si="691"/>
        <v>0</v>
      </c>
      <c r="N2056" s="150">
        <f t="shared" si="691"/>
        <v>0</v>
      </c>
      <c r="O2056" s="193">
        <f t="shared" si="691"/>
        <v>0</v>
      </c>
      <c r="P2056" s="162">
        <f t="shared" si="692"/>
        <v>0</v>
      </c>
      <c r="Q2056" s="162">
        <f t="shared" si="692"/>
        <v>0</v>
      </c>
      <c r="R2056" s="162">
        <f t="shared" si="692"/>
        <v>0</v>
      </c>
      <c r="S2056" s="162">
        <f t="shared" si="692"/>
        <v>0</v>
      </c>
      <c r="T2056" s="162">
        <f t="shared" si="692"/>
        <v>0</v>
      </c>
      <c r="U2056" s="162">
        <f t="shared" si="692"/>
        <v>0</v>
      </c>
      <c r="V2056" s="162">
        <f t="shared" si="692"/>
        <v>0</v>
      </c>
      <c r="W2056" s="162">
        <f t="shared" si="692"/>
        <v>0</v>
      </c>
      <c r="X2056" s="162">
        <f t="shared" si="692"/>
        <v>0</v>
      </c>
      <c r="Y2056" s="162">
        <f t="shared" si="692"/>
        <v>0</v>
      </c>
      <c r="Z2056" s="162">
        <f t="shared" si="692"/>
        <v>0</v>
      </c>
      <c r="AA2056" s="162">
        <f t="shared" si="692"/>
        <v>0</v>
      </c>
      <c r="AB2056" s="163">
        <f t="shared" si="689"/>
        <v>0</v>
      </c>
      <c r="AC2056" s="198"/>
    </row>
    <row r="2057" spans="1:29" hidden="1" outlineLevel="1" x14ac:dyDescent="0.25">
      <c r="A2057" s="14" t="str">
        <f t="shared" si="693"/>
        <v>TERC_OPER__29</v>
      </c>
      <c r="B2057" s="15" t="str">
        <f t="shared" si="684"/>
        <v>TERC_OPER__0_0</v>
      </c>
      <c r="C2057" s="83"/>
      <c r="D2057" s="15">
        <f t="shared" si="685"/>
        <v>0</v>
      </c>
      <c r="E2057" s="15">
        <v>29</v>
      </c>
      <c r="F2057" s="190">
        <f t="shared" si="690"/>
        <v>0</v>
      </c>
      <c r="G2057" s="149" t="str">
        <f t="shared" si="690"/>
        <v/>
      </c>
      <c r="H2057" s="150" t="str">
        <f t="shared" si="690"/>
        <v/>
      </c>
      <c r="I2057" s="150">
        <f t="shared" si="690"/>
        <v>0</v>
      </c>
      <c r="J2057" s="150">
        <f t="shared" si="690"/>
        <v>0</v>
      </c>
      <c r="K2057" s="196"/>
      <c r="L2057" s="197"/>
      <c r="M2057" s="191">
        <f t="shared" si="691"/>
        <v>0</v>
      </c>
      <c r="N2057" s="150">
        <f t="shared" si="691"/>
        <v>0</v>
      </c>
      <c r="O2057" s="193">
        <f t="shared" si="691"/>
        <v>0</v>
      </c>
      <c r="P2057" s="162">
        <f t="shared" si="692"/>
        <v>0</v>
      </c>
      <c r="Q2057" s="162">
        <f t="shared" si="692"/>
        <v>0</v>
      </c>
      <c r="R2057" s="162">
        <f t="shared" si="692"/>
        <v>0</v>
      </c>
      <c r="S2057" s="162">
        <f t="shared" si="692"/>
        <v>0</v>
      </c>
      <c r="T2057" s="162">
        <f t="shared" si="692"/>
        <v>0</v>
      </c>
      <c r="U2057" s="162">
        <f t="shared" si="692"/>
        <v>0</v>
      </c>
      <c r="V2057" s="162">
        <f t="shared" si="692"/>
        <v>0</v>
      </c>
      <c r="W2057" s="162">
        <f t="shared" si="692"/>
        <v>0</v>
      </c>
      <c r="X2057" s="162">
        <f t="shared" si="692"/>
        <v>0</v>
      </c>
      <c r="Y2057" s="162">
        <f t="shared" si="692"/>
        <v>0</v>
      </c>
      <c r="Z2057" s="162">
        <f t="shared" si="692"/>
        <v>0</v>
      </c>
      <c r="AA2057" s="162">
        <f t="shared" si="692"/>
        <v>0</v>
      </c>
      <c r="AB2057" s="163">
        <f t="shared" si="689"/>
        <v>0</v>
      </c>
      <c r="AC2057" s="198"/>
    </row>
    <row r="2058" spans="1:29" hidden="1" outlineLevel="1" x14ac:dyDescent="0.25">
      <c r="A2058" s="14" t="str">
        <f t="shared" si="693"/>
        <v>TERC_OPER__30</v>
      </c>
      <c r="B2058" s="15" t="str">
        <f t="shared" si="684"/>
        <v>TERC_OPER__0_0</v>
      </c>
      <c r="C2058" s="83"/>
      <c r="D2058" s="15">
        <f t="shared" si="685"/>
        <v>0</v>
      </c>
      <c r="E2058" s="15">
        <v>30</v>
      </c>
      <c r="F2058" s="190">
        <f t="shared" si="690"/>
        <v>0</v>
      </c>
      <c r="G2058" s="149" t="str">
        <f t="shared" si="690"/>
        <v/>
      </c>
      <c r="H2058" s="150" t="str">
        <f t="shared" si="690"/>
        <v/>
      </c>
      <c r="I2058" s="150">
        <f t="shared" si="690"/>
        <v>0</v>
      </c>
      <c r="J2058" s="150">
        <f t="shared" si="690"/>
        <v>0</v>
      </c>
      <c r="K2058" s="196"/>
      <c r="L2058" s="197"/>
      <c r="M2058" s="191">
        <f t="shared" si="691"/>
        <v>0</v>
      </c>
      <c r="N2058" s="150">
        <f t="shared" si="691"/>
        <v>0</v>
      </c>
      <c r="O2058" s="193">
        <f t="shared" si="691"/>
        <v>0</v>
      </c>
      <c r="P2058" s="162">
        <f t="shared" si="692"/>
        <v>0</v>
      </c>
      <c r="Q2058" s="162">
        <f t="shared" si="692"/>
        <v>0</v>
      </c>
      <c r="R2058" s="162">
        <f t="shared" si="692"/>
        <v>0</v>
      </c>
      <c r="S2058" s="162">
        <f t="shared" si="692"/>
        <v>0</v>
      </c>
      <c r="T2058" s="162">
        <f t="shared" si="692"/>
        <v>0</v>
      </c>
      <c r="U2058" s="162">
        <f t="shared" si="692"/>
        <v>0</v>
      </c>
      <c r="V2058" s="162">
        <f t="shared" si="692"/>
        <v>0</v>
      </c>
      <c r="W2058" s="162">
        <f t="shared" si="692"/>
        <v>0</v>
      </c>
      <c r="X2058" s="162">
        <f t="shared" si="692"/>
        <v>0</v>
      </c>
      <c r="Y2058" s="162">
        <f t="shared" si="692"/>
        <v>0</v>
      </c>
      <c r="Z2058" s="162">
        <f t="shared" si="692"/>
        <v>0</v>
      </c>
      <c r="AA2058" s="162">
        <f t="shared" si="692"/>
        <v>0</v>
      </c>
      <c r="AB2058" s="163">
        <f t="shared" si="689"/>
        <v>0</v>
      </c>
      <c r="AC2058" s="198"/>
    </row>
    <row r="2059" spans="1:29" hidden="1" outlineLevel="1" x14ac:dyDescent="0.25">
      <c r="A2059" s="14" t="str">
        <f t="shared" si="693"/>
        <v>TERC_OPER__31</v>
      </c>
      <c r="B2059" s="15" t="str">
        <f t="shared" si="684"/>
        <v>TERC_OPER__0_0</v>
      </c>
      <c r="C2059" s="83"/>
      <c r="D2059" s="15">
        <f t="shared" si="685"/>
        <v>0</v>
      </c>
      <c r="E2059" s="15">
        <v>31</v>
      </c>
      <c r="F2059" s="190">
        <f t="shared" si="690"/>
        <v>0</v>
      </c>
      <c r="G2059" s="149" t="str">
        <f t="shared" si="690"/>
        <v/>
      </c>
      <c r="H2059" s="150" t="str">
        <f t="shared" si="690"/>
        <v/>
      </c>
      <c r="I2059" s="150">
        <f t="shared" si="690"/>
        <v>0</v>
      </c>
      <c r="J2059" s="150">
        <f t="shared" si="690"/>
        <v>0</v>
      </c>
      <c r="K2059" s="196"/>
      <c r="L2059" s="197"/>
      <c r="M2059" s="191">
        <f t="shared" si="691"/>
        <v>0</v>
      </c>
      <c r="N2059" s="150">
        <f t="shared" si="691"/>
        <v>0</v>
      </c>
      <c r="O2059" s="193">
        <f t="shared" si="691"/>
        <v>0</v>
      </c>
      <c r="P2059" s="162">
        <f t="shared" si="692"/>
        <v>0</v>
      </c>
      <c r="Q2059" s="162">
        <f t="shared" si="692"/>
        <v>0</v>
      </c>
      <c r="R2059" s="162">
        <f t="shared" si="692"/>
        <v>0</v>
      </c>
      <c r="S2059" s="162">
        <f t="shared" si="692"/>
        <v>0</v>
      </c>
      <c r="T2059" s="162">
        <f t="shared" si="692"/>
        <v>0</v>
      </c>
      <c r="U2059" s="162">
        <f t="shared" si="692"/>
        <v>0</v>
      </c>
      <c r="V2059" s="162">
        <f t="shared" si="692"/>
        <v>0</v>
      </c>
      <c r="W2059" s="162">
        <f t="shared" si="692"/>
        <v>0</v>
      </c>
      <c r="X2059" s="162">
        <f t="shared" si="692"/>
        <v>0</v>
      </c>
      <c r="Y2059" s="162">
        <f t="shared" si="692"/>
        <v>0</v>
      </c>
      <c r="Z2059" s="162">
        <f t="shared" si="692"/>
        <v>0</v>
      </c>
      <c r="AA2059" s="162">
        <f t="shared" si="692"/>
        <v>0</v>
      </c>
      <c r="AB2059" s="163">
        <f t="shared" si="689"/>
        <v>0</v>
      </c>
      <c r="AC2059" s="198"/>
    </row>
    <row r="2060" spans="1:29" hidden="1" outlineLevel="1" x14ac:dyDescent="0.25">
      <c r="A2060" s="14" t="str">
        <f t="shared" si="693"/>
        <v>TERC_OPER__32</v>
      </c>
      <c r="B2060" s="15" t="str">
        <f t="shared" si="684"/>
        <v>TERC_OPER__0_0</v>
      </c>
      <c r="C2060" s="83"/>
      <c r="D2060" s="15">
        <f t="shared" si="685"/>
        <v>0</v>
      </c>
      <c r="E2060" s="15">
        <v>32</v>
      </c>
      <c r="F2060" s="190">
        <f t="shared" si="690"/>
        <v>0</v>
      </c>
      <c r="G2060" s="149" t="str">
        <f t="shared" si="690"/>
        <v/>
      </c>
      <c r="H2060" s="150" t="str">
        <f t="shared" si="690"/>
        <v/>
      </c>
      <c r="I2060" s="150">
        <f t="shared" si="690"/>
        <v>0</v>
      </c>
      <c r="J2060" s="150">
        <f t="shared" si="690"/>
        <v>0</v>
      </c>
      <c r="K2060" s="196"/>
      <c r="L2060" s="197"/>
      <c r="M2060" s="191">
        <f t="shared" si="691"/>
        <v>0</v>
      </c>
      <c r="N2060" s="150">
        <f t="shared" si="691"/>
        <v>0</v>
      </c>
      <c r="O2060" s="193">
        <f t="shared" si="691"/>
        <v>0</v>
      </c>
      <c r="P2060" s="162">
        <f t="shared" si="692"/>
        <v>0</v>
      </c>
      <c r="Q2060" s="162">
        <f t="shared" si="692"/>
        <v>0</v>
      </c>
      <c r="R2060" s="162">
        <f t="shared" si="692"/>
        <v>0</v>
      </c>
      <c r="S2060" s="162">
        <f t="shared" si="692"/>
        <v>0</v>
      </c>
      <c r="T2060" s="162">
        <f t="shared" si="692"/>
        <v>0</v>
      </c>
      <c r="U2060" s="162">
        <f t="shared" si="692"/>
        <v>0</v>
      </c>
      <c r="V2060" s="162">
        <f t="shared" si="692"/>
        <v>0</v>
      </c>
      <c r="W2060" s="162">
        <f t="shared" si="692"/>
        <v>0</v>
      </c>
      <c r="X2060" s="162">
        <f t="shared" si="692"/>
        <v>0</v>
      </c>
      <c r="Y2060" s="162">
        <f t="shared" si="692"/>
        <v>0</v>
      </c>
      <c r="Z2060" s="162">
        <f t="shared" si="692"/>
        <v>0</v>
      </c>
      <c r="AA2060" s="162">
        <f t="shared" si="692"/>
        <v>0</v>
      </c>
      <c r="AB2060" s="163">
        <f t="shared" si="689"/>
        <v>0</v>
      </c>
      <c r="AC2060" s="198"/>
    </row>
    <row r="2061" spans="1:29" hidden="1" outlineLevel="1" x14ac:dyDescent="0.25">
      <c r="A2061" s="14" t="str">
        <f t="shared" si="693"/>
        <v>TERC_OPER__33</v>
      </c>
      <c r="B2061" s="15" t="str">
        <f t="shared" si="684"/>
        <v>TERC_OPER__0_0</v>
      </c>
      <c r="C2061" s="83"/>
      <c r="D2061" s="15">
        <f t="shared" si="685"/>
        <v>0</v>
      </c>
      <c r="E2061" s="15">
        <v>33</v>
      </c>
      <c r="F2061" s="190">
        <f t="shared" ref="F2061:J2073" si="694">F2015</f>
        <v>0</v>
      </c>
      <c r="G2061" s="149" t="str">
        <f t="shared" si="694"/>
        <v/>
      </c>
      <c r="H2061" s="150" t="str">
        <f t="shared" si="694"/>
        <v/>
      </c>
      <c r="I2061" s="150">
        <f t="shared" si="694"/>
        <v>0</v>
      </c>
      <c r="J2061" s="150">
        <f t="shared" si="694"/>
        <v>0</v>
      </c>
      <c r="K2061" s="196"/>
      <c r="L2061" s="197"/>
      <c r="M2061" s="191">
        <f t="shared" ref="M2061:O2073" si="695">M2015</f>
        <v>0</v>
      </c>
      <c r="N2061" s="150">
        <f t="shared" si="695"/>
        <v>0</v>
      </c>
      <c r="O2061" s="193">
        <f t="shared" si="695"/>
        <v>0</v>
      </c>
      <c r="P2061" s="162">
        <f t="shared" ref="P2061:AA2073" si="696">IFERROR(SUMIF($B$1817:$B$1835,$C2061&amp;$I2061,P$1817:P$1835)/SUMIF($D$1817:$D$1835,$I2061,P$1817:P$1835)*P1873,0)</f>
        <v>0</v>
      </c>
      <c r="Q2061" s="162">
        <f t="shared" si="696"/>
        <v>0</v>
      </c>
      <c r="R2061" s="162">
        <f t="shared" si="696"/>
        <v>0</v>
      </c>
      <c r="S2061" s="162">
        <f t="shared" si="696"/>
        <v>0</v>
      </c>
      <c r="T2061" s="162">
        <f t="shared" si="696"/>
        <v>0</v>
      </c>
      <c r="U2061" s="162">
        <f t="shared" si="696"/>
        <v>0</v>
      </c>
      <c r="V2061" s="162">
        <f t="shared" si="696"/>
        <v>0</v>
      </c>
      <c r="W2061" s="162">
        <f t="shared" si="696"/>
        <v>0</v>
      </c>
      <c r="X2061" s="162">
        <f t="shared" si="696"/>
        <v>0</v>
      </c>
      <c r="Y2061" s="162">
        <f t="shared" si="696"/>
        <v>0</v>
      </c>
      <c r="Z2061" s="162">
        <f t="shared" si="696"/>
        <v>0</v>
      </c>
      <c r="AA2061" s="162">
        <f t="shared" si="696"/>
        <v>0</v>
      </c>
      <c r="AB2061" s="163">
        <f t="shared" si="689"/>
        <v>0</v>
      </c>
      <c r="AC2061" s="198"/>
    </row>
    <row r="2062" spans="1:29" hidden="1" outlineLevel="1" x14ac:dyDescent="0.25">
      <c r="A2062" s="14" t="str">
        <f t="shared" si="693"/>
        <v>TERC_OPER__34</v>
      </c>
      <c r="B2062" s="15" t="str">
        <f t="shared" si="684"/>
        <v>TERC_OPER__0_0</v>
      </c>
      <c r="C2062" s="83"/>
      <c r="D2062" s="15">
        <f t="shared" si="685"/>
        <v>0</v>
      </c>
      <c r="E2062" s="15">
        <v>34</v>
      </c>
      <c r="F2062" s="190">
        <f t="shared" si="694"/>
        <v>0</v>
      </c>
      <c r="G2062" s="149" t="str">
        <f t="shared" si="694"/>
        <v/>
      </c>
      <c r="H2062" s="150" t="str">
        <f t="shared" si="694"/>
        <v/>
      </c>
      <c r="I2062" s="150">
        <f t="shared" si="694"/>
        <v>0</v>
      </c>
      <c r="J2062" s="150">
        <f t="shared" si="694"/>
        <v>0</v>
      </c>
      <c r="K2062" s="196"/>
      <c r="L2062" s="197"/>
      <c r="M2062" s="191">
        <f t="shared" si="695"/>
        <v>0</v>
      </c>
      <c r="N2062" s="150">
        <f t="shared" si="695"/>
        <v>0</v>
      </c>
      <c r="O2062" s="193">
        <f t="shared" si="695"/>
        <v>0</v>
      </c>
      <c r="P2062" s="162">
        <f t="shared" si="696"/>
        <v>0</v>
      </c>
      <c r="Q2062" s="162">
        <f t="shared" si="696"/>
        <v>0</v>
      </c>
      <c r="R2062" s="162">
        <f t="shared" si="696"/>
        <v>0</v>
      </c>
      <c r="S2062" s="162">
        <f t="shared" si="696"/>
        <v>0</v>
      </c>
      <c r="T2062" s="162">
        <f t="shared" si="696"/>
        <v>0</v>
      </c>
      <c r="U2062" s="162">
        <f t="shared" si="696"/>
        <v>0</v>
      </c>
      <c r="V2062" s="162">
        <f t="shared" si="696"/>
        <v>0</v>
      </c>
      <c r="W2062" s="162">
        <f t="shared" si="696"/>
        <v>0</v>
      </c>
      <c r="X2062" s="162">
        <f t="shared" si="696"/>
        <v>0</v>
      </c>
      <c r="Y2062" s="162">
        <f t="shared" si="696"/>
        <v>0</v>
      </c>
      <c r="Z2062" s="162">
        <f t="shared" si="696"/>
        <v>0</v>
      </c>
      <c r="AA2062" s="162">
        <f t="shared" si="696"/>
        <v>0</v>
      </c>
      <c r="AB2062" s="163">
        <f t="shared" si="689"/>
        <v>0</v>
      </c>
      <c r="AC2062" s="198"/>
    </row>
    <row r="2063" spans="1:29" hidden="1" outlineLevel="1" x14ac:dyDescent="0.25">
      <c r="A2063" s="14" t="str">
        <f t="shared" si="693"/>
        <v>TERC_OPER__35</v>
      </c>
      <c r="B2063" s="15" t="str">
        <f t="shared" si="684"/>
        <v>TERC_OPER__0_0</v>
      </c>
      <c r="C2063" s="83"/>
      <c r="D2063" s="15">
        <f t="shared" si="685"/>
        <v>0</v>
      </c>
      <c r="E2063" s="15">
        <v>35</v>
      </c>
      <c r="F2063" s="190">
        <f t="shared" si="694"/>
        <v>0</v>
      </c>
      <c r="G2063" s="149" t="str">
        <f t="shared" si="694"/>
        <v/>
      </c>
      <c r="H2063" s="150" t="str">
        <f t="shared" si="694"/>
        <v/>
      </c>
      <c r="I2063" s="150">
        <f t="shared" si="694"/>
        <v>0</v>
      </c>
      <c r="J2063" s="150">
        <f t="shared" si="694"/>
        <v>0</v>
      </c>
      <c r="K2063" s="196"/>
      <c r="L2063" s="197"/>
      <c r="M2063" s="191">
        <f t="shared" si="695"/>
        <v>0</v>
      </c>
      <c r="N2063" s="150">
        <f t="shared" si="695"/>
        <v>0</v>
      </c>
      <c r="O2063" s="193">
        <f t="shared" si="695"/>
        <v>0</v>
      </c>
      <c r="P2063" s="162">
        <f t="shared" si="696"/>
        <v>0</v>
      </c>
      <c r="Q2063" s="162">
        <f t="shared" si="696"/>
        <v>0</v>
      </c>
      <c r="R2063" s="162">
        <f t="shared" si="696"/>
        <v>0</v>
      </c>
      <c r="S2063" s="162">
        <f t="shared" si="696"/>
        <v>0</v>
      </c>
      <c r="T2063" s="162">
        <f t="shared" si="696"/>
        <v>0</v>
      </c>
      <c r="U2063" s="162">
        <f t="shared" si="696"/>
        <v>0</v>
      </c>
      <c r="V2063" s="162">
        <f t="shared" si="696"/>
        <v>0</v>
      </c>
      <c r="W2063" s="162">
        <f t="shared" si="696"/>
        <v>0</v>
      </c>
      <c r="X2063" s="162">
        <f t="shared" si="696"/>
        <v>0</v>
      </c>
      <c r="Y2063" s="162">
        <f t="shared" si="696"/>
        <v>0</v>
      </c>
      <c r="Z2063" s="162">
        <f t="shared" si="696"/>
        <v>0</v>
      </c>
      <c r="AA2063" s="162">
        <f t="shared" si="696"/>
        <v>0</v>
      </c>
      <c r="AB2063" s="163">
        <f t="shared" si="689"/>
        <v>0</v>
      </c>
      <c r="AC2063" s="198"/>
    </row>
    <row r="2064" spans="1:29" hidden="1" outlineLevel="1" x14ac:dyDescent="0.25">
      <c r="A2064" s="14" t="str">
        <f t="shared" si="693"/>
        <v>TERC_OPER__36</v>
      </c>
      <c r="B2064" s="15" t="str">
        <f t="shared" si="684"/>
        <v>TERC_OPER__0_0</v>
      </c>
      <c r="C2064" s="83"/>
      <c r="D2064" s="15">
        <f t="shared" si="685"/>
        <v>0</v>
      </c>
      <c r="E2064" s="15">
        <v>36</v>
      </c>
      <c r="F2064" s="190">
        <f t="shared" si="694"/>
        <v>0</v>
      </c>
      <c r="G2064" s="149" t="str">
        <f t="shared" si="694"/>
        <v/>
      </c>
      <c r="H2064" s="150" t="str">
        <f t="shared" si="694"/>
        <v/>
      </c>
      <c r="I2064" s="150">
        <f t="shared" si="694"/>
        <v>0</v>
      </c>
      <c r="J2064" s="150">
        <f t="shared" si="694"/>
        <v>0</v>
      </c>
      <c r="K2064" s="196"/>
      <c r="L2064" s="197"/>
      <c r="M2064" s="191">
        <f t="shared" si="695"/>
        <v>0</v>
      </c>
      <c r="N2064" s="150">
        <f t="shared" si="695"/>
        <v>0</v>
      </c>
      <c r="O2064" s="193">
        <f t="shared" si="695"/>
        <v>0</v>
      </c>
      <c r="P2064" s="162">
        <f t="shared" si="696"/>
        <v>0</v>
      </c>
      <c r="Q2064" s="162">
        <f t="shared" si="696"/>
        <v>0</v>
      </c>
      <c r="R2064" s="162">
        <f t="shared" si="696"/>
        <v>0</v>
      </c>
      <c r="S2064" s="162">
        <f t="shared" si="696"/>
        <v>0</v>
      </c>
      <c r="T2064" s="162">
        <f t="shared" si="696"/>
        <v>0</v>
      </c>
      <c r="U2064" s="162">
        <f t="shared" si="696"/>
        <v>0</v>
      </c>
      <c r="V2064" s="162">
        <f t="shared" si="696"/>
        <v>0</v>
      </c>
      <c r="W2064" s="162">
        <f t="shared" si="696"/>
        <v>0</v>
      </c>
      <c r="X2064" s="162">
        <f t="shared" si="696"/>
        <v>0</v>
      </c>
      <c r="Y2064" s="162">
        <f t="shared" si="696"/>
        <v>0</v>
      </c>
      <c r="Z2064" s="162">
        <f t="shared" si="696"/>
        <v>0</v>
      </c>
      <c r="AA2064" s="162">
        <f t="shared" si="696"/>
        <v>0</v>
      </c>
      <c r="AB2064" s="163">
        <f t="shared" si="689"/>
        <v>0</v>
      </c>
      <c r="AC2064" s="198"/>
    </row>
    <row r="2065" spans="1:46" hidden="1" outlineLevel="1" x14ac:dyDescent="0.25">
      <c r="A2065" s="14" t="str">
        <f t="shared" si="693"/>
        <v>TERC_OPER__37</v>
      </c>
      <c r="B2065" s="15" t="str">
        <f t="shared" si="684"/>
        <v>TERC_OPER__0_0</v>
      </c>
      <c r="C2065" s="83"/>
      <c r="D2065" s="15">
        <f t="shared" si="685"/>
        <v>0</v>
      </c>
      <c r="E2065" s="15">
        <v>37</v>
      </c>
      <c r="F2065" s="190">
        <f t="shared" si="694"/>
        <v>0</v>
      </c>
      <c r="G2065" s="149" t="str">
        <f t="shared" si="694"/>
        <v/>
      </c>
      <c r="H2065" s="150" t="str">
        <f t="shared" si="694"/>
        <v/>
      </c>
      <c r="I2065" s="150">
        <f t="shared" si="694"/>
        <v>0</v>
      </c>
      <c r="J2065" s="150">
        <f t="shared" si="694"/>
        <v>0</v>
      </c>
      <c r="K2065" s="196"/>
      <c r="L2065" s="197"/>
      <c r="M2065" s="191">
        <f t="shared" si="695"/>
        <v>0</v>
      </c>
      <c r="N2065" s="150">
        <f t="shared" si="695"/>
        <v>0</v>
      </c>
      <c r="O2065" s="193">
        <f t="shared" si="695"/>
        <v>0</v>
      </c>
      <c r="P2065" s="162">
        <f t="shared" si="696"/>
        <v>0</v>
      </c>
      <c r="Q2065" s="162">
        <f t="shared" si="696"/>
        <v>0</v>
      </c>
      <c r="R2065" s="162">
        <f t="shared" si="696"/>
        <v>0</v>
      </c>
      <c r="S2065" s="162">
        <f t="shared" si="696"/>
        <v>0</v>
      </c>
      <c r="T2065" s="162">
        <f t="shared" si="696"/>
        <v>0</v>
      </c>
      <c r="U2065" s="162">
        <f t="shared" si="696"/>
        <v>0</v>
      </c>
      <c r="V2065" s="162">
        <f t="shared" si="696"/>
        <v>0</v>
      </c>
      <c r="W2065" s="162">
        <f t="shared" si="696"/>
        <v>0</v>
      </c>
      <c r="X2065" s="162">
        <f t="shared" si="696"/>
        <v>0</v>
      </c>
      <c r="Y2065" s="162">
        <f t="shared" si="696"/>
        <v>0</v>
      </c>
      <c r="Z2065" s="162">
        <f t="shared" si="696"/>
        <v>0</v>
      </c>
      <c r="AA2065" s="162">
        <f t="shared" si="696"/>
        <v>0</v>
      </c>
      <c r="AB2065" s="163">
        <f t="shared" si="689"/>
        <v>0</v>
      </c>
      <c r="AC2065" s="198"/>
    </row>
    <row r="2066" spans="1:46" hidden="1" outlineLevel="1" x14ac:dyDescent="0.25">
      <c r="A2066" s="14" t="str">
        <f t="shared" si="693"/>
        <v>TERC_OPER__38</v>
      </c>
      <c r="B2066" s="15" t="str">
        <f t="shared" si="684"/>
        <v>TERC_OPER__0_0</v>
      </c>
      <c r="C2066" s="83"/>
      <c r="D2066" s="15">
        <f t="shared" si="685"/>
        <v>0</v>
      </c>
      <c r="E2066" s="15">
        <v>38</v>
      </c>
      <c r="F2066" s="190">
        <f t="shared" si="694"/>
        <v>0</v>
      </c>
      <c r="G2066" s="149" t="str">
        <f t="shared" si="694"/>
        <v/>
      </c>
      <c r="H2066" s="150" t="str">
        <f t="shared" si="694"/>
        <v/>
      </c>
      <c r="I2066" s="150">
        <f t="shared" si="694"/>
        <v>0</v>
      </c>
      <c r="J2066" s="150">
        <f t="shared" si="694"/>
        <v>0</v>
      </c>
      <c r="K2066" s="196"/>
      <c r="L2066" s="197"/>
      <c r="M2066" s="191">
        <f t="shared" si="695"/>
        <v>0</v>
      </c>
      <c r="N2066" s="150">
        <f t="shared" si="695"/>
        <v>0</v>
      </c>
      <c r="O2066" s="193">
        <f t="shared" si="695"/>
        <v>0</v>
      </c>
      <c r="P2066" s="162">
        <f t="shared" si="696"/>
        <v>0</v>
      </c>
      <c r="Q2066" s="162">
        <f t="shared" si="696"/>
        <v>0</v>
      </c>
      <c r="R2066" s="162">
        <f t="shared" si="696"/>
        <v>0</v>
      </c>
      <c r="S2066" s="162">
        <f t="shared" si="696"/>
        <v>0</v>
      </c>
      <c r="T2066" s="162">
        <f t="shared" si="696"/>
        <v>0</v>
      </c>
      <c r="U2066" s="162">
        <f t="shared" si="696"/>
        <v>0</v>
      </c>
      <c r="V2066" s="162">
        <f t="shared" si="696"/>
        <v>0</v>
      </c>
      <c r="W2066" s="162">
        <f t="shared" si="696"/>
        <v>0</v>
      </c>
      <c r="X2066" s="162">
        <f t="shared" si="696"/>
        <v>0</v>
      </c>
      <c r="Y2066" s="162">
        <f t="shared" si="696"/>
        <v>0</v>
      </c>
      <c r="Z2066" s="162">
        <f t="shared" si="696"/>
        <v>0</v>
      </c>
      <c r="AA2066" s="162">
        <f t="shared" si="696"/>
        <v>0</v>
      </c>
      <c r="AB2066" s="163">
        <f t="shared" si="689"/>
        <v>0</v>
      </c>
      <c r="AC2066" s="198"/>
    </row>
    <row r="2067" spans="1:46" hidden="1" outlineLevel="1" x14ac:dyDescent="0.25">
      <c r="A2067" s="14" t="str">
        <f t="shared" si="693"/>
        <v>TERC_OPER__39</v>
      </c>
      <c r="B2067" s="15" t="str">
        <f t="shared" si="684"/>
        <v>TERC_OPER__0_0</v>
      </c>
      <c r="C2067" s="83"/>
      <c r="D2067" s="15">
        <f t="shared" si="685"/>
        <v>0</v>
      </c>
      <c r="E2067" s="15">
        <v>39</v>
      </c>
      <c r="F2067" s="190">
        <f t="shared" si="694"/>
        <v>0</v>
      </c>
      <c r="G2067" s="149" t="str">
        <f t="shared" si="694"/>
        <v/>
      </c>
      <c r="H2067" s="150" t="str">
        <f t="shared" si="694"/>
        <v/>
      </c>
      <c r="I2067" s="150">
        <f t="shared" si="694"/>
        <v>0</v>
      </c>
      <c r="J2067" s="150">
        <f t="shared" si="694"/>
        <v>0</v>
      </c>
      <c r="K2067" s="196"/>
      <c r="L2067" s="197"/>
      <c r="M2067" s="191">
        <f t="shared" si="695"/>
        <v>0</v>
      </c>
      <c r="N2067" s="150">
        <f t="shared" si="695"/>
        <v>0</v>
      </c>
      <c r="O2067" s="193">
        <f t="shared" si="695"/>
        <v>0</v>
      </c>
      <c r="P2067" s="162">
        <f t="shared" si="696"/>
        <v>0</v>
      </c>
      <c r="Q2067" s="162">
        <f t="shared" si="696"/>
        <v>0</v>
      </c>
      <c r="R2067" s="162">
        <f t="shared" si="696"/>
        <v>0</v>
      </c>
      <c r="S2067" s="162">
        <f t="shared" si="696"/>
        <v>0</v>
      </c>
      <c r="T2067" s="162">
        <f t="shared" si="696"/>
        <v>0</v>
      </c>
      <c r="U2067" s="162">
        <f t="shared" si="696"/>
        <v>0</v>
      </c>
      <c r="V2067" s="162">
        <f t="shared" si="696"/>
        <v>0</v>
      </c>
      <c r="W2067" s="162">
        <f t="shared" si="696"/>
        <v>0</v>
      </c>
      <c r="X2067" s="162">
        <f t="shared" si="696"/>
        <v>0</v>
      </c>
      <c r="Y2067" s="162">
        <f t="shared" si="696"/>
        <v>0</v>
      </c>
      <c r="Z2067" s="162">
        <f t="shared" si="696"/>
        <v>0</v>
      </c>
      <c r="AA2067" s="162">
        <f t="shared" si="696"/>
        <v>0</v>
      </c>
      <c r="AB2067" s="163">
        <f t="shared" si="689"/>
        <v>0</v>
      </c>
      <c r="AC2067" s="198"/>
    </row>
    <row r="2068" spans="1:46" hidden="1" outlineLevel="1" x14ac:dyDescent="0.25">
      <c r="A2068" s="14" t="str">
        <f t="shared" si="693"/>
        <v>TERC_OPER__40</v>
      </c>
      <c r="B2068" s="15" t="str">
        <f t="shared" si="684"/>
        <v>TERC_OPER__0_0</v>
      </c>
      <c r="C2068" s="83"/>
      <c r="D2068" s="15">
        <f t="shared" si="685"/>
        <v>0</v>
      </c>
      <c r="E2068" s="15">
        <v>40</v>
      </c>
      <c r="F2068" s="190">
        <f t="shared" si="694"/>
        <v>0</v>
      </c>
      <c r="G2068" s="149" t="str">
        <f t="shared" si="694"/>
        <v/>
      </c>
      <c r="H2068" s="150" t="str">
        <f t="shared" si="694"/>
        <v/>
      </c>
      <c r="I2068" s="150">
        <f t="shared" si="694"/>
        <v>0</v>
      </c>
      <c r="J2068" s="150">
        <f t="shared" si="694"/>
        <v>0</v>
      </c>
      <c r="K2068" s="196"/>
      <c r="L2068" s="197"/>
      <c r="M2068" s="191">
        <f t="shared" si="695"/>
        <v>0</v>
      </c>
      <c r="N2068" s="150">
        <f t="shared" si="695"/>
        <v>0</v>
      </c>
      <c r="O2068" s="193">
        <f t="shared" si="695"/>
        <v>0</v>
      </c>
      <c r="P2068" s="162">
        <f t="shared" si="696"/>
        <v>0</v>
      </c>
      <c r="Q2068" s="162">
        <f t="shared" si="696"/>
        <v>0</v>
      </c>
      <c r="R2068" s="162">
        <f t="shared" si="696"/>
        <v>0</v>
      </c>
      <c r="S2068" s="162">
        <f t="shared" si="696"/>
        <v>0</v>
      </c>
      <c r="T2068" s="162">
        <f t="shared" si="696"/>
        <v>0</v>
      </c>
      <c r="U2068" s="162">
        <f t="shared" si="696"/>
        <v>0</v>
      </c>
      <c r="V2068" s="162">
        <f t="shared" si="696"/>
        <v>0</v>
      </c>
      <c r="W2068" s="162">
        <f t="shared" si="696"/>
        <v>0</v>
      </c>
      <c r="X2068" s="162">
        <f t="shared" si="696"/>
        <v>0</v>
      </c>
      <c r="Y2068" s="162">
        <f t="shared" si="696"/>
        <v>0</v>
      </c>
      <c r="Z2068" s="162">
        <f t="shared" si="696"/>
        <v>0</v>
      </c>
      <c r="AA2068" s="162">
        <f t="shared" si="696"/>
        <v>0</v>
      </c>
      <c r="AB2068" s="163">
        <f t="shared" si="689"/>
        <v>0</v>
      </c>
      <c r="AC2068" s="198"/>
    </row>
    <row r="2069" spans="1:46" hidden="1" outlineLevel="1" x14ac:dyDescent="0.25">
      <c r="A2069" s="14" t="str">
        <f t="shared" si="693"/>
        <v>TERC_OPER__41</v>
      </c>
      <c r="B2069" s="15" t="str">
        <f t="shared" si="684"/>
        <v>TERC_OPER__0_0</v>
      </c>
      <c r="C2069" s="83"/>
      <c r="D2069" s="15">
        <f t="shared" si="685"/>
        <v>0</v>
      </c>
      <c r="E2069" s="15">
        <v>41</v>
      </c>
      <c r="F2069" s="190">
        <f t="shared" si="694"/>
        <v>0</v>
      </c>
      <c r="G2069" s="149" t="str">
        <f t="shared" si="694"/>
        <v/>
      </c>
      <c r="H2069" s="150" t="str">
        <f t="shared" si="694"/>
        <v/>
      </c>
      <c r="I2069" s="150">
        <f t="shared" si="694"/>
        <v>0</v>
      </c>
      <c r="J2069" s="150">
        <f t="shared" si="694"/>
        <v>0</v>
      </c>
      <c r="K2069" s="196"/>
      <c r="L2069" s="197"/>
      <c r="M2069" s="191">
        <f t="shared" si="695"/>
        <v>0</v>
      </c>
      <c r="N2069" s="150">
        <f t="shared" si="695"/>
        <v>0</v>
      </c>
      <c r="O2069" s="193">
        <f t="shared" si="695"/>
        <v>0</v>
      </c>
      <c r="P2069" s="162">
        <f t="shared" si="696"/>
        <v>0</v>
      </c>
      <c r="Q2069" s="162">
        <f t="shared" si="696"/>
        <v>0</v>
      </c>
      <c r="R2069" s="162">
        <f t="shared" si="696"/>
        <v>0</v>
      </c>
      <c r="S2069" s="162">
        <f t="shared" si="696"/>
        <v>0</v>
      </c>
      <c r="T2069" s="162">
        <f t="shared" si="696"/>
        <v>0</v>
      </c>
      <c r="U2069" s="162">
        <f t="shared" si="696"/>
        <v>0</v>
      </c>
      <c r="V2069" s="162">
        <f t="shared" si="696"/>
        <v>0</v>
      </c>
      <c r="W2069" s="162">
        <f t="shared" si="696"/>
        <v>0</v>
      </c>
      <c r="X2069" s="162">
        <f t="shared" si="696"/>
        <v>0</v>
      </c>
      <c r="Y2069" s="162">
        <f t="shared" si="696"/>
        <v>0</v>
      </c>
      <c r="Z2069" s="162">
        <f t="shared" si="696"/>
        <v>0</v>
      </c>
      <c r="AA2069" s="162">
        <f t="shared" si="696"/>
        <v>0</v>
      </c>
      <c r="AB2069" s="163">
        <f t="shared" si="689"/>
        <v>0</v>
      </c>
      <c r="AC2069" s="198"/>
    </row>
    <row r="2070" spans="1:46" hidden="1" outlineLevel="1" x14ac:dyDescent="0.25">
      <c r="A2070" s="14" t="str">
        <f t="shared" si="693"/>
        <v>TERC_OPER__42</v>
      </c>
      <c r="B2070" s="15" t="str">
        <f t="shared" si="684"/>
        <v>TERC_OPER__0_0</v>
      </c>
      <c r="C2070" s="83"/>
      <c r="D2070" s="15">
        <f t="shared" si="685"/>
        <v>0</v>
      </c>
      <c r="E2070" s="15">
        <v>42</v>
      </c>
      <c r="F2070" s="190">
        <f t="shared" si="694"/>
        <v>0</v>
      </c>
      <c r="G2070" s="149" t="str">
        <f t="shared" si="694"/>
        <v/>
      </c>
      <c r="H2070" s="150" t="str">
        <f t="shared" si="694"/>
        <v/>
      </c>
      <c r="I2070" s="150">
        <f t="shared" si="694"/>
        <v>0</v>
      </c>
      <c r="J2070" s="150">
        <f t="shared" si="694"/>
        <v>0</v>
      </c>
      <c r="K2070" s="196"/>
      <c r="L2070" s="197"/>
      <c r="M2070" s="191">
        <f t="shared" si="695"/>
        <v>0</v>
      </c>
      <c r="N2070" s="150">
        <f t="shared" si="695"/>
        <v>0</v>
      </c>
      <c r="O2070" s="193">
        <f t="shared" si="695"/>
        <v>0</v>
      </c>
      <c r="P2070" s="162">
        <f t="shared" si="696"/>
        <v>0</v>
      </c>
      <c r="Q2070" s="162">
        <f t="shared" si="696"/>
        <v>0</v>
      </c>
      <c r="R2070" s="162">
        <f t="shared" si="696"/>
        <v>0</v>
      </c>
      <c r="S2070" s="162">
        <f t="shared" si="696"/>
        <v>0</v>
      </c>
      <c r="T2070" s="162">
        <f t="shared" si="696"/>
        <v>0</v>
      </c>
      <c r="U2070" s="162">
        <f t="shared" si="696"/>
        <v>0</v>
      </c>
      <c r="V2070" s="162">
        <f t="shared" si="696"/>
        <v>0</v>
      </c>
      <c r="W2070" s="162">
        <f t="shared" si="696"/>
        <v>0</v>
      </c>
      <c r="X2070" s="162">
        <f t="shared" si="696"/>
        <v>0</v>
      </c>
      <c r="Y2070" s="162">
        <f t="shared" si="696"/>
        <v>0</v>
      </c>
      <c r="Z2070" s="162">
        <f t="shared" si="696"/>
        <v>0</v>
      </c>
      <c r="AA2070" s="162">
        <f t="shared" si="696"/>
        <v>0</v>
      </c>
      <c r="AB2070" s="163">
        <f t="shared" si="689"/>
        <v>0</v>
      </c>
      <c r="AC2070" s="198"/>
    </row>
    <row r="2071" spans="1:46" hidden="1" outlineLevel="1" x14ac:dyDescent="0.25">
      <c r="A2071" s="14" t="str">
        <f t="shared" si="693"/>
        <v>TERC_OPER__43</v>
      </c>
      <c r="B2071" s="15" t="str">
        <f t="shared" si="684"/>
        <v>TERC_OPER__0_0</v>
      </c>
      <c r="C2071" s="83"/>
      <c r="D2071" s="15">
        <f t="shared" si="685"/>
        <v>0</v>
      </c>
      <c r="E2071" s="15">
        <v>43</v>
      </c>
      <c r="F2071" s="190">
        <f t="shared" si="694"/>
        <v>0</v>
      </c>
      <c r="G2071" s="149" t="str">
        <f t="shared" si="694"/>
        <v/>
      </c>
      <c r="H2071" s="150" t="str">
        <f t="shared" si="694"/>
        <v/>
      </c>
      <c r="I2071" s="150">
        <f t="shared" si="694"/>
        <v>0</v>
      </c>
      <c r="J2071" s="150">
        <f t="shared" si="694"/>
        <v>0</v>
      </c>
      <c r="K2071" s="196"/>
      <c r="L2071" s="197"/>
      <c r="M2071" s="191">
        <f t="shared" si="695"/>
        <v>0</v>
      </c>
      <c r="N2071" s="150">
        <f t="shared" si="695"/>
        <v>0</v>
      </c>
      <c r="O2071" s="193">
        <f t="shared" si="695"/>
        <v>0</v>
      </c>
      <c r="P2071" s="162">
        <f t="shared" si="696"/>
        <v>0</v>
      </c>
      <c r="Q2071" s="162">
        <f t="shared" si="696"/>
        <v>0</v>
      </c>
      <c r="R2071" s="162">
        <f t="shared" si="696"/>
        <v>0</v>
      </c>
      <c r="S2071" s="162">
        <f t="shared" si="696"/>
        <v>0</v>
      </c>
      <c r="T2071" s="162">
        <f t="shared" si="696"/>
        <v>0</v>
      </c>
      <c r="U2071" s="162">
        <f t="shared" si="696"/>
        <v>0</v>
      </c>
      <c r="V2071" s="162">
        <f t="shared" si="696"/>
        <v>0</v>
      </c>
      <c r="W2071" s="162">
        <f t="shared" si="696"/>
        <v>0</v>
      </c>
      <c r="X2071" s="162">
        <f t="shared" si="696"/>
        <v>0</v>
      </c>
      <c r="Y2071" s="162">
        <f t="shared" si="696"/>
        <v>0</v>
      </c>
      <c r="Z2071" s="162">
        <f t="shared" si="696"/>
        <v>0</v>
      </c>
      <c r="AA2071" s="162">
        <f t="shared" si="696"/>
        <v>0</v>
      </c>
      <c r="AB2071" s="163">
        <f t="shared" si="689"/>
        <v>0</v>
      </c>
      <c r="AC2071" s="198"/>
    </row>
    <row r="2072" spans="1:46" hidden="1" outlineLevel="1" x14ac:dyDescent="0.25">
      <c r="A2072" s="14" t="str">
        <f t="shared" si="693"/>
        <v>TERC_OPER__44</v>
      </c>
      <c r="B2072" s="15" t="str">
        <f t="shared" si="684"/>
        <v>TERC_OPER__0_0</v>
      </c>
      <c r="C2072" s="83"/>
      <c r="D2072" s="15">
        <f t="shared" si="685"/>
        <v>0</v>
      </c>
      <c r="E2072" s="15">
        <v>44</v>
      </c>
      <c r="F2072" s="190">
        <f t="shared" si="694"/>
        <v>0</v>
      </c>
      <c r="G2072" s="149" t="str">
        <f t="shared" si="694"/>
        <v/>
      </c>
      <c r="H2072" s="150" t="str">
        <f t="shared" si="694"/>
        <v/>
      </c>
      <c r="I2072" s="150">
        <f t="shared" si="694"/>
        <v>0</v>
      </c>
      <c r="J2072" s="150">
        <f t="shared" si="694"/>
        <v>0</v>
      </c>
      <c r="K2072" s="196"/>
      <c r="L2072" s="197"/>
      <c r="M2072" s="191">
        <f t="shared" si="695"/>
        <v>0</v>
      </c>
      <c r="N2072" s="150">
        <f t="shared" si="695"/>
        <v>0</v>
      </c>
      <c r="O2072" s="193">
        <f t="shared" si="695"/>
        <v>0</v>
      </c>
      <c r="P2072" s="162">
        <f t="shared" si="696"/>
        <v>0</v>
      </c>
      <c r="Q2072" s="162">
        <f t="shared" si="696"/>
        <v>0</v>
      </c>
      <c r="R2072" s="162">
        <f t="shared" si="696"/>
        <v>0</v>
      </c>
      <c r="S2072" s="162">
        <f t="shared" si="696"/>
        <v>0</v>
      </c>
      <c r="T2072" s="162">
        <f t="shared" si="696"/>
        <v>0</v>
      </c>
      <c r="U2072" s="162">
        <f t="shared" si="696"/>
        <v>0</v>
      </c>
      <c r="V2072" s="162">
        <f t="shared" si="696"/>
        <v>0</v>
      </c>
      <c r="W2072" s="162">
        <f t="shared" si="696"/>
        <v>0</v>
      </c>
      <c r="X2072" s="162">
        <f t="shared" si="696"/>
        <v>0</v>
      </c>
      <c r="Y2072" s="162">
        <f t="shared" si="696"/>
        <v>0</v>
      </c>
      <c r="Z2072" s="162">
        <f t="shared" si="696"/>
        <v>0</v>
      </c>
      <c r="AA2072" s="162">
        <f t="shared" si="696"/>
        <v>0</v>
      </c>
      <c r="AB2072" s="163">
        <f t="shared" si="689"/>
        <v>0</v>
      </c>
      <c r="AC2072" s="198"/>
    </row>
    <row r="2073" spans="1:46" hidden="1" outlineLevel="1" x14ac:dyDescent="0.25">
      <c r="A2073" s="14" t="str">
        <f t="shared" si="693"/>
        <v>TERC_OPER__45</v>
      </c>
      <c r="B2073" s="15" t="str">
        <f t="shared" si="684"/>
        <v>TERC_OPER__0_0</v>
      </c>
      <c r="C2073" s="83"/>
      <c r="D2073" s="15">
        <f t="shared" si="685"/>
        <v>0</v>
      </c>
      <c r="E2073" s="15">
        <v>45</v>
      </c>
      <c r="F2073" s="209">
        <f t="shared" si="694"/>
        <v>0</v>
      </c>
      <c r="G2073" s="183" t="str">
        <f t="shared" si="694"/>
        <v/>
      </c>
      <c r="H2073" s="184" t="str">
        <f t="shared" si="694"/>
        <v/>
      </c>
      <c r="I2073" s="184">
        <f t="shared" si="694"/>
        <v>0</v>
      </c>
      <c r="J2073" s="184">
        <f t="shared" si="694"/>
        <v>0</v>
      </c>
      <c r="K2073" s="210"/>
      <c r="L2073" s="211"/>
      <c r="M2073" s="212">
        <f t="shared" si="695"/>
        <v>0</v>
      </c>
      <c r="N2073" s="184">
        <f t="shared" si="695"/>
        <v>0</v>
      </c>
      <c r="O2073" s="213">
        <f t="shared" si="695"/>
        <v>0</v>
      </c>
      <c r="P2073" s="175">
        <f t="shared" si="696"/>
        <v>0</v>
      </c>
      <c r="Q2073" s="175">
        <f t="shared" si="696"/>
        <v>0</v>
      </c>
      <c r="R2073" s="175">
        <f t="shared" si="696"/>
        <v>0</v>
      </c>
      <c r="S2073" s="175">
        <f t="shared" si="696"/>
        <v>0</v>
      </c>
      <c r="T2073" s="175">
        <f t="shared" si="696"/>
        <v>0</v>
      </c>
      <c r="U2073" s="175">
        <f t="shared" si="696"/>
        <v>0</v>
      </c>
      <c r="V2073" s="175">
        <f t="shared" si="696"/>
        <v>0</v>
      </c>
      <c r="W2073" s="175">
        <f t="shared" si="696"/>
        <v>0</v>
      </c>
      <c r="X2073" s="175">
        <f t="shared" si="696"/>
        <v>0</v>
      </c>
      <c r="Y2073" s="175">
        <f t="shared" si="696"/>
        <v>0</v>
      </c>
      <c r="Z2073" s="175">
        <f t="shared" si="696"/>
        <v>0</v>
      </c>
      <c r="AA2073" s="175">
        <f t="shared" si="696"/>
        <v>0</v>
      </c>
      <c r="AB2073" s="176">
        <f t="shared" si="689"/>
        <v>0</v>
      </c>
      <c r="AC2073" s="172"/>
    </row>
    <row r="2074" spans="1:46" hidden="1" outlineLevel="1" x14ac:dyDescent="0.25"/>
    <row r="2075" spans="1:46" hidden="1" outlineLevel="1" x14ac:dyDescent="0.25">
      <c r="A2075" s="14"/>
      <c r="F2075" s="199" t="s">
        <v>255</v>
      </c>
      <c r="G2075" s="200"/>
      <c r="H2075" s="201"/>
      <c r="I2075" s="201"/>
      <c r="J2075" s="201"/>
      <c r="K2075" s="201"/>
      <c r="L2075" s="201"/>
      <c r="M2075" s="202"/>
      <c r="N2075" s="201"/>
      <c r="O2075" s="203"/>
      <c r="P2075" s="204">
        <f t="shared" ref="P2075:AB2075" si="697">SUM(P1841:P1885)-SUM(P1983:P2027,P2029:P2073)</f>
        <v>3100</v>
      </c>
      <c r="Q2075" s="204">
        <f t="shared" si="697"/>
        <v>2550</v>
      </c>
      <c r="R2075" s="204">
        <f t="shared" si="697"/>
        <v>326.77440000000001</v>
      </c>
      <c r="S2075" s="204">
        <f t="shared" si="697"/>
        <v>458.11</v>
      </c>
      <c r="T2075" s="204">
        <f t="shared" si="697"/>
        <v>419.69119999999998</v>
      </c>
      <c r="U2075" s="204">
        <f t="shared" si="697"/>
        <v>520</v>
      </c>
      <c r="V2075" s="204">
        <f t="shared" si="697"/>
        <v>799.49120000000005</v>
      </c>
      <c r="W2075" s="204">
        <f t="shared" si="697"/>
        <v>785.46159999999998</v>
      </c>
      <c r="X2075" s="204">
        <f t="shared" si="697"/>
        <v>1500</v>
      </c>
      <c r="Y2075" s="204">
        <f t="shared" si="697"/>
        <v>1620</v>
      </c>
      <c r="Z2075" s="204">
        <f t="shared" si="697"/>
        <v>120</v>
      </c>
      <c r="AA2075" s="204">
        <f t="shared" si="697"/>
        <v>2920</v>
      </c>
      <c r="AB2075" s="247">
        <f t="shared" si="697"/>
        <v>15119.528400000001</v>
      </c>
      <c r="AC2075" s="248"/>
    </row>
    <row r="2076" spans="1:46" hidden="1" outlineLevel="1" x14ac:dyDescent="0.25"/>
    <row r="2077" spans="1:46" hidden="1" outlineLevel="1" x14ac:dyDescent="0.25">
      <c r="A2077" s="14"/>
      <c r="F2077" s="136" t="s">
        <v>319</v>
      </c>
    </row>
    <row r="2078" spans="1:46" hidden="1" outlineLevel="1" x14ac:dyDescent="0.25">
      <c r="A2078" s="14"/>
      <c r="P2078" s="18" t="s">
        <v>257</v>
      </c>
    </row>
    <row r="2079" spans="1:46" hidden="1" outlineLevel="1" x14ac:dyDescent="0.25">
      <c r="A2079" s="14"/>
      <c r="F2079" s="137" t="s">
        <v>317</v>
      </c>
      <c r="G2079" s="138"/>
      <c r="H2079" s="139" t="s">
        <v>217</v>
      </c>
      <c r="I2079" s="139"/>
      <c r="J2079" s="139" t="s">
        <v>229</v>
      </c>
      <c r="K2079" s="140"/>
      <c r="L2079" s="141"/>
      <c r="M2079" s="142" t="s">
        <v>220</v>
      </c>
      <c r="N2079" s="139" t="s">
        <v>221</v>
      </c>
      <c r="O2079" s="143" t="s">
        <v>222</v>
      </c>
      <c r="P2079" s="35">
        <f t="shared" ref="P2079:AA2079" si="698">P$9</f>
        <v>46113</v>
      </c>
      <c r="Q2079" s="35">
        <f t="shared" si="698"/>
        <v>46143</v>
      </c>
      <c r="R2079" s="35">
        <f t="shared" si="698"/>
        <v>46174</v>
      </c>
      <c r="S2079" s="35">
        <f t="shared" si="698"/>
        <v>46204</v>
      </c>
      <c r="T2079" s="35">
        <f t="shared" si="698"/>
        <v>46235</v>
      </c>
      <c r="U2079" s="35">
        <f t="shared" si="698"/>
        <v>46266</v>
      </c>
      <c r="V2079" s="35">
        <f t="shared" si="698"/>
        <v>46296</v>
      </c>
      <c r="W2079" s="35">
        <f t="shared" si="698"/>
        <v>46327</v>
      </c>
      <c r="X2079" s="35">
        <f t="shared" si="698"/>
        <v>46357</v>
      </c>
      <c r="Y2079" s="35">
        <f t="shared" si="698"/>
        <v>46388</v>
      </c>
      <c r="Z2079" s="35">
        <f t="shared" si="698"/>
        <v>46419</v>
      </c>
      <c r="AA2079" s="35">
        <f t="shared" si="698"/>
        <v>46447</v>
      </c>
      <c r="AB2079" s="81" t="s">
        <v>223</v>
      </c>
      <c r="AC2079" s="82" t="s">
        <v>192</v>
      </c>
      <c r="AE2079" s="189" t="str">
        <f>"Qtde Recursos em: "&amp;F2079</f>
        <v>Qtde Recursos em: TRATOS CANA SOCA - PRÓPRIA</v>
      </c>
      <c r="AF2079" s="147">
        <f>P2079</f>
        <v>46113</v>
      </c>
      <c r="AG2079" s="35">
        <f t="shared" ref="AG2079:AQ2079" si="699">Q2079</f>
        <v>46143</v>
      </c>
      <c r="AH2079" s="35">
        <f t="shared" si="699"/>
        <v>46174</v>
      </c>
      <c r="AI2079" s="35">
        <f t="shared" si="699"/>
        <v>46204</v>
      </c>
      <c r="AJ2079" s="35">
        <f t="shared" si="699"/>
        <v>46235</v>
      </c>
      <c r="AK2079" s="35">
        <f t="shared" si="699"/>
        <v>46266</v>
      </c>
      <c r="AL2079" s="35">
        <f t="shared" si="699"/>
        <v>46296</v>
      </c>
      <c r="AM2079" s="35">
        <f t="shared" si="699"/>
        <v>46327</v>
      </c>
      <c r="AN2079" s="35">
        <f t="shared" si="699"/>
        <v>46357</v>
      </c>
      <c r="AO2079" s="35">
        <f t="shared" si="699"/>
        <v>46388</v>
      </c>
      <c r="AP2079" s="35">
        <f t="shared" si="699"/>
        <v>46419</v>
      </c>
      <c r="AQ2079" s="35">
        <f t="shared" si="699"/>
        <v>46447</v>
      </c>
      <c r="AR2079" s="81" t="s">
        <v>223</v>
      </c>
      <c r="AT2079" s="189" t="s">
        <v>258</v>
      </c>
    </row>
    <row r="2080" spans="1:46" hidden="1" outlineLevel="1" x14ac:dyDescent="0.25">
      <c r="A2080" s="14" t="str">
        <f t="shared" ref="A2080:A2143" si="700">"PROP_OPER_"&amp;C2080&amp;"_"&amp;E2080</f>
        <v>PROP_OPER__1</v>
      </c>
      <c r="B2080" s="15" t="str">
        <f t="shared" ref="B2080:B2124" si="701">"PROP_OPER_"&amp;C2080&amp;"_"&amp;F2080&amp;"_"&amp;J2080</f>
        <v>PROP_OPER__1071_0</v>
      </c>
      <c r="C2080" s="83"/>
      <c r="D2080" s="15">
        <v>1</v>
      </c>
      <c r="E2080" s="15">
        <v>1</v>
      </c>
      <c r="F2080" s="190">
        <f t="shared" ref="F2080:J2095" si="702">F1887</f>
        <v>1071</v>
      </c>
      <c r="G2080" s="149" t="str">
        <f t="shared" si="702"/>
        <v/>
      </c>
      <c r="H2080" s="150" t="str">
        <f t="shared" si="702"/>
        <v/>
      </c>
      <c r="I2080" s="150" t="str">
        <f t="shared" si="702"/>
        <v>TRATCSP</v>
      </c>
      <c r="J2080" s="150">
        <f t="shared" si="702"/>
        <v>0</v>
      </c>
      <c r="K2080" s="196"/>
      <c r="L2080" s="197"/>
      <c r="M2080" s="191">
        <f t="shared" ref="M2080:O2095" si="703">M1887</f>
        <v>0</v>
      </c>
      <c r="N2080" s="150">
        <f t="shared" si="703"/>
        <v>0</v>
      </c>
      <c r="O2080" s="193">
        <f t="shared" si="703"/>
        <v>0</v>
      </c>
      <c r="P2080" s="162">
        <f t="shared" ref="P2080:AA2095" si="704">IFERROR(SUMIF($B$1817:$B$1835,$C2080&amp;$I2080,P$1817:P$1835)/SUMIF($D$1817:$D$1835,$I2080,P$1817:P$1835)*P1887,0)</f>
        <v>0</v>
      </c>
      <c r="Q2080" s="162">
        <f t="shared" si="704"/>
        <v>0</v>
      </c>
      <c r="R2080" s="162">
        <f t="shared" si="704"/>
        <v>0</v>
      </c>
      <c r="S2080" s="162">
        <f t="shared" si="704"/>
        <v>0</v>
      </c>
      <c r="T2080" s="162">
        <f t="shared" si="704"/>
        <v>0</v>
      </c>
      <c r="U2080" s="162">
        <f t="shared" si="704"/>
        <v>0</v>
      </c>
      <c r="V2080" s="162">
        <f t="shared" si="704"/>
        <v>0</v>
      </c>
      <c r="W2080" s="162">
        <f t="shared" si="704"/>
        <v>0</v>
      </c>
      <c r="X2080" s="162">
        <f t="shared" si="704"/>
        <v>0</v>
      </c>
      <c r="Y2080" s="162">
        <f t="shared" si="704"/>
        <v>0</v>
      </c>
      <c r="Z2080" s="162">
        <f t="shared" si="704"/>
        <v>0</v>
      </c>
      <c r="AA2080" s="162">
        <f t="shared" si="704"/>
        <v>0</v>
      </c>
      <c r="AB2080" s="163">
        <f t="shared" ref="AB2080:AB2124" si="705">SUM(P2080:AA2080)</f>
        <v>0</v>
      </c>
      <c r="AC2080" s="198"/>
      <c r="AE2080" s="194" t="str">
        <f>IF(J2080=0,"",VLOOKUP(J2080,#REF!,2,0)&amp;" - "&amp;J2080&amp;" ("&amp;F2080&amp;" - "&amp;G2080&amp;")")</f>
        <v/>
      </c>
      <c r="AF2080" s="161">
        <f>IFERROR(SUMIF($B$1817:$B$1835,$C2080&amp;$I2080,P$1817:P$1835)/SUMIF($D$1817:$D$1835,$I2080,P$1817:P$1835)*AF1887,0)</f>
        <v>0</v>
      </c>
      <c r="AG2080" s="162">
        <f t="shared" ref="AG2080:AQ2080" si="706">IFERROR(SUMIF($B$1817:$B$1835,$C2080&amp;$I2080,Q$1817:Q$1835)/SUMIF($D$1817:$D$1835,$I2080,Q$1817:Q$1835)*AG1887,0)</f>
        <v>0</v>
      </c>
      <c r="AH2080" s="162">
        <f t="shared" si="706"/>
        <v>0</v>
      </c>
      <c r="AI2080" s="162">
        <f t="shared" si="706"/>
        <v>0</v>
      </c>
      <c r="AJ2080" s="162">
        <f t="shared" si="706"/>
        <v>0</v>
      </c>
      <c r="AK2080" s="162">
        <f t="shared" si="706"/>
        <v>0</v>
      </c>
      <c r="AL2080" s="162">
        <f t="shared" si="706"/>
        <v>0</v>
      </c>
      <c r="AM2080" s="162">
        <f t="shared" si="706"/>
        <v>0</v>
      </c>
      <c r="AN2080" s="162">
        <f t="shared" si="706"/>
        <v>0</v>
      </c>
      <c r="AO2080" s="162">
        <f t="shared" si="706"/>
        <v>0</v>
      </c>
      <c r="AP2080" s="162">
        <f t="shared" si="706"/>
        <v>0</v>
      </c>
      <c r="AQ2080" s="162">
        <f t="shared" si="706"/>
        <v>0</v>
      </c>
      <c r="AR2080" s="163">
        <f t="shared" ref="AR2080:AR2124" si="707">SUM(AF2080:AQ2080)</f>
        <v>0</v>
      </c>
      <c r="AT2080" s="207">
        <f>IFERROR(VLOOKUP(J2080,#REF!,10,0),0)</f>
        <v>0</v>
      </c>
    </row>
    <row r="2081" spans="1:46" hidden="1" outlineLevel="1" x14ac:dyDescent="0.25">
      <c r="A2081" s="14" t="str">
        <f t="shared" si="700"/>
        <v>PROP_OPER__2</v>
      </c>
      <c r="B2081" s="15" t="str">
        <f t="shared" si="701"/>
        <v>PROP_OPER__1036_0</v>
      </c>
      <c r="C2081" s="83"/>
      <c r="D2081" s="15">
        <v>1</v>
      </c>
      <c r="E2081" s="15">
        <v>2</v>
      </c>
      <c r="F2081" s="190">
        <f t="shared" si="702"/>
        <v>1036</v>
      </c>
      <c r="G2081" s="149" t="str">
        <f t="shared" si="702"/>
        <v/>
      </c>
      <c r="H2081" s="150" t="str">
        <f t="shared" si="702"/>
        <v/>
      </c>
      <c r="I2081" s="150" t="str">
        <f t="shared" si="702"/>
        <v>TRATCSP</v>
      </c>
      <c r="J2081" s="150">
        <f t="shared" si="702"/>
        <v>0</v>
      </c>
      <c r="K2081" s="196"/>
      <c r="L2081" s="197"/>
      <c r="M2081" s="191">
        <f t="shared" si="703"/>
        <v>0</v>
      </c>
      <c r="N2081" s="150">
        <f t="shared" si="703"/>
        <v>0</v>
      </c>
      <c r="O2081" s="193">
        <f t="shared" si="703"/>
        <v>0</v>
      </c>
      <c r="P2081" s="162">
        <f t="shared" si="704"/>
        <v>0</v>
      </c>
      <c r="Q2081" s="162">
        <f t="shared" si="704"/>
        <v>0</v>
      </c>
      <c r="R2081" s="162">
        <f t="shared" si="704"/>
        <v>0</v>
      </c>
      <c r="S2081" s="162">
        <f t="shared" si="704"/>
        <v>0</v>
      </c>
      <c r="T2081" s="162">
        <f t="shared" si="704"/>
        <v>0</v>
      </c>
      <c r="U2081" s="162">
        <f t="shared" si="704"/>
        <v>0</v>
      </c>
      <c r="V2081" s="162">
        <f t="shared" si="704"/>
        <v>0</v>
      </c>
      <c r="W2081" s="162">
        <f t="shared" si="704"/>
        <v>0</v>
      </c>
      <c r="X2081" s="162">
        <f t="shared" si="704"/>
        <v>0</v>
      </c>
      <c r="Y2081" s="162">
        <f t="shared" si="704"/>
        <v>0</v>
      </c>
      <c r="Z2081" s="162">
        <f t="shared" si="704"/>
        <v>0</v>
      </c>
      <c r="AA2081" s="162">
        <f t="shared" si="704"/>
        <v>0</v>
      </c>
      <c r="AB2081" s="163">
        <f t="shared" si="705"/>
        <v>0</v>
      </c>
      <c r="AC2081" s="198"/>
      <c r="AE2081" s="194" t="str">
        <f>IF(J2081=0,"",VLOOKUP(J2081,#REF!,2,0)&amp;" - "&amp;J2081&amp;" ("&amp;F2081&amp;" - "&amp;G2081&amp;")")</f>
        <v/>
      </c>
      <c r="AF2081" s="161">
        <f t="shared" ref="AF2081:AQ2096" si="708">IFERROR(SUMIF($B$1817:$B$1835,$C2081&amp;$I2081,P$1817:P$1835)/SUMIF($D$1817:$D$1835,$I2081,P$1817:P$1835)*AF1888,0)</f>
        <v>0</v>
      </c>
      <c r="AG2081" s="162">
        <f t="shared" si="708"/>
        <v>0</v>
      </c>
      <c r="AH2081" s="162">
        <f t="shared" si="708"/>
        <v>0</v>
      </c>
      <c r="AI2081" s="162">
        <f t="shared" si="708"/>
        <v>0</v>
      </c>
      <c r="AJ2081" s="162">
        <f t="shared" si="708"/>
        <v>0</v>
      </c>
      <c r="AK2081" s="162">
        <f t="shared" si="708"/>
        <v>0</v>
      </c>
      <c r="AL2081" s="162">
        <f t="shared" si="708"/>
        <v>0</v>
      </c>
      <c r="AM2081" s="162">
        <f t="shared" si="708"/>
        <v>0</v>
      </c>
      <c r="AN2081" s="162">
        <f t="shared" si="708"/>
        <v>0</v>
      </c>
      <c r="AO2081" s="162">
        <f t="shared" si="708"/>
        <v>0</v>
      </c>
      <c r="AP2081" s="162">
        <f t="shared" si="708"/>
        <v>0</v>
      </c>
      <c r="AQ2081" s="162">
        <f t="shared" si="708"/>
        <v>0</v>
      </c>
      <c r="AR2081" s="163">
        <f t="shared" si="707"/>
        <v>0</v>
      </c>
      <c r="AT2081" s="208">
        <f>IFERROR(VLOOKUP(J2081,#REF!,10,0),0)</f>
        <v>0</v>
      </c>
    </row>
    <row r="2082" spans="1:46" hidden="1" outlineLevel="1" x14ac:dyDescent="0.25">
      <c r="A2082" s="14" t="str">
        <f t="shared" si="700"/>
        <v>PROP_OPER__3</v>
      </c>
      <c r="B2082" s="15" t="str">
        <f t="shared" si="701"/>
        <v>PROP_OPER__1068_0</v>
      </c>
      <c r="C2082" s="83"/>
      <c r="D2082" s="15">
        <v>1</v>
      </c>
      <c r="E2082" s="15">
        <v>3</v>
      </c>
      <c r="F2082" s="190">
        <f t="shared" si="702"/>
        <v>1068</v>
      </c>
      <c r="G2082" s="149" t="str">
        <f t="shared" si="702"/>
        <v/>
      </c>
      <c r="H2082" s="150" t="str">
        <f t="shared" si="702"/>
        <v/>
      </c>
      <c r="I2082" s="150" t="str">
        <f t="shared" si="702"/>
        <v>TRATCSP</v>
      </c>
      <c r="J2082" s="150">
        <f t="shared" si="702"/>
        <v>0</v>
      </c>
      <c r="K2082" s="196"/>
      <c r="L2082" s="197"/>
      <c r="M2082" s="191">
        <f t="shared" si="703"/>
        <v>0</v>
      </c>
      <c r="N2082" s="150">
        <f t="shared" si="703"/>
        <v>0</v>
      </c>
      <c r="O2082" s="193">
        <f t="shared" si="703"/>
        <v>0</v>
      </c>
      <c r="P2082" s="162">
        <f t="shared" si="704"/>
        <v>0</v>
      </c>
      <c r="Q2082" s="162">
        <f t="shared" si="704"/>
        <v>0</v>
      </c>
      <c r="R2082" s="162">
        <f t="shared" si="704"/>
        <v>0</v>
      </c>
      <c r="S2082" s="162">
        <f t="shared" si="704"/>
        <v>0</v>
      </c>
      <c r="T2082" s="162">
        <f t="shared" si="704"/>
        <v>0</v>
      </c>
      <c r="U2082" s="162">
        <f t="shared" si="704"/>
        <v>0</v>
      </c>
      <c r="V2082" s="162">
        <f t="shared" si="704"/>
        <v>0</v>
      </c>
      <c r="W2082" s="162">
        <f t="shared" si="704"/>
        <v>0</v>
      </c>
      <c r="X2082" s="162">
        <f t="shared" si="704"/>
        <v>0</v>
      </c>
      <c r="Y2082" s="162">
        <f t="shared" si="704"/>
        <v>0</v>
      </c>
      <c r="Z2082" s="162">
        <f t="shared" si="704"/>
        <v>0</v>
      </c>
      <c r="AA2082" s="162">
        <f t="shared" si="704"/>
        <v>0</v>
      </c>
      <c r="AB2082" s="163">
        <f t="shared" si="705"/>
        <v>0</v>
      </c>
      <c r="AC2082" s="198"/>
      <c r="AE2082" s="194" t="str">
        <f>IF(J2082=0,"",VLOOKUP(J2082,#REF!,2,0)&amp;" - "&amp;J2082&amp;" ("&amp;F2082&amp;" - "&amp;G2082&amp;")")</f>
        <v/>
      </c>
      <c r="AF2082" s="161">
        <f t="shared" si="708"/>
        <v>0</v>
      </c>
      <c r="AG2082" s="162">
        <f t="shared" si="708"/>
        <v>0</v>
      </c>
      <c r="AH2082" s="162">
        <f t="shared" si="708"/>
        <v>0</v>
      </c>
      <c r="AI2082" s="162">
        <f t="shared" si="708"/>
        <v>0</v>
      </c>
      <c r="AJ2082" s="162">
        <f t="shared" si="708"/>
        <v>0</v>
      </c>
      <c r="AK2082" s="162">
        <f t="shared" si="708"/>
        <v>0</v>
      </c>
      <c r="AL2082" s="162">
        <f t="shared" si="708"/>
        <v>0</v>
      </c>
      <c r="AM2082" s="162">
        <f t="shared" si="708"/>
        <v>0</v>
      </c>
      <c r="AN2082" s="162">
        <f t="shared" si="708"/>
        <v>0</v>
      </c>
      <c r="AO2082" s="162">
        <f t="shared" si="708"/>
        <v>0</v>
      </c>
      <c r="AP2082" s="162">
        <f t="shared" si="708"/>
        <v>0</v>
      </c>
      <c r="AQ2082" s="162">
        <f t="shared" si="708"/>
        <v>0</v>
      </c>
      <c r="AR2082" s="163">
        <f t="shared" si="707"/>
        <v>0</v>
      </c>
      <c r="AT2082" s="208">
        <f>IFERROR(VLOOKUP(J2082,#REF!,10,0),0)</f>
        <v>0</v>
      </c>
    </row>
    <row r="2083" spans="1:46" hidden="1" outlineLevel="1" x14ac:dyDescent="0.25">
      <c r="A2083" s="14" t="str">
        <f t="shared" si="700"/>
        <v>PROP_OPER__4</v>
      </c>
      <c r="B2083" s="15" t="str">
        <f t="shared" si="701"/>
        <v>PROP_OPER__1092_0</v>
      </c>
      <c r="C2083" s="83"/>
      <c r="D2083" s="15">
        <v>1</v>
      </c>
      <c r="E2083" s="15">
        <v>4</v>
      </c>
      <c r="F2083" s="190">
        <f t="shared" si="702"/>
        <v>1092</v>
      </c>
      <c r="G2083" s="149" t="str">
        <f t="shared" si="702"/>
        <v/>
      </c>
      <c r="H2083" s="150" t="str">
        <f t="shared" si="702"/>
        <v/>
      </c>
      <c r="I2083" s="150" t="str">
        <f t="shared" si="702"/>
        <v>TRATCSP</v>
      </c>
      <c r="J2083" s="150">
        <f t="shared" si="702"/>
        <v>0</v>
      </c>
      <c r="K2083" s="196"/>
      <c r="L2083" s="197"/>
      <c r="M2083" s="191">
        <f t="shared" si="703"/>
        <v>0</v>
      </c>
      <c r="N2083" s="150">
        <f t="shared" si="703"/>
        <v>0</v>
      </c>
      <c r="O2083" s="193">
        <f t="shared" si="703"/>
        <v>0</v>
      </c>
      <c r="P2083" s="162">
        <f t="shared" si="704"/>
        <v>0</v>
      </c>
      <c r="Q2083" s="162">
        <f t="shared" si="704"/>
        <v>0</v>
      </c>
      <c r="R2083" s="162">
        <f t="shared" si="704"/>
        <v>0</v>
      </c>
      <c r="S2083" s="162">
        <f t="shared" si="704"/>
        <v>0</v>
      </c>
      <c r="T2083" s="162">
        <f t="shared" si="704"/>
        <v>0</v>
      </c>
      <c r="U2083" s="162">
        <f t="shared" si="704"/>
        <v>0</v>
      </c>
      <c r="V2083" s="162">
        <f t="shared" si="704"/>
        <v>0</v>
      </c>
      <c r="W2083" s="162">
        <f t="shared" si="704"/>
        <v>0</v>
      </c>
      <c r="X2083" s="162">
        <f t="shared" si="704"/>
        <v>0</v>
      </c>
      <c r="Y2083" s="162">
        <f t="shared" si="704"/>
        <v>0</v>
      </c>
      <c r="Z2083" s="162">
        <f t="shared" si="704"/>
        <v>0</v>
      </c>
      <c r="AA2083" s="162">
        <f t="shared" si="704"/>
        <v>0</v>
      </c>
      <c r="AB2083" s="163">
        <f t="shared" si="705"/>
        <v>0</v>
      </c>
      <c r="AC2083" s="159"/>
      <c r="AE2083" s="194" t="str">
        <f>IF(J2083=0,"",VLOOKUP(J2083,#REF!,2,0)&amp;" - "&amp;J2083&amp;" ("&amp;F2083&amp;" - "&amp;G2083&amp;")")</f>
        <v/>
      </c>
      <c r="AF2083" s="161">
        <f t="shared" si="708"/>
        <v>0</v>
      </c>
      <c r="AG2083" s="162">
        <f t="shared" si="708"/>
        <v>0</v>
      </c>
      <c r="AH2083" s="162">
        <f t="shared" si="708"/>
        <v>0</v>
      </c>
      <c r="AI2083" s="162">
        <f t="shared" si="708"/>
        <v>0</v>
      </c>
      <c r="AJ2083" s="162">
        <f t="shared" si="708"/>
        <v>0</v>
      </c>
      <c r="AK2083" s="162">
        <f t="shared" si="708"/>
        <v>0</v>
      </c>
      <c r="AL2083" s="162">
        <f t="shared" si="708"/>
        <v>0</v>
      </c>
      <c r="AM2083" s="162">
        <f t="shared" si="708"/>
        <v>0</v>
      </c>
      <c r="AN2083" s="162">
        <f t="shared" si="708"/>
        <v>0</v>
      </c>
      <c r="AO2083" s="162">
        <f t="shared" si="708"/>
        <v>0</v>
      </c>
      <c r="AP2083" s="162">
        <f t="shared" si="708"/>
        <v>0</v>
      </c>
      <c r="AQ2083" s="162">
        <f t="shared" si="708"/>
        <v>0</v>
      </c>
      <c r="AR2083" s="163">
        <f t="shared" si="707"/>
        <v>0</v>
      </c>
      <c r="AT2083" s="208">
        <f>IFERROR(VLOOKUP(J2083,#REF!,10,0),0)</f>
        <v>0</v>
      </c>
    </row>
    <row r="2084" spans="1:46" hidden="1" outlineLevel="1" x14ac:dyDescent="0.25">
      <c r="A2084" s="14" t="str">
        <f t="shared" si="700"/>
        <v>PROP_OPER__5</v>
      </c>
      <c r="B2084" s="15" t="str">
        <f t="shared" si="701"/>
        <v>PROP_OPER__1094_0</v>
      </c>
      <c r="C2084" s="83"/>
      <c r="D2084" s="15">
        <v>1</v>
      </c>
      <c r="E2084" s="15">
        <v>5</v>
      </c>
      <c r="F2084" s="190">
        <f t="shared" si="702"/>
        <v>1094</v>
      </c>
      <c r="G2084" s="149" t="str">
        <f t="shared" si="702"/>
        <v/>
      </c>
      <c r="H2084" s="150" t="str">
        <f t="shared" si="702"/>
        <v/>
      </c>
      <c r="I2084" s="150" t="str">
        <f t="shared" si="702"/>
        <v>TRATCSFS</v>
      </c>
      <c r="J2084" s="150">
        <f t="shared" si="702"/>
        <v>0</v>
      </c>
      <c r="K2084" s="196"/>
      <c r="L2084" s="197"/>
      <c r="M2084" s="191">
        <f t="shared" si="703"/>
        <v>0</v>
      </c>
      <c r="N2084" s="150">
        <f t="shared" si="703"/>
        <v>0</v>
      </c>
      <c r="O2084" s="193">
        <f t="shared" si="703"/>
        <v>0</v>
      </c>
      <c r="P2084" s="162">
        <f t="shared" si="704"/>
        <v>0</v>
      </c>
      <c r="Q2084" s="162">
        <f t="shared" si="704"/>
        <v>0</v>
      </c>
      <c r="R2084" s="162">
        <f t="shared" si="704"/>
        <v>0</v>
      </c>
      <c r="S2084" s="162">
        <f t="shared" si="704"/>
        <v>0</v>
      </c>
      <c r="T2084" s="162">
        <f t="shared" si="704"/>
        <v>0</v>
      </c>
      <c r="U2084" s="162">
        <f t="shared" si="704"/>
        <v>0</v>
      </c>
      <c r="V2084" s="162">
        <f t="shared" si="704"/>
        <v>0</v>
      </c>
      <c r="W2084" s="162">
        <f t="shared" si="704"/>
        <v>0</v>
      </c>
      <c r="X2084" s="162">
        <f t="shared" si="704"/>
        <v>0</v>
      </c>
      <c r="Y2084" s="162">
        <f t="shared" si="704"/>
        <v>0</v>
      </c>
      <c r="Z2084" s="162">
        <f t="shared" si="704"/>
        <v>0</v>
      </c>
      <c r="AA2084" s="162">
        <f t="shared" si="704"/>
        <v>0</v>
      </c>
      <c r="AB2084" s="163">
        <f t="shared" si="705"/>
        <v>0</v>
      </c>
      <c r="AC2084" s="159"/>
      <c r="AE2084" s="194" t="str">
        <f>IF(J2084=0,"",VLOOKUP(J2084,#REF!,2,0)&amp;" - "&amp;J2084&amp;" ("&amp;F2084&amp;" - "&amp;G2084&amp;")")</f>
        <v/>
      </c>
      <c r="AF2084" s="161">
        <f t="shared" si="708"/>
        <v>0</v>
      </c>
      <c r="AG2084" s="162">
        <f t="shared" si="708"/>
        <v>0</v>
      </c>
      <c r="AH2084" s="162">
        <f t="shared" si="708"/>
        <v>0</v>
      </c>
      <c r="AI2084" s="162">
        <f t="shared" si="708"/>
        <v>0</v>
      </c>
      <c r="AJ2084" s="162">
        <f t="shared" si="708"/>
        <v>0</v>
      </c>
      <c r="AK2084" s="162">
        <f t="shared" si="708"/>
        <v>0</v>
      </c>
      <c r="AL2084" s="162">
        <f t="shared" si="708"/>
        <v>0</v>
      </c>
      <c r="AM2084" s="162">
        <f t="shared" si="708"/>
        <v>0</v>
      </c>
      <c r="AN2084" s="162">
        <f t="shared" si="708"/>
        <v>0</v>
      </c>
      <c r="AO2084" s="162">
        <f t="shared" si="708"/>
        <v>0</v>
      </c>
      <c r="AP2084" s="162">
        <f t="shared" si="708"/>
        <v>0</v>
      </c>
      <c r="AQ2084" s="162">
        <f t="shared" si="708"/>
        <v>0</v>
      </c>
      <c r="AR2084" s="163">
        <f t="shared" si="707"/>
        <v>0</v>
      </c>
      <c r="AT2084" s="208">
        <f>IFERROR(VLOOKUP(J2084,#REF!,10,0),0)</f>
        <v>0</v>
      </c>
    </row>
    <row r="2085" spans="1:46" hidden="1" outlineLevel="1" x14ac:dyDescent="0.25">
      <c r="A2085" s="14" t="str">
        <f t="shared" si="700"/>
        <v>PROP_OPER__6</v>
      </c>
      <c r="B2085" s="15" t="str">
        <f t="shared" si="701"/>
        <v>PROP_OPER__1073_0</v>
      </c>
      <c r="C2085" s="83"/>
      <c r="D2085" s="15">
        <v>1</v>
      </c>
      <c r="E2085" s="15">
        <v>6</v>
      </c>
      <c r="F2085" s="190">
        <f t="shared" si="702"/>
        <v>1073</v>
      </c>
      <c r="G2085" s="149" t="str">
        <f t="shared" si="702"/>
        <v/>
      </c>
      <c r="H2085" s="150" t="str">
        <f t="shared" si="702"/>
        <v/>
      </c>
      <c r="I2085" s="150" t="str">
        <f t="shared" si="702"/>
        <v>TRATCSP</v>
      </c>
      <c r="J2085" s="150">
        <f t="shared" si="702"/>
        <v>0</v>
      </c>
      <c r="K2085" s="196"/>
      <c r="L2085" s="197"/>
      <c r="M2085" s="191">
        <f t="shared" si="703"/>
        <v>0</v>
      </c>
      <c r="N2085" s="150">
        <f t="shared" si="703"/>
        <v>0</v>
      </c>
      <c r="O2085" s="193">
        <f t="shared" si="703"/>
        <v>0</v>
      </c>
      <c r="P2085" s="162">
        <f t="shared" si="704"/>
        <v>0</v>
      </c>
      <c r="Q2085" s="162">
        <f t="shared" si="704"/>
        <v>0</v>
      </c>
      <c r="R2085" s="162">
        <f t="shared" si="704"/>
        <v>0</v>
      </c>
      <c r="S2085" s="162">
        <f t="shared" si="704"/>
        <v>0</v>
      </c>
      <c r="T2085" s="162">
        <f t="shared" si="704"/>
        <v>0</v>
      </c>
      <c r="U2085" s="162">
        <f t="shared" si="704"/>
        <v>0</v>
      </c>
      <c r="V2085" s="162">
        <f t="shared" si="704"/>
        <v>0</v>
      </c>
      <c r="W2085" s="162">
        <f t="shared" si="704"/>
        <v>0</v>
      </c>
      <c r="X2085" s="162">
        <f t="shared" si="704"/>
        <v>0</v>
      </c>
      <c r="Y2085" s="162">
        <f t="shared" si="704"/>
        <v>0</v>
      </c>
      <c r="Z2085" s="162">
        <f t="shared" si="704"/>
        <v>0</v>
      </c>
      <c r="AA2085" s="162">
        <f t="shared" si="704"/>
        <v>0</v>
      </c>
      <c r="AB2085" s="163">
        <f t="shared" si="705"/>
        <v>0</v>
      </c>
      <c r="AC2085" s="159"/>
      <c r="AE2085" s="194" t="str">
        <f>IF(J2085=0,"",VLOOKUP(J2085,#REF!,2,0)&amp;" - "&amp;J2085&amp;" ("&amp;F2085&amp;" - "&amp;G2085&amp;")")</f>
        <v/>
      </c>
      <c r="AF2085" s="161">
        <f t="shared" si="708"/>
        <v>0</v>
      </c>
      <c r="AG2085" s="162">
        <f t="shared" si="708"/>
        <v>0</v>
      </c>
      <c r="AH2085" s="162">
        <f t="shared" si="708"/>
        <v>0</v>
      </c>
      <c r="AI2085" s="162">
        <f t="shared" si="708"/>
        <v>0</v>
      </c>
      <c r="AJ2085" s="162">
        <f t="shared" si="708"/>
        <v>0</v>
      </c>
      <c r="AK2085" s="162">
        <f t="shared" si="708"/>
        <v>0</v>
      </c>
      <c r="AL2085" s="162">
        <f t="shared" si="708"/>
        <v>0</v>
      </c>
      <c r="AM2085" s="162">
        <f t="shared" si="708"/>
        <v>0</v>
      </c>
      <c r="AN2085" s="162">
        <f t="shared" si="708"/>
        <v>0</v>
      </c>
      <c r="AO2085" s="162">
        <f t="shared" si="708"/>
        <v>0</v>
      </c>
      <c r="AP2085" s="162">
        <f t="shared" si="708"/>
        <v>0</v>
      </c>
      <c r="AQ2085" s="162">
        <f t="shared" si="708"/>
        <v>0</v>
      </c>
      <c r="AR2085" s="163">
        <f t="shared" si="707"/>
        <v>0</v>
      </c>
      <c r="AT2085" s="208">
        <f>IFERROR(VLOOKUP(J2085,#REF!,10,0),0)</f>
        <v>0</v>
      </c>
    </row>
    <row r="2086" spans="1:46" hidden="1" outlineLevel="1" x14ac:dyDescent="0.25">
      <c r="A2086" s="14" t="str">
        <f t="shared" si="700"/>
        <v>PROP_OPER__7</v>
      </c>
      <c r="B2086" s="15" t="str">
        <f t="shared" si="701"/>
        <v>PROP_OPER__1022_0</v>
      </c>
      <c r="C2086" s="83"/>
      <c r="D2086" s="15">
        <v>1</v>
      </c>
      <c r="E2086" s="15">
        <v>7</v>
      </c>
      <c r="F2086" s="190">
        <f t="shared" si="702"/>
        <v>1022</v>
      </c>
      <c r="G2086" s="149" t="str">
        <f t="shared" si="702"/>
        <v/>
      </c>
      <c r="H2086" s="150" t="str">
        <f t="shared" si="702"/>
        <v/>
      </c>
      <c r="I2086" s="150" t="str">
        <f t="shared" si="702"/>
        <v>TRATCSP</v>
      </c>
      <c r="J2086" s="150">
        <f t="shared" si="702"/>
        <v>0</v>
      </c>
      <c r="K2086" s="196"/>
      <c r="L2086" s="197"/>
      <c r="M2086" s="191">
        <f t="shared" si="703"/>
        <v>0</v>
      </c>
      <c r="N2086" s="150">
        <f t="shared" si="703"/>
        <v>0</v>
      </c>
      <c r="O2086" s="193">
        <f t="shared" si="703"/>
        <v>0</v>
      </c>
      <c r="P2086" s="162">
        <f t="shared" si="704"/>
        <v>0</v>
      </c>
      <c r="Q2086" s="162">
        <f t="shared" si="704"/>
        <v>0</v>
      </c>
      <c r="R2086" s="162">
        <f t="shared" si="704"/>
        <v>0</v>
      </c>
      <c r="S2086" s="162">
        <f t="shared" si="704"/>
        <v>0</v>
      </c>
      <c r="T2086" s="162">
        <f t="shared" si="704"/>
        <v>0</v>
      </c>
      <c r="U2086" s="162">
        <f t="shared" si="704"/>
        <v>0</v>
      </c>
      <c r="V2086" s="162">
        <f t="shared" si="704"/>
        <v>0</v>
      </c>
      <c r="W2086" s="162">
        <f t="shared" si="704"/>
        <v>0</v>
      </c>
      <c r="X2086" s="162">
        <f t="shared" si="704"/>
        <v>0</v>
      </c>
      <c r="Y2086" s="162">
        <f t="shared" si="704"/>
        <v>0</v>
      </c>
      <c r="Z2086" s="162">
        <f t="shared" si="704"/>
        <v>0</v>
      </c>
      <c r="AA2086" s="162">
        <f t="shared" si="704"/>
        <v>0</v>
      </c>
      <c r="AB2086" s="163">
        <f t="shared" si="705"/>
        <v>0</v>
      </c>
      <c r="AC2086" s="159"/>
      <c r="AE2086" s="194" t="str">
        <f>IF(J2086=0,"",VLOOKUP(J2086,#REF!,2,0)&amp;" - "&amp;J2086&amp;" ("&amp;F2086&amp;" - "&amp;G2086&amp;")")</f>
        <v/>
      </c>
      <c r="AF2086" s="161">
        <f t="shared" si="708"/>
        <v>0</v>
      </c>
      <c r="AG2086" s="162">
        <f t="shared" si="708"/>
        <v>0</v>
      </c>
      <c r="AH2086" s="162">
        <f t="shared" si="708"/>
        <v>0</v>
      </c>
      <c r="AI2086" s="162">
        <f t="shared" si="708"/>
        <v>0</v>
      </c>
      <c r="AJ2086" s="162">
        <f t="shared" si="708"/>
        <v>0</v>
      </c>
      <c r="AK2086" s="162">
        <f t="shared" si="708"/>
        <v>0</v>
      </c>
      <c r="AL2086" s="162">
        <f t="shared" si="708"/>
        <v>0</v>
      </c>
      <c r="AM2086" s="162">
        <f t="shared" si="708"/>
        <v>0</v>
      </c>
      <c r="AN2086" s="162">
        <f t="shared" si="708"/>
        <v>0</v>
      </c>
      <c r="AO2086" s="162">
        <f t="shared" si="708"/>
        <v>0</v>
      </c>
      <c r="AP2086" s="162">
        <f t="shared" si="708"/>
        <v>0</v>
      </c>
      <c r="AQ2086" s="162">
        <f t="shared" si="708"/>
        <v>0</v>
      </c>
      <c r="AR2086" s="163">
        <f t="shared" si="707"/>
        <v>0</v>
      </c>
      <c r="AT2086" s="208">
        <f>IFERROR(VLOOKUP(J2086,#REF!,10,0),0)</f>
        <v>0</v>
      </c>
    </row>
    <row r="2087" spans="1:46" hidden="1" outlineLevel="1" x14ac:dyDescent="0.25">
      <c r="A2087" s="14" t="str">
        <f t="shared" si="700"/>
        <v>PROP_OPER__8</v>
      </c>
      <c r="B2087" s="15" t="str">
        <f t="shared" si="701"/>
        <v>PROP_OPER__1031_0</v>
      </c>
      <c r="C2087" s="83"/>
      <c r="D2087" s="15">
        <v>1</v>
      </c>
      <c r="E2087" s="15">
        <v>8</v>
      </c>
      <c r="F2087" s="190">
        <f t="shared" si="702"/>
        <v>1031</v>
      </c>
      <c r="G2087" s="149" t="str">
        <f t="shared" si="702"/>
        <v/>
      </c>
      <c r="H2087" s="150" t="str">
        <f t="shared" si="702"/>
        <v/>
      </c>
      <c r="I2087" s="150" t="str">
        <f t="shared" si="702"/>
        <v>TRATCSP</v>
      </c>
      <c r="J2087" s="150">
        <f t="shared" si="702"/>
        <v>0</v>
      </c>
      <c r="K2087" s="196"/>
      <c r="L2087" s="197"/>
      <c r="M2087" s="191">
        <f t="shared" si="703"/>
        <v>0</v>
      </c>
      <c r="N2087" s="150">
        <f t="shared" si="703"/>
        <v>0</v>
      </c>
      <c r="O2087" s="193">
        <f t="shared" si="703"/>
        <v>0</v>
      </c>
      <c r="P2087" s="162">
        <f t="shared" si="704"/>
        <v>0</v>
      </c>
      <c r="Q2087" s="162">
        <f t="shared" si="704"/>
        <v>0</v>
      </c>
      <c r="R2087" s="162">
        <f t="shared" si="704"/>
        <v>0</v>
      </c>
      <c r="S2087" s="162">
        <f t="shared" si="704"/>
        <v>0</v>
      </c>
      <c r="T2087" s="162">
        <f t="shared" si="704"/>
        <v>0</v>
      </c>
      <c r="U2087" s="162">
        <f t="shared" si="704"/>
        <v>0</v>
      </c>
      <c r="V2087" s="162">
        <f t="shared" si="704"/>
        <v>0</v>
      </c>
      <c r="W2087" s="162">
        <f t="shared" si="704"/>
        <v>0</v>
      </c>
      <c r="X2087" s="162">
        <f t="shared" si="704"/>
        <v>0</v>
      </c>
      <c r="Y2087" s="162">
        <f t="shared" si="704"/>
        <v>0</v>
      </c>
      <c r="Z2087" s="162">
        <f t="shared" si="704"/>
        <v>0</v>
      </c>
      <c r="AA2087" s="162">
        <f t="shared" si="704"/>
        <v>0</v>
      </c>
      <c r="AB2087" s="163">
        <f t="shared" si="705"/>
        <v>0</v>
      </c>
      <c r="AC2087" s="159"/>
      <c r="AE2087" s="194" t="str">
        <f>IF(J2087=0,"",VLOOKUP(J2087,#REF!,2,0)&amp;" - "&amp;J2087&amp;" ("&amp;F2087&amp;" - "&amp;G2087&amp;")")</f>
        <v/>
      </c>
      <c r="AF2087" s="161">
        <f t="shared" si="708"/>
        <v>0</v>
      </c>
      <c r="AG2087" s="162">
        <f t="shared" si="708"/>
        <v>0</v>
      </c>
      <c r="AH2087" s="162">
        <f t="shared" si="708"/>
        <v>0</v>
      </c>
      <c r="AI2087" s="162">
        <f t="shared" si="708"/>
        <v>0</v>
      </c>
      <c r="AJ2087" s="162">
        <f t="shared" si="708"/>
        <v>0</v>
      </c>
      <c r="AK2087" s="162">
        <f t="shared" si="708"/>
        <v>0</v>
      </c>
      <c r="AL2087" s="162">
        <f t="shared" si="708"/>
        <v>0</v>
      </c>
      <c r="AM2087" s="162">
        <f t="shared" si="708"/>
        <v>0</v>
      </c>
      <c r="AN2087" s="162">
        <f t="shared" si="708"/>
        <v>0</v>
      </c>
      <c r="AO2087" s="162">
        <f t="shared" si="708"/>
        <v>0</v>
      </c>
      <c r="AP2087" s="162">
        <f t="shared" si="708"/>
        <v>0</v>
      </c>
      <c r="AQ2087" s="162">
        <f t="shared" si="708"/>
        <v>0</v>
      </c>
      <c r="AR2087" s="163">
        <f t="shared" si="707"/>
        <v>0</v>
      </c>
      <c r="AT2087" s="208">
        <f>IFERROR(VLOOKUP(J2087,#REF!,10,0),0)</f>
        <v>0</v>
      </c>
    </row>
    <row r="2088" spans="1:46" hidden="1" outlineLevel="1" x14ac:dyDescent="0.25">
      <c r="A2088" s="14" t="str">
        <f t="shared" si="700"/>
        <v>PROP_OPER__9</v>
      </c>
      <c r="B2088" s="15" t="str">
        <f t="shared" si="701"/>
        <v>PROP_OPER__1078_0</v>
      </c>
      <c r="C2088" s="83"/>
      <c r="D2088" s="15">
        <v>1</v>
      </c>
      <c r="E2088" s="15">
        <v>9</v>
      </c>
      <c r="F2088" s="190">
        <f t="shared" si="702"/>
        <v>1078</v>
      </c>
      <c r="G2088" s="149" t="str">
        <f t="shared" si="702"/>
        <v/>
      </c>
      <c r="H2088" s="150" t="str">
        <f t="shared" si="702"/>
        <v/>
      </c>
      <c r="I2088" s="150" t="str">
        <f t="shared" si="702"/>
        <v>TRATCSP</v>
      </c>
      <c r="J2088" s="150">
        <f t="shared" si="702"/>
        <v>0</v>
      </c>
      <c r="K2088" s="196"/>
      <c r="L2088" s="197"/>
      <c r="M2088" s="191">
        <f t="shared" si="703"/>
        <v>0</v>
      </c>
      <c r="N2088" s="150">
        <f t="shared" si="703"/>
        <v>0</v>
      </c>
      <c r="O2088" s="193">
        <f t="shared" si="703"/>
        <v>0</v>
      </c>
      <c r="P2088" s="162">
        <f t="shared" si="704"/>
        <v>0</v>
      </c>
      <c r="Q2088" s="162">
        <f t="shared" si="704"/>
        <v>0</v>
      </c>
      <c r="R2088" s="162">
        <f t="shared" si="704"/>
        <v>0</v>
      </c>
      <c r="S2088" s="162">
        <f t="shared" si="704"/>
        <v>0</v>
      </c>
      <c r="T2088" s="162">
        <f t="shared" si="704"/>
        <v>0</v>
      </c>
      <c r="U2088" s="162">
        <f t="shared" si="704"/>
        <v>0</v>
      </c>
      <c r="V2088" s="162">
        <f t="shared" si="704"/>
        <v>0</v>
      </c>
      <c r="W2088" s="162">
        <f t="shared" si="704"/>
        <v>0</v>
      </c>
      <c r="X2088" s="162">
        <f t="shared" si="704"/>
        <v>0</v>
      </c>
      <c r="Y2088" s="162">
        <f t="shared" si="704"/>
        <v>0</v>
      </c>
      <c r="Z2088" s="162">
        <f t="shared" si="704"/>
        <v>0</v>
      </c>
      <c r="AA2088" s="162">
        <f t="shared" si="704"/>
        <v>0</v>
      </c>
      <c r="AB2088" s="163">
        <f t="shared" si="705"/>
        <v>0</v>
      </c>
      <c r="AC2088" s="159"/>
      <c r="AE2088" s="194" t="str">
        <f>IF(J2088=0,"",VLOOKUP(J2088,#REF!,2,0)&amp;" - "&amp;J2088&amp;" ("&amp;F2088&amp;" - "&amp;G2088&amp;")")</f>
        <v/>
      </c>
      <c r="AF2088" s="161">
        <f t="shared" si="708"/>
        <v>0</v>
      </c>
      <c r="AG2088" s="162">
        <f t="shared" si="708"/>
        <v>0</v>
      </c>
      <c r="AH2088" s="162">
        <f t="shared" si="708"/>
        <v>0</v>
      </c>
      <c r="AI2088" s="162">
        <f t="shared" si="708"/>
        <v>0</v>
      </c>
      <c r="AJ2088" s="162">
        <f t="shared" si="708"/>
        <v>0</v>
      </c>
      <c r="AK2088" s="162">
        <f t="shared" si="708"/>
        <v>0</v>
      </c>
      <c r="AL2088" s="162">
        <f t="shared" si="708"/>
        <v>0</v>
      </c>
      <c r="AM2088" s="162">
        <f t="shared" si="708"/>
        <v>0</v>
      </c>
      <c r="AN2088" s="162">
        <f t="shared" si="708"/>
        <v>0</v>
      </c>
      <c r="AO2088" s="162">
        <f t="shared" si="708"/>
        <v>0</v>
      </c>
      <c r="AP2088" s="162">
        <f t="shared" si="708"/>
        <v>0</v>
      </c>
      <c r="AQ2088" s="162">
        <f t="shared" si="708"/>
        <v>0</v>
      </c>
      <c r="AR2088" s="163">
        <f t="shared" si="707"/>
        <v>0</v>
      </c>
      <c r="AT2088" s="208">
        <f>IFERROR(VLOOKUP(J2088,#REF!,10,0),0)</f>
        <v>0</v>
      </c>
    </row>
    <row r="2089" spans="1:46" hidden="1" outlineLevel="1" x14ac:dyDescent="0.25">
      <c r="A2089" s="14" t="str">
        <f t="shared" si="700"/>
        <v>PROP_OPER__10</v>
      </c>
      <c r="B2089" s="15" t="str">
        <f t="shared" si="701"/>
        <v>PROP_OPER__1090_0</v>
      </c>
      <c r="C2089" s="83"/>
      <c r="D2089" s="15">
        <v>1</v>
      </c>
      <c r="E2089" s="15">
        <v>10</v>
      </c>
      <c r="F2089" s="190">
        <f t="shared" si="702"/>
        <v>1090</v>
      </c>
      <c r="G2089" s="149" t="str">
        <f t="shared" si="702"/>
        <v/>
      </c>
      <c r="H2089" s="150" t="str">
        <f t="shared" si="702"/>
        <v/>
      </c>
      <c r="I2089" s="150" t="str">
        <f t="shared" si="702"/>
        <v>TRATCSP</v>
      </c>
      <c r="J2089" s="150">
        <f t="shared" si="702"/>
        <v>0</v>
      </c>
      <c r="K2089" s="196"/>
      <c r="L2089" s="197"/>
      <c r="M2089" s="191">
        <f t="shared" si="703"/>
        <v>0</v>
      </c>
      <c r="N2089" s="150">
        <f t="shared" si="703"/>
        <v>0</v>
      </c>
      <c r="O2089" s="193">
        <f t="shared" si="703"/>
        <v>0</v>
      </c>
      <c r="P2089" s="162">
        <f t="shared" si="704"/>
        <v>0</v>
      </c>
      <c r="Q2089" s="162">
        <f t="shared" si="704"/>
        <v>0</v>
      </c>
      <c r="R2089" s="162">
        <f t="shared" si="704"/>
        <v>0</v>
      </c>
      <c r="S2089" s="162">
        <f t="shared" si="704"/>
        <v>0</v>
      </c>
      <c r="T2089" s="162">
        <f t="shared" si="704"/>
        <v>0</v>
      </c>
      <c r="U2089" s="162">
        <f t="shared" si="704"/>
        <v>0</v>
      </c>
      <c r="V2089" s="162">
        <f t="shared" si="704"/>
        <v>0</v>
      </c>
      <c r="W2089" s="162">
        <f t="shared" si="704"/>
        <v>0</v>
      </c>
      <c r="X2089" s="162">
        <f t="shared" si="704"/>
        <v>0</v>
      </c>
      <c r="Y2089" s="162">
        <f t="shared" si="704"/>
        <v>0</v>
      </c>
      <c r="Z2089" s="162">
        <f t="shared" si="704"/>
        <v>0</v>
      </c>
      <c r="AA2089" s="162">
        <f t="shared" si="704"/>
        <v>0</v>
      </c>
      <c r="AB2089" s="163">
        <f t="shared" si="705"/>
        <v>0</v>
      </c>
      <c r="AC2089" s="159"/>
      <c r="AE2089" s="194" t="str">
        <f>IF(J2089=0,"",VLOOKUP(J2089,#REF!,2,0)&amp;" - "&amp;J2089&amp;" ("&amp;F2089&amp;" - "&amp;G2089&amp;")")</f>
        <v/>
      </c>
      <c r="AF2089" s="161">
        <f t="shared" si="708"/>
        <v>0</v>
      </c>
      <c r="AG2089" s="162">
        <f t="shared" si="708"/>
        <v>0</v>
      </c>
      <c r="AH2089" s="162">
        <f t="shared" si="708"/>
        <v>0</v>
      </c>
      <c r="AI2089" s="162">
        <f t="shared" si="708"/>
        <v>0</v>
      </c>
      <c r="AJ2089" s="162">
        <f t="shared" si="708"/>
        <v>0</v>
      </c>
      <c r="AK2089" s="162">
        <f t="shared" si="708"/>
        <v>0</v>
      </c>
      <c r="AL2089" s="162">
        <f t="shared" si="708"/>
        <v>0</v>
      </c>
      <c r="AM2089" s="162">
        <f t="shared" si="708"/>
        <v>0</v>
      </c>
      <c r="AN2089" s="162">
        <f t="shared" si="708"/>
        <v>0</v>
      </c>
      <c r="AO2089" s="162">
        <f t="shared" si="708"/>
        <v>0</v>
      </c>
      <c r="AP2089" s="162">
        <f t="shared" si="708"/>
        <v>0</v>
      </c>
      <c r="AQ2089" s="162">
        <f t="shared" si="708"/>
        <v>0</v>
      </c>
      <c r="AR2089" s="163">
        <f t="shared" si="707"/>
        <v>0</v>
      </c>
      <c r="AT2089" s="208">
        <f>IFERROR(VLOOKUP(J2089,#REF!,10,0),0)</f>
        <v>0</v>
      </c>
    </row>
    <row r="2090" spans="1:46" hidden="1" outlineLevel="1" x14ac:dyDescent="0.25">
      <c r="A2090" s="14" t="str">
        <f t="shared" si="700"/>
        <v>PROP_OPER__11</v>
      </c>
      <c r="B2090" s="15" t="str">
        <f t="shared" si="701"/>
        <v>PROP_OPER__1091_0</v>
      </c>
      <c r="C2090" s="83"/>
      <c r="D2090" s="15">
        <v>1</v>
      </c>
      <c r="E2090" s="15">
        <v>11</v>
      </c>
      <c r="F2090" s="190">
        <f t="shared" si="702"/>
        <v>1091</v>
      </c>
      <c r="G2090" s="149" t="str">
        <f t="shared" si="702"/>
        <v/>
      </c>
      <c r="H2090" s="150" t="str">
        <f t="shared" si="702"/>
        <v/>
      </c>
      <c r="I2090" s="150" t="str">
        <f t="shared" si="702"/>
        <v>TRATCSP</v>
      </c>
      <c r="J2090" s="150">
        <f t="shared" si="702"/>
        <v>0</v>
      </c>
      <c r="K2090" s="196"/>
      <c r="L2090" s="197"/>
      <c r="M2090" s="191">
        <f t="shared" si="703"/>
        <v>0</v>
      </c>
      <c r="N2090" s="150">
        <f t="shared" si="703"/>
        <v>0</v>
      </c>
      <c r="O2090" s="193">
        <f t="shared" si="703"/>
        <v>0</v>
      </c>
      <c r="P2090" s="162">
        <f t="shared" si="704"/>
        <v>0</v>
      </c>
      <c r="Q2090" s="162">
        <f t="shared" si="704"/>
        <v>0</v>
      </c>
      <c r="R2090" s="162">
        <f t="shared" si="704"/>
        <v>0</v>
      </c>
      <c r="S2090" s="162">
        <f t="shared" si="704"/>
        <v>0</v>
      </c>
      <c r="T2090" s="162">
        <f t="shared" si="704"/>
        <v>0</v>
      </c>
      <c r="U2090" s="162">
        <f t="shared" si="704"/>
        <v>0</v>
      </c>
      <c r="V2090" s="162">
        <f t="shared" si="704"/>
        <v>0</v>
      </c>
      <c r="W2090" s="162">
        <f t="shared" si="704"/>
        <v>0</v>
      </c>
      <c r="X2090" s="162">
        <f t="shared" si="704"/>
        <v>0</v>
      </c>
      <c r="Y2090" s="162">
        <f t="shared" si="704"/>
        <v>0</v>
      </c>
      <c r="Z2090" s="162">
        <f t="shared" si="704"/>
        <v>0</v>
      </c>
      <c r="AA2090" s="162">
        <f t="shared" si="704"/>
        <v>0</v>
      </c>
      <c r="AB2090" s="163">
        <f t="shared" si="705"/>
        <v>0</v>
      </c>
      <c r="AC2090" s="198"/>
      <c r="AE2090" s="194" t="str">
        <f>IF(J2090=0,"",VLOOKUP(J2090,#REF!,2,0)&amp;" - "&amp;J2090&amp;" ("&amp;F2090&amp;" - "&amp;G2090&amp;")")</f>
        <v/>
      </c>
      <c r="AF2090" s="161">
        <f t="shared" si="708"/>
        <v>0</v>
      </c>
      <c r="AG2090" s="162">
        <f t="shared" si="708"/>
        <v>0</v>
      </c>
      <c r="AH2090" s="162">
        <f t="shared" si="708"/>
        <v>0</v>
      </c>
      <c r="AI2090" s="162">
        <f t="shared" si="708"/>
        <v>0</v>
      </c>
      <c r="AJ2090" s="162">
        <f t="shared" si="708"/>
        <v>0</v>
      </c>
      <c r="AK2090" s="162">
        <f t="shared" si="708"/>
        <v>0</v>
      </c>
      <c r="AL2090" s="162">
        <f t="shared" si="708"/>
        <v>0</v>
      </c>
      <c r="AM2090" s="162">
        <f t="shared" si="708"/>
        <v>0</v>
      </c>
      <c r="AN2090" s="162">
        <f t="shared" si="708"/>
        <v>0</v>
      </c>
      <c r="AO2090" s="162">
        <f t="shared" si="708"/>
        <v>0</v>
      </c>
      <c r="AP2090" s="162">
        <f t="shared" si="708"/>
        <v>0</v>
      </c>
      <c r="AQ2090" s="162">
        <f t="shared" si="708"/>
        <v>0</v>
      </c>
      <c r="AR2090" s="163">
        <f t="shared" si="707"/>
        <v>0</v>
      </c>
      <c r="AT2090" s="208">
        <f>IFERROR(VLOOKUP(J2090,#REF!,10,0),0)</f>
        <v>0</v>
      </c>
    </row>
    <row r="2091" spans="1:46" hidden="1" outlineLevel="1" x14ac:dyDescent="0.25">
      <c r="A2091" s="14" t="str">
        <f t="shared" si="700"/>
        <v>PROP_OPER__12</v>
      </c>
      <c r="B2091" s="15" t="str">
        <f t="shared" si="701"/>
        <v>PROP_OPER__1093_0</v>
      </c>
      <c r="C2091" s="83"/>
      <c r="D2091" s="15">
        <v>1</v>
      </c>
      <c r="E2091" s="15">
        <v>12</v>
      </c>
      <c r="F2091" s="190">
        <f t="shared" si="702"/>
        <v>1093</v>
      </c>
      <c r="G2091" s="149" t="str">
        <f t="shared" si="702"/>
        <v/>
      </c>
      <c r="H2091" s="150" t="str">
        <f t="shared" si="702"/>
        <v/>
      </c>
      <c r="I2091" s="150" t="str">
        <f t="shared" si="702"/>
        <v>TRATCSP</v>
      </c>
      <c r="J2091" s="150">
        <f t="shared" si="702"/>
        <v>0</v>
      </c>
      <c r="K2091" s="196"/>
      <c r="L2091" s="197"/>
      <c r="M2091" s="191">
        <f t="shared" si="703"/>
        <v>0</v>
      </c>
      <c r="N2091" s="150">
        <f t="shared" si="703"/>
        <v>0</v>
      </c>
      <c r="O2091" s="193">
        <f t="shared" si="703"/>
        <v>0</v>
      </c>
      <c r="P2091" s="162">
        <f t="shared" si="704"/>
        <v>0</v>
      </c>
      <c r="Q2091" s="162">
        <f t="shared" si="704"/>
        <v>0</v>
      </c>
      <c r="R2091" s="162">
        <f t="shared" si="704"/>
        <v>0</v>
      </c>
      <c r="S2091" s="162">
        <f t="shared" si="704"/>
        <v>0</v>
      </c>
      <c r="T2091" s="162">
        <f t="shared" si="704"/>
        <v>0</v>
      </c>
      <c r="U2091" s="162">
        <f t="shared" si="704"/>
        <v>0</v>
      </c>
      <c r="V2091" s="162">
        <f t="shared" si="704"/>
        <v>0</v>
      </c>
      <c r="W2091" s="162">
        <f t="shared" si="704"/>
        <v>0</v>
      </c>
      <c r="X2091" s="162">
        <f t="shared" si="704"/>
        <v>0</v>
      </c>
      <c r="Y2091" s="162">
        <f t="shared" si="704"/>
        <v>0</v>
      </c>
      <c r="Z2091" s="162">
        <f t="shared" si="704"/>
        <v>0</v>
      </c>
      <c r="AA2091" s="162">
        <f t="shared" si="704"/>
        <v>0</v>
      </c>
      <c r="AB2091" s="163">
        <f t="shared" si="705"/>
        <v>0</v>
      </c>
      <c r="AC2091" s="198"/>
      <c r="AE2091" s="194" t="str">
        <f>IF(J2091=0,"",VLOOKUP(J2091,#REF!,2,0)&amp;" - "&amp;J2091&amp;" ("&amp;F2091&amp;" - "&amp;G2091&amp;")")</f>
        <v/>
      </c>
      <c r="AF2091" s="161">
        <f t="shared" si="708"/>
        <v>0</v>
      </c>
      <c r="AG2091" s="162">
        <f t="shared" si="708"/>
        <v>0</v>
      </c>
      <c r="AH2091" s="162">
        <f t="shared" si="708"/>
        <v>0</v>
      </c>
      <c r="AI2091" s="162">
        <f t="shared" si="708"/>
        <v>0</v>
      </c>
      <c r="AJ2091" s="162">
        <f t="shared" si="708"/>
        <v>0</v>
      </c>
      <c r="AK2091" s="162">
        <f t="shared" si="708"/>
        <v>0</v>
      </c>
      <c r="AL2091" s="162">
        <f t="shared" si="708"/>
        <v>0</v>
      </c>
      <c r="AM2091" s="162">
        <f t="shared" si="708"/>
        <v>0</v>
      </c>
      <c r="AN2091" s="162">
        <f t="shared" si="708"/>
        <v>0</v>
      </c>
      <c r="AO2091" s="162">
        <f t="shared" si="708"/>
        <v>0</v>
      </c>
      <c r="AP2091" s="162">
        <f t="shared" si="708"/>
        <v>0</v>
      </c>
      <c r="AQ2091" s="162">
        <f t="shared" si="708"/>
        <v>0</v>
      </c>
      <c r="AR2091" s="163">
        <f t="shared" si="707"/>
        <v>0</v>
      </c>
      <c r="AT2091" s="208">
        <f>IFERROR(VLOOKUP(J2091,#REF!,10,0),0)</f>
        <v>0</v>
      </c>
    </row>
    <row r="2092" spans="1:46" hidden="1" outlineLevel="1" x14ac:dyDescent="0.25">
      <c r="A2092" s="14" t="str">
        <f t="shared" si="700"/>
        <v>PROP_OPER__13</v>
      </c>
      <c r="B2092" s="15" t="str">
        <f t="shared" si="701"/>
        <v>PROP_OPER__903_0</v>
      </c>
      <c r="C2092" s="83"/>
      <c r="D2092" s="15">
        <v>1</v>
      </c>
      <c r="E2092" s="15">
        <v>13</v>
      </c>
      <c r="F2092" s="190">
        <f t="shared" si="702"/>
        <v>903</v>
      </c>
      <c r="G2092" s="149" t="str">
        <f t="shared" si="702"/>
        <v/>
      </c>
      <c r="H2092" s="150" t="str">
        <f t="shared" si="702"/>
        <v/>
      </c>
      <c r="I2092" s="150" t="str">
        <f t="shared" si="702"/>
        <v>TRATCSFS</v>
      </c>
      <c r="J2092" s="150">
        <f t="shared" si="702"/>
        <v>0</v>
      </c>
      <c r="K2092" s="196"/>
      <c r="L2092" s="197"/>
      <c r="M2092" s="191">
        <f t="shared" si="703"/>
        <v>0</v>
      </c>
      <c r="N2092" s="150">
        <f t="shared" si="703"/>
        <v>0</v>
      </c>
      <c r="O2092" s="193">
        <f t="shared" si="703"/>
        <v>0</v>
      </c>
      <c r="P2092" s="162">
        <f t="shared" si="704"/>
        <v>0</v>
      </c>
      <c r="Q2092" s="162">
        <f t="shared" si="704"/>
        <v>0</v>
      </c>
      <c r="R2092" s="162">
        <f t="shared" si="704"/>
        <v>0</v>
      </c>
      <c r="S2092" s="162">
        <f t="shared" si="704"/>
        <v>0</v>
      </c>
      <c r="T2092" s="162">
        <f t="shared" si="704"/>
        <v>0</v>
      </c>
      <c r="U2092" s="162">
        <f t="shared" si="704"/>
        <v>0</v>
      </c>
      <c r="V2092" s="162">
        <f t="shared" si="704"/>
        <v>0</v>
      </c>
      <c r="W2092" s="162">
        <f t="shared" si="704"/>
        <v>0</v>
      </c>
      <c r="X2092" s="162">
        <f t="shared" si="704"/>
        <v>0</v>
      </c>
      <c r="Y2092" s="162">
        <f t="shared" si="704"/>
        <v>0</v>
      </c>
      <c r="Z2092" s="162">
        <f t="shared" si="704"/>
        <v>0</v>
      </c>
      <c r="AA2092" s="162">
        <f t="shared" si="704"/>
        <v>0</v>
      </c>
      <c r="AB2092" s="163">
        <f t="shared" si="705"/>
        <v>0</v>
      </c>
      <c r="AC2092" s="198"/>
      <c r="AE2092" s="194" t="str">
        <f>IF(J2092=0,"",VLOOKUP(J2092,#REF!,2,0)&amp;" - "&amp;J2092&amp;" ("&amp;F2092&amp;" - "&amp;G2092&amp;")")</f>
        <v/>
      </c>
      <c r="AF2092" s="161">
        <f t="shared" si="708"/>
        <v>0</v>
      </c>
      <c r="AG2092" s="162">
        <f t="shared" si="708"/>
        <v>0</v>
      </c>
      <c r="AH2092" s="162">
        <f t="shared" si="708"/>
        <v>0</v>
      </c>
      <c r="AI2092" s="162">
        <f t="shared" si="708"/>
        <v>0</v>
      </c>
      <c r="AJ2092" s="162">
        <f t="shared" si="708"/>
        <v>0</v>
      </c>
      <c r="AK2092" s="162">
        <f t="shared" si="708"/>
        <v>0</v>
      </c>
      <c r="AL2092" s="162">
        <f t="shared" si="708"/>
        <v>0</v>
      </c>
      <c r="AM2092" s="162">
        <f t="shared" si="708"/>
        <v>0</v>
      </c>
      <c r="AN2092" s="162">
        <f t="shared" si="708"/>
        <v>0</v>
      </c>
      <c r="AO2092" s="162">
        <f t="shared" si="708"/>
        <v>0</v>
      </c>
      <c r="AP2092" s="162">
        <f t="shared" si="708"/>
        <v>0</v>
      </c>
      <c r="AQ2092" s="162">
        <f t="shared" si="708"/>
        <v>0</v>
      </c>
      <c r="AR2092" s="163">
        <f t="shared" si="707"/>
        <v>0</v>
      </c>
      <c r="AT2092" s="208">
        <f>IFERROR(VLOOKUP(J2092,#REF!,10,0),0)</f>
        <v>0</v>
      </c>
    </row>
    <row r="2093" spans="1:46" hidden="1" outlineLevel="1" x14ac:dyDescent="0.25">
      <c r="A2093" s="14" t="str">
        <f t="shared" si="700"/>
        <v>PROP_OPER__14</v>
      </c>
      <c r="B2093" s="15" t="str">
        <f t="shared" si="701"/>
        <v>PROP_OPER__1022_0</v>
      </c>
      <c r="C2093" s="83"/>
      <c r="D2093" s="15">
        <v>1</v>
      </c>
      <c r="E2093" s="15">
        <v>14</v>
      </c>
      <c r="F2093" s="190">
        <f t="shared" si="702"/>
        <v>1022</v>
      </c>
      <c r="G2093" s="149" t="str">
        <f t="shared" si="702"/>
        <v/>
      </c>
      <c r="H2093" s="150" t="str">
        <f t="shared" si="702"/>
        <v/>
      </c>
      <c r="I2093" s="150" t="str">
        <f t="shared" si="702"/>
        <v>TRATCSF</v>
      </c>
      <c r="J2093" s="150">
        <f t="shared" si="702"/>
        <v>0</v>
      </c>
      <c r="K2093" s="196"/>
      <c r="L2093" s="197"/>
      <c r="M2093" s="191">
        <f t="shared" si="703"/>
        <v>0</v>
      </c>
      <c r="N2093" s="150">
        <f t="shared" si="703"/>
        <v>0</v>
      </c>
      <c r="O2093" s="193">
        <f t="shared" si="703"/>
        <v>0</v>
      </c>
      <c r="P2093" s="162">
        <f t="shared" si="704"/>
        <v>0</v>
      </c>
      <c r="Q2093" s="162">
        <f t="shared" si="704"/>
        <v>0</v>
      </c>
      <c r="R2093" s="162">
        <f t="shared" si="704"/>
        <v>0</v>
      </c>
      <c r="S2093" s="162">
        <f t="shared" si="704"/>
        <v>0</v>
      </c>
      <c r="T2093" s="162">
        <f t="shared" si="704"/>
        <v>0</v>
      </c>
      <c r="U2093" s="162">
        <f t="shared" si="704"/>
        <v>0</v>
      </c>
      <c r="V2093" s="162">
        <f t="shared" si="704"/>
        <v>0</v>
      </c>
      <c r="W2093" s="162">
        <f t="shared" si="704"/>
        <v>0</v>
      </c>
      <c r="X2093" s="162">
        <f t="shared" si="704"/>
        <v>0</v>
      </c>
      <c r="Y2093" s="162">
        <f t="shared" si="704"/>
        <v>0</v>
      </c>
      <c r="Z2093" s="162">
        <f t="shared" si="704"/>
        <v>0</v>
      </c>
      <c r="AA2093" s="162">
        <f t="shared" si="704"/>
        <v>0</v>
      </c>
      <c r="AB2093" s="163">
        <f t="shared" si="705"/>
        <v>0</v>
      </c>
      <c r="AC2093" s="198"/>
      <c r="AE2093" s="194" t="str">
        <f>IF(J2093=0,"",VLOOKUP(J2093,#REF!,2,0)&amp;" - "&amp;J2093&amp;" ("&amp;F2093&amp;" - "&amp;G2093&amp;")")</f>
        <v/>
      </c>
      <c r="AF2093" s="161">
        <f t="shared" si="708"/>
        <v>0</v>
      </c>
      <c r="AG2093" s="162">
        <f t="shared" si="708"/>
        <v>0</v>
      </c>
      <c r="AH2093" s="162">
        <f t="shared" si="708"/>
        <v>0</v>
      </c>
      <c r="AI2093" s="162">
        <f t="shared" si="708"/>
        <v>0</v>
      </c>
      <c r="AJ2093" s="162">
        <f t="shared" si="708"/>
        <v>0</v>
      </c>
      <c r="AK2093" s="162">
        <f t="shared" si="708"/>
        <v>0</v>
      </c>
      <c r="AL2093" s="162">
        <f t="shared" si="708"/>
        <v>0</v>
      </c>
      <c r="AM2093" s="162">
        <f t="shared" si="708"/>
        <v>0</v>
      </c>
      <c r="AN2093" s="162">
        <f t="shared" si="708"/>
        <v>0</v>
      </c>
      <c r="AO2093" s="162">
        <f t="shared" si="708"/>
        <v>0</v>
      </c>
      <c r="AP2093" s="162">
        <f t="shared" si="708"/>
        <v>0</v>
      </c>
      <c r="AQ2093" s="162">
        <f t="shared" si="708"/>
        <v>0</v>
      </c>
      <c r="AR2093" s="163">
        <f t="shared" si="707"/>
        <v>0</v>
      </c>
      <c r="AT2093" s="208">
        <f>IFERROR(VLOOKUP(J2093,#REF!,10,0),0)</f>
        <v>0</v>
      </c>
    </row>
    <row r="2094" spans="1:46" hidden="1" outlineLevel="1" x14ac:dyDescent="0.25">
      <c r="A2094" s="14" t="str">
        <f t="shared" si="700"/>
        <v>PROP_OPER__15</v>
      </c>
      <c r="B2094" s="15" t="str">
        <f t="shared" si="701"/>
        <v>PROP_OPER__1031_0</v>
      </c>
      <c r="C2094" s="83"/>
      <c r="D2094" s="15">
        <v>1</v>
      </c>
      <c r="E2094" s="15">
        <v>15</v>
      </c>
      <c r="F2094" s="190">
        <f t="shared" si="702"/>
        <v>1031</v>
      </c>
      <c r="G2094" s="149" t="str">
        <f t="shared" si="702"/>
        <v/>
      </c>
      <c r="H2094" s="150" t="str">
        <f t="shared" si="702"/>
        <v/>
      </c>
      <c r="I2094" s="150" t="str">
        <f t="shared" si="702"/>
        <v>TRATCSF</v>
      </c>
      <c r="J2094" s="150">
        <f t="shared" si="702"/>
        <v>0</v>
      </c>
      <c r="K2094" s="196"/>
      <c r="L2094" s="197"/>
      <c r="M2094" s="191">
        <f t="shared" si="703"/>
        <v>0</v>
      </c>
      <c r="N2094" s="150">
        <f t="shared" si="703"/>
        <v>0</v>
      </c>
      <c r="O2094" s="193">
        <f t="shared" si="703"/>
        <v>0</v>
      </c>
      <c r="P2094" s="162">
        <f t="shared" si="704"/>
        <v>0</v>
      </c>
      <c r="Q2094" s="162">
        <f t="shared" si="704"/>
        <v>0</v>
      </c>
      <c r="R2094" s="162">
        <f t="shared" si="704"/>
        <v>0</v>
      </c>
      <c r="S2094" s="162">
        <f t="shared" si="704"/>
        <v>0</v>
      </c>
      <c r="T2094" s="162">
        <f t="shared" si="704"/>
        <v>0</v>
      </c>
      <c r="U2094" s="162">
        <f t="shared" si="704"/>
        <v>0</v>
      </c>
      <c r="V2094" s="162">
        <f t="shared" si="704"/>
        <v>0</v>
      </c>
      <c r="W2094" s="162">
        <f t="shared" si="704"/>
        <v>0</v>
      </c>
      <c r="X2094" s="162">
        <f t="shared" si="704"/>
        <v>0</v>
      </c>
      <c r="Y2094" s="162">
        <f t="shared" si="704"/>
        <v>0</v>
      </c>
      <c r="Z2094" s="162">
        <f t="shared" si="704"/>
        <v>0</v>
      </c>
      <c r="AA2094" s="162">
        <f t="shared" si="704"/>
        <v>0</v>
      </c>
      <c r="AB2094" s="163">
        <f t="shared" si="705"/>
        <v>0</v>
      </c>
      <c r="AC2094" s="198"/>
      <c r="AE2094" s="194" t="str">
        <f>IF(J2094=0,"",VLOOKUP(J2094,#REF!,2,0)&amp;" - "&amp;J2094&amp;" ("&amp;F2094&amp;" - "&amp;G2094&amp;")")</f>
        <v/>
      </c>
      <c r="AF2094" s="161">
        <f t="shared" si="708"/>
        <v>0</v>
      </c>
      <c r="AG2094" s="162">
        <f t="shared" si="708"/>
        <v>0</v>
      </c>
      <c r="AH2094" s="162">
        <f t="shared" si="708"/>
        <v>0</v>
      </c>
      <c r="AI2094" s="162">
        <f t="shared" si="708"/>
        <v>0</v>
      </c>
      <c r="AJ2094" s="162">
        <f t="shared" si="708"/>
        <v>0</v>
      </c>
      <c r="AK2094" s="162">
        <f t="shared" si="708"/>
        <v>0</v>
      </c>
      <c r="AL2094" s="162">
        <f t="shared" si="708"/>
        <v>0</v>
      </c>
      <c r="AM2094" s="162">
        <f t="shared" si="708"/>
        <v>0</v>
      </c>
      <c r="AN2094" s="162">
        <f t="shared" si="708"/>
        <v>0</v>
      </c>
      <c r="AO2094" s="162">
        <f t="shared" si="708"/>
        <v>0</v>
      </c>
      <c r="AP2094" s="162">
        <f t="shared" si="708"/>
        <v>0</v>
      </c>
      <c r="AQ2094" s="162">
        <f t="shared" si="708"/>
        <v>0</v>
      </c>
      <c r="AR2094" s="163">
        <f t="shared" si="707"/>
        <v>0</v>
      </c>
      <c r="AT2094" s="208">
        <f>IFERROR(VLOOKUP(J2094,#REF!,10,0),0)</f>
        <v>0</v>
      </c>
    </row>
    <row r="2095" spans="1:46" hidden="1" outlineLevel="1" x14ac:dyDescent="0.25">
      <c r="A2095" s="14" t="str">
        <f t="shared" si="700"/>
        <v>PROP_OPER__16</v>
      </c>
      <c r="B2095" s="15" t="str">
        <f t="shared" si="701"/>
        <v>PROP_OPER__1033_0</v>
      </c>
      <c r="C2095" s="83"/>
      <c r="D2095" s="15">
        <v>1</v>
      </c>
      <c r="E2095" s="15">
        <v>16</v>
      </c>
      <c r="F2095" s="190">
        <f t="shared" si="702"/>
        <v>1033</v>
      </c>
      <c r="G2095" s="149" t="str">
        <f t="shared" si="702"/>
        <v/>
      </c>
      <c r="H2095" s="150" t="str">
        <f t="shared" si="702"/>
        <v/>
      </c>
      <c r="I2095" s="150" t="str">
        <f t="shared" si="702"/>
        <v>TRATCSP</v>
      </c>
      <c r="J2095" s="150">
        <f t="shared" si="702"/>
        <v>0</v>
      </c>
      <c r="K2095" s="196"/>
      <c r="L2095" s="197"/>
      <c r="M2095" s="191">
        <f t="shared" si="703"/>
        <v>0</v>
      </c>
      <c r="N2095" s="150">
        <f t="shared" si="703"/>
        <v>0</v>
      </c>
      <c r="O2095" s="193">
        <f t="shared" si="703"/>
        <v>0</v>
      </c>
      <c r="P2095" s="162">
        <f t="shared" si="704"/>
        <v>0</v>
      </c>
      <c r="Q2095" s="162">
        <f t="shared" si="704"/>
        <v>0</v>
      </c>
      <c r="R2095" s="162">
        <f t="shared" si="704"/>
        <v>0</v>
      </c>
      <c r="S2095" s="162">
        <f t="shared" si="704"/>
        <v>0</v>
      </c>
      <c r="T2095" s="162">
        <f t="shared" si="704"/>
        <v>0</v>
      </c>
      <c r="U2095" s="162">
        <f t="shared" si="704"/>
        <v>0</v>
      </c>
      <c r="V2095" s="162">
        <f t="shared" si="704"/>
        <v>0</v>
      </c>
      <c r="W2095" s="162">
        <f t="shared" si="704"/>
        <v>0</v>
      </c>
      <c r="X2095" s="162">
        <f t="shared" si="704"/>
        <v>0</v>
      </c>
      <c r="Y2095" s="162">
        <f t="shared" si="704"/>
        <v>0</v>
      </c>
      <c r="Z2095" s="162">
        <f t="shared" si="704"/>
        <v>0</v>
      </c>
      <c r="AA2095" s="162">
        <f t="shared" si="704"/>
        <v>0</v>
      </c>
      <c r="AB2095" s="163">
        <f t="shared" si="705"/>
        <v>0</v>
      </c>
      <c r="AC2095" s="198"/>
      <c r="AE2095" s="194" t="str">
        <f>IF(J2095=0,"",VLOOKUP(J2095,#REF!,2,0)&amp;" - "&amp;J2095&amp;" ("&amp;F2095&amp;" - "&amp;G2095&amp;")")</f>
        <v/>
      </c>
      <c r="AF2095" s="161">
        <f t="shared" si="708"/>
        <v>0</v>
      </c>
      <c r="AG2095" s="162">
        <f t="shared" si="708"/>
        <v>0</v>
      </c>
      <c r="AH2095" s="162">
        <f t="shared" si="708"/>
        <v>0</v>
      </c>
      <c r="AI2095" s="162">
        <f t="shared" si="708"/>
        <v>0</v>
      </c>
      <c r="AJ2095" s="162">
        <f t="shared" si="708"/>
        <v>0</v>
      </c>
      <c r="AK2095" s="162">
        <f t="shared" si="708"/>
        <v>0</v>
      </c>
      <c r="AL2095" s="162">
        <f t="shared" si="708"/>
        <v>0</v>
      </c>
      <c r="AM2095" s="162">
        <f t="shared" si="708"/>
        <v>0</v>
      </c>
      <c r="AN2095" s="162">
        <f t="shared" si="708"/>
        <v>0</v>
      </c>
      <c r="AO2095" s="162">
        <f t="shared" si="708"/>
        <v>0</v>
      </c>
      <c r="AP2095" s="162">
        <f t="shared" si="708"/>
        <v>0</v>
      </c>
      <c r="AQ2095" s="162">
        <f t="shared" si="708"/>
        <v>0</v>
      </c>
      <c r="AR2095" s="163">
        <f t="shared" si="707"/>
        <v>0</v>
      </c>
      <c r="AT2095" s="208">
        <f>IFERROR(VLOOKUP(J2095,#REF!,10,0),0)</f>
        <v>0</v>
      </c>
    </row>
    <row r="2096" spans="1:46" hidden="1" outlineLevel="1" x14ac:dyDescent="0.25">
      <c r="A2096" s="14" t="str">
        <f t="shared" si="700"/>
        <v>PROP_OPER__17</v>
      </c>
      <c r="B2096" s="15" t="str">
        <f t="shared" si="701"/>
        <v>PROP_OPER__1032_0</v>
      </c>
      <c r="C2096" s="83"/>
      <c r="D2096" s="15">
        <v>1</v>
      </c>
      <c r="E2096" s="15">
        <v>17</v>
      </c>
      <c r="F2096" s="190">
        <f t="shared" ref="F2096:J2111" si="709">F1903</f>
        <v>1032</v>
      </c>
      <c r="G2096" s="149" t="str">
        <f t="shared" si="709"/>
        <v/>
      </c>
      <c r="H2096" s="150" t="str">
        <f t="shared" si="709"/>
        <v/>
      </c>
      <c r="I2096" s="150" t="str">
        <f t="shared" si="709"/>
        <v>TRATCSP</v>
      </c>
      <c r="J2096" s="150">
        <f t="shared" si="709"/>
        <v>0</v>
      </c>
      <c r="K2096" s="196"/>
      <c r="L2096" s="197"/>
      <c r="M2096" s="191">
        <f t="shared" ref="M2096:O2111" si="710">M1903</f>
        <v>0</v>
      </c>
      <c r="N2096" s="150">
        <f t="shared" si="710"/>
        <v>0</v>
      </c>
      <c r="O2096" s="193">
        <f t="shared" si="710"/>
        <v>0</v>
      </c>
      <c r="P2096" s="162">
        <f t="shared" ref="P2096:AA2111" si="711">IFERROR(SUMIF($B$1817:$B$1835,$C2096&amp;$I2096,P$1817:P$1835)/SUMIF($D$1817:$D$1835,$I2096,P$1817:P$1835)*P1903,0)</f>
        <v>0</v>
      </c>
      <c r="Q2096" s="162">
        <f t="shared" si="711"/>
        <v>0</v>
      </c>
      <c r="R2096" s="162">
        <f t="shared" si="711"/>
        <v>0</v>
      </c>
      <c r="S2096" s="162">
        <f t="shared" si="711"/>
        <v>0</v>
      </c>
      <c r="T2096" s="162">
        <f t="shared" si="711"/>
        <v>0</v>
      </c>
      <c r="U2096" s="162">
        <f t="shared" si="711"/>
        <v>0</v>
      </c>
      <c r="V2096" s="162">
        <f t="shared" si="711"/>
        <v>0</v>
      </c>
      <c r="W2096" s="162">
        <f t="shared" si="711"/>
        <v>0</v>
      </c>
      <c r="X2096" s="162">
        <f t="shared" si="711"/>
        <v>0</v>
      </c>
      <c r="Y2096" s="162">
        <f t="shared" si="711"/>
        <v>0</v>
      </c>
      <c r="Z2096" s="162">
        <f t="shared" si="711"/>
        <v>0</v>
      </c>
      <c r="AA2096" s="162">
        <f t="shared" si="711"/>
        <v>0</v>
      </c>
      <c r="AB2096" s="163">
        <f t="shared" si="705"/>
        <v>0</v>
      </c>
      <c r="AC2096" s="198"/>
      <c r="AE2096" s="194" t="str">
        <f>IF(J2096=0,"",VLOOKUP(J2096,#REF!,2,0)&amp;" - "&amp;J2096&amp;" ("&amp;F2096&amp;" - "&amp;G2096&amp;")")</f>
        <v/>
      </c>
      <c r="AF2096" s="161">
        <f t="shared" si="708"/>
        <v>0</v>
      </c>
      <c r="AG2096" s="162">
        <f t="shared" si="708"/>
        <v>0</v>
      </c>
      <c r="AH2096" s="162">
        <f t="shared" si="708"/>
        <v>0</v>
      </c>
      <c r="AI2096" s="162">
        <f t="shared" si="708"/>
        <v>0</v>
      </c>
      <c r="AJ2096" s="162">
        <f t="shared" si="708"/>
        <v>0</v>
      </c>
      <c r="AK2096" s="162">
        <f t="shared" si="708"/>
        <v>0</v>
      </c>
      <c r="AL2096" s="162">
        <f t="shared" si="708"/>
        <v>0</v>
      </c>
      <c r="AM2096" s="162">
        <f t="shared" si="708"/>
        <v>0</v>
      </c>
      <c r="AN2096" s="162">
        <f t="shared" si="708"/>
        <v>0</v>
      </c>
      <c r="AO2096" s="162">
        <f t="shared" si="708"/>
        <v>0</v>
      </c>
      <c r="AP2096" s="162">
        <f t="shared" si="708"/>
        <v>0</v>
      </c>
      <c r="AQ2096" s="162">
        <f t="shared" si="708"/>
        <v>0</v>
      </c>
      <c r="AR2096" s="163">
        <f t="shared" si="707"/>
        <v>0</v>
      </c>
      <c r="AT2096" s="208">
        <f>IFERROR(VLOOKUP(J2096,#REF!,10,0),0)</f>
        <v>0</v>
      </c>
    </row>
    <row r="2097" spans="1:46" hidden="1" outlineLevel="1" x14ac:dyDescent="0.25">
      <c r="A2097" s="14" t="str">
        <f t="shared" si="700"/>
        <v>PROP_OPER__18</v>
      </c>
      <c r="B2097" s="15" t="str">
        <f t="shared" si="701"/>
        <v>PROP_OPER__0_0</v>
      </c>
      <c r="C2097" s="83"/>
      <c r="D2097" s="15">
        <v>1</v>
      </c>
      <c r="E2097" s="15">
        <v>18</v>
      </c>
      <c r="F2097" s="190">
        <f t="shared" si="709"/>
        <v>0</v>
      </c>
      <c r="G2097" s="149" t="str">
        <f t="shared" si="709"/>
        <v/>
      </c>
      <c r="H2097" s="150" t="str">
        <f t="shared" si="709"/>
        <v/>
      </c>
      <c r="I2097" s="150">
        <f t="shared" si="709"/>
        <v>0</v>
      </c>
      <c r="J2097" s="150">
        <f t="shared" si="709"/>
        <v>0</v>
      </c>
      <c r="K2097" s="196"/>
      <c r="L2097" s="197"/>
      <c r="M2097" s="191">
        <f t="shared" si="710"/>
        <v>0</v>
      </c>
      <c r="N2097" s="150">
        <f t="shared" si="710"/>
        <v>0</v>
      </c>
      <c r="O2097" s="193">
        <f t="shared" si="710"/>
        <v>0</v>
      </c>
      <c r="P2097" s="162">
        <f t="shared" si="711"/>
        <v>0</v>
      </c>
      <c r="Q2097" s="162">
        <f t="shared" si="711"/>
        <v>0</v>
      </c>
      <c r="R2097" s="162">
        <f t="shared" si="711"/>
        <v>0</v>
      </c>
      <c r="S2097" s="162">
        <f t="shared" si="711"/>
        <v>0</v>
      </c>
      <c r="T2097" s="162">
        <f t="shared" si="711"/>
        <v>0</v>
      </c>
      <c r="U2097" s="162">
        <f t="shared" si="711"/>
        <v>0</v>
      </c>
      <c r="V2097" s="162">
        <f t="shared" si="711"/>
        <v>0</v>
      </c>
      <c r="W2097" s="162">
        <f t="shared" si="711"/>
        <v>0</v>
      </c>
      <c r="X2097" s="162">
        <f t="shared" si="711"/>
        <v>0</v>
      </c>
      <c r="Y2097" s="162">
        <f t="shared" si="711"/>
        <v>0</v>
      </c>
      <c r="Z2097" s="162">
        <f t="shared" si="711"/>
        <v>0</v>
      </c>
      <c r="AA2097" s="162">
        <f t="shared" si="711"/>
        <v>0</v>
      </c>
      <c r="AB2097" s="163">
        <f t="shared" si="705"/>
        <v>0</v>
      </c>
      <c r="AC2097" s="198"/>
      <c r="AE2097" s="194" t="str">
        <f>IF(J2097=0,"",VLOOKUP(J2097,#REF!,2,0)&amp;" - "&amp;J2097&amp;" ("&amp;F2097&amp;" - "&amp;G2097&amp;")")</f>
        <v/>
      </c>
      <c r="AF2097" s="161">
        <f t="shared" ref="AF2097:AQ2112" si="712">IFERROR(SUMIF($B$1817:$B$1835,$C2097&amp;$I2097,P$1817:P$1835)/SUMIF($D$1817:$D$1835,$I2097,P$1817:P$1835)*AF1904,0)</f>
        <v>0</v>
      </c>
      <c r="AG2097" s="162">
        <f t="shared" si="712"/>
        <v>0</v>
      </c>
      <c r="AH2097" s="162">
        <f t="shared" si="712"/>
        <v>0</v>
      </c>
      <c r="AI2097" s="162">
        <f t="shared" si="712"/>
        <v>0</v>
      </c>
      <c r="AJ2097" s="162">
        <f t="shared" si="712"/>
        <v>0</v>
      </c>
      <c r="AK2097" s="162">
        <f t="shared" si="712"/>
        <v>0</v>
      </c>
      <c r="AL2097" s="162">
        <f t="shared" si="712"/>
        <v>0</v>
      </c>
      <c r="AM2097" s="162">
        <f t="shared" si="712"/>
        <v>0</v>
      </c>
      <c r="AN2097" s="162">
        <f t="shared" si="712"/>
        <v>0</v>
      </c>
      <c r="AO2097" s="162">
        <f t="shared" si="712"/>
        <v>0</v>
      </c>
      <c r="AP2097" s="162">
        <f t="shared" si="712"/>
        <v>0</v>
      </c>
      <c r="AQ2097" s="162">
        <f t="shared" si="712"/>
        <v>0</v>
      </c>
      <c r="AR2097" s="163">
        <f t="shared" si="707"/>
        <v>0</v>
      </c>
      <c r="AT2097" s="208">
        <f>IFERROR(VLOOKUP(J2097,#REF!,10,0),0)</f>
        <v>0</v>
      </c>
    </row>
    <row r="2098" spans="1:46" hidden="1" outlineLevel="1" x14ac:dyDescent="0.25">
      <c r="A2098" s="14" t="str">
        <f t="shared" si="700"/>
        <v>PROP_OPER__19</v>
      </c>
      <c r="B2098" s="15" t="str">
        <f t="shared" si="701"/>
        <v>PROP_OPER__1061_0</v>
      </c>
      <c r="C2098" s="83"/>
      <c r="D2098" s="15">
        <v>1</v>
      </c>
      <c r="E2098" s="15">
        <v>19</v>
      </c>
      <c r="F2098" s="190">
        <f t="shared" si="709"/>
        <v>1061</v>
      </c>
      <c r="G2098" s="149" t="str">
        <f t="shared" si="709"/>
        <v/>
      </c>
      <c r="H2098" s="150" t="str">
        <f t="shared" si="709"/>
        <v/>
      </c>
      <c r="I2098" s="150" t="str">
        <f t="shared" si="709"/>
        <v>TRATCSP</v>
      </c>
      <c r="J2098" s="150">
        <f t="shared" si="709"/>
        <v>0</v>
      </c>
      <c r="K2098" s="196"/>
      <c r="L2098" s="197"/>
      <c r="M2098" s="191">
        <f t="shared" si="710"/>
        <v>0</v>
      </c>
      <c r="N2098" s="150">
        <f t="shared" si="710"/>
        <v>0</v>
      </c>
      <c r="O2098" s="193">
        <f t="shared" si="710"/>
        <v>0</v>
      </c>
      <c r="P2098" s="162">
        <f t="shared" si="711"/>
        <v>0</v>
      </c>
      <c r="Q2098" s="162">
        <f t="shared" si="711"/>
        <v>0</v>
      </c>
      <c r="R2098" s="162">
        <f t="shared" si="711"/>
        <v>0</v>
      </c>
      <c r="S2098" s="162">
        <f t="shared" si="711"/>
        <v>0</v>
      </c>
      <c r="T2098" s="162">
        <f t="shared" si="711"/>
        <v>0</v>
      </c>
      <c r="U2098" s="162">
        <f t="shared" si="711"/>
        <v>0</v>
      </c>
      <c r="V2098" s="162">
        <f t="shared" si="711"/>
        <v>0</v>
      </c>
      <c r="W2098" s="162">
        <f t="shared" si="711"/>
        <v>0</v>
      </c>
      <c r="X2098" s="162">
        <f t="shared" si="711"/>
        <v>0</v>
      </c>
      <c r="Y2098" s="162">
        <f t="shared" si="711"/>
        <v>0</v>
      </c>
      <c r="Z2098" s="162">
        <f t="shared" si="711"/>
        <v>0</v>
      </c>
      <c r="AA2098" s="162">
        <f t="shared" si="711"/>
        <v>0</v>
      </c>
      <c r="AB2098" s="163">
        <f t="shared" si="705"/>
        <v>0</v>
      </c>
      <c r="AC2098" s="198"/>
      <c r="AE2098" s="194" t="str">
        <f>IF(J2098=0,"",VLOOKUP(J2098,#REF!,2,0)&amp;" - "&amp;J2098&amp;" ("&amp;F2098&amp;" - "&amp;G2098&amp;")")</f>
        <v/>
      </c>
      <c r="AF2098" s="161">
        <f t="shared" si="712"/>
        <v>0</v>
      </c>
      <c r="AG2098" s="162">
        <f t="shared" si="712"/>
        <v>0</v>
      </c>
      <c r="AH2098" s="162">
        <f t="shared" si="712"/>
        <v>0</v>
      </c>
      <c r="AI2098" s="162">
        <f t="shared" si="712"/>
        <v>0</v>
      </c>
      <c r="AJ2098" s="162">
        <f t="shared" si="712"/>
        <v>0</v>
      </c>
      <c r="AK2098" s="162">
        <f t="shared" si="712"/>
        <v>0</v>
      </c>
      <c r="AL2098" s="162">
        <f t="shared" si="712"/>
        <v>0</v>
      </c>
      <c r="AM2098" s="162">
        <f t="shared" si="712"/>
        <v>0</v>
      </c>
      <c r="AN2098" s="162">
        <f t="shared" si="712"/>
        <v>0</v>
      </c>
      <c r="AO2098" s="162">
        <f t="shared" si="712"/>
        <v>0</v>
      </c>
      <c r="AP2098" s="162">
        <f t="shared" si="712"/>
        <v>0</v>
      </c>
      <c r="AQ2098" s="162">
        <f t="shared" si="712"/>
        <v>0</v>
      </c>
      <c r="AR2098" s="163">
        <f t="shared" si="707"/>
        <v>0</v>
      </c>
      <c r="AT2098" s="208">
        <f>IFERROR(VLOOKUP(J2098,#REF!,10,0),0)</f>
        <v>0</v>
      </c>
    </row>
    <row r="2099" spans="1:46" hidden="1" outlineLevel="1" x14ac:dyDescent="0.25">
      <c r="A2099" s="14" t="str">
        <f t="shared" si="700"/>
        <v>PROP_OPER__20</v>
      </c>
      <c r="B2099" s="15" t="str">
        <f t="shared" si="701"/>
        <v>PROP_OPER__1024_0</v>
      </c>
      <c r="C2099" s="83"/>
      <c r="D2099" s="15">
        <v>1</v>
      </c>
      <c r="E2099" s="15">
        <v>20</v>
      </c>
      <c r="F2099" s="190">
        <f t="shared" si="709"/>
        <v>1024</v>
      </c>
      <c r="G2099" s="149" t="str">
        <f t="shared" si="709"/>
        <v/>
      </c>
      <c r="H2099" s="150" t="str">
        <f t="shared" si="709"/>
        <v/>
      </c>
      <c r="I2099" s="150" t="str">
        <f t="shared" si="709"/>
        <v>TRATCSP</v>
      </c>
      <c r="J2099" s="150">
        <f t="shared" si="709"/>
        <v>0</v>
      </c>
      <c r="K2099" s="196"/>
      <c r="L2099" s="197"/>
      <c r="M2099" s="191">
        <f t="shared" si="710"/>
        <v>0</v>
      </c>
      <c r="N2099" s="150">
        <f t="shared" si="710"/>
        <v>0</v>
      </c>
      <c r="O2099" s="193">
        <f t="shared" si="710"/>
        <v>0</v>
      </c>
      <c r="P2099" s="162">
        <f t="shared" si="711"/>
        <v>0</v>
      </c>
      <c r="Q2099" s="162">
        <f t="shared" si="711"/>
        <v>0</v>
      </c>
      <c r="R2099" s="162">
        <f t="shared" si="711"/>
        <v>0</v>
      </c>
      <c r="S2099" s="162">
        <f t="shared" si="711"/>
        <v>0</v>
      </c>
      <c r="T2099" s="162">
        <f t="shared" si="711"/>
        <v>0</v>
      </c>
      <c r="U2099" s="162">
        <f t="shared" si="711"/>
        <v>0</v>
      </c>
      <c r="V2099" s="162">
        <f t="shared" si="711"/>
        <v>0</v>
      </c>
      <c r="W2099" s="162">
        <f t="shared" si="711"/>
        <v>0</v>
      </c>
      <c r="X2099" s="162">
        <f t="shared" si="711"/>
        <v>0</v>
      </c>
      <c r="Y2099" s="162">
        <f t="shared" si="711"/>
        <v>0</v>
      </c>
      <c r="Z2099" s="162">
        <f t="shared" si="711"/>
        <v>0</v>
      </c>
      <c r="AA2099" s="162">
        <f t="shared" si="711"/>
        <v>0</v>
      </c>
      <c r="AB2099" s="163">
        <f t="shared" si="705"/>
        <v>0</v>
      </c>
      <c r="AC2099" s="198"/>
      <c r="AE2099" s="194" t="str">
        <f>IF(J2099=0,"",VLOOKUP(J2099,#REF!,2,0)&amp;" - "&amp;J2099&amp;" ("&amp;F2099&amp;" - "&amp;G2099&amp;")")</f>
        <v/>
      </c>
      <c r="AF2099" s="161">
        <f t="shared" si="712"/>
        <v>0</v>
      </c>
      <c r="AG2099" s="162">
        <f t="shared" si="712"/>
        <v>0</v>
      </c>
      <c r="AH2099" s="162">
        <f t="shared" si="712"/>
        <v>0</v>
      </c>
      <c r="AI2099" s="162">
        <f t="shared" si="712"/>
        <v>0</v>
      </c>
      <c r="AJ2099" s="162">
        <f t="shared" si="712"/>
        <v>0</v>
      </c>
      <c r="AK2099" s="162">
        <f t="shared" si="712"/>
        <v>0</v>
      </c>
      <c r="AL2099" s="162">
        <f t="shared" si="712"/>
        <v>0</v>
      </c>
      <c r="AM2099" s="162">
        <f t="shared" si="712"/>
        <v>0</v>
      </c>
      <c r="AN2099" s="162">
        <f t="shared" si="712"/>
        <v>0</v>
      </c>
      <c r="AO2099" s="162">
        <f t="shared" si="712"/>
        <v>0</v>
      </c>
      <c r="AP2099" s="162">
        <f t="shared" si="712"/>
        <v>0</v>
      </c>
      <c r="AQ2099" s="162">
        <f t="shared" si="712"/>
        <v>0</v>
      </c>
      <c r="AR2099" s="163">
        <f t="shared" si="707"/>
        <v>0</v>
      </c>
      <c r="AT2099" s="208">
        <f>IFERROR(VLOOKUP(J2099,#REF!,10,0),0)</f>
        <v>0</v>
      </c>
    </row>
    <row r="2100" spans="1:46" hidden="1" outlineLevel="1" x14ac:dyDescent="0.25">
      <c r="A2100" s="14" t="str">
        <f t="shared" si="700"/>
        <v>PROP_OPER__21</v>
      </c>
      <c r="B2100" s="15" t="str">
        <f t="shared" si="701"/>
        <v>PROP_OPER__0_0</v>
      </c>
      <c r="C2100" s="83"/>
      <c r="D2100" s="15">
        <v>1</v>
      </c>
      <c r="E2100" s="15">
        <v>21</v>
      </c>
      <c r="F2100" s="190">
        <f t="shared" si="709"/>
        <v>0</v>
      </c>
      <c r="G2100" s="149" t="str">
        <f t="shared" si="709"/>
        <v/>
      </c>
      <c r="H2100" s="150" t="str">
        <f t="shared" si="709"/>
        <v/>
      </c>
      <c r="I2100" s="150">
        <f t="shared" si="709"/>
        <v>0</v>
      </c>
      <c r="J2100" s="150">
        <f t="shared" si="709"/>
        <v>0</v>
      </c>
      <c r="K2100" s="196"/>
      <c r="L2100" s="197"/>
      <c r="M2100" s="191">
        <f t="shared" si="710"/>
        <v>0</v>
      </c>
      <c r="N2100" s="150">
        <f t="shared" si="710"/>
        <v>0</v>
      </c>
      <c r="O2100" s="193">
        <f t="shared" si="710"/>
        <v>0</v>
      </c>
      <c r="P2100" s="162">
        <f t="shared" si="711"/>
        <v>0</v>
      </c>
      <c r="Q2100" s="162">
        <f t="shared" si="711"/>
        <v>0</v>
      </c>
      <c r="R2100" s="162">
        <f t="shared" si="711"/>
        <v>0</v>
      </c>
      <c r="S2100" s="162">
        <f t="shared" si="711"/>
        <v>0</v>
      </c>
      <c r="T2100" s="162">
        <f t="shared" si="711"/>
        <v>0</v>
      </c>
      <c r="U2100" s="162">
        <f t="shared" si="711"/>
        <v>0</v>
      </c>
      <c r="V2100" s="162">
        <f t="shared" si="711"/>
        <v>0</v>
      </c>
      <c r="W2100" s="162">
        <f t="shared" si="711"/>
        <v>0</v>
      </c>
      <c r="X2100" s="162">
        <f t="shared" si="711"/>
        <v>0</v>
      </c>
      <c r="Y2100" s="162">
        <f t="shared" si="711"/>
        <v>0</v>
      </c>
      <c r="Z2100" s="162">
        <f t="shared" si="711"/>
        <v>0</v>
      </c>
      <c r="AA2100" s="162">
        <f t="shared" si="711"/>
        <v>0</v>
      </c>
      <c r="AB2100" s="163">
        <f t="shared" si="705"/>
        <v>0</v>
      </c>
      <c r="AC2100" s="198"/>
      <c r="AE2100" s="194" t="str">
        <f>IF(J2100=0,"",VLOOKUP(J2100,#REF!,2,0)&amp;" - "&amp;J2100&amp;" ("&amp;F2100&amp;" - "&amp;G2100&amp;")")</f>
        <v/>
      </c>
      <c r="AF2100" s="161">
        <f t="shared" si="712"/>
        <v>0</v>
      </c>
      <c r="AG2100" s="162">
        <f t="shared" si="712"/>
        <v>0</v>
      </c>
      <c r="AH2100" s="162">
        <f t="shared" si="712"/>
        <v>0</v>
      </c>
      <c r="AI2100" s="162">
        <f t="shared" si="712"/>
        <v>0</v>
      </c>
      <c r="AJ2100" s="162">
        <f t="shared" si="712"/>
        <v>0</v>
      </c>
      <c r="AK2100" s="162">
        <f t="shared" si="712"/>
        <v>0</v>
      </c>
      <c r="AL2100" s="162">
        <f t="shared" si="712"/>
        <v>0</v>
      </c>
      <c r="AM2100" s="162">
        <f t="shared" si="712"/>
        <v>0</v>
      </c>
      <c r="AN2100" s="162">
        <f t="shared" si="712"/>
        <v>0</v>
      </c>
      <c r="AO2100" s="162">
        <f t="shared" si="712"/>
        <v>0</v>
      </c>
      <c r="AP2100" s="162">
        <f t="shared" si="712"/>
        <v>0</v>
      </c>
      <c r="AQ2100" s="162">
        <f t="shared" si="712"/>
        <v>0</v>
      </c>
      <c r="AR2100" s="163">
        <f t="shared" si="707"/>
        <v>0</v>
      </c>
      <c r="AT2100" s="208">
        <f>IFERROR(VLOOKUP(J2100,#REF!,10,0),0)</f>
        <v>0</v>
      </c>
    </row>
    <row r="2101" spans="1:46" hidden="1" outlineLevel="1" x14ac:dyDescent="0.25">
      <c r="A2101" s="14" t="str">
        <f t="shared" si="700"/>
        <v>PROP_OPER__22</v>
      </c>
      <c r="B2101" s="15" t="str">
        <f t="shared" si="701"/>
        <v>PROP_OPER__0_0</v>
      </c>
      <c r="C2101" s="83"/>
      <c r="D2101" s="15">
        <v>1</v>
      </c>
      <c r="E2101" s="15">
        <v>22</v>
      </c>
      <c r="F2101" s="190">
        <f t="shared" si="709"/>
        <v>0</v>
      </c>
      <c r="G2101" s="149" t="str">
        <f t="shared" si="709"/>
        <v/>
      </c>
      <c r="H2101" s="150" t="str">
        <f t="shared" si="709"/>
        <v/>
      </c>
      <c r="I2101" s="150">
        <f t="shared" si="709"/>
        <v>0</v>
      </c>
      <c r="J2101" s="150">
        <f t="shared" si="709"/>
        <v>0</v>
      </c>
      <c r="K2101" s="196"/>
      <c r="L2101" s="197"/>
      <c r="M2101" s="191">
        <f t="shared" si="710"/>
        <v>0</v>
      </c>
      <c r="N2101" s="150">
        <f t="shared" si="710"/>
        <v>0</v>
      </c>
      <c r="O2101" s="193">
        <f t="shared" si="710"/>
        <v>0</v>
      </c>
      <c r="P2101" s="162">
        <f t="shared" si="711"/>
        <v>0</v>
      </c>
      <c r="Q2101" s="162">
        <f t="shared" si="711"/>
        <v>0</v>
      </c>
      <c r="R2101" s="162">
        <f t="shared" si="711"/>
        <v>0</v>
      </c>
      <c r="S2101" s="162">
        <f t="shared" si="711"/>
        <v>0</v>
      </c>
      <c r="T2101" s="162">
        <f t="shared" si="711"/>
        <v>0</v>
      </c>
      <c r="U2101" s="162">
        <f t="shared" si="711"/>
        <v>0</v>
      </c>
      <c r="V2101" s="162">
        <f t="shared" si="711"/>
        <v>0</v>
      </c>
      <c r="W2101" s="162">
        <f t="shared" si="711"/>
        <v>0</v>
      </c>
      <c r="X2101" s="162">
        <f t="shared" si="711"/>
        <v>0</v>
      </c>
      <c r="Y2101" s="162">
        <f t="shared" si="711"/>
        <v>0</v>
      </c>
      <c r="Z2101" s="162">
        <f t="shared" si="711"/>
        <v>0</v>
      </c>
      <c r="AA2101" s="162">
        <f t="shared" si="711"/>
        <v>0</v>
      </c>
      <c r="AB2101" s="163">
        <f t="shared" si="705"/>
        <v>0</v>
      </c>
      <c r="AC2101" s="198"/>
      <c r="AE2101" s="194" t="str">
        <f>IF(J2101=0,"",VLOOKUP(J2101,#REF!,2,0)&amp;" - "&amp;J2101&amp;" ("&amp;F2101&amp;" - "&amp;G2101&amp;")")</f>
        <v/>
      </c>
      <c r="AF2101" s="161">
        <f t="shared" si="712"/>
        <v>0</v>
      </c>
      <c r="AG2101" s="162">
        <f t="shared" si="712"/>
        <v>0</v>
      </c>
      <c r="AH2101" s="162">
        <f t="shared" si="712"/>
        <v>0</v>
      </c>
      <c r="AI2101" s="162">
        <f t="shared" si="712"/>
        <v>0</v>
      </c>
      <c r="AJ2101" s="162">
        <f t="shared" si="712"/>
        <v>0</v>
      </c>
      <c r="AK2101" s="162">
        <f t="shared" si="712"/>
        <v>0</v>
      </c>
      <c r="AL2101" s="162">
        <f t="shared" si="712"/>
        <v>0</v>
      </c>
      <c r="AM2101" s="162">
        <f t="shared" si="712"/>
        <v>0</v>
      </c>
      <c r="AN2101" s="162">
        <f t="shared" si="712"/>
        <v>0</v>
      </c>
      <c r="AO2101" s="162">
        <f t="shared" si="712"/>
        <v>0</v>
      </c>
      <c r="AP2101" s="162">
        <f t="shared" si="712"/>
        <v>0</v>
      </c>
      <c r="AQ2101" s="162">
        <f t="shared" si="712"/>
        <v>0</v>
      </c>
      <c r="AR2101" s="163">
        <f t="shared" si="707"/>
        <v>0</v>
      </c>
      <c r="AT2101" s="208">
        <f>IFERROR(VLOOKUP(J2101,#REF!,10,0),0)</f>
        <v>0</v>
      </c>
    </row>
    <row r="2102" spans="1:46" hidden="1" outlineLevel="1" x14ac:dyDescent="0.25">
      <c r="A2102" s="14" t="str">
        <f t="shared" si="700"/>
        <v>PROP_OPER__23</v>
      </c>
      <c r="B2102" s="15" t="str">
        <f t="shared" si="701"/>
        <v>PROP_OPER__0_0</v>
      </c>
      <c r="C2102" s="83"/>
      <c r="D2102" s="15">
        <v>1</v>
      </c>
      <c r="E2102" s="15">
        <v>23</v>
      </c>
      <c r="F2102" s="190">
        <f t="shared" si="709"/>
        <v>0</v>
      </c>
      <c r="G2102" s="149" t="str">
        <f t="shared" si="709"/>
        <v/>
      </c>
      <c r="H2102" s="150" t="str">
        <f t="shared" si="709"/>
        <v/>
      </c>
      <c r="I2102" s="150">
        <f t="shared" si="709"/>
        <v>0</v>
      </c>
      <c r="J2102" s="150">
        <f t="shared" si="709"/>
        <v>0</v>
      </c>
      <c r="K2102" s="196"/>
      <c r="L2102" s="197"/>
      <c r="M2102" s="191">
        <f t="shared" si="710"/>
        <v>0</v>
      </c>
      <c r="N2102" s="150">
        <f t="shared" si="710"/>
        <v>0</v>
      </c>
      <c r="O2102" s="193">
        <f t="shared" si="710"/>
        <v>0</v>
      </c>
      <c r="P2102" s="162">
        <f t="shared" si="711"/>
        <v>0</v>
      </c>
      <c r="Q2102" s="162">
        <f t="shared" si="711"/>
        <v>0</v>
      </c>
      <c r="R2102" s="162">
        <f t="shared" si="711"/>
        <v>0</v>
      </c>
      <c r="S2102" s="162">
        <f t="shared" si="711"/>
        <v>0</v>
      </c>
      <c r="T2102" s="162">
        <f t="shared" si="711"/>
        <v>0</v>
      </c>
      <c r="U2102" s="162">
        <f t="shared" si="711"/>
        <v>0</v>
      </c>
      <c r="V2102" s="162">
        <f t="shared" si="711"/>
        <v>0</v>
      </c>
      <c r="W2102" s="162">
        <f t="shared" si="711"/>
        <v>0</v>
      </c>
      <c r="X2102" s="162">
        <f t="shared" si="711"/>
        <v>0</v>
      </c>
      <c r="Y2102" s="162">
        <f t="shared" si="711"/>
        <v>0</v>
      </c>
      <c r="Z2102" s="162">
        <f t="shared" si="711"/>
        <v>0</v>
      </c>
      <c r="AA2102" s="162">
        <f t="shared" si="711"/>
        <v>0</v>
      </c>
      <c r="AB2102" s="163">
        <f t="shared" si="705"/>
        <v>0</v>
      </c>
      <c r="AC2102" s="198"/>
      <c r="AE2102" s="194" t="str">
        <f>IF(J2102=0,"",VLOOKUP(J2102,#REF!,2,0)&amp;" - "&amp;J2102&amp;" ("&amp;F2102&amp;" - "&amp;G2102&amp;")")</f>
        <v/>
      </c>
      <c r="AF2102" s="161">
        <f t="shared" si="712"/>
        <v>0</v>
      </c>
      <c r="AG2102" s="162">
        <f t="shared" si="712"/>
        <v>0</v>
      </c>
      <c r="AH2102" s="162">
        <f t="shared" si="712"/>
        <v>0</v>
      </c>
      <c r="AI2102" s="162">
        <f t="shared" si="712"/>
        <v>0</v>
      </c>
      <c r="AJ2102" s="162">
        <f t="shared" si="712"/>
        <v>0</v>
      </c>
      <c r="AK2102" s="162">
        <f t="shared" si="712"/>
        <v>0</v>
      </c>
      <c r="AL2102" s="162">
        <f t="shared" si="712"/>
        <v>0</v>
      </c>
      <c r="AM2102" s="162">
        <f t="shared" si="712"/>
        <v>0</v>
      </c>
      <c r="AN2102" s="162">
        <f t="shared" si="712"/>
        <v>0</v>
      </c>
      <c r="AO2102" s="162">
        <f t="shared" si="712"/>
        <v>0</v>
      </c>
      <c r="AP2102" s="162">
        <f t="shared" si="712"/>
        <v>0</v>
      </c>
      <c r="AQ2102" s="162">
        <f t="shared" si="712"/>
        <v>0</v>
      </c>
      <c r="AR2102" s="163">
        <f t="shared" si="707"/>
        <v>0</v>
      </c>
      <c r="AT2102" s="208">
        <f>IFERROR(VLOOKUP(J2102,#REF!,10,0),0)</f>
        <v>0</v>
      </c>
    </row>
    <row r="2103" spans="1:46" hidden="1" outlineLevel="1" x14ac:dyDescent="0.25">
      <c r="A2103" s="14" t="str">
        <f t="shared" si="700"/>
        <v>PROP_OPER__24</v>
      </c>
      <c r="B2103" s="15" t="str">
        <f t="shared" si="701"/>
        <v>PROP_OPER__0_0</v>
      </c>
      <c r="C2103" s="83"/>
      <c r="D2103" s="15">
        <v>1</v>
      </c>
      <c r="E2103" s="15">
        <v>24</v>
      </c>
      <c r="F2103" s="190">
        <f t="shared" si="709"/>
        <v>0</v>
      </c>
      <c r="G2103" s="149" t="str">
        <f t="shared" si="709"/>
        <v/>
      </c>
      <c r="H2103" s="150" t="str">
        <f t="shared" si="709"/>
        <v/>
      </c>
      <c r="I2103" s="150">
        <f t="shared" si="709"/>
        <v>0</v>
      </c>
      <c r="J2103" s="150">
        <f t="shared" si="709"/>
        <v>0</v>
      </c>
      <c r="K2103" s="196"/>
      <c r="L2103" s="197"/>
      <c r="M2103" s="191">
        <f t="shared" si="710"/>
        <v>0</v>
      </c>
      <c r="N2103" s="150">
        <f t="shared" si="710"/>
        <v>0</v>
      </c>
      <c r="O2103" s="193">
        <f t="shared" si="710"/>
        <v>0</v>
      </c>
      <c r="P2103" s="162">
        <f t="shared" si="711"/>
        <v>0</v>
      </c>
      <c r="Q2103" s="162">
        <f t="shared" si="711"/>
        <v>0</v>
      </c>
      <c r="R2103" s="162">
        <f t="shared" si="711"/>
        <v>0</v>
      </c>
      <c r="S2103" s="162">
        <f t="shared" si="711"/>
        <v>0</v>
      </c>
      <c r="T2103" s="162">
        <f t="shared" si="711"/>
        <v>0</v>
      </c>
      <c r="U2103" s="162">
        <f t="shared" si="711"/>
        <v>0</v>
      </c>
      <c r="V2103" s="162">
        <f t="shared" si="711"/>
        <v>0</v>
      </c>
      <c r="W2103" s="162">
        <f t="shared" si="711"/>
        <v>0</v>
      </c>
      <c r="X2103" s="162">
        <f t="shared" si="711"/>
        <v>0</v>
      </c>
      <c r="Y2103" s="162">
        <f t="shared" si="711"/>
        <v>0</v>
      </c>
      <c r="Z2103" s="162">
        <f t="shared" si="711"/>
        <v>0</v>
      </c>
      <c r="AA2103" s="162">
        <f t="shared" si="711"/>
        <v>0</v>
      </c>
      <c r="AB2103" s="163">
        <f t="shared" si="705"/>
        <v>0</v>
      </c>
      <c r="AC2103" s="198"/>
      <c r="AE2103" s="194" t="str">
        <f>IF(J2103=0,"",VLOOKUP(J2103,#REF!,2,0)&amp;" - "&amp;J2103&amp;" ("&amp;F2103&amp;" - "&amp;G2103&amp;")")</f>
        <v/>
      </c>
      <c r="AF2103" s="161">
        <f t="shared" si="712"/>
        <v>0</v>
      </c>
      <c r="AG2103" s="162">
        <f t="shared" si="712"/>
        <v>0</v>
      </c>
      <c r="AH2103" s="162">
        <f t="shared" si="712"/>
        <v>0</v>
      </c>
      <c r="AI2103" s="162">
        <f t="shared" si="712"/>
        <v>0</v>
      </c>
      <c r="AJ2103" s="162">
        <f t="shared" si="712"/>
        <v>0</v>
      </c>
      <c r="AK2103" s="162">
        <f t="shared" si="712"/>
        <v>0</v>
      </c>
      <c r="AL2103" s="162">
        <f t="shared" si="712"/>
        <v>0</v>
      </c>
      <c r="AM2103" s="162">
        <f t="shared" si="712"/>
        <v>0</v>
      </c>
      <c r="AN2103" s="162">
        <f t="shared" si="712"/>
        <v>0</v>
      </c>
      <c r="AO2103" s="162">
        <f t="shared" si="712"/>
        <v>0</v>
      </c>
      <c r="AP2103" s="162">
        <f t="shared" si="712"/>
        <v>0</v>
      </c>
      <c r="AQ2103" s="162">
        <f t="shared" si="712"/>
        <v>0</v>
      </c>
      <c r="AR2103" s="163">
        <f t="shared" si="707"/>
        <v>0</v>
      </c>
      <c r="AT2103" s="208">
        <f>IFERROR(VLOOKUP(J2103,#REF!,10,0),0)</f>
        <v>0</v>
      </c>
    </row>
    <row r="2104" spans="1:46" hidden="1" outlineLevel="1" x14ac:dyDescent="0.25">
      <c r="A2104" s="14" t="str">
        <f t="shared" si="700"/>
        <v>PROP_OPER__25</v>
      </c>
      <c r="B2104" s="15" t="str">
        <f t="shared" si="701"/>
        <v>PROP_OPER__0_0</v>
      </c>
      <c r="C2104" s="83"/>
      <c r="D2104" s="15">
        <v>1</v>
      </c>
      <c r="E2104" s="15">
        <v>25</v>
      </c>
      <c r="F2104" s="190">
        <f t="shared" si="709"/>
        <v>0</v>
      </c>
      <c r="G2104" s="149" t="str">
        <f t="shared" si="709"/>
        <v/>
      </c>
      <c r="H2104" s="150" t="str">
        <f t="shared" si="709"/>
        <v/>
      </c>
      <c r="I2104" s="150">
        <f t="shared" si="709"/>
        <v>0</v>
      </c>
      <c r="J2104" s="150">
        <f t="shared" si="709"/>
        <v>0</v>
      </c>
      <c r="K2104" s="196"/>
      <c r="L2104" s="197"/>
      <c r="M2104" s="191">
        <f t="shared" si="710"/>
        <v>0</v>
      </c>
      <c r="N2104" s="150">
        <f t="shared" si="710"/>
        <v>0</v>
      </c>
      <c r="O2104" s="193">
        <f t="shared" si="710"/>
        <v>0</v>
      </c>
      <c r="P2104" s="162">
        <f t="shared" si="711"/>
        <v>0</v>
      </c>
      <c r="Q2104" s="162">
        <f t="shared" si="711"/>
        <v>0</v>
      </c>
      <c r="R2104" s="162">
        <f t="shared" si="711"/>
        <v>0</v>
      </c>
      <c r="S2104" s="162">
        <f t="shared" si="711"/>
        <v>0</v>
      </c>
      <c r="T2104" s="162">
        <f t="shared" si="711"/>
        <v>0</v>
      </c>
      <c r="U2104" s="162">
        <f t="shared" si="711"/>
        <v>0</v>
      </c>
      <c r="V2104" s="162">
        <f t="shared" si="711"/>
        <v>0</v>
      </c>
      <c r="W2104" s="162">
        <f t="shared" si="711"/>
        <v>0</v>
      </c>
      <c r="X2104" s="162">
        <f t="shared" si="711"/>
        <v>0</v>
      </c>
      <c r="Y2104" s="162">
        <f t="shared" si="711"/>
        <v>0</v>
      </c>
      <c r="Z2104" s="162">
        <f t="shared" si="711"/>
        <v>0</v>
      </c>
      <c r="AA2104" s="162">
        <f t="shared" si="711"/>
        <v>0</v>
      </c>
      <c r="AB2104" s="163">
        <f t="shared" si="705"/>
        <v>0</v>
      </c>
      <c r="AC2104" s="198"/>
      <c r="AE2104" s="194" t="str">
        <f>IF(J2104=0,"",VLOOKUP(J2104,#REF!,2,0)&amp;" - "&amp;J2104&amp;" ("&amp;F2104&amp;" - "&amp;G2104&amp;")")</f>
        <v/>
      </c>
      <c r="AF2104" s="161">
        <f t="shared" si="712"/>
        <v>0</v>
      </c>
      <c r="AG2104" s="162">
        <f t="shared" si="712"/>
        <v>0</v>
      </c>
      <c r="AH2104" s="162">
        <f t="shared" si="712"/>
        <v>0</v>
      </c>
      <c r="AI2104" s="162">
        <f t="shared" si="712"/>
        <v>0</v>
      </c>
      <c r="AJ2104" s="162">
        <f t="shared" si="712"/>
        <v>0</v>
      </c>
      <c r="AK2104" s="162">
        <f t="shared" si="712"/>
        <v>0</v>
      </c>
      <c r="AL2104" s="162">
        <f t="shared" si="712"/>
        <v>0</v>
      </c>
      <c r="AM2104" s="162">
        <f t="shared" si="712"/>
        <v>0</v>
      </c>
      <c r="AN2104" s="162">
        <f t="shared" si="712"/>
        <v>0</v>
      </c>
      <c r="AO2104" s="162">
        <f t="shared" si="712"/>
        <v>0</v>
      </c>
      <c r="AP2104" s="162">
        <f t="shared" si="712"/>
        <v>0</v>
      </c>
      <c r="AQ2104" s="162">
        <f t="shared" si="712"/>
        <v>0</v>
      </c>
      <c r="AR2104" s="163">
        <f t="shared" si="707"/>
        <v>0</v>
      </c>
      <c r="AT2104" s="208">
        <f>IFERROR(VLOOKUP(J2104,#REF!,10,0),0)</f>
        <v>0</v>
      </c>
    </row>
    <row r="2105" spans="1:46" hidden="1" outlineLevel="1" x14ac:dyDescent="0.25">
      <c r="A2105" s="14" t="str">
        <f t="shared" si="700"/>
        <v>PROP_OPER__26</v>
      </c>
      <c r="B2105" s="15" t="str">
        <f t="shared" si="701"/>
        <v>PROP_OPER__0_0</v>
      </c>
      <c r="C2105" s="83"/>
      <c r="D2105" s="15">
        <v>1</v>
      </c>
      <c r="E2105" s="15">
        <v>26</v>
      </c>
      <c r="F2105" s="190">
        <f t="shared" si="709"/>
        <v>0</v>
      </c>
      <c r="G2105" s="149" t="str">
        <f t="shared" si="709"/>
        <v/>
      </c>
      <c r="H2105" s="150" t="str">
        <f t="shared" si="709"/>
        <v/>
      </c>
      <c r="I2105" s="150">
        <f t="shared" si="709"/>
        <v>0</v>
      </c>
      <c r="J2105" s="150">
        <f t="shared" si="709"/>
        <v>0</v>
      </c>
      <c r="K2105" s="196"/>
      <c r="L2105" s="197"/>
      <c r="M2105" s="191">
        <f t="shared" si="710"/>
        <v>0</v>
      </c>
      <c r="N2105" s="150">
        <f t="shared" si="710"/>
        <v>0</v>
      </c>
      <c r="O2105" s="193">
        <f t="shared" si="710"/>
        <v>0</v>
      </c>
      <c r="P2105" s="162">
        <f t="shared" si="711"/>
        <v>0</v>
      </c>
      <c r="Q2105" s="162">
        <f t="shared" si="711"/>
        <v>0</v>
      </c>
      <c r="R2105" s="162">
        <f t="shared" si="711"/>
        <v>0</v>
      </c>
      <c r="S2105" s="162">
        <f t="shared" si="711"/>
        <v>0</v>
      </c>
      <c r="T2105" s="162">
        <f t="shared" si="711"/>
        <v>0</v>
      </c>
      <c r="U2105" s="162">
        <f t="shared" si="711"/>
        <v>0</v>
      </c>
      <c r="V2105" s="162">
        <f t="shared" si="711"/>
        <v>0</v>
      </c>
      <c r="W2105" s="162">
        <f t="shared" si="711"/>
        <v>0</v>
      </c>
      <c r="X2105" s="162">
        <f t="shared" si="711"/>
        <v>0</v>
      </c>
      <c r="Y2105" s="162">
        <f t="shared" si="711"/>
        <v>0</v>
      </c>
      <c r="Z2105" s="162">
        <f t="shared" si="711"/>
        <v>0</v>
      </c>
      <c r="AA2105" s="162">
        <f t="shared" si="711"/>
        <v>0</v>
      </c>
      <c r="AB2105" s="163">
        <f t="shared" si="705"/>
        <v>0</v>
      </c>
      <c r="AC2105" s="198"/>
      <c r="AE2105" s="194" t="str">
        <f>IF(J2105=0,"",VLOOKUP(J2105,#REF!,2,0)&amp;" - "&amp;J2105&amp;" ("&amp;F2105&amp;" - "&amp;G2105&amp;")")</f>
        <v/>
      </c>
      <c r="AF2105" s="161">
        <f t="shared" si="712"/>
        <v>0</v>
      </c>
      <c r="AG2105" s="162">
        <f t="shared" si="712"/>
        <v>0</v>
      </c>
      <c r="AH2105" s="162">
        <f t="shared" si="712"/>
        <v>0</v>
      </c>
      <c r="AI2105" s="162">
        <f t="shared" si="712"/>
        <v>0</v>
      </c>
      <c r="AJ2105" s="162">
        <f t="shared" si="712"/>
        <v>0</v>
      </c>
      <c r="AK2105" s="162">
        <f t="shared" si="712"/>
        <v>0</v>
      </c>
      <c r="AL2105" s="162">
        <f t="shared" si="712"/>
        <v>0</v>
      </c>
      <c r="AM2105" s="162">
        <f t="shared" si="712"/>
        <v>0</v>
      </c>
      <c r="AN2105" s="162">
        <f t="shared" si="712"/>
        <v>0</v>
      </c>
      <c r="AO2105" s="162">
        <f t="shared" si="712"/>
        <v>0</v>
      </c>
      <c r="AP2105" s="162">
        <f t="shared" si="712"/>
        <v>0</v>
      </c>
      <c r="AQ2105" s="162">
        <f t="shared" si="712"/>
        <v>0</v>
      </c>
      <c r="AR2105" s="163">
        <f t="shared" si="707"/>
        <v>0</v>
      </c>
      <c r="AT2105" s="208">
        <f>IFERROR(VLOOKUP(J2105,#REF!,10,0),0)</f>
        <v>0</v>
      </c>
    </row>
    <row r="2106" spans="1:46" hidden="1" outlineLevel="1" x14ac:dyDescent="0.25">
      <c r="A2106" s="14" t="str">
        <f t="shared" si="700"/>
        <v>PROP_OPER__27</v>
      </c>
      <c r="B2106" s="15" t="str">
        <f t="shared" si="701"/>
        <v>PROP_OPER__0_0</v>
      </c>
      <c r="C2106" s="83"/>
      <c r="D2106" s="15">
        <v>1</v>
      </c>
      <c r="E2106" s="15">
        <v>27</v>
      </c>
      <c r="F2106" s="190">
        <f t="shared" si="709"/>
        <v>0</v>
      </c>
      <c r="G2106" s="149" t="str">
        <f t="shared" si="709"/>
        <v/>
      </c>
      <c r="H2106" s="150" t="str">
        <f t="shared" si="709"/>
        <v/>
      </c>
      <c r="I2106" s="150">
        <f t="shared" si="709"/>
        <v>0</v>
      </c>
      <c r="J2106" s="150">
        <f t="shared" si="709"/>
        <v>0</v>
      </c>
      <c r="K2106" s="196"/>
      <c r="L2106" s="197"/>
      <c r="M2106" s="191">
        <f t="shared" si="710"/>
        <v>0</v>
      </c>
      <c r="N2106" s="150">
        <f t="shared" si="710"/>
        <v>0</v>
      </c>
      <c r="O2106" s="193">
        <f t="shared" si="710"/>
        <v>0</v>
      </c>
      <c r="P2106" s="162">
        <f t="shared" si="711"/>
        <v>0</v>
      </c>
      <c r="Q2106" s="162">
        <f t="shared" si="711"/>
        <v>0</v>
      </c>
      <c r="R2106" s="162">
        <f t="shared" si="711"/>
        <v>0</v>
      </c>
      <c r="S2106" s="162">
        <f t="shared" si="711"/>
        <v>0</v>
      </c>
      <c r="T2106" s="162">
        <f t="shared" si="711"/>
        <v>0</v>
      </c>
      <c r="U2106" s="162">
        <f t="shared" si="711"/>
        <v>0</v>
      </c>
      <c r="V2106" s="162">
        <f t="shared" si="711"/>
        <v>0</v>
      </c>
      <c r="W2106" s="162">
        <f t="shared" si="711"/>
        <v>0</v>
      </c>
      <c r="X2106" s="162">
        <f t="shared" si="711"/>
        <v>0</v>
      </c>
      <c r="Y2106" s="162">
        <f t="shared" si="711"/>
        <v>0</v>
      </c>
      <c r="Z2106" s="162">
        <f t="shared" si="711"/>
        <v>0</v>
      </c>
      <c r="AA2106" s="162">
        <f t="shared" si="711"/>
        <v>0</v>
      </c>
      <c r="AB2106" s="163">
        <f t="shared" si="705"/>
        <v>0</v>
      </c>
      <c r="AC2106" s="198"/>
      <c r="AE2106" s="194" t="str">
        <f>IF(J2106=0,"",VLOOKUP(J2106,#REF!,2,0)&amp;" - "&amp;J2106&amp;" ("&amp;F2106&amp;" - "&amp;G2106&amp;")")</f>
        <v/>
      </c>
      <c r="AF2106" s="161">
        <f t="shared" si="712"/>
        <v>0</v>
      </c>
      <c r="AG2106" s="162">
        <f t="shared" si="712"/>
        <v>0</v>
      </c>
      <c r="AH2106" s="162">
        <f t="shared" si="712"/>
        <v>0</v>
      </c>
      <c r="AI2106" s="162">
        <f t="shared" si="712"/>
        <v>0</v>
      </c>
      <c r="AJ2106" s="162">
        <f t="shared" si="712"/>
        <v>0</v>
      </c>
      <c r="AK2106" s="162">
        <f t="shared" si="712"/>
        <v>0</v>
      </c>
      <c r="AL2106" s="162">
        <f t="shared" si="712"/>
        <v>0</v>
      </c>
      <c r="AM2106" s="162">
        <f t="shared" si="712"/>
        <v>0</v>
      </c>
      <c r="AN2106" s="162">
        <f t="shared" si="712"/>
        <v>0</v>
      </c>
      <c r="AO2106" s="162">
        <f t="shared" si="712"/>
        <v>0</v>
      </c>
      <c r="AP2106" s="162">
        <f t="shared" si="712"/>
        <v>0</v>
      </c>
      <c r="AQ2106" s="162">
        <f t="shared" si="712"/>
        <v>0</v>
      </c>
      <c r="AR2106" s="163">
        <f t="shared" si="707"/>
        <v>0</v>
      </c>
      <c r="AT2106" s="208">
        <f>IFERROR(VLOOKUP(J2106,#REF!,10,0),0)</f>
        <v>0</v>
      </c>
    </row>
    <row r="2107" spans="1:46" hidden="1" outlineLevel="1" x14ac:dyDescent="0.25">
      <c r="A2107" s="14" t="str">
        <f t="shared" si="700"/>
        <v>PROP_OPER__28</v>
      </c>
      <c r="B2107" s="15" t="str">
        <f t="shared" si="701"/>
        <v>PROP_OPER__0_0</v>
      </c>
      <c r="C2107" s="83"/>
      <c r="D2107" s="15">
        <v>1</v>
      </c>
      <c r="E2107" s="15">
        <v>28</v>
      </c>
      <c r="F2107" s="190">
        <f t="shared" si="709"/>
        <v>0</v>
      </c>
      <c r="G2107" s="149" t="str">
        <f t="shared" si="709"/>
        <v/>
      </c>
      <c r="H2107" s="150" t="str">
        <f t="shared" si="709"/>
        <v/>
      </c>
      <c r="I2107" s="150">
        <f t="shared" si="709"/>
        <v>0</v>
      </c>
      <c r="J2107" s="150">
        <f t="shared" si="709"/>
        <v>0</v>
      </c>
      <c r="K2107" s="196"/>
      <c r="L2107" s="197"/>
      <c r="M2107" s="191">
        <f t="shared" si="710"/>
        <v>0</v>
      </c>
      <c r="N2107" s="150">
        <f t="shared" si="710"/>
        <v>0</v>
      </c>
      <c r="O2107" s="193">
        <f t="shared" si="710"/>
        <v>0</v>
      </c>
      <c r="P2107" s="162">
        <f t="shared" si="711"/>
        <v>0</v>
      </c>
      <c r="Q2107" s="162">
        <f t="shared" si="711"/>
        <v>0</v>
      </c>
      <c r="R2107" s="162">
        <f t="shared" si="711"/>
        <v>0</v>
      </c>
      <c r="S2107" s="162">
        <f t="shared" si="711"/>
        <v>0</v>
      </c>
      <c r="T2107" s="162">
        <f t="shared" si="711"/>
        <v>0</v>
      </c>
      <c r="U2107" s="162">
        <f t="shared" si="711"/>
        <v>0</v>
      </c>
      <c r="V2107" s="162">
        <f t="shared" si="711"/>
        <v>0</v>
      </c>
      <c r="W2107" s="162">
        <f t="shared" si="711"/>
        <v>0</v>
      </c>
      <c r="X2107" s="162">
        <f t="shared" si="711"/>
        <v>0</v>
      </c>
      <c r="Y2107" s="162">
        <f t="shared" si="711"/>
        <v>0</v>
      </c>
      <c r="Z2107" s="162">
        <f t="shared" si="711"/>
        <v>0</v>
      </c>
      <c r="AA2107" s="162">
        <f t="shared" si="711"/>
        <v>0</v>
      </c>
      <c r="AB2107" s="163">
        <f t="shared" si="705"/>
        <v>0</v>
      </c>
      <c r="AC2107" s="198"/>
      <c r="AE2107" s="194" t="str">
        <f>IF(J2107=0,"",VLOOKUP(J2107,#REF!,2,0)&amp;" - "&amp;J2107&amp;" ("&amp;F2107&amp;" - "&amp;G2107&amp;")")</f>
        <v/>
      </c>
      <c r="AF2107" s="161">
        <f t="shared" si="712"/>
        <v>0</v>
      </c>
      <c r="AG2107" s="162">
        <f t="shared" si="712"/>
        <v>0</v>
      </c>
      <c r="AH2107" s="162">
        <f t="shared" si="712"/>
        <v>0</v>
      </c>
      <c r="AI2107" s="162">
        <f t="shared" si="712"/>
        <v>0</v>
      </c>
      <c r="AJ2107" s="162">
        <f t="shared" si="712"/>
        <v>0</v>
      </c>
      <c r="AK2107" s="162">
        <f t="shared" si="712"/>
        <v>0</v>
      </c>
      <c r="AL2107" s="162">
        <f t="shared" si="712"/>
        <v>0</v>
      </c>
      <c r="AM2107" s="162">
        <f t="shared" si="712"/>
        <v>0</v>
      </c>
      <c r="AN2107" s="162">
        <f t="shared" si="712"/>
        <v>0</v>
      </c>
      <c r="AO2107" s="162">
        <f t="shared" si="712"/>
        <v>0</v>
      </c>
      <c r="AP2107" s="162">
        <f t="shared" si="712"/>
        <v>0</v>
      </c>
      <c r="AQ2107" s="162">
        <f t="shared" si="712"/>
        <v>0</v>
      </c>
      <c r="AR2107" s="163">
        <f t="shared" si="707"/>
        <v>0</v>
      </c>
      <c r="AT2107" s="208">
        <f>IFERROR(VLOOKUP(J2107,#REF!,10,0),0)</f>
        <v>0</v>
      </c>
    </row>
    <row r="2108" spans="1:46" hidden="1" outlineLevel="1" x14ac:dyDescent="0.25">
      <c r="A2108" s="14" t="str">
        <f t="shared" si="700"/>
        <v>PROP_OPER__29</v>
      </c>
      <c r="B2108" s="15" t="str">
        <f t="shared" si="701"/>
        <v>PROP_OPER__0_0</v>
      </c>
      <c r="C2108" s="83"/>
      <c r="D2108" s="15">
        <v>1</v>
      </c>
      <c r="E2108" s="15">
        <v>29</v>
      </c>
      <c r="F2108" s="190">
        <f t="shared" si="709"/>
        <v>0</v>
      </c>
      <c r="G2108" s="149" t="str">
        <f t="shared" si="709"/>
        <v/>
      </c>
      <c r="H2108" s="150" t="str">
        <f t="shared" si="709"/>
        <v/>
      </c>
      <c r="I2108" s="150">
        <f t="shared" si="709"/>
        <v>0</v>
      </c>
      <c r="J2108" s="150">
        <f t="shared" si="709"/>
        <v>0</v>
      </c>
      <c r="K2108" s="196"/>
      <c r="L2108" s="197"/>
      <c r="M2108" s="191">
        <f t="shared" si="710"/>
        <v>0</v>
      </c>
      <c r="N2108" s="150">
        <f t="shared" si="710"/>
        <v>0</v>
      </c>
      <c r="O2108" s="193">
        <f t="shared" si="710"/>
        <v>0</v>
      </c>
      <c r="P2108" s="162">
        <f t="shared" si="711"/>
        <v>0</v>
      </c>
      <c r="Q2108" s="162">
        <f t="shared" si="711"/>
        <v>0</v>
      </c>
      <c r="R2108" s="162">
        <f t="shared" si="711"/>
        <v>0</v>
      </c>
      <c r="S2108" s="162">
        <f t="shared" si="711"/>
        <v>0</v>
      </c>
      <c r="T2108" s="162">
        <f t="shared" si="711"/>
        <v>0</v>
      </c>
      <c r="U2108" s="162">
        <f t="shared" si="711"/>
        <v>0</v>
      </c>
      <c r="V2108" s="162">
        <f t="shared" si="711"/>
        <v>0</v>
      </c>
      <c r="W2108" s="162">
        <f t="shared" si="711"/>
        <v>0</v>
      </c>
      <c r="X2108" s="162">
        <f t="shared" si="711"/>
        <v>0</v>
      </c>
      <c r="Y2108" s="162">
        <f t="shared" si="711"/>
        <v>0</v>
      </c>
      <c r="Z2108" s="162">
        <f t="shared" si="711"/>
        <v>0</v>
      </c>
      <c r="AA2108" s="162">
        <f t="shared" si="711"/>
        <v>0</v>
      </c>
      <c r="AB2108" s="163">
        <f t="shared" si="705"/>
        <v>0</v>
      </c>
      <c r="AC2108" s="198"/>
      <c r="AE2108" s="194" t="str">
        <f>IF(J2108=0,"",VLOOKUP(J2108,#REF!,2,0)&amp;" - "&amp;J2108&amp;" ("&amp;F2108&amp;" - "&amp;G2108&amp;")")</f>
        <v/>
      </c>
      <c r="AF2108" s="161">
        <f t="shared" si="712"/>
        <v>0</v>
      </c>
      <c r="AG2108" s="162">
        <f t="shared" si="712"/>
        <v>0</v>
      </c>
      <c r="AH2108" s="162">
        <f t="shared" si="712"/>
        <v>0</v>
      </c>
      <c r="AI2108" s="162">
        <f t="shared" si="712"/>
        <v>0</v>
      </c>
      <c r="AJ2108" s="162">
        <f t="shared" si="712"/>
        <v>0</v>
      </c>
      <c r="AK2108" s="162">
        <f t="shared" si="712"/>
        <v>0</v>
      </c>
      <c r="AL2108" s="162">
        <f t="shared" si="712"/>
        <v>0</v>
      </c>
      <c r="AM2108" s="162">
        <f t="shared" si="712"/>
        <v>0</v>
      </c>
      <c r="AN2108" s="162">
        <f t="shared" si="712"/>
        <v>0</v>
      </c>
      <c r="AO2108" s="162">
        <f t="shared" si="712"/>
        <v>0</v>
      </c>
      <c r="AP2108" s="162">
        <f t="shared" si="712"/>
        <v>0</v>
      </c>
      <c r="AQ2108" s="162">
        <f t="shared" si="712"/>
        <v>0</v>
      </c>
      <c r="AR2108" s="163">
        <f t="shared" si="707"/>
        <v>0</v>
      </c>
      <c r="AT2108" s="208">
        <f>IFERROR(VLOOKUP(J2108,#REF!,10,0),0)</f>
        <v>0</v>
      </c>
    </row>
    <row r="2109" spans="1:46" hidden="1" outlineLevel="1" x14ac:dyDescent="0.25">
      <c r="A2109" s="14" t="str">
        <f t="shared" si="700"/>
        <v>PROP_OPER__30</v>
      </c>
      <c r="B2109" s="15" t="str">
        <f t="shared" si="701"/>
        <v>PROP_OPER__0_0</v>
      </c>
      <c r="C2109" s="83"/>
      <c r="D2109" s="15">
        <v>1</v>
      </c>
      <c r="E2109" s="15">
        <v>30</v>
      </c>
      <c r="F2109" s="190">
        <f t="shared" si="709"/>
        <v>0</v>
      </c>
      <c r="G2109" s="149" t="str">
        <f t="shared" si="709"/>
        <v/>
      </c>
      <c r="H2109" s="150" t="str">
        <f t="shared" si="709"/>
        <v/>
      </c>
      <c r="I2109" s="150">
        <f t="shared" si="709"/>
        <v>0</v>
      </c>
      <c r="J2109" s="150">
        <f t="shared" si="709"/>
        <v>0</v>
      </c>
      <c r="K2109" s="196"/>
      <c r="L2109" s="197"/>
      <c r="M2109" s="191">
        <f t="shared" si="710"/>
        <v>0</v>
      </c>
      <c r="N2109" s="150">
        <f t="shared" si="710"/>
        <v>0</v>
      </c>
      <c r="O2109" s="193">
        <f t="shared" si="710"/>
        <v>0</v>
      </c>
      <c r="P2109" s="162">
        <f t="shared" si="711"/>
        <v>0</v>
      </c>
      <c r="Q2109" s="162">
        <f t="shared" si="711"/>
        <v>0</v>
      </c>
      <c r="R2109" s="162">
        <f t="shared" si="711"/>
        <v>0</v>
      </c>
      <c r="S2109" s="162">
        <f t="shared" si="711"/>
        <v>0</v>
      </c>
      <c r="T2109" s="162">
        <f t="shared" si="711"/>
        <v>0</v>
      </c>
      <c r="U2109" s="162">
        <f t="shared" si="711"/>
        <v>0</v>
      </c>
      <c r="V2109" s="162">
        <f t="shared" si="711"/>
        <v>0</v>
      </c>
      <c r="W2109" s="162">
        <f t="shared" si="711"/>
        <v>0</v>
      </c>
      <c r="X2109" s="162">
        <f t="shared" si="711"/>
        <v>0</v>
      </c>
      <c r="Y2109" s="162">
        <f t="shared" si="711"/>
        <v>0</v>
      </c>
      <c r="Z2109" s="162">
        <f t="shared" si="711"/>
        <v>0</v>
      </c>
      <c r="AA2109" s="162">
        <f t="shared" si="711"/>
        <v>0</v>
      </c>
      <c r="AB2109" s="163">
        <f t="shared" si="705"/>
        <v>0</v>
      </c>
      <c r="AC2109" s="198"/>
      <c r="AE2109" s="194" t="str">
        <f>IF(J2109=0,"",VLOOKUP(J2109,#REF!,2,0)&amp;" - "&amp;J2109&amp;" ("&amp;F2109&amp;" - "&amp;G2109&amp;")")</f>
        <v/>
      </c>
      <c r="AF2109" s="161">
        <f t="shared" si="712"/>
        <v>0</v>
      </c>
      <c r="AG2109" s="162">
        <f t="shared" si="712"/>
        <v>0</v>
      </c>
      <c r="AH2109" s="162">
        <f t="shared" si="712"/>
        <v>0</v>
      </c>
      <c r="AI2109" s="162">
        <f t="shared" si="712"/>
        <v>0</v>
      </c>
      <c r="AJ2109" s="162">
        <f t="shared" si="712"/>
        <v>0</v>
      </c>
      <c r="AK2109" s="162">
        <f t="shared" si="712"/>
        <v>0</v>
      </c>
      <c r="AL2109" s="162">
        <f t="shared" si="712"/>
        <v>0</v>
      </c>
      <c r="AM2109" s="162">
        <f t="shared" si="712"/>
        <v>0</v>
      </c>
      <c r="AN2109" s="162">
        <f t="shared" si="712"/>
        <v>0</v>
      </c>
      <c r="AO2109" s="162">
        <f t="shared" si="712"/>
        <v>0</v>
      </c>
      <c r="AP2109" s="162">
        <f t="shared" si="712"/>
        <v>0</v>
      </c>
      <c r="AQ2109" s="162">
        <f t="shared" si="712"/>
        <v>0</v>
      </c>
      <c r="AR2109" s="163">
        <f t="shared" si="707"/>
        <v>0</v>
      </c>
      <c r="AT2109" s="208">
        <f>IFERROR(VLOOKUP(J2109,#REF!,10,0),0)</f>
        <v>0</v>
      </c>
    </row>
    <row r="2110" spans="1:46" hidden="1" outlineLevel="1" x14ac:dyDescent="0.25">
      <c r="A2110" s="14" t="str">
        <f t="shared" si="700"/>
        <v>PROP_OPER__31</v>
      </c>
      <c r="B2110" s="15" t="str">
        <f t="shared" si="701"/>
        <v>PROP_OPER__0_0</v>
      </c>
      <c r="C2110" s="83"/>
      <c r="D2110" s="15">
        <v>1</v>
      </c>
      <c r="E2110" s="15">
        <v>31</v>
      </c>
      <c r="F2110" s="190">
        <f t="shared" si="709"/>
        <v>0</v>
      </c>
      <c r="G2110" s="149" t="str">
        <f t="shared" si="709"/>
        <v/>
      </c>
      <c r="H2110" s="150" t="str">
        <f t="shared" si="709"/>
        <v/>
      </c>
      <c r="I2110" s="150">
        <f t="shared" si="709"/>
        <v>0</v>
      </c>
      <c r="J2110" s="150">
        <f t="shared" si="709"/>
        <v>0</v>
      </c>
      <c r="K2110" s="196"/>
      <c r="L2110" s="197"/>
      <c r="M2110" s="191">
        <f t="shared" si="710"/>
        <v>0</v>
      </c>
      <c r="N2110" s="150">
        <f t="shared" si="710"/>
        <v>0</v>
      </c>
      <c r="O2110" s="193">
        <f t="shared" si="710"/>
        <v>0</v>
      </c>
      <c r="P2110" s="162">
        <f t="shared" si="711"/>
        <v>0</v>
      </c>
      <c r="Q2110" s="162">
        <f t="shared" si="711"/>
        <v>0</v>
      </c>
      <c r="R2110" s="162">
        <f t="shared" si="711"/>
        <v>0</v>
      </c>
      <c r="S2110" s="162">
        <f t="shared" si="711"/>
        <v>0</v>
      </c>
      <c r="T2110" s="162">
        <f t="shared" si="711"/>
        <v>0</v>
      </c>
      <c r="U2110" s="162">
        <f t="shared" si="711"/>
        <v>0</v>
      </c>
      <c r="V2110" s="162">
        <f t="shared" si="711"/>
        <v>0</v>
      </c>
      <c r="W2110" s="162">
        <f t="shared" si="711"/>
        <v>0</v>
      </c>
      <c r="X2110" s="162">
        <f t="shared" si="711"/>
        <v>0</v>
      </c>
      <c r="Y2110" s="162">
        <f t="shared" si="711"/>
        <v>0</v>
      </c>
      <c r="Z2110" s="162">
        <f t="shared" si="711"/>
        <v>0</v>
      </c>
      <c r="AA2110" s="162">
        <f t="shared" si="711"/>
        <v>0</v>
      </c>
      <c r="AB2110" s="163">
        <f t="shared" si="705"/>
        <v>0</v>
      </c>
      <c r="AC2110" s="198"/>
      <c r="AE2110" s="194" t="str">
        <f>IF(J2110=0,"",VLOOKUP(J2110,#REF!,2,0)&amp;" - "&amp;J2110&amp;" ("&amp;F2110&amp;" - "&amp;G2110&amp;")")</f>
        <v/>
      </c>
      <c r="AF2110" s="161">
        <f t="shared" si="712"/>
        <v>0</v>
      </c>
      <c r="AG2110" s="162">
        <f t="shared" si="712"/>
        <v>0</v>
      </c>
      <c r="AH2110" s="162">
        <f t="shared" si="712"/>
        <v>0</v>
      </c>
      <c r="AI2110" s="162">
        <f t="shared" si="712"/>
        <v>0</v>
      </c>
      <c r="AJ2110" s="162">
        <f t="shared" si="712"/>
        <v>0</v>
      </c>
      <c r="AK2110" s="162">
        <f t="shared" si="712"/>
        <v>0</v>
      </c>
      <c r="AL2110" s="162">
        <f t="shared" si="712"/>
        <v>0</v>
      </c>
      <c r="AM2110" s="162">
        <f t="shared" si="712"/>
        <v>0</v>
      </c>
      <c r="AN2110" s="162">
        <f t="shared" si="712"/>
        <v>0</v>
      </c>
      <c r="AO2110" s="162">
        <f t="shared" si="712"/>
        <v>0</v>
      </c>
      <c r="AP2110" s="162">
        <f t="shared" si="712"/>
        <v>0</v>
      </c>
      <c r="AQ2110" s="162">
        <f t="shared" si="712"/>
        <v>0</v>
      </c>
      <c r="AR2110" s="163">
        <f t="shared" si="707"/>
        <v>0</v>
      </c>
      <c r="AT2110" s="208">
        <f>IFERROR(VLOOKUP(J2110,#REF!,10,0),0)</f>
        <v>0</v>
      </c>
    </row>
    <row r="2111" spans="1:46" hidden="1" outlineLevel="1" x14ac:dyDescent="0.25">
      <c r="A2111" s="14" t="str">
        <f t="shared" si="700"/>
        <v>PROP_OPER__32</v>
      </c>
      <c r="B2111" s="15" t="str">
        <f t="shared" si="701"/>
        <v>PROP_OPER__0_0</v>
      </c>
      <c r="C2111" s="83"/>
      <c r="D2111" s="15">
        <v>1</v>
      </c>
      <c r="E2111" s="15">
        <v>32</v>
      </c>
      <c r="F2111" s="190">
        <f t="shared" si="709"/>
        <v>0</v>
      </c>
      <c r="G2111" s="149" t="str">
        <f t="shared" si="709"/>
        <v/>
      </c>
      <c r="H2111" s="150" t="str">
        <f t="shared" si="709"/>
        <v/>
      </c>
      <c r="I2111" s="150">
        <f t="shared" si="709"/>
        <v>0</v>
      </c>
      <c r="J2111" s="150">
        <f t="shared" si="709"/>
        <v>0</v>
      </c>
      <c r="K2111" s="196"/>
      <c r="L2111" s="197"/>
      <c r="M2111" s="191">
        <f t="shared" si="710"/>
        <v>0</v>
      </c>
      <c r="N2111" s="150">
        <f t="shared" si="710"/>
        <v>0</v>
      </c>
      <c r="O2111" s="193">
        <f t="shared" si="710"/>
        <v>0</v>
      </c>
      <c r="P2111" s="162">
        <f t="shared" si="711"/>
        <v>0</v>
      </c>
      <c r="Q2111" s="162">
        <f t="shared" si="711"/>
        <v>0</v>
      </c>
      <c r="R2111" s="162">
        <f t="shared" si="711"/>
        <v>0</v>
      </c>
      <c r="S2111" s="162">
        <f t="shared" si="711"/>
        <v>0</v>
      </c>
      <c r="T2111" s="162">
        <f t="shared" si="711"/>
        <v>0</v>
      </c>
      <c r="U2111" s="162">
        <f t="shared" si="711"/>
        <v>0</v>
      </c>
      <c r="V2111" s="162">
        <f t="shared" si="711"/>
        <v>0</v>
      </c>
      <c r="W2111" s="162">
        <f t="shared" si="711"/>
        <v>0</v>
      </c>
      <c r="X2111" s="162">
        <f t="shared" si="711"/>
        <v>0</v>
      </c>
      <c r="Y2111" s="162">
        <f t="shared" si="711"/>
        <v>0</v>
      </c>
      <c r="Z2111" s="162">
        <f t="shared" si="711"/>
        <v>0</v>
      </c>
      <c r="AA2111" s="162">
        <f t="shared" si="711"/>
        <v>0</v>
      </c>
      <c r="AB2111" s="163">
        <f t="shared" si="705"/>
        <v>0</v>
      </c>
      <c r="AC2111" s="198"/>
      <c r="AE2111" s="194" t="str">
        <f>IF(J2111=0,"",VLOOKUP(J2111,#REF!,2,0)&amp;" - "&amp;J2111&amp;" ("&amp;F2111&amp;" - "&amp;G2111&amp;")")</f>
        <v/>
      </c>
      <c r="AF2111" s="161">
        <f t="shared" si="712"/>
        <v>0</v>
      </c>
      <c r="AG2111" s="162">
        <f t="shared" si="712"/>
        <v>0</v>
      </c>
      <c r="AH2111" s="162">
        <f t="shared" si="712"/>
        <v>0</v>
      </c>
      <c r="AI2111" s="162">
        <f t="shared" si="712"/>
        <v>0</v>
      </c>
      <c r="AJ2111" s="162">
        <f t="shared" si="712"/>
        <v>0</v>
      </c>
      <c r="AK2111" s="162">
        <f t="shared" si="712"/>
        <v>0</v>
      </c>
      <c r="AL2111" s="162">
        <f t="shared" si="712"/>
        <v>0</v>
      </c>
      <c r="AM2111" s="162">
        <f t="shared" si="712"/>
        <v>0</v>
      </c>
      <c r="AN2111" s="162">
        <f t="shared" si="712"/>
        <v>0</v>
      </c>
      <c r="AO2111" s="162">
        <f t="shared" si="712"/>
        <v>0</v>
      </c>
      <c r="AP2111" s="162">
        <f t="shared" si="712"/>
        <v>0</v>
      </c>
      <c r="AQ2111" s="162">
        <f t="shared" si="712"/>
        <v>0</v>
      </c>
      <c r="AR2111" s="163">
        <f t="shared" si="707"/>
        <v>0</v>
      </c>
      <c r="AT2111" s="208">
        <f>IFERROR(VLOOKUP(J2111,#REF!,10,0),0)</f>
        <v>0</v>
      </c>
    </row>
    <row r="2112" spans="1:46" hidden="1" outlineLevel="1" x14ac:dyDescent="0.25">
      <c r="A2112" s="14" t="str">
        <f t="shared" si="700"/>
        <v>PROP_OPER__33</v>
      </c>
      <c r="B2112" s="15" t="str">
        <f t="shared" si="701"/>
        <v>PROP_OPER__0_0</v>
      </c>
      <c r="C2112" s="83"/>
      <c r="D2112" s="15">
        <v>1</v>
      </c>
      <c r="E2112" s="15">
        <v>33</v>
      </c>
      <c r="F2112" s="190">
        <f t="shared" ref="F2112:J2124" si="713">F1919</f>
        <v>0</v>
      </c>
      <c r="G2112" s="149" t="str">
        <f t="shared" si="713"/>
        <v/>
      </c>
      <c r="H2112" s="150" t="str">
        <f t="shared" si="713"/>
        <v/>
      </c>
      <c r="I2112" s="150">
        <f t="shared" si="713"/>
        <v>0</v>
      </c>
      <c r="J2112" s="150">
        <f t="shared" si="713"/>
        <v>0</v>
      </c>
      <c r="K2112" s="196"/>
      <c r="L2112" s="197"/>
      <c r="M2112" s="191">
        <f t="shared" ref="M2112:O2124" si="714">M1919</f>
        <v>0</v>
      </c>
      <c r="N2112" s="150">
        <f t="shared" si="714"/>
        <v>0</v>
      </c>
      <c r="O2112" s="193">
        <f t="shared" si="714"/>
        <v>0</v>
      </c>
      <c r="P2112" s="162">
        <f t="shared" ref="P2112:AA2124" si="715">IFERROR(SUMIF($B$1817:$B$1835,$C2112&amp;$I2112,P$1817:P$1835)/SUMIF($D$1817:$D$1835,$I2112,P$1817:P$1835)*P1919,0)</f>
        <v>0</v>
      </c>
      <c r="Q2112" s="162">
        <f t="shared" si="715"/>
        <v>0</v>
      </c>
      <c r="R2112" s="162">
        <f t="shared" si="715"/>
        <v>0</v>
      </c>
      <c r="S2112" s="162">
        <f t="shared" si="715"/>
        <v>0</v>
      </c>
      <c r="T2112" s="162">
        <f t="shared" si="715"/>
        <v>0</v>
      </c>
      <c r="U2112" s="162">
        <f t="shared" si="715"/>
        <v>0</v>
      </c>
      <c r="V2112" s="162">
        <f t="shared" si="715"/>
        <v>0</v>
      </c>
      <c r="W2112" s="162">
        <f t="shared" si="715"/>
        <v>0</v>
      </c>
      <c r="X2112" s="162">
        <f t="shared" si="715"/>
        <v>0</v>
      </c>
      <c r="Y2112" s="162">
        <f t="shared" si="715"/>
        <v>0</v>
      </c>
      <c r="Z2112" s="162">
        <f t="shared" si="715"/>
        <v>0</v>
      </c>
      <c r="AA2112" s="162">
        <f t="shared" si="715"/>
        <v>0</v>
      </c>
      <c r="AB2112" s="163">
        <f t="shared" si="705"/>
        <v>0</v>
      </c>
      <c r="AC2112" s="198"/>
      <c r="AE2112" s="194" t="str">
        <f>IF(J2112=0,"",VLOOKUP(J2112,#REF!,2,0)&amp;" - "&amp;J2112&amp;" ("&amp;F2112&amp;" - "&amp;G2112&amp;")")</f>
        <v/>
      </c>
      <c r="AF2112" s="161">
        <f t="shared" si="712"/>
        <v>0</v>
      </c>
      <c r="AG2112" s="162">
        <f t="shared" si="712"/>
        <v>0</v>
      </c>
      <c r="AH2112" s="162">
        <f t="shared" si="712"/>
        <v>0</v>
      </c>
      <c r="AI2112" s="162">
        <f t="shared" si="712"/>
        <v>0</v>
      </c>
      <c r="AJ2112" s="162">
        <f t="shared" si="712"/>
        <v>0</v>
      </c>
      <c r="AK2112" s="162">
        <f t="shared" si="712"/>
        <v>0</v>
      </c>
      <c r="AL2112" s="162">
        <f t="shared" si="712"/>
        <v>0</v>
      </c>
      <c r="AM2112" s="162">
        <f t="shared" si="712"/>
        <v>0</v>
      </c>
      <c r="AN2112" s="162">
        <f t="shared" si="712"/>
        <v>0</v>
      </c>
      <c r="AO2112" s="162">
        <f t="shared" si="712"/>
        <v>0</v>
      </c>
      <c r="AP2112" s="162">
        <f t="shared" si="712"/>
        <v>0</v>
      </c>
      <c r="AQ2112" s="162">
        <f t="shared" si="712"/>
        <v>0</v>
      </c>
      <c r="AR2112" s="163">
        <f t="shared" si="707"/>
        <v>0</v>
      </c>
      <c r="AT2112" s="208">
        <f>IFERROR(VLOOKUP(J2112,#REF!,10,0),0)</f>
        <v>0</v>
      </c>
    </row>
    <row r="2113" spans="1:46" hidden="1" outlineLevel="1" x14ac:dyDescent="0.25">
      <c r="A2113" s="14" t="str">
        <f t="shared" si="700"/>
        <v>PROP_OPER__34</v>
      </c>
      <c r="B2113" s="15" t="str">
        <f t="shared" si="701"/>
        <v>PROP_OPER__0_0</v>
      </c>
      <c r="C2113" s="83"/>
      <c r="D2113" s="15">
        <v>1</v>
      </c>
      <c r="E2113" s="15">
        <v>34</v>
      </c>
      <c r="F2113" s="190">
        <f t="shared" si="713"/>
        <v>0</v>
      </c>
      <c r="G2113" s="149" t="str">
        <f t="shared" si="713"/>
        <v/>
      </c>
      <c r="H2113" s="150" t="str">
        <f t="shared" si="713"/>
        <v/>
      </c>
      <c r="I2113" s="150">
        <f t="shared" si="713"/>
        <v>0</v>
      </c>
      <c r="J2113" s="150">
        <f t="shared" si="713"/>
        <v>0</v>
      </c>
      <c r="K2113" s="196"/>
      <c r="L2113" s="197"/>
      <c r="M2113" s="191">
        <f t="shared" si="714"/>
        <v>0</v>
      </c>
      <c r="N2113" s="150">
        <f t="shared" si="714"/>
        <v>0</v>
      </c>
      <c r="O2113" s="193">
        <f t="shared" si="714"/>
        <v>0</v>
      </c>
      <c r="P2113" s="162">
        <f t="shared" si="715"/>
        <v>0</v>
      </c>
      <c r="Q2113" s="162">
        <f t="shared" si="715"/>
        <v>0</v>
      </c>
      <c r="R2113" s="162">
        <f t="shared" si="715"/>
        <v>0</v>
      </c>
      <c r="S2113" s="162">
        <f t="shared" si="715"/>
        <v>0</v>
      </c>
      <c r="T2113" s="162">
        <f t="shared" si="715"/>
        <v>0</v>
      </c>
      <c r="U2113" s="162">
        <f t="shared" si="715"/>
        <v>0</v>
      </c>
      <c r="V2113" s="162">
        <f t="shared" si="715"/>
        <v>0</v>
      </c>
      <c r="W2113" s="162">
        <f t="shared" si="715"/>
        <v>0</v>
      </c>
      <c r="X2113" s="162">
        <f t="shared" si="715"/>
        <v>0</v>
      </c>
      <c r="Y2113" s="162">
        <f t="shared" si="715"/>
        <v>0</v>
      </c>
      <c r="Z2113" s="162">
        <f t="shared" si="715"/>
        <v>0</v>
      </c>
      <c r="AA2113" s="162">
        <f t="shared" si="715"/>
        <v>0</v>
      </c>
      <c r="AB2113" s="163">
        <f t="shared" si="705"/>
        <v>0</v>
      </c>
      <c r="AC2113" s="198"/>
      <c r="AE2113" s="194" t="str">
        <f>IF(J2113=0,"",VLOOKUP(J2113,#REF!,2,0)&amp;" - "&amp;J2113&amp;" ("&amp;F2113&amp;" - "&amp;G2113&amp;")")</f>
        <v/>
      </c>
      <c r="AF2113" s="161">
        <f t="shared" ref="AF2113:AQ2124" si="716">IFERROR(SUMIF($B$1817:$B$1835,$C2113&amp;$I2113,P$1817:P$1835)/SUMIF($D$1817:$D$1835,$I2113,P$1817:P$1835)*AF1920,0)</f>
        <v>0</v>
      </c>
      <c r="AG2113" s="162">
        <f t="shared" si="716"/>
        <v>0</v>
      </c>
      <c r="AH2113" s="162">
        <f t="shared" si="716"/>
        <v>0</v>
      </c>
      <c r="AI2113" s="162">
        <f t="shared" si="716"/>
        <v>0</v>
      </c>
      <c r="AJ2113" s="162">
        <f t="shared" si="716"/>
        <v>0</v>
      </c>
      <c r="AK2113" s="162">
        <f t="shared" si="716"/>
        <v>0</v>
      </c>
      <c r="AL2113" s="162">
        <f t="shared" si="716"/>
        <v>0</v>
      </c>
      <c r="AM2113" s="162">
        <f t="shared" si="716"/>
        <v>0</v>
      </c>
      <c r="AN2113" s="162">
        <f t="shared" si="716"/>
        <v>0</v>
      </c>
      <c r="AO2113" s="162">
        <f t="shared" si="716"/>
        <v>0</v>
      </c>
      <c r="AP2113" s="162">
        <f t="shared" si="716"/>
        <v>0</v>
      </c>
      <c r="AQ2113" s="162">
        <f t="shared" si="716"/>
        <v>0</v>
      </c>
      <c r="AR2113" s="163">
        <f t="shared" si="707"/>
        <v>0</v>
      </c>
      <c r="AT2113" s="208">
        <f>IFERROR(VLOOKUP(J2113,#REF!,10,0),0)</f>
        <v>0</v>
      </c>
    </row>
    <row r="2114" spans="1:46" hidden="1" outlineLevel="1" x14ac:dyDescent="0.25">
      <c r="A2114" s="14" t="str">
        <f t="shared" si="700"/>
        <v>PROP_OPER__35</v>
      </c>
      <c r="B2114" s="15" t="str">
        <f t="shared" si="701"/>
        <v>PROP_OPER__0_0</v>
      </c>
      <c r="C2114" s="83"/>
      <c r="D2114" s="15">
        <v>1</v>
      </c>
      <c r="E2114" s="15">
        <v>35</v>
      </c>
      <c r="F2114" s="190">
        <f t="shared" si="713"/>
        <v>0</v>
      </c>
      <c r="G2114" s="149" t="str">
        <f t="shared" si="713"/>
        <v/>
      </c>
      <c r="H2114" s="150" t="str">
        <f t="shared" si="713"/>
        <v/>
      </c>
      <c r="I2114" s="150">
        <f t="shared" si="713"/>
        <v>0</v>
      </c>
      <c r="J2114" s="150">
        <f t="shared" si="713"/>
        <v>0</v>
      </c>
      <c r="K2114" s="196"/>
      <c r="L2114" s="197"/>
      <c r="M2114" s="191">
        <f t="shared" si="714"/>
        <v>0</v>
      </c>
      <c r="N2114" s="150">
        <f t="shared" si="714"/>
        <v>0</v>
      </c>
      <c r="O2114" s="193">
        <f t="shared" si="714"/>
        <v>0</v>
      </c>
      <c r="P2114" s="162">
        <f t="shared" si="715"/>
        <v>0</v>
      </c>
      <c r="Q2114" s="162">
        <f t="shared" si="715"/>
        <v>0</v>
      </c>
      <c r="R2114" s="162">
        <f t="shared" si="715"/>
        <v>0</v>
      </c>
      <c r="S2114" s="162">
        <f t="shared" si="715"/>
        <v>0</v>
      </c>
      <c r="T2114" s="162">
        <f t="shared" si="715"/>
        <v>0</v>
      </c>
      <c r="U2114" s="162">
        <f t="shared" si="715"/>
        <v>0</v>
      </c>
      <c r="V2114" s="162">
        <f t="shared" si="715"/>
        <v>0</v>
      </c>
      <c r="W2114" s="162">
        <f t="shared" si="715"/>
        <v>0</v>
      </c>
      <c r="X2114" s="162">
        <f t="shared" si="715"/>
        <v>0</v>
      </c>
      <c r="Y2114" s="162">
        <f t="shared" si="715"/>
        <v>0</v>
      </c>
      <c r="Z2114" s="162">
        <f t="shared" si="715"/>
        <v>0</v>
      </c>
      <c r="AA2114" s="162">
        <f t="shared" si="715"/>
        <v>0</v>
      </c>
      <c r="AB2114" s="163">
        <f t="shared" si="705"/>
        <v>0</v>
      </c>
      <c r="AC2114" s="198"/>
      <c r="AE2114" s="194" t="str">
        <f>IF(J2114=0,"",VLOOKUP(J2114,#REF!,2,0)&amp;" - "&amp;J2114&amp;" ("&amp;F2114&amp;" - "&amp;G2114&amp;")")</f>
        <v/>
      </c>
      <c r="AF2114" s="161">
        <f t="shared" si="716"/>
        <v>0</v>
      </c>
      <c r="AG2114" s="162">
        <f t="shared" si="716"/>
        <v>0</v>
      </c>
      <c r="AH2114" s="162">
        <f t="shared" si="716"/>
        <v>0</v>
      </c>
      <c r="AI2114" s="162">
        <f t="shared" si="716"/>
        <v>0</v>
      </c>
      <c r="AJ2114" s="162">
        <f t="shared" si="716"/>
        <v>0</v>
      </c>
      <c r="AK2114" s="162">
        <f t="shared" si="716"/>
        <v>0</v>
      </c>
      <c r="AL2114" s="162">
        <f t="shared" si="716"/>
        <v>0</v>
      </c>
      <c r="AM2114" s="162">
        <f t="shared" si="716"/>
        <v>0</v>
      </c>
      <c r="AN2114" s="162">
        <f t="shared" si="716"/>
        <v>0</v>
      </c>
      <c r="AO2114" s="162">
        <f t="shared" si="716"/>
        <v>0</v>
      </c>
      <c r="AP2114" s="162">
        <f t="shared" si="716"/>
        <v>0</v>
      </c>
      <c r="AQ2114" s="162">
        <f t="shared" si="716"/>
        <v>0</v>
      </c>
      <c r="AR2114" s="163">
        <f t="shared" si="707"/>
        <v>0</v>
      </c>
      <c r="AT2114" s="208">
        <f>IFERROR(VLOOKUP(J2114,#REF!,10,0),0)</f>
        <v>0</v>
      </c>
    </row>
    <row r="2115" spans="1:46" hidden="1" outlineLevel="1" x14ac:dyDescent="0.25">
      <c r="A2115" s="14" t="str">
        <f t="shared" si="700"/>
        <v>PROP_OPER__36</v>
      </c>
      <c r="B2115" s="15" t="str">
        <f t="shared" si="701"/>
        <v>PROP_OPER__0_0</v>
      </c>
      <c r="C2115" s="83"/>
      <c r="D2115" s="15">
        <v>1</v>
      </c>
      <c r="E2115" s="15">
        <v>36</v>
      </c>
      <c r="F2115" s="190">
        <f t="shared" si="713"/>
        <v>0</v>
      </c>
      <c r="G2115" s="149" t="str">
        <f t="shared" si="713"/>
        <v/>
      </c>
      <c r="H2115" s="150" t="str">
        <f t="shared" si="713"/>
        <v/>
      </c>
      <c r="I2115" s="150">
        <f t="shared" si="713"/>
        <v>0</v>
      </c>
      <c r="J2115" s="150">
        <f t="shared" si="713"/>
        <v>0</v>
      </c>
      <c r="K2115" s="196"/>
      <c r="L2115" s="197"/>
      <c r="M2115" s="191">
        <f t="shared" si="714"/>
        <v>0</v>
      </c>
      <c r="N2115" s="150">
        <f t="shared" si="714"/>
        <v>0</v>
      </c>
      <c r="O2115" s="193">
        <f t="shared" si="714"/>
        <v>0</v>
      </c>
      <c r="P2115" s="162">
        <f t="shared" si="715"/>
        <v>0</v>
      </c>
      <c r="Q2115" s="162">
        <f t="shared" si="715"/>
        <v>0</v>
      </c>
      <c r="R2115" s="162">
        <f t="shared" si="715"/>
        <v>0</v>
      </c>
      <c r="S2115" s="162">
        <f t="shared" si="715"/>
        <v>0</v>
      </c>
      <c r="T2115" s="162">
        <f t="shared" si="715"/>
        <v>0</v>
      </c>
      <c r="U2115" s="162">
        <f t="shared" si="715"/>
        <v>0</v>
      </c>
      <c r="V2115" s="162">
        <f t="shared" si="715"/>
        <v>0</v>
      </c>
      <c r="W2115" s="162">
        <f t="shared" si="715"/>
        <v>0</v>
      </c>
      <c r="X2115" s="162">
        <f t="shared" si="715"/>
        <v>0</v>
      </c>
      <c r="Y2115" s="162">
        <f t="shared" si="715"/>
        <v>0</v>
      </c>
      <c r="Z2115" s="162">
        <f t="shared" si="715"/>
        <v>0</v>
      </c>
      <c r="AA2115" s="162">
        <f t="shared" si="715"/>
        <v>0</v>
      </c>
      <c r="AB2115" s="163">
        <f t="shared" si="705"/>
        <v>0</v>
      </c>
      <c r="AC2115" s="198"/>
      <c r="AE2115" s="194" t="str">
        <f>IF(J2115=0,"",VLOOKUP(J2115,#REF!,2,0)&amp;" - "&amp;J2115&amp;" ("&amp;F2115&amp;" - "&amp;G2115&amp;")")</f>
        <v/>
      </c>
      <c r="AF2115" s="161">
        <f t="shared" si="716"/>
        <v>0</v>
      </c>
      <c r="AG2115" s="162">
        <f t="shared" si="716"/>
        <v>0</v>
      </c>
      <c r="AH2115" s="162">
        <f t="shared" si="716"/>
        <v>0</v>
      </c>
      <c r="AI2115" s="162">
        <f t="shared" si="716"/>
        <v>0</v>
      </c>
      <c r="AJ2115" s="162">
        <f t="shared" si="716"/>
        <v>0</v>
      </c>
      <c r="AK2115" s="162">
        <f t="shared" si="716"/>
        <v>0</v>
      </c>
      <c r="AL2115" s="162">
        <f t="shared" si="716"/>
        <v>0</v>
      </c>
      <c r="AM2115" s="162">
        <f t="shared" si="716"/>
        <v>0</v>
      </c>
      <c r="AN2115" s="162">
        <f t="shared" si="716"/>
        <v>0</v>
      </c>
      <c r="AO2115" s="162">
        <f t="shared" si="716"/>
        <v>0</v>
      </c>
      <c r="AP2115" s="162">
        <f t="shared" si="716"/>
        <v>0</v>
      </c>
      <c r="AQ2115" s="162">
        <f t="shared" si="716"/>
        <v>0</v>
      </c>
      <c r="AR2115" s="163">
        <f t="shared" si="707"/>
        <v>0</v>
      </c>
      <c r="AT2115" s="208">
        <f>IFERROR(VLOOKUP(J2115,#REF!,10,0),0)</f>
        <v>0</v>
      </c>
    </row>
    <row r="2116" spans="1:46" hidden="1" outlineLevel="1" x14ac:dyDescent="0.25">
      <c r="A2116" s="14" t="str">
        <f t="shared" si="700"/>
        <v>PROP_OPER__37</v>
      </c>
      <c r="B2116" s="15" t="str">
        <f t="shared" si="701"/>
        <v>PROP_OPER__0_0</v>
      </c>
      <c r="C2116" s="83"/>
      <c r="D2116" s="15">
        <v>1</v>
      </c>
      <c r="E2116" s="15">
        <v>37</v>
      </c>
      <c r="F2116" s="190">
        <f t="shared" si="713"/>
        <v>0</v>
      </c>
      <c r="G2116" s="149" t="str">
        <f t="shared" si="713"/>
        <v/>
      </c>
      <c r="H2116" s="150" t="str">
        <f t="shared" si="713"/>
        <v/>
      </c>
      <c r="I2116" s="150">
        <f t="shared" si="713"/>
        <v>0</v>
      </c>
      <c r="J2116" s="150">
        <f t="shared" si="713"/>
        <v>0</v>
      </c>
      <c r="K2116" s="196"/>
      <c r="L2116" s="197"/>
      <c r="M2116" s="191">
        <f t="shared" si="714"/>
        <v>0</v>
      </c>
      <c r="N2116" s="150">
        <f t="shared" si="714"/>
        <v>0</v>
      </c>
      <c r="O2116" s="193">
        <f t="shared" si="714"/>
        <v>0</v>
      </c>
      <c r="P2116" s="162">
        <f t="shared" si="715"/>
        <v>0</v>
      </c>
      <c r="Q2116" s="162">
        <f t="shared" si="715"/>
        <v>0</v>
      </c>
      <c r="R2116" s="162">
        <f t="shared" si="715"/>
        <v>0</v>
      </c>
      <c r="S2116" s="162">
        <f t="shared" si="715"/>
        <v>0</v>
      </c>
      <c r="T2116" s="162">
        <f t="shared" si="715"/>
        <v>0</v>
      </c>
      <c r="U2116" s="162">
        <f t="shared" si="715"/>
        <v>0</v>
      </c>
      <c r="V2116" s="162">
        <f t="shared" si="715"/>
        <v>0</v>
      </c>
      <c r="W2116" s="162">
        <f t="shared" si="715"/>
        <v>0</v>
      </c>
      <c r="X2116" s="162">
        <f t="shared" si="715"/>
        <v>0</v>
      </c>
      <c r="Y2116" s="162">
        <f t="shared" si="715"/>
        <v>0</v>
      </c>
      <c r="Z2116" s="162">
        <f t="shared" si="715"/>
        <v>0</v>
      </c>
      <c r="AA2116" s="162">
        <f t="shared" si="715"/>
        <v>0</v>
      </c>
      <c r="AB2116" s="163">
        <f t="shared" si="705"/>
        <v>0</v>
      </c>
      <c r="AC2116" s="198"/>
      <c r="AE2116" s="194" t="str">
        <f>IF(J2116=0,"",VLOOKUP(J2116,#REF!,2,0)&amp;" - "&amp;J2116&amp;" ("&amp;F2116&amp;" - "&amp;G2116&amp;")")</f>
        <v/>
      </c>
      <c r="AF2116" s="161">
        <f t="shared" si="716"/>
        <v>0</v>
      </c>
      <c r="AG2116" s="162">
        <f t="shared" si="716"/>
        <v>0</v>
      </c>
      <c r="AH2116" s="162">
        <f t="shared" si="716"/>
        <v>0</v>
      </c>
      <c r="AI2116" s="162">
        <f t="shared" si="716"/>
        <v>0</v>
      </c>
      <c r="AJ2116" s="162">
        <f t="shared" si="716"/>
        <v>0</v>
      </c>
      <c r="AK2116" s="162">
        <f t="shared" si="716"/>
        <v>0</v>
      </c>
      <c r="AL2116" s="162">
        <f t="shared" si="716"/>
        <v>0</v>
      </c>
      <c r="AM2116" s="162">
        <f t="shared" si="716"/>
        <v>0</v>
      </c>
      <c r="AN2116" s="162">
        <f t="shared" si="716"/>
        <v>0</v>
      </c>
      <c r="AO2116" s="162">
        <f t="shared" si="716"/>
        <v>0</v>
      </c>
      <c r="AP2116" s="162">
        <f t="shared" si="716"/>
        <v>0</v>
      </c>
      <c r="AQ2116" s="162">
        <f t="shared" si="716"/>
        <v>0</v>
      </c>
      <c r="AR2116" s="163">
        <f t="shared" si="707"/>
        <v>0</v>
      </c>
      <c r="AT2116" s="208">
        <f>IFERROR(VLOOKUP(J2116,#REF!,10,0),0)</f>
        <v>0</v>
      </c>
    </row>
    <row r="2117" spans="1:46" hidden="1" outlineLevel="1" x14ac:dyDescent="0.25">
      <c r="A2117" s="14" t="str">
        <f t="shared" si="700"/>
        <v>PROP_OPER__38</v>
      </c>
      <c r="B2117" s="15" t="str">
        <f t="shared" si="701"/>
        <v>PROP_OPER__0_0</v>
      </c>
      <c r="C2117" s="83"/>
      <c r="D2117" s="15">
        <v>1</v>
      </c>
      <c r="E2117" s="15">
        <v>38</v>
      </c>
      <c r="F2117" s="190">
        <f t="shared" si="713"/>
        <v>0</v>
      </c>
      <c r="G2117" s="149" t="str">
        <f t="shared" si="713"/>
        <v/>
      </c>
      <c r="H2117" s="150" t="str">
        <f t="shared" si="713"/>
        <v/>
      </c>
      <c r="I2117" s="150">
        <f t="shared" si="713"/>
        <v>0</v>
      </c>
      <c r="J2117" s="150">
        <f t="shared" si="713"/>
        <v>0</v>
      </c>
      <c r="K2117" s="196"/>
      <c r="L2117" s="197"/>
      <c r="M2117" s="191">
        <f t="shared" si="714"/>
        <v>0</v>
      </c>
      <c r="N2117" s="150">
        <f t="shared" si="714"/>
        <v>0</v>
      </c>
      <c r="O2117" s="193">
        <f t="shared" si="714"/>
        <v>0</v>
      </c>
      <c r="P2117" s="162">
        <f t="shared" si="715"/>
        <v>0</v>
      </c>
      <c r="Q2117" s="162">
        <f t="shared" si="715"/>
        <v>0</v>
      </c>
      <c r="R2117" s="162">
        <f t="shared" si="715"/>
        <v>0</v>
      </c>
      <c r="S2117" s="162">
        <f t="shared" si="715"/>
        <v>0</v>
      </c>
      <c r="T2117" s="162">
        <f t="shared" si="715"/>
        <v>0</v>
      </c>
      <c r="U2117" s="162">
        <f t="shared" si="715"/>
        <v>0</v>
      </c>
      <c r="V2117" s="162">
        <f t="shared" si="715"/>
        <v>0</v>
      </c>
      <c r="W2117" s="162">
        <f t="shared" si="715"/>
        <v>0</v>
      </c>
      <c r="X2117" s="162">
        <f t="shared" si="715"/>
        <v>0</v>
      </c>
      <c r="Y2117" s="162">
        <f t="shared" si="715"/>
        <v>0</v>
      </c>
      <c r="Z2117" s="162">
        <f t="shared" si="715"/>
        <v>0</v>
      </c>
      <c r="AA2117" s="162">
        <f t="shared" si="715"/>
        <v>0</v>
      </c>
      <c r="AB2117" s="163">
        <f t="shared" si="705"/>
        <v>0</v>
      </c>
      <c r="AC2117" s="198"/>
      <c r="AE2117" s="194" t="str">
        <f>IF(J2117=0,"",VLOOKUP(J2117,#REF!,2,0)&amp;" - "&amp;J2117&amp;" ("&amp;F2117&amp;" - "&amp;G2117&amp;")")</f>
        <v/>
      </c>
      <c r="AF2117" s="161">
        <f t="shared" si="716"/>
        <v>0</v>
      </c>
      <c r="AG2117" s="162">
        <f t="shared" si="716"/>
        <v>0</v>
      </c>
      <c r="AH2117" s="162">
        <f t="shared" si="716"/>
        <v>0</v>
      </c>
      <c r="AI2117" s="162">
        <f t="shared" si="716"/>
        <v>0</v>
      </c>
      <c r="AJ2117" s="162">
        <f t="shared" si="716"/>
        <v>0</v>
      </c>
      <c r="AK2117" s="162">
        <f t="shared" si="716"/>
        <v>0</v>
      </c>
      <c r="AL2117" s="162">
        <f t="shared" si="716"/>
        <v>0</v>
      </c>
      <c r="AM2117" s="162">
        <f t="shared" si="716"/>
        <v>0</v>
      </c>
      <c r="AN2117" s="162">
        <f t="shared" si="716"/>
        <v>0</v>
      </c>
      <c r="AO2117" s="162">
        <f t="shared" si="716"/>
        <v>0</v>
      </c>
      <c r="AP2117" s="162">
        <f t="shared" si="716"/>
        <v>0</v>
      </c>
      <c r="AQ2117" s="162">
        <f t="shared" si="716"/>
        <v>0</v>
      </c>
      <c r="AR2117" s="163">
        <f t="shared" si="707"/>
        <v>0</v>
      </c>
      <c r="AT2117" s="208">
        <f>IFERROR(VLOOKUP(J2117,#REF!,10,0),0)</f>
        <v>0</v>
      </c>
    </row>
    <row r="2118" spans="1:46" hidden="1" outlineLevel="1" x14ac:dyDescent="0.25">
      <c r="A2118" s="14" t="str">
        <f t="shared" si="700"/>
        <v>PROP_OPER__39</v>
      </c>
      <c r="B2118" s="15" t="str">
        <f t="shared" si="701"/>
        <v>PROP_OPER__0_0</v>
      </c>
      <c r="C2118" s="83"/>
      <c r="D2118" s="15">
        <v>1</v>
      </c>
      <c r="E2118" s="15">
        <v>39</v>
      </c>
      <c r="F2118" s="190">
        <f t="shared" si="713"/>
        <v>0</v>
      </c>
      <c r="G2118" s="149" t="str">
        <f t="shared" si="713"/>
        <v/>
      </c>
      <c r="H2118" s="150" t="str">
        <f t="shared" si="713"/>
        <v/>
      </c>
      <c r="I2118" s="150">
        <f t="shared" si="713"/>
        <v>0</v>
      </c>
      <c r="J2118" s="150">
        <f t="shared" si="713"/>
        <v>0</v>
      </c>
      <c r="K2118" s="196"/>
      <c r="L2118" s="197"/>
      <c r="M2118" s="191">
        <f t="shared" si="714"/>
        <v>0</v>
      </c>
      <c r="N2118" s="150">
        <f t="shared" si="714"/>
        <v>0</v>
      </c>
      <c r="O2118" s="193">
        <f t="shared" si="714"/>
        <v>0</v>
      </c>
      <c r="P2118" s="162">
        <f t="shared" si="715"/>
        <v>0</v>
      </c>
      <c r="Q2118" s="162">
        <f t="shared" si="715"/>
        <v>0</v>
      </c>
      <c r="R2118" s="162">
        <f t="shared" si="715"/>
        <v>0</v>
      </c>
      <c r="S2118" s="162">
        <f t="shared" si="715"/>
        <v>0</v>
      </c>
      <c r="T2118" s="162">
        <f t="shared" si="715"/>
        <v>0</v>
      </c>
      <c r="U2118" s="162">
        <f t="shared" si="715"/>
        <v>0</v>
      </c>
      <c r="V2118" s="162">
        <f t="shared" si="715"/>
        <v>0</v>
      </c>
      <c r="W2118" s="162">
        <f t="shared" si="715"/>
        <v>0</v>
      </c>
      <c r="X2118" s="162">
        <f t="shared" si="715"/>
        <v>0</v>
      </c>
      <c r="Y2118" s="162">
        <f t="shared" si="715"/>
        <v>0</v>
      </c>
      <c r="Z2118" s="162">
        <f t="shared" si="715"/>
        <v>0</v>
      </c>
      <c r="AA2118" s="162">
        <f t="shared" si="715"/>
        <v>0</v>
      </c>
      <c r="AB2118" s="163">
        <f t="shared" si="705"/>
        <v>0</v>
      </c>
      <c r="AC2118" s="198"/>
      <c r="AE2118" s="194" t="str">
        <f>IF(J2118=0,"",VLOOKUP(J2118,#REF!,2,0)&amp;" - "&amp;J2118&amp;" ("&amp;F2118&amp;" - "&amp;G2118&amp;")")</f>
        <v/>
      </c>
      <c r="AF2118" s="161">
        <f t="shared" si="716"/>
        <v>0</v>
      </c>
      <c r="AG2118" s="162">
        <f t="shared" si="716"/>
        <v>0</v>
      </c>
      <c r="AH2118" s="162">
        <f t="shared" si="716"/>
        <v>0</v>
      </c>
      <c r="AI2118" s="162">
        <f t="shared" si="716"/>
        <v>0</v>
      </c>
      <c r="AJ2118" s="162">
        <f t="shared" si="716"/>
        <v>0</v>
      </c>
      <c r="AK2118" s="162">
        <f t="shared" si="716"/>
        <v>0</v>
      </c>
      <c r="AL2118" s="162">
        <f t="shared" si="716"/>
        <v>0</v>
      </c>
      <c r="AM2118" s="162">
        <f t="shared" si="716"/>
        <v>0</v>
      </c>
      <c r="AN2118" s="162">
        <f t="shared" si="716"/>
        <v>0</v>
      </c>
      <c r="AO2118" s="162">
        <f t="shared" si="716"/>
        <v>0</v>
      </c>
      <c r="AP2118" s="162">
        <f t="shared" si="716"/>
        <v>0</v>
      </c>
      <c r="AQ2118" s="162">
        <f t="shared" si="716"/>
        <v>0</v>
      </c>
      <c r="AR2118" s="163">
        <f t="shared" si="707"/>
        <v>0</v>
      </c>
      <c r="AT2118" s="208">
        <f>IFERROR(VLOOKUP(J2118,#REF!,10,0),0)</f>
        <v>0</v>
      </c>
    </row>
    <row r="2119" spans="1:46" hidden="1" outlineLevel="1" x14ac:dyDescent="0.25">
      <c r="A2119" s="14" t="str">
        <f t="shared" si="700"/>
        <v>PROP_OPER__40</v>
      </c>
      <c r="B2119" s="15" t="str">
        <f t="shared" si="701"/>
        <v>PROP_OPER__0_0</v>
      </c>
      <c r="C2119" s="83"/>
      <c r="D2119" s="15">
        <v>1</v>
      </c>
      <c r="E2119" s="15">
        <v>40</v>
      </c>
      <c r="F2119" s="190">
        <f t="shared" si="713"/>
        <v>0</v>
      </c>
      <c r="G2119" s="149" t="str">
        <f t="shared" si="713"/>
        <v/>
      </c>
      <c r="H2119" s="150" t="str">
        <f t="shared" si="713"/>
        <v/>
      </c>
      <c r="I2119" s="150">
        <f t="shared" si="713"/>
        <v>0</v>
      </c>
      <c r="J2119" s="150">
        <f t="shared" si="713"/>
        <v>0</v>
      </c>
      <c r="K2119" s="196"/>
      <c r="L2119" s="197"/>
      <c r="M2119" s="191">
        <f t="shared" si="714"/>
        <v>0</v>
      </c>
      <c r="N2119" s="150">
        <f t="shared" si="714"/>
        <v>0</v>
      </c>
      <c r="O2119" s="193">
        <f t="shared" si="714"/>
        <v>0</v>
      </c>
      <c r="P2119" s="162">
        <f t="shared" si="715"/>
        <v>0</v>
      </c>
      <c r="Q2119" s="162">
        <f t="shared" si="715"/>
        <v>0</v>
      </c>
      <c r="R2119" s="162">
        <f t="shared" si="715"/>
        <v>0</v>
      </c>
      <c r="S2119" s="162">
        <f t="shared" si="715"/>
        <v>0</v>
      </c>
      <c r="T2119" s="162">
        <f t="shared" si="715"/>
        <v>0</v>
      </c>
      <c r="U2119" s="162">
        <f t="shared" si="715"/>
        <v>0</v>
      </c>
      <c r="V2119" s="162">
        <f t="shared" si="715"/>
        <v>0</v>
      </c>
      <c r="W2119" s="162">
        <f t="shared" si="715"/>
        <v>0</v>
      </c>
      <c r="X2119" s="162">
        <f t="shared" si="715"/>
        <v>0</v>
      </c>
      <c r="Y2119" s="162">
        <f t="shared" si="715"/>
        <v>0</v>
      </c>
      <c r="Z2119" s="162">
        <f t="shared" si="715"/>
        <v>0</v>
      </c>
      <c r="AA2119" s="162">
        <f t="shared" si="715"/>
        <v>0</v>
      </c>
      <c r="AB2119" s="163">
        <f t="shared" si="705"/>
        <v>0</v>
      </c>
      <c r="AC2119" s="198"/>
      <c r="AE2119" s="194" t="str">
        <f>IF(J2119=0,"",VLOOKUP(J2119,#REF!,2,0)&amp;" - "&amp;J2119&amp;" ("&amp;F2119&amp;" - "&amp;G2119&amp;")")</f>
        <v/>
      </c>
      <c r="AF2119" s="161">
        <f t="shared" si="716"/>
        <v>0</v>
      </c>
      <c r="AG2119" s="162">
        <f t="shared" si="716"/>
        <v>0</v>
      </c>
      <c r="AH2119" s="162">
        <f t="shared" si="716"/>
        <v>0</v>
      </c>
      <c r="AI2119" s="162">
        <f t="shared" si="716"/>
        <v>0</v>
      </c>
      <c r="AJ2119" s="162">
        <f t="shared" si="716"/>
        <v>0</v>
      </c>
      <c r="AK2119" s="162">
        <f t="shared" si="716"/>
        <v>0</v>
      </c>
      <c r="AL2119" s="162">
        <f t="shared" si="716"/>
        <v>0</v>
      </c>
      <c r="AM2119" s="162">
        <f t="shared" si="716"/>
        <v>0</v>
      </c>
      <c r="AN2119" s="162">
        <f t="shared" si="716"/>
        <v>0</v>
      </c>
      <c r="AO2119" s="162">
        <f t="shared" si="716"/>
        <v>0</v>
      </c>
      <c r="AP2119" s="162">
        <f t="shared" si="716"/>
        <v>0</v>
      </c>
      <c r="AQ2119" s="162">
        <f t="shared" si="716"/>
        <v>0</v>
      </c>
      <c r="AR2119" s="163">
        <f t="shared" si="707"/>
        <v>0</v>
      </c>
      <c r="AT2119" s="208">
        <f>IFERROR(VLOOKUP(J2119,#REF!,10,0),0)</f>
        <v>0</v>
      </c>
    </row>
    <row r="2120" spans="1:46" hidden="1" outlineLevel="1" x14ac:dyDescent="0.25">
      <c r="A2120" s="14" t="str">
        <f t="shared" si="700"/>
        <v>PROP_OPER__41</v>
      </c>
      <c r="B2120" s="15" t="str">
        <f t="shared" si="701"/>
        <v>PROP_OPER__0_0</v>
      </c>
      <c r="C2120" s="83"/>
      <c r="D2120" s="15">
        <v>1</v>
      </c>
      <c r="E2120" s="15">
        <v>41</v>
      </c>
      <c r="F2120" s="190">
        <f t="shared" si="713"/>
        <v>0</v>
      </c>
      <c r="G2120" s="149" t="str">
        <f t="shared" si="713"/>
        <v/>
      </c>
      <c r="H2120" s="150" t="str">
        <f t="shared" si="713"/>
        <v/>
      </c>
      <c r="I2120" s="150">
        <f t="shared" si="713"/>
        <v>0</v>
      </c>
      <c r="J2120" s="150">
        <f t="shared" si="713"/>
        <v>0</v>
      </c>
      <c r="K2120" s="196"/>
      <c r="L2120" s="197"/>
      <c r="M2120" s="191">
        <f t="shared" si="714"/>
        <v>0</v>
      </c>
      <c r="N2120" s="150">
        <f t="shared" si="714"/>
        <v>0</v>
      </c>
      <c r="O2120" s="193">
        <f t="shared" si="714"/>
        <v>0</v>
      </c>
      <c r="P2120" s="162">
        <f t="shared" si="715"/>
        <v>0</v>
      </c>
      <c r="Q2120" s="162">
        <f t="shared" si="715"/>
        <v>0</v>
      </c>
      <c r="R2120" s="162">
        <f t="shared" si="715"/>
        <v>0</v>
      </c>
      <c r="S2120" s="162">
        <f t="shared" si="715"/>
        <v>0</v>
      </c>
      <c r="T2120" s="162">
        <f t="shared" si="715"/>
        <v>0</v>
      </c>
      <c r="U2120" s="162">
        <f t="shared" si="715"/>
        <v>0</v>
      </c>
      <c r="V2120" s="162">
        <f t="shared" si="715"/>
        <v>0</v>
      </c>
      <c r="W2120" s="162">
        <f t="shared" si="715"/>
        <v>0</v>
      </c>
      <c r="X2120" s="162">
        <f t="shared" si="715"/>
        <v>0</v>
      </c>
      <c r="Y2120" s="162">
        <f t="shared" si="715"/>
        <v>0</v>
      </c>
      <c r="Z2120" s="162">
        <f t="shared" si="715"/>
        <v>0</v>
      </c>
      <c r="AA2120" s="162">
        <f t="shared" si="715"/>
        <v>0</v>
      </c>
      <c r="AB2120" s="163">
        <f t="shared" si="705"/>
        <v>0</v>
      </c>
      <c r="AC2120" s="198"/>
      <c r="AE2120" s="194" t="str">
        <f>IF(J2120=0,"",VLOOKUP(J2120,#REF!,2,0)&amp;" - "&amp;J2120&amp;" ("&amp;F2120&amp;" - "&amp;G2120&amp;")")</f>
        <v/>
      </c>
      <c r="AF2120" s="161">
        <f t="shared" si="716"/>
        <v>0</v>
      </c>
      <c r="AG2120" s="162">
        <f t="shared" si="716"/>
        <v>0</v>
      </c>
      <c r="AH2120" s="162">
        <f t="shared" si="716"/>
        <v>0</v>
      </c>
      <c r="AI2120" s="162">
        <f t="shared" si="716"/>
        <v>0</v>
      </c>
      <c r="AJ2120" s="162">
        <f t="shared" si="716"/>
        <v>0</v>
      </c>
      <c r="AK2120" s="162">
        <f t="shared" si="716"/>
        <v>0</v>
      </c>
      <c r="AL2120" s="162">
        <f t="shared" si="716"/>
        <v>0</v>
      </c>
      <c r="AM2120" s="162">
        <f t="shared" si="716"/>
        <v>0</v>
      </c>
      <c r="AN2120" s="162">
        <f t="shared" si="716"/>
        <v>0</v>
      </c>
      <c r="AO2120" s="162">
        <f t="shared" si="716"/>
        <v>0</v>
      </c>
      <c r="AP2120" s="162">
        <f t="shared" si="716"/>
        <v>0</v>
      </c>
      <c r="AQ2120" s="162">
        <f t="shared" si="716"/>
        <v>0</v>
      </c>
      <c r="AR2120" s="163">
        <f t="shared" si="707"/>
        <v>0</v>
      </c>
      <c r="AT2120" s="208">
        <f>IFERROR(VLOOKUP(J2120,#REF!,10,0),0)</f>
        <v>0</v>
      </c>
    </row>
    <row r="2121" spans="1:46" hidden="1" outlineLevel="1" x14ac:dyDescent="0.25">
      <c r="A2121" s="14" t="str">
        <f t="shared" si="700"/>
        <v>PROP_OPER__42</v>
      </c>
      <c r="B2121" s="15" t="str">
        <f t="shared" si="701"/>
        <v>PROP_OPER__0_0</v>
      </c>
      <c r="C2121" s="83"/>
      <c r="D2121" s="15">
        <v>1</v>
      </c>
      <c r="E2121" s="15">
        <v>42</v>
      </c>
      <c r="F2121" s="190">
        <f t="shared" si="713"/>
        <v>0</v>
      </c>
      <c r="G2121" s="149" t="str">
        <f t="shared" si="713"/>
        <v/>
      </c>
      <c r="H2121" s="150" t="str">
        <f t="shared" si="713"/>
        <v/>
      </c>
      <c r="I2121" s="150">
        <f t="shared" si="713"/>
        <v>0</v>
      </c>
      <c r="J2121" s="150">
        <f t="shared" si="713"/>
        <v>0</v>
      </c>
      <c r="K2121" s="196"/>
      <c r="L2121" s="197"/>
      <c r="M2121" s="191">
        <f t="shared" si="714"/>
        <v>0</v>
      </c>
      <c r="N2121" s="150">
        <f t="shared" si="714"/>
        <v>0</v>
      </c>
      <c r="O2121" s="193">
        <f t="shared" si="714"/>
        <v>0</v>
      </c>
      <c r="P2121" s="162">
        <f t="shared" si="715"/>
        <v>0</v>
      </c>
      <c r="Q2121" s="162">
        <f t="shared" si="715"/>
        <v>0</v>
      </c>
      <c r="R2121" s="162">
        <f t="shared" si="715"/>
        <v>0</v>
      </c>
      <c r="S2121" s="162">
        <f t="shared" si="715"/>
        <v>0</v>
      </c>
      <c r="T2121" s="162">
        <f t="shared" si="715"/>
        <v>0</v>
      </c>
      <c r="U2121" s="162">
        <f t="shared" si="715"/>
        <v>0</v>
      </c>
      <c r="V2121" s="162">
        <f t="shared" si="715"/>
        <v>0</v>
      </c>
      <c r="W2121" s="162">
        <f t="shared" si="715"/>
        <v>0</v>
      </c>
      <c r="X2121" s="162">
        <f t="shared" si="715"/>
        <v>0</v>
      </c>
      <c r="Y2121" s="162">
        <f t="shared" si="715"/>
        <v>0</v>
      </c>
      <c r="Z2121" s="162">
        <f t="shared" si="715"/>
        <v>0</v>
      </c>
      <c r="AA2121" s="162">
        <f t="shared" si="715"/>
        <v>0</v>
      </c>
      <c r="AB2121" s="163">
        <f t="shared" si="705"/>
        <v>0</v>
      </c>
      <c r="AC2121" s="198"/>
      <c r="AE2121" s="194" t="str">
        <f>IF(J2121=0,"",VLOOKUP(J2121,#REF!,2,0)&amp;" - "&amp;J2121&amp;" ("&amp;F2121&amp;" - "&amp;G2121&amp;")")</f>
        <v/>
      </c>
      <c r="AF2121" s="161">
        <f t="shared" si="716"/>
        <v>0</v>
      </c>
      <c r="AG2121" s="162">
        <f t="shared" si="716"/>
        <v>0</v>
      </c>
      <c r="AH2121" s="162">
        <f t="shared" si="716"/>
        <v>0</v>
      </c>
      <c r="AI2121" s="162">
        <f t="shared" si="716"/>
        <v>0</v>
      </c>
      <c r="AJ2121" s="162">
        <f t="shared" si="716"/>
        <v>0</v>
      </c>
      <c r="AK2121" s="162">
        <f t="shared" si="716"/>
        <v>0</v>
      </c>
      <c r="AL2121" s="162">
        <f t="shared" si="716"/>
        <v>0</v>
      </c>
      <c r="AM2121" s="162">
        <f t="shared" si="716"/>
        <v>0</v>
      </c>
      <c r="AN2121" s="162">
        <f t="shared" si="716"/>
        <v>0</v>
      </c>
      <c r="AO2121" s="162">
        <f t="shared" si="716"/>
        <v>0</v>
      </c>
      <c r="AP2121" s="162">
        <f t="shared" si="716"/>
        <v>0</v>
      </c>
      <c r="AQ2121" s="162">
        <f t="shared" si="716"/>
        <v>0</v>
      </c>
      <c r="AR2121" s="163">
        <f t="shared" si="707"/>
        <v>0</v>
      </c>
      <c r="AT2121" s="208">
        <f>IFERROR(VLOOKUP(J2121,#REF!,10,0),0)</f>
        <v>0</v>
      </c>
    </row>
    <row r="2122" spans="1:46" hidden="1" outlineLevel="1" x14ac:dyDescent="0.25">
      <c r="A2122" s="14" t="str">
        <f t="shared" si="700"/>
        <v>PROP_OPER__43</v>
      </c>
      <c r="B2122" s="15" t="str">
        <f t="shared" si="701"/>
        <v>PROP_OPER__0_0</v>
      </c>
      <c r="C2122" s="83"/>
      <c r="D2122" s="15">
        <v>1</v>
      </c>
      <c r="E2122" s="15">
        <v>43</v>
      </c>
      <c r="F2122" s="190">
        <f t="shared" si="713"/>
        <v>0</v>
      </c>
      <c r="G2122" s="149" t="str">
        <f t="shared" si="713"/>
        <v/>
      </c>
      <c r="H2122" s="150" t="str">
        <f t="shared" si="713"/>
        <v/>
      </c>
      <c r="I2122" s="150">
        <f t="shared" si="713"/>
        <v>0</v>
      </c>
      <c r="J2122" s="150">
        <f t="shared" si="713"/>
        <v>0</v>
      </c>
      <c r="K2122" s="196"/>
      <c r="L2122" s="197"/>
      <c r="M2122" s="191">
        <f t="shared" si="714"/>
        <v>0</v>
      </c>
      <c r="N2122" s="150">
        <f t="shared" si="714"/>
        <v>0</v>
      </c>
      <c r="O2122" s="193">
        <f t="shared" si="714"/>
        <v>0</v>
      </c>
      <c r="P2122" s="162">
        <f t="shared" si="715"/>
        <v>0</v>
      </c>
      <c r="Q2122" s="162">
        <f t="shared" si="715"/>
        <v>0</v>
      </c>
      <c r="R2122" s="162">
        <f t="shared" si="715"/>
        <v>0</v>
      </c>
      <c r="S2122" s="162">
        <f t="shared" si="715"/>
        <v>0</v>
      </c>
      <c r="T2122" s="162">
        <f t="shared" si="715"/>
        <v>0</v>
      </c>
      <c r="U2122" s="162">
        <f t="shared" si="715"/>
        <v>0</v>
      </c>
      <c r="V2122" s="162">
        <f t="shared" si="715"/>
        <v>0</v>
      </c>
      <c r="W2122" s="162">
        <f t="shared" si="715"/>
        <v>0</v>
      </c>
      <c r="X2122" s="162">
        <f t="shared" si="715"/>
        <v>0</v>
      </c>
      <c r="Y2122" s="162">
        <f t="shared" si="715"/>
        <v>0</v>
      </c>
      <c r="Z2122" s="162">
        <f t="shared" si="715"/>
        <v>0</v>
      </c>
      <c r="AA2122" s="162">
        <f t="shared" si="715"/>
        <v>0</v>
      </c>
      <c r="AB2122" s="163">
        <f t="shared" si="705"/>
        <v>0</v>
      </c>
      <c r="AC2122" s="198"/>
      <c r="AE2122" s="194" t="str">
        <f>IF(J2122=0,"",VLOOKUP(J2122,#REF!,2,0)&amp;" - "&amp;J2122&amp;" ("&amp;F2122&amp;" - "&amp;G2122&amp;")")</f>
        <v/>
      </c>
      <c r="AF2122" s="161">
        <f t="shared" si="716"/>
        <v>0</v>
      </c>
      <c r="AG2122" s="162">
        <f t="shared" si="716"/>
        <v>0</v>
      </c>
      <c r="AH2122" s="162">
        <f t="shared" si="716"/>
        <v>0</v>
      </c>
      <c r="AI2122" s="162">
        <f t="shared" si="716"/>
        <v>0</v>
      </c>
      <c r="AJ2122" s="162">
        <f t="shared" si="716"/>
        <v>0</v>
      </c>
      <c r="AK2122" s="162">
        <f t="shared" si="716"/>
        <v>0</v>
      </c>
      <c r="AL2122" s="162">
        <f t="shared" si="716"/>
        <v>0</v>
      </c>
      <c r="AM2122" s="162">
        <f t="shared" si="716"/>
        <v>0</v>
      </c>
      <c r="AN2122" s="162">
        <f t="shared" si="716"/>
        <v>0</v>
      </c>
      <c r="AO2122" s="162">
        <f t="shared" si="716"/>
        <v>0</v>
      </c>
      <c r="AP2122" s="162">
        <f t="shared" si="716"/>
        <v>0</v>
      </c>
      <c r="AQ2122" s="162">
        <f t="shared" si="716"/>
        <v>0</v>
      </c>
      <c r="AR2122" s="163">
        <f t="shared" si="707"/>
        <v>0</v>
      </c>
      <c r="AT2122" s="208">
        <f>IFERROR(VLOOKUP(J2122,#REF!,10,0),0)</f>
        <v>0</v>
      </c>
    </row>
    <row r="2123" spans="1:46" hidden="1" outlineLevel="1" x14ac:dyDescent="0.25">
      <c r="A2123" s="14" t="str">
        <f t="shared" si="700"/>
        <v>PROP_OPER__44</v>
      </c>
      <c r="B2123" s="15" t="str">
        <f t="shared" si="701"/>
        <v>PROP_OPER__0_0</v>
      </c>
      <c r="C2123" s="83"/>
      <c r="D2123" s="15">
        <v>1</v>
      </c>
      <c r="E2123" s="15">
        <v>44</v>
      </c>
      <c r="F2123" s="190">
        <f t="shared" si="713"/>
        <v>0</v>
      </c>
      <c r="G2123" s="149" t="str">
        <f t="shared" si="713"/>
        <v/>
      </c>
      <c r="H2123" s="150" t="str">
        <f t="shared" si="713"/>
        <v/>
      </c>
      <c r="I2123" s="150">
        <f t="shared" si="713"/>
        <v>0</v>
      </c>
      <c r="J2123" s="150">
        <f t="shared" si="713"/>
        <v>0</v>
      </c>
      <c r="K2123" s="196"/>
      <c r="L2123" s="197"/>
      <c r="M2123" s="191">
        <f t="shared" si="714"/>
        <v>0</v>
      </c>
      <c r="N2123" s="150">
        <f t="shared" si="714"/>
        <v>0</v>
      </c>
      <c r="O2123" s="193">
        <f t="shared" si="714"/>
        <v>0</v>
      </c>
      <c r="P2123" s="162">
        <f t="shared" si="715"/>
        <v>0</v>
      </c>
      <c r="Q2123" s="162">
        <f t="shared" si="715"/>
        <v>0</v>
      </c>
      <c r="R2123" s="162">
        <f t="shared" si="715"/>
        <v>0</v>
      </c>
      <c r="S2123" s="162">
        <f t="shared" si="715"/>
        <v>0</v>
      </c>
      <c r="T2123" s="162">
        <f t="shared" si="715"/>
        <v>0</v>
      </c>
      <c r="U2123" s="162">
        <f t="shared" si="715"/>
        <v>0</v>
      </c>
      <c r="V2123" s="162">
        <f t="shared" si="715"/>
        <v>0</v>
      </c>
      <c r="W2123" s="162">
        <f t="shared" si="715"/>
        <v>0</v>
      </c>
      <c r="X2123" s="162">
        <f t="shared" si="715"/>
        <v>0</v>
      </c>
      <c r="Y2123" s="162">
        <f t="shared" si="715"/>
        <v>0</v>
      </c>
      <c r="Z2123" s="162">
        <f t="shared" si="715"/>
        <v>0</v>
      </c>
      <c r="AA2123" s="162">
        <f t="shared" si="715"/>
        <v>0</v>
      </c>
      <c r="AB2123" s="163">
        <f t="shared" si="705"/>
        <v>0</v>
      </c>
      <c r="AC2123" s="198"/>
      <c r="AE2123" s="194" t="str">
        <f>IF(J2123=0,"",VLOOKUP(J2123,#REF!,2,0)&amp;" - "&amp;J2123&amp;" ("&amp;F2123&amp;" - "&amp;G2123&amp;")")</f>
        <v/>
      </c>
      <c r="AF2123" s="161">
        <f t="shared" si="716"/>
        <v>0</v>
      </c>
      <c r="AG2123" s="162">
        <f t="shared" si="716"/>
        <v>0</v>
      </c>
      <c r="AH2123" s="162">
        <f t="shared" si="716"/>
        <v>0</v>
      </c>
      <c r="AI2123" s="162">
        <f t="shared" si="716"/>
        <v>0</v>
      </c>
      <c r="AJ2123" s="162">
        <f t="shared" si="716"/>
        <v>0</v>
      </c>
      <c r="AK2123" s="162">
        <f t="shared" si="716"/>
        <v>0</v>
      </c>
      <c r="AL2123" s="162">
        <f t="shared" si="716"/>
        <v>0</v>
      </c>
      <c r="AM2123" s="162">
        <f t="shared" si="716"/>
        <v>0</v>
      </c>
      <c r="AN2123" s="162">
        <f t="shared" si="716"/>
        <v>0</v>
      </c>
      <c r="AO2123" s="162">
        <f t="shared" si="716"/>
        <v>0</v>
      </c>
      <c r="AP2123" s="162">
        <f t="shared" si="716"/>
        <v>0</v>
      </c>
      <c r="AQ2123" s="162">
        <f t="shared" si="716"/>
        <v>0</v>
      </c>
      <c r="AR2123" s="163">
        <f t="shared" si="707"/>
        <v>0</v>
      </c>
      <c r="AT2123" s="208">
        <f>IFERROR(VLOOKUP(J2123,#REF!,10,0),0)</f>
        <v>0</v>
      </c>
    </row>
    <row r="2124" spans="1:46" hidden="1" outlineLevel="1" x14ac:dyDescent="0.25">
      <c r="A2124" s="14" t="str">
        <f t="shared" si="700"/>
        <v>PROP_OPER__45</v>
      </c>
      <c r="B2124" s="15" t="str">
        <f t="shared" si="701"/>
        <v>PROP_OPER__0_0</v>
      </c>
      <c r="C2124" s="83"/>
      <c r="D2124" s="15">
        <v>1</v>
      </c>
      <c r="E2124" s="15">
        <v>45</v>
      </c>
      <c r="F2124" s="209">
        <f t="shared" si="713"/>
        <v>0</v>
      </c>
      <c r="G2124" s="183" t="str">
        <f t="shared" si="713"/>
        <v/>
      </c>
      <c r="H2124" s="184" t="str">
        <f t="shared" si="713"/>
        <v/>
      </c>
      <c r="I2124" s="184">
        <f t="shared" si="713"/>
        <v>0</v>
      </c>
      <c r="J2124" s="184">
        <f t="shared" si="713"/>
        <v>0</v>
      </c>
      <c r="K2124" s="210"/>
      <c r="L2124" s="211"/>
      <c r="M2124" s="212">
        <f t="shared" si="714"/>
        <v>0</v>
      </c>
      <c r="N2124" s="184">
        <f t="shared" si="714"/>
        <v>0</v>
      </c>
      <c r="O2124" s="213">
        <f t="shared" si="714"/>
        <v>0</v>
      </c>
      <c r="P2124" s="175">
        <f t="shared" si="715"/>
        <v>0</v>
      </c>
      <c r="Q2124" s="175">
        <f t="shared" si="715"/>
        <v>0</v>
      </c>
      <c r="R2124" s="175">
        <f t="shared" si="715"/>
        <v>0</v>
      </c>
      <c r="S2124" s="175">
        <f t="shared" si="715"/>
        <v>0</v>
      </c>
      <c r="T2124" s="175">
        <f t="shared" si="715"/>
        <v>0</v>
      </c>
      <c r="U2124" s="175">
        <f t="shared" si="715"/>
        <v>0</v>
      </c>
      <c r="V2124" s="175">
        <f t="shared" si="715"/>
        <v>0</v>
      </c>
      <c r="W2124" s="175">
        <f t="shared" si="715"/>
        <v>0</v>
      </c>
      <c r="X2124" s="175">
        <f t="shared" si="715"/>
        <v>0</v>
      </c>
      <c r="Y2124" s="175">
        <f t="shared" si="715"/>
        <v>0</v>
      </c>
      <c r="Z2124" s="175">
        <f t="shared" si="715"/>
        <v>0</v>
      </c>
      <c r="AA2124" s="175">
        <f t="shared" si="715"/>
        <v>0</v>
      </c>
      <c r="AB2124" s="176">
        <f t="shared" si="705"/>
        <v>0</v>
      </c>
      <c r="AC2124" s="172"/>
      <c r="AE2124" s="195" t="str">
        <f>IF(J2124=0,"",VLOOKUP(J2124,#REF!,2,0)&amp;" - "&amp;J2124&amp;" ("&amp;F2124&amp;" - "&amp;G2124&amp;")")</f>
        <v/>
      </c>
      <c r="AF2124" s="174">
        <f t="shared" si="716"/>
        <v>0</v>
      </c>
      <c r="AG2124" s="175">
        <f t="shared" si="716"/>
        <v>0</v>
      </c>
      <c r="AH2124" s="175">
        <f t="shared" si="716"/>
        <v>0</v>
      </c>
      <c r="AI2124" s="175">
        <f t="shared" si="716"/>
        <v>0</v>
      </c>
      <c r="AJ2124" s="175">
        <f t="shared" si="716"/>
        <v>0</v>
      </c>
      <c r="AK2124" s="175">
        <f t="shared" si="716"/>
        <v>0</v>
      </c>
      <c r="AL2124" s="175">
        <f t="shared" si="716"/>
        <v>0</v>
      </c>
      <c r="AM2124" s="175">
        <f t="shared" si="716"/>
        <v>0</v>
      </c>
      <c r="AN2124" s="175">
        <f t="shared" si="716"/>
        <v>0</v>
      </c>
      <c r="AO2124" s="175">
        <f t="shared" si="716"/>
        <v>0</v>
      </c>
      <c r="AP2124" s="175">
        <f t="shared" si="716"/>
        <v>0</v>
      </c>
      <c r="AQ2124" s="175">
        <f t="shared" si="716"/>
        <v>0</v>
      </c>
      <c r="AR2124" s="176">
        <f t="shared" si="707"/>
        <v>0</v>
      </c>
      <c r="AT2124" s="208">
        <f>IFERROR(VLOOKUP(J2124,#REF!,10,0),0)</f>
        <v>0</v>
      </c>
    </row>
    <row r="2125" spans="1:46" hidden="1" outlineLevel="1" x14ac:dyDescent="0.25">
      <c r="A2125" s="14" t="str">
        <f t="shared" si="700"/>
        <v>PROP_OPER__</v>
      </c>
      <c r="F2125" s="137" t="s">
        <v>318</v>
      </c>
      <c r="G2125" s="138"/>
      <c r="H2125" s="139" t="s">
        <v>217</v>
      </c>
      <c r="I2125" s="139"/>
      <c r="J2125" s="139" t="s">
        <v>229</v>
      </c>
      <c r="K2125" s="139"/>
      <c r="L2125" s="139"/>
      <c r="M2125" s="142" t="s">
        <v>220</v>
      </c>
      <c r="N2125" s="139" t="s">
        <v>221</v>
      </c>
      <c r="O2125" s="143" t="s">
        <v>222</v>
      </c>
      <c r="P2125" s="35">
        <f t="shared" ref="P2125:AA2125" si="717">P$9</f>
        <v>46113</v>
      </c>
      <c r="Q2125" s="35">
        <f t="shared" si="717"/>
        <v>46143</v>
      </c>
      <c r="R2125" s="35">
        <f t="shared" si="717"/>
        <v>46174</v>
      </c>
      <c r="S2125" s="35">
        <f t="shared" si="717"/>
        <v>46204</v>
      </c>
      <c r="T2125" s="35">
        <f t="shared" si="717"/>
        <v>46235</v>
      </c>
      <c r="U2125" s="35">
        <f t="shared" si="717"/>
        <v>46266</v>
      </c>
      <c r="V2125" s="35">
        <f t="shared" si="717"/>
        <v>46296</v>
      </c>
      <c r="W2125" s="35">
        <f t="shared" si="717"/>
        <v>46327</v>
      </c>
      <c r="X2125" s="35">
        <f t="shared" si="717"/>
        <v>46357</v>
      </c>
      <c r="Y2125" s="35">
        <f t="shared" si="717"/>
        <v>46388</v>
      </c>
      <c r="Z2125" s="35">
        <f t="shared" si="717"/>
        <v>46419</v>
      </c>
      <c r="AA2125" s="35">
        <f t="shared" si="717"/>
        <v>46447</v>
      </c>
      <c r="AB2125" s="81" t="s">
        <v>223</v>
      </c>
      <c r="AC2125" s="82" t="s">
        <v>192</v>
      </c>
      <c r="AE2125" s="189" t="str">
        <f>"Qtde Recursos em: "&amp;F2125</f>
        <v>Qtde Recursos em: TRATOS CANA SOCA - FORNECEDOR</v>
      </c>
      <c r="AF2125" s="147">
        <f>P2125</f>
        <v>46113</v>
      </c>
      <c r="AG2125" s="35">
        <f t="shared" ref="AG2125:AQ2125" si="718">Q2125</f>
        <v>46143</v>
      </c>
      <c r="AH2125" s="35">
        <f t="shared" si="718"/>
        <v>46174</v>
      </c>
      <c r="AI2125" s="35">
        <f t="shared" si="718"/>
        <v>46204</v>
      </c>
      <c r="AJ2125" s="35">
        <f t="shared" si="718"/>
        <v>46235</v>
      </c>
      <c r="AK2125" s="35">
        <f t="shared" si="718"/>
        <v>46266</v>
      </c>
      <c r="AL2125" s="35">
        <f t="shared" si="718"/>
        <v>46296</v>
      </c>
      <c r="AM2125" s="35">
        <f t="shared" si="718"/>
        <v>46327</v>
      </c>
      <c r="AN2125" s="35">
        <f t="shared" si="718"/>
        <v>46357</v>
      </c>
      <c r="AO2125" s="35">
        <f t="shared" si="718"/>
        <v>46388</v>
      </c>
      <c r="AP2125" s="35">
        <f t="shared" si="718"/>
        <v>46419</v>
      </c>
      <c r="AQ2125" s="35">
        <f t="shared" si="718"/>
        <v>46447</v>
      </c>
      <c r="AR2125" s="81" t="s">
        <v>223</v>
      </c>
      <c r="AT2125" s="189" t="s">
        <v>258</v>
      </c>
    </row>
    <row r="2126" spans="1:46" hidden="1" outlineLevel="1" x14ac:dyDescent="0.25">
      <c r="A2126" s="14" t="str">
        <f t="shared" si="700"/>
        <v>PROP_OPER__1</v>
      </c>
      <c r="B2126" s="15" t="str">
        <f t="shared" ref="B2126:B2170" si="719">"PROP_OPER_"&amp;C2126&amp;"_"&amp;F2126&amp;"_"&amp;J2126</f>
        <v>PROP_OPER__1071_0</v>
      </c>
      <c r="C2126" s="83"/>
      <c r="D2126" s="15">
        <v>1</v>
      </c>
      <c r="E2126" s="15">
        <v>1</v>
      </c>
      <c r="F2126" s="190">
        <f t="shared" ref="F2126:J2141" si="720">F2080</f>
        <v>1071</v>
      </c>
      <c r="G2126" s="149" t="str">
        <f t="shared" si="720"/>
        <v/>
      </c>
      <c r="H2126" s="150" t="str">
        <f t="shared" si="720"/>
        <v/>
      </c>
      <c r="I2126" s="150" t="str">
        <f t="shared" si="720"/>
        <v>TRATCSP</v>
      </c>
      <c r="J2126" s="150">
        <f t="shared" si="720"/>
        <v>0</v>
      </c>
      <c r="K2126" s="150"/>
      <c r="L2126" s="150"/>
      <c r="M2126" s="191">
        <f t="shared" ref="M2126:O2141" si="721">M2080</f>
        <v>0</v>
      </c>
      <c r="N2126" s="150">
        <f t="shared" si="721"/>
        <v>0</v>
      </c>
      <c r="O2126" s="193">
        <f t="shared" si="721"/>
        <v>0</v>
      </c>
      <c r="P2126" s="162">
        <f t="shared" ref="P2126:AA2141" si="722">IFERROR(SUMIF($B$1817:$B$1835,$C2126&amp;$I2126,P$1817:P$1835)/SUMIF($D$1817:$D$1835,$I2126,P$1817:P$1835)*P1887,0)</f>
        <v>0</v>
      </c>
      <c r="Q2126" s="162">
        <f t="shared" si="722"/>
        <v>0</v>
      </c>
      <c r="R2126" s="162">
        <f t="shared" si="722"/>
        <v>0</v>
      </c>
      <c r="S2126" s="162">
        <f t="shared" si="722"/>
        <v>0</v>
      </c>
      <c r="T2126" s="162">
        <f t="shared" si="722"/>
        <v>0</v>
      </c>
      <c r="U2126" s="162">
        <f t="shared" si="722"/>
        <v>0</v>
      </c>
      <c r="V2126" s="162">
        <f t="shared" si="722"/>
        <v>0</v>
      </c>
      <c r="W2126" s="162">
        <f t="shared" si="722"/>
        <v>0</v>
      </c>
      <c r="X2126" s="162">
        <f t="shared" si="722"/>
        <v>0</v>
      </c>
      <c r="Y2126" s="162">
        <f t="shared" si="722"/>
        <v>0</v>
      </c>
      <c r="Z2126" s="162">
        <f t="shared" si="722"/>
        <v>0</v>
      </c>
      <c r="AA2126" s="162">
        <f t="shared" si="722"/>
        <v>0</v>
      </c>
      <c r="AB2126" s="163">
        <f t="shared" ref="AB2126:AB2170" si="723">SUM(P2126:AA2126)</f>
        <v>0</v>
      </c>
      <c r="AC2126" s="198"/>
      <c r="AE2126" s="194" t="str">
        <f t="shared" ref="AE2126:AE2170" si="724">AE2080</f>
        <v/>
      </c>
      <c r="AF2126" s="161">
        <f>IFERROR(SUMIF($B$1817:$B$1835,$C2126&amp;$I2126,P$1817:P$1835)/SUMIF($D$1817:$D$1835,$I2126,P$1817:P$1835)*AF1887,0)</f>
        <v>0</v>
      </c>
      <c r="AG2126" s="162">
        <f t="shared" ref="AG2126:AQ2126" si="725">IFERROR(SUMIF($B$1817:$B$1835,$C2126&amp;$I2126,Q$1817:Q$1835)/SUMIF($D$1817:$D$1835,$I2126,Q$1817:Q$1835)*AG1887,0)</f>
        <v>0</v>
      </c>
      <c r="AH2126" s="162">
        <f t="shared" si="725"/>
        <v>0</v>
      </c>
      <c r="AI2126" s="162">
        <f t="shared" si="725"/>
        <v>0</v>
      </c>
      <c r="AJ2126" s="162">
        <f t="shared" si="725"/>
        <v>0</v>
      </c>
      <c r="AK2126" s="162">
        <f t="shared" si="725"/>
        <v>0</v>
      </c>
      <c r="AL2126" s="162">
        <f t="shared" si="725"/>
        <v>0</v>
      </c>
      <c r="AM2126" s="162">
        <f t="shared" si="725"/>
        <v>0</v>
      </c>
      <c r="AN2126" s="162">
        <f t="shared" si="725"/>
        <v>0</v>
      </c>
      <c r="AO2126" s="162">
        <f t="shared" si="725"/>
        <v>0</v>
      </c>
      <c r="AP2126" s="162">
        <f t="shared" si="725"/>
        <v>0</v>
      </c>
      <c r="AQ2126" s="162">
        <f t="shared" si="725"/>
        <v>0</v>
      </c>
      <c r="AR2126" s="163">
        <f t="shared" ref="AR2126:AR2170" si="726">SUM(AF2126:AQ2126)</f>
        <v>0</v>
      </c>
      <c r="AT2126" s="208">
        <f>IFERROR(VLOOKUP(J2126,#REF!,10,0),0)</f>
        <v>0</v>
      </c>
    </row>
    <row r="2127" spans="1:46" hidden="1" outlineLevel="1" x14ac:dyDescent="0.25">
      <c r="A2127" s="14" t="str">
        <f t="shared" si="700"/>
        <v>PROP_OPER__2</v>
      </c>
      <c r="B2127" s="15" t="str">
        <f t="shared" si="719"/>
        <v>PROP_OPER__1036_0</v>
      </c>
      <c r="C2127" s="83"/>
      <c r="D2127" s="15">
        <v>1</v>
      </c>
      <c r="E2127" s="15">
        <v>2</v>
      </c>
      <c r="F2127" s="190">
        <f t="shared" si="720"/>
        <v>1036</v>
      </c>
      <c r="G2127" s="149" t="str">
        <f t="shared" si="720"/>
        <v/>
      </c>
      <c r="H2127" s="150" t="str">
        <f t="shared" si="720"/>
        <v/>
      </c>
      <c r="I2127" s="150" t="str">
        <f t="shared" si="720"/>
        <v>TRATCSP</v>
      </c>
      <c r="J2127" s="150">
        <f t="shared" si="720"/>
        <v>0</v>
      </c>
      <c r="K2127" s="150"/>
      <c r="L2127" s="150"/>
      <c r="M2127" s="191">
        <f t="shared" si="721"/>
        <v>0</v>
      </c>
      <c r="N2127" s="150">
        <f t="shared" si="721"/>
        <v>0</v>
      </c>
      <c r="O2127" s="193">
        <f t="shared" si="721"/>
        <v>0</v>
      </c>
      <c r="P2127" s="162">
        <f t="shared" si="722"/>
        <v>0</v>
      </c>
      <c r="Q2127" s="162">
        <f t="shared" si="722"/>
        <v>0</v>
      </c>
      <c r="R2127" s="162">
        <f t="shared" si="722"/>
        <v>0</v>
      </c>
      <c r="S2127" s="162">
        <f t="shared" si="722"/>
        <v>0</v>
      </c>
      <c r="T2127" s="162">
        <f t="shared" si="722"/>
        <v>0</v>
      </c>
      <c r="U2127" s="162">
        <f t="shared" si="722"/>
        <v>0</v>
      </c>
      <c r="V2127" s="162">
        <f t="shared" si="722"/>
        <v>0</v>
      </c>
      <c r="W2127" s="162">
        <f t="shared" si="722"/>
        <v>0</v>
      </c>
      <c r="X2127" s="162">
        <f t="shared" si="722"/>
        <v>0</v>
      </c>
      <c r="Y2127" s="162">
        <f t="shared" si="722"/>
        <v>0</v>
      </c>
      <c r="Z2127" s="162">
        <f t="shared" si="722"/>
        <v>0</v>
      </c>
      <c r="AA2127" s="162">
        <f t="shared" si="722"/>
        <v>0</v>
      </c>
      <c r="AB2127" s="163">
        <f t="shared" si="723"/>
        <v>0</v>
      </c>
      <c r="AC2127" s="198"/>
      <c r="AE2127" s="194" t="str">
        <f t="shared" si="724"/>
        <v/>
      </c>
      <c r="AF2127" s="161">
        <f t="shared" ref="AF2127:AQ2142" si="727">IFERROR(SUMIF($B$1817:$B$1835,$C2127&amp;$I2127,P$1817:P$1835)/SUMIF($D$1817:$D$1835,$I2127,P$1817:P$1835)*AF1888,0)</f>
        <v>0</v>
      </c>
      <c r="AG2127" s="162">
        <f t="shared" si="727"/>
        <v>0</v>
      </c>
      <c r="AH2127" s="162">
        <f t="shared" si="727"/>
        <v>0</v>
      </c>
      <c r="AI2127" s="162">
        <f t="shared" si="727"/>
        <v>0</v>
      </c>
      <c r="AJ2127" s="162">
        <f t="shared" si="727"/>
        <v>0</v>
      </c>
      <c r="AK2127" s="162">
        <f t="shared" si="727"/>
        <v>0</v>
      </c>
      <c r="AL2127" s="162">
        <f t="shared" si="727"/>
        <v>0</v>
      </c>
      <c r="AM2127" s="162">
        <f t="shared" si="727"/>
        <v>0</v>
      </c>
      <c r="AN2127" s="162">
        <f t="shared" si="727"/>
        <v>0</v>
      </c>
      <c r="AO2127" s="162">
        <f t="shared" si="727"/>
        <v>0</v>
      </c>
      <c r="AP2127" s="162">
        <f t="shared" si="727"/>
        <v>0</v>
      </c>
      <c r="AQ2127" s="162">
        <f t="shared" si="727"/>
        <v>0</v>
      </c>
      <c r="AR2127" s="163">
        <f t="shared" si="726"/>
        <v>0</v>
      </c>
      <c r="AT2127" s="208">
        <f>IFERROR(VLOOKUP(J2127,#REF!,10,0),0)</f>
        <v>0</v>
      </c>
    </row>
    <row r="2128" spans="1:46" hidden="1" outlineLevel="1" x14ac:dyDescent="0.25">
      <c r="A2128" s="14" t="str">
        <f t="shared" si="700"/>
        <v>PROP_OPER__3</v>
      </c>
      <c r="B2128" s="15" t="str">
        <f t="shared" si="719"/>
        <v>PROP_OPER__1068_0</v>
      </c>
      <c r="C2128" s="83"/>
      <c r="D2128" s="15">
        <v>1</v>
      </c>
      <c r="E2128" s="15">
        <v>3</v>
      </c>
      <c r="F2128" s="190">
        <f t="shared" si="720"/>
        <v>1068</v>
      </c>
      <c r="G2128" s="149" t="str">
        <f t="shared" si="720"/>
        <v/>
      </c>
      <c r="H2128" s="150" t="str">
        <f t="shared" si="720"/>
        <v/>
      </c>
      <c r="I2128" s="150" t="str">
        <f t="shared" si="720"/>
        <v>TRATCSP</v>
      </c>
      <c r="J2128" s="150">
        <f t="shared" si="720"/>
        <v>0</v>
      </c>
      <c r="K2128" s="150"/>
      <c r="L2128" s="150"/>
      <c r="M2128" s="191">
        <f t="shared" si="721"/>
        <v>0</v>
      </c>
      <c r="N2128" s="150">
        <f t="shared" si="721"/>
        <v>0</v>
      </c>
      <c r="O2128" s="193">
        <f t="shared" si="721"/>
        <v>0</v>
      </c>
      <c r="P2128" s="162">
        <f t="shared" si="722"/>
        <v>0</v>
      </c>
      <c r="Q2128" s="162">
        <f t="shared" si="722"/>
        <v>0</v>
      </c>
      <c r="R2128" s="162">
        <f t="shared" si="722"/>
        <v>0</v>
      </c>
      <c r="S2128" s="162">
        <f t="shared" si="722"/>
        <v>0</v>
      </c>
      <c r="T2128" s="162">
        <f t="shared" si="722"/>
        <v>0</v>
      </c>
      <c r="U2128" s="162">
        <f t="shared" si="722"/>
        <v>0</v>
      </c>
      <c r="V2128" s="162">
        <f t="shared" si="722"/>
        <v>0</v>
      </c>
      <c r="W2128" s="162">
        <f t="shared" si="722"/>
        <v>0</v>
      </c>
      <c r="X2128" s="162">
        <f t="shared" si="722"/>
        <v>0</v>
      </c>
      <c r="Y2128" s="162">
        <f t="shared" si="722"/>
        <v>0</v>
      </c>
      <c r="Z2128" s="162">
        <f t="shared" si="722"/>
        <v>0</v>
      </c>
      <c r="AA2128" s="162">
        <f t="shared" si="722"/>
        <v>0</v>
      </c>
      <c r="AB2128" s="163">
        <f t="shared" si="723"/>
        <v>0</v>
      </c>
      <c r="AC2128" s="198"/>
      <c r="AE2128" s="194" t="str">
        <f t="shared" si="724"/>
        <v/>
      </c>
      <c r="AF2128" s="161">
        <f t="shared" si="727"/>
        <v>0</v>
      </c>
      <c r="AG2128" s="162">
        <f t="shared" si="727"/>
        <v>0</v>
      </c>
      <c r="AH2128" s="162">
        <f t="shared" si="727"/>
        <v>0</v>
      </c>
      <c r="AI2128" s="162">
        <f t="shared" si="727"/>
        <v>0</v>
      </c>
      <c r="AJ2128" s="162">
        <f t="shared" si="727"/>
        <v>0</v>
      </c>
      <c r="AK2128" s="162">
        <f t="shared" si="727"/>
        <v>0</v>
      </c>
      <c r="AL2128" s="162">
        <f t="shared" si="727"/>
        <v>0</v>
      </c>
      <c r="AM2128" s="162">
        <f t="shared" si="727"/>
        <v>0</v>
      </c>
      <c r="AN2128" s="162">
        <f t="shared" si="727"/>
        <v>0</v>
      </c>
      <c r="AO2128" s="162">
        <f t="shared" si="727"/>
        <v>0</v>
      </c>
      <c r="AP2128" s="162">
        <f t="shared" si="727"/>
        <v>0</v>
      </c>
      <c r="AQ2128" s="162">
        <f t="shared" si="727"/>
        <v>0</v>
      </c>
      <c r="AR2128" s="163">
        <f t="shared" si="726"/>
        <v>0</v>
      </c>
      <c r="AT2128" s="208">
        <f>IFERROR(VLOOKUP(J2128,#REF!,10,0),0)</f>
        <v>0</v>
      </c>
    </row>
    <row r="2129" spans="1:46" hidden="1" outlineLevel="1" x14ac:dyDescent="0.25">
      <c r="A2129" s="14" t="str">
        <f t="shared" si="700"/>
        <v>PROP_OPER__4</v>
      </c>
      <c r="B2129" s="15" t="str">
        <f t="shared" si="719"/>
        <v>PROP_OPER__1092_0</v>
      </c>
      <c r="C2129" s="83"/>
      <c r="D2129" s="15">
        <v>1</v>
      </c>
      <c r="E2129" s="15">
        <v>4</v>
      </c>
      <c r="F2129" s="190">
        <f t="shared" si="720"/>
        <v>1092</v>
      </c>
      <c r="G2129" s="149" t="str">
        <f t="shared" si="720"/>
        <v/>
      </c>
      <c r="H2129" s="150" t="str">
        <f t="shared" si="720"/>
        <v/>
      </c>
      <c r="I2129" s="150" t="str">
        <f t="shared" si="720"/>
        <v>TRATCSP</v>
      </c>
      <c r="J2129" s="150">
        <f t="shared" si="720"/>
        <v>0</v>
      </c>
      <c r="K2129" s="150"/>
      <c r="L2129" s="150"/>
      <c r="M2129" s="191">
        <f t="shared" si="721"/>
        <v>0</v>
      </c>
      <c r="N2129" s="150">
        <f t="shared" si="721"/>
        <v>0</v>
      </c>
      <c r="O2129" s="193">
        <f t="shared" si="721"/>
        <v>0</v>
      </c>
      <c r="P2129" s="162">
        <f t="shared" si="722"/>
        <v>0</v>
      </c>
      <c r="Q2129" s="162">
        <f t="shared" si="722"/>
        <v>0</v>
      </c>
      <c r="R2129" s="162">
        <f t="shared" si="722"/>
        <v>0</v>
      </c>
      <c r="S2129" s="162">
        <f t="shared" si="722"/>
        <v>0</v>
      </c>
      <c r="T2129" s="162">
        <f t="shared" si="722"/>
        <v>0</v>
      </c>
      <c r="U2129" s="162">
        <f t="shared" si="722"/>
        <v>0</v>
      </c>
      <c r="V2129" s="162">
        <f t="shared" si="722"/>
        <v>0</v>
      </c>
      <c r="W2129" s="162">
        <f t="shared" si="722"/>
        <v>0</v>
      </c>
      <c r="X2129" s="162">
        <f t="shared" si="722"/>
        <v>0</v>
      </c>
      <c r="Y2129" s="162">
        <f t="shared" si="722"/>
        <v>0</v>
      </c>
      <c r="Z2129" s="162">
        <f t="shared" si="722"/>
        <v>0</v>
      </c>
      <c r="AA2129" s="162">
        <f t="shared" si="722"/>
        <v>0</v>
      </c>
      <c r="AB2129" s="163">
        <f t="shared" si="723"/>
        <v>0</v>
      </c>
      <c r="AC2129" s="159"/>
      <c r="AE2129" s="194" t="str">
        <f t="shared" si="724"/>
        <v/>
      </c>
      <c r="AF2129" s="161">
        <f t="shared" si="727"/>
        <v>0</v>
      </c>
      <c r="AG2129" s="162">
        <f t="shared" si="727"/>
        <v>0</v>
      </c>
      <c r="AH2129" s="162">
        <f t="shared" si="727"/>
        <v>0</v>
      </c>
      <c r="AI2129" s="162">
        <f t="shared" si="727"/>
        <v>0</v>
      </c>
      <c r="AJ2129" s="162">
        <f t="shared" si="727"/>
        <v>0</v>
      </c>
      <c r="AK2129" s="162">
        <f t="shared" si="727"/>
        <v>0</v>
      </c>
      <c r="AL2129" s="162">
        <f t="shared" si="727"/>
        <v>0</v>
      </c>
      <c r="AM2129" s="162">
        <f t="shared" si="727"/>
        <v>0</v>
      </c>
      <c r="AN2129" s="162">
        <f t="shared" si="727"/>
        <v>0</v>
      </c>
      <c r="AO2129" s="162">
        <f t="shared" si="727"/>
        <v>0</v>
      </c>
      <c r="AP2129" s="162">
        <f t="shared" si="727"/>
        <v>0</v>
      </c>
      <c r="AQ2129" s="162">
        <f t="shared" si="727"/>
        <v>0</v>
      </c>
      <c r="AR2129" s="163">
        <f t="shared" si="726"/>
        <v>0</v>
      </c>
      <c r="AT2129" s="208">
        <f>IFERROR(VLOOKUP(J2129,#REF!,10,0),0)</f>
        <v>0</v>
      </c>
    </row>
    <row r="2130" spans="1:46" hidden="1" outlineLevel="1" x14ac:dyDescent="0.25">
      <c r="A2130" s="14" t="str">
        <f t="shared" si="700"/>
        <v>PROP_OPER__5</v>
      </c>
      <c r="B2130" s="15" t="str">
        <f t="shared" si="719"/>
        <v>PROP_OPER__1094_0</v>
      </c>
      <c r="C2130" s="83"/>
      <c r="D2130" s="15">
        <v>1</v>
      </c>
      <c r="E2130" s="15">
        <v>5</v>
      </c>
      <c r="F2130" s="190">
        <f t="shared" si="720"/>
        <v>1094</v>
      </c>
      <c r="G2130" s="149" t="str">
        <f t="shared" si="720"/>
        <v/>
      </c>
      <c r="H2130" s="150" t="str">
        <f t="shared" si="720"/>
        <v/>
      </c>
      <c r="I2130" s="150" t="str">
        <f t="shared" si="720"/>
        <v>TRATCSFS</v>
      </c>
      <c r="J2130" s="150">
        <f t="shared" si="720"/>
        <v>0</v>
      </c>
      <c r="K2130" s="150"/>
      <c r="L2130" s="150"/>
      <c r="M2130" s="191">
        <f t="shared" si="721"/>
        <v>0</v>
      </c>
      <c r="N2130" s="150">
        <f t="shared" si="721"/>
        <v>0</v>
      </c>
      <c r="O2130" s="193">
        <f t="shared" si="721"/>
        <v>0</v>
      </c>
      <c r="P2130" s="162">
        <f t="shared" si="722"/>
        <v>0</v>
      </c>
      <c r="Q2130" s="162">
        <f t="shared" si="722"/>
        <v>0</v>
      </c>
      <c r="R2130" s="162">
        <f t="shared" si="722"/>
        <v>0</v>
      </c>
      <c r="S2130" s="162">
        <f t="shared" si="722"/>
        <v>0</v>
      </c>
      <c r="T2130" s="162">
        <f t="shared" si="722"/>
        <v>0</v>
      </c>
      <c r="U2130" s="162">
        <f t="shared" si="722"/>
        <v>0</v>
      </c>
      <c r="V2130" s="162">
        <f t="shared" si="722"/>
        <v>0</v>
      </c>
      <c r="W2130" s="162">
        <f t="shared" si="722"/>
        <v>0</v>
      </c>
      <c r="X2130" s="162">
        <f t="shared" si="722"/>
        <v>0</v>
      </c>
      <c r="Y2130" s="162">
        <f t="shared" si="722"/>
        <v>0</v>
      </c>
      <c r="Z2130" s="162">
        <f t="shared" si="722"/>
        <v>0</v>
      </c>
      <c r="AA2130" s="162">
        <f t="shared" si="722"/>
        <v>0</v>
      </c>
      <c r="AB2130" s="163">
        <f t="shared" si="723"/>
        <v>0</v>
      </c>
      <c r="AC2130" s="159"/>
      <c r="AE2130" s="194" t="str">
        <f t="shared" si="724"/>
        <v/>
      </c>
      <c r="AF2130" s="161">
        <f t="shared" si="727"/>
        <v>0</v>
      </c>
      <c r="AG2130" s="162">
        <f t="shared" si="727"/>
        <v>0</v>
      </c>
      <c r="AH2130" s="162">
        <f t="shared" si="727"/>
        <v>0</v>
      </c>
      <c r="AI2130" s="162">
        <f t="shared" si="727"/>
        <v>0</v>
      </c>
      <c r="AJ2130" s="162">
        <f t="shared" si="727"/>
        <v>0</v>
      </c>
      <c r="AK2130" s="162">
        <f t="shared" si="727"/>
        <v>0</v>
      </c>
      <c r="AL2130" s="162">
        <f t="shared" si="727"/>
        <v>0</v>
      </c>
      <c r="AM2130" s="162">
        <f t="shared" si="727"/>
        <v>0</v>
      </c>
      <c r="AN2130" s="162">
        <f t="shared" si="727"/>
        <v>0</v>
      </c>
      <c r="AO2130" s="162">
        <f t="shared" si="727"/>
        <v>0</v>
      </c>
      <c r="AP2130" s="162">
        <f t="shared" si="727"/>
        <v>0</v>
      </c>
      <c r="AQ2130" s="162">
        <f t="shared" si="727"/>
        <v>0</v>
      </c>
      <c r="AR2130" s="163">
        <f t="shared" si="726"/>
        <v>0</v>
      </c>
      <c r="AT2130" s="208">
        <f>IFERROR(VLOOKUP(J2130,#REF!,10,0),0)</f>
        <v>0</v>
      </c>
    </row>
    <row r="2131" spans="1:46" hidden="1" outlineLevel="1" x14ac:dyDescent="0.25">
      <c r="A2131" s="14" t="str">
        <f t="shared" si="700"/>
        <v>PROP_OPER__6</v>
      </c>
      <c r="B2131" s="15" t="str">
        <f t="shared" si="719"/>
        <v>PROP_OPER__1073_0</v>
      </c>
      <c r="C2131" s="83"/>
      <c r="D2131" s="15">
        <v>1</v>
      </c>
      <c r="E2131" s="15">
        <v>6</v>
      </c>
      <c r="F2131" s="190">
        <f t="shared" si="720"/>
        <v>1073</v>
      </c>
      <c r="G2131" s="149" t="str">
        <f t="shared" si="720"/>
        <v/>
      </c>
      <c r="H2131" s="150" t="str">
        <f t="shared" si="720"/>
        <v/>
      </c>
      <c r="I2131" s="150" t="str">
        <f t="shared" si="720"/>
        <v>TRATCSP</v>
      </c>
      <c r="J2131" s="150">
        <f t="shared" si="720"/>
        <v>0</v>
      </c>
      <c r="K2131" s="150"/>
      <c r="L2131" s="150"/>
      <c r="M2131" s="191">
        <f t="shared" si="721"/>
        <v>0</v>
      </c>
      <c r="N2131" s="150">
        <f t="shared" si="721"/>
        <v>0</v>
      </c>
      <c r="O2131" s="193">
        <f t="shared" si="721"/>
        <v>0</v>
      </c>
      <c r="P2131" s="162">
        <f t="shared" si="722"/>
        <v>0</v>
      </c>
      <c r="Q2131" s="162">
        <f t="shared" si="722"/>
        <v>0</v>
      </c>
      <c r="R2131" s="162">
        <f t="shared" si="722"/>
        <v>0</v>
      </c>
      <c r="S2131" s="162">
        <f t="shared" si="722"/>
        <v>0</v>
      </c>
      <c r="T2131" s="162">
        <f t="shared" si="722"/>
        <v>0</v>
      </c>
      <c r="U2131" s="162">
        <f t="shared" si="722"/>
        <v>0</v>
      </c>
      <c r="V2131" s="162">
        <f t="shared" si="722"/>
        <v>0</v>
      </c>
      <c r="W2131" s="162">
        <f t="shared" si="722"/>
        <v>0</v>
      </c>
      <c r="X2131" s="162">
        <f t="shared" si="722"/>
        <v>0</v>
      </c>
      <c r="Y2131" s="162">
        <f t="shared" si="722"/>
        <v>0</v>
      </c>
      <c r="Z2131" s="162">
        <f t="shared" si="722"/>
        <v>0</v>
      </c>
      <c r="AA2131" s="162">
        <f t="shared" si="722"/>
        <v>0</v>
      </c>
      <c r="AB2131" s="163">
        <f t="shared" si="723"/>
        <v>0</v>
      </c>
      <c r="AC2131" s="159"/>
      <c r="AE2131" s="194" t="str">
        <f t="shared" si="724"/>
        <v/>
      </c>
      <c r="AF2131" s="161">
        <f t="shared" si="727"/>
        <v>0</v>
      </c>
      <c r="AG2131" s="162">
        <f t="shared" si="727"/>
        <v>0</v>
      </c>
      <c r="AH2131" s="162">
        <f t="shared" si="727"/>
        <v>0</v>
      </c>
      <c r="AI2131" s="162">
        <f t="shared" si="727"/>
        <v>0</v>
      </c>
      <c r="AJ2131" s="162">
        <f t="shared" si="727"/>
        <v>0</v>
      </c>
      <c r="AK2131" s="162">
        <f t="shared" si="727"/>
        <v>0</v>
      </c>
      <c r="AL2131" s="162">
        <f t="shared" si="727"/>
        <v>0</v>
      </c>
      <c r="AM2131" s="162">
        <f t="shared" si="727"/>
        <v>0</v>
      </c>
      <c r="AN2131" s="162">
        <f t="shared" si="727"/>
        <v>0</v>
      </c>
      <c r="AO2131" s="162">
        <f t="shared" si="727"/>
        <v>0</v>
      </c>
      <c r="AP2131" s="162">
        <f t="shared" si="727"/>
        <v>0</v>
      </c>
      <c r="AQ2131" s="162">
        <f t="shared" si="727"/>
        <v>0</v>
      </c>
      <c r="AR2131" s="163">
        <f t="shared" si="726"/>
        <v>0</v>
      </c>
      <c r="AT2131" s="208">
        <f>IFERROR(VLOOKUP(J2131,#REF!,10,0),0)</f>
        <v>0</v>
      </c>
    </row>
    <row r="2132" spans="1:46" hidden="1" outlineLevel="1" x14ac:dyDescent="0.25">
      <c r="A2132" s="14" t="str">
        <f t="shared" si="700"/>
        <v>PROP_OPER__7</v>
      </c>
      <c r="B2132" s="15" t="str">
        <f t="shared" si="719"/>
        <v>PROP_OPER__1022_0</v>
      </c>
      <c r="C2132" s="83"/>
      <c r="D2132" s="15">
        <v>1</v>
      </c>
      <c r="E2132" s="15">
        <v>7</v>
      </c>
      <c r="F2132" s="190">
        <f t="shared" si="720"/>
        <v>1022</v>
      </c>
      <c r="G2132" s="149" t="str">
        <f t="shared" si="720"/>
        <v/>
      </c>
      <c r="H2132" s="150" t="str">
        <f t="shared" si="720"/>
        <v/>
      </c>
      <c r="I2132" s="150" t="str">
        <f t="shared" si="720"/>
        <v>TRATCSP</v>
      </c>
      <c r="J2132" s="150">
        <f t="shared" si="720"/>
        <v>0</v>
      </c>
      <c r="K2132" s="150"/>
      <c r="L2132" s="150"/>
      <c r="M2132" s="191">
        <f t="shared" si="721"/>
        <v>0</v>
      </c>
      <c r="N2132" s="150">
        <f t="shared" si="721"/>
        <v>0</v>
      </c>
      <c r="O2132" s="193">
        <f t="shared" si="721"/>
        <v>0</v>
      </c>
      <c r="P2132" s="162">
        <f t="shared" si="722"/>
        <v>0</v>
      </c>
      <c r="Q2132" s="162">
        <f t="shared" si="722"/>
        <v>0</v>
      </c>
      <c r="R2132" s="162">
        <f t="shared" si="722"/>
        <v>0</v>
      </c>
      <c r="S2132" s="162">
        <f t="shared" si="722"/>
        <v>0</v>
      </c>
      <c r="T2132" s="162">
        <f t="shared" si="722"/>
        <v>0</v>
      </c>
      <c r="U2132" s="162">
        <f t="shared" si="722"/>
        <v>0</v>
      </c>
      <c r="V2132" s="162">
        <f t="shared" si="722"/>
        <v>0</v>
      </c>
      <c r="W2132" s="162">
        <f t="shared" si="722"/>
        <v>0</v>
      </c>
      <c r="X2132" s="162">
        <f t="shared" si="722"/>
        <v>0</v>
      </c>
      <c r="Y2132" s="162">
        <f t="shared" si="722"/>
        <v>0</v>
      </c>
      <c r="Z2132" s="162">
        <f t="shared" si="722"/>
        <v>0</v>
      </c>
      <c r="AA2132" s="162">
        <f t="shared" si="722"/>
        <v>0</v>
      </c>
      <c r="AB2132" s="163">
        <f t="shared" si="723"/>
        <v>0</v>
      </c>
      <c r="AC2132" s="159"/>
      <c r="AE2132" s="194" t="str">
        <f t="shared" si="724"/>
        <v/>
      </c>
      <c r="AF2132" s="161">
        <f t="shared" si="727"/>
        <v>0</v>
      </c>
      <c r="AG2132" s="162">
        <f t="shared" si="727"/>
        <v>0</v>
      </c>
      <c r="AH2132" s="162">
        <f t="shared" si="727"/>
        <v>0</v>
      </c>
      <c r="AI2132" s="162">
        <f t="shared" si="727"/>
        <v>0</v>
      </c>
      <c r="AJ2132" s="162">
        <f t="shared" si="727"/>
        <v>0</v>
      </c>
      <c r="AK2132" s="162">
        <f t="shared" si="727"/>
        <v>0</v>
      </c>
      <c r="AL2132" s="162">
        <f t="shared" si="727"/>
        <v>0</v>
      </c>
      <c r="AM2132" s="162">
        <f t="shared" si="727"/>
        <v>0</v>
      </c>
      <c r="AN2132" s="162">
        <f t="shared" si="727"/>
        <v>0</v>
      </c>
      <c r="AO2132" s="162">
        <f t="shared" si="727"/>
        <v>0</v>
      </c>
      <c r="AP2132" s="162">
        <f t="shared" si="727"/>
        <v>0</v>
      </c>
      <c r="AQ2132" s="162">
        <f t="shared" si="727"/>
        <v>0</v>
      </c>
      <c r="AR2132" s="163">
        <f t="shared" si="726"/>
        <v>0</v>
      </c>
      <c r="AT2132" s="208">
        <f>IFERROR(VLOOKUP(J2132,#REF!,10,0),0)</f>
        <v>0</v>
      </c>
    </row>
    <row r="2133" spans="1:46" hidden="1" outlineLevel="1" x14ac:dyDescent="0.25">
      <c r="A2133" s="14" t="str">
        <f t="shared" si="700"/>
        <v>PROP_OPER__8</v>
      </c>
      <c r="B2133" s="15" t="str">
        <f t="shared" si="719"/>
        <v>PROP_OPER__1031_0</v>
      </c>
      <c r="C2133" s="83"/>
      <c r="D2133" s="15">
        <v>1</v>
      </c>
      <c r="E2133" s="15">
        <v>8</v>
      </c>
      <c r="F2133" s="190">
        <f t="shared" si="720"/>
        <v>1031</v>
      </c>
      <c r="G2133" s="149" t="str">
        <f t="shared" si="720"/>
        <v/>
      </c>
      <c r="H2133" s="150" t="str">
        <f t="shared" si="720"/>
        <v/>
      </c>
      <c r="I2133" s="150" t="str">
        <f t="shared" si="720"/>
        <v>TRATCSP</v>
      </c>
      <c r="J2133" s="150">
        <f t="shared" si="720"/>
        <v>0</v>
      </c>
      <c r="K2133" s="150"/>
      <c r="L2133" s="150"/>
      <c r="M2133" s="191">
        <f t="shared" si="721"/>
        <v>0</v>
      </c>
      <c r="N2133" s="150">
        <f t="shared" si="721"/>
        <v>0</v>
      </c>
      <c r="O2133" s="193">
        <f t="shared" si="721"/>
        <v>0</v>
      </c>
      <c r="P2133" s="162">
        <f t="shared" si="722"/>
        <v>0</v>
      </c>
      <c r="Q2133" s="162">
        <f t="shared" si="722"/>
        <v>0</v>
      </c>
      <c r="R2133" s="162">
        <f t="shared" si="722"/>
        <v>0</v>
      </c>
      <c r="S2133" s="162">
        <f t="shared" si="722"/>
        <v>0</v>
      </c>
      <c r="T2133" s="162">
        <f t="shared" si="722"/>
        <v>0</v>
      </c>
      <c r="U2133" s="162">
        <f t="shared" si="722"/>
        <v>0</v>
      </c>
      <c r="V2133" s="162">
        <f t="shared" si="722"/>
        <v>0</v>
      </c>
      <c r="W2133" s="162">
        <f t="shared" si="722"/>
        <v>0</v>
      </c>
      <c r="X2133" s="162">
        <f t="shared" si="722"/>
        <v>0</v>
      </c>
      <c r="Y2133" s="162">
        <f t="shared" si="722"/>
        <v>0</v>
      </c>
      <c r="Z2133" s="162">
        <f t="shared" si="722"/>
        <v>0</v>
      </c>
      <c r="AA2133" s="162">
        <f t="shared" si="722"/>
        <v>0</v>
      </c>
      <c r="AB2133" s="163">
        <f t="shared" si="723"/>
        <v>0</v>
      </c>
      <c r="AC2133" s="159"/>
      <c r="AE2133" s="194" t="str">
        <f t="shared" si="724"/>
        <v/>
      </c>
      <c r="AF2133" s="161">
        <f t="shared" si="727"/>
        <v>0</v>
      </c>
      <c r="AG2133" s="162">
        <f t="shared" si="727"/>
        <v>0</v>
      </c>
      <c r="AH2133" s="162">
        <f t="shared" si="727"/>
        <v>0</v>
      </c>
      <c r="AI2133" s="162">
        <f t="shared" si="727"/>
        <v>0</v>
      </c>
      <c r="AJ2133" s="162">
        <f t="shared" si="727"/>
        <v>0</v>
      </c>
      <c r="AK2133" s="162">
        <f t="shared" si="727"/>
        <v>0</v>
      </c>
      <c r="AL2133" s="162">
        <f t="shared" si="727"/>
        <v>0</v>
      </c>
      <c r="AM2133" s="162">
        <f t="shared" si="727"/>
        <v>0</v>
      </c>
      <c r="AN2133" s="162">
        <f t="shared" si="727"/>
        <v>0</v>
      </c>
      <c r="AO2133" s="162">
        <f t="shared" si="727"/>
        <v>0</v>
      </c>
      <c r="AP2133" s="162">
        <f t="shared" si="727"/>
        <v>0</v>
      </c>
      <c r="AQ2133" s="162">
        <f t="shared" si="727"/>
        <v>0</v>
      </c>
      <c r="AR2133" s="163">
        <f t="shared" si="726"/>
        <v>0</v>
      </c>
      <c r="AT2133" s="208">
        <f>IFERROR(VLOOKUP(J2133,#REF!,10,0),0)</f>
        <v>0</v>
      </c>
    </row>
    <row r="2134" spans="1:46" hidden="1" outlineLevel="1" x14ac:dyDescent="0.25">
      <c r="A2134" s="14" t="str">
        <f t="shared" si="700"/>
        <v>PROP_OPER__9</v>
      </c>
      <c r="B2134" s="15" t="str">
        <f t="shared" si="719"/>
        <v>PROP_OPER__1078_0</v>
      </c>
      <c r="C2134" s="83"/>
      <c r="D2134" s="15">
        <v>1</v>
      </c>
      <c r="E2134" s="15">
        <v>9</v>
      </c>
      <c r="F2134" s="190">
        <f t="shared" si="720"/>
        <v>1078</v>
      </c>
      <c r="G2134" s="149" t="str">
        <f t="shared" si="720"/>
        <v/>
      </c>
      <c r="H2134" s="150" t="str">
        <f t="shared" si="720"/>
        <v/>
      </c>
      <c r="I2134" s="150" t="str">
        <f t="shared" si="720"/>
        <v>TRATCSP</v>
      </c>
      <c r="J2134" s="150">
        <f t="shared" si="720"/>
        <v>0</v>
      </c>
      <c r="K2134" s="150"/>
      <c r="L2134" s="150"/>
      <c r="M2134" s="191">
        <f t="shared" si="721"/>
        <v>0</v>
      </c>
      <c r="N2134" s="150">
        <f t="shared" si="721"/>
        <v>0</v>
      </c>
      <c r="O2134" s="193">
        <f t="shared" si="721"/>
        <v>0</v>
      </c>
      <c r="P2134" s="162">
        <f t="shared" si="722"/>
        <v>0</v>
      </c>
      <c r="Q2134" s="162">
        <f t="shared" si="722"/>
        <v>0</v>
      </c>
      <c r="R2134" s="162">
        <f t="shared" si="722"/>
        <v>0</v>
      </c>
      <c r="S2134" s="162">
        <f t="shared" si="722"/>
        <v>0</v>
      </c>
      <c r="T2134" s="162">
        <f t="shared" si="722"/>
        <v>0</v>
      </c>
      <c r="U2134" s="162">
        <f t="shared" si="722"/>
        <v>0</v>
      </c>
      <c r="V2134" s="162">
        <f t="shared" si="722"/>
        <v>0</v>
      </c>
      <c r="W2134" s="162">
        <f t="shared" si="722"/>
        <v>0</v>
      </c>
      <c r="X2134" s="162">
        <f t="shared" si="722"/>
        <v>0</v>
      </c>
      <c r="Y2134" s="162">
        <f t="shared" si="722"/>
        <v>0</v>
      </c>
      <c r="Z2134" s="162">
        <f t="shared" si="722"/>
        <v>0</v>
      </c>
      <c r="AA2134" s="162">
        <f t="shared" si="722"/>
        <v>0</v>
      </c>
      <c r="AB2134" s="163">
        <f t="shared" si="723"/>
        <v>0</v>
      </c>
      <c r="AC2134" s="159"/>
      <c r="AE2134" s="194" t="str">
        <f t="shared" si="724"/>
        <v/>
      </c>
      <c r="AF2134" s="161">
        <f t="shared" si="727"/>
        <v>0</v>
      </c>
      <c r="AG2134" s="162">
        <f t="shared" si="727"/>
        <v>0</v>
      </c>
      <c r="AH2134" s="162">
        <f t="shared" si="727"/>
        <v>0</v>
      </c>
      <c r="AI2134" s="162">
        <f t="shared" si="727"/>
        <v>0</v>
      </c>
      <c r="AJ2134" s="162">
        <f t="shared" si="727"/>
        <v>0</v>
      </c>
      <c r="AK2134" s="162">
        <f t="shared" si="727"/>
        <v>0</v>
      </c>
      <c r="AL2134" s="162">
        <f t="shared" si="727"/>
        <v>0</v>
      </c>
      <c r="AM2134" s="162">
        <f t="shared" si="727"/>
        <v>0</v>
      </c>
      <c r="AN2134" s="162">
        <f t="shared" si="727"/>
        <v>0</v>
      </c>
      <c r="AO2134" s="162">
        <f t="shared" si="727"/>
        <v>0</v>
      </c>
      <c r="AP2134" s="162">
        <f t="shared" si="727"/>
        <v>0</v>
      </c>
      <c r="AQ2134" s="162">
        <f t="shared" si="727"/>
        <v>0</v>
      </c>
      <c r="AR2134" s="163">
        <f t="shared" si="726"/>
        <v>0</v>
      </c>
      <c r="AT2134" s="208">
        <f>IFERROR(VLOOKUP(J2134,#REF!,10,0),0)</f>
        <v>0</v>
      </c>
    </row>
    <row r="2135" spans="1:46" hidden="1" outlineLevel="1" x14ac:dyDescent="0.25">
      <c r="A2135" s="14" t="str">
        <f t="shared" si="700"/>
        <v>PROP_OPER__10</v>
      </c>
      <c r="B2135" s="15" t="str">
        <f t="shared" si="719"/>
        <v>PROP_OPER__1090_0</v>
      </c>
      <c r="C2135" s="83"/>
      <c r="D2135" s="15">
        <v>1</v>
      </c>
      <c r="E2135" s="15">
        <v>10</v>
      </c>
      <c r="F2135" s="190">
        <f t="shared" si="720"/>
        <v>1090</v>
      </c>
      <c r="G2135" s="149" t="str">
        <f t="shared" si="720"/>
        <v/>
      </c>
      <c r="H2135" s="150" t="str">
        <f t="shared" si="720"/>
        <v/>
      </c>
      <c r="I2135" s="150" t="str">
        <f t="shared" si="720"/>
        <v>TRATCSP</v>
      </c>
      <c r="J2135" s="150">
        <f t="shared" si="720"/>
        <v>0</v>
      </c>
      <c r="K2135" s="150"/>
      <c r="L2135" s="150"/>
      <c r="M2135" s="191">
        <f t="shared" si="721"/>
        <v>0</v>
      </c>
      <c r="N2135" s="150">
        <f t="shared" si="721"/>
        <v>0</v>
      </c>
      <c r="O2135" s="193">
        <f t="shared" si="721"/>
        <v>0</v>
      </c>
      <c r="P2135" s="162">
        <f t="shared" si="722"/>
        <v>0</v>
      </c>
      <c r="Q2135" s="162">
        <f t="shared" si="722"/>
        <v>0</v>
      </c>
      <c r="R2135" s="162">
        <f t="shared" si="722"/>
        <v>0</v>
      </c>
      <c r="S2135" s="162">
        <f t="shared" si="722"/>
        <v>0</v>
      </c>
      <c r="T2135" s="162">
        <f t="shared" si="722"/>
        <v>0</v>
      </c>
      <c r="U2135" s="162">
        <f t="shared" si="722"/>
        <v>0</v>
      </c>
      <c r="V2135" s="162">
        <f t="shared" si="722"/>
        <v>0</v>
      </c>
      <c r="W2135" s="162">
        <f t="shared" si="722"/>
        <v>0</v>
      </c>
      <c r="X2135" s="162">
        <f t="shared" si="722"/>
        <v>0</v>
      </c>
      <c r="Y2135" s="162">
        <f t="shared" si="722"/>
        <v>0</v>
      </c>
      <c r="Z2135" s="162">
        <f t="shared" si="722"/>
        <v>0</v>
      </c>
      <c r="AA2135" s="162">
        <f t="shared" si="722"/>
        <v>0</v>
      </c>
      <c r="AB2135" s="163">
        <f t="shared" si="723"/>
        <v>0</v>
      </c>
      <c r="AC2135" s="159"/>
      <c r="AE2135" s="194" t="str">
        <f t="shared" si="724"/>
        <v/>
      </c>
      <c r="AF2135" s="161">
        <f t="shared" si="727"/>
        <v>0</v>
      </c>
      <c r="AG2135" s="162">
        <f t="shared" si="727"/>
        <v>0</v>
      </c>
      <c r="AH2135" s="162">
        <f t="shared" si="727"/>
        <v>0</v>
      </c>
      <c r="AI2135" s="162">
        <f t="shared" si="727"/>
        <v>0</v>
      </c>
      <c r="AJ2135" s="162">
        <f t="shared" si="727"/>
        <v>0</v>
      </c>
      <c r="AK2135" s="162">
        <f t="shared" si="727"/>
        <v>0</v>
      </c>
      <c r="AL2135" s="162">
        <f t="shared" si="727"/>
        <v>0</v>
      </c>
      <c r="AM2135" s="162">
        <f t="shared" si="727"/>
        <v>0</v>
      </c>
      <c r="AN2135" s="162">
        <f t="shared" si="727"/>
        <v>0</v>
      </c>
      <c r="AO2135" s="162">
        <f t="shared" si="727"/>
        <v>0</v>
      </c>
      <c r="AP2135" s="162">
        <f t="shared" si="727"/>
        <v>0</v>
      </c>
      <c r="AQ2135" s="162">
        <f t="shared" si="727"/>
        <v>0</v>
      </c>
      <c r="AR2135" s="163">
        <f t="shared" si="726"/>
        <v>0</v>
      </c>
      <c r="AT2135" s="208">
        <f>IFERROR(VLOOKUP(J2135,#REF!,10,0),0)</f>
        <v>0</v>
      </c>
    </row>
    <row r="2136" spans="1:46" hidden="1" outlineLevel="1" x14ac:dyDescent="0.25">
      <c r="A2136" s="14" t="str">
        <f t="shared" si="700"/>
        <v>PROP_OPER__11</v>
      </c>
      <c r="B2136" s="15" t="str">
        <f t="shared" si="719"/>
        <v>PROP_OPER__1091_0</v>
      </c>
      <c r="C2136" s="83"/>
      <c r="D2136" s="15">
        <v>1</v>
      </c>
      <c r="E2136" s="15">
        <v>11</v>
      </c>
      <c r="F2136" s="190">
        <f t="shared" si="720"/>
        <v>1091</v>
      </c>
      <c r="G2136" s="149" t="str">
        <f t="shared" si="720"/>
        <v/>
      </c>
      <c r="H2136" s="150" t="str">
        <f t="shared" si="720"/>
        <v/>
      </c>
      <c r="I2136" s="150" t="str">
        <f t="shared" si="720"/>
        <v>TRATCSP</v>
      </c>
      <c r="J2136" s="150">
        <f t="shared" si="720"/>
        <v>0</v>
      </c>
      <c r="K2136" s="150"/>
      <c r="L2136" s="150"/>
      <c r="M2136" s="191">
        <f t="shared" si="721"/>
        <v>0</v>
      </c>
      <c r="N2136" s="150">
        <f t="shared" si="721"/>
        <v>0</v>
      </c>
      <c r="O2136" s="193">
        <f t="shared" si="721"/>
        <v>0</v>
      </c>
      <c r="P2136" s="162">
        <f t="shared" si="722"/>
        <v>0</v>
      </c>
      <c r="Q2136" s="162">
        <f t="shared" si="722"/>
        <v>0</v>
      </c>
      <c r="R2136" s="162">
        <f t="shared" si="722"/>
        <v>0</v>
      </c>
      <c r="S2136" s="162">
        <f t="shared" si="722"/>
        <v>0</v>
      </c>
      <c r="T2136" s="162">
        <f t="shared" si="722"/>
        <v>0</v>
      </c>
      <c r="U2136" s="162">
        <f t="shared" si="722"/>
        <v>0</v>
      </c>
      <c r="V2136" s="162">
        <f t="shared" si="722"/>
        <v>0</v>
      </c>
      <c r="W2136" s="162">
        <f t="shared" si="722"/>
        <v>0</v>
      </c>
      <c r="X2136" s="162">
        <f t="shared" si="722"/>
        <v>0</v>
      </c>
      <c r="Y2136" s="162">
        <f t="shared" si="722"/>
        <v>0</v>
      </c>
      <c r="Z2136" s="162">
        <f t="shared" si="722"/>
        <v>0</v>
      </c>
      <c r="AA2136" s="162">
        <f t="shared" si="722"/>
        <v>0</v>
      </c>
      <c r="AB2136" s="163">
        <f t="shared" si="723"/>
        <v>0</v>
      </c>
      <c r="AC2136" s="198"/>
      <c r="AE2136" s="194" t="str">
        <f t="shared" si="724"/>
        <v/>
      </c>
      <c r="AF2136" s="161">
        <f t="shared" si="727"/>
        <v>0</v>
      </c>
      <c r="AG2136" s="162">
        <f t="shared" si="727"/>
        <v>0</v>
      </c>
      <c r="AH2136" s="162">
        <f t="shared" si="727"/>
        <v>0</v>
      </c>
      <c r="AI2136" s="162">
        <f t="shared" si="727"/>
        <v>0</v>
      </c>
      <c r="AJ2136" s="162">
        <f t="shared" si="727"/>
        <v>0</v>
      </c>
      <c r="AK2136" s="162">
        <f t="shared" si="727"/>
        <v>0</v>
      </c>
      <c r="AL2136" s="162">
        <f t="shared" si="727"/>
        <v>0</v>
      </c>
      <c r="AM2136" s="162">
        <f t="shared" si="727"/>
        <v>0</v>
      </c>
      <c r="AN2136" s="162">
        <f t="shared" si="727"/>
        <v>0</v>
      </c>
      <c r="AO2136" s="162">
        <f t="shared" si="727"/>
        <v>0</v>
      </c>
      <c r="AP2136" s="162">
        <f t="shared" si="727"/>
        <v>0</v>
      </c>
      <c r="AQ2136" s="162">
        <f t="shared" si="727"/>
        <v>0</v>
      </c>
      <c r="AR2136" s="163">
        <f t="shared" si="726"/>
        <v>0</v>
      </c>
      <c r="AT2136" s="208">
        <f>IFERROR(VLOOKUP(J2136,#REF!,10,0),0)</f>
        <v>0</v>
      </c>
    </row>
    <row r="2137" spans="1:46" hidden="1" outlineLevel="1" x14ac:dyDescent="0.25">
      <c r="A2137" s="14" t="str">
        <f t="shared" si="700"/>
        <v>PROP_OPER__12</v>
      </c>
      <c r="B2137" s="15" t="str">
        <f t="shared" si="719"/>
        <v>PROP_OPER__1093_0</v>
      </c>
      <c r="C2137" s="83"/>
      <c r="D2137" s="15">
        <v>1</v>
      </c>
      <c r="E2137" s="15">
        <v>12</v>
      </c>
      <c r="F2137" s="190">
        <f t="shared" si="720"/>
        <v>1093</v>
      </c>
      <c r="G2137" s="149" t="str">
        <f t="shared" si="720"/>
        <v/>
      </c>
      <c r="H2137" s="150" t="str">
        <f t="shared" si="720"/>
        <v/>
      </c>
      <c r="I2137" s="150" t="str">
        <f t="shared" si="720"/>
        <v>TRATCSP</v>
      </c>
      <c r="J2137" s="150">
        <f t="shared" si="720"/>
        <v>0</v>
      </c>
      <c r="K2137" s="150"/>
      <c r="L2137" s="150"/>
      <c r="M2137" s="191">
        <f t="shared" si="721"/>
        <v>0</v>
      </c>
      <c r="N2137" s="150">
        <f t="shared" si="721"/>
        <v>0</v>
      </c>
      <c r="O2137" s="193">
        <f t="shared" si="721"/>
        <v>0</v>
      </c>
      <c r="P2137" s="162">
        <f t="shared" si="722"/>
        <v>0</v>
      </c>
      <c r="Q2137" s="162">
        <f t="shared" si="722"/>
        <v>0</v>
      </c>
      <c r="R2137" s="162">
        <f t="shared" si="722"/>
        <v>0</v>
      </c>
      <c r="S2137" s="162">
        <f t="shared" si="722"/>
        <v>0</v>
      </c>
      <c r="T2137" s="162">
        <f t="shared" si="722"/>
        <v>0</v>
      </c>
      <c r="U2137" s="162">
        <f t="shared" si="722"/>
        <v>0</v>
      </c>
      <c r="V2137" s="162">
        <f t="shared" si="722"/>
        <v>0</v>
      </c>
      <c r="W2137" s="162">
        <f t="shared" si="722"/>
        <v>0</v>
      </c>
      <c r="X2137" s="162">
        <f t="shared" si="722"/>
        <v>0</v>
      </c>
      <c r="Y2137" s="162">
        <f t="shared" si="722"/>
        <v>0</v>
      </c>
      <c r="Z2137" s="162">
        <f t="shared" si="722"/>
        <v>0</v>
      </c>
      <c r="AA2137" s="162">
        <f t="shared" si="722"/>
        <v>0</v>
      </c>
      <c r="AB2137" s="163">
        <f t="shared" si="723"/>
        <v>0</v>
      </c>
      <c r="AC2137" s="198"/>
      <c r="AE2137" s="194" t="str">
        <f t="shared" si="724"/>
        <v/>
      </c>
      <c r="AF2137" s="161">
        <f t="shared" si="727"/>
        <v>0</v>
      </c>
      <c r="AG2137" s="162">
        <f t="shared" si="727"/>
        <v>0</v>
      </c>
      <c r="AH2137" s="162">
        <f t="shared" si="727"/>
        <v>0</v>
      </c>
      <c r="AI2137" s="162">
        <f t="shared" si="727"/>
        <v>0</v>
      </c>
      <c r="AJ2137" s="162">
        <f t="shared" si="727"/>
        <v>0</v>
      </c>
      <c r="AK2137" s="162">
        <f t="shared" si="727"/>
        <v>0</v>
      </c>
      <c r="AL2137" s="162">
        <f t="shared" si="727"/>
        <v>0</v>
      </c>
      <c r="AM2137" s="162">
        <f t="shared" si="727"/>
        <v>0</v>
      </c>
      <c r="AN2137" s="162">
        <f t="shared" si="727"/>
        <v>0</v>
      </c>
      <c r="AO2137" s="162">
        <f t="shared" si="727"/>
        <v>0</v>
      </c>
      <c r="AP2137" s="162">
        <f t="shared" si="727"/>
        <v>0</v>
      </c>
      <c r="AQ2137" s="162">
        <f t="shared" si="727"/>
        <v>0</v>
      </c>
      <c r="AR2137" s="163">
        <f t="shared" si="726"/>
        <v>0</v>
      </c>
      <c r="AT2137" s="208">
        <f>IFERROR(VLOOKUP(J2137,#REF!,10,0),0)</f>
        <v>0</v>
      </c>
    </row>
    <row r="2138" spans="1:46" hidden="1" outlineLevel="1" x14ac:dyDescent="0.25">
      <c r="A2138" s="14" t="str">
        <f t="shared" si="700"/>
        <v>PROP_OPER__13</v>
      </c>
      <c r="B2138" s="15" t="str">
        <f t="shared" si="719"/>
        <v>PROP_OPER__903_0</v>
      </c>
      <c r="C2138" s="83"/>
      <c r="D2138" s="15">
        <v>1</v>
      </c>
      <c r="E2138" s="15">
        <v>13</v>
      </c>
      <c r="F2138" s="190">
        <f t="shared" si="720"/>
        <v>903</v>
      </c>
      <c r="G2138" s="149" t="str">
        <f t="shared" si="720"/>
        <v/>
      </c>
      <c r="H2138" s="150" t="str">
        <f t="shared" si="720"/>
        <v/>
      </c>
      <c r="I2138" s="150" t="str">
        <f t="shared" si="720"/>
        <v>TRATCSFS</v>
      </c>
      <c r="J2138" s="150">
        <f t="shared" si="720"/>
        <v>0</v>
      </c>
      <c r="K2138" s="150"/>
      <c r="L2138" s="150"/>
      <c r="M2138" s="191">
        <f t="shared" si="721"/>
        <v>0</v>
      </c>
      <c r="N2138" s="150">
        <f t="shared" si="721"/>
        <v>0</v>
      </c>
      <c r="O2138" s="193">
        <f t="shared" si="721"/>
        <v>0</v>
      </c>
      <c r="P2138" s="162">
        <f t="shared" si="722"/>
        <v>0</v>
      </c>
      <c r="Q2138" s="162">
        <f t="shared" si="722"/>
        <v>0</v>
      </c>
      <c r="R2138" s="162">
        <f t="shared" si="722"/>
        <v>0</v>
      </c>
      <c r="S2138" s="162">
        <f t="shared" si="722"/>
        <v>0</v>
      </c>
      <c r="T2138" s="162">
        <f t="shared" si="722"/>
        <v>0</v>
      </c>
      <c r="U2138" s="162">
        <f t="shared" si="722"/>
        <v>0</v>
      </c>
      <c r="V2138" s="162">
        <f t="shared" si="722"/>
        <v>0</v>
      </c>
      <c r="W2138" s="162">
        <f t="shared" si="722"/>
        <v>0</v>
      </c>
      <c r="X2138" s="162">
        <f t="shared" si="722"/>
        <v>0</v>
      </c>
      <c r="Y2138" s="162">
        <f t="shared" si="722"/>
        <v>0</v>
      </c>
      <c r="Z2138" s="162">
        <f t="shared" si="722"/>
        <v>0</v>
      </c>
      <c r="AA2138" s="162">
        <f t="shared" si="722"/>
        <v>0</v>
      </c>
      <c r="AB2138" s="163">
        <f t="shared" si="723"/>
        <v>0</v>
      </c>
      <c r="AC2138" s="198"/>
      <c r="AE2138" s="194" t="str">
        <f t="shared" si="724"/>
        <v/>
      </c>
      <c r="AF2138" s="161">
        <f t="shared" si="727"/>
        <v>0</v>
      </c>
      <c r="AG2138" s="162">
        <f t="shared" si="727"/>
        <v>0</v>
      </c>
      <c r="AH2138" s="162">
        <f t="shared" si="727"/>
        <v>0</v>
      </c>
      <c r="AI2138" s="162">
        <f t="shared" si="727"/>
        <v>0</v>
      </c>
      <c r="AJ2138" s="162">
        <f t="shared" si="727"/>
        <v>0</v>
      </c>
      <c r="AK2138" s="162">
        <f t="shared" si="727"/>
        <v>0</v>
      </c>
      <c r="AL2138" s="162">
        <f t="shared" si="727"/>
        <v>0</v>
      </c>
      <c r="AM2138" s="162">
        <f t="shared" si="727"/>
        <v>0</v>
      </c>
      <c r="AN2138" s="162">
        <f t="shared" si="727"/>
        <v>0</v>
      </c>
      <c r="AO2138" s="162">
        <f t="shared" si="727"/>
        <v>0</v>
      </c>
      <c r="AP2138" s="162">
        <f t="shared" si="727"/>
        <v>0</v>
      </c>
      <c r="AQ2138" s="162">
        <f t="shared" si="727"/>
        <v>0</v>
      </c>
      <c r="AR2138" s="163">
        <f t="shared" si="726"/>
        <v>0</v>
      </c>
      <c r="AT2138" s="208">
        <f>IFERROR(VLOOKUP(J2138,#REF!,10,0),0)</f>
        <v>0</v>
      </c>
    </row>
    <row r="2139" spans="1:46" hidden="1" outlineLevel="1" x14ac:dyDescent="0.25">
      <c r="A2139" s="14" t="str">
        <f t="shared" si="700"/>
        <v>PROP_OPER__14</v>
      </c>
      <c r="B2139" s="15" t="str">
        <f t="shared" si="719"/>
        <v>PROP_OPER__1022_0</v>
      </c>
      <c r="C2139" s="83"/>
      <c r="D2139" s="15">
        <v>1</v>
      </c>
      <c r="E2139" s="15">
        <v>14</v>
      </c>
      <c r="F2139" s="190">
        <f t="shared" si="720"/>
        <v>1022</v>
      </c>
      <c r="G2139" s="149" t="str">
        <f t="shared" si="720"/>
        <v/>
      </c>
      <c r="H2139" s="150" t="str">
        <f t="shared" si="720"/>
        <v/>
      </c>
      <c r="I2139" s="150" t="str">
        <f t="shared" si="720"/>
        <v>TRATCSF</v>
      </c>
      <c r="J2139" s="150">
        <f t="shared" si="720"/>
        <v>0</v>
      </c>
      <c r="K2139" s="150"/>
      <c r="L2139" s="150"/>
      <c r="M2139" s="191">
        <f t="shared" si="721"/>
        <v>0</v>
      </c>
      <c r="N2139" s="150">
        <f t="shared" si="721"/>
        <v>0</v>
      </c>
      <c r="O2139" s="193">
        <f t="shared" si="721"/>
        <v>0</v>
      </c>
      <c r="P2139" s="162">
        <f t="shared" si="722"/>
        <v>0</v>
      </c>
      <c r="Q2139" s="162">
        <f t="shared" si="722"/>
        <v>0</v>
      </c>
      <c r="R2139" s="162">
        <f t="shared" si="722"/>
        <v>0</v>
      </c>
      <c r="S2139" s="162">
        <f t="shared" si="722"/>
        <v>0</v>
      </c>
      <c r="T2139" s="162">
        <f t="shared" si="722"/>
        <v>0</v>
      </c>
      <c r="U2139" s="162">
        <f t="shared" si="722"/>
        <v>0</v>
      </c>
      <c r="V2139" s="162">
        <f t="shared" si="722"/>
        <v>0</v>
      </c>
      <c r="W2139" s="162">
        <f t="shared" si="722"/>
        <v>0</v>
      </c>
      <c r="X2139" s="162">
        <f t="shared" si="722"/>
        <v>0</v>
      </c>
      <c r="Y2139" s="162">
        <f t="shared" si="722"/>
        <v>0</v>
      </c>
      <c r="Z2139" s="162">
        <f t="shared" si="722"/>
        <v>0</v>
      </c>
      <c r="AA2139" s="162">
        <f t="shared" si="722"/>
        <v>0</v>
      </c>
      <c r="AB2139" s="163">
        <f t="shared" si="723"/>
        <v>0</v>
      </c>
      <c r="AC2139" s="198"/>
      <c r="AE2139" s="194" t="str">
        <f t="shared" si="724"/>
        <v/>
      </c>
      <c r="AF2139" s="161">
        <f t="shared" si="727"/>
        <v>0</v>
      </c>
      <c r="AG2139" s="162">
        <f t="shared" si="727"/>
        <v>0</v>
      </c>
      <c r="AH2139" s="162">
        <f t="shared" si="727"/>
        <v>0</v>
      </c>
      <c r="AI2139" s="162">
        <f t="shared" si="727"/>
        <v>0</v>
      </c>
      <c r="AJ2139" s="162">
        <f t="shared" si="727"/>
        <v>0</v>
      </c>
      <c r="AK2139" s="162">
        <f t="shared" si="727"/>
        <v>0</v>
      </c>
      <c r="AL2139" s="162">
        <f t="shared" si="727"/>
        <v>0</v>
      </c>
      <c r="AM2139" s="162">
        <f t="shared" si="727"/>
        <v>0</v>
      </c>
      <c r="AN2139" s="162">
        <f t="shared" si="727"/>
        <v>0</v>
      </c>
      <c r="AO2139" s="162">
        <f t="shared" si="727"/>
        <v>0</v>
      </c>
      <c r="AP2139" s="162">
        <f t="shared" si="727"/>
        <v>0</v>
      </c>
      <c r="AQ2139" s="162">
        <f t="shared" si="727"/>
        <v>0</v>
      </c>
      <c r="AR2139" s="163">
        <f t="shared" si="726"/>
        <v>0</v>
      </c>
      <c r="AT2139" s="208">
        <f>IFERROR(VLOOKUP(J2139,#REF!,10,0),0)</f>
        <v>0</v>
      </c>
    </row>
    <row r="2140" spans="1:46" hidden="1" outlineLevel="1" x14ac:dyDescent="0.25">
      <c r="A2140" s="14" t="str">
        <f t="shared" si="700"/>
        <v>PROP_OPER__15</v>
      </c>
      <c r="B2140" s="15" t="str">
        <f t="shared" si="719"/>
        <v>PROP_OPER__1031_0</v>
      </c>
      <c r="C2140" s="83"/>
      <c r="D2140" s="15">
        <v>1</v>
      </c>
      <c r="E2140" s="15">
        <v>15</v>
      </c>
      <c r="F2140" s="190">
        <f t="shared" si="720"/>
        <v>1031</v>
      </c>
      <c r="G2140" s="149" t="str">
        <f t="shared" si="720"/>
        <v/>
      </c>
      <c r="H2140" s="150" t="str">
        <f t="shared" si="720"/>
        <v/>
      </c>
      <c r="I2140" s="150" t="str">
        <f t="shared" si="720"/>
        <v>TRATCSF</v>
      </c>
      <c r="J2140" s="150">
        <f t="shared" si="720"/>
        <v>0</v>
      </c>
      <c r="K2140" s="150"/>
      <c r="L2140" s="150"/>
      <c r="M2140" s="191">
        <f t="shared" si="721"/>
        <v>0</v>
      </c>
      <c r="N2140" s="150">
        <f t="shared" si="721"/>
        <v>0</v>
      </c>
      <c r="O2140" s="193">
        <f t="shared" si="721"/>
        <v>0</v>
      </c>
      <c r="P2140" s="162">
        <f t="shared" si="722"/>
        <v>0</v>
      </c>
      <c r="Q2140" s="162">
        <f t="shared" si="722"/>
        <v>0</v>
      </c>
      <c r="R2140" s="162">
        <f t="shared" si="722"/>
        <v>0</v>
      </c>
      <c r="S2140" s="162">
        <f t="shared" si="722"/>
        <v>0</v>
      </c>
      <c r="T2140" s="162">
        <f t="shared" si="722"/>
        <v>0</v>
      </c>
      <c r="U2140" s="162">
        <f t="shared" si="722"/>
        <v>0</v>
      </c>
      <c r="V2140" s="162">
        <f t="shared" si="722"/>
        <v>0</v>
      </c>
      <c r="W2140" s="162">
        <f t="shared" si="722"/>
        <v>0</v>
      </c>
      <c r="X2140" s="162">
        <f t="shared" si="722"/>
        <v>0</v>
      </c>
      <c r="Y2140" s="162">
        <f t="shared" si="722"/>
        <v>0</v>
      </c>
      <c r="Z2140" s="162">
        <f t="shared" si="722"/>
        <v>0</v>
      </c>
      <c r="AA2140" s="162">
        <f t="shared" si="722"/>
        <v>0</v>
      </c>
      <c r="AB2140" s="163">
        <f t="shared" si="723"/>
        <v>0</v>
      </c>
      <c r="AC2140" s="198"/>
      <c r="AE2140" s="194" t="str">
        <f t="shared" si="724"/>
        <v/>
      </c>
      <c r="AF2140" s="161">
        <f t="shared" si="727"/>
        <v>0</v>
      </c>
      <c r="AG2140" s="162">
        <f t="shared" si="727"/>
        <v>0</v>
      </c>
      <c r="AH2140" s="162">
        <f t="shared" si="727"/>
        <v>0</v>
      </c>
      <c r="AI2140" s="162">
        <f t="shared" si="727"/>
        <v>0</v>
      </c>
      <c r="AJ2140" s="162">
        <f t="shared" si="727"/>
        <v>0</v>
      </c>
      <c r="AK2140" s="162">
        <f t="shared" si="727"/>
        <v>0</v>
      </c>
      <c r="AL2140" s="162">
        <f t="shared" si="727"/>
        <v>0</v>
      </c>
      <c r="AM2140" s="162">
        <f t="shared" si="727"/>
        <v>0</v>
      </c>
      <c r="AN2140" s="162">
        <f t="shared" si="727"/>
        <v>0</v>
      </c>
      <c r="AO2140" s="162">
        <f t="shared" si="727"/>
        <v>0</v>
      </c>
      <c r="AP2140" s="162">
        <f t="shared" si="727"/>
        <v>0</v>
      </c>
      <c r="AQ2140" s="162">
        <f t="shared" si="727"/>
        <v>0</v>
      </c>
      <c r="AR2140" s="163">
        <f t="shared" si="726"/>
        <v>0</v>
      </c>
      <c r="AT2140" s="208">
        <f>IFERROR(VLOOKUP(J2140,#REF!,10,0),0)</f>
        <v>0</v>
      </c>
    </row>
    <row r="2141" spans="1:46" hidden="1" outlineLevel="1" x14ac:dyDescent="0.25">
      <c r="A2141" s="14" t="str">
        <f t="shared" si="700"/>
        <v>PROP_OPER__16</v>
      </c>
      <c r="B2141" s="15" t="str">
        <f t="shared" si="719"/>
        <v>PROP_OPER__1033_0</v>
      </c>
      <c r="C2141" s="83"/>
      <c r="D2141" s="15">
        <v>1</v>
      </c>
      <c r="E2141" s="15">
        <v>16</v>
      </c>
      <c r="F2141" s="190">
        <f t="shared" si="720"/>
        <v>1033</v>
      </c>
      <c r="G2141" s="149" t="str">
        <f t="shared" si="720"/>
        <v/>
      </c>
      <c r="H2141" s="150" t="str">
        <f t="shared" si="720"/>
        <v/>
      </c>
      <c r="I2141" s="150" t="str">
        <f t="shared" si="720"/>
        <v>TRATCSP</v>
      </c>
      <c r="J2141" s="150">
        <f t="shared" si="720"/>
        <v>0</v>
      </c>
      <c r="K2141" s="150"/>
      <c r="L2141" s="150"/>
      <c r="M2141" s="191">
        <f t="shared" si="721"/>
        <v>0</v>
      </c>
      <c r="N2141" s="150">
        <f t="shared" si="721"/>
        <v>0</v>
      </c>
      <c r="O2141" s="193">
        <f t="shared" si="721"/>
        <v>0</v>
      </c>
      <c r="P2141" s="162">
        <f t="shared" si="722"/>
        <v>0</v>
      </c>
      <c r="Q2141" s="162">
        <f t="shared" si="722"/>
        <v>0</v>
      </c>
      <c r="R2141" s="162">
        <f t="shared" si="722"/>
        <v>0</v>
      </c>
      <c r="S2141" s="162">
        <f t="shared" si="722"/>
        <v>0</v>
      </c>
      <c r="T2141" s="162">
        <f t="shared" si="722"/>
        <v>0</v>
      </c>
      <c r="U2141" s="162">
        <f t="shared" si="722"/>
        <v>0</v>
      </c>
      <c r="V2141" s="162">
        <f t="shared" si="722"/>
        <v>0</v>
      </c>
      <c r="W2141" s="162">
        <f t="shared" si="722"/>
        <v>0</v>
      </c>
      <c r="X2141" s="162">
        <f t="shared" si="722"/>
        <v>0</v>
      </c>
      <c r="Y2141" s="162">
        <f t="shared" si="722"/>
        <v>0</v>
      </c>
      <c r="Z2141" s="162">
        <f t="shared" si="722"/>
        <v>0</v>
      </c>
      <c r="AA2141" s="162">
        <f t="shared" si="722"/>
        <v>0</v>
      </c>
      <c r="AB2141" s="163">
        <f t="shared" si="723"/>
        <v>0</v>
      </c>
      <c r="AC2141" s="198"/>
      <c r="AE2141" s="194" t="str">
        <f t="shared" si="724"/>
        <v/>
      </c>
      <c r="AF2141" s="161">
        <f t="shared" si="727"/>
        <v>0</v>
      </c>
      <c r="AG2141" s="162">
        <f t="shared" si="727"/>
        <v>0</v>
      </c>
      <c r="AH2141" s="162">
        <f t="shared" si="727"/>
        <v>0</v>
      </c>
      <c r="AI2141" s="162">
        <f t="shared" si="727"/>
        <v>0</v>
      </c>
      <c r="AJ2141" s="162">
        <f t="shared" si="727"/>
        <v>0</v>
      </c>
      <c r="AK2141" s="162">
        <f t="shared" si="727"/>
        <v>0</v>
      </c>
      <c r="AL2141" s="162">
        <f t="shared" si="727"/>
        <v>0</v>
      </c>
      <c r="AM2141" s="162">
        <f t="shared" si="727"/>
        <v>0</v>
      </c>
      <c r="AN2141" s="162">
        <f t="shared" si="727"/>
        <v>0</v>
      </c>
      <c r="AO2141" s="162">
        <f t="shared" si="727"/>
        <v>0</v>
      </c>
      <c r="AP2141" s="162">
        <f t="shared" si="727"/>
        <v>0</v>
      </c>
      <c r="AQ2141" s="162">
        <f t="shared" si="727"/>
        <v>0</v>
      </c>
      <c r="AR2141" s="163">
        <f t="shared" si="726"/>
        <v>0</v>
      </c>
      <c r="AT2141" s="208">
        <f>IFERROR(VLOOKUP(J2141,#REF!,10,0),0)</f>
        <v>0</v>
      </c>
    </row>
    <row r="2142" spans="1:46" hidden="1" outlineLevel="1" x14ac:dyDescent="0.25">
      <c r="A2142" s="14" t="str">
        <f t="shared" si="700"/>
        <v>PROP_OPER__17</v>
      </c>
      <c r="B2142" s="15" t="str">
        <f t="shared" si="719"/>
        <v>PROP_OPER__1032_0</v>
      </c>
      <c r="C2142" s="83"/>
      <c r="D2142" s="15">
        <v>1</v>
      </c>
      <c r="E2142" s="15">
        <v>17</v>
      </c>
      <c r="F2142" s="190">
        <f t="shared" ref="F2142:J2157" si="728">F2096</f>
        <v>1032</v>
      </c>
      <c r="G2142" s="149" t="str">
        <f t="shared" si="728"/>
        <v/>
      </c>
      <c r="H2142" s="150" t="str">
        <f t="shared" si="728"/>
        <v/>
      </c>
      <c r="I2142" s="150" t="str">
        <f t="shared" si="728"/>
        <v>TRATCSP</v>
      </c>
      <c r="J2142" s="150">
        <f t="shared" si="728"/>
        <v>0</v>
      </c>
      <c r="K2142" s="150"/>
      <c r="L2142" s="150"/>
      <c r="M2142" s="191">
        <f t="shared" ref="M2142:O2157" si="729">M2096</f>
        <v>0</v>
      </c>
      <c r="N2142" s="150">
        <f t="shared" si="729"/>
        <v>0</v>
      </c>
      <c r="O2142" s="193">
        <f t="shared" si="729"/>
        <v>0</v>
      </c>
      <c r="P2142" s="162">
        <f t="shared" ref="P2142:AA2157" si="730">IFERROR(SUMIF($B$1817:$B$1835,$C2142&amp;$I2142,P$1817:P$1835)/SUMIF($D$1817:$D$1835,$I2142,P$1817:P$1835)*P1903,0)</f>
        <v>0</v>
      </c>
      <c r="Q2142" s="162">
        <f t="shared" si="730"/>
        <v>0</v>
      </c>
      <c r="R2142" s="162">
        <f t="shared" si="730"/>
        <v>0</v>
      </c>
      <c r="S2142" s="162">
        <f t="shared" si="730"/>
        <v>0</v>
      </c>
      <c r="T2142" s="162">
        <f t="shared" si="730"/>
        <v>0</v>
      </c>
      <c r="U2142" s="162">
        <f t="shared" si="730"/>
        <v>0</v>
      </c>
      <c r="V2142" s="162">
        <f t="shared" si="730"/>
        <v>0</v>
      </c>
      <c r="W2142" s="162">
        <f t="shared" si="730"/>
        <v>0</v>
      </c>
      <c r="X2142" s="162">
        <f t="shared" si="730"/>
        <v>0</v>
      </c>
      <c r="Y2142" s="162">
        <f t="shared" si="730"/>
        <v>0</v>
      </c>
      <c r="Z2142" s="162">
        <f t="shared" si="730"/>
        <v>0</v>
      </c>
      <c r="AA2142" s="162">
        <f t="shared" si="730"/>
        <v>0</v>
      </c>
      <c r="AB2142" s="163">
        <f t="shared" si="723"/>
        <v>0</v>
      </c>
      <c r="AC2142" s="198"/>
      <c r="AE2142" s="194" t="str">
        <f t="shared" si="724"/>
        <v/>
      </c>
      <c r="AF2142" s="161">
        <f t="shared" si="727"/>
        <v>0</v>
      </c>
      <c r="AG2142" s="162">
        <f t="shared" si="727"/>
        <v>0</v>
      </c>
      <c r="AH2142" s="162">
        <f t="shared" si="727"/>
        <v>0</v>
      </c>
      <c r="AI2142" s="162">
        <f t="shared" si="727"/>
        <v>0</v>
      </c>
      <c r="AJ2142" s="162">
        <f t="shared" si="727"/>
        <v>0</v>
      </c>
      <c r="AK2142" s="162">
        <f t="shared" si="727"/>
        <v>0</v>
      </c>
      <c r="AL2142" s="162">
        <f t="shared" si="727"/>
        <v>0</v>
      </c>
      <c r="AM2142" s="162">
        <f t="shared" si="727"/>
        <v>0</v>
      </c>
      <c r="AN2142" s="162">
        <f t="shared" si="727"/>
        <v>0</v>
      </c>
      <c r="AO2142" s="162">
        <f t="shared" si="727"/>
        <v>0</v>
      </c>
      <c r="AP2142" s="162">
        <f t="shared" si="727"/>
        <v>0</v>
      </c>
      <c r="AQ2142" s="162">
        <f t="shared" si="727"/>
        <v>0</v>
      </c>
      <c r="AR2142" s="163">
        <f t="shared" si="726"/>
        <v>0</v>
      </c>
      <c r="AT2142" s="208">
        <f>IFERROR(VLOOKUP(J2142,#REF!,10,0),0)</f>
        <v>0</v>
      </c>
    </row>
    <row r="2143" spans="1:46" hidden="1" outlineLevel="1" x14ac:dyDescent="0.25">
      <c r="A2143" s="14" t="str">
        <f t="shared" si="700"/>
        <v>PROP_OPER__18</v>
      </c>
      <c r="B2143" s="15" t="str">
        <f t="shared" si="719"/>
        <v>PROP_OPER__0_0</v>
      </c>
      <c r="C2143" s="83"/>
      <c r="D2143" s="15">
        <v>1</v>
      </c>
      <c r="E2143" s="15">
        <v>18</v>
      </c>
      <c r="F2143" s="190">
        <f t="shared" si="728"/>
        <v>0</v>
      </c>
      <c r="G2143" s="149" t="str">
        <f t="shared" si="728"/>
        <v/>
      </c>
      <c r="H2143" s="150" t="str">
        <f t="shared" si="728"/>
        <v/>
      </c>
      <c r="I2143" s="150">
        <f t="shared" si="728"/>
        <v>0</v>
      </c>
      <c r="J2143" s="150">
        <f t="shared" si="728"/>
        <v>0</v>
      </c>
      <c r="K2143" s="150"/>
      <c r="L2143" s="150"/>
      <c r="M2143" s="191">
        <f t="shared" si="729"/>
        <v>0</v>
      </c>
      <c r="N2143" s="150">
        <f t="shared" si="729"/>
        <v>0</v>
      </c>
      <c r="O2143" s="193">
        <f t="shared" si="729"/>
        <v>0</v>
      </c>
      <c r="P2143" s="162">
        <f t="shared" si="730"/>
        <v>0</v>
      </c>
      <c r="Q2143" s="162">
        <f t="shared" si="730"/>
        <v>0</v>
      </c>
      <c r="R2143" s="162">
        <f t="shared" si="730"/>
        <v>0</v>
      </c>
      <c r="S2143" s="162">
        <f t="shared" si="730"/>
        <v>0</v>
      </c>
      <c r="T2143" s="162">
        <f t="shared" si="730"/>
        <v>0</v>
      </c>
      <c r="U2143" s="162">
        <f t="shared" si="730"/>
        <v>0</v>
      </c>
      <c r="V2143" s="162">
        <f t="shared" si="730"/>
        <v>0</v>
      </c>
      <c r="W2143" s="162">
        <f t="shared" si="730"/>
        <v>0</v>
      </c>
      <c r="X2143" s="162">
        <f t="shared" si="730"/>
        <v>0</v>
      </c>
      <c r="Y2143" s="162">
        <f t="shared" si="730"/>
        <v>0</v>
      </c>
      <c r="Z2143" s="162">
        <f t="shared" si="730"/>
        <v>0</v>
      </c>
      <c r="AA2143" s="162">
        <f t="shared" si="730"/>
        <v>0</v>
      </c>
      <c r="AB2143" s="163">
        <f t="shared" si="723"/>
        <v>0</v>
      </c>
      <c r="AC2143" s="198"/>
      <c r="AE2143" s="194" t="str">
        <f t="shared" si="724"/>
        <v/>
      </c>
      <c r="AF2143" s="161">
        <f t="shared" ref="AF2143:AQ2158" si="731">IFERROR(SUMIF($B$1817:$B$1835,$C2143&amp;$I2143,P$1817:P$1835)/SUMIF($D$1817:$D$1835,$I2143,P$1817:P$1835)*AF1904,0)</f>
        <v>0</v>
      </c>
      <c r="AG2143" s="162">
        <f t="shared" si="731"/>
        <v>0</v>
      </c>
      <c r="AH2143" s="162">
        <f t="shared" si="731"/>
        <v>0</v>
      </c>
      <c r="AI2143" s="162">
        <f t="shared" si="731"/>
        <v>0</v>
      </c>
      <c r="AJ2143" s="162">
        <f t="shared" si="731"/>
        <v>0</v>
      </c>
      <c r="AK2143" s="162">
        <f t="shared" si="731"/>
        <v>0</v>
      </c>
      <c r="AL2143" s="162">
        <f t="shared" si="731"/>
        <v>0</v>
      </c>
      <c r="AM2143" s="162">
        <f t="shared" si="731"/>
        <v>0</v>
      </c>
      <c r="AN2143" s="162">
        <f t="shared" si="731"/>
        <v>0</v>
      </c>
      <c r="AO2143" s="162">
        <f t="shared" si="731"/>
        <v>0</v>
      </c>
      <c r="AP2143" s="162">
        <f t="shared" si="731"/>
        <v>0</v>
      </c>
      <c r="AQ2143" s="162">
        <f t="shared" si="731"/>
        <v>0</v>
      </c>
      <c r="AR2143" s="163">
        <f t="shared" si="726"/>
        <v>0</v>
      </c>
      <c r="AT2143" s="208">
        <f>IFERROR(VLOOKUP(J2143,#REF!,10,0),0)</f>
        <v>0</v>
      </c>
    </row>
    <row r="2144" spans="1:46" hidden="1" outlineLevel="1" x14ac:dyDescent="0.25">
      <c r="A2144" s="14" t="str">
        <f t="shared" ref="A2144:A2170" si="732">"PROP_OPER_"&amp;C2144&amp;"_"&amp;E2144</f>
        <v>PROP_OPER__19</v>
      </c>
      <c r="B2144" s="15" t="str">
        <f t="shared" si="719"/>
        <v>PROP_OPER__1061_0</v>
      </c>
      <c r="C2144" s="83"/>
      <c r="D2144" s="15">
        <v>1</v>
      </c>
      <c r="E2144" s="15">
        <v>19</v>
      </c>
      <c r="F2144" s="190">
        <f t="shared" si="728"/>
        <v>1061</v>
      </c>
      <c r="G2144" s="149" t="str">
        <f t="shared" si="728"/>
        <v/>
      </c>
      <c r="H2144" s="150" t="str">
        <f t="shared" si="728"/>
        <v/>
      </c>
      <c r="I2144" s="150" t="str">
        <f t="shared" si="728"/>
        <v>TRATCSP</v>
      </c>
      <c r="J2144" s="150">
        <f t="shared" si="728"/>
        <v>0</v>
      </c>
      <c r="K2144" s="150"/>
      <c r="L2144" s="150"/>
      <c r="M2144" s="191">
        <f t="shared" si="729"/>
        <v>0</v>
      </c>
      <c r="N2144" s="150">
        <f t="shared" si="729"/>
        <v>0</v>
      </c>
      <c r="O2144" s="193">
        <f t="shared" si="729"/>
        <v>0</v>
      </c>
      <c r="P2144" s="162">
        <f t="shared" si="730"/>
        <v>0</v>
      </c>
      <c r="Q2144" s="162">
        <f t="shared" si="730"/>
        <v>0</v>
      </c>
      <c r="R2144" s="162">
        <f t="shared" si="730"/>
        <v>0</v>
      </c>
      <c r="S2144" s="162">
        <f t="shared" si="730"/>
        <v>0</v>
      </c>
      <c r="T2144" s="162">
        <f t="shared" si="730"/>
        <v>0</v>
      </c>
      <c r="U2144" s="162">
        <f t="shared" si="730"/>
        <v>0</v>
      </c>
      <c r="V2144" s="162">
        <f t="shared" si="730"/>
        <v>0</v>
      </c>
      <c r="W2144" s="162">
        <f t="shared" si="730"/>
        <v>0</v>
      </c>
      <c r="X2144" s="162">
        <f t="shared" si="730"/>
        <v>0</v>
      </c>
      <c r="Y2144" s="162">
        <f t="shared" si="730"/>
        <v>0</v>
      </c>
      <c r="Z2144" s="162">
        <f t="shared" si="730"/>
        <v>0</v>
      </c>
      <c r="AA2144" s="162">
        <f t="shared" si="730"/>
        <v>0</v>
      </c>
      <c r="AB2144" s="163">
        <f t="shared" si="723"/>
        <v>0</v>
      </c>
      <c r="AC2144" s="198"/>
      <c r="AE2144" s="194" t="str">
        <f t="shared" si="724"/>
        <v/>
      </c>
      <c r="AF2144" s="161">
        <f t="shared" si="731"/>
        <v>0</v>
      </c>
      <c r="AG2144" s="162">
        <f t="shared" si="731"/>
        <v>0</v>
      </c>
      <c r="AH2144" s="162">
        <f t="shared" si="731"/>
        <v>0</v>
      </c>
      <c r="AI2144" s="162">
        <f t="shared" si="731"/>
        <v>0</v>
      </c>
      <c r="AJ2144" s="162">
        <f t="shared" si="731"/>
        <v>0</v>
      </c>
      <c r="AK2144" s="162">
        <f t="shared" si="731"/>
        <v>0</v>
      </c>
      <c r="AL2144" s="162">
        <f t="shared" si="731"/>
        <v>0</v>
      </c>
      <c r="AM2144" s="162">
        <f t="shared" si="731"/>
        <v>0</v>
      </c>
      <c r="AN2144" s="162">
        <f t="shared" si="731"/>
        <v>0</v>
      </c>
      <c r="AO2144" s="162">
        <f t="shared" si="731"/>
        <v>0</v>
      </c>
      <c r="AP2144" s="162">
        <f t="shared" si="731"/>
        <v>0</v>
      </c>
      <c r="AQ2144" s="162">
        <f t="shared" si="731"/>
        <v>0</v>
      </c>
      <c r="AR2144" s="163">
        <f t="shared" si="726"/>
        <v>0</v>
      </c>
      <c r="AT2144" s="208">
        <f>IFERROR(VLOOKUP(J2144,#REF!,10,0),0)</f>
        <v>0</v>
      </c>
    </row>
    <row r="2145" spans="1:46" hidden="1" outlineLevel="1" x14ac:dyDescent="0.25">
      <c r="A2145" s="14" t="str">
        <f t="shared" si="732"/>
        <v>PROP_OPER__20</v>
      </c>
      <c r="B2145" s="15" t="str">
        <f t="shared" si="719"/>
        <v>PROP_OPER__1024_0</v>
      </c>
      <c r="C2145" s="83"/>
      <c r="D2145" s="15">
        <v>1</v>
      </c>
      <c r="E2145" s="15">
        <v>20</v>
      </c>
      <c r="F2145" s="190">
        <f t="shared" si="728"/>
        <v>1024</v>
      </c>
      <c r="G2145" s="149" t="str">
        <f t="shared" si="728"/>
        <v/>
      </c>
      <c r="H2145" s="150" t="str">
        <f t="shared" si="728"/>
        <v/>
      </c>
      <c r="I2145" s="150" t="str">
        <f t="shared" si="728"/>
        <v>TRATCSP</v>
      </c>
      <c r="J2145" s="150">
        <f t="shared" si="728"/>
        <v>0</v>
      </c>
      <c r="K2145" s="150"/>
      <c r="L2145" s="150"/>
      <c r="M2145" s="191">
        <f t="shared" si="729"/>
        <v>0</v>
      </c>
      <c r="N2145" s="150">
        <f t="shared" si="729"/>
        <v>0</v>
      </c>
      <c r="O2145" s="193">
        <f t="shared" si="729"/>
        <v>0</v>
      </c>
      <c r="P2145" s="162">
        <f t="shared" si="730"/>
        <v>0</v>
      </c>
      <c r="Q2145" s="162">
        <f t="shared" si="730"/>
        <v>0</v>
      </c>
      <c r="R2145" s="162">
        <f t="shared" si="730"/>
        <v>0</v>
      </c>
      <c r="S2145" s="162">
        <f t="shared" si="730"/>
        <v>0</v>
      </c>
      <c r="T2145" s="162">
        <f t="shared" si="730"/>
        <v>0</v>
      </c>
      <c r="U2145" s="162">
        <f t="shared" si="730"/>
        <v>0</v>
      </c>
      <c r="V2145" s="162">
        <f t="shared" si="730"/>
        <v>0</v>
      </c>
      <c r="W2145" s="162">
        <f t="shared" si="730"/>
        <v>0</v>
      </c>
      <c r="X2145" s="162">
        <f t="shared" si="730"/>
        <v>0</v>
      </c>
      <c r="Y2145" s="162">
        <f t="shared" si="730"/>
        <v>0</v>
      </c>
      <c r="Z2145" s="162">
        <f t="shared" si="730"/>
        <v>0</v>
      </c>
      <c r="AA2145" s="162">
        <f t="shared" si="730"/>
        <v>0</v>
      </c>
      <c r="AB2145" s="163">
        <f t="shared" si="723"/>
        <v>0</v>
      </c>
      <c r="AC2145" s="198"/>
      <c r="AE2145" s="194" t="str">
        <f t="shared" si="724"/>
        <v/>
      </c>
      <c r="AF2145" s="161">
        <f t="shared" si="731"/>
        <v>0</v>
      </c>
      <c r="AG2145" s="162">
        <f t="shared" si="731"/>
        <v>0</v>
      </c>
      <c r="AH2145" s="162">
        <f t="shared" si="731"/>
        <v>0</v>
      </c>
      <c r="AI2145" s="162">
        <f t="shared" si="731"/>
        <v>0</v>
      </c>
      <c r="AJ2145" s="162">
        <f t="shared" si="731"/>
        <v>0</v>
      </c>
      <c r="AK2145" s="162">
        <f t="shared" si="731"/>
        <v>0</v>
      </c>
      <c r="AL2145" s="162">
        <f t="shared" si="731"/>
        <v>0</v>
      </c>
      <c r="AM2145" s="162">
        <f t="shared" si="731"/>
        <v>0</v>
      </c>
      <c r="AN2145" s="162">
        <f t="shared" si="731"/>
        <v>0</v>
      </c>
      <c r="AO2145" s="162">
        <f t="shared" si="731"/>
        <v>0</v>
      </c>
      <c r="AP2145" s="162">
        <f t="shared" si="731"/>
        <v>0</v>
      </c>
      <c r="AQ2145" s="162">
        <f t="shared" si="731"/>
        <v>0</v>
      </c>
      <c r="AR2145" s="163">
        <f t="shared" si="726"/>
        <v>0</v>
      </c>
      <c r="AT2145" s="208">
        <f>IFERROR(VLOOKUP(J2145,#REF!,10,0),0)</f>
        <v>0</v>
      </c>
    </row>
    <row r="2146" spans="1:46" hidden="1" outlineLevel="1" x14ac:dyDescent="0.25">
      <c r="A2146" s="14" t="str">
        <f t="shared" si="732"/>
        <v>PROP_OPER__21</v>
      </c>
      <c r="B2146" s="15" t="str">
        <f t="shared" si="719"/>
        <v>PROP_OPER__0_0</v>
      </c>
      <c r="C2146" s="83"/>
      <c r="D2146" s="15">
        <v>1</v>
      </c>
      <c r="E2146" s="15">
        <v>21</v>
      </c>
      <c r="F2146" s="190">
        <f t="shared" si="728"/>
        <v>0</v>
      </c>
      <c r="G2146" s="149" t="str">
        <f t="shared" si="728"/>
        <v/>
      </c>
      <c r="H2146" s="150" t="str">
        <f t="shared" si="728"/>
        <v/>
      </c>
      <c r="I2146" s="150">
        <f t="shared" si="728"/>
        <v>0</v>
      </c>
      <c r="J2146" s="150">
        <f t="shared" si="728"/>
        <v>0</v>
      </c>
      <c r="K2146" s="150"/>
      <c r="L2146" s="150"/>
      <c r="M2146" s="191">
        <f t="shared" si="729"/>
        <v>0</v>
      </c>
      <c r="N2146" s="150">
        <f t="shared" si="729"/>
        <v>0</v>
      </c>
      <c r="O2146" s="193">
        <f t="shared" si="729"/>
        <v>0</v>
      </c>
      <c r="P2146" s="162">
        <f t="shared" si="730"/>
        <v>0</v>
      </c>
      <c r="Q2146" s="162">
        <f t="shared" si="730"/>
        <v>0</v>
      </c>
      <c r="R2146" s="162">
        <f t="shared" si="730"/>
        <v>0</v>
      </c>
      <c r="S2146" s="162">
        <f t="shared" si="730"/>
        <v>0</v>
      </c>
      <c r="T2146" s="162">
        <f t="shared" si="730"/>
        <v>0</v>
      </c>
      <c r="U2146" s="162">
        <f t="shared" si="730"/>
        <v>0</v>
      </c>
      <c r="V2146" s="162">
        <f t="shared" si="730"/>
        <v>0</v>
      </c>
      <c r="W2146" s="162">
        <f t="shared" si="730"/>
        <v>0</v>
      </c>
      <c r="X2146" s="162">
        <f t="shared" si="730"/>
        <v>0</v>
      </c>
      <c r="Y2146" s="162">
        <f t="shared" si="730"/>
        <v>0</v>
      </c>
      <c r="Z2146" s="162">
        <f t="shared" si="730"/>
        <v>0</v>
      </c>
      <c r="AA2146" s="162">
        <f t="shared" si="730"/>
        <v>0</v>
      </c>
      <c r="AB2146" s="163">
        <f t="shared" si="723"/>
        <v>0</v>
      </c>
      <c r="AC2146" s="198"/>
      <c r="AE2146" s="194" t="str">
        <f t="shared" si="724"/>
        <v/>
      </c>
      <c r="AF2146" s="161">
        <f t="shared" si="731"/>
        <v>0</v>
      </c>
      <c r="AG2146" s="162">
        <f t="shared" si="731"/>
        <v>0</v>
      </c>
      <c r="AH2146" s="162">
        <f t="shared" si="731"/>
        <v>0</v>
      </c>
      <c r="AI2146" s="162">
        <f t="shared" si="731"/>
        <v>0</v>
      </c>
      <c r="AJ2146" s="162">
        <f t="shared" si="731"/>
        <v>0</v>
      </c>
      <c r="AK2146" s="162">
        <f t="shared" si="731"/>
        <v>0</v>
      </c>
      <c r="AL2146" s="162">
        <f t="shared" si="731"/>
        <v>0</v>
      </c>
      <c r="AM2146" s="162">
        <f t="shared" si="731"/>
        <v>0</v>
      </c>
      <c r="AN2146" s="162">
        <f t="shared" si="731"/>
        <v>0</v>
      </c>
      <c r="AO2146" s="162">
        <f t="shared" si="731"/>
        <v>0</v>
      </c>
      <c r="AP2146" s="162">
        <f t="shared" si="731"/>
        <v>0</v>
      </c>
      <c r="AQ2146" s="162">
        <f t="shared" si="731"/>
        <v>0</v>
      </c>
      <c r="AR2146" s="163">
        <f t="shared" si="726"/>
        <v>0</v>
      </c>
      <c r="AT2146" s="208">
        <f>IFERROR(VLOOKUP(J2146,#REF!,10,0),0)</f>
        <v>0</v>
      </c>
    </row>
    <row r="2147" spans="1:46" hidden="1" outlineLevel="1" x14ac:dyDescent="0.25">
      <c r="A2147" s="14" t="str">
        <f t="shared" si="732"/>
        <v>PROP_OPER__22</v>
      </c>
      <c r="B2147" s="15" t="str">
        <f t="shared" si="719"/>
        <v>PROP_OPER__0_0</v>
      </c>
      <c r="C2147" s="83"/>
      <c r="D2147" s="15">
        <v>1</v>
      </c>
      <c r="E2147" s="15">
        <v>22</v>
      </c>
      <c r="F2147" s="190">
        <f t="shared" si="728"/>
        <v>0</v>
      </c>
      <c r="G2147" s="149" t="str">
        <f t="shared" si="728"/>
        <v/>
      </c>
      <c r="H2147" s="150" t="str">
        <f t="shared" si="728"/>
        <v/>
      </c>
      <c r="I2147" s="150">
        <f t="shared" si="728"/>
        <v>0</v>
      </c>
      <c r="J2147" s="150">
        <f t="shared" si="728"/>
        <v>0</v>
      </c>
      <c r="K2147" s="150"/>
      <c r="L2147" s="150"/>
      <c r="M2147" s="191">
        <f t="shared" si="729"/>
        <v>0</v>
      </c>
      <c r="N2147" s="150">
        <f t="shared" si="729"/>
        <v>0</v>
      </c>
      <c r="O2147" s="193">
        <f t="shared" si="729"/>
        <v>0</v>
      </c>
      <c r="P2147" s="162">
        <f t="shared" si="730"/>
        <v>0</v>
      </c>
      <c r="Q2147" s="162">
        <f t="shared" si="730"/>
        <v>0</v>
      </c>
      <c r="R2147" s="162">
        <f t="shared" si="730"/>
        <v>0</v>
      </c>
      <c r="S2147" s="162">
        <f t="shared" si="730"/>
        <v>0</v>
      </c>
      <c r="T2147" s="162">
        <f t="shared" si="730"/>
        <v>0</v>
      </c>
      <c r="U2147" s="162">
        <f t="shared" si="730"/>
        <v>0</v>
      </c>
      <c r="V2147" s="162">
        <f t="shared" si="730"/>
        <v>0</v>
      </c>
      <c r="W2147" s="162">
        <f t="shared" si="730"/>
        <v>0</v>
      </c>
      <c r="X2147" s="162">
        <f t="shared" si="730"/>
        <v>0</v>
      </c>
      <c r="Y2147" s="162">
        <f t="shared" si="730"/>
        <v>0</v>
      </c>
      <c r="Z2147" s="162">
        <f t="shared" si="730"/>
        <v>0</v>
      </c>
      <c r="AA2147" s="162">
        <f t="shared" si="730"/>
        <v>0</v>
      </c>
      <c r="AB2147" s="163">
        <f t="shared" si="723"/>
        <v>0</v>
      </c>
      <c r="AC2147" s="198"/>
      <c r="AE2147" s="194" t="str">
        <f t="shared" si="724"/>
        <v/>
      </c>
      <c r="AF2147" s="161">
        <f t="shared" si="731"/>
        <v>0</v>
      </c>
      <c r="AG2147" s="162">
        <f t="shared" si="731"/>
        <v>0</v>
      </c>
      <c r="AH2147" s="162">
        <f t="shared" si="731"/>
        <v>0</v>
      </c>
      <c r="AI2147" s="162">
        <f t="shared" si="731"/>
        <v>0</v>
      </c>
      <c r="AJ2147" s="162">
        <f t="shared" si="731"/>
        <v>0</v>
      </c>
      <c r="AK2147" s="162">
        <f t="shared" si="731"/>
        <v>0</v>
      </c>
      <c r="AL2147" s="162">
        <f t="shared" si="731"/>
        <v>0</v>
      </c>
      <c r="AM2147" s="162">
        <f t="shared" si="731"/>
        <v>0</v>
      </c>
      <c r="AN2147" s="162">
        <f t="shared" si="731"/>
        <v>0</v>
      </c>
      <c r="AO2147" s="162">
        <f t="shared" si="731"/>
        <v>0</v>
      </c>
      <c r="AP2147" s="162">
        <f t="shared" si="731"/>
        <v>0</v>
      </c>
      <c r="AQ2147" s="162">
        <f t="shared" si="731"/>
        <v>0</v>
      </c>
      <c r="AR2147" s="163">
        <f t="shared" si="726"/>
        <v>0</v>
      </c>
      <c r="AT2147" s="208">
        <f>IFERROR(VLOOKUP(J2147,#REF!,10,0),0)</f>
        <v>0</v>
      </c>
    </row>
    <row r="2148" spans="1:46" hidden="1" outlineLevel="1" x14ac:dyDescent="0.25">
      <c r="A2148" s="14" t="str">
        <f t="shared" si="732"/>
        <v>PROP_OPER__23</v>
      </c>
      <c r="B2148" s="15" t="str">
        <f t="shared" si="719"/>
        <v>PROP_OPER__0_0</v>
      </c>
      <c r="C2148" s="83"/>
      <c r="D2148" s="15">
        <v>1</v>
      </c>
      <c r="E2148" s="15">
        <v>23</v>
      </c>
      <c r="F2148" s="190">
        <f t="shared" si="728"/>
        <v>0</v>
      </c>
      <c r="G2148" s="149" t="str">
        <f t="shared" si="728"/>
        <v/>
      </c>
      <c r="H2148" s="150" t="str">
        <f t="shared" si="728"/>
        <v/>
      </c>
      <c r="I2148" s="150">
        <f t="shared" si="728"/>
        <v>0</v>
      </c>
      <c r="J2148" s="150">
        <f t="shared" si="728"/>
        <v>0</v>
      </c>
      <c r="K2148" s="150"/>
      <c r="L2148" s="150"/>
      <c r="M2148" s="191">
        <f t="shared" si="729"/>
        <v>0</v>
      </c>
      <c r="N2148" s="150">
        <f t="shared" si="729"/>
        <v>0</v>
      </c>
      <c r="O2148" s="193">
        <f t="shared" si="729"/>
        <v>0</v>
      </c>
      <c r="P2148" s="162">
        <f t="shared" si="730"/>
        <v>0</v>
      </c>
      <c r="Q2148" s="162">
        <f t="shared" si="730"/>
        <v>0</v>
      </c>
      <c r="R2148" s="162">
        <f t="shared" si="730"/>
        <v>0</v>
      </c>
      <c r="S2148" s="162">
        <f t="shared" si="730"/>
        <v>0</v>
      </c>
      <c r="T2148" s="162">
        <f t="shared" si="730"/>
        <v>0</v>
      </c>
      <c r="U2148" s="162">
        <f t="shared" si="730"/>
        <v>0</v>
      </c>
      <c r="V2148" s="162">
        <f t="shared" si="730"/>
        <v>0</v>
      </c>
      <c r="W2148" s="162">
        <f t="shared" si="730"/>
        <v>0</v>
      </c>
      <c r="X2148" s="162">
        <f t="shared" si="730"/>
        <v>0</v>
      </c>
      <c r="Y2148" s="162">
        <f t="shared" si="730"/>
        <v>0</v>
      </c>
      <c r="Z2148" s="162">
        <f t="shared" si="730"/>
        <v>0</v>
      </c>
      <c r="AA2148" s="162">
        <f t="shared" si="730"/>
        <v>0</v>
      </c>
      <c r="AB2148" s="163">
        <f t="shared" si="723"/>
        <v>0</v>
      </c>
      <c r="AC2148" s="198"/>
      <c r="AE2148" s="194" t="str">
        <f t="shared" si="724"/>
        <v/>
      </c>
      <c r="AF2148" s="161">
        <f t="shared" si="731"/>
        <v>0</v>
      </c>
      <c r="AG2148" s="162">
        <f t="shared" si="731"/>
        <v>0</v>
      </c>
      <c r="AH2148" s="162">
        <f t="shared" si="731"/>
        <v>0</v>
      </c>
      <c r="AI2148" s="162">
        <f t="shared" si="731"/>
        <v>0</v>
      </c>
      <c r="AJ2148" s="162">
        <f t="shared" si="731"/>
        <v>0</v>
      </c>
      <c r="AK2148" s="162">
        <f t="shared" si="731"/>
        <v>0</v>
      </c>
      <c r="AL2148" s="162">
        <f t="shared" si="731"/>
        <v>0</v>
      </c>
      <c r="AM2148" s="162">
        <f t="shared" si="731"/>
        <v>0</v>
      </c>
      <c r="AN2148" s="162">
        <f t="shared" si="731"/>
        <v>0</v>
      </c>
      <c r="AO2148" s="162">
        <f t="shared" si="731"/>
        <v>0</v>
      </c>
      <c r="AP2148" s="162">
        <f t="shared" si="731"/>
        <v>0</v>
      </c>
      <c r="AQ2148" s="162">
        <f t="shared" si="731"/>
        <v>0</v>
      </c>
      <c r="AR2148" s="163">
        <f t="shared" si="726"/>
        <v>0</v>
      </c>
      <c r="AT2148" s="208">
        <f>IFERROR(VLOOKUP(J2148,#REF!,10,0),0)</f>
        <v>0</v>
      </c>
    </row>
    <row r="2149" spans="1:46" hidden="1" outlineLevel="1" x14ac:dyDescent="0.25">
      <c r="A2149" s="14" t="str">
        <f t="shared" si="732"/>
        <v>PROP_OPER__24</v>
      </c>
      <c r="B2149" s="15" t="str">
        <f t="shared" si="719"/>
        <v>PROP_OPER__0_0</v>
      </c>
      <c r="C2149" s="83"/>
      <c r="D2149" s="15">
        <v>1</v>
      </c>
      <c r="E2149" s="15">
        <v>24</v>
      </c>
      <c r="F2149" s="190">
        <f t="shared" si="728"/>
        <v>0</v>
      </c>
      <c r="G2149" s="149" t="str">
        <f t="shared" si="728"/>
        <v/>
      </c>
      <c r="H2149" s="150" t="str">
        <f t="shared" si="728"/>
        <v/>
      </c>
      <c r="I2149" s="150">
        <f t="shared" si="728"/>
        <v>0</v>
      </c>
      <c r="J2149" s="150">
        <f t="shared" si="728"/>
        <v>0</v>
      </c>
      <c r="K2149" s="150"/>
      <c r="L2149" s="150"/>
      <c r="M2149" s="191">
        <f t="shared" si="729"/>
        <v>0</v>
      </c>
      <c r="N2149" s="150">
        <f t="shared" si="729"/>
        <v>0</v>
      </c>
      <c r="O2149" s="193">
        <f t="shared" si="729"/>
        <v>0</v>
      </c>
      <c r="P2149" s="162">
        <f t="shared" si="730"/>
        <v>0</v>
      </c>
      <c r="Q2149" s="162">
        <f t="shared" si="730"/>
        <v>0</v>
      </c>
      <c r="R2149" s="162">
        <f t="shared" si="730"/>
        <v>0</v>
      </c>
      <c r="S2149" s="162">
        <f t="shared" si="730"/>
        <v>0</v>
      </c>
      <c r="T2149" s="162">
        <f t="shared" si="730"/>
        <v>0</v>
      </c>
      <c r="U2149" s="162">
        <f t="shared" si="730"/>
        <v>0</v>
      </c>
      <c r="V2149" s="162">
        <f t="shared" si="730"/>
        <v>0</v>
      </c>
      <c r="W2149" s="162">
        <f t="shared" si="730"/>
        <v>0</v>
      </c>
      <c r="X2149" s="162">
        <f t="shared" si="730"/>
        <v>0</v>
      </c>
      <c r="Y2149" s="162">
        <f t="shared" si="730"/>
        <v>0</v>
      </c>
      <c r="Z2149" s="162">
        <f t="shared" si="730"/>
        <v>0</v>
      </c>
      <c r="AA2149" s="162">
        <f t="shared" si="730"/>
        <v>0</v>
      </c>
      <c r="AB2149" s="163">
        <f t="shared" si="723"/>
        <v>0</v>
      </c>
      <c r="AC2149" s="198"/>
      <c r="AE2149" s="194" t="str">
        <f t="shared" si="724"/>
        <v/>
      </c>
      <c r="AF2149" s="161">
        <f t="shared" si="731"/>
        <v>0</v>
      </c>
      <c r="AG2149" s="162">
        <f t="shared" si="731"/>
        <v>0</v>
      </c>
      <c r="AH2149" s="162">
        <f t="shared" si="731"/>
        <v>0</v>
      </c>
      <c r="AI2149" s="162">
        <f t="shared" si="731"/>
        <v>0</v>
      </c>
      <c r="AJ2149" s="162">
        <f t="shared" si="731"/>
        <v>0</v>
      </c>
      <c r="AK2149" s="162">
        <f t="shared" si="731"/>
        <v>0</v>
      </c>
      <c r="AL2149" s="162">
        <f t="shared" si="731"/>
        <v>0</v>
      </c>
      <c r="AM2149" s="162">
        <f t="shared" si="731"/>
        <v>0</v>
      </c>
      <c r="AN2149" s="162">
        <f t="shared" si="731"/>
        <v>0</v>
      </c>
      <c r="AO2149" s="162">
        <f t="shared" si="731"/>
        <v>0</v>
      </c>
      <c r="AP2149" s="162">
        <f t="shared" si="731"/>
        <v>0</v>
      </c>
      <c r="AQ2149" s="162">
        <f t="shared" si="731"/>
        <v>0</v>
      </c>
      <c r="AR2149" s="163">
        <f t="shared" si="726"/>
        <v>0</v>
      </c>
      <c r="AT2149" s="208">
        <f>IFERROR(VLOOKUP(J2149,#REF!,10,0),0)</f>
        <v>0</v>
      </c>
    </row>
    <row r="2150" spans="1:46" hidden="1" outlineLevel="1" x14ac:dyDescent="0.25">
      <c r="A2150" s="14" t="str">
        <f t="shared" si="732"/>
        <v>PROP_OPER__25</v>
      </c>
      <c r="B2150" s="15" t="str">
        <f t="shared" si="719"/>
        <v>PROP_OPER__0_0</v>
      </c>
      <c r="C2150" s="83"/>
      <c r="D2150" s="15">
        <v>1</v>
      </c>
      <c r="E2150" s="15">
        <v>25</v>
      </c>
      <c r="F2150" s="190">
        <f t="shared" si="728"/>
        <v>0</v>
      </c>
      <c r="G2150" s="149" t="str">
        <f t="shared" si="728"/>
        <v/>
      </c>
      <c r="H2150" s="150" t="str">
        <f t="shared" si="728"/>
        <v/>
      </c>
      <c r="I2150" s="150">
        <f t="shared" si="728"/>
        <v>0</v>
      </c>
      <c r="J2150" s="150">
        <f t="shared" si="728"/>
        <v>0</v>
      </c>
      <c r="K2150" s="150"/>
      <c r="L2150" s="150"/>
      <c r="M2150" s="191">
        <f t="shared" si="729"/>
        <v>0</v>
      </c>
      <c r="N2150" s="150">
        <f t="shared" si="729"/>
        <v>0</v>
      </c>
      <c r="O2150" s="193">
        <f t="shared" si="729"/>
        <v>0</v>
      </c>
      <c r="P2150" s="162">
        <f t="shared" si="730"/>
        <v>0</v>
      </c>
      <c r="Q2150" s="162">
        <f t="shared" si="730"/>
        <v>0</v>
      </c>
      <c r="R2150" s="162">
        <f t="shared" si="730"/>
        <v>0</v>
      </c>
      <c r="S2150" s="162">
        <f t="shared" si="730"/>
        <v>0</v>
      </c>
      <c r="T2150" s="162">
        <f t="shared" si="730"/>
        <v>0</v>
      </c>
      <c r="U2150" s="162">
        <f t="shared" si="730"/>
        <v>0</v>
      </c>
      <c r="V2150" s="162">
        <f t="shared" si="730"/>
        <v>0</v>
      </c>
      <c r="W2150" s="162">
        <f t="shared" si="730"/>
        <v>0</v>
      </c>
      <c r="X2150" s="162">
        <f t="shared" si="730"/>
        <v>0</v>
      </c>
      <c r="Y2150" s="162">
        <f t="shared" si="730"/>
        <v>0</v>
      </c>
      <c r="Z2150" s="162">
        <f t="shared" si="730"/>
        <v>0</v>
      </c>
      <c r="AA2150" s="162">
        <f t="shared" si="730"/>
        <v>0</v>
      </c>
      <c r="AB2150" s="163">
        <f t="shared" si="723"/>
        <v>0</v>
      </c>
      <c r="AC2150" s="198"/>
      <c r="AE2150" s="194" t="str">
        <f t="shared" si="724"/>
        <v/>
      </c>
      <c r="AF2150" s="161">
        <f t="shared" si="731"/>
        <v>0</v>
      </c>
      <c r="AG2150" s="162">
        <f t="shared" si="731"/>
        <v>0</v>
      </c>
      <c r="AH2150" s="162">
        <f t="shared" si="731"/>
        <v>0</v>
      </c>
      <c r="AI2150" s="162">
        <f t="shared" si="731"/>
        <v>0</v>
      </c>
      <c r="AJ2150" s="162">
        <f t="shared" si="731"/>
        <v>0</v>
      </c>
      <c r="AK2150" s="162">
        <f t="shared" si="731"/>
        <v>0</v>
      </c>
      <c r="AL2150" s="162">
        <f t="shared" si="731"/>
        <v>0</v>
      </c>
      <c r="AM2150" s="162">
        <f t="shared" si="731"/>
        <v>0</v>
      </c>
      <c r="AN2150" s="162">
        <f t="shared" si="731"/>
        <v>0</v>
      </c>
      <c r="AO2150" s="162">
        <f t="shared" si="731"/>
        <v>0</v>
      </c>
      <c r="AP2150" s="162">
        <f t="shared" si="731"/>
        <v>0</v>
      </c>
      <c r="AQ2150" s="162">
        <f t="shared" si="731"/>
        <v>0</v>
      </c>
      <c r="AR2150" s="163">
        <f t="shared" si="726"/>
        <v>0</v>
      </c>
      <c r="AT2150" s="208">
        <f>IFERROR(VLOOKUP(J2150,#REF!,10,0),0)</f>
        <v>0</v>
      </c>
    </row>
    <row r="2151" spans="1:46" hidden="1" outlineLevel="1" x14ac:dyDescent="0.25">
      <c r="A2151" s="14" t="str">
        <f t="shared" si="732"/>
        <v>PROP_OPER__26</v>
      </c>
      <c r="B2151" s="15" t="str">
        <f t="shared" si="719"/>
        <v>PROP_OPER__0_0</v>
      </c>
      <c r="C2151" s="83"/>
      <c r="D2151" s="15">
        <v>1</v>
      </c>
      <c r="E2151" s="15">
        <v>26</v>
      </c>
      <c r="F2151" s="190">
        <f t="shared" si="728"/>
        <v>0</v>
      </c>
      <c r="G2151" s="149" t="str">
        <f t="shared" si="728"/>
        <v/>
      </c>
      <c r="H2151" s="150" t="str">
        <f t="shared" si="728"/>
        <v/>
      </c>
      <c r="I2151" s="150">
        <f t="shared" si="728"/>
        <v>0</v>
      </c>
      <c r="J2151" s="150">
        <f t="shared" si="728"/>
        <v>0</v>
      </c>
      <c r="K2151" s="150"/>
      <c r="L2151" s="150"/>
      <c r="M2151" s="191">
        <f t="shared" si="729"/>
        <v>0</v>
      </c>
      <c r="N2151" s="150">
        <f t="shared" si="729"/>
        <v>0</v>
      </c>
      <c r="O2151" s="193">
        <f t="shared" si="729"/>
        <v>0</v>
      </c>
      <c r="P2151" s="162">
        <f t="shared" si="730"/>
        <v>0</v>
      </c>
      <c r="Q2151" s="162">
        <f t="shared" si="730"/>
        <v>0</v>
      </c>
      <c r="R2151" s="162">
        <f t="shared" si="730"/>
        <v>0</v>
      </c>
      <c r="S2151" s="162">
        <f t="shared" si="730"/>
        <v>0</v>
      </c>
      <c r="T2151" s="162">
        <f t="shared" si="730"/>
        <v>0</v>
      </c>
      <c r="U2151" s="162">
        <f t="shared" si="730"/>
        <v>0</v>
      </c>
      <c r="V2151" s="162">
        <f t="shared" si="730"/>
        <v>0</v>
      </c>
      <c r="W2151" s="162">
        <f t="shared" si="730"/>
        <v>0</v>
      </c>
      <c r="X2151" s="162">
        <f t="shared" si="730"/>
        <v>0</v>
      </c>
      <c r="Y2151" s="162">
        <f t="shared" si="730"/>
        <v>0</v>
      </c>
      <c r="Z2151" s="162">
        <f t="shared" si="730"/>
        <v>0</v>
      </c>
      <c r="AA2151" s="162">
        <f t="shared" si="730"/>
        <v>0</v>
      </c>
      <c r="AB2151" s="163">
        <f t="shared" si="723"/>
        <v>0</v>
      </c>
      <c r="AC2151" s="198"/>
      <c r="AE2151" s="194" t="str">
        <f t="shared" si="724"/>
        <v/>
      </c>
      <c r="AF2151" s="161">
        <f t="shared" si="731"/>
        <v>0</v>
      </c>
      <c r="AG2151" s="162">
        <f t="shared" si="731"/>
        <v>0</v>
      </c>
      <c r="AH2151" s="162">
        <f t="shared" si="731"/>
        <v>0</v>
      </c>
      <c r="AI2151" s="162">
        <f t="shared" si="731"/>
        <v>0</v>
      </c>
      <c r="AJ2151" s="162">
        <f t="shared" si="731"/>
        <v>0</v>
      </c>
      <c r="AK2151" s="162">
        <f t="shared" si="731"/>
        <v>0</v>
      </c>
      <c r="AL2151" s="162">
        <f t="shared" si="731"/>
        <v>0</v>
      </c>
      <c r="AM2151" s="162">
        <f t="shared" si="731"/>
        <v>0</v>
      </c>
      <c r="AN2151" s="162">
        <f t="shared" si="731"/>
        <v>0</v>
      </c>
      <c r="AO2151" s="162">
        <f t="shared" si="731"/>
        <v>0</v>
      </c>
      <c r="AP2151" s="162">
        <f t="shared" si="731"/>
        <v>0</v>
      </c>
      <c r="AQ2151" s="162">
        <f t="shared" si="731"/>
        <v>0</v>
      </c>
      <c r="AR2151" s="163">
        <f t="shared" si="726"/>
        <v>0</v>
      </c>
      <c r="AT2151" s="208">
        <f>IFERROR(VLOOKUP(J2151,#REF!,10,0),0)</f>
        <v>0</v>
      </c>
    </row>
    <row r="2152" spans="1:46" hidden="1" outlineLevel="1" x14ac:dyDescent="0.25">
      <c r="A2152" s="14" t="str">
        <f t="shared" si="732"/>
        <v>PROP_OPER__27</v>
      </c>
      <c r="B2152" s="15" t="str">
        <f t="shared" si="719"/>
        <v>PROP_OPER__0_0</v>
      </c>
      <c r="C2152" s="83"/>
      <c r="D2152" s="15">
        <v>1</v>
      </c>
      <c r="E2152" s="15">
        <v>27</v>
      </c>
      <c r="F2152" s="190">
        <f t="shared" si="728"/>
        <v>0</v>
      </c>
      <c r="G2152" s="149" t="str">
        <f t="shared" si="728"/>
        <v/>
      </c>
      <c r="H2152" s="150" t="str">
        <f t="shared" si="728"/>
        <v/>
      </c>
      <c r="I2152" s="150">
        <f t="shared" si="728"/>
        <v>0</v>
      </c>
      <c r="J2152" s="150">
        <f t="shared" si="728"/>
        <v>0</v>
      </c>
      <c r="K2152" s="150"/>
      <c r="L2152" s="150"/>
      <c r="M2152" s="191">
        <f t="shared" si="729"/>
        <v>0</v>
      </c>
      <c r="N2152" s="150">
        <f t="shared" si="729"/>
        <v>0</v>
      </c>
      <c r="O2152" s="193">
        <f t="shared" si="729"/>
        <v>0</v>
      </c>
      <c r="P2152" s="162">
        <f t="shared" si="730"/>
        <v>0</v>
      </c>
      <c r="Q2152" s="162">
        <f t="shared" si="730"/>
        <v>0</v>
      </c>
      <c r="R2152" s="162">
        <f t="shared" si="730"/>
        <v>0</v>
      </c>
      <c r="S2152" s="162">
        <f t="shared" si="730"/>
        <v>0</v>
      </c>
      <c r="T2152" s="162">
        <f t="shared" si="730"/>
        <v>0</v>
      </c>
      <c r="U2152" s="162">
        <f t="shared" si="730"/>
        <v>0</v>
      </c>
      <c r="V2152" s="162">
        <f t="shared" si="730"/>
        <v>0</v>
      </c>
      <c r="W2152" s="162">
        <f t="shared" si="730"/>
        <v>0</v>
      </c>
      <c r="X2152" s="162">
        <f t="shared" si="730"/>
        <v>0</v>
      </c>
      <c r="Y2152" s="162">
        <f t="shared" si="730"/>
        <v>0</v>
      </c>
      <c r="Z2152" s="162">
        <f t="shared" si="730"/>
        <v>0</v>
      </c>
      <c r="AA2152" s="162">
        <f t="shared" si="730"/>
        <v>0</v>
      </c>
      <c r="AB2152" s="163">
        <f t="shared" si="723"/>
        <v>0</v>
      </c>
      <c r="AC2152" s="198"/>
      <c r="AE2152" s="194" t="str">
        <f t="shared" si="724"/>
        <v/>
      </c>
      <c r="AF2152" s="161">
        <f t="shared" si="731"/>
        <v>0</v>
      </c>
      <c r="AG2152" s="162">
        <f t="shared" si="731"/>
        <v>0</v>
      </c>
      <c r="AH2152" s="162">
        <f t="shared" si="731"/>
        <v>0</v>
      </c>
      <c r="AI2152" s="162">
        <f t="shared" si="731"/>
        <v>0</v>
      </c>
      <c r="AJ2152" s="162">
        <f t="shared" si="731"/>
        <v>0</v>
      </c>
      <c r="AK2152" s="162">
        <f t="shared" si="731"/>
        <v>0</v>
      </c>
      <c r="AL2152" s="162">
        <f t="shared" si="731"/>
        <v>0</v>
      </c>
      <c r="AM2152" s="162">
        <f t="shared" si="731"/>
        <v>0</v>
      </c>
      <c r="AN2152" s="162">
        <f t="shared" si="731"/>
        <v>0</v>
      </c>
      <c r="AO2152" s="162">
        <f t="shared" si="731"/>
        <v>0</v>
      </c>
      <c r="AP2152" s="162">
        <f t="shared" si="731"/>
        <v>0</v>
      </c>
      <c r="AQ2152" s="162">
        <f t="shared" si="731"/>
        <v>0</v>
      </c>
      <c r="AR2152" s="163">
        <f t="shared" si="726"/>
        <v>0</v>
      </c>
      <c r="AT2152" s="208">
        <f>IFERROR(VLOOKUP(J2152,#REF!,10,0),0)</f>
        <v>0</v>
      </c>
    </row>
    <row r="2153" spans="1:46" hidden="1" outlineLevel="1" x14ac:dyDescent="0.25">
      <c r="A2153" s="14" t="str">
        <f t="shared" si="732"/>
        <v>PROP_OPER__28</v>
      </c>
      <c r="B2153" s="15" t="str">
        <f t="shared" si="719"/>
        <v>PROP_OPER__0_0</v>
      </c>
      <c r="C2153" s="83"/>
      <c r="D2153" s="15">
        <v>1</v>
      </c>
      <c r="E2153" s="15">
        <v>28</v>
      </c>
      <c r="F2153" s="190">
        <f t="shared" si="728"/>
        <v>0</v>
      </c>
      <c r="G2153" s="149" t="str">
        <f t="shared" si="728"/>
        <v/>
      </c>
      <c r="H2153" s="150" t="str">
        <f t="shared" si="728"/>
        <v/>
      </c>
      <c r="I2153" s="150">
        <f t="shared" si="728"/>
        <v>0</v>
      </c>
      <c r="J2153" s="150">
        <f t="shared" si="728"/>
        <v>0</v>
      </c>
      <c r="K2153" s="150"/>
      <c r="L2153" s="150"/>
      <c r="M2153" s="191">
        <f t="shared" si="729"/>
        <v>0</v>
      </c>
      <c r="N2153" s="150">
        <f t="shared" si="729"/>
        <v>0</v>
      </c>
      <c r="O2153" s="193">
        <f t="shared" si="729"/>
        <v>0</v>
      </c>
      <c r="P2153" s="162">
        <f t="shared" si="730"/>
        <v>0</v>
      </c>
      <c r="Q2153" s="162">
        <f t="shared" si="730"/>
        <v>0</v>
      </c>
      <c r="R2153" s="162">
        <f t="shared" si="730"/>
        <v>0</v>
      </c>
      <c r="S2153" s="162">
        <f t="shared" si="730"/>
        <v>0</v>
      </c>
      <c r="T2153" s="162">
        <f t="shared" si="730"/>
        <v>0</v>
      </c>
      <c r="U2153" s="162">
        <f t="shared" si="730"/>
        <v>0</v>
      </c>
      <c r="V2153" s="162">
        <f t="shared" si="730"/>
        <v>0</v>
      </c>
      <c r="W2153" s="162">
        <f t="shared" si="730"/>
        <v>0</v>
      </c>
      <c r="X2153" s="162">
        <f t="shared" si="730"/>
        <v>0</v>
      </c>
      <c r="Y2153" s="162">
        <f t="shared" si="730"/>
        <v>0</v>
      </c>
      <c r="Z2153" s="162">
        <f t="shared" si="730"/>
        <v>0</v>
      </c>
      <c r="AA2153" s="162">
        <f t="shared" si="730"/>
        <v>0</v>
      </c>
      <c r="AB2153" s="163">
        <f t="shared" si="723"/>
        <v>0</v>
      </c>
      <c r="AC2153" s="198"/>
      <c r="AE2153" s="194" t="str">
        <f t="shared" si="724"/>
        <v/>
      </c>
      <c r="AF2153" s="161">
        <f t="shared" si="731"/>
        <v>0</v>
      </c>
      <c r="AG2153" s="162">
        <f t="shared" si="731"/>
        <v>0</v>
      </c>
      <c r="AH2153" s="162">
        <f t="shared" si="731"/>
        <v>0</v>
      </c>
      <c r="AI2153" s="162">
        <f t="shared" si="731"/>
        <v>0</v>
      </c>
      <c r="AJ2153" s="162">
        <f t="shared" si="731"/>
        <v>0</v>
      </c>
      <c r="AK2153" s="162">
        <f t="shared" si="731"/>
        <v>0</v>
      </c>
      <c r="AL2153" s="162">
        <f t="shared" si="731"/>
        <v>0</v>
      </c>
      <c r="AM2153" s="162">
        <f t="shared" si="731"/>
        <v>0</v>
      </c>
      <c r="AN2153" s="162">
        <f t="shared" si="731"/>
        <v>0</v>
      </c>
      <c r="AO2153" s="162">
        <f t="shared" si="731"/>
        <v>0</v>
      </c>
      <c r="AP2153" s="162">
        <f t="shared" si="731"/>
        <v>0</v>
      </c>
      <c r="AQ2153" s="162">
        <f t="shared" si="731"/>
        <v>0</v>
      </c>
      <c r="AR2153" s="163">
        <f t="shared" si="726"/>
        <v>0</v>
      </c>
      <c r="AT2153" s="208">
        <f>IFERROR(VLOOKUP(J2153,#REF!,10,0),0)</f>
        <v>0</v>
      </c>
    </row>
    <row r="2154" spans="1:46" hidden="1" outlineLevel="1" x14ac:dyDescent="0.25">
      <c r="A2154" s="14" t="str">
        <f t="shared" si="732"/>
        <v>PROP_OPER__29</v>
      </c>
      <c r="B2154" s="15" t="str">
        <f t="shared" si="719"/>
        <v>PROP_OPER__0_0</v>
      </c>
      <c r="C2154" s="83"/>
      <c r="D2154" s="15">
        <v>1</v>
      </c>
      <c r="E2154" s="15">
        <v>29</v>
      </c>
      <c r="F2154" s="190">
        <f t="shared" si="728"/>
        <v>0</v>
      </c>
      <c r="G2154" s="149" t="str">
        <f t="shared" si="728"/>
        <v/>
      </c>
      <c r="H2154" s="150" t="str">
        <f t="shared" si="728"/>
        <v/>
      </c>
      <c r="I2154" s="150">
        <f t="shared" si="728"/>
        <v>0</v>
      </c>
      <c r="J2154" s="150">
        <f t="shared" si="728"/>
        <v>0</v>
      </c>
      <c r="K2154" s="150"/>
      <c r="L2154" s="150"/>
      <c r="M2154" s="191">
        <f t="shared" si="729"/>
        <v>0</v>
      </c>
      <c r="N2154" s="150">
        <f t="shared" si="729"/>
        <v>0</v>
      </c>
      <c r="O2154" s="193">
        <f t="shared" si="729"/>
        <v>0</v>
      </c>
      <c r="P2154" s="162">
        <f t="shared" si="730"/>
        <v>0</v>
      </c>
      <c r="Q2154" s="162">
        <f t="shared" si="730"/>
        <v>0</v>
      </c>
      <c r="R2154" s="162">
        <f t="shared" si="730"/>
        <v>0</v>
      </c>
      <c r="S2154" s="162">
        <f t="shared" si="730"/>
        <v>0</v>
      </c>
      <c r="T2154" s="162">
        <f t="shared" si="730"/>
        <v>0</v>
      </c>
      <c r="U2154" s="162">
        <f t="shared" si="730"/>
        <v>0</v>
      </c>
      <c r="V2154" s="162">
        <f t="shared" si="730"/>
        <v>0</v>
      </c>
      <c r="W2154" s="162">
        <f t="shared" si="730"/>
        <v>0</v>
      </c>
      <c r="X2154" s="162">
        <f t="shared" si="730"/>
        <v>0</v>
      </c>
      <c r="Y2154" s="162">
        <f t="shared" si="730"/>
        <v>0</v>
      </c>
      <c r="Z2154" s="162">
        <f t="shared" si="730"/>
        <v>0</v>
      </c>
      <c r="AA2154" s="162">
        <f t="shared" si="730"/>
        <v>0</v>
      </c>
      <c r="AB2154" s="163">
        <f t="shared" si="723"/>
        <v>0</v>
      </c>
      <c r="AC2154" s="198"/>
      <c r="AE2154" s="194" t="str">
        <f t="shared" si="724"/>
        <v/>
      </c>
      <c r="AF2154" s="161">
        <f t="shared" si="731"/>
        <v>0</v>
      </c>
      <c r="AG2154" s="162">
        <f t="shared" si="731"/>
        <v>0</v>
      </c>
      <c r="AH2154" s="162">
        <f t="shared" si="731"/>
        <v>0</v>
      </c>
      <c r="AI2154" s="162">
        <f t="shared" si="731"/>
        <v>0</v>
      </c>
      <c r="AJ2154" s="162">
        <f t="shared" si="731"/>
        <v>0</v>
      </c>
      <c r="AK2154" s="162">
        <f t="shared" si="731"/>
        <v>0</v>
      </c>
      <c r="AL2154" s="162">
        <f t="shared" si="731"/>
        <v>0</v>
      </c>
      <c r="AM2154" s="162">
        <f t="shared" si="731"/>
        <v>0</v>
      </c>
      <c r="AN2154" s="162">
        <f t="shared" si="731"/>
        <v>0</v>
      </c>
      <c r="AO2154" s="162">
        <f t="shared" si="731"/>
        <v>0</v>
      </c>
      <c r="AP2154" s="162">
        <f t="shared" si="731"/>
        <v>0</v>
      </c>
      <c r="AQ2154" s="162">
        <f t="shared" si="731"/>
        <v>0</v>
      </c>
      <c r="AR2154" s="163">
        <f t="shared" si="726"/>
        <v>0</v>
      </c>
      <c r="AT2154" s="208">
        <f>IFERROR(VLOOKUP(J2154,#REF!,10,0),0)</f>
        <v>0</v>
      </c>
    </row>
    <row r="2155" spans="1:46" hidden="1" outlineLevel="1" x14ac:dyDescent="0.25">
      <c r="A2155" s="14" t="str">
        <f t="shared" si="732"/>
        <v>PROP_OPER__30</v>
      </c>
      <c r="B2155" s="15" t="str">
        <f t="shared" si="719"/>
        <v>PROP_OPER__0_0</v>
      </c>
      <c r="C2155" s="83"/>
      <c r="D2155" s="15">
        <v>1</v>
      </c>
      <c r="E2155" s="15">
        <v>30</v>
      </c>
      <c r="F2155" s="190">
        <f t="shared" si="728"/>
        <v>0</v>
      </c>
      <c r="G2155" s="149" t="str">
        <f t="shared" si="728"/>
        <v/>
      </c>
      <c r="H2155" s="150" t="str">
        <f t="shared" si="728"/>
        <v/>
      </c>
      <c r="I2155" s="150">
        <f t="shared" si="728"/>
        <v>0</v>
      </c>
      <c r="J2155" s="150">
        <f t="shared" si="728"/>
        <v>0</v>
      </c>
      <c r="K2155" s="150"/>
      <c r="L2155" s="150"/>
      <c r="M2155" s="191">
        <f t="shared" si="729"/>
        <v>0</v>
      </c>
      <c r="N2155" s="150">
        <f t="shared" si="729"/>
        <v>0</v>
      </c>
      <c r="O2155" s="193">
        <f t="shared" si="729"/>
        <v>0</v>
      </c>
      <c r="P2155" s="162">
        <f t="shared" si="730"/>
        <v>0</v>
      </c>
      <c r="Q2155" s="162">
        <f t="shared" si="730"/>
        <v>0</v>
      </c>
      <c r="R2155" s="162">
        <f t="shared" si="730"/>
        <v>0</v>
      </c>
      <c r="S2155" s="162">
        <f t="shared" si="730"/>
        <v>0</v>
      </c>
      <c r="T2155" s="162">
        <f t="shared" si="730"/>
        <v>0</v>
      </c>
      <c r="U2155" s="162">
        <f t="shared" si="730"/>
        <v>0</v>
      </c>
      <c r="V2155" s="162">
        <f t="shared" si="730"/>
        <v>0</v>
      </c>
      <c r="W2155" s="162">
        <f t="shared" si="730"/>
        <v>0</v>
      </c>
      <c r="X2155" s="162">
        <f t="shared" si="730"/>
        <v>0</v>
      </c>
      <c r="Y2155" s="162">
        <f t="shared" si="730"/>
        <v>0</v>
      </c>
      <c r="Z2155" s="162">
        <f t="shared" si="730"/>
        <v>0</v>
      </c>
      <c r="AA2155" s="162">
        <f t="shared" si="730"/>
        <v>0</v>
      </c>
      <c r="AB2155" s="163">
        <f t="shared" si="723"/>
        <v>0</v>
      </c>
      <c r="AC2155" s="198"/>
      <c r="AE2155" s="194" t="str">
        <f t="shared" si="724"/>
        <v/>
      </c>
      <c r="AF2155" s="161">
        <f t="shared" si="731"/>
        <v>0</v>
      </c>
      <c r="AG2155" s="162">
        <f t="shared" si="731"/>
        <v>0</v>
      </c>
      <c r="AH2155" s="162">
        <f t="shared" si="731"/>
        <v>0</v>
      </c>
      <c r="AI2155" s="162">
        <f t="shared" si="731"/>
        <v>0</v>
      </c>
      <c r="AJ2155" s="162">
        <f t="shared" si="731"/>
        <v>0</v>
      </c>
      <c r="AK2155" s="162">
        <f t="shared" si="731"/>
        <v>0</v>
      </c>
      <c r="AL2155" s="162">
        <f t="shared" si="731"/>
        <v>0</v>
      </c>
      <c r="AM2155" s="162">
        <f t="shared" si="731"/>
        <v>0</v>
      </c>
      <c r="AN2155" s="162">
        <f t="shared" si="731"/>
        <v>0</v>
      </c>
      <c r="AO2155" s="162">
        <f t="shared" si="731"/>
        <v>0</v>
      </c>
      <c r="AP2155" s="162">
        <f t="shared" si="731"/>
        <v>0</v>
      </c>
      <c r="AQ2155" s="162">
        <f t="shared" si="731"/>
        <v>0</v>
      </c>
      <c r="AR2155" s="163">
        <f t="shared" si="726"/>
        <v>0</v>
      </c>
      <c r="AT2155" s="208">
        <f>IFERROR(VLOOKUP(J2155,#REF!,10,0),0)</f>
        <v>0</v>
      </c>
    </row>
    <row r="2156" spans="1:46" hidden="1" outlineLevel="1" x14ac:dyDescent="0.25">
      <c r="A2156" s="14" t="str">
        <f t="shared" si="732"/>
        <v>PROP_OPER__31</v>
      </c>
      <c r="B2156" s="15" t="str">
        <f t="shared" si="719"/>
        <v>PROP_OPER__0_0</v>
      </c>
      <c r="C2156" s="83"/>
      <c r="D2156" s="15">
        <v>1</v>
      </c>
      <c r="E2156" s="15">
        <v>31</v>
      </c>
      <c r="F2156" s="190">
        <f t="shared" si="728"/>
        <v>0</v>
      </c>
      <c r="G2156" s="149" t="str">
        <f t="shared" si="728"/>
        <v/>
      </c>
      <c r="H2156" s="150" t="str">
        <f t="shared" si="728"/>
        <v/>
      </c>
      <c r="I2156" s="150">
        <f t="shared" si="728"/>
        <v>0</v>
      </c>
      <c r="J2156" s="150">
        <f t="shared" si="728"/>
        <v>0</v>
      </c>
      <c r="K2156" s="150"/>
      <c r="L2156" s="150"/>
      <c r="M2156" s="191">
        <f t="shared" si="729"/>
        <v>0</v>
      </c>
      <c r="N2156" s="150">
        <f t="shared" si="729"/>
        <v>0</v>
      </c>
      <c r="O2156" s="193">
        <f t="shared" si="729"/>
        <v>0</v>
      </c>
      <c r="P2156" s="162">
        <f t="shared" si="730"/>
        <v>0</v>
      </c>
      <c r="Q2156" s="162">
        <f t="shared" si="730"/>
        <v>0</v>
      </c>
      <c r="R2156" s="162">
        <f t="shared" si="730"/>
        <v>0</v>
      </c>
      <c r="S2156" s="162">
        <f t="shared" si="730"/>
        <v>0</v>
      </c>
      <c r="T2156" s="162">
        <f t="shared" si="730"/>
        <v>0</v>
      </c>
      <c r="U2156" s="162">
        <f t="shared" si="730"/>
        <v>0</v>
      </c>
      <c r="V2156" s="162">
        <f t="shared" si="730"/>
        <v>0</v>
      </c>
      <c r="W2156" s="162">
        <f t="shared" si="730"/>
        <v>0</v>
      </c>
      <c r="X2156" s="162">
        <f t="shared" si="730"/>
        <v>0</v>
      </c>
      <c r="Y2156" s="162">
        <f t="shared" si="730"/>
        <v>0</v>
      </c>
      <c r="Z2156" s="162">
        <f t="shared" si="730"/>
        <v>0</v>
      </c>
      <c r="AA2156" s="162">
        <f t="shared" si="730"/>
        <v>0</v>
      </c>
      <c r="AB2156" s="163">
        <f t="shared" si="723"/>
        <v>0</v>
      </c>
      <c r="AC2156" s="198"/>
      <c r="AE2156" s="194" t="str">
        <f t="shared" si="724"/>
        <v/>
      </c>
      <c r="AF2156" s="161">
        <f t="shared" si="731"/>
        <v>0</v>
      </c>
      <c r="AG2156" s="162">
        <f t="shared" si="731"/>
        <v>0</v>
      </c>
      <c r="AH2156" s="162">
        <f t="shared" si="731"/>
        <v>0</v>
      </c>
      <c r="AI2156" s="162">
        <f t="shared" si="731"/>
        <v>0</v>
      </c>
      <c r="AJ2156" s="162">
        <f t="shared" si="731"/>
        <v>0</v>
      </c>
      <c r="AK2156" s="162">
        <f t="shared" si="731"/>
        <v>0</v>
      </c>
      <c r="AL2156" s="162">
        <f t="shared" si="731"/>
        <v>0</v>
      </c>
      <c r="AM2156" s="162">
        <f t="shared" si="731"/>
        <v>0</v>
      </c>
      <c r="AN2156" s="162">
        <f t="shared" si="731"/>
        <v>0</v>
      </c>
      <c r="AO2156" s="162">
        <f t="shared" si="731"/>
        <v>0</v>
      </c>
      <c r="AP2156" s="162">
        <f t="shared" si="731"/>
        <v>0</v>
      </c>
      <c r="AQ2156" s="162">
        <f t="shared" si="731"/>
        <v>0</v>
      </c>
      <c r="AR2156" s="163">
        <f t="shared" si="726"/>
        <v>0</v>
      </c>
      <c r="AT2156" s="208">
        <f>IFERROR(VLOOKUP(J2156,#REF!,10,0),0)</f>
        <v>0</v>
      </c>
    </row>
    <row r="2157" spans="1:46" hidden="1" outlineLevel="1" x14ac:dyDescent="0.25">
      <c r="A2157" s="14" t="str">
        <f t="shared" si="732"/>
        <v>PROP_OPER__32</v>
      </c>
      <c r="B2157" s="15" t="str">
        <f t="shared" si="719"/>
        <v>PROP_OPER__0_0</v>
      </c>
      <c r="C2157" s="83"/>
      <c r="D2157" s="15">
        <v>1</v>
      </c>
      <c r="E2157" s="15">
        <v>32</v>
      </c>
      <c r="F2157" s="190">
        <f t="shared" si="728"/>
        <v>0</v>
      </c>
      <c r="G2157" s="149" t="str">
        <f t="shared" si="728"/>
        <v/>
      </c>
      <c r="H2157" s="150" t="str">
        <f t="shared" si="728"/>
        <v/>
      </c>
      <c r="I2157" s="150">
        <f t="shared" si="728"/>
        <v>0</v>
      </c>
      <c r="J2157" s="150">
        <f t="shared" si="728"/>
        <v>0</v>
      </c>
      <c r="K2157" s="150"/>
      <c r="L2157" s="150"/>
      <c r="M2157" s="191">
        <f t="shared" si="729"/>
        <v>0</v>
      </c>
      <c r="N2157" s="150">
        <f t="shared" si="729"/>
        <v>0</v>
      </c>
      <c r="O2157" s="193">
        <f t="shared" si="729"/>
        <v>0</v>
      </c>
      <c r="P2157" s="162">
        <f t="shared" si="730"/>
        <v>0</v>
      </c>
      <c r="Q2157" s="162">
        <f t="shared" si="730"/>
        <v>0</v>
      </c>
      <c r="R2157" s="162">
        <f t="shared" si="730"/>
        <v>0</v>
      </c>
      <c r="S2157" s="162">
        <f t="shared" si="730"/>
        <v>0</v>
      </c>
      <c r="T2157" s="162">
        <f t="shared" si="730"/>
        <v>0</v>
      </c>
      <c r="U2157" s="162">
        <f t="shared" si="730"/>
        <v>0</v>
      </c>
      <c r="V2157" s="162">
        <f t="shared" si="730"/>
        <v>0</v>
      </c>
      <c r="W2157" s="162">
        <f t="shared" si="730"/>
        <v>0</v>
      </c>
      <c r="X2157" s="162">
        <f t="shared" si="730"/>
        <v>0</v>
      </c>
      <c r="Y2157" s="162">
        <f t="shared" si="730"/>
        <v>0</v>
      </c>
      <c r="Z2157" s="162">
        <f t="shared" si="730"/>
        <v>0</v>
      </c>
      <c r="AA2157" s="162">
        <f t="shared" si="730"/>
        <v>0</v>
      </c>
      <c r="AB2157" s="163">
        <f t="shared" si="723"/>
        <v>0</v>
      </c>
      <c r="AC2157" s="198"/>
      <c r="AE2157" s="194" t="str">
        <f t="shared" si="724"/>
        <v/>
      </c>
      <c r="AF2157" s="161">
        <f t="shared" si="731"/>
        <v>0</v>
      </c>
      <c r="AG2157" s="162">
        <f t="shared" si="731"/>
        <v>0</v>
      </c>
      <c r="AH2157" s="162">
        <f t="shared" si="731"/>
        <v>0</v>
      </c>
      <c r="AI2157" s="162">
        <f t="shared" si="731"/>
        <v>0</v>
      </c>
      <c r="AJ2157" s="162">
        <f t="shared" si="731"/>
        <v>0</v>
      </c>
      <c r="AK2157" s="162">
        <f t="shared" si="731"/>
        <v>0</v>
      </c>
      <c r="AL2157" s="162">
        <f t="shared" si="731"/>
        <v>0</v>
      </c>
      <c r="AM2157" s="162">
        <f t="shared" si="731"/>
        <v>0</v>
      </c>
      <c r="AN2157" s="162">
        <f t="shared" si="731"/>
        <v>0</v>
      </c>
      <c r="AO2157" s="162">
        <f t="shared" si="731"/>
        <v>0</v>
      </c>
      <c r="AP2157" s="162">
        <f t="shared" si="731"/>
        <v>0</v>
      </c>
      <c r="AQ2157" s="162">
        <f t="shared" si="731"/>
        <v>0</v>
      </c>
      <c r="AR2157" s="163">
        <f t="shared" si="726"/>
        <v>0</v>
      </c>
      <c r="AT2157" s="208">
        <f>IFERROR(VLOOKUP(J2157,#REF!,10,0),0)</f>
        <v>0</v>
      </c>
    </row>
    <row r="2158" spans="1:46" hidden="1" outlineLevel="1" x14ac:dyDescent="0.25">
      <c r="A2158" s="14" t="str">
        <f t="shared" si="732"/>
        <v>PROP_OPER__33</v>
      </c>
      <c r="B2158" s="15" t="str">
        <f t="shared" si="719"/>
        <v>PROP_OPER__0_0</v>
      </c>
      <c r="C2158" s="83"/>
      <c r="D2158" s="15">
        <v>1</v>
      </c>
      <c r="E2158" s="15">
        <v>33</v>
      </c>
      <c r="F2158" s="190">
        <f t="shared" ref="F2158:J2170" si="733">F2112</f>
        <v>0</v>
      </c>
      <c r="G2158" s="149" t="str">
        <f t="shared" si="733"/>
        <v/>
      </c>
      <c r="H2158" s="150" t="str">
        <f t="shared" si="733"/>
        <v/>
      </c>
      <c r="I2158" s="150">
        <f t="shared" si="733"/>
        <v>0</v>
      </c>
      <c r="J2158" s="150">
        <f t="shared" si="733"/>
        <v>0</v>
      </c>
      <c r="K2158" s="150"/>
      <c r="L2158" s="150"/>
      <c r="M2158" s="191">
        <f t="shared" ref="M2158:O2170" si="734">M2112</f>
        <v>0</v>
      </c>
      <c r="N2158" s="150">
        <f t="shared" si="734"/>
        <v>0</v>
      </c>
      <c r="O2158" s="193">
        <f t="shared" si="734"/>
        <v>0</v>
      </c>
      <c r="P2158" s="162">
        <f t="shared" ref="P2158:AA2170" si="735">IFERROR(SUMIF($B$1817:$B$1835,$C2158&amp;$I2158,P$1817:P$1835)/SUMIF($D$1817:$D$1835,$I2158,P$1817:P$1835)*P1919,0)</f>
        <v>0</v>
      </c>
      <c r="Q2158" s="162">
        <f t="shared" si="735"/>
        <v>0</v>
      </c>
      <c r="R2158" s="162">
        <f t="shared" si="735"/>
        <v>0</v>
      </c>
      <c r="S2158" s="162">
        <f t="shared" si="735"/>
        <v>0</v>
      </c>
      <c r="T2158" s="162">
        <f t="shared" si="735"/>
        <v>0</v>
      </c>
      <c r="U2158" s="162">
        <f t="shared" si="735"/>
        <v>0</v>
      </c>
      <c r="V2158" s="162">
        <f t="shared" si="735"/>
        <v>0</v>
      </c>
      <c r="W2158" s="162">
        <f t="shared" si="735"/>
        <v>0</v>
      </c>
      <c r="X2158" s="162">
        <f t="shared" si="735"/>
        <v>0</v>
      </c>
      <c r="Y2158" s="162">
        <f t="shared" si="735"/>
        <v>0</v>
      </c>
      <c r="Z2158" s="162">
        <f t="shared" si="735"/>
        <v>0</v>
      </c>
      <c r="AA2158" s="162">
        <f t="shared" si="735"/>
        <v>0</v>
      </c>
      <c r="AB2158" s="163">
        <f t="shared" si="723"/>
        <v>0</v>
      </c>
      <c r="AC2158" s="198"/>
      <c r="AE2158" s="194" t="str">
        <f t="shared" si="724"/>
        <v/>
      </c>
      <c r="AF2158" s="161">
        <f t="shared" si="731"/>
        <v>0</v>
      </c>
      <c r="AG2158" s="162">
        <f t="shared" si="731"/>
        <v>0</v>
      </c>
      <c r="AH2158" s="162">
        <f t="shared" si="731"/>
        <v>0</v>
      </c>
      <c r="AI2158" s="162">
        <f t="shared" si="731"/>
        <v>0</v>
      </c>
      <c r="AJ2158" s="162">
        <f t="shared" si="731"/>
        <v>0</v>
      </c>
      <c r="AK2158" s="162">
        <f t="shared" si="731"/>
        <v>0</v>
      </c>
      <c r="AL2158" s="162">
        <f t="shared" si="731"/>
        <v>0</v>
      </c>
      <c r="AM2158" s="162">
        <f t="shared" si="731"/>
        <v>0</v>
      </c>
      <c r="AN2158" s="162">
        <f t="shared" si="731"/>
        <v>0</v>
      </c>
      <c r="AO2158" s="162">
        <f t="shared" si="731"/>
        <v>0</v>
      </c>
      <c r="AP2158" s="162">
        <f t="shared" si="731"/>
        <v>0</v>
      </c>
      <c r="AQ2158" s="162">
        <f t="shared" si="731"/>
        <v>0</v>
      </c>
      <c r="AR2158" s="163">
        <f t="shared" si="726"/>
        <v>0</v>
      </c>
      <c r="AT2158" s="208">
        <f>IFERROR(VLOOKUP(J2158,#REF!,10,0),0)</f>
        <v>0</v>
      </c>
    </row>
    <row r="2159" spans="1:46" hidden="1" outlineLevel="1" x14ac:dyDescent="0.25">
      <c r="A2159" s="14" t="str">
        <f t="shared" si="732"/>
        <v>PROP_OPER__34</v>
      </c>
      <c r="B2159" s="15" t="str">
        <f t="shared" si="719"/>
        <v>PROP_OPER__0_0</v>
      </c>
      <c r="C2159" s="83"/>
      <c r="D2159" s="15">
        <v>1</v>
      </c>
      <c r="E2159" s="15">
        <v>34</v>
      </c>
      <c r="F2159" s="190">
        <f t="shared" si="733"/>
        <v>0</v>
      </c>
      <c r="G2159" s="149" t="str">
        <f t="shared" si="733"/>
        <v/>
      </c>
      <c r="H2159" s="150" t="str">
        <f t="shared" si="733"/>
        <v/>
      </c>
      <c r="I2159" s="150">
        <f t="shared" si="733"/>
        <v>0</v>
      </c>
      <c r="J2159" s="150">
        <f t="shared" si="733"/>
        <v>0</v>
      </c>
      <c r="K2159" s="150"/>
      <c r="L2159" s="150"/>
      <c r="M2159" s="191">
        <f t="shared" si="734"/>
        <v>0</v>
      </c>
      <c r="N2159" s="150">
        <f t="shared" si="734"/>
        <v>0</v>
      </c>
      <c r="O2159" s="193">
        <f t="shared" si="734"/>
        <v>0</v>
      </c>
      <c r="P2159" s="162">
        <f t="shared" si="735"/>
        <v>0</v>
      </c>
      <c r="Q2159" s="162">
        <f t="shared" si="735"/>
        <v>0</v>
      </c>
      <c r="R2159" s="162">
        <f t="shared" si="735"/>
        <v>0</v>
      </c>
      <c r="S2159" s="162">
        <f t="shared" si="735"/>
        <v>0</v>
      </c>
      <c r="T2159" s="162">
        <f t="shared" si="735"/>
        <v>0</v>
      </c>
      <c r="U2159" s="162">
        <f t="shared" si="735"/>
        <v>0</v>
      </c>
      <c r="V2159" s="162">
        <f t="shared" si="735"/>
        <v>0</v>
      </c>
      <c r="W2159" s="162">
        <f t="shared" si="735"/>
        <v>0</v>
      </c>
      <c r="X2159" s="162">
        <f t="shared" si="735"/>
        <v>0</v>
      </c>
      <c r="Y2159" s="162">
        <f t="shared" si="735"/>
        <v>0</v>
      </c>
      <c r="Z2159" s="162">
        <f t="shared" si="735"/>
        <v>0</v>
      </c>
      <c r="AA2159" s="162">
        <f t="shared" si="735"/>
        <v>0</v>
      </c>
      <c r="AB2159" s="163">
        <f t="shared" si="723"/>
        <v>0</v>
      </c>
      <c r="AC2159" s="198"/>
      <c r="AE2159" s="194" t="str">
        <f t="shared" si="724"/>
        <v/>
      </c>
      <c r="AF2159" s="161">
        <f t="shared" ref="AF2159:AQ2170" si="736">IFERROR(SUMIF($B$1817:$B$1835,$C2159&amp;$I2159,P$1817:P$1835)/SUMIF($D$1817:$D$1835,$I2159,P$1817:P$1835)*AF1920,0)</f>
        <v>0</v>
      </c>
      <c r="AG2159" s="162">
        <f t="shared" si="736"/>
        <v>0</v>
      </c>
      <c r="AH2159" s="162">
        <f t="shared" si="736"/>
        <v>0</v>
      </c>
      <c r="AI2159" s="162">
        <f t="shared" si="736"/>
        <v>0</v>
      </c>
      <c r="AJ2159" s="162">
        <f t="shared" si="736"/>
        <v>0</v>
      </c>
      <c r="AK2159" s="162">
        <f t="shared" si="736"/>
        <v>0</v>
      </c>
      <c r="AL2159" s="162">
        <f t="shared" si="736"/>
        <v>0</v>
      </c>
      <c r="AM2159" s="162">
        <f t="shared" si="736"/>
        <v>0</v>
      </c>
      <c r="AN2159" s="162">
        <f t="shared" si="736"/>
        <v>0</v>
      </c>
      <c r="AO2159" s="162">
        <f t="shared" si="736"/>
        <v>0</v>
      </c>
      <c r="AP2159" s="162">
        <f t="shared" si="736"/>
        <v>0</v>
      </c>
      <c r="AQ2159" s="162">
        <f t="shared" si="736"/>
        <v>0</v>
      </c>
      <c r="AR2159" s="163">
        <f t="shared" si="726"/>
        <v>0</v>
      </c>
      <c r="AT2159" s="208">
        <f>IFERROR(VLOOKUP(J2159,#REF!,10,0),0)</f>
        <v>0</v>
      </c>
    </row>
    <row r="2160" spans="1:46" hidden="1" outlineLevel="1" x14ac:dyDescent="0.25">
      <c r="A2160" s="14" t="str">
        <f t="shared" si="732"/>
        <v>PROP_OPER__35</v>
      </c>
      <c r="B2160" s="15" t="str">
        <f t="shared" si="719"/>
        <v>PROP_OPER__0_0</v>
      </c>
      <c r="C2160" s="83"/>
      <c r="D2160" s="15">
        <v>1</v>
      </c>
      <c r="E2160" s="15">
        <v>35</v>
      </c>
      <c r="F2160" s="190">
        <f t="shared" si="733"/>
        <v>0</v>
      </c>
      <c r="G2160" s="149" t="str">
        <f t="shared" si="733"/>
        <v/>
      </c>
      <c r="H2160" s="150" t="str">
        <f t="shared" si="733"/>
        <v/>
      </c>
      <c r="I2160" s="150">
        <f t="shared" si="733"/>
        <v>0</v>
      </c>
      <c r="J2160" s="150">
        <f t="shared" si="733"/>
        <v>0</v>
      </c>
      <c r="K2160" s="150"/>
      <c r="L2160" s="150"/>
      <c r="M2160" s="191">
        <f t="shared" si="734"/>
        <v>0</v>
      </c>
      <c r="N2160" s="150">
        <f t="shared" si="734"/>
        <v>0</v>
      </c>
      <c r="O2160" s="193">
        <f t="shared" si="734"/>
        <v>0</v>
      </c>
      <c r="P2160" s="162">
        <f t="shared" si="735"/>
        <v>0</v>
      </c>
      <c r="Q2160" s="162">
        <f t="shared" si="735"/>
        <v>0</v>
      </c>
      <c r="R2160" s="162">
        <f t="shared" si="735"/>
        <v>0</v>
      </c>
      <c r="S2160" s="162">
        <f t="shared" si="735"/>
        <v>0</v>
      </c>
      <c r="T2160" s="162">
        <f t="shared" si="735"/>
        <v>0</v>
      </c>
      <c r="U2160" s="162">
        <f t="shared" si="735"/>
        <v>0</v>
      </c>
      <c r="V2160" s="162">
        <f t="shared" si="735"/>
        <v>0</v>
      </c>
      <c r="W2160" s="162">
        <f t="shared" si="735"/>
        <v>0</v>
      </c>
      <c r="X2160" s="162">
        <f t="shared" si="735"/>
        <v>0</v>
      </c>
      <c r="Y2160" s="162">
        <f t="shared" si="735"/>
        <v>0</v>
      </c>
      <c r="Z2160" s="162">
        <f t="shared" si="735"/>
        <v>0</v>
      </c>
      <c r="AA2160" s="162">
        <f t="shared" si="735"/>
        <v>0</v>
      </c>
      <c r="AB2160" s="163">
        <f t="shared" si="723"/>
        <v>0</v>
      </c>
      <c r="AC2160" s="198"/>
      <c r="AE2160" s="194" t="str">
        <f t="shared" si="724"/>
        <v/>
      </c>
      <c r="AF2160" s="161">
        <f t="shared" si="736"/>
        <v>0</v>
      </c>
      <c r="AG2160" s="162">
        <f t="shared" si="736"/>
        <v>0</v>
      </c>
      <c r="AH2160" s="162">
        <f t="shared" si="736"/>
        <v>0</v>
      </c>
      <c r="AI2160" s="162">
        <f t="shared" si="736"/>
        <v>0</v>
      </c>
      <c r="AJ2160" s="162">
        <f t="shared" si="736"/>
        <v>0</v>
      </c>
      <c r="AK2160" s="162">
        <f t="shared" si="736"/>
        <v>0</v>
      </c>
      <c r="AL2160" s="162">
        <f t="shared" si="736"/>
        <v>0</v>
      </c>
      <c r="AM2160" s="162">
        <f t="shared" si="736"/>
        <v>0</v>
      </c>
      <c r="AN2160" s="162">
        <f t="shared" si="736"/>
        <v>0</v>
      </c>
      <c r="AO2160" s="162">
        <f t="shared" si="736"/>
        <v>0</v>
      </c>
      <c r="AP2160" s="162">
        <f t="shared" si="736"/>
        <v>0</v>
      </c>
      <c r="AQ2160" s="162">
        <f t="shared" si="736"/>
        <v>0</v>
      </c>
      <c r="AR2160" s="163">
        <f t="shared" si="726"/>
        <v>0</v>
      </c>
      <c r="AT2160" s="208">
        <f>IFERROR(VLOOKUP(J2160,#REF!,10,0),0)</f>
        <v>0</v>
      </c>
    </row>
    <row r="2161" spans="1:60" hidden="1" outlineLevel="1" x14ac:dyDescent="0.25">
      <c r="A2161" s="14" t="str">
        <f t="shared" si="732"/>
        <v>PROP_OPER__36</v>
      </c>
      <c r="B2161" s="15" t="str">
        <f t="shared" si="719"/>
        <v>PROP_OPER__0_0</v>
      </c>
      <c r="C2161" s="83"/>
      <c r="D2161" s="15">
        <v>1</v>
      </c>
      <c r="E2161" s="15">
        <v>36</v>
      </c>
      <c r="F2161" s="190">
        <f t="shared" si="733"/>
        <v>0</v>
      </c>
      <c r="G2161" s="149" t="str">
        <f t="shared" si="733"/>
        <v/>
      </c>
      <c r="H2161" s="150" t="str">
        <f t="shared" si="733"/>
        <v/>
      </c>
      <c r="I2161" s="150">
        <f t="shared" si="733"/>
        <v>0</v>
      </c>
      <c r="J2161" s="150">
        <f t="shared" si="733"/>
        <v>0</v>
      </c>
      <c r="K2161" s="150"/>
      <c r="L2161" s="150"/>
      <c r="M2161" s="191">
        <f t="shared" si="734"/>
        <v>0</v>
      </c>
      <c r="N2161" s="150">
        <f t="shared" si="734"/>
        <v>0</v>
      </c>
      <c r="O2161" s="193">
        <f t="shared" si="734"/>
        <v>0</v>
      </c>
      <c r="P2161" s="162">
        <f t="shared" si="735"/>
        <v>0</v>
      </c>
      <c r="Q2161" s="162">
        <f t="shared" si="735"/>
        <v>0</v>
      </c>
      <c r="R2161" s="162">
        <f t="shared" si="735"/>
        <v>0</v>
      </c>
      <c r="S2161" s="162">
        <f t="shared" si="735"/>
        <v>0</v>
      </c>
      <c r="T2161" s="162">
        <f t="shared" si="735"/>
        <v>0</v>
      </c>
      <c r="U2161" s="162">
        <f t="shared" si="735"/>
        <v>0</v>
      </c>
      <c r="V2161" s="162">
        <f t="shared" si="735"/>
        <v>0</v>
      </c>
      <c r="W2161" s="162">
        <f t="shared" si="735"/>
        <v>0</v>
      </c>
      <c r="X2161" s="162">
        <f t="shared" si="735"/>
        <v>0</v>
      </c>
      <c r="Y2161" s="162">
        <f t="shared" si="735"/>
        <v>0</v>
      </c>
      <c r="Z2161" s="162">
        <f t="shared" si="735"/>
        <v>0</v>
      </c>
      <c r="AA2161" s="162">
        <f t="shared" si="735"/>
        <v>0</v>
      </c>
      <c r="AB2161" s="163">
        <f t="shared" si="723"/>
        <v>0</v>
      </c>
      <c r="AC2161" s="198"/>
      <c r="AE2161" s="194" t="str">
        <f t="shared" si="724"/>
        <v/>
      </c>
      <c r="AF2161" s="161">
        <f t="shared" si="736"/>
        <v>0</v>
      </c>
      <c r="AG2161" s="162">
        <f t="shared" si="736"/>
        <v>0</v>
      </c>
      <c r="AH2161" s="162">
        <f t="shared" si="736"/>
        <v>0</v>
      </c>
      <c r="AI2161" s="162">
        <f t="shared" si="736"/>
        <v>0</v>
      </c>
      <c r="AJ2161" s="162">
        <f t="shared" si="736"/>
        <v>0</v>
      </c>
      <c r="AK2161" s="162">
        <f t="shared" si="736"/>
        <v>0</v>
      </c>
      <c r="AL2161" s="162">
        <f t="shared" si="736"/>
        <v>0</v>
      </c>
      <c r="AM2161" s="162">
        <f t="shared" si="736"/>
        <v>0</v>
      </c>
      <c r="AN2161" s="162">
        <f t="shared" si="736"/>
        <v>0</v>
      </c>
      <c r="AO2161" s="162">
        <f t="shared" si="736"/>
        <v>0</v>
      </c>
      <c r="AP2161" s="162">
        <f t="shared" si="736"/>
        <v>0</v>
      </c>
      <c r="AQ2161" s="162">
        <f t="shared" si="736"/>
        <v>0</v>
      </c>
      <c r="AR2161" s="163">
        <f t="shared" si="726"/>
        <v>0</v>
      </c>
      <c r="AT2161" s="208">
        <f>IFERROR(VLOOKUP(J2161,#REF!,10,0),0)</f>
        <v>0</v>
      </c>
    </row>
    <row r="2162" spans="1:60" hidden="1" outlineLevel="1" x14ac:dyDescent="0.25">
      <c r="A2162" s="14" t="str">
        <f t="shared" si="732"/>
        <v>PROP_OPER__37</v>
      </c>
      <c r="B2162" s="15" t="str">
        <f t="shared" si="719"/>
        <v>PROP_OPER__0_0</v>
      </c>
      <c r="C2162" s="83"/>
      <c r="D2162" s="15">
        <v>1</v>
      </c>
      <c r="E2162" s="15">
        <v>37</v>
      </c>
      <c r="F2162" s="190">
        <f t="shared" si="733"/>
        <v>0</v>
      </c>
      <c r="G2162" s="149" t="str">
        <f t="shared" si="733"/>
        <v/>
      </c>
      <c r="H2162" s="150" t="str">
        <f t="shared" si="733"/>
        <v/>
      </c>
      <c r="I2162" s="150">
        <f t="shared" si="733"/>
        <v>0</v>
      </c>
      <c r="J2162" s="150">
        <f t="shared" si="733"/>
        <v>0</v>
      </c>
      <c r="K2162" s="150"/>
      <c r="L2162" s="150"/>
      <c r="M2162" s="191">
        <f t="shared" si="734"/>
        <v>0</v>
      </c>
      <c r="N2162" s="150">
        <f t="shared" si="734"/>
        <v>0</v>
      </c>
      <c r="O2162" s="193">
        <f t="shared" si="734"/>
        <v>0</v>
      </c>
      <c r="P2162" s="162">
        <f t="shared" si="735"/>
        <v>0</v>
      </c>
      <c r="Q2162" s="162">
        <f t="shared" si="735"/>
        <v>0</v>
      </c>
      <c r="R2162" s="162">
        <f t="shared" si="735"/>
        <v>0</v>
      </c>
      <c r="S2162" s="162">
        <f t="shared" si="735"/>
        <v>0</v>
      </c>
      <c r="T2162" s="162">
        <f t="shared" si="735"/>
        <v>0</v>
      </c>
      <c r="U2162" s="162">
        <f t="shared" si="735"/>
        <v>0</v>
      </c>
      <c r="V2162" s="162">
        <f t="shared" si="735"/>
        <v>0</v>
      </c>
      <c r="W2162" s="162">
        <f t="shared" si="735"/>
        <v>0</v>
      </c>
      <c r="X2162" s="162">
        <f t="shared" si="735"/>
        <v>0</v>
      </c>
      <c r="Y2162" s="162">
        <f t="shared" si="735"/>
        <v>0</v>
      </c>
      <c r="Z2162" s="162">
        <f t="shared" si="735"/>
        <v>0</v>
      </c>
      <c r="AA2162" s="162">
        <f t="shared" si="735"/>
        <v>0</v>
      </c>
      <c r="AB2162" s="163">
        <f t="shared" si="723"/>
        <v>0</v>
      </c>
      <c r="AC2162" s="198"/>
      <c r="AE2162" s="194" t="str">
        <f t="shared" si="724"/>
        <v/>
      </c>
      <c r="AF2162" s="161">
        <f t="shared" si="736"/>
        <v>0</v>
      </c>
      <c r="AG2162" s="162">
        <f t="shared" si="736"/>
        <v>0</v>
      </c>
      <c r="AH2162" s="162">
        <f t="shared" si="736"/>
        <v>0</v>
      </c>
      <c r="AI2162" s="162">
        <f t="shared" si="736"/>
        <v>0</v>
      </c>
      <c r="AJ2162" s="162">
        <f t="shared" si="736"/>
        <v>0</v>
      </c>
      <c r="AK2162" s="162">
        <f t="shared" si="736"/>
        <v>0</v>
      </c>
      <c r="AL2162" s="162">
        <f t="shared" si="736"/>
        <v>0</v>
      </c>
      <c r="AM2162" s="162">
        <f t="shared" si="736"/>
        <v>0</v>
      </c>
      <c r="AN2162" s="162">
        <f t="shared" si="736"/>
        <v>0</v>
      </c>
      <c r="AO2162" s="162">
        <f t="shared" si="736"/>
        <v>0</v>
      </c>
      <c r="AP2162" s="162">
        <f t="shared" si="736"/>
        <v>0</v>
      </c>
      <c r="AQ2162" s="162">
        <f t="shared" si="736"/>
        <v>0</v>
      </c>
      <c r="AR2162" s="163">
        <f t="shared" si="726"/>
        <v>0</v>
      </c>
      <c r="AT2162" s="208">
        <f>IFERROR(VLOOKUP(J2162,#REF!,10,0),0)</f>
        <v>0</v>
      </c>
    </row>
    <row r="2163" spans="1:60" hidden="1" outlineLevel="1" x14ac:dyDescent="0.25">
      <c r="A2163" s="14" t="str">
        <f t="shared" si="732"/>
        <v>PROP_OPER__38</v>
      </c>
      <c r="B2163" s="15" t="str">
        <f t="shared" si="719"/>
        <v>PROP_OPER__0_0</v>
      </c>
      <c r="C2163" s="83"/>
      <c r="D2163" s="15">
        <v>1</v>
      </c>
      <c r="E2163" s="15">
        <v>38</v>
      </c>
      <c r="F2163" s="190">
        <f t="shared" si="733"/>
        <v>0</v>
      </c>
      <c r="G2163" s="149" t="str">
        <f t="shared" si="733"/>
        <v/>
      </c>
      <c r="H2163" s="150" t="str">
        <f t="shared" si="733"/>
        <v/>
      </c>
      <c r="I2163" s="150">
        <f t="shared" si="733"/>
        <v>0</v>
      </c>
      <c r="J2163" s="150">
        <f t="shared" si="733"/>
        <v>0</v>
      </c>
      <c r="K2163" s="150"/>
      <c r="L2163" s="150"/>
      <c r="M2163" s="191">
        <f t="shared" si="734"/>
        <v>0</v>
      </c>
      <c r="N2163" s="150">
        <f t="shared" si="734"/>
        <v>0</v>
      </c>
      <c r="O2163" s="193">
        <f t="shared" si="734"/>
        <v>0</v>
      </c>
      <c r="P2163" s="162">
        <f t="shared" si="735"/>
        <v>0</v>
      </c>
      <c r="Q2163" s="162">
        <f t="shared" si="735"/>
        <v>0</v>
      </c>
      <c r="R2163" s="162">
        <f t="shared" si="735"/>
        <v>0</v>
      </c>
      <c r="S2163" s="162">
        <f t="shared" si="735"/>
        <v>0</v>
      </c>
      <c r="T2163" s="162">
        <f t="shared" si="735"/>
        <v>0</v>
      </c>
      <c r="U2163" s="162">
        <f t="shared" si="735"/>
        <v>0</v>
      </c>
      <c r="V2163" s="162">
        <f t="shared" si="735"/>
        <v>0</v>
      </c>
      <c r="W2163" s="162">
        <f t="shared" si="735"/>
        <v>0</v>
      </c>
      <c r="X2163" s="162">
        <f t="shared" si="735"/>
        <v>0</v>
      </c>
      <c r="Y2163" s="162">
        <f t="shared" si="735"/>
        <v>0</v>
      </c>
      <c r="Z2163" s="162">
        <f t="shared" si="735"/>
        <v>0</v>
      </c>
      <c r="AA2163" s="162">
        <f t="shared" si="735"/>
        <v>0</v>
      </c>
      <c r="AB2163" s="163">
        <f t="shared" si="723"/>
        <v>0</v>
      </c>
      <c r="AC2163" s="198"/>
      <c r="AE2163" s="194" t="str">
        <f t="shared" si="724"/>
        <v/>
      </c>
      <c r="AF2163" s="161">
        <f t="shared" si="736"/>
        <v>0</v>
      </c>
      <c r="AG2163" s="162">
        <f t="shared" si="736"/>
        <v>0</v>
      </c>
      <c r="AH2163" s="162">
        <f t="shared" si="736"/>
        <v>0</v>
      </c>
      <c r="AI2163" s="162">
        <f t="shared" si="736"/>
        <v>0</v>
      </c>
      <c r="AJ2163" s="162">
        <f t="shared" si="736"/>
        <v>0</v>
      </c>
      <c r="AK2163" s="162">
        <f t="shared" si="736"/>
        <v>0</v>
      </c>
      <c r="AL2163" s="162">
        <f t="shared" si="736"/>
        <v>0</v>
      </c>
      <c r="AM2163" s="162">
        <f t="shared" si="736"/>
        <v>0</v>
      </c>
      <c r="AN2163" s="162">
        <f t="shared" si="736"/>
        <v>0</v>
      </c>
      <c r="AO2163" s="162">
        <f t="shared" si="736"/>
        <v>0</v>
      </c>
      <c r="AP2163" s="162">
        <f t="shared" si="736"/>
        <v>0</v>
      </c>
      <c r="AQ2163" s="162">
        <f t="shared" si="736"/>
        <v>0</v>
      </c>
      <c r="AR2163" s="163">
        <f t="shared" si="726"/>
        <v>0</v>
      </c>
      <c r="AT2163" s="208">
        <f>IFERROR(VLOOKUP(J2163,#REF!,10,0),0)</f>
        <v>0</v>
      </c>
    </row>
    <row r="2164" spans="1:60" hidden="1" outlineLevel="1" x14ac:dyDescent="0.25">
      <c r="A2164" s="14" t="str">
        <f t="shared" si="732"/>
        <v>PROP_OPER__39</v>
      </c>
      <c r="B2164" s="15" t="str">
        <f t="shared" si="719"/>
        <v>PROP_OPER__0_0</v>
      </c>
      <c r="C2164" s="83"/>
      <c r="D2164" s="15">
        <v>1</v>
      </c>
      <c r="E2164" s="15">
        <v>39</v>
      </c>
      <c r="F2164" s="190">
        <f t="shared" si="733"/>
        <v>0</v>
      </c>
      <c r="G2164" s="149" t="str">
        <f t="shared" si="733"/>
        <v/>
      </c>
      <c r="H2164" s="150" t="str">
        <f t="shared" si="733"/>
        <v/>
      </c>
      <c r="I2164" s="150">
        <f t="shared" si="733"/>
        <v>0</v>
      </c>
      <c r="J2164" s="150">
        <f t="shared" si="733"/>
        <v>0</v>
      </c>
      <c r="K2164" s="150"/>
      <c r="L2164" s="150"/>
      <c r="M2164" s="191">
        <f t="shared" si="734"/>
        <v>0</v>
      </c>
      <c r="N2164" s="150">
        <f t="shared" si="734"/>
        <v>0</v>
      </c>
      <c r="O2164" s="193">
        <f t="shared" si="734"/>
        <v>0</v>
      </c>
      <c r="P2164" s="162">
        <f t="shared" si="735"/>
        <v>0</v>
      </c>
      <c r="Q2164" s="162">
        <f t="shared" si="735"/>
        <v>0</v>
      </c>
      <c r="R2164" s="162">
        <f t="shared" si="735"/>
        <v>0</v>
      </c>
      <c r="S2164" s="162">
        <f t="shared" si="735"/>
        <v>0</v>
      </c>
      <c r="T2164" s="162">
        <f t="shared" si="735"/>
        <v>0</v>
      </c>
      <c r="U2164" s="162">
        <f t="shared" si="735"/>
        <v>0</v>
      </c>
      <c r="V2164" s="162">
        <f t="shared" si="735"/>
        <v>0</v>
      </c>
      <c r="W2164" s="162">
        <f t="shared" si="735"/>
        <v>0</v>
      </c>
      <c r="X2164" s="162">
        <f t="shared" si="735"/>
        <v>0</v>
      </c>
      <c r="Y2164" s="162">
        <f t="shared" si="735"/>
        <v>0</v>
      </c>
      <c r="Z2164" s="162">
        <f t="shared" si="735"/>
        <v>0</v>
      </c>
      <c r="AA2164" s="162">
        <f t="shared" si="735"/>
        <v>0</v>
      </c>
      <c r="AB2164" s="163">
        <f t="shared" si="723"/>
        <v>0</v>
      </c>
      <c r="AC2164" s="198"/>
      <c r="AE2164" s="194" t="str">
        <f t="shared" si="724"/>
        <v/>
      </c>
      <c r="AF2164" s="161">
        <f t="shared" si="736"/>
        <v>0</v>
      </c>
      <c r="AG2164" s="162">
        <f t="shared" si="736"/>
        <v>0</v>
      </c>
      <c r="AH2164" s="162">
        <f t="shared" si="736"/>
        <v>0</v>
      </c>
      <c r="AI2164" s="162">
        <f t="shared" si="736"/>
        <v>0</v>
      </c>
      <c r="AJ2164" s="162">
        <f t="shared" si="736"/>
        <v>0</v>
      </c>
      <c r="AK2164" s="162">
        <f t="shared" si="736"/>
        <v>0</v>
      </c>
      <c r="AL2164" s="162">
        <f t="shared" si="736"/>
        <v>0</v>
      </c>
      <c r="AM2164" s="162">
        <f t="shared" si="736"/>
        <v>0</v>
      </c>
      <c r="AN2164" s="162">
        <f t="shared" si="736"/>
        <v>0</v>
      </c>
      <c r="AO2164" s="162">
        <f t="shared" si="736"/>
        <v>0</v>
      </c>
      <c r="AP2164" s="162">
        <f t="shared" si="736"/>
        <v>0</v>
      </c>
      <c r="AQ2164" s="162">
        <f t="shared" si="736"/>
        <v>0</v>
      </c>
      <c r="AR2164" s="163">
        <f t="shared" si="726"/>
        <v>0</v>
      </c>
      <c r="AT2164" s="208">
        <f>IFERROR(VLOOKUP(J2164,#REF!,10,0),0)</f>
        <v>0</v>
      </c>
    </row>
    <row r="2165" spans="1:60" hidden="1" outlineLevel="1" x14ac:dyDescent="0.25">
      <c r="A2165" s="14" t="str">
        <f t="shared" si="732"/>
        <v>PROP_OPER__40</v>
      </c>
      <c r="B2165" s="15" t="str">
        <f t="shared" si="719"/>
        <v>PROP_OPER__0_0</v>
      </c>
      <c r="C2165" s="83"/>
      <c r="D2165" s="15">
        <v>1</v>
      </c>
      <c r="E2165" s="15">
        <v>40</v>
      </c>
      <c r="F2165" s="190">
        <f t="shared" si="733"/>
        <v>0</v>
      </c>
      <c r="G2165" s="149" t="str">
        <f t="shared" si="733"/>
        <v/>
      </c>
      <c r="H2165" s="150" t="str">
        <f t="shared" si="733"/>
        <v/>
      </c>
      <c r="I2165" s="150">
        <f t="shared" si="733"/>
        <v>0</v>
      </c>
      <c r="J2165" s="150">
        <f t="shared" si="733"/>
        <v>0</v>
      </c>
      <c r="K2165" s="150"/>
      <c r="L2165" s="150"/>
      <c r="M2165" s="191">
        <f t="shared" si="734"/>
        <v>0</v>
      </c>
      <c r="N2165" s="150">
        <f t="shared" si="734"/>
        <v>0</v>
      </c>
      <c r="O2165" s="193">
        <f t="shared" si="734"/>
        <v>0</v>
      </c>
      <c r="P2165" s="162">
        <f t="shared" si="735"/>
        <v>0</v>
      </c>
      <c r="Q2165" s="162">
        <f t="shared" si="735"/>
        <v>0</v>
      </c>
      <c r="R2165" s="162">
        <f t="shared" si="735"/>
        <v>0</v>
      </c>
      <c r="S2165" s="162">
        <f t="shared" si="735"/>
        <v>0</v>
      </c>
      <c r="T2165" s="162">
        <f t="shared" si="735"/>
        <v>0</v>
      </c>
      <c r="U2165" s="162">
        <f t="shared" si="735"/>
        <v>0</v>
      </c>
      <c r="V2165" s="162">
        <f t="shared" si="735"/>
        <v>0</v>
      </c>
      <c r="W2165" s="162">
        <f t="shared" si="735"/>
        <v>0</v>
      </c>
      <c r="X2165" s="162">
        <f t="shared" si="735"/>
        <v>0</v>
      </c>
      <c r="Y2165" s="162">
        <f t="shared" si="735"/>
        <v>0</v>
      </c>
      <c r="Z2165" s="162">
        <f t="shared" si="735"/>
        <v>0</v>
      </c>
      <c r="AA2165" s="162">
        <f t="shared" si="735"/>
        <v>0</v>
      </c>
      <c r="AB2165" s="163">
        <f t="shared" si="723"/>
        <v>0</v>
      </c>
      <c r="AC2165" s="198"/>
      <c r="AE2165" s="194" t="str">
        <f t="shared" si="724"/>
        <v/>
      </c>
      <c r="AF2165" s="161">
        <f t="shared" si="736"/>
        <v>0</v>
      </c>
      <c r="AG2165" s="162">
        <f t="shared" si="736"/>
        <v>0</v>
      </c>
      <c r="AH2165" s="162">
        <f t="shared" si="736"/>
        <v>0</v>
      </c>
      <c r="AI2165" s="162">
        <f t="shared" si="736"/>
        <v>0</v>
      </c>
      <c r="AJ2165" s="162">
        <f t="shared" si="736"/>
        <v>0</v>
      </c>
      <c r="AK2165" s="162">
        <f t="shared" si="736"/>
        <v>0</v>
      </c>
      <c r="AL2165" s="162">
        <f t="shared" si="736"/>
        <v>0</v>
      </c>
      <c r="AM2165" s="162">
        <f t="shared" si="736"/>
        <v>0</v>
      </c>
      <c r="AN2165" s="162">
        <f t="shared" si="736"/>
        <v>0</v>
      </c>
      <c r="AO2165" s="162">
        <f t="shared" si="736"/>
        <v>0</v>
      </c>
      <c r="AP2165" s="162">
        <f t="shared" si="736"/>
        <v>0</v>
      </c>
      <c r="AQ2165" s="162">
        <f t="shared" si="736"/>
        <v>0</v>
      </c>
      <c r="AR2165" s="163">
        <f t="shared" si="726"/>
        <v>0</v>
      </c>
      <c r="AT2165" s="208">
        <f>IFERROR(VLOOKUP(J2165,#REF!,10,0),0)</f>
        <v>0</v>
      </c>
    </row>
    <row r="2166" spans="1:60" hidden="1" outlineLevel="1" x14ac:dyDescent="0.25">
      <c r="A2166" s="14" t="str">
        <f t="shared" si="732"/>
        <v>PROP_OPER__41</v>
      </c>
      <c r="B2166" s="15" t="str">
        <f t="shared" si="719"/>
        <v>PROP_OPER__0_0</v>
      </c>
      <c r="C2166" s="83"/>
      <c r="D2166" s="15">
        <v>1</v>
      </c>
      <c r="E2166" s="15">
        <v>41</v>
      </c>
      <c r="F2166" s="190">
        <f t="shared" si="733"/>
        <v>0</v>
      </c>
      <c r="G2166" s="149" t="str">
        <f t="shared" si="733"/>
        <v/>
      </c>
      <c r="H2166" s="150" t="str">
        <f t="shared" si="733"/>
        <v/>
      </c>
      <c r="I2166" s="150">
        <f t="shared" si="733"/>
        <v>0</v>
      </c>
      <c r="J2166" s="150">
        <f t="shared" si="733"/>
        <v>0</v>
      </c>
      <c r="K2166" s="150"/>
      <c r="L2166" s="150"/>
      <c r="M2166" s="191">
        <f t="shared" si="734"/>
        <v>0</v>
      </c>
      <c r="N2166" s="150">
        <f t="shared" si="734"/>
        <v>0</v>
      </c>
      <c r="O2166" s="193">
        <f t="shared" si="734"/>
        <v>0</v>
      </c>
      <c r="P2166" s="162">
        <f t="shared" si="735"/>
        <v>0</v>
      </c>
      <c r="Q2166" s="162">
        <f t="shared" si="735"/>
        <v>0</v>
      </c>
      <c r="R2166" s="162">
        <f t="shared" si="735"/>
        <v>0</v>
      </c>
      <c r="S2166" s="162">
        <f t="shared" si="735"/>
        <v>0</v>
      </c>
      <c r="T2166" s="162">
        <f t="shared" si="735"/>
        <v>0</v>
      </c>
      <c r="U2166" s="162">
        <f t="shared" si="735"/>
        <v>0</v>
      </c>
      <c r="V2166" s="162">
        <f t="shared" si="735"/>
        <v>0</v>
      </c>
      <c r="W2166" s="162">
        <f t="shared" si="735"/>
        <v>0</v>
      </c>
      <c r="X2166" s="162">
        <f t="shared" si="735"/>
        <v>0</v>
      </c>
      <c r="Y2166" s="162">
        <f t="shared" si="735"/>
        <v>0</v>
      </c>
      <c r="Z2166" s="162">
        <f t="shared" si="735"/>
        <v>0</v>
      </c>
      <c r="AA2166" s="162">
        <f t="shared" si="735"/>
        <v>0</v>
      </c>
      <c r="AB2166" s="163">
        <f t="shared" si="723"/>
        <v>0</v>
      </c>
      <c r="AC2166" s="198"/>
      <c r="AE2166" s="194" t="str">
        <f t="shared" si="724"/>
        <v/>
      </c>
      <c r="AF2166" s="161">
        <f t="shared" si="736"/>
        <v>0</v>
      </c>
      <c r="AG2166" s="162">
        <f t="shared" si="736"/>
        <v>0</v>
      </c>
      <c r="AH2166" s="162">
        <f t="shared" si="736"/>
        <v>0</v>
      </c>
      <c r="AI2166" s="162">
        <f t="shared" si="736"/>
        <v>0</v>
      </c>
      <c r="AJ2166" s="162">
        <f t="shared" si="736"/>
        <v>0</v>
      </c>
      <c r="AK2166" s="162">
        <f t="shared" si="736"/>
        <v>0</v>
      </c>
      <c r="AL2166" s="162">
        <f t="shared" si="736"/>
        <v>0</v>
      </c>
      <c r="AM2166" s="162">
        <f t="shared" si="736"/>
        <v>0</v>
      </c>
      <c r="AN2166" s="162">
        <f t="shared" si="736"/>
        <v>0</v>
      </c>
      <c r="AO2166" s="162">
        <f t="shared" si="736"/>
        <v>0</v>
      </c>
      <c r="AP2166" s="162">
        <f t="shared" si="736"/>
        <v>0</v>
      </c>
      <c r="AQ2166" s="162">
        <f t="shared" si="736"/>
        <v>0</v>
      </c>
      <c r="AR2166" s="163">
        <f t="shared" si="726"/>
        <v>0</v>
      </c>
      <c r="AT2166" s="208">
        <f>IFERROR(VLOOKUP(J2166,#REF!,10,0),0)</f>
        <v>0</v>
      </c>
    </row>
    <row r="2167" spans="1:60" hidden="1" outlineLevel="1" x14ac:dyDescent="0.25">
      <c r="A2167" s="14" t="str">
        <f t="shared" si="732"/>
        <v>PROP_OPER__42</v>
      </c>
      <c r="B2167" s="15" t="str">
        <f t="shared" si="719"/>
        <v>PROP_OPER__0_0</v>
      </c>
      <c r="C2167" s="83"/>
      <c r="D2167" s="15">
        <v>1</v>
      </c>
      <c r="E2167" s="15">
        <v>42</v>
      </c>
      <c r="F2167" s="190">
        <f t="shared" si="733"/>
        <v>0</v>
      </c>
      <c r="G2167" s="149" t="str">
        <f t="shared" si="733"/>
        <v/>
      </c>
      <c r="H2167" s="150" t="str">
        <f t="shared" si="733"/>
        <v/>
      </c>
      <c r="I2167" s="150">
        <f t="shared" si="733"/>
        <v>0</v>
      </c>
      <c r="J2167" s="150">
        <f t="shared" si="733"/>
        <v>0</v>
      </c>
      <c r="K2167" s="150"/>
      <c r="L2167" s="150"/>
      <c r="M2167" s="191">
        <f t="shared" si="734"/>
        <v>0</v>
      </c>
      <c r="N2167" s="150">
        <f t="shared" si="734"/>
        <v>0</v>
      </c>
      <c r="O2167" s="193">
        <f t="shared" si="734"/>
        <v>0</v>
      </c>
      <c r="P2167" s="162">
        <f t="shared" si="735"/>
        <v>0</v>
      </c>
      <c r="Q2167" s="162">
        <f t="shared" si="735"/>
        <v>0</v>
      </c>
      <c r="R2167" s="162">
        <f t="shared" si="735"/>
        <v>0</v>
      </c>
      <c r="S2167" s="162">
        <f t="shared" si="735"/>
        <v>0</v>
      </c>
      <c r="T2167" s="162">
        <f t="shared" si="735"/>
        <v>0</v>
      </c>
      <c r="U2167" s="162">
        <f t="shared" si="735"/>
        <v>0</v>
      </c>
      <c r="V2167" s="162">
        <f t="shared" si="735"/>
        <v>0</v>
      </c>
      <c r="W2167" s="162">
        <f t="shared" si="735"/>
        <v>0</v>
      </c>
      <c r="X2167" s="162">
        <f t="shared" si="735"/>
        <v>0</v>
      </c>
      <c r="Y2167" s="162">
        <f t="shared" si="735"/>
        <v>0</v>
      </c>
      <c r="Z2167" s="162">
        <f t="shared" si="735"/>
        <v>0</v>
      </c>
      <c r="AA2167" s="162">
        <f t="shared" si="735"/>
        <v>0</v>
      </c>
      <c r="AB2167" s="163">
        <f t="shared" si="723"/>
        <v>0</v>
      </c>
      <c r="AC2167" s="198"/>
      <c r="AE2167" s="194" t="str">
        <f t="shared" si="724"/>
        <v/>
      </c>
      <c r="AF2167" s="161">
        <f t="shared" si="736"/>
        <v>0</v>
      </c>
      <c r="AG2167" s="162">
        <f t="shared" si="736"/>
        <v>0</v>
      </c>
      <c r="AH2167" s="162">
        <f t="shared" si="736"/>
        <v>0</v>
      </c>
      <c r="AI2167" s="162">
        <f t="shared" si="736"/>
        <v>0</v>
      </c>
      <c r="AJ2167" s="162">
        <f t="shared" si="736"/>
        <v>0</v>
      </c>
      <c r="AK2167" s="162">
        <f t="shared" si="736"/>
        <v>0</v>
      </c>
      <c r="AL2167" s="162">
        <f t="shared" si="736"/>
        <v>0</v>
      </c>
      <c r="AM2167" s="162">
        <f t="shared" si="736"/>
        <v>0</v>
      </c>
      <c r="AN2167" s="162">
        <f t="shared" si="736"/>
        <v>0</v>
      </c>
      <c r="AO2167" s="162">
        <f t="shared" si="736"/>
        <v>0</v>
      </c>
      <c r="AP2167" s="162">
        <f t="shared" si="736"/>
        <v>0</v>
      </c>
      <c r="AQ2167" s="162">
        <f t="shared" si="736"/>
        <v>0</v>
      </c>
      <c r="AR2167" s="163">
        <f t="shared" si="726"/>
        <v>0</v>
      </c>
      <c r="AT2167" s="208">
        <f>IFERROR(VLOOKUP(J2167,#REF!,10,0),0)</f>
        <v>0</v>
      </c>
    </row>
    <row r="2168" spans="1:60" hidden="1" outlineLevel="1" x14ac:dyDescent="0.25">
      <c r="A2168" s="14" t="str">
        <f t="shared" si="732"/>
        <v>PROP_OPER__43</v>
      </c>
      <c r="B2168" s="15" t="str">
        <f t="shared" si="719"/>
        <v>PROP_OPER__0_0</v>
      </c>
      <c r="C2168" s="83"/>
      <c r="D2168" s="15">
        <v>1</v>
      </c>
      <c r="E2168" s="15">
        <v>43</v>
      </c>
      <c r="F2168" s="190">
        <f t="shared" si="733"/>
        <v>0</v>
      </c>
      <c r="G2168" s="149" t="str">
        <f t="shared" si="733"/>
        <v/>
      </c>
      <c r="H2168" s="150" t="str">
        <f t="shared" si="733"/>
        <v/>
      </c>
      <c r="I2168" s="150">
        <f t="shared" si="733"/>
        <v>0</v>
      </c>
      <c r="J2168" s="150">
        <f t="shared" si="733"/>
        <v>0</v>
      </c>
      <c r="K2168" s="150"/>
      <c r="L2168" s="150"/>
      <c r="M2168" s="191">
        <f t="shared" si="734"/>
        <v>0</v>
      </c>
      <c r="N2168" s="150">
        <f t="shared" si="734"/>
        <v>0</v>
      </c>
      <c r="O2168" s="193">
        <f t="shared" si="734"/>
        <v>0</v>
      </c>
      <c r="P2168" s="162">
        <f t="shared" si="735"/>
        <v>0</v>
      </c>
      <c r="Q2168" s="162">
        <f t="shared" si="735"/>
        <v>0</v>
      </c>
      <c r="R2168" s="162">
        <f t="shared" si="735"/>
        <v>0</v>
      </c>
      <c r="S2168" s="162">
        <f t="shared" si="735"/>
        <v>0</v>
      </c>
      <c r="T2168" s="162">
        <f t="shared" si="735"/>
        <v>0</v>
      </c>
      <c r="U2168" s="162">
        <f t="shared" si="735"/>
        <v>0</v>
      </c>
      <c r="V2168" s="162">
        <f t="shared" si="735"/>
        <v>0</v>
      </c>
      <c r="W2168" s="162">
        <f t="shared" si="735"/>
        <v>0</v>
      </c>
      <c r="X2168" s="162">
        <f t="shared" si="735"/>
        <v>0</v>
      </c>
      <c r="Y2168" s="162">
        <f t="shared" si="735"/>
        <v>0</v>
      </c>
      <c r="Z2168" s="162">
        <f t="shared" si="735"/>
        <v>0</v>
      </c>
      <c r="AA2168" s="162">
        <f t="shared" si="735"/>
        <v>0</v>
      </c>
      <c r="AB2168" s="163">
        <f t="shared" si="723"/>
        <v>0</v>
      </c>
      <c r="AC2168" s="198"/>
      <c r="AE2168" s="194" t="str">
        <f t="shared" si="724"/>
        <v/>
      </c>
      <c r="AF2168" s="161">
        <f t="shared" si="736"/>
        <v>0</v>
      </c>
      <c r="AG2168" s="162">
        <f t="shared" si="736"/>
        <v>0</v>
      </c>
      <c r="AH2168" s="162">
        <f t="shared" si="736"/>
        <v>0</v>
      </c>
      <c r="AI2168" s="162">
        <f t="shared" si="736"/>
        <v>0</v>
      </c>
      <c r="AJ2168" s="162">
        <f t="shared" si="736"/>
        <v>0</v>
      </c>
      <c r="AK2168" s="162">
        <f t="shared" si="736"/>
        <v>0</v>
      </c>
      <c r="AL2168" s="162">
        <f t="shared" si="736"/>
        <v>0</v>
      </c>
      <c r="AM2168" s="162">
        <f t="shared" si="736"/>
        <v>0</v>
      </c>
      <c r="AN2168" s="162">
        <f t="shared" si="736"/>
        <v>0</v>
      </c>
      <c r="AO2168" s="162">
        <f t="shared" si="736"/>
        <v>0</v>
      </c>
      <c r="AP2168" s="162">
        <f t="shared" si="736"/>
        <v>0</v>
      </c>
      <c r="AQ2168" s="162">
        <f t="shared" si="736"/>
        <v>0</v>
      </c>
      <c r="AR2168" s="163">
        <f t="shared" si="726"/>
        <v>0</v>
      </c>
      <c r="AT2168" s="208">
        <f>IFERROR(VLOOKUP(J2168,#REF!,10,0),0)</f>
        <v>0</v>
      </c>
    </row>
    <row r="2169" spans="1:60" hidden="1" outlineLevel="1" x14ac:dyDescent="0.25">
      <c r="A2169" s="14" t="str">
        <f t="shared" si="732"/>
        <v>PROP_OPER__44</v>
      </c>
      <c r="B2169" s="15" t="str">
        <f t="shared" si="719"/>
        <v>PROP_OPER__0_0</v>
      </c>
      <c r="C2169" s="83"/>
      <c r="D2169" s="15">
        <v>1</v>
      </c>
      <c r="E2169" s="15">
        <v>44</v>
      </c>
      <c r="F2169" s="190">
        <f t="shared" si="733"/>
        <v>0</v>
      </c>
      <c r="G2169" s="149" t="str">
        <f t="shared" si="733"/>
        <v/>
      </c>
      <c r="H2169" s="150" t="str">
        <f t="shared" si="733"/>
        <v/>
      </c>
      <c r="I2169" s="150">
        <f t="shared" si="733"/>
        <v>0</v>
      </c>
      <c r="J2169" s="150">
        <f t="shared" si="733"/>
        <v>0</v>
      </c>
      <c r="K2169" s="150"/>
      <c r="L2169" s="150"/>
      <c r="M2169" s="191">
        <f t="shared" si="734"/>
        <v>0</v>
      </c>
      <c r="N2169" s="150">
        <f t="shared" si="734"/>
        <v>0</v>
      </c>
      <c r="O2169" s="193">
        <f t="shared" si="734"/>
        <v>0</v>
      </c>
      <c r="P2169" s="162">
        <f t="shared" si="735"/>
        <v>0</v>
      </c>
      <c r="Q2169" s="162">
        <f t="shared" si="735"/>
        <v>0</v>
      </c>
      <c r="R2169" s="162">
        <f t="shared" si="735"/>
        <v>0</v>
      </c>
      <c r="S2169" s="162">
        <f t="shared" si="735"/>
        <v>0</v>
      </c>
      <c r="T2169" s="162">
        <f t="shared" si="735"/>
        <v>0</v>
      </c>
      <c r="U2169" s="162">
        <f t="shared" si="735"/>
        <v>0</v>
      </c>
      <c r="V2169" s="162">
        <f t="shared" si="735"/>
        <v>0</v>
      </c>
      <c r="W2169" s="162">
        <f t="shared" si="735"/>
        <v>0</v>
      </c>
      <c r="X2169" s="162">
        <f t="shared" si="735"/>
        <v>0</v>
      </c>
      <c r="Y2169" s="162">
        <f t="shared" si="735"/>
        <v>0</v>
      </c>
      <c r="Z2169" s="162">
        <f t="shared" si="735"/>
        <v>0</v>
      </c>
      <c r="AA2169" s="162">
        <f t="shared" si="735"/>
        <v>0</v>
      </c>
      <c r="AB2169" s="163">
        <f t="shared" si="723"/>
        <v>0</v>
      </c>
      <c r="AC2169" s="198"/>
      <c r="AE2169" s="194" t="str">
        <f t="shared" si="724"/>
        <v/>
      </c>
      <c r="AF2169" s="161">
        <f t="shared" si="736"/>
        <v>0</v>
      </c>
      <c r="AG2169" s="162">
        <f t="shared" si="736"/>
        <v>0</v>
      </c>
      <c r="AH2169" s="162">
        <f t="shared" si="736"/>
        <v>0</v>
      </c>
      <c r="AI2169" s="162">
        <f t="shared" si="736"/>
        <v>0</v>
      </c>
      <c r="AJ2169" s="162">
        <f t="shared" si="736"/>
        <v>0</v>
      </c>
      <c r="AK2169" s="162">
        <f t="shared" si="736"/>
        <v>0</v>
      </c>
      <c r="AL2169" s="162">
        <f t="shared" si="736"/>
        <v>0</v>
      </c>
      <c r="AM2169" s="162">
        <f t="shared" si="736"/>
        <v>0</v>
      </c>
      <c r="AN2169" s="162">
        <f t="shared" si="736"/>
        <v>0</v>
      </c>
      <c r="AO2169" s="162">
        <f t="shared" si="736"/>
        <v>0</v>
      </c>
      <c r="AP2169" s="162">
        <f t="shared" si="736"/>
        <v>0</v>
      </c>
      <c r="AQ2169" s="162">
        <f t="shared" si="736"/>
        <v>0</v>
      </c>
      <c r="AR2169" s="163">
        <f t="shared" si="726"/>
        <v>0</v>
      </c>
      <c r="AT2169" s="208">
        <f>IFERROR(VLOOKUP(J2169,#REF!,10,0),0)</f>
        <v>0</v>
      </c>
    </row>
    <row r="2170" spans="1:60" hidden="1" outlineLevel="1" x14ac:dyDescent="0.25">
      <c r="A2170" s="14" t="str">
        <f t="shared" si="732"/>
        <v>PROP_OPER__45</v>
      </c>
      <c r="B2170" s="15" t="str">
        <f t="shared" si="719"/>
        <v>PROP_OPER__0_0</v>
      </c>
      <c r="C2170" s="83"/>
      <c r="D2170" s="15">
        <v>1</v>
      </c>
      <c r="E2170" s="15">
        <v>45</v>
      </c>
      <c r="F2170" s="209">
        <f t="shared" si="733"/>
        <v>0</v>
      </c>
      <c r="G2170" s="183" t="str">
        <f t="shared" si="733"/>
        <v/>
      </c>
      <c r="H2170" s="184" t="str">
        <f t="shared" si="733"/>
        <v/>
      </c>
      <c r="I2170" s="184">
        <f t="shared" si="733"/>
        <v>0</v>
      </c>
      <c r="J2170" s="184">
        <f t="shared" si="733"/>
        <v>0</v>
      </c>
      <c r="K2170" s="184"/>
      <c r="L2170" s="184"/>
      <c r="M2170" s="212">
        <f t="shared" si="734"/>
        <v>0</v>
      </c>
      <c r="N2170" s="184">
        <f t="shared" si="734"/>
        <v>0</v>
      </c>
      <c r="O2170" s="213">
        <f t="shared" si="734"/>
        <v>0</v>
      </c>
      <c r="P2170" s="175">
        <f t="shared" si="735"/>
        <v>0</v>
      </c>
      <c r="Q2170" s="175">
        <f t="shared" si="735"/>
        <v>0</v>
      </c>
      <c r="R2170" s="175">
        <f t="shared" si="735"/>
        <v>0</v>
      </c>
      <c r="S2170" s="175">
        <f t="shared" si="735"/>
        <v>0</v>
      </c>
      <c r="T2170" s="175">
        <f t="shared" si="735"/>
        <v>0</v>
      </c>
      <c r="U2170" s="175">
        <f t="shared" si="735"/>
        <v>0</v>
      </c>
      <c r="V2170" s="175">
        <f t="shared" si="735"/>
        <v>0</v>
      </c>
      <c r="W2170" s="175">
        <f t="shared" si="735"/>
        <v>0</v>
      </c>
      <c r="X2170" s="175">
        <f t="shared" si="735"/>
        <v>0</v>
      </c>
      <c r="Y2170" s="175">
        <f t="shared" si="735"/>
        <v>0</v>
      </c>
      <c r="Z2170" s="175">
        <f t="shared" si="735"/>
        <v>0</v>
      </c>
      <c r="AA2170" s="175">
        <f t="shared" si="735"/>
        <v>0</v>
      </c>
      <c r="AB2170" s="176">
        <f t="shared" si="723"/>
        <v>0</v>
      </c>
      <c r="AC2170" s="172"/>
      <c r="AE2170" s="195" t="str">
        <f t="shared" si="724"/>
        <v/>
      </c>
      <c r="AF2170" s="174">
        <f t="shared" si="736"/>
        <v>0</v>
      </c>
      <c r="AG2170" s="175">
        <f t="shared" si="736"/>
        <v>0</v>
      </c>
      <c r="AH2170" s="175">
        <f t="shared" si="736"/>
        <v>0</v>
      </c>
      <c r="AI2170" s="175">
        <f t="shared" si="736"/>
        <v>0</v>
      </c>
      <c r="AJ2170" s="175">
        <f t="shared" si="736"/>
        <v>0</v>
      </c>
      <c r="AK2170" s="175">
        <f t="shared" si="736"/>
        <v>0</v>
      </c>
      <c r="AL2170" s="175">
        <f t="shared" si="736"/>
        <v>0</v>
      </c>
      <c r="AM2170" s="175">
        <f t="shared" si="736"/>
        <v>0</v>
      </c>
      <c r="AN2170" s="175">
        <f t="shared" si="736"/>
        <v>0</v>
      </c>
      <c r="AO2170" s="175">
        <f t="shared" si="736"/>
        <v>0</v>
      </c>
      <c r="AP2170" s="175">
        <f t="shared" si="736"/>
        <v>0</v>
      </c>
      <c r="AQ2170" s="175">
        <f t="shared" si="736"/>
        <v>0</v>
      </c>
      <c r="AR2170" s="176">
        <f t="shared" si="726"/>
        <v>0</v>
      </c>
      <c r="AT2170" s="208">
        <f>IFERROR(VLOOKUP(J2170,#REF!,10,0),0)</f>
        <v>0</v>
      </c>
    </row>
    <row r="2171" spans="1:60" collapsed="1" x14ac:dyDescent="0.25">
      <c r="AD2171" s="15"/>
      <c r="AE2171" s="15"/>
      <c r="AF2171" s="15"/>
      <c r="AG2171" s="15"/>
      <c r="AH2171" s="15"/>
      <c r="AI2171" s="15"/>
      <c r="AJ2171" s="15"/>
      <c r="AK2171" s="15"/>
      <c r="AL2171" s="15"/>
      <c r="AM2171" s="15"/>
      <c r="AN2171" s="15"/>
      <c r="AO2171" s="15"/>
      <c r="AP2171" s="15"/>
      <c r="AQ2171" s="15"/>
      <c r="AR2171" s="15"/>
      <c r="AS2171" s="15"/>
      <c r="AT2171" s="15"/>
      <c r="AU2171" s="15"/>
      <c r="AV2171" s="15"/>
      <c r="AW2171" s="15"/>
      <c r="AX2171" s="15"/>
      <c r="AY2171" s="15"/>
      <c r="AZ2171" s="15"/>
      <c r="BA2171" s="15"/>
      <c r="BB2171" s="15"/>
      <c r="BC2171" s="15"/>
      <c r="BD2171" s="15"/>
      <c r="BE2171" s="15"/>
      <c r="BF2171" s="15"/>
      <c r="BG2171" s="15"/>
      <c r="BH2171" s="15"/>
    </row>
    <row r="2172" spans="1:60" x14ac:dyDescent="0.25">
      <c r="AD2172" s="15"/>
      <c r="AE2172" s="15"/>
      <c r="AF2172" s="15"/>
      <c r="AG2172" s="15"/>
      <c r="AH2172" s="15"/>
      <c r="AI2172" s="15"/>
      <c r="AJ2172" s="15"/>
      <c r="AK2172" s="15"/>
      <c r="AL2172" s="15"/>
      <c r="AM2172" s="15"/>
      <c r="AN2172" s="15"/>
      <c r="AO2172" s="15"/>
      <c r="AP2172" s="15"/>
      <c r="AQ2172" s="15"/>
      <c r="AR2172" s="15"/>
      <c r="AS2172" s="15"/>
      <c r="AT2172" s="15"/>
      <c r="AU2172" s="15"/>
      <c r="AV2172" s="15"/>
      <c r="AW2172" s="15"/>
      <c r="AX2172" s="15"/>
      <c r="AY2172" s="15"/>
      <c r="AZ2172" s="15"/>
      <c r="BA2172" s="15"/>
      <c r="BB2172" s="15"/>
      <c r="BC2172" s="15"/>
      <c r="BD2172" s="15"/>
      <c r="BE2172" s="15"/>
      <c r="BF2172" s="15"/>
      <c r="BG2172" s="15"/>
      <c r="BH2172" s="15"/>
    </row>
    <row r="2173" spans="1:60" x14ac:dyDescent="0.25">
      <c r="AD2173" s="15"/>
      <c r="AE2173" s="15"/>
      <c r="AF2173" s="15"/>
      <c r="AG2173" s="15"/>
      <c r="AH2173" s="15"/>
      <c r="AI2173" s="15"/>
      <c r="AJ2173" s="15"/>
      <c r="AK2173" s="15"/>
      <c r="AL2173" s="15"/>
      <c r="AM2173" s="15"/>
      <c r="AN2173" s="15"/>
      <c r="AO2173" s="15"/>
      <c r="AP2173" s="15"/>
      <c r="AQ2173" s="15"/>
      <c r="AR2173" s="15"/>
      <c r="AS2173" s="15"/>
      <c r="AT2173" s="15"/>
      <c r="AU2173" s="15"/>
      <c r="AV2173" s="15"/>
      <c r="AW2173" s="15"/>
      <c r="AX2173" s="15"/>
      <c r="AY2173" s="15"/>
      <c r="AZ2173" s="15"/>
      <c r="BA2173" s="15"/>
      <c r="BB2173" s="15"/>
      <c r="BC2173" s="15"/>
      <c r="BD2173" s="15"/>
      <c r="BE2173" s="15"/>
      <c r="BF2173" s="15"/>
      <c r="BG2173" s="15"/>
      <c r="BH2173" s="15"/>
    </row>
    <row r="2174" spans="1:60" x14ac:dyDescent="0.25">
      <c r="AD2174" s="15"/>
      <c r="AE2174" s="15"/>
      <c r="AF2174" s="15"/>
      <c r="AG2174" s="15"/>
      <c r="AH2174" s="15"/>
      <c r="AI2174" s="15"/>
      <c r="AJ2174" s="15"/>
      <c r="AK2174" s="15"/>
      <c r="AL2174" s="15"/>
      <c r="AM2174" s="15"/>
      <c r="AN2174" s="15"/>
      <c r="AO2174" s="15"/>
      <c r="AP2174" s="15"/>
      <c r="AQ2174" s="15"/>
      <c r="AR2174" s="15"/>
      <c r="AS2174" s="15"/>
      <c r="AT2174" s="15"/>
      <c r="AU2174" s="15"/>
      <c r="AV2174" s="15"/>
      <c r="AW2174" s="15"/>
      <c r="AX2174" s="15"/>
      <c r="AY2174" s="15"/>
      <c r="AZ2174" s="15"/>
      <c r="BA2174" s="15"/>
      <c r="BB2174" s="15"/>
      <c r="BC2174" s="15"/>
      <c r="BD2174" s="15"/>
      <c r="BE2174" s="15"/>
      <c r="BF2174" s="15"/>
      <c r="BG2174" s="15"/>
      <c r="BH2174" s="15"/>
    </row>
    <row r="2175" spans="1:60" x14ac:dyDescent="0.25">
      <c r="AD2175" s="15"/>
      <c r="AE2175" s="15"/>
      <c r="AF2175" s="15"/>
      <c r="AG2175" s="15"/>
      <c r="AH2175" s="15"/>
      <c r="AI2175" s="15"/>
      <c r="AJ2175" s="15"/>
      <c r="AK2175" s="15"/>
      <c r="AL2175" s="15"/>
      <c r="AM2175" s="15"/>
      <c r="AN2175" s="15"/>
      <c r="AO2175" s="15"/>
      <c r="AP2175" s="15"/>
      <c r="AQ2175" s="15"/>
      <c r="AR2175" s="15"/>
      <c r="AS2175" s="15"/>
      <c r="AT2175" s="15"/>
      <c r="AU2175" s="15"/>
      <c r="AV2175" s="15"/>
      <c r="AW2175" s="15"/>
      <c r="AX2175" s="15"/>
      <c r="AY2175" s="15"/>
      <c r="AZ2175" s="15"/>
      <c r="BA2175" s="15"/>
      <c r="BB2175" s="15"/>
      <c r="BC2175" s="15"/>
      <c r="BD2175" s="15"/>
      <c r="BE2175" s="15"/>
      <c r="BF2175" s="15"/>
      <c r="BG2175" s="15"/>
      <c r="BH2175" s="15"/>
    </row>
    <row r="2176" spans="1:60" x14ac:dyDescent="0.25">
      <c r="AD2176" s="15"/>
      <c r="AE2176" s="15"/>
      <c r="AF2176" s="15"/>
      <c r="AG2176" s="15"/>
      <c r="AH2176" s="15"/>
      <c r="AI2176" s="15"/>
      <c r="AJ2176" s="15"/>
      <c r="AK2176" s="15"/>
      <c r="AL2176" s="15"/>
      <c r="AM2176" s="15"/>
      <c r="AN2176" s="15"/>
      <c r="AO2176" s="15"/>
      <c r="AP2176" s="15"/>
      <c r="AQ2176" s="15"/>
      <c r="AR2176" s="15"/>
      <c r="AS2176" s="15"/>
      <c r="AT2176" s="15"/>
      <c r="AU2176" s="15"/>
      <c r="AV2176" s="15"/>
      <c r="AW2176" s="15"/>
      <c r="AX2176" s="15"/>
      <c r="AY2176" s="15"/>
      <c r="AZ2176" s="15"/>
      <c r="BA2176" s="15"/>
      <c r="BB2176" s="15"/>
      <c r="BC2176" s="15"/>
      <c r="BD2176" s="15"/>
      <c r="BE2176" s="15"/>
      <c r="BF2176" s="15"/>
      <c r="BG2176" s="15"/>
      <c r="BH2176" s="15"/>
    </row>
    <row r="2177" spans="30:60" x14ac:dyDescent="0.25">
      <c r="AD2177" s="15"/>
      <c r="AE2177" s="15"/>
      <c r="AF2177" s="15"/>
      <c r="AG2177" s="15"/>
      <c r="AH2177" s="15"/>
      <c r="AI2177" s="15"/>
      <c r="AJ2177" s="15"/>
      <c r="AK2177" s="15"/>
      <c r="AL2177" s="15"/>
      <c r="AM2177" s="15"/>
      <c r="AN2177" s="15"/>
      <c r="AO2177" s="15"/>
      <c r="AP2177" s="15"/>
      <c r="AQ2177" s="15"/>
      <c r="AR2177" s="15"/>
      <c r="AS2177" s="15"/>
      <c r="AT2177" s="15"/>
      <c r="AU2177" s="15"/>
      <c r="AV2177" s="15"/>
      <c r="AW2177" s="15"/>
      <c r="AX2177" s="15"/>
      <c r="AY2177" s="15"/>
      <c r="AZ2177" s="15"/>
      <c r="BA2177" s="15"/>
      <c r="BB2177" s="15"/>
      <c r="BC2177" s="15"/>
      <c r="BD2177" s="15"/>
      <c r="BE2177" s="15"/>
      <c r="BF2177" s="15"/>
      <c r="BG2177" s="15"/>
      <c r="BH2177" s="15"/>
    </row>
    <row r="2178" spans="30:60" x14ac:dyDescent="0.25">
      <c r="AD2178" s="15"/>
      <c r="AE2178" s="15"/>
      <c r="AF2178" s="15"/>
      <c r="AG2178" s="15"/>
      <c r="AH2178" s="15"/>
      <c r="AI2178" s="15"/>
      <c r="AJ2178" s="15"/>
      <c r="AK2178" s="15"/>
      <c r="AL2178" s="15"/>
      <c r="AM2178" s="15"/>
      <c r="AN2178" s="15"/>
      <c r="AO2178" s="15"/>
      <c r="AP2178" s="15"/>
      <c r="AQ2178" s="15"/>
      <c r="AR2178" s="15"/>
      <c r="AS2178" s="15"/>
      <c r="AT2178" s="15"/>
      <c r="AU2178" s="15"/>
      <c r="AV2178" s="15"/>
      <c r="AW2178" s="15"/>
      <c r="AX2178" s="15"/>
      <c r="AY2178" s="15"/>
      <c r="AZ2178" s="15"/>
      <c r="BA2178" s="15"/>
      <c r="BB2178" s="15"/>
      <c r="BC2178" s="15"/>
      <c r="BD2178" s="15"/>
      <c r="BE2178" s="15"/>
      <c r="BF2178" s="15"/>
      <c r="BG2178" s="15"/>
      <c r="BH2178" s="15"/>
    </row>
    <row r="2179" spans="30:60" x14ac:dyDescent="0.25">
      <c r="AD2179" s="15"/>
      <c r="AE2179" s="15"/>
      <c r="AF2179" s="15"/>
      <c r="AG2179" s="15"/>
      <c r="AH2179" s="15"/>
      <c r="AI2179" s="15"/>
      <c r="AJ2179" s="15"/>
      <c r="AK2179" s="15"/>
      <c r="AL2179" s="15"/>
      <c r="AM2179" s="15"/>
      <c r="AN2179" s="15"/>
      <c r="AO2179" s="15"/>
      <c r="AP2179" s="15"/>
      <c r="AQ2179" s="15"/>
      <c r="AR2179" s="15"/>
      <c r="AS2179" s="15"/>
      <c r="AT2179" s="15"/>
      <c r="AU2179" s="15"/>
      <c r="AV2179" s="15"/>
      <c r="AW2179" s="15"/>
      <c r="AX2179" s="15"/>
      <c r="AY2179" s="15"/>
      <c r="AZ2179" s="15"/>
      <c r="BA2179" s="15"/>
      <c r="BB2179" s="15"/>
      <c r="BC2179" s="15"/>
      <c r="BD2179" s="15"/>
      <c r="BE2179" s="15"/>
      <c r="BF2179" s="15"/>
      <c r="BG2179" s="15"/>
      <c r="BH2179" s="15"/>
    </row>
    <row r="2180" spans="30:60" x14ac:dyDescent="0.25">
      <c r="AD2180" s="15"/>
      <c r="AE2180" s="15"/>
      <c r="AF2180" s="15"/>
      <c r="AG2180" s="15"/>
      <c r="AH2180" s="15"/>
      <c r="AI2180" s="15"/>
      <c r="AJ2180" s="15"/>
      <c r="AK2180" s="15"/>
      <c r="AL2180" s="15"/>
      <c r="AM2180" s="15"/>
      <c r="AN2180" s="15"/>
      <c r="AO2180" s="15"/>
      <c r="AP2180" s="15"/>
      <c r="AQ2180" s="15"/>
      <c r="AR2180" s="15"/>
      <c r="AS2180" s="15"/>
      <c r="AT2180" s="15"/>
      <c r="AU2180" s="15"/>
      <c r="AV2180" s="15"/>
      <c r="AW2180" s="15"/>
      <c r="AX2180" s="15"/>
      <c r="AY2180" s="15"/>
      <c r="AZ2180" s="15"/>
      <c r="BA2180" s="15"/>
      <c r="BB2180" s="15"/>
      <c r="BC2180" s="15"/>
      <c r="BD2180" s="15"/>
      <c r="BE2180" s="15"/>
      <c r="BF2180" s="15"/>
      <c r="BG2180" s="15"/>
      <c r="BH2180" s="15"/>
    </row>
    <row r="2181" spans="30:60" x14ac:dyDescent="0.25">
      <c r="AD2181" s="15"/>
      <c r="AE2181" s="15"/>
      <c r="AF2181" s="15"/>
      <c r="AG2181" s="15"/>
      <c r="AH2181" s="15"/>
      <c r="AI2181" s="15"/>
      <c r="AJ2181" s="15"/>
      <c r="AK2181" s="15"/>
      <c r="AL2181" s="15"/>
      <c r="AM2181" s="15"/>
      <c r="AN2181" s="15"/>
      <c r="AO2181" s="15"/>
      <c r="AP2181" s="15"/>
      <c r="AQ2181" s="15"/>
      <c r="AR2181" s="15"/>
      <c r="AS2181" s="15"/>
      <c r="AT2181" s="15"/>
      <c r="AU2181" s="15"/>
      <c r="AV2181" s="15"/>
      <c r="AW2181" s="15"/>
      <c r="AX2181" s="15"/>
      <c r="AY2181" s="15"/>
      <c r="AZ2181" s="15"/>
      <c r="BA2181" s="15"/>
      <c r="BB2181" s="15"/>
      <c r="BC2181" s="15"/>
      <c r="BD2181" s="15"/>
      <c r="BE2181" s="15"/>
      <c r="BF2181" s="15"/>
      <c r="BG2181" s="15"/>
      <c r="BH2181" s="15"/>
    </row>
    <row r="2182" spans="30:60" x14ac:dyDescent="0.25">
      <c r="AD2182" s="15"/>
      <c r="AE2182" s="15"/>
      <c r="AF2182" s="15"/>
      <c r="AG2182" s="15"/>
      <c r="AH2182" s="15"/>
      <c r="AI2182" s="15"/>
      <c r="AJ2182" s="15"/>
      <c r="AK2182" s="15"/>
      <c r="AL2182" s="15"/>
      <c r="AM2182" s="15"/>
      <c r="AN2182" s="15"/>
      <c r="AO2182" s="15"/>
      <c r="AP2182" s="15"/>
      <c r="AQ2182" s="15"/>
      <c r="AR2182" s="15"/>
      <c r="AS2182" s="15"/>
      <c r="AT2182" s="15"/>
      <c r="AU2182" s="15"/>
      <c r="AV2182" s="15"/>
      <c r="AW2182" s="15"/>
      <c r="AX2182" s="15"/>
      <c r="AY2182" s="15"/>
      <c r="AZ2182" s="15"/>
      <c r="BA2182" s="15"/>
      <c r="BB2182" s="15"/>
      <c r="BC2182" s="15"/>
      <c r="BD2182" s="15"/>
      <c r="BE2182" s="15"/>
      <c r="BF2182" s="15"/>
      <c r="BG2182" s="15"/>
      <c r="BH2182" s="15"/>
    </row>
    <row r="2183" spans="30:60" x14ac:dyDescent="0.25">
      <c r="AD2183" s="15"/>
      <c r="AE2183" s="15"/>
      <c r="AF2183" s="15"/>
      <c r="AG2183" s="15"/>
      <c r="AH2183" s="15"/>
      <c r="AI2183" s="15"/>
      <c r="AJ2183" s="15"/>
      <c r="AK2183" s="15"/>
      <c r="AL2183" s="15"/>
      <c r="AM2183" s="15"/>
      <c r="AN2183" s="15"/>
      <c r="AO2183" s="15"/>
      <c r="AP2183" s="15"/>
      <c r="AQ2183" s="15"/>
      <c r="AR2183" s="15"/>
      <c r="AS2183" s="15"/>
      <c r="AT2183" s="15"/>
      <c r="AU2183" s="15"/>
      <c r="AV2183" s="15"/>
      <c r="AW2183" s="15"/>
      <c r="AX2183" s="15"/>
      <c r="AY2183" s="15"/>
      <c r="AZ2183" s="15"/>
      <c r="BA2183" s="15"/>
      <c r="BB2183" s="15"/>
      <c r="BC2183" s="15"/>
      <c r="BD2183" s="15"/>
      <c r="BE2183" s="15"/>
      <c r="BF2183" s="15"/>
      <c r="BG2183" s="15"/>
      <c r="BH2183" s="15"/>
    </row>
    <row r="2184" spans="30:60" x14ac:dyDescent="0.25">
      <c r="AD2184" s="15"/>
      <c r="AE2184" s="15"/>
      <c r="AF2184" s="15"/>
      <c r="AG2184" s="15"/>
      <c r="AH2184" s="15"/>
      <c r="AI2184" s="15"/>
      <c r="AJ2184" s="15"/>
      <c r="AK2184" s="15"/>
      <c r="AL2184" s="15"/>
      <c r="AM2184" s="15"/>
      <c r="AN2184" s="15"/>
      <c r="AO2184" s="15"/>
      <c r="AP2184" s="15"/>
      <c r="AQ2184" s="15"/>
      <c r="AR2184" s="15"/>
      <c r="AS2184" s="15"/>
      <c r="AT2184" s="15"/>
      <c r="AU2184" s="15"/>
      <c r="AV2184" s="15"/>
      <c r="AW2184" s="15"/>
      <c r="AX2184" s="15"/>
      <c r="AY2184" s="15"/>
      <c r="AZ2184" s="15"/>
      <c r="BA2184" s="15"/>
      <c r="BB2184" s="15"/>
      <c r="BC2184" s="15"/>
      <c r="BD2184" s="15"/>
      <c r="BE2184" s="15"/>
      <c r="BF2184" s="15"/>
      <c r="BG2184" s="15"/>
      <c r="BH2184" s="15"/>
    </row>
    <row r="2185" spans="30:60" x14ac:dyDescent="0.25">
      <c r="AD2185" s="15"/>
      <c r="AE2185" s="15"/>
      <c r="AF2185" s="15"/>
      <c r="AG2185" s="15"/>
      <c r="AH2185" s="15"/>
      <c r="AI2185" s="15"/>
      <c r="AJ2185" s="15"/>
      <c r="AK2185" s="15"/>
      <c r="AL2185" s="15"/>
      <c r="AM2185" s="15"/>
      <c r="AN2185" s="15"/>
      <c r="AO2185" s="15"/>
      <c r="AP2185" s="15"/>
      <c r="AQ2185" s="15"/>
      <c r="AR2185" s="15"/>
      <c r="AS2185" s="15"/>
      <c r="AT2185" s="15"/>
      <c r="AU2185" s="15"/>
      <c r="AV2185" s="15"/>
      <c r="AW2185" s="15"/>
      <c r="AX2185" s="15"/>
      <c r="AY2185" s="15"/>
      <c r="AZ2185" s="15"/>
      <c r="BA2185" s="15"/>
      <c r="BB2185" s="15"/>
      <c r="BC2185" s="15"/>
      <c r="BD2185" s="15"/>
      <c r="BE2185" s="15"/>
      <c r="BF2185" s="15"/>
      <c r="BG2185" s="15"/>
      <c r="BH2185" s="15"/>
    </row>
    <row r="2186" spans="30:60" x14ac:dyDescent="0.25">
      <c r="AD2186" s="15"/>
      <c r="AE2186" s="15"/>
      <c r="AF2186" s="15"/>
      <c r="AG2186" s="15"/>
      <c r="AH2186" s="15"/>
      <c r="AI2186" s="15"/>
      <c r="AJ2186" s="15"/>
      <c r="AK2186" s="15"/>
      <c r="AL2186" s="15"/>
      <c r="AM2186" s="15"/>
      <c r="AN2186" s="15"/>
      <c r="AO2186" s="15"/>
      <c r="AP2186" s="15"/>
      <c r="AQ2186" s="15"/>
      <c r="AR2186" s="15"/>
      <c r="AS2186" s="15"/>
      <c r="AT2186" s="15"/>
      <c r="AU2186" s="15"/>
      <c r="AV2186" s="15"/>
      <c r="AW2186" s="15"/>
      <c r="AX2186" s="15"/>
      <c r="AY2186" s="15"/>
      <c r="AZ2186" s="15"/>
      <c r="BA2186" s="15"/>
      <c r="BB2186" s="15"/>
      <c r="BC2186" s="15"/>
      <c r="BD2186" s="15"/>
      <c r="BE2186" s="15"/>
      <c r="BF2186" s="15"/>
      <c r="BG2186" s="15"/>
      <c r="BH2186" s="15"/>
    </row>
    <row r="2187" spans="30:60" x14ac:dyDescent="0.25">
      <c r="AD2187" s="15"/>
      <c r="AE2187" s="15"/>
      <c r="AF2187" s="15"/>
      <c r="AG2187" s="15"/>
      <c r="AH2187" s="15"/>
      <c r="AI2187" s="15"/>
      <c r="AJ2187" s="15"/>
      <c r="AK2187" s="15"/>
      <c r="AL2187" s="15"/>
      <c r="AM2187" s="15"/>
      <c r="AN2187" s="15"/>
      <c r="AO2187" s="15"/>
      <c r="AP2187" s="15"/>
      <c r="AQ2187" s="15"/>
      <c r="AR2187" s="15"/>
      <c r="AS2187" s="15"/>
      <c r="AT2187" s="15"/>
      <c r="AU2187" s="15"/>
      <c r="AV2187" s="15"/>
      <c r="AW2187" s="15"/>
      <c r="AX2187" s="15"/>
      <c r="AY2187" s="15"/>
      <c r="AZ2187" s="15"/>
      <c r="BA2187" s="15"/>
      <c r="BB2187" s="15"/>
      <c r="BC2187" s="15"/>
      <c r="BD2187" s="15"/>
      <c r="BE2187" s="15"/>
      <c r="BF2187" s="15"/>
      <c r="BG2187" s="15"/>
      <c r="BH2187" s="15"/>
    </row>
    <row r="2188" spans="30:60" x14ac:dyDescent="0.25">
      <c r="AD2188" s="15"/>
      <c r="AE2188" s="15"/>
      <c r="AF2188" s="15"/>
      <c r="AG2188" s="15"/>
      <c r="AH2188" s="15"/>
      <c r="AI2188" s="15"/>
      <c r="AJ2188" s="15"/>
      <c r="AK2188" s="15"/>
      <c r="AL2188" s="15"/>
      <c r="AM2188" s="15"/>
      <c r="AN2188" s="15"/>
      <c r="AO2188" s="15"/>
      <c r="AP2188" s="15"/>
      <c r="AQ2188" s="15"/>
      <c r="AR2188" s="15"/>
      <c r="AS2188" s="15"/>
      <c r="AT2188" s="15"/>
      <c r="AU2188" s="15"/>
      <c r="AV2188" s="15"/>
      <c r="AW2188" s="15"/>
      <c r="AX2188" s="15"/>
      <c r="AY2188" s="15"/>
      <c r="AZ2188" s="15"/>
      <c r="BA2188" s="15"/>
      <c r="BB2188" s="15"/>
      <c r="BC2188" s="15"/>
      <c r="BD2188" s="15"/>
      <c r="BE2188" s="15"/>
      <c r="BF2188" s="15"/>
      <c r="BG2188" s="15"/>
      <c r="BH2188" s="15"/>
    </row>
    <row r="2189" spans="30:60" x14ac:dyDescent="0.25">
      <c r="AD2189" s="15"/>
      <c r="AE2189" s="15"/>
      <c r="AF2189" s="15"/>
      <c r="AG2189" s="15"/>
      <c r="AH2189" s="15"/>
      <c r="AI2189" s="15"/>
      <c r="AJ2189" s="15"/>
      <c r="AK2189" s="15"/>
      <c r="AL2189" s="15"/>
      <c r="AM2189" s="15"/>
      <c r="AN2189" s="15"/>
      <c r="AO2189" s="15"/>
      <c r="AP2189" s="15"/>
      <c r="AQ2189" s="15"/>
      <c r="AR2189" s="15"/>
      <c r="AS2189" s="15"/>
      <c r="AT2189" s="15"/>
      <c r="AU2189" s="15"/>
      <c r="AV2189" s="15"/>
      <c r="AW2189" s="15"/>
      <c r="AX2189" s="15"/>
      <c r="AY2189" s="15"/>
      <c r="AZ2189" s="15"/>
      <c r="BA2189" s="15"/>
      <c r="BB2189" s="15"/>
      <c r="BC2189" s="15"/>
      <c r="BD2189" s="15"/>
      <c r="BE2189" s="15"/>
      <c r="BF2189" s="15"/>
      <c r="BG2189" s="15"/>
      <c r="BH2189" s="15"/>
    </row>
    <row r="2190" spans="30:60" x14ac:dyDescent="0.25">
      <c r="AD2190" s="15"/>
      <c r="AE2190" s="15"/>
      <c r="AF2190" s="15"/>
      <c r="AG2190" s="15"/>
      <c r="AH2190" s="15"/>
      <c r="AI2190" s="15"/>
      <c r="AJ2190" s="15"/>
      <c r="AK2190" s="15"/>
      <c r="AL2190" s="15"/>
      <c r="AM2190" s="15"/>
      <c r="AN2190" s="15"/>
      <c r="AO2190" s="15"/>
      <c r="AP2190" s="15"/>
      <c r="AQ2190" s="15"/>
      <c r="AR2190" s="15"/>
      <c r="AS2190" s="15"/>
      <c r="AT2190" s="15"/>
      <c r="AU2190" s="15"/>
      <c r="AV2190" s="15"/>
      <c r="AW2190" s="15"/>
      <c r="AX2190" s="15"/>
      <c r="AY2190" s="15"/>
      <c r="AZ2190" s="15"/>
      <c r="BA2190" s="15"/>
      <c r="BB2190" s="15"/>
      <c r="BC2190" s="15"/>
      <c r="BD2190" s="15"/>
      <c r="BE2190" s="15"/>
      <c r="BF2190" s="15"/>
      <c r="BG2190" s="15"/>
      <c r="BH2190" s="15"/>
    </row>
    <row r="2191" spans="30:60" x14ac:dyDescent="0.25">
      <c r="AD2191" s="15"/>
      <c r="AE2191" s="15"/>
      <c r="AF2191" s="15"/>
      <c r="AG2191" s="15"/>
      <c r="AH2191" s="15"/>
      <c r="AI2191" s="15"/>
      <c r="AJ2191" s="15"/>
      <c r="AK2191" s="15"/>
      <c r="AL2191" s="15"/>
      <c r="AM2191" s="15"/>
      <c r="AN2191" s="15"/>
      <c r="AO2191" s="15"/>
      <c r="AP2191" s="15"/>
      <c r="AQ2191" s="15"/>
      <c r="AR2191" s="15"/>
      <c r="AS2191" s="15"/>
      <c r="AT2191" s="15"/>
      <c r="AU2191" s="15"/>
      <c r="AV2191" s="15"/>
      <c r="AW2191" s="15"/>
      <c r="AX2191" s="15"/>
      <c r="AY2191" s="15"/>
      <c r="AZ2191" s="15"/>
      <c r="BA2191" s="15"/>
      <c r="BB2191" s="15"/>
      <c r="BC2191" s="15"/>
      <c r="BD2191" s="15"/>
      <c r="BE2191" s="15"/>
      <c r="BF2191" s="15"/>
      <c r="BG2191" s="15"/>
      <c r="BH2191" s="15"/>
    </row>
    <row r="2192" spans="30:60" x14ac:dyDescent="0.25">
      <c r="AD2192" s="15"/>
      <c r="AE2192" s="15"/>
      <c r="AF2192" s="15"/>
      <c r="AG2192" s="15"/>
      <c r="AH2192" s="15"/>
      <c r="AI2192" s="15"/>
      <c r="AJ2192" s="15"/>
      <c r="AK2192" s="15"/>
      <c r="AL2192" s="15"/>
      <c r="AM2192" s="15"/>
      <c r="AN2192" s="15"/>
      <c r="AO2192" s="15"/>
      <c r="AP2192" s="15"/>
      <c r="AQ2192" s="15"/>
      <c r="AR2192" s="15"/>
      <c r="AS2192" s="15"/>
      <c r="AT2192" s="15"/>
      <c r="AU2192" s="15"/>
      <c r="AV2192" s="15"/>
      <c r="AW2192" s="15"/>
      <c r="AX2192" s="15"/>
      <c r="AY2192" s="15"/>
      <c r="AZ2192" s="15"/>
      <c r="BA2192" s="15"/>
      <c r="BB2192" s="15"/>
      <c r="BC2192" s="15"/>
      <c r="BD2192" s="15"/>
      <c r="BE2192" s="15"/>
      <c r="BF2192" s="15"/>
      <c r="BG2192" s="15"/>
      <c r="BH2192" s="15"/>
    </row>
    <row r="2193" spans="30:60" x14ac:dyDescent="0.25">
      <c r="AD2193" s="15"/>
      <c r="AE2193" s="15"/>
      <c r="AF2193" s="15"/>
      <c r="AG2193" s="15"/>
      <c r="AH2193" s="15"/>
      <c r="AI2193" s="15"/>
      <c r="AJ2193" s="15"/>
      <c r="AK2193" s="15"/>
      <c r="AL2193" s="15"/>
      <c r="AM2193" s="15"/>
      <c r="AN2193" s="15"/>
      <c r="AO2193" s="15"/>
      <c r="AP2193" s="15"/>
      <c r="AQ2193" s="15"/>
      <c r="AR2193" s="15"/>
      <c r="AS2193" s="15"/>
      <c r="AT2193" s="15"/>
      <c r="AU2193" s="15"/>
      <c r="AV2193" s="15"/>
      <c r="AW2193" s="15"/>
      <c r="AX2193" s="15"/>
      <c r="AY2193" s="15"/>
      <c r="AZ2193" s="15"/>
      <c r="BA2193" s="15"/>
      <c r="BB2193" s="15"/>
      <c r="BC2193" s="15"/>
      <c r="BD2193" s="15"/>
      <c r="BE2193" s="15"/>
      <c r="BF2193" s="15"/>
      <c r="BG2193" s="15"/>
      <c r="BH2193" s="15"/>
    </row>
    <row r="2194" spans="30:60" x14ac:dyDescent="0.25">
      <c r="AD2194" s="15"/>
      <c r="AE2194" s="15"/>
      <c r="AF2194" s="15"/>
      <c r="AG2194" s="15"/>
      <c r="AH2194" s="15"/>
      <c r="AI2194" s="15"/>
      <c r="AJ2194" s="15"/>
      <c r="AK2194" s="15"/>
      <c r="AL2194" s="15"/>
      <c r="AM2194" s="15"/>
      <c r="AN2194" s="15"/>
      <c r="AO2194" s="15"/>
      <c r="AP2194" s="15"/>
      <c r="AQ2194" s="15"/>
      <c r="AR2194" s="15"/>
      <c r="AS2194" s="15"/>
      <c r="AT2194" s="15"/>
      <c r="AU2194" s="15"/>
      <c r="AV2194" s="15"/>
      <c r="AW2194" s="15"/>
      <c r="AX2194" s="15"/>
      <c r="AY2194" s="15"/>
      <c r="AZ2194" s="15"/>
      <c r="BA2194" s="15"/>
      <c r="BB2194" s="15"/>
      <c r="BC2194" s="15"/>
      <c r="BD2194" s="15"/>
      <c r="BE2194" s="15"/>
      <c r="BF2194" s="15"/>
      <c r="BG2194" s="15"/>
      <c r="BH2194" s="15"/>
    </row>
    <row r="2195" spans="30:60" x14ac:dyDescent="0.25">
      <c r="AD2195" s="15"/>
      <c r="AE2195" s="15"/>
      <c r="AF2195" s="15"/>
      <c r="AG2195" s="15"/>
      <c r="AH2195" s="15"/>
      <c r="AI2195" s="15"/>
      <c r="AJ2195" s="15"/>
      <c r="AK2195" s="15"/>
      <c r="AL2195" s="15"/>
      <c r="AM2195" s="15"/>
      <c r="AN2195" s="15"/>
      <c r="AO2195" s="15"/>
      <c r="AP2195" s="15"/>
      <c r="AQ2195" s="15"/>
      <c r="AR2195" s="15"/>
      <c r="AS2195" s="15"/>
      <c r="AT2195" s="15"/>
      <c r="AU2195" s="15"/>
      <c r="AV2195" s="15"/>
      <c r="AW2195" s="15"/>
      <c r="AX2195" s="15"/>
      <c r="AY2195" s="15"/>
      <c r="AZ2195" s="15"/>
      <c r="BA2195" s="15"/>
      <c r="BB2195" s="15"/>
      <c r="BC2195" s="15"/>
      <c r="BD2195" s="15"/>
      <c r="BE2195" s="15"/>
      <c r="BF2195" s="15"/>
      <c r="BG2195" s="15"/>
      <c r="BH2195" s="15"/>
    </row>
    <row r="2196" spans="30:60" x14ac:dyDescent="0.25">
      <c r="AD2196" s="15"/>
      <c r="AE2196" s="15"/>
      <c r="AF2196" s="15"/>
      <c r="AG2196" s="15"/>
      <c r="AH2196" s="15"/>
      <c r="AI2196" s="15"/>
      <c r="AJ2196" s="15"/>
      <c r="AK2196" s="15"/>
      <c r="AL2196" s="15"/>
      <c r="AM2196" s="15"/>
      <c r="AN2196" s="15"/>
      <c r="AO2196" s="15"/>
      <c r="AP2196" s="15"/>
      <c r="AQ2196" s="15"/>
      <c r="AR2196" s="15"/>
      <c r="AS2196" s="15"/>
      <c r="AT2196" s="15"/>
      <c r="AU2196" s="15"/>
      <c r="AV2196" s="15"/>
      <c r="AW2196" s="15"/>
      <c r="AX2196" s="15"/>
      <c r="AY2196" s="15"/>
      <c r="AZ2196" s="15"/>
      <c r="BA2196" s="15"/>
      <c r="BB2196" s="15"/>
      <c r="BC2196" s="15"/>
      <c r="BD2196" s="15"/>
      <c r="BE2196" s="15"/>
      <c r="BF2196" s="15"/>
      <c r="BG2196" s="15"/>
      <c r="BH2196" s="15"/>
    </row>
    <row r="2197" spans="30:60" x14ac:dyDescent="0.25">
      <c r="AD2197" s="15"/>
      <c r="AE2197" s="15"/>
      <c r="AF2197" s="15"/>
      <c r="AG2197" s="15"/>
      <c r="AH2197" s="15"/>
      <c r="AI2197" s="15"/>
      <c r="AJ2197" s="15"/>
      <c r="AK2197" s="15"/>
      <c r="AL2197" s="15"/>
      <c r="AM2197" s="15"/>
      <c r="AN2197" s="15"/>
      <c r="AO2197" s="15"/>
      <c r="AP2197" s="15"/>
      <c r="AQ2197" s="15"/>
      <c r="AR2197" s="15"/>
      <c r="AS2197" s="15"/>
      <c r="AT2197" s="15"/>
      <c r="AU2197" s="15"/>
      <c r="AV2197" s="15"/>
      <c r="AW2197" s="15"/>
      <c r="AX2197" s="15"/>
      <c r="AY2197" s="15"/>
      <c r="AZ2197" s="15"/>
      <c r="BA2197" s="15"/>
      <c r="BB2197" s="15"/>
      <c r="BC2197" s="15"/>
      <c r="BD2197" s="15"/>
      <c r="BE2197" s="15"/>
      <c r="BF2197" s="15"/>
      <c r="BG2197" s="15"/>
      <c r="BH2197" s="15"/>
    </row>
    <row r="2198" spans="30:60" x14ac:dyDescent="0.25">
      <c r="AD2198" s="15"/>
      <c r="AE2198" s="15"/>
      <c r="AF2198" s="15"/>
      <c r="AG2198" s="15"/>
      <c r="AH2198" s="15"/>
      <c r="AI2198" s="15"/>
      <c r="AJ2198" s="15"/>
      <c r="AK2198" s="15"/>
      <c r="AL2198" s="15"/>
      <c r="AM2198" s="15"/>
      <c r="AN2198" s="15"/>
      <c r="AO2198" s="15"/>
      <c r="AP2198" s="15"/>
      <c r="AQ2198" s="15"/>
      <c r="AR2198" s="15"/>
      <c r="AS2198" s="15"/>
      <c r="AT2198" s="15"/>
      <c r="AU2198" s="15"/>
      <c r="AV2198" s="15"/>
      <c r="AW2198" s="15"/>
      <c r="AX2198" s="15"/>
      <c r="AY2198" s="15"/>
      <c r="AZ2198" s="15"/>
      <c r="BA2198" s="15"/>
      <c r="BB2198" s="15"/>
      <c r="BC2198" s="15"/>
      <c r="BD2198" s="15"/>
      <c r="BE2198" s="15"/>
      <c r="BF2198" s="15"/>
      <c r="BG2198" s="15"/>
      <c r="BH2198" s="15"/>
    </row>
    <row r="2199" spans="30:60" x14ac:dyDescent="0.25">
      <c r="AD2199" s="15"/>
      <c r="AE2199" s="15"/>
      <c r="AF2199" s="15"/>
      <c r="AG2199" s="15"/>
      <c r="AH2199" s="15"/>
      <c r="AI2199" s="15"/>
      <c r="AJ2199" s="15"/>
      <c r="AK2199" s="15"/>
      <c r="AL2199" s="15"/>
      <c r="AM2199" s="15"/>
      <c r="AN2199" s="15"/>
      <c r="AO2199" s="15"/>
      <c r="AP2199" s="15"/>
      <c r="AQ2199" s="15"/>
      <c r="AR2199" s="15"/>
      <c r="AS2199" s="15"/>
      <c r="AT2199" s="15"/>
      <c r="AU2199" s="15"/>
      <c r="AV2199" s="15"/>
      <c r="AW2199" s="15"/>
      <c r="AX2199" s="15"/>
      <c r="AY2199" s="15"/>
      <c r="AZ2199" s="15"/>
      <c r="BA2199" s="15"/>
      <c r="BB2199" s="15"/>
      <c r="BC2199" s="15"/>
      <c r="BD2199" s="15"/>
      <c r="BE2199" s="15"/>
      <c r="BF2199" s="15"/>
      <c r="BG2199" s="15"/>
      <c r="BH2199" s="15"/>
    </row>
    <row r="2200" spans="30:60" x14ac:dyDescent="0.25">
      <c r="AD2200" s="15"/>
      <c r="AE2200" s="15"/>
      <c r="AF2200" s="15"/>
      <c r="AG2200" s="15"/>
      <c r="AH2200" s="15"/>
      <c r="AI2200" s="15"/>
      <c r="AJ2200" s="15"/>
      <c r="AK2200" s="15"/>
      <c r="AL2200" s="15"/>
      <c r="AM2200" s="15"/>
      <c r="AN2200" s="15"/>
      <c r="AO2200" s="15"/>
      <c r="AP2200" s="15"/>
      <c r="AQ2200" s="15"/>
      <c r="AR2200" s="15"/>
      <c r="AS2200" s="15"/>
      <c r="AT2200" s="15"/>
      <c r="AU2200" s="15"/>
      <c r="AV2200" s="15"/>
      <c r="AW2200" s="15"/>
      <c r="AX2200" s="15"/>
      <c r="AY2200" s="15"/>
      <c r="AZ2200" s="15"/>
      <c r="BA2200" s="15"/>
      <c r="BB2200" s="15"/>
      <c r="BC2200" s="15"/>
      <c r="BD2200" s="15"/>
      <c r="BE2200" s="15"/>
      <c r="BF2200" s="15"/>
      <c r="BG2200" s="15"/>
      <c r="BH2200" s="15"/>
    </row>
    <row r="2201" spans="30:60" x14ac:dyDescent="0.25">
      <c r="AD2201" s="15"/>
      <c r="AE2201" s="15"/>
      <c r="AF2201" s="15"/>
      <c r="AG2201" s="15"/>
      <c r="AH2201" s="15"/>
      <c r="AI2201" s="15"/>
      <c r="AJ2201" s="15"/>
      <c r="AK2201" s="15"/>
      <c r="AL2201" s="15"/>
      <c r="AM2201" s="15"/>
      <c r="AN2201" s="15"/>
      <c r="AO2201" s="15"/>
      <c r="AP2201" s="15"/>
      <c r="AQ2201" s="15"/>
      <c r="AR2201" s="15"/>
      <c r="AS2201" s="15"/>
      <c r="AT2201" s="15"/>
      <c r="AU2201" s="15"/>
      <c r="AV2201" s="15"/>
      <c r="AW2201" s="15"/>
      <c r="AX2201" s="15"/>
      <c r="AY2201" s="15"/>
      <c r="AZ2201" s="15"/>
      <c r="BA2201" s="15"/>
      <c r="BB2201" s="15"/>
      <c r="BC2201" s="15"/>
      <c r="BD2201" s="15"/>
      <c r="BE2201" s="15"/>
      <c r="BF2201" s="15"/>
      <c r="BG2201" s="15"/>
      <c r="BH2201" s="15"/>
    </row>
    <row r="2202" spans="30:60" x14ac:dyDescent="0.25">
      <c r="AD2202" s="15"/>
      <c r="AE2202" s="15"/>
      <c r="AF2202" s="15"/>
      <c r="AG2202" s="15"/>
      <c r="AH2202" s="15"/>
      <c r="AI2202" s="15"/>
      <c r="AJ2202" s="15"/>
      <c r="AK2202" s="15"/>
      <c r="AL2202" s="15"/>
      <c r="AM2202" s="15"/>
      <c r="AN2202" s="15"/>
      <c r="AO2202" s="15"/>
      <c r="AP2202" s="15"/>
      <c r="AQ2202" s="15"/>
      <c r="AR2202" s="15"/>
      <c r="AS2202" s="15"/>
      <c r="AT2202" s="15"/>
      <c r="AU2202" s="15"/>
      <c r="AV2202" s="15"/>
      <c r="AW2202" s="15"/>
      <c r="AX2202" s="15"/>
      <c r="AY2202" s="15"/>
      <c r="AZ2202" s="15"/>
      <c r="BA2202" s="15"/>
      <c r="BB2202" s="15"/>
      <c r="BC2202" s="15"/>
      <c r="BD2202" s="15"/>
      <c r="BE2202" s="15"/>
      <c r="BF2202" s="15"/>
      <c r="BG2202" s="15"/>
      <c r="BH2202" s="15"/>
    </row>
    <row r="2203" spans="30:60" x14ac:dyDescent="0.25">
      <c r="AD2203" s="15"/>
      <c r="AE2203" s="15"/>
      <c r="AF2203" s="15"/>
      <c r="AG2203" s="15"/>
      <c r="AH2203" s="15"/>
      <c r="AI2203" s="15"/>
      <c r="AJ2203" s="15"/>
      <c r="AK2203" s="15"/>
      <c r="AL2203" s="15"/>
      <c r="AM2203" s="15"/>
      <c r="AN2203" s="15"/>
      <c r="AO2203" s="15"/>
      <c r="AP2203" s="15"/>
      <c r="AQ2203" s="15"/>
      <c r="AR2203" s="15"/>
      <c r="AS2203" s="15"/>
      <c r="AT2203" s="15"/>
      <c r="AU2203" s="15"/>
      <c r="AV2203" s="15"/>
      <c r="AW2203" s="15"/>
      <c r="AX2203" s="15"/>
      <c r="AY2203" s="15"/>
      <c r="AZ2203" s="15"/>
      <c r="BA2203" s="15"/>
      <c r="BB2203" s="15"/>
      <c r="BC2203" s="15"/>
      <c r="BD2203" s="15"/>
      <c r="BE2203" s="15"/>
      <c r="BF2203" s="15"/>
      <c r="BG2203" s="15"/>
      <c r="BH2203" s="15"/>
    </row>
    <row r="2204" spans="30:60" x14ac:dyDescent="0.25">
      <c r="AD2204" s="15"/>
      <c r="AE2204" s="15"/>
      <c r="AF2204" s="15"/>
      <c r="AG2204" s="15"/>
      <c r="AH2204" s="15"/>
      <c r="AI2204" s="15"/>
      <c r="AJ2204" s="15"/>
      <c r="AK2204" s="15"/>
      <c r="AL2204" s="15"/>
      <c r="AM2204" s="15"/>
      <c r="AN2204" s="15"/>
      <c r="AO2204" s="15"/>
      <c r="AP2204" s="15"/>
      <c r="AQ2204" s="15"/>
      <c r="AR2204" s="15"/>
      <c r="AS2204" s="15"/>
      <c r="AT2204" s="15"/>
      <c r="AU2204" s="15"/>
      <c r="AV2204" s="15"/>
      <c r="AW2204" s="15"/>
      <c r="AX2204" s="15"/>
      <c r="AY2204" s="15"/>
      <c r="AZ2204" s="15"/>
      <c r="BA2204" s="15"/>
      <c r="BB2204" s="15"/>
      <c r="BC2204" s="15"/>
      <c r="BD2204" s="15"/>
      <c r="BE2204" s="15"/>
      <c r="BF2204" s="15"/>
      <c r="BG2204" s="15"/>
      <c r="BH2204" s="15"/>
    </row>
    <row r="2205" spans="30:60" x14ac:dyDescent="0.25">
      <c r="AD2205" s="15"/>
      <c r="AE2205" s="15"/>
      <c r="AF2205" s="15"/>
      <c r="AG2205" s="15"/>
      <c r="AH2205" s="15"/>
      <c r="AI2205" s="15"/>
      <c r="AJ2205" s="15"/>
      <c r="AK2205" s="15"/>
      <c r="AL2205" s="15"/>
      <c r="AM2205" s="15"/>
      <c r="AN2205" s="15"/>
      <c r="AO2205" s="15"/>
      <c r="AP2205" s="15"/>
      <c r="AQ2205" s="15"/>
      <c r="AR2205" s="15"/>
      <c r="AS2205" s="15"/>
      <c r="AT2205" s="15"/>
      <c r="AU2205" s="15"/>
      <c r="AV2205" s="15"/>
      <c r="AW2205" s="15"/>
      <c r="AX2205" s="15"/>
      <c r="AY2205" s="15"/>
      <c r="AZ2205" s="15"/>
      <c r="BA2205" s="15"/>
      <c r="BB2205" s="15"/>
      <c r="BC2205" s="15"/>
      <c r="BD2205" s="15"/>
      <c r="BE2205" s="15"/>
      <c r="BF2205" s="15"/>
      <c r="BG2205" s="15"/>
      <c r="BH2205" s="15"/>
    </row>
    <row r="2206" spans="30:60" x14ac:dyDescent="0.25">
      <c r="AD2206" s="15"/>
      <c r="AE2206" s="15"/>
      <c r="AF2206" s="15"/>
      <c r="AG2206" s="15"/>
      <c r="AH2206" s="15"/>
      <c r="AI2206" s="15"/>
      <c r="AJ2206" s="15"/>
      <c r="AK2206" s="15"/>
      <c r="AL2206" s="15"/>
      <c r="AM2206" s="15"/>
      <c r="AN2206" s="15"/>
      <c r="AO2206" s="15"/>
      <c r="AP2206" s="15"/>
      <c r="AQ2206" s="15"/>
      <c r="AR2206" s="15"/>
      <c r="AS2206" s="15"/>
      <c r="AT2206" s="15"/>
      <c r="AU2206" s="15"/>
      <c r="AV2206" s="15"/>
      <c r="AW2206" s="15"/>
      <c r="AX2206" s="15"/>
      <c r="AY2206" s="15"/>
      <c r="AZ2206" s="15"/>
      <c r="BA2206" s="15"/>
      <c r="BB2206" s="15"/>
      <c r="BC2206" s="15"/>
      <c r="BD2206" s="15"/>
      <c r="BE2206" s="15"/>
      <c r="BF2206" s="15"/>
      <c r="BG2206" s="15"/>
      <c r="BH2206" s="15"/>
    </row>
    <row r="2207" spans="30:60" x14ac:dyDescent="0.25">
      <c r="AD2207" s="15"/>
      <c r="AE2207" s="15"/>
      <c r="AF2207" s="15"/>
      <c r="AG2207" s="15"/>
      <c r="AH2207" s="15"/>
      <c r="AI2207" s="15"/>
      <c r="AJ2207" s="15"/>
      <c r="AK2207" s="15"/>
      <c r="AL2207" s="15"/>
      <c r="AM2207" s="15"/>
      <c r="AN2207" s="15"/>
      <c r="AO2207" s="15"/>
      <c r="AP2207" s="15"/>
      <c r="AQ2207" s="15"/>
      <c r="AR2207" s="15"/>
      <c r="AS2207" s="15"/>
      <c r="AT2207" s="15"/>
      <c r="AU2207" s="15"/>
      <c r="AV2207" s="15"/>
      <c r="AW2207" s="15"/>
      <c r="AX2207" s="15"/>
      <c r="AY2207" s="15"/>
      <c r="AZ2207" s="15"/>
      <c r="BA2207" s="15"/>
      <c r="BB2207" s="15"/>
      <c r="BC2207" s="15"/>
      <c r="BD2207" s="15"/>
      <c r="BE2207" s="15"/>
      <c r="BF2207" s="15"/>
      <c r="BG2207" s="15"/>
      <c r="BH2207" s="15"/>
    </row>
    <row r="2208" spans="30:60" x14ac:dyDescent="0.25">
      <c r="AD2208" s="15"/>
      <c r="AE2208" s="15"/>
      <c r="AF2208" s="15"/>
      <c r="AG2208" s="15"/>
      <c r="AH2208" s="15"/>
      <c r="AI2208" s="15"/>
      <c r="AJ2208" s="15"/>
      <c r="AK2208" s="15"/>
      <c r="AL2208" s="15"/>
      <c r="AM2208" s="15"/>
      <c r="AN2208" s="15"/>
      <c r="AO2208" s="15"/>
      <c r="AP2208" s="15"/>
      <c r="AQ2208" s="15"/>
      <c r="AR2208" s="15"/>
      <c r="AS2208" s="15"/>
      <c r="AT2208" s="15"/>
      <c r="AU2208" s="15"/>
      <c r="AV2208" s="15"/>
      <c r="AW2208" s="15"/>
      <c r="AX2208" s="15"/>
      <c r="AY2208" s="15"/>
      <c r="AZ2208" s="15"/>
      <c r="BA2208" s="15"/>
      <c r="BB2208" s="15"/>
      <c r="BC2208" s="15"/>
      <c r="BD2208" s="15"/>
      <c r="BE2208" s="15"/>
      <c r="BF2208" s="15"/>
      <c r="BG2208" s="15"/>
      <c r="BH2208" s="15"/>
    </row>
    <row r="2209" spans="30:60" x14ac:dyDescent="0.25">
      <c r="AD2209" s="15"/>
      <c r="AE2209" s="15"/>
      <c r="AF2209" s="15"/>
      <c r="AG2209" s="15"/>
      <c r="AH2209" s="15"/>
      <c r="AI2209" s="15"/>
      <c r="AJ2209" s="15"/>
      <c r="AK2209" s="15"/>
      <c r="AL2209" s="15"/>
      <c r="AM2209" s="15"/>
      <c r="AN2209" s="15"/>
      <c r="AO2209" s="15"/>
      <c r="AP2209" s="15"/>
      <c r="AQ2209" s="15"/>
      <c r="AR2209" s="15"/>
      <c r="AS2209" s="15"/>
      <c r="AT2209" s="15"/>
      <c r="AU2209" s="15"/>
      <c r="AV2209" s="15"/>
      <c r="AW2209" s="15"/>
      <c r="AX2209" s="15"/>
      <c r="AY2209" s="15"/>
      <c r="AZ2209" s="15"/>
      <c r="BA2209" s="15"/>
      <c r="BB2209" s="15"/>
      <c r="BC2209" s="15"/>
      <c r="BD2209" s="15"/>
      <c r="BE2209" s="15"/>
      <c r="BF2209" s="15"/>
      <c r="BG2209" s="15"/>
      <c r="BH2209" s="15"/>
    </row>
    <row r="2210" spans="30:60" x14ac:dyDescent="0.25">
      <c r="AD2210" s="15"/>
      <c r="AE2210" s="15"/>
      <c r="AF2210" s="15"/>
      <c r="AG2210" s="15"/>
      <c r="AH2210" s="15"/>
      <c r="AI2210" s="15"/>
      <c r="AJ2210" s="15"/>
      <c r="AK2210" s="15"/>
      <c r="AL2210" s="15"/>
      <c r="AM2210" s="15"/>
      <c r="AN2210" s="15"/>
      <c r="AO2210" s="15"/>
      <c r="AP2210" s="15"/>
      <c r="AQ2210" s="15"/>
      <c r="AR2210" s="15"/>
      <c r="AS2210" s="15"/>
      <c r="AT2210" s="15"/>
      <c r="AU2210" s="15"/>
      <c r="AV2210" s="15"/>
      <c r="AW2210" s="15"/>
      <c r="AX2210" s="15"/>
      <c r="AY2210" s="15"/>
      <c r="AZ2210" s="15"/>
      <c r="BA2210" s="15"/>
      <c r="BB2210" s="15"/>
      <c r="BC2210" s="15"/>
      <c r="BD2210" s="15"/>
      <c r="BE2210" s="15"/>
      <c r="BF2210" s="15"/>
      <c r="BG2210" s="15"/>
      <c r="BH2210" s="15"/>
    </row>
    <row r="2211" spans="30:60" x14ac:dyDescent="0.25">
      <c r="AD2211" s="15"/>
      <c r="AE2211" s="15"/>
      <c r="AF2211" s="15"/>
      <c r="AG2211" s="15"/>
      <c r="AH2211" s="15"/>
      <c r="AI2211" s="15"/>
      <c r="AJ2211" s="15"/>
      <c r="AK2211" s="15"/>
      <c r="AL2211" s="15"/>
      <c r="AM2211" s="15"/>
      <c r="AN2211" s="15"/>
      <c r="AO2211" s="15"/>
      <c r="AP2211" s="15"/>
      <c r="AQ2211" s="15"/>
      <c r="AR2211" s="15"/>
      <c r="AS2211" s="15"/>
      <c r="AT2211" s="15"/>
      <c r="AU2211" s="15"/>
      <c r="AV2211" s="15"/>
      <c r="AW2211" s="15"/>
      <c r="AX2211" s="15"/>
      <c r="AY2211" s="15"/>
      <c r="AZ2211" s="15"/>
      <c r="BA2211" s="15"/>
      <c r="BB2211" s="15"/>
      <c r="BC2211" s="15"/>
      <c r="BD2211" s="15"/>
      <c r="BE2211" s="15"/>
      <c r="BF2211" s="15"/>
      <c r="BG2211" s="15"/>
      <c r="BH2211" s="15"/>
    </row>
    <row r="2212" spans="30:60" x14ac:dyDescent="0.25">
      <c r="AD2212" s="15"/>
      <c r="AE2212" s="15"/>
      <c r="AF2212" s="15"/>
      <c r="AG2212" s="15"/>
      <c r="AH2212" s="15"/>
      <c r="AI2212" s="15"/>
      <c r="AJ2212" s="15"/>
      <c r="AK2212" s="15"/>
      <c r="AL2212" s="15"/>
      <c r="AM2212" s="15"/>
      <c r="AN2212" s="15"/>
      <c r="AO2212" s="15"/>
      <c r="AP2212" s="15"/>
      <c r="AQ2212" s="15"/>
      <c r="AR2212" s="15"/>
      <c r="AS2212" s="15"/>
      <c r="AT2212" s="15"/>
      <c r="AU2212" s="15"/>
      <c r="AV2212" s="15"/>
      <c r="AW2212" s="15"/>
      <c r="AX2212" s="15"/>
      <c r="AY2212" s="15"/>
      <c r="AZ2212" s="15"/>
      <c r="BA2212" s="15"/>
      <c r="BB2212" s="15"/>
      <c r="BC2212" s="15"/>
      <c r="BD2212" s="15"/>
      <c r="BE2212" s="15"/>
      <c r="BF2212" s="15"/>
      <c r="BG2212" s="15"/>
      <c r="BH2212" s="15"/>
    </row>
    <row r="2213" spans="30:60" x14ac:dyDescent="0.25">
      <c r="AD2213" s="15"/>
      <c r="AE2213" s="15"/>
      <c r="AF2213" s="15"/>
      <c r="AG2213" s="15"/>
      <c r="AH2213" s="15"/>
      <c r="AI2213" s="15"/>
      <c r="AJ2213" s="15"/>
      <c r="AK2213" s="15"/>
      <c r="AL2213" s="15"/>
      <c r="AM2213" s="15"/>
      <c r="AN2213" s="15"/>
      <c r="AO2213" s="15"/>
      <c r="AP2213" s="15"/>
      <c r="AQ2213" s="15"/>
      <c r="AR2213" s="15"/>
      <c r="AS2213" s="15"/>
      <c r="AT2213" s="15"/>
      <c r="AU2213" s="15"/>
      <c r="AV2213" s="15"/>
      <c r="AW2213" s="15"/>
      <c r="AX2213" s="15"/>
      <c r="AY2213" s="15"/>
      <c r="AZ2213" s="15"/>
      <c r="BA2213" s="15"/>
      <c r="BB2213" s="15"/>
      <c r="BC2213" s="15"/>
      <c r="BD2213" s="15"/>
      <c r="BE2213" s="15"/>
      <c r="BF2213" s="15"/>
      <c r="BG2213" s="15"/>
      <c r="BH2213" s="15"/>
    </row>
    <row r="2214" spans="30:60" x14ac:dyDescent="0.25">
      <c r="AD2214" s="15"/>
      <c r="AE2214" s="15"/>
      <c r="AF2214" s="15"/>
      <c r="AG2214" s="15"/>
      <c r="AH2214" s="15"/>
      <c r="AI2214" s="15"/>
      <c r="AJ2214" s="15"/>
      <c r="AK2214" s="15"/>
      <c r="AL2214" s="15"/>
      <c r="AM2214" s="15"/>
      <c r="AN2214" s="15"/>
      <c r="AO2214" s="15"/>
      <c r="AP2214" s="15"/>
      <c r="AQ2214" s="15"/>
      <c r="AR2214" s="15"/>
      <c r="AS2214" s="15"/>
      <c r="AT2214" s="15"/>
      <c r="AU2214" s="15"/>
      <c r="AV2214" s="15"/>
      <c r="AW2214" s="15"/>
      <c r="AX2214" s="15"/>
      <c r="AY2214" s="15"/>
      <c r="AZ2214" s="15"/>
      <c r="BA2214" s="15"/>
      <c r="BB2214" s="15"/>
      <c r="BC2214" s="15"/>
      <c r="BD2214" s="15"/>
      <c r="BE2214" s="15"/>
      <c r="BF2214" s="15"/>
      <c r="BG2214" s="15"/>
      <c r="BH2214" s="15"/>
    </row>
    <row r="2215" spans="30:60" x14ac:dyDescent="0.25">
      <c r="AD2215" s="15"/>
      <c r="AE2215" s="15"/>
      <c r="AF2215" s="15"/>
      <c r="AG2215" s="15"/>
      <c r="AH2215" s="15"/>
      <c r="AI2215" s="15"/>
      <c r="AJ2215" s="15"/>
      <c r="AK2215" s="15"/>
      <c r="AL2215" s="15"/>
      <c r="AM2215" s="15"/>
      <c r="AN2215" s="15"/>
      <c r="AO2215" s="15"/>
      <c r="AP2215" s="15"/>
      <c r="AQ2215" s="15"/>
      <c r="AR2215" s="15"/>
      <c r="AS2215" s="15"/>
      <c r="AT2215" s="15"/>
      <c r="AU2215" s="15"/>
      <c r="AV2215" s="15"/>
      <c r="AW2215" s="15"/>
      <c r="AX2215" s="15"/>
      <c r="AY2215" s="15"/>
      <c r="AZ2215" s="15"/>
      <c r="BA2215" s="15"/>
      <c r="BB2215" s="15"/>
      <c r="BC2215" s="15"/>
      <c r="BD2215" s="15"/>
      <c r="BE2215" s="15"/>
      <c r="BF2215" s="15"/>
      <c r="BG2215" s="15"/>
      <c r="BH2215" s="15"/>
    </row>
    <row r="2216" spans="30:60" x14ac:dyDescent="0.25">
      <c r="AD2216" s="15"/>
      <c r="AE2216" s="15"/>
      <c r="AF2216" s="15"/>
      <c r="AG2216" s="15"/>
      <c r="AH2216" s="15"/>
      <c r="AI2216" s="15"/>
      <c r="AJ2216" s="15"/>
      <c r="AK2216" s="15"/>
      <c r="AL2216" s="15"/>
      <c r="AM2216" s="15"/>
      <c r="AN2216" s="15"/>
      <c r="AO2216" s="15"/>
      <c r="AP2216" s="15"/>
      <c r="AQ2216" s="15"/>
      <c r="AR2216" s="15"/>
      <c r="AS2216" s="15"/>
      <c r="AT2216" s="15"/>
      <c r="AU2216" s="15"/>
      <c r="AV2216" s="15"/>
      <c r="AW2216" s="15"/>
      <c r="AX2216" s="15"/>
      <c r="AY2216" s="15"/>
      <c r="AZ2216" s="15"/>
      <c r="BA2216" s="15"/>
      <c r="BB2216" s="15"/>
      <c r="BC2216" s="15"/>
      <c r="BD2216" s="15"/>
      <c r="BE2216" s="15"/>
      <c r="BF2216" s="15"/>
      <c r="BG2216" s="15"/>
      <c r="BH2216" s="15"/>
    </row>
    <row r="2217" spans="30:60" x14ac:dyDescent="0.25">
      <c r="AD2217" s="15"/>
      <c r="AE2217" s="15"/>
      <c r="AF2217" s="15"/>
      <c r="AG2217" s="15"/>
      <c r="AH2217" s="15"/>
      <c r="AI2217" s="15"/>
      <c r="AJ2217" s="15"/>
      <c r="AK2217" s="15"/>
      <c r="AL2217" s="15"/>
      <c r="AM2217" s="15"/>
      <c r="AN2217" s="15"/>
      <c r="AO2217" s="15"/>
      <c r="AP2217" s="15"/>
      <c r="AQ2217" s="15"/>
      <c r="AR2217" s="15"/>
      <c r="AS2217" s="15"/>
      <c r="AT2217" s="15"/>
      <c r="AU2217" s="15"/>
      <c r="AV2217" s="15"/>
      <c r="AW2217" s="15"/>
      <c r="AX2217" s="15"/>
      <c r="AY2217" s="15"/>
      <c r="AZ2217" s="15"/>
      <c r="BA2217" s="15"/>
      <c r="BB2217" s="15"/>
      <c r="BC2217" s="15"/>
      <c r="BD2217" s="15"/>
      <c r="BE2217" s="15"/>
      <c r="BF2217" s="15"/>
      <c r="BG2217" s="15"/>
      <c r="BH2217" s="15"/>
    </row>
    <row r="2218" spans="30:60" x14ac:dyDescent="0.25">
      <c r="AD2218" s="15"/>
      <c r="AE2218" s="15"/>
      <c r="AF2218" s="15"/>
      <c r="AG2218" s="15"/>
      <c r="AH2218" s="15"/>
      <c r="AI2218" s="15"/>
      <c r="AJ2218" s="15"/>
      <c r="AK2218" s="15"/>
      <c r="AL2218" s="15"/>
      <c r="AM2218" s="15"/>
      <c r="AN2218" s="15"/>
      <c r="AO2218" s="15"/>
      <c r="AP2218" s="15"/>
      <c r="AQ2218" s="15"/>
      <c r="AR2218" s="15"/>
      <c r="AS2218" s="15"/>
      <c r="AT2218" s="15"/>
      <c r="AU2218" s="15"/>
      <c r="AV2218" s="15"/>
      <c r="AW2218" s="15"/>
      <c r="AX2218" s="15"/>
      <c r="AY2218" s="15"/>
      <c r="AZ2218" s="15"/>
      <c r="BA2218" s="15"/>
      <c r="BB2218" s="15"/>
      <c r="BC2218" s="15"/>
      <c r="BD2218" s="15"/>
      <c r="BE2218" s="15"/>
      <c r="BF2218" s="15"/>
      <c r="BG2218" s="15"/>
      <c r="BH2218" s="15"/>
    </row>
    <row r="2219" spans="30:60" x14ac:dyDescent="0.25">
      <c r="AD2219" s="15"/>
      <c r="AE2219" s="15"/>
      <c r="AF2219" s="15"/>
      <c r="AG2219" s="15"/>
      <c r="AH2219" s="15"/>
      <c r="AI2219" s="15"/>
      <c r="AJ2219" s="15"/>
      <c r="AK2219" s="15"/>
      <c r="AL2219" s="15"/>
      <c r="AM2219" s="15"/>
      <c r="AN2219" s="15"/>
      <c r="AO2219" s="15"/>
      <c r="AP2219" s="15"/>
      <c r="AQ2219" s="15"/>
      <c r="AR2219" s="15"/>
      <c r="AS2219" s="15"/>
      <c r="AT2219" s="15"/>
      <c r="AU2219" s="15"/>
      <c r="AV2219" s="15"/>
      <c r="AW2219" s="15"/>
      <c r="AX2219" s="15"/>
      <c r="AY2219" s="15"/>
      <c r="AZ2219" s="15"/>
      <c r="BA2219" s="15"/>
      <c r="BB2219" s="15"/>
      <c r="BC2219" s="15"/>
      <c r="BD2219" s="15"/>
      <c r="BE2219" s="15"/>
      <c r="BF2219" s="15"/>
      <c r="BG2219" s="15"/>
      <c r="BH2219" s="15"/>
    </row>
    <row r="2220" spans="30:60" x14ac:dyDescent="0.25">
      <c r="AD2220" s="15"/>
      <c r="AE2220" s="15"/>
      <c r="AF2220" s="15"/>
      <c r="AG2220" s="15"/>
      <c r="AH2220" s="15"/>
      <c r="AI2220" s="15"/>
      <c r="AJ2220" s="15"/>
      <c r="AK2220" s="15"/>
      <c r="AL2220" s="15"/>
      <c r="AM2220" s="15"/>
      <c r="AN2220" s="15"/>
      <c r="AO2220" s="15"/>
      <c r="AP2220" s="15"/>
      <c r="AQ2220" s="15"/>
      <c r="AR2220" s="15"/>
      <c r="AS2220" s="15"/>
      <c r="AT2220" s="15"/>
      <c r="AU2220" s="15"/>
      <c r="AV2220" s="15"/>
      <c r="AW2220" s="15"/>
      <c r="AX2220" s="15"/>
      <c r="AY2220" s="15"/>
      <c r="AZ2220" s="15"/>
      <c r="BA2220" s="15"/>
      <c r="BB2220" s="15"/>
      <c r="BC2220" s="15"/>
      <c r="BD2220" s="15"/>
      <c r="BE2220" s="15"/>
      <c r="BF2220" s="15"/>
      <c r="BG2220" s="15"/>
      <c r="BH2220" s="15"/>
    </row>
    <row r="2221" spans="30:60" x14ac:dyDescent="0.25">
      <c r="AD2221" s="15"/>
      <c r="AE2221" s="15"/>
      <c r="AF2221" s="15"/>
      <c r="AG2221" s="15"/>
      <c r="AH2221" s="15"/>
      <c r="AI2221" s="15"/>
      <c r="AJ2221" s="15"/>
      <c r="AK2221" s="15"/>
      <c r="AL2221" s="15"/>
      <c r="AM2221" s="15"/>
      <c r="AN2221" s="15"/>
      <c r="AO2221" s="15"/>
      <c r="AP2221" s="15"/>
      <c r="AQ2221" s="15"/>
      <c r="AR2221" s="15"/>
      <c r="AS2221" s="15"/>
      <c r="AT2221" s="15"/>
      <c r="AU2221" s="15"/>
      <c r="AV2221" s="15"/>
      <c r="AW2221" s="15"/>
      <c r="AX2221" s="15"/>
      <c r="AY2221" s="15"/>
      <c r="AZ2221" s="15"/>
      <c r="BA2221" s="15"/>
      <c r="BB2221" s="15"/>
      <c r="BC2221" s="15"/>
      <c r="BD2221" s="15"/>
      <c r="BE2221" s="15"/>
      <c r="BF2221" s="15"/>
      <c r="BG2221" s="15"/>
      <c r="BH2221" s="15"/>
    </row>
    <row r="2222" spans="30:60" x14ac:dyDescent="0.25">
      <c r="AD2222" s="15"/>
      <c r="AE2222" s="15"/>
      <c r="AF2222" s="15"/>
      <c r="AG2222" s="15"/>
      <c r="AH2222" s="15"/>
      <c r="AI2222" s="15"/>
      <c r="AJ2222" s="15"/>
      <c r="AK2222" s="15"/>
      <c r="AL2222" s="15"/>
      <c r="AM2222" s="15"/>
      <c r="AN2222" s="15"/>
      <c r="AO2222" s="15"/>
      <c r="AP2222" s="15"/>
      <c r="AQ2222" s="15"/>
      <c r="AR2222" s="15"/>
      <c r="AS2222" s="15"/>
      <c r="AT2222" s="15"/>
      <c r="AU2222" s="15"/>
      <c r="AV2222" s="15"/>
      <c r="AW2222" s="15"/>
      <c r="AX2222" s="15"/>
      <c r="AY2222" s="15"/>
      <c r="AZ2222" s="15"/>
      <c r="BA2222" s="15"/>
      <c r="BB2222" s="15"/>
      <c r="BC2222" s="15"/>
      <c r="BD2222" s="15"/>
      <c r="BE2222" s="15"/>
      <c r="BF2222" s="15"/>
      <c r="BG2222" s="15"/>
      <c r="BH2222" s="15"/>
    </row>
    <row r="2223" spans="30:60" x14ac:dyDescent="0.25">
      <c r="AD2223" s="15"/>
      <c r="AE2223" s="15"/>
      <c r="AF2223" s="15"/>
      <c r="AG2223" s="15"/>
      <c r="AH2223" s="15"/>
      <c r="AI2223" s="15"/>
      <c r="AJ2223" s="15"/>
      <c r="AK2223" s="15"/>
      <c r="AL2223" s="15"/>
      <c r="AM2223" s="15"/>
      <c r="AN2223" s="15"/>
      <c r="AO2223" s="15"/>
      <c r="AP2223" s="15"/>
      <c r="AQ2223" s="15"/>
      <c r="AR2223" s="15"/>
      <c r="AS2223" s="15"/>
      <c r="AT2223" s="15"/>
      <c r="AU2223" s="15"/>
      <c r="AV2223" s="15"/>
      <c r="AW2223" s="15"/>
      <c r="AX2223" s="15"/>
      <c r="AY2223" s="15"/>
      <c r="AZ2223" s="15"/>
      <c r="BA2223" s="15"/>
      <c r="BB2223" s="15"/>
      <c r="BC2223" s="15"/>
      <c r="BD2223" s="15"/>
      <c r="BE2223" s="15"/>
      <c r="BF2223" s="15"/>
      <c r="BG2223" s="15"/>
      <c r="BH2223" s="15"/>
    </row>
    <row r="2224" spans="30:60" x14ac:dyDescent="0.25">
      <c r="AD2224" s="15"/>
      <c r="AE2224" s="15"/>
      <c r="AF2224" s="15"/>
      <c r="AG2224" s="15"/>
      <c r="AH2224" s="15"/>
      <c r="AI2224" s="15"/>
      <c r="AJ2224" s="15"/>
      <c r="AK2224" s="15"/>
      <c r="AL2224" s="15"/>
      <c r="AM2224" s="15"/>
      <c r="AN2224" s="15"/>
      <c r="AO2224" s="15"/>
      <c r="AP2224" s="15"/>
      <c r="AQ2224" s="15"/>
      <c r="AR2224" s="15"/>
      <c r="AS2224" s="15"/>
      <c r="AT2224" s="15"/>
      <c r="AU2224" s="15"/>
      <c r="AV2224" s="15"/>
      <c r="AW2224" s="15"/>
      <c r="AX2224" s="15"/>
      <c r="AY2224" s="15"/>
      <c r="AZ2224" s="15"/>
      <c r="BA2224" s="15"/>
      <c r="BB2224" s="15"/>
      <c r="BC2224" s="15"/>
      <c r="BD2224" s="15"/>
      <c r="BE2224" s="15"/>
      <c r="BF2224" s="15"/>
      <c r="BG2224" s="15"/>
      <c r="BH2224" s="15"/>
    </row>
    <row r="2225" spans="30:60" x14ac:dyDescent="0.25">
      <c r="AD2225" s="15"/>
      <c r="AE2225" s="15"/>
      <c r="AF2225" s="15"/>
      <c r="AG2225" s="15"/>
      <c r="AH2225" s="15"/>
      <c r="AI2225" s="15"/>
      <c r="AJ2225" s="15"/>
      <c r="AK2225" s="15"/>
      <c r="AL2225" s="15"/>
      <c r="AM2225" s="15"/>
      <c r="AN2225" s="15"/>
      <c r="AO2225" s="15"/>
      <c r="AP2225" s="15"/>
      <c r="AQ2225" s="15"/>
      <c r="AR2225" s="15"/>
      <c r="AS2225" s="15"/>
      <c r="AT2225" s="15"/>
      <c r="AU2225" s="15"/>
      <c r="AV2225" s="15"/>
      <c r="AW2225" s="15"/>
      <c r="AX2225" s="15"/>
      <c r="AY2225" s="15"/>
      <c r="AZ2225" s="15"/>
      <c r="BA2225" s="15"/>
      <c r="BB2225" s="15"/>
      <c r="BC2225" s="15"/>
      <c r="BD2225" s="15"/>
      <c r="BE2225" s="15"/>
      <c r="BF2225" s="15"/>
      <c r="BG2225" s="15"/>
      <c r="BH2225" s="15"/>
    </row>
    <row r="2226" spans="30:60" x14ac:dyDescent="0.25">
      <c r="AD2226" s="15"/>
      <c r="AE2226" s="15"/>
      <c r="AF2226" s="15"/>
      <c r="AG2226" s="15"/>
      <c r="AH2226" s="15"/>
      <c r="AI2226" s="15"/>
      <c r="AJ2226" s="15"/>
      <c r="AK2226" s="15"/>
      <c r="AL2226" s="15"/>
      <c r="AM2226" s="15"/>
      <c r="AN2226" s="15"/>
      <c r="AO2226" s="15"/>
      <c r="AP2226" s="15"/>
      <c r="AQ2226" s="15"/>
      <c r="AR2226" s="15"/>
      <c r="AS2226" s="15"/>
      <c r="AT2226" s="15"/>
      <c r="AU2226" s="15"/>
      <c r="AV2226" s="15"/>
      <c r="AW2226" s="15"/>
      <c r="AX2226" s="15"/>
      <c r="AY2226" s="15"/>
      <c r="AZ2226" s="15"/>
      <c r="BA2226" s="15"/>
      <c r="BB2226" s="15"/>
      <c r="BC2226" s="15"/>
      <c r="BD2226" s="15"/>
      <c r="BE2226" s="15"/>
      <c r="BF2226" s="15"/>
      <c r="BG2226" s="15"/>
      <c r="BH2226" s="15"/>
    </row>
    <row r="2227" spans="30:60" x14ac:dyDescent="0.25">
      <c r="AD2227" s="15"/>
      <c r="AE2227" s="15"/>
      <c r="AF2227" s="15"/>
      <c r="AG2227" s="15"/>
      <c r="AH2227" s="15"/>
      <c r="AI2227" s="15"/>
      <c r="AJ2227" s="15"/>
      <c r="AK2227" s="15"/>
      <c r="AL2227" s="15"/>
      <c r="AM2227" s="15"/>
      <c r="AN2227" s="15"/>
      <c r="AO2227" s="15"/>
      <c r="AP2227" s="15"/>
      <c r="AQ2227" s="15"/>
      <c r="AR2227" s="15"/>
      <c r="AS2227" s="15"/>
      <c r="AT2227" s="15"/>
      <c r="AU2227" s="15"/>
      <c r="AV2227" s="15"/>
      <c r="AW2227" s="15"/>
      <c r="AX2227" s="15"/>
      <c r="AY2227" s="15"/>
      <c r="AZ2227" s="15"/>
      <c r="BA2227" s="15"/>
      <c r="BB2227" s="15"/>
      <c r="BC2227" s="15"/>
      <c r="BD2227" s="15"/>
      <c r="BE2227" s="15"/>
      <c r="BF2227" s="15"/>
      <c r="BG2227" s="15"/>
      <c r="BH2227" s="15"/>
    </row>
    <row r="2228" spans="30:60" x14ac:dyDescent="0.25">
      <c r="AD2228" s="15"/>
      <c r="AE2228" s="15"/>
      <c r="AF2228" s="15"/>
      <c r="AG2228" s="15"/>
      <c r="AH2228" s="15"/>
      <c r="AI2228" s="15"/>
      <c r="AJ2228" s="15"/>
      <c r="AK2228" s="15"/>
      <c r="AL2228" s="15"/>
      <c r="AM2228" s="15"/>
      <c r="AN2228" s="15"/>
      <c r="AO2228" s="15"/>
      <c r="AP2228" s="15"/>
      <c r="AQ2228" s="15"/>
      <c r="AR2228" s="15"/>
      <c r="AS2228" s="15"/>
      <c r="AT2228" s="15"/>
      <c r="AU2228" s="15"/>
      <c r="AV2228" s="15"/>
      <c r="AW2228" s="15"/>
      <c r="AX2228" s="15"/>
      <c r="AY2228" s="15"/>
      <c r="AZ2228" s="15"/>
      <c r="BA2228" s="15"/>
      <c r="BB2228" s="15"/>
      <c r="BC2228" s="15"/>
      <c r="BD2228" s="15"/>
      <c r="BE2228" s="15"/>
      <c r="BF2228" s="15"/>
      <c r="BG2228" s="15"/>
      <c r="BH2228" s="15"/>
    </row>
    <row r="2229" spans="30:60" x14ac:dyDescent="0.25">
      <c r="AD2229" s="15"/>
      <c r="AE2229" s="15"/>
      <c r="AF2229" s="15"/>
      <c r="AG2229" s="15"/>
      <c r="AH2229" s="15"/>
      <c r="AI2229" s="15"/>
      <c r="AJ2229" s="15"/>
      <c r="AK2229" s="15"/>
      <c r="AL2229" s="15"/>
      <c r="AM2229" s="15"/>
      <c r="AN2229" s="15"/>
      <c r="AO2229" s="15"/>
      <c r="AP2229" s="15"/>
      <c r="AQ2229" s="15"/>
      <c r="AR2229" s="15"/>
      <c r="AS2229" s="15"/>
      <c r="AT2229" s="15"/>
      <c r="AU2229" s="15"/>
      <c r="AV2229" s="15"/>
      <c r="AW2229" s="15"/>
      <c r="AX2229" s="15"/>
      <c r="AY2229" s="15"/>
      <c r="AZ2229" s="15"/>
      <c r="BA2229" s="15"/>
      <c r="BB2229" s="15"/>
      <c r="BC2229" s="15"/>
      <c r="BD2229" s="15"/>
      <c r="BE2229" s="15"/>
      <c r="BF2229" s="15"/>
      <c r="BG2229" s="15"/>
      <c r="BH2229" s="15"/>
    </row>
    <row r="2230" spans="30:60" x14ac:dyDescent="0.25">
      <c r="AD2230" s="15"/>
      <c r="AE2230" s="15"/>
      <c r="AF2230" s="15"/>
      <c r="AG2230" s="15"/>
      <c r="AH2230" s="15"/>
      <c r="AI2230" s="15"/>
      <c r="AJ2230" s="15"/>
      <c r="AK2230" s="15"/>
      <c r="AL2230" s="15"/>
      <c r="AM2230" s="15"/>
      <c r="AN2230" s="15"/>
      <c r="AO2230" s="15"/>
      <c r="AP2230" s="15"/>
      <c r="AQ2230" s="15"/>
      <c r="AR2230" s="15"/>
      <c r="AS2230" s="15"/>
      <c r="AT2230" s="15"/>
      <c r="AU2230" s="15"/>
      <c r="AV2230" s="15"/>
      <c r="AW2230" s="15"/>
      <c r="AX2230" s="15"/>
      <c r="AY2230" s="15"/>
      <c r="AZ2230" s="15"/>
      <c r="BA2230" s="15"/>
      <c r="BB2230" s="15"/>
      <c r="BC2230" s="15"/>
      <c r="BD2230" s="15"/>
      <c r="BE2230" s="15"/>
      <c r="BF2230" s="15"/>
      <c r="BG2230" s="15"/>
      <c r="BH2230" s="15"/>
    </row>
    <row r="2231" spans="30:60" x14ac:dyDescent="0.25">
      <c r="AD2231" s="15"/>
      <c r="AE2231" s="15"/>
      <c r="AF2231" s="15"/>
      <c r="AG2231" s="15"/>
      <c r="AH2231" s="15"/>
      <c r="AI2231" s="15"/>
      <c r="AJ2231" s="15"/>
      <c r="AK2231" s="15"/>
      <c r="AL2231" s="15"/>
      <c r="AM2231" s="15"/>
      <c r="AN2231" s="15"/>
      <c r="AO2231" s="15"/>
      <c r="AP2231" s="15"/>
      <c r="AQ2231" s="15"/>
      <c r="AR2231" s="15"/>
      <c r="AS2231" s="15"/>
      <c r="AT2231" s="15"/>
      <c r="AU2231" s="15"/>
      <c r="AV2231" s="15"/>
      <c r="AW2231" s="15"/>
      <c r="AX2231" s="15"/>
      <c r="AY2231" s="15"/>
      <c r="AZ2231" s="15"/>
      <c r="BA2231" s="15"/>
      <c r="BB2231" s="15"/>
      <c r="BC2231" s="15"/>
      <c r="BD2231" s="15"/>
      <c r="BE2231" s="15"/>
      <c r="BF2231" s="15"/>
      <c r="BG2231" s="15"/>
      <c r="BH2231" s="15"/>
    </row>
    <row r="2232" spans="30:60" x14ac:dyDescent="0.25">
      <c r="AD2232" s="15"/>
      <c r="AE2232" s="15"/>
      <c r="AF2232" s="15"/>
      <c r="AG2232" s="15"/>
      <c r="AH2232" s="15"/>
      <c r="AI2232" s="15"/>
      <c r="AJ2232" s="15"/>
      <c r="AK2232" s="15"/>
      <c r="AL2232" s="15"/>
      <c r="AM2232" s="15"/>
      <c r="AN2232" s="15"/>
      <c r="AO2232" s="15"/>
      <c r="AP2232" s="15"/>
      <c r="AQ2232" s="15"/>
      <c r="AR2232" s="15"/>
      <c r="AS2232" s="15"/>
      <c r="AT2232" s="15"/>
      <c r="AU2232" s="15"/>
      <c r="AV2232" s="15"/>
      <c r="AW2232" s="15"/>
      <c r="AX2232" s="15"/>
      <c r="AY2232" s="15"/>
      <c r="AZ2232" s="15"/>
      <c r="BA2232" s="15"/>
      <c r="BB2232" s="15"/>
      <c r="BC2232" s="15"/>
      <c r="BD2232" s="15"/>
      <c r="BE2232" s="15"/>
      <c r="BF2232" s="15"/>
      <c r="BG2232" s="15"/>
      <c r="BH2232" s="15"/>
    </row>
    <row r="2233" spans="30:60" x14ac:dyDescent="0.25">
      <c r="AD2233" s="15"/>
      <c r="AE2233" s="15"/>
      <c r="AF2233" s="15"/>
      <c r="AG2233" s="15"/>
      <c r="AH2233" s="15"/>
      <c r="AI2233" s="15"/>
      <c r="AJ2233" s="15"/>
      <c r="AK2233" s="15"/>
      <c r="AL2233" s="15"/>
      <c r="AM2233" s="15"/>
      <c r="AN2233" s="15"/>
      <c r="AO2233" s="15"/>
      <c r="AP2233" s="15"/>
      <c r="AQ2233" s="15"/>
      <c r="AR2233" s="15"/>
      <c r="AS2233" s="15"/>
      <c r="AT2233" s="15"/>
      <c r="AU2233" s="15"/>
      <c r="AV2233" s="15"/>
      <c r="AW2233" s="15"/>
      <c r="AX2233" s="15"/>
      <c r="AY2233" s="15"/>
      <c r="AZ2233" s="15"/>
      <c r="BA2233" s="15"/>
      <c r="BB2233" s="15"/>
      <c r="BC2233" s="15"/>
      <c r="BD2233" s="15"/>
      <c r="BE2233" s="15"/>
      <c r="BF2233" s="15"/>
      <c r="BG2233" s="15"/>
      <c r="BH2233" s="15"/>
    </row>
    <row r="2234" spans="30:60" x14ac:dyDescent="0.25">
      <c r="AD2234" s="15"/>
      <c r="AE2234" s="15"/>
      <c r="AF2234" s="15"/>
      <c r="AG2234" s="15"/>
      <c r="AH2234" s="15"/>
      <c r="AI2234" s="15"/>
      <c r="AJ2234" s="15"/>
      <c r="AK2234" s="15"/>
      <c r="AL2234" s="15"/>
      <c r="AM2234" s="15"/>
      <c r="AN2234" s="15"/>
      <c r="AO2234" s="15"/>
      <c r="AP2234" s="15"/>
      <c r="AQ2234" s="15"/>
      <c r="AR2234" s="15"/>
      <c r="AS2234" s="15"/>
      <c r="AT2234" s="15"/>
      <c r="AU2234" s="15"/>
      <c r="AV2234" s="15"/>
      <c r="AW2234" s="15"/>
      <c r="AX2234" s="15"/>
      <c r="AY2234" s="15"/>
      <c r="AZ2234" s="15"/>
      <c r="BA2234" s="15"/>
      <c r="BB2234" s="15"/>
      <c r="BC2234" s="15"/>
      <c r="BD2234" s="15"/>
      <c r="BE2234" s="15"/>
      <c r="BF2234" s="15"/>
      <c r="BG2234" s="15"/>
      <c r="BH2234" s="15"/>
    </row>
    <row r="2235" spans="30:60" x14ac:dyDescent="0.25">
      <c r="AD2235" s="15"/>
      <c r="AE2235" s="15"/>
      <c r="AF2235" s="15"/>
      <c r="AG2235" s="15"/>
      <c r="AH2235" s="15"/>
      <c r="AI2235" s="15"/>
      <c r="AJ2235" s="15"/>
      <c r="AK2235" s="15"/>
      <c r="AL2235" s="15"/>
      <c r="AM2235" s="15"/>
      <c r="AN2235" s="15"/>
      <c r="AO2235" s="15"/>
      <c r="AP2235" s="15"/>
      <c r="AQ2235" s="15"/>
      <c r="AR2235" s="15"/>
      <c r="AS2235" s="15"/>
      <c r="AT2235" s="15"/>
      <c r="AU2235" s="15"/>
      <c r="AV2235" s="15"/>
      <c r="AW2235" s="15"/>
      <c r="AX2235" s="15"/>
      <c r="AY2235" s="15"/>
      <c r="AZ2235" s="15"/>
      <c r="BA2235" s="15"/>
      <c r="BB2235" s="15"/>
      <c r="BC2235" s="15"/>
      <c r="BD2235" s="15"/>
      <c r="BE2235" s="15"/>
      <c r="BF2235" s="15"/>
      <c r="BG2235" s="15"/>
      <c r="BH2235" s="15"/>
    </row>
    <row r="2236" spans="30:60" x14ac:dyDescent="0.25">
      <c r="AD2236" s="15"/>
      <c r="AE2236" s="15"/>
      <c r="AF2236" s="15"/>
      <c r="AG2236" s="15"/>
      <c r="AH2236" s="15"/>
      <c r="AI2236" s="15"/>
      <c r="AJ2236" s="15"/>
      <c r="AK2236" s="15"/>
      <c r="AL2236" s="15"/>
      <c r="AM2236" s="15"/>
      <c r="AN2236" s="15"/>
      <c r="AO2236" s="15"/>
      <c r="AP2236" s="15"/>
      <c r="AQ2236" s="15"/>
      <c r="AR2236" s="15"/>
      <c r="AS2236" s="15"/>
      <c r="AT2236" s="15"/>
      <c r="AU2236" s="15"/>
      <c r="AV2236" s="15"/>
      <c r="AW2236" s="15"/>
      <c r="AX2236" s="15"/>
      <c r="AY2236" s="15"/>
      <c r="AZ2236" s="15"/>
      <c r="BA2236" s="15"/>
      <c r="BB2236" s="15"/>
      <c r="BC2236" s="15"/>
      <c r="BD2236" s="15"/>
      <c r="BE2236" s="15"/>
      <c r="BF2236" s="15"/>
      <c r="BG2236" s="15"/>
      <c r="BH2236" s="15"/>
    </row>
    <row r="2237" spans="30:60" x14ac:dyDescent="0.25">
      <c r="AD2237" s="15"/>
      <c r="AE2237" s="15"/>
      <c r="AF2237" s="15"/>
      <c r="AG2237" s="15"/>
      <c r="AH2237" s="15"/>
      <c r="AI2237" s="15"/>
      <c r="AJ2237" s="15"/>
      <c r="AK2237" s="15"/>
      <c r="AL2237" s="15"/>
      <c r="AM2237" s="15"/>
      <c r="AN2237" s="15"/>
      <c r="AO2237" s="15"/>
      <c r="AP2237" s="15"/>
      <c r="AQ2237" s="15"/>
      <c r="AR2237" s="15"/>
      <c r="AS2237" s="15"/>
      <c r="AT2237" s="15"/>
      <c r="AU2237" s="15"/>
      <c r="AV2237" s="15"/>
      <c r="AW2237" s="15"/>
      <c r="AX2237" s="15"/>
      <c r="AY2237" s="15"/>
      <c r="AZ2237" s="15"/>
      <c r="BA2237" s="15"/>
      <c r="BB2237" s="15"/>
      <c r="BC2237" s="15"/>
      <c r="BD2237" s="15"/>
      <c r="BE2237" s="15"/>
      <c r="BF2237" s="15"/>
      <c r="BG2237" s="15"/>
      <c r="BH2237" s="15"/>
    </row>
    <row r="2238" spans="30:60" x14ac:dyDescent="0.25">
      <c r="AD2238" s="15"/>
      <c r="AE2238" s="15"/>
      <c r="AF2238" s="15"/>
      <c r="AG2238" s="15"/>
      <c r="AH2238" s="15"/>
      <c r="AI2238" s="15"/>
      <c r="AJ2238" s="15"/>
      <c r="AK2238" s="15"/>
      <c r="AL2238" s="15"/>
      <c r="AM2238" s="15"/>
      <c r="AN2238" s="15"/>
      <c r="AO2238" s="15"/>
      <c r="AP2238" s="15"/>
      <c r="AQ2238" s="15"/>
      <c r="AR2238" s="15"/>
      <c r="AS2238" s="15"/>
      <c r="AT2238" s="15"/>
      <c r="AU2238" s="15"/>
      <c r="AV2238" s="15"/>
      <c r="AW2238" s="15"/>
      <c r="AX2238" s="15"/>
      <c r="AY2238" s="15"/>
      <c r="AZ2238" s="15"/>
      <c r="BA2238" s="15"/>
      <c r="BB2238" s="15"/>
      <c r="BC2238" s="15"/>
      <c r="BD2238" s="15"/>
      <c r="BE2238" s="15"/>
      <c r="BF2238" s="15"/>
      <c r="BG2238" s="15"/>
      <c r="BH2238" s="15"/>
    </row>
    <row r="2239" spans="30:60" x14ac:dyDescent="0.25">
      <c r="AD2239" s="15"/>
      <c r="AE2239" s="15"/>
      <c r="AF2239" s="15"/>
      <c r="AG2239" s="15"/>
      <c r="AH2239" s="15"/>
      <c r="AI2239" s="15"/>
      <c r="AJ2239" s="15"/>
      <c r="AK2239" s="15"/>
      <c r="AL2239" s="15"/>
      <c r="AM2239" s="15"/>
      <c r="AN2239" s="15"/>
      <c r="AO2239" s="15"/>
      <c r="AP2239" s="15"/>
      <c r="AQ2239" s="15"/>
      <c r="AR2239" s="15"/>
      <c r="AS2239" s="15"/>
      <c r="AT2239" s="15"/>
      <c r="AU2239" s="15"/>
      <c r="AV2239" s="15"/>
      <c r="AW2239" s="15"/>
      <c r="AX2239" s="15"/>
      <c r="AY2239" s="15"/>
      <c r="AZ2239" s="15"/>
      <c r="BA2239" s="15"/>
      <c r="BB2239" s="15"/>
      <c r="BC2239" s="15"/>
      <c r="BD2239" s="15"/>
      <c r="BE2239" s="15"/>
      <c r="BF2239" s="15"/>
      <c r="BG2239" s="15"/>
      <c r="BH2239" s="15"/>
    </row>
    <row r="2240" spans="30:60" x14ac:dyDescent="0.25">
      <c r="AD2240" s="15"/>
      <c r="AE2240" s="15"/>
      <c r="AF2240" s="15"/>
      <c r="AG2240" s="15"/>
      <c r="AH2240" s="15"/>
      <c r="AI2240" s="15"/>
      <c r="AJ2240" s="15"/>
      <c r="AK2240" s="15"/>
      <c r="AL2240" s="15"/>
      <c r="AM2240" s="15"/>
      <c r="AN2240" s="15"/>
      <c r="AO2240" s="15"/>
      <c r="AP2240" s="15"/>
      <c r="AQ2240" s="15"/>
      <c r="AR2240" s="15"/>
      <c r="AS2240" s="15"/>
      <c r="AT2240" s="15"/>
      <c r="AU2240" s="15"/>
      <c r="AV2240" s="15"/>
      <c r="AW2240" s="15"/>
      <c r="AX2240" s="15"/>
      <c r="AY2240" s="15"/>
      <c r="AZ2240" s="15"/>
      <c r="BA2240" s="15"/>
      <c r="BB2240" s="15"/>
      <c r="BC2240" s="15"/>
      <c r="BD2240" s="15"/>
      <c r="BE2240" s="15"/>
      <c r="BF2240" s="15"/>
      <c r="BG2240" s="15"/>
      <c r="BH2240" s="15"/>
    </row>
    <row r="2241" spans="30:60" x14ac:dyDescent="0.25">
      <c r="AD2241" s="15"/>
      <c r="AE2241" s="15"/>
      <c r="AF2241" s="15"/>
      <c r="AG2241" s="15"/>
      <c r="AH2241" s="15"/>
      <c r="AI2241" s="15"/>
      <c r="AJ2241" s="15"/>
      <c r="AK2241" s="15"/>
      <c r="AL2241" s="15"/>
      <c r="AM2241" s="15"/>
      <c r="AN2241" s="15"/>
      <c r="AO2241" s="15"/>
      <c r="AP2241" s="15"/>
      <c r="AQ2241" s="15"/>
      <c r="AR2241" s="15"/>
      <c r="AS2241" s="15"/>
      <c r="AT2241" s="15"/>
      <c r="AU2241" s="15"/>
      <c r="AV2241" s="15"/>
      <c r="AW2241" s="15"/>
      <c r="AX2241" s="15"/>
      <c r="AY2241" s="15"/>
      <c r="AZ2241" s="15"/>
      <c r="BA2241" s="15"/>
      <c r="BB2241" s="15"/>
      <c r="BC2241" s="15"/>
      <c r="BD2241" s="15"/>
      <c r="BE2241" s="15"/>
      <c r="BF2241" s="15"/>
      <c r="BG2241" s="15"/>
      <c r="BH2241" s="15"/>
    </row>
    <row r="2242" spans="30:60" x14ac:dyDescent="0.25">
      <c r="AD2242" s="15"/>
      <c r="AE2242" s="15"/>
      <c r="AF2242" s="15"/>
      <c r="AG2242" s="15"/>
      <c r="AH2242" s="15"/>
      <c r="AI2242" s="15"/>
      <c r="AJ2242" s="15"/>
      <c r="AK2242" s="15"/>
      <c r="AL2242" s="15"/>
      <c r="AM2242" s="15"/>
      <c r="AN2242" s="15"/>
      <c r="AO2242" s="15"/>
      <c r="AP2242" s="15"/>
      <c r="AQ2242" s="15"/>
      <c r="AR2242" s="15"/>
      <c r="AS2242" s="15"/>
      <c r="AT2242" s="15"/>
      <c r="AU2242" s="15"/>
      <c r="AV2242" s="15"/>
      <c r="AW2242" s="15"/>
      <c r="AX2242" s="15"/>
      <c r="AY2242" s="15"/>
      <c r="AZ2242" s="15"/>
      <c r="BA2242" s="15"/>
      <c r="BB2242" s="15"/>
      <c r="BC2242" s="15"/>
      <c r="BD2242" s="15"/>
      <c r="BE2242" s="15"/>
      <c r="BF2242" s="15"/>
      <c r="BG2242" s="15"/>
      <c r="BH2242" s="15"/>
    </row>
    <row r="2243" spans="30:60" x14ac:dyDescent="0.25">
      <c r="AD2243" s="15"/>
      <c r="AE2243" s="15"/>
      <c r="AF2243" s="15"/>
      <c r="AG2243" s="15"/>
      <c r="AH2243" s="15"/>
      <c r="AI2243" s="15"/>
      <c r="AJ2243" s="15"/>
      <c r="AK2243" s="15"/>
      <c r="AL2243" s="15"/>
      <c r="AM2243" s="15"/>
      <c r="AN2243" s="15"/>
      <c r="AO2243" s="15"/>
      <c r="AP2243" s="15"/>
      <c r="AQ2243" s="15"/>
      <c r="AR2243" s="15"/>
      <c r="AS2243" s="15"/>
      <c r="AT2243" s="15"/>
      <c r="AU2243" s="15"/>
      <c r="AV2243" s="15"/>
      <c r="AW2243" s="15"/>
      <c r="AX2243" s="15"/>
      <c r="AY2243" s="15"/>
      <c r="AZ2243" s="15"/>
      <c r="BA2243" s="15"/>
      <c r="BB2243" s="15"/>
      <c r="BC2243" s="15"/>
      <c r="BD2243" s="15"/>
      <c r="BE2243" s="15"/>
      <c r="BF2243" s="15"/>
      <c r="BG2243" s="15"/>
      <c r="BH2243" s="15"/>
    </row>
    <row r="2244" spans="30:60" x14ac:dyDescent="0.25">
      <c r="AD2244" s="15"/>
      <c r="AE2244" s="15"/>
      <c r="AF2244" s="15"/>
      <c r="AG2244" s="15"/>
      <c r="AH2244" s="15"/>
      <c r="AI2244" s="15"/>
      <c r="AJ2244" s="15"/>
      <c r="AK2244" s="15"/>
      <c r="AL2244" s="15"/>
      <c r="AM2244" s="15"/>
      <c r="AN2244" s="15"/>
      <c r="AO2244" s="15"/>
      <c r="AP2244" s="15"/>
      <c r="AQ2244" s="15"/>
      <c r="AR2244" s="15"/>
      <c r="AS2244" s="15"/>
      <c r="AT2244" s="15"/>
      <c r="AU2244" s="15"/>
      <c r="AV2244" s="15"/>
      <c r="AW2244" s="15"/>
      <c r="AX2244" s="15"/>
      <c r="AY2244" s="15"/>
      <c r="AZ2244" s="15"/>
      <c r="BA2244" s="15"/>
      <c r="BB2244" s="15"/>
      <c r="BC2244" s="15"/>
      <c r="BD2244" s="15"/>
      <c r="BE2244" s="15"/>
      <c r="BF2244" s="15"/>
      <c r="BG2244" s="15"/>
      <c r="BH2244" s="15"/>
    </row>
    <row r="2245" spans="30:60" x14ac:dyDescent="0.25">
      <c r="AD2245" s="15"/>
      <c r="AE2245" s="15"/>
      <c r="AF2245" s="15"/>
      <c r="AG2245" s="15"/>
      <c r="AH2245" s="15"/>
      <c r="AI2245" s="15"/>
      <c r="AJ2245" s="15"/>
      <c r="AK2245" s="15"/>
      <c r="AL2245" s="15"/>
      <c r="AM2245" s="15"/>
      <c r="AN2245" s="15"/>
      <c r="AO2245" s="15"/>
      <c r="AP2245" s="15"/>
      <c r="AQ2245" s="15"/>
      <c r="AR2245" s="15"/>
      <c r="AS2245" s="15"/>
      <c r="AT2245" s="15"/>
      <c r="AU2245" s="15"/>
      <c r="AV2245" s="15"/>
      <c r="AW2245" s="15"/>
      <c r="AX2245" s="15"/>
      <c r="AY2245" s="15"/>
      <c r="AZ2245" s="15"/>
      <c r="BA2245" s="15"/>
      <c r="BB2245" s="15"/>
      <c r="BC2245" s="15"/>
      <c r="BD2245" s="15"/>
      <c r="BE2245" s="15"/>
      <c r="BF2245" s="15"/>
      <c r="BG2245" s="15"/>
      <c r="BH2245" s="15"/>
    </row>
    <row r="2246" spans="30:60" x14ac:dyDescent="0.25">
      <c r="AD2246" s="15"/>
      <c r="AE2246" s="15"/>
      <c r="AF2246" s="15"/>
      <c r="AG2246" s="15"/>
      <c r="AH2246" s="15"/>
      <c r="AI2246" s="15"/>
      <c r="AJ2246" s="15"/>
      <c r="AK2246" s="15"/>
      <c r="AL2246" s="15"/>
      <c r="AM2246" s="15"/>
      <c r="AN2246" s="15"/>
      <c r="AO2246" s="15"/>
      <c r="AP2246" s="15"/>
      <c r="AQ2246" s="15"/>
      <c r="AR2246" s="15"/>
      <c r="AS2246" s="15"/>
      <c r="AT2246" s="15"/>
      <c r="AU2246" s="15"/>
      <c r="AV2246" s="15"/>
      <c r="AW2246" s="15"/>
      <c r="AX2246" s="15"/>
      <c r="AY2246" s="15"/>
      <c r="AZ2246" s="15"/>
      <c r="BA2246" s="15"/>
      <c r="BB2246" s="15"/>
      <c r="BC2246" s="15"/>
      <c r="BD2246" s="15"/>
      <c r="BE2246" s="15"/>
      <c r="BF2246" s="15"/>
      <c r="BG2246" s="15"/>
      <c r="BH2246" s="15"/>
    </row>
    <row r="2247" spans="30:60" x14ac:dyDescent="0.25">
      <c r="AD2247" s="15"/>
      <c r="AE2247" s="15"/>
      <c r="AF2247" s="15"/>
      <c r="AG2247" s="15"/>
      <c r="AH2247" s="15"/>
      <c r="AI2247" s="15"/>
      <c r="AJ2247" s="15"/>
      <c r="AK2247" s="15"/>
      <c r="AL2247" s="15"/>
      <c r="AM2247" s="15"/>
      <c r="AN2247" s="15"/>
      <c r="AO2247" s="15"/>
      <c r="AP2247" s="15"/>
      <c r="AQ2247" s="15"/>
      <c r="AR2247" s="15"/>
      <c r="AS2247" s="15"/>
      <c r="AT2247" s="15"/>
      <c r="AU2247" s="15"/>
      <c r="AV2247" s="15"/>
      <c r="AW2247" s="15"/>
      <c r="AX2247" s="15"/>
      <c r="AY2247" s="15"/>
      <c r="AZ2247" s="15"/>
      <c r="BA2247" s="15"/>
      <c r="BB2247" s="15"/>
      <c r="BC2247" s="15"/>
      <c r="BD2247" s="15"/>
      <c r="BE2247" s="15"/>
      <c r="BF2247" s="15"/>
      <c r="BG2247" s="15"/>
      <c r="BH2247" s="15"/>
    </row>
    <row r="2248" spans="30:60" x14ac:dyDescent="0.25">
      <c r="AD2248" s="15"/>
      <c r="AE2248" s="15"/>
      <c r="AF2248" s="15"/>
      <c r="AG2248" s="15"/>
      <c r="AH2248" s="15"/>
      <c r="AI2248" s="15"/>
      <c r="AJ2248" s="15"/>
      <c r="AK2248" s="15"/>
      <c r="AL2248" s="15"/>
      <c r="AM2248" s="15"/>
      <c r="AN2248" s="15"/>
      <c r="AO2248" s="15"/>
      <c r="AP2248" s="15"/>
      <c r="AQ2248" s="15"/>
      <c r="AR2248" s="15"/>
      <c r="AS2248" s="15"/>
      <c r="AT2248" s="15"/>
      <c r="AU2248" s="15"/>
      <c r="AV2248" s="15"/>
      <c r="AW2248" s="15"/>
      <c r="AX2248" s="15"/>
      <c r="AY2248" s="15"/>
      <c r="AZ2248" s="15"/>
      <c r="BA2248" s="15"/>
      <c r="BB2248" s="15"/>
      <c r="BC2248" s="15"/>
      <c r="BD2248" s="15"/>
      <c r="BE2248" s="15"/>
      <c r="BF2248" s="15"/>
      <c r="BG2248" s="15"/>
      <c r="BH2248" s="15"/>
    </row>
    <row r="2249" spans="30:60" x14ac:dyDescent="0.25">
      <c r="AD2249" s="15"/>
      <c r="AE2249" s="15"/>
      <c r="AF2249" s="15"/>
      <c r="AG2249" s="15"/>
      <c r="AH2249" s="15"/>
      <c r="AI2249" s="15"/>
      <c r="AJ2249" s="15"/>
      <c r="AK2249" s="15"/>
      <c r="AL2249" s="15"/>
      <c r="AM2249" s="15"/>
      <c r="AN2249" s="15"/>
      <c r="AO2249" s="15"/>
      <c r="AP2249" s="15"/>
      <c r="AQ2249" s="15"/>
      <c r="AR2249" s="15"/>
      <c r="AS2249" s="15"/>
      <c r="AT2249" s="15"/>
      <c r="AU2249" s="15"/>
      <c r="AV2249" s="15"/>
      <c r="AW2249" s="15"/>
      <c r="AX2249" s="15"/>
      <c r="AY2249" s="15"/>
      <c r="AZ2249" s="15"/>
      <c r="BA2249" s="15"/>
      <c r="BB2249" s="15"/>
      <c r="BC2249" s="15"/>
      <c r="BD2249" s="15"/>
      <c r="BE2249" s="15"/>
      <c r="BF2249" s="15"/>
      <c r="BG2249" s="15"/>
      <c r="BH2249" s="15"/>
    </row>
    <row r="2250" spans="30:60" x14ac:dyDescent="0.25">
      <c r="AD2250" s="15"/>
      <c r="AE2250" s="15"/>
      <c r="AF2250" s="15"/>
      <c r="AG2250" s="15"/>
      <c r="AH2250" s="15"/>
      <c r="AI2250" s="15"/>
      <c r="AJ2250" s="15"/>
      <c r="AK2250" s="15"/>
      <c r="AL2250" s="15"/>
      <c r="AM2250" s="15"/>
      <c r="AN2250" s="15"/>
      <c r="AO2250" s="15"/>
      <c r="AP2250" s="15"/>
      <c r="AQ2250" s="15"/>
      <c r="AR2250" s="15"/>
      <c r="AS2250" s="15"/>
      <c r="AT2250" s="15"/>
      <c r="AU2250" s="15"/>
      <c r="AV2250" s="15"/>
      <c r="AW2250" s="15"/>
      <c r="AX2250" s="15"/>
      <c r="AY2250" s="15"/>
      <c r="AZ2250" s="15"/>
      <c r="BA2250" s="15"/>
      <c r="BB2250" s="15"/>
      <c r="BC2250" s="15"/>
      <c r="BD2250" s="15"/>
      <c r="BE2250" s="15"/>
      <c r="BF2250" s="15"/>
      <c r="BG2250" s="15"/>
      <c r="BH2250" s="15"/>
    </row>
    <row r="2251" spans="30:60" x14ac:dyDescent="0.25">
      <c r="AD2251" s="15"/>
      <c r="AE2251" s="15"/>
      <c r="AF2251" s="15"/>
      <c r="AG2251" s="15"/>
      <c r="AH2251" s="15"/>
      <c r="AI2251" s="15"/>
      <c r="AJ2251" s="15"/>
      <c r="AK2251" s="15"/>
      <c r="AL2251" s="15"/>
      <c r="AM2251" s="15"/>
      <c r="AN2251" s="15"/>
      <c r="AO2251" s="15"/>
      <c r="AP2251" s="15"/>
      <c r="AQ2251" s="15"/>
      <c r="AR2251" s="15"/>
      <c r="AS2251" s="15"/>
      <c r="AT2251" s="15"/>
      <c r="AU2251" s="15"/>
      <c r="AV2251" s="15"/>
      <c r="AW2251" s="15"/>
      <c r="AX2251" s="15"/>
      <c r="AY2251" s="15"/>
      <c r="AZ2251" s="15"/>
      <c r="BA2251" s="15"/>
      <c r="BB2251" s="15"/>
      <c r="BC2251" s="15"/>
      <c r="BD2251" s="15"/>
      <c r="BE2251" s="15"/>
      <c r="BF2251" s="15"/>
      <c r="BG2251" s="15"/>
      <c r="BH2251" s="15"/>
    </row>
    <row r="2252" spans="30:60" x14ac:dyDescent="0.25">
      <c r="AD2252" s="15"/>
      <c r="AE2252" s="15"/>
      <c r="AF2252" s="15"/>
      <c r="AG2252" s="15"/>
      <c r="AH2252" s="15"/>
      <c r="AI2252" s="15"/>
      <c r="AJ2252" s="15"/>
      <c r="AK2252" s="15"/>
      <c r="AL2252" s="15"/>
      <c r="AM2252" s="15"/>
      <c r="AN2252" s="15"/>
      <c r="AO2252" s="15"/>
      <c r="AP2252" s="15"/>
      <c r="AQ2252" s="15"/>
      <c r="AR2252" s="15"/>
      <c r="AS2252" s="15"/>
      <c r="AT2252" s="15"/>
      <c r="AU2252" s="15"/>
      <c r="AV2252" s="15"/>
      <c r="AW2252" s="15"/>
      <c r="AX2252" s="15"/>
      <c r="AY2252" s="15"/>
      <c r="AZ2252" s="15"/>
      <c r="BA2252" s="15"/>
      <c r="BB2252" s="15"/>
      <c r="BC2252" s="15"/>
      <c r="BD2252" s="15"/>
      <c r="BE2252" s="15"/>
      <c r="BF2252" s="15"/>
      <c r="BG2252" s="15"/>
      <c r="BH2252" s="15"/>
    </row>
    <row r="2253" spans="30:60" x14ac:dyDescent="0.25">
      <c r="AD2253" s="15"/>
      <c r="AE2253" s="15"/>
      <c r="AF2253" s="15"/>
      <c r="AG2253" s="15"/>
      <c r="AH2253" s="15"/>
      <c r="AI2253" s="15"/>
      <c r="AJ2253" s="15"/>
      <c r="AK2253" s="15"/>
      <c r="AL2253" s="15"/>
      <c r="AM2253" s="15"/>
      <c r="AN2253" s="15"/>
      <c r="AO2253" s="15"/>
      <c r="AP2253" s="15"/>
      <c r="AQ2253" s="15"/>
      <c r="AR2253" s="15"/>
      <c r="AS2253" s="15"/>
      <c r="AT2253" s="15"/>
      <c r="AU2253" s="15"/>
      <c r="AV2253" s="15"/>
      <c r="AW2253" s="15"/>
      <c r="AX2253" s="15"/>
      <c r="AY2253" s="15"/>
      <c r="AZ2253" s="15"/>
      <c r="BA2253" s="15"/>
      <c r="BB2253" s="15"/>
      <c r="BC2253" s="15"/>
      <c r="BD2253" s="15"/>
      <c r="BE2253" s="15"/>
      <c r="BF2253" s="15"/>
      <c r="BG2253" s="15"/>
      <c r="BH2253" s="15"/>
    </row>
    <row r="2254" spans="30:60" x14ac:dyDescent="0.25">
      <c r="AD2254" s="15"/>
      <c r="AE2254" s="15"/>
      <c r="AF2254" s="15"/>
      <c r="AG2254" s="15"/>
      <c r="AH2254" s="15"/>
      <c r="AI2254" s="15"/>
      <c r="AJ2254" s="15"/>
      <c r="AK2254" s="15"/>
      <c r="AL2254" s="15"/>
      <c r="AM2254" s="15"/>
      <c r="AN2254" s="15"/>
      <c r="AO2254" s="15"/>
      <c r="AP2254" s="15"/>
      <c r="AQ2254" s="15"/>
      <c r="AR2254" s="15"/>
      <c r="AS2254" s="15"/>
      <c r="AT2254" s="15"/>
      <c r="AU2254" s="15"/>
      <c r="AV2254" s="15"/>
      <c r="AW2254" s="15"/>
      <c r="AX2254" s="15"/>
      <c r="AY2254" s="15"/>
      <c r="AZ2254" s="15"/>
      <c r="BA2254" s="15"/>
      <c r="BB2254" s="15"/>
      <c r="BC2254" s="15"/>
      <c r="BD2254" s="15"/>
      <c r="BE2254" s="15"/>
      <c r="BF2254" s="15"/>
      <c r="BG2254" s="15"/>
      <c r="BH2254" s="15"/>
    </row>
    <row r="2255" spans="30:60" x14ac:dyDescent="0.25">
      <c r="AD2255" s="15"/>
      <c r="AE2255" s="15"/>
      <c r="AF2255" s="15"/>
      <c r="AG2255" s="15"/>
      <c r="AH2255" s="15"/>
      <c r="AI2255" s="15"/>
      <c r="AJ2255" s="15"/>
      <c r="AK2255" s="15"/>
      <c r="AL2255" s="15"/>
      <c r="AM2255" s="15"/>
      <c r="AN2255" s="15"/>
      <c r="AO2255" s="15"/>
      <c r="AP2255" s="15"/>
      <c r="AQ2255" s="15"/>
      <c r="AR2255" s="15"/>
      <c r="AS2255" s="15"/>
      <c r="AT2255" s="15"/>
      <c r="AU2255" s="15"/>
      <c r="AV2255" s="15"/>
      <c r="AW2255" s="15"/>
      <c r="AX2255" s="15"/>
      <c r="AY2255" s="15"/>
      <c r="AZ2255" s="15"/>
      <c r="BA2255" s="15"/>
      <c r="BB2255" s="15"/>
      <c r="BC2255" s="15"/>
      <c r="BD2255" s="15"/>
      <c r="BE2255" s="15"/>
      <c r="BF2255" s="15"/>
      <c r="BG2255" s="15"/>
      <c r="BH2255" s="15"/>
    </row>
    <row r="2256" spans="30:60" x14ac:dyDescent="0.25">
      <c r="AD2256" s="15"/>
      <c r="AE2256" s="15"/>
      <c r="AF2256" s="15"/>
      <c r="AG2256" s="15"/>
      <c r="AH2256" s="15"/>
      <c r="AI2256" s="15"/>
      <c r="AJ2256" s="15"/>
      <c r="AK2256" s="15"/>
      <c r="AL2256" s="15"/>
      <c r="AM2256" s="15"/>
      <c r="AN2256" s="15"/>
      <c r="AO2256" s="15"/>
      <c r="AP2256" s="15"/>
      <c r="AQ2256" s="15"/>
      <c r="AR2256" s="15"/>
      <c r="AS2256" s="15"/>
      <c r="AT2256" s="15"/>
      <c r="AU2256" s="15"/>
      <c r="AV2256" s="15"/>
      <c r="AW2256" s="15"/>
      <c r="AX2256" s="15"/>
      <c r="AY2256" s="15"/>
      <c r="AZ2256" s="15"/>
      <c r="BA2256" s="15"/>
      <c r="BB2256" s="15"/>
      <c r="BC2256" s="15"/>
      <c r="BD2256" s="15"/>
      <c r="BE2256" s="15"/>
      <c r="BF2256" s="15"/>
      <c r="BG2256" s="15"/>
      <c r="BH2256" s="15"/>
    </row>
    <row r="2257" spans="30:60" x14ac:dyDescent="0.25">
      <c r="AD2257" s="15"/>
      <c r="AE2257" s="15"/>
      <c r="AF2257" s="15"/>
      <c r="AG2257" s="15"/>
      <c r="AH2257" s="15"/>
      <c r="AI2257" s="15"/>
      <c r="AJ2257" s="15"/>
      <c r="AK2257" s="15"/>
      <c r="AL2257" s="15"/>
      <c r="AM2257" s="15"/>
      <c r="AN2257" s="15"/>
      <c r="AO2257" s="15"/>
      <c r="AP2257" s="15"/>
      <c r="AQ2257" s="15"/>
      <c r="AR2257" s="15"/>
      <c r="AS2257" s="15"/>
      <c r="AT2257" s="15"/>
      <c r="AU2257" s="15"/>
      <c r="AV2257" s="15"/>
      <c r="AW2257" s="15"/>
      <c r="AX2257" s="15"/>
      <c r="AY2257" s="15"/>
      <c r="AZ2257" s="15"/>
      <c r="BA2257" s="15"/>
      <c r="BB2257" s="15"/>
      <c r="BC2257" s="15"/>
      <c r="BD2257" s="15"/>
      <c r="BE2257" s="15"/>
      <c r="BF2257" s="15"/>
      <c r="BG2257" s="15"/>
      <c r="BH2257" s="15"/>
    </row>
    <row r="2258" spans="30:60" x14ac:dyDescent="0.25">
      <c r="AD2258" s="15"/>
      <c r="AE2258" s="15"/>
      <c r="AF2258" s="15"/>
      <c r="AG2258" s="15"/>
      <c r="AH2258" s="15"/>
      <c r="AI2258" s="15"/>
      <c r="AJ2258" s="15"/>
      <c r="AK2258" s="15"/>
      <c r="AL2258" s="15"/>
      <c r="AM2258" s="15"/>
      <c r="AN2258" s="15"/>
      <c r="AO2258" s="15"/>
      <c r="AP2258" s="15"/>
      <c r="AQ2258" s="15"/>
      <c r="AR2258" s="15"/>
      <c r="AS2258" s="15"/>
      <c r="AT2258" s="15"/>
      <c r="AU2258" s="15"/>
      <c r="AV2258" s="15"/>
      <c r="AW2258" s="15"/>
      <c r="AX2258" s="15"/>
      <c r="AY2258" s="15"/>
      <c r="AZ2258" s="15"/>
      <c r="BA2258" s="15"/>
      <c r="BB2258" s="15"/>
      <c r="BC2258" s="15"/>
      <c r="BD2258" s="15"/>
      <c r="BE2258" s="15"/>
      <c r="BF2258" s="15"/>
      <c r="BG2258" s="15"/>
      <c r="BH2258" s="15"/>
    </row>
    <row r="2259" spans="30:60" x14ac:dyDescent="0.25">
      <c r="AD2259" s="15"/>
      <c r="AE2259" s="15"/>
      <c r="AF2259" s="15"/>
      <c r="AG2259" s="15"/>
      <c r="AH2259" s="15"/>
      <c r="AI2259" s="15"/>
      <c r="AJ2259" s="15"/>
      <c r="AK2259" s="15"/>
      <c r="AL2259" s="15"/>
      <c r="AM2259" s="15"/>
      <c r="AN2259" s="15"/>
      <c r="AO2259" s="15"/>
      <c r="AP2259" s="15"/>
      <c r="AQ2259" s="15"/>
      <c r="AR2259" s="15"/>
      <c r="AS2259" s="15"/>
      <c r="AT2259" s="15"/>
      <c r="AU2259" s="15"/>
      <c r="AV2259" s="15"/>
      <c r="AW2259" s="15"/>
      <c r="AX2259" s="15"/>
      <c r="AY2259" s="15"/>
      <c r="AZ2259" s="15"/>
      <c r="BA2259" s="15"/>
      <c r="BB2259" s="15"/>
      <c r="BC2259" s="15"/>
      <c r="BD2259" s="15"/>
      <c r="BE2259" s="15"/>
      <c r="BF2259" s="15"/>
      <c r="BG2259" s="15"/>
      <c r="BH2259" s="15"/>
    </row>
    <row r="2260" spans="30:60" x14ac:dyDescent="0.25">
      <c r="AD2260" s="15"/>
      <c r="AE2260" s="15"/>
      <c r="AF2260" s="15"/>
      <c r="AG2260" s="15"/>
      <c r="AH2260" s="15"/>
      <c r="AI2260" s="15"/>
      <c r="AJ2260" s="15"/>
      <c r="AK2260" s="15"/>
      <c r="AL2260" s="15"/>
      <c r="AM2260" s="15"/>
      <c r="AN2260" s="15"/>
      <c r="AO2260" s="15"/>
      <c r="AP2260" s="15"/>
      <c r="AQ2260" s="15"/>
      <c r="AR2260" s="15"/>
      <c r="AS2260" s="15"/>
      <c r="AT2260" s="15"/>
      <c r="AU2260" s="15"/>
      <c r="AV2260" s="15"/>
      <c r="AW2260" s="15"/>
      <c r="AX2260" s="15"/>
      <c r="AY2260" s="15"/>
      <c r="AZ2260" s="15"/>
      <c r="BA2260" s="15"/>
      <c r="BB2260" s="15"/>
      <c r="BC2260" s="15"/>
      <c r="BD2260" s="15"/>
      <c r="BE2260" s="15"/>
      <c r="BF2260" s="15"/>
      <c r="BG2260" s="15"/>
      <c r="BH2260" s="15"/>
    </row>
    <row r="2261" spans="30:60" x14ac:dyDescent="0.25">
      <c r="AD2261" s="15"/>
      <c r="AE2261" s="15"/>
      <c r="AF2261" s="15"/>
      <c r="AG2261" s="15"/>
      <c r="AH2261" s="15"/>
      <c r="AI2261" s="15"/>
      <c r="AJ2261" s="15"/>
      <c r="AK2261" s="15"/>
      <c r="AL2261" s="15"/>
      <c r="AM2261" s="15"/>
      <c r="AN2261" s="15"/>
      <c r="AO2261" s="15"/>
      <c r="AP2261" s="15"/>
      <c r="AQ2261" s="15"/>
      <c r="AR2261" s="15"/>
      <c r="AS2261" s="15"/>
      <c r="AT2261" s="15"/>
      <c r="AU2261" s="15"/>
      <c r="AV2261" s="15"/>
      <c r="AW2261" s="15"/>
      <c r="AX2261" s="15"/>
      <c r="AY2261" s="15"/>
      <c r="AZ2261" s="15"/>
      <c r="BA2261" s="15"/>
      <c r="BB2261" s="15"/>
      <c r="BC2261" s="15"/>
      <c r="BD2261" s="15"/>
      <c r="BE2261" s="15"/>
      <c r="BF2261" s="15"/>
      <c r="BG2261" s="15"/>
      <c r="BH2261" s="15"/>
    </row>
    <row r="2262" spans="30:60" x14ac:dyDescent="0.25">
      <c r="AD2262" s="15"/>
      <c r="AE2262" s="15"/>
      <c r="AF2262" s="15"/>
      <c r="AG2262" s="15"/>
      <c r="AH2262" s="15"/>
      <c r="AI2262" s="15"/>
      <c r="AJ2262" s="15"/>
      <c r="AK2262" s="15"/>
      <c r="AL2262" s="15"/>
      <c r="AM2262" s="15"/>
      <c r="AN2262" s="15"/>
      <c r="AO2262" s="15"/>
      <c r="AP2262" s="15"/>
      <c r="AQ2262" s="15"/>
      <c r="AR2262" s="15"/>
      <c r="AS2262" s="15"/>
      <c r="AT2262" s="15"/>
      <c r="AU2262" s="15"/>
      <c r="AV2262" s="15"/>
      <c r="AW2262" s="15"/>
      <c r="AX2262" s="15"/>
      <c r="AY2262" s="15"/>
      <c r="AZ2262" s="15"/>
      <c r="BA2262" s="15"/>
      <c r="BB2262" s="15"/>
      <c r="BC2262" s="15"/>
      <c r="BD2262" s="15"/>
      <c r="BE2262" s="15"/>
      <c r="BF2262" s="15"/>
      <c r="BG2262" s="15"/>
      <c r="BH2262" s="15"/>
    </row>
    <row r="2263" spans="30:60" x14ac:dyDescent="0.25">
      <c r="AD2263" s="15"/>
      <c r="AE2263" s="15"/>
      <c r="AF2263" s="15"/>
      <c r="AG2263" s="15"/>
      <c r="AH2263" s="15"/>
      <c r="AI2263" s="15"/>
      <c r="AJ2263" s="15"/>
      <c r="AK2263" s="15"/>
      <c r="AL2263" s="15"/>
      <c r="AM2263" s="15"/>
      <c r="AN2263" s="15"/>
      <c r="AO2263" s="15"/>
      <c r="AP2263" s="15"/>
      <c r="AQ2263" s="15"/>
      <c r="AR2263" s="15"/>
      <c r="AS2263" s="15"/>
      <c r="AT2263" s="15"/>
      <c r="AU2263" s="15"/>
      <c r="AV2263" s="15"/>
      <c r="AW2263" s="15"/>
      <c r="AX2263" s="15"/>
      <c r="AY2263" s="15"/>
      <c r="AZ2263" s="15"/>
      <c r="BA2263" s="15"/>
      <c r="BB2263" s="15"/>
      <c r="BC2263" s="15"/>
      <c r="BD2263" s="15"/>
      <c r="BE2263" s="15"/>
      <c r="BF2263" s="15"/>
      <c r="BG2263" s="15"/>
      <c r="BH2263" s="15"/>
    </row>
    <row r="2264" spans="30:60" x14ac:dyDescent="0.25">
      <c r="AD2264" s="15"/>
      <c r="AE2264" s="15"/>
      <c r="AF2264" s="15"/>
      <c r="AG2264" s="15"/>
      <c r="AH2264" s="15"/>
      <c r="AI2264" s="15"/>
      <c r="AJ2264" s="15"/>
      <c r="AK2264" s="15"/>
      <c r="AL2264" s="15"/>
      <c r="AM2264" s="15"/>
      <c r="AN2264" s="15"/>
      <c r="AO2264" s="15"/>
      <c r="AP2264" s="15"/>
      <c r="AQ2264" s="15"/>
      <c r="AR2264" s="15"/>
      <c r="AS2264" s="15"/>
      <c r="AT2264" s="15"/>
      <c r="AU2264" s="15"/>
      <c r="AV2264" s="15"/>
      <c r="AW2264" s="15"/>
      <c r="AX2264" s="15"/>
      <c r="AY2264" s="15"/>
      <c r="AZ2264" s="15"/>
      <c r="BA2264" s="15"/>
      <c r="BB2264" s="15"/>
      <c r="BC2264" s="15"/>
      <c r="BD2264" s="15"/>
      <c r="BE2264" s="15"/>
      <c r="BF2264" s="15"/>
      <c r="BG2264" s="15"/>
      <c r="BH2264" s="15"/>
    </row>
    <row r="2265" spans="30:60" x14ac:dyDescent="0.25">
      <c r="AD2265" s="15"/>
      <c r="AE2265" s="15"/>
      <c r="AF2265" s="15"/>
      <c r="AG2265" s="15"/>
      <c r="AH2265" s="15"/>
      <c r="AI2265" s="15"/>
      <c r="AJ2265" s="15"/>
      <c r="AK2265" s="15"/>
      <c r="AL2265" s="15"/>
      <c r="AM2265" s="15"/>
      <c r="AN2265" s="15"/>
      <c r="AO2265" s="15"/>
      <c r="AP2265" s="15"/>
      <c r="AQ2265" s="15"/>
      <c r="AR2265" s="15"/>
      <c r="AS2265" s="15"/>
      <c r="AT2265" s="15"/>
      <c r="AU2265" s="15"/>
      <c r="AV2265" s="15"/>
      <c r="AW2265" s="15"/>
      <c r="AX2265" s="15"/>
      <c r="AY2265" s="15"/>
      <c r="AZ2265" s="15"/>
      <c r="BA2265" s="15"/>
      <c r="BB2265" s="15"/>
      <c r="BC2265" s="15"/>
      <c r="BD2265" s="15"/>
      <c r="BE2265" s="15"/>
      <c r="BF2265" s="15"/>
      <c r="BG2265" s="15"/>
      <c r="BH2265" s="15"/>
    </row>
  </sheetData>
  <sheetProtection formatCells="0" formatColumns="0" formatRows="0" autoFilter="0" pivotTables="0"/>
  <dataValidations count="3">
    <dataValidation type="list" allowBlank="1" showInputMessage="1" showErrorMessage="1" sqref="I1841:I1885 I1887:I1931 I1384:I1426 I49:I92 I553:I596 I1428:I1472 I598:I638 I94:I138" xr:uid="{24F4431F-B4D6-47E1-9CFC-A0061BCC61F9}">
      <formula1>#REF!</formula1>
    </dataValidation>
    <dataValidation type="list" showInputMessage="1" showErrorMessage="1" errorTitle="Erro" error="Qualificador não cadastrado!" sqref="J1841:J1885 J49:J92 J553:J596 J1434 J1384:J1426" xr:uid="{94E17AC7-2CA2-43A5-9360-4F93AB8BD502}">
      <formula1>"1,2,3,4,5,6,7,8,9,10,11,12,13,14,15"</formula1>
    </dataValidation>
    <dataValidation type="list" showInputMessage="1" showErrorMessage="1" errorTitle="Erro" error="Recurso não cadastrado!" sqref="J1428:J1472 J598:J638 J1887:J1931 J94:J138" xr:uid="{31EC374B-46F2-4C2B-B7F1-0D0154B86DB5}">
      <formula1>Rel_Recursos</formula1>
    </dataValidation>
  </dataValidations>
  <pageMargins left="0.51181102362204722" right="0.51181102362204722" top="0.78740157480314965" bottom="0.78740157480314965" header="0.31496062992125984" footer="0.31496062992125984"/>
  <pageSetup paperSize="9" scale="10" orientation="landscape" r:id="rId1"/>
  <ignoredErrors>
    <ignoredError sqref="P100:AA100 P102:AA103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Dimensionamento Tratos (2)</vt:lpstr>
      <vt:lpstr>Plano Horas</vt:lpstr>
      <vt:lpstr>Apoio</vt:lpstr>
      <vt:lpstr>Dimensionamento Preparo</vt:lpstr>
      <vt:lpstr>Dimensionamento Tratos</vt:lpstr>
      <vt:lpstr>Rendimentos </vt:lpstr>
      <vt:lpstr>Planilha1</vt:lpstr>
      <vt:lpstr>Qtde_Oper_Plantio_Tratos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Pinheiro</dc:creator>
  <cp:lastModifiedBy>Juliano Timóteo</cp:lastModifiedBy>
  <dcterms:created xsi:type="dcterms:W3CDTF">2026-01-13T12:59:43Z</dcterms:created>
  <dcterms:modified xsi:type="dcterms:W3CDTF">2026-04-27T20:34:22Z</dcterms:modified>
</cp:coreProperties>
</file>